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ocuments\Tracking Spreadsheets\Month End Reports\2026.06\"/>
    </mc:Choice>
  </mc:AlternateContent>
  <xr:revisionPtr revIDLastSave="0" documentId="13_ncr:1_{9C92D75A-4135-4E8E-86D9-0965103745B7}" xr6:coauthVersionLast="47" xr6:coauthVersionMax="47" xr10:uidLastSave="{00000000-0000-0000-0000-000000000000}"/>
  <bookViews>
    <workbookView xWindow="-28920" yWindow="-2730" windowWidth="29040" windowHeight="15840" firstSheet="1" activeTab="4" xr2:uid="{DD6442D1-6695-45B9-8F34-09BDFC0054EB}"/>
  </bookViews>
  <sheets>
    <sheet name="Enabler4Excel_Picklist_Values" sheetId="3" state="veryHidden" r:id="rId1"/>
    <sheet name="Month End Transaction Summ(2)" sheetId="5" r:id="rId2"/>
    <sheet name="Month End Transaction Summ(1)" sheetId="4" r:id="rId3"/>
    <sheet name="Month End Transaction Summa..." sheetId="2" r:id="rId4"/>
    <sheet name="Sheet1" sheetId="1" r:id="rId5"/>
  </sheets>
  <definedNames>
    <definedName name="_xlnm._FilterDatabase" localSheetId="4" hidden="1">Sheet1!$A$1:$N$4911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66" i="1" l="1"/>
  <c r="B4165" i="1"/>
  <c r="B4158" i="1"/>
  <c r="B4150" i="1"/>
  <c r="B4149" i="1"/>
  <c r="B4142" i="1"/>
  <c r="B4134" i="1"/>
  <c r="B4133" i="1"/>
  <c r="B4128" i="1"/>
  <c r="B4126" i="1"/>
  <c r="B4118" i="1"/>
  <c r="B4117" i="1"/>
  <c r="B4115" i="1"/>
  <c r="B4112" i="1"/>
  <c r="B4111" i="1"/>
  <c r="B4113" i="1"/>
  <c r="B4114" i="1"/>
  <c r="B4116" i="1"/>
  <c r="B4119" i="1"/>
  <c r="E4109" i="1"/>
  <c r="E4108" i="1"/>
  <c r="E4107" i="1"/>
  <c r="E4106" i="1"/>
  <c r="E4105" i="1"/>
  <c r="E4104" i="1"/>
  <c r="E4103" i="1"/>
  <c r="E4102" i="1"/>
  <c r="E4101" i="1"/>
  <c r="E4100" i="1"/>
  <c r="B4100" i="1" s="1"/>
  <c r="E4099" i="1"/>
  <c r="E4098" i="1"/>
  <c r="B4098" i="1" s="1"/>
  <c r="E4097" i="1"/>
  <c r="E4096" i="1"/>
  <c r="B4096" i="1" s="1"/>
  <c r="E4095" i="1"/>
  <c r="B4095" i="1" s="1"/>
  <c r="E4094" i="1"/>
  <c r="E4093" i="1"/>
  <c r="E4092" i="1"/>
  <c r="E4091" i="1"/>
  <c r="E4090" i="1"/>
  <c r="E4089" i="1"/>
  <c r="E4088" i="1"/>
  <c r="E4087" i="1"/>
  <c r="E4086" i="1"/>
  <c r="E4085" i="1"/>
  <c r="E4084" i="1"/>
  <c r="B4084" i="1" s="1"/>
  <c r="E4083" i="1"/>
  <c r="E4082" i="1"/>
  <c r="B4082" i="1" s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B4068" i="1" s="1"/>
  <c r="E4067" i="1"/>
  <c r="E4066" i="1"/>
  <c r="B4066" i="1" s="1"/>
  <c r="E4065" i="1"/>
  <c r="E4064" i="1"/>
  <c r="B4064" i="1" s="1"/>
  <c r="E4063" i="1"/>
  <c r="B4063" i="1" s="1"/>
  <c r="E4062" i="1"/>
  <c r="E4061" i="1"/>
  <c r="E4060" i="1"/>
  <c r="E4059" i="1"/>
  <c r="E4058" i="1"/>
  <c r="E4057" i="1"/>
  <c r="E4056" i="1"/>
  <c r="E4055" i="1"/>
  <c r="E4054" i="1"/>
  <c r="E4053" i="1"/>
  <c r="E4052" i="1"/>
  <c r="B4052" i="1" s="1"/>
  <c r="E4051" i="1"/>
  <c r="E4050" i="1"/>
  <c r="E4049" i="1"/>
  <c r="E4048" i="1"/>
  <c r="B4048" i="1" s="1"/>
  <c r="E4047" i="1"/>
  <c r="B4047" i="1" s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B4032" i="1" s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B4020" i="1" s="1"/>
  <c r="E4019" i="1"/>
  <c r="E4018" i="1"/>
  <c r="E4017" i="1"/>
  <c r="E4016" i="1"/>
  <c r="B4016" i="1" s="1"/>
  <c r="E4015" i="1"/>
  <c r="B4015" i="1" s="1"/>
  <c r="E4014" i="1"/>
  <c r="E4013" i="1"/>
  <c r="E4012" i="1"/>
  <c r="E4011" i="1"/>
  <c r="E4010" i="1"/>
  <c r="E4009" i="1"/>
  <c r="E4008" i="1"/>
  <c r="E4007" i="1"/>
  <c r="E4006" i="1"/>
  <c r="E4005" i="1"/>
  <c r="E4004" i="1"/>
  <c r="B4004" i="1" s="1"/>
  <c r="E4003" i="1"/>
  <c r="E4002" i="1"/>
  <c r="E4001" i="1"/>
  <c r="E4000" i="1"/>
  <c r="B4000" i="1" s="1"/>
  <c r="E3999" i="1"/>
  <c r="B3999" i="1" s="1"/>
  <c r="E3998" i="1"/>
  <c r="E3997" i="1"/>
  <c r="E3996" i="1"/>
  <c r="E3995" i="1"/>
  <c r="E3994" i="1"/>
  <c r="E3993" i="1"/>
  <c r="E3992" i="1"/>
  <c r="E3991" i="1"/>
  <c r="E3990" i="1"/>
  <c r="E3989" i="1"/>
  <c r="E3988" i="1"/>
  <c r="B3988" i="1" s="1"/>
  <c r="E3987" i="1"/>
  <c r="E3986" i="1"/>
  <c r="E3985" i="1"/>
  <c r="E3984" i="1"/>
  <c r="B3984" i="1" s="1"/>
  <c r="E3983" i="1"/>
  <c r="B3983" i="1" s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B3970" i="1" s="1"/>
  <c r="E3969" i="1"/>
  <c r="E3968" i="1"/>
  <c r="B3968" i="1" s="1"/>
  <c r="E3967" i="1"/>
  <c r="B3967" i="1" s="1"/>
  <c r="E3966" i="1"/>
  <c r="E3965" i="1"/>
  <c r="E3964" i="1"/>
  <c r="E3963" i="1"/>
  <c r="E3962" i="1"/>
  <c r="E3961" i="1"/>
  <c r="E3960" i="1"/>
  <c r="E3959" i="1"/>
  <c r="E3958" i="1"/>
  <c r="E3957" i="1"/>
  <c r="E3956" i="1"/>
  <c r="B3956" i="1" s="1"/>
  <c r="E3955" i="1"/>
  <c r="E3954" i="1"/>
  <c r="B3954" i="1" s="1"/>
  <c r="E3953" i="1"/>
  <c r="E3952" i="1"/>
  <c r="B3952" i="1" s="1"/>
  <c r="E3951" i="1"/>
  <c r="B3951" i="1" s="1"/>
  <c r="E3950" i="1"/>
  <c r="E3949" i="1"/>
  <c r="E3948" i="1"/>
  <c r="E3947" i="1"/>
  <c r="E3946" i="1"/>
  <c r="E3945" i="1"/>
  <c r="E3944" i="1"/>
  <c r="E3943" i="1"/>
  <c r="E3942" i="1"/>
  <c r="E3941" i="1"/>
  <c r="E3940" i="1"/>
  <c r="B3940" i="1" s="1"/>
  <c r="E3939" i="1"/>
  <c r="E3938" i="1"/>
  <c r="B3938" i="1" s="1"/>
  <c r="E3937" i="1"/>
  <c r="E3936" i="1"/>
  <c r="E3935" i="1"/>
  <c r="B3935" i="1" s="1"/>
  <c r="E3934" i="1"/>
  <c r="E3933" i="1"/>
  <c r="E3932" i="1"/>
  <c r="E3931" i="1"/>
  <c r="E3930" i="1"/>
  <c r="E3929" i="1"/>
  <c r="E3928" i="1"/>
  <c r="E3927" i="1"/>
  <c r="E3926" i="1"/>
  <c r="E3925" i="1"/>
  <c r="E3924" i="1"/>
  <c r="B3924" i="1" s="1"/>
  <c r="E3923" i="1"/>
  <c r="E3922" i="1"/>
  <c r="B3922" i="1" s="1"/>
  <c r="E3921" i="1"/>
  <c r="E3920" i="1"/>
  <c r="B3920" i="1" s="1"/>
  <c r="E3919" i="1"/>
  <c r="B3919" i="1" s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B3906" i="1" s="1"/>
  <c r="E3905" i="1"/>
  <c r="E3904" i="1"/>
  <c r="B3904" i="1" s="1"/>
  <c r="E3903" i="1"/>
  <c r="B3903" i="1" s="1"/>
  <c r="E3902" i="1"/>
  <c r="E3901" i="1"/>
  <c r="E3900" i="1"/>
  <c r="E3899" i="1"/>
  <c r="E3898" i="1"/>
  <c r="E3897" i="1"/>
  <c r="E3896" i="1"/>
  <c r="E3895" i="1"/>
  <c r="E3894" i="1"/>
  <c r="E3893" i="1"/>
  <c r="E3892" i="1"/>
  <c r="B3892" i="1" s="1"/>
  <c r="E3891" i="1"/>
  <c r="E3890" i="1"/>
  <c r="B3890" i="1" s="1"/>
  <c r="E3889" i="1"/>
  <c r="E3888" i="1"/>
  <c r="B3888" i="1" s="1"/>
  <c r="E3887" i="1"/>
  <c r="B3887" i="1" s="1"/>
  <c r="E3886" i="1"/>
  <c r="E3885" i="1"/>
  <c r="E3884" i="1"/>
  <c r="E3883" i="1"/>
  <c r="E3882" i="1"/>
  <c r="E3881" i="1"/>
  <c r="E3880" i="1"/>
  <c r="E3879" i="1"/>
  <c r="E3878" i="1"/>
  <c r="E3877" i="1"/>
  <c r="E3876" i="1"/>
  <c r="B3876" i="1" s="1"/>
  <c r="E3875" i="1"/>
  <c r="E3874" i="1"/>
  <c r="E3873" i="1"/>
  <c r="E3872" i="1"/>
  <c r="B3872" i="1" s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B3856" i="1" s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B3840" i="1" s="1"/>
  <c r="E3839" i="1"/>
  <c r="B3839" i="1" s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B3826" i="1" s="1"/>
  <c r="E3825" i="1"/>
  <c r="E3824" i="1"/>
  <c r="B3824" i="1" s="1"/>
  <c r="E3823" i="1"/>
  <c r="B3823" i="1" s="1"/>
  <c r="E3822" i="1"/>
  <c r="E3821" i="1"/>
  <c r="E3820" i="1"/>
  <c r="E3819" i="1"/>
  <c r="E3818" i="1"/>
  <c r="E3817" i="1"/>
  <c r="E3816" i="1"/>
  <c r="E3815" i="1"/>
  <c r="E3814" i="1"/>
  <c r="E3813" i="1"/>
  <c r="E3812" i="1"/>
  <c r="B3812" i="1" s="1"/>
  <c r="E3811" i="1"/>
  <c r="E3810" i="1"/>
  <c r="E3809" i="1"/>
  <c r="E3808" i="1"/>
  <c r="B3808" i="1" s="1"/>
  <c r="E3807" i="1"/>
  <c r="B3807" i="1" s="1"/>
  <c r="E3806" i="1"/>
  <c r="E3805" i="1"/>
  <c r="E3804" i="1"/>
  <c r="E3803" i="1"/>
  <c r="E3802" i="1"/>
  <c r="E3801" i="1"/>
  <c r="E3800" i="1"/>
  <c r="E3799" i="1"/>
  <c r="E3798" i="1"/>
  <c r="E3797" i="1"/>
  <c r="E3796" i="1"/>
  <c r="B3796" i="1" s="1"/>
  <c r="E3795" i="1"/>
  <c r="E3794" i="1"/>
  <c r="B3794" i="1" s="1"/>
  <c r="E3793" i="1"/>
  <c r="E3792" i="1"/>
  <c r="E3791" i="1"/>
  <c r="B3791" i="1" s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B3778" i="1" s="1"/>
  <c r="E3777" i="1"/>
  <c r="E3776" i="1"/>
  <c r="B3776" i="1" s="1"/>
  <c r="E3775" i="1"/>
  <c r="B3775" i="1" s="1"/>
  <c r="E3774" i="1"/>
  <c r="E3773" i="1"/>
  <c r="E3772" i="1"/>
  <c r="E3771" i="1"/>
  <c r="E3770" i="1"/>
  <c r="E3769" i="1"/>
  <c r="E3768" i="1"/>
  <c r="E3767" i="1"/>
  <c r="E3766" i="1"/>
  <c r="E3765" i="1"/>
  <c r="E3764" i="1"/>
  <c r="B3764" i="1" s="1"/>
  <c r="E3763" i="1"/>
  <c r="E3762" i="1"/>
  <c r="B3762" i="1" s="1"/>
  <c r="E3761" i="1"/>
  <c r="E3760" i="1"/>
  <c r="B3760" i="1" s="1"/>
  <c r="E3759" i="1"/>
  <c r="B3759" i="1" s="1"/>
  <c r="E3758" i="1"/>
  <c r="E3757" i="1"/>
  <c r="E3756" i="1"/>
  <c r="E3755" i="1"/>
  <c r="E3754" i="1"/>
  <c r="E3753" i="1"/>
  <c r="E3752" i="1"/>
  <c r="E3751" i="1"/>
  <c r="E3750" i="1"/>
  <c r="E3749" i="1"/>
  <c r="E3748" i="1"/>
  <c r="B3748" i="1" s="1"/>
  <c r="E3747" i="1"/>
  <c r="E3746" i="1"/>
  <c r="B3746" i="1" s="1"/>
  <c r="E3745" i="1"/>
  <c r="E3744" i="1"/>
  <c r="B3744" i="1" s="1"/>
  <c r="E3743" i="1"/>
  <c r="B3743" i="1" s="1"/>
  <c r="E3742" i="1"/>
  <c r="E3741" i="1"/>
  <c r="E3740" i="1"/>
  <c r="E3739" i="1"/>
  <c r="E3738" i="1"/>
  <c r="E3737" i="1"/>
  <c r="E3736" i="1"/>
  <c r="E3735" i="1"/>
  <c r="E3734" i="1"/>
  <c r="E3733" i="1"/>
  <c r="E3732" i="1"/>
  <c r="B3732" i="1" s="1"/>
  <c r="E3731" i="1"/>
  <c r="E3730" i="1"/>
  <c r="B3730" i="1" s="1"/>
  <c r="E3729" i="1"/>
  <c r="E3728" i="1"/>
  <c r="B3728" i="1" s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B3716" i="1" s="1"/>
  <c r="E3715" i="1"/>
  <c r="E3714" i="1"/>
  <c r="B3714" i="1" s="1"/>
  <c r="E3713" i="1"/>
  <c r="E3712" i="1"/>
  <c r="B3712" i="1" s="1"/>
  <c r="E3711" i="1"/>
  <c r="B3711" i="1" s="1"/>
  <c r="E3710" i="1"/>
  <c r="E3709" i="1"/>
  <c r="E3708" i="1"/>
  <c r="E3707" i="1"/>
  <c r="E3706" i="1"/>
  <c r="E3705" i="1"/>
  <c r="E3704" i="1"/>
  <c r="E3703" i="1"/>
  <c r="E3702" i="1"/>
  <c r="E3701" i="1"/>
  <c r="E3700" i="1"/>
  <c r="B3700" i="1" s="1"/>
  <c r="E3699" i="1"/>
  <c r="E3698" i="1"/>
  <c r="B3698" i="1" s="1"/>
  <c r="E3697" i="1"/>
  <c r="E3696" i="1"/>
  <c r="E3695" i="1"/>
  <c r="B3695" i="1" s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B3682" i="1" s="1"/>
  <c r="E3681" i="1"/>
  <c r="E3680" i="1"/>
  <c r="B3680" i="1" s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B3668" i="1" s="1"/>
  <c r="E3667" i="1"/>
  <c r="E3666" i="1"/>
  <c r="E3665" i="1"/>
  <c r="E3664" i="1"/>
  <c r="B3664" i="1" s="1"/>
  <c r="E3663" i="1"/>
  <c r="B3663" i="1" s="1"/>
  <c r="E3662" i="1"/>
  <c r="E3661" i="1"/>
  <c r="E3660" i="1"/>
  <c r="E3659" i="1"/>
  <c r="E3658" i="1"/>
  <c r="E3657" i="1"/>
  <c r="E3656" i="1"/>
  <c r="E3655" i="1"/>
  <c r="E3654" i="1"/>
  <c r="E3653" i="1"/>
  <c r="E3652" i="1"/>
  <c r="B3652" i="1" s="1"/>
  <c r="E3651" i="1"/>
  <c r="E3650" i="1"/>
  <c r="B3650" i="1" s="1"/>
  <c r="E3649" i="1"/>
  <c r="E3648" i="1"/>
  <c r="E3647" i="1"/>
  <c r="B3647" i="1" s="1"/>
  <c r="E3646" i="1"/>
  <c r="E3645" i="1"/>
  <c r="E3644" i="1"/>
  <c r="E3643" i="1"/>
  <c r="E3642" i="1"/>
  <c r="E3641" i="1"/>
  <c r="E3640" i="1"/>
  <c r="E3639" i="1"/>
  <c r="E3638" i="1"/>
  <c r="E3637" i="1"/>
  <c r="E3636" i="1"/>
  <c r="B3636" i="1" s="1"/>
  <c r="E3635" i="1"/>
  <c r="E3634" i="1"/>
  <c r="B3634" i="1" s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B3618" i="1" s="1"/>
  <c r="E3617" i="1"/>
  <c r="E3616" i="1"/>
  <c r="B3616" i="1" s="1"/>
  <c r="E3615" i="1"/>
  <c r="B3615" i="1" s="1"/>
  <c r="E3614" i="1"/>
  <c r="E3613" i="1"/>
  <c r="E3612" i="1"/>
  <c r="E3611" i="1"/>
  <c r="E3610" i="1"/>
  <c r="E3609" i="1"/>
  <c r="E3608" i="1"/>
  <c r="E3607" i="1"/>
  <c r="E3606" i="1"/>
  <c r="E3605" i="1"/>
  <c r="E3604" i="1"/>
  <c r="B3604" i="1" s="1"/>
  <c r="E3603" i="1"/>
  <c r="E3602" i="1"/>
  <c r="B3602" i="1" s="1"/>
  <c r="E3601" i="1"/>
  <c r="E3600" i="1"/>
  <c r="B3600" i="1" s="1"/>
  <c r="E3599" i="1"/>
  <c r="B3599" i="1" s="1"/>
  <c r="E3598" i="1"/>
  <c r="E3597" i="1"/>
  <c r="E3596" i="1"/>
  <c r="E3595" i="1"/>
  <c r="E3594" i="1"/>
  <c r="E3593" i="1"/>
  <c r="E3592" i="1"/>
  <c r="E3591" i="1"/>
  <c r="E3590" i="1"/>
  <c r="E3589" i="1"/>
  <c r="E3588" i="1"/>
  <c r="B3588" i="1" s="1"/>
  <c r="E3587" i="1"/>
  <c r="E3586" i="1"/>
  <c r="B3586" i="1" s="1"/>
  <c r="E3585" i="1"/>
  <c r="E3584" i="1"/>
  <c r="B3584" i="1" s="1"/>
  <c r="E3583" i="1"/>
  <c r="B3583" i="1" s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B3568" i="1" s="1"/>
  <c r="E3567" i="1"/>
  <c r="B3567" i="1" s="1"/>
  <c r="E3566" i="1"/>
  <c r="E3565" i="1"/>
  <c r="E3564" i="1"/>
  <c r="E3563" i="1"/>
  <c r="E3562" i="1"/>
  <c r="E3561" i="1"/>
  <c r="E3560" i="1"/>
  <c r="E3559" i="1"/>
  <c r="E3558" i="1"/>
  <c r="E3557" i="1"/>
  <c r="E3556" i="1"/>
  <c r="B3556" i="1" s="1"/>
  <c r="E3555" i="1"/>
  <c r="E3554" i="1"/>
  <c r="E3553" i="1"/>
  <c r="E3552" i="1"/>
  <c r="B3552" i="1" s="1"/>
  <c r="E3551" i="1"/>
  <c r="B3551" i="1" s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B3538" i="1" s="1"/>
  <c r="E3537" i="1"/>
  <c r="E3536" i="1"/>
  <c r="B3536" i="1" s="1"/>
  <c r="E3535" i="1"/>
  <c r="B3535" i="1" s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B3522" i="1" s="1"/>
  <c r="E3521" i="1"/>
  <c r="E3520" i="1"/>
  <c r="B3520" i="1" s="1"/>
  <c r="E3519" i="1"/>
  <c r="B3519" i="1" s="1"/>
  <c r="E3518" i="1"/>
  <c r="E3517" i="1"/>
  <c r="E3516" i="1"/>
  <c r="E3515" i="1"/>
  <c r="E3514" i="1"/>
  <c r="E3513" i="1"/>
  <c r="E3512" i="1"/>
  <c r="E3511" i="1"/>
  <c r="E3510" i="1"/>
  <c r="E3509" i="1"/>
  <c r="E3508" i="1"/>
  <c r="B3508" i="1" s="1"/>
  <c r="E3507" i="1"/>
  <c r="E3506" i="1"/>
  <c r="B3506" i="1" s="1"/>
  <c r="E3505" i="1"/>
  <c r="E3504" i="1"/>
  <c r="E3503" i="1"/>
  <c r="B3503" i="1" s="1"/>
  <c r="E3502" i="1"/>
  <c r="E3501" i="1"/>
  <c r="E3500" i="1"/>
  <c r="E3499" i="1"/>
  <c r="E3498" i="1"/>
  <c r="E3497" i="1"/>
  <c r="E3496" i="1"/>
  <c r="E3495" i="1"/>
  <c r="E3494" i="1"/>
  <c r="E3493" i="1"/>
  <c r="E3492" i="1"/>
  <c r="B3492" i="1" s="1"/>
  <c r="E3491" i="1"/>
  <c r="E3490" i="1"/>
  <c r="B3490" i="1" s="1"/>
  <c r="E3489" i="1"/>
  <c r="E3488" i="1"/>
  <c r="B3488" i="1" s="1"/>
  <c r="E3487" i="1"/>
  <c r="B3487" i="1" s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B3472" i="1" s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B3460" i="1" s="1"/>
  <c r="E3459" i="1"/>
  <c r="E3458" i="1"/>
  <c r="E3457" i="1"/>
  <c r="E3456" i="1"/>
  <c r="B3456" i="1" s="1"/>
  <c r="E3455" i="1"/>
  <c r="B3455" i="1" s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B3410" i="1" s="1"/>
  <c r="E3409" i="1"/>
  <c r="E3408" i="1"/>
  <c r="B3408" i="1" s="1"/>
  <c r="E3407" i="1"/>
  <c r="B3407" i="1" s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B3394" i="1" s="1"/>
  <c r="E3393" i="1"/>
  <c r="E3392" i="1"/>
  <c r="B3392" i="1" s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B3378" i="1" s="1"/>
  <c r="E3377" i="1"/>
  <c r="E3376" i="1"/>
  <c r="B3376" i="1" s="1"/>
  <c r="E3375" i="1"/>
  <c r="B3375" i="1" s="1"/>
  <c r="E3374" i="1"/>
  <c r="E3373" i="1"/>
  <c r="E3372" i="1"/>
  <c r="E3371" i="1"/>
  <c r="E3370" i="1"/>
  <c r="E3369" i="1"/>
  <c r="E3368" i="1"/>
  <c r="E3367" i="1"/>
  <c r="E3366" i="1"/>
  <c r="E3365" i="1"/>
  <c r="E3364" i="1"/>
  <c r="B3364" i="1" s="1"/>
  <c r="E3363" i="1"/>
  <c r="E3362" i="1"/>
  <c r="B3362" i="1" s="1"/>
  <c r="E3361" i="1"/>
  <c r="E3360" i="1"/>
  <c r="E3359" i="1"/>
  <c r="B3359" i="1" s="1"/>
  <c r="E3358" i="1"/>
  <c r="E3357" i="1"/>
  <c r="E3356" i="1"/>
  <c r="E3355" i="1"/>
  <c r="E3354" i="1"/>
  <c r="E3353" i="1"/>
  <c r="E3352" i="1"/>
  <c r="E3351" i="1"/>
  <c r="E3350" i="1"/>
  <c r="E3349" i="1"/>
  <c r="E3348" i="1"/>
  <c r="B3348" i="1" s="1"/>
  <c r="E3347" i="1"/>
  <c r="E3346" i="1"/>
  <c r="B3346" i="1" s="1"/>
  <c r="E3345" i="1"/>
  <c r="E3344" i="1"/>
  <c r="B3344" i="1" s="1"/>
  <c r="E3343" i="1"/>
  <c r="B3343" i="1" s="1"/>
  <c r="E3342" i="1"/>
  <c r="E3341" i="1"/>
  <c r="E3340" i="1"/>
  <c r="E3339" i="1"/>
  <c r="E3338" i="1"/>
  <c r="E3337" i="1"/>
  <c r="E3336" i="1"/>
  <c r="E3335" i="1"/>
  <c r="E3334" i="1"/>
  <c r="E3333" i="1"/>
  <c r="E3332" i="1"/>
  <c r="B3332" i="1" s="1"/>
  <c r="E3331" i="1"/>
  <c r="E3330" i="1"/>
  <c r="B3330" i="1" s="1"/>
  <c r="E3329" i="1"/>
  <c r="E3328" i="1"/>
  <c r="B3328" i="1" s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B3316" i="1" s="1"/>
  <c r="E3315" i="1"/>
  <c r="E3314" i="1"/>
  <c r="E3313" i="1"/>
  <c r="E3312" i="1"/>
  <c r="E3311" i="1"/>
  <c r="B3311" i="1" s="1"/>
  <c r="E3310" i="1"/>
  <c r="E3309" i="1"/>
  <c r="E3308" i="1"/>
  <c r="E3307" i="1"/>
  <c r="E3306" i="1"/>
  <c r="E3305" i="1"/>
  <c r="E3304" i="1"/>
  <c r="E3303" i="1"/>
  <c r="E3302" i="1"/>
  <c r="E3301" i="1"/>
  <c r="E3300" i="1"/>
  <c r="B3300" i="1" s="1"/>
  <c r="E3299" i="1"/>
  <c r="E3298" i="1"/>
  <c r="E3297" i="1"/>
  <c r="E3296" i="1"/>
  <c r="B3296" i="1" s="1"/>
  <c r="E3295" i="1"/>
  <c r="B3295" i="1" s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B3280" i="1" s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B3268" i="1" s="1"/>
  <c r="E3267" i="1"/>
  <c r="E3266" i="1"/>
  <c r="B3266" i="1" s="1"/>
  <c r="E3265" i="1"/>
  <c r="E3264" i="1"/>
  <c r="B3264" i="1" s="1"/>
  <c r="E3263" i="1"/>
  <c r="B3263" i="1" s="1"/>
  <c r="E3262" i="1"/>
  <c r="E3261" i="1"/>
  <c r="E3260" i="1"/>
  <c r="E3259" i="1"/>
  <c r="E3258" i="1"/>
  <c r="E3257" i="1"/>
  <c r="E3256" i="1"/>
  <c r="E3255" i="1"/>
  <c r="E3254" i="1"/>
  <c r="E3253" i="1"/>
  <c r="E3252" i="1"/>
  <c r="B3252" i="1" s="1"/>
  <c r="E3251" i="1"/>
  <c r="E3250" i="1"/>
  <c r="E3249" i="1"/>
  <c r="E3248" i="1"/>
  <c r="B3248" i="1" s="1"/>
  <c r="E3247" i="1"/>
  <c r="B3247" i="1" s="1"/>
  <c r="E3246" i="1"/>
  <c r="E3245" i="1"/>
  <c r="E3244" i="1"/>
  <c r="E3243" i="1"/>
  <c r="E3242" i="1"/>
  <c r="E3241" i="1"/>
  <c r="E3240" i="1"/>
  <c r="E3239" i="1"/>
  <c r="E3238" i="1"/>
  <c r="E3237" i="1"/>
  <c r="E3236" i="1"/>
  <c r="B3236" i="1" s="1"/>
  <c r="E3235" i="1"/>
  <c r="E3234" i="1"/>
  <c r="B3234" i="1" s="1"/>
  <c r="E3233" i="1"/>
  <c r="E3232" i="1"/>
  <c r="B3232" i="1" s="1"/>
  <c r="E3231" i="1"/>
  <c r="B3231" i="1" s="1"/>
  <c r="E3230" i="1"/>
  <c r="E3229" i="1"/>
  <c r="E3228" i="1"/>
  <c r="E3227" i="1"/>
  <c r="E3226" i="1"/>
  <c r="E3225" i="1"/>
  <c r="E3224" i="1"/>
  <c r="E3223" i="1"/>
  <c r="E3222" i="1"/>
  <c r="E3221" i="1"/>
  <c r="E3220" i="1"/>
  <c r="B3220" i="1" s="1"/>
  <c r="E3219" i="1"/>
  <c r="E3218" i="1"/>
  <c r="B3218" i="1" s="1"/>
  <c r="E3217" i="1"/>
  <c r="E3216" i="1"/>
  <c r="E3215" i="1"/>
  <c r="B3215" i="1" s="1"/>
  <c r="E3214" i="1"/>
  <c r="E3213" i="1"/>
  <c r="E3212" i="1"/>
  <c r="E3211" i="1"/>
  <c r="E3210" i="1"/>
  <c r="E3209" i="1"/>
  <c r="E3208" i="1"/>
  <c r="E3207" i="1"/>
  <c r="E3206" i="1"/>
  <c r="E3205" i="1"/>
  <c r="E3204" i="1"/>
  <c r="B3204" i="1" s="1"/>
  <c r="E3203" i="1"/>
  <c r="E3202" i="1"/>
  <c r="B3202" i="1" s="1"/>
  <c r="E3201" i="1"/>
  <c r="E3200" i="1"/>
  <c r="B3200" i="1" s="1"/>
  <c r="E3199" i="1"/>
  <c r="B3199" i="1" s="1"/>
  <c r="E3198" i="1"/>
  <c r="E3197" i="1"/>
  <c r="E3196" i="1"/>
  <c r="E3195" i="1"/>
  <c r="E3194" i="1"/>
  <c r="E3193" i="1"/>
  <c r="E3192" i="1"/>
  <c r="E3191" i="1"/>
  <c r="E3190" i="1"/>
  <c r="E3189" i="1"/>
  <c r="E3188" i="1"/>
  <c r="B3188" i="1" s="1"/>
  <c r="E3187" i="1"/>
  <c r="E3186" i="1"/>
  <c r="B3186" i="1" s="1"/>
  <c r="E3185" i="1"/>
  <c r="E3184" i="1"/>
  <c r="B3184" i="1" s="1"/>
  <c r="E3183" i="1"/>
  <c r="B3183" i="1" s="1"/>
  <c r="E3182" i="1"/>
  <c r="E3181" i="1"/>
  <c r="E3180" i="1"/>
  <c r="E3179" i="1"/>
  <c r="E3178" i="1"/>
  <c r="E3177" i="1"/>
  <c r="E3176" i="1"/>
  <c r="E3175" i="1"/>
  <c r="E3174" i="1"/>
  <c r="E3173" i="1"/>
  <c r="E3172" i="1"/>
  <c r="B3172" i="1" s="1"/>
  <c r="E3171" i="1"/>
  <c r="E3170" i="1"/>
  <c r="B3170" i="1" s="1"/>
  <c r="E3169" i="1"/>
  <c r="E3168" i="1"/>
  <c r="E3167" i="1"/>
  <c r="B3167" i="1" s="1"/>
  <c r="E3166" i="1"/>
  <c r="E3165" i="1"/>
  <c r="E3164" i="1"/>
  <c r="E3163" i="1"/>
  <c r="E3162" i="1"/>
  <c r="E3161" i="1"/>
  <c r="E3160" i="1"/>
  <c r="E3159" i="1"/>
  <c r="E3158" i="1"/>
  <c r="E3157" i="1"/>
  <c r="E3156" i="1"/>
  <c r="B3156" i="1" s="1"/>
  <c r="E3155" i="1"/>
  <c r="E3154" i="1"/>
  <c r="B3154" i="1" s="1"/>
  <c r="E3153" i="1"/>
  <c r="E3152" i="1"/>
  <c r="B3152" i="1" s="1"/>
  <c r="E3151" i="1"/>
  <c r="B3151" i="1" s="1"/>
  <c r="E3150" i="1"/>
  <c r="E3149" i="1"/>
  <c r="E3148" i="1"/>
  <c r="E3147" i="1"/>
  <c r="E3146" i="1"/>
  <c r="E3145" i="1"/>
  <c r="E3144" i="1"/>
  <c r="E3143" i="1"/>
  <c r="E3142" i="1"/>
  <c r="E3141" i="1"/>
  <c r="E3140" i="1"/>
  <c r="B3140" i="1" s="1"/>
  <c r="E3139" i="1"/>
  <c r="E3138" i="1"/>
  <c r="B3138" i="1" s="1"/>
  <c r="E3137" i="1"/>
  <c r="E3136" i="1"/>
  <c r="B3136" i="1" s="1"/>
  <c r="E3135" i="1"/>
  <c r="B3135" i="1" s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B3122" i="1" s="1"/>
  <c r="E3121" i="1"/>
  <c r="E3120" i="1"/>
  <c r="B3120" i="1" s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B3106" i="1" s="1"/>
  <c r="E3105" i="1"/>
  <c r="E3104" i="1"/>
  <c r="B3104" i="1" s="1"/>
  <c r="E3103" i="1"/>
  <c r="B3103" i="1" s="1"/>
  <c r="E3102" i="1"/>
  <c r="E3101" i="1"/>
  <c r="E3100" i="1"/>
  <c r="E3099" i="1"/>
  <c r="E3098" i="1"/>
  <c r="E3097" i="1"/>
  <c r="E3096" i="1"/>
  <c r="E3095" i="1"/>
  <c r="E3094" i="1"/>
  <c r="E3093" i="1"/>
  <c r="E3092" i="1"/>
  <c r="B3092" i="1" s="1"/>
  <c r="E3091" i="1"/>
  <c r="E3090" i="1"/>
  <c r="E3089" i="1"/>
  <c r="E3088" i="1"/>
  <c r="B3088" i="1" s="1"/>
  <c r="E3087" i="1"/>
  <c r="B3087" i="1" s="1"/>
  <c r="E3086" i="1"/>
  <c r="E3085" i="1"/>
  <c r="E3084" i="1"/>
  <c r="E3083" i="1"/>
  <c r="E3082" i="1"/>
  <c r="E3081" i="1"/>
  <c r="E3080" i="1"/>
  <c r="E3079" i="1"/>
  <c r="E3078" i="1"/>
  <c r="E3077" i="1"/>
  <c r="E3076" i="1"/>
  <c r="B3076" i="1" s="1"/>
  <c r="E3075" i="1"/>
  <c r="E3074" i="1"/>
  <c r="B3074" i="1" s="1"/>
  <c r="E3073" i="1"/>
  <c r="E3072" i="1"/>
  <c r="E3071" i="1"/>
  <c r="B3071" i="1" s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B3044" i="1" s="1"/>
  <c r="E3043" i="1"/>
  <c r="E3042" i="1"/>
  <c r="B3042" i="1" s="1"/>
  <c r="E3041" i="1"/>
  <c r="E3040" i="1"/>
  <c r="E3039" i="1"/>
  <c r="B3039" i="1" s="1"/>
  <c r="E3038" i="1"/>
  <c r="E3037" i="1"/>
  <c r="E3036" i="1"/>
  <c r="E3035" i="1"/>
  <c r="E3034" i="1"/>
  <c r="E3033" i="1"/>
  <c r="E3032" i="1"/>
  <c r="E3031" i="1"/>
  <c r="E3030" i="1"/>
  <c r="E3029" i="1"/>
  <c r="E3028" i="1"/>
  <c r="B3028" i="1" s="1"/>
  <c r="E3027" i="1"/>
  <c r="E3026" i="1"/>
  <c r="E3025" i="1"/>
  <c r="E3024" i="1"/>
  <c r="B3024" i="1" s="1"/>
  <c r="E3023" i="1"/>
  <c r="B3023" i="1" s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B3010" i="1" s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B2994" i="1" s="1"/>
  <c r="E2993" i="1"/>
  <c r="E2992" i="1"/>
  <c r="E2991" i="1"/>
  <c r="B2991" i="1" s="1"/>
  <c r="E2990" i="1"/>
  <c r="E2989" i="1"/>
  <c r="E2988" i="1"/>
  <c r="E2987" i="1"/>
  <c r="E2986" i="1"/>
  <c r="E2985" i="1"/>
  <c r="E2984" i="1"/>
  <c r="E2983" i="1"/>
  <c r="E2982" i="1"/>
  <c r="E2981" i="1"/>
  <c r="E2980" i="1"/>
  <c r="B2980" i="1" s="1"/>
  <c r="E2979" i="1"/>
  <c r="E2978" i="1"/>
  <c r="B2978" i="1" s="1"/>
  <c r="E2977" i="1"/>
  <c r="E2976" i="1"/>
  <c r="B2976" i="1" s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B2964" i="1" s="1"/>
  <c r="E2963" i="1"/>
  <c r="E2962" i="1"/>
  <c r="B2962" i="1" s="1"/>
  <c r="E2961" i="1"/>
  <c r="E2960" i="1"/>
  <c r="B2960" i="1" s="1"/>
  <c r="E2959" i="1"/>
  <c r="B2959" i="1" s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B2946" i="1" s="1"/>
  <c r="E2945" i="1"/>
  <c r="E2944" i="1"/>
  <c r="B2944" i="1" s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B2930" i="1" s="1"/>
  <c r="E2929" i="1"/>
  <c r="E2928" i="1"/>
  <c r="B2928" i="1" s="1"/>
  <c r="E2927" i="1"/>
  <c r="B2927" i="1" s="1"/>
  <c r="E2926" i="1"/>
  <c r="E2925" i="1"/>
  <c r="E2924" i="1"/>
  <c r="E2923" i="1"/>
  <c r="E2922" i="1"/>
  <c r="E2921" i="1"/>
  <c r="E2920" i="1"/>
  <c r="E2919" i="1"/>
  <c r="E2918" i="1"/>
  <c r="E2917" i="1"/>
  <c r="E2916" i="1"/>
  <c r="B2916" i="1" s="1"/>
  <c r="E2915" i="1"/>
  <c r="E2914" i="1"/>
  <c r="B2914" i="1" s="1"/>
  <c r="E2913" i="1"/>
  <c r="E2912" i="1"/>
  <c r="B2912" i="1" s="1"/>
  <c r="E2911" i="1"/>
  <c r="B2911" i="1" s="1"/>
  <c r="E2910" i="1"/>
  <c r="E2909" i="1"/>
  <c r="E2908" i="1"/>
  <c r="E2907" i="1"/>
  <c r="E2906" i="1"/>
  <c r="E2905" i="1"/>
  <c r="E2904" i="1"/>
  <c r="E2903" i="1"/>
  <c r="E2902" i="1"/>
  <c r="E2901" i="1"/>
  <c r="E2900" i="1"/>
  <c r="B2900" i="1" s="1"/>
  <c r="E2899" i="1"/>
  <c r="E2898" i="1"/>
  <c r="B2898" i="1" s="1"/>
  <c r="E2897" i="1"/>
  <c r="E2896" i="1"/>
  <c r="B2896" i="1" s="1"/>
  <c r="E2895" i="1"/>
  <c r="B2895" i="1" s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B2879" i="1" s="1"/>
  <c r="E2878" i="1"/>
  <c r="E2877" i="1"/>
  <c r="E2876" i="1"/>
  <c r="E2875" i="1"/>
  <c r="E2874" i="1"/>
  <c r="E2873" i="1"/>
  <c r="E2872" i="1"/>
  <c r="E2871" i="1"/>
  <c r="E2870" i="1"/>
  <c r="E2869" i="1"/>
  <c r="E2868" i="1"/>
  <c r="B2868" i="1" s="1"/>
  <c r="E2867" i="1"/>
  <c r="E2866" i="1"/>
  <c r="E2865" i="1"/>
  <c r="E2864" i="1"/>
  <c r="B2864" i="1" s="1"/>
  <c r="E2863" i="1"/>
  <c r="B2863" i="1" s="1"/>
  <c r="E2862" i="1"/>
  <c r="E2861" i="1"/>
  <c r="E2860" i="1"/>
  <c r="E2859" i="1"/>
  <c r="E2858" i="1"/>
  <c r="E2857" i="1"/>
  <c r="E2856" i="1"/>
  <c r="E2855" i="1"/>
  <c r="E2854" i="1"/>
  <c r="E2853" i="1"/>
  <c r="E2852" i="1"/>
  <c r="B2852" i="1" s="1"/>
  <c r="E2851" i="1"/>
  <c r="E2850" i="1"/>
  <c r="E2849" i="1"/>
  <c r="E2848" i="1"/>
  <c r="B2848" i="1" s="1"/>
  <c r="E2847" i="1"/>
  <c r="B2847" i="1" s="1"/>
  <c r="E2846" i="1"/>
  <c r="E2845" i="1"/>
  <c r="E2844" i="1"/>
  <c r="E2843" i="1"/>
  <c r="E2842" i="1"/>
  <c r="E2841" i="1"/>
  <c r="E2840" i="1"/>
  <c r="E2839" i="1"/>
  <c r="E2838" i="1"/>
  <c r="E2837" i="1"/>
  <c r="E2836" i="1"/>
  <c r="B2836" i="1" s="1"/>
  <c r="E2835" i="1"/>
  <c r="E2834" i="1"/>
  <c r="E2833" i="1"/>
  <c r="E2832" i="1"/>
  <c r="B2832" i="1" s="1"/>
  <c r="E2831" i="1"/>
  <c r="B2831" i="1" s="1"/>
  <c r="E2830" i="1"/>
  <c r="E2829" i="1"/>
  <c r="E2828" i="1"/>
  <c r="E2827" i="1"/>
  <c r="E2826" i="1"/>
  <c r="E2825" i="1"/>
  <c r="E2824" i="1"/>
  <c r="E2823" i="1"/>
  <c r="E2822" i="1"/>
  <c r="E2821" i="1"/>
  <c r="E2820" i="1"/>
  <c r="B2820" i="1" s="1"/>
  <c r="E2819" i="1"/>
  <c r="E2818" i="1"/>
  <c r="B2818" i="1" s="1"/>
  <c r="E2817" i="1"/>
  <c r="E2816" i="1"/>
  <c r="B2816" i="1" s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B2804" i="1" s="1"/>
  <c r="E2803" i="1"/>
  <c r="E2802" i="1"/>
  <c r="B2802" i="1" s="1"/>
  <c r="E2801" i="1"/>
  <c r="E2800" i="1"/>
  <c r="B2800" i="1" s="1"/>
  <c r="E2799" i="1"/>
  <c r="B2799" i="1" s="1"/>
  <c r="E2798" i="1"/>
  <c r="E2797" i="1"/>
  <c r="E2796" i="1"/>
  <c r="E2795" i="1"/>
  <c r="E2794" i="1"/>
  <c r="E2793" i="1"/>
  <c r="E2792" i="1"/>
  <c r="E2791" i="1"/>
  <c r="E2790" i="1"/>
  <c r="E2789" i="1"/>
  <c r="E2788" i="1"/>
  <c r="B2788" i="1" s="1"/>
  <c r="E2787" i="1"/>
  <c r="E2786" i="1"/>
  <c r="E2785" i="1"/>
  <c r="E2784" i="1"/>
  <c r="B2784" i="1" s="1"/>
  <c r="E2783" i="1"/>
  <c r="B2783" i="1" s="1"/>
  <c r="E2782" i="1"/>
  <c r="E2781" i="1"/>
  <c r="E2780" i="1"/>
  <c r="E2779" i="1"/>
  <c r="E2778" i="1"/>
  <c r="E2777" i="1"/>
  <c r="E2776" i="1"/>
  <c r="E2775" i="1"/>
  <c r="E2774" i="1"/>
  <c r="E2773" i="1"/>
  <c r="E2772" i="1"/>
  <c r="B2772" i="1" s="1"/>
  <c r="E2771" i="1"/>
  <c r="E2770" i="1"/>
  <c r="B2770" i="1" s="1"/>
  <c r="E2769" i="1"/>
  <c r="E2768" i="1"/>
  <c r="B2768" i="1" s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B2756" i="1" s="1"/>
  <c r="E2755" i="1"/>
  <c r="E2754" i="1"/>
  <c r="E2753" i="1"/>
  <c r="E2752" i="1"/>
  <c r="B2752" i="1" s="1"/>
  <c r="E2751" i="1"/>
  <c r="B2751" i="1" s="1"/>
  <c r="E2750" i="1"/>
  <c r="E2749" i="1"/>
  <c r="E2748" i="1"/>
  <c r="E2747" i="1"/>
  <c r="E2746" i="1"/>
  <c r="E2745" i="1"/>
  <c r="E2744" i="1"/>
  <c r="E2743" i="1"/>
  <c r="E2742" i="1"/>
  <c r="E2741" i="1"/>
  <c r="E2740" i="1"/>
  <c r="B2740" i="1" s="1"/>
  <c r="E2739" i="1"/>
  <c r="E2738" i="1"/>
  <c r="B2738" i="1" s="1"/>
  <c r="E2737" i="1"/>
  <c r="E2736" i="1"/>
  <c r="E2735" i="1"/>
  <c r="B2735" i="1" s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B2720" i="1" s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B2706" i="1" s="1"/>
  <c r="E2705" i="1"/>
  <c r="E2704" i="1"/>
  <c r="B2704" i="1" s="1"/>
  <c r="E2703" i="1"/>
  <c r="B2703" i="1" s="1"/>
  <c r="E2702" i="1"/>
  <c r="E2701" i="1"/>
  <c r="E2700" i="1"/>
  <c r="E2699" i="1"/>
  <c r="E2698" i="1"/>
  <c r="E2697" i="1"/>
  <c r="E2696" i="1"/>
  <c r="E2695" i="1"/>
  <c r="E2694" i="1"/>
  <c r="E2693" i="1"/>
  <c r="E2692" i="1"/>
  <c r="B2692" i="1" s="1"/>
  <c r="E2691" i="1"/>
  <c r="E2690" i="1"/>
  <c r="B2690" i="1" s="1"/>
  <c r="E2689" i="1"/>
  <c r="E2688" i="1"/>
  <c r="B2688" i="1" s="1"/>
  <c r="E2687" i="1"/>
  <c r="B2687" i="1" s="1"/>
  <c r="E2686" i="1"/>
  <c r="E2685" i="1"/>
  <c r="E2684" i="1"/>
  <c r="E2683" i="1"/>
  <c r="E2682" i="1"/>
  <c r="E2681" i="1"/>
  <c r="E2680" i="1"/>
  <c r="E2679" i="1"/>
  <c r="E2678" i="1"/>
  <c r="E2677" i="1"/>
  <c r="E2676" i="1"/>
  <c r="B2676" i="1" s="1"/>
  <c r="E2675" i="1"/>
  <c r="E2674" i="1"/>
  <c r="B2674" i="1" s="1"/>
  <c r="E2673" i="1"/>
  <c r="E2672" i="1"/>
  <c r="B2672" i="1" s="1"/>
  <c r="E2671" i="1"/>
  <c r="B2671" i="1" s="1"/>
  <c r="E2670" i="1"/>
  <c r="E2669" i="1"/>
  <c r="E2668" i="1"/>
  <c r="E2667" i="1"/>
  <c r="E2666" i="1"/>
  <c r="E2665" i="1"/>
  <c r="E2664" i="1"/>
  <c r="E2663" i="1"/>
  <c r="E2662" i="1"/>
  <c r="E2661" i="1"/>
  <c r="E2660" i="1"/>
  <c r="B2660" i="1" s="1"/>
  <c r="E2659" i="1"/>
  <c r="E2658" i="1"/>
  <c r="B2658" i="1" s="1"/>
  <c r="E2657" i="1"/>
  <c r="E2656" i="1"/>
  <c r="B2656" i="1" s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B2644" i="1" s="1"/>
  <c r="E2643" i="1"/>
  <c r="E2642" i="1"/>
  <c r="E2641" i="1"/>
  <c r="E2640" i="1"/>
  <c r="E2639" i="1"/>
  <c r="B2639" i="1" s="1"/>
  <c r="E2638" i="1"/>
  <c r="E2637" i="1"/>
  <c r="E2636" i="1"/>
  <c r="E2635" i="1"/>
  <c r="E2634" i="1"/>
  <c r="E2633" i="1"/>
  <c r="E2632" i="1"/>
  <c r="E2631" i="1"/>
  <c r="E2630" i="1"/>
  <c r="E2629" i="1"/>
  <c r="E2628" i="1"/>
  <c r="B2628" i="1" s="1"/>
  <c r="E2627" i="1"/>
  <c r="E2626" i="1"/>
  <c r="E2625" i="1"/>
  <c r="E2624" i="1"/>
  <c r="E2623" i="1"/>
  <c r="B2623" i="1" s="1"/>
  <c r="E2622" i="1"/>
  <c r="E2621" i="1"/>
  <c r="E2620" i="1"/>
  <c r="E2619" i="1"/>
  <c r="E2618" i="1"/>
  <c r="E2617" i="1"/>
  <c r="E2616" i="1"/>
  <c r="E2615" i="1"/>
  <c r="E2614" i="1"/>
  <c r="E2613" i="1"/>
  <c r="E2612" i="1"/>
  <c r="B2612" i="1" s="1"/>
  <c r="E2611" i="1"/>
  <c r="E2610" i="1"/>
  <c r="B2610" i="1" s="1"/>
  <c r="E2609" i="1"/>
  <c r="E2608" i="1"/>
  <c r="E2607" i="1"/>
  <c r="B2607" i="1" s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B2592" i="1" s="1"/>
  <c r="E2591" i="1"/>
  <c r="B2591" i="1" s="1"/>
  <c r="E2590" i="1"/>
  <c r="E2589" i="1"/>
  <c r="E2588" i="1"/>
  <c r="E2587" i="1"/>
  <c r="E2586" i="1"/>
  <c r="E2585" i="1"/>
  <c r="E2584" i="1"/>
  <c r="E2583" i="1"/>
  <c r="E2582" i="1"/>
  <c r="E2581" i="1"/>
  <c r="E2580" i="1"/>
  <c r="B2580" i="1" s="1"/>
  <c r="E2579" i="1"/>
  <c r="E2578" i="1"/>
  <c r="E2577" i="1"/>
  <c r="E2576" i="1"/>
  <c r="B2576" i="1" s="1"/>
  <c r="E2575" i="1"/>
  <c r="B2575" i="1" s="1"/>
  <c r="E2574" i="1"/>
  <c r="E2573" i="1"/>
  <c r="E2572" i="1"/>
  <c r="E2571" i="1"/>
  <c r="E2570" i="1"/>
  <c r="E2569" i="1"/>
  <c r="E2568" i="1"/>
  <c r="E2567" i="1"/>
  <c r="E2566" i="1"/>
  <c r="E2565" i="1"/>
  <c r="E2564" i="1"/>
  <c r="B2564" i="1" s="1"/>
  <c r="E2563" i="1"/>
  <c r="E2562" i="1"/>
  <c r="E2561" i="1"/>
  <c r="E2560" i="1"/>
  <c r="B2560" i="1" s="1"/>
  <c r="E2559" i="1"/>
  <c r="B2559" i="1" s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B2544" i="1" s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B2532" i="1" s="1"/>
  <c r="E2531" i="1"/>
  <c r="E2530" i="1"/>
  <c r="E2529" i="1"/>
  <c r="E2528" i="1"/>
  <c r="B2528" i="1" s="1"/>
  <c r="E2527" i="1"/>
  <c r="B2527" i="1" s="1"/>
  <c r="E2526" i="1"/>
  <c r="E2525" i="1"/>
  <c r="E2524" i="1"/>
  <c r="E2523" i="1"/>
  <c r="E2522" i="1"/>
  <c r="E2521" i="1"/>
  <c r="E2520" i="1"/>
  <c r="E2519" i="1"/>
  <c r="E2518" i="1"/>
  <c r="E2517" i="1"/>
  <c r="E2516" i="1"/>
  <c r="B2516" i="1" s="1"/>
  <c r="E2515" i="1"/>
  <c r="E2514" i="1"/>
  <c r="E2513" i="1"/>
  <c r="E2512" i="1"/>
  <c r="B2512" i="1" s="1"/>
  <c r="E2511" i="1"/>
  <c r="B2511" i="1" s="1"/>
  <c r="E2510" i="1"/>
  <c r="E2509" i="1"/>
  <c r="E2508" i="1"/>
  <c r="E2507" i="1"/>
  <c r="E2506" i="1"/>
  <c r="E2505" i="1"/>
  <c r="E2504" i="1"/>
  <c r="E2503" i="1"/>
  <c r="E2502" i="1"/>
  <c r="E2501" i="1"/>
  <c r="E2500" i="1"/>
  <c r="B2500" i="1" s="1"/>
  <c r="E2499" i="1"/>
  <c r="E2498" i="1"/>
  <c r="E2497" i="1"/>
  <c r="E2496" i="1"/>
  <c r="E2495" i="1"/>
  <c r="B2495" i="1" s="1"/>
  <c r="E2494" i="1"/>
  <c r="E2493" i="1"/>
  <c r="E2492" i="1"/>
  <c r="E2491" i="1"/>
  <c r="E2490" i="1"/>
  <c r="E2489" i="1"/>
  <c r="E2488" i="1"/>
  <c r="E2487" i="1"/>
  <c r="E2486" i="1"/>
  <c r="E2485" i="1"/>
  <c r="E2484" i="1"/>
  <c r="B2484" i="1" s="1"/>
  <c r="E2483" i="1"/>
  <c r="E2482" i="1"/>
  <c r="B2482" i="1" s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B2468" i="1" s="1"/>
  <c r="E2467" i="1"/>
  <c r="E2466" i="1"/>
  <c r="B2466" i="1" s="1"/>
  <c r="E2465" i="1"/>
  <c r="E2464" i="1"/>
  <c r="E2463" i="1"/>
  <c r="B2463" i="1" s="1"/>
  <c r="E2462" i="1"/>
  <c r="E2461" i="1"/>
  <c r="E2460" i="1"/>
  <c r="E2459" i="1"/>
  <c r="E2458" i="1"/>
  <c r="E2457" i="1"/>
  <c r="E2456" i="1"/>
  <c r="E2455" i="1"/>
  <c r="E2454" i="1"/>
  <c r="E2453" i="1"/>
  <c r="E2452" i="1"/>
  <c r="B2452" i="1" s="1"/>
  <c r="E2451" i="1"/>
  <c r="E2450" i="1"/>
  <c r="E2449" i="1"/>
  <c r="E2448" i="1"/>
  <c r="E2447" i="1"/>
  <c r="B2447" i="1" s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B2434" i="1" s="1"/>
  <c r="E2433" i="1"/>
  <c r="E2432" i="1"/>
  <c r="B2432" i="1" s="1"/>
  <c r="E2431" i="1"/>
  <c r="B2431" i="1" s="1"/>
  <c r="E2430" i="1"/>
  <c r="E2429" i="1"/>
  <c r="E2428" i="1"/>
  <c r="E2427" i="1"/>
  <c r="E2426" i="1"/>
  <c r="E2425" i="1"/>
  <c r="E2424" i="1"/>
  <c r="E2423" i="1"/>
  <c r="E2422" i="1"/>
  <c r="E2421" i="1"/>
  <c r="E2420" i="1"/>
  <c r="B2420" i="1" s="1"/>
  <c r="E2419" i="1"/>
  <c r="E2418" i="1"/>
  <c r="E2417" i="1"/>
  <c r="E2416" i="1"/>
  <c r="B2416" i="1" s="1"/>
  <c r="E2415" i="1"/>
  <c r="B2415" i="1" s="1"/>
  <c r="E2414" i="1"/>
  <c r="E2413" i="1"/>
  <c r="E2412" i="1"/>
  <c r="E2411" i="1"/>
  <c r="E2410" i="1"/>
  <c r="E2409" i="1"/>
  <c r="E2408" i="1"/>
  <c r="E2407" i="1"/>
  <c r="E2406" i="1"/>
  <c r="E2405" i="1"/>
  <c r="E2404" i="1"/>
  <c r="B2404" i="1" s="1"/>
  <c r="E2403" i="1"/>
  <c r="E2402" i="1"/>
  <c r="E2401" i="1"/>
  <c r="E2400" i="1"/>
  <c r="B2400" i="1" s="1"/>
  <c r="E2399" i="1"/>
  <c r="B2399" i="1" s="1"/>
  <c r="E2398" i="1"/>
  <c r="E2397" i="1"/>
  <c r="E2396" i="1"/>
  <c r="E2395" i="1"/>
  <c r="E2394" i="1"/>
  <c r="E2393" i="1"/>
  <c r="E2392" i="1"/>
  <c r="E2391" i="1"/>
  <c r="E2390" i="1"/>
  <c r="E2389" i="1"/>
  <c r="E2388" i="1"/>
  <c r="B2388" i="1" s="1"/>
  <c r="E2387" i="1"/>
  <c r="E2386" i="1"/>
  <c r="B2386" i="1" s="1"/>
  <c r="E2385" i="1"/>
  <c r="E2384" i="1"/>
  <c r="B2384" i="1" s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B2372" i="1" s="1"/>
  <c r="E2371" i="1"/>
  <c r="E2370" i="1"/>
  <c r="E2369" i="1"/>
  <c r="E2368" i="1"/>
  <c r="B2368" i="1" s="1"/>
  <c r="E2367" i="1"/>
  <c r="B2367" i="1" s="1"/>
  <c r="E2366" i="1"/>
  <c r="E2365" i="1"/>
  <c r="E2364" i="1"/>
  <c r="E2363" i="1"/>
  <c r="E2362" i="1"/>
  <c r="E2361" i="1"/>
  <c r="E2360" i="1"/>
  <c r="E2359" i="1"/>
  <c r="E2358" i="1"/>
  <c r="E2357" i="1"/>
  <c r="E2356" i="1"/>
  <c r="B2356" i="1" s="1"/>
  <c r="E2355" i="1"/>
  <c r="E2354" i="1"/>
  <c r="B2354" i="1" s="1"/>
  <c r="E2353" i="1"/>
  <c r="E2352" i="1"/>
  <c r="E2351" i="1"/>
  <c r="B2351" i="1" s="1"/>
  <c r="E2350" i="1"/>
  <c r="E2349" i="1"/>
  <c r="E2348" i="1"/>
  <c r="E2347" i="1"/>
  <c r="E2346" i="1"/>
  <c r="E2345" i="1"/>
  <c r="E2344" i="1"/>
  <c r="E2343" i="1"/>
  <c r="E2342" i="1"/>
  <c r="E2341" i="1"/>
  <c r="E2340" i="1"/>
  <c r="B2340" i="1" s="1"/>
  <c r="E2339" i="1"/>
  <c r="E2338" i="1"/>
  <c r="B2338" i="1" s="1"/>
  <c r="E2337" i="1"/>
  <c r="E2336" i="1"/>
  <c r="B2336" i="1" s="1"/>
  <c r="E2335" i="1"/>
  <c r="B2335" i="1" s="1"/>
  <c r="E2334" i="1"/>
  <c r="E2333" i="1"/>
  <c r="E2332" i="1"/>
  <c r="E2331" i="1"/>
  <c r="E2330" i="1"/>
  <c r="E2329" i="1"/>
  <c r="E2328" i="1"/>
  <c r="E2327" i="1"/>
  <c r="E2326" i="1"/>
  <c r="E2325" i="1"/>
  <c r="E2324" i="1"/>
  <c r="B2324" i="1" s="1"/>
  <c r="E2323" i="1"/>
  <c r="E2322" i="1"/>
  <c r="B2322" i="1" s="1"/>
  <c r="E2321" i="1"/>
  <c r="E2320" i="1"/>
  <c r="B2320" i="1" s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B2306" i="1" s="1"/>
  <c r="E2305" i="1"/>
  <c r="E2304" i="1"/>
  <c r="E2303" i="1"/>
  <c r="B2303" i="1" s="1"/>
  <c r="E2302" i="1"/>
  <c r="E2301" i="1"/>
  <c r="E2300" i="1"/>
  <c r="E2299" i="1"/>
  <c r="E2298" i="1"/>
  <c r="E2297" i="1"/>
  <c r="E2296" i="1"/>
  <c r="E2295" i="1"/>
  <c r="E2294" i="1"/>
  <c r="E2293" i="1"/>
  <c r="E2292" i="1"/>
  <c r="B2292" i="1" s="1"/>
  <c r="E2291" i="1"/>
  <c r="E2290" i="1"/>
  <c r="B2290" i="1" s="1"/>
  <c r="E2289" i="1"/>
  <c r="E2288" i="1"/>
  <c r="B2288" i="1" s="1"/>
  <c r="E2287" i="1"/>
  <c r="B2287" i="1" s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B2274" i="1" s="1"/>
  <c r="E2273" i="1"/>
  <c r="E2272" i="1"/>
  <c r="B2272" i="1" s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B2260" i="1" s="1"/>
  <c r="E2259" i="1"/>
  <c r="E2258" i="1"/>
  <c r="B2258" i="1" s="1"/>
  <c r="E2257" i="1"/>
  <c r="E2256" i="1"/>
  <c r="B2256" i="1" s="1"/>
  <c r="E2255" i="1"/>
  <c r="B2255" i="1" s="1"/>
  <c r="E2254" i="1"/>
  <c r="E2253" i="1"/>
  <c r="E2252" i="1"/>
  <c r="E2251" i="1"/>
  <c r="E2250" i="1"/>
  <c r="E2249" i="1"/>
  <c r="E2248" i="1"/>
  <c r="E2247" i="1"/>
  <c r="E2246" i="1"/>
  <c r="E2245" i="1"/>
  <c r="E2244" i="1"/>
  <c r="B2244" i="1" s="1"/>
  <c r="E2243" i="1"/>
  <c r="E2242" i="1"/>
  <c r="B2242" i="1" s="1"/>
  <c r="E2241" i="1"/>
  <c r="E2240" i="1"/>
  <c r="B2240" i="1" s="1"/>
  <c r="E2239" i="1"/>
  <c r="B2239" i="1" s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B2226" i="1" s="1"/>
  <c r="E2225" i="1"/>
  <c r="E2224" i="1"/>
  <c r="B2224" i="1" s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B2212" i="1" s="1"/>
  <c r="E2211" i="1"/>
  <c r="E2210" i="1"/>
  <c r="E2209" i="1"/>
  <c r="E2208" i="1"/>
  <c r="E2207" i="1"/>
  <c r="B2207" i="1" s="1"/>
  <c r="E2206" i="1"/>
  <c r="E2205" i="1"/>
  <c r="E2204" i="1"/>
  <c r="E2203" i="1"/>
  <c r="E2202" i="1"/>
  <c r="E2201" i="1"/>
  <c r="E2200" i="1"/>
  <c r="E2199" i="1"/>
  <c r="E2198" i="1"/>
  <c r="E2197" i="1"/>
  <c r="E2196" i="1"/>
  <c r="B2196" i="1" s="1"/>
  <c r="E2195" i="1"/>
  <c r="E2194" i="1"/>
  <c r="E2193" i="1"/>
  <c r="E2192" i="1"/>
  <c r="E2191" i="1"/>
  <c r="B2191" i="1" s="1"/>
  <c r="E2190" i="1"/>
  <c r="E2189" i="1"/>
  <c r="E2188" i="1"/>
  <c r="E2187" i="1"/>
  <c r="E2186" i="1"/>
  <c r="E2185" i="1"/>
  <c r="E2184" i="1"/>
  <c r="E2183" i="1"/>
  <c r="E2182" i="1"/>
  <c r="E2181" i="1"/>
  <c r="E2180" i="1"/>
  <c r="B2180" i="1" s="1"/>
  <c r="E2179" i="1"/>
  <c r="E2178" i="1"/>
  <c r="B2178" i="1" s="1"/>
  <c r="E2177" i="1"/>
  <c r="E2176" i="1"/>
  <c r="E2175" i="1"/>
  <c r="B2175" i="1" s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B2160" i="1" s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B2148" i="1" s="1"/>
  <c r="E2147" i="1"/>
  <c r="E2146" i="1"/>
  <c r="B2146" i="1" s="1"/>
  <c r="E2145" i="1"/>
  <c r="E2144" i="1"/>
  <c r="B2144" i="1" s="1"/>
  <c r="E2143" i="1"/>
  <c r="B2143" i="1" s="1"/>
  <c r="E2142" i="1"/>
  <c r="E2141" i="1"/>
  <c r="E2140" i="1"/>
  <c r="E2139" i="1"/>
  <c r="E2138" i="1"/>
  <c r="E2137" i="1"/>
  <c r="E2136" i="1"/>
  <c r="E2135" i="1"/>
  <c r="E2134" i="1"/>
  <c r="E2133" i="1"/>
  <c r="E2132" i="1"/>
  <c r="B2132" i="1" s="1"/>
  <c r="E2131" i="1"/>
  <c r="E2130" i="1"/>
  <c r="B2130" i="1" s="1"/>
  <c r="E2129" i="1"/>
  <c r="E2128" i="1"/>
  <c r="B2128" i="1" s="1"/>
  <c r="E2127" i="1"/>
  <c r="B2127" i="1" s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B2112" i="1" s="1"/>
  <c r="E2111" i="1"/>
  <c r="B2111" i="1" s="1"/>
  <c r="E2110" i="1"/>
  <c r="E2109" i="1"/>
  <c r="E2108" i="1"/>
  <c r="E2107" i="1"/>
  <c r="E2106" i="1"/>
  <c r="E2105" i="1"/>
  <c r="E2104" i="1"/>
  <c r="E2103" i="1"/>
  <c r="E2102" i="1"/>
  <c r="E2101" i="1"/>
  <c r="E2100" i="1"/>
  <c r="B2100" i="1" s="1"/>
  <c r="E2099" i="1"/>
  <c r="E2098" i="1"/>
  <c r="B2098" i="1" s="1"/>
  <c r="E2097" i="1"/>
  <c r="E2096" i="1"/>
  <c r="B2096" i="1" s="1"/>
  <c r="E2095" i="1"/>
  <c r="B2095" i="1" s="1"/>
  <c r="E2094" i="1"/>
  <c r="E2093" i="1"/>
  <c r="E2092" i="1"/>
  <c r="E2091" i="1"/>
  <c r="E2090" i="1"/>
  <c r="E2089" i="1"/>
  <c r="E2088" i="1"/>
  <c r="E2087" i="1"/>
  <c r="E2086" i="1"/>
  <c r="E2085" i="1"/>
  <c r="E2084" i="1"/>
  <c r="B2084" i="1" s="1"/>
  <c r="E2083" i="1"/>
  <c r="E2082" i="1"/>
  <c r="B2082" i="1" s="1"/>
  <c r="E2081" i="1"/>
  <c r="E2080" i="1"/>
  <c r="B2080" i="1" s="1"/>
  <c r="E2079" i="1"/>
  <c r="B2079" i="1" s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B2066" i="1" s="1"/>
  <c r="E2065" i="1"/>
  <c r="E2064" i="1"/>
  <c r="B2064" i="1" s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B2050" i="1" s="1"/>
  <c r="E2049" i="1"/>
  <c r="E2048" i="1"/>
  <c r="B2048" i="1" s="1"/>
  <c r="E2047" i="1"/>
  <c r="B2047" i="1" s="1"/>
  <c r="E2046" i="1"/>
  <c r="E2045" i="1"/>
  <c r="E2044" i="1"/>
  <c r="E2043" i="1"/>
  <c r="E2042" i="1"/>
  <c r="E2041" i="1"/>
  <c r="E2040" i="1"/>
  <c r="E2039" i="1"/>
  <c r="E2038" i="1"/>
  <c r="E2037" i="1"/>
  <c r="E2036" i="1"/>
  <c r="B2036" i="1" s="1"/>
  <c r="E2035" i="1"/>
  <c r="E2034" i="1"/>
  <c r="B2034" i="1" s="1"/>
  <c r="E2033" i="1"/>
  <c r="E2032" i="1"/>
  <c r="E2031" i="1"/>
  <c r="B2031" i="1" s="1"/>
  <c r="E2030" i="1"/>
  <c r="E2029" i="1"/>
  <c r="E2028" i="1"/>
  <c r="E2027" i="1"/>
  <c r="E2026" i="1"/>
  <c r="E2025" i="1"/>
  <c r="E2024" i="1"/>
  <c r="E2023" i="1"/>
  <c r="E2022" i="1"/>
  <c r="E2021" i="1"/>
  <c r="E2020" i="1"/>
  <c r="B2020" i="1" s="1"/>
  <c r="E2019" i="1"/>
  <c r="E2018" i="1"/>
  <c r="B2018" i="1" s="1"/>
  <c r="E2017" i="1"/>
  <c r="E2016" i="1"/>
  <c r="B2016" i="1" s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B2004" i="1" s="1"/>
  <c r="E2003" i="1"/>
  <c r="E2002" i="1"/>
  <c r="B2002" i="1" s="1"/>
  <c r="E2001" i="1"/>
  <c r="E2000" i="1"/>
  <c r="B2000" i="1" s="1"/>
  <c r="E1999" i="1"/>
  <c r="B1999" i="1" s="1"/>
  <c r="E1998" i="1"/>
  <c r="E1997" i="1"/>
  <c r="E1996" i="1"/>
  <c r="E1995" i="1"/>
  <c r="E1994" i="1"/>
  <c r="E1993" i="1"/>
  <c r="E1992" i="1"/>
  <c r="E1991" i="1"/>
  <c r="E1990" i="1"/>
  <c r="E1989" i="1"/>
  <c r="E1988" i="1"/>
  <c r="B1988" i="1" s="1"/>
  <c r="E1987" i="1"/>
  <c r="E1986" i="1"/>
  <c r="B1986" i="1" s="1"/>
  <c r="E1985" i="1"/>
  <c r="E1984" i="1"/>
  <c r="B1984" i="1" s="1"/>
  <c r="E1983" i="1"/>
  <c r="B1983" i="1" s="1"/>
  <c r="E1982" i="1"/>
  <c r="E1981" i="1"/>
  <c r="E1980" i="1"/>
  <c r="E1979" i="1"/>
  <c r="E1978" i="1"/>
  <c r="E1977" i="1"/>
  <c r="E1976" i="1"/>
  <c r="E1975" i="1"/>
  <c r="E1974" i="1"/>
  <c r="E1973" i="1"/>
  <c r="E1972" i="1"/>
  <c r="B1972" i="1" s="1"/>
  <c r="E1971" i="1"/>
  <c r="E1970" i="1"/>
  <c r="B1970" i="1" s="1"/>
  <c r="E1969" i="1"/>
  <c r="E1968" i="1"/>
  <c r="B1968" i="1" s="1"/>
  <c r="E1967" i="1"/>
  <c r="B1967" i="1" s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B1954" i="1" s="1"/>
  <c r="E1953" i="1"/>
  <c r="E1952" i="1"/>
  <c r="B1952" i="1" s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B1938" i="1" s="1"/>
  <c r="E1937" i="1"/>
  <c r="E1936" i="1"/>
  <c r="E1935" i="1"/>
  <c r="B1935" i="1" s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B1919" i="1" s="1"/>
  <c r="E1918" i="1"/>
  <c r="E1917" i="1"/>
  <c r="E1916" i="1"/>
  <c r="E1915" i="1"/>
  <c r="E1914" i="1"/>
  <c r="E1913" i="1"/>
  <c r="E1912" i="1"/>
  <c r="E1911" i="1"/>
  <c r="E1910" i="1"/>
  <c r="E1909" i="1"/>
  <c r="E1908" i="1"/>
  <c r="B1908" i="1" s="1"/>
  <c r="E1907" i="1"/>
  <c r="E1906" i="1"/>
  <c r="E1905" i="1"/>
  <c r="E1904" i="1"/>
  <c r="B1904" i="1" s="1"/>
  <c r="E1903" i="1"/>
  <c r="B1903" i="1" s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B1876" i="1" s="1"/>
  <c r="E1875" i="1"/>
  <c r="E1874" i="1"/>
  <c r="E1873" i="1"/>
  <c r="E1872" i="1"/>
  <c r="B1872" i="1" s="1"/>
  <c r="E1871" i="1"/>
  <c r="B1871" i="1" s="1"/>
  <c r="E1870" i="1"/>
  <c r="E1869" i="1"/>
  <c r="E1868" i="1"/>
  <c r="E1867" i="1"/>
  <c r="E1866" i="1"/>
  <c r="E1865" i="1"/>
  <c r="E1864" i="1"/>
  <c r="E1863" i="1"/>
  <c r="E1862" i="1"/>
  <c r="E1861" i="1"/>
  <c r="E1860" i="1"/>
  <c r="B1860" i="1" s="1"/>
  <c r="E1859" i="1"/>
  <c r="E1858" i="1"/>
  <c r="B1858" i="1" s="1"/>
  <c r="E1857" i="1"/>
  <c r="E1856" i="1"/>
  <c r="B1856" i="1" s="1"/>
  <c r="E1855" i="1"/>
  <c r="B1855" i="1" s="1"/>
  <c r="E1854" i="1"/>
  <c r="E1853" i="1"/>
  <c r="E1852" i="1"/>
  <c r="E1851" i="1"/>
  <c r="E1850" i="1"/>
  <c r="E1849" i="1"/>
  <c r="E1848" i="1"/>
  <c r="E1847" i="1"/>
  <c r="E1846" i="1"/>
  <c r="E1845" i="1"/>
  <c r="E1844" i="1"/>
  <c r="B1844" i="1" s="1"/>
  <c r="E1843" i="1"/>
  <c r="E1842" i="1"/>
  <c r="B1842" i="1" s="1"/>
  <c r="E1841" i="1"/>
  <c r="E1840" i="1"/>
  <c r="B1840" i="1" s="1"/>
  <c r="E1839" i="1"/>
  <c r="B1839" i="1" s="1"/>
  <c r="E1838" i="1"/>
  <c r="E1837" i="1"/>
  <c r="E1836" i="1"/>
  <c r="E1835" i="1"/>
  <c r="E1834" i="1"/>
  <c r="E1833" i="1"/>
  <c r="E1832" i="1"/>
  <c r="E1831" i="1"/>
  <c r="E1830" i="1"/>
  <c r="E1829" i="1"/>
  <c r="E1828" i="1"/>
  <c r="B1828" i="1" s="1"/>
  <c r="E1827" i="1"/>
  <c r="E1826" i="1"/>
  <c r="B1826" i="1" s="1"/>
  <c r="E1825" i="1"/>
  <c r="E1824" i="1"/>
  <c r="B1824" i="1" s="1"/>
  <c r="E1823" i="1"/>
  <c r="B1823" i="1" s="1"/>
  <c r="E1822" i="1"/>
  <c r="E1821" i="1"/>
  <c r="E1820" i="1"/>
  <c r="E1819" i="1"/>
  <c r="E1818" i="1"/>
  <c r="E1817" i="1"/>
  <c r="E1816" i="1"/>
  <c r="E1815" i="1"/>
  <c r="E1814" i="1"/>
  <c r="E1813" i="1"/>
  <c r="E1812" i="1"/>
  <c r="B1812" i="1" s="1"/>
  <c r="E1811" i="1"/>
  <c r="E1810" i="1"/>
  <c r="B1810" i="1" s="1"/>
  <c r="E1809" i="1"/>
  <c r="E1808" i="1"/>
  <c r="B1808" i="1" s="1"/>
  <c r="E1807" i="1"/>
  <c r="B1807" i="1" s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B1794" i="1" s="1"/>
  <c r="E1793" i="1"/>
  <c r="E1792" i="1"/>
  <c r="B1792" i="1" s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B1780" i="1" s="1"/>
  <c r="E1779" i="1"/>
  <c r="E1778" i="1"/>
  <c r="E1777" i="1"/>
  <c r="E1776" i="1"/>
  <c r="B1776" i="1" s="1"/>
  <c r="E1775" i="1"/>
  <c r="B1775" i="1" s="1"/>
  <c r="E1774" i="1"/>
  <c r="E1773" i="1"/>
  <c r="E1772" i="1"/>
  <c r="E1771" i="1"/>
  <c r="E1770" i="1"/>
  <c r="E1769" i="1"/>
  <c r="E1768" i="1"/>
  <c r="E1767" i="1"/>
  <c r="E1766" i="1"/>
  <c r="E1765" i="1"/>
  <c r="E1764" i="1"/>
  <c r="B1764" i="1" s="1"/>
  <c r="E1763" i="1"/>
  <c r="E1762" i="1"/>
  <c r="B1762" i="1" s="1"/>
  <c r="E1761" i="1"/>
  <c r="E1760" i="1"/>
  <c r="E1759" i="1"/>
  <c r="B1759" i="1" s="1"/>
  <c r="E1758" i="1"/>
  <c r="E1757" i="1"/>
  <c r="E1756" i="1"/>
  <c r="E1755" i="1"/>
  <c r="E1754" i="1"/>
  <c r="E1753" i="1"/>
  <c r="E1752" i="1"/>
  <c r="E1751" i="1"/>
  <c r="E1750" i="1"/>
  <c r="E1749" i="1"/>
  <c r="E1748" i="1"/>
  <c r="B1748" i="1" s="1"/>
  <c r="E1747" i="1"/>
  <c r="E1746" i="1"/>
  <c r="B1746" i="1" s="1"/>
  <c r="E1745" i="1"/>
  <c r="E1744" i="1"/>
  <c r="B1744" i="1" s="1"/>
  <c r="E1743" i="1"/>
  <c r="B1743" i="1" s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B1730" i="1" s="1"/>
  <c r="E1729" i="1"/>
  <c r="E1728" i="1"/>
  <c r="B1728" i="1" s="1"/>
  <c r="E1727" i="1"/>
  <c r="B1727" i="1" s="1"/>
  <c r="E1726" i="1"/>
  <c r="E1725" i="1"/>
  <c r="E1724" i="1"/>
  <c r="E1723" i="1"/>
  <c r="E1722" i="1"/>
  <c r="E1721" i="1"/>
  <c r="E1720" i="1"/>
  <c r="E1719" i="1"/>
  <c r="E1718" i="1"/>
  <c r="E1717" i="1"/>
  <c r="E1716" i="1"/>
  <c r="B1716" i="1" s="1"/>
  <c r="E1715" i="1"/>
  <c r="E1714" i="1"/>
  <c r="B1714" i="1" s="1"/>
  <c r="E1713" i="1"/>
  <c r="E1712" i="1"/>
  <c r="B1712" i="1" s="1"/>
  <c r="E1711" i="1"/>
  <c r="B1711" i="1" s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B1698" i="1" s="1"/>
  <c r="E1697" i="1"/>
  <c r="E1696" i="1"/>
  <c r="B1696" i="1" s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B1684" i="1" s="1"/>
  <c r="E1683" i="1"/>
  <c r="E1682" i="1"/>
  <c r="B1682" i="1" s="1"/>
  <c r="E1681" i="1"/>
  <c r="E1680" i="1"/>
  <c r="B1680" i="1" s="1"/>
  <c r="E1679" i="1"/>
  <c r="B1679" i="1" s="1"/>
  <c r="E1678" i="1"/>
  <c r="E1677" i="1"/>
  <c r="E1676" i="1"/>
  <c r="E1675" i="1"/>
  <c r="E1674" i="1"/>
  <c r="E1673" i="1"/>
  <c r="E1672" i="1"/>
  <c r="E1671" i="1"/>
  <c r="E1670" i="1"/>
  <c r="E1669" i="1"/>
  <c r="E1668" i="1"/>
  <c r="B1668" i="1" s="1"/>
  <c r="E1667" i="1"/>
  <c r="E1666" i="1"/>
  <c r="B1666" i="1" s="1"/>
  <c r="E1665" i="1"/>
  <c r="E1664" i="1"/>
  <c r="B1664" i="1" s="1"/>
  <c r="E1663" i="1"/>
  <c r="B1663" i="1" s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B1650" i="1" s="1"/>
  <c r="E1649" i="1"/>
  <c r="E1648" i="1"/>
  <c r="B1648" i="1" s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B1634" i="1" s="1"/>
  <c r="E1633" i="1"/>
  <c r="E1632" i="1"/>
  <c r="B1632" i="1" s="1"/>
  <c r="E1631" i="1"/>
  <c r="B1631" i="1" s="1"/>
  <c r="E1630" i="1"/>
  <c r="E1629" i="1"/>
  <c r="E1628" i="1"/>
  <c r="E1627" i="1"/>
  <c r="E1626" i="1"/>
  <c r="E1625" i="1"/>
  <c r="E1624" i="1"/>
  <c r="E1623" i="1"/>
  <c r="E1622" i="1"/>
  <c r="E1621" i="1"/>
  <c r="E1620" i="1"/>
  <c r="B1620" i="1" s="1"/>
  <c r="E1619" i="1"/>
  <c r="E1618" i="1"/>
  <c r="E1617" i="1"/>
  <c r="E1616" i="1"/>
  <c r="B1616" i="1" s="1"/>
  <c r="E1615" i="1"/>
  <c r="B1615" i="1" s="1"/>
  <c r="E1614" i="1"/>
  <c r="E1613" i="1"/>
  <c r="E1612" i="1"/>
  <c r="E1611" i="1"/>
  <c r="E1610" i="1"/>
  <c r="E1609" i="1"/>
  <c r="E1608" i="1"/>
  <c r="E1607" i="1"/>
  <c r="E1606" i="1"/>
  <c r="E1605" i="1"/>
  <c r="E1604" i="1"/>
  <c r="B1604" i="1" s="1"/>
  <c r="E1603" i="1"/>
  <c r="E1602" i="1"/>
  <c r="E1601" i="1"/>
  <c r="E1600" i="1"/>
  <c r="E1599" i="1"/>
  <c r="B1599" i="1" s="1"/>
  <c r="E1598" i="1"/>
  <c r="E1597" i="1"/>
  <c r="E1596" i="1"/>
  <c r="E1595" i="1"/>
  <c r="E1594" i="1"/>
  <c r="E1593" i="1"/>
  <c r="E1592" i="1"/>
  <c r="E1591" i="1"/>
  <c r="E1590" i="1"/>
  <c r="E1589" i="1"/>
  <c r="E1588" i="1"/>
  <c r="B1588" i="1" s="1"/>
  <c r="E1587" i="1"/>
  <c r="E1586" i="1"/>
  <c r="B1586" i="1" s="1"/>
  <c r="E1585" i="1"/>
  <c r="E1584" i="1"/>
  <c r="B1584" i="1" s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B1572" i="1" s="1"/>
  <c r="E1571" i="1"/>
  <c r="E1570" i="1"/>
  <c r="B1570" i="1" s="1"/>
  <c r="E1569" i="1"/>
  <c r="E1568" i="1"/>
  <c r="B1568" i="1" s="1"/>
  <c r="E1567" i="1"/>
  <c r="B1567" i="1" s="1"/>
  <c r="E1566" i="1"/>
  <c r="E1565" i="1"/>
  <c r="E1564" i="1"/>
  <c r="E1563" i="1"/>
  <c r="E1562" i="1"/>
  <c r="E1561" i="1"/>
  <c r="E1560" i="1"/>
  <c r="E1559" i="1"/>
  <c r="E1558" i="1"/>
  <c r="E1557" i="1"/>
  <c r="E1556" i="1"/>
  <c r="B1556" i="1" s="1"/>
  <c r="E1555" i="1"/>
  <c r="E1554" i="1"/>
  <c r="B1554" i="1" s="1"/>
  <c r="E1553" i="1"/>
  <c r="E1552" i="1"/>
  <c r="B1552" i="1" s="1"/>
  <c r="E1551" i="1"/>
  <c r="B1551" i="1" s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B1538" i="1" s="1"/>
  <c r="E1537" i="1"/>
  <c r="E1536" i="1"/>
  <c r="B1536" i="1" s="1"/>
  <c r="E1535" i="1"/>
  <c r="B1535" i="1" s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B1522" i="1" s="1"/>
  <c r="E1521" i="1"/>
  <c r="E1520" i="1"/>
  <c r="B1520" i="1" s="1"/>
  <c r="E1519" i="1"/>
  <c r="B1519" i="1" s="1"/>
  <c r="E1518" i="1"/>
  <c r="E1517" i="1"/>
  <c r="E1516" i="1"/>
  <c r="E1515" i="1"/>
  <c r="E1514" i="1"/>
  <c r="E1513" i="1"/>
  <c r="E1512" i="1"/>
  <c r="E1511" i="1"/>
  <c r="E1510" i="1"/>
  <c r="E1509" i="1"/>
  <c r="E1508" i="1"/>
  <c r="B1508" i="1" s="1"/>
  <c r="E1507" i="1"/>
  <c r="E1506" i="1"/>
  <c r="B1506" i="1" s="1"/>
  <c r="E1505" i="1"/>
  <c r="E1504" i="1"/>
  <c r="B1504" i="1" s="1"/>
  <c r="E1503" i="1"/>
  <c r="B1503" i="1" s="1"/>
  <c r="E1502" i="1"/>
  <c r="E1501" i="1"/>
  <c r="E1500" i="1"/>
  <c r="E1499" i="1"/>
  <c r="E1498" i="1"/>
  <c r="E1497" i="1"/>
  <c r="E1496" i="1"/>
  <c r="E1495" i="1"/>
  <c r="E1494" i="1"/>
  <c r="E1493" i="1"/>
  <c r="E1492" i="1"/>
  <c r="B1492" i="1" s="1"/>
  <c r="E1491" i="1"/>
  <c r="E1490" i="1"/>
  <c r="B1490" i="1" s="1"/>
  <c r="E1489" i="1"/>
  <c r="E1488" i="1"/>
  <c r="B1488" i="1" s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B1476" i="1" s="1"/>
  <c r="E1475" i="1"/>
  <c r="E1474" i="1"/>
  <c r="B1474" i="1" s="1"/>
  <c r="E1473" i="1"/>
  <c r="E1472" i="1"/>
  <c r="E1471" i="1"/>
  <c r="B1471" i="1" s="1"/>
  <c r="E1470" i="1"/>
  <c r="E1469" i="1"/>
  <c r="E1468" i="1"/>
  <c r="E1467" i="1"/>
  <c r="E1466" i="1"/>
  <c r="E1465" i="1"/>
  <c r="E1464" i="1"/>
  <c r="E1463" i="1"/>
  <c r="E1462" i="1"/>
  <c r="E1461" i="1"/>
  <c r="E1460" i="1"/>
  <c r="B1460" i="1" s="1"/>
  <c r="E1459" i="1"/>
  <c r="E1458" i="1"/>
  <c r="E1457" i="1"/>
  <c r="E1456" i="1"/>
  <c r="B1456" i="1" s="1"/>
  <c r="E1455" i="1"/>
  <c r="B1455" i="1" s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B1428" i="1" s="1"/>
  <c r="E1427" i="1"/>
  <c r="E1426" i="1"/>
  <c r="E1425" i="1"/>
  <c r="E1424" i="1"/>
  <c r="B1424" i="1" s="1"/>
  <c r="E1423" i="1"/>
  <c r="B1423" i="1" s="1"/>
  <c r="E1422" i="1"/>
  <c r="E1421" i="1"/>
  <c r="E1420" i="1"/>
  <c r="E1419" i="1"/>
  <c r="E1418" i="1"/>
  <c r="E1417" i="1"/>
  <c r="E1416" i="1"/>
  <c r="E1415" i="1"/>
  <c r="E1414" i="1"/>
  <c r="E1413" i="1"/>
  <c r="E1412" i="1"/>
  <c r="B1412" i="1" s="1"/>
  <c r="E1411" i="1"/>
  <c r="E1410" i="1"/>
  <c r="E1409" i="1"/>
  <c r="E1408" i="1"/>
  <c r="B1408" i="1" s="1"/>
  <c r="E1407" i="1"/>
  <c r="B1407" i="1" s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B1392" i="1" s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B1380" i="1" s="1"/>
  <c r="E1379" i="1"/>
  <c r="E1378" i="1"/>
  <c r="B1378" i="1" s="1"/>
  <c r="E1377" i="1"/>
  <c r="E1376" i="1"/>
  <c r="B1376" i="1" s="1"/>
  <c r="E1375" i="1"/>
  <c r="B1375" i="1" s="1"/>
  <c r="E1374" i="1"/>
  <c r="E1373" i="1"/>
  <c r="E1372" i="1"/>
  <c r="E1371" i="1"/>
  <c r="E1370" i="1"/>
  <c r="E1369" i="1"/>
  <c r="E1368" i="1"/>
  <c r="E1367" i="1"/>
  <c r="E1366" i="1"/>
  <c r="E1365" i="1"/>
  <c r="E1364" i="1"/>
  <c r="B1364" i="1" s="1"/>
  <c r="E1363" i="1"/>
  <c r="E1362" i="1"/>
  <c r="B1362" i="1" s="1"/>
  <c r="E1361" i="1"/>
  <c r="E1360" i="1"/>
  <c r="B1360" i="1" s="1"/>
  <c r="E1359" i="1"/>
  <c r="B1359" i="1" s="1"/>
  <c r="E1358" i="1"/>
  <c r="E1357" i="1"/>
  <c r="E1356" i="1"/>
  <c r="E1355" i="1"/>
  <c r="E1354" i="1"/>
  <c r="E1353" i="1"/>
  <c r="E1352" i="1"/>
  <c r="E1351" i="1"/>
  <c r="E1350" i="1"/>
  <c r="E1349" i="1"/>
  <c r="E1348" i="1"/>
  <c r="B1348" i="1" s="1"/>
  <c r="E1347" i="1"/>
  <c r="E1346" i="1"/>
  <c r="B1346" i="1" s="1"/>
  <c r="E1345" i="1"/>
  <c r="E1344" i="1"/>
  <c r="B1344" i="1" s="1"/>
  <c r="E1343" i="1"/>
  <c r="B1343" i="1" s="1"/>
  <c r="E1342" i="1"/>
  <c r="E1341" i="1"/>
  <c r="E1340" i="1"/>
  <c r="E1339" i="1"/>
  <c r="E1338" i="1"/>
  <c r="E1337" i="1"/>
  <c r="E1336" i="1"/>
  <c r="E1335" i="1"/>
  <c r="E1334" i="1"/>
  <c r="E1333" i="1"/>
  <c r="E1332" i="1"/>
  <c r="B1332" i="1" s="1"/>
  <c r="E1331" i="1"/>
  <c r="E1330" i="1"/>
  <c r="B1330" i="1" s="1"/>
  <c r="E1329" i="1"/>
  <c r="E1328" i="1"/>
  <c r="B1328" i="1" s="1"/>
  <c r="E1327" i="1"/>
  <c r="B1327" i="1" s="1"/>
  <c r="E1326" i="1"/>
  <c r="E1325" i="1"/>
  <c r="E1324" i="1"/>
  <c r="E1323" i="1"/>
  <c r="E1322" i="1"/>
  <c r="E1321" i="1"/>
  <c r="E1320" i="1"/>
  <c r="E1319" i="1"/>
  <c r="E1318" i="1"/>
  <c r="E1317" i="1"/>
  <c r="E1316" i="1"/>
  <c r="B1316" i="1" s="1"/>
  <c r="E1315" i="1"/>
  <c r="E1314" i="1"/>
  <c r="B1314" i="1" s="1"/>
  <c r="E1313" i="1"/>
  <c r="E1312" i="1"/>
  <c r="E1311" i="1"/>
  <c r="B1311" i="1" s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B1298" i="1" s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B1282" i="1" s="1"/>
  <c r="E1281" i="1"/>
  <c r="E1280" i="1"/>
  <c r="B1280" i="1" s="1"/>
  <c r="E1279" i="1"/>
  <c r="B1279" i="1" s="1"/>
  <c r="E1278" i="1"/>
  <c r="E1277" i="1"/>
  <c r="E1276" i="1"/>
  <c r="E1275" i="1"/>
  <c r="E1274" i="1"/>
  <c r="E1273" i="1"/>
  <c r="E1272" i="1"/>
  <c r="E1271" i="1"/>
  <c r="E1270" i="1"/>
  <c r="E1269" i="1"/>
  <c r="E1268" i="1"/>
  <c r="B1268" i="1" s="1"/>
  <c r="E1267" i="1"/>
  <c r="E1266" i="1"/>
  <c r="B1266" i="1" s="1"/>
  <c r="E1265" i="1"/>
  <c r="E1264" i="1"/>
  <c r="B1264" i="1" s="1"/>
  <c r="E1263" i="1"/>
  <c r="B1263" i="1" s="1"/>
  <c r="E1262" i="1"/>
  <c r="E1261" i="1"/>
  <c r="E1260" i="1"/>
  <c r="E1259" i="1"/>
  <c r="E1258" i="1"/>
  <c r="E1257" i="1"/>
  <c r="E1256" i="1"/>
  <c r="E1255" i="1"/>
  <c r="E1254" i="1"/>
  <c r="E1253" i="1"/>
  <c r="E1252" i="1"/>
  <c r="B1252" i="1" s="1"/>
  <c r="E1251" i="1"/>
  <c r="E1250" i="1"/>
  <c r="B1250" i="1" s="1"/>
  <c r="E1249" i="1"/>
  <c r="E1248" i="1"/>
  <c r="B1248" i="1" s="1"/>
  <c r="E1247" i="1"/>
  <c r="B1247" i="1" s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B1234" i="1" s="1"/>
  <c r="E1233" i="1"/>
  <c r="E1232" i="1"/>
  <c r="B1232" i="1" s="1"/>
  <c r="E1231" i="1"/>
  <c r="B1231" i="1" s="1"/>
  <c r="E1230" i="1"/>
  <c r="E1229" i="1"/>
  <c r="E1228" i="1"/>
  <c r="E1227" i="1"/>
  <c r="E1226" i="1"/>
  <c r="E1225" i="1"/>
  <c r="E1224" i="1"/>
  <c r="E1223" i="1"/>
  <c r="E1222" i="1"/>
  <c r="E1221" i="1"/>
  <c r="E1220" i="1"/>
  <c r="B1220" i="1" s="1"/>
  <c r="E1219" i="1"/>
  <c r="E1218" i="1"/>
  <c r="B1218" i="1" s="1"/>
  <c r="E1217" i="1"/>
  <c r="E1216" i="1"/>
  <c r="B1216" i="1" s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B1204" i="1" s="1"/>
  <c r="E1203" i="1"/>
  <c r="E1202" i="1"/>
  <c r="B1202" i="1" s="1"/>
  <c r="E1201" i="1"/>
  <c r="E1200" i="1"/>
  <c r="B1200" i="1" s="1"/>
  <c r="E1199" i="1"/>
  <c r="B1199" i="1" s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B1186" i="1" s="1"/>
  <c r="E1185" i="1"/>
  <c r="E1184" i="1"/>
  <c r="E1183" i="1"/>
  <c r="B1183" i="1" s="1"/>
  <c r="E1182" i="1"/>
  <c r="E1181" i="1"/>
  <c r="E1180" i="1"/>
  <c r="E1179" i="1"/>
  <c r="E1178" i="1"/>
  <c r="E1177" i="1"/>
  <c r="E1176" i="1"/>
  <c r="E1175" i="1"/>
  <c r="E1174" i="1"/>
  <c r="E1173" i="1"/>
  <c r="E1172" i="1"/>
  <c r="B1172" i="1" s="1"/>
  <c r="E1171" i="1"/>
  <c r="E1170" i="1"/>
  <c r="E1169" i="1"/>
  <c r="E1168" i="1"/>
  <c r="E1167" i="1"/>
  <c r="B1167" i="1" s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B1152" i="1" s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B1140" i="1" s="1"/>
  <c r="E1139" i="1"/>
  <c r="E1138" i="1"/>
  <c r="E1137" i="1"/>
  <c r="E1136" i="1"/>
  <c r="E1135" i="1"/>
  <c r="B1135" i="1" s="1"/>
  <c r="E1134" i="1"/>
  <c r="E1133" i="1"/>
  <c r="E1132" i="1"/>
  <c r="E1131" i="1"/>
  <c r="E1130" i="1"/>
  <c r="E1129" i="1"/>
  <c r="E1128" i="1"/>
  <c r="E1127" i="1"/>
  <c r="E1126" i="1"/>
  <c r="E1125" i="1"/>
  <c r="E1124" i="1"/>
  <c r="B1124" i="1" s="1"/>
  <c r="E1123" i="1"/>
  <c r="E1122" i="1"/>
  <c r="E1121" i="1"/>
  <c r="E1120" i="1"/>
  <c r="B1120" i="1" s="1"/>
  <c r="E1119" i="1"/>
  <c r="B1119" i="1" s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B1106" i="1" s="1"/>
  <c r="E1105" i="1"/>
  <c r="E1104" i="1"/>
  <c r="B1104" i="1" s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B1092" i="1" s="1"/>
  <c r="E1091" i="1"/>
  <c r="E1090" i="1"/>
  <c r="B1090" i="1" s="1"/>
  <c r="E1089" i="1"/>
  <c r="E1088" i="1"/>
  <c r="B1088" i="1" s="1"/>
  <c r="E1087" i="1"/>
  <c r="B1087" i="1" s="1"/>
  <c r="E1086" i="1"/>
  <c r="E1085" i="1"/>
  <c r="E1084" i="1"/>
  <c r="E1083" i="1"/>
  <c r="E1082" i="1"/>
  <c r="E1081" i="1"/>
  <c r="E1080" i="1"/>
  <c r="E1079" i="1"/>
  <c r="E1078" i="1"/>
  <c r="E1077" i="1"/>
  <c r="E1076" i="1"/>
  <c r="B1076" i="1" s="1"/>
  <c r="E1075" i="1"/>
  <c r="E1074" i="1"/>
  <c r="B1074" i="1" s="1"/>
  <c r="E1073" i="1"/>
  <c r="E1072" i="1"/>
  <c r="B1072" i="1" s="1"/>
  <c r="E1071" i="1"/>
  <c r="B1071" i="1" s="1"/>
  <c r="E1070" i="1"/>
  <c r="E1069" i="1"/>
  <c r="E1068" i="1"/>
  <c r="E1067" i="1"/>
  <c r="E1066" i="1"/>
  <c r="E1065" i="1"/>
  <c r="E1064" i="1"/>
  <c r="E1063" i="1"/>
  <c r="E1062" i="1"/>
  <c r="E1061" i="1"/>
  <c r="E1060" i="1"/>
  <c r="B1060" i="1" s="1"/>
  <c r="E1059" i="1"/>
  <c r="E1058" i="1"/>
  <c r="B1058" i="1" s="1"/>
  <c r="E1057" i="1"/>
  <c r="E1056" i="1"/>
  <c r="B1056" i="1" s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B1044" i="1" s="1"/>
  <c r="E1043" i="1"/>
  <c r="E1042" i="1"/>
  <c r="B1042" i="1" s="1"/>
  <c r="E1041" i="1"/>
  <c r="E1040" i="1"/>
  <c r="B1040" i="1" s="1"/>
  <c r="E1039" i="1"/>
  <c r="B1039" i="1" s="1"/>
  <c r="E1038" i="1"/>
  <c r="E1037" i="1"/>
  <c r="E1036" i="1"/>
  <c r="E1035" i="1"/>
  <c r="E1034" i="1"/>
  <c r="E1033" i="1"/>
  <c r="E1032" i="1"/>
  <c r="E1031" i="1"/>
  <c r="E1030" i="1"/>
  <c r="E1029" i="1"/>
  <c r="E1028" i="1"/>
  <c r="B1028" i="1" s="1"/>
  <c r="E1027" i="1"/>
  <c r="E1026" i="1"/>
  <c r="B1026" i="1" s="1"/>
  <c r="E1025" i="1"/>
  <c r="E1024" i="1"/>
  <c r="B1024" i="1" s="1"/>
  <c r="E1023" i="1"/>
  <c r="B1023" i="1" s="1"/>
  <c r="E1022" i="1"/>
  <c r="E1021" i="1"/>
  <c r="E1020" i="1"/>
  <c r="E1019" i="1"/>
  <c r="E1018" i="1"/>
  <c r="E1017" i="1"/>
  <c r="E1016" i="1"/>
  <c r="E1015" i="1"/>
  <c r="E1014" i="1"/>
  <c r="E1013" i="1"/>
  <c r="E1012" i="1"/>
  <c r="B1012" i="1" s="1"/>
  <c r="E1011" i="1"/>
  <c r="E1010" i="1"/>
  <c r="B1010" i="1" s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B996" i="1" s="1"/>
  <c r="E995" i="1"/>
  <c r="E994" i="1"/>
  <c r="B994" i="1" s="1"/>
  <c r="E993" i="1"/>
  <c r="E992" i="1"/>
  <c r="E991" i="1"/>
  <c r="B991" i="1" s="1"/>
  <c r="E990" i="1"/>
  <c r="E989" i="1"/>
  <c r="E988" i="1"/>
  <c r="E987" i="1"/>
  <c r="E986" i="1"/>
  <c r="E985" i="1"/>
  <c r="E984" i="1"/>
  <c r="E983" i="1"/>
  <c r="E982" i="1"/>
  <c r="E981" i="1"/>
  <c r="E980" i="1"/>
  <c r="B980" i="1" s="1"/>
  <c r="E979" i="1"/>
  <c r="E978" i="1"/>
  <c r="B978" i="1" s="1"/>
  <c r="E977" i="1"/>
  <c r="E976" i="1"/>
  <c r="B976" i="1" s="1"/>
  <c r="E975" i="1"/>
  <c r="B975" i="1" s="1"/>
  <c r="E974" i="1"/>
  <c r="E973" i="1"/>
  <c r="E972" i="1"/>
  <c r="E971" i="1"/>
  <c r="E970" i="1"/>
  <c r="E969" i="1"/>
  <c r="E968" i="1"/>
  <c r="E967" i="1"/>
  <c r="E966" i="1"/>
  <c r="E965" i="1"/>
  <c r="E964" i="1"/>
  <c r="B964" i="1" s="1"/>
  <c r="E963" i="1"/>
  <c r="E962" i="1"/>
  <c r="B962" i="1" s="1"/>
  <c r="E961" i="1"/>
  <c r="E960" i="1"/>
  <c r="B960" i="1" s="1"/>
  <c r="E959" i="1"/>
  <c r="E958" i="1"/>
  <c r="E957" i="1"/>
  <c r="E956" i="1"/>
  <c r="E955" i="1"/>
  <c r="E954" i="1"/>
  <c r="E953" i="1"/>
  <c r="E952" i="1"/>
  <c r="E951" i="1"/>
  <c r="E950" i="1"/>
  <c r="E949" i="1"/>
  <c r="E948" i="1"/>
  <c r="B948" i="1" s="1"/>
  <c r="E947" i="1"/>
  <c r="E946" i="1"/>
  <c r="B946" i="1" s="1"/>
  <c r="E945" i="1"/>
  <c r="E944" i="1"/>
  <c r="B944" i="1" s="1"/>
  <c r="E943" i="1"/>
  <c r="B943" i="1" s="1"/>
  <c r="E942" i="1"/>
  <c r="E941" i="1"/>
  <c r="E940" i="1"/>
  <c r="E939" i="1"/>
  <c r="E938" i="1"/>
  <c r="E937" i="1"/>
  <c r="E936" i="1"/>
  <c r="E935" i="1"/>
  <c r="E934" i="1"/>
  <c r="E933" i="1"/>
  <c r="E932" i="1"/>
  <c r="B932" i="1" s="1"/>
  <c r="E931" i="1"/>
  <c r="E930" i="1"/>
  <c r="E929" i="1"/>
  <c r="E928" i="1"/>
  <c r="B928" i="1" s="1"/>
  <c r="E927" i="1"/>
  <c r="B927" i="1" s="1"/>
  <c r="E926" i="1"/>
  <c r="E925" i="1"/>
  <c r="E924" i="1"/>
  <c r="E923" i="1"/>
  <c r="E922" i="1"/>
  <c r="E921" i="1"/>
  <c r="E920" i="1"/>
  <c r="E919" i="1"/>
  <c r="E918" i="1"/>
  <c r="E917" i="1"/>
  <c r="E916" i="1"/>
  <c r="B916" i="1" s="1"/>
  <c r="E915" i="1"/>
  <c r="E914" i="1"/>
  <c r="B914" i="1" s="1"/>
  <c r="E913" i="1"/>
  <c r="E912" i="1"/>
  <c r="B912" i="1" s="1"/>
  <c r="E911" i="1"/>
  <c r="B911" i="1" s="1"/>
  <c r="E910" i="1"/>
  <c r="E909" i="1"/>
  <c r="E908" i="1"/>
  <c r="E907" i="1"/>
  <c r="E906" i="1"/>
  <c r="E905" i="1"/>
  <c r="E904" i="1"/>
  <c r="E903" i="1"/>
  <c r="E902" i="1"/>
  <c r="E901" i="1"/>
  <c r="E900" i="1"/>
  <c r="B900" i="1" s="1"/>
  <c r="E899" i="1"/>
  <c r="E898" i="1"/>
  <c r="B898" i="1" s="1"/>
  <c r="E897" i="1"/>
  <c r="E896" i="1"/>
  <c r="E895" i="1"/>
  <c r="B895" i="1" s="1"/>
  <c r="E894" i="1"/>
  <c r="E893" i="1"/>
  <c r="E892" i="1"/>
  <c r="E891" i="1"/>
  <c r="E890" i="1"/>
  <c r="E889" i="1"/>
  <c r="E888" i="1"/>
  <c r="E887" i="1"/>
  <c r="E886" i="1"/>
  <c r="E885" i="1"/>
  <c r="E884" i="1"/>
  <c r="B884" i="1" s="1"/>
  <c r="E883" i="1"/>
  <c r="E882" i="1"/>
  <c r="B882" i="1" s="1"/>
  <c r="E881" i="1"/>
  <c r="E880" i="1"/>
  <c r="E879" i="1"/>
  <c r="B879" i="1" s="1"/>
  <c r="E878" i="1"/>
  <c r="E877" i="1"/>
  <c r="E876" i="1"/>
  <c r="E875" i="1"/>
  <c r="E874" i="1"/>
  <c r="E873" i="1"/>
  <c r="E872" i="1"/>
  <c r="E871" i="1"/>
  <c r="E870" i="1"/>
  <c r="E869" i="1"/>
  <c r="E868" i="1"/>
  <c r="B868" i="1" s="1"/>
  <c r="E867" i="1"/>
  <c r="E866" i="1"/>
  <c r="B866" i="1" s="1"/>
  <c r="E865" i="1"/>
  <c r="E864" i="1"/>
  <c r="B864" i="1" s="1"/>
  <c r="E863" i="1"/>
  <c r="B863" i="1" s="1"/>
  <c r="E862" i="1"/>
  <c r="E861" i="1"/>
  <c r="E860" i="1"/>
  <c r="E859" i="1"/>
  <c r="E858" i="1"/>
  <c r="E857" i="1"/>
  <c r="E856" i="1"/>
  <c r="E855" i="1"/>
  <c r="E854" i="1"/>
  <c r="E853" i="1"/>
  <c r="E852" i="1"/>
  <c r="B852" i="1" s="1"/>
  <c r="E851" i="1"/>
  <c r="E850" i="1"/>
  <c r="E849" i="1"/>
  <c r="E848" i="1"/>
  <c r="E847" i="1"/>
  <c r="B847" i="1" s="1"/>
  <c r="E846" i="1"/>
  <c r="E845" i="1"/>
  <c r="E844" i="1"/>
  <c r="E843" i="1"/>
  <c r="E842" i="1"/>
  <c r="E841" i="1"/>
  <c r="E840" i="1"/>
  <c r="E839" i="1"/>
  <c r="E838" i="1"/>
  <c r="E837" i="1"/>
  <c r="E836" i="1"/>
  <c r="B836" i="1" s="1"/>
  <c r="E835" i="1"/>
  <c r="E834" i="1"/>
  <c r="E833" i="1"/>
  <c r="E832" i="1"/>
  <c r="B832" i="1" s="1"/>
  <c r="E831" i="1"/>
  <c r="E830" i="1"/>
  <c r="E829" i="1"/>
  <c r="E828" i="1"/>
  <c r="E827" i="1"/>
  <c r="E826" i="1"/>
  <c r="E825" i="1"/>
  <c r="E824" i="1"/>
  <c r="E823" i="1"/>
  <c r="E822" i="1"/>
  <c r="E821" i="1"/>
  <c r="E820" i="1"/>
  <c r="B820" i="1" s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B804" i="1" s="1"/>
  <c r="E803" i="1"/>
  <c r="E802" i="1"/>
  <c r="B802" i="1" s="1"/>
  <c r="E801" i="1"/>
  <c r="E800" i="1"/>
  <c r="B800" i="1" s="1"/>
  <c r="E799" i="1"/>
  <c r="B799" i="1" s="1"/>
  <c r="E798" i="1"/>
  <c r="E797" i="1"/>
  <c r="E796" i="1"/>
  <c r="E795" i="1"/>
  <c r="E794" i="1"/>
  <c r="E793" i="1"/>
  <c r="E792" i="1"/>
  <c r="E791" i="1"/>
  <c r="E790" i="1"/>
  <c r="E789" i="1"/>
  <c r="E788" i="1"/>
  <c r="B788" i="1" s="1"/>
  <c r="E787" i="1"/>
  <c r="E786" i="1"/>
  <c r="B786" i="1" s="1"/>
  <c r="E785" i="1"/>
  <c r="E784" i="1"/>
  <c r="E783" i="1"/>
  <c r="B783" i="1" s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B768" i="1" s="1"/>
  <c r="E767" i="1"/>
  <c r="E766" i="1"/>
  <c r="E765" i="1"/>
  <c r="E764" i="1"/>
  <c r="E763" i="1"/>
  <c r="E762" i="1"/>
  <c r="E761" i="1"/>
  <c r="E760" i="1"/>
  <c r="E759" i="1"/>
  <c r="E758" i="1"/>
  <c r="E757" i="1"/>
  <c r="E756" i="1"/>
  <c r="B756" i="1" s="1"/>
  <c r="E755" i="1"/>
  <c r="E754" i="1"/>
  <c r="E753" i="1"/>
  <c r="E752" i="1"/>
  <c r="B752" i="1" s="1"/>
  <c r="E751" i="1"/>
  <c r="B751" i="1" s="1"/>
  <c r="E750" i="1"/>
  <c r="E749" i="1"/>
  <c r="E748" i="1"/>
  <c r="E747" i="1"/>
  <c r="E746" i="1"/>
  <c r="E745" i="1"/>
  <c r="E744" i="1"/>
  <c r="E743" i="1"/>
  <c r="E742" i="1"/>
  <c r="E741" i="1"/>
  <c r="E740" i="1"/>
  <c r="B740" i="1" s="1"/>
  <c r="E739" i="1"/>
  <c r="E738" i="1"/>
  <c r="B738" i="1" s="1"/>
  <c r="E737" i="1"/>
  <c r="E736" i="1"/>
  <c r="B736" i="1" s="1"/>
  <c r="E735" i="1"/>
  <c r="B735" i="1" s="1"/>
  <c r="E734" i="1"/>
  <c r="E733" i="1"/>
  <c r="E732" i="1"/>
  <c r="E731" i="1"/>
  <c r="E730" i="1"/>
  <c r="E729" i="1"/>
  <c r="E728" i="1"/>
  <c r="E727" i="1"/>
  <c r="E726" i="1"/>
  <c r="E725" i="1"/>
  <c r="E724" i="1"/>
  <c r="B724" i="1" s="1"/>
  <c r="E723" i="1"/>
  <c r="E722" i="1"/>
  <c r="E721" i="1"/>
  <c r="E720" i="1"/>
  <c r="B720" i="1" s="1"/>
  <c r="E719" i="1"/>
  <c r="B719" i="1" s="1"/>
  <c r="E718" i="1"/>
  <c r="E717" i="1"/>
  <c r="E716" i="1"/>
  <c r="E715" i="1"/>
  <c r="E714" i="1"/>
  <c r="E713" i="1"/>
  <c r="E712" i="1"/>
  <c r="E711" i="1"/>
  <c r="E710" i="1"/>
  <c r="E709" i="1"/>
  <c r="E708" i="1"/>
  <c r="B708" i="1" s="1"/>
  <c r="E707" i="1"/>
  <c r="E706" i="1"/>
  <c r="B706" i="1" s="1"/>
  <c r="E705" i="1"/>
  <c r="E704" i="1"/>
  <c r="B704" i="1" s="1"/>
  <c r="E703" i="1"/>
  <c r="B703" i="1" s="1"/>
  <c r="E702" i="1"/>
  <c r="E701" i="1"/>
  <c r="E700" i="1"/>
  <c r="E699" i="1"/>
  <c r="E698" i="1"/>
  <c r="E697" i="1"/>
  <c r="E696" i="1"/>
  <c r="E695" i="1"/>
  <c r="E694" i="1"/>
  <c r="E693" i="1"/>
  <c r="E692" i="1"/>
  <c r="B692" i="1" s="1"/>
  <c r="E691" i="1"/>
  <c r="E690" i="1"/>
  <c r="B690" i="1" s="1"/>
  <c r="E689" i="1"/>
  <c r="E688" i="1"/>
  <c r="E687" i="1"/>
  <c r="B687" i="1" s="1"/>
  <c r="E686" i="1"/>
  <c r="E685" i="1"/>
  <c r="E684" i="1"/>
  <c r="E683" i="1"/>
  <c r="E682" i="1"/>
  <c r="E681" i="1"/>
  <c r="E680" i="1"/>
  <c r="E679" i="1"/>
  <c r="E678" i="1"/>
  <c r="E677" i="1"/>
  <c r="E676" i="1"/>
  <c r="B676" i="1" s="1"/>
  <c r="E675" i="1"/>
  <c r="E674" i="1"/>
  <c r="E673" i="1"/>
  <c r="E672" i="1"/>
  <c r="B672" i="1" s="1"/>
  <c r="E671" i="1"/>
  <c r="E670" i="1"/>
  <c r="E669" i="1"/>
  <c r="E668" i="1"/>
  <c r="E667" i="1"/>
  <c r="E666" i="1"/>
  <c r="E665" i="1"/>
  <c r="E664" i="1"/>
  <c r="E663" i="1"/>
  <c r="E662" i="1"/>
  <c r="E661" i="1"/>
  <c r="E660" i="1"/>
  <c r="B660" i="1" s="1"/>
  <c r="E659" i="1"/>
  <c r="E658" i="1"/>
  <c r="E657" i="1"/>
  <c r="E656" i="1"/>
  <c r="B656" i="1" s="1"/>
  <c r="E655" i="1"/>
  <c r="B655" i="1" s="1"/>
  <c r="E654" i="1"/>
  <c r="E653" i="1"/>
  <c r="E652" i="1"/>
  <c r="E651" i="1"/>
  <c r="E650" i="1"/>
  <c r="E649" i="1"/>
  <c r="E648" i="1"/>
  <c r="E647" i="1"/>
  <c r="E646" i="1"/>
  <c r="E645" i="1"/>
  <c r="E644" i="1"/>
  <c r="B644" i="1" s="1"/>
  <c r="E643" i="1"/>
  <c r="E642" i="1"/>
  <c r="B642" i="1" s="1"/>
  <c r="E641" i="1"/>
  <c r="B641" i="1" s="1"/>
  <c r="E640" i="1"/>
  <c r="B640" i="1" s="1"/>
  <c r="E639" i="1"/>
  <c r="B639" i="1" s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B626" i="1" s="1"/>
  <c r="E625" i="1"/>
  <c r="E624" i="1"/>
  <c r="B624" i="1" s="1"/>
  <c r="E623" i="1"/>
  <c r="B623" i="1" s="1"/>
  <c r="E622" i="1"/>
  <c r="E621" i="1"/>
  <c r="E620" i="1"/>
  <c r="E619" i="1"/>
  <c r="E618" i="1"/>
  <c r="E617" i="1"/>
  <c r="E616" i="1"/>
  <c r="E615" i="1"/>
  <c r="E614" i="1"/>
  <c r="E613" i="1"/>
  <c r="E612" i="1"/>
  <c r="B612" i="1" s="1"/>
  <c r="E611" i="1"/>
  <c r="E610" i="1"/>
  <c r="B610" i="1" s="1"/>
  <c r="E609" i="1"/>
  <c r="E608" i="1"/>
  <c r="B608" i="1" s="1"/>
  <c r="E607" i="1"/>
  <c r="B607" i="1" s="1"/>
  <c r="E606" i="1"/>
  <c r="E605" i="1"/>
  <c r="E604" i="1"/>
  <c r="E603" i="1"/>
  <c r="E602" i="1"/>
  <c r="E601" i="1"/>
  <c r="E600" i="1"/>
  <c r="E599" i="1"/>
  <c r="E598" i="1"/>
  <c r="E597" i="1"/>
  <c r="E596" i="1"/>
  <c r="B596" i="1" s="1"/>
  <c r="E595" i="1"/>
  <c r="E594" i="1"/>
  <c r="B594" i="1" s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B578" i="1" s="1"/>
  <c r="E577" i="1"/>
  <c r="E576" i="1"/>
  <c r="B576" i="1" s="1"/>
  <c r="E575" i="1"/>
  <c r="E574" i="1"/>
  <c r="E573" i="1"/>
  <c r="E572" i="1"/>
  <c r="E571" i="1"/>
  <c r="E570" i="1"/>
  <c r="E569" i="1"/>
  <c r="E568" i="1"/>
  <c r="E567" i="1"/>
  <c r="E566" i="1"/>
  <c r="E565" i="1"/>
  <c r="E564" i="1"/>
  <c r="B564" i="1" s="1"/>
  <c r="E563" i="1"/>
  <c r="E562" i="1"/>
  <c r="E561" i="1"/>
  <c r="E560" i="1"/>
  <c r="B560" i="1" s="1"/>
  <c r="E559" i="1"/>
  <c r="B559" i="1" s="1"/>
  <c r="E558" i="1"/>
  <c r="E557" i="1"/>
  <c r="E556" i="1"/>
  <c r="E555" i="1"/>
  <c r="E554" i="1"/>
  <c r="E553" i="1"/>
  <c r="E552" i="1"/>
  <c r="E551" i="1"/>
  <c r="E550" i="1"/>
  <c r="E549" i="1"/>
  <c r="E548" i="1"/>
  <c r="B548" i="1" s="1"/>
  <c r="E547" i="1"/>
  <c r="E546" i="1"/>
  <c r="E545" i="1"/>
  <c r="B545" i="1" s="1"/>
  <c r="E544" i="1"/>
  <c r="E543" i="1"/>
  <c r="B543" i="1" s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B530" i="1" s="1"/>
  <c r="E529" i="1"/>
  <c r="B529" i="1" s="1"/>
  <c r="E528" i="1"/>
  <c r="E527" i="1"/>
  <c r="B527" i="1" s="1"/>
  <c r="E526" i="1"/>
  <c r="E525" i="1"/>
  <c r="E524" i="1"/>
  <c r="E523" i="1"/>
  <c r="E522" i="1"/>
  <c r="E521" i="1"/>
  <c r="E520" i="1"/>
  <c r="E519" i="1"/>
  <c r="E518" i="1"/>
  <c r="E517" i="1"/>
  <c r="E516" i="1"/>
  <c r="B516" i="1" s="1"/>
  <c r="E515" i="1"/>
  <c r="E514" i="1"/>
  <c r="B514" i="1" s="1"/>
  <c r="E513" i="1"/>
  <c r="B513" i="1" s="1"/>
  <c r="E512" i="1"/>
  <c r="B512" i="1" s="1"/>
  <c r="E511" i="1"/>
  <c r="B511" i="1" s="1"/>
  <c r="E510" i="1"/>
  <c r="E509" i="1"/>
  <c r="E508" i="1"/>
  <c r="E507" i="1"/>
  <c r="E506" i="1"/>
  <c r="E505" i="1"/>
  <c r="E504" i="1"/>
  <c r="E503" i="1"/>
  <c r="E502" i="1"/>
  <c r="E501" i="1"/>
  <c r="E500" i="1"/>
  <c r="B500" i="1" s="1"/>
  <c r="E499" i="1"/>
  <c r="E498" i="1"/>
  <c r="B498" i="1" s="1"/>
  <c r="E497" i="1"/>
  <c r="E496" i="1"/>
  <c r="B496" i="1" s="1"/>
  <c r="E495" i="1"/>
  <c r="B495" i="1" s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B482" i="1" s="1"/>
  <c r="E481" i="1"/>
  <c r="B481" i="1" s="1"/>
  <c r="E480" i="1"/>
  <c r="B480" i="1" s="1"/>
  <c r="E479" i="1"/>
  <c r="B479" i="1" s="1"/>
  <c r="E478" i="1"/>
  <c r="E477" i="1"/>
  <c r="E476" i="1"/>
  <c r="E475" i="1"/>
  <c r="E474" i="1"/>
  <c r="E473" i="1"/>
  <c r="E472" i="1"/>
  <c r="E471" i="1"/>
  <c r="E470" i="1"/>
  <c r="E469" i="1"/>
  <c r="E468" i="1"/>
  <c r="B468" i="1" s="1"/>
  <c r="E467" i="1"/>
  <c r="E466" i="1"/>
  <c r="B466" i="1" s="1"/>
  <c r="E465" i="1"/>
  <c r="B465" i="1" s="1"/>
  <c r="E464" i="1"/>
  <c r="B464" i="1" s="1"/>
  <c r="E463" i="1"/>
  <c r="B463" i="1" s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B450" i="1" s="1"/>
  <c r="E449" i="1"/>
  <c r="B449" i="1" s="1"/>
  <c r="E448" i="1"/>
  <c r="B448" i="1" s="1"/>
  <c r="E447" i="1"/>
  <c r="E446" i="1"/>
  <c r="E445" i="1"/>
  <c r="E444" i="1"/>
  <c r="E443" i="1"/>
  <c r="E442" i="1"/>
  <c r="E441" i="1"/>
  <c r="E440" i="1"/>
  <c r="E439" i="1"/>
  <c r="E438" i="1"/>
  <c r="E437" i="1"/>
  <c r="E436" i="1"/>
  <c r="B436" i="1" s="1"/>
  <c r="E435" i="1"/>
  <c r="E434" i="1"/>
  <c r="B434" i="1" s="1"/>
  <c r="E433" i="1"/>
  <c r="B433" i="1" s="1"/>
  <c r="E432" i="1"/>
  <c r="E431" i="1"/>
  <c r="B431" i="1" s="1"/>
  <c r="E430" i="1"/>
  <c r="E429" i="1"/>
  <c r="E428" i="1"/>
  <c r="E427" i="1"/>
  <c r="E426" i="1"/>
  <c r="E425" i="1"/>
  <c r="E424" i="1"/>
  <c r="E423" i="1"/>
  <c r="E422" i="1"/>
  <c r="E421" i="1"/>
  <c r="E420" i="1"/>
  <c r="B420" i="1" s="1"/>
  <c r="E419" i="1"/>
  <c r="E418" i="1"/>
  <c r="B418" i="1" s="1"/>
  <c r="E417" i="1"/>
  <c r="B417" i="1" s="1"/>
  <c r="E416" i="1"/>
  <c r="E415" i="1"/>
  <c r="B415" i="1" s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B402" i="1" s="1"/>
  <c r="E401" i="1"/>
  <c r="B401" i="1" s="1"/>
  <c r="E400" i="1"/>
  <c r="E399" i="1"/>
  <c r="B399" i="1" s="1"/>
  <c r="E398" i="1"/>
  <c r="E397" i="1"/>
  <c r="E396" i="1"/>
  <c r="E395" i="1"/>
  <c r="E394" i="1"/>
  <c r="E393" i="1"/>
  <c r="E392" i="1"/>
  <c r="E391" i="1"/>
  <c r="E390" i="1"/>
  <c r="E389" i="1"/>
  <c r="E388" i="1"/>
  <c r="B388" i="1" s="1"/>
  <c r="E387" i="1"/>
  <c r="E386" i="1"/>
  <c r="E385" i="1"/>
  <c r="E384" i="1"/>
  <c r="B384" i="1" s="1"/>
  <c r="E383" i="1"/>
  <c r="B383" i="1" s="1"/>
  <c r="E382" i="1"/>
  <c r="E381" i="1"/>
  <c r="E380" i="1"/>
  <c r="E379" i="1"/>
  <c r="E378" i="1"/>
  <c r="E377" i="1"/>
  <c r="E376" i="1"/>
  <c r="E375" i="1"/>
  <c r="E374" i="1"/>
  <c r="E373" i="1"/>
  <c r="E372" i="1"/>
  <c r="B372" i="1" s="1"/>
  <c r="E371" i="1"/>
  <c r="E370" i="1"/>
  <c r="E369" i="1"/>
  <c r="B369" i="1" s="1"/>
  <c r="E368" i="1"/>
  <c r="B368" i="1" s="1"/>
  <c r="E367" i="1"/>
  <c r="B367" i="1" s="1"/>
  <c r="E366" i="1"/>
  <c r="E365" i="1"/>
  <c r="E364" i="1"/>
  <c r="E363" i="1"/>
  <c r="E362" i="1"/>
  <c r="E361" i="1"/>
  <c r="E360" i="1"/>
  <c r="E359" i="1"/>
  <c r="E358" i="1"/>
  <c r="E357" i="1"/>
  <c r="E356" i="1"/>
  <c r="B356" i="1" s="1"/>
  <c r="E355" i="1"/>
  <c r="E354" i="1"/>
  <c r="B354" i="1" s="1"/>
  <c r="E353" i="1"/>
  <c r="E352" i="1"/>
  <c r="B352" i="1" s="1"/>
  <c r="E351" i="1"/>
  <c r="B351" i="1" s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B338" i="1" s="1"/>
  <c r="E337" i="1"/>
  <c r="E336" i="1"/>
  <c r="B336" i="1" s="1"/>
  <c r="E335" i="1"/>
  <c r="B335" i="1" s="1"/>
  <c r="E334" i="1"/>
  <c r="E333" i="1"/>
  <c r="E332" i="1"/>
  <c r="E331" i="1"/>
  <c r="E330" i="1"/>
  <c r="E329" i="1"/>
  <c r="E328" i="1"/>
  <c r="E327" i="1"/>
  <c r="E326" i="1"/>
  <c r="E325" i="1"/>
  <c r="E324" i="1"/>
  <c r="B324" i="1" s="1"/>
  <c r="E323" i="1"/>
  <c r="E322" i="1"/>
  <c r="E321" i="1"/>
  <c r="E320" i="1"/>
  <c r="B320" i="1" s="1"/>
  <c r="E319" i="1"/>
  <c r="B319" i="1" s="1"/>
  <c r="E318" i="1"/>
  <c r="E317" i="1"/>
  <c r="E316" i="1"/>
  <c r="E315" i="1"/>
  <c r="E314" i="1"/>
  <c r="E313" i="1"/>
  <c r="E312" i="1"/>
  <c r="E311" i="1"/>
  <c r="E310" i="1"/>
  <c r="E309" i="1"/>
  <c r="E308" i="1"/>
  <c r="B308" i="1" s="1"/>
  <c r="E307" i="1"/>
  <c r="E306" i="1"/>
  <c r="E305" i="1"/>
  <c r="E304" i="1"/>
  <c r="B304" i="1" s="1"/>
  <c r="E303" i="1"/>
  <c r="B303" i="1" s="1"/>
  <c r="E302" i="1"/>
  <c r="E301" i="1"/>
  <c r="E300" i="1"/>
  <c r="E299" i="1"/>
  <c r="E298" i="1"/>
  <c r="E297" i="1"/>
  <c r="E296" i="1"/>
  <c r="E295" i="1"/>
  <c r="E294" i="1"/>
  <c r="E293" i="1"/>
  <c r="E292" i="1"/>
  <c r="B292" i="1" s="1"/>
  <c r="E291" i="1"/>
  <c r="E290" i="1"/>
  <c r="B290" i="1" s="1"/>
  <c r="E289" i="1"/>
  <c r="E288" i="1"/>
  <c r="B288" i="1" s="1"/>
  <c r="E287" i="1"/>
  <c r="B287" i="1" s="1"/>
  <c r="E286" i="1"/>
  <c r="E285" i="1"/>
  <c r="E284" i="1"/>
  <c r="E283" i="1"/>
  <c r="E282" i="1"/>
  <c r="E281" i="1"/>
  <c r="E280" i="1"/>
  <c r="E279" i="1"/>
  <c r="E278" i="1"/>
  <c r="E277" i="1"/>
  <c r="E276" i="1"/>
  <c r="B276" i="1" s="1"/>
  <c r="E275" i="1"/>
  <c r="E274" i="1"/>
  <c r="B274" i="1" s="1"/>
  <c r="E273" i="1"/>
  <c r="B273" i="1" s="1"/>
  <c r="E272" i="1"/>
  <c r="B272" i="1" s="1"/>
  <c r="E271" i="1"/>
  <c r="B271" i="1" s="1"/>
  <c r="E270" i="1"/>
  <c r="E269" i="1"/>
  <c r="E268" i="1"/>
  <c r="E267" i="1"/>
  <c r="E266" i="1"/>
  <c r="E265" i="1"/>
  <c r="E264" i="1"/>
  <c r="E263" i="1"/>
  <c r="E262" i="1"/>
  <c r="E261" i="1"/>
  <c r="E260" i="1"/>
  <c r="B260" i="1" s="1"/>
  <c r="E259" i="1"/>
  <c r="E258" i="1"/>
  <c r="B258" i="1" s="1"/>
  <c r="E257" i="1"/>
  <c r="B257" i="1" s="1"/>
  <c r="E256" i="1"/>
  <c r="B256" i="1" s="1"/>
  <c r="E255" i="1"/>
  <c r="B255" i="1" s="1"/>
  <c r="E254" i="1"/>
  <c r="E253" i="1"/>
  <c r="E252" i="1"/>
  <c r="E251" i="1"/>
  <c r="E250" i="1"/>
  <c r="E249" i="1"/>
  <c r="E248" i="1"/>
  <c r="E247" i="1"/>
  <c r="E246" i="1"/>
  <c r="E245" i="1"/>
  <c r="E244" i="1"/>
  <c r="B244" i="1" s="1"/>
  <c r="E243" i="1"/>
  <c r="E242" i="1"/>
  <c r="B242" i="1" s="1"/>
  <c r="E241" i="1"/>
  <c r="B241" i="1" s="1"/>
  <c r="E240" i="1"/>
  <c r="E239" i="1"/>
  <c r="B239" i="1" s="1"/>
  <c r="E238" i="1"/>
  <c r="E237" i="1"/>
  <c r="E236" i="1"/>
  <c r="E235" i="1"/>
  <c r="E234" i="1"/>
  <c r="E233" i="1"/>
  <c r="E232" i="1"/>
  <c r="E231" i="1"/>
  <c r="E230" i="1"/>
  <c r="E229" i="1"/>
  <c r="E228" i="1"/>
  <c r="B228" i="1" s="1"/>
  <c r="E227" i="1"/>
  <c r="E226" i="1"/>
  <c r="B226" i="1" s="1"/>
  <c r="E225" i="1"/>
  <c r="B225" i="1" s="1"/>
  <c r="E224" i="1"/>
  <c r="B224" i="1" s="1"/>
  <c r="E223" i="1"/>
  <c r="B223" i="1" s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B210" i="1" s="1"/>
  <c r="E209" i="1"/>
  <c r="B209" i="1" s="1"/>
  <c r="E208" i="1"/>
  <c r="B208" i="1" s="1"/>
  <c r="E207" i="1"/>
  <c r="B207" i="1" s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B194" i="1" s="1"/>
  <c r="E193" i="1"/>
  <c r="B193" i="1" s="1"/>
  <c r="E192" i="1"/>
  <c r="B192" i="1" s="1"/>
  <c r="E191" i="1"/>
  <c r="B191" i="1" s="1"/>
  <c r="E190" i="1"/>
  <c r="E189" i="1"/>
  <c r="E188" i="1"/>
  <c r="E187" i="1"/>
  <c r="E186" i="1"/>
  <c r="E185" i="1"/>
  <c r="E184" i="1"/>
  <c r="E183" i="1"/>
  <c r="E182" i="1"/>
  <c r="E181" i="1"/>
  <c r="E180" i="1"/>
  <c r="B180" i="1" s="1"/>
  <c r="E179" i="1"/>
  <c r="E178" i="1"/>
  <c r="B178" i="1" s="1"/>
  <c r="E177" i="1"/>
  <c r="B177" i="1" s="1"/>
  <c r="E176" i="1"/>
  <c r="B176" i="1" s="1"/>
  <c r="E175" i="1"/>
  <c r="E174" i="1"/>
  <c r="E173" i="1"/>
  <c r="E172" i="1"/>
  <c r="E171" i="1"/>
  <c r="E170" i="1"/>
  <c r="E169" i="1"/>
  <c r="E168" i="1"/>
  <c r="E167" i="1"/>
  <c r="E166" i="1"/>
  <c r="E165" i="1"/>
  <c r="E164" i="1"/>
  <c r="B164" i="1" s="1"/>
  <c r="E163" i="1"/>
  <c r="E162" i="1"/>
  <c r="B162" i="1" s="1"/>
  <c r="E161" i="1"/>
  <c r="B161" i="1" s="1"/>
  <c r="E160" i="1"/>
  <c r="B160" i="1" s="1"/>
  <c r="E159" i="1"/>
  <c r="B159" i="1" s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B146" i="1" s="1"/>
  <c r="E145" i="1"/>
  <c r="B145" i="1" s="1"/>
  <c r="E144" i="1"/>
  <c r="B144" i="1" s="1"/>
  <c r="E143" i="1"/>
  <c r="B143" i="1" s="1"/>
  <c r="E142" i="1"/>
  <c r="E141" i="1"/>
  <c r="E140" i="1"/>
  <c r="E139" i="1"/>
  <c r="E138" i="1"/>
  <c r="E137" i="1"/>
  <c r="E136" i="1"/>
  <c r="E135" i="1"/>
  <c r="E134" i="1"/>
  <c r="E133" i="1"/>
  <c r="E132" i="1"/>
  <c r="B132" i="1" s="1"/>
  <c r="E131" i="1"/>
  <c r="E130" i="1"/>
  <c r="B130" i="1" s="1"/>
  <c r="E129" i="1"/>
  <c r="B129" i="1" s="1"/>
  <c r="E128" i="1"/>
  <c r="B128" i="1" s="1"/>
  <c r="E127" i="1"/>
  <c r="B127" i="1" s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B114" i="1" s="1"/>
  <c r="E113" i="1"/>
  <c r="E112" i="1"/>
  <c r="B112" i="1" s="1"/>
  <c r="E111" i="1"/>
  <c r="B111" i="1" s="1"/>
  <c r="E110" i="1"/>
  <c r="E109" i="1"/>
  <c r="E108" i="1"/>
  <c r="E107" i="1"/>
  <c r="E106" i="1"/>
  <c r="E105" i="1"/>
  <c r="E104" i="1"/>
  <c r="E103" i="1"/>
  <c r="E102" i="1"/>
  <c r="E101" i="1"/>
  <c r="E100" i="1"/>
  <c r="B100" i="1" s="1"/>
  <c r="E99" i="1"/>
  <c r="E98" i="1"/>
  <c r="B98" i="1" s="1"/>
  <c r="E97" i="1"/>
  <c r="B97" i="1" s="1"/>
  <c r="E96" i="1"/>
  <c r="E95" i="1"/>
  <c r="B95" i="1" s="1"/>
  <c r="E94" i="1"/>
  <c r="E93" i="1"/>
  <c r="E92" i="1"/>
  <c r="E91" i="1"/>
  <c r="E90" i="1"/>
  <c r="E89" i="1"/>
  <c r="E88" i="1"/>
  <c r="E87" i="1"/>
  <c r="E86" i="1"/>
  <c r="E85" i="1"/>
  <c r="E84" i="1"/>
  <c r="B84" i="1" s="1"/>
  <c r="E83" i="1"/>
  <c r="E82" i="1"/>
  <c r="B82" i="1" s="1"/>
  <c r="E81" i="1"/>
  <c r="E80" i="1"/>
  <c r="B80" i="1" s="1"/>
  <c r="E79" i="1"/>
  <c r="B79" i="1" s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B66" i="1" s="1"/>
  <c r="E65" i="1"/>
  <c r="E64" i="1"/>
  <c r="B64" i="1" s="1"/>
  <c r="E63" i="1"/>
  <c r="B63" i="1" s="1"/>
  <c r="E62" i="1"/>
  <c r="E61" i="1"/>
  <c r="E60" i="1"/>
  <c r="E59" i="1"/>
  <c r="E58" i="1"/>
  <c r="E57" i="1"/>
  <c r="E56" i="1"/>
  <c r="E55" i="1"/>
  <c r="E54" i="1"/>
  <c r="E53" i="1"/>
  <c r="E52" i="1"/>
  <c r="B52" i="1" s="1"/>
  <c r="E51" i="1"/>
  <c r="E50" i="1"/>
  <c r="B50" i="1" s="1"/>
  <c r="E49" i="1"/>
  <c r="E48" i="1"/>
  <c r="B48" i="1" s="1"/>
  <c r="E47" i="1"/>
  <c r="B47" i="1" s="1"/>
  <c r="E46" i="1"/>
  <c r="E45" i="1"/>
  <c r="E44" i="1"/>
  <c r="E43" i="1"/>
  <c r="E42" i="1"/>
  <c r="E41" i="1"/>
  <c r="E40" i="1"/>
  <c r="E39" i="1"/>
  <c r="E38" i="1"/>
  <c r="E37" i="1"/>
  <c r="E36" i="1"/>
  <c r="B36" i="1" s="1"/>
  <c r="E35" i="1"/>
  <c r="E34" i="1"/>
  <c r="B34" i="1" s="1"/>
  <c r="E33" i="1"/>
  <c r="E32" i="1"/>
  <c r="B32" i="1" s="1"/>
  <c r="E31" i="1"/>
  <c r="B31" i="1" s="1"/>
  <c r="E30" i="1"/>
  <c r="E29" i="1"/>
  <c r="E28" i="1"/>
  <c r="E27" i="1"/>
  <c r="E26" i="1"/>
  <c r="E25" i="1"/>
  <c r="E24" i="1"/>
  <c r="E23" i="1"/>
  <c r="E22" i="1"/>
  <c r="E21" i="1"/>
  <c r="E20" i="1"/>
  <c r="B20" i="1" s="1"/>
  <c r="E19" i="1"/>
  <c r="E18" i="1"/>
  <c r="E17" i="1"/>
  <c r="E16" i="1"/>
  <c r="B16" i="1" s="1"/>
  <c r="E15" i="1"/>
  <c r="B15" i="1" s="1"/>
  <c r="E14" i="1"/>
  <c r="E13" i="1"/>
  <c r="E12" i="1"/>
  <c r="E11" i="1"/>
  <c r="E10" i="1"/>
  <c r="E9" i="1"/>
  <c r="E8" i="1"/>
  <c r="E7" i="1"/>
  <c r="E6" i="1"/>
  <c r="E5" i="1"/>
  <c r="E4" i="1"/>
  <c r="B4" i="1" s="1"/>
  <c r="E3" i="1"/>
  <c r="H14" i="4"/>
  <c r="H27" i="4"/>
  <c r="H3" i="4"/>
  <c r="H28" i="4"/>
  <c r="H24" i="4"/>
  <c r="H35" i="4"/>
  <c r="H4" i="4"/>
  <c r="H9" i="4"/>
  <c r="H25" i="4"/>
  <c r="H49" i="4"/>
  <c r="H17" i="4"/>
  <c r="H18" i="4"/>
  <c r="H26" i="4"/>
  <c r="H21" i="4"/>
  <c r="H58" i="4"/>
  <c r="H53" i="4"/>
  <c r="H22" i="4"/>
  <c r="H38" i="4"/>
  <c r="I14" i="4"/>
  <c r="I27" i="4"/>
  <c r="I3" i="4"/>
  <c r="I28" i="4"/>
  <c r="I24" i="4"/>
  <c r="I35" i="4"/>
  <c r="I4" i="4"/>
  <c r="I9" i="4"/>
  <c r="I25" i="4"/>
  <c r="I49" i="4"/>
  <c r="I17" i="4"/>
  <c r="I18" i="4"/>
  <c r="I26" i="4"/>
  <c r="I21" i="4"/>
  <c r="I58" i="4"/>
  <c r="I53" i="4"/>
  <c r="I22" i="4"/>
  <c r="I38" i="4"/>
  <c r="F2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394" i="1"/>
  <c r="B4395" i="1"/>
  <c r="B4396" i="1"/>
  <c r="B4397" i="1"/>
  <c r="B4398" i="1"/>
  <c r="B4399" i="1"/>
  <c r="B4400" i="1"/>
  <c r="B4401" i="1"/>
  <c r="B4258" i="1"/>
  <c r="B4251" i="1"/>
  <c r="B4250" i="1"/>
  <c r="B4242" i="1"/>
  <c r="B4235" i="1"/>
  <c r="B4234" i="1"/>
  <c r="B4226" i="1"/>
  <c r="B4219" i="1"/>
  <c r="B4218" i="1"/>
  <c r="B4210" i="1"/>
  <c r="B4203" i="1"/>
  <c r="B4202" i="1"/>
  <c r="H6" i="4"/>
  <c r="H59" i="4"/>
  <c r="H67" i="4"/>
  <c r="H60" i="4"/>
  <c r="H45" i="4"/>
  <c r="H63" i="4"/>
  <c r="H39" i="4"/>
  <c r="H71" i="4"/>
  <c r="H46" i="4"/>
  <c r="H33" i="4"/>
  <c r="H51" i="4"/>
  <c r="H10" i="4"/>
  <c r="H30" i="4"/>
  <c r="H16" i="4"/>
  <c r="H62" i="4"/>
  <c r="H37" i="4"/>
  <c r="I6" i="4"/>
  <c r="I59" i="4"/>
  <c r="I67" i="4"/>
  <c r="I60" i="4"/>
  <c r="I45" i="4"/>
  <c r="I63" i="4"/>
  <c r="I39" i="4"/>
  <c r="I71" i="4"/>
  <c r="I46" i="4"/>
  <c r="I33" i="4"/>
  <c r="I51" i="4"/>
  <c r="I10" i="4"/>
  <c r="I30" i="4"/>
  <c r="I16" i="4"/>
  <c r="I62" i="4"/>
  <c r="I37" i="4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65" i="5"/>
  <c r="K2866" i="5"/>
  <c r="K2867" i="5"/>
  <c r="K2868" i="5"/>
  <c r="K2869" i="5"/>
  <c r="K2870" i="5"/>
  <c r="K2871" i="5"/>
  <c r="K2872" i="5"/>
  <c r="K2873" i="5"/>
  <c r="K2874" i="5"/>
  <c r="K2875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3" i="5"/>
  <c r="K2924" i="5"/>
  <c r="K2920" i="5"/>
  <c r="K2921" i="5"/>
  <c r="K2922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5" i="5"/>
  <c r="K2976" i="5"/>
  <c r="K2977" i="5"/>
  <c r="K2978" i="5"/>
  <c r="K2979" i="5"/>
  <c r="K2980" i="5"/>
  <c r="K2981" i="5"/>
  <c r="K2982" i="5"/>
  <c r="K2983" i="5"/>
  <c r="K2984" i="5"/>
  <c r="K2970" i="5"/>
  <c r="K2971" i="5"/>
  <c r="K2972" i="5"/>
  <c r="K2973" i="5"/>
  <c r="K297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B4160" i="1"/>
  <c r="B4144" i="1"/>
  <c r="B4110" i="1"/>
  <c r="B4080" i="1"/>
  <c r="B4078" i="1"/>
  <c r="B4062" i="1"/>
  <c r="B4030" i="1"/>
  <c r="B4014" i="1"/>
  <c r="B3998" i="1"/>
  <c r="B3982" i="1"/>
  <c r="B3966" i="1"/>
  <c r="B3950" i="1"/>
  <c r="B3936" i="1"/>
  <c r="B3934" i="1"/>
  <c r="B3918" i="1"/>
  <c r="B3886" i="1"/>
  <c r="B3870" i="1"/>
  <c r="B3854" i="1"/>
  <c r="B3838" i="1"/>
  <c r="B3822" i="1"/>
  <c r="B3806" i="1"/>
  <c r="B3792" i="1"/>
  <c r="B3790" i="1"/>
  <c r="B3774" i="1"/>
  <c r="B3758" i="1"/>
  <c r="B3726" i="1"/>
  <c r="B3710" i="1"/>
  <c r="B3696" i="1"/>
  <c r="B3694" i="1"/>
  <c r="B3678" i="1"/>
  <c r="B3646" i="1"/>
  <c r="B3632" i="1"/>
  <c r="B3630" i="1"/>
  <c r="B3614" i="1"/>
  <c r="B3598" i="1"/>
  <c r="B3582" i="1"/>
  <c r="B3566" i="1"/>
  <c r="B3550" i="1"/>
  <c r="B3534" i="1"/>
  <c r="B3518" i="1"/>
  <c r="B3504" i="1"/>
  <c r="B3502" i="1"/>
  <c r="B3470" i="1"/>
  <c r="B3454" i="1"/>
  <c r="B3390" i="1"/>
  <c r="B3374" i="1"/>
  <c r="B3360" i="1"/>
  <c r="B3342" i="1"/>
  <c r="B3326" i="1"/>
  <c r="B3312" i="1"/>
  <c r="B3294" i="1"/>
  <c r="B3278" i="1"/>
  <c r="B3262" i="1"/>
  <c r="B3246" i="1"/>
  <c r="B3230" i="1"/>
  <c r="B3216" i="1"/>
  <c r="B3198" i="1"/>
  <c r="B3182" i="1"/>
  <c r="B3168" i="1"/>
  <c r="B3166" i="1"/>
  <c r="B3150" i="1"/>
  <c r="B3134" i="1"/>
  <c r="B3118" i="1"/>
  <c r="B3102" i="1"/>
  <c r="B3086" i="1"/>
  <c r="B3072" i="1"/>
  <c r="B3070" i="1"/>
  <c r="B3056" i="1"/>
  <c r="B3054" i="1"/>
  <c r="B3040" i="1"/>
  <c r="B3038" i="1"/>
  <c r="B3022" i="1"/>
  <c r="B3006" i="1"/>
  <c r="B2990" i="1"/>
  <c r="B2958" i="1"/>
  <c r="B2942" i="1"/>
  <c r="B2926" i="1"/>
  <c r="B2910" i="1"/>
  <c r="B2894" i="1"/>
  <c r="B2880" i="1"/>
  <c r="B2878" i="1"/>
  <c r="B2862" i="1"/>
  <c r="B2846" i="1"/>
  <c r="B2830" i="1"/>
  <c r="B2814" i="1"/>
  <c r="B2798" i="1"/>
  <c r="B2766" i="1"/>
  <c r="B2750" i="1"/>
  <c r="B2736" i="1"/>
  <c r="B2718" i="1"/>
  <c r="B2702" i="1"/>
  <c r="B2686" i="1"/>
  <c r="B2670" i="1"/>
  <c r="B2654" i="1"/>
  <c r="B2640" i="1"/>
  <c r="B2638" i="1"/>
  <c r="B2624" i="1"/>
  <c r="B2622" i="1"/>
  <c r="B2608" i="1"/>
  <c r="B2606" i="1"/>
  <c r="B2590" i="1"/>
  <c r="B2574" i="1"/>
  <c r="B2558" i="1"/>
  <c r="B2542" i="1"/>
  <c r="B2526" i="1"/>
  <c r="B2510" i="1"/>
  <c r="B2496" i="1"/>
  <c r="B2494" i="1"/>
  <c r="B2480" i="1"/>
  <c r="B2478" i="1"/>
  <c r="B2464" i="1"/>
  <c r="B2448" i="1"/>
  <c r="B2446" i="1"/>
  <c r="B2430" i="1"/>
  <c r="B2414" i="1"/>
  <c r="B2398" i="1"/>
  <c r="B2382" i="1"/>
  <c r="B2366" i="1"/>
  <c r="B2352" i="1"/>
  <c r="B2350" i="1"/>
  <c r="B2334" i="1"/>
  <c r="B2304" i="1"/>
  <c r="B2302" i="1"/>
  <c r="B2286" i="1"/>
  <c r="B2270" i="1"/>
  <c r="B2254" i="1"/>
  <c r="B2238" i="1"/>
  <c r="B2222" i="1"/>
  <c r="B2208" i="1"/>
  <c r="B2206" i="1"/>
  <c r="B2192" i="1"/>
  <c r="B2190" i="1"/>
  <c r="B2176" i="1"/>
  <c r="B2174" i="1"/>
  <c r="B2158" i="1"/>
  <c r="B2142" i="1"/>
  <c r="B2110" i="1"/>
  <c r="B2094" i="1"/>
  <c r="B2078" i="1"/>
  <c r="B2062" i="1"/>
  <c r="B2032" i="1"/>
  <c r="B2030" i="1"/>
  <c r="B2014" i="1"/>
  <c r="B1998" i="1"/>
  <c r="B1982" i="1"/>
  <c r="B1966" i="1"/>
  <c r="B1950" i="1"/>
  <c r="B1936" i="1"/>
  <c r="B1934" i="1"/>
  <c r="B1918" i="1"/>
  <c r="B1902" i="1"/>
  <c r="B1888" i="1"/>
  <c r="B1886" i="1"/>
  <c r="B1870" i="1"/>
  <c r="B1854" i="1"/>
  <c r="B1838" i="1"/>
  <c r="B1822" i="1"/>
  <c r="B1806" i="1"/>
  <c r="B1790" i="1"/>
  <c r="B1760" i="1"/>
  <c r="B1758" i="1"/>
  <c r="B1742" i="1"/>
  <c r="B1710" i="1"/>
  <c r="B1694" i="1"/>
  <c r="B1678" i="1"/>
  <c r="B1662" i="1"/>
  <c r="B1646" i="1"/>
  <c r="B1630" i="1"/>
  <c r="B1614" i="1"/>
  <c r="B1600" i="1"/>
  <c r="B1582" i="1"/>
  <c r="B1566" i="1"/>
  <c r="B1534" i="1"/>
  <c r="B1518" i="1"/>
  <c r="B1502" i="1"/>
  <c r="B1486" i="1"/>
  <c r="B1472" i="1"/>
  <c r="B1470" i="1"/>
  <c r="B1454" i="1"/>
  <c r="B1440" i="1"/>
  <c r="B1438" i="1"/>
  <c r="B1406" i="1"/>
  <c r="B1390" i="1"/>
  <c r="B1358" i="1"/>
  <c r="B1342" i="1"/>
  <c r="B1312" i="1"/>
  <c r="B1310" i="1"/>
  <c r="B1296" i="1"/>
  <c r="B1294" i="1"/>
  <c r="B1278" i="1"/>
  <c r="B1262" i="1"/>
  <c r="B1246" i="1"/>
  <c r="B1230" i="1"/>
  <c r="B1214" i="1"/>
  <c r="B1198" i="1"/>
  <c r="B1184" i="1"/>
  <c r="B1182" i="1"/>
  <c r="B1168" i="1"/>
  <c r="B1150" i="1"/>
  <c r="B1136" i="1"/>
  <c r="B1134" i="1"/>
  <c r="B1118" i="1"/>
  <c r="B1102" i="1"/>
  <c r="B1070" i="1"/>
  <c r="B1054" i="1"/>
  <c r="B1038" i="1"/>
  <c r="B1022" i="1"/>
  <c r="B1006" i="1"/>
  <c r="B992" i="1"/>
  <c r="B990" i="1"/>
  <c r="B974" i="1"/>
  <c r="B958" i="1"/>
  <c r="B942" i="1"/>
  <c r="B926" i="1"/>
  <c r="B910" i="1"/>
  <c r="B896" i="1"/>
  <c r="B894" i="1"/>
  <c r="B880" i="1"/>
  <c r="B862" i="1"/>
  <c r="B848" i="1"/>
  <c r="B846" i="1"/>
  <c r="B814" i="1"/>
  <c r="B782" i="1"/>
  <c r="B766" i="1"/>
  <c r="B750" i="1"/>
  <c r="B734" i="1"/>
  <c r="B718" i="1"/>
  <c r="B688" i="1"/>
  <c r="B686" i="1"/>
  <c r="B670" i="1"/>
  <c r="B654" i="1"/>
  <c r="B638" i="1"/>
  <c r="B622" i="1"/>
  <c r="B606" i="1"/>
  <c r="B590" i="1"/>
  <c r="B574" i="1"/>
  <c r="B558" i="1"/>
  <c r="B544" i="1"/>
  <c r="B528" i="1"/>
  <c r="B526" i="1"/>
  <c r="B510" i="1"/>
  <c r="B494" i="1"/>
  <c r="B478" i="1"/>
  <c r="B446" i="1"/>
  <c r="B432" i="1"/>
  <c r="B430" i="1"/>
  <c r="B416" i="1"/>
  <c r="B414" i="1"/>
  <c r="B400" i="1"/>
  <c r="B398" i="1"/>
  <c r="B382" i="1"/>
  <c r="B366" i="1"/>
  <c r="B350" i="1"/>
  <c r="B334" i="1"/>
  <c r="B318" i="1"/>
  <c r="B286" i="1"/>
  <c r="B270" i="1"/>
  <c r="B240" i="1"/>
  <c r="B238" i="1"/>
  <c r="B222" i="1"/>
  <c r="B206" i="1"/>
  <c r="B190" i="1"/>
  <c r="B174" i="1"/>
  <c r="B158" i="1"/>
  <c r="B142" i="1"/>
  <c r="B126" i="1"/>
  <c r="B110" i="1"/>
  <c r="B96" i="1"/>
  <c r="B94" i="1"/>
  <c r="B78" i="1"/>
  <c r="B62" i="1"/>
  <c r="B46" i="1"/>
  <c r="B30" i="1"/>
  <c r="B14" i="1"/>
  <c r="B4151" i="1"/>
  <c r="B4152" i="1"/>
  <c r="B4153" i="1"/>
  <c r="B4154" i="1"/>
  <c r="B4155" i="1"/>
  <c r="B4156" i="1"/>
  <c r="B4157" i="1"/>
  <c r="B4159" i="1"/>
  <c r="B4161" i="1"/>
  <c r="B4162" i="1"/>
  <c r="B4163" i="1"/>
  <c r="B4164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4" i="1"/>
  <c r="B4205" i="1"/>
  <c r="B4206" i="1"/>
  <c r="B4207" i="1"/>
  <c r="B4208" i="1"/>
  <c r="B4209" i="1"/>
  <c r="B4211" i="1"/>
  <c r="B4212" i="1"/>
  <c r="B4213" i="1"/>
  <c r="B4214" i="1"/>
  <c r="B4215" i="1"/>
  <c r="B4216" i="1"/>
  <c r="B4217" i="1"/>
  <c r="B4220" i="1"/>
  <c r="B4221" i="1"/>
  <c r="B4222" i="1"/>
  <c r="B4223" i="1"/>
  <c r="B4224" i="1"/>
  <c r="B4225" i="1"/>
  <c r="B4227" i="1"/>
  <c r="B4228" i="1"/>
  <c r="B4229" i="1"/>
  <c r="B4230" i="1"/>
  <c r="B4231" i="1"/>
  <c r="B4232" i="1"/>
  <c r="B4233" i="1"/>
  <c r="B4236" i="1"/>
  <c r="B4237" i="1"/>
  <c r="B4238" i="1"/>
  <c r="B4239" i="1"/>
  <c r="B4240" i="1"/>
  <c r="B4241" i="1"/>
  <c r="B4243" i="1"/>
  <c r="B4244" i="1"/>
  <c r="B4245" i="1"/>
  <c r="B4246" i="1"/>
  <c r="B4247" i="1"/>
  <c r="B4248" i="1"/>
  <c r="B4249" i="1"/>
  <c r="B4252" i="1"/>
  <c r="B4253" i="1"/>
  <c r="B4254" i="1"/>
  <c r="B4255" i="1"/>
  <c r="B4256" i="1"/>
  <c r="B4257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5" i="5"/>
  <c r="K1454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7" i="5"/>
  <c r="K1486" i="5"/>
  <c r="K1488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B4148" i="1"/>
  <c r="B4147" i="1"/>
  <c r="B4143" i="1"/>
  <c r="B4138" i="1"/>
  <c r="B4132" i="1"/>
  <c r="B4131" i="1"/>
  <c r="B4127" i="1"/>
  <c r="B4122" i="1"/>
  <c r="B4106" i="1"/>
  <c r="B4101" i="1"/>
  <c r="B4099" i="1"/>
  <c r="B4094" i="1"/>
  <c r="B4085" i="1"/>
  <c r="B4083" i="1"/>
  <c r="B4079" i="1"/>
  <c r="B4074" i="1"/>
  <c r="B4069" i="1"/>
  <c r="B4067" i="1"/>
  <c r="B4058" i="1"/>
  <c r="B4053" i="1"/>
  <c r="B4051" i="1"/>
  <c r="B4046" i="1"/>
  <c r="B4042" i="1"/>
  <c r="B4037" i="1"/>
  <c r="B4036" i="1"/>
  <c r="B4035" i="1"/>
  <c r="B4031" i="1"/>
  <c r="B4026" i="1"/>
  <c r="B4021" i="1"/>
  <c r="B4019" i="1"/>
  <c r="B4010" i="1"/>
  <c r="B4005" i="1"/>
  <c r="B4003" i="1"/>
  <c r="B3994" i="1"/>
  <c r="B3989" i="1"/>
  <c r="B3987" i="1"/>
  <c r="B3978" i="1"/>
  <c r="B3973" i="1"/>
  <c r="B3972" i="1"/>
  <c r="B3971" i="1"/>
  <c r="B3962" i="1"/>
  <c r="B3957" i="1"/>
  <c r="B3955" i="1"/>
  <c r="B3946" i="1"/>
  <c r="B3939" i="1"/>
  <c r="B3923" i="1"/>
  <c r="B3914" i="1"/>
  <c r="B3909" i="1"/>
  <c r="B3908" i="1"/>
  <c r="B3907" i="1"/>
  <c r="B3902" i="1"/>
  <c r="B3898" i="1"/>
  <c r="B3893" i="1"/>
  <c r="B3891" i="1"/>
  <c r="B3882" i="1"/>
  <c r="B3877" i="1"/>
  <c r="B3875" i="1"/>
  <c r="B3866" i="1"/>
  <c r="B3861" i="1"/>
  <c r="B3860" i="1"/>
  <c r="B3859" i="1"/>
  <c r="B3855" i="1"/>
  <c r="B3850" i="1"/>
  <c r="B3845" i="1"/>
  <c r="B3844" i="1"/>
  <c r="B3843" i="1"/>
  <c r="B3829" i="1"/>
  <c r="B3827" i="1"/>
  <c r="B3818" i="1"/>
  <c r="B3813" i="1"/>
  <c r="B3811" i="1"/>
  <c r="B3802" i="1"/>
  <c r="B3795" i="1"/>
  <c r="B3786" i="1"/>
  <c r="B3780" i="1"/>
  <c r="B3779" i="1"/>
  <c r="B3770" i="1"/>
  <c r="B3765" i="1"/>
  <c r="B3763" i="1"/>
  <c r="B3754" i="1"/>
  <c r="B3749" i="1"/>
  <c r="B3747" i="1"/>
  <c r="B3738" i="1"/>
  <c r="B3733" i="1"/>
  <c r="B3731" i="1"/>
  <c r="B3727" i="1"/>
  <c r="B3722" i="1"/>
  <c r="B3717" i="1"/>
  <c r="B3715" i="1"/>
  <c r="B3706" i="1"/>
  <c r="B3701" i="1"/>
  <c r="B3699" i="1"/>
  <c r="B3690" i="1"/>
  <c r="B3685" i="1"/>
  <c r="B3684" i="1"/>
  <c r="B3683" i="1"/>
  <c r="B3679" i="1"/>
  <c r="B3669" i="1"/>
  <c r="B3667" i="1"/>
  <c r="B3662" i="1"/>
  <c r="B3658" i="1"/>
  <c r="B3653" i="1"/>
  <c r="B3651" i="1"/>
  <c r="B3642" i="1"/>
  <c r="B3637" i="1"/>
  <c r="B3635" i="1"/>
  <c r="B3626" i="1"/>
  <c r="B3621" i="1"/>
  <c r="B3620" i="1"/>
  <c r="B3619" i="1"/>
  <c r="B3610" i="1"/>
  <c r="B3605" i="1"/>
  <c r="B3603" i="1"/>
  <c r="B3594" i="1"/>
  <c r="B3589" i="1"/>
  <c r="B3587" i="1"/>
  <c r="B3578" i="1"/>
  <c r="B3573" i="1"/>
  <c r="B3572" i="1"/>
  <c r="B3571" i="1"/>
  <c r="B3557" i="1"/>
  <c r="B3555" i="1"/>
  <c r="B3546" i="1"/>
  <c r="B3541" i="1"/>
  <c r="B3539" i="1"/>
  <c r="B3530" i="1"/>
  <c r="B3526" i="1"/>
  <c r="B3525" i="1"/>
  <c r="B3524" i="1"/>
  <c r="B3523" i="1"/>
  <c r="B3514" i="1"/>
  <c r="B3510" i="1"/>
  <c r="B3509" i="1"/>
  <c r="B3507" i="1"/>
  <c r="B3498" i="1"/>
  <c r="B3493" i="1"/>
  <c r="B3491" i="1"/>
  <c r="B3486" i="1"/>
  <c r="B3482" i="1"/>
  <c r="B3477" i="1"/>
  <c r="B3476" i="1"/>
  <c r="B3475" i="1"/>
  <c r="B3471" i="1"/>
  <c r="B3466" i="1"/>
  <c r="B3461" i="1"/>
  <c r="B3459" i="1"/>
  <c r="B3450" i="1"/>
  <c r="B3411" i="1"/>
  <c r="B3406" i="1"/>
  <c r="B3402" i="1"/>
  <c r="B3397" i="1"/>
  <c r="B3396" i="1"/>
  <c r="B3395" i="1"/>
  <c r="B3391" i="1"/>
  <c r="B3386" i="1"/>
  <c r="B3381" i="1"/>
  <c r="B3380" i="1"/>
  <c r="B3379" i="1"/>
  <c r="B3365" i="1"/>
  <c r="B3363" i="1"/>
  <c r="B3358" i="1"/>
  <c r="B3354" i="1"/>
  <c r="B3349" i="1"/>
  <c r="B3347" i="1"/>
  <c r="B3338" i="1"/>
  <c r="B3333" i="1"/>
  <c r="B3331" i="1"/>
  <c r="B3327" i="1"/>
  <c r="B3322" i="1"/>
  <c r="B3317" i="1"/>
  <c r="B3315" i="1"/>
  <c r="B3310" i="1"/>
  <c r="B3306" i="1"/>
  <c r="B3301" i="1"/>
  <c r="B3299" i="1"/>
  <c r="B3290" i="1"/>
  <c r="B3285" i="1"/>
  <c r="B3283" i="1"/>
  <c r="B3279" i="1"/>
  <c r="B3274" i="1"/>
  <c r="B3269" i="1"/>
  <c r="B3267" i="1"/>
  <c r="B3253" i="1"/>
  <c r="B3251" i="1"/>
  <c r="B3242" i="1"/>
  <c r="B3235" i="1"/>
  <c r="B3226" i="1"/>
  <c r="B3219" i="1"/>
  <c r="B3214" i="1"/>
  <c r="B3210" i="1"/>
  <c r="B3205" i="1"/>
  <c r="B3203" i="1"/>
  <c r="B3194" i="1"/>
  <c r="B3189" i="1"/>
  <c r="B3187" i="1"/>
  <c r="B3178" i="1"/>
  <c r="B3173" i="1"/>
  <c r="B3171" i="1"/>
  <c r="B3162" i="1"/>
  <c r="B3157" i="1"/>
  <c r="B3155" i="1"/>
  <c r="B3146" i="1"/>
  <c r="B3141" i="1"/>
  <c r="B3139" i="1"/>
  <c r="B3130" i="1"/>
  <c r="B3125" i="1"/>
  <c r="B3124" i="1"/>
  <c r="B3123" i="1"/>
  <c r="B3119" i="1"/>
  <c r="B3114" i="1"/>
  <c r="B3109" i="1"/>
  <c r="B3108" i="1"/>
  <c r="B3107" i="1"/>
  <c r="B3093" i="1"/>
  <c r="B3091" i="1"/>
  <c r="B3082" i="1"/>
  <c r="B3077" i="1"/>
  <c r="B3075" i="1"/>
  <c r="B3066" i="1"/>
  <c r="B3061" i="1"/>
  <c r="B3059" i="1"/>
  <c r="B3050" i="1"/>
  <c r="B3045" i="1"/>
  <c r="B3043" i="1"/>
  <c r="B3034" i="1"/>
  <c r="B3029" i="1"/>
  <c r="B3027" i="1"/>
  <c r="B3018" i="1"/>
  <c r="B3013" i="1"/>
  <c r="B3012" i="1"/>
  <c r="B3011" i="1"/>
  <c r="B3007" i="1"/>
  <c r="B2997" i="1"/>
  <c r="B2996" i="1"/>
  <c r="B2995" i="1"/>
  <c r="B2986" i="1"/>
  <c r="B2981" i="1"/>
  <c r="B2979" i="1"/>
  <c r="B2974" i="1"/>
  <c r="B2970" i="1"/>
  <c r="B2963" i="1"/>
  <c r="B2954" i="1"/>
  <c r="B2948" i="1"/>
  <c r="B2947" i="1"/>
  <c r="B2943" i="1"/>
  <c r="B2938" i="1"/>
  <c r="B2933" i="1"/>
  <c r="B2932" i="1"/>
  <c r="B2931" i="1"/>
  <c r="B2922" i="1"/>
  <c r="B2917" i="1"/>
  <c r="B2915" i="1"/>
  <c r="B2906" i="1"/>
  <c r="B2901" i="1"/>
  <c r="B2899" i="1"/>
  <c r="B2890" i="1"/>
  <c r="B2885" i="1"/>
  <c r="B2884" i="1"/>
  <c r="B2883" i="1"/>
  <c r="B2874" i="1"/>
  <c r="B2869" i="1"/>
  <c r="B2867" i="1"/>
  <c r="B2858" i="1"/>
  <c r="B2853" i="1"/>
  <c r="B2851" i="1"/>
  <c r="B2842" i="1"/>
  <c r="B2835" i="1"/>
  <c r="B2819" i="1"/>
  <c r="B2815" i="1"/>
  <c r="B2810" i="1"/>
  <c r="B2805" i="1"/>
  <c r="B2803" i="1"/>
  <c r="B2794" i="1"/>
  <c r="B2789" i="1"/>
  <c r="B2787" i="1"/>
  <c r="B2782" i="1"/>
  <c r="B2778" i="1"/>
  <c r="B2773" i="1"/>
  <c r="B2771" i="1"/>
  <c r="B2767" i="1"/>
  <c r="B2762" i="1"/>
  <c r="B2757" i="1"/>
  <c r="B2755" i="1"/>
  <c r="B2746" i="1"/>
  <c r="B2741" i="1"/>
  <c r="B2739" i="1"/>
  <c r="B2734" i="1"/>
  <c r="B2725" i="1"/>
  <c r="B2724" i="1"/>
  <c r="B2723" i="1"/>
  <c r="B2719" i="1"/>
  <c r="B2714" i="1"/>
  <c r="B2709" i="1"/>
  <c r="B2708" i="1"/>
  <c r="B2707" i="1"/>
  <c r="B2698" i="1"/>
  <c r="B2693" i="1"/>
  <c r="B2691" i="1"/>
  <c r="B2682" i="1"/>
  <c r="B2675" i="1"/>
  <c r="B2666" i="1"/>
  <c r="B2661" i="1"/>
  <c r="B2659" i="1"/>
  <c r="B2655" i="1"/>
  <c r="B2650" i="1"/>
  <c r="B2645" i="1"/>
  <c r="B2643" i="1"/>
  <c r="B2634" i="1"/>
  <c r="B2627" i="1"/>
  <c r="B2618" i="1"/>
  <c r="B2613" i="1"/>
  <c r="B2611" i="1"/>
  <c r="B2602" i="1"/>
  <c r="B2597" i="1"/>
  <c r="B2596" i="1"/>
  <c r="B2595" i="1"/>
  <c r="B2586" i="1"/>
  <c r="B2581" i="1"/>
  <c r="B2579" i="1"/>
  <c r="B2570" i="1"/>
  <c r="B2565" i="1"/>
  <c r="B2563" i="1"/>
  <c r="B2549" i="1"/>
  <c r="B2548" i="1"/>
  <c r="B2547" i="1"/>
  <c r="B2543" i="1"/>
  <c r="B2538" i="1"/>
  <c r="B2533" i="1"/>
  <c r="B2531" i="1"/>
  <c r="B2522" i="1"/>
  <c r="B2517" i="1"/>
  <c r="B2515" i="1"/>
  <c r="B2506" i="1"/>
  <c r="B2501" i="1"/>
  <c r="B2499" i="1"/>
  <c r="B2490" i="1"/>
  <c r="B2485" i="1"/>
  <c r="B2483" i="1"/>
  <c r="B2474" i="1"/>
  <c r="B2469" i="1"/>
  <c r="B2467" i="1"/>
  <c r="B2462" i="1"/>
  <c r="B2453" i="1"/>
  <c r="B2451" i="1"/>
  <c r="B2442" i="1"/>
  <c r="B2437" i="1"/>
  <c r="B2436" i="1"/>
  <c r="B2435" i="1"/>
  <c r="B2426" i="1"/>
  <c r="B2421" i="1"/>
  <c r="B2419" i="1"/>
  <c r="B2410" i="1"/>
  <c r="B2405" i="1"/>
  <c r="B2403" i="1"/>
  <c r="B2394" i="1"/>
  <c r="B2389" i="1"/>
  <c r="B2387" i="1"/>
  <c r="B2383" i="1"/>
  <c r="B2378" i="1"/>
  <c r="B2373" i="1"/>
  <c r="B2371" i="1"/>
  <c r="B2362" i="1"/>
  <c r="B2357" i="1"/>
  <c r="B2355" i="1"/>
  <c r="B2346" i="1"/>
  <c r="B2339" i="1"/>
  <c r="B2330" i="1"/>
  <c r="B2325" i="1"/>
  <c r="B2323" i="1"/>
  <c r="B2319" i="1"/>
  <c r="B2318" i="1"/>
  <c r="B2314" i="1"/>
  <c r="B2310" i="1"/>
  <c r="B2309" i="1"/>
  <c r="B2307" i="1"/>
  <c r="B2298" i="1"/>
  <c r="B2293" i="1"/>
  <c r="B2291" i="1"/>
  <c r="B2277" i="1"/>
  <c r="B2276" i="1"/>
  <c r="B2275" i="1"/>
  <c r="B2271" i="1"/>
  <c r="B2266" i="1"/>
  <c r="B2261" i="1"/>
  <c r="B2259" i="1"/>
  <c r="B2250" i="1"/>
  <c r="B2245" i="1"/>
  <c r="B2243" i="1"/>
  <c r="B2234" i="1"/>
  <c r="B2229" i="1"/>
  <c r="B2228" i="1"/>
  <c r="B2227" i="1"/>
  <c r="B2223" i="1"/>
  <c r="B2218" i="1"/>
  <c r="B2214" i="1"/>
  <c r="B2213" i="1"/>
  <c r="B2211" i="1"/>
  <c r="B2202" i="1"/>
  <c r="B2198" i="1"/>
  <c r="B2197" i="1"/>
  <c r="B2195" i="1"/>
  <c r="B2186" i="1"/>
  <c r="B2181" i="1"/>
  <c r="B2179" i="1"/>
  <c r="B2164" i="1"/>
  <c r="B2163" i="1"/>
  <c r="B2159" i="1"/>
  <c r="B2154" i="1"/>
  <c r="B2150" i="1"/>
  <c r="B2149" i="1"/>
  <c r="B2147" i="1"/>
  <c r="B2138" i="1"/>
  <c r="B2134" i="1"/>
  <c r="B2133" i="1"/>
  <c r="B2131" i="1"/>
  <c r="B2122" i="1"/>
  <c r="B2117" i="1"/>
  <c r="B2116" i="1"/>
  <c r="B2115" i="1"/>
  <c r="B2106" i="1"/>
  <c r="B2102" i="1"/>
  <c r="B2101" i="1"/>
  <c r="B2099" i="1"/>
  <c r="B2090" i="1"/>
  <c r="B2085" i="1"/>
  <c r="B2083" i="1"/>
  <c r="B2074" i="1"/>
  <c r="B2069" i="1"/>
  <c r="B2068" i="1"/>
  <c r="B2067" i="1"/>
  <c r="B2063" i="1"/>
  <c r="B2054" i="1"/>
  <c r="B2053" i="1"/>
  <c r="B2052" i="1"/>
  <c r="B2051" i="1"/>
  <c r="B2046" i="1"/>
  <c r="B2042" i="1"/>
  <c r="B2038" i="1"/>
  <c r="B2037" i="1"/>
  <c r="B2035" i="1"/>
  <c r="B2026" i="1"/>
  <c r="B2021" i="1"/>
  <c r="B2019" i="1"/>
  <c r="B2015" i="1"/>
  <c r="B2010" i="1"/>
  <c r="B2005" i="1"/>
  <c r="B2003" i="1"/>
  <c r="B1990" i="1"/>
  <c r="B1989" i="1"/>
  <c r="B1987" i="1"/>
  <c r="B1978" i="1"/>
  <c r="B1971" i="1"/>
  <c r="B1962" i="1"/>
  <c r="B1956" i="1"/>
  <c r="B1955" i="1"/>
  <c r="B1951" i="1"/>
  <c r="B1946" i="1"/>
  <c r="B1941" i="1"/>
  <c r="B1940" i="1"/>
  <c r="B1939" i="1"/>
  <c r="B1930" i="1"/>
  <c r="B1925" i="1"/>
  <c r="B1923" i="1"/>
  <c r="B1914" i="1"/>
  <c r="B1910" i="1"/>
  <c r="B1909" i="1"/>
  <c r="B1907" i="1"/>
  <c r="B1898" i="1"/>
  <c r="B1894" i="1"/>
  <c r="B1893" i="1"/>
  <c r="B1891" i="1"/>
  <c r="B1877" i="1"/>
  <c r="B1875" i="1"/>
  <c r="B1866" i="1"/>
  <c r="B1861" i="1"/>
  <c r="B1859" i="1"/>
  <c r="B1850" i="1"/>
  <c r="B1845" i="1"/>
  <c r="B1843" i="1"/>
  <c r="B1834" i="1"/>
  <c r="B1829" i="1"/>
  <c r="B1827" i="1"/>
  <c r="B1818" i="1"/>
  <c r="B1814" i="1"/>
  <c r="B1813" i="1"/>
  <c r="B1811" i="1"/>
  <c r="B1802" i="1"/>
  <c r="B1798" i="1"/>
  <c r="B1797" i="1"/>
  <c r="B1796" i="1"/>
  <c r="B1795" i="1"/>
  <c r="B1791" i="1"/>
  <c r="B1786" i="1"/>
  <c r="B1779" i="1"/>
  <c r="B1774" i="1"/>
  <c r="B1770" i="1"/>
  <c r="B1766" i="1"/>
  <c r="B1765" i="1"/>
  <c r="B1763" i="1"/>
  <c r="B1754" i="1"/>
  <c r="B1747" i="1"/>
  <c r="B1738" i="1"/>
  <c r="B1733" i="1"/>
  <c r="B1732" i="1"/>
  <c r="B1731" i="1"/>
  <c r="B1726" i="1"/>
  <c r="B1722" i="1"/>
  <c r="B1718" i="1"/>
  <c r="B1717" i="1"/>
  <c r="B1715" i="1"/>
  <c r="B1701" i="1"/>
  <c r="B1700" i="1"/>
  <c r="B1699" i="1"/>
  <c r="B1695" i="1"/>
  <c r="B1690" i="1"/>
  <c r="B1686" i="1"/>
  <c r="B1685" i="1"/>
  <c r="B1683" i="1"/>
  <c r="B1674" i="1"/>
  <c r="B1669" i="1"/>
  <c r="B1667" i="1"/>
  <c r="B1658" i="1"/>
  <c r="B1653" i="1"/>
  <c r="B1652" i="1"/>
  <c r="B1651" i="1"/>
  <c r="B1647" i="1"/>
  <c r="B1642" i="1"/>
  <c r="B1637" i="1"/>
  <c r="B1636" i="1"/>
  <c r="B1635" i="1"/>
  <c r="B1626" i="1"/>
  <c r="B1621" i="1"/>
  <c r="B1619" i="1"/>
  <c r="B1606" i="1"/>
  <c r="B1605" i="1"/>
  <c r="B1603" i="1"/>
  <c r="B1598" i="1"/>
  <c r="B1594" i="1"/>
  <c r="B1589" i="1"/>
  <c r="B1587" i="1"/>
  <c r="B1583" i="1"/>
  <c r="B1578" i="1"/>
  <c r="B1574" i="1"/>
  <c r="B1573" i="1"/>
  <c r="B1571" i="1"/>
  <c r="B1562" i="1"/>
  <c r="B1557" i="1"/>
  <c r="B1555" i="1"/>
  <c r="B1550" i="1"/>
  <c r="B1546" i="1"/>
  <c r="B1541" i="1"/>
  <c r="B1540" i="1"/>
  <c r="B1539" i="1"/>
  <c r="B1530" i="1"/>
  <c r="B1526" i="1"/>
  <c r="B1523" i="1"/>
  <c r="B1514" i="1"/>
  <c r="B1510" i="1"/>
  <c r="B1509" i="1"/>
  <c r="B1507" i="1"/>
  <c r="B1498" i="1"/>
  <c r="B1494" i="1"/>
  <c r="B1491" i="1"/>
  <c r="B1487" i="1"/>
  <c r="B1482" i="1"/>
  <c r="B1477" i="1"/>
  <c r="B1475" i="1"/>
  <c r="B1466" i="1"/>
  <c r="B1462" i="1"/>
  <c r="B1461" i="1"/>
  <c r="B1459" i="1"/>
  <c r="B1445" i="1"/>
  <c r="B1443" i="1"/>
  <c r="B1439" i="1"/>
  <c r="B1434" i="1"/>
  <c r="B1430" i="1"/>
  <c r="B1429" i="1"/>
  <c r="B1427" i="1"/>
  <c r="B1422" i="1"/>
  <c r="B1418" i="1"/>
  <c r="B1414" i="1"/>
  <c r="B1413" i="1"/>
  <c r="B1411" i="1"/>
  <c r="B1402" i="1"/>
  <c r="B1397" i="1"/>
  <c r="B1396" i="1"/>
  <c r="B1395" i="1"/>
  <c r="B1391" i="1"/>
  <c r="B1386" i="1"/>
  <c r="B1382" i="1"/>
  <c r="B1381" i="1"/>
  <c r="B1379" i="1"/>
  <c r="B1370" i="1"/>
  <c r="B1366" i="1"/>
  <c r="B1365" i="1"/>
  <c r="B1363" i="1"/>
  <c r="B1350" i="1"/>
  <c r="B1349" i="1"/>
  <c r="B1347" i="1"/>
  <c r="B1338" i="1"/>
  <c r="B1333" i="1"/>
  <c r="B1331" i="1"/>
  <c r="B1326" i="1"/>
  <c r="B1322" i="1"/>
  <c r="B1317" i="1"/>
  <c r="B1315" i="1"/>
  <c r="B1306" i="1"/>
  <c r="B1302" i="1"/>
  <c r="B1301" i="1"/>
  <c r="B1300" i="1"/>
  <c r="B1299" i="1"/>
  <c r="B1295" i="1"/>
  <c r="B1290" i="1"/>
  <c r="B1285" i="1"/>
  <c r="B1284" i="1"/>
  <c r="B1283" i="1"/>
  <c r="B1274" i="1"/>
  <c r="B1270" i="1"/>
  <c r="B1267" i="1"/>
  <c r="B1258" i="1"/>
  <c r="B1253" i="1"/>
  <c r="B1251" i="1"/>
  <c r="B1242" i="1"/>
  <c r="B1238" i="1"/>
  <c r="B1236" i="1"/>
  <c r="B1235" i="1"/>
  <c r="B1226" i="1"/>
  <c r="B1222" i="1"/>
  <c r="B1221" i="1"/>
  <c r="B1219" i="1"/>
  <c r="B1210" i="1"/>
  <c r="B1206" i="1"/>
  <c r="B1205" i="1"/>
  <c r="B1203" i="1"/>
  <c r="B1194" i="1"/>
  <c r="B1190" i="1"/>
  <c r="B1189" i="1"/>
  <c r="B1188" i="1"/>
  <c r="B1187" i="1"/>
  <c r="B1178" i="1"/>
  <c r="B1173" i="1"/>
  <c r="B1171" i="1"/>
  <c r="B1166" i="1"/>
  <c r="B1162" i="1"/>
  <c r="B1157" i="1"/>
  <c r="B1156" i="1"/>
  <c r="B1155" i="1"/>
  <c r="B1151" i="1"/>
  <c r="B1146" i="1"/>
  <c r="B1142" i="1"/>
  <c r="B1141" i="1"/>
  <c r="B1139" i="1"/>
  <c r="B1130" i="1"/>
  <c r="B1126" i="1"/>
  <c r="B1125" i="1"/>
  <c r="B1123" i="1"/>
  <c r="B1114" i="1"/>
  <c r="B1110" i="1"/>
  <c r="B1109" i="1"/>
  <c r="B1108" i="1"/>
  <c r="B1107" i="1"/>
  <c r="B1103" i="1"/>
  <c r="B1098" i="1"/>
  <c r="B1094" i="1"/>
  <c r="B1093" i="1"/>
  <c r="B1091" i="1"/>
  <c r="B1086" i="1"/>
  <c r="B1082" i="1"/>
  <c r="B1077" i="1"/>
  <c r="B1075" i="1"/>
  <c r="B1066" i="1"/>
  <c r="B1062" i="1"/>
  <c r="B1061" i="1"/>
  <c r="B1059" i="1"/>
  <c r="B1055" i="1"/>
  <c r="B1050" i="1"/>
  <c r="B1046" i="1"/>
  <c r="B1045" i="1"/>
  <c r="B1043" i="1"/>
  <c r="B1034" i="1"/>
  <c r="B1029" i="1"/>
  <c r="B1027" i="1"/>
  <c r="B1018" i="1"/>
  <c r="B1014" i="1"/>
  <c r="B1013" i="1"/>
  <c r="B1011" i="1"/>
  <c r="B1007" i="1"/>
  <c r="B1002" i="1"/>
  <c r="B998" i="1"/>
  <c r="B997" i="1"/>
  <c r="B995" i="1"/>
  <c r="B986" i="1"/>
  <c r="B982" i="1"/>
  <c r="B981" i="1"/>
  <c r="B979" i="1"/>
  <c r="B970" i="1"/>
  <c r="B965" i="1"/>
  <c r="B963" i="1"/>
  <c r="B959" i="1"/>
  <c r="B954" i="1"/>
  <c r="B949" i="1"/>
  <c r="B947" i="1"/>
  <c r="B938" i="1"/>
  <c r="B934" i="1"/>
  <c r="B933" i="1"/>
  <c r="B931" i="1"/>
  <c r="B918" i="1"/>
  <c r="B917" i="1"/>
  <c r="B915" i="1"/>
  <c r="B906" i="1"/>
  <c r="B902" i="1"/>
  <c r="B899" i="1"/>
  <c r="B890" i="1"/>
  <c r="B886" i="1"/>
  <c r="B885" i="1"/>
  <c r="B883" i="1"/>
  <c r="B878" i="1"/>
  <c r="B874" i="1"/>
  <c r="B869" i="1"/>
  <c r="B867" i="1"/>
  <c r="B858" i="1"/>
  <c r="B854" i="1"/>
  <c r="B853" i="1"/>
  <c r="B851" i="1"/>
  <c r="B842" i="1"/>
  <c r="B838" i="1"/>
  <c r="B837" i="1"/>
  <c r="B835" i="1"/>
  <c r="B830" i="1"/>
  <c r="B826" i="1"/>
  <c r="B822" i="1"/>
  <c r="B821" i="1"/>
  <c r="B819" i="1"/>
  <c r="B815" i="1"/>
  <c r="B810" i="1"/>
  <c r="B806" i="1"/>
  <c r="B805" i="1"/>
  <c r="B803" i="1"/>
  <c r="B798" i="1"/>
  <c r="B789" i="1"/>
  <c r="B787" i="1"/>
  <c r="B778" i="1"/>
  <c r="B773" i="1"/>
  <c r="B772" i="1"/>
  <c r="B771" i="1"/>
  <c r="B767" i="1"/>
  <c r="B762" i="1"/>
  <c r="B758" i="1"/>
  <c r="B757" i="1"/>
  <c r="B755" i="1"/>
  <c r="B746" i="1"/>
  <c r="B741" i="1"/>
  <c r="B739" i="1"/>
  <c r="B730" i="1"/>
  <c r="B726" i="1"/>
  <c r="B725" i="1"/>
  <c r="B723" i="1"/>
  <c r="B714" i="1"/>
  <c r="B710" i="1"/>
  <c r="B709" i="1"/>
  <c r="B707" i="1"/>
  <c r="B702" i="1"/>
  <c r="B698" i="1"/>
  <c r="B693" i="1"/>
  <c r="B691" i="1"/>
  <c r="B682" i="1"/>
  <c r="B678" i="1"/>
  <c r="B677" i="1"/>
  <c r="B675" i="1"/>
  <c r="B671" i="1"/>
  <c r="B666" i="1"/>
  <c r="B662" i="1"/>
  <c r="B661" i="1"/>
  <c r="B659" i="1"/>
  <c r="B650" i="1"/>
  <c r="B646" i="1"/>
  <c r="B645" i="1"/>
  <c r="B643" i="1"/>
  <c r="B634" i="1"/>
  <c r="B629" i="1"/>
  <c r="B628" i="1"/>
  <c r="B627" i="1"/>
  <c r="B618" i="1"/>
  <c r="B613" i="1"/>
  <c r="B611" i="1"/>
  <c r="B602" i="1"/>
  <c r="B597" i="1"/>
  <c r="B595" i="1"/>
  <c r="B586" i="1"/>
  <c r="B581" i="1"/>
  <c r="B580" i="1"/>
  <c r="B579" i="1"/>
  <c r="B575" i="1"/>
  <c r="B570" i="1"/>
  <c r="B566" i="1"/>
  <c r="B565" i="1"/>
  <c r="B563" i="1"/>
  <c r="B554" i="1"/>
  <c r="B550" i="1"/>
  <c r="B549" i="1"/>
  <c r="B547" i="1"/>
  <c r="B542" i="1"/>
  <c r="B538" i="1"/>
  <c r="B534" i="1"/>
  <c r="B533" i="1"/>
  <c r="B532" i="1"/>
  <c r="B531" i="1"/>
  <c r="B522" i="1"/>
  <c r="B517" i="1"/>
  <c r="B515" i="1"/>
  <c r="B506" i="1"/>
  <c r="B502" i="1"/>
  <c r="B501" i="1"/>
  <c r="B499" i="1"/>
  <c r="B490" i="1"/>
  <c r="B486" i="1"/>
  <c r="B485" i="1"/>
  <c r="B484" i="1"/>
  <c r="B483" i="1"/>
  <c r="B474" i="1"/>
  <c r="B470" i="1"/>
  <c r="B469" i="1"/>
  <c r="B467" i="1"/>
  <c r="B462" i="1"/>
  <c r="B458" i="1"/>
  <c r="B454" i="1"/>
  <c r="B453" i="1"/>
  <c r="B452" i="1"/>
  <c r="B451" i="1"/>
  <c r="B447" i="1"/>
  <c r="B442" i="1"/>
  <c r="B437" i="1"/>
  <c r="B435" i="1"/>
  <c r="B426" i="1"/>
  <c r="B422" i="1"/>
  <c r="B421" i="1"/>
  <c r="B419" i="1"/>
  <c r="B410" i="1"/>
  <c r="B406" i="1"/>
  <c r="B403" i="1"/>
  <c r="B394" i="1"/>
  <c r="B390" i="1"/>
  <c r="B389" i="1"/>
  <c r="B387" i="1"/>
  <c r="B378" i="1"/>
  <c r="B373" i="1"/>
  <c r="B371" i="1"/>
  <c r="B362" i="1"/>
  <c r="B355" i="1"/>
  <c r="B346" i="1"/>
  <c r="B342" i="1"/>
  <c r="B341" i="1"/>
  <c r="B340" i="1"/>
  <c r="B339" i="1"/>
  <c r="B330" i="1"/>
  <c r="B326" i="1"/>
  <c r="B325" i="1"/>
  <c r="B323" i="1"/>
  <c r="B314" i="1"/>
  <c r="B310" i="1"/>
  <c r="B309" i="1"/>
  <c r="B307" i="1"/>
  <c r="B302" i="1"/>
  <c r="B298" i="1"/>
  <c r="B293" i="1"/>
  <c r="B291" i="1"/>
  <c r="B282" i="1"/>
  <c r="B277" i="1"/>
  <c r="B275" i="1"/>
  <c r="B266" i="1"/>
  <c r="B262" i="1"/>
  <c r="B261" i="1"/>
  <c r="B259" i="1"/>
  <c r="B254" i="1"/>
  <c r="B250" i="1"/>
  <c r="B245" i="1"/>
  <c r="B243" i="1"/>
  <c r="B234" i="1"/>
  <c r="B230" i="1"/>
  <c r="B229" i="1"/>
  <c r="B227" i="1"/>
  <c r="B218" i="1"/>
  <c r="B214" i="1"/>
  <c r="B213" i="1"/>
  <c r="B212" i="1"/>
  <c r="B211" i="1"/>
  <c r="B202" i="1"/>
  <c r="B197" i="1"/>
  <c r="B195" i="1"/>
  <c r="B186" i="1"/>
  <c r="B182" i="1"/>
  <c r="B181" i="1"/>
  <c r="B179" i="1"/>
  <c r="B170" i="1"/>
  <c r="B166" i="1"/>
  <c r="B165" i="1"/>
  <c r="B163" i="1"/>
  <c r="B154" i="1"/>
  <c r="B149" i="1"/>
  <c r="B148" i="1"/>
  <c r="B147" i="1"/>
  <c r="B138" i="1"/>
  <c r="B134" i="1"/>
  <c r="B133" i="1"/>
  <c r="B131" i="1"/>
  <c r="B122" i="1"/>
  <c r="B117" i="1"/>
  <c r="B116" i="1"/>
  <c r="B115" i="1"/>
  <c r="B106" i="1"/>
  <c r="B102" i="1"/>
  <c r="B101" i="1"/>
  <c r="B99" i="1"/>
  <c r="B90" i="1"/>
  <c r="B86" i="1"/>
  <c r="B85" i="1"/>
  <c r="B83" i="1"/>
  <c r="B74" i="1"/>
  <c r="B70" i="1"/>
  <c r="B69" i="1"/>
  <c r="B68" i="1"/>
  <c r="B67" i="1"/>
  <c r="B58" i="1"/>
  <c r="B53" i="1"/>
  <c r="B51" i="1"/>
  <c r="B42" i="1"/>
  <c r="B38" i="1"/>
  <c r="B37" i="1"/>
  <c r="B35" i="1"/>
  <c r="B22" i="1"/>
  <c r="B21" i="1"/>
  <c r="B19" i="1"/>
  <c r="B10" i="1"/>
  <c r="B5" i="1"/>
  <c r="B3" i="1"/>
  <c r="H50" i="4"/>
  <c r="H57" i="4"/>
  <c r="H42" i="4"/>
  <c r="H66" i="4"/>
  <c r="H52" i="4"/>
  <c r="H47" i="4"/>
  <c r="H20" i="4"/>
  <c r="H40" i="4"/>
  <c r="H61" i="4"/>
  <c r="H12" i="4"/>
  <c r="H29" i="4"/>
  <c r="I50" i="4"/>
  <c r="I57" i="4"/>
  <c r="I42" i="4"/>
  <c r="I66" i="4"/>
  <c r="I52" i="4"/>
  <c r="I47" i="4"/>
  <c r="I20" i="4"/>
  <c r="I40" i="4"/>
  <c r="I61" i="4"/>
  <c r="I12" i="4"/>
  <c r="I29" i="4"/>
  <c r="B936" i="1"/>
  <c r="B922" i="1"/>
  <c r="B920" i="1"/>
  <c r="B4139" i="1"/>
  <c r="B4125" i="1"/>
  <c r="B4123" i="1"/>
  <c r="B4109" i="1"/>
  <c r="B4107" i="1"/>
  <c r="B4093" i="1"/>
  <c r="B4091" i="1"/>
  <c r="B4075" i="1"/>
  <c r="B4061" i="1"/>
  <c r="B4045" i="1"/>
  <c r="B4043" i="1"/>
  <c r="B4029" i="1"/>
  <c r="B4027" i="1"/>
  <c r="B4013" i="1"/>
  <c r="B4011" i="1"/>
  <c r="B3995" i="1"/>
  <c r="B3981" i="1"/>
  <c r="B3979" i="1"/>
  <c r="B3965" i="1"/>
  <c r="B3963" i="1"/>
  <c r="B3949" i="1"/>
  <c r="B3947" i="1"/>
  <c r="B3931" i="1"/>
  <c r="B3917" i="1"/>
  <c r="B3915" i="1"/>
  <c r="B3901" i="1"/>
  <c r="B3899" i="1"/>
  <c r="B3885" i="1"/>
  <c r="B3883" i="1"/>
  <c r="B3867" i="1"/>
  <c r="B3853" i="1"/>
  <c r="B3837" i="1"/>
  <c r="B3835" i="1"/>
  <c r="B3821" i="1"/>
  <c r="B3819" i="1"/>
  <c r="B3805" i="1"/>
  <c r="B3803" i="1"/>
  <c r="B3787" i="1"/>
  <c r="B3773" i="1"/>
  <c r="B3771" i="1"/>
  <c r="B3757" i="1"/>
  <c r="B3755" i="1"/>
  <c r="B3741" i="1"/>
  <c r="B3739" i="1"/>
  <c r="B3723" i="1"/>
  <c r="B3709" i="1"/>
  <c r="B3693" i="1"/>
  <c r="B3677" i="1"/>
  <c r="B3675" i="1"/>
  <c r="B3661" i="1"/>
  <c r="B3659" i="1"/>
  <c r="B3645" i="1"/>
  <c r="B3643" i="1"/>
  <c r="B3629" i="1"/>
  <c r="B3627" i="1"/>
  <c r="B3613" i="1"/>
  <c r="B3611" i="1"/>
  <c r="B3597" i="1"/>
  <c r="B3595" i="1"/>
  <c r="B3581" i="1"/>
  <c r="B3579" i="1"/>
  <c r="B3565" i="1"/>
  <c r="B3563" i="1"/>
  <c r="B3549" i="1"/>
  <c r="B3547" i="1"/>
  <c r="B3533" i="1"/>
  <c r="B3531" i="1"/>
  <c r="B3517" i="1"/>
  <c r="B3515" i="1"/>
  <c r="B3499" i="1"/>
  <c r="B3485" i="1"/>
  <c r="B3483" i="1"/>
  <c r="B3469" i="1"/>
  <c r="B3467" i="1"/>
  <c r="B3453" i="1"/>
  <c r="B3451" i="1"/>
  <c r="B3403" i="1"/>
  <c r="B3389" i="1"/>
  <c r="B3387" i="1"/>
  <c r="B3373" i="1"/>
  <c r="B3371" i="1"/>
  <c r="B3357" i="1"/>
  <c r="B3355" i="1"/>
  <c r="B3339" i="1"/>
  <c r="B3325" i="1"/>
  <c r="B3323" i="1"/>
  <c r="B3309" i="1"/>
  <c r="B3307" i="1"/>
  <c r="B3293" i="1"/>
  <c r="B3291" i="1"/>
  <c r="B3277" i="1"/>
  <c r="B3275" i="1"/>
  <c r="B3261" i="1"/>
  <c r="B3259" i="1"/>
  <c r="B3245" i="1"/>
  <c r="B3243" i="1"/>
  <c r="B3229" i="1"/>
  <c r="B3227" i="1"/>
  <c r="B3211" i="1"/>
  <c r="B3197" i="1"/>
  <c r="B3195" i="1"/>
  <c r="B3181" i="1"/>
  <c r="B3179" i="1"/>
  <c r="B3165" i="1"/>
  <c r="B3149" i="1"/>
  <c r="B3133" i="1"/>
  <c r="B3117" i="1"/>
  <c r="B3115" i="1"/>
  <c r="B3101" i="1"/>
  <c r="B3099" i="1"/>
  <c r="B3085" i="1"/>
  <c r="B3083" i="1"/>
  <c r="B3067" i="1"/>
  <c r="B3053" i="1"/>
  <c r="B3051" i="1"/>
  <c r="B3037" i="1"/>
  <c r="B3035" i="1"/>
  <c r="B3021" i="1"/>
  <c r="B2989" i="1"/>
  <c r="B2987" i="1"/>
  <c r="B2973" i="1"/>
  <c r="B2971" i="1"/>
  <c r="B2957" i="1"/>
  <c r="B2955" i="1"/>
  <c r="B2939" i="1"/>
  <c r="B2925" i="1"/>
  <c r="B2923" i="1"/>
  <c r="B2909" i="1"/>
  <c r="B2907" i="1"/>
  <c r="B2893" i="1"/>
  <c r="B2891" i="1"/>
  <c r="B2877" i="1"/>
  <c r="B2875" i="1"/>
  <c r="B2861" i="1"/>
  <c r="B2859" i="1"/>
  <c r="B2845" i="1"/>
  <c r="B2843" i="1"/>
  <c r="B2829" i="1"/>
  <c r="B2827" i="1"/>
  <c r="B2813" i="1"/>
  <c r="B2811" i="1"/>
  <c r="B2795" i="1"/>
  <c r="B2781" i="1"/>
  <c r="B2779" i="1"/>
  <c r="B2765" i="1"/>
  <c r="B2749" i="1"/>
  <c r="B2747" i="1"/>
  <c r="B2731" i="1"/>
  <c r="B2717" i="1"/>
  <c r="B2715" i="1"/>
  <c r="B2701" i="1"/>
  <c r="B2699" i="1"/>
  <c r="B2685" i="1"/>
  <c r="B2669" i="1"/>
  <c r="B2667" i="1"/>
  <c r="B2653" i="1"/>
  <c r="B2651" i="1"/>
  <c r="B2637" i="1"/>
  <c r="B2635" i="1"/>
  <c r="B2621" i="1"/>
  <c r="B2619" i="1"/>
  <c r="B2603" i="1"/>
  <c r="B2589" i="1"/>
  <c r="B2587" i="1"/>
  <c r="B2573" i="1"/>
  <c r="B2571" i="1"/>
  <c r="B2557" i="1"/>
  <c r="B2555" i="1"/>
  <c r="B2541" i="1"/>
  <c r="B2523" i="1"/>
  <c r="B2509" i="1"/>
  <c r="B2507" i="1"/>
  <c r="B2493" i="1"/>
  <c r="B2491" i="1"/>
  <c r="B2477" i="1"/>
  <c r="B2475" i="1"/>
  <c r="B2461" i="1"/>
  <c r="B2459" i="1"/>
  <c r="B2445" i="1"/>
  <c r="B2443" i="1"/>
  <c r="B2429" i="1"/>
  <c r="B2427" i="1"/>
  <c r="B2413" i="1"/>
  <c r="B2411" i="1"/>
  <c r="B2397" i="1"/>
  <c r="B2395" i="1"/>
  <c r="B2381" i="1"/>
  <c r="B2379" i="1"/>
  <c r="B2365" i="1"/>
  <c r="B2363" i="1"/>
  <c r="B2349" i="1"/>
  <c r="B2347" i="1"/>
  <c r="B2333" i="1"/>
  <c r="B2331" i="1"/>
  <c r="B2317" i="1"/>
  <c r="B2315" i="1"/>
  <c r="B2301" i="1"/>
  <c r="B2299" i="1"/>
  <c r="B2285" i="1"/>
  <c r="B2283" i="1"/>
  <c r="B2269" i="1"/>
  <c r="B2267" i="1"/>
  <c r="B2253" i="1"/>
  <c r="B2251" i="1"/>
  <c r="B2237" i="1"/>
  <c r="B2235" i="1"/>
  <c r="B2221" i="1"/>
  <c r="B2219" i="1"/>
  <c r="B2205" i="1"/>
  <c r="B2203" i="1"/>
  <c r="B2189" i="1"/>
  <c r="B2187" i="1"/>
  <c r="B2173" i="1"/>
  <c r="B2171" i="1"/>
  <c r="B2157" i="1"/>
  <c r="B2155" i="1"/>
  <c r="B2141" i="1"/>
  <c r="B2139" i="1"/>
  <c r="B2125" i="1"/>
  <c r="B2123" i="1"/>
  <c r="B2107" i="1"/>
  <c r="B2093" i="1"/>
  <c r="B2091" i="1"/>
  <c r="B2077" i="1"/>
  <c r="B2075" i="1"/>
  <c r="B2061" i="1"/>
  <c r="B2059" i="1"/>
  <c r="B2045" i="1"/>
  <c r="B2043" i="1"/>
  <c r="B2029" i="1"/>
  <c r="B2027" i="1"/>
  <c r="B2013" i="1"/>
  <c r="B2011" i="1"/>
  <c r="B1997" i="1"/>
  <c r="B1995" i="1"/>
  <c r="B1981" i="1"/>
  <c r="B1979" i="1"/>
  <c r="B1963" i="1"/>
  <c r="B1949" i="1"/>
  <c r="B1947" i="1"/>
  <c r="B1933" i="1"/>
  <c r="B1931" i="1"/>
  <c r="B1917" i="1"/>
  <c r="B1915" i="1"/>
  <c r="B1899" i="1"/>
  <c r="B1885" i="1"/>
  <c r="B1883" i="1"/>
  <c r="B1869" i="1"/>
  <c r="B1867" i="1"/>
  <c r="B1853" i="1"/>
  <c r="B1851" i="1"/>
  <c r="B1837" i="1"/>
  <c r="B1835" i="1"/>
  <c r="B1821" i="1"/>
  <c r="B1819" i="1"/>
  <c r="B1805" i="1"/>
  <c r="B1803" i="1"/>
  <c r="B1789" i="1"/>
  <c r="B1787" i="1"/>
  <c r="B1773" i="1"/>
  <c r="B1771" i="1"/>
  <c r="B1757" i="1"/>
  <c r="B1741" i="1"/>
  <c r="B1739" i="1"/>
  <c r="B1725" i="1"/>
  <c r="B1723" i="1"/>
  <c r="B1707" i="1"/>
  <c r="B1693" i="1"/>
  <c r="B1691" i="1"/>
  <c r="B1677" i="1"/>
  <c r="B1675" i="1"/>
  <c r="B1661" i="1"/>
  <c r="B1659" i="1"/>
  <c r="B1643" i="1"/>
  <c r="B1629" i="1"/>
  <c r="B1613" i="1"/>
  <c r="B1611" i="1"/>
  <c r="B1597" i="1"/>
  <c r="B1595" i="1"/>
  <c r="B1581" i="1"/>
  <c r="B1579" i="1"/>
  <c r="B1565" i="1"/>
  <c r="B1563" i="1"/>
  <c r="B1549" i="1"/>
  <c r="B1547" i="1"/>
  <c r="B1533" i="1"/>
  <c r="B1531" i="1"/>
  <c r="B1517" i="1"/>
  <c r="B1515" i="1"/>
  <c r="B1501" i="1"/>
  <c r="B1499" i="1"/>
  <c r="B1485" i="1"/>
  <c r="B1483" i="1"/>
  <c r="B1469" i="1"/>
  <c r="B1467" i="1"/>
  <c r="B1453" i="1"/>
  <c r="B1451" i="1"/>
  <c r="B1437" i="1"/>
  <c r="B1435" i="1"/>
  <c r="B1421" i="1"/>
  <c r="B1419" i="1"/>
  <c r="B1405" i="1"/>
  <c r="B1403" i="1"/>
  <c r="B1389" i="1"/>
  <c r="B1387" i="1"/>
  <c r="B1373" i="1"/>
  <c r="B1371" i="1"/>
  <c r="B1357" i="1"/>
  <c r="B1355" i="1"/>
  <c r="B1341" i="1"/>
  <c r="B1339" i="1"/>
  <c r="B1325" i="1"/>
  <c r="B1323" i="1"/>
  <c r="B1309" i="1"/>
  <c r="B1307" i="1"/>
  <c r="B1293" i="1"/>
  <c r="B1291" i="1"/>
  <c r="B1277" i="1"/>
  <c r="B1275" i="1"/>
  <c r="B1261" i="1"/>
  <c r="B1245" i="1"/>
  <c r="B1243" i="1"/>
  <c r="B1229" i="1"/>
  <c r="B1227" i="1"/>
  <c r="B1213" i="1"/>
  <c r="B1211" i="1"/>
  <c r="B1195" i="1"/>
  <c r="B1181" i="1"/>
  <c r="B1179" i="1"/>
  <c r="B1165" i="1"/>
  <c r="B1163" i="1"/>
  <c r="B1149" i="1"/>
  <c r="B1147" i="1"/>
  <c r="B1117" i="1"/>
  <c r="B1115" i="1"/>
  <c r="B1101" i="1"/>
  <c r="B1099" i="1"/>
  <c r="B1085" i="1"/>
  <c r="B1083" i="1"/>
  <c r="B1069" i="1"/>
  <c r="B1067" i="1"/>
  <c r="B1053" i="1"/>
  <c r="B1051" i="1"/>
  <c r="B1037" i="1"/>
  <c r="B1035" i="1"/>
  <c r="B1021" i="1"/>
  <c r="B1005" i="1"/>
  <c r="B1003" i="1"/>
  <c r="B989" i="1"/>
  <c r="B987" i="1"/>
  <c r="B973" i="1"/>
  <c r="B971" i="1"/>
  <c r="B957" i="1"/>
  <c r="B955" i="1"/>
  <c r="B941" i="1"/>
  <c r="B939" i="1"/>
  <c r="B925" i="1"/>
  <c r="B923" i="1"/>
  <c r="B909" i="1"/>
  <c r="B907" i="1"/>
  <c r="B893" i="1"/>
  <c r="B891" i="1"/>
  <c r="B877" i="1"/>
  <c r="B875" i="1"/>
  <c r="B861" i="1"/>
  <c r="B859" i="1"/>
  <c r="B845" i="1"/>
  <c r="B843" i="1"/>
  <c r="B829" i="1"/>
  <c r="B813" i="1"/>
  <c r="B811" i="1"/>
  <c r="B797" i="1"/>
  <c r="B781" i="1"/>
  <c r="B779" i="1"/>
  <c r="B765" i="1"/>
  <c r="B763" i="1"/>
  <c r="B749" i="1"/>
  <c r="B747" i="1"/>
  <c r="B733" i="1"/>
  <c r="B731" i="1"/>
  <c r="B717" i="1"/>
  <c r="B715" i="1"/>
  <c r="B701" i="1"/>
  <c r="B685" i="1"/>
  <c r="B683" i="1"/>
  <c r="B669" i="1"/>
  <c r="B667" i="1"/>
  <c r="B653" i="1"/>
  <c r="B651" i="1"/>
  <c r="B637" i="1"/>
  <c r="B635" i="1"/>
  <c r="B621" i="1"/>
  <c r="B619" i="1"/>
  <c r="B605" i="1"/>
  <c r="B603" i="1"/>
  <c r="B589" i="1"/>
  <c r="B587" i="1"/>
  <c r="B573" i="1"/>
  <c r="B571" i="1"/>
  <c r="B557" i="1"/>
  <c r="B555" i="1"/>
  <c r="B539" i="1"/>
  <c r="B525" i="1"/>
  <c r="B523" i="1"/>
  <c r="B509" i="1"/>
  <c r="B507" i="1"/>
  <c r="B493" i="1"/>
  <c r="B491" i="1"/>
  <c r="B475" i="1"/>
  <c r="B461" i="1"/>
  <c r="B459" i="1"/>
  <c r="B445" i="1"/>
  <c r="B443" i="1"/>
  <c r="B429" i="1"/>
  <c r="B427" i="1"/>
  <c r="B411" i="1"/>
  <c r="B397" i="1"/>
  <c r="B395" i="1"/>
  <c r="B381" i="1"/>
  <c r="B379" i="1"/>
  <c r="B365" i="1"/>
  <c r="B363" i="1"/>
  <c r="B347" i="1"/>
  <c r="B333" i="1"/>
  <c r="B331" i="1"/>
  <c r="B317" i="1"/>
  <c r="B315" i="1"/>
  <c r="B301" i="1"/>
  <c r="B299" i="1"/>
  <c r="B283" i="1"/>
  <c r="B269" i="1"/>
  <c r="B253" i="1"/>
  <c r="B251" i="1"/>
  <c r="B237" i="1"/>
  <c r="B235" i="1"/>
  <c r="B219" i="1"/>
  <c r="B205" i="1"/>
  <c r="B203" i="1"/>
  <c r="B189" i="1"/>
  <c r="B187" i="1"/>
  <c r="B173" i="1"/>
  <c r="B155" i="1"/>
  <c r="B141" i="1"/>
  <c r="B139" i="1"/>
  <c r="B125" i="1"/>
  <c r="B123" i="1"/>
  <c r="B109" i="1"/>
  <c r="B107" i="1"/>
  <c r="B93" i="1"/>
  <c r="B91" i="1"/>
  <c r="B77" i="1"/>
  <c r="B75" i="1"/>
  <c r="B61" i="1"/>
  <c r="B59" i="1"/>
  <c r="B45" i="1"/>
  <c r="B43" i="1"/>
  <c r="B29" i="1"/>
  <c r="B27" i="1"/>
  <c r="B13" i="1"/>
  <c r="B11" i="1"/>
  <c r="H36" i="4"/>
  <c r="H23" i="4"/>
  <c r="H43" i="4"/>
  <c r="H31" i="4"/>
  <c r="H11" i="4"/>
  <c r="H15" i="4"/>
  <c r="H7" i="4"/>
  <c r="H55" i="4"/>
  <c r="H19" i="4"/>
  <c r="H48" i="4"/>
  <c r="H13" i="4"/>
  <c r="H69" i="4"/>
  <c r="H64" i="4"/>
  <c r="I36" i="4"/>
  <c r="I23" i="4"/>
  <c r="I43" i="4"/>
  <c r="I31" i="4"/>
  <c r="I11" i="4"/>
  <c r="I15" i="4"/>
  <c r="I7" i="4"/>
  <c r="I55" i="4"/>
  <c r="I19" i="4"/>
  <c r="I48" i="4"/>
  <c r="I13" i="4"/>
  <c r="I69" i="4"/>
  <c r="I64" i="4"/>
  <c r="B4145" i="1"/>
  <c r="B4129" i="1"/>
  <c r="B4097" i="1"/>
  <c r="B4065" i="1"/>
  <c r="B4049" i="1"/>
  <c r="B4033" i="1"/>
  <c r="B4017" i="1"/>
  <c r="B4001" i="1"/>
  <c r="B3985" i="1"/>
  <c r="B3969" i="1"/>
  <c r="B3953" i="1"/>
  <c r="B3937" i="1"/>
  <c r="B3921" i="1"/>
  <c r="B3905" i="1"/>
  <c r="B3889" i="1"/>
  <c r="B3873" i="1"/>
  <c r="B3857" i="1"/>
  <c r="B3841" i="1"/>
  <c r="B3809" i="1"/>
  <c r="B3793" i="1"/>
  <c r="B3777" i="1"/>
  <c r="B3761" i="1"/>
  <c r="B3745" i="1"/>
  <c r="B3729" i="1"/>
  <c r="B3713" i="1"/>
  <c r="B3697" i="1"/>
  <c r="B3681" i="1"/>
  <c r="B3665" i="1"/>
  <c r="B3649" i="1"/>
  <c r="B3633" i="1"/>
  <c r="B3617" i="1"/>
  <c r="B3585" i="1"/>
  <c r="B3569" i="1"/>
  <c r="B3537" i="1"/>
  <c r="B3521" i="1"/>
  <c r="B3505" i="1"/>
  <c r="B3489" i="1"/>
  <c r="B3473" i="1"/>
  <c r="B3457" i="1"/>
  <c r="B3409" i="1"/>
  <c r="B3393" i="1"/>
  <c r="B3377" i="1"/>
  <c r="B3361" i="1"/>
  <c r="B3345" i="1"/>
  <c r="B3329" i="1"/>
  <c r="B3313" i="1"/>
  <c r="B3297" i="1"/>
  <c r="B3281" i="1"/>
  <c r="B3265" i="1"/>
  <c r="B3233" i="1"/>
  <c r="B3217" i="1"/>
  <c r="B3201" i="1"/>
  <c r="B3185" i="1"/>
  <c r="B3169" i="1"/>
  <c r="B3153" i="1"/>
  <c r="B3137" i="1"/>
  <c r="B3121" i="1"/>
  <c r="B3105" i="1"/>
  <c r="B3089" i="1"/>
  <c r="B3073" i="1"/>
  <c r="B3057" i="1"/>
  <c r="B3041" i="1"/>
  <c r="B3025" i="1"/>
  <c r="B3009" i="1"/>
  <c r="B2993" i="1"/>
  <c r="B2961" i="1"/>
  <c r="B2945" i="1"/>
  <c r="B2929" i="1"/>
  <c r="B2913" i="1"/>
  <c r="B2897" i="1"/>
  <c r="B2881" i="1"/>
  <c r="B2865" i="1"/>
  <c r="B2849" i="1"/>
  <c r="B2833" i="1"/>
  <c r="B2817" i="1"/>
  <c r="B2801" i="1"/>
  <c r="B2785" i="1"/>
  <c r="B2769" i="1"/>
  <c r="B2753" i="1"/>
  <c r="B2737" i="1"/>
  <c r="B2705" i="1"/>
  <c r="B2689" i="1"/>
  <c r="B2673" i="1"/>
  <c r="B2657" i="1"/>
  <c r="B2641" i="1"/>
  <c r="B2625" i="1"/>
  <c r="B2609" i="1"/>
  <c r="B2593" i="1"/>
  <c r="B2577" i="1"/>
  <c r="B2561" i="1"/>
  <c r="B2545" i="1"/>
  <c r="B2529" i="1"/>
  <c r="B2513" i="1"/>
  <c r="B2497" i="1"/>
  <c r="B2481" i="1"/>
  <c r="B2449" i="1"/>
  <c r="B2433" i="1"/>
  <c r="B2417" i="1"/>
  <c r="B2401" i="1"/>
  <c r="B2385" i="1"/>
  <c r="B2369" i="1"/>
  <c r="B2353" i="1"/>
  <c r="B2337" i="1"/>
  <c r="B2321" i="1"/>
  <c r="B2305" i="1"/>
  <c r="B2289" i="1"/>
  <c r="B2273" i="1"/>
  <c r="B2257" i="1"/>
  <c r="B2241" i="1"/>
  <c r="B2225" i="1"/>
  <c r="B2209" i="1"/>
  <c r="B2177" i="1"/>
  <c r="B2161" i="1"/>
  <c r="B2145" i="1"/>
  <c r="B2129" i="1"/>
  <c r="B2113" i="1"/>
  <c r="B2097" i="1"/>
  <c r="B2081" i="1"/>
  <c r="B2065" i="1"/>
  <c r="B2049" i="1"/>
  <c r="B2033" i="1"/>
  <c r="B2017" i="1"/>
  <c r="B2001" i="1"/>
  <c r="B1985" i="1"/>
  <c r="B1969" i="1"/>
  <c r="B1953" i="1"/>
  <c r="B1921" i="1"/>
  <c r="B1905" i="1"/>
  <c r="B1889" i="1"/>
  <c r="B1873" i="1"/>
  <c r="B1857" i="1"/>
  <c r="B1841" i="1"/>
  <c r="B1825" i="1"/>
  <c r="B1809" i="1"/>
  <c r="B1793" i="1"/>
  <c r="B1777" i="1"/>
  <c r="B1761" i="1"/>
  <c r="B1745" i="1"/>
  <c r="B1729" i="1"/>
  <c r="B1713" i="1"/>
  <c r="B1697" i="1"/>
  <c r="B1681" i="1"/>
  <c r="B1649" i="1"/>
  <c r="B1633" i="1"/>
  <c r="B1617" i="1"/>
  <c r="B1585" i="1"/>
  <c r="B1569" i="1"/>
  <c r="B1553" i="1"/>
  <c r="B1537" i="1"/>
  <c r="B1521" i="1"/>
  <c r="B1505" i="1"/>
  <c r="B1489" i="1"/>
  <c r="B1473" i="1"/>
  <c r="B1457" i="1"/>
  <c r="B1441" i="1"/>
  <c r="B1425" i="1"/>
  <c r="B1409" i="1"/>
  <c r="B1377" i="1"/>
  <c r="B1361" i="1"/>
  <c r="B1345" i="1"/>
  <c r="B1329" i="1"/>
  <c r="B1313" i="1"/>
  <c r="B1297" i="1"/>
  <c r="B1281" i="1"/>
  <c r="B1265" i="1"/>
  <c r="B1249" i="1"/>
  <c r="B1233" i="1"/>
  <c r="B1217" i="1"/>
  <c r="B1201" i="1"/>
  <c r="B1185" i="1"/>
  <c r="B1169" i="1"/>
  <c r="B1153" i="1"/>
  <c r="B1121" i="1"/>
  <c r="B1105" i="1"/>
  <c r="B1089" i="1"/>
  <c r="B1073" i="1"/>
  <c r="B1057" i="1"/>
  <c r="B1041" i="1"/>
  <c r="B1025" i="1"/>
  <c r="B1009" i="1"/>
  <c r="B993" i="1"/>
  <c r="B977" i="1"/>
  <c r="B961" i="1"/>
  <c r="B945" i="1"/>
  <c r="B929" i="1"/>
  <c r="B913" i="1"/>
  <c r="B897" i="1"/>
  <c r="B865" i="1"/>
  <c r="B849" i="1"/>
  <c r="B833" i="1"/>
  <c r="B817" i="1"/>
  <c r="B801" i="1"/>
  <c r="B785" i="1"/>
  <c r="B769" i="1"/>
  <c r="B753" i="1"/>
  <c r="B737" i="1"/>
  <c r="B721" i="1"/>
  <c r="B705" i="1"/>
  <c r="B689" i="1"/>
  <c r="B673" i="1"/>
  <c r="B657" i="1"/>
  <c r="B625" i="1"/>
  <c r="B609" i="1"/>
  <c r="B577" i="1"/>
  <c r="B561" i="1"/>
  <c r="B497" i="1"/>
  <c r="B385" i="1"/>
  <c r="B353" i="1"/>
  <c r="B321" i="1"/>
  <c r="B305" i="1"/>
  <c r="B289" i="1"/>
  <c r="B113" i="1"/>
  <c r="B81" i="1"/>
  <c r="B49" i="1"/>
  <c r="B33" i="1"/>
  <c r="B17" i="1"/>
  <c r="B4081" i="1"/>
  <c r="B3825" i="1"/>
  <c r="B3553" i="1"/>
  <c r="B3249" i="1"/>
  <c r="B2977" i="1"/>
  <c r="B2721" i="1"/>
  <c r="B2465" i="1"/>
  <c r="B2193" i="1"/>
  <c r="B1937" i="1"/>
  <c r="B1665" i="1"/>
  <c r="B1393" i="1"/>
  <c r="B1137" i="1"/>
  <c r="B881" i="1"/>
  <c r="B593" i="1"/>
  <c r="B337" i="1"/>
  <c r="B65" i="1"/>
  <c r="H8" i="4"/>
  <c r="I8" i="4"/>
  <c r="B4090" i="1"/>
  <c r="B3930" i="1"/>
  <c r="B3834" i="1"/>
  <c r="B3674" i="1"/>
  <c r="B3562" i="1"/>
  <c r="B3370" i="1"/>
  <c r="B3258" i="1"/>
  <c r="B3098" i="1"/>
  <c r="B3002" i="1"/>
  <c r="B2826" i="1"/>
  <c r="B2730" i="1"/>
  <c r="B2554" i="1"/>
  <c r="B2458" i="1"/>
  <c r="B2282" i="1"/>
  <c r="B2170" i="1"/>
  <c r="B1994" i="1"/>
  <c r="B1882" i="1"/>
  <c r="B1706" i="1"/>
  <c r="B1610" i="1"/>
  <c r="B1450" i="1"/>
  <c r="B1354" i="1"/>
  <c r="B794" i="1"/>
  <c r="B26" i="1"/>
  <c r="B4137" i="1"/>
  <c r="B4121" i="1"/>
  <c r="B4105" i="1"/>
  <c r="B4089" i="1"/>
  <c r="B4073" i="1"/>
  <c r="B4057" i="1"/>
  <c r="B4041" i="1"/>
  <c r="B4025" i="1"/>
  <c r="B4009" i="1"/>
  <c r="B3993" i="1"/>
  <c r="B3977" i="1"/>
  <c r="B3961" i="1"/>
  <c r="B3945" i="1"/>
  <c r="B3929" i="1"/>
  <c r="B3913" i="1"/>
  <c r="B3897" i="1"/>
  <c r="B3881" i="1"/>
  <c r="B3865" i="1"/>
  <c r="B3849" i="1"/>
  <c r="B3833" i="1"/>
  <c r="B3817" i="1"/>
  <c r="B3801" i="1"/>
  <c r="B3785" i="1"/>
  <c r="B3769" i="1"/>
  <c r="B3753" i="1"/>
  <c r="B3737" i="1"/>
  <c r="B3721" i="1"/>
  <c r="B3705" i="1"/>
  <c r="B3689" i="1"/>
  <c r="B3673" i="1"/>
  <c r="B3657" i="1"/>
  <c r="B3641" i="1"/>
  <c r="B3625" i="1"/>
  <c r="B3609" i="1"/>
  <c r="B3577" i="1"/>
  <c r="B3561" i="1"/>
  <c r="B3545" i="1"/>
  <c r="B3529" i="1"/>
  <c r="B3513" i="1"/>
  <c r="B3497" i="1"/>
  <c r="B3481" i="1"/>
  <c r="B3449" i="1"/>
  <c r="B3401" i="1"/>
  <c r="B3385" i="1"/>
  <c r="B3369" i="1"/>
  <c r="B3353" i="1"/>
  <c r="B3337" i="1"/>
  <c r="B3321" i="1"/>
  <c r="B3289" i="1"/>
  <c r="B3273" i="1"/>
  <c r="B3257" i="1"/>
  <c r="B3241" i="1"/>
  <c r="B3225" i="1"/>
  <c r="B3209" i="1"/>
  <c r="B3193" i="1"/>
  <c r="B3161" i="1"/>
  <c r="B3145" i="1"/>
  <c r="B3129" i="1"/>
  <c r="B3113" i="1"/>
  <c r="B3097" i="1"/>
  <c r="B3081" i="1"/>
  <c r="B3065" i="1"/>
  <c r="B3033" i="1"/>
  <c r="B3017" i="1"/>
  <c r="B3001" i="1"/>
  <c r="B2985" i="1"/>
  <c r="B2969" i="1"/>
  <c r="B2953" i="1"/>
  <c r="B2937" i="1"/>
  <c r="B2905" i="1"/>
  <c r="B2889" i="1"/>
  <c r="B2873" i="1"/>
  <c r="B2857" i="1"/>
  <c r="B2841" i="1"/>
  <c r="B2825" i="1"/>
  <c r="B2809" i="1"/>
  <c r="B2777" i="1"/>
  <c r="B2761" i="1"/>
  <c r="B2745" i="1"/>
  <c r="B2729" i="1"/>
  <c r="B2713" i="1"/>
  <c r="B2697" i="1"/>
  <c r="B2681" i="1"/>
  <c r="B2649" i="1"/>
  <c r="B2633" i="1"/>
  <c r="B2617" i="1"/>
  <c r="B2601" i="1"/>
  <c r="B2585" i="1"/>
  <c r="B2569" i="1"/>
  <c r="B2553" i="1"/>
  <c r="B2521" i="1"/>
  <c r="B2505" i="1"/>
  <c r="B2489" i="1"/>
  <c r="B2473" i="1"/>
  <c r="B2457" i="1"/>
  <c r="B2441" i="1"/>
  <c r="B2425" i="1"/>
  <c r="B2393" i="1"/>
  <c r="B2377" i="1"/>
  <c r="B2361" i="1"/>
  <c r="B2345" i="1"/>
  <c r="B2329" i="1"/>
  <c r="B2313" i="1"/>
  <c r="B2297" i="1"/>
  <c r="B2281" i="1"/>
  <c r="B2265" i="1"/>
  <c r="B2249" i="1"/>
  <c r="B2233" i="1"/>
  <c r="B2217" i="1"/>
  <c r="B2201" i="1"/>
  <c r="B2185" i="1"/>
  <c r="B2169" i="1"/>
  <c r="B2153" i="1"/>
  <c r="B2137" i="1"/>
  <c r="B2121" i="1"/>
  <c r="B2105" i="1"/>
  <c r="B2089" i="1"/>
  <c r="B2073" i="1"/>
  <c r="B2058" i="1"/>
  <c r="B2057" i="1"/>
  <c r="B2041" i="1"/>
  <c r="B2025" i="1"/>
  <c r="B2009" i="1"/>
  <c r="B1993" i="1"/>
  <c r="B1977" i="1"/>
  <c r="B1961" i="1"/>
  <c r="B1945" i="1"/>
  <c r="B1929" i="1"/>
  <c r="B1913" i="1"/>
  <c r="B1897" i="1"/>
  <c r="B1881" i="1"/>
  <c r="B1865" i="1"/>
  <c r="B1849" i="1"/>
  <c r="B1833" i="1"/>
  <c r="B1817" i="1"/>
  <c r="B1801" i="1"/>
  <c r="B1785" i="1"/>
  <c r="B1769" i="1"/>
  <c r="B1753" i="1"/>
  <c r="B1737" i="1"/>
  <c r="B1721" i="1"/>
  <c r="B1705" i="1"/>
  <c r="B1689" i="1"/>
  <c r="B1673" i="1"/>
  <c r="B1657" i="1"/>
  <c r="B1641" i="1"/>
  <c r="B1625" i="1"/>
  <c r="B1609" i="1"/>
  <c r="B1593" i="1"/>
  <c r="B1577" i="1"/>
  <c r="B1561" i="1"/>
  <c r="B1545" i="1"/>
  <c r="B1529" i="1"/>
  <c r="B1513" i="1"/>
  <c r="B1497" i="1"/>
  <c r="B1481" i="1"/>
  <c r="B1465" i="1"/>
  <c r="B1449" i="1"/>
  <c r="B1433" i="1"/>
  <c r="B1417" i="1"/>
  <c r="B1401" i="1"/>
  <c r="B1385" i="1"/>
  <c r="B1369" i="1"/>
  <c r="B1353" i="1"/>
  <c r="B1337" i="1"/>
  <c r="B1321" i="1"/>
  <c r="B1305" i="1"/>
  <c r="B1289" i="1"/>
  <c r="B1273" i="1"/>
  <c r="B1257" i="1"/>
  <c r="B1241" i="1"/>
  <c r="B1225" i="1"/>
  <c r="B1209" i="1"/>
  <c r="B1193" i="1"/>
  <c r="B1177" i="1"/>
  <c r="B1161" i="1"/>
  <c r="B1145" i="1"/>
  <c r="B1129" i="1"/>
  <c r="B1113" i="1"/>
  <c r="B1097" i="1"/>
  <c r="B1081" i="1"/>
  <c r="B1065" i="1"/>
  <c r="B1049" i="1"/>
  <c r="B1033" i="1"/>
  <c r="B1017" i="1"/>
  <c r="B1001" i="1"/>
  <c r="B985" i="1"/>
  <c r="B969" i="1"/>
  <c r="B953" i="1"/>
  <c r="B937" i="1"/>
  <c r="B921" i="1"/>
  <c r="B905" i="1"/>
  <c r="B889" i="1"/>
  <c r="B873" i="1"/>
  <c r="B857" i="1"/>
  <c r="B841" i="1"/>
  <c r="B825" i="1"/>
  <c r="B809" i="1"/>
  <c r="B793" i="1"/>
  <c r="B777" i="1"/>
  <c r="B761" i="1"/>
  <c r="B745" i="1"/>
  <c r="B729" i="1"/>
  <c r="B713" i="1"/>
  <c r="B697" i="1"/>
  <c r="B681" i="1"/>
  <c r="B665" i="1"/>
  <c r="B649" i="1"/>
  <c r="B633" i="1"/>
  <c r="B617" i="1"/>
  <c r="B601" i="1"/>
  <c r="B585" i="1"/>
  <c r="B569" i="1"/>
  <c r="B553" i="1"/>
  <c r="B537" i="1"/>
  <c r="B521" i="1"/>
  <c r="B505" i="1"/>
  <c r="B489" i="1"/>
  <c r="B473" i="1"/>
  <c r="B457" i="1"/>
  <c r="B441" i="1"/>
  <c r="B425" i="1"/>
  <c r="B409" i="1"/>
  <c r="B393" i="1"/>
  <c r="B377" i="1"/>
  <c r="B361" i="1"/>
  <c r="B345" i="1"/>
  <c r="B329" i="1"/>
  <c r="B313" i="1"/>
  <c r="B297" i="1"/>
  <c r="B281" i="1"/>
  <c r="B265" i="1"/>
  <c r="B249" i="1"/>
  <c r="B233" i="1"/>
  <c r="B201" i="1"/>
  <c r="B185" i="1"/>
  <c r="B169" i="1"/>
  <c r="B153" i="1"/>
  <c r="B137" i="1"/>
  <c r="B121" i="1"/>
  <c r="B105" i="1"/>
  <c r="B89" i="1"/>
  <c r="B73" i="1"/>
  <c r="B57" i="1"/>
  <c r="B41" i="1"/>
  <c r="B25" i="1"/>
  <c r="B9" i="1"/>
  <c r="B3593" i="1"/>
  <c r="B3465" i="1"/>
  <c r="B3305" i="1"/>
  <c r="B3177" i="1"/>
  <c r="B3049" i="1"/>
  <c r="B2921" i="1"/>
  <c r="B2793" i="1"/>
  <c r="B2665" i="1"/>
  <c r="B2537" i="1"/>
  <c r="B2409" i="1"/>
  <c r="B217" i="1"/>
  <c r="B4141" i="1"/>
  <c r="B4077" i="1"/>
  <c r="B3997" i="1"/>
  <c r="B3933" i="1"/>
  <c r="B3869" i="1"/>
  <c r="B3789" i="1"/>
  <c r="B3725" i="1"/>
  <c r="B3601" i="1"/>
  <c r="B3501" i="1"/>
  <c r="B3405" i="1"/>
  <c r="B3341" i="1"/>
  <c r="B3213" i="1"/>
  <c r="B3069" i="1"/>
  <c r="B3008" i="1"/>
  <c r="B3005" i="1"/>
  <c r="B2992" i="1"/>
  <c r="B2941" i="1"/>
  <c r="B2797" i="1"/>
  <c r="B2733" i="1"/>
  <c r="B2605" i="1"/>
  <c r="B2525" i="1"/>
  <c r="B2126" i="1"/>
  <c r="B2109" i="1"/>
  <c r="B1965" i="1"/>
  <c r="B1920" i="1"/>
  <c r="B1901" i="1"/>
  <c r="B1709" i="1"/>
  <c r="B1645" i="1"/>
  <c r="B1601" i="1"/>
  <c r="B1374" i="1"/>
  <c r="B1197" i="1"/>
  <c r="B1133" i="1"/>
  <c r="B1008" i="1"/>
  <c r="B816" i="1"/>
  <c r="B784" i="1"/>
  <c r="B592" i="1"/>
  <c r="B541" i="1"/>
  <c r="B477" i="1"/>
  <c r="B413" i="1"/>
  <c r="B349" i="1"/>
  <c r="B285" i="1"/>
  <c r="B221" i="1"/>
  <c r="B157" i="1"/>
  <c r="B4140" i="1"/>
  <c r="B4124" i="1"/>
  <c r="B4108" i="1"/>
  <c r="B4092" i="1"/>
  <c r="B4076" i="1"/>
  <c r="B4060" i="1"/>
  <c r="B4044" i="1"/>
  <c r="B4028" i="1"/>
  <c r="B4012" i="1"/>
  <c r="B3996" i="1"/>
  <c r="B3980" i="1"/>
  <c r="B3964" i="1"/>
  <c r="B3948" i="1"/>
  <c r="B3932" i="1"/>
  <c r="B3916" i="1"/>
  <c r="B3900" i="1"/>
  <c r="B3884" i="1"/>
  <c r="B3871" i="1"/>
  <c r="B3868" i="1"/>
  <c r="B3852" i="1"/>
  <c r="B3836" i="1"/>
  <c r="B3820" i="1"/>
  <c r="B3804" i="1"/>
  <c r="B3788" i="1"/>
  <c r="B3772" i="1"/>
  <c r="B3756" i="1"/>
  <c r="B3742" i="1"/>
  <c r="B3740" i="1"/>
  <c r="B3724" i="1"/>
  <c r="B3708" i="1"/>
  <c r="B3692" i="1"/>
  <c r="B3676" i="1"/>
  <c r="B3660" i="1"/>
  <c r="B3648" i="1"/>
  <c r="B3644" i="1"/>
  <c r="B3631" i="1"/>
  <c r="B3628" i="1"/>
  <c r="B3612" i="1"/>
  <c r="B3596" i="1"/>
  <c r="B3580" i="1"/>
  <c r="B3564" i="1"/>
  <c r="B3548" i="1"/>
  <c r="B3532" i="1"/>
  <c r="B3516" i="1"/>
  <c r="B3500" i="1"/>
  <c r="B3484" i="1"/>
  <c r="B3468" i="1"/>
  <c r="B3452" i="1"/>
  <c r="B3404" i="1"/>
  <c r="B3388" i="1"/>
  <c r="B3372" i="1"/>
  <c r="B3356" i="1"/>
  <c r="B3340" i="1"/>
  <c r="B3324" i="1"/>
  <c r="B3308" i="1"/>
  <c r="B3292" i="1"/>
  <c r="B3276" i="1"/>
  <c r="B3260" i="1"/>
  <c r="B3244" i="1"/>
  <c r="B3228" i="1"/>
  <c r="B3212" i="1"/>
  <c r="B3196" i="1"/>
  <c r="B3180" i="1"/>
  <c r="B3164" i="1"/>
  <c r="B3148" i="1"/>
  <c r="B3132" i="1"/>
  <c r="B3116" i="1"/>
  <c r="B3100" i="1"/>
  <c r="B3084" i="1"/>
  <c r="B3068" i="1"/>
  <c r="B3052" i="1"/>
  <c r="B3036" i="1"/>
  <c r="B3020" i="1"/>
  <c r="B3004" i="1"/>
  <c r="B2988" i="1"/>
  <c r="B2975" i="1"/>
  <c r="B2972" i="1"/>
  <c r="B2956" i="1"/>
  <c r="B2940" i="1"/>
  <c r="B2924" i="1"/>
  <c r="B2908" i="1"/>
  <c r="B2892" i="1"/>
  <c r="B2876" i="1"/>
  <c r="B2860" i="1"/>
  <c r="B2844" i="1"/>
  <c r="B2828" i="1"/>
  <c r="B2812" i="1"/>
  <c r="B2796" i="1"/>
  <c r="B2780" i="1"/>
  <c r="B2764" i="1"/>
  <c r="B2748" i="1"/>
  <c r="B2732" i="1"/>
  <c r="B2716" i="1"/>
  <c r="B2700" i="1"/>
  <c r="B2684" i="1"/>
  <c r="B2668" i="1"/>
  <c r="B2652" i="1"/>
  <c r="B2636" i="1"/>
  <c r="B2620" i="1"/>
  <c r="B2604" i="1"/>
  <c r="B2588" i="1"/>
  <c r="B2572" i="1"/>
  <c r="B2556" i="1"/>
  <c r="B2540" i="1"/>
  <c r="B2524" i="1"/>
  <c r="B2508" i="1"/>
  <c r="B2492" i="1"/>
  <c r="B2479" i="1"/>
  <c r="B2476" i="1"/>
  <c r="B2460" i="1"/>
  <c r="B2444" i="1"/>
  <c r="B2428" i="1"/>
  <c r="B2412" i="1"/>
  <c r="B2396" i="1"/>
  <c r="B2380" i="1"/>
  <c r="B2364" i="1"/>
  <c r="B2348" i="1"/>
  <c r="B2332" i="1"/>
  <c r="B2316" i="1"/>
  <c r="B2308" i="1"/>
  <c r="B2300" i="1"/>
  <c r="B2284" i="1"/>
  <c r="B2268" i="1"/>
  <c r="B2252" i="1"/>
  <c r="B2236" i="1"/>
  <c r="B2220" i="1"/>
  <c r="B2204" i="1"/>
  <c r="B2188" i="1"/>
  <c r="B2172" i="1"/>
  <c r="B2156" i="1"/>
  <c r="B2140" i="1"/>
  <c r="B2124" i="1"/>
  <c r="B2108" i="1"/>
  <c r="B2092" i="1"/>
  <c r="B2076" i="1"/>
  <c r="B2060" i="1"/>
  <c r="B2044" i="1"/>
  <c r="B2028" i="1"/>
  <c r="B2012" i="1"/>
  <c r="B1996" i="1"/>
  <c r="B1980" i="1"/>
  <c r="B1964" i="1"/>
  <c r="B1948" i="1"/>
  <c r="B1932" i="1"/>
  <c r="B1924" i="1"/>
  <c r="B1916" i="1"/>
  <c r="B1900" i="1"/>
  <c r="B1892" i="1"/>
  <c r="B1887" i="1"/>
  <c r="B1884" i="1"/>
  <c r="B1868" i="1"/>
  <c r="B1852" i="1"/>
  <c r="B1836" i="1"/>
  <c r="B1820" i="1"/>
  <c r="B1804" i="1"/>
  <c r="B1788" i="1"/>
  <c r="B1772" i="1"/>
  <c r="B1756" i="1"/>
  <c r="B1740" i="1"/>
  <c r="B1724" i="1"/>
  <c r="B1708" i="1"/>
  <c r="B1692" i="1"/>
  <c r="B1676" i="1"/>
  <c r="B1660" i="1"/>
  <c r="B1644" i="1"/>
  <c r="B1628" i="1"/>
  <c r="B1612" i="1"/>
  <c r="B1596" i="1"/>
  <c r="B1580" i="1"/>
  <c r="B1564" i="1"/>
  <c r="B1548" i="1"/>
  <c r="B1532" i="1"/>
  <c r="B1516" i="1"/>
  <c r="B1500" i="1"/>
  <c r="B1484" i="1"/>
  <c r="B1468" i="1"/>
  <c r="B1452" i="1"/>
  <c r="B1444" i="1"/>
  <c r="B1436" i="1"/>
  <c r="B1420" i="1"/>
  <c r="B1404" i="1"/>
  <c r="B1388" i="1"/>
  <c r="B1372" i="1"/>
  <c r="B1356" i="1"/>
  <c r="B1340" i="1"/>
  <c r="B1324" i="1"/>
  <c r="B1308" i="1"/>
  <c r="B1292" i="1"/>
  <c r="B1276" i="1"/>
  <c r="B1260" i="1"/>
  <c r="B1244" i="1"/>
  <c r="B1228" i="1"/>
  <c r="B1215" i="1"/>
  <c r="B1212" i="1"/>
  <c r="B1196" i="1"/>
  <c r="B1180" i="1"/>
  <c r="B1164" i="1"/>
  <c r="B1148" i="1"/>
  <c r="B1132" i="1"/>
  <c r="B1116" i="1"/>
  <c r="B1100" i="1"/>
  <c r="B1084" i="1"/>
  <c r="B1068" i="1"/>
  <c r="B1052" i="1"/>
  <c r="B1036" i="1"/>
  <c r="B1020" i="1"/>
  <c r="B1004" i="1"/>
  <c r="B988" i="1"/>
  <c r="B972" i="1"/>
  <c r="B956" i="1"/>
  <c r="B940" i="1"/>
  <c r="B924" i="1"/>
  <c r="B908" i="1"/>
  <c r="B892" i="1"/>
  <c r="B876" i="1"/>
  <c r="B860" i="1"/>
  <c r="B844" i="1"/>
  <c r="B831" i="1"/>
  <c r="B828" i="1"/>
  <c r="B812" i="1"/>
  <c r="B796" i="1"/>
  <c r="B780" i="1"/>
  <c r="B764" i="1"/>
  <c r="B748" i="1"/>
  <c r="B732" i="1"/>
  <c r="B716" i="1"/>
  <c r="B700" i="1"/>
  <c r="B684" i="1"/>
  <c r="B668" i="1"/>
  <c r="B652" i="1"/>
  <c r="B636" i="1"/>
  <c r="B620" i="1"/>
  <c r="B604" i="1"/>
  <c r="B591" i="1"/>
  <c r="B588" i="1"/>
  <c r="B572" i="1"/>
  <c r="B556" i="1"/>
  <c r="B540" i="1"/>
  <c r="B524" i="1"/>
  <c r="B508" i="1"/>
  <c r="B492" i="1"/>
  <c r="B476" i="1"/>
  <c r="B460" i="1"/>
  <c r="B444" i="1"/>
  <c r="B428" i="1"/>
  <c r="B412" i="1"/>
  <c r="B404" i="1"/>
  <c r="B396" i="1"/>
  <c r="B380" i="1"/>
  <c r="B364" i="1"/>
  <c r="B348" i="1"/>
  <c r="B332" i="1"/>
  <c r="B316" i="1"/>
  <c r="B300" i="1"/>
  <c r="B284" i="1"/>
  <c r="B268" i="1"/>
  <c r="B252" i="1"/>
  <c r="B236" i="1"/>
  <c r="B220" i="1"/>
  <c r="B204" i="1"/>
  <c r="B196" i="1"/>
  <c r="B188" i="1"/>
  <c r="B175" i="1"/>
  <c r="B172" i="1"/>
  <c r="B156" i="1"/>
  <c r="B140" i="1"/>
  <c r="B124" i="1"/>
  <c r="B108" i="1"/>
  <c r="B92" i="1"/>
  <c r="B76" i="1"/>
  <c r="B60" i="1"/>
  <c r="B44" i="1"/>
  <c r="B28" i="1"/>
  <c r="B12" i="1"/>
  <c r="C2059" i="2"/>
  <c r="C2625" i="2"/>
  <c r="C1469" i="2"/>
  <c r="C2917" i="2"/>
  <c r="C4948" i="2"/>
  <c r="C2639" i="2"/>
  <c r="C2025" i="2"/>
  <c r="C2642" i="2"/>
  <c r="C2634" i="2"/>
  <c r="C2630" i="2"/>
  <c r="C2637" i="2"/>
  <c r="C2399" i="2"/>
  <c r="C3747" i="2"/>
  <c r="C2645" i="2"/>
  <c r="C1060" i="2"/>
  <c r="C1413" i="2"/>
  <c r="C2647" i="2"/>
  <c r="C2653" i="2"/>
  <c r="C2648" i="2"/>
  <c r="C2650" i="2"/>
  <c r="C2651" i="2"/>
  <c r="C31" i="2"/>
  <c r="C1296" i="2"/>
  <c r="C1909" i="2"/>
  <c r="C615" i="2"/>
  <c r="C4852" i="2"/>
  <c r="C1604" i="2"/>
  <c r="C4577" i="2"/>
  <c r="C4620" i="2"/>
  <c r="C4147" i="2"/>
  <c r="C2659" i="2"/>
  <c r="C2660" i="2"/>
  <c r="C2661" i="2"/>
  <c r="C2662" i="2"/>
  <c r="C2665" i="2"/>
  <c r="C2213" i="2"/>
  <c r="C92" i="2"/>
  <c r="C4491" i="2"/>
  <c r="C2869" i="2"/>
  <c r="C2673" i="2"/>
  <c r="C2674" i="2"/>
  <c r="C890" i="2"/>
  <c r="C523" i="2"/>
  <c r="C2687" i="2"/>
  <c r="C2676" i="2"/>
  <c r="C2688" i="2"/>
  <c r="C2689" i="2"/>
  <c r="C4205" i="2"/>
  <c r="C2683" i="2"/>
  <c r="C2680" i="2"/>
  <c r="C2685" i="2"/>
  <c r="C1826" i="2"/>
  <c r="K400" i="5"/>
  <c r="K2694" i="5"/>
  <c r="K402" i="5"/>
  <c r="K403" i="5"/>
  <c r="K404" i="5"/>
  <c r="K2705" i="5"/>
  <c r="K406" i="5"/>
  <c r="K407" i="5"/>
  <c r="K408" i="5"/>
  <c r="K409" i="5"/>
  <c r="K2717" i="5"/>
  <c r="K2714" i="5"/>
  <c r="K421" i="5"/>
  <c r="K422" i="5"/>
  <c r="K423" i="5"/>
  <c r="K424" i="5"/>
  <c r="K425" i="5"/>
  <c r="K426" i="5"/>
  <c r="K427" i="5"/>
  <c r="K411" i="5"/>
  <c r="K412" i="5"/>
  <c r="K2715" i="5"/>
  <c r="K414" i="5"/>
  <c r="K415" i="5"/>
  <c r="K416" i="5"/>
  <c r="K417" i="5"/>
  <c r="K418" i="5"/>
  <c r="K419" i="5"/>
  <c r="K428" i="5"/>
  <c r="K271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7" i="5"/>
  <c r="K448" i="5"/>
  <c r="K449" i="5"/>
  <c r="K452" i="5"/>
  <c r="K2728" i="5"/>
  <c r="K454" i="5"/>
  <c r="K442" i="5"/>
  <c r="K2725" i="5"/>
  <c r="K444" i="5"/>
  <c r="K445" i="5"/>
  <c r="K2722" i="5"/>
  <c r="K451" i="5"/>
  <c r="K446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2729" i="5"/>
  <c r="K472" i="5"/>
  <c r="K473" i="5"/>
  <c r="K474" i="5"/>
  <c r="K475" i="5"/>
  <c r="K2731" i="5"/>
  <c r="K477" i="5"/>
  <c r="K478" i="5"/>
  <c r="K479" i="5"/>
  <c r="K480" i="5"/>
  <c r="K481" i="5"/>
  <c r="K2735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2748" i="5"/>
  <c r="K2743" i="5"/>
  <c r="K2744" i="5"/>
  <c r="K2738" i="5"/>
  <c r="K509" i="5"/>
  <c r="B4120" i="1"/>
  <c r="B4104" i="1"/>
  <c r="B4088" i="1"/>
  <c r="B4072" i="1"/>
  <c r="B4059" i="1"/>
  <c r="B4056" i="1"/>
  <c r="B4040" i="1"/>
  <c r="B4024" i="1"/>
  <c r="B3992" i="1"/>
  <c r="B3976" i="1"/>
  <c r="B3960" i="1"/>
  <c r="B3944" i="1"/>
  <c r="B3928" i="1"/>
  <c r="B3912" i="1"/>
  <c r="B3896" i="1"/>
  <c r="B3864" i="1"/>
  <c r="B3851" i="1"/>
  <c r="B3848" i="1"/>
  <c r="B3832" i="1"/>
  <c r="B3816" i="1"/>
  <c r="B3800" i="1"/>
  <c r="B3784" i="1"/>
  <c r="B3768" i="1"/>
  <c r="B3736" i="1"/>
  <c r="B3720" i="1"/>
  <c r="B3707" i="1"/>
  <c r="B3704" i="1"/>
  <c r="B3691" i="1"/>
  <c r="B3688" i="1"/>
  <c r="B3687" i="1"/>
  <c r="B3672" i="1"/>
  <c r="B3671" i="1"/>
  <c r="B3656" i="1"/>
  <c r="B3640" i="1"/>
  <c r="B3624" i="1"/>
  <c r="B3608" i="1"/>
  <c r="B3592" i="1"/>
  <c r="B3591" i="1"/>
  <c r="B3576" i="1"/>
  <c r="B3575" i="1"/>
  <c r="B3560" i="1"/>
  <c r="B3559" i="1"/>
  <c r="B3544" i="1"/>
  <c r="B3543" i="1"/>
  <c r="B3528" i="1"/>
  <c r="B3512" i="1"/>
  <c r="B3496" i="1"/>
  <c r="B3480" i="1"/>
  <c r="B3464" i="1"/>
  <c r="B3463" i="1"/>
  <c r="B3448" i="1"/>
  <c r="B3400" i="1"/>
  <c r="B3384" i="1"/>
  <c r="B3368" i="1"/>
  <c r="B3352" i="1"/>
  <c r="B3336" i="1"/>
  <c r="B3320" i="1"/>
  <c r="B3304" i="1"/>
  <c r="B3288" i="1"/>
  <c r="B3256" i="1"/>
  <c r="B3240" i="1"/>
  <c r="B3224" i="1"/>
  <c r="B3208" i="1"/>
  <c r="B3192" i="1"/>
  <c r="B3176" i="1"/>
  <c r="B3160" i="1"/>
  <c r="B3147" i="1"/>
  <c r="B3144" i="1"/>
  <c r="B3131" i="1"/>
  <c r="B3128" i="1"/>
  <c r="B3112" i="1"/>
  <c r="B3096" i="1"/>
  <c r="B3080" i="1"/>
  <c r="B3064" i="1"/>
  <c r="B3048" i="1"/>
  <c r="B3032" i="1"/>
  <c r="B3016" i="1"/>
  <c r="B3003" i="1"/>
  <c r="B3000" i="1"/>
  <c r="B2984" i="1"/>
  <c r="B2968" i="1"/>
  <c r="B2952" i="1"/>
  <c r="B2936" i="1"/>
  <c r="B2920" i="1"/>
  <c r="B2904" i="1"/>
  <c r="B2872" i="1"/>
  <c r="B2856" i="1"/>
  <c r="B2840" i="1"/>
  <c r="B2824" i="1"/>
  <c r="B2808" i="1"/>
  <c r="B2792" i="1"/>
  <c r="B2776" i="1"/>
  <c r="B2760" i="1"/>
  <c r="B2744" i="1"/>
  <c r="B2728" i="1"/>
  <c r="B2712" i="1"/>
  <c r="B2696" i="1"/>
  <c r="B2683" i="1"/>
  <c r="B2680" i="1"/>
  <c r="B2664" i="1"/>
  <c r="B2648" i="1"/>
  <c r="B2632" i="1"/>
  <c r="B2616" i="1"/>
  <c r="B2600" i="1"/>
  <c r="B2584" i="1"/>
  <c r="B2568" i="1"/>
  <c r="B2552" i="1"/>
  <c r="B2539" i="1"/>
  <c r="B2536" i="1"/>
  <c r="B2520" i="1"/>
  <c r="B2504" i="1"/>
  <c r="B2488" i="1"/>
  <c r="B2472" i="1"/>
  <c r="B2456" i="1"/>
  <c r="B2440" i="1"/>
  <c r="B2424" i="1"/>
  <c r="B2408" i="1"/>
  <c r="B2392" i="1"/>
  <c r="B2376" i="1"/>
  <c r="B2360" i="1"/>
  <c r="B2359" i="1"/>
  <c r="B2344" i="1"/>
  <c r="B2343" i="1"/>
  <c r="B2328" i="1"/>
  <c r="B2312" i="1"/>
  <c r="B2296" i="1"/>
  <c r="B2280" i="1"/>
  <c r="B2264" i="1"/>
  <c r="B2263" i="1"/>
  <c r="B2248" i="1"/>
  <c r="B2232" i="1"/>
  <c r="B2231" i="1"/>
  <c r="B2216" i="1"/>
  <c r="B2215" i="1"/>
  <c r="B2200" i="1"/>
  <c r="B2184" i="1"/>
  <c r="B2152" i="1"/>
  <c r="B2136" i="1"/>
  <c r="B2135" i="1"/>
  <c r="B2120" i="1"/>
  <c r="B2104" i="1"/>
  <c r="B2103" i="1"/>
  <c r="B2088" i="1"/>
  <c r="B2087" i="1"/>
  <c r="B2072" i="1"/>
  <c r="B2056" i="1"/>
  <c r="B2040" i="1"/>
  <c r="B2024" i="1"/>
  <c r="B2008" i="1"/>
  <c r="B2007" i="1"/>
  <c r="B1992" i="1"/>
  <c r="B1976" i="1"/>
  <c r="B1975" i="1"/>
  <c r="B1960" i="1"/>
  <c r="B1959" i="1"/>
  <c r="B1944" i="1"/>
  <c r="B1928" i="1"/>
  <c r="B1912" i="1"/>
  <c r="B1896" i="1"/>
  <c r="B1880" i="1"/>
  <c r="B1864" i="1"/>
  <c r="B1863" i="1"/>
  <c r="B1848" i="1"/>
  <c r="B1847" i="1"/>
  <c r="B1832" i="1"/>
  <c r="B1831" i="1"/>
  <c r="B1816" i="1"/>
  <c r="B1815" i="1"/>
  <c r="B1800" i="1"/>
  <c r="B1784" i="1"/>
  <c r="B1768" i="1"/>
  <c r="B1755" i="1"/>
  <c r="B1752" i="1"/>
  <c r="B1736" i="1"/>
  <c r="B1720" i="1"/>
  <c r="B1704" i="1"/>
  <c r="B1703" i="1"/>
  <c r="B1688" i="1"/>
  <c r="B1687" i="1"/>
  <c r="B1672" i="1"/>
  <c r="B1656" i="1"/>
  <c r="B1640" i="1"/>
  <c r="B1624" i="1"/>
  <c r="B1608" i="1"/>
  <c r="B1592" i="1"/>
  <c r="B1591" i="1"/>
  <c r="B1576" i="1"/>
  <c r="B1575" i="1"/>
  <c r="B1560" i="1"/>
  <c r="B1559" i="1"/>
  <c r="B1544" i="1"/>
  <c r="B1543" i="1"/>
  <c r="B1528" i="1"/>
  <c r="B1512" i="1"/>
  <c r="B1496" i="1"/>
  <c r="B1480" i="1"/>
  <c r="B1464" i="1"/>
  <c r="B1448" i="1"/>
  <c r="B1447" i="1"/>
  <c r="B1432" i="1"/>
  <c r="B1416" i="1"/>
  <c r="B1415" i="1"/>
  <c r="B1400" i="1"/>
  <c r="B1399" i="1"/>
  <c r="B1384" i="1"/>
  <c r="B1368" i="1"/>
  <c r="B1336" i="1"/>
  <c r="B1320" i="1"/>
  <c r="B1319" i="1"/>
  <c r="B1304" i="1"/>
  <c r="B1288" i="1"/>
  <c r="B1287" i="1"/>
  <c r="B1272" i="1"/>
  <c r="B1271" i="1"/>
  <c r="B1259" i="1"/>
  <c r="B1256" i="1"/>
  <c r="B1255" i="1"/>
  <c r="B1240" i="1"/>
  <c r="B1224" i="1"/>
  <c r="B1208" i="1"/>
  <c r="B1192" i="1"/>
  <c r="B1176" i="1"/>
  <c r="B1175" i="1"/>
  <c r="B1160" i="1"/>
  <c r="B1144" i="1"/>
  <c r="B1143" i="1"/>
  <c r="B1131" i="1"/>
  <c r="B1128" i="1"/>
  <c r="B1127" i="1"/>
  <c r="B1112" i="1"/>
  <c r="B1111" i="1"/>
  <c r="B1096" i="1"/>
  <c r="B1080" i="1"/>
  <c r="B1064" i="1"/>
  <c r="B1048" i="1"/>
  <c r="B1047" i="1"/>
  <c r="B1032" i="1"/>
  <c r="B1019" i="1"/>
  <c r="B1016" i="1"/>
  <c r="B1015" i="1"/>
  <c r="B1000" i="1"/>
  <c r="B999" i="1"/>
  <c r="B984" i="1"/>
  <c r="B983" i="1"/>
  <c r="B968" i="1"/>
  <c r="B952" i="1"/>
  <c r="B904" i="1"/>
  <c r="B888" i="1"/>
  <c r="B887" i="1"/>
  <c r="B872" i="1"/>
  <c r="B871" i="1"/>
  <c r="B856" i="1"/>
  <c r="B855" i="1"/>
  <c r="B840" i="1"/>
  <c r="B824" i="1"/>
  <c r="B808" i="1"/>
  <c r="B795" i="1"/>
  <c r="B792" i="1"/>
  <c r="B776" i="1"/>
  <c r="B775" i="1"/>
  <c r="B760" i="1"/>
  <c r="B744" i="1"/>
  <c r="B743" i="1"/>
  <c r="B728" i="1"/>
  <c r="B727" i="1"/>
  <c r="B712" i="1"/>
  <c r="B711" i="1"/>
  <c r="B699" i="1"/>
  <c r="B696" i="1"/>
  <c r="B680" i="1"/>
  <c r="B664" i="1"/>
  <c r="B648" i="1"/>
  <c r="B647" i="1"/>
  <c r="B632" i="1"/>
  <c r="B616" i="1"/>
  <c r="B615" i="1"/>
  <c r="B600" i="1"/>
  <c r="B599" i="1"/>
  <c r="B584" i="1"/>
  <c r="B583" i="1"/>
  <c r="B568" i="1"/>
  <c r="B552" i="1"/>
  <c r="B536" i="1"/>
  <c r="B520" i="1"/>
  <c r="B519" i="1"/>
  <c r="B504" i="1"/>
  <c r="B503" i="1"/>
  <c r="B488" i="1"/>
  <c r="B487" i="1"/>
  <c r="B472" i="1"/>
  <c r="B471" i="1"/>
  <c r="B456" i="1"/>
  <c r="B455" i="1"/>
  <c r="B440" i="1"/>
  <c r="B424" i="1"/>
  <c r="B408" i="1"/>
  <c r="B392" i="1"/>
  <c r="B391" i="1"/>
  <c r="B376" i="1"/>
  <c r="B375" i="1"/>
  <c r="B360" i="1"/>
  <c r="B359" i="1"/>
  <c r="B344" i="1"/>
  <c r="B343" i="1"/>
  <c r="B328" i="1"/>
  <c r="B327" i="1"/>
  <c r="B312" i="1"/>
  <c r="B296" i="1"/>
  <c r="B280" i="1"/>
  <c r="B267" i="1"/>
  <c r="B264" i="1"/>
  <c r="B263" i="1"/>
  <c r="B248" i="1"/>
  <c r="B232" i="1"/>
  <c r="B231" i="1"/>
  <c r="B216" i="1"/>
  <c r="B215" i="1"/>
  <c r="B200" i="1"/>
  <c r="B199" i="1"/>
  <c r="B184" i="1"/>
  <c r="B183" i="1"/>
  <c r="B171" i="1"/>
  <c r="B168" i="1"/>
  <c r="B167" i="1"/>
  <c r="B152" i="1"/>
  <c r="B136" i="1"/>
  <c r="B135" i="1"/>
  <c r="B120" i="1"/>
  <c r="B119" i="1"/>
  <c r="B104" i="1"/>
  <c r="B103" i="1"/>
  <c r="B88" i="1"/>
  <c r="B87" i="1"/>
  <c r="B72" i="1"/>
  <c r="B71" i="1"/>
  <c r="B56" i="1"/>
  <c r="B40" i="1"/>
  <c r="B39" i="1"/>
  <c r="B24" i="1"/>
  <c r="B8" i="1"/>
  <c r="B7" i="1"/>
  <c r="B3458" i="1"/>
  <c r="B3462" i="1"/>
  <c r="B3474" i="1"/>
  <c r="B3478" i="1"/>
  <c r="B3479" i="1"/>
  <c r="B3494" i="1"/>
  <c r="B3495" i="1"/>
  <c r="B3511" i="1"/>
  <c r="B3527" i="1"/>
  <c r="B3540" i="1"/>
  <c r="B3542" i="1"/>
  <c r="B3554" i="1"/>
  <c r="B3558" i="1"/>
  <c r="B3570" i="1"/>
  <c r="B3574" i="1"/>
  <c r="B3590" i="1"/>
  <c r="B3606" i="1"/>
  <c r="B3607" i="1"/>
  <c r="B3622" i="1"/>
  <c r="B3623" i="1"/>
  <c r="B3638" i="1"/>
  <c r="B3639" i="1"/>
  <c r="B3654" i="1"/>
  <c r="B3655" i="1"/>
  <c r="B3666" i="1"/>
  <c r="B3670" i="1"/>
  <c r="B3686" i="1"/>
  <c r="H70" i="4"/>
  <c r="H34" i="4"/>
  <c r="I70" i="4"/>
  <c r="I34" i="4"/>
  <c r="K812" i="5"/>
  <c r="K3298" i="5"/>
  <c r="K814" i="5"/>
  <c r="K3318" i="5"/>
  <c r="K3151" i="5"/>
  <c r="K3679" i="5"/>
  <c r="K1882" i="5"/>
  <c r="K3150" i="5"/>
  <c r="K250" i="5"/>
  <c r="K2111" i="5"/>
  <c r="K3153" i="5"/>
  <c r="K817" i="5"/>
  <c r="K818" i="5"/>
  <c r="K2024" i="5"/>
  <c r="K3742" i="5"/>
  <c r="K3323" i="5"/>
  <c r="K3154" i="5"/>
  <c r="K363" i="5"/>
  <c r="K1732" i="5"/>
  <c r="K3152" i="5"/>
  <c r="K2112" i="5"/>
  <c r="K1870" i="5"/>
  <c r="K251" i="5"/>
  <c r="K1599" i="5"/>
  <c r="K816" i="5"/>
  <c r="K334" i="5"/>
  <c r="K3155" i="5"/>
  <c r="K3863" i="5"/>
  <c r="K4002" i="5"/>
  <c r="K824" i="5"/>
  <c r="K3332" i="5"/>
  <c r="K826" i="5"/>
  <c r="K1694" i="5"/>
  <c r="K364" i="5"/>
  <c r="K2115" i="5"/>
  <c r="K3769" i="5"/>
  <c r="K3338" i="5"/>
  <c r="K1695" i="5"/>
  <c r="K1698" i="5"/>
  <c r="K2408" i="5"/>
  <c r="K827" i="5"/>
  <c r="K335" i="5"/>
  <c r="K828" i="5"/>
  <c r="K829" i="5"/>
  <c r="K3157" i="5"/>
  <c r="K830" i="5"/>
  <c r="K169" i="5"/>
  <c r="K2116" i="5"/>
  <c r="K821" i="5"/>
  <c r="K1600" i="5"/>
  <c r="K822" i="5"/>
  <c r="K823" i="5"/>
  <c r="K1601" i="5"/>
  <c r="K3160" i="5"/>
  <c r="K831" i="5"/>
  <c r="K3791" i="5"/>
  <c r="K3789" i="5"/>
  <c r="K186" i="5"/>
  <c r="K348" i="5"/>
  <c r="K365" i="5"/>
  <c r="K3864" i="5"/>
  <c r="K1872" i="5"/>
  <c r="K3356" i="5"/>
  <c r="K1522" i="5"/>
  <c r="K833" i="5"/>
  <c r="K1374" i="5"/>
  <c r="K2117" i="5"/>
  <c r="K2004" i="5"/>
  <c r="K252" i="5"/>
  <c r="K344" i="5"/>
  <c r="K4086" i="5"/>
  <c r="K3161" i="5"/>
  <c r="K1883" i="5"/>
  <c r="K3869" i="5"/>
  <c r="K1607" i="5"/>
  <c r="K366" i="5"/>
  <c r="K834" i="5"/>
  <c r="K1734" i="5"/>
  <c r="K3162" i="5"/>
  <c r="K360" i="5"/>
  <c r="K345" i="5"/>
  <c r="K3172" i="5"/>
  <c r="K368" i="5"/>
  <c r="K2137" i="5"/>
  <c r="K3163" i="5"/>
  <c r="K2139" i="5"/>
  <c r="K835" i="5"/>
  <c r="K3680" i="5"/>
  <c r="K836" i="5"/>
  <c r="K3164" i="5"/>
  <c r="K837" i="5"/>
  <c r="K1700" i="5"/>
  <c r="K2138" i="5"/>
  <c r="K201" i="5"/>
  <c r="K367" i="5"/>
  <c r="K838" i="5"/>
  <c r="K839" i="5"/>
  <c r="K3166" i="5"/>
  <c r="K261" i="5"/>
  <c r="K1702" i="5"/>
  <c r="K1884" i="5"/>
  <c r="K1972" i="5"/>
  <c r="K3168" i="5"/>
  <c r="K1736" i="5"/>
  <c r="K3169" i="5"/>
  <c r="K3743" i="5"/>
  <c r="K3170" i="5"/>
  <c r="K840" i="5"/>
  <c r="K2407" i="5"/>
  <c r="K2437" i="5"/>
  <c r="K842" i="5"/>
  <c r="K3174" i="5"/>
  <c r="K3182" i="5"/>
  <c r="K1885" i="5"/>
  <c r="K3183" i="5"/>
  <c r="K3357" i="5"/>
  <c r="K3184" i="5"/>
  <c r="K844" i="5"/>
  <c r="K132" i="5"/>
  <c r="K3171" i="5"/>
  <c r="K3173" i="5"/>
  <c r="K2140" i="5"/>
  <c r="K2417" i="5"/>
  <c r="K1523" i="5"/>
  <c r="K3179" i="5"/>
  <c r="K2037" i="5"/>
  <c r="K1874" i="5"/>
  <c r="K3180" i="5"/>
  <c r="K3867" i="5"/>
  <c r="K3175" i="5"/>
  <c r="K3362" i="5"/>
  <c r="K848" i="5"/>
  <c r="K853" i="5"/>
  <c r="K2119" i="5"/>
  <c r="K369" i="5"/>
  <c r="K3363" i="5"/>
  <c r="K855" i="5"/>
  <c r="K3744" i="5"/>
  <c r="K841" i="5"/>
  <c r="K3185" i="5"/>
  <c r="K263" i="5"/>
  <c r="K3186" i="5"/>
  <c r="K2142" i="5"/>
  <c r="K3187" i="5"/>
  <c r="K845" i="5"/>
  <c r="K3188" i="5"/>
  <c r="K2418" i="5"/>
  <c r="K3190" i="5"/>
  <c r="K264" i="5"/>
  <c r="K3868" i="5"/>
  <c r="K847" i="5"/>
  <c r="K1703" i="5"/>
  <c r="K2421" i="5"/>
  <c r="K2443" i="5"/>
  <c r="K3871" i="5"/>
  <c r="K1711" i="5"/>
  <c r="K346" i="5"/>
  <c r="K856" i="5"/>
  <c r="K1379" i="5"/>
  <c r="K3178" i="5"/>
  <c r="K3176" i="5"/>
  <c r="K3177" i="5"/>
  <c r="K2120" i="5"/>
  <c r="K202" i="5"/>
  <c r="K2141" i="5"/>
  <c r="K2143" i="5"/>
  <c r="K1875" i="5"/>
  <c r="K3181" i="5"/>
  <c r="K2428" i="5"/>
  <c r="K3870" i="5"/>
  <c r="K1366" i="5"/>
  <c r="K381" i="5"/>
  <c r="K3193" i="5"/>
  <c r="K3194" i="5"/>
  <c r="K2422" i="5"/>
  <c r="K1369" i="5"/>
  <c r="K3195" i="5"/>
  <c r="K857" i="5"/>
  <c r="K858" i="5"/>
  <c r="K2025" i="5"/>
  <c r="K3364" i="5"/>
  <c r="K375" i="5"/>
  <c r="K1876" i="5"/>
  <c r="K3189" i="5"/>
  <c r="K1715" i="5"/>
  <c r="K3197" i="5"/>
  <c r="K860" i="5"/>
  <c r="K2420" i="5"/>
  <c r="K2114" i="5"/>
  <c r="K376" i="5"/>
  <c r="K1886" i="5"/>
  <c r="K2121" i="5"/>
  <c r="K849" i="5"/>
  <c r="K850" i="5"/>
  <c r="K3198" i="5"/>
  <c r="K851" i="5"/>
  <c r="K852" i="5"/>
  <c r="K2446" i="5"/>
  <c r="K3199" i="5"/>
  <c r="K3200" i="5"/>
  <c r="K3205" i="5"/>
  <c r="K3201" i="5"/>
  <c r="K1967" i="5"/>
  <c r="K861" i="5"/>
  <c r="K3202" i="5"/>
  <c r="K3203" i="5"/>
  <c r="K862" i="5"/>
  <c r="K2123" i="5"/>
  <c r="K1716" i="5"/>
  <c r="K2424" i="5"/>
  <c r="K863" i="5"/>
  <c r="K864" i="5"/>
  <c r="K2122" i="5"/>
  <c r="K3746" i="5"/>
  <c r="K865" i="5"/>
  <c r="K3380" i="5"/>
  <c r="K1524" i="5"/>
  <c r="K868" i="5"/>
  <c r="K869" i="5"/>
  <c r="K3213" i="5"/>
  <c r="K2005" i="5"/>
  <c r="K867" i="5"/>
  <c r="K2126" i="5"/>
  <c r="K3214" i="5"/>
  <c r="K2128" i="5"/>
  <c r="K870" i="5"/>
  <c r="K1887" i="5"/>
  <c r="K3771" i="5"/>
  <c r="K2427" i="5"/>
  <c r="K3215" i="5"/>
  <c r="K871" i="5"/>
  <c r="K2426" i="5"/>
  <c r="K1968" i="5"/>
  <c r="K1969" i="5"/>
  <c r="K1539" i="5"/>
  <c r="K1721" i="5"/>
  <c r="K2124" i="5"/>
  <c r="K872" i="5"/>
  <c r="K2630" i="5"/>
  <c r="K2125" i="5"/>
  <c r="K2425" i="5"/>
  <c r="K203" i="5"/>
  <c r="K873" i="5"/>
  <c r="K874" i="5"/>
  <c r="K2127" i="5"/>
  <c r="K875" i="5"/>
  <c r="K3206" i="5"/>
  <c r="K3875" i="5"/>
  <c r="K876" i="5"/>
  <c r="K3208" i="5"/>
  <c r="K2054" i="5"/>
  <c r="K878" i="5"/>
  <c r="K3209" i="5"/>
  <c r="K3780" i="5"/>
  <c r="K395" i="5"/>
  <c r="K204" i="5"/>
  <c r="K266" i="5"/>
  <c r="K1727" i="5"/>
  <c r="K877" i="5"/>
  <c r="K879" i="5"/>
  <c r="K3661" i="5"/>
  <c r="K880" i="5"/>
  <c r="K3387" i="5"/>
  <c r="K3210" i="5"/>
  <c r="K3211" i="5"/>
  <c r="K1889" i="5"/>
  <c r="K3212" i="5"/>
  <c r="K2588" i="5"/>
  <c r="K882" i="5"/>
  <c r="K883" i="5"/>
  <c r="K884" i="5"/>
  <c r="K267" i="5"/>
  <c r="K2118" i="5"/>
  <c r="K2130" i="5"/>
  <c r="K3217" i="5"/>
  <c r="K2131" i="5"/>
  <c r="K885" i="5"/>
  <c r="K3218" i="5"/>
  <c r="K3219" i="5"/>
  <c r="K2132" i="5"/>
  <c r="K2133" i="5"/>
  <c r="K1680" i="5"/>
  <c r="K3220" i="5"/>
  <c r="K3221" i="5"/>
  <c r="K2134" i="5"/>
  <c r="K3222" i="5"/>
  <c r="K2147" i="5"/>
  <c r="K886" i="5"/>
  <c r="K3224" i="5"/>
  <c r="K3223" i="5"/>
  <c r="K2423" i="5"/>
  <c r="K820" i="5"/>
  <c r="K887" i="5"/>
  <c r="K401" i="5"/>
  <c r="K3225" i="5"/>
  <c r="K2135" i="5"/>
  <c r="K3226" i="5"/>
  <c r="K3229" i="5"/>
  <c r="K3230" i="5"/>
  <c r="K3231" i="5"/>
  <c r="K370" i="5"/>
  <c r="K888" i="5"/>
  <c r="K3876" i="5"/>
  <c r="K2148" i="5"/>
  <c r="K3232" i="5"/>
  <c r="K2149" i="5"/>
  <c r="K889" i="5"/>
  <c r="K1733" i="5"/>
  <c r="K2429" i="5"/>
  <c r="K1735" i="5"/>
  <c r="K268" i="5"/>
  <c r="K3366" i="5"/>
  <c r="K2150" i="5"/>
  <c r="K1891" i="5"/>
  <c r="K269" i="5"/>
  <c r="K3227" i="5"/>
  <c r="K1892" i="5"/>
  <c r="K1525" i="5"/>
  <c r="K3830" i="5"/>
  <c r="K891" i="5"/>
  <c r="K3228" i="5"/>
  <c r="K3240" i="5"/>
  <c r="K2430" i="5"/>
  <c r="K892" i="5"/>
  <c r="K3368" i="5"/>
  <c r="K2154" i="5"/>
  <c r="K371" i="5"/>
  <c r="K3378" i="5"/>
  <c r="K2435" i="5"/>
  <c r="K3236" i="5"/>
  <c r="K902" i="5"/>
  <c r="K358" i="5"/>
  <c r="K3681" i="5"/>
  <c r="K3237" i="5"/>
  <c r="K2074" i="5"/>
  <c r="K206" i="5"/>
  <c r="K207" i="5"/>
  <c r="K3241" i="5"/>
  <c r="K2152" i="5"/>
  <c r="K899" i="5"/>
  <c r="K1893" i="5"/>
  <c r="K2153" i="5"/>
  <c r="K900" i="5"/>
  <c r="K901" i="5"/>
  <c r="K3242" i="5"/>
  <c r="K1738" i="5"/>
  <c r="K1608" i="5"/>
  <c r="K3243" i="5"/>
  <c r="K2151" i="5"/>
  <c r="K3235" i="5"/>
  <c r="K1896" i="5"/>
  <c r="K3690" i="5"/>
  <c r="K894" i="5"/>
  <c r="K3238" i="5"/>
  <c r="K208" i="5"/>
  <c r="K3418" i="5"/>
  <c r="K2155" i="5"/>
  <c r="K1905" i="5"/>
  <c r="K270" i="5"/>
  <c r="K3239" i="5"/>
  <c r="K896" i="5"/>
  <c r="K2158" i="5"/>
  <c r="B4136" i="1"/>
  <c r="B4135" i="1"/>
  <c r="B4103" i="1"/>
  <c r="B4087" i="1"/>
  <c r="B4071" i="1"/>
  <c r="B4055" i="1"/>
  <c r="B4039" i="1"/>
  <c r="B4023" i="1"/>
  <c r="B4008" i="1"/>
  <c r="B4007" i="1"/>
  <c r="B3991" i="1"/>
  <c r="B3975" i="1"/>
  <c r="B3959" i="1"/>
  <c r="B3943" i="1"/>
  <c r="B3927" i="1"/>
  <c r="B3911" i="1"/>
  <c r="B3895" i="1"/>
  <c r="B3880" i="1"/>
  <c r="B3879" i="1"/>
  <c r="B3863" i="1"/>
  <c r="B3847" i="1"/>
  <c r="B3831" i="1"/>
  <c r="B3815" i="1"/>
  <c r="B3799" i="1"/>
  <c r="B3783" i="1"/>
  <c r="B3767" i="1"/>
  <c r="B3752" i="1"/>
  <c r="B3751" i="1"/>
  <c r="B3735" i="1"/>
  <c r="B3719" i="1"/>
  <c r="B3703" i="1"/>
  <c r="B3399" i="1"/>
  <c r="B3383" i="1"/>
  <c r="B3367" i="1"/>
  <c r="B3351" i="1"/>
  <c r="B3335" i="1"/>
  <c r="B3319" i="1"/>
  <c r="B3303" i="1"/>
  <c r="B3287" i="1"/>
  <c r="B3272" i="1"/>
  <c r="B3271" i="1"/>
  <c r="B3255" i="1"/>
  <c r="B3239" i="1"/>
  <c r="B3223" i="1"/>
  <c r="B3207" i="1"/>
  <c r="B3191" i="1"/>
  <c r="B3175" i="1"/>
  <c r="B3159" i="1"/>
  <c r="B3143" i="1"/>
  <c r="B3127" i="1"/>
  <c r="B3111" i="1"/>
  <c r="B3095" i="1"/>
  <c r="B3079" i="1"/>
  <c r="B3063" i="1"/>
  <c r="B3047" i="1"/>
  <c r="B3031" i="1"/>
  <c r="B3015" i="1"/>
  <c r="B2999" i="1"/>
  <c r="B2983" i="1"/>
  <c r="B2967" i="1"/>
  <c r="B2951" i="1"/>
  <c r="B2935" i="1"/>
  <c r="B2919" i="1"/>
  <c r="B2903" i="1"/>
  <c r="B2888" i="1"/>
  <c r="B2887" i="1"/>
  <c r="B2871" i="1"/>
  <c r="B2855" i="1"/>
  <c r="B2839" i="1"/>
  <c r="B2823" i="1"/>
  <c r="B2807" i="1"/>
  <c r="B2791" i="1"/>
  <c r="B2775" i="1"/>
  <c r="B2759" i="1"/>
  <c r="B2743" i="1"/>
  <c r="B2727" i="1"/>
  <c r="B2711" i="1"/>
  <c r="B2695" i="1"/>
  <c r="B2679" i="1"/>
  <c r="B2663" i="1"/>
  <c r="B2647" i="1"/>
  <c r="B2631" i="1"/>
  <c r="B2615" i="1"/>
  <c r="B2599" i="1"/>
  <c r="B2583" i="1"/>
  <c r="B2567" i="1"/>
  <c r="B2551" i="1"/>
  <c r="B2535" i="1"/>
  <c r="B2519" i="1"/>
  <c r="B2503" i="1"/>
  <c r="B2487" i="1"/>
  <c r="B2471" i="1"/>
  <c r="B2455" i="1"/>
  <c r="B2439" i="1"/>
  <c r="B2423" i="1"/>
  <c r="B2407" i="1"/>
  <c r="B2391" i="1"/>
  <c r="B2375" i="1"/>
  <c r="B2327" i="1"/>
  <c r="B2311" i="1"/>
  <c r="B2295" i="1"/>
  <c r="B2279" i="1"/>
  <c r="B2247" i="1"/>
  <c r="B2199" i="1"/>
  <c r="B2183" i="1"/>
  <c r="B2168" i="1"/>
  <c r="B2167" i="1"/>
  <c r="B2151" i="1"/>
  <c r="B2119" i="1"/>
  <c r="B2071" i="1"/>
  <c r="B2055" i="1"/>
  <c r="B2039" i="1"/>
  <c r="B2023" i="1"/>
  <c r="B1991" i="1"/>
  <c r="B1943" i="1"/>
  <c r="B1927" i="1"/>
  <c r="B1911" i="1"/>
  <c r="B1895" i="1"/>
  <c r="B1879" i="1"/>
  <c r="B1799" i="1"/>
  <c r="B1783" i="1"/>
  <c r="B1767" i="1"/>
  <c r="B1751" i="1"/>
  <c r="B1735" i="1"/>
  <c r="B1719" i="1"/>
  <c r="B1671" i="1"/>
  <c r="B1655" i="1"/>
  <c r="B1639" i="1"/>
  <c r="B1623" i="1"/>
  <c r="B1607" i="1"/>
  <c r="B1527" i="1"/>
  <c r="B1511" i="1"/>
  <c r="B1495" i="1"/>
  <c r="B1479" i="1"/>
  <c r="B1463" i="1"/>
  <c r="B1431" i="1"/>
  <c r="B1383" i="1"/>
  <c r="B1367" i="1"/>
  <c r="B1352" i="1"/>
  <c r="B1351" i="1"/>
  <c r="B1335" i="1"/>
  <c r="B1303" i="1"/>
  <c r="B1239" i="1"/>
  <c r="B1223" i="1"/>
  <c r="B1207" i="1"/>
  <c r="B1191" i="1"/>
  <c r="B1159" i="1"/>
  <c r="B1095" i="1"/>
  <c r="B1079" i="1"/>
  <c r="B1063" i="1"/>
  <c r="B1031" i="1"/>
  <c r="B967" i="1"/>
  <c r="B951" i="1"/>
  <c r="B935" i="1"/>
  <c r="B919" i="1"/>
  <c r="B903" i="1"/>
  <c r="B839" i="1"/>
  <c r="B823" i="1"/>
  <c r="B807" i="1"/>
  <c r="B791" i="1"/>
  <c r="B759" i="1"/>
  <c r="B695" i="1"/>
  <c r="B679" i="1"/>
  <c r="B663" i="1"/>
  <c r="B631" i="1"/>
  <c r="B567" i="1"/>
  <c r="B551" i="1"/>
  <c r="B535" i="1"/>
  <c r="B439" i="1"/>
  <c r="B423" i="1"/>
  <c r="B407" i="1"/>
  <c r="B311" i="1"/>
  <c r="B295" i="1"/>
  <c r="B279" i="1"/>
  <c r="B247" i="1"/>
  <c r="B151" i="1"/>
  <c r="B55" i="1"/>
  <c r="B23" i="1"/>
  <c r="B3019" i="1"/>
  <c r="B2763" i="1"/>
  <c r="B1627" i="1"/>
  <c r="B2626" i="1"/>
  <c r="B2594" i="1"/>
  <c r="B2562" i="1"/>
  <c r="B2546" i="1"/>
  <c r="B2530" i="1"/>
  <c r="B1410" i="1"/>
  <c r="B930" i="1"/>
  <c r="B850" i="1"/>
  <c r="B834" i="1"/>
  <c r="B386" i="1"/>
  <c r="B370" i="1"/>
  <c r="B322" i="1"/>
  <c r="B306" i="1"/>
  <c r="B2390" i="1"/>
  <c r="B2342" i="1"/>
  <c r="B2294" i="1"/>
  <c r="B2246" i="1"/>
  <c r="B2086" i="1"/>
  <c r="B2006" i="1"/>
  <c r="B1974" i="1"/>
  <c r="B1942" i="1"/>
  <c r="B1926" i="1"/>
  <c r="B1830" i="1"/>
  <c r="B1734" i="1"/>
  <c r="B1654" i="1"/>
  <c r="B1638" i="1"/>
  <c r="B1590" i="1"/>
  <c r="B1542" i="1"/>
  <c r="B1478" i="1"/>
  <c r="B1398" i="1"/>
  <c r="B1334" i="1"/>
  <c r="B1318" i="1"/>
  <c r="B1286" i="1"/>
  <c r="B1254" i="1"/>
  <c r="B1174" i="1"/>
  <c r="B1078" i="1"/>
  <c r="B1030" i="1"/>
  <c r="B950" i="1"/>
  <c r="B870" i="1"/>
  <c r="B790" i="1"/>
  <c r="B694" i="1"/>
  <c r="B630" i="1"/>
  <c r="B598" i="1"/>
  <c r="B518" i="1"/>
  <c r="B438" i="1"/>
  <c r="B374" i="1"/>
  <c r="B294" i="1"/>
  <c r="B278" i="1"/>
  <c r="B246" i="1"/>
  <c r="B198" i="1"/>
  <c r="B54" i="1"/>
  <c r="K3233" i="5"/>
  <c r="K2358" i="5"/>
  <c r="K2380" i="5"/>
  <c r="K2361" i="5"/>
  <c r="K2362" i="5"/>
  <c r="K1310" i="5"/>
  <c r="K3741" i="5"/>
  <c r="K307" i="5"/>
  <c r="K3391" i="5"/>
  <c r="K3627" i="5"/>
  <c r="K1311" i="5"/>
  <c r="K3853" i="5"/>
  <c r="K1307" i="5"/>
  <c r="K1953" i="5"/>
  <c r="K2559" i="5"/>
  <c r="K3887" i="5"/>
  <c r="K1304" i="5"/>
  <c r="K137" i="5"/>
  <c r="K2570" i="5"/>
  <c r="K394" i="5"/>
  <c r="K3703" i="5"/>
  <c r="K2608" i="5"/>
  <c r="K2365" i="5"/>
  <c r="K2366" i="5"/>
  <c r="K3628" i="5"/>
  <c r="K1776" i="5"/>
  <c r="K2368" i="5"/>
  <c r="K1302" i="5"/>
  <c r="K129" i="5"/>
  <c r="K297" i="5"/>
  <c r="K2371" i="5"/>
  <c r="K1306" i="5"/>
  <c r="K719" i="5"/>
  <c r="K3775" i="5"/>
  <c r="K1305" i="5"/>
  <c r="K2373" i="5"/>
  <c r="K3632" i="5"/>
  <c r="K2284" i="5"/>
  <c r="K3633" i="5"/>
  <c r="K1309" i="5"/>
  <c r="K145" i="5"/>
  <c r="K3634" i="5"/>
  <c r="K2367" i="5"/>
  <c r="K316" i="5"/>
  <c r="K1316" i="5"/>
  <c r="K1391" i="5"/>
  <c r="K314" i="5"/>
  <c r="K1312" i="5"/>
  <c r="K720" i="5"/>
  <c r="K1491" i="5"/>
  <c r="K2391" i="5"/>
  <c r="K147" i="5"/>
  <c r="K2374" i="5"/>
  <c r="K1313" i="5"/>
  <c r="K984" i="5"/>
  <c r="K2198" i="5"/>
  <c r="K1318" i="5"/>
  <c r="K146" i="5"/>
  <c r="K2395" i="5"/>
  <c r="K2393" i="5"/>
  <c r="K727" i="5"/>
  <c r="K2617" i="5"/>
  <c r="K1320" i="5"/>
  <c r="K140" i="5"/>
  <c r="K2616" i="5"/>
  <c r="K1317" i="5"/>
  <c r="K730" i="5"/>
  <c r="K2398" i="5"/>
  <c r="K1642" i="5"/>
  <c r="K722" i="5"/>
  <c r="K2404" i="5"/>
  <c r="K3648" i="5"/>
  <c r="K44" i="5"/>
  <c r="K3646" i="5"/>
  <c r="K534" i="5"/>
  <c r="K1321" i="5"/>
  <c r="K3647" i="5"/>
  <c r="K2615" i="5"/>
  <c r="K143" i="5"/>
  <c r="K150" i="5"/>
  <c r="K2619" i="5"/>
  <c r="K2399" i="5"/>
  <c r="B4102" i="1"/>
  <c r="B4086" i="1"/>
  <c r="B4070" i="1"/>
  <c r="B4038" i="1"/>
  <c r="B4022" i="1"/>
  <c r="B4006" i="1"/>
  <c r="B3974" i="1"/>
  <c r="B3958" i="1"/>
  <c r="B3942" i="1"/>
  <c r="B3941" i="1"/>
  <c r="B3926" i="1"/>
  <c r="B3925" i="1"/>
  <c r="B3910" i="1"/>
  <c r="B3894" i="1"/>
  <c r="B3878" i="1"/>
  <c r="B3862" i="1"/>
  <c r="B3830" i="1"/>
  <c r="B3814" i="1"/>
  <c r="B3798" i="1"/>
  <c r="B3797" i="1"/>
  <c r="B3782" i="1"/>
  <c r="B3781" i="1"/>
  <c r="B3766" i="1"/>
  <c r="B3750" i="1"/>
  <c r="B3734" i="1"/>
  <c r="B3718" i="1"/>
  <c r="B3702" i="1"/>
  <c r="B3382" i="1"/>
  <c r="B3366" i="1"/>
  <c r="B3350" i="1"/>
  <c r="B3334" i="1"/>
  <c r="B3318" i="1"/>
  <c r="B3302" i="1"/>
  <c r="B3286" i="1"/>
  <c r="B3270" i="1"/>
  <c r="B3254" i="1"/>
  <c r="B3237" i="1"/>
  <c r="B3222" i="1"/>
  <c r="B3221" i="1"/>
  <c r="B3206" i="1"/>
  <c r="B3190" i="1"/>
  <c r="B3174" i="1"/>
  <c r="B3163" i="1"/>
  <c r="B3158" i="1"/>
  <c r="B3142" i="1"/>
  <c r="B3126" i="1"/>
  <c r="B3110" i="1"/>
  <c r="B3094" i="1"/>
  <c r="B3078" i="1"/>
  <c r="B3046" i="1"/>
  <c r="B3014" i="1"/>
  <c r="B2982" i="1"/>
  <c r="B2966" i="1"/>
  <c r="B2965" i="1"/>
  <c r="B2950" i="1"/>
  <c r="B2949" i="1"/>
  <c r="B2934" i="1"/>
  <c r="B2918" i="1"/>
  <c r="B2902" i="1"/>
  <c r="B2886" i="1"/>
  <c r="B2870" i="1"/>
  <c r="B2854" i="1"/>
  <c r="B2838" i="1"/>
  <c r="B2837" i="1"/>
  <c r="B2822" i="1"/>
  <c r="B2821" i="1"/>
  <c r="B2806" i="1"/>
  <c r="B2790" i="1"/>
  <c r="B2774" i="1"/>
  <c r="B2758" i="1"/>
  <c r="B2742" i="1"/>
  <c r="B2710" i="1"/>
  <c r="B2694" i="1"/>
  <c r="B2678" i="1"/>
  <c r="B2677" i="1"/>
  <c r="B2646" i="1"/>
  <c r="B2614" i="1"/>
  <c r="B2582" i="1"/>
  <c r="B2550" i="1"/>
  <c r="B2534" i="1"/>
  <c r="B2518" i="1"/>
  <c r="B2502" i="1"/>
  <c r="B2470" i="1"/>
  <c r="B2454" i="1"/>
  <c r="B2438" i="1"/>
  <c r="B2422" i="1"/>
  <c r="B2406" i="1"/>
  <c r="B2374" i="1"/>
  <c r="B2341" i="1"/>
  <c r="B2326" i="1"/>
  <c r="B2278" i="1"/>
  <c r="B2262" i="1"/>
  <c r="B2230" i="1"/>
  <c r="B2182" i="1"/>
  <c r="B2165" i="1"/>
  <c r="B2118" i="1"/>
  <c r="B2070" i="1"/>
  <c r="B2022" i="1"/>
  <c r="B1973" i="1"/>
  <c r="B1958" i="1"/>
  <c r="B1957" i="1"/>
  <c r="B1878" i="1"/>
  <c r="B1846" i="1"/>
  <c r="B1782" i="1"/>
  <c r="B1781" i="1"/>
  <c r="B1749" i="1"/>
  <c r="B1670" i="1"/>
  <c r="B1622" i="1"/>
  <c r="B1525" i="1"/>
  <c r="B1493" i="1"/>
  <c r="B1269" i="1"/>
  <c r="B1237" i="1"/>
  <c r="B966" i="1"/>
  <c r="B901" i="1"/>
  <c r="B827" i="1"/>
  <c r="B774" i="1"/>
  <c r="B742" i="1"/>
  <c r="B614" i="1"/>
  <c r="B582" i="1"/>
  <c r="B405" i="1"/>
  <c r="B358" i="1"/>
  <c r="B357" i="1"/>
  <c r="B150" i="1"/>
  <c r="B118" i="1"/>
  <c r="B18" i="1"/>
  <c r="B6" i="1"/>
  <c r="H56" i="4"/>
  <c r="I56" i="4"/>
  <c r="B3238" i="1"/>
  <c r="B2166" i="1"/>
  <c r="B770" i="1"/>
  <c r="B754" i="1"/>
  <c r="B562" i="1"/>
  <c r="B546" i="1"/>
  <c r="B2754" i="1"/>
  <c r="B2722" i="1"/>
  <c r="B2642" i="1"/>
  <c r="B2578" i="1"/>
  <c r="B2514" i="1"/>
  <c r="H5" i="4"/>
  <c r="I5" i="4"/>
  <c r="K2286" i="5"/>
  <c r="K2283" i="5"/>
  <c r="K3913" i="5"/>
  <c r="K1164" i="5"/>
  <c r="K1939" i="5"/>
  <c r="K1388" i="5"/>
  <c r="K2285" i="5"/>
  <c r="K22" i="5"/>
  <c r="B3030" i="1"/>
  <c r="B2629" i="1"/>
  <c r="B2358" i="1"/>
  <c r="B1862" i="1"/>
  <c r="B1778" i="1"/>
  <c r="B1618" i="1"/>
  <c r="B1602" i="1"/>
  <c r="B1524" i="1"/>
  <c r="B1446" i="1"/>
  <c r="B1158" i="1"/>
  <c r="B4054" i="1"/>
  <c r="B3990" i="1"/>
  <c r="B3846" i="1"/>
  <c r="K943" i="5"/>
  <c r="K2780" i="5"/>
  <c r="K2165" i="5"/>
  <c r="K3266" i="5"/>
  <c r="K832" i="5"/>
  <c r="K1742" i="5"/>
  <c r="K3884" i="5"/>
  <c r="K2173" i="5"/>
  <c r="K2144" i="5"/>
  <c r="K1528" i="5"/>
  <c r="K1538" i="5"/>
  <c r="K2459" i="5"/>
  <c r="K2638" i="5"/>
  <c r="K1910" i="5"/>
  <c r="K1911" i="5"/>
  <c r="K3270" i="5"/>
  <c r="K2174" i="5"/>
  <c r="K450" i="5"/>
  <c r="K923" i="5"/>
  <c r="K949" i="5"/>
  <c r="K3499" i="5"/>
  <c r="K4088" i="5"/>
  <c r="K2168" i="5"/>
  <c r="K3495" i="5"/>
  <c r="K2466" i="5"/>
  <c r="K1741" i="5"/>
  <c r="K2169" i="5"/>
  <c r="K373" i="5"/>
  <c r="K2172" i="5"/>
  <c r="K1093" i="5"/>
  <c r="K1683" i="5"/>
  <c r="K3274" i="5"/>
  <c r="K3275" i="5"/>
  <c r="K3509" i="5"/>
  <c r="K925" i="5"/>
  <c r="K926" i="5"/>
  <c r="K1663" i="5"/>
  <c r="K1749" i="5"/>
  <c r="K914" i="5"/>
  <c r="K3747" i="5"/>
  <c r="K1754" i="5"/>
  <c r="K3277" i="5"/>
  <c r="K2465" i="5"/>
  <c r="K3278" i="5"/>
  <c r="K916" i="5"/>
  <c r="K917" i="5"/>
  <c r="K928" i="5"/>
  <c r="K1760" i="5"/>
  <c r="K918" i="5"/>
  <c r="K924" i="5"/>
  <c r="K3485" i="5"/>
  <c r="K3487" i="5"/>
  <c r="K3286" i="5"/>
  <c r="K284" i="5"/>
  <c r="K188" i="5"/>
  <c r="K3287" i="5"/>
  <c r="K2177" i="5"/>
  <c r="K2175" i="5"/>
  <c r="K4095" i="5"/>
  <c r="K3519" i="5"/>
  <c r="K3288" i="5"/>
  <c r="K1355" i="5"/>
  <c r="K1762" i="5"/>
  <c r="K3291" i="5"/>
  <c r="K2462" i="5"/>
  <c r="K3292" i="5"/>
  <c r="K3293" i="5"/>
  <c r="K2178" i="5"/>
  <c r="K971" i="5"/>
  <c r="K185" i="5"/>
  <c r="K138" i="5"/>
  <c r="K3281" i="5"/>
  <c r="K2481" i="5"/>
  <c r="K3282" i="5"/>
  <c r="K3283" i="5"/>
  <c r="K927" i="5"/>
  <c r="K929" i="5"/>
  <c r="K930" i="5"/>
  <c r="K931" i="5"/>
  <c r="K3285" i="5"/>
  <c r="K1899" i="5"/>
  <c r="K1771" i="5"/>
  <c r="K1744" i="5"/>
  <c r="K1668" i="5"/>
  <c r="K1901" i="5"/>
  <c r="K1902" i="5"/>
  <c r="K973" i="5"/>
  <c r="K2447" i="5"/>
  <c r="K374" i="5"/>
  <c r="K3727" i="5"/>
  <c r="K3244" i="5"/>
  <c r="K1772" i="5"/>
  <c r="K2179" i="5"/>
  <c r="K3297" i="5"/>
  <c r="K3299" i="5"/>
  <c r="K1613" i="5"/>
  <c r="K3377" i="5"/>
  <c r="K3303" i="5"/>
  <c r="K3304" i="5"/>
  <c r="K285" i="5"/>
  <c r="K978" i="5"/>
  <c r="K3305" i="5"/>
  <c r="K3306" i="5"/>
  <c r="K1745" i="5"/>
  <c r="K1565" i="5"/>
  <c r="K3804" i="5"/>
  <c r="K1773" i="5"/>
  <c r="K975" i="5"/>
  <c r="K1903" i="5"/>
  <c r="K211" i="5"/>
  <c r="K3511" i="5"/>
  <c r="K1282" i="5"/>
  <c r="K3575" i="5"/>
  <c r="K1912" i="5"/>
  <c r="K981" i="5"/>
  <c r="K3982" i="5"/>
  <c r="K2096" i="5"/>
  <c r="K3300" i="5"/>
  <c r="K3301" i="5"/>
  <c r="K976" i="5"/>
  <c r="K3510" i="5"/>
  <c r="K3302" i="5"/>
  <c r="K970" i="5"/>
  <c r="K1540" i="5"/>
  <c r="K3997" i="5"/>
  <c r="K2476" i="5"/>
  <c r="K471" i="5"/>
  <c r="K953" i="5"/>
  <c r="K3309" i="5"/>
  <c r="K954" i="5"/>
  <c r="K1510" i="5"/>
  <c r="K1029" i="5"/>
  <c r="K1684" i="5"/>
  <c r="K2639" i="5"/>
  <c r="K1516" i="5"/>
  <c r="K382" i="5"/>
  <c r="K383" i="5"/>
  <c r="K2180" i="5"/>
  <c r="K1824" i="5"/>
  <c r="K3308" i="5"/>
  <c r="K955" i="5"/>
  <c r="K3512" i="5"/>
  <c r="K2183" i="5"/>
  <c r="K3312" i="5"/>
  <c r="K3310" i="5"/>
  <c r="K3311" i="5"/>
  <c r="K1799" i="5"/>
  <c r="K2572" i="5"/>
  <c r="K3517" i="5"/>
  <c r="K3801" i="5"/>
  <c r="K339" i="5"/>
  <c r="K2186" i="5"/>
  <c r="K3296" i="5"/>
  <c r="K3328" i="5"/>
  <c r="K3329" i="5"/>
  <c r="K3325" i="5"/>
  <c r="K2185" i="5"/>
  <c r="K2482" i="5"/>
  <c r="K3326" i="5"/>
  <c r="K960" i="5"/>
  <c r="K3313" i="5"/>
  <c r="K3315" i="5"/>
  <c r="K3316" i="5"/>
  <c r="K3317" i="5"/>
  <c r="K3324" i="5"/>
  <c r="K959" i="5"/>
  <c r="K3877" i="5"/>
  <c r="K3314" i="5"/>
  <c r="K958" i="5"/>
  <c r="K1990" i="5"/>
  <c r="K3327" i="5"/>
  <c r="K3330" i="5"/>
  <c r="K2187" i="5"/>
  <c r="K962" i="5"/>
  <c r="K3331" i="5"/>
  <c r="K961" i="5"/>
  <c r="K964" i="5"/>
  <c r="K2020" i="5"/>
  <c r="K967" i="5"/>
  <c r="K384" i="5"/>
  <c r="K286" i="5"/>
  <c r="K3522" i="5"/>
  <c r="K1916" i="5"/>
  <c r="K1780" i="5"/>
  <c r="K3320" i="5"/>
  <c r="K1746" i="5"/>
  <c r="K2103" i="5"/>
  <c r="K3525" i="5"/>
  <c r="K3564" i="5"/>
  <c r="K4104" i="5"/>
  <c r="K2042" i="5"/>
  <c r="K763" i="5"/>
  <c r="K1917" i="5"/>
  <c r="K3999" i="5"/>
  <c r="K3669" i="5"/>
  <c r="K1362" i="5"/>
  <c r="K3880" i="5"/>
  <c r="K1000" i="5"/>
  <c r="K2034" i="5"/>
  <c r="K3528" i="5"/>
  <c r="K3694" i="5"/>
  <c r="K3695" i="5"/>
  <c r="K3815" i="5"/>
  <c r="K653" i="5"/>
  <c r="K1003" i="5"/>
  <c r="K3322" i="5"/>
  <c r="K2101" i="5"/>
  <c r="K1006" i="5"/>
  <c r="K1791" i="5"/>
  <c r="K2059" i="5"/>
  <c r="K3339" i="5"/>
  <c r="K4037" i="5"/>
  <c r="K3985" i="5"/>
  <c r="K287" i="5"/>
  <c r="K3340" i="5"/>
  <c r="K1983" i="5"/>
  <c r="K1009" i="5"/>
  <c r="K2456" i="5"/>
  <c r="K281" i="5"/>
  <c r="K1010" i="5"/>
  <c r="K1011" i="5"/>
  <c r="K2182" i="5"/>
  <c r="K288" i="5"/>
  <c r="K4008" i="5"/>
  <c r="K3843" i="5"/>
  <c r="K1973" i="5"/>
  <c r="K2304" i="5"/>
  <c r="K1013" i="5"/>
  <c r="K2021" i="5"/>
  <c r="K1015" i="5"/>
  <c r="K1554" i="5"/>
  <c r="K2503" i="5"/>
  <c r="K1074" i="5"/>
  <c r="K1016" i="5"/>
  <c r="K2188" i="5"/>
  <c r="K2191" i="5"/>
  <c r="K1017" i="5"/>
  <c r="K1652" i="5"/>
  <c r="K3344" i="5"/>
  <c r="K3345" i="5"/>
  <c r="K3334" i="5"/>
  <c r="K2190" i="5"/>
  <c r="C486" i="2"/>
  <c r="C4315" i="2"/>
  <c r="C2226" i="2"/>
  <c r="C4647" i="2"/>
  <c r="C3667" i="2"/>
  <c r="C2734" i="2"/>
  <c r="C4456" i="2"/>
  <c r="C1797" i="2"/>
  <c r="C13" i="2"/>
  <c r="C4917" i="2"/>
  <c r="C3641" i="2"/>
  <c r="C1789" i="2"/>
  <c r="C3757" i="2"/>
  <c r="C2504" i="2"/>
  <c r="C548" i="2"/>
  <c r="C335" i="2"/>
  <c r="C3261" i="2"/>
  <c r="C3854" i="2"/>
  <c r="C845" i="2"/>
  <c r="C2693" i="2"/>
  <c r="C5015" i="2"/>
  <c r="C2916" i="2"/>
  <c r="C2872" i="2"/>
  <c r="C2582" i="2"/>
  <c r="C1652" i="2"/>
  <c r="C626" i="2"/>
  <c r="C2812" i="2"/>
  <c r="H41" i="4"/>
  <c r="H44" i="4"/>
  <c r="I41" i="4"/>
  <c r="I44" i="4"/>
  <c r="K397" i="5"/>
  <c r="K2779" i="5"/>
  <c r="K3369" i="5"/>
  <c r="K24" i="5"/>
  <c r="K2085" i="5"/>
  <c r="K2062" i="5"/>
  <c r="K372" i="5"/>
  <c r="K800" i="5"/>
  <c r="K1785" i="5"/>
  <c r="K4026" i="5"/>
  <c r="K2044" i="5"/>
  <c r="K3370" i="5"/>
  <c r="K538" i="5"/>
  <c r="K2667" i="5"/>
  <c r="K1707" i="5"/>
  <c r="K3673" i="5"/>
  <c r="K2511" i="5"/>
  <c r="K546" i="5"/>
  <c r="K3276" i="5"/>
  <c r="K2686" i="5"/>
  <c r="K3125" i="5"/>
  <c r="K4029" i="5"/>
  <c r="K1060" i="5"/>
  <c r="K282" i="5"/>
  <c r="K302" i="5"/>
  <c r="K39" i="5"/>
  <c r="K3342" i="5"/>
  <c r="K380" i="5"/>
  <c r="K3672" i="5"/>
  <c r="K3728" i="5"/>
  <c r="K4020" i="5"/>
  <c r="K4109" i="5"/>
  <c r="K259" i="5"/>
  <c r="K3993" i="5"/>
  <c r="K3516" i="5"/>
  <c r="K3677" i="5"/>
  <c r="K3158" i="5"/>
  <c r="K3655" i="5"/>
  <c r="K1368" i="5"/>
  <c r="K580" i="5"/>
  <c r="K3987" i="5"/>
  <c r="K1753" i="5"/>
  <c r="K3481" i="5"/>
  <c r="K1037" i="5"/>
  <c r="K1315" i="5"/>
  <c r="K3991" i="5"/>
  <c r="K633" i="5"/>
  <c r="K3234" i="5"/>
  <c r="K3676" i="5"/>
  <c r="K3374" i="5"/>
  <c r="K1806" i="5"/>
  <c r="K1167" i="5"/>
  <c r="K3705" i="5"/>
  <c r="K3430" i="5"/>
  <c r="K2063" i="5"/>
  <c r="K3664" i="5"/>
  <c r="K219" i="5"/>
  <c r="K734" i="5"/>
  <c r="K1490" i="5"/>
  <c r="K2801" i="5"/>
  <c r="K1543" i="5"/>
  <c r="K3959" i="5"/>
  <c r="K3924" i="5"/>
  <c r="K535" i="5"/>
  <c r="K1333" i="5"/>
  <c r="K1992" i="5"/>
  <c r="K641" i="5"/>
  <c r="K2720" i="5"/>
  <c r="K707" i="5"/>
  <c r="K1800" i="5"/>
  <c r="K3624" i="5"/>
  <c r="B3810" i="1"/>
  <c r="B3828" i="1"/>
  <c r="B3842" i="1"/>
  <c r="B3858" i="1"/>
  <c r="B3874" i="1"/>
  <c r="B3986" i="1"/>
  <c r="B4002" i="1"/>
  <c r="B4018" i="1"/>
  <c r="B4034" i="1"/>
  <c r="B4050" i="1"/>
  <c r="B4130" i="1"/>
  <c r="B4146" i="1"/>
  <c r="B658" i="1"/>
  <c r="B674" i="1"/>
  <c r="B722" i="1"/>
  <c r="B818" i="1"/>
  <c r="B1122" i="1"/>
  <c r="B1138" i="1"/>
  <c r="B1154" i="1"/>
  <c r="B1170" i="1"/>
  <c r="B1394" i="1"/>
  <c r="B1426" i="1"/>
  <c r="B1442" i="1"/>
  <c r="B1458" i="1"/>
  <c r="B1558" i="1"/>
  <c r="B1702" i="1"/>
  <c r="B1750" i="1"/>
  <c r="B1874" i="1"/>
  <c r="B1890" i="1"/>
  <c r="B1906" i="1"/>
  <c r="B1922" i="1"/>
  <c r="B2114" i="1"/>
  <c r="B2162" i="1"/>
  <c r="B2194" i="1"/>
  <c r="B2210" i="1"/>
  <c r="B2370" i="1"/>
  <c r="B2402" i="1"/>
  <c r="B2418" i="1"/>
  <c r="B2450" i="1"/>
  <c r="B2498" i="1"/>
  <c r="B2486" i="1"/>
  <c r="B2566" i="1"/>
  <c r="B2598" i="1"/>
  <c r="B2630" i="1"/>
  <c r="B2662" i="1"/>
  <c r="B2726" i="1"/>
  <c r="B2786" i="1"/>
  <c r="B2834" i="1"/>
  <c r="B2850" i="1"/>
  <c r="B2866" i="1"/>
  <c r="B2882" i="1"/>
  <c r="B2998" i="1"/>
  <c r="B3026" i="1"/>
  <c r="B3090" i="1"/>
  <c r="B3055" i="1"/>
  <c r="B3058" i="1"/>
  <c r="B3060" i="1"/>
  <c r="B3062" i="1"/>
  <c r="B3250" i="1"/>
  <c r="B3282" i="1"/>
  <c r="B3284" i="1"/>
  <c r="B3298" i="1"/>
  <c r="B3314" i="1"/>
  <c r="B3398" i="1"/>
  <c r="C428" i="2" l="1"/>
  <c r="C4045" i="2"/>
  <c r="C206" i="2"/>
  <c r="C4132" i="2"/>
  <c r="C4581" i="2"/>
  <c r="C4569" i="2"/>
  <c r="C2012" i="2"/>
  <c r="C4193" i="2"/>
  <c r="C3089" i="2"/>
  <c r="C1397" i="2"/>
  <c r="K2260" i="5"/>
  <c r="K795" i="5"/>
  <c r="K3529" i="5"/>
  <c r="K1674" i="5"/>
  <c r="K1207" i="5"/>
  <c r="K1138" i="5"/>
  <c r="K797" i="5"/>
  <c r="K1866" i="5"/>
  <c r="K113" i="5"/>
  <c r="K1578" i="5"/>
  <c r="K2726" i="5"/>
  <c r="K1105" i="5"/>
  <c r="K2739" i="5"/>
  <c r="K1710" i="5"/>
  <c r="K34" i="5"/>
  <c r="K2547" i="5"/>
  <c r="K2483" i="5"/>
  <c r="K2797" i="5"/>
  <c r="K213" i="5"/>
  <c r="K1798" i="5"/>
  <c r="K2584" i="5"/>
  <c r="K3386" i="5"/>
  <c r="K506" i="5"/>
  <c r="K1506" i="5"/>
  <c r="K4072" i="5"/>
  <c r="K4006" i="5"/>
  <c r="K10" i="5"/>
  <c r="K1646" i="5"/>
  <c r="K1817" i="5"/>
  <c r="K3885" i="5"/>
  <c r="K3515" i="5"/>
  <c r="K1805" i="5"/>
  <c r="K544" i="5"/>
  <c r="K177" i="5"/>
  <c r="K1692" i="5"/>
  <c r="K682" i="5"/>
  <c r="K38" i="5"/>
  <c r="K1346" i="5"/>
  <c r="K1148" i="5"/>
  <c r="K597" i="5"/>
  <c r="K2532" i="5"/>
  <c r="K241" i="5"/>
  <c r="K1829" i="5"/>
  <c r="K2099" i="5"/>
  <c r="K2023" i="5"/>
  <c r="K3333" i="5"/>
  <c r="K210" i="5"/>
  <c r="K1270" i="5"/>
  <c r="K3962" i="5"/>
  <c r="K2732" i="5"/>
  <c r="K935" i="5"/>
  <c r="K2761" i="5"/>
  <c r="K1386" i="5"/>
  <c r="K2090" i="5"/>
  <c r="K542" i="5"/>
  <c r="K220" i="5"/>
  <c r="K3729" i="5"/>
  <c r="K3365" i="5"/>
  <c r="K2047" i="5"/>
  <c r="K3504" i="5"/>
  <c r="K3446" i="5"/>
  <c r="K3451" i="5"/>
  <c r="K331" i="5"/>
  <c r="K952" i="5"/>
  <c r="K240" i="5"/>
  <c r="K1024" i="5"/>
  <c r="K562" i="5"/>
  <c r="K4074" i="5"/>
  <c r="K3707" i="5"/>
  <c r="K2609" i="5"/>
  <c r="K1651" i="5"/>
  <c r="K1617" i="5"/>
  <c r="K3384" i="5"/>
  <c r="K2310" i="5"/>
  <c r="K1349" i="5"/>
  <c r="K4108" i="5"/>
  <c r="K1165" i="5"/>
  <c r="K3662" i="5"/>
  <c r="K2621" i="5"/>
  <c r="K2626" i="5"/>
  <c r="K690" i="5"/>
  <c r="K1758" i="5"/>
  <c r="K168" i="5"/>
  <c r="K2702" i="5"/>
  <c r="K172" i="5"/>
  <c r="K3919" i="5"/>
  <c r="K1264" i="5"/>
  <c r="K1550" i="5"/>
  <c r="K549" i="5"/>
  <c r="K2385" i="5"/>
  <c r="K3808" i="5"/>
  <c r="K1618" i="5"/>
  <c r="K2230" i="5"/>
  <c r="K3787" i="5"/>
  <c r="K556" i="5"/>
  <c r="K2210" i="5"/>
  <c r="C3143" i="2"/>
  <c r="C3636" i="2"/>
  <c r="C928" i="2"/>
  <c r="C3837" i="2"/>
  <c r="C1256" i="2"/>
  <c r="C34" i="2"/>
  <c r="C670" i="2"/>
  <c r="H54" i="4" l="1"/>
  <c r="I54" i="4"/>
  <c r="B3419" i="1" l="1"/>
  <c r="B3445" i="1"/>
  <c r="B3420" i="1"/>
  <c r="B3442" i="1"/>
  <c r="B3440" i="1"/>
  <c r="B3439" i="1"/>
  <c r="B3446" i="1"/>
  <c r="B3430" i="1"/>
  <c r="B3433" i="1"/>
  <c r="B3431" i="1"/>
  <c r="B3426" i="1"/>
  <c r="K277" i="5"/>
  <c r="K3967" i="5"/>
  <c r="K1415" i="5"/>
  <c r="K3709" i="5"/>
  <c r="K2763" i="5"/>
  <c r="K3390" i="5"/>
  <c r="K1529" i="5"/>
  <c r="K60" i="5"/>
  <c r="K1603" i="5"/>
  <c r="K3935" i="5"/>
  <c r="K1284" i="5"/>
  <c r="K2647" i="5"/>
  <c r="K217" i="5"/>
  <c r="K2204" i="5"/>
  <c r="K1044" i="5"/>
  <c r="K3745" i="5"/>
  <c r="K2246" i="5"/>
  <c r="K3639" i="5"/>
  <c r="K3497" i="5"/>
  <c r="K1372" i="5"/>
  <c r="K2290" i="5"/>
  <c r="K1216" i="5"/>
  <c r="K3518" i="5"/>
  <c r="K688" i="5"/>
  <c r="K2678" i="5"/>
  <c r="K149" i="5"/>
  <c r="K785" i="5"/>
  <c r="K1796" i="5"/>
  <c r="K72" i="5"/>
  <c r="K1237" i="5"/>
  <c r="K4103" i="5"/>
  <c r="K2635" i="5"/>
  <c r="K4105" i="5"/>
  <c r="K90" i="5"/>
  <c r="K3359" i="5"/>
  <c r="K57" i="5"/>
  <c r="K956" i="5"/>
  <c r="K3448" i="5"/>
  <c r="K141" i="5"/>
  <c r="K2451" i="5"/>
  <c r="K2557" i="5"/>
  <c r="K1859" i="5"/>
  <c r="K3617" i="5"/>
  <c r="K3548" i="5"/>
  <c r="K2581" i="5"/>
  <c r="K2011" i="5"/>
  <c r="K1188" i="5"/>
  <c r="K4012" i="5"/>
  <c r="K1519" i="5"/>
  <c r="K1863" i="5"/>
  <c r="K1390" i="5"/>
  <c r="K1631" i="5"/>
  <c r="K1226" i="5"/>
  <c r="K3464" i="5"/>
  <c r="K3750" i="5"/>
  <c r="K181" i="5"/>
  <c r="K2013" i="5"/>
  <c r="K2041" i="5"/>
  <c r="K3128" i="5"/>
  <c r="K2258" i="5"/>
  <c r="K1564" i="5"/>
  <c r="K2356" i="5"/>
  <c r="K621" i="5"/>
  <c r="K1581" i="5"/>
  <c r="K144" i="5"/>
  <c r="K775" i="5"/>
  <c r="K310" i="5"/>
  <c r="K1294" i="5"/>
  <c r="K2676" i="5"/>
  <c r="K987" i="5"/>
  <c r="K702" i="5"/>
  <c r="K2787" i="5"/>
  <c r="K163" i="5"/>
  <c r="K3701" i="5"/>
  <c r="K1588" i="5"/>
  <c r="K336" i="5"/>
  <c r="K3862" i="5"/>
  <c r="K2078" i="5"/>
  <c r="K2439" i="5"/>
  <c r="K2213" i="5"/>
  <c r="K3605" i="5"/>
  <c r="K1839" i="5"/>
  <c r="K2055" i="5"/>
  <c r="K1545" i="5"/>
  <c r="K2713" i="5"/>
  <c r="K3969" i="5"/>
  <c r="K63" i="5"/>
  <c r="K1399" i="5"/>
  <c r="K1271" i="5"/>
  <c r="K229" i="5"/>
  <c r="K1946" i="5"/>
  <c r="K745" i="5"/>
  <c r="K1005" i="5"/>
  <c r="K1243" i="5"/>
  <c r="K2275" i="5"/>
  <c r="K1061" i="5"/>
  <c r="K2632" i="5"/>
  <c r="K1036" i="5"/>
  <c r="K1637" i="5"/>
  <c r="K706" i="5"/>
  <c r="K510" i="5"/>
  <c r="K4035" i="5"/>
  <c r="K1119" i="5"/>
  <c r="K2606" i="5"/>
  <c r="K108" i="5"/>
  <c r="K1718" i="5"/>
  <c r="K626" i="5"/>
  <c r="K209" i="5"/>
  <c r="K2098" i="5"/>
  <c r="K2480" i="5"/>
  <c r="K1498" i="5"/>
  <c r="K3958" i="5"/>
  <c r="K1410" i="5"/>
  <c r="K2524" i="5"/>
  <c r="K3550" i="5"/>
  <c r="K1194" i="5"/>
  <c r="K244" i="5"/>
  <c r="K1230" i="5"/>
  <c r="A2788" i="1"/>
  <c r="A365" i="1"/>
  <c r="A39" i="1"/>
  <c r="A472" i="1"/>
  <c r="A957" i="1"/>
  <c r="A3841" i="1"/>
  <c r="A2728" i="1"/>
  <c r="A573" i="1"/>
  <c r="A1089" i="1"/>
  <c r="A629" i="1"/>
  <c r="A2847" i="1"/>
  <c r="A905" i="1"/>
  <c r="A700" i="1"/>
  <c r="A220" i="1"/>
  <c r="A730" i="1"/>
  <c r="A3094" i="1"/>
  <c r="A1562" i="1"/>
  <c r="A4008" i="1"/>
  <c r="A2026" i="1"/>
  <c r="A66" i="1"/>
  <c r="A539" i="1"/>
  <c r="A992" i="1"/>
  <c r="A410" i="1"/>
  <c r="A183" i="1"/>
  <c r="A598" i="1"/>
  <c r="A1708" i="1"/>
  <c r="A3887" i="1"/>
  <c r="A3057" i="1"/>
  <c r="A247" i="1"/>
  <c r="A1531" i="1"/>
  <c r="A1293" i="1"/>
  <c r="A3150" i="1"/>
  <c r="A4081" i="1"/>
  <c r="A995" i="1"/>
  <c r="A2611" i="1"/>
  <c r="A3087" i="1"/>
  <c r="A3430" i="1"/>
  <c r="A1532" i="1"/>
  <c r="A3775" i="1"/>
  <c r="A68" i="1"/>
  <c r="A2848" i="1"/>
  <c r="A3941" i="1"/>
  <c r="A2629" i="1"/>
  <c r="A2181" i="1"/>
  <c r="A2314" i="1"/>
  <c r="A2260" i="1"/>
  <c r="A2203" i="1"/>
  <c r="A348" i="1"/>
  <c r="A2481" i="1"/>
  <c r="A382" i="1"/>
  <c r="A2349" i="1"/>
  <c r="A1386" i="1"/>
  <c r="A2660" i="1"/>
  <c r="A934" i="1"/>
  <c r="A390" i="1"/>
  <c r="A1387" i="1"/>
  <c r="A92" i="1"/>
  <c r="A1341" i="1"/>
  <c r="A3259" i="1"/>
  <c r="A3776" i="1"/>
  <c r="A3108" i="1"/>
  <c r="A106" i="1"/>
  <c r="A3296" i="1"/>
  <c r="A1168" i="1"/>
  <c r="A4019" i="1"/>
  <c r="A1767" i="1"/>
  <c r="A3736" i="1"/>
  <c r="A3906" i="1"/>
  <c r="A3109" i="1"/>
  <c r="A2612" i="1"/>
  <c r="A2951" i="1"/>
  <c r="A1006" i="1"/>
  <c r="A2382" i="1"/>
  <c r="A2661" i="1"/>
  <c r="A1957" i="1"/>
  <c r="A2662" i="1"/>
  <c r="A2978" i="1"/>
  <c r="A3699" i="1"/>
  <c r="A4020" i="1"/>
  <c r="A3297" i="1"/>
  <c r="A2048" i="1"/>
  <c r="A2049" i="1"/>
  <c r="A2043" i="1"/>
  <c r="A3700" i="1"/>
  <c r="A1641" i="1"/>
  <c r="A2966" i="1"/>
  <c r="A2754" i="1"/>
  <c r="A31" i="1"/>
  <c r="A2892" i="1"/>
  <c r="A490" i="1"/>
  <c r="A1294" i="1"/>
  <c r="A2830" i="1"/>
  <c r="A3374" i="1"/>
  <c r="A248" i="1"/>
  <c r="A791" i="1"/>
  <c r="A3959" i="1"/>
  <c r="A2210" i="1"/>
  <c r="A170" i="1"/>
  <c r="A3888" i="1"/>
  <c r="A1719" i="1"/>
  <c r="A1090" i="1"/>
  <c r="A1338" i="1"/>
  <c r="A383" i="1"/>
  <c r="A155" i="1"/>
  <c r="A1997" i="1"/>
  <c r="A2147" i="1"/>
  <c r="A3797" i="1"/>
  <c r="A1977" i="1"/>
  <c r="A1118" i="1"/>
  <c r="A2050" i="1"/>
  <c r="A528" i="1"/>
  <c r="A261" i="1"/>
  <c r="A1091" i="1"/>
  <c r="A1253" i="1"/>
  <c r="A419" i="1"/>
  <c r="A2396" i="1"/>
  <c r="A3432" i="1"/>
  <c r="A2317" i="1"/>
  <c r="A3414" i="1"/>
  <c r="A850" i="1"/>
  <c r="A2466" i="1"/>
  <c r="A856" i="1"/>
  <c r="A1212" i="1"/>
  <c r="A144" i="1"/>
  <c r="A284" i="1"/>
  <c r="A3701" i="1"/>
  <c r="A2562" i="1"/>
  <c r="A1021" i="1"/>
  <c r="A69" i="1"/>
  <c r="A1254" i="1"/>
  <c r="A2188" i="1"/>
  <c r="A109" i="1"/>
  <c r="A2359" i="1"/>
  <c r="A4126" i="1"/>
  <c r="A3777" i="1"/>
  <c r="A1807" i="1"/>
  <c r="A1570" i="1"/>
  <c r="A2189" i="1"/>
  <c r="A4051" i="1"/>
  <c r="A2345" i="1"/>
  <c r="A2663" i="1"/>
  <c r="A4061" i="1"/>
  <c r="A1255" i="1"/>
  <c r="A2431" i="1"/>
  <c r="A2263" i="1"/>
  <c r="A2051" i="1"/>
  <c r="A2005" i="1"/>
  <c r="A1007" i="1"/>
  <c r="A1244" i="1"/>
  <c r="A2703" i="1"/>
  <c r="A3949" i="1"/>
  <c r="A3253" i="1"/>
  <c r="A2725" i="1"/>
  <c r="A2700" i="1"/>
  <c r="A2296" i="1"/>
  <c r="A2027" i="1"/>
  <c r="A1092" i="1"/>
  <c r="A2893" i="1"/>
  <c r="A599" i="1"/>
  <c r="A2796" i="1"/>
  <c r="A2797" i="1"/>
  <c r="A2729" i="1"/>
  <c r="A1460" i="1"/>
  <c r="A4001" i="1"/>
  <c r="A2182" i="1"/>
  <c r="A3702" i="1"/>
  <c r="A1808" i="1"/>
  <c r="A2028" i="1"/>
  <c r="A3778" i="1"/>
  <c r="A2839" i="1"/>
  <c r="A1720" i="1"/>
  <c r="A1081" i="1"/>
  <c r="A857" i="1"/>
  <c r="A1962" i="1"/>
  <c r="A2301" i="1"/>
  <c r="A592" i="1"/>
  <c r="A2099" i="1"/>
  <c r="A3897" i="1"/>
  <c r="A1809" i="1"/>
  <c r="A529" i="1"/>
  <c r="A357" i="1"/>
  <c r="A2487" i="1"/>
  <c r="A1022" i="1"/>
  <c r="A3318" i="1"/>
  <c r="A184" i="1"/>
  <c r="A33" i="1"/>
  <c r="A53" i="1"/>
  <c r="A2029" i="1"/>
  <c r="A2271" i="1"/>
  <c r="A2222" i="1"/>
  <c r="A1161" i="1"/>
  <c r="A3912" i="1"/>
  <c r="A2183" i="1"/>
  <c r="A1496" i="1"/>
  <c r="A249" i="1"/>
  <c r="A2755" i="1"/>
  <c r="A965" i="1"/>
  <c r="A2184" i="1"/>
  <c r="A564" i="1"/>
  <c r="A3960" i="1"/>
  <c r="A3798" i="1"/>
  <c r="A3987" i="1"/>
  <c r="A3387" i="1"/>
  <c r="A1864" i="1"/>
  <c r="A2894" i="1"/>
  <c r="A482" i="1"/>
  <c r="A280" i="1"/>
  <c r="A3768" i="1"/>
  <c r="A2780" i="1"/>
  <c r="A3110" i="1"/>
  <c r="A3779" i="1"/>
  <c r="A3834" i="1"/>
  <c r="A2101" i="1"/>
  <c r="A2861" i="1"/>
  <c r="A1547" i="1"/>
  <c r="A966" i="1"/>
  <c r="A2789" i="1"/>
  <c r="A497" i="1"/>
  <c r="A1591" i="1"/>
  <c r="A2664" i="1"/>
  <c r="A18" i="1"/>
  <c r="A505" i="1"/>
  <c r="A3284" i="1"/>
  <c r="A1939" i="1"/>
  <c r="A3375" i="1"/>
  <c r="A2790" i="1"/>
  <c r="A2849" i="1"/>
  <c r="A967" i="1"/>
  <c r="A1668" i="1"/>
  <c r="A160" i="1"/>
  <c r="A281" i="1"/>
  <c r="A4014" i="1"/>
  <c r="A4015" i="1"/>
  <c r="A2862" i="1"/>
  <c r="A772" i="1"/>
  <c r="A2102" i="1"/>
  <c r="A1231" i="1"/>
  <c r="A2895" i="1"/>
  <c r="A44" i="1"/>
  <c r="A1304" i="1"/>
  <c r="A2613" i="1"/>
  <c r="A2614" i="1"/>
  <c r="A4062" i="1"/>
  <c r="A2615" i="1"/>
  <c r="A1865" i="1"/>
  <c r="A3316" i="1"/>
  <c r="A1045" i="1"/>
  <c r="A1322" i="1"/>
  <c r="A707" i="1"/>
  <c r="A2174" i="1"/>
  <c r="A2689" i="1"/>
  <c r="A1446" i="1"/>
  <c r="A287" i="1"/>
  <c r="A3049" i="1"/>
  <c r="A3898" i="1"/>
  <c r="A767" i="1"/>
  <c r="A1964" i="1"/>
  <c r="A891" i="1"/>
  <c r="A2143" i="1"/>
  <c r="A1439" i="1"/>
  <c r="A2714" i="1"/>
  <c r="A2563" i="1"/>
  <c r="A1310" i="1"/>
  <c r="A2103" i="1"/>
  <c r="A3220" i="1"/>
  <c r="A827" i="1"/>
  <c r="A2738" i="1"/>
  <c r="A1585" i="1"/>
  <c r="A2791" i="1"/>
  <c r="A931" i="1"/>
  <c r="A1232" i="1"/>
  <c r="A666" i="1"/>
  <c r="A1448" i="1"/>
  <c r="A312" i="1"/>
  <c r="A865" i="1"/>
  <c r="A681" i="1"/>
  <c r="A358" i="1"/>
  <c r="A1998" i="1"/>
  <c r="A3170" i="1"/>
  <c r="A3345" i="1"/>
  <c r="A3183" i="1"/>
  <c r="A664" i="1"/>
  <c r="A2418" i="1"/>
  <c r="A968" i="1"/>
  <c r="A1721" i="1"/>
  <c r="A1669" i="1"/>
  <c r="A2630" i="1"/>
  <c r="A713" i="1"/>
  <c r="A90" i="1"/>
  <c r="A1810" i="1"/>
  <c r="A2967" i="1"/>
  <c r="A1722" i="1"/>
  <c r="A1342" i="1"/>
  <c r="A2665" i="1"/>
  <c r="A2795" i="1"/>
  <c r="A1712" i="1"/>
  <c r="A3961" i="1"/>
  <c r="A145" i="1"/>
  <c r="A2977" i="1"/>
  <c r="A1474" i="1"/>
  <c r="A2422" i="1"/>
  <c r="A1170" i="1"/>
  <c r="A4083" i="1"/>
  <c r="A832" i="1"/>
  <c r="A2052" i="1"/>
  <c r="A866" i="1"/>
  <c r="A2169" i="1"/>
  <c r="A2437" i="1"/>
  <c r="A1343" i="1"/>
  <c r="A474" i="1"/>
  <c r="A229" i="1"/>
  <c r="A972" i="1"/>
  <c r="A295" i="1"/>
  <c r="A655" i="1"/>
  <c r="A1256" i="1"/>
  <c r="A3988" i="1"/>
  <c r="A1023" i="1"/>
  <c r="A3255" i="1"/>
  <c r="A1008" i="1"/>
  <c r="A3285" i="1"/>
  <c r="A501" i="1"/>
  <c r="A2362" i="1"/>
  <c r="A2774" i="1"/>
  <c r="A455" i="1"/>
  <c r="A1803" i="1"/>
  <c r="A3780" i="1"/>
  <c r="A2680" i="1"/>
  <c r="A3286" i="1"/>
  <c r="A917" i="1"/>
  <c r="A2896" i="1"/>
  <c r="A663" i="1"/>
  <c r="A2616" i="1"/>
  <c r="A3922" i="1"/>
  <c r="A1162" i="1"/>
  <c r="A3703" i="1"/>
  <c r="A3093" i="1"/>
  <c r="A724" i="1"/>
  <c r="A593" i="1"/>
  <c r="A2564" i="1"/>
  <c r="A456" i="1"/>
  <c r="A432" i="1"/>
  <c r="A110" i="1"/>
  <c r="A802" i="1"/>
  <c r="A2419" i="1"/>
  <c r="A2044" i="1"/>
  <c r="A2808" i="1"/>
  <c r="A2756" i="1"/>
  <c r="A1344" i="1"/>
  <c r="A1257" i="1"/>
  <c r="A2262" i="1"/>
  <c r="A4009" i="1"/>
  <c r="A924" i="1"/>
  <c r="A1999" i="1"/>
  <c r="A2859" i="1"/>
  <c r="A2897" i="1"/>
  <c r="A2898" i="1"/>
  <c r="A2053" i="1"/>
  <c r="A1225" i="1"/>
  <c r="A3077" i="1"/>
  <c r="A3433" i="1"/>
  <c r="A1781" i="1"/>
  <c r="A2170" i="1"/>
  <c r="A2952" i="1"/>
  <c r="A4127" i="1"/>
  <c r="A600" i="1"/>
  <c r="A2305" i="1"/>
  <c r="A457" i="1"/>
  <c r="A2434" i="1"/>
  <c r="A1141" i="1"/>
  <c r="A3704" i="1"/>
  <c r="A785" i="1"/>
  <c r="A3171" i="1"/>
  <c r="A1782" i="1"/>
  <c r="A2054" i="1"/>
  <c r="A2211" i="1"/>
  <c r="A973" i="1"/>
  <c r="A1653" i="1"/>
  <c r="A1548" i="1"/>
  <c r="A1440" i="1"/>
  <c r="A1858" i="1"/>
  <c r="A55" i="1"/>
  <c r="A3298" i="1"/>
  <c r="A2979" i="1"/>
  <c r="A161" i="1"/>
  <c r="A733" i="1"/>
  <c r="A3842" i="1"/>
  <c r="A2809" i="1"/>
  <c r="A1503" i="1"/>
  <c r="A355" i="1"/>
  <c r="A2810" i="1"/>
  <c r="A2313" i="1"/>
  <c r="A2315" i="1"/>
  <c r="A3879" i="1"/>
  <c r="A1592" i="1"/>
  <c r="A2681" i="1"/>
  <c r="A3081" i="1"/>
  <c r="A3843" i="1"/>
  <c r="A1783" i="1"/>
  <c r="A2888" i="1"/>
  <c r="A1220" i="1"/>
  <c r="A2982" i="1"/>
  <c r="A303" i="1"/>
  <c r="A892" i="1"/>
  <c r="A2781" i="1"/>
  <c r="A725" i="1"/>
  <c r="A2631" i="1"/>
  <c r="A867" i="1"/>
  <c r="A969" i="1"/>
  <c r="A1497" i="1"/>
  <c r="A3058" i="1"/>
  <c r="A2528" i="1"/>
  <c r="A921" i="1"/>
  <c r="A1633" i="1"/>
  <c r="A3377" i="1"/>
  <c r="A34" i="1"/>
  <c r="A3340" i="1"/>
  <c r="A2030" i="1"/>
  <c r="A1710" i="1"/>
  <c r="A3119" i="1"/>
  <c r="A1723" i="1"/>
  <c r="A2899" i="1"/>
  <c r="A2900" i="1"/>
  <c r="A4012" i="1"/>
  <c r="A243" i="1"/>
  <c r="A632" i="1"/>
  <c r="A3781" i="1"/>
  <c r="A2901" i="1"/>
  <c r="A1982" i="1"/>
  <c r="A486" i="1"/>
  <c r="A1931" i="1"/>
  <c r="A2484" i="1"/>
  <c r="A2983" i="1"/>
  <c r="A1432" i="1"/>
  <c r="A14" i="1"/>
  <c r="A1498" i="1"/>
  <c r="A1477" i="1"/>
  <c r="A219" i="1"/>
  <c r="A1866" i="1"/>
  <c r="A1724" i="1"/>
  <c r="A2331" i="1"/>
  <c r="A524" i="1"/>
  <c r="A2968" i="1"/>
  <c r="A2055" i="1"/>
  <c r="A260" i="1"/>
  <c r="A2446" i="1"/>
  <c r="A525" i="1"/>
  <c r="A530" i="1"/>
  <c r="A3799" i="1"/>
  <c r="A2056" i="1"/>
  <c r="A1698" i="1"/>
  <c r="A3184" i="1"/>
  <c r="A2341" i="1"/>
  <c r="A2031" i="1"/>
  <c r="A3795" i="1"/>
  <c r="A1169" i="1"/>
  <c r="A1811" i="1"/>
  <c r="A2969" i="1"/>
  <c r="A1586" i="1"/>
  <c r="A21" i="1"/>
  <c r="A3260" i="1"/>
  <c r="A2252" i="1"/>
  <c r="A4128" i="1"/>
  <c r="A308" i="1"/>
  <c r="A2416" i="1"/>
  <c r="A384" i="1"/>
  <c r="A2455" i="1"/>
  <c r="A216" i="1"/>
  <c r="A2212" i="1"/>
  <c r="A2213" i="1"/>
  <c r="A4129" i="1"/>
  <c r="A2902" i="1"/>
  <c r="A4130" i="1"/>
  <c r="A1495" i="1"/>
  <c r="A3763" i="1"/>
  <c r="A1725" i="1"/>
  <c r="A2057" i="1"/>
  <c r="A1758" i="1"/>
  <c r="A1784" i="1"/>
  <c r="A49" i="1"/>
  <c r="A2032" i="1"/>
  <c r="A2339" i="1"/>
  <c r="A3800" i="1"/>
  <c r="A2632" i="1"/>
  <c r="A3801" i="1"/>
  <c r="A1812" i="1"/>
  <c r="A868" i="1"/>
  <c r="A2190" i="1"/>
  <c r="A2058" i="1"/>
  <c r="A1176" i="1"/>
  <c r="A2942" i="1"/>
  <c r="A4016" i="1"/>
  <c r="A1951" i="1"/>
  <c r="A3802" i="1"/>
  <c r="A301" i="1"/>
  <c r="A1177" i="1"/>
  <c r="A2280" i="1"/>
  <c r="A327" i="1"/>
  <c r="A2148" i="1"/>
  <c r="A3870" i="1"/>
  <c r="A2162" i="1"/>
  <c r="A2701" i="1"/>
  <c r="A2863" i="1"/>
  <c r="A3120" i="1"/>
  <c r="A223" i="1"/>
  <c r="A1125" i="1"/>
  <c r="A601" i="1"/>
  <c r="A3354" i="1"/>
  <c r="A3951" i="1"/>
  <c r="A1323" i="1"/>
  <c r="A760" i="1"/>
  <c r="A3261" i="1"/>
  <c r="A2565" i="1"/>
  <c r="A3121" i="1"/>
  <c r="A2782" i="1"/>
  <c r="A313" i="1"/>
  <c r="A400" i="1"/>
  <c r="A2617" i="1"/>
  <c r="A465" i="1"/>
  <c r="A2783" i="1"/>
  <c r="A3803" i="1"/>
  <c r="A2666" i="1"/>
  <c r="A3923" i="1"/>
  <c r="A3973" i="1"/>
  <c r="A4123" i="1"/>
  <c r="A1163" i="1"/>
  <c r="A3172" i="1"/>
  <c r="A3804" i="1"/>
  <c r="A2045" i="1"/>
  <c r="A2659" i="1"/>
  <c r="A1968" i="1"/>
  <c r="A2864" i="1"/>
  <c r="A928" i="1"/>
  <c r="A3280" i="1"/>
  <c r="A734" i="1"/>
  <c r="A2214" i="1"/>
  <c r="A4095" i="1"/>
  <c r="A3952" i="1"/>
  <c r="A2033" i="1"/>
  <c r="A3782" i="1"/>
  <c r="A4131" i="1"/>
  <c r="A1171" i="1"/>
  <c r="A3338" i="1"/>
  <c r="A1479" i="1"/>
  <c r="A1577" i="1"/>
  <c r="A2467" i="1"/>
  <c r="A714" i="1"/>
  <c r="A3434" i="1"/>
  <c r="A3141" i="1"/>
  <c r="A1785" i="1"/>
  <c r="A3185" i="1"/>
  <c r="A3985" i="1"/>
  <c r="A1241" i="1"/>
  <c r="A1056" i="1"/>
  <c r="A379" i="1"/>
  <c r="A3979" i="1"/>
  <c r="A669" i="1"/>
  <c r="A3978" i="1"/>
  <c r="A2452" i="1"/>
  <c r="A715" i="1"/>
  <c r="A1461" i="1"/>
  <c r="A2953" i="1"/>
  <c r="A584" i="1"/>
  <c r="A622" i="1"/>
  <c r="A542" i="1"/>
  <c r="A3844" i="1"/>
  <c r="A1388" i="1"/>
  <c r="A754" i="1"/>
  <c r="A1441" i="1"/>
  <c r="A833" i="1"/>
  <c r="A4028" i="1"/>
  <c r="A111" i="1"/>
  <c r="A1593" i="1"/>
  <c r="A3188" i="1"/>
  <c r="A1922" i="1"/>
  <c r="A2375" i="1"/>
  <c r="A2903" i="1"/>
  <c r="A1499" i="1"/>
  <c r="A2954" i="1"/>
  <c r="A1559" i="1"/>
  <c r="A553" i="1"/>
  <c r="A596" i="1"/>
  <c r="A869" i="1"/>
  <c r="A3085" i="1"/>
  <c r="A262" i="1"/>
  <c r="A1214" i="1"/>
  <c r="A234" i="1"/>
  <c r="A2081" i="1"/>
  <c r="A339" i="1"/>
  <c r="A2618" i="1"/>
  <c r="A2338" i="1"/>
  <c r="A385" i="1"/>
  <c r="A422" i="1"/>
  <c r="A2463" i="1"/>
  <c r="A35" i="1"/>
  <c r="A4112" i="1"/>
  <c r="A922" i="1"/>
  <c r="A50" i="1"/>
  <c r="A1009" i="1"/>
  <c r="A790" i="1"/>
  <c r="A3111" i="1"/>
  <c r="A1594" i="1"/>
  <c r="A3075" i="1"/>
  <c r="A858" i="1"/>
  <c r="A3783" i="1"/>
  <c r="A788" i="1"/>
  <c r="A2904" i="1"/>
  <c r="A3122" i="1"/>
  <c r="A667" i="1"/>
  <c r="A2325" i="1"/>
  <c r="A476" i="1"/>
  <c r="A2800" i="1"/>
  <c r="A1595" i="1"/>
  <c r="A2160" i="1"/>
  <c r="A19" i="1"/>
  <c r="A386" i="1"/>
  <c r="A3396" i="1"/>
  <c r="A3287" i="1"/>
  <c r="A2970" i="1"/>
  <c r="A1475" i="1"/>
  <c r="A267" i="1"/>
  <c r="A421" i="1"/>
  <c r="A167" i="1"/>
  <c r="A2100" i="1"/>
  <c r="A559" i="1"/>
  <c r="A168" i="1"/>
  <c r="A3845" i="1"/>
  <c r="A3067" i="1"/>
  <c r="A2156" i="1"/>
  <c r="A1433" i="1"/>
  <c r="A3333" i="1"/>
  <c r="A2525" i="1"/>
  <c r="A3173" i="1"/>
  <c r="A1258" i="1"/>
  <c r="A1958" i="1"/>
  <c r="A3962" i="1"/>
  <c r="A1105" i="1"/>
  <c r="A3880" i="1"/>
  <c r="A2151" i="1"/>
  <c r="A2811" i="1"/>
  <c r="A2722" i="1"/>
  <c r="A4006" i="1"/>
  <c r="A605" i="1"/>
  <c r="A2104" i="1"/>
  <c r="A1345" i="1"/>
  <c r="A4029" i="1"/>
  <c r="A2984" i="1"/>
  <c r="A2850" i="1"/>
  <c r="A2943" i="1"/>
  <c r="A945" i="1"/>
  <c r="A1768" i="1"/>
  <c r="A1813" i="1"/>
  <c r="A1596" i="1"/>
  <c r="A659" i="1"/>
  <c r="A2361" i="1"/>
  <c r="A1071" i="1"/>
  <c r="A2321" i="1"/>
  <c r="A2938" i="1"/>
  <c r="A298" i="1"/>
  <c r="A2633" i="1"/>
  <c r="A3784" i="1"/>
  <c r="A1504" i="1"/>
  <c r="A1505" i="1"/>
  <c r="A1142" i="1"/>
  <c r="A3705" i="1"/>
  <c r="A1670" i="1"/>
  <c r="A3427" i="1"/>
  <c r="A2297" i="1"/>
  <c r="A374" i="1"/>
  <c r="A162" i="1"/>
  <c r="A2592" i="1"/>
  <c r="A1057" i="1"/>
  <c r="A99" i="1"/>
  <c r="A2430" i="1"/>
  <c r="A697" i="1"/>
  <c r="A1520" i="1"/>
  <c r="A1953" i="1"/>
  <c r="A2745" i="1"/>
  <c r="A2518" i="1"/>
  <c r="A1536" i="1"/>
  <c r="A906" i="1"/>
  <c r="A1346" i="1"/>
  <c r="A1389" i="1"/>
  <c r="A1178" i="1"/>
  <c r="A1058" i="1"/>
  <c r="A2059" i="1"/>
  <c r="A2191" i="1"/>
  <c r="A2634" i="1"/>
  <c r="A3344" i="1"/>
  <c r="A1002" i="1"/>
  <c r="A1259" i="1"/>
  <c r="A1347" i="1"/>
  <c r="A36" i="1"/>
  <c r="A483" i="1"/>
  <c r="A2905" i="1"/>
  <c r="A1488" i="1"/>
  <c r="A2529" i="1"/>
  <c r="A408" i="1"/>
  <c r="A1481" i="1"/>
  <c r="A3805" i="1"/>
  <c r="A4084" i="1"/>
  <c r="A3381" i="1"/>
  <c r="A1072" i="1"/>
  <c r="A3938" i="1"/>
  <c r="A3299" i="1"/>
  <c r="A2682" i="1"/>
  <c r="A1590" i="1"/>
  <c r="A2519" i="1"/>
  <c r="A2140" i="1"/>
  <c r="A442" i="1"/>
  <c r="A634" i="1"/>
  <c r="A3329" i="1"/>
  <c r="A1390" i="1"/>
  <c r="A1683" i="1"/>
  <c r="A698" i="1"/>
  <c r="A1971" i="1"/>
  <c r="A2060" i="1"/>
  <c r="A2061" i="1"/>
  <c r="A1172" i="1"/>
  <c r="A1260" i="1"/>
  <c r="A3352" i="1"/>
  <c r="A2290" i="1"/>
  <c r="A352" i="1"/>
  <c r="A1954" i="1"/>
  <c r="A2504" i="1"/>
  <c r="A1295" i="1"/>
  <c r="A1029" i="1"/>
  <c r="A2739" i="1"/>
  <c r="A854" i="1"/>
  <c r="A1726" i="1"/>
  <c r="A4096" i="1"/>
  <c r="A2566" i="1"/>
  <c r="A859" i="1"/>
  <c r="A804" i="1"/>
  <c r="A1579" i="1"/>
  <c r="A1588" i="1"/>
  <c r="A2667" i="1"/>
  <c r="A2369" i="1"/>
  <c r="A793" i="1"/>
  <c r="A1727" i="1"/>
  <c r="A1348" i="1"/>
  <c r="A1814" i="1"/>
  <c r="A1804" i="1"/>
  <c r="A1973" i="1"/>
  <c r="A2464" i="1"/>
  <c r="A2698" i="1"/>
  <c r="A4002" i="1"/>
  <c r="A1106" i="1"/>
  <c r="A359" i="1"/>
  <c r="A834" i="1"/>
  <c r="A3300" i="1"/>
  <c r="A2279" i="1"/>
  <c r="A3737" i="1"/>
  <c r="A3095" i="1"/>
  <c r="A1466" i="1"/>
  <c r="A1482" i="1"/>
  <c r="A491" i="1"/>
  <c r="A3992" i="1"/>
  <c r="A1574" i="1"/>
  <c r="A1815" i="1"/>
  <c r="A2593" i="1"/>
  <c r="A3096" i="1"/>
  <c r="A3301" i="1"/>
  <c r="A2706" i="1"/>
  <c r="A2530" i="1"/>
  <c r="A492" i="1"/>
  <c r="A840" i="1"/>
  <c r="A3365" i="1"/>
  <c r="A3871" i="1"/>
  <c r="A3262" i="1"/>
  <c r="A2567" i="1"/>
  <c r="A4132" i="1"/>
  <c r="A4133" i="1"/>
  <c r="A635" i="1"/>
  <c r="A757" i="1"/>
  <c r="A794" i="1"/>
  <c r="A2204" i="1"/>
  <c r="A2531" i="1"/>
  <c r="A2449" i="1"/>
  <c r="A780" i="1"/>
  <c r="A2483" i="1"/>
  <c r="A1699" i="1"/>
  <c r="A3415" i="1"/>
  <c r="A146" i="1"/>
  <c r="A4067" i="1"/>
  <c r="A268" i="1"/>
  <c r="A2062" i="1"/>
  <c r="A2429" i="1"/>
  <c r="A2712" i="1"/>
  <c r="A317" i="1"/>
  <c r="A157" i="1"/>
  <c r="A2906" i="1"/>
  <c r="A4134" i="1"/>
  <c r="A354" i="1"/>
  <c r="A1422" i="1"/>
  <c r="A1650" i="1"/>
  <c r="A570" i="1"/>
  <c r="A1523" i="1"/>
  <c r="A2414" i="1"/>
  <c r="A2594" i="1"/>
  <c r="A537" i="1"/>
  <c r="A1867" i="1"/>
  <c r="A3112" i="1"/>
  <c r="A1506" i="1"/>
  <c r="A56" i="1"/>
  <c r="A1589" i="1"/>
  <c r="A1597" i="1"/>
  <c r="A4108" i="1"/>
  <c r="A3177" i="1"/>
  <c r="A2619" i="1"/>
  <c r="A1349" i="1"/>
  <c r="A639" i="1"/>
  <c r="A614" i="1"/>
  <c r="A2793" i="1"/>
  <c r="A691" i="1"/>
  <c r="A2932" i="1"/>
  <c r="A1816" i="1"/>
  <c r="A4113" i="1"/>
  <c r="A4097" i="1"/>
  <c r="A2532" i="1"/>
  <c r="A3359" i="1"/>
  <c r="A2105" i="1"/>
  <c r="A1817" i="1"/>
  <c r="A660" i="1"/>
  <c r="A2683" i="1"/>
  <c r="A1350" i="1"/>
  <c r="A2812" i="1"/>
  <c r="A2533" i="1"/>
  <c r="A1261" i="1"/>
  <c r="A3706" i="1"/>
  <c r="A3893" i="1"/>
  <c r="A3123" i="1"/>
  <c r="A80" i="1"/>
  <c r="A2106" i="1"/>
  <c r="A1265" i="1"/>
  <c r="A2116" i="1"/>
  <c r="A4135" i="1"/>
  <c r="A3022" i="1"/>
  <c r="A2412" i="1"/>
  <c r="A1107" i="1"/>
  <c r="A763" i="1"/>
  <c r="A2925" i="1"/>
  <c r="A2965" i="1"/>
  <c r="A2889" i="1"/>
  <c r="A1216" i="1"/>
  <c r="A3263" i="1"/>
  <c r="A3288" i="1"/>
  <c r="A467" i="1"/>
  <c r="A1030" i="1"/>
  <c r="A1179" i="1"/>
  <c r="A726" i="1"/>
  <c r="A787" i="1"/>
  <c r="A328" i="1"/>
  <c r="A2988" i="1"/>
  <c r="A3366" i="1"/>
  <c r="A88" i="1"/>
  <c r="A2534" i="1"/>
  <c r="A3124" i="1"/>
  <c r="A2865" i="1"/>
  <c r="A1242" i="1"/>
  <c r="A2165" i="1"/>
  <c r="A2535" i="1"/>
  <c r="A1868" i="1"/>
  <c r="A3348" i="1"/>
  <c r="A1173" i="1"/>
  <c r="A2930" i="1"/>
  <c r="A1266" i="1"/>
  <c r="A1947" i="1"/>
  <c r="A3159" i="1"/>
  <c r="A3924" i="1"/>
  <c r="A1598" i="1"/>
  <c r="A2874" i="1"/>
  <c r="A1599" i="1"/>
  <c r="A1031" i="1"/>
  <c r="A2803" i="1"/>
  <c r="A4109" i="1"/>
  <c r="A3116" i="1"/>
  <c r="A2000" i="1"/>
  <c r="A1869" i="1"/>
  <c r="A2376" i="1"/>
  <c r="A2711" i="1"/>
  <c r="A2975" i="1"/>
  <c r="A1119" i="1"/>
  <c r="A2985" i="1"/>
  <c r="A2107" i="1"/>
  <c r="A2986" i="1"/>
  <c r="A1267" i="1"/>
  <c r="A4136" i="1"/>
  <c r="A2108" i="1"/>
  <c r="A1073" i="1"/>
  <c r="A2185" i="1"/>
  <c r="A795" i="1"/>
  <c r="A112" i="1"/>
  <c r="A2109" i="1"/>
  <c r="A2668" i="1"/>
  <c r="A1391" i="1"/>
  <c r="A1010" i="1"/>
  <c r="A2456" i="1"/>
  <c r="A1150" i="1"/>
  <c r="A3160" i="1"/>
  <c r="A4030" i="1"/>
  <c r="A3881" i="1"/>
  <c r="A1138" i="1"/>
  <c r="A3214" i="1"/>
  <c r="A1032" i="1"/>
  <c r="A2875" i="1"/>
  <c r="A3015" i="1"/>
  <c r="A3089" i="1"/>
  <c r="A360" i="1"/>
  <c r="A527" i="1"/>
  <c r="A2123" i="1"/>
  <c r="A3707" i="1"/>
  <c r="A2866" i="1"/>
  <c r="A113" i="1"/>
  <c r="A1728" i="1"/>
  <c r="A2465" i="1"/>
  <c r="A3950" i="1"/>
  <c r="A3164" i="1"/>
  <c r="A703" i="1"/>
  <c r="A1671" i="1"/>
  <c r="A76" i="1"/>
  <c r="A494" i="1"/>
  <c r="A411" i="1"/>
  <c r="A1729" i="1"/>
  <c r="A2166" i="1"/>
  <c r="A349" i="1"/>
  <c r="A1305" i="1"/>
  <c r="A3806" i="1"/>
  <c r="A595" i="1"/>
  <c r="A1268" i="1"/>
  <c r="A2635" i="1"/>
  <c r="A3151" i="1"/>
  <c r="A1507" i="1"/>
  <c r="A3435" i="1"/>
  <c r="A1818" i="1"/>
  <c r="A272" i="1"/>
  <c r="A1324" i="1"/>
  <c r="A2267" i="1"/>
  <c r="A2063" i="1"/>
  <c r="A2568" i="1"/>
  <c r="A721" i="1"/>
  <c r="A1600" i="1"/>
  <c r="A1392" i="1"/>
  <c r="A2520" i="1"/>
  <c r="A589" i="1"/>
  <c r="A1693" i="1"/>
  <c r="A2765" i="1"/>
  <c r="A3807" i="1"/>
  <c r="A3382" i="1"/>
  <c r="A1654" i="1"/>
  <c r="A2569" i="1"/>
  <c r="A4098" i="1"/>
  <c r="A3392" i="1"/>
  <c r="A3189" i="1"/>
  <c r="A436" i="1"/>
  <c r="A475" i="1"/>
  <c r="A204" i="1"/>
  <c r="A1769" i="1"/>
  <c r="A805" i="1"/>
  <c r="A3846" i="1"/>
  <c r="A3178" i="1"/>
  <c r="A2461" i="1"/>
  <c r="A315" i="1"/>
  <c r="A1467" i="1"/>
  <c r="A756" i="1"/>
  <c r="A3221" i="1"/>
  <c r="A855" i="1"/>
  <c r="A2860" i="1"/>
  <c r="A2527" i="1"/>
  <c r="A2989" i="1"/>
  <c r="A401" i="1"/>
  <c r="A10" i="1"/>
  <c r="A918" i="1"/>
  <c r="A3708" i="1"/>
  <c r="A4031" i="1"/>
  <c r="A4137" i="1"/>
  <c r="A3425" i="1"/>
  <c r="A2064" i="1"/>
  <c r="A3436" i="1"/>
  <c r="A1651" i="1"/>
  <c r="A1642" i="1"/>
  <c r="A2175" i="1"/>
  <c r="A661" i="1"/>
  <c r="A1961" i="1"/>
  <c r="A3953" i="1"/>
  <c r="A2890" i="1"/>
  <c r="A3847" i="1"/>
  <c r="A796" i="1"/>
  <c r="A797" i="1"/>
  <c r="A4085" i="1"/>
  <c r="A554" i="1"/>
  <c r="A147" i="1"/>
  <c r="A2219" i="1"/>
  <c r="A2775" i="1"/>
  <c r="A361" i="1"/>
  <c r="A143" i="1"/>
  <c r="A670" i="1"/>
  <c r="A3907" i="1"/>
  <c r="A722" i="1"/>
  <c r="A107" i="1"/>
  <c r="A1655" i="1"/>
  <c r="A1730" i="1"/>
  <c r="A502" i="1"/>
  <c r="A3989" i="1"/>
  <c r="A652" i="1"/>
  <c r="A1443" i="1"/>
  <c r="A1792" i="1"/>
  <c r="A57" i="1"/>
  <c r="A2001" i="1"/>
  <c r="A1476" i="1"/>
  <c r="A970" i="1"/>
  <c r="A2570" i="1"/>
  <c r="A15" i="1"/>
  <c r="A1770" i="1"/>
  <c r="A1143" i="1"/>
  <c r="A100" i="1"/>
  <c r="A2179" i="1"/>
  <c r="A1826" i="1"/>
  <c r="A2636" i="1"/>
  <c r="A2851" i="1"/>
  <c r="A2852" i="1"/>
  <c r="A3982" i="1"/>
  <c r="A305" i="1"/>
  <c r="A3361" i="1"/>
  <c r="A1115" i="1"/>
  <c r="A3125" i="1"/>
  <c r="A37" i="1"/>
  <c r="A1144" i="1"/>
  <c r="A3126" i="1"/>
  <c r="A2620" i="1"/>
  <c r="A3016" i="1"/>
  <c r="A3165" i="1"/>
  <c r="A2571" i="1"/>
  <c r="A1209" i="1"/>
  <c r="A3808" i="1"/>
  <c r="A3837" i="1"/>
  <c r="A1634" i="1"/>
  <c r="A810" i="1"/>
  <c r="A3909" i="1"/>
  <c r="A1306" i="1"/>
  <c r="A1151" i="1"/>
  <c r="A2974" i="1"/>
  <c r="A1521" i="1"/>
  <c r="A1718" i="1"/>
  <c r="A1940" i="1"/>
  <c r="A2281" i="1"/>
  <c r="A870" i="1"/>
  <c r="A2813" i="1"/>
  <c r="A356" i="1"/>
  <c r="A971" i="1"/>
  <c r="A1694" i="1"/>
  <c r="A3848" i="1"/>
  <c r="A391" i="1"/>
  <c r="A1351" i="1"/>
  <c r="A974" i="1"/>
  <c r="A2669" i="1"/>
  <c r="A2354" i="1"/>
  <c r="A2987" i="1"/>
  <c r="A302" i="1"/>
  <c r="A402" i="1"/>
  <c r="A3030" i="1"/>
  <c r="A3140" i="1"/>
  <c r="A3738" i="1"/>
  <c r="A1296" i="1"/>
  <c r="A3017" i="1"/>
  <c r="A4068" i="1"/>
  <c r="A3437" i="1"/>
  <c r="A4007" i="1"/>
  <c r="A293" i="1"/>
  <c r="A809" i="1"/>
  <c r="A2536" i="1"/>
  <c r="A2537" i="1"/>
  <c r="A2307" i="1"/>
  <c r="A1423" i="1"/>
  <c r="A1731" i="1"/>
  <c r="A2814" i="1"/>
  <c r="A618" i="1"/>
  <c r="A3423" i="1"/>
  <c r="A2787" i="1"/>
  <c r="A2205" i="1"/>
  <c r="A286" i="1"/>
  <c r="A296" i="1"/>
  <c r="A3031" i="1"/>
  <c r="A1403" i="1"/>
  <c r="A747" i="1"/>
  <c r="A3353" i="1"/>
  <c r="A606" i="1"/>
  <c r="A3709" i="1"/>
  <c r="A1404" i="1"/>
  <c r="A4086" i="1"/>
  <c r="A1732" i="1"/>
  <c r="A2392" i="1"/>
  <c r="A1502" i="1"/>
  <c r="A2486" i="1"/>
  <c r="A415" i="1"/>
  <c r="A2077" i="1"/>
  <c r="A3895" i="1"/>
  <c r="A148" i="1"/>
  <c r="A250" i="1"/>
  <c r="A841" i="1"/>
  <c r="A2759" i="1"/>
  <c r="A2215" i="1"/>
  <c r="A1311" i="1"/>
  <c r="A2876" i="1"/>
  <c r="A2007" i="1"/>
  <c r="A1508" i="1"/>
  <c r="A3849" i="1"/>
  <c r="A510" i="1"/>
  <c r="A3258" i="1"/>
  <c r="A3974" i="1"/>
  <c r="A3215" i="1"/>
  <c r="A2378" i="1"/>
  <c r="A480" i="1"/>
  <c r="A3758" i="1"/>
  <c r="A1059" i="1"/>
  <c r="A4066" i="1"/>
  <c r="A2606" i="1"/>
  <c r="A2538" i="1"/>
  <c r="A546" i="1"/>
  <c r="A193" i="1"/>
  <c r="A2383" i="1"/>
  <c r="A2124" i="1"/>
  <c r="A1421" i="1"/>
  <c r="A3438" i="1"/>
  <c r="A3302" i="1"/>
  <c r="A224" i="1"/>
  <c r="A1120" i="1"/>
  <c r="A1733" i="1"/>
  <c r="A2125" i="1"/>
  <c r="A2990" i="1"/>
  <c r="A2117" i="1"/>
  <c r="A3319" i="1"/>
  <c r="A3916" i="1"/>
  <c r="A1139" i="1"/>
  <c r="A3127" i="1"/>
  <c r="A3933" i="1"/>
  <c r="A2364" i="1"/>
  <c r="A2716" i="1"/>
  <c r="A1314" i="1"/>
  <c r="A1682" i="1"/>
  <c r="A3407" i="1"/>
  <c r="A2387" i="1"/>
  <c r="A2216" i="1"/>
  <c r="A4032" i="1"/>
  <c r="A3397" i="1"/>
  <c r="A3439" i="1"/>
  <c r="A2717" i="1"/>
  <c r="A1910" i="1"/>
  <c r="A798" i="1"/>
  <c r="A2595" i="1"/>
  <c r="A1709" i="1"/>
  <c r="A1870" i="1"/>
  <c r="A2637" i="1"/>
  <c r="A2199" i="1"/>
  <c r="A22" i="1"/>
  <c r="A627" i="1"/>
  <c r="A1530" i="1"/>
  <c r="A1601" i="1"/>
  <c r="A2937" i="1"/>
  <c r="A3882" i="1"/>
  <c r="A3197" i="1"/>
  <c r="A4099" i="1"/>
  <c r="A3032" i="1"/>
  <c r="A3872" i="1"/>
  <c r="A3289" i="1"/>
  <c r="A1602" i="1"/>
  <c r="A2609" i="1"/>
  <c r="A2539" i="1"/>
  <c r="A1357" i="1"/>
  <c r="A3222" i="1"/>
  <c r="A3850" i="1"/>
  <c r="A759" i="1"/>
  <c r="A1949" i="1"/>
  <c r="A2330" i="1"/>
  <c r="A1566" i="1"/>
  <c r="A2478" i="1"/>
  <c r="A1986" i="1"/>
  <c r="A3362" i="1"/>
  <c r="A3117" i="1"/>
  <c r="A2540" i="1"/>
  <c r="A625" i="1"/>
  <c r="A975" i="1"/>
  <c r="A2776" i="1"/>
  <c r="A3851" i="1"/>
  <c r="A624" i="1"/>
  <c r="A2853" i="1"/>
  <c r="A3223" i="1"/>
  <c r="A893" i="1"/>
  <c r="A3904" i="1"/>
  <c r="A2572" i="1"/>
  <c r="A1269" i="1"/>
  <c r="A1483" i="1"/>
  <c r="A2760" i="1"/>
  <c r="A1537" i="1"/>
  <c r="A2950" i="1"/>
  <c r="A1509" i="1"/>
  <c r="A1567" i="1"/>
  <c r="A548" i="1"/>
  <c r="A1358" i="1"/>
  <c r="A3341" i="1"/>
  <c r="A1684" i="1"/>
  <c r="A998" i="1"/>
  <c r="A3710" i="1"/>
  <c r="A1892" i="1"/>
  <c r="A1603" i="1"/>
  <c r="A2749" i="1"/>
  <c r="A2405" i="1"/>
  <c r="A2002" i="1"/>
  <c r="A1359" i="1"/>
  <c r="A2655" i="1"/>
  <c r="A367" i="1"/>
  <c r="A23" i="1"/>
  <c r="A3190" i="1"/>
  <c r="A811" i="1"/>
  <c r="A1871" i="1"/>
  <c r="A1656" i="1"/>
  <c r="A1074" i="1"/>
  <c r="A2541" i="1"/>
  <c r="A1484" i="1"/>
  <c r="A2867" i="1"/>
  <c r="A228" i="1"/>
  <c r="A3900" i="1"/>
  <c r="A1941" i="1"/>
  <c r="A1771" i="1"/>
  <c r="A3216" i="1"/>
  <c r="A2223" i="1"/>
  <c r="A3290" i="1"/>
  <c r="A3219" i="1"/>
  <c r="A1582" i="1"/>
  <c r="A194" i="1"/>
  <c r="A438" i="1"/>
  <c r="A1360" i="1"/>
  <c r="A269" i="1"/>
  <c r="A117" i="1"/>
  <c r="A95" i="1"/>
  <c r="A2554" i="1"/>
  <c r="A3334" i="1"/>
  <c r="A1827" i="1"/>
  <c r="A723" i="1"/>
  <c r="A499" i="1"/>
  <c r="A2621" i="1"/>
  <c r="A847" i="1"/>
  <c r="A3990" i="1"/>
  <c r="A2761" i="1"/>
  <c r="A1772" i="1"/>
  <c r="A2126" i="1"/>
  <c r="A1011" i="1"/>
  <c r="A2171" i="1"/>
  <c r="A1510" i="1"/>
  <c r="A3315" i="1"/>
  <c r="A1361" i="1"/>
  <c r="A3023" i="1"/>
  <c r="A907" i="1"/>
  <c r="A1828" i="1"/>
  <c r="A4100" i="1"/>
  <c r="A920" i="1"/>
  <c r="A392" i="1"/>
  <c r="A3939" i="1"/>
  <c r="A927" i="1"/>
  <c r="A641" i="1"/>
  <c r="A1978" i="1"/>
  <c r="A835" i="1"/>
  <c r="A1450" i="1"/>
  <c r="A2766" i="1"/>
  <c r="A133" i="1"/>
  <c r="A3073" i="1"/>
  <c r="A3759" i="1"/>
  <c r="A851" i="1"/>
  <c r="A3809" i="1"/>
  <c r="A2670" i="1"/>
  <c r="A1405" i="1"/>
  <c r="A1444" i="1"/>
  <c r="A2268" i="1"/>
  <c r="A1558" i="1"/>
  <c r="A908" i="1"/>
  <c r="A169" i="1"/>
  <c r="A925" i="1"/>
  <c r="A87" i="1"/>
  <c r="A2509" i="1"/>
  <c r="A1478" i="1"/>
  <c r="A4033" i="1"/>
  <c r="A329" i="1"/>
  <c r="A3975" i="1"/>
  <c r="A2447" i="1"/>
  <c r="A2399" i="1"/>
  <c r="A2221" i="1"/>
  <c r="A1819" i="1"/>
  <c r="A692" i="1"/>
  <c r="A4138" i="1"/>
  <c r="A662" i="1"/>
  <c r="A2542" i="1"/>
  <c r="A3785" i="1"/>
  <c r="A1820" i="1"/>
  <c r="A2767" i="1"/>
  <c r="A1434" i="1"/>
  <c r="A2229" i="1"/>
  <c r="A3347" i="1"/>
  <c r="A3890" i="1"/>
  <c r="A2946" i="1"/>
  <c r="A1934" i="1"/>
  <c r="A1075" i="1"/>
  <c r="A40" i="1"/>
  <c r="A316" i="1"/>
  <c r="A3024" i="1"/>
  <c r="A2498" i="1"/>
  <c r="A2034" i="1"/>
  <c r="A200" i="1"/>
  <c r="A192" i="1"/>
  <c r="A4082" i="1"/>
  <c r="A2807" i="1"/>
  <c r="A3404" i="1"/>
  <c r="A628" i="1"/>
  <c r="A2230" i="1"/>
  <c r="A131" i="1"/>
  <c r="A1222" i="1"/>
  <c r="A2771" i="1"/>
  <c r="A3739" i="1"/>
  <c r="A557" i="1"/>
  <c r="A4005" i="1"/>
  <c r="A1740" i="1"/>
  <c r="A2227" i="1"/>
  <c r="A1262" i="1"/>
  <c r="A2543" i="1"/>
  <c r="A2445" i="1"/>
  <c r="A3106" i="1"/>
  <c r="A1872" i="1"/>
  <c r="A2514" i="1"/>
  <c r="A773" i="1"/>
  <c r="A1695" i="1"/>
  <c r="A3928" i="1"/>
  <c r="A2492" i="1"/>
  <c r="A2638" i="1"/>
  <c r="A368" i="1"/>
  <c r="A412" i="1"/>
  <c r="A3983" i="1"/>
  <c r="A3934" i="1"/>
  <c r="A2573" i="1"/>
  <c r="A439" i="1"/>
  <c r="A2574" i="1"/>
  <c r="A1604" i="1"/>
  <c r="A46" i="1"/>
  <c r="A1700" i="1"/>
  <c r="A2065" i="1"/>
  <c r="A1511" i="1"/>
  <c r="A1933" i="1"/>
  <c r="A4063" i="1"/>
  <c r="A864" i="1"/>
  <c r="A1657" i="1"/>
  <c r="A2066" i="1"/>
  <c r="A648" i="1"/>
  <c r="A307" i="1"/>
  <c r="A134" i="1"/>
  <c r="A2868" i="1"/>
  <c r="A684" i="1"/>
  <c r="A3281" i="1"/>
  <c r="A1759" i="1"/>
  <c r="A4060" i="1"/>
  <c r="A2503" i="1"/>
  <c r="A2080" i="1"/>
  <c r="A2298" i="1"/>
  <c r="A175" i="1"/>
  <c r="A1928" i="1"/>
  <c r="A955" i="1"/>
  <c r="A1076" i="1"/>
  <c r="A2482" i="1"/>
  <c r="A1060" i="1"/>
  <c r="A3068" i="1"/>
  <c r="A3351" i="1"/>
  <c r="A2806" i="1"/>
  <c r="A1362" i="1"/>
  <c r="A2671" i="1"/>
  <c r="A1320" i="1"/>
  <c r="A1861" i="1"/>
  <c r="A1221" i="1"/>
  <c r="A3082" i="1"/>
  <c r="A2494" i="1"/>
  <c r="A3839" i="1"/>
  <c r="A4023" i="1"/>
  <c r="A1033" i="1"/>
  <c r="A1034" i="1"/>
  <c r="A179" i="1"/>
  <c r="A2869" i="1"/>
  <c r="A1734" i="1"/>
  <c r="A1735" i="1"/>
  <c r="A159" i="1"/>
  <c r="A2575" i="1"/>
  <c r="A1035" i="1"/>
  <c r="A426" i="1"/>
  <c r="A2295" i="1"/>
  <c r="A1061" i="1"/>
  <c r="A2696" i="1"/>
  <c r="A58" i="1"/>
  <c r="A450" i="1"/>
  <c r="A709" i="1"/>
  <c r="A2491" i="1"/>
  <c r="A263" i="1"/>
  <c r="A3753" i="1"/>
  <c r="A2555" i="1"/>
  <c r="A2933" i="1"/>
  <c r="A4058" i="1"/>
  <c r="A693" i="1"/>
  <c r="A4034" i="1"/>
  <c r="A818" i="1"/>
  <c r="A2805" i="1"/>
  <c r="A1297" i="1"/>
  <c r="A1587" i="1"/>
  <c r="A2515" i="1"/>
  <c r="A2485" i="1"/>
  <c r="A2253" i="1"/>
  <c r="A2708" i="1"/>
  <c r="A2947" i="1"/>
  <c r="A2406" i="1"/>
  <c r="A3283" i="1"/>
  <c r="A3910" i="1"/>
  <c r="A479" i="1"/>
  <c r="A3764" i="1"/>
  <c r="A1760" i="1"/>
  <c r="A3440" i="1"/>
  <c r="A3852" i="1"/>
  <c r="A3367" i="1"/>
  <c r="A2457" i="1"/>
  <c r="A1263" i="1"/>
  <c r="A1051" i="1"/>
  <c r="A939" i="1"/>
  <c r="A1264" i="1"/>
  <c r="A2167" i="1"/>
  <c r="A1857" i="1"/>
  <c r="A3963" i="1"/>
  <c r="A1635" i="1"/>
  <c r="A1854" i="1"/>
  <c r="A437" i="1"/>
  <c r="A748" i="1"/>
  <c r="A4035" i="1"/>
  <c r="A2035" i="1"/>
  <c r="A30" i="1"/>
  <c r="A3146" i="1"/>
  <c r="A2118" i="1"/>
  <c r="A2727" i="1"/>
  <c r="A672" i="1"/>
  <c r="A1406" i="1"/>
  <c r="A3018" i="1"/>
  <c r="A948" i="1"/>
  <c r="A3019" i="1"/>
  <c r="A1652" i="1"/>
  <c r="A727" i="1"/>
  <c r="A1672" i="1"/>
  <c r="A3416" i="1"/>
  <c r="A2448" i="1"/>
  <c r="A496" i="1"/>
  <c r="A2658" i="1"/>
  <c r="A125" i="1"/>
  <c r="A607" i="1"/>
  <c r="A2356" i="1"/>
  <c r="A1829" i="1"/>
  <c r="A1942" i="1"/>
  <c r="A3257" i="1"/>
  <c r="A630" i="1"/>
  <c r="A3786" i="1"/>
  <c r="A2379" i="1"/>
  <c r="A871" i="1"/>
  <c r="A3954" i="1"/>
  <c r="A1512" i="1"/>
  <c r="A3711" i="1"/>
  <c r="A67" i="1"/>
  <c r="A3754" i="1"/>
  <c r="A1017" i="1"/>
  <c r="A2008" i="1"/>
  <c r="A2408" i="1"/>
  <c r="A3421" i="1"/>
  <c r="A1926" i="1"/>
  <c r="A3760" i="1"/>
  <c r="A3217" i="1"/>
  <c r="A1821" i="1"/>
  <c r="A3033" i="1"/>
  <c r="A1736" i="1"/>
  <c r="A330" i="1"/>
  <c r="A3740" i="1"/>
  <c r="A3787" i="1"/>
  <c r="A2544" i="1"/>
  <c r="A1873" i="1"/>
  <c r="A389" i="1"/>
  <c r="A2550" i="1"/>
  <c r="A3303" i="1"/>
  <c r="A710" i="1"/>
  <c r="A860" i="1"/>
  <c r="A1407" i="1"/>
  <c r="A3224" i="1"/>
  <c r="A2127" i="1"/>
  <c r="A2740" i="1"/>
  <c r="A1605" i="1"/>
  <c r="A1737" i="1"/>
  <c r="A2017" i="1"/>
  <c r="A3441" i="1"/>
  <c r="A1133" i="1"/>
  <c r="A3772" i="1"/>
  <c r="A4036" i="1"/>
  <c r="A2907" i="1"/>
  <c r="A1893" i="1"/>
  <c r="A753" i="1"/>
  <c r="A694" i="1"/>
  <c r="A431" i="1"/>
  <c r="A1935" i="1"/>
  <c r="A2394" i="1"/>
  <c r="A3198" i="1"/>
  <c r="A1975" i="1"/>
  <c r="A3191" i="1"/>
  <c r="A1658" i="1"/>
  <c r="A2557" i="1"/>
  <c r="A1793" i="1"/>
  <c r="A3991" i="1"/>
  <c r="A2206" i="1"/>
  <c r="A2209" i="1"/>
  <c r="A1468" i="1"/>
  <c r="A872" i="1"/>
  <c r="A3993" i="1"/>
  <c r="A3401" i="1"/>
  <c r="A369" i="1"/>
  <c r="A3835" i="1"/>
  <c r="A3442" i="1"/>
  <c r="A2545" i="1"/>
  <c r="A1534" i="1"/>
  <c r="A3272" i="1"/>
  <c r="A2505" i="1"/>
  <c r="A775" i="1"/>
  <c r="A3104" i="1"/>
  <c r="A1874" i="1"/>
  <c r="A102" i="1"/>
  <c r="A1024" i="1"/>
  <c r="A1155" i="1"/>
  <c r="A2546" i="1"/>
  <c r="A2831" i="1"/>
  <c r="A4024" i="1"/>
  <c r="A2854" i="1"/>
  <c r="A2454" i="1"/>
  <c r="A77" i="1"/>
  <c r="A1025" i="1"/>
  <c r="A3810" i="1"/>
  <c r="A3853" i="1"/>
  <c r="A2576" i="1"/>
  <c r="A13" i="1"/>
  <c r="A836" i="1"/>
  <c r="A656" i="1"/>
  <c r="A508" i="1"/>
  <c r="A273" i="1"/>
  <c r="A1606" i="1"/>
  <c r="A299" i="1"/>
  <c r="A776" i="1"/>
  <c r="A2908" i="1"/>
  <c r="A2389" i="1"/>
  <c r="A196" i="1"/>
  <c r="A3955" i="1"/>
  <c r="A3128" i="1"/>
  <c r="A718" i="1"/>
  <c r="A4069" i="1"/>
  <c r="A2909" i="1"/>
  <c r="A1408" i="1"/>
  <c r="A4052" i="1"/>
  <c r="A3092" i="1"/>
  <c r="A3225" i="1"/>
  <c r="A758" i="1"/>
  <c r="A3811" i="1"/>
  <c r="A297" i="1"/>
  <c r="A1685" i="1"/>
  <c r="A3294" i="1"/>
  <c r="A2991" i="1"/>
  <c r="A353" i="1"/>
  <c r="A2128" i="1"/>
  <c r="A3788" i="1"/>
  <c r="A3929" i="1"/>
  <c r="A4003" i="1"/>
  <c r="A2018" i="1"/>
  <c r="A4070" i="1"/>
  <c r="A3097" i="1"/>
  <c r="A306" i="1"/>
  <c r="A1822" i="1"/>
  <c r="A2926" i="1"/>
  <c r="A735" i="1"/>
  <c r="A2207" i="1"/>
  <c r="A591" i="1"/>
  <c r="A3812" i="1"/>
  <c r="A4114" i="1"/>
  <c r="A784" i="1"/>
  <c r="A445" i="1"/>
  <c r="A3163" i="1"/>
  <c r="A3741" i="1"/>
  <c r="A1363" i="1"/>
  <c r="A340" i="1"/>
  <c r="A4101" i="1"/>
  <c r="A427" i="1"/>
  <c r="A1140" i="1"/>
  <c r="A1823" i="1"/>
  <c r="A2450" i="1"/>
  <c r="A511" i="1"/>
  <c r="A755" i="1"/>
  <c r="A1277" i="1"/>
  <c r="A59" i="1"/>
  <c r="A2746" i="1"/>
  <c r="A178" i="1"/>
  <c r="A366" i="1"/>
  <c r="A828" i="1"/>
  <c r="A1113" i="1"/>
  <c r="A1077" i="1"/>
  <c r="A3920" i="1"/>
  <c r="A2426" i="1"/>
  <c r="A1745" i="1"/>
  <c r="A1127" i="1"/>
  <c r="A1409" i="1"/>
  <c r="A320" i="1"/>
  <c r="A1607" i="1"/>
  <c r="A2815" i="1"/>
  <c r="A3098" i="1"/>
  <c r="A2067" i="1"/>
  <c r="A3192" i="1"/>
  <c r="A3193" i="1"/>
  <c r="A1824" i="1"/>
  <c r="A2939" i="1"/>
  <c r="A2816" i="1"/>
  <c r="A1825" i="1"/>
  <c r="A4102" i="1"/>
  <c r="A621" i="1"/>
  <c r="A3854" i="1"/>
  <c r="A695" i="1"/>
  <c r="A873" i="1"/>
  <c r="A4139" i="1"/>
  <c r="A3320" i="1"/>
  <c r="A3383" i="1"/>
  <c r="A3410" i="1"/>
  <c r="A560" i="1"/>
  <c r="A825" i="1"/>
  <c r="A3443" i="1"/>
  <c r="A2880" i="1"/>
  <c r="A3855" i="1"/>
  <c r="A1765" i="1"/>
  <c r="A4140" i="1"/>
  <c r="A288" i="1"/>
  <c r="A611" i="1"/>
  <c r="A2009" i="1"/>
  <c r="A874" i="1"/>
  <c r="A1229" i="1"/>
  <c r="A1364" i="1"/>
  <c r="A2068" i="1"/>
  <c r="A1211" i="1"/>
  <c r="A1875" i="1"/>
  <c r="A1575" i="1"/>
  <c r="A731" i="1"/>
  <c r="A958" i="1"/>
  <c r="A60" i="1"/>
  <c r="A393" i="1"/>
  <c r="A440" i="1"/>
  <c r="A4064" i="1"/>
  <c r="A2882" i="1"/>
  <c r="A132" i="1"/>
  <c r="A3384" i="1"/>
  <c r="A929" i="1"/>
  <c r="A3942" i="1"/>
  <c r="A3152" i="1"/>
  <c r="A2577" i="1"/>
  <c r="A1278" i="1"/>
  <c r="A2602" i="1"/>
  <c r="A2891" i="1"/>
  <c r="A2524" i="1"/>
  <c r="A2069" i="1"/>
  <c r="A2992" i="1"/>
  <c r="A1315" i="1"/>
  <c r="A114" i="1"/>
  <c r="A185" i="1"/>
  <c r="A394" i="1"/>
  <c r="A1226" i="1"/>
  <c r="A1830" i="1"/>
  <c r="A1047" i="1"/>
  <c r="A3304" i="1"/>
  <c r="A781" i="1"/>
  <c r="A1000" i="1"/>
  <c r="A2779" i="1"/>
  <c r="A568" i="1"/>
  <c r="A603" i="1"/>
  <c r="A2493" i="1"/>
  <c r="A1279" i="1"/>
  <c r="A1490" i="1"/>
  <c r="A2886" i="1"/>
  <c r="A2368" i="1"/>
  <c r="A4079" i="1"/>
  <c r="A2627" i="1"/>
  <c r="A2844" i="1"/>
  <c r="A2794" i="1"/>
  <c r="A1943" i="1"/>
  <c r="A406" i="1"/>
  <c r="A4120" i="1"/>
  <c r="A909" i="1"/>
  <c r="A1557" i="1"/>
  <c r="A4017" i="1"/>
  <c r="A4103" i="1"/>
  <c r="A736" i="1"/>
  <c r="A171" i="1"/>
  <c r="A586" i="1"/>
  <c r="A4055" i="1"/>
  <c r="A3980" i="1"/>
  <c r="A1424" i="1"/>
  <c r="A1608" i="1"/>
  <c r="A705" i="1"/>
  <c r="A2832" i="1"/>
  <c r="A1762" i="1"/>
  <c r="A1393" i="1"/>
  <c r="A861" i="1"/>
  <c r="A786" i="1"/>
  <c r="A1831" i="1"/>
  <c r="A61" i="1"/>
  <c r="A409" i="1"/>
  <c r="A4141" i="1"/>
  <c r="A1280" i="1"/>
  <c r="A2817" i="1"/>
  <c r="A3813" i="1"/>
  <c r="A4142" i="1"/>
  <c r="A2499" i="1"/>
  <c r="A345" i="1"/>
  <c r="A2371" i="1"/>
  <c r="A3935" i="1"/>
  <c r="A550" i="1"/>
  <c r="A3305" i="1"/>
  <c r="A1746" i="1"/>
  <c r="A1538" i="1"/>
  <c r="A1983" i="1"/>
  <c r="A2610" i="1"/>
  <c r="A375" i="1"/>
  <c r="A1636" i="1"/>
  <c r="A2238" i="1"/>
  <c r="A1894" i="1"/>
  <c r="A3054" i="1"/>
  <c r="A976" i="1"/>
  <c r="A2735" i="1"/>
  <c r="A2261" i="1"/>
  <c r="A3856" i="1"/>
  <c r="A3417" i="1"/>
  <c r="A1145" i="1"/>
  <c r="A1911" i="1"/>
  <c r="A3857" i="1"/>
  <c r="A1492" i="1"/>
  <c r="A1026" i="1"/>
  <c r="A1339" i="1"/>
  <c r="A1160" i="1"/>
  <c r="A701" i="1"/>
  <c r="A1747" i="1"/>
  <c r="A1901" i="1"/>
  <c r="A749" i="1"/>
  <c r="A2547" i="1"/>
  <c r="A2934" i="1"/>
  <c r="A2291" i="1"/>
  <c r="A3034" i="1"/>
  <c r="A481" i="1"/>
  <c r="A2993" i="1"/>
  <c r="A1786" i="1"/>
  <c r="A3264" i="1"/>
  <c r="A2006" i="1"/>
  <c r="A370" i="1"/>
  <c r="A1146" i="1"/>
  <c r="A2948" i="1"/>
  <c r="A2409" i="1"/>
  <c r="A451" i="1"/>
  <c r="A2360" i="1"/>
  <c r="A2639" i="1"/>
  <c r="A4077" i="1"/>
  <c r="A956" i="1"/>
  <c r="A182" i="1"/>
  <c r="A274" i="1"/>
  <c r="A875" i="1"/>
  <c r="A2858" i="1"/>
  <c r="A2152" i="1"/>
  <c r="A277" i="1"/>
  <c r="A679" i="1"/>
  <c r="A876" i="1"/>
  <c r="A1052" i="1"/>
  <c r="A362" i="1"/>
  <c r="A3212" i="1"/>
  <c r="A1701" i="1"/>
  <c r="A2855" i="1"/>
  <c r="A649" i="1"/>
  <c r="A2552" i="1"/>
  <c r="A3306" i="1"/>
  <c r="A1832" i="1"/>
  <c r="A848" i="1"/>
  <c r="A3742" i="1"/>
  <c r="A1174" i="1"/>
  <c r="A2200" i="1"/>
  <c r="A3743" i="1"/>
  <c r="A2178" i="1"/>
  <c r="A1485" i="1"/>
  <c r="A3917" i="1"/>
  <c r="A2752" i="1"/>
  <c r="A1298" i="1"/>
  <c r="A3199" i="1"/>
  <c r="A1394" i="1"/>
  <c r="A197" i="1"/>
  <c r="A3444" i="1"/>
  <c r="A877" i="1"/>
  <c r="A424" i="1"/>
  <c r="A878" i="1"/>
  <c r="A3055" i="1"/>
  <c r="A1435" i="1"/>
  <c r="A1609" i="1"/>
  <c r="A3838" i="1"/>
  <c r="A602" i="1"/>
  <c r="A2469" i="1"/>
  <c r="A1270" i="1"/>
  <c r="A2397" i="1"/>
  <c r="A3360" i="1"/>
  <c r="A2129" i="1"/>
  <c r="A1984" i="1"/>
  <c r="A2994" i="1"/>
  <c r="A464" i="1"/>
  <c r="A4037" i="1"/>
  <c r="A380" i="1"/>
  <c r="A4065" i="1"/>
  <c r="A3153" i="1"/>
  <c r="A1985" i="1"/>
  <c r="A1053" i="1"/>
  <c r="A3418" i="1"/>
  <c r="A3921" i="1"/>
  <c r="A3046" i="1"/>
  <c r="A139" i="1"/>
  <c r="A3321" i="1"/>
  <c r="A3712" i="1"/>
  <c r="A2144" i="1"/>
  <c r="A2019" i="1"/>
  <c r="A3088" i="1"/>
  <c r="A4038" i="1"/>
  <c r="A1673" i="1"/>
  <c r="A2955" i="1"/>
  <c r="A1271" i="1"/>
  <c r="A1316" i="1"/>
  <c r="A2070" i="1"/>
  <c r="A3918" i="1"/>
  <c r="A1775" i="1"/>
  <c r="A1610" i="1"/>
  <c r="A2323" i="1"/>
  <c r="A2300" i="1"/>
  <c r="A685" i="1"/>
  <c r="A762" i="1"/>
  <c r="A894" i="1"/>
  <c r="A2071" i="1"/>
  <c r="A1395" i="1"/>
  <c r="A1379" i="1"/>
  <c r="A3349" i="1"/>
  <c r="A2474" i="1"/>
  <c r="A3025" i="1"/>
  <c r="A2072" i="1"/>
  <c r="A3129" i="1"/>
  <c r="A3130" i="1"/>
  <c r="A1936" i="1"/>
  <c r="A609" i="1"/>
  <c r="A997" i="1"/>
  <c r="A51" i="1"/>
  <c r="A2995" i="1"/>
  <c r="A3131" i="1"/>
  <c r="A3059" i="1"/>
  <c r="A5" i="1"/>
  <c r="A895" i="1"/>
  <c r="A7" i="1"/>
  <c r="A331" i="1"/>
  <c r="A3755" i="1"/>
  <c r="A3368" i="1"/>
  <c r="A3814" i="1"/>
  <c r="A3200" i="1"/>
  <c r="A3815" i="1"/>
  <c r="A300" i="1"/>
  <c r="A719" i="1"/>
  <c r="A2186" i="1"/>
  <c r="A3873" i="1"/>
  <c r="A3408" i="1"/>
  <c r="A799" i="1"/>
  <c r="A3956" i="1"/>
  <c r="A642" i="1"/>
  <c r="A583" i="1"/>
  <c r="A914" i="1"/>
  <c r="A1833" i="1"/>
  <c r="A291" i="1"/>
  <c r="A1054" i="1"/>
  <c r="A227" i="1"/>
  <c r="A2363" i="1"/>
  <c r="A1563" i="1"/>
  <c r="A324" i="1"/>
  <c r="A2192" i="1"/>
  <c r="A1396" i="1"/>
  <c r="A2193" i="1"/>
  <c r="A2411" i="1"/>
  <c r="A916" i="1"/>
  <c r="A3713" i="1"/>
  <c r="A3714" i="1"/>
  <c r="A3715" i="1"/>
  <c r="A2324" i="1"/>
  <c r="A1018" i="1"/>
  <c r="A1855" i="1"/>
  <c r="A208" i="1"/>
  <c r="A3099" i="1"/>
  <c r="A1100" i="1"/>
  <c r="A1659" i="1"/>
  <c r="A1365" i="1"/>
  <c r="A769" i="1"/>
  <c r="A1525" i="1"/>
  <c r="A541" i="1"/>
  <c r="A3201" i="1"/>
  <c r="A3874" i="1"/>
  <c r="A2690" i="1"/>
  <c r="A1748" i="1"/>
  <c r="A2548" i="1"/>
  <c r="A3716" i="1"/>
  <c r="A1500" i="1"/>
  <c r="A2073" i="1"/>
  <c r="A829" i="1"/>
  <c r="A650" i="1"/>
  <c r="A2870" i="1"/>
  <c r="A1876" i="1"/>
  <c r="A1078" i="1"/>
  <c r="A549" i="1"/>
  <c r="A489" i="1"/>
  <c r="A535" i="1"/>
  <c r="A4071" i="1"/>
  <c r="A1494" i="1"/>
  <c r="A2996" i="1"/>
  <c r="A2344" i="1"/>
  <c r="A1834" i="1"/>
  <c r="A2997" i="1"/>
  <c r="A2910" i="1"/>
  <c r="A2074" i="1"/>
  <c r="A346" i="1"/>
  <c r="A2294" i="1"/>
  <c r="A2141" i="1"/>
  <c r="A1987" i="1"/>
  <c r="A487" i="1"/>
  <c r="A3744" i="1"/>
  <c r="A433" i="1"/>
  <c r="A2672" i="1"/>
  <c r="A3994" i="1"/>
  <c r="A1108" i="1"/>
  <c r="A470" i="1"/>
  <c r="A3717" i="1"/>
  <c r="A2020" i="1"/>
  <c r="A2718" i="1"/>
  <c r="A2768" i="1"/>
  <c r="A896" i="1"/>
  <c r="A949" i="1"/>
  <c r="A1674" i="1"/>
  <c r="A1027" i="1"/>
  <c r="A2911" i="1"/>
  <c r="A1425" i="1"/>
  <c r="A244" i="1"/>
  <c r="A2578" i="1"/>
  <c r="A108" i="1"/>
  <c r="A163" i="1"/>
  <c r="A1366" i="1"/>
  <c r="A1555" i="1"/>
  <c r="A2747" i="1"/>
  <c r="A493" i="1"/>
  <c r="A3896" i="1"/>
  <c r="A2702" i="1"/>
  <c r="A1643" i="1"/>
  <c r="A1436" i="1"/>
  <c r="A2998" i="1"/>
  <c r="A2521" i="1"/>
  <c r="A3977" i="1"/>
  <c r="A653" i="1"/>
  <c r="A3773" i="1"/>
  <c r="A2316" i="1"/>
  <c r="A116" i="1"/>
  <c r="A1660" i="1"/>
  <c r="A3745" i="1"/>
  <c r="A264" i="1"/>
  <c r="A3202" i="1"/>
  <c r="A4143" i="1"/>
  <c r="A62" i="1"/>
  <c r="A2856" i="1"/>
  <c r="A2075" i="1"/>
  <c r="A3422" i="1"/>
  <c r="A3756" i="1"/>
  <c r="A3187" i="1"/>
  <c r="A2194" i="1"/>
  <c r="A4078" i="1"/>
  <c r="A3875" i="1"/>
  <c r="A830" i="1"/>
  <c r="A372" i="1"/>
  <c r="A3179" i="1"/>
  <c r="A2769" i="1"/>
  <c r="A1093" i="1"/>
  <c r="A325" i="1"/>
  <c r="A85" i="1"/>
  <c r="A792" i="1"/>
  <c r="A2628" i="1"/>
  <c r="A3445" i="1"/>
  <c r="A1661" i="1"/>
  <c r="A1486" i="1"/>
  <c r="A2784" i="1"/>
  <c r="A1749" i="1"/>
  <c r="A2691" i="1"/>
  <c r="A704" i="1"/>
  <c r="A3957" i="1"/>
  <c r="A3236" i="1"/>
  <c r="A977" i="1"/>
  <c r="A2607" i="1"/>
  <c r="A3816" i="1"/>
  <c r="A980" i="1"/>
  <c r="A2340" i="1"/>
  <c r="A2935" i="1"/>
  <c r="A3718" i="1"/>
  <c r="A2840" i="1"/>
  <c r="A4144" i="1"/>
  <c r="A910" i="1"/>
  <c r="A3322" i="1"/>
  <c r="A4145" i="1"/>
  <c r="A1713" i="1"/>
  <c r="A1307" i="1"/>
  <c r="A1458" i="1"/>
  <c r="A3180" i="1"/>
  <c r="A2596" i="1"/>
  <c r="A2502" i="1"/>
  <c r="A3411" i="1"/>
  <c r="A3181" i="1"/>
  <c r="A1234" i="1"/>
  <c r="A388" i="1"/>
  <c r="A2023" i="1"/>
  <c r="A3307" i="1"/>
  <c r="A3817" i="1"/>
  <c r="A2372" i="1"/>
  <c r="A2082" i="1"/>
  <c r="A686" i="1"/>
  <c r="A212" i="1"/>
  <c r="A275" i="1"/>
  <c r="A2999" i="1"/>
  <c r="A84" i="1"/>
  <c r="A1469" i="1"/>
  <c r="A2497" i="1"/>
  <c r="A2161" i="1"/>
  <c r="A2334" i="1"/>
  <c r="A3858" i="1"/>
  <c r="A1272" i="1"/>
  <c r="A1299" i="1"/>
  <c r="A3859" i="1"/>
  <c r="A1675" i="1"/>
  <c r="A935" i="1"/>
  <c r="A70" i="1"/>
  <c r="A1930" i="1"/>
  <c r="A2579" i="1"/>
  <c r="A823" i="1"/>
  <c r="A981" i="1"/>
  <c r="A2365" i="1"/>
  <c r="A2480" i="1"/>
  <c r="A1480" i="1"/>
  <c r="A812" i="1"/>
  <c r="A3818" i="1"/>
  <c r="A3968" i="1"/>
  <c r="A1397" i="1"/>
  <c r="A2346" i="1"/>
  <c r="A3237" i="1"/>
  <c r="A251" i="1"/>
  <c r="A2217" i="1"/>
  <c r="A4018" i="1"/>
  <c r="A2580" i="1"/>
  <c r="A278" i="1"/>
  <c r="A4072" i="1"/>
  <c r="A405" i="1"/>
  <c r="A2523" i="1"/>
  <c r="A2013" i="1"/>
  <c r="A615" i="1"/>
  <c r="A1273" i="1"/>
  <c r="A26" i="1"/>
  <c r="A982" i="1"/>
  <c r="A581" i="1"/>
  <c r="A2036" i="1"/>
  <c r="A1398" i="1"/>
  <c r="A879" i="1"/>
  <c r="A1877" i="1"/>
  <c r="A1912" i="1"/>
  <c r="A1055" i="1"/>
  <c r="A3132" i="1"/>
  <c r="A983" i="1"/>
  <c r="A1686" i="1"/>
  <c r="A126" i="1"/>
  <c r="A3761" i="1"/>
  <c r="A158" i="1"/>
  <c r="A588" i="1"/>
  <c r="A2838" i="1"/>
  <c r="A1428" i="1"/>
  <c r="A413" i="1"/>
  <c r="A2284" i="1"/>
  <c r="A633" i="1"/>
  <c r="A3308" i="1"/>
  <c r="A941" i="1"/>
  <c r="A813" i="1"/>
  <c r="A3774" i="1"/>
  <c r="A2762" i="1"/>
  <c r="A2741" i="1"/>
  <c r="A425" i="1"/>
  <c r="A2673" i="1"/>
  <c r="A2581" i="1"/>
  <c r="A181" i="1"/>
  <c r="A1750" i="1"/>
  <c r="A3291" i="1"/>
  <c r="A2949" i="1"/>
  <c r="A555" i="1"/>
  <c r="A732" i="1"/>
  <c r="A1717" i="1"/>
  <c r="A1062" i="1"/>
  <c r="A2470" i="1"/>
  <c r="A3943" i="1"/>
  <c r="A1063" i="1"/>
  <c r="A2119" i="1"/>
  <c r="A643" i="1"/>
  <c r="A3273" i="1"/>
  <c r="A1218" i="1"/>
  <c r="A1367" i="1"/>
  <c r="A1751" i="1"/>
  <c r="A3944" i="1"/>
  <c r="A1094" i="1"/>
  <c r="A2753" i="1"/>
  <c r="A1019" i="1"/>
  <c r="A429" i="1"/>
  <c r="A1064" i="1"/>
  <c r="A2684" i="1"/>
  <c r="A2640" i="1"/>
  <c r="A1325" i="1"/>
  <c r="A1902" i="1"/>
  <c r="A150" i="1"/>
  <c r="A3203" i="1"/>
  <c r="A1965" i="1"/>
  <c r="A3378" i="1"/>
  <c r="A993" i="1"/>
  <c r="A1513" i="1"/>
  <c r="A1028" i="1"/>
  <c r="A880" i="1"/>
  <c r="A1020" i="1"/>
  <c r="A1274" i="1"/>
  <c r="A3796" i="1"/>
  <c r="A81" i="1"/>
  <c r="A1835" i="1"/>
  <c r="A2597" i="1"/>
  <c r="A897" i="1"/>
  <c r="A2433" i="1"/>
  <c r="A1878" i="1"/>
  <c r="A576" i="1"/>
  <c r="A1549" i="1"/>
  <c r="A561" i="1"/>
  <c r="A1920" i="1"/>
  <c r="A1005" i="1"/>
  <c r="A1879" i="1"/>
  <c r="A3102" i="1"/>
  <c r="A2233" i="1"/>
  <c r="A318" i="1"/>
  <c r="A2269" i="1"/>
  <c r="A2228" i="1"/>
  <c r="A403" i="1"/>
  <c r="A1275" i="1"/>
  <c r="A3265" i="1"/>
  <c r="A2641" i="1"/>
  <c r="A1317" i="1"/>
  <c r="A1470" i="1"/>
  <c r="A322" i="1"/>
  <c r="A1121" i="1"/>
  <c r="A3266" i="1"/>
  <c r="A3908" i="1"/>
  <c r="A567" i="1"/>
  <c r="A2785" i="1"/>
  <c r="A4087" i="1"/>
  <c r="A3267" i="1"/>
  <c r="A376" i="1"/>
  <c r="A350" i="1"/>
  <c r="A2799" i="1"/>
  <c r="A1399" i="1"/>
  <c r="A604" i="1"/>
  <c r="A636" i="1"/>
  <c r="A2195" i="1"/>
  <c r="A2742" i="1"/>
  <c r="A1836" i="1"/>
  <c r="A1012" i="1"/>
  <c r="A47" i="1"/>
  <c r="A677" i="1"/>
  <c r="A888" i="1"/>
  <c r="A2642" i="1"/>
  <c r="A1223" i="1"/>
  <c r="A1611" i="1"/>
  <c r="A2180" i="1"/>
  <c r="A98" i="1"/>
  <c r="A1576" i="1"/>
  <c r="A821" i="1"/>
  <c r="A1095" i="1"/>
  <c r="A2730" i="1"/>
  <c r="A1787" i="1"/>
  <c r="A3964" i="1"/>
  <c r="A222" i="1"/>
  <c r="A2251" i="1"/>
  <c r="A2603" i="1"/>
  <c r="A2772" i="1"/>
  <c r="A235" i="1"/>
  <c r="A3331" i="1"/>
  <c r="A4039" i="1"/>
  <c r="A4104" i="1"/>
  <c r="A783" i="1"/>
  <c r="A2976" i="1"/>
  <c r="A2956" i="1"/>
  <c r="A3981" i="1"/>
  <c r="A418" i="1"/>
  <c r="A4105" i="1"/>
  <c r="A381" i="1"/>
  <c r="A304" i="1"/>
  <c r="A3369" i="1"/>
  <c r="A644" i="1"/>
  <c r="A1522" i="1"/>
  <c r="A3274" i="1"/>
  <c r="A3403" i="1"/>
  <c r="A3133" i="1"/>
  <c r="A819" i="1"/>
  <c r="A532" i="1"/>
  <c r="A1837" i="1"/>
  <c r="A4088" i="1"/>
  <c r="A930" i="1"/>
  <c r="A1368" i="1"/>
  <c r="A2912" i="1"/>
  <c r="A2707" i="1"/>
  <c r="A1550" i="1"/>
  <c r="A105" i="1"/>
  <c r="A3026" i="1"/>
  <c r="A2311" i="1"/>
  <c r="A702" i="1"/>
  <c r="A2366" i="1"/>
  <c r="A2871" i="1"/>
  <c r="A3134" i="1"/>
  <c r="A4146" i="1"/>
  <c r="A1276" i="1"/>
  <c r="A2786" i="1"/>
  <c r="A551" i="1"/>
  <c r="A3282" i="1"/>
  <c r="A777" i="1"/>
  <c r="A1400" i="1"/>
  <c r="A1561" i="1"/>
  <c r="A950" i="1"/>
  <c r="A2508" i="1"/>
  <c r="A430" i="1"/>
  <c r="A82" i="1"/>
  <c r="A2130" i="1"/>
  <c r="A1779" i="1"/>
  <c r="A1955" i="1"/>
  <c r="A2551" i="1"/>
  <c r="A3268" i="1"/>
  <c r="A41" i="1"/>
  <c r="A3969" i="1"/>
  <c r="A2731" i="1"/>
  <c r="A3204" i="1"/>
  <c r="A4040" i="1"/>
  <c r="A3205" i="1"/>
  <c r="A800" i="1"/>
  <c r="A1838" i="1"/>
  <c r="A4041" i="1"/>
  <c r="A2299" i="1"/>
  <c r="A2679" i="1"/>
  <c r="A3080" i="1"/>
  <c r="A2131" i="1"/>
  <c r="A4000" i="1"/>
  <c r="A1763" i="1"/>
  <c r="A1687" i="1"/>
  <c r="A2818" i="1"/>
  <c r="A538" i="1"/>
  <c r="A3719" i="1"/>
  <c r="A3000" i="1"/>
  <c r="A3398" i="1"/>
  <c r="A186" i="1"/>
  <c r="A471" i="1"/>
  <c r="A2254" i="1"/>
  <c r="A2176" i="1"/>
  <c r="A3762" i="1"/>
  <c r="A1839" i="1"/>
  <c r="A2582" i="1"/>
  <c r="A466" i="1"/>
  <c r="A1988" i="1"/>
  <c r="A4089" i="1"/>
  <c r="A3086" i="1"/>
  <c r="A887" i="1"/>
  <c r="A1281" i="1"/>
  <c r="A2495" i="1"/>
  <c r="A1282" i="1"/>
  <c r="A3860" i="1"/>
  <c r="A1752" i="1"/>
  <c r="A3001" i="1"/>
  <c r="A2336" i="1"/>
  <c r="A4121" i="1"/>
  <c r="A3426" i="1"/>
  <c r="A1773" i="1"/>
  <c r="A2388" i="1"/>
  <c r="A2583" i="1"/>
  <c r="A789" i="1"/>
  <c r="A3746" i="1"/>
  <c r="A1688" i="1"/>
  <c r="A1937" i="1"/>
  <c r="A3819" i="1"/>
  <c r="A2120" i="1"/>
  <c r="A1776" i="1"/>
  <c r="A1300" i="1"/>
  <c r="A1114" i="1"/>
  <c r="A3820" i="1"/>
  <c r="A774" i="1"/>
  <c r="A3027" i="1"/>
  <c r="A1429" i="1"/>
  <c r="A484" i="1"/>
  <c r="A3154" i="1"/>
  <c r="A3213" i="1"/>
  <c r="A671" i="1"/>
  <c r="A4042" i="1"/>
  <c r="A4110" i="1"/>
  <c r="A3883" i="1"/>
  <c r="A2643" i="1"/>
  <c r="A562" i="1"/>
  <c r="A3905" i="1"/>
  <c r="A2234" i="1"/>
  <c r="A434" i="1"/>
  <c r="A3947" i="1"/>
  <c r="A2083" i="1"/>
  <c r="A1135" i="1"/>
  <c r="A3424" i="1"/>
  <c r="A2168" i="1"/>
  <c r="A2417" i="1"/>
  <c r="A951" i="1"/>
  <c r="A1989" i="1"/>
  <c r="A3925" i="1"/>
  <c r="A332" i="1"/>
  <c r="A1352" i="1"/>
  <c r="A959" i="1"/>
  <c r="A3323" i="1"/>
  <c r="A127" i="1"/>
  <c r="A1539" i="1"/>
  <c r="A3386" i="1"/>
  <c r="A2014" i="1"/>
  <c r="A2138" i="1"/>
  <c r="A3002" i="1"/>
  <c r="A2139" i="1"/>
  <c r="A2644" i="1"/>
  <c r="A1895" i="1"/>
  <c r="A533" i="1"/>
  <c r="A1612" i="1"/>
  <c r="A3363" i="1"/>
  <c r="A1156" i="1"/>
  <c r="A1979" i="1"/>
  <c r="A942" i="1"/>
  <c r="A2145" i="1"/>
  <c r="A2235" i="1"/>
  <c r="A3861" i="1"/>
  <c r="A2841" i="1"/>
  <c r="A128" i="1"/>
  <c r="A3060" i="1"/>
  <c r="A817" i="1"/>
  <c r="A2037" i="1"/>
  <c r="A3720" i="1"/>
  <c r="A230" i="1"/>
  <c r="A3388" i="1"/>
  <c r="A2479" i="1"/>
  <c r="A3356" i="1"/>
  <c r="A2266" i="1"/>
  <c r="A1301" i="1"/>
  <c r="A952" i="1"/>
  <c r="A1380" i="1"/>
  <c r="A2453" i="1"/>
  <c r="A236" i="1"/>
  <c r="A536" i="1"/>
  <c r="A452" i="1"/>
  <c r="A2132" i="1"/>
  <c r="A449" i="1"/>
  <c r="A608" i="1"/>
  <c r="A2604" i="1"/>
  <c r="A2734" i="1"/>
  <c r="A1540" i="1"/>
  <c r="A911" i="1"/>
  <c r="A1430" i="1"/>
  <c r="A1780" i="1"/>
  <c r="A149" i="1"/>
  <c r="A459" i="1"/>
  <c r="A2287" i="1"/>
  <c r="A1551" i="1"/>
  <c r="A4090" i="1"/>
  <c r="A3821" i="1"/>
  <c r="A3390" i="1"/>
  <c r="A2236" i="1"/>
  <c r="A822" i="1"/>
  <c r="A2410" i="1"/>
  <c r="A3901" i="1"/>
  <c r="A3393" i="1"/>
  <c r="A1039" i="1"/>
  <c r="A565" i="1"/>
  <c r="A2584" i="1"/>
  <c r="A1840" i="1"/>
  <c r="A3056" i="1"/>
  <c r="A2516" i="1"/>
  <c r="A3003" i="1"/>
  <c r="A1794" i="1"/>
  <c r="A1246" i="1"/>
  <c r="A1753" i="1"/>
  <c r="A2674" i="1"/>
  <c r="A4147" i="1"/>
  <c r="A2913" i="1"/>
  <c r="A953" i="1"/>
  <c r="A1215" i="1"/>
  <c r="A407" i="1"/>
  <c r="A2914" i="1"/>
  <c r="A720" i="1"/>
  <c r="A3342" i="1"/>
  <c r="A2249" i="1"/>
  <c r="A881" i="1"/>
  <c r="A960" i="1"/>
  <c r="A2288" i="1"/>
  <c r="A63" i="1"/>
  <c r="A3965" i="1"/>
  <c r="A2957" i="1"/>
  <c r="A2250" i="1"/>
  <c r="A961" i="1"/>
  <c r="A1401" i="1"/>
  <c r="A129" i="1"/>
  <c r="A2292" i="1"/>
  <c r="A2451" i="1"/>
  <c r="A1065" i="1"/>
  <c r="A1880" i="1"/>
  <c r="A2489" i="1"/>
  <c r="A3135" i="1"/>
  <c r="A4013" i="1"/>
  <c r="A846" i="1"/>
  <c r="A3862" i="1"/>
  <c r="A543" i="1"/>
  <c r="A3765" i="1"/>
  <c r="A3789" i="1"/>
  <c r="A488" i="1"/>
  <c r="A294" i="1"/>
  <c r="A292" i="1"/>
  <c r="A333" i="1"/>
  <c r="A3405" i="1"/>
  <c r="A2133" i="1"/>
  <c r="A1541" i="1"/>
  <c r="A214" i="1"/>
  <c r="A3292" i="1"/>
  <c r="A737" i="1"/>
  <c r="A4148" i="1"/>
  <c r="A2134" i="1"/>
  <c r="A1157" i="1"/>
  <c r="A3231" i="1"/>
  <c r="A140" i="1"/>
  <c r="A1302" i="1"/>
  <c r="A1545" i="1"/>
  <c r="A3391" i="1"/>
  <c r="A252" i="1"/>
  <c r="A545" i="1"/>
  <c r="A1777" i="1"/>
  <c r="A3721" i="1"/>
  <c r="A45" i="1"/>
  <c r="A2792" i="1"/>
  <c r="A2750" i="1"/>
  <c r="A253" i="1"/>
  <c r="A1128" i="1"/>
  <c r="A180" i="1"/>
  <c r="A448" i="1"/>
  <c r="A4010" i="1"/>
  <c r="A104" i="1"/>
  <c r="A323" i="1"/>
  <c r="A1644" i="1"/>
  <c r="A1096" i="1"/>
  <c r="A1283" i="1"/>
  <c r="A1613" i="1"/>
  <c r="A1841" i="1"/>
  <c r="A2751" i="1"/>
  <c r="A254" i="1"/>
  <c r="A1614" i="1"/>
  <c r="A310" i="1"/>
  <c r="A1542" i="1"/>
  <c r="A2723" i="1"/>
  <c r="A1129" i="1"/>
  <c r="A1543" i="1"/>
  <c r="A898" i="1"/>
  <c r="A1447" i="1"/>
  <c r="A2357" i="1"/>
  <c r="A3419" i="1"/>
  <c r="A984" i="1"/>
  <c r="A3314" i="1"/>
  <c r="A1318" i="1"/>
  <c r="A2645" i="1"/>
  <c r="A2135" i="1"/>
  <c r="A1881" i="1"/>
  <c r="A1990" i="1"/>
  <c r="A3074" i="1"/>
  <c r="A889" i="1"/>
  <c r="A2327" i="1"/>
  <c r="A1991" i="1"/>
  <c r="A2421" i="1"/>
  <c r="A1303" i="1"/>
  <c r="A2748" i="1"/>
  <c r="A414" i="1"/>
  <c r="A1774" i="1"/>
  <c r="A2549" i="1"/>
  <c r="A2585" i="1"/>
  <c r="A4111" i="1"/>
  <c r="A205" i="1"/>
  <c r="A3722" i="1"/>
  <c r="A3747" i="1"/>
  <c r="A344" i="1"/>
  <c r="A1284" i="1"/>
  <c r="A3822" i="1"/>
  <c r="A3004" i="1"/>
  <c r="A579" i="1"/>
  <c r="A3324" i="1"/>
  <c r="A1240" i="1"/>
  <c r="A198" i="1"/>
  <c r="A3863" i="1"/>
  <c r="A3409" i="1"/>
  <c r="A3343" i="1"/>
  <c r="A3864" i="1"/>
  <c r="A3790" i="1"/>
  <c r="A3346" i="1"/>
  <c r="A1948" i="1"/>
  <c r="A1564" i="1"/>
  <c r="A1237" i="1"/>
  <c r="A2021" i="1"/>
  <c r="A206" i="1"/>
  <c r="A1459" i="1"/>
  <c r="A1213" i="1"/>
  <c r="A3209" i="1"/>
  <c r="A363" i="1"/>
  <c r="A764" i="1"/>
  <c r="A3823" i="1"/>
  <c r="A1235" i="1"/>
  <c r="A1882" i="1"/>
  <c r="A3370" i="1"/>
  <c r="A1381" i="1"/>
  <c r="A2407" i="1"/>
  <c r="A221" i="1"/>
  <c r="A3769" i="1"/>
  <c r="A255" i="1"/>
  <c r="A1082" i="1"/>
  <c r="A2726" i="1"/>
  <c r="A2423" i="1"/>
  <c r="A1285" i="1"/>
  <c r="A3894" i="1"/>
  <c r="A738" i="1"/>
  <c r="A4149" i="1"/>
  <c r="A2010" i="1"/>
  <c r="A1402" i="1"/>
  <c r="A4150" i="1"/>
  <c r="A1754" i="1"/>
  <c r="A2046" i="1"/>
  <c r="A3155" i="1"/>
  <c r="A2600" i="1"/>
  <c r="A1312" i="1"/>
  <c r="A1326" i="1"/>
  <c r="A1003" i="1"/>
  <c r="A3142" i="1"/>
  <c r="A1950" i="1"/>
  <c r="A3143" i="1"/>
  <c r="A3" i="1"/>
  <c r="A616" i="1"/>
  <c r="A1842" i="1"/>
  <c r="A463" i="1"/>
  <c r="A1788" i="1"/>
  <c r="A4" i="1"/>
  <c r="A86" i="1"/>
  <c r="A29" i="1"/>
  <c r="A831" i="1"/>
  <c r="A1903" i="1"/>
  <c r="A2915" i="1"/>
  <c r="A1353" i="1"/>
  <c r="A3380" i="1"/>
  <c r="A899" i="1"/>
  <c r="A2395" i="1"/>
  <c r="A1714" i="1"/>
  <c r="A237" i="1"/>
  <c r="A364" i="1"/>
  <c r="A938" i="1"/>
  <c r="A2086" i="1"/>
  <c r="A3048" i="1"/>
  <c r="A3050" i="1"/>
  <c r="A1711" i="1"/>
  <c r="A770" i="1"/>
  <c r="A3865" i="1"/>
  <c r="A226" i="1"/>
  <c r="A103" i="1"/>
  <c r="A1180" i="1"/>
  <c r="A3005" i="1"/>
  <c r="A3174" i="1"/>
  <c r="A806" i="1"/>
  <c r="A2736" i="1"/>
  <c r="A398" i="1"/>
  <c r="A217" i="1"/>
  <c r="A3913" i="1"/>
  <c r="A2087" i="1"/>
  <c r="A326" i="1"/>
  <c r="A577" i="1"/>
  <c r="A926" i="1"/>
  <c r="A1417" i="1"/>
  <c r="A1066" i="1"/>
  <c r="A3325" i="1"/>
  <c r="A1456" i="1"/>
  <c r="A1706" i="1"/>
  <c r="A2011" i="1"/>
  <c r="A1843" i="1"/>
  <c r="A289" i="1"/>
  <c r="A3357" i="1"/>
  <c r="A2927" i="1"/>
  <c r="A1944" i="1"/>
  <c r="A3079" i="1"/>
  <c r="A232" i="1"/>
  <c r="A1130" i="1"/>
  <c r="A919" i="1"/>
  <c r="A3389" i="1"/>
  <c r="A962" i="1"/>
  <c r="A3394" i="1"/>
  <c r="A1805" i="1"/>
  <c r="A2432" i="1"/>
  <c r="A2646" i="1"/>
  <c r="A2857" i="1"/>
  <c r="A3866" i="1"/>
  <c r="A2916" i="1"/>
  <c r="A3824" i="1"/>
  <c r="A101" i="1"/>
  <c r="A2435" i="1"/>
  <c r="A3006" i="1"/>
  <c r="A2608" i="1"/>
  <c r="A506" i="1"/>
  <c r="A985" i="1"/>
  <c r="A943" i="1"/>
  <c r="A1883" i="1"/>
  <c r="A3358" i="1"/>
  <c r="A1085" i="1"/>
  <c r="A1676" i="1"/>
  <c r="A1992" i="1"/>
  <c r="A2877" i="1"/>
  <c r="A3723" i="1"/>
  <c r="A187" i="1"/>
  <c r="A2401" i="1"/>
  <c r="A3007" i="1"/>
  <c r="A1689" i="1"/>
  <c r="A4106" i="1"/>
  <c r="A509" i="1"/>
  <c r="A1615" i="1"/>
  <c r="A617" i="1"/>
  <c r="A16" i="1"/>
  <c r="A1354" i="1"/>
  <c r="A882" i="1"/>
  <c r="A3791" i="1"/>
  <c r="A1230" i="1"/>
  <c r="A270" i="1"/>
  <c r="A2526" i="1"/>
  <c r="A276" i="1"/>
  <c r="A2196" i="1"/>
  <c r="A3035" i="1"/>
  <c r="A3724" i="1"/>
  <c r="A2878" i="1"/>
  <c r="A716" i="1"/>
  <c r="A1501" i="1"/>
  <c r="A2197" i="1"/>
  <c r="A1152" i="1"/>
  <c r="A3825" i="1"/>
  <c r="A3948" i="1"/>
  <c r="A1884" i="1"/>
  <c r="A2697" i="1"/>
  <c r="A3446" i="1"/>
  <c r="A1616" i="1"/>
  <c r="A2836" i="1"/>
  <c r="A2385" i="1"/>
  <c r="A1617" i="1"/>
  <c r="A1086" i="1"/>
  <c r="A3976" i="1"/>
  <c r="A778" i="1"/>
  <c r="A1527" i="1"/>
  <c r="A1321" i="1"/>
  <c r="A2358" i="1"/>
  <c r="A1755" i="1"/>
  <c r="A2136" i="1"/>
  <c r="A3036" i="1"/>
  <c r="A2303" i="1"/>
  <c r="A3371" i="1"/>
  <c r="A2842" i="1"/>
  <c r="A2586" i="1"/>
  <c r="A803" i="1"/>
  <c r="A1445" i="1"/>
  <c r="A166" i="1"/>
  <c r="A1741" i="1"/>
  <c r="A2308" i="1"/>
  <c r="A2488" i="1"/>
  <c r="A4091" i="1"/>
  <c r="A1677" i="1"/>
  <c r="A72" i="1"/>
  <c r="A71" i="1"/>
  <c r="A1227" i="1"/>
  <c r="A347" i="1"/>
  <c r="A986" i="1"/>
  <c r="A1535" i="1"/>
  <c r="A4124" i="1"/>
  <c r="A2137" i="1"/>
  <c r="A2424" i="1"/>
  <c r="A3914" i="1"/>
  <c r="A2685" i="1"/>
  <c r="A2420" i="1"/>
  <c r="A1666" i="1"/>
  <c r="A1618" i="1"/>
  <c r="A4011" i="1"/>
  <c r="A1966" i="1"/>
  <c r="A1556" i="1"/>
  <c r="A2819" i="1"/>
  <c r="A3206" i="1"/>
  <c r="A2917" i="1"/>
  <c r="A341" i="1"/>
  <c r="A2928" i="1"/>
  <c r="A837" i="1"/>
  <c r="A1355" i="1"/>
  <c r="A2187" i="1"/>
  <c r="A245" i="1"/>
  <c r="A3447" i="1"/>
  <c r="A1286" i="1"/>
  <c r="A3335" i="1"/>
  <c r="A3256" i="1"/>
  <c r="A2088" i="1"/>
  <c r="A151" i="1"/>
  <c r="A3061" i="1"/>
  <c r="A1638" i="1"/>
  <c r="A1083" i="1"/>
  <c r="A1067" i="1"/>
  <c r="A674" i="1"/>
  <c r="A1236" i="1"/>
  <c r="A395" i="1"/>
  <c r="A1533" i="1"/>
  <c r="A201" i="1"/>
  <c r="A3376" i="1"/>
  <c r="A1980" i="1"/>
  <c r="A1662" i="1"/>
  <c r="A3876" i="1"/>
  <c r="A3350" i="1"/>
  <c r="A1048" i="1"/>
  <c r="A2003" i="1"/>
  <c r="A3748" i="1"/>
  <c r="A1514" i="1"/>
  <c r="A3770" i="1"/>
  <c r="A2719" i="1"/>
  <c r="A2713" i="1"/>
  <c r="A3226" i="1"/>
  <c r="A48" i="1"/>
  <c r="A199" i="1"/>
  <c r="A3337" i="1"/>
  <c r="A1313" i="1"/>
  <c r="A498" i="1"/>
  <c r="A2944" i="1"/>
  <c r="A1340" i="1"/>
  <c r="A2283" i="1"/>
  <c r="A225" i="1"/>
  <c r="A17" i="1"/>
  <c r="A744" i="1"/>
  <c r="A2820" i="1"/>
  <c r="A3037" i="1"/>
  <c r="A3211" i="1"/>
  <c r="A2821" i="1"/>
  <c r="A334" i="1"/>
  <c r="A458" i="1"/>
  <c r="A2743" i="1"/>
  <c r="A3966" i="1"/>
  <c r="A1287" i="1"/>
  <c r="A2310" i="1"/>
  <c r="A141" i="1"/>
  <c r="A3749" i="1"/>
  <c r="A3020" i="1"/>
  <c r="A4004" i="1"/>
  <c r="A1707" i="1"/>
  <c r="A1084" i="1"/>
  <c r="A52" i="1"/>
  <c r="A2459" i="1"/>
  <c r="A136" i="1"/>
  <c r="A417" i="1"/>
  <c r="A265" i="1"/>
  <c r="A3967" i="1"/>
  <c r="A2720" i="1"/>
  <c r="A282" i="1"/>
  <c r="A3218" i="1"/>
  <c r="A1696" i="1"/>
  <c r="A1327" i="1"/>
  <c r="A708" i="1"/>
  <c r="A3227" i="1"/>
  <c r="A2822" i="1"/>
  <c r="A3038" i="1"/>
  <c r="A1328" i="1"/>
  <c r="A1013" i="1"/>
  <c r="A3826" i="1"/>
  <c r="A2332" i="1"/>
  <c r="A2329" i="1"/>
  <c r="A761" i="1"/>
  <c r="A1238" i="1"/>
  <c r="A862" i="1"/>
  <c r="A3156" i="1"/>
  <c r="A987" i="1"/>
  <c r="A1844" i="1"/>
  <c r="A1308" i="1"/>
  <c r="A3039" i="1"/>
  <c r="A988" i="1"/>
  <c r="A2110" i="1"/>
  <c r="A1175" i="1"/>
  <c r="A4056" i="1"/>
  <c r="A690" i="1"/>
  <c r="A3028" i="1"/>
  <c r="A3228" i="1"/>
  <c r="A1356" i="1"/>
  <c r="A321" i="1"/>
  <c r="A3970" i="1"/>
  <c r="A2111" i="1"/>
  <c r="A3836" i="1"/>
  <c r="A1885" i="1"/>
  <c r="A728" i="1"/>
  <c r="A1904" i="1"/>
  <c r="A1938" i="1"/>
  <c r="A211" i="1"/>
  <c r="A1970" i="1"/>
  <c r="A2512" i="1"/>
  <c r="A24" i="1"/>
  <c r="A43" i="1"/>
  <c r="A2471" i="1"/>
  <c r="A1101" i="1"/>
  <c r="A1418" i="1"/>
  <c r="A1845" i="1"/>
  <c r="A526" i="1"/>
  <c r="A1410" i="1"/>
  <c r="A2475" i="1"/>
  <c r="A2833" i="1"/>
  <c r="A507" i="1"/>
  <c r="A3766" i="1"/>
  <c r="A2834" i="1"/>
  <c r="A3309" i="1"/>
  <c r="A2929" i="1"/>
  <c r="A1442" i="1"/>
  <c r="A4043" i="1"/>
  <c r="A2657" i="1"/>
  <c r="A3827" i="1"/>
  <c r="A423" i="1"/>
  <c r="A2380" i="1"/>
  <c r="A1993" i="1"/>
  <c r="A739" i="1"/>
  <c r="A4092" i="1"/>
  <c r="A191" i="1"/>
  <c r="A1994" i="1"/>
  <c r="A1945" i="1"/>
  <c r="A2255" i="1"/>
  <c r="A2153" i="1"/>
  <c r="A900" i="1"/>
  <c r="A1426" i="1"/>
  <c r="A3069" i="1"/>
  <c r="A1217" i="1"/>
  <c r="A1068" i="1"/>
  <c r="A1040" i="1"/>
  <c r="A651" i="1"/>
  <c r="A2622" i="1"/>
  <c r="A3884" i="1"/>
  <c r="A2146" i="1"/>
  <c r="A3945" i="1"/>
  <c r="A2425" i="1"/>
  <c r="A2699" i="1"/>
  <c r="A3107" i="1"/>
  <c r="A1329" i="1"/>
  <c r="A1528" i="1"/>
  <c r="A1449" i="1"/>
  <c r="A2940" i="1"/>
  <c r="A1552" i="1"/>
  <c r="A2403" i="1"/>
  <c r="A4122" i="1"/>
  <c r="A1330" i="1"/>
  <c r="A3402" i="1"/>
  <c r="A1619" i="1"/>
  <c r="A2078" i="1"/>
  <c r="A1004" i="1"/>
  <c r="A1886" i="1"/>
  <c r="A2112" i="1"/>
  <c r="A1102" i="1"/>
  <c r="A1164" i="1"/>
  <c r="A2733" i="1"/>
  <c r="A3828" i="1"/>
  <c r="A547" i="1"/>
  <c r="A1742" i="1"/>
  <c r="A740" i="1"/>
  <c r="A1846" i="1"/>
  <c r="A240" i="1"/>
  <c r="A3295" i="1"/>
  <c r="A2823" i="1"/>
  <c r="A435" i="1"/>
  <c r="A2835" i="1"/>
  <c r="A335" i="1"/>
  <c r="A3946" i="1"/>
  <c r="A3269" i="1"/>
  <c r="A3062" i="1"/>
  <c r="A3008" i="1"/>
  <c r="A3310" i="1"/>
  <c r="A3379" i="1"/>
  <c r="A3971" i="1"/>
  <c r="A3063" i="1"/>
  <c r="A1690" i="1"/>
  <c r="A1913" i="1"/>
  <c r="A1079" i="1"/>
  <c r="A3064" i="1"/>
  <c r="A1583" i="1"/>
  <c r="A468" i="1"/>
  <c r="A115" i="1"/>
  <c r="A336" i="1"/>
  <c r="A2172" i="1"/>
  <c r="A3196" i="1"/>
  <c r="A944" i="1"/>
  <c r="A2220" i="1"/>
  <c r="A940" i="1"/>
  <c r="A1887" i="1"/>
  <c r="A4073" i="1"/>
  <c r="A460" i="1"/>
  <c r="A1620" i="1"/>
  <c r="A1847" i="1"/>
  <c r="A2202" i="1"/>
  <c r="A266" i="1"/>
  <c r="A1288" i="1"/>
  <c r="A2686" i="1"/>
  <c r="A3339" i="1"/>
  <c r="A1756" i="1"/>
  <c r="A626" i="1"/>
  <c r="A3009" i="1"/>
  <c r="A1848" i="1"/>
  <c r="A994" i="1"/>
  <c r="A2377" i="1"/>
  <c r="A2556" i="1"/>
  <c r="A4115" i="1"/>
  <c r="A2879" i="1"/>
  <c r="A2335" i="1"/>
  <c r="A271" i="1"/>
  <c r="A1888" i="1"/>
  <c r="A93" i="1"/>
  <c r="A2113" i="1"/>
  <c r="A1738" i="1"/>
  <c r="A3757" i="1"/>
  <c r="A2089" i="1"/>
  <c r="A1889" i="1"/>
  <c r="A2468" i="1"/>
  <c r="A2824" i="1"/>
  <c r="A3891" i="1"/>
  <c r="A3326" i="1"/>
  <c r="A256" i="1"/>
  <c r="A2763" i="1"/>
  <c r="A1621" i="1"/>
  <c r="A645" i="1"/>
  <c r="A2114" i="1"/>
  <c r="A3100" i="1"/>
  <c r="A2038" i="1"/>
  <c r="A1243" i="1"/>
  <c r="A446" i="1"/>
  <c r="A3725" i="1"/>
  <c r="A371" i="1"/>
  <c r="A1743" i="1"/>
  <c r="A771" i="1"/>
  <c r="A923" i="1"/>
  <c r="A257" i="1"/>
  <c r="A1116" i="1"/>
  <c r="A3136" i="1"/>
  <c r="A1546" i="1"/>
  <c r="A3726" i="1"/>
  <c r="A1896" i="1"/>
  <c r="A883" i="1"/>
  <c r="A96" i="1"/>
  <c r="A2587" i="1"/>
  <c r="A2428" i="1"/>
  <c r="A1131" i="1"/>
  <c r="A1103" i="1"/>
  <c r="A1927" i="1"/>
  <c r="A1165" i="1"/>
  <c r="A1622" i="1"/>
  <c r="A631" i="1"/>
  <c r="A512" i="1"/>
  <c r="A1623" i="1"/>
  <c r="A1890" i="1"/>
  <c r="A337" i="1"/>
  <c r="A2342" i="1"/>
  <c r="A3995" i="1"/>
  <c r="A2121" i="1"/>
  <c r="A2825" i="1"/>
  <c r="A2845" i="1"/>
  <c r="A3936" i="1"/>
  <c r="A2506" i="1"/>
  <c r="A1580" i="1"/>
  <c r="A118" i="1"/>
  <c r="A2122" i="1"/>
  <c r="A3234" i="1"/>
  <c r="A826" i="1"/>
  <c r="A188" i="1"/>
  <c r="A2826" i="1"/>
  <c r="A1702" i="1"/>
  <c r="A1132" i="1"/>
  <c r="A3399" i="1"/>
  <c r="A1640" i="1"/>
  <c r="A1515" i="1"/>
  <c r="A2522" i="1"/>
  <c r="A2039" i="1"/>
  <c r="A4044" i="1"/>
  <c r="A495" i="1"/>
  <c r="A1069" i="1"/>
  <c r="A2778" i="1"/>
  <c r="A842" i="1"/>
  <c r="A11" i="1"/>
  <c r="A1995" i="1"/>
  <c r="A1376" i="1"/>
  <c r="A78" i="1"/>
  <c r="A2843" i="1"/>
  <c r="A3996" i="1"/>
  <c r="A1959" i="1"/>
  <c r="A3252" i="1"/>
  <c r="A3040" i="1"/>
  <c r="A3103" i="1"/>
  <c r="A3867" i="1"/>
  <c r="A1122" i="1"/>
  <c r="A172" i="1"/>
  <c r="A3232" i="1"/>
  <c r="A311" i="1"/>
  <c r="A73" i="1"/>
  <c r="A696" i="1"/>
  <c r="A3270" i="1"/>
  <c r="A2390" i="1"/>
  <c r="A571" i="1"/>
  <c r="A3926" i="1"/>
  <c r="A2588" i="1"/>
  <c r="A1553" i="1"/>
  <c r="A238" i="1"/>
  <c r="A2837" i="1"/>
  <c r="A1645" i="1"/>
  <c r="A3984" i="1"/>
  <c r="A3413" i="1"/>
  <c r="A3877" i="1"/>
  <c r="A3332" i="1"/>
  <c r="A2918" i="1"/>
  <c r="A2328" i="1"/>
  <c r="A3406" i="1"/>
  <c r="A3010" i="1"/>
  <c r="A454" i="1"/>
  <c r="A1104" i="1"/>
  <c r="A1411" i="1"/>
  <c r="A3233" i="1"/>
  <c r="A2919" i="1"/>
  <c r="A473" i="1"/>
  <c r="A3011" i="1"/>
  <c r="A814" i="1"/>
  <c r="A3997" i="1"/>
  <c r="A231" i="1"/>
  <c r="A441" i="1"/>
  <c r="A556" i="1"/>
  <c r="A3157" i="1"/>
  <c r="A3750" i="1"/>
  <c r="A2090" i="1"/>
  <c r="A610" i="1"/>
  <c r="A2398" i="1"/>
  <c r="A1289" i="1"/>
  <c r="A2201" i="1"/>
  <c r="A2472" i="1"/>
  <c r="A1290" i="1"/>
  <c r="A2647" i="1"/>
  <c r="A2872" i="1"/>
  <c r="A2777" i="1"/>
  <c r="A1849" i="1"/>
  <c r="A189" i="1"/>
  <c r="A1210" i="1"/>
  <c r="A2804" i="1"/>
  <c r="A1041" i="1"/>
  <c r="A3271" i="1"/>
  <c r="A27" i="1"/>
  <c r="A1859" i="1"/>
  <c r="A2224" i="1"/>
  <c r="A765" i="1"/>
  <c r="A1331" i="1"/>
  <c r="A2773" i="1"/>
  <c r="A884" i="1"/>
  <c r="A1412" i="1"/>
  <c r="A1158" i="1"/>
  <c r="A1715" i="1"/>
  <c r="A3113" i="1"/>
  <c r="A1319" i="1"/>
  <c r="A1976" i="1"/>
  <c r="A6" i="1"/>
  <c r="A2091" i="1"/>
  <c r="A2971" i="1"/>
  <c r="A675" i="1"/>
  <c r="A1070" i="1"/>
  <c r="A1571" i="1"/>
  <c r="A1757" i="1"/>
  <c r="A901" i="1"/>
  <c r="A1663" i="1"/>
  <c r="A1646" i="1"/>
  <c r="A1462" i="1"/>
  <c r="A83" i="1"/>
  <c r="A2015" i="1"/>
  <c r="A97" i="1"/>
  <c r="A2648" i="1"/>
  <c r="A1134" i="1"/>
  <c r="A3021" i="1"/>
  <c r="A2649" i="1"/>
  <c r="A74" i="1"/>
  <c r="A1624" i="1"/>
  <c r="A999" i="1"/>
  <c r="A2092" i="1"/>
  <c r="A3041" i="1"/>
  <c r="A2887" i="1"/>
  <c r="A838" i="1"/>
  <c r="A989" i="1"/>
  <c r="A1369" i="1"/>
  <c r="A587" i="1"/>
  <c r="A558" i="1"/>
  <c r="A2393" i="1"/>
  <c r="A1123" i="1"/>
  <c r="A2306" i="1"/>
  <c r="A699" i="1"/>
  <c r="A3829" i="1"/>
  <c r="A42" i="1"/>
  <c r="A807" i="1"/>
  <c r="A1147" i="1"/>
  <c r="A3727" i="1"/>
  <c r="A342" i="1"/>
  <c r="A566" i="1"/>
  <c r="A207" i="1"/>
  <c r="A2510" i="1"/>
  <c r="A2322" i="1"/>
  <c r="A2589" i="1"/>
  <c r="A745" i="1"/>
  <c r="A1042" i="1"/>
  <c r="A241" i="1"/>
  <c r="A3105" i="1"/>
  <c r="A585" i="1"/>
  <c r="A3137" i="1"/>
  <c r="A1427" i="1"/>
  <c r="A2650" i="1"/>
  <c r="A2601" i="1"/>
  <c r="A2507" i="1"/>
  <c r="A2651" i="1"/>
  <c r="A2333" i="1"/>
  <c r="A1761" i="1"/>
  <c r="A3364" i="1"/>
  <c r="A932" i="1"/>
  <c r="A2348" i="1"/>
  <c r="A712" i="1"/>
  <c r="A2598" i="1"/>
  <c r="A2724" i="1"/>
  <c r="A1370" i="1"/>
  <c r="A38" i="1"/>
  <c r="A1413" i="1"/>
  <c r="A2473" i="1"/>
  <c r="A3275" i="1"/>
  <c r="A3276" i="1"/>
  <c r="A1664" i="1"/>
  <c r="A2198" i="1"/>
  <c r="A1862" i="1"/>
  <c r="A1923" i="1"/>
  <c r="A1111" i="1"/>
  <c r="A1778" i="1"/>
  <c r="A843" i="1"/>
  <c r="A1471" i="1"/>
  <c r="A996" i="1"/>
  <c r="A1974" i="1"/>
  <c r="A2675" i="1"/>
  <c r="A4045" i="1"/>
  <c r="A3158" i="1"/>
  <c r="A2958" i="1"/>
  <c r="A2757" i="1"/>
  <c r="A741" i="1"/>
  <c r="A4046" i="1"/>
  <c r="A2047" i="1"/>
  <c r="A3042" i="1"/>
  <c r="A164" i="1"/>
  <c r="A3372" i="1"/>
  <c r="A849" i="1"/>
  <c r="A3930" i="1"/>
  <c r="A623" i="1"/>
  <c r="A2517" i="1"/>
  <c r="A3182" i="1"/>
  <c r="A1524" i="1"/>
  <c r="A1914" i="1"/>
  <c r="A2286" i="1"/>
  <c r="A1625" i="1"/>
  <c r="A1856" i="1"/>
  <c r="A1960" i="1"/>
  <c r="A665" i="1"/>
  <c r="A2370" i="1"/>
  <c r="A477" i="1"/>
  <c r="A3728" i="1"/>
  <c r="A3084" i="1"/>
  <c r="A657" i="1"/>
  <c r="A290" i="1"/>
  <c r="A3830" i="1"/>
  <c r="A742" i="1"/>
  <c r="A1697" i="1"/>
  <c r="A4074" i="1"/>
  <c r="A338" i="1"/>
  <c r="A3729" i="1"/>
  <c r="A3330" i="1"/>
  <c r="A3730" i="1"/>
  <c r="A2093" i="1"/>
  <c r="A815" i="1"/>
  <c r="A165" i="1"/>
  <c r="A612" i="1"/>
  <c r="A2931" i="1"/>
  <c r="A1789" i="1"/>
  <c r="A808" i="1"/>
  <c r="A902" i="1"/>
  <c r="A3831" i="1"/>
  <c r="A152" i="1"/>
  <c r="A852" i="1"/>
  <c r="A3771" i="1"/>
  <c r="A396" i="1"/>
  <c r="A1489" i="1"/>
  <c r="A504" i="1"/>
  <c r="A3043" i="1"/>
  <c r="A1529" i="1"/>
  <c r="A544" i="1"/>
  <c r="A3210" i="1"/>
  <c r="A123" i="1"/>
  <c r="A3044" i="1"/>
  <c r="A75" i="1"/>
  <c r="A65" i="1"/>
  <c r="A397" i="1"/>
  <c r="A1691" i="1"/>
  <c r="A3751" i="1"/>
  <c r="A1932" i="1"/>
  <c r="A676" i="1"/>
  <c r="A1109" i="1"/>
  <c r="A1863" i="1"/>
  <c r="A978" i="1"/>
  <c r="A1850" i="1"/>
  <c r="A387" i="1"/>
  <c r="A2094" i="1"/>
  <c r="A1117" i="1"/>
  <c r="A2022" i="1"/>
  <c r="A3915" i="1"/>
  <c r="A135" i="1"/>
  <c r="A4021" i="1"/>
  <c r="A2656" i="1"/>
  <c r="A1795" i="1"/>
  <c r="A946" i="1"/>
  <c r="A1796" i="1"/>
  <c r="A4059" i="1"/>
  <c r="A746" i="1"/>
  <c r="A3053" i="1"/>
  <c r="A377" i="1"/>
  <c r="A839" i="1"/>
  <c r="A4047" i="1"/>
  <c r="A1224" i="1"/>
  <c r="A453" i="1"/>
  <c r="A885" i="1"/>
  <c r="A2687" i="1"/>
  <c r="A1568" i="1"/>
  <c r="A1371" i="1"/>
  <c r="A979" i="1"/>
  <c r="A990" i="1"/>
  <c r="A1744" i="1"/>
  <c r="A1372" i="1"/>
  <c r="A820" i="1"/>
  <c r="A903" i="1"/>
  <c r="A2959" i="1"/>
  <c r="A2353" i="1"/>
  <c r="A195" i="1"/>
  <c r="A2476" i="1"/>
  <c r="A574" i="1"/>
  <c r="A1860" i="1"/>
  <c r="A1581" i="1"/>
  <c r="A3972" i="1"/>
  <c r="A1919" i="1"/>
  <c r="A1996" i="1"/>
  <c r="A3792" i="1"/>
  <c r="A2960" i="1"/>
  <c r="A3317" i="1"/>
  <c r="A4053" i="1"/>
  <c r="A2304" i="1"/>
  <c r="A2827" i="1"/>
  <c r="A373" i="1"/>
  <c r="A4048" i="1"/>
  <c r="A3373" i="1"/>
  <c r="A3428" i="1"/>
  <c r="A2623" i="1"/>
  <c r="A1632" i="1"/>
  <c r="A119" i="1"/>
  <c r="A2590" i="1"/>
  <c r="A3277" i="1"/>
  <c r="A1414" i="1"/>
  <c r="A594" i="1"/>
  <c r="A1291" i="1"/>
  <c r="A3045" i="1"/>
  <c r="A1014" i="1"/>
  <c r="A309" i="1"/>
  <c r="A20" i="1"/>
  <c r="A2231" i="1"/>
  <c r="A1124" i="1"/>
  <c r="A1851" i="1"/>
  <c r="A3047" i="1"/>
  <c r="A1181" i="1"/>
  <c r="A4054" i="1"/>
  <c r="A2553" i="1"/>
  <c r="A3138" i="1"/>
  <c r="A32" i="1"/>
  <c r="A1924" i="1"/>
  <c r="A120" i="1"/>
  <c r="A706" i="1"/>
  <c r="A174" i="1"/>
  <c r="A513" i="1"/>
  <c r="A1626" i="1"/>
  <c r="A680" i="1"/>
  <c r="A121" i="1"/>
  <c r="A1015" i="1"/>
  <c r="A2704" i="1"/>
  <c r="A1790" i="1"/>
  <c r="A478" i="1"/>
  <c r="A1627" i="1"/>
  <c r="A2384" i="1"/>
  <c r="A2513" i="1"/>
  <c r="A3931" i="1"/>
  <c r="A3731" i="1"/>
  <c r="A2477" i="1"/>
  <c r="A142" i="1"/>
  <c r="A1493" i="1"/>
  <c r="A3336" i="1"/>
  <c r="A2798" i="1"/>
  <c r="A2624" i="1"/>
  <c r="A378" i="1"/>
  <c r="A2496" i="1"/>
  <c r="A3355" i="1"/>
  <c r="A1043" i="1"/>
  <c r="A4093" i="1"/>
  <c r="A682" i="1"/>
  <c r="A1665" i="1"/>
  <c r="A1136" i="1"/>
  <c r="A1046" i="1"/>
  <c r="A3076" i="1"/>
  <c r="A947" i="1"/>
  <c r="A2024" i="1"/>
  <c r="A668" i="1"/>
  <c r="A3793" i="1"/>
  <c r="A314" i="1"/>
  <c r="A3431" i="1"/>
  <c r="A2605" i="1"/>
  <c r="A4094" i="1"/>
  <c r="A3327" i="1"/>
  <c r="A1647" i="1"/>
  <c r="A2079" i="1"/>
  <c r="A2715" i="1"/>
  <c r="A1628" i="1"/>
  <c r="A1905" i="1"/>
  <c r="A2232" i="1"/>
  <c r="A3927" i="1"/>
  <c r="A202" i="1"/>
  <c r="A1247" i="1"/>
  <c r="A3840" i="1"/>
  <c r="A3986" i="1"/>
  <c r="A2264" i="1"/>
  <c r="A1382" i="1"/>
  <c r="A1383" i="1"/>
  <c r="A890" i="1"/>
  <c r="A1384" i="1"/>
  <c r="A2511" i="1"/>
  <c r="A844" i="1"/>
  <c r="A1956" i="1"/>
  <c r="A597" i="1"/>
  <c r="A1415" i="1"/>
  <c r="A3932" i="1"/>
  <c r="A428" i="1"/>
  <c r="A1454" i="1"/>
  <c r="A2770" i="1"/>
  <c r="A1952" i="1"/>
  <c r="A4049" i="1"/>
  <c r="A1739" i="1"/>
  <c r="A2289" i="1"/>
  <c r="A717" i="1"/>
  <c r="A863" i="1"/>
  <c r="A3429" i="1"/>
  <c r="A3114" i="1"/>
  <c r="A1569" i="1"/>
  <c r="A1385" i="1"/>
  <c r="A1080" i="1"/>
  <c r="A915" i="1"/>
  <c r="A1332" i="1"/>
  <c r="A1667" i="1"/>
  <c r="A2945" i="1"/>
  <c r="A2828" i="1"/>
  <c r="A2981" i="1"/>
  <c r="A1463" i="1"/>
  <c r="A2343" i="1"/>
  <c r="A3147" i="1"/>
  <c r="A3148" i="1"/>
  <c r="A3149" i="1"/>
  <c r="A2936" i="1"/>
  <c r="A177" i="1"/>
  <c r="A1648" i="1"/>
  <c r="A215" i="1"/>
  <c r="A1333" i="1"/>
  <c r="A3115" i="1"/>
  <c r="A4050" i="1"/>
  <c r="A1166" i="1"/>
  <c r="A1629" i="1"/>
  <c r="A2721" i="1"/>
  <c r="A3832" i="1"/>
  <c r="A1678" i="1"/>
  <c r="A2920" i="1"/>
  <c r="A2921" i="1"/>
  <c r="A1464" i="1"/>
  <c r="A3412" i="1"/>
  <c r="A1044" i="1"/>
  <c r="A3919" i="1"/>
  <c r="A3029" i="1"/>
  <c r="A2293" i="1"/>
  <c r="A3169" i="1"/>
  <c r="A1245" i="1"/>
  <c r="A420" i="1"/>
  <c r="A1649" i="1"/>
  <c r="A1797" i="1"/>
  <c r="A1630" i="1"/>
  <c r="A1036" i="1"/>
  <c r="A3194" i="1"/>
  <c r="A3012" i="1"/>
  <c r="A122" i="1"/>
  <c r="A3328" i="1"/>
  <c r="A2225" i="1"/>
  <c r="A4057" i="1"/>
  <c r="A3311" i="1"/>
  <c r="A2355" i="1"/>
  <c r="A2688" i="1"/>
  <c r="A1097" i="1"/>
  <c r="A2149" i="1"/>
  <c r="A2436" i="1"/>
  <c r="A3161" i="1"/>
  <c r="A1465" i="1"/>
  <c r="A3144" i="1"/>
  <c r="A1766" i="1"/>
  <c r="A646" i="1"/>
  <c r="A1228" i="1"/>
  <c r="A3902" i="1"/>
  <c r="A1639" i="1"/>
  <c r="A3208" i="1"/>
  <c r="A1791" i="1"/>
  <c r="A1925" i="1"/>
  <c r="A750" i="1"/>
  <c r="A3013" i="1"/>
  <c r="A4107" i="1"/>
  <c r="A1891" i="1"/>
  <c r="A2737" i="1"/>
  <c r="A25" i="1"/>
  <c r="A1373" i="1"/>
  <c r="A2652" i="1"/>
  <c r="A1416" i="1"/>
  <c r="A2873" i="1"/>
  <c r="A2347" i="1"/>
  <c r="A1692" i="1"/>
  <c r="A886" i="1"/>
  <c r="A1374" i="1"/>
  <c r="A1153" i="1"/>
  <c r="A2599" i="1"/>
  <c r="A1906" i="1"/>
  <c r="A1419" i="1"/>
  <c r="A1309" i="1"/>
  <c r="A1679" i="1"/>
  <c r="A3732" i="1"/>
  <c r="A2163" i="1"/>
  <c r="A1544" i="1"/>
  <c r="A2883" i="1"/>
  <c r="A1946" i="1"/>
  <c r="A2676" i="1"/>
  <c r="A2337" i="1"/>
  <c r="A3999" i="1"/>
  <c r="A3878" i="1"/>
  <c r="A1680" i="1"/>
  <c r="A2237" i="1"/>
  <c r="A2764" i="1"/>
  <c r="A853" i="1"/>
  <c r="A3312" i="1"/>
  <c r="A1431" i="1"/>
  <c r="A1334" i="1"/>
  <c r="A1292" i="1"/>
  <c r="A640" i="1"/>
  <c r="A1335" i="1"/>
  <c r="A2922" i="1"/>
  <c r="A246" i="1"/>
  <c r="A1154" i="1"/>
  <c r="A2040" i="1"/>
  <c r="A1336" i="1"/>
  <c r="A2226" i="1"/>
  <c r="A752" i="1"/>
  <c r="A3145" i="1"/>
  <c r="A1037" i="1"/>
  <c r="A3101" i="1"/>
  <c r="A124" i="1"/>
  <c r="A3794" i="1"/>
  <c r="A647" i="1"/>
  <c r="A1457" i="1"/>
  <c r="A2500" i="1"/>
  <c r="A3868" i="1"/>
  <c r="A2744" i="1"/>
  <c r="A3833" i="1"/>
  <c r="A1681" i="1"/>
  <c r="A2041" i="1"/>
  <c r="A1806" i="1"/>
  <c r="A2004" i="1"/>
  <c r="A2972" i="1"/>
  <c r="A2591" i="1"/>
  <c r="A503" i="1"/>
  <c r="A1126" i="1"/>
  <c r="A233" i="1"/>
  <c r="A658" i="1"/>
  <c r="A1852" i="1"/>
  <c r="A1764" i="1"/>
  <c r="A64" i="1"/>
  <c r="A485" i="1"/>
  <c r="A514" i="1"/>
  <c r="A1972" i="1"/>
  <c r="A3139" i="1"/>
  <c r="A2095" i="1"/>
  <c r="A3254" i="1"/>
  <c r="A3278" i="1"/>
  <c r="A2096" i="1"/>
  <c r="A2173" i="1"/>
  <c r="A1098" i="1"/>
  <c r="A3229" i="1"/>
  <c r="A79" i="1"/>
  <c r="A3958" i="1"/>
  <c r="A3279" i="1"/>
  <c r="A3752" i="1"/>
  <c r="A1239" i="1"/>
  <c r="A343" i="1"/>
  <c r="A904" i="1"/>
  <c r="A2653" i="1"/>
  <c r="A258" i="1"/>
  <c r="A2973" i="1"/>
  <c r="A2312" i="1"/>
  <c r="A1420" i="1"/>
  <c r="A1148" i="1"/>
  <c r="A153" i="1"/>
  <c r="A782" i="1"/>
  <c r="A582" i="1"/>
  <c r="A1584" i="1"/>
  <c r="A1149" i="1"/>
  <c r="A3733" i="1"/>
  <c r="A3065" i="1"/>
  <c r="A3293" i="1"/>
  <c r="A4075" i="1"/>
  <c r="A3420" i="1"/>
  <c r="A4022" i="1"/>
  <c r="A3313" i="1"/>
  <c r="A3734" i="1"/>
  <c r="A637" i="1"/>
  <c r="A991" i="1"/>
  <c r="A1703" i="1"/>
  <c r="A469" i="1"/>
  <c r="A1167" i="1"/>
  <c r="A3937" i="1"/>
  <c r="A3869" i="1"/>
  <c r="A210" i="1"/>
  <c r="A590" i="1"/>
  <c r="A91" i="1"/>
  <c r="A4076" i="1"/>
  <c r="A575" i="1"/>
  <c r="A729" i="1"/>
  <c r="A1337" i="1"/>
  <c r="A638" i="1"/>
  <c r="A285" i="1"/>
  <c r="A2164" i="1"/>
  <c r="A3175" i="1"/>
  <c r="A580" i="1"/>
  <c r="A2732" i="1"/>
  <c r="A2458" i="1"/>
  <c r="A1798" i="1"/>
  <c r="A190" i="1"/>
  <c r="A3014" i="1"/>
  <c r="A3176" i="1"/>
  <c r="A3892" i="1"/>
  <c r="A1377" i="1"/>
  <c r="A1897" i="1"/>
  <c r="A2961" i="1"/>
  <c r="A3186" i="1"/>
  <c r="A213" i="1"/>
  <c r="A2677" i="1"/>
  <c r="A283" i="1"/>
  <c r="A2309" i="1"/>
  <c r="A1967" i="1"/>
  <c r="A3395" i="1"/>
  <c r="A768" i="1"/>
  <c r="A3051" i="1"/>
  <c r="A2678" i="1"/>
  <c r="A2012" i="1"/>
  <c r="A2625" i="1"/>
  <c r="A154" i="1"/>
  <c r="A1921" i="1"/>
  <c r="A2962" i="1"/>
  <c r="A1516" i="1"/>
  <c r="A2208" i="1"/>
  <c r="A1049" i="1"/>
  <c r="A1637" i="1"/>
  <c r="A1517" i="1"/>
  <c r="A3735" i="1"/>
  <c r="A801" i="1"/>
  <c r="A1898" i="1"/>
  <c r="A2963" i="1"/>
  <c r="A3899" i="1"/>
  <c r="A711" i="1"/>
  <c r="A954" i="1"/>
  <c r="A2142" i="1"/>
  <c r="A1233" i="1"/>
  <c r="A4080" i="1"/>
  <c r="A3400" i="1"/>
  <c r="A845" i="1"/>
  <c r="A1560" i="1"/>
  <c r="A2692" i="1"/>
  <c r="A1472" i="1"/>
  <c r="A1853" i="1"/>
  <c r="A1491" i="1"/>
  <c r="A28" i="1"/>
  <c r="A779" i="1"/>
  <c r="A1716" i="1"/>
  <c r="A2042" i="1"/>
  <c r="A3903" i="1"/>
  <c r="A2285" i="1"/>
  <c r="A766" i="1"/>
  <c r="A209" i="1"/>
  <c r="A399" i="1"/>
  <c r="A2302" i="1"/>
  <c r="A2150" i="1"/>
  <c r="A816" i="1"/>
  <c r="A2097" i="1"/>
  <c r="A1050" i="1"/>
  <c r="A2758" i="1"/>
  <c r="A259" i="1"/>
  <c r="A173" i="1"/>
  <c r="A1799" i="1"/>
  <c r="A2964" i="1"/>
  <c r="A2115" i="1"/>
  <c r="A1455" i="1"/>
  <c r="A2282" i="1"/>
  <c r="A1800" i="1"/>
  <c r="A1801" i="1"/>
  <c r="A3195" i="1"/>
  <c r="A1473" i="1"/>
  <c r="A1038" i="1"/>
  <c r="A743" i="1"/>
  <c r="A3940" i="1"/>
  <c r="A94" i="1"/>
  <c r="A2829" i="1"/>
  <c r="A3885" i="1"/>
  <c r="A2413" i="1"/>
  <c r="A3066" i="1"/>
  <c r="A1375" i="1"/>
  <c r="A2654" i="1"/>
  <c r="A3230" i="1"/>
  <c r="A1487" i="1"/>
  <c r="A2705" i="1"/>
  <c r="A2626" i="1"/>
  <c r="A1631" i="1"/>
  <c r="A1001" i="1"/>
  <c r="A2923" i="1"/>
  <c r="A3162" i="1"/>
  <c r="A1981" i="1"/>
  <c r="A239" i="1"/>
  <c r="A1099" i="1"/>
  <c r="A613" i="1"/>
  <c r="A130" i="1"/>
  <c r="A2098" i="1"/>
  <c r="A1110" i="1"/>
  <c r="A1016" i="1"/>
  <c r="A156" i="1"/>
  <c r="A2924" i="1"/>
  <c r="A447" i="1"/>
  <c r="A2326" i="1"/>
  <c r="A1929" i="1"/>
  <c r="A1554" i="1"/>
  <c r="A678" i="1"/>
  <c r="A3166" i="1"/>
  <c r="A531" i="1"/>
  <c r="A3385" i="1"/>
  <c r="A1802" i="1"/>
  <c r="A4125" i="1"/>
  <c r="A2016" i="1"/>
  <c r="A1572" i="1"/>
  <c r="A3052" i="1"/>
  <c r="A2881" i="1"/>
  <c r="A3078" i="1"/>
  <c r="A2415" i="1"/>
  <c r="A2154" i="1"/>
  <c r="A2155" i="1"/>
  <c r="A351" i="1"/>
  <c r="A12" i="1"/>
  <c r="A1518" i="1"/>
  <c r="A2941" i="1"/>
  <c r="A1565" i="1"/>
  <c r="A3886" i="1"/>
  <c r="A1963" i="1"/>
  <c r="A4025" i="1"/>
  <c r="A933" i="1"/>
  <c r="A2846" i="1"/>
  <c r="A1378" i="1"/>
  <c r="A2980" i="1"/>
  <c r="A2076" i="1"/>
  <c r="A319" i="1"/>
  <c r="A1578" i="1"/>
  <c r="A1907" i="1"/>
  <c r="A2084" i="1"/>
  <c r="A2177" i="1"/>
  <c r="A2693" i="1"/>
  <c r="A2218" i="1"/>
  <c r="A2085" i="1"/>
  <c r="A1908" i="1"/>
  <c r="A2404" i="1"/>
  <c r="A1159" i="1"/>
  <c r="A1519" i="1"/>
  <c r="A1137" i="1"/>
  <c r="A569" i="1"/>
  <c r="A3118" i="1"/>
  <c r="A2381" i="1"/>
  <c r="A1899" i="1"/>
  <c r="A4027" i="1"/>
  <c r="A3767" i="1"/>
  <c r="A1112" i="1"/>
  <c r="A54" i="1"/>
  <c r="A242" i="1"/>
  <c r="A1909" i="1"/>
  <c r="A1900" i="1"/>
  <c r="A540" i="1"/>
  <c r="A3235" i="1"/>
  <c r="A2501" i="1"/>
  <c r="A534" i="1"/>
  <c r="A2025" i="1"/>
  <c r="B3416" i="1"/>
  <c r="B3441" i="1"/>
  <c r="B3425" i="1"/>
  <c r="B3422" i="1"/>
  <c r="B3428" i="1"/>
  <c r="B3429" i="1"/>
  <c r="B3413" i="1"/>
  <c r="B3424" i="1"/>
  <c r="B3412" i="1"/>
  <c r="B3423" i="1"/>
  <c r="B3437" i="1"/>
  <c r="B3434" i="1"/>
  <c r="B3418" i="1"/>
  <c r="B3432" i="1"/>
  <c r="B3444" i="1"/>
  <c r="B3417" i="1"/>
  <c r="B3436" i="1"/>
  <c r="B3421" i="1"/>
  <c r="B3435" i="1"/>
  <c r="B3415" i="1"/>
  <c r="B3414" i="1"/>
  <c r="B3438" i="1"/>
  <c r="B3443" i="1"/>
  <c r="B3447" i="1"/>
  <c r="B3427" i="1"/>
  <c r="C3697" i="2"/>
  <c r="C1695" i="2"/>
  <c r="C846" i="2"/>
  <c r="C4371" i="2"/>
  <c r="C4186" i="2"/>
  <c r="C3481" i="2"/>
  <c r="C3937" i="2"/>
  <c r="C4322" i="2"/>
  <c r="C2795" i="2"/>
  <c r="C2887" i="2"/>
  <c r="C1685" i="2"/>
  <c r="C3793" i="2"/>
  <c r="C4589" i="2"/>
  <c r="C5001" i="2"/>
  <c r="C4095" i="2"/>
  <c r="C1659" i="2"/>
  <c r="C3386" i="2"/>
  <c r="C2179" i="2"/>
  <c r="C1336" i="2"/>
  <c r="C1994" i="2"/>
  <c r="C1117" i="2"/>
  <c r="C1511" i="2"/>
  <c r="C2710" i="2"/>
  <c r="C1746" i="2"/>
  <c r="C1150" i="2"/>
  <c r="C1504" i="2"/>
  <c r="C3892" i="2"/>
  <c r="C51" i="2"/>
  <c r="C2629" i="2"/>
  <c r="C5069" i="2"/>
  <c r="C3347" i="2"/>
  <c r="C1618" i="2"/>
  <c r="C2425" i="2"/>
  <c r="C502" i="2"/>
  <c r="C2548" i="2"/>
  <c r="C2836" i="2"/>
  <c r="C4544" i="2"/>
  <c r="C3275" i="2"/>
  <c r="C2923" i="2"/>
  <c r="C3035" i="2"/>
  <c r="C355" i="2"/>
  <c r="C2306" i="2"/>
  <c r="C3501" i="2"/>
  <c r="C2855" i="2"/>
  <c r="C2263" i="2"/>
  <c r="C33" i="2"/>
  <c r="C393" i="2"/>
  <c r="C1015" i="2"/>
  <c r="C4989" i="2"/>
  <c r="C2479" i="2"/>
  <c r="C572" i="2"/>
  <c r="C4946" i="2"/>
  <c r="C755" i="2"/>
  <c r="C2670" i="2"/>
  <c r="C2904" i="2"/>
  <c r="C4845" i="2"/>
  <c r="C713" i="2"/>
  <c r="C87" i="2"/>
  <c r="C2331" i="2"/>
  <c r="C1894" i="2"/>
  <c r="C570" i="2"/>
  <c r="C2583" i="2"/>
  <c r="C425" i="2"/>
  <c r="C147" i="2"/>
  <c r="C1930" i="2"/>
  <c r="C2968" i="2"/>
  <c r="C285" i="2"/>
  <c r="C100" i="2"/>
  <c r="C2754" i="2"/>
  <c r="C1598" i="2"/>
  <c r="C4816" i="2"/>
  <c r="C1101" i="2"/>
  <c r="C3494" i="2"/>
  <c r="C3810" i="2"/>
  <c r="C3329" i="2"/>
  <c r="C1387" i="2"/>
  <c r="C4717" i="2"/>
  <c r="C667" i="2"/>
  <c r="C943" i="2"/>
  <c r="C2090" i="2"/>
  <c r="C1906" i="2"/>
  <c r="C3390" i="2"/>
  <c r="C2501" i="2"/>
  <c r="C4741" i="2"/>
  <c r="C2288" i="2"/>
  <c r="C3272" i="2"/>
  <c r="C543" i="2"/>
  <c r="C4229" i="2"/>
  <c r="C5070" i="2"/>
  <c r="C4896" i="2"/>
  <c r="C2591" i="2"/>
  <c r="C1922" i="2"/>
  <c r="C3041" i="2"/>
  <c r="C853" i="2"/>
  <c r="C1209" i="2"/>
  <c r="C1412" i="2"/>
  <c r="C3571" i="2"/>
  <c r="C1263" i="2"/>
  <c r="C1974" i="2"/>
  <c r="C2654" i="2"/>
  <c r="C569" i="2"/>
  <c r="C233" i="2"/>
  <c r="C3031" i="2"/>
  <c r="C2675" i="2"/>
  <c r="C1589" i="2"/>
  <c r="C4938" i="2"/>
  <c r="C2449" i="2"/>
  <c r="C1064" i="2"/>
  <c r="C2601" i="2"/>
  <c r="C3821" i="2"/>
  <c r="C4885" i="2"/>
  <c r="C1093" i="2"/>
  <c r="C10" i="2"/>
  <c r="C3192" i="2"/>
  <c r="C2442" i="2"/>
  <c r="C1428" i="2"/>
  <c r="C3132" i="2"/>
  <c r="C4509" i="2"/>
  <c r="C1024" i="2"/>
  <c r="C1579" i="2"/>
  <c r="C80" i="2"/>
  <c r="C2633" i="2"/>
  <c r="C4329" i="2"/>
  <c r="C805" i="2"/>
  <c r="C1825" i="2"/>
  <c r="C4560" i="2"/>
  <c r="C4995" i="2"/>
  <c r="C438" i="2"/>
  <c r="C2931" i="2"/>
  <c r="C4543" i="2"/>
  <c r="C1480" i="2"/>
  <c r="C963" i="2"/>
  <c r="C3910" i="2"/>
  <c r="C1180" i="2"/>
  <c r="C4024" i="2"/>
  <c r="C5251" i="2"/>
  <c r="C1396" i="2"/>
  <c r="C3242" i="2"/>
  <c r="C365" i="2"/>
  <c r="C1222" i="2"/>
  <c r="C3304" i="2"/>
  <c r="C3105" i="2"/>
  <c r="C4333" i="2"/>
  <c r="C660" i="2"/>
  <c r="C3422" i="2"/>
  <c r="C1339" i="2"/>
  <c r="C3976" i="2"/>
  <c r="C2325" i="2"/>
  <c r="C3950" i="2"/>
  <c r="C3890" i="2"/>
  <c r="C1645" i="2"/>
  <c r="C2908" i="2"/>
  <c r="C4164" i="2"/>
  <c r="C3678" i="2"/>
  <c r="C327" i="2"/>
  <c r="C3068" i="2"/>
  <c r="C1515" i="2"/>
  <c r="C385" i="2"/>
  <c r="C1399" i="2"/>
  <c r="C4239" i="2"/>
  <c r="C2327" i="2"/>
  <c r="C4464" i="2"/>
  <c r="C2585" i="2"/>
  <c r="C2270" i="2"/>
  <c r="C1207" i="2"/>
  <c r="C1787" i="2"/>
  <c r="C3580" i="2"/>
  <c r="C2215" i="2"/>
  <c r="C3875" i="2"/>
  <c r="C3679" i="2"/>
  <c r="C1289" i="2"/>
  <c r="C684" i="2"/>
  <c r="C4954" i="2"/>
  <c r="C4150" i="2"/>
  <c r="C1771" i="2"/>
  <c r="C4223" i="2"/>
  <c r="C297" i="2"/>
  <c r="C411" i="2"/>
  <c r="C2838" i="2"/>
  <c r="C1195" i="2"/>
  <c r="C1524" i="2"/>
  <c r="C185" i="2"/>
  <c r="C1368" i="2"/>
  <c r="C4532" i="2"/>
  <c r="C2920" i="2"/>
  <c r="C734" i="2"/>
  <c r="C549" i="2"/>
  <c r="C3716" i="2"/>
  <c r="C1939" i="2"/>
  <c r="C3651" i="2"/>
  <c r="C950" i="2"/>
  <c r="C3915" i="2"/>
  <c r="C3974" i="2"/>
  <c r="C4609" i="2"/>
  <c r="C4822" i="2"/>
  <c r="C3164" i="2"/>
  <c r="C4020" i="2"/>
  <c r="C4700" i="2"/>
  <c r="C351" i="2"/>
  <c r="C4726" i="2"/>
  <c r="C4887" i="2"/>
  <c r="C262" i="2"/>
  <c r="C887" i="2"/>
  <c r="C3808" i="2"/>
  <c r="C3708" i="2"/>
  <c r="C2628" i="2"/>
  <c r="C2429" i="2"/>
  <c r="C2767" i="2"/>
  <c r="C4007" i="2"/>
  <c r="C4003" i="2"/>
  <c r="C1861" i="2"/>
  <c r="C3619" i="2"/>
  <c r="C4502" i="2"/>
  <c r="C356" i="2"/>
  <c r="C3428" i="2"/>
  <c r="C2632" i="2"/>
  <c r="C1459" i="2"/>
  <c r="C1079" i="2"/>
  <c r="C1518" i="2"/>
  <c r="C3063" i="2"/>
  <c r="C76" i="2"/>
  <c r="C2668" i="2"/>
  <c r="C4405" i="2"/>
  <c r="C4674" i="2"/>
  <c r="C3415" i="2"/>
  <c r="C2007" i="2"/>
  <c r="C3672" i="2"/>
  <c r="C4567" i="2"/>
  <c r="C3562" i="2"/>
  <c r="C513" i="2"/>
  <c r="C958" i="2"/>
  <c r="C3444" i="2"/>
  <c r="C4057" i="2"/>
  <c r="C4748" i="2"/>
  <c r="C2301" i="2"/>
  <c r="C3436" i="2"/>
  <c r="C4985" i="2"/>
  <c r="C944" i="2"/>
  <c r="C4270" i="2"/>
  <c r="C3458" i="2"/>
  <c r="C4608" i="2"/>
  <c r="C912" i="2"/>
  <c r="C3918" i="2"/>
  <c r="C1900" i="2"/>
  <c r="C4602" i="2"/>
  <c r="C2163" i="2"/>
  <c r="C635" i="2"/>
  <c r="C3638" i="2"/>
  <c r="C4769" i="2"/>
  <c r="C4450" i="2"/>
  <c r="C3389" i="2"/>
  <c r="C2076" i="2"/>
  <c r="C4470" i="2"/>
  <c r="C4320" i="2"/>
  <c r="C4446" i="2"/>
  <c r="C2274" i="2"/>
  <c r="C2056" i="2"/>
  <c r="C827" i="2"/>
  <c r="C4982" i="2"/>
  <c r="C1880" i="2"/>
  <c r="C3818" i="2"/>
  <c r="C292" i="2"/>
  <c r="C154" i="2"/>
  <c r="C2394" i="2"/>
  <c r="C577" i="2"/>
  <c r="C2603" i="2"/>
  <c r="C4644" i="2"/>
  <c r="C4503" i="2"/>
  <c r="C5217" i="2"/>
  <c r="C4241" i="2"/>
  <c r="C920" i="2"/>
  <c r="C2608" i="2"/>
  <c r="C724" i="2"/>
  <c r="C1276" i="2"/>
  <c r="C4715" i="2"/>
  <c r="C4888" i="2"/>
  <c r="C1084" i="2"/>
  <c r="C1590" i="2"/>
  <c r="C1580" i="2"/>
  <c r="C2164" i="2"/>
  <c r="C1714" i="2"/>
  <c r="C4188" i="2"/>
  <c r="C1643" i="2"/>
  <c r="C4850" i="2"/>
  <c r="C4562" i="2"/>
  <c r="C487" i="2"/>
  <c r="C1236" i="2"/>
  <c r="C1106" i="2"/>
  <c r="C156" i="2"/>
  <c r="C753" i="2"/>
  <c r="C3166" i="2"/>
  <c r="C3145" i="2"/>
  <c r="C1723" i="2"/>
  <c r="C4611" i="2"/>
  <c r="C4275" i="2"/>
  <c r="C5106" i="2"/>
  <c r="C4305" i="2"/>
  <c r="C1419" i="2"/>
  <c r="C5253" i="2"/>
  <c r="C4911" i="2"/>
  <c r="C4627" i="2"/>
  <c r="C4510" i="2"/>
  <c r="C4855" i="2"/>
  <c r="C4409" i="2"/>
  <c r="C2510" i="2"/>
  <c r="C2823" i="2"/>
  <c r="C435" i="2"/>
  <c r="C4895" i="2"/>
  <c r="C322" i="2"/>
  <c r="C2133" i="2"/>
  <c r="C2782" i="2"/>
  <c r="C429" i="2"/>
  <c r="C1776" i="2"/>
  <c r="C2049" i="2"/>
  <c r="C302" i="2"/>
  <c r="C4032" i="2"/>
  <c r="C2938" i="2"/>
  <c r="C760" i="2"/>
  <c r="C5259" i="2"/>
  <c r="C2147" i="2"/>
  <c r="C3936" i="2"/>
  <c r="C3480" i="2"/>
  <c r="C4472" i="2"/>
  <c r="C5125" i="2"/>
  <c r="C1489" i="2"/>
  <c r="C1767" i="2"/>
  <c r="C24" i="2"/>
  <c r="C3961" i="2"/>
  <c r="C1309" i="2"/>
  <c r="C1537" i="2"/>
  <c r="C294" i="2"/>
  <c r="C811" i="2"/>
  <c r="C841" i="2"/>
  <c r="C182" i="2"/>
  <c r="C4274" i="2"/>
  <c r="C2834" i="2"/>
  <c r="C1363" i="2"/>
  <c r="C3474" i="2"/>
  <c r="C1615" i="2"/>
  <c r="C4683" i="2"/>
  <c r="C857" i="2"/>
  <c r="C4" i="2"/>
  <c r="C4376" i="2"/>
  <c r="C2054" i="2"/>
  <c r="C4085" i="2"/>
  <c r="C3456" i="2"/>
  <c r="C3402" i="2"/>
  <c r="C151" i="2"/>
  <c r="C5200" i="2"/>
  <c r="C2266" i="2"/>
  <c r="C705" i="2"/>
  <c r="C1978" i="2"/>
  <c r="C2930" i="2"/>
  <c r="C379" i="2"/>
  <c r="C870" i="2"/>
  <c r="C1718" i="2"/>
  <c r="C1293" i="2"/>
  <c r="C1730" i="2"/>
  <c r="C83" i="2"/>
  <c r="C245" i="2"/>
  <c r="C5072" i="2"/>
  <c r="C1681" i="2"/>
  <c r="C2295" i="2"/>
  <c r="C1896" i="2"/>
  <c r="C2340" i="2"/>
  <c r="C3085" i="2"/>
  <c r="C4129" i="2"/>
  <c r="C1273" i="2"/>
  <c r="C4973" i="2"/>
  <c r="C4671" i="2"/>
  <c r="C4980" i="2"/>
  <c r="C1969" i="2"/>
  <c r="C2128" i="2"/>
  <c r="C2350" i="2"/>
  <c r="C1326" i="2"/>
  <c r="C2609" i="2"/>
  <c r="C3285" i="2"/>
  <c r="C3251" i="2"/>
  <c r="C4499" i="2"/>
  <c r="C1402" i="2"/>
  <c r="C1828" i="2"/>
  <c r="C2472" i="2"/>
  <c r="C2491" i="2"/>
  <c r="C1301" i="2"/>
  <c r="C2743" i="2"/>
  <c r="C878" i="2"/>
  <c r="C490" i="2"/>
  <c r="C3613" i="2"/>
  <c r="C1022" i="2"/>
  <c r="C625" i="2"/>
  <c r="C643" i="2"/>
  <c r="C4442" i="2"/>
  <c r="C5164" i="2"/>
  <c r="C519" i="2"/>
  <c r="C4814" i="2"/>
  <c r="C4482" i="2"/>
  <c r="C5210" i="2"/>
  <c r="C3323" i="2"/>
  <c r="C478" i="2"/>
  <c r="C1804" i="2"/>
  <c r="C3980" i="2"/>
  <c r="C3832" i="2"/>
  <c r="C3592" i="2"/>
  <c r="C4124" i="2"/>
  <c r="C5058" i="2"/>
  <c r="C798" i="2"/>
  <c r="C2087" i="2"/>
  <c r="C1410" i="2"/>
  <c r="C4976" i="2"/>
  <c r="C3642" i="2"/>
  <c r="C511" i="2"/>
  <c r="C545" i="2"/>
  <c r="C1008" i="2"/>
  <c r="C1552" i="2"/>
  <c r="C1561" i="2"/>
  <c r="C4517" i="2"/>
  <c r="C2397" i="2"/>
  <c r="C2512" i="2"/>
  <c r="C716" i="2"/>
  <c r="C3183" i="2"/>
  <c r="C50" i="2"/>
  <c r="C4011" i="2"/>
  <c r="C3634" i="2"/>
  <c r="C1417" i="2"/>
  <c r="C3675" i="2"/>
  <c r="C4744" i="2"/>
  <c r="C3336" i="2"/>
  <c r="C296" i="2"/>
  <c r="C1463" i="2"/>
  <c r="C2990" i="2"/>
  <c r="C3325" i="2"/>
  <c r="C5046" i="2"/>
  <c r="C260" i="2"/>
  <c r="C2032" i="2"/>
  <c r="C113" i="2"/>
  <c r="C1675" i="2"/>
  <c r="C5156" i="2"/>
  <c r="C1594" i="2"/>
  <c r="C315" i="2"/>
  <c r="C5215" i="2"/>
  <c r="C889" i="2"/>
  <c r="C627" i="2"/>
  <c r="C433" i="2"/>
  <c r="C2896" i="2"/>
  <c r="C1099" i="2"/>
  <c r="C2894" i="2"/>
  <c r="C3462" i="2"/>
  <c r="C2099" i="2"/>
  <c r="C452" i="2"/>
  <c r="C3205" i="2"/>
  <c r="C3079" i="2"/>
  <c r="C1411" i="2"/>
  <c r="C898" i="2"/>
  <c r="C1630" i="2"/>
  <c r="C2711" i="2"/>
  <c r="C3186" i="2"/>
  <c r="C324" i="2"/>
  <c r="C3664" i="2"/>
  <c r="C3991" i="2"/>
  <c r="C3680" i="2"/>
  <c r="C4969" i="2"/>
  <c r="C704" i="2"/>
  <c r="C4120" i="2"/>
  <c r="C4172" i="2"/>
  <c r="C1495" i="2"/>
  <c r="C4759" i="2"/>
  <c r="C825" i="2"/>
  <c r="C525" i="2"/>
  <c r="C458" i="2"/>
  <c r="C634" i="2"/>
  <c r="C2802" i="2"/>
  <c r="C897" i="2"/>
  <c r="C5153" i="2"/>
  <c r="C446" i="2"/>
  <c r="C3288" i="2"/>
  <c r="C1338" i="2"/>
  <c r="C1414" i="2"/>
  <c r="C1155" i="2"/>
  <c r="C2889" i="2"/>
  <c r="C1889" i="2"/>
  <c r="C2698" i="2"/>
  <c r="C3982" i="2"/>
  <c r="C2598" i="2"/>
  <c r="C3219" i="2"/>
  <c r="C1839" i="2"/>
  <c r="C2475" i="2"/>
  <c r="C1000" i="2"/>
  <c r="C2015" i="2"/>
  <c r="C1416" i="2"/>
  <c r="C4933" i="2"/>
  <c r="C4125" i="2"/>
  <c r="C193" i="2"/>
  <c r="C3859" i="2"/>
  <c r="C4416" i="2"/>
  <c r="C5230" i="2"/>
  <c r="C5229" i="2"/>
  <c r="C5033" i="2"/>
  <c r="C1584" i="2"/>
  <c r="C101" i="2"/>
  <c r="C350" i="2"/>
  <c r="C4616" i="2"/>
  <c r="C3361" i="2"/>
  <c r="C4531" i="2"/>
  <c r="C5035" i="2"/>
  <c r="C2114" i="2"/>
  <c r="C4377" i="2"/>
  <c r="C3476" i="2"/>
  <c r="C4607" i="2"/>
  <c r="C4075" i="2"/>
  <c r="C2880" i="2"/>
  <c r="C3433" i="2"/>
  <c r="C2533" i="2"/>
  <c r="C1992" i="2"/>
  <c r="C301" i="2"/>
  <c r="C4521" i="2"/>
  <c r="C468" i="2"/>
  <c r="C2187" i="2"/>
  <c r="C891" i="2"/>
  <c r="C2895" i="2"/>
  <c r="C160" i="2"/>
  <c r="C2177" i="2"/>
  <c r="C596" i="2"/>
  <c r="C1383" i="2"/>
  <c r="C3988" i="2"/>
  <c r="C956" i="2"/>
  <c r="C3216" i="2"/>
  <c r="C3471" i="2"/>
  <c r="C2098" i="2"/>
  <c r="C1669" i="2"/>
  <c r="C2905" i="2"/>
  <c r="C791" i="2"/>
  <c r="C3942" i="2"/>
  <c r="C4643" i="2"/>
  <c r="C3945" i="2"/>
  <c r="C3781" i="2"/>
  <c r="C4392" i="2"/>
  <c r="C785" i="2"/>
  <c r="C1788" i="2"/>
  <c r="C2225" i="2"/>
  <c r="C1927" i="2"/>
  <c r="C783" i="2"/>
  <c r="C2386" i="2"/>
  <c r="C1948" i="2"/>
  <c r="C2947" i="2"/>
  <c r="C5056" i="2"/>
  <c r="C4548" i="2"/>
  <c r="C1138" i="2"/>
  <c r="C4169" i="2"/>
  <c r="C4877" i="2"/>
  <c r="C2034" i="2"/>
  <c r="C396" i="2"/>
  <c r="C645" i="2"/>
  <c r="C918" i="2"/>
  <c r="C3240" i="2"/>
  <c r="C1388" i="2"/>
  <c r="C1668" i="2"/>
  <c r="C1061" i="2"/>
  <c r="C4779" i="2"/>
  <c r="C3954" i="2"/>
  <c r="C994" i="2"/>
  <c r="C4904" i="2"/>
  <c r="C966" i="2"/>
  <c r="C3118" i="2"/>
  <c r="C828" i="2"/>
  <c r="C2702" i="2"/>
  <c r="C32" i="2"/>
  <c r="C2485" i="2"/>
  <c r="C99" i="2"/>
  <c r="C2309" i="2"/>
  <c r="C2127" i="2"/>
  <c r="C1053" i="2"/>
  <c r="C442" i="2"/>
  <c r="C2681" i="2"/>
  <c r="C299" i="2"/>
  <c r="C1395" i="2"/>
  <c r="C4447" i="2"/>
  <c r="C3738" i="2"/>
  <c r="C4378" i="2"/>
  <c r="C1700" i="2"/>
  <c r="C2891" i="2"/>
  <c r="C2641" i="2"/>
  <c r="C1420" i="2"/>
  <c r="C2132" i="2"/>
  <c r="C2398" i="2"/>
  <c r="C4211" i="2"/>
  <c r="C606" i="2"/>
  <c r="C3024" i="2"/>
  <c r="C3824" i="2"/>
  <c r="C3393" i="2"/>
  <c r="C472" i="2"/>
  <c r="C4218" i="2"/>
  <c r="C4915" i="2"/>
  <c r="C1432" i="2"/>
  <c r="C112" i="2"/>
  <c r="C4387" i="2"/>
  <c r="C2022" i="2"/>
  <c r="C277" i="2"/>
  <c r="C4823" i="2"/>
  <c r="C210" i="2"/>
  <c r="C4722" i="2"/>
  <c r="C2706" i="2"/>
  <c r="C4716" i="2"/>
  <c r="C1437" i="2"/>
  <c r="C3998" i="2"/>
  <c r="C534" i="2"/>
  <c r="C833" i="2"/>
  <c r="C4221" i="2"/>
  <c r="C3882" i="2"/>
  <c r="C3423" i="2"/>
  <c r="C1923" i="2"/>
  <c r="C5241" i="2"/>
  <c r="C3981" i="2"/>
  <c r="C2200" i="2"/>
  <c r="C4704" i="2"/>
  <c r="C1303" i="2"/>
  <c r="C3700" i="2"/>
  <c r="C1631" i="2"/>
  <c r="C5004" i="2"/>
  <c r="C3418" i="2"/>
  <c r="C3683" i="2"/>
  <c r="C474" i="2"/>
  <c r="C512" i="2"/>
  <c r="C2081" i="2"/>
  <c r="C2468" i="2"/>
  <c r="C4600" i="2"/>
  <c r="C2725" i="2"/>
  <c r="C4723" i="2"/>
  <c r="C951" i="2"/>
  <c r="C4664" i="2"/>
  <c r="C372" i="2"/>
  <c r="C1468" i="2"/>
  <c r="C2462" i="2"/>
  <c r="C1709" i="2"/>
  <c r="C4936" i="2"/>
  <c r="C463" i="2"/>
  <c r="C4386" i="2"/>
  <c r="C1187" i="2"/>
  <c r="C3072" i="2"/>
  <c r="C1800" i="2"/>
  <c r="C5054" i="2"/>
  <c r="C3486" i="2"/>
  <c r="C157" i="2"/>
  <c r="C1082" i="2"/>
  <c r="C1230" i="2"/>
  <c r="C893" i="2"/>
  <c r="C4807" i="2"/>
  <c r="C4555" i="2"/>
  <c r="C228" i="2"/>
  <c r="C1795" i="2"/>
  <c r="C2310" i="2"/>
  <c r="C1073" i="2"/>
  <c r="C1921" i="2"/>
  <c r="C3965" i="2"/>
  <c r="C3645" i="2"/>
  <c r="C3741" i="2"/>
  <c r="C1001" i="2"/>
  <c r="C868" i="2"/>
  <c r="C1346" i="2"/>
  <c r="C1538" i="2"/>
  <c r="C961" i="2"/>
  <c r="C3591" i="2"/>
  <c r="C1725" i="2"/>
  <c r="C4900" i="2"/>
  <c r="C746" i="2"/>
  <c r="C3461" i="2"/>
  <c r="C3948" i="2"/>
  <c r="C2973" i="2"/>
  <c r="C747" i="2"/>
  <c r="C4883" i="2"/>
  <c r="C5062" i="2"/>
  <c r="C2195" i="2"/>
  <c r="C2302" i="2"/>
  <c r="C1509" i="2"/>
  <c r="C571" i="2"/>
  <c r="C2283" i="2"/>
  <c r="C205" i="2"/>
  <c r="C4654" i="2"/>
  <c r="C914" i="2"/>
  <c r="C2423" i="2"/>
  <c r="C115" i="2"/>
  <c r="C1310" i="2"/>
  <c r="C1372" i="2"/>
  <c r="C2291" i="2"/>
  <c r="C3503" i="2"/>
  <c r="C2615" i="2"/>
  <c r="C3165" i="2"/>
  <c r="C117" i="2"/>
  <c r="C1312" i="2"/>
  <c r="C4775" i="2"/>
  <c r="C725" i="2"/>
  <c r="C1272" i="2"/>
  <c r="C4827" i="2"/>
  <c r="C2438" i="2"/>
  <c r="C2347" i="2"/>
  <c r="C871" i="2"/>
  <c r="C3405" i="2"/>
  <c r="C1857" i="2"/>
  <c r="C1956" i="2"/>
  <c r="C2404" i="2"/>
  <c r="C908" i="2"/>
  <c r="C671" i="2"/>
  <c r="C394" i="2"/>
  <c r="C4279" i="2"/>
  <c r="C3532" i="2"/>
  <c r="C2672" i="2"/>
  <c r="C1942" i="2"/>
  <c r="C2412" i="2"/>
  <c r="C3577" i="2"/>
  <c r="C5036" i="2"/>
  <c r="C3034" i="2"/>
  <c r="C4185" i="2"/>
  <c r="C4962" i="2"/>
  <c r="C130" i="2"/>
  <c r="C685" i="2"/>
  <c r="C5091" i="2"/>
  <c r="C312" i="2"/>
  <c r="C4878" i="2"/>
  <c r="C2806" i="2"/>
  <c r="C622" i="2"/>
  <c r="C3922" i="2"/>
  <c r="C1172" i="2"/>
  <c r="C4590" i="2"/>
  <c r="C1351" i="2"/>
  <c r="C2191" i="2"/>
  <c r="C331" i="2"/>
  <c r="C553" i="2"/>
  <c r="C1409" i="2"/>
  <c r="C332" i="2"/>
  <c r="C1778" i="2"/>
  <c r="C3847" i="2"/>
  <c r="C2819" i="2"/>
  <c r="C3469" i="2"/>
  <c r="C5169" i="2"/>
  <c r="C1735" i="2"/>
  <c r="C1286" i="2"/>
  <c r="C649" i="2"/>
  <c r="C1864" i="2"/>
  <c r="C1698" i="2"/>
  <c r="C612" i="2"/>
  <c r="C3449" i="2"/>
  <c r="C695" i="2"/>
  <c r="C4131" i="2"/>
  <c r="C3220" i="2"/>
  <c r="C1572" i="2"/>
  <c r="C3978" i="2"/>
  <c r="C1882" i="2"/>
  <c r="C3707" i="2"/>
  <c r="C413" i="2"/>
  <c r="C861" i="2"/>
  <c r="C1108" i="2"/>
  <c r="C4167" i="2"/>
  <c r="C3725" i="2"/>
  <c r="C3923" i="2"/>
  <c r="C1919" i="2"/>
  <c r="C4002" i="2"/>
  <c r="C2240" i="2"/>
  <c r="C3356" i="2"/>
  <c r="C4956" i="2"/>
  <c r="C3627" i="2"/>
  <c r="C803" i="2"/>
  <c r="C756" i="2"/>
  <c r="C4049" i="2"/>
  <c r="C3339" i="2"/>
  <c r="C4127" i="2"/>
  <c r="C3943" i="2"/>
  <c r="C2315" i="2"/>
  <c r="C4044" i="2"/>
  <c r="C104" i="2"/>
  <c r="C3926" i="2"/>
  <c r="C3693" i="2"/>
  <c r="C3263" i="2"/>
  <c r="C3522" i="2"/>
  <c r="C4396" i="2"/>
  <c r="C901" i="2"/>
  <c r="C2559" i="2"/>
  <c r="C3629" i="2"/>
  <c r="C4417" i="2"/>
  <c r="C1792" i="2"/>
  <c r="C2138" i="2"/>
  <c r="C4561" i="2"/>
  <c r="C2058" i="2"/>
  <c r="C927" i="2"/>
  <c r="C5045" i="2"/>
  <c r="C2431" i="2"/>
  <c r="C226" i="2"/>
  <c r="C2292" i="2"/>
  <c r="C4368" i="2"/>
  <c r="C98" i="2"/>
  <c r="C2487" i="2"/>
  <c r="C1600" i="2"/>
  <c r="C1554" i="2"/>
  <c r="C2761" i="2"/>
  <c r="C614" i="2"/>
  <c r="C1131" i="2"/>
  <c r="C5137" i="2"/>
  <c r="C2776" i="2"/>
  <c r="C3785" i="2"/>
  <c r="C2769" i="2"/>
  <c r="C3794" i="2"/>
  <c r="C4743" i="2"/>
  <c r="C2265" i="2"/>
  <c r="C972" i="2"/>
  <c r="C768" i="2"/>
  <c r="C1137" i="2"/>
  <c r="C180" i="2"/>
  <c r="C844" i="2"/>
  <c r="C3585" i="2"/>
  <c r="C4838" i="2"/>
  <c r="C834" i="2"/>
  <c r="C4367" i="2"/>
  <c r="C1069" i="2"/>
  <c r="C3432" i="2"/>
  <c r="C3695" i="2"/>
  <c r="C1030" i="2"/>
  <c r="C2546" i="2"/>
  <c r="C1907" i="2"/>
  <c r="C4428" i="2"/>
  <c r="C4848" i="2"/>
  <c r="C4286" i="2"/>
  <c r="C4000" i="2"/>
  <c r="C1661" i="2"/>
  <c r="C5232" i="2"/>
  <c r="C1282" i="2"/>
  <c r="C2115" i="2"/>
  <c r="C4033" i="2"/>
  <c r="C1901" i="2"/>
  <c r="C45" i="2"/>
  <c r="C2960" i="2"/>
  <c r="C4798" i="2"/>
  <c r="C1733" i="2"/>
  <c r="C4175" i="2"/>
  <c r="C562" i="2"/>
  <c r="C4381" i="2"/>
  <c r="C2384" i="2"/>
  <c r="C4261" i="2"/>
  <c r="C919" i="2"/>
  <c r="C1945" i="2"/>
  <c r="C4019" i="2"/>
  <c r="C1202" i="2"/>
  <c r="C3045" i="2"/>
  <c r="C4248" i="2"/>
  <c r="C3817" i="2"/>
  <c r="C168" i="2"/>
  <c r="C832" i="2"/>
  <c r="C2257" i="2"/>
  <c r="C3159" i="2"/>
  <c r="C126" i="2"/>
  <c r="C2766" i="2"/>
  <c r="C3753" i="2"/>
  <c r="C599" i="2"/>
  <c r="C4733" i="2"/>
  <c r="C4579" i="2"/>
  <c r="C4776" i="2"/>
  <c r="C3969" i="2"/>
  <c r="C721" i="2"/>
  <c r="C2298" i="2"/>
  <c r="C700" i="2"/>
  <c r="C1680" i="2"/>
  <c r="C4522" i="2"/>
  <c r="C276" i="2"/>
  <c r="C1533" i="2"/>
  <c r="C2822" i="2"/>
  <c r="C4349" i="2"/>
  <c r="C5183" i="2"/>
  <c r="C3871" i="2"/>
  <c r="C2241" i="2"/>
  <c r="C921" i="2"/>
  <c r="C733" i="2"/>
  <c r="C2023" i="2"/>
  <c r="C4922" i="2"/>
  <c r="C1967" i="2"/>
  <c r="C4234" i="2"/>
  <c r="C5234" i="2"/>
  <c r="C1226" i="2"/>
  <c r="C47" i="2"/>
  <c r="C1629" i="2"/>
  <c r="C4484" i="2"/>
  <c r="C2095" i="2"/>
  <c r="C4462" i="2"/>
  <c r="C4388" i="2"/>
  <c r="C4653" i="2"/>
  <c r="C4492" i="2"/>
  <c r="C2319" i="2"/>
  <c r="C2122" i="2"/>
  <c r="C2489" i="2"/>
  <c r="C3616" i="2"/>
  <c r="C4610" i="2"/>
  <c r="C1745" i="2"/>
  <c r="C4441" i="2"/>
  <c r="C3300" i="2"/>
  <c r="C1441" i="2"/>
  <c r="C3395" i="2"/>
  <c r="C2351" i="2"/>
  <c r="C2657" i="2"/>
  <c r="C1248" i="2"/>
  <c r="C2048" i="2"/>
  <c r="C567" i="2"/>
  <c r="C1995" i="2"/>
  <c r="C2289" i="2"/>
  <c r="C547" i="2"/>
  <c r="C4001" i="2"/>
  <c r="C2793" i="2"/>
  <c r="C5021" i="2"/>
  <c r="C3190" i="2"/>
  <c r="C2619" i="2"/>
  <c r="C4192" i="2"/>
  <c r="C283" i="2"/>
  <c r="C1542" i="2"/>
  <c r="C4089" i="2"/>
  <c r="C4297" i="2"/>
  <c r="C1034" i="2"/>
  <c r="C1492" i="2"/>
  <c r="C1083" i="2"/>
  <c r="C3009" i="2"/>
  <c r="C3895" i="2"/>
  <c r="C2759" i="2"/>
  <c r="C3137" i="2"/>
  <c r="C1737" i="2"/>
  <c r="C246" i="2"/>
  <c r="C2284" i="2"/>
  <c r="C2142" i="2"/>
  <c r="C1232" i="2"/>
  <c r="C278" i="2"/>
  <c r="C807" i="2"/>
  <c r="C3152" i="2"/>
  <c r="C4473" i="2"/>
  <c r="C4516" i="2"/>
  <c r="C2393" i="2"/>
  <c r="C5022" i="2"/>
  <c r="C3511" i="2"/>
  <c r="C3536" i="2"/>
  <c r="C3235" i="2"/>
  <c r="C4062" i="2"/>
  <c r="C4122" i="2"/>
  <c r="C4048" i="2"/>
  <c r="C2230" i="2"/>
  <c r="C3441" i="2"/>
  <c r="C3541" i="2"/>
  <c r="C814" i="2"/>
  <c r="C4098" i="2"/>
  <c r="C3734" i="2"/>
  <c r="C49" i="2"/>
  <c r="C3383" i="2"/>
  <c r="C2755" i="2"/>
  <c r="C5221" i="2"/>
  <c r="C1407" i="2"/>
  <c r="C2738" i="2"/>
  <c r="C524" i="2"/>
  <c r="C448" i="2"/>
  <c r="C1452" i="2"/>
  <c r="C2845" i="2"/>
  <c r="C3995" i="2"/>
  <c r="C2543" i="2"/>
  <c r="C1266" i="2"/>
  <c r="C3618" i="2"/>
  <c r="C1494" i="2"/>
  <c r="C4249" i="2"/>
  <c r="C1156" i="2"/>
  <c r="C3888" i="2"/>
  <c r="C656" i="2"/>
  <c r="C189" i="2"/>
  <c r="C865" i="2"/>
  <c r="C2588" i="2"/>
  <c r="C4745" i="2"/>
  <c r="C422" i="2"/>
  <c r="C691" i="2"/>
  <c r="C2863" i="2"/>
  <c r="C5151" i="2"/>
  <c r="C2202" i="2"/>
  <c r="C3176" i="2"/>
  <c r="C1360" i="2"/>
  <c r="C3635" i="2"/>
  <c r="C3797" i="2"/>
  <c r="C64" i="2"/>
  <c r="C3181" i="2"/>
  <c r="C3150" i="2"/>
  <c r="C2786" i="2"/>
  <c r="C4474" i="2"/>
  <c r="C2373" i="2"/>
  <c r="C1366" i="2"/>
  <c r="C2669" i="2"/>
  <c r="C1277" i="2"/>
  <c r="C3110" i="2"/>
  <c r="C4082" i="2"/>
  <c r="C1803" i="2"/>
  <c r="C4065" i="2"/>
  <c r="C3842" i="2"/>
  <c r="C1223" i="2"/>
  <c r="C3777" i="2"/>
  <c r="C3806" i="2"/>
  <c r="C892" i="2"/>
  <c r="C1111" i="2"/>
  <c r="C3550" i="2"/>
  <c r="C3103" i="2"/>
  <c r="C648" i="2"/>
  <c r="C265" i="2"/>
  <c r="C1962" i="2"/>
  <c r="C5146" i="2"/>
  <c r="C4059" i="2"/>
  <c r="C1938" i="2"/>
  <c r="C1506" i="2"/>
  <c r="C1757" i="2"/>
  <c r="C2558" i="2"/>
  <c r="C4793" i="2"/>
  <c r="C3030" i="2"/>
  <c r="C3473" i="2"/>
  <c r="C3971" i="2"/>
  <c r="C2881" i="2"/>
  <c r="C2537" i="2"/>
  <c r="C2749" i="2"/>
  <c r="C4182" i="2"/>
  <c r="C3021" i="2"/>
  <c r="C586" i="2"/>
  <c r="C4794" i="2"/>
  <c r="C4604" i="2"/>
  <c r="C449" i="2"/>
  <c r="C1812" i="2"/>
  <c r="C2477" i="2"/>
  <c r="C2772" i="2"/>
  <c r="C2495" i="2"/>
  <c r="C1774" i="2"/>
  <c r="C1135" i="2"/>
  <c r="C510" i="2"/>
  <c r="C2771" i="2"/>
  <c r="C4964" i="2"/>
  <c r="C1670" i="2"/>
  <c r="C4778" i="2"/>
  <c r="C2235" i="2"/>
  <c r="C3302" i="2"/>
  <c r="C1843" i="2"/>
  <c r="C4508" i="2"/>
  <c r="C2045" i="2"/>
  <c r="C9" i="2"/>
  <c r="C3749" i="2"/>
  <c r="C2753" i="2"/>
  <c r="C968" i="2"/>
  <c r="C925" i="2"/>
  <c r="C2046" i="2"/>
  <c r="C5242" i="2"/>
  <c r="C594" i="2"/>
  <c r="C3151" i="2"/>
  <c r="C1720" i="2"/>
  <c r="C4534" i="2"/>
  <c r="C1711" i="2"/>
  <c r="C3127" i="2"/>
  <c r="C116" i="2"/>
  <c r="C5184" i="2"/>
  <c r="C1819" i="2"/>
  <c r="C2136" i="2"/>
  <c r="C5109" i="2"/>
  <c r="C996" i="2"/>
  <c r="C4035" i="2"/>
  <c r="C5089" i="2"/>
  <c r="C5059" i="2"/>
  <c r="C3051" i="2"/>
  <c r="C4118" i="2"/>
  <c r="C967" i="2"/>
  <c r="C1856" i="2"/>
  <c r="C4444" i="2"/>
  <c r="C1929" i="2"/>
  <c r="C4373" i="2"/>
  <c r="C1641" i="2"/>
  <c r="C2168" i="2"/>
  <c r="C2077" i="2"/>
  <c r="C2932" i="2"/>
  <c r="C181" i="2"/>
  <c r="C4494" i="2"/>
  <c r="C3579" i="2"/>
  <c r="C795" i="2"/>
  <c r="C5122" i="2"/>
  <c r="C4054" i="2"/>
  <c r="C3769" i="2"/>
  <c r="C2848" i="2"/>
  <c r="C2117" i="2"/>
  <c r="C1678" i="2"/>
  <c r="C2390" i="2"/>
  <c r="C1727" i="2"/>
  <c r="C4876" i="2"/>
  <c r="C1821" i="2"/>
  <c r="C4554" i="2"/>
  <c r="C5205" i="2"/>
  <c r="C1091" i="2"/>
  <c r="C3839" i="2"/>
  <c r="C4829" i="2"/>
  <c r="C3073" i="2"/>
  <c r="C2223" i="2"/>
  <c r="C179" i="2"/>
  <c r="C1758" i="2"/>
  <c r="C42" i="2"/>
  <c r="C3305" i="2"/>
  <c r="C3047" i="2"/>
  <c r="C387" i="2"/>
  <c r="C520" i="2"/>
  <c r="C1132" i="2"/>
  <c r="C4255" i="2"/>
  <c r="C2553" i="2"/>
  <c r="C2783" i="2"/>
  <c r="C4642" i="2"/>
  <c r="C3558" i="2"/>
  <c r="C2536" i="2"/>
  <c r="C3420" i="2"/>
  <c r="C2170" i="2"/>
  <c r="C518" i="2"/>
  <c r="C2466" i="2"/>
  <c r="C3968" i="2"/>
  <c r="C3574" i="2"/>
  <c r="C1501" i="2"/>
  <c r="C5028" i="2"/>
  <c r="C3147" i="2"/>
  <c r="C4854" i="2"/>
  <c r="C2344" i="2"/>
  <c r="C2368" i="2"/>
  <c r="C3133" i="2"/>
  <c r="C3098" i="2"/>
  <c r="C5144" i="2"/>
  <c r="C4438" i="2"/>
  <c r="C4710" i="2"/>
  <c r="C4974" i="2"/>
  <c r="C4764" i="2"/>
  <c r="C2421" i="2"/>
  <c r="C2523" i="2"/>
  <c r="C2406" i="2"/>
  <c r="C3798" i="2"/>
  <c r="C410" i="2"/>
  <c r="C781" i="2"/>
  <c r="C4576" i="2"/>
  <c r="C2554" i="2"/>
  <c r="C2165" i="2"/>
  <c r="C1611" i="2"/>
  <c r="C4445" i="2"/>
  <c r="C187" i="2"/>
  <c r="C3064" i="2"/>
  <c r="C607" i="2"/>
  <c r="C3061" i="2"/>
  <c r="C4383" i="2"/>
  <c r="C1563" i="2"/>
  <c r="C4157" i="2"/>
  <c r="C4382" i="2"/>
  <c r="C2835" i="2"/>
  <c r="C3234" i="2"/>
  <c r="C741" i="2"/>
  <c r="C566" i="2"/>
  <c r="C4258" i="2"/>
  <c r="C652" i="2"/>
  <c r="C5226" i="2"/>
  <c r="C4478" i="2"/>
  <c r="C440" i="2"/>
  <c r="C5170" i="2"/>
  <c r="C4898" i="2"/>
  <c r="C3255" i="2"/>
  <c r="C3972" i="2"/>
  <c r="C1465" i="2"/>
  <c r="C4483" i="2"/>
  <c r="C659" i="2"/>
  <c r="C1873" i="2"/>
  <c r="C4259" i="2"/>
  <c r="C3318" i="2"/>
  <c r="C4542" i="2"/>
  <c r="C480" i="2"/>
  <c r="C3853" i="2"/>
  <c r="C2010" i="2"/>
  <c r="C2305" i="2"/>
  <c r="C2752" i="2"/>
  <c r="C3259" i="2"/>
  <c r="C4924" i="2"/>
  <c r="C2380" i="2"/>
  <c r="C885" i="2"/>
  <c r="C2914" i="2"/>
  <c r="C4861" i="2"/>
  <c r="C855" i="2"/>
  <c r="C1586" i="2"/>
  <c r="C1918" i="2"/>
  <c r="C1855" i="2"/>
  <c r="C2079" i="2"/>
  <c r="C690" i="2"/>
  <c r="C2415" i="2"/>
  <c r="C2233" i="2"/>
  <c r="C2496" i="2"/>
  <c r="C2943" i="2"/>
  <c r="C5119" i="2"/>
  <c r="C2075" i="2"/>
  <c r="C4686" i="2"/>
  <c r="C2745" i="2"/>
  <c r="C3903" i="2"/>
  <c r="C4004" i="2"/>
  <c r="C4202" i="2"/>
  <c r="C3281" i="2"/>
  <c r="C532" i="2"/>
  <c r="C601" i="2"/>
  <c r="C3488" i="2"/>
  <c r="C3454" i="2"/>
  <c r="C1331" i="2"/>
  <c r="C62" i="2"/>
  <c r="C2273" i="2"/>
  <c r="C4318" i="2"/>
  <c r="C636" i="2"/>
  <c r="C3677" i="2"/>
  <c r="C2080" i="2"/>
  <c r="C1854" i="2"/>
  <c r="C381" i="2"/>
  <c r="C4746" i="2"/>
  <c r="C1841" i="2"/>
  <c r="C4841" i="2"/>
  <c r="C2842" i="2"/>
  <c r="C1571" i="2"/>
  <c r="C4344" i="2"/>
  <c r="C2413" i="2"/>
  <c r="C5039" i="2"/>
  <c r="C1966" i="2"/>
  <c r="C2259" i="2"/>
  <c r="C1097" i="2"/>
  <c r="C1122" i="2"/>
  <c r="C4638" i="2"/>
  <c r="C2599" i="2"/>
  <c r="C405" i="2"/>
  <c r="C4414" i="2"/>
  <c r="C1765" i="2"/>
  <c r="C3437" i="2"/>
  <c r="C2746" i="2"/>
  <c r="C1958" i="2"/>
  <c r="C3993" i="2"/>
  <c r="C976" i="2"/>
  <c r="C2369" i="2"/>
  <c r="C1760" i="2"/>
  <c r="C882" i="2"/>
  <c r="C127" i="2"/>
  <c r="C230" i="2"/>
  <c r="C3448" i="2"/>
  <c r="C2971" i="2"/>
  <c r="C3508" i="2"/>
  <c r="C894" i="2"/>
  <c r="C1211" i="2"/>
  <c r="C2988" i="2"/>
  <c r="C2513" i="2"/>
  <c r="C270" i="2"/>
  <c r="C1473" i="2"/>
  <c r="C3588" i="2"/>
  <c r="C4460" i="2"/>
  <c r="C3203" i="2"/>
  <c r="C2854" i="2"/>
  <c r="C3710" i="2"/>
  <c r="C3878" i="2"/>
  <c r="C680" i="2"/>
  <c r="C3867" i="2"/>
  <c r="C3074" i="2"/>
  <c r="C5224" i="2"/>
  <c r="C650" i="2"/>
  <c r="C122" i="2"/>
  <c r="C4864" i="2"/>
  <c r="C5085" i="2"/>
  <c r="C4091" i="2"/>
  <c r="C4154" i="2"/>
  <c r="C1347" i="2"/>
  <c r="C4496" i="2"/>
  <c r="C3949" i="2"/>
  <c r="C896" i="2"/>
  <c r="C2547" i="2"/>
  <c r="C3852" i="2"/>
  <c r="C200" i="2"/>
  <c r="C3564" i="2"/>
  <c r="C3470" i="2"/>
  <c r="C2621" i="2"/>
  <c r="C5237" i="2"/>
  <c r="C2471" i="2"/>
  <c r="C4937" i="2"/>
  <c r="C3957" i="2"/>
  <c r="C3026" i="2"/>
  <c r="C3977" i="2"/>
  <c r="C2953" i="2"/>
  <c r="C1065" i="2"/>
  <c r="C2892" i="2"/>
  <c r="C3992" i="2"/>
  <c r="C2957" i="2"/>
  <c r="C1614" i="2"/>
  <c r="C2714" i="2"/>
  <c r="C4575" i="2"/>
  <c r="C749" i="2"/>
  <c r="C707" i="2"/>
  <c r="C3156" i="2"/>
  <c r="C4309" i="2"/>
  <c r="C5225" i="2"/>
  <c r="C3258" i="2"/>
  <c r="C1527" i="2"/>
  <c r="C997" i="2"/>
  <c r="C778" i="2"/>
  <c r="C1741" i="2"/>
  <c r="C1361" i="2"/>
  <c r="C1754" i="2"/>
  <c r="C1707" i="2"/>
  <c r="C985" i="2"/>
  <c r="C4350" i="2"/>
  <c r="C300" i="2"/>
  <c r="C2840" i="2"/>
  <c r="C4939" i="2"/>
  <c r="C2236" i="2"/>
  <c r="C3746" i="2"/>
  <c r="C1916" i="2"/>
  <c r="C420" i="2"/>
  <c r="C401" i="2"/>
  <c r="C4353" i="2"/>
  <c r="C3516" i="2"/>
  <c r="C2954" i="2"/>
  <c r="C4209" i="2"/>
  <c r="C551" i="2"/>
  <c r="C4601" i="2"/>
  <c r="C4265" i="2"/>
  <c r="C663" i="2"/>
  <c r="C174" i="2"/>
  <c r="C940" i="2"/>
  <c r="C14" i="2"/>
  <c r="C5213" i="2"/>
  <c r="C867" i="2"/>
  <c r="C1129" i="2"/>
  <c r="C2186" i="2"/>
  <c r="C4566" i="2"/>
  <c r="C3479" i="2"/>
  <c r="C935" i="2"/>
  <c r="C391" i="2"/>
  <c r="C2993" i="2"/>
  <c r="C2123" i="2"/>
  <c r="C2801" i="2"/>
  <c r="C1940" i="2"/>
  <c r="C4385" i="2"/>
  <c r="C4755" i="2"/>
  <c r="C3206" i="2"/>
  <c r="C3999" i="2"/>
  <c r="C3427" i="2"/>
  <c r="C3321" i="2"/>
  <c r="C3659" i="2"/>
  <c r="C986" i="2"/>
  <c r="C4535" i="2"/>
  <c r="C2461" i="2"/>
  <c r="C4341" i="2"/>
  <c r="C111" i="2"/>
  <c r="C5207" i="2"/>
  <c r="C4389" i="2"/>
  <c r="C1742" i="2"/>
  <c r="C3088" i="2"/>
  <c r="C655" i="2"/>
  <c r="C3189" i="2"/>
  <c r="C40" i="2"/>
  <c r="C3112" i="2"/>
  <c r="C5218" i="2"/>
  <c r="C1632" i="2"/>
  <c r="C4457" i="2"/>
  <c r="C3728" i="2"/>
  <c r="C2538" i="2"/>
  <c r="C2925" i="2"/>
  <c r="C5139" i="2"/>
  <c r="C1609" i="2"/>
  <c r="C1755" i="2"/>
  <c r="C499" i="2"/>
  <c r="C4109" i="2"/>
  <c r="C3269" i="2"/>
  <c r="C2333" i="2"/>
  <c r="C2280" i="2"/>
  <c r="C3699" i="2"/>
  <c r="C4245" i="2"/>
  <c r="C4485" i="2"/>
  <c r="C1503" i="2"/>
  <c r="C2078" i="2"/>
  <c r="C275" i="2"/>
  <c r="C1897" i="2"/>
  <c r="C1583" i="2"/>
  <c r="C3666" i="2"/>
  <c r="C4136" i="2"/>
  <c r="C1763" i="2"/>
  <c r="C2827" i="2"/>
  <c r="C4587" i="2"/>
  <c r="C1653" i="2"/>
  <c r="C4930" i="2"/>
  <c r="C195" i="2"/>
  <c r="C2956" i="2"/>
  <c r="C1719" i="2"/>
  <c r="C5000" i="2"/>
  <c r="C873" i="2"/>
  <c r="C3649" i="2"/>
  <c r="C5094" i="2"/>
  <c r="C2906" i="2"/>
  <c r="C4731" i="2"/>
  <c r="C406" i="2"/>
  <c r="C4902" i="2"/>
  <c r="C4805" i="2"/>
  <c r="C784" i="2"/>
  <c r="C1933" i="2"/>
  <c r="C3546" i="2"/>
  <c r="C5019" i="2"/>
  <c r="C3221" i="2"/>
  <c r="C447" i="2"/>
  <c r="C3144" i="2"/>
  <c r="C3178" i="2"/>
  <c r="C3070" i="2"/>
  <c r="C3443" i="2"/>
  <c r="C279" i="2"/>
  <c r="C63" i="2"/>
  <c r="C2918" i="2"/>
  <c r="C2204" i="2"/>
  <c r="C3416" i="2"/>
  <c r="C2482" i="2"/>
  <c r="C2033" i="2"/>
  <c r="C2867" i="2"/>
  <c r="C5090" i="2"/>
  <c r="C144" i="2"/>
  <c r="C2723" i="2"/>
  <c r="C2255" i="2"/>
  <c r="C804" i="2"/>
  <c r="C5102" i="2"/>
  <c r="C4080" i="2"/>
  <c r="C1658" i="2"/>
  <c r="C1454" i="2"/>
  <c r="C4625" i="2"/>
  <c r="C2427" i="2"/>
  <c r="C1026" i="2"/>
  <c r="C2450" i="2"/>
  <c r="C5014" i="2"/>
  <c r="C544" i="2"/>
  <c r="C1471" i="2"/>
  <c r="C5141" i="2"/>
  <c r="C94" i="2"/>
  <c r="C2376" i="2"/>
  <c r="C3902" i="2"/>
  <c r="C5233" i="2"/>
  <c r="C5131" i="2"/>
  <c r="C4959" i="2"/>
  <c r="C4477" i="2"/>
  <c r="C4751" i="2"/>
  <c r="C1467" i="2"/>
  <c r="C4747" i="2"/>
  <c r="C483" i="2"/>
  <c r="C703" i="2"/>
  <c r="C256" i="2"/>
  <c r="C2627" i="2"/>
  <c r="C2375" i="2"/>
  <c r="C5134" i="2"/>
  <c r="C4216" i="2"/>
  <c r="C5177" i="2"/>
  <c r="C4050" i="2"/>
  <c r="C4155" i="2"/>
  <c r="C4781" i="2"/>
  <c r="C1067" i="2"/>
  <c r="C2304" i="2"/>
  <c r="C4999" i="2"/>
  <c r="C745" i="2"/>
  <c r="C3130" i="2"/>
  <c r="C5219" i="2"/>
  <c r="C2173" i="2"/>
  <c r="C4037" i="2"/>
  <c r="C358" i="2"/>
  <c r="C4304" i="2"/>
  <c r="C4067" i="2"/>
  <c r="C4519" i="2"/>
  <c r="C2316" i="2"/>
  <c r="C1912" i="2"/>
  <c r="C3587" i="2"/>
  <c r="C431" i="2"/>
  <c r="C5165" i="2"/>
  <c r="C2927" i="2"/>
  <c r="C1650" i="2"/>
  <c r="C3446" i="2"/>
  <c r="C4330" i="2"/>
  <c r="C2146" i="2"/>
  <c r="C2296" i="2"/>
  <c r="C3800" i="2"/>
  <c r="C658" i="2"/>
  <c r="C558" i="2"/>
  <c r="C4262" i="2"/>
  <c r="C3601" i="2"/>
  <c r="C1867" i="2"/>
  <c r="C4042" i="2"/>
  <c r="C4343" i="2"/>
  <c r="C466" i="2"/>
  <c r="C4370" i="2"/>
  <c r="C2385" i="2"/>
  <c r="C808" i="2"/>
  <c r="C1304" i="2"/>
  <c r="C1712" i="2"/>
  <c r="C2107" i="2"/>
  <c r="C5060" i="2"/>
  <c r="C689" i="2"/>
  <c r="C3345" i="2"/>
  <c r="C2214" i="2"/>
  <c r="C1133" i="2"/>
  <c r="C4925" i="2"/>
  <c r="C974" i="2"/>
  <c r="C3570" i="2"/>
  <c r="C1676" i="2"/>
  <c r="C3594" i="2"/>
  <c r="C657" i="2"/>
  <c r="C3230" i="2"/>
  <c r="C3560" i="2"/>
  <c r="C3236" i="2"/>
  <c r="C4730" i="2"/>
  <c r="C504" i="2"/>
  <c r="C213" i="2"/>
  <c r="C432" i="2"/>
  <c r="C874" i="2"/>
  <c r="C1166" i="2"/>
  <c r="C107" i="2"/>
  <c r="C4064" i="2"/>
  <c r="C4006" i="2"/>
  <c r="C4941" i="2"/>
  <c r="C4773" i="2"/>
  <c r="C4897" i="2"/>
  <c r="C1224" i="2"/>
  <c r="C1910" i="2"/>
  <c r="C4705" i="2"/>
  <c r="C1890" i="2"/>
  <c r="C5203" i="2"/>
  <c r="C85" i="2"/>
  <c r="C1391" i="2"/>
  <c r="C1592" i="2"/>
  <c r="C4061" i="2"/>
  <c r="C2474" i="2"/>
  <c r="C821" i="2"/>
  <c r="C4834" i="2"/>
  <c r="C3623" i="2"/>
  <c r="C303" i="2"/>
  <c r="C4515" i="2"/>
  <c r="C1751" i="2"/>
  <c r="C4293" i="2"/>
  <c r="C74" i="2"/>
  <c r="C3374" i="2"/>
  <c r="C4795" i="2"/>
  <c r="C1585" i="2"/>
  <c r="C4796" i="2"/>
  <c r="C1006" i="2"/>
  <c r="C3349" i="2"/>
  <c r="C3003" i="2"/>
  <c r="C3445" i="2"/>
  <c r="C1262" i="2"/>
  <c r="C1449" i="2"/>
  <c r="C3500" i="2"/>
  <c r="C3590" i="2"/>
  <c r="C561" i="2"/>
  <c r="C4696" i="2"/>
  <c r="C3846" i="2"/>
  <c r="C46" i="2"/>
  <c r="C3077" i="2"/>
  <c r="C4151" i="2"/>
  <c r="C2713" i="2"/>
  <c r="C1886" i="2"/>
  <c r="C4529" i="2"/>
  <c r="C1265" i="2"/>
  <c r="C2293" i="2"/>
  <c r="C1525" i="2"/>
  <c r="C5186" i="2"/>
  <c r="C1087" i="2"/>
  <c r="C600" i="2"/>
  <c r="C234" i="2"/>
  <c r="C2209" i="2"/>
  <c r="C1033" i="2"/>
  <c r="C4469" i="2"/>
  <c r="C3227" i="2"/>
  <c r="C1832" i="2"/>
  <c r="C4294" i="2"/>
  <c r="C4859" i="2"/>
  <c r="C5020" i="2"/>
  <c r="C3417" i="2"/>
  <c r="C3163" i="2"/>
  <c r="C3475" i="2"/>
  <c r="C2418" i="2"/>
  <c r="C1646" i="2"/>
  <c r="C884" i="2"/>
  <c r="C3933" i="2"/>
  <c r="C1158" i="2"/>
  <c r="C3855" i="2"/>
  <c r="C2019" i="2"/>
  <c r="C3057" i="2"/>
  <c r="C5268" i="2"/>
  <c r="C3129" i="2"/>
  <c r="C3274" i="2"/>
  <c r="C1370" i="2"/>
  <c r="C505" i="2"/>
  <c r="C2158" i="2"/>
  <c r="C3701" i="2"/>
  <c r="C3108" i="2"/>
  <c r="C4488" i="2"/>
  <c r="C3719" i="2"/>
  <c r="C4669" i="2"/>
  <c r="C4191" i="2"/>
  <c r="C5270" i="2"/>
  <c r="C1447" i="2"/>
  <c r="C4158" i="2"/>
  <c r="C3099" i="2"/>
  <c r="C3934" i="2"/>
  <c r="C1656" i="2"/>
  <c r="C132" i="2"/>
  <c r="C1430" i="2"/>
  <c r="C3191" i="2"/>
  <c r="C274" i="2"/>
  <c r="C1040" i="2"/>
  <c r="C4987" i="2"/>
  <c r="C1961" i="2"/>
  <c r="C580" i="2"/>
  <c r="C1784" i="2"/>
  <c r="C1591" i="2"/>
  <c r="C1161" i="2"/>
  <c r="C4578" i="2"/>
  <c r="C4762" i="2"/>
  <c r="C1206" i="2"/>
  <c r="C3223" i="2"/>
  <c r="C5216" i="2"/>
  <c r="C3175" i="2"/>
  <c r="C2130" i="2"/>
  <c r="C57" i="2"/>
  <c r="C4231" i="2"/>
  <c r="C287" i="2"/>
  <c r="C2508" i="2"/>
  <c r="C3067" i="2"/>
  <c r="C2784" i="2"/>
  <c r="C4390" i="2"/>
  <c r="C1379" i="2"/>
  <c r="C2238" i="2"/>
  <c r="C1532" i="2"/>
  <c r="C1935" i="2"/>
  <c r="C4168" i="2"/>
  <c r="C3718" i="2"/>
  <c r="C4688" i="2"/>
  <c r="C367" i="2"/>
  <c r="C1952" i="2"/>
  <c r="C3639" i="2"/>
  <c r="C1028" i="2"/>
  <c r="C3490" i="2"/>
  <c r="C735" i="2"/>
  <c r="C2349" i="2"/>
  <c r="C2910" i="2"/>
  <c r="C4201" i="2"/>
  <c r="C2096" i="2"/>
  <c r="C2815" i="2"/>
  <c r="C3538" i="2"/>
  <c r="C981" i="2"/>
  <c r="C4090" i="2"/>
  <c r="C3970" i="2"/>
  <c r="C2864" i="2"/>
  <c r="C5248" i="2"/>
  <c r="C4880" i="2"/>
  <c r="C4830" i="2"/>
  <c r="C3912" i="2"/>
  <c r="C1862" i="2"/>
  <c r="C5075" i="2"/>
  <c r="C3217" i="2"/>
  <c r="C2321" i="2"/>
  <c r="C4030" i="2"/>
  <c r="C3385" i="2"/>
  <c r="C1461" i="2"/>
  <c r="C2161" i="2"/>
  <c r="C2620" i="2"/>
  <c r="C3161" i="2"/>
  <c r="C2935" i="2"/>
  <c r="C4837" i="2"/>
  <c r="C2611" i="2"/>
  <c r="C313" i="2"/>
  <c r="C4408" i="2"/>
  <c r="C864" i="2"/>
  <c r="C3805" i="2"/>
  <c r="C5068" i="2"/>
  <c r="C3876" i="2"/>
  <c r="C4944" i="2"/>
  <c r="C4139" i="2"/>
  <c r="C936" i="2"/>
  <c r="C2747" i="2"/>
  <c r="C3924" i="2"/>
  <c r="C4107" i="2"/>
  <c r="C2796" i="2"/>
  <c r="C1543" i="2"/>
  <c r="C1983" i="2"/>
  <c r="C4771" i="2"/>
  <c r="C605" i="2"/>
  <c r="C418" i="2"/>
  <c r="C3102" i="2"/>
  <c r="C2448" i="2"/>
  <c r="C225" i="2"/>
  <c r="C1406" i="2"/>
  <c r="C1334" i="2"/>
  <c r="C2372" i="2"/>
  <c r="C4707" i="2"/>
  <c r="C3791" i="2"/>
  <c r="C221" i="2"/>
  <c r="C2232" i="2"/>
  <c r="C1421" i="2"/>
  <c r="C2367" i="2"/>
  <c r="C631" i="2"/>
  <c r="C835" i="2"/>
  <c r="C309" i="2"/>
  <c r="C4840" i="2"/>
  <c r="C3483" i="2"/>
  <c r="C3529" i="2"/>
  <c r="C2352" i="2"/>
  <c r="C1434" i="2"/>
  <c r="C1587" i="2"/>
  <c r="C5148" i="2"/>
  <c r="C5266" i="2"/>
  <c r="C888" i="2"/>
  <c r="C5067" i="2"/>
  <c r="C2354" i="2"/>
  <c r="C93" i="2"/>
  <c r="C3788" i="2"/>
  <c r="C3426" i="2"/>
  <c r="C3722" i="2"/>
  <c r="C3866" i="2"/>
  <c r="C2037" i="2"/>
  <c r="C1227" i="2"/>
  <c r="C836" i="2"/>
  <c r="C4656" i="2"/>
  <c r="C2498" i="2"/>
  <c r="C1182" i="2"/>
  <c r="C1240" i="2"/>
  <c r="C5208" i="2"/>
  <c r="C715" i="2"/>
  <c r="C4766" i="2"/>
  <c r="C3869" i="2"/>
  <c r="C2428" i="2"/>
  <c r="C3763" i="2"/>
  <c r="C775" i="2"/>
  <c r="C991" i="2"/>
  <c r="C1145" i="2"/>
  <c r="C779" i="2"/>
  <c r="C2902" i="2"/>
  <c r="C3320" i="2"/>
  <c r="C4178" i="2"/>
  <c r="C4684" i="2"/>
  <c r="C4815" i="2"/>
  <c r="C2616" i="2"/>
  <c r="C1192" i="2"/>
  <c r="C4615" i="2"/>
  <c r="C1120" i="2"/>
  <c r="C2562" i="2"/>
  <c r="C3884" i="2"/>
  <c r="C409" i="2"/>
  <c r="C1016" i="2"/>
  <c r="C2555" i="2"/>
  <c r="C4639" i="2"/>
  <c r="C3256" i="2"/>
  <c r="C4665" i="2"/>
  <c r="C2307" i="2"/>
  <c r="C479" i="2"/>
  <c r="C220" i="2"/>
  <c r="C155" i="2"/>
  <c r="C5132" i="2"/>
  <c r="C4636" i="2"/>
  <c r="C1375" i="2"/>
  <c r="C5264" i="2"/>
  <c r="C4847" i="2"/>
  <c r="C1947" i="2"/>
  <c r="C2704" i="2"/>
  <c r="C2937" i="2"/>
  <c r="C1835" i="2"/>
  <c r="C4310" i="2"/>
  <c r="C3801" i="2"/>
  <c r="C4514" i="2"/>
  <c r="C4886" i="2"/>
  <c r="C837" i="2"/>
  <c r="C1703" i="2"/>
  <c r="C3632" i="2"/>
  <c r="C3344" i="2"/>
  <c r="C4991" i="2"/>
  <c r="C1777" i="2"/>
  <c r="C4324" i="2"/>
  <c r="C2125" i="2"/>
  <c r="C257" i="2"/>
  <c r="C4086" i="2"/>
  <c r="C5157" i="2"/>
  <c r="C682" i="2"/>
  <c r="C370" i="2"/>
  <c r="C4970" i="2"/>
  <c r="C4724" i="2"/>
  <c r="C1035" i="2"/>
  <c r="C1988" i="2"/>
  <c r="C1706" i="2"/>
  <c r="C1756" i="2"/>
  <c r="C2982" i="2"/>
  <c r="C3131" i="2"/>
  <c r="C231" i="2"/>
  <c r="C3947" i="2"/>
  <c r="C3369" i="2"/>
  <c r="C2522" i="2"/>
  <c r="C4694" i="2"/>
  <c r="C2178" i="2"/>
  <c r="C4990" i="2"/>
  <c r="C1664" i="2"/>
  <c r="C856" i="2"/>
  <c r="C2361" i="2"/>
  <c r="C8" i="2"/>
  <c r="C4978" i="2"/>
  <c r="C2821" i="2"/>
  <c r="C3382" i="2"/>
  <c r="C688" i="2"/>
  <c r="C3187" i="2"/>
  <c r="C3733" i="2"/>
  <c r="C2563" i="2"/>
  <c r="C3267" i="2"/>
  <c r="C2004" i="2"/>
  <c r="C2480" i="2"/>
  <c r="C4690" i="2"/>
  <c r="C4257" i="2"/>
  <c r="C4081" i="2"/>
  <c r="C2434" i="2"/>
  <c r="C1817" i="2"/>
  <c r="C4804" i="2"/>
  <c r="C980" i="2"/>
  <c r="C1173" i="2"/>
  <c r="C1259" i="2"/>
  <c r="C2697" i="2"/>
  <c r="C1964" i="2"/>
  <c r="C3883" i="2"/>
  <c r="C374" i="2"/>
  <c r="C1799" i="2"/>
  <c r="C541" i="2"/>
  <c r="C1168" i="2"/>
  <c r="C383" i="2"/>
  <c r="C597" i="2"/>
  <c r="C91" i="2"/>
  <c r="C2243" i="2"/>
  <c r="C1213" i="2"/>
  <c r="C4184" i="2"/>
  <c r="C1376" i="2"/>
  <c r="C964" i="2"/>
  <c r="C3731" i="2"/>
  <c r="C1320" i="2"/>
  <c r="C3058" i="2"/>
  <c r="C813" i="2"/>
  <c r="C2420" i="2"/>
  <c r="C1208" i="2"/>
  <c r="C345" i="2"/>
  <c r="C1905" i="2"/>
  <c r="C3404" i="2"/>
  <c r="C879" i="2"/>
  <c r="C1305" i="2"/>
  <c r="C4076" i="2"/>
  <c r="C2092" i="2"/>
  <c r="C910" i="2"/>
  <c r="C3113" i="2"/>
  <c r="C2981" i="2"/>
  <c r="C1085" i="2"/>
  <c r="C3062" i="2"/>
  <c r="C1401" i="2"/>
  <c r="C5011" i="2"/>
  <c r="C3929" i="2"/>
  <c r="C4833" i="2"/>
  <c r="C1052" i="2"/>
  <c r="C4648" i="2"/>
  <c r="C5238" i="2"/>
  <c r="C931" i="2"/>
  <c r="C3717" i="2"/>
  <c r="C4327" i="2"/>
  <c r="C3751" i="2"/>
  <c r="C4914" i="2"/>
  <c r="C5042" i="2"/>
  <c r="C4545" i="2"/>
  <c r="C5026" i="2"/>
  <c r="C1936" i="2"/>
  <c r="C1898" i="2"/>
  <c r="C3958" i="2"/>
  <c r="C96" i="2"/>
  <c r="C5043" i="2"/>
  <c r="C4650" i="2"/>
  <c r="C3740" i="2"/>
  <c r="C2742" i="2"/>
  <c r="C508" i="2"/>
  <c r="C4813" i="2"/>
  <c r="C1666" i="2"/>
  <c r="C1914" i="2"/>
  <c r="C2556" i="2"/>
  <c r="C2064" i="2"/>
  <c r="C1827" i="2"/>
  <c r="C2006" i="2"/>
  <c r="C4337" i="2"/>
  <c r="C4397" i="2"/>
  <c r="C2574" i="2"/>
  <c r="C2254" i="2"/>
  <c r="C1950" i="2"/>
  <c r="C4511" i="2"/>
  <c r="C769" i="2"/>
  <c r="C4593" i="2"/>
  <c r="C3014" i="2"/>
  <c r="C121" i="2"/>
  <c r="C907" i="2"/>
  <c r="C2631" i="2"/>
  <c r="C3559" i="2"/>
  <c r="C2903" i="2"/>
  <c r="C1560" i="2"/>
  <c r="C3608" i="2"/>
  <c r="C4742" i="2"/>
  <c r="C2441" i="2"/>
  <c r="C239" i="2"/>
  <c r="C2763" i="2"/>
  <c r="C3565" i="2"/>
  <c r="C809" i="2"/>
  <c r="C3292" i="2"/>
  <c r="C4110" i="2"/>
  <c r="C4207" i="2"/>
  <c r="C983" i="2"/>
  <c r="C3170" i="2"/>
  <c r="C1779" i="2"/>
  <c r="C1046" i="2"/>
  <c r="C4967" i="2"/>
  <c r="C1526" i="2"/>
  <c r="C758" i="2"/>
  <c r="C806" i="2"/>
  <c r="C3465" i="2"/>
  <c r="C4299" i="2"/>
  <c r="C3940" i="2"/>
  <c r="C744" i="2"/>
  <c r="C1699" i="2"/>
  <c r="C4232" i="2"/>
  <c r="C578" i="2"/>
  <c r="C1369" i="2"/>
  <c r="C4364" i="2"/>
  <c r="C1055" i="2"/>
  <c r="C2913" i="2"/>
  <c r="C2868" i="2"/>
  <c r="C3136" i="2"/>
  <c r="C1996" i="2"/>
  <c r="C4825" i="2"/>
  <c r="C591" i="2"/>
  <c r="C1499" i="2"/>
  <c r="C672" i="2"/>
  <c r="C3348" i="2"/>
  <c r="C2205" i="2"/>
  <c r="C3060" i="2"/>
  <c r="C2414" i="2"/>
  <c r="C5220" i="2"/>
  <c r="C4365" i="2"/>
  <c r="C3911" i="2"/>
  <c r="C3799" i="2"/>
  <c r="C1203" i="2"/>
  <c r="C2329" i="2"/>
  <c r="C822" i="2"/>
  <c r="C668" i="2"/>
  <c r="C3796" i="2"/>
  <c r="C816" i="2"/>
  <c r="C3621" i="2"/>
  <c r="C3694" i="2"/>
  <c r="C3249" i="2"/>
  <c r="C4899" i="2"/>
  <c r="C2726" i="2"/>
  <c r="C5130" i="2"/>
  <c r="C2156" i="2"/>
  <c r="C4768" i="2"/>
  <c r="C2705" i="2"/>
  <c r="C5023" i="2"/>
  <c r="C5162" i="2"/>
  <c r="C1039" i="2"/>
  <c r="C850" i="2"/>
  <c r="C3919" i="2"/>
  <c r="C3858" i="2"/>
  <c r="C66" i="2"/>
  <c r="C4728" i="2"/>
  <c r="C5175" i="2"/>
  <c r="C1367" i="2"/>
  <c r="C2392" i="2"/>
  <c r="C4803" i="2"/>
  <c r="C3007" i="2"/>
  <c r="C1516" i="2"/>
  <c r="C1316" i="2"/>
  <c r="C5240" i="2"/>
  <c r="C3182" i="2"/>
  <c r="C3631" i="2"/>
  <c r="C2144" i="2"/>
  <c r="C3661" i="2"/>
  <c r="C2212" i="2"/>
  <c r="C4135" i="2"/>
  <c r="C1210" i="2"/>
  <c r="C1189" i="2"/>
  <c r="C2363" i="2"/>
  <c r="C1822" i="2"/>
  <c r="C29" i="2"/>
  <c r="C2551" i="2"/>
  <c r="C4026" i="2"/>
  <c r="C2857" i="2"/>
  <c r="C2509" i="2"/>
  <c r="C2061" i="2"/>
  <c r="C3900" i="2"/>
  <c r="C1261" i="2"/>
  <c r="C5121" i="2"/>
  <c r="C2481" i="2"/>
  <c r="C1228" i="2"/>
  <c r="C4820" i="2"/>
  <c r="C3620" i="2"/>
  <c r="C4187" i="2"/>
  <c r="C2969" i="2"/>
  <c r="C2231" i="2"/>
  <c r="C378" i="2"/>
  <c r="C602" i="2"/>
  <c r="C3687" i="2"/>
  <c r="C3378" i="2"/>
  <c r="C382" i="2"/>
  <c r="C4790" i="2"/>
  <c r="C4425" i="2"/>
  <c r="C1498" i="2"/>
  <c r="C1704" i="2"/>
  <c r="C3495" i="2"/>
  <c r="C3312" i="2"/>
  <c r="C3729" i="2"/>
  <c r="C5118" i="2"/>
  <c r="C2082" i="2"/>
  <c r="C3752" i="2"/>
  <c r="C4849" i="2"/>
  <c r="C3020" i="2"/>
  <c r="C2250" i="2"/>
  <c r="C4526" i="2"/>
  <c r="C2217" i="2"/>
  <c r="C1647" i="2"/>
  <c r="C1649" i="2"/>
  <c r="C2712" i="2"/>
  <c r="C4662" i="2"/>
  <c r="C2469" i="2"/>
  <c r="C3557" i="2"/>
  <c r="C3276" i="2"/>
  <c r="C415" i="2"/>
  <c r="C2744" i="2"/>
  <c r="C3584" i="2"/>
  <c r="C540" i="2"/>
  <c r="C1250" i="2"/>
  <c r="C4591" i="2"/>
  <c r="C757" i="2"/>
  <c r="C995" i="2"/>
  <c r="C1148" i="2"/>
  <c r="C5265" i="2"/>
  <c r="C4679" i="2"/>
  <c r="C2879" i="2"/>
  <c r="C5082" i="2"/>
  <c r="C2871" i="2"/>
  <c r="C3177" i="2"/>
  <c r="C4165" i="2"/>
  <c r="C397" i="2"/>
  <c r="C3101" i="2"/>
  <c r="C536" i="2"/>
  <c r="C465" i="2"/>
  <c r="C1070" i="2"/>
  <c r="C496" i="2"/>
  <c r="C3401" i="2"/>
  <c r="C743" i="2"/>
  <c r="C36" i="2"/>
  <c r="C5025" i="2"/>
  <c r="C3237" i="2"/>
  <c r="C2276" i="2"/>
  <c r="C4727" i="2"/>
  <c r="C3812" i="2"/>
  <c r="C3226" i="2"/>
  <c r="C4666" i="2"/>
  <c r="C203" i="2"/>
  <c r="C5080" i="2"/>
  <c r="C84" i="2"/>
  <c r="C3865" i="2"/>
  <c r="C2162" i="2"/>
  <c r="C1243" i="2"/>
  <c r="C1818" i="2"/>
  <c r="C1179" i="2"/>
  <c r="C2426" i="2"/>
  <c r="C2030" i="2"/>
  <c r="C3264" i="2"/>
  <c r="C3730" i="2"/>
  <c r="C493" i="2"/>
  <c r="C1634" i="2"/>
  <c r="C454" i="2"/>
  <c r="C3207" i="2"/>
  <c r="C457" i="2"/>
  <c r="C5074" i="2"/>
  <c r="C141" i="2"/>
  <c r="C1157" i="2"/>
  <c r="C5159" i="2"/>
  <c r="C341" i="2"/>
  <c r="C3139" i="2"/>
  <c r="C4224" i="2"/>
  <c r="C934" i="2"/>
  <c r="C3715" i="2"/>
  <c r="C4551" i="2"/>
  <c r="C3776" i="2"/>
  <c r="C3566" i="2"/>
  <c r="C4143" i="2"/>
  <c r="C399" i="2"/>
  <c r="C2972" i="2"/>
  <c r="C1775" i="2"/>
  <c r="C4052" i="2"/>
  <c r="C4550" i="2"/>
  <c r="C4652" i="2"/>
  <c r="C3686" i="2"/>
  <c r="C2135" i="2"/>
  <c r="C2597" i="2"/>
  <c r="C5246" i="2"/>
  <c r="C728" i="2"/>
  <c r="C3245" i="2"/>
  <c r="C4121" i="2"/>
  <c r="C416" i="2"/>
  <c r="C3303" i="2"/>
  <c r="C754" i="2"/>
  <c r="C3332" i="2"/>
  <c r="C1729" i="2"/>
  <c r="C3767" i="2"/>
  <c r="C800" i="2"/>
  <c r="C1313" i="2"/>
  <c r="C5262" i="2"/>
  <c r="C4649" i="2"/>
  <c r="C1045" i="2"/>
  <c r="C674" i="2"/>
  <c r="C3822" i="2"/>
  <c r="C903" i="2"/>
  <c r="C266" i="2"/>
  <c r="C2029" i="2"/>
  <c r="C1627" i="2"/>
  <c r="C3029" i="2"/>
  <c r="C5271" i="2"/>
  <c r="C1217" i="2"/>
  <c r="C1544" i="2"/>
  <c r="C2980" i="2"/>
  <c r="C2856" i="2"/>
  <c r="C1020" i="2"/>
  <c r="C4958" i="2"/>
  <c r="C1095" i="2"/>
  <c r="C1047" i="2"/>
  <c r="C2979" i="2"/>
  <c r="C1019" i="2"/>
  <c r="C1044" i="2"/>
  <c r="C1750" i="2"/>
  <c r="C1318" i="2"/>
  <c r="C723" i="2"/>
  <c r="C4348" i="2"/>
  <c r="C2646" i="2"/>
  <c r="C4842" i="2"/>
  <c r="C4134" i="2"/>
  <c r="C4301" i="2"/>
  <c r="C1389" i="2"/>
  <c r="C3531" i="2"/>
  <c r="C2532" i="2"/>
  <c r="C281" i="2"/>
  <c r="C4017" i="2"/>
  <c r="C2617" i="2"/>
  <c r="C1025" i="2"/>
  <c r="C1558" i="2"/>
  <c r="C1353" i="2"/>
  <c r="C947" i="2"/>
  <c r="C3327" i="2"/>
  <c r="C3941" i="2"/>
  <c r="C2765" i="2"/>
  <c r="C68" i="2"/>
  <c r="C3720" i="2"/>
  <c r="C2278" i="2"/>
  <c r="C2682" i="2"/>
  <c r="C2324" i="2"/>
  <c r="C913" i="2"/>
  <c r="C2941" i="2"/>
  <c r="C2929" i="2"/>
  <c r="C4284" i="2"/>
  <c r="C3736" i="2"/>
  <c r="C2067" i="2"/>
  <c r="C3414" i="2"/>
  <c r="C4360" i="2"/>
  <c r="C4455" i="2"/>
  <c r="C4770" i="2"/>
  <c r="C4977" i="2"/>
  <c r="C1188" i="2"/>
  <c r="C5037" i="2"/>
  <c r="C1377" i="2"/>
  <c r="C719" i="2"/>
  <c r="C4345" i="2"/>
  <c r="C1761" i="2"/>
  <c r="C3845" i="2"/>
  <c r="C3233" i="2"/>
  <c r="C2874" i="2"/>
  <c r="C2626" i="2"/>
  <c r="C4695" i="2"/>
  <c r="C1655" i="2"/>
  <c r="C1671" i="2"/>
  <c r="C3485" i="2"/>
  <c r="C5192" i="2"/>
  <c r="C1297" i="2"/>
  <c r="C3450" i="2"/>
  <c r="C2686" i="2"/>
  <c r="C847" i="2"/>
  <c r="C759" i="2"/>
  <c r="C3350" i="2"/>
  <c r="C2483" i="2"/>
  <c r="C2978" i="2"/>
  <c r="C3537" i="2"/>
  <c r="C222" i="2"/>
  <c r="C4269" i="2"/>
  <c r="C1295" i="2"/>
  <c r="C1054" i="2"/>
  <c r="C308" i="2"/>
  <c r="C4113" i="2"/>
  <c r="C5116" i="2"/>
  <c r="C3372" i="2"/>
  <c r="C3967" i="2"/>
  <c r="C3643" i="2"/>
  <c r="C4339" i="2"/>
  <c r="C3894" i="2"/>
  <c r="C1398" i="2"/>
  <c r="C4092" i="2"/>
  <c r="C1254" i="2"/>
  <c r="C26" i="2"/>
  <c r="C916" i="2"/>
  <c r="C38" i="2"/>
  <c r="C2709" i="2"/>
  <c r="C4236" i="2"/>
  <c r="C434" i="2"/>
  <c r="C1427" i="2"/>
  <c r="C2944" i="2"/>
  <c r="C1943" i="2"/>
  <c r="C456" i="2"/>
  <c r="C4738" i="2"/>
  <c r="C2465" i="2"/>
  <c r="C2126" i="2"/>
  <c r="C4117" i="2"/>
  <c r="C3440" i="2"/>
  <c r="C4363" i="2"/>
  <c r="C4659" i="2"/>
  <c r="C1199" i="2"/>
  <c r="C3000" i="2"/>
  <c r="C1673" i="2"/>
  <c r="C3069" i="2"/>
  <c r="C2345" i="2"/>
  <c r="C604" i="2"/>
  <c r="C620" i="2"/>
  <c r="C1677" i="2"/>
  <c r="C4916" i="2"/>
  <c r="C4928" i="2"/>
  <c r="C1965" i="2"/>
  <c r="C5012" i="2"/>
  <c r="C3322" i="2"/>
  <c r="C1299" i="2"/>
  <c r="C1378" i="2"/>
  <c r="C118" i="2"/>
  <c r="C2701" i="2"/>
  <c r="C2332" i="2"/>
  <c r="C4228" i="2"/>
  <c r="C5005" i="2"/>
  <c r="C4596" i="2"/>
  <c r="C4787" i="2"/>
  <c r="C1860" i="2"/>
  <c r="C4443" i="2"/>
  <c r="C364" i="2"/>
  <c r="C1573" i="2"/>
  <c r="C3815" i="2"/>
  <c r="C1380" i="2"/>
  <c r="C1648" i="2"/>
  <c r="C3095" i="2"/>
  <c r="C3602" i="2"/>
  <c r="C4621" i="2"/>
  <c r="C568" i="2"/>
  <c r="C481" i="2"/>
  <c r="C801" i="2"/>
  <c r="C5096" i="2"/>
  <c r="C1556" i="2"/>
  <c r="C2692" i="2"/>
  <c r="C4285" i="2"/>
  <c r="C5" i="2"/>
  <c r="C5063" i="2"/>
  <c r="C5114" i="2"/>
  <c r="C2282" i="2"/>
  <c r="C1403" i="2"/>
  <c r="C592" i="2"/>
  <c r="C2181" i="2"/>
  <c r="C4635" i="2"/>
  <c r="C403" i="2"/>
  <c r="C1078" i="2"/>
  <c r="C1159" i="2"/>
  <c r="C3758" i="2"/>
  <c r="C1051" i="2"/>
  <c r="C2715" i="2"/>
  <c r="C249" i="2"/>
  <c r="C2720" i="2"/>
  <c r="C3765" i="2"/>
  <c r="C5073" i="2"/>
  <c r="C5138" i="2"/>
  <c r="C192" i="2"/>
  <c r="C673" i="2"/>
  <c r="C3346" i="2"/>
  <c r="C1231" i="2"/>
  <c r="C4988" i="2"/>
  <c r="C3509" i="2"/>
  <c r="C4282" i="2"/>
  <c r="C3706" i="2"/>
  <c r="C4325" i="2"/>
  <c r="C4449" i="2"/>
  <c r="C5195" i="2"/>
  <c r="C2197" i="2"/>
  <c r="C4088" i="2"/>
  <c r="C581" i="2"/>
  <c r="C1808" i="2"/>
  <c r="C1345" i="2"/>
  <c r="C1130" i="2"/>
  <c r="C3622" i="2"/>
  <c r="C3326" i="2"/>
  <c r="C4197" i="2"/>
  <c r="C2391" i="2"/>
  <c r="C4920" i="2"/>
  <c r="C439" i="2"/>
  <c r="C1623" i="2"/>
  <c r="C4996" i="2"/>
  <c r="C5079" i="2"/>
  <c r="C2437" i="2"/>
  <c r="C3273" i="2"/>
  <c r="C4698" i="2"/>
  <c r="C1522" i="2"/>
  <c r="C3212" i="2"/>
  <c r="C2152" i="2"/>
  <c r="C106" i="2"/>
  <c r="C159" i="2"/>
  <c r="C3006" i="2"/>
  <c r="C392" i="2"/>
  <c r="C1539" i="2"/>
  <c r="C1972" i="2"/>
  <c r="C1185" i="2"/>
  <c r="C2775" i="2"/>
  <c r="C1365" i="2"/>
  <c r="C3311" i="2"/>
  <c r="C2120" i="2"/>
  <c r="C3279" i="2"/>
  <c r="C3125" i="2"/>
  <c r="C2201" i="2"/>
  <c r="C5103" i="2"/>
  <c r="C1446" i="2"/>
  <c r="C3169" i="2"/>
  <c r="C2912" i="2"/>
  <c r="C1237" i="2"/>
  <c r="C621" i="2"/>
  <c r="C43" i="2"/>
  <c r="C408" i="2"/>
  <c r="C4791" i="2"/>
  <c r="C4797" i="2"/>
  <c r="C3160" i="2"/>
  <c r="C3431" i="2"/>
  <c r="C2893" i="2"/>
  <c r="C290" i="2"/>
  <c r="C3606" i="2"/>
  <c r="C3581" i="2"/>
  <c r="C2694" i="2"/>
  <c r="C3377" i="2"/>
  <c r="C4144" i="2"/>
  <c r="C2057" i="2"/>
  <c r="C4094" i="2"/>
  <c r="C1219" i="2"/>
  <c r="C2939" i="2"/>
  <c r="C1716" i="2"/>
  <c r="C212" i="2"/>
  <c r="C2383" i="2"/>
  <c r="C3780" i="2"/>
  <c r="C2825" i="2"/>
  <c r="C5236" i="2"/>
  <c r="C3268" i="2"/>
  <c r="C2269" i="2"/>
  <c r="C4865" i="2"/>
  <c r="C3362" i="2"/>
  <c r="C2921" i="2"/>
  <c r="C1426" i="2"/>
  <c r="C3712" i="2"/>
  <c r="C4570" i="2"/>
  <c r="C232" i="2"/>
  <c r="C1595" i="2"/>
  <c r="C3355" i="2"/>
  <c r="C4361" i="2"/>
  <c r="C3497" i="2"/>
  <c r="C5223" i="2"/>
  <c r="C2395" i="2"/>
  <c r="C3298" i="2"/>
  <c r="C2934" i="2"/>
  <c r="C2515" i="2"/>
  <c r="C3286" i="2"/>
  <c r="C1479" i="2"/>
  <c r="C4971" i="2"/>
  <c r="C1749" i="2"/>
  <c r="C5212" i="2"/>
  <c r="C4212" i="2"/>
  <c r="C2094" i="2"/>
  <c r="C2560" i="2"/>
  <c r="C2141" i="2"/>
  <c r="C1541" i="2"/>
  <c r="C5093" i="2"/>
  <c r="C3270" i="2"/>
  <c r="C4141" i="2"/>
  <c r="C3851" i="2"/>
  <c r="C3466" i="2"/>
  <c r="C2143" i="2"/>
  <c r="C1017" i="2"/>
  <c r="C4476" i="2"/>
  <c r="C1883" i="2"/>
  <c r="C55" i="2"/>
  <c r="C4486" i="2"/>
  <c r="C4719" i="2"/>
  <c r="C4133" i="2"/>
  <c r="C4226" i="2"/>
  <c r="C2535" i="2"/>
  <c r="C3515" i="2"/>
  <c r="C2237" i="2"/>
  <c r="C710" i="2"/>
  <c r="C819" i="2"/>
  <c r="C1140" i="2"/>
  <c r="C177" i="2"/>
  <c r="C3087" i="2"/>
  <c r="C4800" i="2"/>
  <c r="C1739" i="2"/>
  <c r="C3654" i="2"/>
  <c r="C398" i="2"/>
  <c r="C2876" i="2"/>
  <c r="C5016" i="2"/>
  <c r="C2735" i="2"/>
  <c r="C280" i="2"/>
  <c r="C4520" i="2"/>
  <c r="C5071" i="2"/>
  <c r="C5140" i="2"/>
  <c r="C3669" i="2"/>
  <c r="C3172" i="2"/>
  <c r="C3208" i="2"/>
  <c r="C2455" i="2"/>
  <c r="C4126" i="2"/>
  <c r="C4689" i="2"/>
  <c r="C2188" i="2"/>
  <c r="C444" i="2"/>
  <c r="C4788" i="2"/>
  <c r="C2758" i="2"/>
  <c r="C5182" i="2"/>
  <c r="C4162" i="2"/>
  <c r="C666" i="2"/>
  <c r="C1934" i="2"/>
  <c r="C4069" i="2"/>
  <c r="C1333" i="2"/>
  <c r="C638" i="2"/>
  <c r="C1928" i="2"/>
  <c r="C4844" i="2"/>
  <c r="C987" i="2"/>
  <c r="C2655" i="2"/>
  <c r="C4734" i="2"/>
  <c r="C4453" i="2"/>
  <c r="C2799" i="2"/>
  <c r="C792" i="2"/>
  <c r="C2374" i="2"/>
  <c r="C1174" i="2"/>
  <c r="C608" i="2"/>
  <c r="C4571" i="2"/>
  <c r="C711" i="2"/>
  <c r="C3966" i="2"/>
  <c r="C2552" i="2"/>
  <c r="C2011" i="2"/>
  <c r="C4559" i="2"/>
  <c r="C3033" i="2"/>
  <c r="C4180" i="2"/>
  <c r="C1881" i="2"/>
  <c r="C1165" i="2"/>
  <c r="C3811" i="2"/>
  <c r="C419" i="2"/>
  <c r="C5041" i="2"/>
  <c r="C4047" i="2"/>
  <c r="C4084" i="2"/>
  <c r="C863" i="2"/>
  <c r="C4346" i="2"/>
  <c r="C1816" i="2"/>
  <c r="C48" i="2"/>
  <c r="C386" i="2"/>
  <c r="C1062" i="2"/>
  <c r="C3880" i="2"/>
  <c r="C1980" i="2"/>
  <c r="C1490" i="2"/>
  <c r="C2320" i="2"/>
  <c r="C1517" i="2"/>
  <c r="C4504" i="2"/>
  <c r="C748" i="2"/>
  <c r="C250" i="2"/>
  <c r="C1164" i="2"/>
  <c r="C1354" i="2"/>
  <c r="C2975" i="2"/>
  <c r="C1094" i="2"/>
  <c r="C2299" i="2"/>
  <c r="C1327" i="2"/>
  <c r="C2640" i="2"/>
  <c r="C3239" i="2"/>
  <c r="C2252" i="2"/>
  <c r="C3856" i="2"/>
  <c r="C1352" i="2"/>
  <c r="C904" i="2"/>
  <c r="C2690" i="2"/>
  <c r="C2285" i="2"/>
  <c r="C2606" i="2"/>
  <c r="C942" i="2"/>
  <c r="C1577" i="2"/>
  <c r="C2843" i="2"/>
  <c r="C3425" i="2"/>
  <c r="C1292" i="2"/>
  <c r="C3036" i="2"/>
  <c r="C4340" i="2"/>
  <c r="C3630" i="2"/>
  <c r="C4629" i="2"/>
  <c r="C2568" i="2"/>
  <c r="C1692" i="2"/>
  <c r="C533" i="2"/>
  <c r="C3783" i="2"/>
  <c r="C3260" i="2"/>
  <c r="C3901" i="2"/>
  <c r="C491" i="2"/>
  <c r="C215" i="2"/>
  <c r="C4454" i="2"/>
  <c r="C2791" i="2"/>
  <c r="C1453" i="2"/>
  <c r="C730" i="2"/>
  <c r="C2736" i="2"/>
  <c r="C1128" i="2"/>
  <c r="C310" i="2"/>
  <c r="C3519" i="2"/>
  <c r="C1216" i="2"/>
  <c r="C4097" i="2"/>
  <c r="C4465" i="2"/>
  <c r="C5133" i="2"/>
  <c r="C2667" i="2"/>
  <c r="C4420" i="2"/>
  <c r="C1071" i="2"/>
  <c r="C170" i="2"/>
  <c r="C1568" i="2"/>
  <c r="C3293" i="2"/>
  <c r="C4789" i="2"/>
  <c r="C2804" i="2"/>
  <c r="C3521" i="2"/>
  <c r="C5231" i="2"/>
  <c r="C377" i="2"/>
  <c r="C3218" i="2"/>
  <c r="C1639" i="2"/>
  <c r="C4028" i="2"/>
  <c r="C1319" i="2"/>
  <c r="C2850" i="2"/>
  <c r="C4427" i="2"/>
  <c r="C1764" i="2"/>
  <c r="C2277" i="2"/>
  <c r="C67" i="2"/>
  <c r="C2826" i="2"/>
  <c r="C16" i="2"/>
  <c r="C3375" i="2"/>
  <c r="C2" i="2"/>
  <c r="C4931" i="2"/>
  <c r="C102" i="2"/>
  <c r="C2476" i="2"/>
  <c r="C3745" i="2"/>
  <c r="C2014" i="2"/>
  <c r="C1278" i="2"/>
  <c r="C3116" i="2"/>
  <c r="C3517" i="2"/>
  <c r="C720" i="2"/>
  <c r="C2829" i="2"/>
  <c r="C982" i="2"/>
  <c r="C1032" i="2"/>
  <c r="C3962" i="2"/>
  <c r="C1891" i="2"/>
  <c r="C2137" i="2"/>
  <c r="C1475" i="2"/>
  <c r="C2814" i="2"/>
  <c r="C4403" i="2"/>
  <c r="C4189" i="2"/>
  <c r="C362" i="2"/>
  <c r="C2436" i="2"/>
  <c r="C4114" i="2"/>
  <c r="C5249" i="2"/>
  <c r="C5180" i="2"/>
  <c r="C3724" i="2"/>
  <c r="C3760" i="2"/>
  <c r="C979" i="2"/>
  <c r="C516" i="2"/>
  <c r="C1075" i="2"/>
  <c r="C1920" i="2"/>
  <c r="C4036" i="2"/>
  <c r="C5104" i="2"/>
  <c r="C1564" i="2"/>
  <c r="C4918" i="2"/>
  <c r="C2727" i="2"/>
  <c r="C2053" i="2"/>
  <c r="C514" i="2"/>
  <c r="C2724" i="2"/>
  <c r="C272" i="2"/>
  <c r="C3366" i="2"/>
  <c r="C229" i="2"/>
  <c r="C169" i="2"/>
  <c r="C5261" i="2"/>
  <c r="C3827" i="2"/>
  <c r="C5051" i="2"/>
  <c r="C3628" i="2"/>
  <c r="C2192" i="2"/>
  <c r="C973" i="2"/>
  <c r="C158" i="2"/>
  <c r="C1783" i="2"/>
  <c r="C2013" i="2"/>
  <c r="C3996" i="2"/>
  <c r="C3589" i="2"/>
  <c r="C1848" i="2"/>
  <c r="C3153" i="2"/>
  <c r="C763" i="2"/>
  <c r="C1963" i="2"/>
  <c r="C2777" i="2"/>
  <c r="C498" i="2"/>
  <c r="C4116" i="2"/>
  <c r="C3650" i="2"/>
  <c r="C2507" i="2"/>
  <c r="C4927" i="2"/>
  <c r="C4016" i="2"/>
  <c r="C4873" i="2"/>
  <c r="C2502" i="2"/>
  <c r="C1418" i="2"/>
  <c r="C4940" i="2"/>
  <c r="C1004" i="2"/>
  <c r="C771" i="2"/>
  <c r="C2873" i="2"/>
  <c r="C1794" i="2"/>
  <c r="C5158" i="2"/>
  <c r="C817" i="2"/>
  <c r="C4641" i="2"/>
  <c r="C3107" i="2"/>
  <c r="C2072" i="2"/>
  <c r="C1092" i="2"/>
  <c r="C3121" i="2"/>
  <c r="C4513" i="2"/>
  <c r="C2003" i="2"/>
  <c r="C2220" i="2"/>
  <c r="C4506" i="2"/>
  <c r="C4670" i="2"/>
  <c r="C3709" i="2"/>
  <c r="C354" i="2"/>
  <c r="C629" i="2"/>
  <c r="C1257" i="2"/>
  <c r="C4729" i="2"/>
  <c r="C2251" i="2"/>
  <c r="C579" i="2"/>
  <c r="C1102" i="2"/>
  <c r="C1080" i="2"/>
  <c r="C3086" i="2"/>
  <c r="C3158" i="2"/>
  <c r="C3831" i="2"/>
  <c r="C3833" i="2"/>
  <c r="C3027" i="2"/>
  <c r="C971" i="2"/>
  <c r="C2362" i="2"/>
  <c r="C4979" i="2"/>
  <c r="C3840" i="2"/>
  <c r="C3727" i="2"/>
  <c r="C515" i="2"/>
  <c r="C2084" i="2"/>
  <c r="C2878" i="2"/>
  <c r="C2047" i="2"/>
  <c r="C1520" i="2"/>
  <c r="C902" i="2"/>
  <c r="C4146" i="2"/>
  <c r="C1343" i="2"/>
  <c r="C4043" i="2"/>
  <c r="C1687" i="2"/>
  <c r="C3106" i="2"/>
  <c r="C2157" i="2"/>
  <c r="C799" i="2"/>
  <c r="C883" i="2"/>
  <c r="C3779" i="2"/>
  <c r="C1603" i="2"/>
  <c r="C5061" i="2"/>
  <c r="C3648" i="2"/>
  <c r="C1382" i="2"/>
  <c r="C1287" i="2"/>
  <c r="C1959" i="2"/>
  <c r="C3410" i="2"/>
  <c r="C175" i="2"/>
  <c r="C1423" i="2"/>
  <c r="C4171" i="2"/>
  <c r="C2684" i="2"/>
  <c r="C5257" i="2"/>
  <c r="C2861" i="2"/>
  <c r="C2341" i="2"/>
  <c r="C1512" i="2"/>
  <c r="C5112" i="2"/>
  <c r="C774" i="2"/>
  <c r="C1233" i="2"/>
  <c r="C3039" i="2"/>
  <c r="C3524" i="2"/>
  <c r="C3889" i="2"/>
  <c r="C679" i="2"/>
  <c r="C842" i="2"/>
  <c r="C2877" i="2"/>
  <c r="C1002" i="2"/>
  <c r="C2955" i="2"/>
  <c r="C2093" i="2"/>
  <c r="C4677" i="2"/>
  <c r="C2833" i="2"/>
  <c r="C3703" i="2"/>
  <c r="C4263" i="2"/>
  <c r="C2596" i="2"/>
  <c r="C3032" i="2"/>
  <c r="C3315" i="2"/>
  <c r="C4060" i="2"/>
  <c r="C1954" i="2"/>
  <c r="C2839" i="2"/>
  <c r="C2940" i="2"/>
  <c r="C2290" i="2"/>
  <c r="C123" i="2"/>
  <c r="C4466" i="2"/>
  <c r="C4219" i="2"/>
  <c r="C110" i="2"/>
  <c r="C4215" i="2"/>
  <c r="C3257" i="2"/>
  <c r="C4595" i="2"/>
  <c r="C3959" i="2"/>
  <c r="C1021" i="2"/>
  <c r="C3989" i="2"/>
  <c r="C2768" i="2"/>
  <c r="C72" i="2"/>
  <c r="C2039" i="2"/>
  <c r="C2387" i="2"/>
  <c r="C1674" i="2"/>
  <c r="C736" i="2"/>
  <c r="C4436" i="2"/>
  <c r="C1635" i="2"/>
  <c r="C818" i="2"/>
  <c r="C797" i="2"/>
  <c r="C3542" i="2"/>
  <c r="C3773" i="2"/>
  <c r="C153" i="2"/>
  <c r="C4870" i="2"/>
  <c r="C3343" i="2"/>
  <c r="C838" i="2"/>
  <c r="C4536" i="2"/>
  <c r="C4437" i="2"/>
  <c r="C2810" i="2"/>
  <c r="C2002" i="2"/>
  <c r="C2922" i="2"/>
  <c r="C880" i="2"/>
  <c r="C1925" i="2"/>
  <c r="C2571" i="2"/>
  <c r="C957" i="2"/>
  <c r="C3097" i="2"/>
  <c r="C4835" i="2"/>
  <c r="C2518" i="2"/>
  <c r="C165" i="2"/>
  <c r="C3984" i="2"/>
  <c r="C2175" i="2"/>
  <c r="C1443" i="2"/>
  <c r="C993" i="2"/>
  <c r="C4901" i="2"/>
  <c r="C4574" i="2"/>
  <c r="C984" i="2"/>
  <c r="C3254" i="2"/>
  <c r="C3916" i="2"/>
  <c r="C4102" i="2"/>
  <c r="C2249" i="2"/>
  <c r="C840" i="2"/>
  <c r="C4994" i="2"/>
  <c r="C4817" i="2"/>
  <c r="C3094" i="2"/>
  <c r="C4393" i="2"/>
  <c r="C815" i="2"/>
  <c r="C3609" i="2"/>
  <c r="C4068" i="2"/>
  <c r="C4336" i="2"/>
  <c r="C3185" i="2"/>
  <c r="C58" i="2"/>
  <c r="C3568" i="2"/>
  <c r="C4713" i="2"/>
  <c r="C3492" i="2"/>
  <c r="C4772" i="2"/>
  <c r="C4605" i="2"/>
  <c r="C2159" i="2"/>
  <c r="C2663" i="2"/>
  <c r="C1474" i="2"/>
  <c r="C3023" i="2"/>
  <c r="C4362" i="2"/>
  <c r="C1957" i="2"/>
  <c r="C3081" i="2"/>
  <c r="C3149" i="2"/>
  <c r="C3202" i="2"/>
  <c r="C4598" i="2"/>
  <c r="C2807" i="2"/>
  <c r="C4159" i="2"/>
  <c r="C5211" i="2"/>
  <c r="C2071" i="2"/>
  <c r="C1197" i="2"/>
  <c r="C4699" i="2"/>
  <c r="C2167" i="2"/>
  <c r="C340" i="2"/>
  <c r="C4433" i="2"/>
  <c r="C1953" i="2"/>
  <c r="C1545" i="2"/>
  <c r="C4280" i="2"/>
  <c r="C1702" i="2"/>
  <c r="C2409" i="2"/>
  <c r="C4328" i="2"/>
  <c r="C3038" i="2"/>
  <c r="C4866" i="2"/>
  <c r="C1622" i="2"/>
  <c r="C573" i="2"/>
  <c r="C1637" i="2"/>
  <c r="C1422" i="2"/>
  <c r="C54" i="2"/>
  <c r="C346" i="2"/>
  <c r="C2239" i="2"/>
  <c r="C4222" i="2"/>
  <c r="C1820" i="2"/>
  <c r="C1998" i="2"/>
  <c r="C4046" i="2"/>
  <c r="C2433" i="2"/>
  <c r="C2997" i="2"/>
  <c r="C1550" i="2"/>
  <c r="C2643" i="2"/>
  <c r="C1096" i="2"/>
  <c r="C786" i="2"/>
  <c r="C5008" i="2"/>
  <c r="C4210" i="2"/>
  <c r="C3523" i="2"/>
  <c r="C3652" i="2"/>
  <c r="C2519" i="2"/>
  <c r="C4984" i="2"/>
  <c r="C1949" i="2"/>
  <c r="C4435" i="2"/>
  <c r="C1281" i="2"/>
  <c r="C886" i="2"/>
  <c r="C4173" i="2"/>
  <c r="C3493" i="2"/>
  <c r="C3681" i="2"/>
  <c r="C2153" i="2"/>
  <c r="C2875" i="2"/>
  <c r="C2797" i="2"/>
  <c r="C1146" i="2"/>
  <c r="C5029" i="2"/>
  <c r="C1567" i="2"/>
  <c r="C877" i="2"/>
  <c r="C3764" i="2"/>
  <c r="C5126" i="2"/>
  <c r="C5181" i="2"/>
  <c r="C4546" i="2"/>
  <c r="C328" i="2"/>
  <c r="C318" i="2"/>
  <c r="C4254" i="2"/>
  <c r="C201" i="2"/>
  <c r="C1103" i="2"/>
  <c r="C876" i="2"/>
  <c r="C5101" i="2"/>
  <c r="C3598" i="2"/>
  <c r="C349" i="2"/>
  <c r="C437" i="2"/>
  <c r="C4594" i="2"/>
  <c r="C53" i="2"/>
  <c r="C1770" i="2"/>
  <c r="C708" i="2"/>
  <c r="C765" i="2"/>
  <c r="C777" i="2"/>
  <c r="C2756" i="2"/>
  <c r="C263" i="2"/>
  <c r="C4423" i="2"/>
  <c r="C251" i="2"/>
  <c r="C1722" i="2"/>
  <c r="C2722" i="2"/>
  <c r="C1981" i="2"/>
  <c r="C288" i="2"/>
  <c r="C3046" i="2"/>
  <c r="C2580" i="2"/>
  <c r="C1846" i="2"/>
  <c r="C1868" i="2"/>
  <c r="C5269" i="2"/>
  <c r="C2052" i="2"/>
  <c r="C2970" i="2"/>
  <c r="C298" i="2"/>
  <c r="C3262" i="2"/>
  <c r="C3340" i="2"/>
  <c r="C75" i="2"/>
  <c r="C3973" i="2"/>
  <c r="C4613" i="2"/>
  <c r="C1610" i="2"/>
  <c r="C2950" i="2"/>
  <c r="C488" i="2"/>
  <c r="C2388" i="2"/>
  <c r="C412" i="2"/>
  <c r="C1801" i="2"/>
  <c r="C1134" i="2"/>
  <c r="C1239" i="2"/>
  <c r="C4750" i="2"/>
  <c r="C1400" i="2"/>
  <c r="C3484" i="2"/>
  <c r="C3646" i="2"/>
  <c r="C4782" i="2"/>
  <c r="C3612" i="2"/>
  <c r="C4487" i="2"/>
  <c r="C3284" i="2"/>
  <c r="C2622" i="2"/>
  <c r="C2378" i="2"/>
  <c r="C2911" i="2"/>
  <c r="C4429" i="2"/>
  <c r="C3874" i="2"/>
  <c r="C5050" i="2"/>
  <c r="C5083" i="2"/>
  <c r="C616" i="2"/>
  <c r="C1466" i="2"/>
  <c r="C1672" i="2"/>
  <c r="C219" i="2"/>
  <c r="C4740" i="2"/>
  <c r="C3829" i="2"/>
  <c r="C4919" i="2"/>
  <c r="C4673" i="2"/>
  <c r="C1607" i="2"/>
  <c r="C368" i="2"/>
  <c r="C3997" i="2"/>
  <c r="C2073" i="2"/>
  <c r="C4461" i="2"/>
  <c r="C3135" i="2"/>
  <c r="C375" i="2"/>
  <c r="C2800" i="2"/>
  <c r="C3397" i="2"/>
  <c r="C3301" i="2"/>
  <c r="C2036" i="2"/>
  <c r="C550" i="2"/>
  <c r="C3823" i="2"/>
  <c r="C938" i="2"/>
  <c r="C772" i="2"/>
  <c r="C4439" i="2"/>
  <c r="C4921" i="2"/>
  <c r="C3442" i="2"/>
  <c r="C3826" i="2"/>
  <c r="C589" i="2"/>
  <c r="C4302" i="2"/>
  <c r="C1486" i="2"/>
  <c r="C462" i="2"/>
  <c r="C1565" i="2"/>
  <c r="C1204" i="2"/>
  <c r="C3873" i="2"/>
  <c r="C3530" i="2"/>
  <c r="C4806" i="2"/>
  <c r="C119" i="2"/>
  <c r="C4568" i="2"/>
  <c r="C2526" i="2"/>
  <c r="C4177" i="2"/>
  <c r="C3331" i="2"/>
  <c r="C1530" i="2"/>
  <c r="C4783" i="2"/>
  <c r="C61" i="2"/>
  <c r="C3460" i="2"/>
  <c r="C3692" i="2"/>
  <c r="C3506" i="2"/>
  <c r="C3398" i="2"/>
  <c r="C2328" i="2"/>
  <c r="C5178" i="2"/>
  <c r="C2066" i="2"/>
  <c r="C2740" i="2"/>
  <c r="C395" i="2"/>
  <c r="C1114" i="2"/>
  <c r="C1247" i="2"/>
  <c r="C4066" i="2"/>
  <c r="C4359" i="2"/>
  <c r="C2028" i="2"/>
  <c r="C1357" i="2"/>
  <c r="C3056" i="2"/>
  <c r="C3766" i="2"/>
  <c r="C3017" i="2"/>
  <c r="C598" i="2"/>
  <c r="C3544" i="2"/>
  <c r="C4027" i="2"/>
  <c r="C4702" i="2"/>
  <c r="C282" i="2"/>
  <c r="C959" i="2"/>
  <c r="C3944" i="2"/>
  <c r="C163" i="2"/>
  <c r="C2439" i="2"/>
  <c r="C1059" i="2"/>
  <c r="C1348" i="2"/>
  <c r="C2322" i="2"/>
  <c r="C3388" i="2"/>
  <c r="C4655" i="2"/>
  <c r="C363" i="2"/>
  <c r="C3001" i="2"/>
  <c r="C3467" i="2"/>
  <c r="C5143" i="2"/>
  <c r="C2097" i="2"/>
  <c r="C1355" i="2"/>
  <c r="C1048" i="2"/>
  <c r="C4657" i="2"/>
  <c r="C4179" i="2"/>
  <c r="C2242" i="2"/>
  <c r="C5239" i="2"/>
  <c r="C3043" i="2"/>
  <c r="C4572" i="2"/>
  <c r="C1323" i="2"/>
  <c r="C2017" i="2"/>
  <c r="C4412" i="2"/>
  <c r="C3296" i="2"/>
  <c r="C1791" i="2"/>
  <c r="C4658" i="2"/>
  <c r="C2131" i="2"/>
  <c r="C3358" i="2"/>
  <c r="C2700" i="2"/>
  <c r="C3504" i="2"/>
  <c r="C1806" i="2"/>
  <c r="C1373" i="2"/>
  <c r="C3109" i="2"/>
  <c r="C1438" i="2"/>
  <c r="C3899" i="2"/>
  <c r="C522" i="2"/>
  <c r="C3337" i="2"/>
  <c r="C1991" i="2"/>
  <c r="C3599" i="2"/>
  <c r="C4237" i="2"/>
  <c r="C129" i="2"/>
  <c r="C1178" i="2"/>
  <c r="C3373" i="2"/>
  <c r="C3743" i="2"/>
  <c r="C1249" i="2"/>
  <c r="C1574" i="2"/>
  <c r="C2946" i="2"/>
  <c r="C306" i="2"/>
  <c r="C3841" i="2"/>
  <c r="C3" i="2"/>
  <c r="C3429" i="2"/>
  <c r="C2757" i="2"/>
  <c r="C4316" i="2"/>
  <c r="C4501" i="2"/>
  <c r="C25" i="2"/>
  <c r="C1555" i="2"/>
  <c r="C2456" i="2"/>
  <c r="C1833" i="2"/>
  <c r="C2527" i="2"/>
  <c r="C2497" i="2"/>
  <c r="C2699" i="2"/>
  <c r="C4334" i="2"/>
  <c r="C4374" i="2"/>
  <c r="C1285" i="2"/>
  <c r="C1218" i="2"/>
  <c r="C5017" i="2"/>
  <c r="C4250" i="2"/>
  <c r="C2564" i="2"/>
  <c r="C1970" i="2"/>
  <c r="C3004" i="2"/>
  <c r="C1740" i="2"/>
  <c r="C2172" i="2"/>
  <c r="C1451" i="2"/>
  <c r="C421" i="2"/>
  <c r="C5110" i="2"/>
  <c r="C329" i="2"/>
  <c r="C3653" i="2"/>
  <c r="C194" i="2"/>
  <c r="C1143" i="2"/>
  <c r="C1010" i="2"/>
  <c r="C875" i="2"/>
  <c r="C1596" i="2"/>
  <c r="C764" i="2"/>
  <c r="C4268" i="2"/>
  <c r="C5201" i="2"/>
  <c r="C3802" i="2"/>
  <c r="C3510" i="2"/>
  <c r="C3195" i="2"/>
  <c r="C738" i="2"/>
  <c r="C1302" i="2"/>
  <c r="C4281" i="2"/>
  <c r="C4479" i="2"/>
  <c r="C2402" i="2"/>
  <c r="C150" i="2"/>
  <c r="C4957" i="2"/>
  <c r="C3507" i="2"/>
  <c r="C3864" i="2"/>
  <c r="C4968" i="2"/>
  <c r="C5077" i="2"/>
  <c r="C149" i="2"/>
  <c r="C1708" i="2"/>
  <c r="C1809" i="2"/>
  <c r="C2370" i="2"/>
  <c r="C5155" i="2"/>
  <c r="C1815" i="2"/>
  <c r="C1946" i="2"/>
  <c r="C2888" i="2"/>
  <c r="C906" i="2"/>
  <c r="C3193" i="2"/>
  <c r="C4810" i="2"/>
  <c r="C1049" i="2"/>
  <c r="C810" i="2"/>
  <c r="C527" i="2"/>
  <c r="C2824" i="2"/>
  <c r="C2995" i="2"/>
  <c r="C2203" i="2"/>
  <c r="C2748" i="2"/>
  <c r="C1810" i="2"/>
  <c r="C4983" i="2"/>
  <c r="C3280" i="2"/>
  <c r="C3879" i="2"/>
  <c r="C1123" i="2"/>
  <c r="C3545" i="2"/>
  <c r="C4240" i="2"/>
  <c r="C2169" i="2"/>
  <c r="C5105" i="2"/>
  <c r="C207" i="2"/>
  <c r="C1621" i="2"/>
  <c r="C4875" i="2"/>
  <c r="C3054" i="2"/>
  <c r="C2366" i="2"/>
  <c r="C4906" i="2"/>
  <c r="C3052" i="2"/>
  <c r="C3044" i="2"/>
  <c r="C2958" i="2"/>
  <c r="C1007" i="2"/>
  <c r="C2424" i="2"/>
  <c r="C3604" i="2"/>
  <c r="C731" i="2"/>
  <c r="C19" i="2"/>
  <c r="C2717" i="2"/>
  <c r="C642" i="2"/>
  <c r="C2297" i="2"/>
  <c r="C3167" i="2"/>
  <c r="C89" i="2"/>
  <c r="C4149" i="2"/>
  <c r="C164" i="2"/>
  <c r="C1798" i="2"/>
  <c r="C3328" i="2"/>
  <c r="C2000" i="2"/>
  <c r="C789" i="2"/>
  <c r="C3157" i="2"/>
  <c r="C352" i="2"/>
  <c r="C4194" i="2"/>
  <c r="C11" i="2"/>
  <c r="C1715" i="2"/>
  <c r="C2789" i="2"/>
  <c r="C4518" i="2"/>
  <c r="C146" i="2"/>
  <c r="C4400" i="2"/>
  <c r="C1390" i="2"/>
  <c r="C400" i="2"/>
  <c r="C1724" i="2"/>
  <c r="C4617" i="2"/>
  <c r="C3248" i="2"/>
  <c r="C4468" i="2"/>
  <c r="C4667" i="2"/>
  <c r="C4557" i="2"/>
  <c r="C1638" i="2"/>
  <c r="C3820" i="2"/>
  <c r="C1612" i="2"/>
  <c r="C342" i="2"/>
  <c r="C1478" i="2"/>
  <c r="C4013" i="2"/>
  <c r="C1772" i="2"/>
  <c r="C4079" i="2"/>
  <c r="C4890" i="2"/>
  <c r="C1874" i="2"/>
  <c r="C3952" i="2"/>
  <c r="C528" i="2"/>
  <c r="C2185" i="2"/>
  <c r="C2088" i="2"/>
  <c r="C4183" i="2"/>
  <c r="C2719" i="2"/>
  <c r="C4170" i="2"/>
  <c r="C2318" i="2"/>
  <c r="C1171" i="2"/>
  <c r="C430" i="2"/>
  <c r="C812" i="2"/>
  <c r="C2035" i="2"/>
  <c r="C2313" i="2"/>
  <c r="C4640" i="2"/>
  <c r="C1796" i="2"/>
  <c r="C3342" i="2"/>
  <c r="C4785" i="2"/>
  <c r="C5145" i="2"/>
  <c r="C4860" i="2"/>
  <c r="C3611" i="2"/>
  <c r="C960" i="2"/>
  <c r="C2422" i="2"/>
  <c r="C4264" i="2"/>
  <c r="C5081" i="2"/>
  <c r="C1235" i="2"/>
  <c r="C537" i="2"/>
  <c r="C4276" i="2"/>
  <c r="C2245" i="2"/>
  <c r="C3400" i="2"/>
  <c r="C1895" i="2"/>
  <c r="C1588" i="2"/>
  <c r="C826" i="2"/>
  <c r="C2849" i="2"/>
  <c r="C2884" i="2"/>
  <c r="C4063" i="2"/>
  <c r="C899" i="2"/>
  <c r="C593" i="2"/>
  <c r="C1875" i="2"/>
  <c r="C3563" i="2"/>
  <c r="C4308" i="2"/>
  <c r="C851" i="2"/>
  <c r="C5247" i="2"/>
  <c r="C4266" i="2"/>
  <c r="C4421" i="2"/>
  <c r="C235" i="2"/>
  <c r="C71" i="2"/>
  <c r="C1736" i="2"/>
  <c r="C3379" i="2"/>
  <c r="C1220" i="2"/>
  <c r="C3408" i="2"/>
  <c r="C1932" i="2"/>
  <c r="C3188" i="2"/>
  <c r="C5272" i="2"/>
  <c r="C3266" i="2"/>
  <c r="C3555" i="2"/>
  <c r="C1393" i="2"/>
  <c r="C3963" i="2"/>
  <c r="C3556" i="2"/>
  <c r="C706" i="2"/>
  <c r="C1241" i="2"/>
  <c r="C1960" i="2"/>
  <c r="C3663" i="2"/>
  <c r="C4953" i="2"/>
  <c r="C5002" i="2"/>
  <c r="C2846" i="2"/>
  <c r="C3394" i="2"/>
  <c r="C470" i="2"/>
  <c r="C1581" i="2"/>
  <c r="C4426" i="2"/>
  <c r="C2335" i="2"/>
  <c r="C2762" i="2"/>
  <c r="C347" i="2"/>
  <c r="C3210" i="2"/>
  <c r="C3071" i="2"/>
  <c r="C2190" i="2"/>
  <c r="C2109" i="2"/>
  <c r="C445" i="2"/>
  <c r="C4809" i="2"/>
  <c r="C4246" i="2"/>
  <c r="C2781" i="2"/>
  <c r="C866" i="2"/>
  <c r="C4271" i="2"/>
  <c r="C915" i="2"/>
  <c r="C4306" i="2"/>
  <c r="C161" i="2"/>
  <c r="C3835" i="2"/>
  <c r="C1100" i="2"/>
  <c r="C3838" i="2"/>
  <c r="C2529" i="2"/>
  <c r="C3928" i="2"/>
  <c r="C2671" i="2"/>
  <c r="C3586" i="2"/>
  <c r="C197" i="2"/>
  <c r="C3930" i="2"/>
  <c r="C2452" i="2"/>
  <c r="C5245" i="2"/>
  <c r="C843" i="2"/>
  <c r="C624" i="2"/>
  <c r="C1786" i="2"/>
  <c r="C1012" i="2"/>
  <c r="C3702" i="2"/>
  <c r="C1003" i="2"/>
  <c r="C3656" i="2"/>
  <c r="C3438" i="2"/>
  <c r="C881" i="2"/>
  <c r="C1324" i="2"/>
  <c r="C3813" i="2"/>
  <c r="C3935" i="2"/>
  <c r="C1633" i="2"/>
  <c r="C2798" i="2"/>
  <c r="C1893" i="2"/>
  <c r="C3512" i="2"/>
  <c r="C4206" i="2"/>
  <c r="C3146" i="2"/>
  <c r="C610" i="2"/>
  <c r="C2275" i="2"/>
  <c r="C4628" i="2"/>
  <c r="C4720" i="2"/>
  <c r="C501" i="2"/>
  <c r="C1955" i="2"/>
  <c r="C37" i="2"/>
  <c r="C4493" i="2"/>
  <c r="C138" i="2"/>
  <c r="C4498" i="2"/>
  <c r="C681" i="2"/>
  <c r="C304" i="2"/>
  <c r="C3138" i="2"/>
  <c r="C2211" i="2"/>
  <c r="C103" i="2"/>
  <c r="C3671" i="2"/>
  <c r="C1682" i="2"/>
  <c r="C1201" i="2"/>
  <c r="C1109" i="2"/>
  <c r="C628" i="2"/>
  <c r="C565" i="2"/>
  <c r="C1721" i="2"/>
  <c r="C1121" i="2"/>
  <c r="C1042" i="2"/>
  <c r="C186" i="2"/>
  <c r="C1785" i="2"/>
  <c r="C5034" i="2"/>
  <c r="C1176" i="2"/>
  <c r="C4073" i="2"/>
  <c r="C5053" i="2"/>
  <c r="C1238" i="2"/>
  <c r="C946" i="2"/>
  <c r="C3082" i="2"/>
  <c r="C4585" i="2"/>
  <c r="C1384" i="2"/>
  <c r="C823" i="2"/>
  <c r="C5048" i="2"/>
  <c r="C1811" i="2"/>
  <c r="C2102" i="2"/>
  <c r="C3527" i="2"/>
  <c r="C1458" i="2"/>
  <c r="C4056" i="2"/>
  <c r="C1762" i="2"/>
  <c r="C330" i="2"/>
  <c r="C56" i="2"/>
  <c r="C2933" i="2"/>
  <c r="C2401" i="2"/>
  <c r="C1275" i="2"/>
  <c r="C5040" i="2"/>
  <c r="C1089" i="2"/>
  <c r="C3330" i="2"/>
  <c r="C3868" i="2"/>
  <c r="C2516" i="2"/>
  <c r="C2831" i="2"/>
  <c r="C3762" i="2"/>
  <c r="C3732" i="2"/>
  <c r="C1405" i="2"/>
  <c r="C824" i="2"/>
  <c r="C4295" i="2"/>
  <c r="C564" i="2"/>
  <c r="C3569" i="2"/>
  <c r="C5187" i="2"/>
  <c r="C166" i="2"/>
  <c r="C2463" i="2"/>
  <c r="C1877" i="2"/>
  <c r="C5003" i="2"/>
  <c r="C1112" i="2"/>
  <c r="C190" i="2"/>
  <c r="C5057" i="2"/>
  <c r="C3906" i="2"/>
  <c r="C4074" i="2"/>
  <c r="C4819" i="2"/>
  <c r="C4242" i="2"/>
  <c r="C4034" i="2"/>
  <c r="C5147" i="2"/>
  <c r="C3387" i="2"/>
  <c r="C3540" i="2"/>
  <c r="C4780" i="2"/>
  <c r="C5154" i="2"/>
  <c r="C3582" i="2"/>
  <c r="C687" i="2"/>
  <c r="C2267" i="2"/>
  <c r="C2589" i="2"/>
  <c r="C3283" i="2"/>
  <c r="C4093" i="2"/>
  <c r="C3605" i="2"/>
  <c r="C1493" i="2"/>
  <c r="C1251" i="2"/>
  <c r="C4525" i="2"/>
  <c r="G699" i="1" s="1"/>
  <c r="C3128" i="2"/>
  <c r="C1528" i="2"/>
  <c r="C2134" i="2"/>
  <c r="C1701" i="2"/>
  <c r="C5202" i="2"/>
  <c r="C3117" i="2"/>
  <c r="C2967" i="2"/>
  <c r="C3053" i="2"/>
  <c r="C2525" i="2"/>
  <c r="C1608" i="2"/>
  <c r="C1689" i="2"/>
  <c r="C3775" i="2"/>
  <c r="C2005" i="2"/>
  <c r="C3534" i="2"/>
  <c r="C5235" i="2"/>
  <c r="C1031" i="2"/>
  <c r="C338" i="2"/>
  <c r="C718" i="2"/>
  <c r="C1127" i="2"/>
  <c r="C5009" i="2"/>
  <c r="C2936" i="2"/>
  <c r="C3956" i="2"/>
  <c r="C3830" i="2"/>
  <c r="C2317" i="2"/>
  <c r="C575" i="2"/>
  <c r="C3607" i="2"/>
  <c r="C1837" i="2"/>
  <c r="C1074" i="2"/>
  <c r="C651" i="2"/>
  <c r="C1531" i="2"/>
  <c r="C2890" i="2"/>
  <c r="C252" i="2"/>
  <c r="C2915" i="2"/>
  <c r="C2750" i="2"/>
  <c r="C134" i="2"/>
  <c r="C453" i="2"/>
  <c r="C3925" i="2"/>
  <c r="C5120" i="2"/>
  <c r="C4142" i="2"/>
  <c r="C2229" i="2"/>
  <c r="C4682" i="2"/>
  <c r="C2649" i="2"/>
  <c r="C2909" i="2"/>
  <c r="C4413" i="2"/>
  <c r="C709" i="2"/>
  <c r="C937" i="2"/>
  <c r="C4153" i="2"/>
  <c r="C3204" i="2"/>
  <c r="C2813" i="2"/>
  <c r="C2511" i="2"/>
  <c r="C3075" i="2"/>
  <c r="C2841" i="2"/>
  <c r="C2432" i="2"/>
  <c r="C2086" i="2"/>
  <c r="C3022" i="2"/>
  <c r="C3790" i="2"/>
  <c r="C4843" i="2"/>
  <c r="C5007" i="2"/>
  <c r="C1548" i="2"/>
  <c r="C1110" i="2"/>
  <c r="C4812" i="2"/>
  <c r="C3907" i="2"/>
  <c r="C3120" i="2"/>
  <c r="C542" i="2"/>
  <c r="C5172" i="2"/>
  <c r="C3010" i="2"/>
  <c r="C4115" i="2"/>
  <c r="C3514" i="2"/>
  <c r="C376" i="2"/>
  <c r="C609" i="2"/>
  <c r="C637" i="2"/>
  <c r="C998" i="2"/>
  <c r="C3670" i="2"/>
  <c r="C109" i="2"/>
  <c r="C4176" i="2"/>
  <c r="C4459" i="2"/>
  <c r="C839" i="2"/>
  <c r="C3496" i="2"/>
  <c r="C2998" i="2"/>
  <c r="C4777" i="2"/>
  <c r="C1329" i="2"/>
  <c r="C485" i="2"/>
  <c r="C1559" i="2"/>
  <c r="C4235" i="2"/>
  <c r="C3657" i="2"/>
  <c r="C2062" i="2"/>
  <c r="C4947" i="2"/>
  <c r="C2207" i="2"/>
  <c r="C4761" i="2"/>
  <c r="C3174" i="2"/>
  <c r="C227" i="2"/>
  <c r="C30" i="2"/>
  <c r="C4022" i="2"/>
  <c r="C4467" i="2"/>
  <c r="C3897" i="2"/>
  <c r="C2545" i="2"/>
  <c r="C427" i="2"/>
  <c r="C79" i="2"/>
  <c r="C2764" i="2"/>
  <c r="C343" i="2"/>
  <c r="C5188" i="2"/>
  <c r="C1871" i="2"/>
  <c r="C5243" i="2"/>
  <c r="C788" i="2"/>
  <c r="C1088" i="2"/>
  <c r="C1193" i="2"/>
  <c r="C2964" i="2"/>
  <c r="C3640" i="2"/>
  <c r="C2731" i="2"/>
  <c r="C1968" i="2"/>
  <c r="C2124" i="2"/>
  <c r="C1836" i="2"/>
  <c r="C932" i="2"/>
  <c r="C3539" i="2"/>
  <c r="C4145" i="2"/>
  <c r="C3399" i="2"/>
  <c r="C1255" i="2"/>
  <c r="C216" i="2"/>
  <c r="C3913" i="2"/>
  <c r="C1270" i="2"/>
  <c r="C4681" i="2"/>
  <c r="C424" i="2"/>
  <c r="C5064" i="2"/>
  <c r="C1617" i="2"/>
  <c r="C1851" i="2"/>
  <c r="C4311" i="2"/>
  <c r="C1834" i="2"/>
  <c r="C1005" i="2"/>
  <c r="C4966" i="2"/>
  <c r="C1575" i="2"/>
  <c r="C4703" i="2"/>
  <c r="C4204" i="2"/>
  <c r="C3294" i="2"/>
  <c r="C780" i="2"/>
  <c r="C1734" i="2"/>
  <c r="C3518" i="2"/>
  <c r="C4573" i="2"/>
  <c r="C4680" i="2"/>
  <c r="C4021" i="2"/>
  <c r="C1625" i="2"/>
  <c r="C4272" i="2"/>
  <c r="C2444" i="2"/>
  <c r="C1619" i="2"/>
  <c r="C3334" i="2"/>
  <c r="C3324" i="2"/>
  <c r="C4903" i="2"/>
  <c r="C862" i="2"/>
  <c r="C248" i="2"/>
  <c r="C3287" i="2"/>
  <c r="C1773" i="2"/>
  <c r="C461" i="2"/>
  <c r="C632" i="2"/>
  <c r="C2091" i="2"/>
  <c r="C333" i="2"/>
  <c r="C3547" i="2"/>
  <c r="C644" i="2"/>
  <c r="C1328" i="2"/>
  <c r="C1153" i="2"/>
  <c r="C5167" i="2"/>
  <c r="C5189" i="2"/>
  <c r="C3685" i="2"/>
  <c r="C253" i="2"/>
  <c r="C2085" i="2"/>
  <c r="C557" i="2"/>
  <c r="C3803" i="2"/>
  <c r="C1605" i="2"/>
  <c r="C258" i="2"/>
  <c r="C2575" i="2"/>
  <c r="C236" i="2"/>
  <c r="C1280" i="2"/>
  <c r="C3464" i="2"/>
  <c r="C1043" i="2"/>
  <c r="C3761" i="2"/>
  <c r="C3171" i="2"/>
  <c r="C3363" i="2"/>
  <c r="C2149" i="2"/>
  <c r="C259" i="2"/>
  <c r="C2977" i="2"/>
  <c r="C3359" i="2"/>
  <c r="C2446" i="2"/>
  <c r="C2708" i="2"/>
  <c r="C4354" i="2"/>
  <c r="C3065" i="2"/>
  <c r="C952" i="2"/>
  <c r="C761" i="2"/>
  <c r="C4291" i="2"/>
  <c r="C3452" i="2"/>
  <c r="C4549" i="2"/>
  <c r="C3737" i="2"/>
  <c r="C1225" i="2"/>
  <c r="C1072" i="2"/>
  <c r="C2816" i="2"/>
  <c r="C4287" i="2"/>
  <c r="C3229" i="2"/>
  <c r="C4495" i="2"/>
  <c r="C4497" i="2"/>
  <c r="C2898" i="2"/>
  <c r="C5031" i="2"/>
  <c r="C2570" i="2"/>
  <c r="C1840" i="2"/>
  <c r="C167" i="2"/>
  <c r="C2154" i="2"/>
  <c r="C4553" i="2"/>
  <c r="C2405" i="2"/>
  <c r="C2924" i="2"/>
  <c r="C2760" i="2"/>
  <c r="C3126" i="2"/>
  <c r="C1462" i="2"/>
  <c r="C4277" i="2"/>
  <c r="C240" i="2"/>
  <c r="C3893" i="2"/>
  <c r="C443" i="2"/>
  <c r="C4451" i="2"/>
  <c r="C1107" i="2"/>
  <c r="C4651" i="2"/>
  <c r="C1350" i="2"/>
  <c r="C3644" i="2"/>
  <c r="C2885" i="2"/>
  <c r="C4894" i="2"/>
  <c r="C2590" i="2"/>
  <c r="C693" i="2"/>
  <c r="C4351" i="2"/>
  <c r="C3723" i="2"/>
  <c r="C317" i="2"/>
  <c r="C3610" i="2"/>
  <c r="C3543" i="2"/>
  <c r="C3319" i="2"/>
  <c r="C243" i="2"/>
  <c r="C2044" i="2"/>
  <c r="C2258" i="2"/>
  <c r="C4853" i="2"/>
  <c r="C4481" i="2"/>
  <c r="C3573" i="2"/>
  <c r="C1885" i="2"/>
  <c r="C2949" i="2"/>
  <c r="C4296" i="2"/>
  <c r="C357" i="2"/>
  <c r="C4524" i="2"/>
  <c r="C4415" i="2"/>
  <c r="C3676" i="2"/>
  <c r="C4041" i="2"/>
  <c r="C975" i="2"/>
  <c r="C5258" i="2"/>
  <c r="C5032" i="2"/>
  <c r="C1908" i="2"/>
  <c r="C802" i="2"/>
  <c r="C4505" i="2"/>
  <c r="C3637" i="2"/>
  <c r="C4452" i="2"/>
  <c r="C5129" i="2"/>
  <c r="C3357" i="2"/>
  <c r="C1481" i="2"/>
  <c r="C1899" i="2"/>
  <c r="C469" i="2"/>
  <c r="C1314" i="2"/>
  <c r="C1694" i="2"/>
  <c r="C4660" i="2"/>
  <c r="C1244" i="2"/>
  <c r="C1408" i="2"/>
  <c r="C1769" i="2"/>
  <c r="C4398" i="2"/>
  <c r="C3662" i="2"/>
  <c r="C3184" i="2"/>
  <c r="C3434" i="2"/>
  <c r="C4760" i="2"/>
  <c r="C2624" i="2"/>
  <c r="C3885" i="2"/>
  <c r="C2792" i="2"/>
  <c r="C2355" i="2"/>
  <c r="C4739" i="2"/>
  <c r="C2343" i="2"/>
  <c r="C529" i="2"/>
  <c r="C3985" i="2"/>
  <c r="C82" i="2"/>
  <c r="C2928" i="2"/>
  <c r="C941" i="2"/>
  <c r="C3008" i="2"/>
  <c r="C4256" i="2"/>
  <c r="C2870" i="2"/>
  <c r="C653" i="2"/>
  <c r="C3774" i="2"/>
  <c r="C4070" i="2"/>
  <c r="C7" i="2"/>
  <c r="C2407" i="2"/>
  <c r="C1999" i="2"/>
  <c r="C3742" i="2"/>
  <c r="C4821" i="2"/>
  <c r="C3380" i="2"/>
  <c r="C4213" i="2"/>
  <c r="C3463" i="2"/>
  <c r="C20" i="2"/>
  <c r="C2853" i="2"/>
  <c r="C4289" i="2"/>
  <c r="C5150" i="2"/>
  <c r="C677" i="2"/>
  <c r="C2148" i="2"/>
  <c r="C794" i="2"/>
  <c r="C2083" i="2"/>
  <c r="C237" i="2"/>
  <c r="C3122" i="2"/>
  <c r="C3090" i="2"/>
  <c r="C3478" i="2"/>
  <c r="C1642" i="2"/>
  <c r="C4355" i="2"/>
  <c r="C619" i="2"/>
  <c r="C4290" i="2"/>
  <c r="C1104" i="2"/>
  <c r="C2581" i="2"/>
  <c r="C665" i="2"/>
  <c r="C2104" i="2"/>
  <c r="C4357" i="2"/>
  <c r="C86" i="2"/>
  <c r="C582" i="2"/>
  <c r="C81" i="2"/>
  <c r="C869" i="2"/>
  <c r="C5260" i="2"/>
  <c r="C3295" i="2"/>
  <c r="C4238" i="2"/>
  <c r="C3554" i="2"/>
  <c r="C2832" i="2"/>
  <c r="C4963" i="2"/>
  <c r="C1977" i="2"/>
  <c r="C4754" i="2"/>
  <c r="C4881" i="2"/>
  <c r="C2488" i="2"/>
  <c r="C3548" i="2"/>
  <c r="C787" i="2"/>
  <c r="C4799" i="2"/>
  <c r="C2900" i="2"/>
  <c r="C3533" i="2"/>
  <c r="C1887" i="2"/>
  <c r="C617" i="2"/>
  <c r="C1599" i="2"/>
  <c r="C3528" i="2"/>
  <c r="C669" i="2"/>
  <c r="C2043" i="2"/>
  <c r="C1620" i="2"/>
  <c r="C105" i="2"/>
  <c r="C793" i="2"/>
  <c r="C3857" i="2"/>
  <c r="C2679" i="2"/>
  <c r="C3002" i="2"/>
  <c r="C2336" i="2"/>
  <c r="C4031" i="2"/>
  <c r="C5044" i="2"/>
  <c r="C4913" i="2"/>
  <c r="C3908" i="2"/>
  <c r="C1253" i="2"/>
  <c r="C4300" i="2"/>
  <c r="C4463" i="2"/>
  <c r="C1445" i="2"/>
  <c r="C1404" i="2"/>
  <c r="C2121" i="2"/>
  <c r="C750" i="2"/>
  <c r="C1196" i="2"/>
  <c r="C3714" i="2"/>
  <c r="C3744" i="2"/>
  <c r="C2618" i="2"/>
  <c r="C4108" i="2"/>
  <c r="C2222" i="2"/>
  <c r="C4857" i="2"/>
  <c r="C2454" i="2"/>
  <c r="C4220" i="2"/>
  <c r="C1163" i="2"/>
  <c r="C4458" i="2"/>
  <c r="C3931" i="2"/>
  <c r="C4929" i="2"/>
  <c r="C4528" i="2"/>
  <c r="C3938" i="2"/>
  <c r="C2060" i="2"/>
  <c r="C4709" i="2"/>
  <c r="G2561" i="1" s="1"/>
  <c r="C4253" i="2"/>
  <c r="C530" i="2"/>
  <c r="C1986" i="2"/>
  <c r="C2435" i="2"/>
  <c r="C1439" i="2"/>
  <c r="C6" i="2"/>
  <c r="C2430" i="2"/>
  <c r="C1229" i="2"/>
  <c r="C2882" i="2"/>
  <c r="C1844" i="2"/>
  <c r="C2505" i="2"/>
  <c r="C949" i="2"/>
  <c r="C2110" i="2"/>
  <c r="C4072" i="2"/>
  <c r="C2001" i="2"/>
  <c r="C872" i="2"/>
  <c r="C1971" i="2"/>
  <c r="C1269" i="2"/>
  <c r="C3168" i="2"/>
  <c r="C2490" i="2"/>
  <c r="C2486" i="2"/>
  <c r="C2899" i="2"/>
  <c r="C90" i="2"/>
  <c r="C238" i="2"/>
  <c r="C1215" i="2"/>
  <c r="C5194" i="2"/>
  <c r="C4014" i="2"/>
  <c r="C5191" i="2"/>
  <c r="C1307" i="2"/>
  <c r="C3951" i="2"/>
  <c r="C4087" i="2"/>
  <c r="C4379" i="2"/>
  <c r="C1245" i="2"/>
  <c r="C2883" i="2"/>
  <c r="C3042" i="2"/>
  <c r="C3111" i="2"/>
  <c r="C3625" i="2"/>
  <c r="C3252" i="2"/>
  <c r="C65" i="2"/>
  <c r="C2051" i="2"/>
  <c r="C4430" i="2"/>
  <c r="C3896" i="2"/>
  <c r="C5128" i="2"/>
  <c r="C2636" i="2"/>
  <c r="C3140" i="2"/>
  <c r="C353" i="2"/>
  <c r="C289" i="2"/>
  <c r="C4199" i="2"/>
  <c r="C4366" i="2"/>
  <c r="C152" i="2"/>
  <c r="C2595" i="2"/>
  <c r="C5010" i="2"/>
  <c r="C3055" i="2"/>
  <c r="C4190" i="2"/>
  <c r="C4972" i="2"/>
  <c r="C1115" i="2"/>
  <c r="C3197" i="2"/>
  <c r="C2453" i="2"/>
  <c r="C1038" i="2"/>
  <c r="C3316" i="2"/>
  <c r="C1246" i="2"/>
  <c r="C4140" i="2"/>
  <c r="C1175" i="2"/>
  <c r="C3955" i="2"/>
  <c r="C1362" i="2"/>
  <c r="C1364" i="2"/>
  <c r="C1863" i="2"/>
  <c r="C3755" i="2"/>
  <c r="C3917" i="2"/>
  <c r="C2733" i="2"/>
  <c r="C3834" i="2"/>
  <c r="C2576" i="2"/>
  <c r="C917" i="2"/>
  <c r="C3246" i="2"/>
  <c r="C2070" i="2"/>
  <c r="C3860" i="2"/>
  <c r="C5108" i="2"/>
  <c r="C4023" i="2"/>
  <c r="C3084" i="2"/>
  <c r="C563" i="2"/>
  <c r="C849" i="2"/>
  <c r="C3200" i="2"/>
  <c r="C4614" i="2"/>
  <c r="C3498" i="2"/>
  <c r="C3306" i="2"/>
  <c r="C5254" i="2"/>
  <c r="C3078" i="2"/>
  <c r="C2987" i="2"/>
  <c r="C1570" i="2"/>
  <c r="C3134" i="2"/>
  <c r="C178" i="2"/>
  <c r="C2160" i="2"/>
  <c r="C3406" i="2"/>
  <c r="C133" i="2"/>
  <c r="C128" i="2"/>
  <c r="C4507" i="2"/>
  <c r="C546" i="2"/>
  <c r="C2353" i="2"/>
  <c r="C1849" i="2"/>
  <c r="C242" i="2"/>
  <c r="C2579" i="2"/>
  <c r="C2400" i="2"/>
  <c r="C3005" i="2"/>
  <c r="C1344" i="2"/>
  <c r="C3278" i="2"/>
  <c r="C1386" i="2"/>
  <c r="C1152" i="2"/>
  <c r="C1782" i="2"/>
  <c r="C4960" i="2"/>
  <c r="C1830" i="2"/>
  <c r="C1870" i="2"/>
  <c r="C143" i="2"/>
  <c r="C1349" i="2"/>
  <c r="C1183" i="2"/>
  <c r="C4926" i="2"/>
  <c r="C2644" i="2"/>
  <c r="C4565" i="2"/>
  <c r="C3682" i="2"/>
  <c r="C3148" i="2"/>
  <c r="C5136" i="2"/>
  <c r="C4737" i="2"/>
  <c r="C4981" i="2"/>
  <c r="C1076" i="2"/>
  <c r="C5078" i="2"/>
  <c r="C1507" i="2"/>
  <c r="C2567" i="2"/>
  <c r="C1753" i="2"/>
  <c r="C2356" i="2"/>
  <c r="C269" i="2"/>
  <c r="C3384" i="2"/>
  <c r="C1690" i="2"/>
  <c r="C3299" i="2"/>
  <c r="C2721" i="2"/>
  <c r="C2830" i="2"/>
  <c r="C336" i="2"/>
  <c r="C4319" i="2"/>
  <c r="C678" i="2"/>
  <c r="C497" i="2"/>
  <c r="C4826" i="2"/>
  <c r="C3238" i="2"/>
  <c r="C5117" i="2"/>
  <c r="C286" i="2"/>
  <c r="C4243" i="2"/>
  <c r="C5214" i="2"/>
  <c r="C1068" i="2"/>
  <c r="C2470" i="2"/>
  <c r="C3660" i="2"/>
  <c r="C2716" i="2"/>
  <c r="C4832" i="2"/>
  <c r="C717" i="2"/>
  <c r="C2996" i="2"/>
  <c r="C4434" i="2"/>
  <c r="C4214" i="2"/>
  <c r="C4099" i="2"/>
  <c r="C3759" i="2"/>
  <c r="C2216" i="2"/>
  <c r="C1234" i="2"/>
  <c r="C3214" i="2"/>
  <c r="C1624" i="2"/>
  <c r="C1951" i="2"/>
  <c r="C4181" i="2"/>
  <c r="C4225" i="2"/>
  <c r="C4394" i="2"/>
  <c r="C2847" i="2"/>
  <c r="C3549" i="2"/>
  <c r="C475" i="2"/>
  <c r="C3250" i="2"/>
  <c r="C360" i="2"/>
  <c r="C3983" i="2"/>
  <c r="C2262" i="2"/>
  <c r="C4039" i="2"/>
  <c r="C3199" i="2"/>
  <c r="C325" i="2"/>
  <c r="C3091" i="2"/>
  <c r="C3921" i="2"/>
  <c r="C450" i="2"/>
  <c r="C3836" i="2"/>
  <c r="C5252" i="2"/>
  <c r="C2089" i="2"/>
  <c r="C1170" i="2"/>
  <c r="C1435" i="2"/>
  <c r="C1392" i="2"/>
  <c r="C503" i="2"/>
  <c r="C1041" i="2"/>
  <c r="C554" i="2"/>
  <c r="C1578" i="2"/>
  <c r="C4395" i="2"/>
  <c r="C5171" i="2"/>
  <c r="C2803" i="2"/>
  <c r="C3886" i="2"/>
  <c r="C2565" i="2"/>
  <c r="C2741" i="2"/>
  <c r="C1845" i="2"/>
  <c r="C3231" i="2"/>
  <c r="C473" i="2"/>
  <c r="C4040" i="2"/>
  <c r="C767" i="2"/>
  <c r="C3572" i="2"/>
  <c r="C247" i="2"/>
  <c r="C3814" i="2"/>
  <c r="C2338" i="2"/>
  <c r="C2520" i="2"/>
  <c r="C2218" i="2"/>
  <c r="C1341" i="2"/>
  <c r="C4732" i="2"/>
  <c r="C202" i="2"/>
  <c r="C2778" i="2"/>
  <c r="C1271" i="2"/>
  <c r="C436" i="2"/>
  <c r="C70" i="2"/>
  <c r="C2677" i="2"/>
  <c r="C3468" i="2"/>
  <c r="C125" i="2"/>
  <c r="C2221" i="2"/>
  <c r="C1308" i="2"/>
  <c r="C1657" i="2"/>
  <c r="C2484" i="2"/>
  <c r="C3750" i="2"/>
  <c r="C1726" i="2"/>
  <c r="C4307" i="2"/>
  <c r="C4137" i="2"/>
  <c r="C2986" i="2"/>
  <c r="C3025" i="2"/>
  <c r="C4630" i="2"/>
  <c r="C2961" i="2"/>
  <c r="C3778" i="2"/>
  <c r="C254" i="2"/>
  <c r="C1124" i="2"/>
  <c r="C2166" i="2"/>
  <c r="C4058" i="2"/>
  <c r="C2458" i="2"/>
  <c r="C1267" i="2"/>
  <c r="C4523" i="2"/>
  <c r="C2151" i="2"/>
  <c r="C3403" i="2"/>
  <c r="C4078" i="2"/>
  <c r="C4663" i="2"/>
  <c r="C2417" i="2"/>
  <c r="C2183" i="2"/>
  <c r="C978" i="2"/>
  <c r="C4051" i="2"/>
  <c r="C2773" i="2"/>
  <c r="C2610" i="2"/>
  <c r="C588" i="2"/>
  <c r="C2381" i="2"/>
  <c r="C2926" i="2"/>
  <c r="C3314" i="2"/>
  <c r="C1640" i="2"/>
  <c r="C4708" i="2"/>
  <c r="C4533" i="2"/>
  <c r="C3748" i="2"/>
  <c r="C4714" i="2"/>
  <c r="C2530" i="2"/>
  <c r="C4161" i="2"/>
  <c r="C2566" i="2"/>
  <c r="C407" i="2"/>
  <c r="C5013" i="2"/>
  <c r="C4712" i="2"/>
  <c r="C1154" i="2"/>
  <c r="C1214" i="2"/>
  <c r="C3297" i="2"/>
  <c r="C2119" i="2"/>
  <c r="C4818" i="2"/>
  <c r="C924" i="2"/>
  <c r="C1937" i="2"/>
  <c r="C337" i="2"/>
  <c r="C5066" i="2"/>
  <c r="C124" i="2"/>
  <c r="C1717" i="2"/>
  <c r="C3114" i="2"/>
  <c r="C3960" i="2"/>
  <c r="C3477" i="2"/>
  <c r="C1688" i="2"/>
  <c r="C3048" i="2"/>
  <c r="C1252" i="2"/>
  <c r="C4490" i="2"/>
  <c r="C1850" i="2"/>
  <c r="C5161" i="2"/>
  <c r="C1291" i="2"/>
  <c r="C3341" i="2"/>
  <c r="C4163" i="2"/>
  <c r="C1268" i="2"/>
  <c r="C5197" i="2"/>
  <c r="C27" i="2"/>
  <c r="C3593" i="2"/>
  <c r="C114" i="2"/>
  <c r="C2809" i="2"/>
  <c r="C2866" i="2"/>
  <c r="C3525" i="2"/>
  <c r="C4208" i="2"/>
  <c r="C2696" i="2"/>
  <c r="C647" i="2"/>
  <c r="C1990" i="2"/>
  <c r="C2728" i="2"/>
  <c r="C1169" i="2"/>
  <c r="C5038" i="2"/>
  <c r="C4632" i="2"/>
  <c r="C73" i="2"/>
  <c r="C2859" i="2"/>
  <c r="C2614" i="2"/>
  <c r="C5142" i="2"/>
  <c r="C314" i="2"/>
  <c r="C2065" i="2"/>
  <c r="C388" i="2"/>
  <c r="C1602" i="2"/>
  <c r="C44" i="2"/>
  <c r="C517" i="2"/>
  <c r="C2396" i="2"/>
  <c r="C4622" i="2"/>
  <c r="C969" i="2"/>
  <c r="C2593" i="2"/>
  <c r="C2919" i="2"/>
  <c r="C1440" i="2"/>
  <c r="C3597" i="2"/>
  <c r="C4195" i="2"/>
  <c r="C2751" i="2"/>
  <c r="C3396" i="2"/>
  <c r="C404" i="2"/>
  <c r="C320" i="2"/>
  <c r="C3698" i="2"/>
  <c r="C1284" i="2"/>
  <c r="C5030" i="2"/>
  <c r="C2718" i="2"/>
  <c r="C4283" i="2"/>
  <c r="C2907" i="2"/>
  <c r="C2009" i="2"/>
  <c r="C1693" i="2"/>
  <c r="C3994" i="2"/>
  <c r="C1606" i="2"/>
  <c r="C1119" i="2"/>
  <c r="C4244" i="2"/>
  <c r="C4588" i="2"/>
  <c r="C2440" i="2"/>
  <c r="C948" i="2"/>
  <c r="C4247" i="2"/>
  <c r="C977" i="2"/>
  <c r="C860" i="2"/>
  <c r="C1505" i="2"/>
  <c r="C3308" i="2"/>
  <c r="C28" i="2"/>
  <c r="C2447" i="2"/>
  <c r="C52" i="2"/>
  <c r="C41" i="2"/>
  <c r="C4352" i="2"/>
  <c r="C4586" i="2"/>
  <c r="C1911" i="2"/>
  <c r="C2451" i="2"/>
  <c r="C1066" i="2"/>
  <c r="C5204" i="2"/>
  <c r="C3370" i="2"/>
  <c r="C2805" i="2"/>
  <c r="C95" i="2"/>
  <c r="C311" i="2"/>
  <c r="C2664" i="2"/>
  <c r="C2942" i="2"/>
  <c r="C321" i="2"/>
  <c r="C3567" i="2"/>
  <c r="C5049" i="2"/>
  <c r="C5087" i="2"/>
  <c r="C539" i="2"/>
  <c r="C2256" i="2"/>
  <c r="C171" i="2"/>
  <c r="C1838" i="2"/>
  <c r="C4123" i="2"/>
  <c r="C484" i="2"/>
  <c r="C183" i="2"/>
  <c r="C4867" i="2"/>
  <c r="C2808" i="2"/>
  <c r="C3927" i="2"/>
  <c r="C2193" i="2"/>
  <c r="C4892" i="2"/>
  <c r="C1037" i="2"/>
  <c r="C3696" i="2"/>
  <c r="C173" i="2"/>
  <c r="C556" i="2"/>
  <c r="C2382" i="2"/>
  <c r="C1058" i="2"/>
  <c r="C4103" i="2"/>
  <c r="C1814" i="2"/>
  <c r="C5127" i="2"/>
  <c r="C3011" i="2"/>
  <c r="C1540" i="2"/>
  <c r="C293" i="2"/>
  <c r="C1118" i="2"/>
  <c r="C366" i="2"/>
  <c r="C3487" i="2"/>
  <c r="C4071" i="2"/>
  <c r="C244" i="2"/>
  <c r="C1442" i="2"/>
  <c r="C1330" i="2"/>
  <c r="C5006" i="2"/>
  <c r="C1535" i="2"/>
  <c r="C4765" i="2"/>
  <c r="C2499" i="2"/>
  <c r="C2026" i="2"/>
  <c r="C1298" i="2"/>
  <c r="C4331" i="2"/>
  <c r="C905" i="2"/>
  <c r="C3115" i="2"/>
  <c r="C5123" i="2"/>
  <c r="C2068" i="2"/>
  <c r="C1081" i="2"/>
  <c r="C4784" i="2"/>
  <c r="C3451" i="2"/>
  <c r="C5228" i="2"/>
  <c r="C1342" i="2"/>
  <c r="C3624" i="2"/>
  <c r="C476" i="2"/>
  <c r="C555" i="2"/>
  <c r="C4530" i="2"/>
  <c r="C217" i="2"/>
  <c r="C1200" i="2"/>
  <c r="C2357" i="2"/>
  <c r="C4411" i="2"/>
  <c r="C2038" i="2"/>
  <c r="C1487" i="2"/>
  <c r="C1358" i="2"/>
  <c r="C5193" i="2"/>
  <c r="C2139" i="2"/>
  <c r="C990" i="2"/>
  <c r="C5124" i="2"/>
  <c r="C4323" i="2"/>
  <c r="C3198" i="2"/>
  <c r="C1300" i="2"/>
  <c r="C3225" i="2"/>
  <c r="C4858" i="2"/>
  <c r="C4552" i="2"/>
  <c r="C4646" i="2"/>
  <c r="C4836" i="2"/>
  <c r="C603" i="2"/>
  <c r="C1917" i="2"/>
  <c r="C5084" i="2"/>
  <c r="C3658" i="2"/>
  <c r="C1738" i="2"/>
  <c r="C3457" i="2"/>
  <c r="C4661" i="2"/>
  <c r="C4882" i="2"/>
  <c r="C3019" i="2"/>
  <c r="C2101" i="2"/>
  <c r="C492" i="2"/>
  <c r="C4935" i="2"/>
  <c r="C1476" i="2"/>
  <c r="C3786" i="2"/>
  <c r="C5227" i="2"/>
  <c r="C4863" i="2"/>
  <c r="C3317" i="2"/>
  <c r="C2364" i="2"/>
  <c r="C4907" i="2"/>
  <c r="C3881" i="2"/>
  <c r="C2360" i="2"/>
  <c r="C3575" i="2"/>
  <c r="C3435" i="2"/>
  <c r="C3561" i="2"/>
  <c r="C1752" i="2"/>
  <c r="C3816" i="2"/>
  <c r="C3123" i="2"/>
  <c r="C348" i="2"/>
  <c r="C3872" i="2"/>
  <c r="C2171" i="2"/>
  <c r="C1359" i="2"/>
  <c r="C2339" i="2"/>
  <c r="C4908" i="2"/>
  <c r="C4217" i="2"/>
  <c r="C3633" i="2"/>
  <c r="C4440" i="2"/>
  <c r="C1500" i="2"/>
  <c r="C2817" i="2"/>
  <c r="C3939" i="2"/>
  <c r="C2989" i="2"/>
  <c r="C3705" i="2"/>
  <c r="C4951" i="2"/>
  <c r="C4105" i="2"/>
  <c r="C3975" i="2"/>
  <c r="C3012" i="2"/>
  <c r="C359" i="2"/>
  <c r="C4965" i="2"/>
  <c r="C1976" i="2"/>
  <c r="C1190" i="2"/>
  <c r="C654" i="2"/>
  <c r="C4332" i="2"/>
  <c r="C1321" i="2"/>
  <c r="C1866" i="2"/>
  <c r="C1987" i="2"/>
  <c r="C611" i="2"/>
  <c r="C595" i="2"/>
  <c r="C2103" i="2"/>
  <c r="C2779" i="2"/>
  <c r="C1888" i="2"/>
  <c r="C4527" i="2"/>
  <c r="C4851" i="2"/>
  <c r="C2691" i="2"/>
  <c r="C2042" i="2"/>
  <c r="C3371" i="2"/>
  <c r="C2314" i="2"/>
  <c r="C926" i="2"/>
  <c r="C2244" i="2"/>
  <c r="C1147" i="2"/>
  <c r="C3083" i="2"/>
  <c r="C5198" i="2"/>
  <c r="C2897" i="2"/>
  <c r="C4633" i="2"/>
  <c r="C829" i="2"/>
  <c r="C3596" i="2"/>
  <c r="C2194" i="2"/>
  <c r="C4230" i="2"/>
  <c r="C2586" i="2"/>
  <c r="C820" i="2"/>
  <c r="C2069" i="2"/>
  <c r="C1802" i="2"/>
  <c r="C2219" i="2"/>
  <c r="C4384" i="2"/>
  <c r="C18" i="2"/>
  <c r="C3513" i="2"/>
  <c r="C4736" i="2"/>
  <c r="C4401" i="2"/>
  <c r="C1322" i="2"/>
  <c r="C3848" i="2"/>
  <c r="C2024" i="2"/>
  <c r="C1748" i="2"/>
  <c r="C4774" i="2"/>
  <c r="C4564" i="2"/>
  <c r="C3850" i="2"/>
  <c r="C1056" i="2"/>
  <c r="C3792" i="2"/>
  <c r="C1628" i="2"/>
  <c r="C1194" i="2"/>
  <c r="C4874" i="2"/>
  <c r="C1523" i="2"/>
  <c r="C1879" i="2"/>
  <c r="C930" i="2"/>
  <c r="C494" i="2"/>
  <c r="C2818" i="2"/>
  <c r="C2312" i="2"/>
  <c r="C1790" i="2"/>
  <c r="C4687" i="2"/>
  <c r="C5088" i="2"/>
  <c r="C1290" i="2"/>
  <c r="C4303" i="2"/>
  <c r="C4706" i="2"/>
  <c r="C4372" i="2"/>
  <c r="C1335" i="2"/>
  <c r="C3243" i="2"/>
  <c r="C4582" i="2"/>
  <c r="C727" i="2"/>
  <c r="C3209" i="2"/>
  <c r="C4008" i="2"/>
  <c r="C2730" i="2"/>
  <c r="C732" i="2"/>
  <c r="C3891" i="2"/>
  <c r="C830" i="2"/>
  <c r="C2116" i="2"/>
  <c r="C3224" i="2"/>
  <c r="C2577" i="2"/>
  <c r="C1601" i="2"/>
  <c r="C1009" i="2"/>
  <c r="C5160" i="2"/>
  <c r="C2976" i="2"/>
  <c r="C2962" i="2"/>
  <c r="C3789" i="2"/>
  <c r="C2521" i="2"/>
  <c r="C3665" i="2"/>
  <c r="C2865" i="2"/>
  <c r="C1667" i="2"/>
  <c r="C2613" i="2"/>
  <c r="C2105" i="2"/>
  <c r="C1027" i="2"/>
  <c r="C726" i="2"/>
  <c r="C1780" i="2"/>
  <c r="C5027" i="2"/>
  <c r="C2534" i="2"/>
  <c r="C1805" i="2"/>
  <c r="C3413" i="2"/>
  <c r="C1482" i="2"/>
  <c r="C5047" i="2"/>
  <c r="C4018" i="2"/>
  <c r="C4869" i="2"/>
  <c r="C1464" i="2"/>
  <c r="C3578" i="2"/>
  <c r="C2478" i="2"/>
  <c r="C3124" i="2"/>
  <c r="C4618" i="2"/>
  <c r="C583" i="2"/>
  <c r="C326" i="2"/>
  <c r="C4055" i="2"/>
  <c r="C696" i="2"/>
  <c r="C1385" i="2"/>
  <c r="C3615" i="2"/>
  <c r="C3552" i="2"/>
  <c r="C4422" i="2"/>
  <c r="C204" i="2"/>
  <c r="C3807" i="2"/>
  <c r="C4563" i="2"/>
  <c r="C264" i="2"/>
  <c r="C2844" i="2"/>
  <c r="C1151" i="2"/>
  <c r="C2113" i="2"/>
  <c r="C3335" i="2"/>
  <c r="C2695" i="2"/>
  <c r="C2623" i="2"/>
  <c r="C2323" i="2"/>
  <c r="C4267" i="2"/>
  <c r="C1510" i="2"/>
  <c r="C1514" i="2"/>
  <c r="C4448" i="2"/>
  <c r="C697" i="2"/>
  <c r="C2408" i="2"/>
  <c r="C2129" i="2"/>
  <c r="C1181" i="2"/>
  <c r="C1593" i="2"/>
  <c r="C3365" i="2"/>
  <c r="C1903" i="2"/>
  <c r="C1264" i="2"/>
  <c r="C361" i="2"/>
  <c r="C4676" i="2"/>
  <c r="C2811" i="2"/>
  <c r="C284" i="2"/>
  <c r="C2528" i="2"/>
  <c r="C255" i="2"/>
  <c r="C3673" i="2"/>
  <c r="C4512" i="2"/>
  <c r="C1582" i="2"/>
  <c r="C3271" i="2"/>
  <c r="C489" i="2"/>
  <c r="C1993" i="2"/>
  <c r="C4868" i="2"/>
  <c r="C858" i="2"/>
  <c r="C4997" i="2"/>
  <c r="C5149" i="2"/>
  <c r="C3201" i="2"/>
  <c r="C4119" i="2"/>
  <c r="C2862" i="2"/>
  <c r="C2638" i="2"/>
  <c r="C4335" i="2"/>
  <c r="C2587" i="2"/>
  <c r="C2952" i="2"/>
  <c r="C4314" i="2"/>
  <c r="C1483" i="2"/>
  <c r="C2983" i="2"/>
  <c r="C2506" i="2"/>
  <c r="C2018" i="2"/>
  <c r="C2111" i="2"/>
  <c r="C5256" i="2"/>
  <c r="C4846" i="2"/>
  <c r="C3704" i="2"/>
  <c r="C4375" i="2"/>
  <c r="C1747" i="2"/>
  <c r="C574" i="2"/>
  <c r="C3459" i="2"/>
  <c r="C2268" i="2"/>
  <c r="C1149" i="2"/>
  <c r="C2785" i="2"/>
  <c r="C291" i="2"/>
  <c r="C5100" i="2"/>
  <c r="C3453" i="2"/>
  <c r="C3825" i="2"/>
  <c r="C2959" i="2"/>
  <c r="C3173" i="2"/>
  <c r="C3364" i="2"/>
  <c r="C4009" i="2"/>
  <c r="C389" i="2"/>
  <c r="C1484" i="2"/>
  <c r="C2108" i="2"/>
  <c r="C2739" i="2"/>
  <c r="C1126" i="2"/>
  <c r="C3819" i="2"/>
  <c r="C1258" i="2"/>
  <c r="C4718" i="2"/>
  <c r="C4756" i="2"/>
  <c r="C5055" i="2"/>
  <c r="C3066" i="2"/>
  <c r="C1274" i="2"/>
  <c r="C5209" i="2"/>
  <c r="C3391" i="2"/>
  <c r="C970" i="2"/>
  <c r="C3804" i="2"/>
  <c r="C4380" i="2"/>
  <c r="C162" i="2"/>
  <c r="C1973" i="2"/>
  <c r="C2966" i="2"/>
  <c r="C2542" i="2"/>
  <c r="C4668" i="2"/>
  <c r="C4203" i="2"/>
  <c r="C3282" i="2"/>
  <c r="C3756" i="2"/>
  <c r="C1626" i="2"/>
  <c r="C2234" i="2"/>
  <c r="C2279" i="2"/>
  <c r="C526" i="2"/>
  <c r="C3491" i="2"/>
  <c r="C1508" i="2"/>
  <c r="C3990" i="2"/>
  <c r="C4792" i="2"/>
  <c r="C5115" i="2"/>
  <c r="C4200" i="2"/>
  <c r="C3289" i="2"/>
  <c r="C3059" i="2"/>
  <c r="C773" i="2"/>
  <c r="C929" i="2"/>
  <c r="C702" i="2"/>
  <c r="C1425" i="2"/>
  <c r="C1660" i="2"/>
  <c r="C2584" i="2"/>
  <c r="C2788" i="2"/>
  <c r="C2557" i="2"/>
  <c r="C4932" i="2"/>
  <c r="C2604" i="2"/>
  <c r="C1260" i="2"/>
  <c r="C268" i="2"/>
  <c r="C1975" i="2"/>
  <c r="C3863" i="2"/>
  <c r="C2389" i="2"/>
  <c r="C694" i="2"/>
  <c r="C909" i="2"/>
  <c r="C2050" i="2"/>
  <c r="C2377" i="2"/>
  <c r="C1063" i="2"/>
  <c r="C3080" i="2"/>
  <c r="C4612" i="2"/>
  <c r="C939" i="2"/>
  <c r="C2272" i="2"/>
  <c r="C3040" i="2"/>
  <c r="C4480" i="2"/>
  <c r="C3307" i="2"/>
  <c r="C1315" i="2"/>
  <c r="C776" i="2"/>
  <c r="C1098" i="2"/>
  <c r="C2303" i="2"/>
  <c r="C3354" i="2"/>
  <c r="C4584" i="2"/>
  <c r="C371" i="2"/>
  <c r="C3535" i="2"/>
  <c r="C2992" i="2"/>
  <c r="C2224" i="2"/>
  <c r="C1696" i="2"/>
  <c r="C1125" i="2"/>
  <c r="C4005" i="2"/>
  <c r="C3691" i="2"/>
  <c r="C426" i="2"/>
  <c r="C4130" i="2"/>
  <c r="C1337" i="2"/>
  <c r="C1205" i="2"/>
  <c r="C5092" i="2"/>
  <c r="C35" i="2"/>
  <c r="C585" i="2"/>
  <c r="C2379" i="2"/>
  <c r="C953" i="2"/>
  <c r="C5166" i="2"/>
  <c r="C1470" i="2"/>
  <c r="C417" i="2"/>
  <c r="C15" i="2"/>
  <c r="C108" i="2"/>
  <c r="C1859" i="2"/>
  <c r="C4111" i="2"/>
  <c r="C1444" i="2"/>
  <c r="C2794" i="2"/>
  <c r="C137" i="2"/>
  <c r="C3844" i="2"/>
  <c r="C97" i="2"/>
  <c r="C4634" i="2"/>
  <c r="C521" i="2"/>
  <c r="C4321" i="2"/>
  <c r="C2180" i="2"/>
  <c r="C2494" i="2"/>
  <c r="C3439" i="2"/>
  <c r="C538" i="2"/>
  <c r="C766" i="2"/>
  <c r="C1519" i="2"/>
  <c r="C1424" i="2"/>
  <c r="C2569" i="2"/>
  <c r="C1547" i="2"/>
  <c r="C1557" i="2"/>
  <c r="C2155" i="2"/>
  <c r="C4012" i="2"/>
  <c r="C2176" i="2"/>
  <c r="C854" i="2"/>
  <c r="C1549" i="2"/>
  <c r="C4884" i="2"/>
  <c r="C2358" i="2"/>
  <c r="C4623" i="2"/>
  <c r="C2858" i="2"/>
  <c r="C2860" i="2"/>
  <c r="C3499" i="2"/>
  <c r="C3526" i="2"/>
  <c r="C145" i="2"/>
  <c r="C4862" i="2"/>
  <c r="C4619" i="2"/>
  <c r="C5113" i="2"/>
  <c r="C2732" i="2"/>
  <c r="C3551" i="2"/>
  <c r="G1285" i="1" s="1"/>
  <c r="C3964" i="2"/>
  <c r="C661" i="2"/>
  <c r="C2652" i="2"/>
  <c r="C5174" i="2"/>
  <c r="C2150" i="2"/>
  <c r="C1546" i="2"/>
  <c r="C4338" i="2"/>
  <c r="C742" i="2"/>
  <c r="C506" i="2"/>
  <c r="C1288" i="2"/>
  <c r="C1576" i="2"/>
  <c r="C4252" i="2"/>
  <c r="C4871" i="2"/>
  <c r="C4053" i="2"/>
  <c r="C2348" i="2"/>
  <c r="C4404" i="2"/>
  <c r="C2411" i="2"/>
  <c r="C2359" i="2"/>
  <c r="C1283" i="2"/>
  <c r="C2851" i="2"/>
  <c r="C587" i="2"/>
  <c r="C2948" i="2"/>
  <c r="C4391" i="2"/>
  <c r="C373" i="2"/>
  <c r="C770" i="2"/>
  <c r="C1665" i="2"/>
  <c r="C4402" i="2"/>
  <c r="C3100" i="2"/>
  <c r="C1139" i="2"/>
  <c r="C4950" i="2"/>
  <c r="C1793" i="2"/>
  <c r="C2886" i="2"/>
  <c r="C4802" i="2"/>
  <c r="C4701" i="2"/>
  <c r="C2467" i="2"/>
  <c r="C1553" i="2"/>
  <c r="C5196" i="2"/>
  <c r="C3583" i="2"/>
  <c r="C4645" i="2"/>
  <c r="C1616" i="2"/>
  <c r="C4758" i="2"/>
  <c r="C4431" i="2"/>
  <c r="C1162" i="2"/>
  <c r="C1852" i="2"/>
  <c r="C5099" i="2"/>
  <c r="C2963" i="2"/>
  <c r="C2008" i="2"/>
  <c r="C3862" i="2"/>
  <c r="C139" i="2"/>
  <c r="C4539" i="2"/>
  <c r="C1915" i="2"/>
  <c r="C1989" i="2"/>
  <c r="C1013" i="2"/>
  <c r="C4358" i="2"/>
  <c r="C1090" i="2"/>
  <c r="C3037" i="2"/>
  <c r="C1279" i="2"/>
  <c r="C4152" i="2"/>
  <c r="C4675" i="2"/>
  <c r="C4757" i="2"/>
  <c r="C2196" i="2"/>
  <c r="C3076" i="2"/>
  <c r="C2182" i="2"/>
  <c r="C531" i="2"/>
  <c r="C2539" i="2"/>
  <c r="C3739" i="2"/>
  <c r="C2020" i="2"/>
  <c r="C4538" i="2"/>
  <c r="C3162" i="2"/>
  <c r="C676" i="2"/>
  <c r="C142" i="2"/>
  <c r="C2790" i="2"/>
  <c r="C3376" i="2"/>
  <c r="C4583" i="2"/>
  <c r="C3049" i="2"/>
  <c r="C3196" i="2"/>
  <c r="C3828" i="2"/>
  <c r="C1198" i="2"/>
  <c r="C2600" i="2"/>
  <c r="C4691" i="2"/>
  <c r="C945" i="2"/>
  <c r="C4893" i="2"/>
  <c r="C1654" i="2"/>
  <c r="C3211" i="2"/>
  <c r="C4923" i="2"/>
  <c r="C4406" i="2"/>
  <c r="C2612" i="2"/>
  <c r="C965" i="2"/>
  <c r="C1317" i="2"/>
  <c r="C1294" i="2"/>
  <c r="C1683" i="2"/>
  <c r="C4156" i="2"/>
  <c r="C455" i="2"/>
  <c r="C2602" i="2"/>
  <c r="C459" i="2"/>
  <c r="C1415" i="2"/>
  <c r="C4077" i="2"/>
  <c r="C1371" i="2"/>
  <c r="C1332" i="2"/>
  <c r="C1768" i="2"/>
  <c r="C3142" i="2"/>
  <c r="C3754" i="2"/>
  <c r="C5086" i="2"/>
  <c r="C2531" i="2"/>
  <c r="C1878" i="2"/>
  <c r="C2371" i="2"/>
  <c r="C3119" i="2"/>
  <c r="C3595" i="2"/>
  <c r="C4369" i="2"/>
  <c r="C2837" i="2"/>
  <c r="C1141" i="2"/>
  <c r="C911" i="2"/>
  <c r="C4233" i="2"/>
  <c r="C2184" i="2"/>
  <c r="C1732" i="2"/>
  <c r="C3849" i="2"/>
  <c r="C2517" i="2"/>
  <c r="C3843" i="2"/>
  <c r="C3626" i="2"/>
  <c r="C3482" i="2"/>
  <c r="C2473" i="2"/>
  <c r="C2514" i="2"/>
  <c r="C4993" i="2"/>
  <c r="C2248" i="2"/>
  <c r="C1597" i="2"/>
  <c r="C1086" i="2"/>
  <c r="C5263" i="2"/>
  <c r="C675" i="2"/>
  <c r="C4112" i="2"/>
  <c r="C131" i="2"/>
  <c r="C3265" i="2"/>
  <c r="C273" i="2"/>
  <c r="C4029" i="2"/>
  <c r="C3502" i="2"/>
  <c r="C2500" i="2"/>
  <c r="C2063" i="2"/>
  <c r="C4891" i="2"/>
  <c r="C1116" i="2"/>
  <c r="C3784" i="2"/>
  <c r="C307" i="2"/>
  <c r="C271" i="2"/>
  <c r="C4424" i="2"/>
  <c r="C3489" i="2"/>
  <c r="C4889" i="2"/>
  <c r="C1651" i="2"/>
  <c r="C3241" i="2"/>
  <c r="C584" i="2"/>
  <c r="C2281" i="2"/>
  <c r="C3155" i="2"/>
  <c r="C664" i="2"/>
  <c r="C1562" i="2"/>
  <c r="C552" i="2"/>
  <c r="C2106" i="2"/>
  <c r="C5206" i="2"/>
  <c r="C740" i="2"/>
  <c r="C1436" i="2"/>
  <c r="C1931" i="2"/>
  <c r="C3179" i="2"/>
  <c r="C1448" i="2"/>
  <c r="C1662" i="2"/>
  <c r="C3782" i="2"/>
  <c r="C3215" i="2"/>
  <c r="C3381" i="2"/>
  <c r="C4580" i="2"/>
  <c r="C1167" i="2"/>
  <c r="C323" i="2"/>
  <c r="C3953" i="2"/>
  <c r="C2210" i="2"/>
  <c r="C4556" i="2"/>
  <c r="C5098" i="2"/>
  <c r="C4828" i="2"/>
  <c r="C4010" i="2"/>
  <c r="C3870" i="2"/>
  <c r="C1691" i="2"/>
  <c r="C1686" i="2"/>
  <c r="C384" i="2"/>
  <c r="C3367" i="2"/>
  <c r="C989" i="2"/>
  <c r="C5018" i="2"/>
  <c r="C4312" i="2"/>
  <c r="C60" i="2"/>
  <c r="C1944" i="2"/>
  <c r="C3424" i="2"/>
  <c r="C2228" i="2"/>
  <c r="C3352" i="2"/>
  <c r="C1221" i="2"/>
  <c r="C5255" i="2"/>
  <c r="C4174" i="2"/>
  <c r="C3787" i="2"/>
  <c r="C559" i="2"/>
  <c r="C4872" i="2"/>
  <c r="C3353" i="2"/>
  <c r="C5244" i="2"/>
  <c r="C4735" i="2"/>
  <c r="C2770" i="2"/>
  <c r="C1982" i="2"/>
  <c r="C712" i="2"/>
  <c r="C1142" i="2"/>
  <c r="C3447" i="2"/>
  <c r="C5097" i="2"/>
  <c r="C4227" i="2"/>
  <c r="C1502" i="2"/>
  <c r="C2820" i="2"/>
  <c r="C4128" i="2"/>
  <c r="C1858" i="2"/>
  <c r="C3409" i="2"/>
  <c r="C3290" i="2"/>
  <c r="C135" i="2"/>
  <c r="C4317" i="2"/>
  <c r="C339" i="2"/>
  <c r="C4038" i="2"/>
  <c r="C176" i="2"/>
  <c r="C305" i="2"/>
  <c r="C4752" i="2"/>
  <c r="C852" i="2"/>
  <c r="C1743" i="2"/>
  <c r="C2247" i="2"/>
  <c r="C2974" i="2"/>
  <c r="C739" i="2"/>
  <c r="C5152" i="2"/>
  <c r="C3013" i="2"/>
  <c r="C3655" i="2"/>
  <c r="C4986" i="2"/>
  <c r="C4251" i="2"/>
  <c r="C3093" i="2"/>
  <c r="C1014" i="2"/>
  <c r="C999" i="2"/>
  <c r="C2965" i="2"/>
  <c r="C4347" i="2"/>
  <c r="C4419" i="2"/>
  <c r="C2294" i="2"/>
  <c r="C1433" i="2"/>
  <c r="C2365" i="2"/>
  <c r="C148" i="2"/>
  <c r="C2951" i="2"/>
  <c r="C2544" i="2"/>
  <c r="C2403" i="2"/>
  <c r="C1759" i="2"/>
  <c r="C576" i="2"/>
  <c r="C2419" i="2"/>
  <c r="C2852" i="2"/>
  <c r="C4725" i="2"/>
  <c r="C752" i="2"/>
  <c r="C4096" i="2"/>
  <c r="C1705" i="2"/>
  <c r="C241" i="2"/>
  <c r="C2261" i="2"/>
  <c r="C4879" i="2"/>
  <c r="C1460" i="2"/>
  <c r="C140" i="2"/>
  <c r="C4547" i="2"/>
  <c r="C3154" i="2"/>
  <c r="C2737" i="2"/>
  <c r="C5135" i="2"/>
  <c r="C2658" i="2"/>
  <c r="G1337" i="1" s="1"/>
  <c r="C5173" i="2"/>
  <c r="C962" i="2"/>
  <c r="C1551" i="2"/>
  <c r="C208" i="2"/>
  <c r="C4278" i="2"/>
  <c r="C4083" i="2"/>
  <c r="C2635" i="2"/>
  <c r="C3351" i="2"/>
  <c r="C1186" i="2"/>
  <c r="C4592" i="2"/>
  <c r="C344" i="2"/>
  <c r="C4260" i="2"/>
  <c r="C2199" i="2"/>
  <c r="C319" i="2"/>
  <c r="C3726" i="2"/>
  <c r="C3898" i="2"/>
  <c r="C3713" i="2"/>
  <c r="C618" i="2"/>
  <c r="C39" i="2"/>
  <c r="C3313" i="2"/>
  <c r="C1212" i="2"/>
  <c r="C120" i="2"/>
  <c r="C1488" i="2"/>
  <c r="C3909" i="2"/>
  <c r="C4975" i="2"/>
  <c r="C2206" i="2"/>
  <c r="C4101" i="2"/>
  <c r="C4597" i="2"/>
  <c r="C2460" i="2"/>
  <c r="C4910" i="2"/>
  <c r="C4721" i="2"/>
  <c r="C3194" i="2"/>
  <c r="C1913" i="2"/>
  <c r="C1144" i="2"/>
  <c r="C1781" i="2"/>
  <c r="C3887" i="2"/>
  <c r="C482" i="2"/>
  <c r="C4326" i="2"/>
  <c r="C1381" i="2"/>
  <c r="C1813" i="2"/>
  <c r="C1663" i="2"/>
  <c r="C4955" i="2"/>
  <c r="C3016" i="2"/>
  <c r="C2994" i="2"/>
  <c r="C859" i="2"/>
  <c r="C1636" i="2"/>
  <c r="C4196" i="2"/>
  <c r="C698" i="2"/>
  <c r="C699" i="2"/>
  <c r="C4356" i="2"/>
  <c r="C23" i="2"/>
  <c r="C4711" i="2"/>
  <c r="C3092" i="2"/>
  <c r="C2334" i="2"/>
  <c r="C4407" i="2"/>
  <c r="C1536" i="2"/>
  <c r="C1136" i="2"/>
  <c r="C2991" i="2"/>
  <c r="C3333" i="2"/>
  <c r="C3771" i="2"/>
  <c r="C5190" i="2"/>
  <c r="C4418" i="2"/>
  <c r="C3310" i="2"/>
  <c r="C1710" i="2"/>
  <c r="C2985" i="2"/>
  <c r="C3291" i="2"/>
  <c r="C2445" i="2"/>
  <c r="C3688" i="2"/>
  <c r="C4909" i="2"/>
  <c r="C2300" i="2"/>
  <c r="C5267" i="2"/>
  <c r="C1521" i="2"/>
  <c r="C3050" i="2"/>
  <c r="C633" i="2"/>
  <c r="C1011" i="2"/>
  <c r="C2594" i="2"/>
  <c r="C692" i="2"/>
  <c r="C414" i="2"/>
  <c r="C790" i="2"/>
  <c r="C3795" i="2"/>
  <c r="C3455" i="2"/>
  <c r="C2550" i="2"/>
  <c r="C4763" i="2"/>
  <c r="C5199" i="2"/>
  <c r="C3407" i="2"/>
  <c r="C1394" i="2"/>
  <c r="C4475" i="2"/>
  <c r="C1869" i="2"/>
  <c r="C184" i="2"/>
  <c r="C2828" i="2"/>
  <c r="C3232" i="2"/>
  <c r="C1485" i="2"/>
  <c r="C2678" i="2"/>
  <c r="C211" i="2"/>
  <c r="C535" i="2"/>
  <c r="C1644" i="2"/>
  <c r="C3421" i="2"/>
  <c r="C4292" i="2"/>
  <c r="C1477" i="2"/>
  <c r="C1191" i="2"/>
  <c r="C3368" i="2"/>
  <c r="C4631" i="2"/>
  <c r="C5179" i="2"/>
  <c r="C2016" i="2"/>
  <c r="C1491" i="2"/>
  <c r="C3018" i="2"/>
  <c r="C1941" i="2"/>
  <c r="C2787" i="2"/>
  <c r="C2540" i="2"/>
  <c r="C1713" i="2"/>
  <c r="C1979" i="2"/>
  <c r="C1924" i="2"/>
  <c r="C4934" i="2"/>
  <c r="C1113" i="2"/>
  <c r="C3104" i="2"/>
  <c r="C1904" i="2"/>
  <c r="C1697" i="2"/>
  <c r="C2027" i="2"/>
  <c r="C4100" i="2"/>
  <c r="C209" i="2"/>
  <c r="C2198" i="2"/>
  <c r="C4952" i="2"/>
  <c r="C334" i="2"/>
  <c r="C4558" i="2"/>
  <c r="C2227" i="2"/>
  <c r="C737" i="2"/>
  <c r="C662" i="2"/>
  <c r="C2457" i="2"/>
  <c r="C1311" i="2"/>
  <c r="C3674" i="2"/>
  <c r="C1325" i="2"/>
  <c r="C933" i="2"/>
  <c r="C59" i="2"/>
  <c r="C2145" i="2"/>
  <c r="C714" i="2"/>
  <c r="C3247" i="2"/>
  <c r="C4313" i="2"/>
  <c r="C3096" i="2"/>
  <c r="C4678" i="2"/>
  <c r="C722" i="2"/>
  <c r="C4489" i="2"/>
  <c r="C3905" i="2"/>
  <c r="C1529" i="2"/>
  <c r="G1316" i="1" s="1"/>
  <c r="C2984" i="2"/>
  <c r="C3213" i="2"/>
  <c r="C4471" i="2"/>
  <c r="G2836" i="1" s="1"/>
  <c r="C1431" i="2"/>
  <c r="C639" i="2"/>
  <c r="C1807" i="2"/>
  <c r="C1566" i="2"/>
  <c r="C751" i="2"/>
  <c r="C1077" i="2"/>
  <c r="C2040" i="2"/>
  <c r="C3986" i="2"/>
  <c r="C4912" i="2"/>
  <c r="C4540" i="2"/>
  <c r="C172" i="2"/>
  <c r="C1050" i="2"/>
  <c r="C1926" i="2"/>
  <c r="C2493" i="2"/>
  <c r="C1997" i="2"/>
  <c r="C1872" i="2"/>
  <c r="C3946" i="2"/>
  <c r="C2031" i="2"/>
  <c r="C640" i="2"/>
  <c r="C4537" i="2"/>
  <c r="C1731" i="2"/>
  <c r="C4148" i="2"/>
  <c r="C1340" i="2"/>
  <c r="C88" i="2"/>
  <c r="C4399" i="2"/>
  <c r="C2337" i="2"/>
  <c r="C4961" i="2"/>
  <c r="C1513" i="2"/>
  <c r="C1455" i="2"/>
  <c r="C3392" i="2"/>
  <c r="C5185" i="2"/>
  <c r="C5168" i="2"/>
  <c r="C3689" i="2"/>
  <c r="C2549" i="2"/>
  <c r="C4624" i="2"/>
  <c r="C380" i="2"/>
  <c r="C5024" i="2"/>
  <c r="C2260" i="2"/>
  <c r="G3881" i="1"/>
  <c r="C1613" i="2"/>
  <c r="C3228" i="2"/>
  <c r="C2666" i="2"/>
  <c r="C1036" i="2"/>
  <c r="C686" i="2"/>
  <c r="C17" i="2"/>
  <c r="C3412" i="2"/>
  <c r="C646" i="2"/>
  <c r="C2100" i="2"/>
  <c r="C3430" i="2"/>
  <c r="C3141" i="2"/>
  <c r="C955" i="2"/>
  <c r="G86" i="1"/>
  <c r="C2780" i="2"/>
  <c r="C4606" i="2"/>
  <c r="C1456" i="2"/>
  <c r="C2308" i="2"/>
  <c r="C2524" i="2"/>
  <c r="C3904" i="2"/>
  <c r="C2264" i="2"/>
  <c r="C295" i="2"/>
  <c r="C1847" i="2"/>
  <c r="C2774" i="2"/>
  <c r="C1374" i="2"/>
  <c r="C4808" i="2"/>
  <c r="C2326" i="2"/>
  <c r="C3861" i="2"/>
  <c r="C2656" i="2"/>
  <c r="C3411" i="2"/>
  <c r="C3015" i="2"/>
  <c r="C3553" i="2"/>
  <c r="C1684" i="2"/>
  <c r="C4198" i="2"/>
  <c r="C3472" i="2"/>
  <c r="C500" i="2"/>
  <c r="C2416" i="2"/>
  <c r="C5076" i="2"/>
  <c r="C3617" i="2"/>
  <c r="C1450" i="2"/>
  <c r="C1177" i="2"/>
  <c r="C4160" i="2"/>
  <c r="C2572" i="2"/>
  <c r="C4626" i="2"/>
  <c r="C4500" i="2"/>
  <c r="C1824" i="2"/>
  <c r="C923" i="2"/>
  <c r="C1356" i="2"/>
  <c r="C922" i="2"/>
  <c r="C199" i="2"/>
  <c r="C1496" i="2"/>
  <c r="C1876" i="2"/>
  <c r="C2208" i="2"/>
  <c r="C198" i="2"/>
  <c r="C316" i="2"/>
  <c r="C2703" i="2"/>
  <c r="C2901" i="2"/>
  <c r="C1457" i="2"/>
  <c r="C4753" i="2"/>
  <c r="C4824" i="2"/>
  <c r="C3520" i="2"/>
  <c r="C2573" i="2"/>
  <c r="C4839" i="2"/>
  <c r="C762" i="2"/>
  <c r="C2112" i="2"/>
  <c r="C2503" i="2"/>
  <c r="C2578" i="2"/>
  <c r="C992" i="2"/>
  <c r="C267" i="2"/>
  <c r="C460" i="2"/>
  <c r="C4288" i="2"/>
  <c r="C2286" i="2"/>
  <c r="C4693" i="2"/>
  <c r="G3687" i="1" s="1"/>
  <c r="C3360" i="2"/>
  <c r="C1105" i="2"/>
  <c r="C1984" i="2"/>
  <c r="C3505" i="2"/>
  <c r="C900" i="2"/>
  <c r="C4992" i="2"/>
  <c r="C988" i="2"/>
  <c r="C4342" i="2"/>
  <c r="C2541" i="2"/>
  <c r="C441" i="2"/>
  <c r="C423" i="2"/>
  <c r="C4298" i="2"/>
  <c r="C467" i="2"/>
  <c r="C2342" i="2"/>
  <c r="C402" i="2"/>
  <c r="C2041" i="2"/>
  <c r="C4942" i="2"/>
  <c r="C1831" i="2"/>
  <c r="C1823" i="2"/>
  <c r="C4603" i="2"/>
  <c r="C3987" i="2"/>
  <c r="C1569" i="2"/>
  <c r="C4025" i="2"/>
  <c r="C509" i="2"/>
  <c r="C1829" i="2"/>
  <c r="C12" i="2"/>
  <c r="C3770" i="2"/>
  <c r="C1853" i="2"/>
  <c r="C4273" i="2"/>
  <c r="C4432" i="2"/>
  <c r="C22" i="2"/>
  <c r="C3772" i="2"/>
  <c r="C369" i="2"/>
  <c r="C5222" i="2"/>
  <c r="C4697" i="2"/>
  <c r="C2174" i="2"/>
  <c r="C683" i="2"/>
  <c r="C1306" i="2"/>
  <c r="C3309" i="2"/>
  <c r="C954" i="2"/>
  <c r="G3854" i="1" s="1"/>
  <c r="C390" i="2"/>
  <c r="C2607" i="2"/>
  <c r="C261" i="2"/>
  <c r="C3647" i="2"/>
  <c r="C2459" i="2"/>
  <c r="C4015" i="2"/>
  <c r="C3253" i="2"/>
  <c r="C796" i="2"/>
  <c r="C2074" i="2"/>
  <c r="C1023" i="2"/>
  <c r="C5250" i="2"/>
  <c r="C895" i="2"/>
  <c r="C77" i="2"/>
  <c r="C4749" i="2"/>
  <c r="C3877" i="2"/>
  <c r="C3920" i="2"/>
  <c r="C3277" i="2"/>
  <c r="C560" i="2"/>
  <c r="C590" i="2"/>
  <c r="C2021" i="2"/>
  <c r="C3338" i="2"/>
  <c r="C1766" i="2"/>
  <c r="C196" i="2"/>
  <c r="C1865" i="2"/>
  <c r="C4104" i="2"/>
  <c r="C1472" i="2"/>
  <c r="C701" i="2"/>
  <c r="C464" i="2"/>
  <c r="C214" i="2"/>
  <c r="C5095" i="2"/>
  <c r="C4410" i="2"/>
  <c r="C3576" i="2"/>
  <c r="C3684" i="2"/>
  <c r="C4998" i="2"/>
  <c r="C3244" i="2"/>
  <c r="C3809" i="2"/>
  <c r="C641" i="2"/>
  <c r="C1884" i="2"/>
  <c r="C3735" i="2"/>
  <c r="C5163" i="2"/>
  <c r="C188" i="2"/>
  <c r="C1242" i="2"/>
  <c r="C1842" i="2"/>
  <c r="C471" i="2"/>
  <c r="C4767" i="2"/>
  <c r="C831" i="2"/>
  <c r="C1057" i="2"/>
  <c r="C2287" i="2"/>
  <c r="C3914" i="2"/>
  <c r="C4138" i="2"/>
  <c r="C4599" i="2"/>
  <c r="C3711" i="2"/>
  <c r="C4685" i="2"/>
  <c r="C507" i="2"/>
  <c r="C4945" i="2"/>
  <c r="C2492" i="2"/>
  <c r="C2999" i="2"/>
  <c r="C1184" i="2"/>
  <c r="C3979" i="2"/>
  <c r="C1728" i="2"/>
  <c r="C69" i="2"/>
  <c r="C4943" i="2"/>
  <c r="C4905" i="2"/>
  <c r="C5107" i="2"/>
  <c r="C4831" i="2"/>
  <c r="C4106" i="2"/>
  <c r="C2055" i="2"/>
  <c r="C5065" i="2"/>
  <c r="C4801" i="2"/>
  <c r="C1497" i="2"/>
  <c r="C4166" i="2"/>
  <c r="C1534" i="2"/>
  <c r="C2729" i="2"/>
  <c r="C4786" i="2"/>
  <c r="C630" i="2"/>
  <c r="C3721" i="2"/>
  <c r="C2118" i="2"/>
  <c r="C3768" i="2"/>
  <c r="C848" i="2"/>
  <c r="C3614" i="2"/>
  <c r="C623" i="2"/>
  <c r="C2945" i="2"/>
  <c r="C4692" i="2"/>
  <c r="C4672" i="2"/>
  <c r="C3600" i="2"/>
  <c r="C2464" i="2"/>
  <c r="C3668" i="2"/>
  <c r="C3932" i="2"/>
  <c r="C2246" i="2"/>
  <c r="C1892" i="2"/>
  <c r="C218" i="2"/>
  <c r="G1094" i="1" s="1"/>
  <c r="C2443" i="2"/>
  <c r="C5111" i="2"/>
  <c r="C782" i="2"/>
  <c r="C4811" i="2"/>
  <c r="C1679" i="2"/>
  <c r="C1160" i="2"/>
  <c r="C4949" i="2"/>
  <c r="G3236" i="1" s="1"/>
  <c r="C477" i="2"/>
  <c r="C136" i="2"/>
  <c r="C3419" i="2"/>
  <c r="C3603" i="2"/>
  <c r="C451" i="2"/>
  <c r="C223" i="2"/>
  <c r="C1429" i="2"/>
  <c r="C3690" i="2"/>
  <c r="C2561" i="2"/>
  <c r="C2707" i="2"/>
  <c r="C224" i="2"/>
  <c r="C1029" i="2"/>
  <c r="C4541" i="2"/>
  <c r="C2253" i="2"/>
  <c r="C2189" i="2"/>
  <c r="C495" i="2"/>
  <c r="C2346" i="2"/>
  <c r="C4637" i="2"/>
  <c r="C191" i="2"/>
  <c r="C1985" i="2"/>
  <c r="C3222" i="2"/>
  <c r="G4047" i="1" s="1"/>
  <c r="C613" i="2"/>
  <c r="C3028" i="2"/>
  <c r="C2605" i="2"/>
  <c r="C2311" i="2"/>
  <c r="C78" i="2"/>
  <c r="C21" i="2"/>
  <c r="C2140" i="2"/>
  <c r="C2330" i="2"/>
  <c r="C1744" i="2"/>
  <c r="C5052" i="2"/>
  <c r="C4856" i="2"/>
  <c r="C2271" i="2"/>
  <c r="C1902" i="2"/>
  <c r="C1018" i="2"/>
  <c r="C2410" i="2"/>
  <c r="C729" i="2"/>
  <c r="C5176" i="2"/>
  <c r="C3180" i="2"/>
  <c r="C2592" i="2"/>
  <c r="I32" i="4"/>
  <c r="I2" i="4"/>
  <c r="I65" i="4"/>
  <c r="I68" i="4"/>
  <c r="H32" i="4"/>
  <c r="H2" i="4"/>
  <c r="H65" i="4"/>
  <c r="H68" i="4"/>
  <c r="K602" i="5"/>
  <c r="K2677" i="5"/>
  <c r="K1065" i="5"/>
  <c r="K617" i="5"/>
  <c r="K2279" i="5"/>
  <c r="K1988" i="5"/>
  <c r="K1961" i="5"/>
  <c r="K1392" i="5"/>
  <c r="K4040" i="5"/>
  <c r="K639" i="5"/>
  <c r="K3503" i="5"/>
  <c r="K3805" i="5"/>
  <c r="K102" i="5"/>
  <c r="K1240" i="5"/>
  <c r="K1640" i="5"/>
  <c r="K3547" i="5"/>
  <c r="K1823" i="5"/>
  <c r="K1042" i="5"/>
  <c r="K1818" i="5"/>
  <c r="K3256" i="5"/>
  <c r="K1338" i="5"/>
  <c r="K4044" i="5"/>
  <c r="K215" i="5"/>
  <c r="K522" i="5"/>
  <c r="K1919" i="5"/>
  <c r="K2477" i="5"/>
  <c r="K3123" i="5"/>
  <c r="K619" i="5"/>
  <c r="K2680" i="5"/>
  <c r="K218" i="5"/>
  <c r="K3436" i="5"/>
  <c r="K3968" i="5"/>
  <c r="K2299" i="5"/>
  <c r="K1263" i="5"/>
  <c r="K4031" i="5"/>
  <c r="K1927" i="5"/>
  <c r="K3388" i="5"/>
  <c r="K322" i="5"/>
  <c r="K123" i="5"/>
  <c r="K2200" i="5"/>
  <c r="K1231" i="5"/>
  <c r="K70" i="5"/>
  <c r="K2515" i="5"/>
  <c r="K2097" i="5"/>
  <c r="K2698" i="5"/>
  <c r="K1530" i="5"/>
  <c r="K1691" i="5"/>
  <c r="K4079" i="5"/>
  <c r="K3759" i="5"/>
  <c r="K3872" i="5"/>
  <c r="K1978" i="5"/>
  <c r="K995" i="5"/>
  <c r="K3252" i="5"/>
  <c r="K3890" i="5"/>
  <c r="K1881" i="5"/>
  <c r="K1638" i="5"/>
  <c r="K3665" i="5"/>
  <c r="K3557" i="5"/>
  <c r="K3995" i="5"/>
  <c r="K2416" i="5"/>
  <c r="K673" i="5"/>
  <c r="K1810" i="5"/>
  <c r="K2205" i="5"/>
  <c r="K782" i="5"/>
  <c r="K1197" i="5"/>
  <c r="K2232" i="5"/>
  <c r="K576" i="5"/>
  <c r="K1558" i="5"/>
  <c r="K152" i="5"/>
  <c r="K355" i="5"/>
  <c r="K2409" i="5"/>
  <c r="K1351" i="5"/>
  <c r="K3645" i="5"/>
  <c r="K1555" i="5"/>
  <c r="K1534" i="5"/>
  <c r="K1995" i="5"/>
  <c r="K3697" i="5"/>
  <c r="K2323" i="5"/>
  <c r="K2693" i="5"/>
  <c r="K1795" i="5"/>
  <c r="K758" i="5"/>
  <c r="K2233" i="5"/>
  <c r="K1136" i="5"/>
  <c r="K290" i="5"/>
  <c r="K2145" i="5"/>
  <c r="K3138" i="5"/>
  <c r="K705" i="5"/>
  <c r="K2770" i="5"/>
  <c r="K1081" i="5"/>
  <c r="K2184" i="5"/>
  <c r="K3920" i="5"/>
  <c r="K2556" i="5"/>
  <c r="K4064" i="5"/>
  <c r="K85" i="5"/>
  <c r="K2383" i="5"/>
  <c r="K1033" i="5"/>
  <c r="K2442" i="5"/>
  <c r="K3543" i="5"/>
  <c r="K1840" i="5"/>
  <c r="K1951" i="5"/>
  <c r="K603" i="5"/>
  <c r="K4094" i="5"/>
  <c r="K3998" i="5"/>
  <c r="K515" i="5"/>
  <c r="K897" i="5"/>
  <c r="K2790" i="5"/>
  <c r="K3840" i="5"/>
  <c r="K3901" i="5"/>
  <c r="K787" i="5"/>
  <c r="K2625" i="5"/>
  <c r="K2651" i="5"/>
  <c r="K2249" i="5"/>
  <c r="K1622" i="5"/>
  <c r="K771" i="5"/>
  <c r="K3751" i="5"/>
  <c r="K569" i="5"/>
  <c r="K1915" i="5"/>
  <c r="K1898" i="5"/>
  <c r="K3251" i="5"/>
  <c r="K3407" i="5"/>
  <c r="K2392" i="5"/>
  <c r="K640" i="5"/>
  <c r="K789" i="5"/>
  <c r="K226" i="5"/>
  <c r="K3149" i="5"/>
  <c r="K26" i="5"/>
  <c r="K2226" i="5"/>
  <c r="K550" i="5"/>
  <c r="K1091" i="5"/>
  <c r="K1038" i="5"/>
  <c r="K2716" i="5"/>
  <c r="K934" i="5"/>
  <c r="K980" i="5"/>
  <c r="K2156" i="5"/>
  <c r="K3568" i="5"/>
  <c r="K1109" i="5"/>
  <c r="K2662" i="5"/>
  <c r="K2194" i="5"/>
  <c r="K2410" i="5"/>
  <c r="K3591" i="5"/>
  <c r="K3367" i="5"/>
  <c r="K3156" i="5"/>
  <c r="K3401" i="5"/>
  <c r="K1117" i="5"/>
  <c r="K1040" i="5"/>
  <c r="K635" i="5"/>
  <c r="K4000" i="5"/>
  <c r="K581" i="5"/>
  <c r="K3764" i="5"/>
  <c r="K312" i="5"/>
  <c r="K1095" i="5"/>
  <c r="K500" i="5"/>
  <c r="K1687" i="5"/>
  <c r="K3513" i="5"/>
  <c r="K1596" i="5"/>
  <c r="K114" i="5"/>
  <c r="K554" i="5"/>
  <c r="K1162" i="5"/>
  <c r="K3524" i="5"/>
  <c r="K3644" i="5"/>
  <c r="K321" i="5"/>
  <c r="K2666" i="5"/>
  <c r="K1121" i="5"/>
  <c r="K2517" i="5"/>
  <c r="K4087" i="5"/>
  <c r="K2808" i="5"/>
  <c r="K1994" i="5"/>
  <c r="K912" i="5"/>
  <c r="K1158" i="5"/>
  <c r="K1982" i="5"/>
  <c r="K2378" i="5"/>
  <c r="K1560" i="5"/>
  <c r="K43" i="5"/>
  <c r="K3938" i="5"/>
  <c r="K262" i="5"/>
  <c r="K2493" i="5"/>
  <c r="K3740" i="5"/>
  <c r="K2768" i="5"/>
  <c r="K1500" i="5"/>
  <c r="K3738" i="5"/>
  <c r="K2682" i="5"/>
  <c r="K3762" i="5"/>
  <c r="K859" i="5"/>
  <c r="K3498" i="5"/>
  <c r="K199" i="5"/>
  <c r="K293" i="5"/>
  <c r="K3612" i="5"/>
  <c r="K846" i="5"/>
  <c r="K3881" i="5"/>
  <c r="K2562" i="5"/>
  <c r="K2485" i="5"/>
  <c r="K4106" i="5"/>
  <c r="K3979" i="5"/>
  <c r="K3280" i="5"/>
  <c r="K3658" i="5"/>
  <c r="K227" i="5"/>
  <c r="K514" i="5"/>
  <c r="K1299" i="5"/>
  <c r="K2461" i="5"/>
  <c r="K3577" i="5"/>
  <c r="K813" i="5"/>
  <c r="K1693" i="5"/>
  <c r="K990" i="5"/>
  <c r="K1643" i="5"/>
  <c r="K1549" i="5"/>
  <c r="K2692" i="5"/>
  <c r="K4034" i="5"/>
  <c r="K83" i="5"/>
  <c r="K3546" i="5"/>
  <c r="K2335" i="5"/>
  <c r="K638" i="5"/>
  <c r="K3462" i="5"/>
  <c r="K1931" i="5"/>
  <c r="K736" i="5"/>
  <c r="K590" i="5"/>
  <c r="K951" i="5"/>
  <c r="K2545" i="5"/>
  <c r="K1155" i="5"/>
  <c r="K46" i="5"/>
  <c r="K2240" i="5"/>
  <c r="K2160" i="5"/>
  <c r="K2789" i="5"/>
  <c r="K3255" i="5"/>
  <c r="K98" i="5"/>
  <c r="K3137" i="5"/>
  <c r="K1382" i="5"/>
  <c r="K2218" i="5"/>
  <c r="K324" i="5"/>
  <c r="K2318" i="5"/>
  <c r="K2500" i="5"/>
  <c r="K3415" i="5"/>
  <c r="K712" i="5"/>
  <c r="K119" i="5"/>
  <c r="K1049" i="5"/>
  <c r="K338" i="5"/>
  <c r="K1056" i="5"/>
  <c r="K2610" i="5"/>
  <c r="K2760" i="5"/>
  <c r="K1548" i="5"/>
  <c r="K1111" i="5"/>
  <c r="K1505" i="5"/>
  <c r="K631" i="5"/>
  <c r="K1058" i="5"/>
  <c r="K1334" i="5"/>
  <c r="K2065" i="5"/>
  <c r="K755" i="5"/>
  <c r="K670" i="5"/>
  <c r="K2593" i="5"/>
  <c r="K221" i="5"/>
  <c r="K3264" i="5"/>
  <c r="K601" i="5"/>
  <c r="K2508" i="5"/>
  <c r="K125" i="5"/>
  <c r="K561" i="5"/>
  <c r="K2372" i="5"/>
  <c r="K1087" i="5"/>
  <c r="K3265" i="5"/>
  <c r="K2455" i="5"/>
  <c r="K753" i="5"/>
  <c r="K1212" i="5"/>
  <c r="K405" i="5"/>
  <c r="K3626" i="5"/>
  <c r="K3952" i="5"/>
  <c r="K1002" i="5"/>
  <c r="K2355" i="5"/>
  <c r="K583" i="5"/>
  <c r="K1206" i="5"/>
  <c r="K701" i="5"/>
  <c r="K2622" i="5"/>
  <c r="K333" i="5"/>
  <c r="K4060" i="5"/>
  <c r="K1248" i="5"/>
  <c r="K3421" i="5"/>
  <c r="K4081" i="5"/>
  <c r="K1658" i="5"/>
  <c r="K1784" i="5"/>
  <c r="K1913" i="5"/>
  <c r="K3207" i="5"/>
  <c r="K1629" i="5"/>
  <c r="K2800" i="5"/>
  <c r="K289" i="5"/>
  <c r="K4039" i="5"/>
  <c r="K2010" i="5"/>
  <c r="K2496" i="5"/>
  <c r="K1361" i="5"/>
  <c r="K563" i="5"/>
  <c r="K3779" i="5"/>
  <c r="K3715" i="5"/>
  <c r="K1209" i="5"/>
  <c r="K1644" i="5"/>
  <c r="K637" i="5"/>
  <c r="K1831" i="5"/>
  <c r="K318" i="5"/>
  <c r="K2669" i="5"/>
  <c r="K2343" i="5"/>
  <c r="K3828" i="5"/>
  <c r="K4030" i="5"/>
  <c r="K1179" i="5"/>
  <c r="K568" i="5"/>
  <c r="K1852" i="5"/>
  <c r="K3925" i="5"/>
  <c r="K3859" i="5"/>
  <c r="K1370" i="5"/>
  <c r="K1985" i="5"/>
  <c r="K699" i="5"/>
  <c r="K2167" i="5"/>
  <c r="K1343" i="5"/>
  <c r="K669" i="5"/>
  <c r="K1594" i="5"/>
  <c r="K1561" i="5"/>
  <c r="K40" i="5"/>
  <c r="K2412" i="5"/>
  <c r="K3908" i="5"/>
  <c r="K2110" i="5"/>
  <c r="K3117" i="5"/>
  <c r="K501" i="5"/>
  <c r="K2590" i="5"/>
  <c r="K2297" i="5"/>
  <c r="K2225" i="5"/>
  <c r="K1171" i="5"/>
  <c r="K179" i="5"/>
  <c r="K1775" i="5"/>
  <c r="K3396" i="5"/>
  <c r="K2354" i="5"/>
  <c r="K2542" i="5"/>
  <c r="K3439" i="5"/>
  <c r="K3192" i="5"/>
  <c r="K265" i="5"/>
  <c r="K1135" i="5"/>
  <c r="K2454" i="5"/>
  <c r="K1864" i="5"/>
  <c r="K42" i="5"/>
  <c r="K1781" i="5"/>
  <c r="K659" i="5"/>
  <c r="K1078" i="5"/>
  <c r="K2753" i="5"/>
  <c r="K750" i="5"/>
  <c r="K2086" i="5"/>
  <c r="K2292" i="5"/>
  <c r="K1130" i="5"/>
  <c r="K1531" i="5"/>
  <c r="K3635" i="5"/>
  <c r="K2568" i="5"/>
  <c r="K3957" i="5"/>
  <c r="K1936" i="5"/>
  <c r="K1747" i="5"/>
  <c r="K3385" i="5"/>
  <c r="K2216" i="5"/>
  <c r="K1406" i="5"/>
  <c r="K674" i="5"/>
  <c r="K3269" i="5"/>
  <c r="K2648" i="5"/>
  <c r="K2255" i="5"/>
  <c r="K3984" i="5"/>
  <c r="K182" i="5"/>
  <c r="K256" i="5"/>
  <c r="K2082" i="5"/>
  <c r="K3949" i="5"/>
  <c r="K2624" i="5"/>
  <c r="K525" i="5"/>
  <c r="K3535" i="5"/>
  <c r="K1921" i="5"/>
  <c r="K3981" i="5"/>
  <c r="K652" i="5"/>
  <c r="K3623" i="5"/>
  <c r="K3757" i="5"/>
  <c r="K2278" i="5"/>
  <c r="K791" i="5"/>
  <c r="K3625" i="5"/>
  <c r="K1904" i="5"/>
  <c r="K3915" i="5"/>
  <c r="K1222" i="5"/>
  <c r="K1714" i="5"/>
  <c r="K3897" i="5"/>
  <c r="K3851" i="5"/>
  <c r="K2195" i="5"/>
  <c r="K4077" i="5"/>
  <c r="K1925" i="5"/>
  <c r="K2614" i="5"/>
  <c r="K2092" i="5"/>
  <c r="K1153" i="5"/>
  <c r="K2017" i="5"/>
  <c r="K950" i="5"/>
  <c r="K1809" i="5"/>
  <c r="K3279" i="5"/>
  <c r="K1027" i="5"/>
  <c r="K3687" i="5"/>
  <c r="K3119" i="5"/>
  <c r="K790" i="5"/>
  <c r="K2628" i="5"/>
  <c r="K539" i="5"/>
  <c r="K1774" i="5"/>
  <c r="K3295" i="5"/>
  <c r="K2051" i="5"/>
  <c r="K733" i="5"/>
  <c r="K3940" i="5"/>
  <c r="K3358" i="5"/>
  <c r="K1511" i="5"/>
  <c r="K3508" i="5"/>
  <c r="K2359" i="5"/>
  <c r="K2548" i="5"/>
  <c r="K1228" i="5"/>
  <c r="K2643" i="5"/>
  <c r="K721" i="5"/>
  <c r="K3970" i="5"/>
  <c r="K3854" i="5"/>
  <c r="K2489" i="5"/>
  <c r="K1666" i="5"/>
  <c r="K1088" i="5"/>
  <c r="K2449" i="5"/>
  <c r="K3389" i="5"/>
  <c r="K668" i="5"/>
  <c r="K711" i="5"/>
  <c r="K1225" i="5"/>
  <c r="K680" i="5"/>
  <c r="K4102" i="5"/>
  <c r="K3455" i="5"/>
  <c r="K2270" i="5"/>
  <c r="K1118" i="5"/>
  <c r="K4089" i="5"/>
  <c r="K356" i="5"/>
  <c r="K3121" i="5"/>
  <c r="K1352" i="5"/>
  <c r="K1630" i="5"/>
  <c r="K2308" i="5"/>
  <c r="K2618" i="5"/>
  <c r="K178" i="5"/>
  <c r="K2344" i="5"/>
  <c r="K2273" i="5"/>
  <c r="K4047" i="5"/>
  <c r="K1041" i="5"/>
  <c r="K2331" i="5"/>
  <c r="K1653" i="5"/>
  <c r="K1376" i="5"/>
  <c r="K1133" i="5"/>
  <c r="K4048" i="5"/>
  <c r="K1175" i="5"/>
  <c r="K557" i="5"/>
  <c r="K2582" i="5"/>
  <c r="K3533" i="5"/>
  <c r="K2546" i="5"/>
  <c r="K166" i="5"/>
  <c r="K2256" i="5"/>
  <c r="K2664" i="5"/>
  <c r="K3948" i="5"/>
  <c r="K3964" i="5"/>
  <c r="K595" i="5"/>
  <c r="K31" i="5"/>
  <c r="K1696" i="5"/>
  <c r="K106" i="5"/>
  <c r="K3191" i="5"/>
  <c r="K3833" i="5"/>
  <c r="K1089" i="5"/>
  <c r="K17" i="5"/>
  <c r="K2100" i="5"/>
  <c r="K2333" i="5"/>
  <c r="K3245" i="5"/>
  <c r="K3563" i="5"/>
  <c r="K3579" i="5"/>
  <c r="K4016" i="5"/>
  <c r="K4010" i="5"/>
  <c r="K664" i="5"/>
  <c r="K1729" i="5"/>
  <c r="K1168" i="5"/>
  <c r="K4073" i="5"/>
  <c r="K3392" i="5"/>
  <c r="K3536" i="5"/>
  <c r="K2008" i="5"/>
  <c r="K3352" i="5"/>
  <c r="K3832" i="5"/>
  <c r="K1297" i="5"/>
  <c r="K3576" i="5"/>
  <c r="K378" i="5"/>
  <c r="K54" i="5"/>
  <c r="K2535" i="5"/>
  <c r="K50" i="5"/>
  <c r="K3923" i="5"/>
  <c r="K103" i="5"/>
  <c r="K3131" i="5"/>
  <c r="K684" i="5"/>
  <c r="K1808" i="5"/>
  <c r="K164" i="5"/>
  <c r="K1004" i="5"/>
  <c r="K1337" i="5"/>
  <c r="K3629" i="5"/>
  <c r="K1826" i="5"/>
  <c r="K2080" i="5"/>
  <c r="K97" i="5"/>
  <c r="K95" i="5"/>
  <c r="K1085" i="5"/>
  <c r="K3692" i="5"/>
  <c r="K4007" i="5"/>
  <c r="K359" i="5"/>
  <c r="K2558" i="5"/>
  <c r="K3714" i="5"/>
  <c r="K936" i="5"/>
  <c r="K1814" i="5"/>
  <c r="K278" i="5"/>
  <c r="K3429" i="5"/>
  <c r="K1412" i="5"/>
  <c r="K588" i="5"/>
  <c r="K1156" i="5"/>
  <c r="K605" i="5"/>
  <c r="K274" i="5"/>
  <c r="K4083" i="5"/>
  <c r="K2783" i="5"/>
  <c r="K2701" i="5"/>
  <c r="K191" i="5"/>
  <c r="K547" i="5"/>
  <c r="K2802" i="5"/>
  <c r="K3835" i="5"/>
  <c r="K1636" i="5"/>
  <c r="K2765" i="5"/>
  <c r="K1873" i="5"/>
  <c r="K1331" i="5"/>
  <c r="K1675" i="5"/>
  <c r="K1272" i="5"/>
  <c r="K1634" i="5"/>
  <c r="K3891" i="5"/>
  <c r="K377" i="5"/>
  <c r="K2634" i="5"/>
  <c r="K67" i="5"/>
  <c r="K2329" i="5"/>
  <c r="K2679" i="5"/>
  <c r="K73" i="5"/>
  <c r="K1249" i="5"/>
  <c r="K3914" i="5"/>
  <c r="K1393" i="5"/>
  <c r="K4067" i="5"/>
  <c r="K326" i="5"/>
  <c r="K3753" i="5"/>
  <c r="K1080" i="5"/>
  <c r="K1023" i="5"/>
  <c r="K1963" i="5"/>
  <c r="K23" i="5"/>
  <c r="K3953" i="5"/>
  <c r="K737" i="5"/>
  <c r="K3770" i="5"/>
  <c r="K2298" i="5"/>
  <c r="K3422" i="5"/>
  <c r="K2289" i="5"/>
  <c r="K2663" i="5"/>
  <c r="K87" i="5"/>
  <c r="K3725" i="5"/>
  <c r="K175" i="5"/>
  <c r="K3927" i="5"/>
  <c r="K1770" i="5"/>
  <c r="K3408" i="5"/>
  <c r="K2201" i="5"/>
  <c r="K2073" i="5"/>
  <c r="K1266" i="5"/>
  <c r="K3823" i="5"/>
  <c r="K158" i="5"/>
  <c r="K2504" i="5"/>
  <c r="K786" i="5"/>
  <c r="K3782" i="5"/>
  <c r="K74" i="5"/>
  <c r="K3760" i="5"/>
  <c r="K1495" i="5"/>
  <c r="K4038" i="5"/>
  <c r="K4085" i="5"/>
  <c r="K1621" i="5"/>
  <c r="K3850" i="5"/>
  <c r="K1047" i="5"/>
  <c r="K2254" i="5"/>
  <c r="K948" i="5"/>
  <c r="K2687" i="5"/>
  <c r="K1219" i="5"/>
  <c r="K2627" i="5"/>
  <c r="K1232" i="5"/>
  <c r="K1086" i="5"/>
  <c r="K117" i="5"/>
  <c r="K4032" i="5"/>
  <c r="K2317" i="5"/>
  <c r="K4019" i="5"/>
  <c r="K1861" i="5"/>
  <c r="K3792" i="5"/>
  <c r="K1035" i="5"/>
  <c r="K4028" i="5"/>
  <c r="K3615" i="5"/>
  <c r="K660" i="5"/>
  <c r="K2212" i="5"/>
  <c r="K3360" i="5"/>
  <c r="K1779" i="5"/>
  <c r="K1400" i="5"/>
  <c r="K3594" i="5"/>
  <c r="K3822" i="5"/>
  <c r="K2250" i="5"/>
  <c r="K2519" i="5"/>
  <c r="K3641" i="5"/>
  <c r="K66" i="5"/>
  <c r="K154" i="5"/>
  <c r="K3556" i="5"/>
  <c r="K2161" i="5"/>
  <c r="K708" i="5"/>
  <c r="K1768" i="5"/>
  <c r="K1890" i="5"/>
  <c r="K2040" i="5"/>
  <c r="K1344" i="5"/>
  <c r="K3706" i="5"/>
  <c r="K3494" i="5"/>
  <c r="K784" i="5"/>
  <c r="K1335" i="5"/>
  <c r="K3921" i="5"/>
  <c r="K2585" i="5"/>
  <c r="K3922" i="5"/>
  <c r="K2338" i="5"/>
  <c r="K1059" i="5"/>
  <c r="K1287" i="5"/>
  <c r="K2539" i="5"/>
  <c r="K3419" i="5"/>
  <c r="K1416" i="5"/>
  <c r="K2607" i="5"/>
  <c r="K2580" i="5"/>
  <c r="K3361" i="5"/>
  <c r="K1258" i="5"/>
  <c r="K2057" i="5"/>
  <c r="K2306" i="5"/>
  <c r="K3538" i="5"/>
  <c r="K1546" i="5"/>
  <c r="K48" i="5"/>
  <c r="K1057" i="5"/>
  <c r="K1690" i="5"/>
  <c r="K3831" i="5"/>
  <c r="K276" i="5"/>
  <c r="K1612" i="5"/>
  <c r="K2778" i="5"/>
  <c r="K1103" i="5"/>
  <c r="K2525" i="5"/>
  <c r="K1172" i="5"/>
  <c r="K1100" i="5"/>
  <c r="K1521" i="5"/>
  <c r="K735" i="5"/>
  <c r="K3414" i="5"/>
  <c r="K1547" i="5"/>
  <c r="K2661" i="5"/>
  <c r="K300" i="5"/>
  <c r="K1178" i="5"/>
  <c r="K1358" i="5"/>
  <c r="K3786" i="5"/>
  <c r="K55" i="5"/>
  <c r="K1414" i="5"/>
  <c r="K4041" i="5"/>
  <c r="K104" i="5"/>
  <c r="K3573" i="5"/>
  <c r="K3607" i="5"/>
  <c r="K49" i="5"/>
  <c r="K2271" i="5"/>
  <c r="K985" i="5"/>
  <c r="K3542" i="5"/>
  <c r="K1367" i="5"/>
  <c r="K1537" i="5"/>
  <c r="K1395" i="5"/>
  <c r="K1375" i="5"/>
  <c r="K4090" i="5"/>
  <c r="K2757" i="5"/>
  <c r="K1803" i="5"/>
  <c r="K2487" i="5"/>
  <c r="K3992" i="5"/>
  <c r="K566" i="5"/>
  <c r="K1515" i="5"/>
  <c r="K3454" i="5"/>
  <c r="K2650" i="5"/>
  <c r="K1084" i="5"/>
  <c r="K2767" i="5"/>
  <c r="K3900" i="5"/>
  <c r="K224" i="5"/>
  <c r="K2488" i="5"/>
  <c r="K2436" i="5"/>
  <c r="K1802" i="5"/>
  <c r="K3566" i="5"/>
  <c r="K1283" i="5"/>
  <c r="K1115" i="5"/>
  <c r="K228" i="5"/>
  <c r="K3696" i="5"/>
  <c r="K1604" i="5"/>
  <c r="K3842" i="5"/>
  <c r="K1930" i="5"/>
  <c r="K2592" i="5"/>
  <c r="K323" i="5"/>
  <c r="K3477" i="5"/>
  <c r="K3710" i="5"/>
  <c r="K3989" i="5"/>
  <c r="K1717" i="5"/>
  <c r="K3630" i="5"/>
  <c r="K1210" i="5"/>
  <c r="K1641" i="5"/>
  <c r="K654" i="5"/>
  <c r="K1262" i="5"/>
  <c r="K3906" i="5"/>
  <c r="K723" i="5"/>
  <c r="K1957" i="5"/>
  <c r="K21" i="5"/>
  <c r="K3471" i="5"/>
  <c r="K1110" i="5"/>
  <c r="K3813" i="5"/>
  <c r="K1748" i="5"/>
  <c r="K2332" i="5"/>
  <c r="K1496" i="5"/>
  <c r="K2587" i="5"/>
  <c r="K352" i="5"/>
  <c r="K3341" i="5"/>
  <c r="K3480" i="5"/>
  <c r="K2159" i="5"/>
  <c r="K80" i="5"/>
  <c r="K1365" i="5"/>
  <c r="K1782" i="5"/>
  <c r="K3773" i="5"/>
  <c r="K558" i="5"/>
  <c r="K3459" i="5"/>
  <c r="K1850" i="5"/>
  <c r="K4024" i="5"/>
  <c r="K3544" i="5"/>
  <c r="K1192" i="5"/>
  <c r="K2349" i="5"/>
  <c r="K2784" i="5"/>
  <c r="K3492" i="5"/>
  <c r="K2009" i="5"/>
  <c r="K3670" i="5"/>
  <c r="K1345" i="5"/>
  <c r="K1991" i="5"/>
  <c r="K1590" i="5"/>
  <c r="K2464" i="5"/>
  <c r="K232" i="5"/>
  <c r="K2104" i="5"/>
  <c r="K2295" i="5"/>
  <c r="K242" i="5"/>
  <c r="K3527" i="5"/>
  <c r="K3142" i="5"/>
  <c r="K1878" i="5"/>
  <c r="K623" i="5"/>
  <c r="K2309" i="5"/>
  <c r="K1214" i="5"/>
  <c r="K2386" i="5"/>
  <c r="K2518" i="5"/>
  <c r="K2381" i="5"/>
  <c r="K2241" i="5"/>
  <c r="K3398" i="5"/>
  <c r="K1853" i="5"/>
  <c r="K79" i="5"/>
  <c r="K1187" i="5"/>
  <c r="K4055" i="5"/>
  <c r="K328" i="5"/>
  <c r="K2750" i="5"/>
  <c r="K3127" i="5"/>
  <c r="K1778" i="5"/>
  <c r="K2652" i="5"/>
  <c r="K694" i="5"/>
  <c r="K2263" i="5"/>
  <c r="K389" i="5"/>
  <c r="K157" i="5"/>
  <c r="K155" i="5"/>
  <c r="K2223" i="5"/>
  <c r="K741" i="5"/>
  <c r="K2339" i="5"/>
  <c r="K3873" i="5"/>
  <c r="K1648" i="5"/>
  <c r="K237" i="5"/>
  <c r="K504" i="5"/>
  <c r="K386" i="5"/>
  <c r="K982" i="5"/>
  <c r="K11" i="5"/>
  <c r="K1183" i="5"/>
  <c r="K205" i="5"/>
  <c r="K2512" i="5"/>
  <c r="K866" i="5"/>
  <c r="K1493" i="5"/>
  <c r="K3263" i="5"/>
  <c r="K620" i="5"/>
  <c r="K1072" i="5"/>
  <c r="K429" i="5"/>
  <c r="K992" i="5"/>
  <c r="K3496" i="5"/>
  <c r="K1007" i="5"/>
  <c r="K3781" i="5"/>
  <c r="K1127" i="5"/>
  <c r="K1408" i="5"/>
  <c r="K2060" i="5"/>
  <c r="K1708" i="5"/>
  <c r="K2752" i="5"/>
  <c r="K1387" i="5"/>
  <c r="K1553" i="5"/>
  <c r="K1132" i="5"/>
  <c r="K3271" i="5"/>
  <c r="K2266" i="5"/>
  <c r="K4062" i="5"/>
  <c r="K3684" i="5"/>
  <c r="K3836" i="5"/>
  <c r="K1655" i="5"/>
  <c r="K508" i="5"/>
  <c r="K2341" i="5"/>
  <c r="K3253" i="5"/>
  <c r="K3505" i="5"/>
  <c r="K313" i="5"/>
  <c r="K1193" i="5"/>
  <c r="K1945" i="5"/>
  <c r="K742" i="5"/>
  <c r="K1221" i="5"/>
  <c r="K1833" i="5"/>
  <c r="K503" i="5"/>
  <c r="K1959" i="5"/>
  <c r="K807" i="5"/>
  <c r="K3990" i="5"/>
  <c r="K198" i="5"/>
  <c r="K3716" i="5"/>
  <c r="K2353" i="5"/>
  <c r="K1048" i="5"/>
  <c r="K1252" i="5"/>
  <c r="K3896" i="5"/>
  <c r="K3147" i="5"/>
  <c r="K582" i="5"/>
  <c r="K2807" i="5"/>
  <c r="K919" i="5"/>
  <c r="K1667" i="5"/>
  <c r="K1574" i="5"/>
  <c r="K1383" i="5"/>
  <c r="K4042" i="5"/>
  <c r="K225" i="5"/>
  <c r="K1858" i="5"/>
  <c r="K59" i="5"/>
  <c r="K393" i="5"/>
  <c r="K2777" i="5"/>
  <c r="K6" i="5"/>
  <c r="K3899" i="5"/>
  <c r="K996" i="5"/>
  <c r="K3273" i="5"/>
  <c r="K2402" i="5"/>
  <c r="K1063" i="5"/>
  <c r="K2771" i="5"/>
  <c r="K942" i="5"/>
  <c r="K109" i="5"/>
  <c r="K3772" i="5"/>
  <c r="K2245" i="5"/>
  <c r="K2463" i="5"/>
  <c r="K2029" i="5"/>
  <c r="K410" i="5"/>
  <c r="K551" i="5"/>
  <c r="K3685" i="5"/>
  <c r="K2396" i="5"/>
  <c r="K2066" i="5"/>
  <c r="K700" i="5"/>
  <c r="K1067" i="5"/>
  <c r="K1142" i="5"/>
  <c r="K3761" i="5"/>
  <c r="K233" i="5"/>
  <c r="K1137" i="5"/>
  <c r="K2032" i="5"/>
  <c r="K4084" i="5"/>
  <c r="K3554" i="5"/>
  <c r="K986" i="5"/>
  <c r="K1649" i="5"/>
  <c r="K932" i="5"/>
  <c r="K2202" i="5"/>
  <c r="K3561" i="5"/>
  <c r="K1215" i="5"/>
  <c r="K115" i="5"/>
  <c r="K585" i="5"/>
  <c r="K920" i="5"/>
  <c r="K748" i="5"/>
  <c r="K45" i="5"/>
  <c r="K1589" i="5"/>
  <c r="K272" i="5"/>
  <c r="K2645" i="5"/>
  <c r="K2053" i="5"/>
  <c r="K2108" i="5"/>
  <c r="K1502" i="5"/>
  <c r="K2106" i="5"/>
  <c r="K3144" i="5"/>
  <c r="K136" i="5"/>
  <c r="K3610" i="5"/>
  <c r="K101" i="5"/>
  <c r="K341" i="5"/>
  <c r="K2268" i="5"/>
  <c r="K306" i="5"/>
  <c r="K3827" i="5"/>
  <c r="K1068" i="5"/>
  <c r="K1724" i="5"/>
  <c r="K999" i="5"/>
  <c r="K283" i="5"/>
  <c r="K2105" i="5"/>
  <c r="K4051" i="5"/>
  <c r="K3541" i="5"/>
  <c r="K3656" i="5"/>
  <c r="K2670" i="5"/>
  <c r="K443" i="5"/>
  <c r="K651" i="5"/>
  <c r="K14" i="5"/>
  <c r="K2703" i="5"/>
  <c r="K2478" i="5"/>
  <c r="K672" i="5"/>
  <c r="K3129" i="5"/>
  <c r="K3649" i="5"/>
  <c r="K2312" i="5"/>
  <c r="K3972" i="5"/>
  <c r="K1536" i="5"/>
  <c r="K253" i="5"/>
  <c r="K2769" i="5"/>
  <c r="K1877" i="5"/>
  <c r="K2534" i="5"/>
  <c r="K2603" i="5"/>
  <c r="K3348" i="5"/>
  <c r="K4027" i="5"/>
  <c r="K3894" i="5"/>
  <c r="K570" i="5"/>
  <c r="K148" i="5"/>
  <c r="K3829" i="5"/>
  <c r="K161" i="5"/>
  <c r="K1026" i="5"/>
  <c r="K361" i="5"/>
  <c r="K2070" i="5"/>
  <c r="K516" i="5"/>
  <c r="K2377" i="5"/>
  <c r="K540" i="5"/>
  <c r="K3928" i="5"/>
  <c r="K2069" i="5"/>
  <c r="K3698" i="5"/>
  <c r="K2554" i="5"/>
  <c r="K1908" i="5"/>
  <c r="K4092" i="5"/>
  <c r="K2000" i="5"/>
  <c r="K3799" i="5"/>
  <c r="K937" i="5"/>
  <c r="K37" i="5"/>
  <c r="K946" i="5"/>
  <c r="K2484" i="5"/>
  <c r="K528" i="5"/>
  <c r="K2109" i="5"/>
  <c r="K3659" i="5"/>
  <c r="K1879" i="5"/>
  <c r="K998" i="5"/>
  <c r="K1619" i="5"/>
  <c r="K2287" i="5"/>
  <c r="K3246" i="5"/>
  <c r="K2052" i="5"/>
  <c r="K2468" i="5"/>
  <c r="K1014" i="5"/>
  <c r="K2762" i="5"/>
  <c r="K29" i="5"/>
  <c r="K4061" i="5"/>
  <c r="K3120" i="5"/>
  <c r="K2579" i="5"/>
  <c r="K1591" i="5"/>
  <c r="K176" i="5"/>
  <c r="K3458" i="5"/>
  <c r="K1731" i="5"/>
  <c r="K153" i="5"/>
  <c r="K1052" i="5"/>
  <c r="K3653" i="5"/>
  <c r="K2303" i="5"/>
  <c r="K2192" i="5"/>
  <c r="K2007" i="5"/>
  <c r="K1101" i="5"/>
  <c r="K3475" i="5"/>
  <c r="K604" i="5"/>
  <c r="K2006" i="5"/>
  <c r="K3730" i="5"/>
  <c r="K1126" i="5"/>
  <c r="K3735" i="5"/>
  <c r="K529" i="5"/>
  <c r="K2656" i="5"/>
  <c r="K2636" i="5"/>
  <c r="K1246" i="5"/>
  <c r="K3383" i="5"/>
  <c r="K476" i="5"/>
  <c r="K4054" i="5"/>
  <c r="K3559" i="5"/>
  <c r="K1926" i="5"/>
  <c r="K1308" i="5"/>
  <c r="K3412" i="5"/>
  <c r="K1151" i="5"/>
  <c r="K4082" i="5"/>
  <c r="K3526" i="5"/>
  <c r="K1160" i="5"/>
  <c r="K1509" i="5"/>
  <c r="K1614" i="5"/>
  <c r="K725" i="5"/>
  <c r="K724" i="5"/>
  <c r="K292" i="5"/>
  <c r="K3811" i="5"/>
  <c r="K4058" i="5"/>
  <c r="K2043" i="5"/>
  <c r="K1787" i="5"/>
  <c r="K3994" i="5"/>
  <c r="K3346" i="5"/>
  <c r="K2076" i="5"/>
  <c r="K2597" i="5"/>
  <c r="K2723" i="5"/>
  <c r="K1940" i="5"/>
  <c r="K3976" i="5"/>
  <c r="K910" i="5"/>
  <c r="K2414" i="5"/>
  <c r="K2631" i="5"/>
  <c r="K3638" i="5"/>
  <c r="K1813" i="5"/>
  <c r="K3903" i="5"/>
  <c r="K2314" i="5"/>
  <c r="K521" i="5"/>
  <c r="K234" i="5"/>
  <c r="K2019" i="5"/>
  <c r="K3382" i="5"/>
  <c r="K332" i="5"/>
  <c r="K1624" i="5"/>
  <c r="K1324" i="5"/>
  <c r="K3545" i="5"/>
  <c r="K65" i="5"/>
  <c r="K1274" i="5"/>
  <c r="K1752" i="5"/>
  <c r="K317" i="5"/>
  <c r="K3844" i="5"/>
  <c r="K3929" i="5"/>
  <c r="K1326" i="5"/>
  <c r="K1288" i="5"/>
  <c r="K3668" i="5"/>
  <c r="K1975" i="5"/>
  <c r="K3671" i="5"/>
  <c r="K3893" i="5"/>
  <c r="K2563" i="5"/>
  <c r="K3569" i="5"/>
  <c r="K3826" i="5"/>
  <c r="K3406" i="5"/>
  <c r="K1281" i="5"/>
  <c r="K3879" i="5"/>
  <c r="K3335" i="5"/>
  <c r="K1971" i="5"/>
  <c r="K69" i="5"/>
  <c r="K398" i="5"/>
  <c r="K3721" i="5"/>
  <c r="K4050" i="5"/>
  <c r="K1792" i="5"/>
  <c r="K2537" i="5"/>
  <c r="K3290" i="5"/>
  <c r="K1570" i="5"/>
  <c r="K3413" i="5"/>
  <c r="K933" i="5"/>
  <c r="K4076" i="5"/>
  <c r="K2736" i="5"/>
  <c r="K2146" i="5"/>
  <c r="K2799" i="5"/>
  <c r="K3734" i="5"/>
  <c r="K110" i="5"/>
  <c r="K27" i="5"/>
  <c r="K662" i="5"/>
  <c r="K989" i="5"/>
  <c r="K3651" i="5"/>
  <c r="K3143" i="5"/>
  <c r="K387" i="5"/>
  <c r="K349" i="5"/>
  <c r="K3752" i="5"/>
  <c r="K796" i="5"/>
  <c r="K247" i="5"/>
  <c r="K1585" i="5"/>
  <c r="K3898" i="5"/>
  <c r="K537" i="5"/>
  <c r="K1854" i="5"/>
  <c r="K614" i="5"/>
  <c r="K315" i="5"/>
  <c r="K3654" i="5"/>
  <c r="K2633" i="5"/>
  <c r="K1924" i="5"/>
  <c r="K1405" i="5"/>
  <c r="K798" i="5"/>
  <c r="K3549" i="5"/>
  <c r="K3973" i="5"/>
  <c r="K3570" i="5"/>
  <c r="K197" i="5"/>
  <c r="K2197" i="5"/>
  <c r="K774" i="5"/>
  <c r="K3567" i="5"/>
  <c r="K2048" i="5"/>
  <c r="K1764" i="5"/>
  <c r="K1918" i="5"/>
  <c r="K330" i="5"/>
  <c r="K160" i="5"/>
  <c r="K1200" i="5"/>
  <c r="K379" i="5"/>
  <c r="K4066" i="5"/>
  <c r="K2236" i="5"/>
  <c r="K3584" i="5"/>
  <c r="K1794" i="5"/>
  <c r="K3846" i="5"/>
  <c r="K2251" i="5"/>
  <c r="K2586" i="5"/>
  <c r="K3803" i="5"/>
  <c r="K3614" i="5"/>
  <c r="K759" i="5"/>
  <c r="K2806" i="5"/>
  <c r="K642" i="5"/>
  <c r="K610" i="5"/>
  <c r="K1960" i="5"/>
  <c r="K3432" i="5"/>
  <c r="K1576" i="5"/>
  <c r="K1841" i="5"/>
  <c r="K1001" i="5"/>
  <c r="K1751" i="5"/>
  <c r="K511" i="5"/>
  <c r="K3307" i="5"/>
  <c r="K2712" i="5"/>
  <c r="K1685" i="5"/>
  <c r="K3116" i="5"/>
  <c r="K764" i="5"/>
  <c r="K1276" i="5"/>
  <c r="K2400" i="5"/>
  <c r="K3937" i="5"/>
  <c r="K744" i="5"/>
  <c r="K275" i="5"/>
  <c r="K1144" i="5"/>
  <c r="K3132" i="5"/>
  <c r="K2781" i="5"/>
  <c r="K3469" i="5"/>
  <c r="K2058" i="5"/>
  <c r="K1053" i="5"/>
  <c r="K3909" i="5"/>
  <c r="K679" i="5"/>
  <c r="K1489" i="5"/>
  <c r="K1245" i="5"/>
  <c r="K2774" i="5"/>
  <c r="K3834" i="5"/>
  <c r="K279" i="5"/>
  <c r="K1116" i="5"/>
  <c r="K2495" i="5"/>
  <c r="K3758" i="5"/>
  <c r="K1880" i="5"/>
  <c r="K979" i="5"/>
  <c r="K2276" i="5"/>
  <c r="K3942" i="5"/>
  <c r="K47" i="5"/>
  <c r="K2467" i="5"/>
  <c r="K555" i="5"/>
  <c r="K2277" i="5"/>
  <c r="K983" i="5"/>
  <c r="K2782" i="5"/>
  <c r="K3355" i="5"/>
  <c r="K2342" i="5"/>
  <c r="K3110" i="5"/>
  <c r="K2227" i="5"/>
  <c r="K1836" i="5"/>
  <c r="K3708" i="5"/>
  <c r="K3785" i="5"/>
  <c r="K58" i="5"/>
  <c r="K1273" i="5"/>
  <c r="K1123" i="5"/>
  <c r="K678" i="5"/>
  <c r="K3423" i="5"/>
  <c r="K2567" i="5"/>
  <c r="K692" i="5"/>
  <c r="K3622" i="5"/>
  <c r="K1166" i="5"/>
  <c r="K2157" i="5"/>
  <c r="K1788" i="5"/>
  <c r="K353" i="5"/>
  <c r="K1096" i="5"/>
  <c r="K541" i="5"/>
  <c r="K1090" i="5"/>
  <c r="K2552" i="5"/>
  <c r="K2690" i="5"/>
  <c r="K1620" i="5"/>
  <c r="K1234" i="5"/>
  <c r="K3797" i="5"/>
  <c r="K3507" i="5"/>
  <c r="K2162" i="5"/>
  <c r="K4023" i="5"/>
  <c r="K3604" i="5"/>
  <c r="K1851" i="5"/>
  <c r="K4052" i="5"/>
  <c r="K3978" i="5"/>
  <c r="K793" i="5"/>
  <c r="K2458" i="5"/>
  <c r="K3379" i="5"/>
  <c r="K2668" i="5"/>
  <c r="K3435" i="5"/>
  <c r="K1055" i="5"/>
  <c r="K2445" i="5"/>
  <c r="K3113" i="5"/>
  <c r="K1720" i="5"/>
  <c r="K3216" i="5"/>
  <c r="K1223" i="5"/>
  <c r="K1587" i="5"/>
  <c r="K3941" i="5"/>
  <c r="K3351" i="5"/>
  <c r="K2653" i="5"/>
  <c r="K1952" i="5"/>
  <c r="K236" i="5"/>
  <c r="K2305" i="5"/>
  <c r="K3861" i="5"/>
  <c r="K1562" i="5"/>
  <c r="K2337" i="5"/>
  <c r="K420" i="5"/>
  <c r="K2347" i="5"/>
  <c r="K3712" i="5"/>
  <c r="K1865" i="5"/>
  <c r="K3732" i="5"/>
  <c r="K3347" i="5"/>
  <c r="K2660" i="5"/>
  <c r="K1615" i="5"/>
  <c r="K1844" i="5"/>
  <c r="K3431" i="5"/>
  <c r="K1327" i="5"/>
  <c r="K3520" i="5"/>
  <c r="K586" i="5"/>
  <c r="K607" i="5"/>
  <c r="K1407" i="5"/>
  <c r="K728" i="5"/>
  <c r="K988" i="5"/>
  <c r="K4003" i="5"/>
  <c r="K3371" i="5"/>
  <c r="K2036" i="5"/>
  <c r="K304" i="5"/>
  <c r="K354" i="5"/>
  <c r="K3403" i="5"/>
  <c r="K3400" i="5"/>
  <c r="K3619" i="5"/>
  <c r="K2016" i="5"/>
  <c r="K1019" i="5"/>
  <c r="K991" i="5"/>
  <c r="K1639" i="5"/>
  <c r="K3895" i="5"/>
  <c r="K3114" i="5"/>
  <c r="K2049" i="5"/>
  <c r="K3689" i="5"/>
  <c r="K1544" i="5"/>
  <c r="K1154" i="5"/>
  <c r="K806" i="5"/>
  <c r="K3936" i="5"/>
  <c r="K298" i="5"/>
  <c r="K893" i="5"/>
  <c r="K3955" i="5"/>
  <c r="K2474" i="5"/>
  <c r="K2560" i="5"/>
  <c r="K1937" i="5"/>
  <c r="K1786" i="5"/>
  <c r="K2107" i="5"/>
  <c r="K2022" i="5"/>
  <c r="K2018" i="5"/>
  <c r="K1765" i="5"/>
  <c r="K1161" i="5"/>
  <c r="K3874" i="5"/>
  <c r="K2026" i="5"/>
  <c r="K2234" i="5"/>
  <c r="K258" i="5"/>
  <c r="K746" i="5"/>
  <c r="K2313" i="5"/>
  <c r="K3636" i="5"/>
  <c r="K3595" i="5"/>
  <c r="K1131" i="5"/>
  <c r="K2578" i="5"/>
  <c r="K2804" i="5"/>
  <c r="K1661" i="5"/>
  <c r="K4033" i="5"/>
  <c r="K453" i="5"/>
  <c r="K2351" i="5"/>
  <c r="K1857" i="5"/>
  <c r="K667" i="5"/>
  <c r="K3724" i="5"/>
  <c r="K815" i="5"/>
  <c r="K1777" i="5"/>
  <c r="K2654" i="5"/>
  <c r="K1501" i="5"/>
  <c r="K717" i="5"/>
  <c r="K1203" i="5"/>
  <c r="K3204" i="5"/>
  <c r="K676" i="5"/>
  <c r="K3372" i="5"/>
  <c r="K2094" i="5"/>
  <c r="K1417" i="5"/>
  <c r="K3800" i="5"/>
  <c r="K3551" i="5"/>
  <c r="K212" i="5"/>
  <c r="K579" i="5"/>
  <c r="K3460" i="5"/>
  <c r="K1174" i="5"/>
  <c r="K2357" i="5"/>
  <c r="K2363" i="5"/>
  <c r="K1378" i="5"/>
  <c r="K1626" i="5"/>
  <c r="K1533" i="5"/>
  <c r="K3798" i="5"/>
  <c r="K3580" i="5"/>
  <c r="K2207" i="5"/>
  <c r="K2620" i="5"/>
  <c r="K854" i="5"/>
  <c r="K1069" i="5"/>
  <c r="K3272" i="5"/>
  <c r="K3443" i="5"/>
  <c r="K3148" i="5"/>
  <c r="K2583" i="5"/>
  <c r="K2181" i="5"/>
  <c r="K2348" i="5"/>
  <c r="K1008" i="5"/>
  <c r="K780" i="5"/>
  <c r="K1150" i="5"/>
  <c r="K3640" i="5"/>
  <c r="K392" i="5"/>
  <c r="K2513" i="5"/>
  <c r="K230" i="5"/>
  <c r="K2555" i="5"/>
  <c r="K2282" i="5"/>
  <c r="K2267" i="5"/>
  <c r="K3603" i="5"/>
  <c r="K2061" i="5"/>
  <c r="K3975" i="5"/>
  <c r="K2340" i="5"/>
  <c r="K2384" i="5"/>
  <c r="K105" i="5"/>
  <c r="K1593" i="5"/>
  <c r="K173" i="5"/>
  <c r="K2521" i="5"/>
  <c r="K399" i="5"/>
  <c r="K3722" i="5"/>
  <c r="K499" i="5"/>
  <c r="K2751" i="5"/>
  <c r="K2319" i="5"/>
  <c r="K1143" i="5"/>
  <c r="K2261" i="5"/>
  <c r="K2203" i="5"/>
  <c r="K2764" i="5"/>
  <c r="K769" i="5"/>
  <c r="K2655" i="5"/>
  <c r="K2469" i="5"/>
  <c r="K1679" i="5"/>
  <c r="K3713" i="5"/>
  <c r="K2646" i="5"/>
  <c r="K1737" i="5"/>
  <c r="K4070" i="5"/>
  <c r="K1577" i="5"/>
  <c r="K2594" i="5"/>
  <c r="K587" i="5"/>
  <c r="K3675" i="5"/>
  <c r="K1706" i="5"/>
  <c r="K1526" i="5"/>
  <c r="K2315" i="5"/>
  <c r="K2397" i="5"/>
  <c r="K1504" i="5"/>
  <c r="K1845" i="5"/>
  <c r="K2030" i="5"/>
  <c r="K2072" i="5"/>
  <c r="K190" i="5"/>
  <c r="K156" i="5"/>
  <c r="K3717" i="5"/>
  <c r="K1743" i="5"/>
  <c r="K3618" i="5"/>
  <c r="K548" i="5"/>
  <c r="K309" i="5"/>
  <c r="K2745" i="5"/>
  <c r="K2067" i="5"/>
  <c r="K1513" i="5"/>
  <c r="K2566" i="5"/>
  <c r="K2206" i="5"/>
  <c r="K2269" i="5"/>
  <c r="K2189" i="5"/>
  <c r="K1018" i="5"/>
  <c r="K3806" i="5"/>
  <c r="K3888" i="5"/>
  <c r="K2613" i="5"/>
  <c r="K3449" i="5"/>
  <c r="K1139" i="5"/>
  <c r="K2733" i="5"/>
  <c r="K3109" i="5"/>
  <c r="K2612" i="5"/>
  <c r="K1242" i="5"/>
  <c r="K2793" i="5"/>
  <c r="K2573" i="5"/>
  <c r="K195" i="5"/>
  <c r="K159" i="5"/>
  <c r="K347" i="5"/>
  <c r="K3817" i="5"/>
  <c r="K2211" i="5"/>
  <c r="K1303" i="5"/>
  <c r="K223" i="5"/>
  <c r="K3926" i="5"/>
  <c r="K1269" i="5"/>
  <c r="K1739" i="5"/>
  <c r="K3663" i="5"/>
  <c r="K88" i="5"/>
  <c r="K1108" i="5"/>
  <c r="K1955" i="5"/>
  <c r="K2248" i="5"/>
  <c r="K2219" i="5"/>
  <c r="K1962" i="5"/>
  <c r="K1855" i="5"/>
  <c r="K691" i="5"/>
  <c r="K573" i="5"/>
  <c r="K1920" i="5"/>
  <c r="K513" i="5"/>
  <c r="K1401" i="5"/>
  <c r="K3819" i="5"/>
  <c r="K3411" i="5"/>
  <c r="K1583" i="5"/>
  <c r="K2809" i="5"/>
  <c r="K1323" i="5"/>
  <c r="K1712" i="5"/>
  <c r="K1948" i="5"/>
  <c r="K3956" i="5"/>
  <c r="K3440" i="5"/>
  <c r="K1942" i="5"/>
  <c r="K3963" i="5"/>
  <c r="K3852" i="5"/>
  <c r="K801" i="5"/>
  <c r="K1184" i="5"/>
  <c r="K3537" i="5"/>
  <c r="K1848" i="5"/>
  <c r="K2394" i="5"/>
  <c r="K1552" i="5"/>
  <c r="K3490" i="5"/>
  <c r="K343" i="5"/>
  <c r="K2659" i="5"/>
  <c r="K1740" i="5"/>
  <c r="K1244" i="5"/>
  <c r="K3778" i="5"/>
  <c r="K3845" i="5"/>
  <c r="K2460" i="5"/>
  <c r="K2039" i="5"/>
  <c r="K1895" i="5"/>
  <c r="K2411" i="5"/>
  <c r="K1198" i="5"/>
  <c r="K3838" i="5"/>
  <c r="K3416" i="5"/>
  <c r="K1597" i="5"/>
  <c r="K1755" i="5"/>
  <c r="K1846" i="5"/>
  <c r="K3444" i="5"/>
  <c r="K2238" i="5"/>
  <c r="K3613" i="5"/>
  <c r="K2324" i="5"/>
  <c r="K3349" i="5"/>
  <c r="K3849" i="5"/>
  <c r="K1073" i="5"/>
  <c r="K683" i="5"/>
  <c r="K1517" i="5"/>
  <c r="K2766" i="5"/>
  <c r="K696" i="5"/>
  <c r="K718" i="5"/>
  <c r="K1871" i="5"/>
  <c r="K1627" i="5"/>
  <c r="K3441" i="5"/>
  <c r="K2472" i="5"/>
  <c r="K2046" i="5"/>
  <c r="K3373" i="5"/>
  <c r="K1678" i="5"/>
  <c r="K1606" i="5"/>
  <c r="K732" i="5"/>
  <c r="K2501" i="5"/>
  <c r="K3700" i="5"/>
  <c r="K615" i="5"/>
  <c r="K757" i="5"/>
  <c r="K1125" i="5"/>
  <c r="K3261" i="5"/>
  <c r="K2791" i="5"/>
  <c r="K84" i="5"/>
  <c r="K238" i="5"/>
  <c r="K2093" i="5"/>
  <c r="K1298" i="5"/>
  <c r="K1719" i="5"/>
  <c r="K618" i="5"/>
  <c r="K3540" i="5"/>
  <c r="K89" i="5"/>
  <c r="K128" i="5"/>
  <c r="K2486" i="5"/>
  <c r="K2387" i="5"/>
  <c r="K1656" i="5"/>
  <c r="K747" i="5"/>
  <c r="K661" i="5"/>
  <c r="K1241" i="5"/>
  <c r="K3268" i="5"/>
  <c r="K3766" i="5"/>
  <c r="K3428" i="5"/>
  <c r="K2740" i="5"/>
  <c r="K1322" i="5"/>
  <c r="K1551" i="5"/>
  <c r="K3784" i="5"/>
  <c r="K703" i="5"/>
  <c r="K2673" i="5"/>
  <c r="K1611" i="5"/>
  <c r="K3111" i="5"/>
  <c r="K1261" i="5"/>
  <c r="K2641" i="5"/>
  <c r="K502" i="5"/>
  <c r="K1289" i="5"/>
  <c r="K2637" i="5"/>
  <c r="K2709" i="5"/>
  <c r="K133" i="5"/>
  <c r="K1697" i="5"/>
  <c r="K4080" i="5"/>
  <c r="K3601" i="5"/>
  <c r="K2681" i="5"/>
  <c r="K1107" i="5"/>
  <c r="K600" i="5"/>
  <c r="K944" i="5"/>
  <c r="K337" i="5"/>
  <c r="K1396" i="5"/>
  <c r="K965" i="5"/>
  <c r="K3756" i="5"/>
  <c r="K1897" i="5"/>
  <c r="K1811" i="5"/>
  <c r="K2505" i="5"/>
  <c r="K1725" i="5"/>
  <c r="K890" i="5"/>
  <c r="K2403" i="5"/>
  <c r="K1595" i="5"/>
  <c r="K650" i="5"/>
  <c r="K3135" i="5"/>
  <c r="K1689" i="5"/>
  <c r="K3486" i="5"/>
  <c r="K2272" i="5"/>
  <c r="K3530" i="5"/>
  <c r="K957" i="5"/>
  <c r="K1958" i="5"/>
  <c r="K3748" i="5"/>
  <c r="K2794" i="5"/>
  <c r="K1499" i="5"/>
  <c r="K1793" i="5"/>
  <c r="K1938" i="5"/>
  <c r="K1575" i="5"/>
  <c r="K2665" i="5"/>
  <c r="K3917" i="5"/>
  <c r="K671" i="5"/>
  <c r="K222" i="5"/>
  <c r="K329" i="5"/>
  <c r="K2551" i="5"/>
  <c r="K560" i="5"/>
  <c r="K772" i="5"/>
  <c r="K1906" i="5"/>
  <c r="K1928" i="5"/>
  <c r="K2068" i="5"/>
  <c r="K1173" i="5"/>
  <c r="K1669" i="5"/>
  <c r="K4078" i="5"/>
  <c r="K2228" i="5"/>
  <c r="K3946" i="5"/>
  <c r="K3606" i="5"/>
  <c r="K1923" i="5"/>
  <c r="K3467" i="5"/>
  <c r="K1815" i="5"/>
  <c r="K3442" i="5"/>
  <c r="K3892" i="5"/>
  <c r="K593" i="5"/>
  <c r="K1022" i="5"/>
  <c r="K1176" i="5"/>
  <c r="K1997" i="5"/>
  <c r="K3883" i="5"/>
  <c r="K1129" i="5"/>
  <c r="K1598" i="5"/>
  <c r="K1112" i="5"/>
  <c r="K122" i="5"/>
  <c r="K3482" i="5"/>
  <c r="K3768" i="5"/>
  <c r="K754" i="5"/>
  <c r="K1169" i="5"/>
  <c r="K2755" i="5"/>
  <c r="K1191" i="5"/>
  <c r="K1932" i="5"/>
  <c r="K296" i="5"/>
  <c r="K3572" i="5"/>
  <c r="K4045" i="5"/>
  <c r="K2623" i="5"/>
  <c r="K1064" i="5"/>
  <c r="K3592" i="5"/>
  <c r="K2564" i="5"/>
  <c r="K3983" i="5"/>
  <c r="K130" i="5"/>
  <c r="K1012" i="5"/>
  <c r="K2688" i="5"/>
  <c r="K2674" i="5"/>
  <c r="K1980" i="5"/>
  <c r="K2498" i="5"/>
  <c r="K3466" i="5"/>
  <c r="K3343" i="5"/>
  <c r="K1835" i="5"/>
  <c r="K1102" i="5"/>
  <c r="K1113" i="5"/>
  <c r="K2507" i="5"/>
  <c r="K2490" i="5"/>
  <c r="K2724" i="5"/>
  <c r="K2176" i="5"/>
  <c r="K1190" i="5"/>
  <c r="K2530" i="5"/>
  <c r="K2388" i="5"/>
  <c r="K3124" i="5"/>
  <c r="K808" i="5"/>
  <c r="K564" i="5"/>
  <c r="K3420" i="5"/>
  <c r="K2494" i="5"/>
  <c r="K3704" i="5"/>
  <c r="K1609" i="5"/>
  <c r="K1236" i="5"/>
  <c r="K738" i="5"/>
  <c r="K693" i="5"/>
  <c r="K2028" i="5"/>
  <c r="K2746" i="5"/>
  <c r="K1657" i="5"/>
  <c r="K663" i="5"/>
  <c r="K2604" i="5"/>
  <c r="K25" i="5"/>
  <c r="K905" i="5"/>
  <c r="K1849" i="5"/>
  <c r="K3354" i="5"/>
  <c r="K35" i="5"/>
  <c r="K1628" i="5"/>
  <c r="K687" i="5"/>
  <c r="K1616" i="5"/>
  <c r="K3837" i="5"/>
  <c r="K1039" i="5"/>
  <c r="K1384" i="5"/>
  <c r="K2788" i="5"/>
  <c r="K4068" i="5"/>
  <c r="K1756" i="5"/>
  <c r="K2129" i="5"/>
  <c r="K2473" i="5"/>
  <c r="K2749" i="5"/>
  <c r="K2644" i="5"/>
  <c r="K2591" i="5"/>
  <c r="K2079" i="5"/>
  <c r="K675" i="5"/>
  <c r="K2231" i="5"/>
  <c r="K1083" i="5"/>
  <c r="K235" i="5"/>
  <c r="K3683" i="5"/>
  <c r="K3493" i="5"/>
  <c r="K1409" i="5"/>
  <c r="K1830" i="5"/>
  <c r="K4101" i="5"/>
  <c r="K2012" i="5"/>
  <c r="K1699" i="5"/>
  <c r="K61" i="5"/>
  <c r="K1260" i="5"/>
  <c r="K2064" i="5"/>
  <c r="K1860" i="5"/>
  <c r="K518" i="5"/>
  <c r="K1993" i="5"/>
  <c r="K8" i="5"/>
  <c r="K1373" i="5"/>
  <c r="K170" i="5"/>
  <c r="K4021" i="5"/>
  <c r="K3452" i="5"/>
  <c r="K1568" i="5"/>
  <c r="K3621" i="5"/>
  <c r="K2325" i="5"/>
  <c r="K531" i="5"/>
  <c r="K1021" i="5"/>
  <c r="K3951" i="5"/>
  <c r="K1862" i="5"/>
  <c r="K2658" i="5"/>
  <c r="K319" i="5"/>
  <c r="K1098" i="5"/>
  <c r="K966" i="5"/>
  <c r="K1868" i="5"/>
  <c r="K1922" i="5"/>
  <c r="K2288" i="5"/>
  <c r="K1947" i="5"/>
  <c r="K1353" i="5"/>
  <c r="K1757" i="5"/>
  <c r="K3250" i="5"/>
  <c r="K3933" i="5"/>
  <c r="K2516" i="5"/>
  <c r="K2237" i="5"/>
  <c r="K666" i="5"/>
  <c r="K3404" i="5"/>
  <c r="K3788" i="5"/>
  <c r="K1359" i="5"/>
  <c r="K18" i="5"/>
  <c r="K2600" i="5"/>
  <c r="K768" i="5"/>
  <c r="K1812" i="5"/>
  <c r="K1404" i="5"/>
  <c r="K3974" i="5"/>
  <c r="K1032" i="5"/>
  <c r="K689" i="5"/>
  <c r="K1247" i="5"/>
  <c r="K3816" i="5"/>
  <c r="K254" i="5"/>
  <c r="K3825" i="5"/>
  <c r="K3284" i="5"/>
  <c r="K3856" i="5"/>
  <c r="K1031" i="5"/>
  <c r="K2470" i="5"/>
  <c r="K3682" i="5"/>
  <c r="K2217" i="5"/>
  <c r="K3463" i="5"/>
  <c r="K231" i="5"/>
  <c r="K1275" i="5"/>
  <c r="K1635" i="5"/>
  <c r="K2247" i="5"/>
  <c r="K1965" i="5"/>
  <c r="K1106" i="5"/>
  <c r="K1238" i="5"/>
  <c r="K3971" i="5"/>
  <c r="K781" i="5"/>
  <c r="K94" i="5"/>
  <c r="K805" i="5"/>
  <c r="K1507" i="5"/>
  <c r="K752" i="5"/>
  <c r="K2742" i="5"/>
  <c r="K2209" i="5"/>
  <c r="K3122" i="5"/>
  <c r="K68" i="5"/>
  <c r="K1783" i="5"/>
  <c r="K1567" i="5"/>
  <c r="K571" i="5"/>
  <c r="K3916" i="5"/>
  <c r="K2479" i="5"/>
  <c r="K2795" i="5"/>
  <c r="K92" i="5"/>
  <c r="K2492" i="5"/>
  <c r="K643" i="5"/>
  <c r="K2071" i="5"/>
  <c r="K2336" i="5"/>
  <c r="K1542" i="5"/>
  <c r="K677" i="5"/>
  <c r="K3409" i="5"/>
  <c r="K1979" i="5"/>
  <c r="K3796" i="5"/>
  <c r="K1256" i="5"/>
  <c r="K4063" i="5"/>
  <c r="K357" i="5"/>
  <c r="K523" i="5"/>
  <c r="K2208" i="5"/>
  <c r="K2440" i="5"/>
  <c r="K811" i="5"/>
  <c r="K2253" i="5"/>
  <c r="K726" i="5"/>
  <c r="K3262" i="5"/>
  <c r="K15" i="5"/>
  <c r="K4093" i="5"/>
  <c r="K1998" i="5"/>
  <c r="K2796" i="5"/>
  <c r="K7" i="5"/>
  <c r="K3754" i="5"/>
  <c r="K2734" i="5"/>
  <c r="K3" i="5"/>
  <c r="K3319" i="5"/>
  <c r="K649" i="5"/>
  <c r="K2704" i="5"/>
  <c r="K2081" i="5"/>
  <c r="K2002" i="5"/>
  <c r="K28" i="5"/>
  <c r="K1377" i="5"/>
  <c r="K2711" i="5"/>
  <c r="K1208" i="5"/>
  <c r="K111" i="5"/>
  <c r="K1572" i="5"/>
  <c r="K645" i="5"/>
  <c r="K2776" i="5"/>
  <c r="K1235" i="5"/>
  <c r="K1141" i="5"/>
  <c r="K1767" i="5"/>
  <c r="K945" i="5"/>
  <c r="K3930" i="5"/>
  <c r="K116" i="5"/>
  <c r="K647" i="5"/>
  <c r="K1211" i="5"/>
  <c r="K716" i="5"/>
  <c r="K194" i="5"/>
  <c r="K4069" i="5"/>
  <c r="K2406" i="5"/>
  <c r="K624" i="5"/>
  <c r="K249" i="5"/>
  <c r="K3767" i="5"/>
  <c r="K3889" i="5"/>
  <c r="K2497" i="5"/>
  <c r="K2224" i="5"/>
  <c r="K1705" i="5"/>
  <c r="K608" i="5"/>
  <c r="K2222" i="5"/>
  <c r="K4009" i="5"/>
  <c r="K1949" i="5"/>
  <c r="K118" i="5"/>
  <c r="K3866" i="5"/>
  <c r="K2756" i="5"/>
  <c r="K308" i="5"/>
  <c r="K773" i="5"/>
  <c r="K180" i="5"/>
  <c r="K3602" i="5"/>
  <c r="K1954" i="5"/>
  <c r="K41" i="5"/>
  <c r="K1625" i="5"/>
  <c r="K1122" i="5"/>
  <c r="K575" i="5"/>
  <c r="K3337" i="5"/>
  <c r="K3587" i="5"/>
  <c r="K3465" i="5"/>
  <c r="K2529" i="5"/>
  <c r="K3699" i="5"/>
  <c r="K1356" i="5"/>
  <c r="K2596" i="5"/>
  <c r="K2576" i="5"/>
  <c r="K340" i="5"/>
  <c r="K3726" i="5"/>
  <c r="K30" i="5"/>
  <c r="K592" i="5"/>
  <c r="K1254" i="5"/>
  <c r="K799" i="5"/>
  <c r="K1989" i="5"/>
  <c r="K1339" i="5"/>
  <c r="K2611" i="5"/>
  <c r="K1293" i="5"/>
  <c r="K520" i="5"/>
  <c r="K2657" i="5"/>
  <c r="K391" i="5"/>
  <c r="K2544" i="5"/>
  <c r="K779" i="5"/>
  <c r="K3112" i="5"/>
  <c r="K2257" i="5"/>
  <c r="K3259" i="5"/>
  <c r="K1623" i="5"/>
  <c r="K305" i="5"/>
  <c r="K545" i="5"/>
  <c r="K167" i="5"/>
  <c r="K2589" i="5"/>
  <c r="K2014" i="5"/>
  <c r="K3574" i="5"/>
  <c r="K184" i="5"/>
  <c r="K3532" i="5"/>
  <c r="K3586" i="5"/>
  <c r="K3774" i="5"/>
  <c r="K505" i="5"/>
  <c r="K3445" i="5"/>
  <c r="K2296" i="5"/>
  <c r="K1966" i="5"/>
  <c r="K3437" i="5"/>
  <c r="K1328" i="5"/>
  <c r="K2345" i="5"/>
  <c r="K3674" i="5"/>
  <c r="K2457" i="5"/>
  <c r="K3582" i="5"/>
  <c r="K2510" i="5"/>
  <c r="K644" i="5"/>
  <c r="K2083" i="5"/>
  <c r="K3578" i="5"/>
  <c r="K3847" i="5"/>
  <c r="K2095" i="5"/>
  <c r="K2642" i="5"/>
  <c r="K3911" i="5"/>
  <c r="K2089" i="5"/>
  <c r="K1025" i="5"/>
  <c r="K536" i="5"/>
  <c r="K2215" i="5"/>
  <c r="K1082" i="5"/>
  <c r="K1145" i="5"/>
  <c r="K2491" i="5"/>
  <c r="K4025" i="5"/>
  <c r="K3141" i="5"/>
  <c r="K1821" i="5"/>
  <c r="K3637" i="5"/>
  <c r="K1195" i="5"/>
  <c r="K1632" i="5"/>
  <c r="K2164" i="5"/>
  <c r="K3134" i="5"/>
  <c r="K1723" i="5"/>
  <c r="K273" i="5"/>
  <c r="K3686" i="5"/>
  <c r="K91" i="5"/>
  <c r="K1043" i="5"/>
  <c r="K1097" i="5"/>
  <c r="K1933" i="5"/>
  <c r="K1204" i="5"/>
  <c r="K589" i="5"/>
  <c r="K2571" i="5"/>
  <c r="K997" i="5"/>
  <c r="K2684" i="5"/>
  <c r="K2434" i="5"/>
  <c r="K2759" i="5"/>
  <c r="K788" i="5"/>
  <c r="K1750" i="5"/>
  <c r="K1492" i="5"/>
  <c r="K2031" i="5"/>
  <c r="K3133" i="5"/>
  <c r="K2389" i="5"/>
  <c r="K1838" i="5"/>
  <c r="K577" i="5"/>
  <c r="K938" i="5"/>
  <c r="K3886" i="5"/>
  <c r="K1580" i="5"/>
  <c r="K1888" i="5"/>
  <c r="K1586" i="5"/>
  <c r="K715" i="5"/>
  <c r="K4071" i="5"/>
  <c r="K3988" i="5"/>
  <c r="K1610" i="5"/>
  <c r="K1900" i="5"/>
  <c r="K3980" i="5"/>
  <c r="K3552" i="5"/>
  <c r="K1157" i="5"/>
  <c r="K766" i="5"/>
  <c r="K2575" i="5"/>
  <c r="K598" i="5"/>
  <c r="K1974" i="5"/>
  <c r="K3593" i="5"/>
  <c r="K3479" i="5"/>
  <c r="K2326" i="5"/>
  <c r="K783" i="5"/>
  <c r="K12" i="5"/>
  <c r="K2605" i="5"/>
  <c r="K1856" i="5"/>
  <c r="K1943" i="5"/>
  <c r="K2689" i="5"/>
  <c r="K1268" i="5"/>
  <c r="K1709" i="5"/>
  <c r="K1518" i="5"/>
  <c r="K1670" i="5"/>
  <c r="K36" i="5"/>
  <c r="K1834" i="5"/>
  <c r="K2035" i="5"/>
  <c r="K2301" i="5"/>
  <c r="K3139" i="5"/>
  <c r="K1673" i="5"/>
  <c r="K3450" i="5"/>
  <c r="K2264" i="5"/>
  <c r="K778" i="5"/>
  <c r="K3399" i="5"/>
  <c r="K3381" i="5"/>
  <c r="K3126" i="5"/>
  <c r="K3820" i="5"/>
  <c r="K527" i="5"/>
  <c r="K1520" i="5"/>
  <c r="K2697" i="5"/>
  <c r="K947" i="5"/>
  <c r="K2243" i="5"/>
  <c r="K1045" i="5"/>
  <c r="K1847" i="5"/>
  <c r="K1199" i="5"/>
  <c r="K19" i="5"/>
  <c r="K941" i="5"/>
  <c r="K1020" i="5"/>
  <c r="K1512" i="5"/>
  <c r="K2448" i="5"/>
  <c r="K3539" i="5"/>
  <c r="K3737" i="5"/>
  <c r="K2415" i="5"/>
  <c r="K1079" i="5"/>
  <c r="K1566" i="5"/>
  <c r="K940" i="5"/>
  <c r="K1976" i="5"/>
  <c r="K3260" i="5"/>
  <c r="K3609" i="5"/>
  <c r="K3945" i="5"/>
  <c r="K3702" i="5"/>
  <c r="K2629" i="5"/>
  <c r="K4056" i="5"/>
  <c r="K2334" i="5"/>
  <c r="K2640" i="5"/>
  <c r="K151" i="5"/>
  <c r="K2649" i="5"/>
  <c r="K3247" i="5"/>
  <c r="K533" i="5"/>
  <c r="K1584" i="5"/>
  <c r="K524" i="5"/>
  <c r="K1051" i="5"/>
  <c r="K3491" i="5"/>
  <c r="K906" i="5"/>
  <c r="K1066" i="5"/>
  <c r="K1354" i="5"/>
  <c r="K2540" i="5"/>
  <c r="K3931" i="5"/>
  <c r="K1977" i="5"/>
  <c r="K2747" i="5"/>
  <c r="K3562" i="5"/>
  <c r="K1894" i="5"/>
  <c r="K1944" i="5"/>
  <c r="K1350" i="5"/>
  <c r="K245" i="5"/>
  <c r="K1146" i="5"/>
  <c r="K2091" i="5"/>
  <c r="K1807" i="5"/>
  <c r="K2533" i="5"/>
  <c r="K632" i="5"/>
  <c r="K3599" i="5"/>
  <c r="K2683" i="5"/>
  <c r="K3397" i="5"/>
  <c r="K3807" i="5"/>
  <c r="K2242" i="5"/>
  <c r="K1573" i="5"/>
  <c r="K3447" i="5"/>
  <c r="K2350" i="5"/>
  <c r="K2772" i="5"/>
  <c r="K325" i="5"/>
  <c r="K2163" i="5"/>
  <c r="K1213" i="5"/>
  <c r="K390" i="5"/>
  <c r="K3731" i="5"/>
  <c r="K1869" i="5"/>
  <c r="K1182" i="5"/>
  <c r="K762" i="5"/>
  <c r="K915" i="5"/>
  <c r="K2328" i="5"/>
  <c r="K3108" i="5"/>
  <c r="K362" i="5"/>
  <c r="K3848" i="5"/>
  <c r="K257" i="5"/>
  <c r="K1296" i="5"/>
  <c r="K1279" i="5"/>
  <c r="K1827" i="5"/>
  <c r="K1233" i="5"/>
  <c r="K2710" i="5"/>
  <c r="K1987" i="5"/>
  <c r="K1672" i="5"/>
  <c r="K1914" i="5"/>
  <c r="K686" i="5"/>
  <c r="K1071" i="5"/>
  <c r="K1909" i="5"/>
  <c r="K280" i="5"/>
  <c r="K1726" i="5"/>
  <c r="K1050" i="5"/>
  <c r="K2599" i="5"/>
  <c r="K1030" i="5"/>
  <c r="K107" i="5"/>
  <c r="K1046" i="5"/>
  <c r="K939" i="5"/>
  <c r="K2033" i="5"/>
  <c r="K2239" i="5"/>
  <c r="K908" i="5"/>
  <c r="K1828" i="5"/>
  <c r="K3433" i="5"/>
  <c r="K4015" i="5"/>
  <c r="K843" i="5"/>
  <c r="K3588" i="5"/>
  <c r="K134" i="5"/>
  <c r="K2499" i="5"/>
  <c r="K1149" i="5"/>
  <c r="K1295" i="5"/>
  <c r="K2352" i="5"/>
  <c r="K2471" i="5"/>
  <c r="K3904" i="5"/>
  <c r="K1094" i="5"/>
  <c r="K2550" i="5"/>
  <c r="K2671" i="5"/>
  <c r="K2235" i="5"/>
  <c r="K3839" i="5"/>
  <c r="K584" i="5"/>
  <c r="K120" i="5"/>
  <c r="K3905" i="5"/>
  <c r="K1665" i="5"/>
  <c r="K627" i="5"/>
  <c r="K1120" i="5"/>
  <c r="K2330" i="5"/>
  <c r="K9" i="5"/>
  <c r="K1789" i="5"/>
  <c r="K2520" i="5"/>
  <c r="K2691" i="5"/>
  <c r="K239" i="5"/>
  <c r="K2088" i="5"/>
  <c r="K1981" i="5"/>
  <c r="K3818" i="5"/>
  <c r="K1077" i="5"/>
  <c r="K1267" i="5"/>
  <c r="K1286" i="5"/>
  <c r="K248" i="5"/>
  <c r="K657" i="5"/>
  <c r="K3711" i="5"/>
  <c r="K82" i="5"/>
  <c r="K3248" i="5"/>
  <c r="K3688" i="5"/>
  <c r="K193" i="5"/>
  <c r="K3855" i="5"/>
  <c r="K396" i="5"/>
  <c r="K2376" i="5"/>
  <c r="K2775" i="5"/>
  <c r="K385" i="5"/>
  <c r="K543" i="5"/>
  <c r="K714" i="5"/>
  <c r="K2311" i="5"/>
  <c r="K77" i="5"/>
  <c r="K3736" i="5"/>
  <c r="K3765" i="5"/>
  <c r="K3739" i="5"/>
  <c r="K2441" i="5"/>
  <c r="K881" i="5"/>
  <c r="K2602" i="5"/>
  <c r="K1535" i="5"/>
  <c r="K3865" i="5"/>
  <c r="K1134" i="5"/>
  <c r="K2737" i="5"/>
  <c r="K530" i="5"/>
  <c r="K1571" i="5"/>
  <c r="K4001" i="5"/>
  <c r="K1140" i="5"/>
  <c r="K596" i="5"/>
  <c r="K3966" i="5"/>
  <c r="K3763" i="5"/>
  <c r="K709" i="5"/>
  <c r="K2506" i="5"/>
  <c r="K2136" i="5"/>
  <c r="K3249" i="5"/>
  <c r="K1329" i="5"/>
  <c r="K327" i="5"/>
  <c r="K2527" i="5"/>
  <c r="K2805" i="5"/>
  <c r="K907" i="5"/>
  <c r="K1265" i="5"/>
  <c r="K3424" i="5"/>
  <c r="K921" i="5"/>
  <c r="K2170" i="5"/>
  <c r="K993" i="5"/>
  <c r="K665" i="5"/>
  <c r="K3500" i="5"/>
  <c r="K1662" i="5"/>
  <c r="K4004" i="5"/>
  <c r="K311" i="5"/>
  <c r="K3483" i="5"/>
  <c r="K655" i="5"/>
  <c r="K2193" i="5"/>
  <c r="K1330" i="5"/>
  <c r="K3720" i="5"/>
  <c r="K124" i="5"/>
  <c r="K2569" i="5"/>
  <c r="K4075" i="5"/>
  <c r="K4036" i="5"/>
  <c r="K1076" i="5"/>
  <c r="K3258" i="5"/>
  <c r="K2015" i="5"/>
  <c r="K3643" i="5"/>
  <c r="K3336" i="5"/>
  <c r="K127" i="5"/>
  <c r="K2056" i="5"/>
  <c r="K1205" i="5"/>
  <c r="K526" i="5"/>
  <c r="K658" i="5"/>
  <c r="K4017" i="5"/>
  <c r="K1360" i="5"/>
  <c r="K1128" i="5"/>
  <c r="K819" i="5"/>
  <c r="K1682" i="5"/>
  <c r="K2549" i="5"/>
  <c r="K246" i="5"/>
  <c r="K761" i="5"/>
  <c r="K2672" i="5"/>
  <c r="K13" i="5"/>
  <c r="K3776" i="5"/>
  <c r="K1556" i="5"/>
  <c r="K3353" i="5"/>
  <c r="K1676" i="5"/>
  <c r="K303" i="5"/>
  <c r="K3531" i="5"/>
  <c r="K767" i="5"/>
  <c r="K606" i="5"/>
  <c r="K3553" i="5"/>
  <c r="K2084" i="5"/>
  <c r="K4" i="5"/>
  <c r="K2087" i="5"/>
  <c r="K1278" i="5"/>
  <c r="K3461" i="5"/>
  <c r="K628" i="5"/>
  <c r="K972" i="5"/>
  <c r="K1380" i="5"/>
  <c r="K3438" i="5"/>
  <c r="K99" i="5"/>
  <c r="K4014" i="5"/>
  <c r="K1986" i="5"/>
  <c r="K1984" i="5"/>
  <c r="K75" i="5"/>
  <c r="K3521" i="5"/>
  <c r="K3650" i="5"/>
  <c r="K2433" i="5"/>
  <c r="K1816" i="5"/>
  <c r="K2390" i="5"/>
  <c r="K1633" i="5"/>
  <c r="K2360" i="5"/>
  <c r="K216" i="5"/>
  <c r="K2695" i="5"/>
  <c r="K2196" i="5"/>
  <c r="K1170" i="5"/>
  <c r="K630" i="5"/>
  <c r="K922" i="5"/>
  <c r="K20" i="5"/>
  <c r="K3393" i="5"/>
  <c r="K3456" i="5"/>
  <c r="K913" i="5"/>
  <c r="K294" i="5"/>
  <c r="K3502" i="5"/>
  <c r="K2685" i="5"/>
  <c r="K3965" i="5"/>
  <c r="K3790" i="5"/>
  <c r="K3267" i="5"/>
  <c r="K2316" i="5"/>
  <c r="K1557" i="5"/>
  <c r="K1054" i="5"/>
  <c r="K2730" i="5"/>
  <c r="K291" i="5"/>
  <c r="K751" i="5"/>
  <c r="K2727" i="5"/>
  <c r="K112" i="5"/>
  <c r="K2696" i="5"/>
  <c r="K271" i="5"/>
  <c r="K3793" i="5"/>
  <c r="K3590" i="5"/>
  <c r="K1677" i="5"/>
  <c r="K135" i="5"/>
  <c r="K3472" i="5"/>
  <c r="K1907" i="5"/>
  <c r="K749" i="5"/>
  <c r="K685" i="5"/>
  <c r="K512" i="5"/>
  <c r="K2281" i="5"/>
  <c r="K1124" i="5"/>
  <c r="K3555" i="5"/>
  <c r="K1300" i="5"/>
  <c r="K3882" i="5"/>
  <c r="K1602" i="5"/>
  <c r="K1319" i="5"/>
  <c r="K4053" i="5"/>
  <c r="K2027" i="5"/>
  <c r="K3136" i="5"/>
  <c r="K2379" i="5"/>
  <c r="K4022" i="5"/>
  <c r="K2229" i="5"/>
  <c r="K553" i="5"/>
  <c r="K498" i="5"/>
  <c r="K2453" i="5"/>
  <c r="K3749" i="5"/>
  <c r="K2265" i="5"/>
  <c r="K2450" i="5"/>
  <c r="K3809" i="5"/>
  <c r="K3426" i="5"/>
  <c r="K2" i="5"/>
  <c r="K3489" i="5"/>
  <c r="K911" i="5"/>
  <c r="K2302" i="5"/>
  <c r="K2522" i="5"/>
  <c r="K1342" i="5"/>
  <c r="K4005" i="5"/>
  <c r="K1253" i="5"/>
  <c r="K1730" i="5"/>
  <c r="K2199" i="5"/>
  <c r="K2252" i="5"/>
  <c r="K2574" i="5"/>
  <c r="K3824" i="5"/>
  <c r="K1394" i="5"/>
  <c r="K1801" i="5"/>
  <c r="K1389" i="5"/>
  <c r="K2502" i="5"/>
  <c r="K3616" i="5"/>
  <c r="K3474" i="5"/>
  <c r="K2291" i="5"/>
  <c r="K165" i="5"/>
  <c r="K1713" i="5"/>
  <c r="K350" i="5"/>
  <c r="K3794" i="5"/>
  <c r="K4107" i="5"/>
  <c r="K698" i="5"/>
  <c r="K760" i="5"/>
  <c r="K1291" i="5"/>
  <c r="K1196" i="5"/>
  <c r="K809" i="5"/>
  <c r="K3719" i="5"/>
  <c r="K2754" i="5"/>
  <c r="K1398" i="5"/>
  <c r="K2721" i="5"/>
  <c r="K969" i="5"/>
  <c r="K3523" i="5"/>
  <c r="K2509" i="5"/>
  <c r="K2452" i="5"/>
  <c r="K2444" i="5"/>
  <c r="K3986" i="5"/>
  <c r="K2382" i="5"/>
  <c r="K1970" i="5"/>
  <c r="K2113" i="5"/>
  <c r="K574" i="5"/>
  <c r="K611" i="5"/>
  <c r="K1347" i="5"/>
  <c r="K1227" i="5"/>
  <c r="K3196" i="5"/>
  <c r="K2595" i="5"/>
  <c r="K3902" i="5"/>
  <c r="K413" i="5"/>
  <c r="K804" i="5"/>
  <c r="K3581" i="5"/>
  <c r="K1314" i="5"/>
  <c r="K2561" i="5"/>
  <c r="K2259" i="5"/>
  <c r="K2758" i="5"/>
  <c r="K3140" i="5"/>
  <c r="K3484" i="5"/>
  <c r="K740" i="5"/>
  <c r="K1290" i="5"/>
  <c r="K3907" i="5"/>
  <c r="K616" i="5"/>
  <c r="K3583" i="5"/>
  <c r="K2792" i="5"/>
  <c r="K1647" i="5"/>
  <c r="K1163" i="5"/>
  <c r="K904" i="5"/>
  <c r="K1766" i="5"/>
  <c r="K93" i="5"/>
  <c r="K1259" i="5"/>
  <c r="K4043" i="5"/>
  <c r="K1189" i="5"/>
  <c r="K3289" i="5"/>
  <c r="K2050" i="5"/>
  <c r="K3589" i="5"/>
  <c r="K2706" i="5"/>
  <c r="K4057" i="5"/>
  <c r="K2475" i="5"/>
  <c r="K4013" i="5"/>
  <c r="K295" i="5"/>
  <c r="K3821" i="5"/>
  <c r="K2700" i="5"/>
  <c r="K739" i="5"/>
  <c r="K171" i="5"/>
  <c r="K1832" i="5"/>
  <c r="K2707" i="5"/>
  <c r="K3795" i="5"/>
  <c r="K713" i="5"/>
  <c r="K803" i="5"/>
  <c r="K64" i="5"/>
  <c r="K162" i="5"/>
  <c r="K1255" i="5"/>
  <c r="K3910" i="5"/>
  <c r="K1348" i="5"/>
  <c r="K591" i="5"/>
  <c r="K3571" i="5"/>
  <c r="K2598" i="5"/>
  <c r="K2431" i="5"/>
  <c r="K3939" i="5"/>
  <c r="K3678" i="5"/>
  <c r="K963" i="5"/>
  <c r="K1996" i="5"/>
  <c r="K2214" i="5"/>
  <c r="K1218" i="5"/>
  <c r="K3254" i="5"/>
  <c r="K1185" i="5"/>
  <c r="K1159" i="5"/>
  <c r="K1559" i="5"/>
  <c r="K646" i="5"/>
  <c r="K2531" i="5"/>
  <c r="K2699" i="5"/>
  <c r="K895" i="5"/>
  <c r="K1822" i="5"/>
  <c r="K743" i="5"/>
  <c r="K3660" i="5"/>
  <c r="K1397" i="5"/>
  <c r="K1797" i="5"/>
  <c r="K1645" i="5"/>
  <c r="K552" i="5"/>
  <c r="K86" i="5"/>
  <c r="K1341" i="5"/>
  <c r="K1819" i="5"/>
  <c r="K3718" i="5"/>
  <c r="K2565" i="5"/>
  <c r="K2438" i="5"/>
  <c r="K802" i="5"/>
  <c r="K3425" i="5"/>
  <c r="K1650" i="5"/>
  <c r="K1202" i="5"/>
  <c r="K3257" i="5"/>
  <c r="K1494" i="5"/>
  <c r="K1301" i="5"/>
  <c r="K1722" i="5"/>
  <c r="K559" i="5"/>
  <c r="K1250" i="5"/>
  <c r="K3600" i="5"/>
  <c r="K4099" i="5"/>
  <c r="K1761" i="5"/>
  <c r="K636" i="5"/>
  <c r="K2369" i="5"/>
  <c r="K622" i="5"/>
  <c r="K1385" i="5"/>
  <c r="K2514" i="5"/>
  <c r="K1075" i="5"/>
  <c r="K3810" i="5"/>
  <c r="K1340" i="5"/>
  <c r="K777" i="5"/>
  <c r="K2220" i="5"/>
  <c r="K2300" i="5"/>
  <c r="K1092" i="5"/>
  <c r="K342" i="5"/>
  <c r="K729" i="5"/>
  <c r="K1186" i="5"/>
  <c r="K609" i="5"/>
  <c r="K1660" i="5"/>
  <c r="K1152" i="5"/>
  <c r="K3534" i="5"/>
  <c r="K4059" i="5"/>
  <c r="K1579" i="5"/>
  <c r="K1336" i="5"/>
  <c r="K3657" i="5"/>
  <c r="K1099" i="5"/>
  <c r="K2375" i="5"/>
  <c r="K1201" i="5"/>
  <c r="K2327" i="5"/>
  <c r="K3405" i="5"/>
  <c r="K187" i="5"/>
  <c r="K3410" i="5"/>
  <c r="K1686" i="5"/>
  <c r="K3802" i="5"/>
  <c r="K1357" i="5"/>
  <c r="K2221" i="5"/>
  <c r="K2038" i="5"/>
  <c r="K3376" i="5"/>
  <c r="K1364" i="5"/>
  <c r="K2045" i="5"/>
  <c r="K2538" i="5"/>
  <c r="K1704" i="5"/>
  <c r="K1181" i="5"/>
  <c r="K3912" i="5"/>
  <c r="K903" i="5"/>
  <c r="K3427" i="5"/>
  <c r="K388" i="5"/>
  <c r="K126" i="5"/>
  <c r="K3611" i="5"/>
  <c r="K52" i="5"/>
  <c r="K3453" i="5"/>
  <c r="K1104" i="5"/>
  <c r="K1277" i="5"/>
  <c r="K1941" i="5"/>
  <c r="K2370" i="5"/>
  <c r="K1664" i="5"/>
  <c r="K2077" i="5"/>
  <c r="K2413" i="5"/>
  <c r="K1028" i="5"/>
  <c r="K1763" i="5"/>
  <c r="K3631" i="5"/>
  <c r="K656" i="5"/>
  <c r="K2803" i="5"/>
  <c r="K3434" i="5"/>
  <c r="K1229" i="5"/>
  <c r="K697" i="5"/>
  <c r="K2773" i="5"/>
  <c r="K1532" i="5"/>
  <c r="K2364" i="5"/>
  <c r="K192" i="5"/>
  <c r="K3598" i="5"/>
  <c r="K1867" i="5"/>
  <c r="K3642" i="5"/>
  <c r="K3560" i="5"/>
  <c r="K2307" i="5"/>
  <c r="K770" i="5"/>
  <c r="K3468" i="5"/>
  <c r="K2244" i="5"/>
  <c r="K1790" i="5"/>
  <c r="K1070" i="5"/>
  <c r="K898" i="5"/>
  <c r="K710" i="5"/>
  <c r="K3165" i="5"/>
  <c r="K1180" i="5"/>
  <c r="K2523" i="5"/>
  <c r="K648" i="5"/>
  <c r="K3417" i="5"/>
  <c r="K825" i="5"/>
  <c r="K3145" i="5"/>
  <c r="K1381" i="5"/>
  <c r="K3395" i="5"/>
  <c r="K1371" i="5"/>
  <c r="K1825" i="5"/>
  <c r="K1999" i="5"/>
  <c r="K3860" i="5"/>
  <c r="K594" i="5"/>
  <c r="K2075" i="5"/>
  <c r="K1413" i="5"/>
  <c r="K3565" i="5"/>
  <c r="K3693" i="5"/>
  <c r="K565" i="5"/>
  <c r="K2102" i="5"/>
  <c r="K2293" i="5"/>
  <c r="K1114" i="5"/>
  <c r="K1837" i="5"/>
  <c r="K3723" i="5"/>
  <c r="K2718" i="5"/>
  <c r="K1964" i="5"/>
  <c r="K1402" i="5"/>
  <c r="K3932" i="5"/>
  <c r="K2346" i="5"/>
  <c r="K139" i="5"/>
  <c r="K2432" i="5"/>
  <c r="K634" i="5"/>
  <c r="K1935" i="5"/>
  <c r="K625" i="5"/>
  <c r="K3944" i="5"/>
  <c r="K3954" i="5"/>
  <c r="K174" i="5"/>
  <c r="K51" i="5"/>
  <c r="K794" i="5"/>
  <c r="K3934" i="5"/>
  <c r="K517" i="5"/>
  <c r="K2321" i="5"/>
  <c r="K3167" i="5"/>
  <c r="K3457" i="5"/>
  <c r="K1569" i="5"/>
  <c r="K1688" i="5"/>
  <c r="K3558" i="5"/>
  <c r="K3667" i="5"/>
  <c r="K704" i="5"/>
  <c r="K612" i="5"/>
  <c r="K3814" i="5"/>
  <c r="K2320" i="5"/>
  <c r="K2528" i="5"/>
  <c r="K3478" i="5"/>
  <c r="K3666" i="5"/>
  <c r="K320" i="5"/>
  <c r="K3473" i="5"/>
  <c r="K1285" i="5"/>
  <c r="K1659" i="5"/>
  <c r="K81" i="5"/>
  <c r="K2401" i="5"/>
  <c r="K3159" i="5"/>
  <c r="K2541" i="5"/>
  <c r="K1728" i="5"/>
  <c r="K2419" i="5"/>
  <c r="K1950" i="5"/>
  <c r="K4100" i="5"/>
  <c r="K1251" i="5"/>
  <c r="K1508" i="5"/>
  <c r="K243" i="5"/>
  <c r="K3812" i="5"/>
  <c r="K3996" i="5"/>
  <c r="K599" i="5"/>
  <c r="K3597" i="5"/>
  <c r="K507" i="5"/>
  <c r="K3130" i="5"/>
  <c r="K78" i="5"/>
  <c r="K299" i="5"/>
  <c r="K2171" i="5"/>
  <c r="K731" i="5"/>
  <c r="K4091" i="5"/>
  <c r="K3841" i="5"/>
  <c r="K2274" i="5"/>
  <c r="K3375" i="5"/>
  <c r="K1257" i="5"/>
  <c r="K33" i="5"/>
  <c r="K1332" i="5"/>
  <c r="K2675" i="5"/>
  <c r="K2003" i="5"/>
  <c r="K62" i="5"/>
  <c r="K1062" i="5"/>
  <c r="K3501" i="5"/>
  <c r="K1843" i="5"/>
  <c r="K1514" i="5"/>
  <c r="K2798" i="5"/>
  <c r="K3470" i="5"/>
  <c r="K3620" i="5"/>
  <c r="K260" i="5"/>
  <c r="K200" i="5"/>
  <c r="K1527" i="5"/>
  <c r="K214" i="5"/>
  <c r="K1034" i="5"/>
  <c r="K1701" i="5"/>
  <c r="K4096" i="5"/>
  <c r="K482" i="5"/>
  <c r="K3878" i="5"/>
  <c r="K4046" i="5"/>
  <c r="K2553" i="5"/>
  <c r="K1541" i="5"/>
  <c r="K3733" i="5"/>
  <c r="K1804" i="5"/>
  <c r="K3977" i="5"/>
  <c r="K519" i="5"/>
  <c r="K2001" i="5"/>
  <c r="K994" i="5"/>
  <c r="K756" i="5"/>
  <c r="K1177" i="5"/>
  <c r="K142" i="5"/>
  <c r="K3961" i="5"/>
  <c r="K613" i="5"/>
  <c r="K695" i="5"/>
  <c r="K1239" i="5"/>
  <c r="K2294" i="5"/>
  <c r="K909" i="5"/>
  <c r="K1769" i="5"/>
  <c r="K4097" i="5"/>
  <c r="K2536" i="5"/>
  <c r="K572" i="5"/>
  <c r="K3118" i="5"/>
  <c r="K1842" i="5"/>
  <c r="K3918" i="5"/>
  <c r="K255" i="5"/>
  <c r="K1280" i="5"/>
  <c r="K4098" i="5"/>
  <c r="K3857" i="5"/>
  <c r="K4065" i="5"/>
  <c r="K2405" i="5"/>
  <c r="K3652" i="5"/>
  <c r="K1671" i="5"/>
  <c r="K1681" i="5"/>
  <c r="K765" i="5"/>
  <c r="K1592" i="5"/>
  <c r="K2577" i="5"/>
  <c r="K532" i="5"/>
  <c r="K1403" i="5"/>
  <c r="K3514" i="5"/>
  <c r="K16" i="5"/>
  <c r="K1956" i="5"/>
  <c r="K3943" i="5"/>
  <c r="K1325" i="5"/>
  <c r="K3402" i="5"/>
  <c r="K3777" i="5"/>
  <c r="K3321" i="5"/>
  <c r="K1654" i="5"/>
  <c r="K3146" i="5"/>
  <c r="K968" i="5"/>
  <c r="K3294" i="5"/>
  <c r="K189" i="5"/>
  <c r="K1220" i="5"/>
  <c r="K71" i="5"/>
  <c r="K3755" i="5"/>
  <c r="K100" i="5"/>
  <c r="K974" i="5"/>
  <c r="K131" i="5"/>
  <c r="K2786" i="5"/>
  <c r="K1147" i="5"/>
  <c r="K3858" i="5"/>
  <c r="K1217" i="5"/>
  <c r="K1934" i="5"/>
  <c r="K977" i="5"/>
  <c r="K351" i="5"/>
  <c r="K1411" i="5"/>
  <c r="K776" i="5"/>
  <c r="K629" i="5"/>
  <c r="K3691" i="5"/>
  <c r="K810" i="5"/>
  <c r="K2543" i="5"/>
  <c r="K1497" i="5"/>
  <c r="K1929" i="5"/>
  <c r="K56" i="5"/>
  <c r="K3350" i="5"/>
  <c r="K53" i="5"/>
  <c r="K4018" i="5"/>
  <c r="K792" i="5"/>
  <c r="K1759" i="5"/>
  <c r="K2280" i="5"/>
  <c r="K578" i="5"/>
  <c r="K183" i="5"/>
  <c r="K3506" i="5"/>
  <c r="K32" i="5"/>
  <c r="K3394" i="5"/>
  <c r="K3960" i="5"/>
  <c r="K3585" i="5"/>
  <c r="K3115" i="5"/>
  <c r="K3947" i="5"/>
  <c r="K1503" i="5"/>
  <c r="K1224" i="5"/>
  <c r="K1605" i="5"/>
  <c r="K3476" i="5"/>
  <c r="K3783" i="5"/>
  <c r="K1563" i="5"/>
  <c r="K1363" i="5"/>
  <c r="K3488" i="5"/>
  <c r="K2601" i="5"/>
  <c r="K567" i="5"/>
  <c r="K2322" i="5"/>
  <c r="K2262" i="5"/>
  <c r="K121" i="5"/>
  <c r="K2741" i="5"/>
  <c r="K3608" i="5"/>
  <c r="K1292" i="5"/>
  <c r="K4011" i="5"/>
  <c r="K196" i="5"/>
  <c r="K3596" i="5"/>
  <c r="K1582" i="5"/>
  <c r="K76" i="5"/>
  <c r="K681" i="5"/>
  <c r="K5" i="5"/>
  <c r="K2785" i="5"/>
  <c r="K2526" i="5"/>
  <c r="K2708" i="5"/>
  <c r="K4049" i="5"/>
  <c r="K1820" i="5"/>
  <c r="K96" i="5"/>
  <c r="K3950" i="5"/>
  <c r="K2166" i="5"/>
  <c r="K301" i="5"/>
  <c r="G3215" i="1" l="1"/>
  <c r="G2014" i="1"/>
  <c r="G1425" i="1"/>
  <c r="G282" i="1"/>
  <c r="G562" i="1"/>
  <c r="G1867" i="1"/>
  <c r="G1054" i="1"/>
  <c r="G2808" i="1"/>
  <c r="G917" i="1"/>
  <c r="G3871" i="1"/>
  <c r="G1359" i="1"/>
  <c r="G802" i="1"/>
  <c r="G3164" i="1"/>
  <c r="G1402" i="1"/>
  <c r="G98" i="1"/>
  <c r="G2828" i="1"/>
  <c r="G3689" i="1"/>
  <c r="G2570" i="1"/>
  <c r="G546" i="1"/>
  <c r="G762" i="1"/>
  <c r="G3286" i="1"/>
  <c r="G1040" i="1"/>
  <c r="G3885" i="1"/>
  <c r="G1601" i="1"/>
  <c r="G1511" i="1"/>
  <c r="G2285" i="1"/>
  <c r="G3975" i="1"/>
  <c r="G3985" i="1"/>
  <c r="G468" i="1"/>
  <c r="G2169" i="1"/>
  <c r="G3334" i="1"/>
  <c r="G805" i="1"/>
  <c r="G2243" i="1"/>
  <c r="G1556" i="1"/>
  <c r="G3955" i="1"/>
  <c r="G3558" i="1"/>
  <c r="G1019" i="1"/>
  <c r="G2332" i="1"/>
  <c r="G2575" i="1"/>
  <c r="G1175" i="1"/>
  <c r="G2306" i="1"/>
  <c r="G2817" i="1"/>
  <c r="G3625" i="1"/>
  <c r="G2227" i="1"/>
  <c r="G462" i="1"/>
  <c r="G2327" i="1"/>
  <c r="G1748" i="1"/>
  <c r="G47" i="1"/>
  <c r="G949" i="1"/>
  <c r="G2687" i="1"/>
  <c r="G260" i="1"/>
  <c r="G2895" i="1"/>
  <c r="G1956" i="1"/>
  <c r="G2175" i="1"/>
  <c r="G2774" i="1"/>
  <c r="G1572" i="1"/>
  <c r="G1450" i="1"/>
  <c r="G894" i="1"/>
  <c r="G2247" i="1"/>
  <c r="G1431" i="1"/>
  <c r="G1257" i="1"/>
  <c r="G3627" i="1"/>
  <c r="G2127" i="1"/>
  <c r="G2215" i="1"/>
  <c r="G2139" i="1"/>
  <c r="G420" i="1"/>
  <c r="G2739" i="1"/>
  <c r="G4139" i="1"/>
  <c r="G4113" i="1"/>
  <c r="G407" i="1"/>
  <c r="G2252" i="1"/>
  <c r="G2234" i="1"/>
  <c r="G4125" i="1"/>
  <c r="G1298" i="1"/>
  <c r="G2371" i="1"/>
  <c r="G4135" i="1"/>
  <c r="G3130" i="1"/>
  <c r="G3827" i="1"/>
  <c r="G2997" i="1"/>
  <c r="G3631" i="1"/>
  <c r="G3316" i="1"/>
  <c r="G3655" i="1"/>
  <c r="G1762" i="1"/>
  <c r="G1295" i="1"/>
  <c r="G4116" i="1"/>
  <c r="G3688" i="1"/>
  <c r="G1250" i="1"/>
  <c r="G1509" i="1"/>
  <c r="G3044" i="1"/>
  <c r="G2467" i="1"/>
  <c r="G3739" i="1"/>
  <c r="G2720" i="1"/>
  <c r="G2362" i="1"/>
  <c r="G2637" i="1"/>
  <c r="G515" i="1"/>
  <c r="G1865" i="1"/>
  <c r="G982" i="1"/>
  <c r="G137" i="1"/>
  <c r="G2722" i="1"/>
  <c r="G3097" i="1"/>
  <c r="G312" i="1"/>
  <c r="G3978" i="1"/>
  <c r="G834" i="1"/>
  <c r="G1037" i="1"/>
  <c r="G70" i="1"/>
  <c r="G96" i="1"/>
  <c r="G3691" i="1"/>
  <c r="G1869" i="1"/>
  <c r="G2397" i="1"/>
  <c r="G3037" i="1"/>
  <c r="G1735" i="1"/>
  <c r="G244" i="1"/>
  <c r="G2296" i="1"/>
  <c r="G1576" i="1"/>
  <c r="G247" i="1"/>
  <c r="G3338" i="1"/>
  <c r="G2698" i="1"/>
  <c r="G3874" i="1"/>
  <c r="G3327" i="1"/>
  <c r="G3313" i="1"/>
  <c r="G2184" i="1"/>
  <c r="G3494" i="1"/>
  <c r="G4087" i="1"/>
  <c r="G1774" i="1"/>
  <c r="G2309" i="1"/>
  <c r="G3629" i="1"/>
  <c r="G60" i="1"/>
  <c r="G1459" i="1"/>
  <c r="G3201" i="1"/>
  <c r="G3542" i="1"/>
  <c r="G3048" i="1"/>
  <c r="G3514" i="1"/>
  <c r="G1075" i="1"/>
  <c r="G3451" i="1"/>
  <c r="G1181" i="1"/>
  <c r="G1408" i="1"/>
  <c r="G3091" i="1"/>
  <c r="G486" i="1"/>
  <c r="G4075" i="1"/>
  <c r="G1284" i="1"/>
  <c r="G2509" i="1"/>
  <c r="G1100" i="1"/>
  <c r="G4009" i="1"/>
  <c r="G440" i="1"/>
  <c r="G4093" i="1"/>
  <c r="G882" i="1"/>
  <c r="G1633" i="1"/>
  <c r="G2574" i="1"/>
  <c r="G1915" i="1"/>
  <c r="G3533" i="1"/>
  <c r="G2013" i="1"/>
  <c r="G2436" i="1"/>
  <c r="G2752" i="1"/>
  <c r="G975" i="1"/>
  <c r="G637" i="1"/>
  <c r="G866" i="1"/>
  <c r="G896" i="1"/>
  <c r="G1271" i="1"/>
  <c r="G615" i="1"/>
  <c r="G1963" i="1"/>
  <c r="G1942" i="1"/>
  <c r="G536" i="1"/>
  <c r="G2406" i="1"/>
  <c r="G3357" i="1"/>
  <c r="G3673" i="1"/>
  <c r="G2917" i="1"/>
  <c r="G1747" i="1"/>
  <c r="G1746" i="1"/>
  <c r="G1254" i="1"/>
  <c r="G3743" i="1"/>
  <c r="G1698" i="1"/>
  <c r="G1563" i="1"/>
  <c r="G3679" i="1"/>
  <c r="G3636" i="1"/>
  <c r="G3074" i="1"/>
  <c r="G2046" i="1"/>
  <c r="G3132" i="1"/>
  <c r="G1696" i="1"/>
  <c r="G1844" i="1"/>
  <c r="G212" i="1"/>
  <c r="G1084" i="1"/>
  <c r="G2938" i="1"/>
  <c r="G479" i="1"/>
  <c r="G3635" i="1"/>
  <c r="G1109" i="1"/>
  <c r="G3143" i="1"/>
  <c r="G552" i="1"/>
  <c r="G511" i="1"/>
  <c r="G2015" i="1"/>
  <c r="G171" i="1"/>
  <c r="G893" i="1"/>
  <c r="G4071" i="1"/>
  <c r="G108" i="1"/>
  <c r="G3662" i="1"/>
  <c r="G583" i="1"/>
  <c r="G1332" i="1"/>
  <c r="G3463" i="1"/>
  <c r="G3656" i="1"/>
  <c r="G726" i="1"/>
  <c r="G1119" i="1"/>
  <c r="G1088" i="1"/>
  <c r="G1030" i="1"/>
  <c r="G1493" i="1"/>
  <c r="G561" i="1"/>
  <c r="G1935" i="1"/>
  <c r="G4027" i="1"/>
  <c r="G3630" i="1"/>
  <c r="G2293" i="1"/>
  <c r="G1485" i="1"/>
  <c r="G1626" i="1"/>
  <c r="G1302" i="1"/>
  <c r="G3938" i="1"/>
  <c r="G686" i="1"/>
  <c r="G1988" i="1"/>
  <c r="G43" i="1"/>
  <c r="G3640" i="1"/>
  <c r="G3659" i="1"/>
  <c r="G2265" i="1"/>
  <c r="G2634" i="1"/>
  <c r="G2596" i="1"/>
  <c r="G1970" i="1"/>
  <c r="G3658" i="1"/>
  <c r="G978" i="1"/>
  <c r="G3701" i="1"/>
  <c r="G3148" i="1"/>
  <c r="G931" i="1"/>
  <c r="G3776" i="1"/>
  <c r="G1736" i="1"/>
  <c r="G2769" i="1"/>
  <c r="G732" i="1"/>
  <c r="G3119" i="1"/>
  <c r="G1541" i="1"/>
  <c r="G1262" i="1"/>
  <c r="G3561" i="1"/>
  <c r="G2889" i="1"/>
  <c r="G1225" i="1"/>
  <c r="G585" i="1"/>
  <c r="G3762" i="1"/>
  <c r="G899" i="1"/>
  <c r="G434" i="1"/>
  <c r="G3544" i="1"/>
  <c r="G2189" i="1"/>
  <c r="G829" i="1"/>
  <c r="G3663" i="1"/>
  <c r="G2746" i="1"/>
  <c r="G1960" i="1"/>
  <c r="G2468" i="1"/>
  <c r="G1017" i="1"/>
  <c r="G2328" i="1"/>
  <c r="G874" i="1"/>
  <c r="G777" i="1"/>
  <c r="G3497" i="1"/>
  <c r="G2072" i="1"/>
  <c r="G1403" i="1"/>
  <c r="G356" i="1"/>
  <c r="G1894" i="1"/>
  <c r="G1039" i="1"/>
  <c r="G3644" i="1"/>
  <c r="G1055" i="1"/>
  <c r="G2087" i="1"/>
  <c r="G2235" i="1"/>
  <c r="G2823" i="1"/>
  <c r="G3732" i="1"/>
  <c r="G1830" i="1"/>
  <c r="G1000" i="1"/>
  <c r="G3709" i="1"/>
  <c r="G15" i="1"/>
  <c r="G1387" i="1"/>
  <c r="G2128" i="1"/>
  <c r="G1325" i="1"/>
  <c r="G3199" i="1"/>
  <c r="G2469" i="1"/>
  <c r="G2474" i="1"/>
  <c r="G956" i="1"/>
  <c r="G1410" i="1"/>
  <c r="G3524" i="1"/>
  <c r="G3652" i="1"/>
  <c r="G1020" i="1"/>
  <c r="G3128" i="1"/>
  <c r="G1549" i="1"/>
  <c r="G1243" i="1"/>
  <c r="G2880" i="1"/>
  <c r="G1911" i="1"/>
  <c r="G1321" i="1"/>
  <c r="G4052" i="1"/>
  <c r="G870" i="1"/>
  <c r="G1581" i="1"/>
  <c r="G3641" i="1"/>
  <c r="G3565" i="1"/>
  <c r="G883" i="1"/>
  <c r="G2104" i="1"/>
  <c r="G2856" i="1"/>
  <c r="G235" i="1"/>
  <c r="G2990" i="1"/>
  <c r="G3606" i="1"/>
  <c r="G2057" i="1"/>
  <c r="G2295" i="1"/>
  <c r="G2064" i="1"/>
  <c r="G1985" i="1"/>
  <c r="G3031" i="1"/>
  <c r="G1655" i="1"/>
  <c r="G3063" i="1"/>
  <c r="G2305" i="1"/>
  <c r="G4007" i="1"/>
  <c r="G3967" i="1"/>
  <c r="G1547" i="1"/>
  <c r="G845" i="1"/>
  <c r="G3016" i="1"/>
  <c r="G3795" i="1"/>
  <c r="G390" i="1"/>
  <c r="G838" i="1"/>
  <c r="G3910" i="1"/>
  <c r="G892" i="1"/>
  <c r="G2870" i="1"/>
  <c r="G696" i="1"/>
  <c r="G4143" i="1"/>
  <c r="G2740" i="1"/>
  <c r="G3282" i="1"/>
  <c r="G418" i="1"/>
  <c r="G3222" i="1"/>
  <c r="G3261" i="1"/>
  <c r="G753" i="1"/>
  <c r="G4054" i="1"/>
  <c r="G923" i="1"/>
  <c r="G3332" i="1"/>
  <c r="G1268" i="1"/>
  <c r="G3703" i="1"/>
  <c r="G2429" i="1"/>
  <c r="G3972" i="1"/>
  <c r="G4110" i="1"/>
  <c r="G3994" i="1"/>
  <c r="G920" i="1"/>
  <c r="G1375" i="1"/>
  <c r="G3667" i="1"/>
  <c r="G382" i="1"/>
  <c r="G46" i="1"/>
  <c r="G592" i="1"/>
  <c r="G761" i="1"/>
  <c r="G1062" i="1"/>
  <c r="G2864" i="1"/>
  <c r="G2236" i="1"/>
  <c r="G2111" i="1"/>
  <c r="G2775" i="1"/>
  <c r="G3587" i="1"/>
  <c r="G3479" i="1"/>
  <c r="G337" i="1"/>
  <c r="G2404" i="1"/>
  <c r="G1713" i="1"/>
  <c r="G3672" i="1"/>
  <c r="G2571" i="1"/>
  <c r="G3861" i="1"/>
  <c r="G3618" i="1"/>
  <c r="G450" i="1"/>
  <c r="G516" i="1"/>
  <c r="G1997" i="1"/>
  <c r="G2424" i="1"/>
  <c r="G152" i="1"/>
  <c r="G3073" i="1"/>
  <c r="G3616" i="1"/>
  <c r="G854" i="1"/>
  <c r="G4111" i="1"/>
  <c r="G2933" i="1"/>
  <c r="G1537" i="1"/>
  <c r="G1140" i="1"/>
  <c r="G3041" i="1"/>
  <c r="G3511" i="1"/>
  <c r="G3508" i="1"/>
  <c r="G3957" i="1"/>
  <c r="G221" i="1"/>
  <c r="G274" i="1"/>
  <c r="G2743" i="1"/>
  <c r="G3272" i="1"/>
  <c r="G2501" i="1"/>
  <c r="G3487" i="1"/>
  <c r="G281" i="1"/>
  <c r="G2284" i="1"/>
  <c r="G1745" i="1"/>
  <c r="G2339" i="1"/>
  <c r="G809" i="1"/>
  <c r="G1379" i="1"/>
  <c r="G31" i="1"/>
  <c r="G3609" i="1"/>
  <c r="G1064" i="1"/>
  <c r="G3666" i="1"/>
  <c r="G3768" i="1"/>
  <c r="G3296" i="1"/>
  <c r="G34" i="1"/>
  <c r="G2403" i="1"/>
  <c r="G731" i="1"/>
  <c r="G2753" i="1"/>
  <c r="G1484" i="1"/>
  <c r="G18" i="1"/>
  <c r="G1596" i="1"/>
  <c r="G2801" i="1"/>
  <c r="G3084" i="1"/>
  <c r="G1538" i="1"/>
  <c r="G3066" i="1"/>
  <c r="G2342" i="1"/>
  <c r="G2123" i="1"/>
  <c r="G1950" i="1"/>
  <c r="G3167" i="1"/>
  <c r="G849" i="1"/>
  <c r="G1460" i="1"/>
  <c r="G2001" i="1"/>
  <c r="G3523" i="1"/>
  <c r="G981" i="1"/>
  <c r="G2795" i="1"/>
  <c r="G3603" i="1"/>
  <c r="G381" i="1"/>
  <c r="G2299" i="1"/>
  <c r="G227" i="1"/>
  <c r="G2450" i="1"/>
  <c r="G323" i="1"/>
  <c r="G3928" i="1"/>
  <c r="G3515" i="1"/>
  <c r="G3761" i="1"/>
  <c r="G2738" i="1"/>
  <c r="G3065" i="1"/>
  <c r="G860" i="1"/>
  <c r="G1558" i="1"/>
  <c r="G1719" i="1"/>
  <c r="G333" i="1"/>
  <c r="G1594" i="1"/>
  <c r="G1964" i="1"/>
  <c r="G411" i="1"/>
  <c r="G1831" i="1"/>
  <c r="G771" i="1"/>
  <c r="G1362" i="1"/>
  <c r="G3771" i="1"/>
  <c r="G3117" i="1"/>
  <c r="G3988" i="1"/>
  <c r="G343" i="1"/>
  <c r="G2903" i="1"/>
  <c r="G1682" i="1"/>
  <c r="G71" i="1"/>
  <c r="G972" i="1"/>
  <c r="G3868" i="1"/>
  <c r="G2101" i="1"/>
  <c r="G1222" i="1"/>
  <c r="G2961" i="1"/>
  <c r="G1621" i="1"/>
  <c r="G1451" i="1"/>
  <c r="G164" i="1"/>
  <c r="G1102" i="1"/>
  <c r="G1697" i="1"/>
  <c r="G1876" i="1"/>
  <c r="G1025" i="1"/>
  <c r="G1099" i="1"/>
  <c r="G857" i="1"/>
  <c r="G2204" i="1"/>
  <c r="G3835" i="1"/>
  <c r="G2846" i="1"/>
  <c r="G1851" i="1"/>
  <c r="G1798" i="1"/>
  <c r="G942" i="1"/>
  <c r="G2396" i="1"/>
  <c r="G4013" i="1"/>
  <c r="G2920" i="1"/>
  <c r="G2593" i="1"/>
  <c r="G729" i="1"/>
  <c r="G764" i="1"/>
  <c r="G2108" i="1"/>
  <c r="G3585" i="1"/>
  <c r="G1936" i="1"/>
  <c r="G1562" i="1"/>
  <c r="G3193" i="1"/>
  <c r="G3942" i="1"/>
  <c r="G1583" i="1"/>
  <c r="G1720" i="1"/>
  <c r="G66" i="1"/>
  <c r="G1620" i="1"/>
  <c r="G2399" i="1"/>
  <c r="G205" i="1"/>
  <c r="G739" i="1"/>
  <c r="G1716" i="1"/>
  <c r="G748" i="1"/>
  <c r="G555" i="1"/>
  <c r="G1616" i="1"/>
  <c r="G127" i="1"/>
  <c r="G2770" i="1"/>
  <c r="G2672" i="1"/>
  <c r="G815" i="1"/>
  <c r="G4089" i="1"/>
  <c r="G2151" i="1"/>
  <c r="G3337" i="1"/>
  <c r="G3229" i="1"/>
  <c r="G3549" i="1"/>
  <c r="G1912" i="1"/>
  <c r="G249" i="1"/>
  <c r="G2377" i="1"/>
  <c r="G3056" i="1"/>
  <c r="G3567" i="1"/>
  <c r="G3249" i="1"/>
  <c r="G3934" i="1"/>
  <c r="G4123" i="1"/>
  <c r="G1446" i="1"/>
  <c r="G1613" i="1"/>
  <c r="G2677" i="1"/>
  <c r="G3917" i="1"/>
  <c r="G1949" i="1"/>
  <c r="G292" i="1"/>
  <c r="G830" i="1"/>
  <c r="G1638" i="1"/>
  <c r="G3129" i="1"/>
  <c r="G784" i="1"/>
  <c r="G2321" i="1"/>
  <c r="G3699" i="1"/>
  <c r="G738" i="1"/>
  <c r="G4020" i="1"/>
  <c r="G102" i="1"/>
  <c r="G465" i="1"/>
  <c r="G464" i="1"/>
  <c r="G531" i="1"/>
  <c r="G788" i="1"/>
  <c r="G1605" i="1"/>
  <c r="G1816" i="1"/>
  <c r="G3528" i="1"/>
  <c r="G2249" i="1"/>
  <c r="G3681" i="1"/>
  <c r="G2147" i="1"/>
  <c r="G3550" i="1"/>
  <c r="G2194" i="1"/>
  <c r="G3329" i="1"/>
  <c r="G3926" i="1"/>
  <c r="G3547" i="1"/>
  <c r="G2145" i="1"/>
  <c r="G3584" i="1"/>
  <c r="G2430" i="1"/>
  <c r="G3460" i="1"/>
  <c r="G2890" i="1"/>
  <c r="G1233" i="1"/>
  <c r="G2146" i="1"/>
  <c r="G1709" i="1"/>
  <c r="G1398" i="1"/>
  <c r="G3474" i="1"/>
  <c r="G3590" i="1"/>
  <c r="G3258" i="1"/>
  <c r="G414" i="1"/>
  <c r="G1914" i="1"/>
  <c r="G3053" i="1"/>
  <c r="G1984" i="1"/>
  <c r="G3950" i="1"/>
  <c r="G3100" i="1"/>
  <c r="G3753" i="1"/>
  <c r="G134" i="1"/>
  <c r="G1795" i="1"/>
  <c r="G2116" i="1"/>
  <c r="G262" i="1"/>
  <c r="G438" i="1"/>
  <c r="G2765" i="1"/>
  <c r="G332" i="1"/>
  <c r="G351" i="1"/>
  <c r="G1700" i="1"/>
  <c r="G73" i="1"/>
  <c r="G582" i="1"/>
  <c r="G835" i="1"/>
  <c r="G792" i="1"/>
  <c r="G1607" i="1"/>
  <c r="G1861" i="1"/>
  <c r="G535" i="1"/>
  <c r="G3151" i="1"/>
  <c r="G1623" i="1"/>
  <c r="G2039" i="1"/>
  <c r="G610" i="1"/>
  <c r="G3355" i="1"/>
  <c r="G2156" i="1"/>
  <c r="G2717" i="1"/>
  <c r="G3914" i="1"/>
  <c r="G1256" i="1"/>
  <c r="G1208" i="1"/>
  <c r="G3501" i="1"/>
  <c r="G3556" i="1"/>
  <c r="G1397" i="1"/>
  <c r="G3553" i="1"/>
  <c r="G3492" i="1"/>
  <c r="G3507" i="1"/>
  <c r="G3520" i="1"/>
  <c r="G1933" i="1"/>
  <c r="G2649" i="1"/>
  <c r="G77" i="1"/>
  <c r="G3573" i="1"/>
  <c r="G23" i="1"/>
  <c r="G4130" i="1"/>
  <c r="G3788" i="1"/>
  <c r="G3046" i="1"/>
  <c r="G4136" i="1"/>
  <c r="G1770" i="1"/>
  <c r="G3903" i="1"/>
  <c r="G3880" i="1"/>
  <c r="G4002" i="1"/>
  <c r="G1953" i="1"/>
  <c r="G4096" i="1"/>
  <c r="G1433" i="1"/>
  <c r="G3262" i="1"/>
  <c r="G2793" i="1"/>
  <c r="G3632" i="1"/>
  <c r="G551" i="1"/>
  <c r="G3417" i="1"/>
  <c r="G1598" i="1"/>
  <c r="G3946" i="1"/>
  <c r="G1849" i="1"/>
  <c r="G4049" i="1"/>
  <c r="G2745" i="1"/>
  <c r="G357" i="1"/>
  <c r="G1779" i="1"/>
  <c r="G3545" i="1"/>
  <c r="G1807" i="1"/>
  <c r="G3295" i="1"/>
  <c r="G1987" i="1"/>
  <c r="G2094" i="1"/>
  <c r="G342" i="1"/>
  <c r="G675" i="1"/>
  <c r="G3239" i="1"/>
  <c r="G239" i="1"/>
  <c r="G3506" i="1"/>
  <c r="G2980" i="1"/>
  <c r="G3075" i="1"/>
  <c r="G395" i="1"/>
  <c r="G4109" i="1"/>
  <c r="G3071" i="1"/>
  <c r="G140" i="1"/>
  <c r="G579" i="1"/>
  <c r="G2398" i="1"/>
  <c r="G3525" i="1"/>
  <c r="G2852" i="1"/>
  <c r="G2051" i="1"/>
  <c r="G2230" i="1"/>
  <c r="G3498" i="1"/>
  <c r="G2781" i="1"/>
  <c r="G3466" i="1"/>
  <c r="G1498" i="1"/>
  <c r="G969" i="1"/>
  <c r="G3510" i="1"/>
  <c r="G3784" i="1"/>
  <c r="G2899" i="1"/>
  <c r="G2071" i="1"/>
  <c r="G3993" i="1"/>
  <c r="G2067" i="1"/>
  <c r="G3634" i="1"/>
  <c r="G3095" i="1"/>
  <c r="G3804" i="1"/>
  <c r="G1793" i="1"/>
  <c r="G3682" i="1"/>
  <c r="G3661" i="1"/>
  <c r="G2182" i="1"/>
  <c r="G3481" i="1"/>
  <c r="G1683" i="1"/>
  <c r="G3831" i="1"/>
  <c r="G1477" i="1"/>
  <c r="G1921" i="1"/>
  <c r="G3133" i="1"/>
  <c r="G273" i="1"/>
  <c r="G1135" i="1"/>
  <c r="G3212" i="1"/>
  <c r="G2076" i="1"/>
  <c r="G2069" i="1"/>
  <c r="G237" i="1"/>
  <c r="G1704" i="1"/>
  <c r="G2542" i="1"/>
  <c r="G1668" i="1"/>
  <c r="G735" i="1"/>
  <c r="G3067" i="1"/>
  <c r="G222" i="1"/>
  <c r="G3589" i="1"/>
  <c r="G2799" i="1"/>
  <c r="G83" i="1"/>
  <c r="G1022" i="1"/>
  <c r="G1137" i="1"/>
  <c r="G2106" i="1"/>
  <c r="G2402" i="1"/>
  <c r="G2502" i="1"/>
  <c r="G1571" i="1"/>
  <c r="G1267" i="1"/>
  <c r="G1597" i="1"/>
  <c r="G1512" i="1"/>
  <c r="G2363" i="1"/>
  <c r="G2231" i="1"/>
  <c r="G2012" i="1"/>
  <c r="G2531" i="1"/>
  <c r="G1737" i="1"/>
  <c r="G1194" i="1"/>
  <c r="G1587" i="1"/>
  <c r="G506" i="1"/>
  <c r="G3891" i="1"/>
  <c r="G1629" i="1"/>
  <c r="G2470" i="1"/>
  <c r="G1847" i="1"/>
  <c r="G3491" i="1"/>
  <c r="G3777" i="1"/>
  <c r="G444" i="1"/>
  <c r="G3055" i="1"/>
  <c r="G2937" i="1"/>
  <c r="G2137" i="1"/>
  <c r="G4131" i="1"/>
  <c r="G3576" i="1"/>
  <c r="G2577" i="1"/>
  <c r="G1455" i="1"/>
  <c r="G2313" i="1"/>
  <c r="G1406" i="1"/>
  <c r="G30" i="1"/>
  <c r="G2458" i="1"/>
  <c r="G1557" i="1"/>
  <c r="G1940" i="1"/>
  <c r="G3052" i="1"/>
  <c r="G3502" i="1"/>
  <c r="G172" i="1"/>
  <c r="G3668" i="1"/>
  <c r="G1082" i="1"/>
  <c r="G3480" i="1"/>
  <c r="G394" i="1"/>
  <c r="G1385" i="1"/>
  <c r="G3042" i="1"/>
  <c r="G2218" i="1"/>
  <c r="G2201" i="1"/>
  <c r="G3299" i="1"/>
  <c r="G2472" i="1"/>
  <c r="G2422" i="1"/>
  <c r="G8" i="1"/>
  <c r="G2652" i="1"/>
  <c r="G976" i="1"/>
  <c r="G3551" i="1"/>
  <c r="G994" i="1"/>
  <c r="G601" i="1"/>
  <c r="G3680" i="1"/>
  <c r="G3554" i="1"/>
  <c r="G2885" i="1"/>
  <c r="G2771" i="1"/>
  <c r="G430" i="1"/>
  <c r="G3372" i="1"/>
  <c r="G3114" i="1"/>
  <c r="G567" i="1"/>
  <c r="G508" i="1"/>
  <c r="G421" i="1"/>
  <c r="G279" i="1"/>
  <c r="G3240" i="1"/>
  <c r="G3208" i="1"/>
  <c r="G1006" i="1"/>
  <c r="G3426" i="1"/>
  <c r="G871" i="1"/>
  <c r="G924" i="1"/>
  <c r="G914" i="1"/>
  <c r="G2682" i="1"/>
  <c r="G3984" i="1"/>
  <c r="G1290" i="1"/>
  <c r="G3991" i="1"/>
  <c r="G3010" i="1"/>
  <c r="G185" i="1"/>
  <c r="G4056" i="1"/>
  <c r="G3228" i="1"/>
  <c r="G3187" i="1"/>
  <c r="G879" i="1"/>
  <c r="G1395" i="1"/>
  <c r="G1919" i="1"/>
  <c r="G3750" i="1"/>
  <c r="G2813" i="1"/>
  <c r="G2884" i="1"/>
  <c r="G187" i="1"/>
  <c r="G1242" i="1"/>
  <c r="G412" i="1"/>
  <c r="G3534" i="1"/>
  <c r="G3518" i="1"/>
  <c r="G2021" i="1"/>
  <c r="G1400" i="1"/>
  <c r="G1559" i="1"/>
  <c r="G995" i="1"/>
  <c r="G1791" i="1"/>
  <c r="G1635" i="1"/>
  <c r="G794" i="1"/>
  <c r="G3062" i="1"/>
  <c r="G460" i="1"/>
  <c r="G1579" i="1"/>
  <c r="G1033" i="1"/>
  <c r="G780" i="1"/>
  <c r="G278" i="1"/>
  <c r="G1471" i="1"/>
  <c r="G92" i="1"/>
  <c r="G2141" i="1"/>
  <c r="G4026" i="1"/>
  <c r="G591" i="1"/>
  <c r="G1491" i="1"/>
  <c r="G271" i="1"/>
  <c r="G2614" i="1"/>
  <c r="G3389" i="1"/>
  <c r="G2096" i="1"/>
  <c r="G1679" i="1"/>
  <c r="G1634" i="1"/>
  <c r="G3582" i="1"/>
  <c r="G3998" i="1"/>
  <c r="G2355" i="1"/>
  <c r="G2040" i="1"/>
  <c r="G1848" i="1"/>
  <c r="G2794" i="1"/>
  <c r="G251" i="1"/>
  <c r="G700" i="1"/>
  <c r="G3819" i="1"/>
  <c r="G3600" i="1"/>
  <c r="G3676" i="1"/>
  <c r="G3420" i="1"/>
  <c r="G200" i="1"/>
  <c r="G812" i="1"/>
  <c r="G826" i="1"/>
  <c r="G4074" i="1"/>
  <c r="G3226" i="1"/>
  <c r="G1730" i="1"/>
  <c r="G2873" i="1"/>
  <c r="G3810" i="1"/>
  <c r="G3365" i="1"/>
  <c r="G2256" i="1"/>
  <c r="G1946" i="1"/>
  <c r="G602" i="1"/>
  <c r="G966" i="1"/>
  <c r="G1826" i="1"/>
  <c r="G1106" i="1"/>
  <c r="G611" i="1"/>
  <c r="G1324" i="1"/>
  <c r="G712" i="1"/>
  <c r="G1625" i="1"/>
  <c r="G327" i="1"/>
  <c r="G558" i="1"/>
  <c r="G2946" i="1"/>
  <c r="G2947" i="1"/>
  <c r="G537" i="1"/>
  <c r="G2511" i="1"/>
  <c r="G2988" i="1"/>
  <c r="G236" i="1"/>
  <c r="G3611" i="1"/>
  <c r="G2444" i="1"/>
  <c r="G2613" i="1"/>
  <c r="G2459" i="1"/>
  <c r="G1069" i="1"/>
  <c r="G1941" i="1"/>
  <c r="G2993" i="1"/>
  <c r="G3521" i="1"/>
  <c r="G2675" i="1"/>
  <c r="G1368" i="1"/>
  <c r="G2826" i="1"/>
  <c r="G1280" i="1"/>
  <c r="G391" i="1"/>
  <c r="G2160" i="1"/>
  <c r="G692" i="1"/>
  <c r="G517" i="1"/>
  <c r="G1777" i="1"/>
  <c r="G1411" i="1"/>
  <c r="G397" i="1"/>
  <c r="G1687" i="1"/>
  <c r="G1409" i="1"/>
  <c r="G169" i="1"/>
  <c r="G2742" i="1"/>
  <c r="G2804" i="1"/>
  <c r="G1739" i="1"/>
  <c r="G2270" i="1"/>
  <c r="G1070" i="1"/>
  <c r="G2761" i="1"/>
  <c r="G4033" i="1"/>
  <c r="G1503" i="1"/>
  <c r="G1058" i="1"/>
  <c r="G1495" i="1"/>
  <c r="G3336" i="1"/>
  <c r="G3580" i="1"/>
  <c r="G3139" i="1"/>
  <c r="G901" i="1"/>
  <c r="G110" i="1"/>
  <c r="G3715" i="1"/>
  <c r="G704" i="1"/>
  <c r="G1568" i="1"/>
  <c r="G3015" i="1"/>
  <c r="G3929" i="1"/>
  <c r="G4064" i="1"/>
  <c r="G3754" i="1"/>
  <c r="G4150" i="1"/>
  <c r="G1338" i="1"/>
  <c r="G2378" i="1"/>
  <c r="G1835" i="1"/>
  <c r="G3906" i="1"/>
  <c r="G3314" i="1"/>
  <c r="G720" i="1"/>
  <c r="G3308" i="1"/>
  <c r="G1932" i="1"/>
  <c r="G3216" i="1"/>
  <c r="G3597" i="1"/>
  <c r="G2271" i="1"/>
  <c r="G4053" i="1"/>
  <c r="G1390" i="1"/>
  <c r="G297" i="1"/>
  <c r="G2118" i="1"/>
  <c r="G3530" i="1"/>
  <c r="G3637" i="1"/>
  <c r="G1828" i="1"/>
  <c r="G3690" i="1"/>
  <c r="G101" i="1"/>
  <c r="G3591" i="1"/>
  <c r="G100" i="1"/>
  <c r="G3472" i="1"/>
  <c r="G1089" i="1"/>
  <c r="G609" i="1"/>
  <c r="G4073" i="1"/>
  <c r="G2418" i="1"/>
  <c r="G2391" i="1"/>
  <c r="G1930" i="1"/>
  <c r="G2758" i="1"/>
  <c r="G2354" i="1"/>
  <c r="G3237" i="1"/>
  <c r="G4050" i="1"/>
  <c r="G4051" i="1"/>
  <c r="G2692" i="1"/>
  <c r="G267" i="1"/>
  <c r="G3086" i="1"/>
  <c r="G3840" i="1"/>
  <c r="G2047" i="1"/>
  <c r="G4106" i="1"/>
  <c r="G3704" i="1"/>
  <c r="G877" i="1"/>
  <c r="G2347" i="1"/>
  <c r="G598" i="1"/>
  <c r="G3403" i="1"/>
  <c r="G2750" i="1"/>
  <c r="G3601" i="1"/>
  <c r="G383" i="1"/>
  <c r="G1132" i="1"/>
  <c r="G1163" i="1"/>
  <c r="G3552" i="1"/>
  <c r="G2341" i="1"/>
  <c r="G1695" i="1"/>
  <c r="G3297" i="1"/>
  <c r="G1694" i="1"/>
  <c r="G2876" i="1"/>
  <c r="G4092" i="1"/>
  <c r="G1065" i="1"/>
  <c r="G3464" i="1"/>
  <c r="G3828" i="1"/>
  <c r="G953" i="1"/>
  <c r="G4039" i="1"/>
  <c r="G770" i="1"/>
  <c r="G2185" i="1"/>
  <c r="G2721" i="1"/>
  <c r="G2131" i="1"/>
  <c r="G1603" i="1"/>
  <c r="G1644" i="1"/>
  <c r="G1962" i="1"/>
  <c r="G4037" i="1"/>
  <c r="G1301" i="1"/>
  <c r="G3710" i="1"/>
  <c r="G733" i="1"/>
  <c r="G2821" i="1"/>
  <c r="G3536" i="1"/>
  <c r="G3486" i="1"/>
  <c r="G238" i="1"/>
  <c r="G93" i="1"/>
  <c r="G843" i="1"/>
  <c r="G3610" i="1"/>
  <c r="G1764" i="1"/>
  <c r="G2841" i="1"/>
  <c r="G3009" i="1"/>
  <c r="G3190" i="1"/>
  <c r="G800" i="1"/>
  <c r="G1286" i="1"/>
  <c r="G280" i="1"/>
  <c r="G521" i="1"/>
  <c r="G1639" i="1"/>
  <c r="G436" i="1"/>
  <c r="G3671" i="1"/>
  <c r="G3166" i="1"/>
  <c r="G2337" i="1"/>
  <c r="G2360" i="1"/>
  <c r="G3532" i="1"/>
  <c r="G441" i="1"/>
  <c r="G3744" i="1"/>
  <c r="G1674" i="1"/>
  <c r="G3125" i="1"/>
  <c r="G3540" i="1"/>
  <c r="G1680" i="1"/>
  <c r="G1282" i="1"/>
  <c r="G3396" i="1"/>
  <c r="G178" i="1"/>
  <c r="G1143" i="1"/>
  <c r="G3566" i="1"/>
  <c r="G2636" i="1"/>
  <c r="G3746" i="1"/>
  <c r="G3516" i="1"/>
  <c r="G3598" i="1"/>
  <c r="G2606" i="1"/>
  <c r="G303" i="1"/>
  <c r="G1529" i="1"/>
  <c r="G3458" i="1"/>
  <c r="G3760" i="1"/>
  <c r="G13" i="1"/>
  <c r="G2437" i="1"/>
  <c r="G1253" i="1"/>
  <c r="G569" i="1"/>
  <c r="G868" i="1"/>
  <c r="G3621" i="1"/>
  <c r="G1636" i="1"/>
  <c r="G1479" i="1"/>
  <c r="G2919" i="1"/>
  <c r="G483" i="1"/>
  <c r="G3476" i="1"/>
  <c r="G997" i="1"/>
  <c r="G1907" i="1"/>
  <c r="G3020" i="1"/>
  <c r="G4094" i="1"/>
  <c r="G4016" i="1"/>
  <c r="G2888" i="1"/>
  <c r="G3568" i="1"/>
  <c r="G57" i="1"/>
  <c r="G3620" i="1"/>
  <c r="G287" i="1"/>
  <c r="G3612" i="1"/>
  <c r="G2730" i="1"/>
  <c r="G3623" i="1"/>
  <c r="G2685" i="1"/>
  <c r="G1986" i="1"/>
  <c r="G1617" i="1"/>
  <c r="G1413" i="1"/>
  <c r="G3559" i="1"/>
  <c r="G3543" i="1"/>
  <c r="G3669" i="1"/>
  <c r="G3665" i="1"/>
  <c r="G3535" i="1"/>
  <c r="G2125" i="1"/>
  <c r="G1309" i="1"/>
  <c r="G2983" i="1"/>
  <c r="G3729" i="1"/>
  <c r="G2495" i="1"/>
  <c r="G2446" i="1"/>
  <c r="G527" i="1"/>
  <c r="G936" i="1"/>
  <c r="G1955" i="1"/>
  <c r="G2346" i="1"/>
  <c r="G308" i="1"/>
  <c r="G1968" i="1"/>
  <c r="G3112" i="1"/>
  <c r="G3019" i="1"/>
  <c r="G3470" i="1"/>
  <c r="G3805" i="1"/>
  <c r="G3924" i="1"/>
  <c r="G1874" i="1"/>
  <c r="G2335" i="1"/>
  <c r="G3963" i="1"/>
  <c r="G2489" i="1"/>
  <c r="G1428" i="1"/>
  <c r="G214" i="1"/>
  <c r="G2968" i="1"/>
  <c r="G3136" i="1"/>
  <c r="G3482" i="1"/>
  <c r="G902" i="1"/>
  <c r="G480" i="1"/>
  <c r="G2221" i="1"/>
  <c r="G888" i="1"/>
  <c r="G2918" i="1"/>
  <c r="G206" i="1"/>
  <c r="G1399" i="1"/>
  <c r="G471" i="1"/>
  <c r="G3738" i="1"/>
  <c r="G2190" i="1"/>
  <c r="G2859" i="1"/>
  <c r="G1895" i="1"/>
  <c r="G574" i="1"/>
  <c r="G1969" i="1"/>
  <c r="G2484" i="1"/>
  <c r="G3583" i="1"/>
  <c r="G2811" i="1"/>
  <c r="G941" i="1"/>
  <c r="G822" i="1"/>
  <c r="G289" i="1"/>
  <c r="G1416" i="1"/>
  <c r="G2490" i="1"/>
  <c r="G3569" i="1"/>
  <c r="G3622" i="1"/>
  <c r="G3238" i="1"/>
  <c r="G3607" i="1"/>
  <c r="G3495" i="1"/>
  <c r="G980" i="1"/>
  <c r="G1376" i="1"/>
  <c r="G1879" i="1"/>
  <c r="G3987" i="1"/>
  <c r="G603" i="1"/>
  <c r="G3342" i="1"/>
  <c r="G716" i="1"/>
  <c r="G3089" i="1"/>
  <c r="G2277" i="1"/>
  <c r="G1631" i="1"/>
  <c r="G3562" i="1"/>
  <c r="G2258" i="1"/>
  <c r="G698" i="1"/>
  <c r="G1577" i="1"/>
  <c r="G2419" i="1"/>
  <c r="G2491" i="1"/>
  <c r="G1615" i="1"/>
  <c r="G2381" i="1"/>
  <c r="G2584" i="1"/>
  <c r="G3742" i="1"/>
  <c r="G1418" i="1"/>
  <c r="G2891" i="1"/>
  <c r="G2248" i="1"/>
  <c r="G33" i="1"/>
  <c r="G2017" i="1"/>
  <c r="G1567" i="1"/>
  <c r="G3462" i="1"/>
  <c r="G903" i="1"/>
  <c r="G538" i="1"/>
  <c r="G1801" i="1"/>
  <c r="G581" i="1"/>
  <c r="G3527" i="1"/>
  <c r="G340" i="1"/>
  <c r="G1281" i="1"/>
  <c r="G2432" i="1"/>
  <c r="G3517" i="1"/>
  <c r="G1107" i="1"/>
  <c r="G1812" i="1"/>
  <c r="G1307" i="1"/>
  <c r="G4120" i="1"/>
  <c r="G1667" i="1"/>
  <c r="G3654" i="1"/>
  <c r="G2602" i="1"/>
  <c r="G2074" i="1"/>
  <c r="G3531" i="1"/>
  <c r="G2405" i="1"/>
  <c r="G3036" i="1"/>
  <c r="G2037" i="1"/>
  <c r="G3513" i="1"/>
  <c r="G718" i="1"/>
  <c r="G3522" i="1"/>
  <c r="G787" i="1"/>
  <c r="G1330" i="1"/>
  <c r="G384" i="1"/>
  <c r="G3519" i="1"/>
  <c r="G3578" i="1"/>
  <c r="G1641" i="1"/>
  <c r="G3594" i="1"/>
  <c r="G2953" i="1"/>
  <c r="G3595" i="1"/>
  <c r="G3209" i="1"/>
  <c r="G3512" i="1"/>
  <c r="G1042" i="1"/>
  <c r="G2148" i="1"/>
  <c r="G2088" i="1"/>
  <c r="G2615" i="1"/>
  <c r="G708" i="1"/>
  <c r="G859" i="1"/>
  <c r="G1016" i="1"/>
  <c r="G1873" i="1"/>
  <c r="G2316" i="1"/>
  <c r="G2390" i="1"/>
  <c r="G958" i="1"/>
  <c r="G2376" i="1"/>
  <c r="G1570" i="1"/>
  <c r="G1373" i="1"/>
  <c r="G3024" i="1"/>
  <c r="G1275" i="1"/>
  <c r="G820" i="1"/>
  <c r="G443" i="1"/>
  <c r="G607" i="1"/>
  <c r="G3335" i="1"/>
  <c r="G3613" i="1"/>
  <c r="G301" i="1"/>
  <c r="G3653" i="1"/>
  <c r="G3279" i="1"/>
  <c r="G2415" i="1"/>
  <c r="G2132" i="1"/>
  <c r="G484" i="1"/>
  <c r="G2719" i="1"/>
  <c r="G3604" i="1"/>
  <c r="G911" i="1"/>
  <c r="G3692" i="1"/>
  <c r="G3693" i="1"/>
  <c r="G1715" i="1"/>
  <c r="G2075" i="1"/>
  <c r="G1031" i="1"/>
  <c r="G4065" i="1"/>
  <c r="G121" i="1"/>
  <c r="G3574" i="1"/>
  <c r="G3575" i="1"/>
  <c r="G2703" i="1"/>
  <c r="G2478" i="1"/>
  <c r="G2253" i="1"/>
  <c r="G1412" i="1"/>
  <c r="G1138" i="1"/>
  <c r="G1274" i="1"/>
  <c r="G2667" i="1"/>
  <c r="G2042" i="1"/>
  <c r="G1231" i="1"/>
  <c r="G2282" i="1"/>
  <c r="G3483" i="1"/>
  <c r="G3484" i="1"/>
  <c r="G3210" i="1"/>
  <c r="G3678" i="1"/>
  <c r="G1160" i="1"/>
  <c r="G3490" i="1"/>
  <c r="G1905" i="1"/>
  <c r="G373" i="1"/>
  <c r="G2213" i="1"/>
  <c r="G2443" i="1"/>
  <c r="G2031" i="1"/>
  <c r="G3954" i="1"/>
  <c r="G1846" i="1"/>
  <c r="G2300" i="1"/>
  <c r="G2410" i="1"/>
  <c r="G2714" i="1"/>
  <c r="G2533" i="1"/>
  <c r="G3537" i="1"/>
  <c r="G1344" i="1"/>
  <c r="G311" i="1"/>
  <c r="G3144" i="1"/>
  <c r="G2762" i="1"/>
  <c r="G1837" i="1"/>
  <c r="G2092" i="1"/>
  <c r="G3127" i="1"/>
  <c r="G1263" i="1"/>
  <c r="G2507" i="1"/>
  <c r="G1884" i="1"/>
  <c r="G3619" i="1"/>
  <c r="G663" i="1"/>
  <c r="G3599" i="1"/>
  <c r="G559" i="1"/>
  <c r="G3541" i="1"/>
  <c r="G1186" i="1"/>
  <c r="G3626" i="1"/>
  <c r="G617" i="1"/>
  <c r="G1821" i="1"/>
  <c r="G2499" i="1"/>
  <c r="G2857" i="1"/>
  <c r="G210" i="1"/>
  <c r="G1405" i="1"/>
  <c r="G1060" i="1"/>
  <c r="G1227" i="1"/>
  <c r="G2395" i="1"/>
  <c r="G1178" i="1"/>
  <c r="G3526" i="1"/>
  <c r="G2868" i="1"/>
  <c r="G3321" i="1"/>
  <c r="G3670" i="1"/>
  <c r="G1348" i="1"/>
  <c r="G1115" i="1"/>
  <c r="G889" i="1"/>
  <c r="G1522" i="1"/>
  <c r="G3007" i="1"/>
  <c r="G3989" i="1"/>
  <c r="G3285" i="1"/>
  <c r="G3161" i="1"/>
  <c r="G2992" i="1"/>
  <c r="G3948" i="1"/>
  <c r="G1712" i="1"/>
  <c r="G161" i="1"/>
  <c r="G3602" i="1"/>
  <c r="G189" i="1"/>
  <c r="G2264" i="1"/>
  <c r="G3639" i="1"/>
  <c r="G225" i="1"/>
  <c r="G3478" i="1"/>
  <c r="G1193" i="1"/>
  <c r="G3660" i="1"/>
  <c r="G4134" i="1"/>
  <c r="G2707" i="1"/>
  <c r="G3683" i="1"/>
  <c r="G1854" i="1"/>
  <c r="G4040" i="1"/>
  <c r="G2181" i="1"/>
  <c r="G625" i="1"/>
  <c r="G3467" i="1"/>
  <c r="G1220" i="1"/>
  <c r="G754" i="1"/>
  <c r="G3712" i="1"/>
  <c r="G2877" i="1"/>
  <c r="G765" i="1"/>
  <c r="G1804" i="1"/>
  <c r="G1204" i="1"/>
  <c r="G1754" i="1"/>
  <c r="G197" i="1"/>
  <c r="G2367" i="1"/>
  <c r="G1896" i="1"/>
  <c r="G706" i="1"/>
  <c r="G363" i="1"/>
  <c r="G1808" i="1"/>
  <c r="G3350" i="1"/>
  <c r="G2572" i="1"/>
  <c r="G2050" i="1"/>
  <c r="G4079" i="1"/>
  <c r="G811" i="1"/>
  <c r="G1441" i="1"/>
  <c r="G2163" i="1"/>
  <c r="G1217" i="1"/>
  <c r="G3383" i="1"/>
  <c r="G3605" i="1"/>
  <c r="G2448" i="1"/>
  <c r="G3014" i="1"/>
  <c r="G2010" i="1"/>
  <c r="G2611" i="1"/>
  <c r="G2907" i="1"/>
  <c r="G1414" i="1"/>
  <c r="G3816" i="1"/>
  <c r="G3465" i="1"/>
  <c r="G315" i="1"/>
  <c r="G680" i="1"/>
  <c r="G3643" i="1"/>
  <c r="G3088" i="1"/>
  <c r="G740" i="1"/>
  <c r="G3198" i="1"/>
  <c r="G32" i="1"/>
  <c r="G2205" i="1"/>
  <c r="G1072" i="1"/>
  <c r="G588" i="1"/>
  <c r="G458" i="1"/>
  <c r="G1074" i="1"/>
  <c r="G618" i="1"/>
  <c r="G864" i="1"/>
  <c r="G2973" i="1"/>
  <c r="G2273" i="1"/>
  <c r="G1923" i="1"/>
  <c r="G1202" i="1"/>
  <c r="G4148" i="1"/>
  <c r="G1800" i="1"/>
  <c r="G3362" i="1"/>
  <c r="G1183" i="1"/>
  <c r="G3615" i="1"/>
  <c r="G2704" i="1"/>
  <c r="G2631" i="1"/>
  <c r="G1839" i="1"/>
  <c r="G2791" i="1"/>
  <c r="G1760" i="1"/>
  <c r="G216" i="1"/>
  <c r="G1261" i="1"/>
  <c r="G2763" i="1"/>
  <c r="G2579" i="1"/>
  <c r="G369" i="1"/>
  <c r="G3608" i="1"/>
  <c r="G670" i="1"/>
  <c r="G3664" i="1"/>
  <c r="G3774" i="1"/>
  <c r="G1041" i="1"/>
  <c r="G905" i="1"/>
  <c r="G1993" i="1"/>
  <c r="G2854" i="1"/>
  <c r="G1856" i="1"/>
  <c r="G3230" i="1"/>
  <c r="G1116" i="1"/>
  <c r="G1086" i="1"/>
  <c r="G734" i="1"/>
  <c r="G423" i="1"/>
  <c r="G1527" i="1"/>
  <c r="G685" i="1"/>
  <c r="G3685" i="1"/>
  <c r="G760" i="1"/>
  <c r="G2729" i="1"/>
  <c r="G492" i="1"/>
  <c r="G147" i="1"/>
  <c r="G3697" i="1"/>
  <c r="G1994" i="1"/>
  <c r="G620" i="1"/>
  <c r="G3448" i="1"/>
  <c r="G3382" i="1"/>
  <c r="G3596" i="1"/>
  <c r="G489" i="1"/>
  <c r="G1182" i="1"/>
  <c r="G3614" i="1"/>
  <c r="G3179" i="1"/>
  <c r="G913" i="1"/>
  <c r="G2043" i="1"/>
  <c r="G1776" i="1"/>
  <c r="G1782" i="1"/>
  <c r="G2622" i="1"/>
  <c r="G2928" i="1"/>
  <c r="G1356" i="1"/>
  <c r="G3548" i="1"/>
  <c r="G2005" i="1"/>
  <c r="G2526" i="1"/>
  <c r="G79" i="1"/>
  <c r="G1592" i="1"/>
  <c r="G1134" i="1"/>
  <c r="G1991" i="1"/>
  <c r="G3353" i="1"/>
  <c r="G1076" i="1"/>
  <c r="G916" i="1"/>
  <c r="G1073" i="1"/>
  <c r="G638" i="1"/>
  <c r="G459" i="1"/>
  <c r="G1112" i="1"/>
  <c r="G1255" i="1"/>
  <c r="G2909" i="1"/>
  <c r="G135" i="1"/>
  <c r="G3453" i="1"/>
  <c r="G3454" i="1"/>
  <c r="G2525" i="1"/>
  <c r="G3493" i="1"/>
  <c r="G3872" i="1"/>
  <c r="G1228" i="1"/>
  <c r="G1500" i="1"/>
  <c r="G750" i="1"/>
  <c r="G3103" i="1"/>
  <c r="G2642" i="1"/>
  <c r="G1948" i="1"/>
  <c r="G2695" i="1"/>
  <c r="G540" i="1"/>
  <c r="G495" i="1"/>
  <c r="G4147" i="1"/>
  <c r="G88" i="1"/>
  <c r="G1327" i="1"/>
  <c r="G1291" i="1"/>
  <c r="G2070" i="1"/>
  <c r="G354" i="1"/>
  <c r="G2202" i="1"/>
  <c r="G3726" i="1"/>
  <c r="G912" i="1"/>
  <c r="G1799" i="1"/>
  <c r="G1465" i="1"/>
  <c r="G80" i="1"/>
  <c r="G2565" i="1"/>
  <c r="G3696" i="1"/>
  <c r="G2534" i="1"/>
  <c r="G3538" i="1"/>
  <c r="G3539" i="1"/>
  <c r="G2301" i="1"/>
  <c r="G2033" i="1"/>
  <c r="G3588" i="1"/>
  <c r="G4017" i="1"/>
  <c r="G3163" i="1"/>
  <c r="G3197" i="1"/>
  <c r="G1363" i="1"/>
  <c r="G3509" i="1"/>
  <c r="G3851" i="1"/>
  <c r="G3677" i="1"/>
  <c r="G3153" i="1"/>
  <c r="G1481" i="1"/>
  <c r="G398" i="1"/>
  <c r="G1803" i="1"/>
  <c r="G635" i="1"/>
  <c r="G817" i="1"/>
  <c r="G2464" i="1"/>
  <c r="G1690" i="1"/>
  <c r="G2756" i="1"/>
  <c r="G1600" i="1"/>
  <c r="G1773" i="1"/>
  <c r="G1124" i="1"/>
  <c r="G2839" i="1"/>
  <c r="G2972" i="1"/>
  <c r="G939" i="1"/>
  <c r="G3373" i="1"/>
  <c r="G4128" i="1"/>
  <c r="G1467" i="1"/>
  <c r="G1499" i="1"/>
  <c r="G3347" i="1"/>
  <c r="G885" i="1"/>
  <c r="G2544" i="1"/>
  <c r="G3577" i="1"/>
  <c r="G1852" i="1"/>
  <c r="G679" i="1"/>
  <c r="G3642" i="1"/>
  <c r="G2948" i="1"/>
  <c r="G115" i="1"/>
  <c r="G621" i="1"/>
  <c r="G1813" i="1"/>
  <c r="G1063" i="1"/>
  <c r="G3101" i="1"/>
  <c r="G1209" i="1"/>
  <c r="G1967" i="1"/>
  <c r="G2370" i="1"/>
  <c r="G1619" i="1"/>
  <c r="G1759" i="1"/>
  <c r="G81" i="1"/>
  <c r="G2220" i="1"/>
  <c r="G875" i="1"/>
  <c r="G1751" i="1"/>
  <c r="G3935" i="1"/>
  <c r="G3473" i="1"/>
  <c r="G655" i="1"/>
  <c r="G3572" i="1"/>
  <c r="G2590" i="1"/>
  <c r="G3158" i="1"/>
  <c r="G3638" i="1"/>
  <c r="G2546" i="1"/>
  <c r="G3579" i="1"/>
  <c r="G2650" i="1"/>
  <c r="G1200" i="1"/>
  <c r="G1155" i="1"/>
  <c r="G3459" i="1"/>
  <c r="G3845" i="1"/>
  <c r="G3645" i="1"/>
  <c r="G1954" i="1"/>
  <c r="G432" i="1"/>
  <c r="G962" i="1"/>
  <c r="G2268" i="1"/>
  <c r="G1159" i="1"/>
  <c r="G3489" i="1"/>
  <c r="G2696" i="1"/>
  <c r="G2286" i="1"/>
  <c r="G650" i="1"/>
  <c r="G3560" i="1"/>
  <c r="G184" i="1"/>
  <c r="G3741" i="1"/>
  <c r="G1292" i="1"/>
  <c r="G2136" i="1"/>
  <c r="G836" i="1"/>
  <c r="G928" i="1"/>
  <c r="G1117" i="1"/>
  <c r="G678" i="1"/>
  <c r="G3649" i="1"/>
  <c r="G2822" i="1"/>
  <c r="G1880" i="1"/>
  <c r="G3503" i="1"/>
  <c r="G2340" i="1"/>
  <c r="G512" i="1"/>
  <c r="G2760" i="1"/>
  <c r="G1198" i="1"/>
  <c r="G3686" i="1"/>
  <c r="G626" i="1"/>
  <c r="G3485" i="1"/>
  <c r="G1520" i="1"/>
  <c r="G1525" i="1"/>
  <c r="G1659" i="1"/>
  <c r="G1173" i="1"/>
  <c r="G3586" i="1"/>
  <c r="G1104" i="1"/>
  <c r="G529" i="1"/>
  <c r="G1142" i="1"/>
  <c r="G2941" i="1"/>
  <c r="G1432" i="1"/>
  <c r="G1723" i="1"/>
  <c r="G2573" i="1"/>
  <c r="G4095" i="1"/>
  <c r="G2711" i="1"/>
  <c r="G1010" i="1"/>
  <c r="G3529" i="1"/>
  <c r="G410" i="1"/>
  <c r="G909" i="1"/>
  <c r="G42" i="1"/>
  <c r="G1322" i="1"/>
  <c r="G564" i="1"/>
  <c r="G1153" i="1"/>
  <c r="G3452" i="1"/>
  <c r="G3797" i="1"/>
  <c r="G2787" i="1"/>
  <c r="G3" i="1"/>
  <c r="G623" i="1"/>
  <c r="G3457" i="1"/>
  <c r="G1457" i="1"/>
  <c r="G2599" i="1"/>
  <c r="G1536" i="1"/>
  <c r="G1430" i="1"/>
  <c r="G1081" i="1"/>
  <c r="G768" i="1"/>
  <c r="G1103" i="1"/>
  <c r="G406" i="1"/>
  <c r="G1306" i="1"/>
  <c r="G3651" i="1"/>
  <c r="G1319" i="1"/>
  <c r="G3882" i="1"/>
  <c r="G1427" i="1"/>
  <c r="G1318" i="1"/>
  <c r="G999" i="1"/>
  <c r="G1323" i="1"/>
  <c r="G2411" i="1"/>
  <c r="G217" i="1"/>
  <c r="G2266" i="1"/>
  <c r="G3291" i="1"/>
  <c r="G3877" i="1"/>
  <c r="G1354" i="1"/>
  <c r="G605" i="1"/>
  <c r="G1187" i="1"/>
  <c r="G2553" i="1"/>
  <c r="G3617" i="1"/>
  <c r="G1111" i="1"/>
  <c r="G2944" i="1"/>
  <c r="G4059" i="1"/>
  <c r="G2183" i="1"/>
  <c r="G532" i="1"/>
  <c r="G3911" i="1"/>
  <c r="G1486" i="1"/>
  <c r="G3730" i="1"/>
  <c r="G2170" i="1"/>
  <c r="G99" i="1"/>
  <c r="G1353" i="1"/>
  <c r="G1998" i="1"/>
  <c r="G2028" i="1"/>
  <c r="G1462" i="1"/>
  <c r="G63" i="1"/>
  <c r="G3245" i="1"/>
  <c r="G1415" i="1"/>
  <c r="G3183" i="1"/>
  <c r="G2878" i="1"/>
  <c r="G2090" i="1"/>
  <c r="G3745" i="1"/>
  <c r="G3275" i="1"/>
  <c r="G3137" i="1"/>
  <c r="G1534" i="1"/>
  <c r="G3862" i="1"/>
  <c r="G3981" i="1"/>
  <c r="G316" i="1"/>
  <c r="G2053" i="1"/>
  <c r="G3253" i="1"/>
  <c r="G1110" i="1"/>
  <c r="G3092" i="1"/>
  <c r="G4138" i="1"/>
  <c r="G2319" i="1"/>
  <c r="G54" i="1"/>
  <c r="G376" i="1"/>
  <c r="G3468" i="1"/>
  <c r="G3469" i="1"/>
  <c r="G563" i="1"/>
  <c r="G813" i="1"/>
  <c r="G2494" i="1"/>
  <c r="G3154" i="1"/>
  <c r="G3563" i="1"/>
  <c r="G3564" i="1"/>
  <c r="G2159" i="1"/>
  <c r="G175" i="1"/>
  <c r="G1521" i="1"/>
  <c r="G2754" i="1"/>
  <c r="G1646" i="1"/>
  <c r="G2310" i="1"/>
  <c r="G2694" i="1"/>
  <c r="G3013" i="1"/>
  <c r="G2624" i="1"/>
  <c r="G268" i="1"/>
  <c r="G3381" i="1"/>
  <c r="G744" i="1"/>
  <c r="G4086" i="1"/>
  <c r="G1611" i="1"/>
  <c r="G614" i="1"/>
  <c r="G1456" i="1"/>
  <c r="G1424" i="1"/>
  <c r="G3165" i="1"/>
  <c r="G1185" i="1"/>
  <c r="G3624" i="1"/>
  <c r="G2883" i="1"/>
  <c r="G3035" i="1"/>
  <c r="G2528" i="1"/>
  <c r="G2025" i="1"/>
  <c r="G1654" i="1"/>
  <c r="G2368" i="1"/>
  <c r="G2120" i="1"/>
  <c r="G2618" i="1"/>
  <c r="G1866" i="1"/>
  <c r="G660" i="1"/>
  <c r="G1215" i="1"/>
  <c r="G248" i="1"/>
  <c r="G2867" i="1"/>
  <c r="G1685" i="1"/>
  <c r="G371" i="1"/>
  <c r="G3182" i="1"/>
  <c r="G3369" i="1"/>
  <c r="G2134" i="1"/>
  <c r="G2445" i="1"/>
  <c r="G507" i="1"/>
  <c r="G2666" i="1"/>
  <c r="G2488" i="1"/>
  <c r="G1444" i="1"/>
  <c r="G705" i="1"/>
  <c r="G229" i="1"/>
  <c r="G3920" i="1"/>
  <c r="G4142" i="1"/>
  <c r="G156" i="1"/>
  <c r="G639" i="1"/>
  <c r="G3837" i="1"/>
  <c r="G3592" i="1"/>
  <c r="G2100" i="1"/>
  <c r="G3352" i="1"/>
  <c r="G2959" i="1"/>
  <c r="G2504" i="1"/>
  <c r="G2887" i="1"/>
  <c r="G1240" i="1"/>
  <c r="G2022" i="1"/>
  <c r="G2958" i="1"/>
  <c r="G1649" i="1"/>
  <c r="G2167" i="1"/>
  <c r="G622" i="1"/>
  <c r="G3456" i="1"/>
  <c r="G277" i="1"/>
  <c r="G300" i="1"/>
  <c r="G3557" i="1"/>
  <c r="G361" i="1"/>
  <c r="G858" i="1"/>
  <c r="G1078" i="1"/>
  <c r="G1632" i="1"/>
  <c r="G1859" i="1"/>
  <c r="G1902" i="1"/>
  <c r="G78" i="1"/>
  <c r="G2913" i="1"/>
  <c r="G2379" i="1"/>
  <c r="G2773" i="1"/>
  <c r="G2425" i="1"/>
  <c r="G4060" i="1"/>
  <c r="G730" i="1"/>
  <c r="G3194" i="1"/>
  <c r="G2462" i="1"/>
  <c r="G1276" i="1"/>
  <c r="G2538" i="1"/>
  <c r="G364" i="1"/>
  <c r="G3832" i="1"/>
  <c r="G3581" i="1"/>
  <c r="G219" i="1"/>
  <c r="G3756" i="1"/>
  <c r="G2323" i="1"/>
  <c r="G2616" i="1"/>
  <c r="G2129" i="1"/>
  <c r="G1892" i="1"/>
  <c r="G427" i="1"/>
  <c r="G3034" i="1"/>
  <c r="G4108" i="1"/>
  <c r="G1009" i="1"/>
  <c r="G3477" i="1"/>
  <c r="G2994" i="1"/>
  <c r="G2280" i="1"/>
  <c r="G3455" i="1"/>
  <c r="G2559" i="1"/>
  <c r="G435" i="1"/>
  <c r="G141" i="1"/>
  <c r="G3839" i="1"/>
  <c r="G649" i="1"/>
  <c r="G1445" i="1"/>
  <c r="G3999" i="1"/>
  <c r="G3907" i="1"/>
  <c r="G1437" i="1"/>
  <c r="G1637" i="1"/>
  <c r="G690" i="1"/>
  <c r="G3684" i="1"/>
  <c r="G3206" i="1"/>
  <c r="G3177" i="1"/>
  <c r="G3796" i="1"/>
  <c r="G3772" i="1"/>
  <c r="G1077" i="1"/>
  <c r="G993" i="1"/>
  <c r="G687" i="1"/>
  <c r="G3674" i="1"/>
  <c r="G2882" i="1"/>
  <c r="G503" i="1"/>
  <c r="G3361" i="1"/>
  <c r="G1640" i="1"/>
  <c r="G1535" i="1"/>
  <c r="G2024" i="1"/>
  <c r="G2803" i="1"/>
  <c r="G1609" i="1"/>
  <c r="G833" i="1"/>
  <c r="G2320" i="1"/>
  <c r="G2385" i="1"/>
  <c r="G1260" i="1"/>
  <c r="G3259" i="1"/>
  <c r="G891" i="1"/>
  <c r="G429" i="1"/>
  <c r="G1216" i="1"/>
  <c r="G3787" i="1"/>
  <c r="G1548" i="1"/>
  <c r="G2518" i="1"/>
  <c r="G3461" i="1"/>
  <c r="G3288" i="1"/>
  <c r="G2955" i="1"/>
  <c r="G3110" i="1"/>
  <c r="G2784" i="1"/>
  <c r="G368" i="1"/>
  <c r="G3264" i="1"/>
  <c r="G1429" i="1"/>
  <c r="G62" i="1"/>
  <c r="G2569" i="1"/>
  <c r="G3646" i="1"/>
  <c r="G3647" i="1"/>
  <c r="G4084" i="1"/>
  <c r="G707" i="1"/>
  <c r="G2952" i="1"/>
  <c r="G2564" i="1"/>
  <c r="G3695" i="1"/>
  <c r="G897" i="1"/>
  <c r="G2792" i="1"/>
  <c r="G3905" i="1"/>
  <c r="G930" i="1"/>
  <c r="G2054" i="1"/>
  <c r="G252" i="1"/>
  <c r="G989" i="1"/>
  <c r="G2807" i="1"/>
  <c r="G518" i="1"/>
  <c r="G2527" i="1"/>
  <c r="G3505" i="1"/>
  <c r="G3018" i="1"/>
  <c r="G1210" i="1"/>
  <c r="G3267" i="1"/>
  <c r="G3675" i="1"/>
  <c r="G791" i="1"/>
  <c r="G3801" i="1"/>
  <c r="G3897" i="1"/>
  <c r="G1248" i="1"/>
  <c r="G2219" i="1"/>
  <c r="G2409" i="1"/>
  <c r="G557" i="1"/>
  <c r="G2982" i="1"/>
  <c r="G1189" i="1"/>
  <c r="G3650" i="1"/>
  <c r="G3570" i="1"/>
  <c r="G3571" i="1"/>
  <c r="G1913" i="1"/>
  <c r="G1245" i="1"/>
  <c r="G3082" i="1"/>
  <c r="G2009" i="1"/>
  <c r="G1979" i="1"/>
  <c r="G1909" i="1"/>
  <c r="G665" i="1"/>
  <c r="G2018" i="1"/>
  <c r="G1389" i="1"/>
  <c r="G276" i="1"/>
  <c r="G2597" i="1"/>
  <c r="G2989" i="1"/>
  <c r="G944" i="1"/>
  <c r="G1858" i="1"/>
  <c r="G523" i="1"/>
  <c r="G482" i="1"/>
  <c r="G2957" i="1"/>
  <c r="G926" i="1"/>
  <c r="G1475" i="1"/>
  <c r="G1366" i="1"/>
  <c r="G272" i="1"/>
  <c r="G1482" i="1"/>
  <c r="G2179" i="1"/>
  <c r="G4099" i="1"/>
  <c r="G1971" i="1"/>
  <c r="G1350" i="1"/>
  <c r="G697" i="1"/>
  <c r="G3698" i="1"/>
  <c r="G907" i="1"/>
  <c r="G1792" i="1"/>
  <c r="G106" i="1"/>
  <c r="G938" i="1"/>
  <c r="G509" i="1"/>
  <c r="G3921" i="1"/>
  <c r="G3488" i="1"/>
  <c r="G3725" i="1"/>
  <c r="G755" i="1"/>
  <c r="G3268" i="1"/>
  <c r="G2639" i="1"/>
  <c r="G2407" i="1"/>
  <c r="G3121" i="1"/>
  <c r="G2352" i="1"/>
  <c r="G380" i="1"/>
  <c r="G1658" i="1"/>
  <c r="G358" i="1"/>
  <c r="G2960" i="1"/>
  <c r="G305" i="1"/>
  <c r="G389" i="1"/>
  <c r="G3860" i="1"/>
  <c r="G2003" i="1"/>
  <c r="G3962" i="1"/>
  <c r="G1871" i="1"/>
  <c r="G578" i="1"/>
  <c r="G463" i="1"/>
  <c r="G1419" i="1"/>
  <c r="G3115" i="1"/>
  <c r="G4021" i="1"/>
  <c r="G528" i="1"/>
  <c r="G3029" i="1"/>
  <c r="G2065" i="1"/>
  <c r="G1105" i="1"/>
  <c r="G4077" i="1"/>
  <c r="G1976" i="1"/>
  <c r="G3169" i="1"/>
  <c r="G2701" i="1"/>
  <c r="G1308" i="1"/>
  <c r="G2797" i="1"/>
  <c r="G662" i="1"/>
  <c r="G3633" i="1"/>
  <c r="G3940" i="1"/>
  <c r="G2176" i="1"/>
  <c r="G3657" i="1"/>
  <c r="G2107" i="1"/>
  <c r="G3997" i="1"/>
  <c r="G2353" i="1"/>
  <c r="G2439" i="1"/>
  <c r="G170" i="1"/>
  <c r="G2800" i="1"/>
  <c r="G1980" i="1"/>
  <c r="G1283" i="1"/>
  <c r="G910" i="1"/>
  <c r="G2998" i="1"/>
  <c r="G756" i="1"/>
  <c r="G2267" i="1"/>
  <c r="G2924" i="1"/>
  <c r="G505" i="1"/>
  <c r="G2911" i="1"/>
  <c r="G2314" i="1"/>
  <c r="G1150" i="1"/>
  <c r="G3450" i="1"/>
  <c r="G1346" i="1"/>
  <c r="G1650" i="1"/>
  <c r="G806" i="1"/>
  <c r="G2144" i="1"/>
  <c r="G142" i="1"/>
  <c r="G2728" i="1"/>
  <c r="G2262" i="1"/>
  <c r="G3546" i="1"/>
  <c r="G3977" i="1"/>
  <c r="G2154" i="1"/>
  <c r="G1924" i="1"/>
  <c r="G2805" i="1"/>
  <c r="G1113" i="1"/>
  <c r="G1126" i="1"/>
  <c r="G1002" i="1"/>
  <c r="G747" i="1"/>
  <c r="G3023" i="1"/>
  <c r="G683" i="1"/>
  <c r="G2524" i="1"/>
  <c r="G3471" i="1"/>
  <c r="G3080" i="1"/>
  <c r="G3202" i="1"/>
  <c r="G2644" i="1"/>
  <c r="G2780" i="1"/>
  <c r="G2423" i="1"/>
  <c r="G3162" i="1"/>
  <c r="G719" i="1"/>
  <c r="G329" i="1"/>
  <c r="G353" i="1"/>
  <c r="G2547" i="1"/>
  <c r="G2197" i="1"/>
  <c r="G4070" i="1"/>
  <c r="G2897" i="1"/>
  <c r="G2950" i="1"/>
  <c r="G3808" i="1"/>
  <c r="G3156" i="1"/>
  <c r="G467" i="1"/>
  <c r="G2142" i="1"/>
  <c r="G3413" i="1"/>
  <c r="G2192" i="1"/>
  <c r="G3846" i="1"/>
  <c r="G3648" i="1"/>
  <c r="G2476" i="1"/>
  <c r="G138" i="1"/>
  <c r="G3496" i="1"/>
  <c r="G1165" i="1"/>
  <c r="G3499" i="1"/>
  <c r="G3118" i="1"/>
  <c r="G1604" i="1"/>
  <c r="G1714" i="1"/>
  <c r="G2023" i="1"/>
  <c r="G2044" i="1"/>
  <c r="G937" i="1"/>
  <c r="G2815" i="1"/>
  <c r="G723" i="1"/>
  <c r="G4058" i="1"/>
  <c r="G2674" i="1"/>
  <c r="G4046" i="1"/>
  <c r="G2242" i="1"/>
  <c r="G1588" i="1"/>
  <c r="G1893" i="1"/>
  <c r="G2263" i="1"/>
  <c r="G3475" i="1"/>
  <c r="G3898" i="1"/>
  <c r="G3721" i="1"/>
  <c r="G1906" i="1"/>
  <c r="G3992" i="1"/>
  <c r="G2700" i="1"/>
  <c r="G1167" i="1"/>
  <c r="G3504" i="1"/>
  <c r="G2048" i="1"/>
  <c r="G1766" i="1"/>
  <c r="G2894" i="1"/>
  <c r="G2991" i="1"/>
  <c r="G1108" i="1"/>
  <c r="G3959" i="1"/>
  <c r="G2428" i="1"/>
  <c r="G504" i="1"/>
  <c r="G1951" i="1"/>
  <c r="G2956" i="1"/>
  <c r="G807" i="1"/>
  <c r="G4129" i="1"/>
  <c r="G2732" i="1"/>
  <c r="G2408" i="1"/>
  <c r="G1083" i="1"/>
  <c r="G1196" i="1"/>
  <c r="G1703" i="1"/>
  <c r="G2986" i="1"/>
  <c r="G3969" i="1"/>
  <c r="G2838" i="1"/>
  <c r="G3740" i="1"/>
  <c r="G293" i="1"/>
  <c r="G2026" i="1"/>
  <c r="G2862" i="1"/>
  <c r="G749" i="1"/>
  <c r="G1787" i="1"/>
  <c r="G3894" i="1"/>
  <c r="G1833" i="1"/>
  <c r="G3931" i="1"/>
  <c r="G3829" i="1"/>
  <c r="G3555" i="1"/>
  <c r="G2915" i="1"/>
  <c r="G2007" i="1"/>
  <c r="G426" i="1"/>
  <c r="G2934" i="1"/>
  <c r="G2369" i="1"/>
  <c r="G3398" i="1"/>
  <c r="G264" i="1"/>
  <c r="G2114" i="1"/>
  <c r="G1079" i="1"/>
  <c r="G1351" i="1"/>
  <c r="G3694" i="1"/>
  <c r="G2193" i="1"/>
  <c r="G3783" i="1"/>
  <c r="G2483" i="1"/>
  <c r="G230" i="1"/>
  <c r="G1013" i="1"/>
  <c r="G3593" i="1"/>
  <c r="G959" i="1"/>
  <c r="G2819" i="1"/>
  <c r="G2617" i="1"/>
  <c r="G2608" i="1"/>
  <c r="G3628" i="1"/>
  <c r="G3769" i="1"/>
  <c r="G362" i="1"/>
  <c r="G2269" i="1"/>
  <c r="G881" i="1"/>
  <c r="G1044" i="1"/>
  <c r="G4067" i="1"/>
  <c r="G3386" i="1"/>
  <c r="G1122" i="1"/>
  <c r="G4061" i="1"/>
  <c r="G1888" i="1"/>
  <c r="G190" i="1"/>
  <c r="G2356" i="1"/>
  <c r="G1508" i="1"/>
  <c r="G652" i="1"/>
  <c r="G2607" i="1"/>
  <c r="G4038" i="1"/>
  <c r="G1618" i="1"/>
  <c r="G2772" i="1"/>
  <c r="G2837" i="1"/>
  <c r="G2250" i="1"/>
  <c r="G1382" i="1"/>
  <c r="G2620" i="1"/>
  <c r="G721" i="1"/>
  <c r="G1904" i="1"/>
  <c r="G3945" i="1"/>
  <c r="G2338" i="1"/>
  <c r="G3799" i="1"/>
  <c r="G1545" i="1"/>
  <c r="G1989" i="1"/>
  <c r="G2832" i="1"/>
  <c r="G595" i="1"/>
  <c r="G1224" i="1"/>
  <c r="G1478" i="1"/>
  <c r="G1313" i="1"/>
  <c r="G3220" i="1"/>
  <c r="G3017" i="1"/>
  <c r="G114" i="1"/>
  <c r="G3376" i="1"/>
  <c r="G1939" i="1"/>
  <c r="G1315" i="1"/>
  <c r="G2943" i="1"/>
  <c r="G2517" i="1"/>
  <c r="G3449" i="1"/>
  <c r="G3001" i="1"/>
  <c r="G1992" i="1"/>
  <c r="G496" i="1"/>
  <c r="G2785" i="1"/>
  <c r="G1781" i="1"/>
  <c r="G986" i="1"/>
  <c r="G3500" i="1"/>
  <c r="G2858" i="1"/>
  <c r="G3045" i="1"/>
  <c r="G1051" i="1"/>
  <c r="G2027" i="1"/>
  <c r="G231" i="1"/>
  <c r="G3058" i="1"/>
  <c r="G737" i="1"/>
  <c r="G90" i="1"/>
  <c r="G19" i="1"/>
  <c r="G1247" i="1"/>
  <c r="G3792" i="1"/>
  <c r="G4000" i="1"/>
  <c r="G3172" i="1"/>
  <c r="G2830" i="1"/>
  <c r="G2366" i="1"/>
  <c r="G1067" i="1"/>
  <c r="G3410" i="1"/>
  <c r="G1121" i="1"/>
  <c r="G2477" i="1"/>
  <c r="G867" i="1"/>
  <c r="G3909" i="1"/>
  <c r="G2977" i="1"/>
  <c r="G1489" i="1"/>
  <c r="G810" i="1"/>
  <c r="G1097" i="1"/>
  <c r="G1123" i="1"/>
  <c r="G1059" i="1"/>
  <c r="G1561" i="1"/>
  <c r="G1772" i="1"/>
  <c r="G2914" i="1"/>
  <c r="G2699" i="1"/>
  <c r="G3904" i="1"/>
  <c r="G2798" i="1"/>
  <c r="G2228" i="1"/>
  <c r="G1096" i="1"/>
  <c r="G776" i="1"/>
  <c r="G3096" i="1"/>
  <c r="G2212" i="1"/>
  <c r="G1882" i="1"/>
  <c r="G1778" i="1"/>
  <c r="G984" i="1"/>
  <c r="G2109" i="1"/>
  <c r="G4105" i="1"/>
  <c r="G2592" i="1"/>
  <c r="G2278" i="1"/>
  <c r="G1929" i="1"/>
  <c r="G3250" i="1"/>
  <c r="G2757" i="1"/>
  <c r="G2655" i="1"/>
  <c r="G2974" i="1"/>
  <c r="G1391" i="1"/>
  <c r="G3842" i="1"/>
  <c r="G3961" i="1"/>
  <c r="G2697" i="1"/>
  <c r="G3397" i="1"/>
  <c r="G1648" i="1"/>
  <c r="G4141" i="1"/>
  <c r="G3260" i="1"/>
  <c r="G3069" i="1"/>
  <c r="G3064" i="1"/>
  <c r="G3716" i="1"/>
  <c r="G3439" i="1"/>
  <c r="G1342" i="1"/>
  <c r="G1358" i="1"/>
  <c r="G3184" i="1"/>
  <c r="G1814" i="1"/>
  <c r="G1003" i="1"/>
  <c r="G319" i="1"/>
  <c r="G1769" i="1"/>
  <c r="G1738" i="1"/>
  <c r="G2679" i="1"/>
  <c r="G12" i="1"/>
  <c r="G2931" i="1"/>
  <c r="G2063" i="1"/>
  <c r="G1885" i="1"/>
  <c r="G2965" i="1"/>
  <c r="G2893" i="1"/>
  <c r="G1806" i="1"/>
  <c r="G3360" i="1"/>
  <c r="G2966" i="1"/>
  <c r="G117" i="1"/>
  <c r="G2344" i="1"/>
  <c r="G3912" i="1"/>
  <c r="G3941" i="1"/>
  <c r="G3807" i="1"/>
  <c r="G1289" i="1"/>
  <c r="G2348" i="1"/>
  <c r="G3004" i="1"/>
  <c r="G7" i="1"/>
  <c r="G3431" i="1"/>
  <c r="G1331" i="1"/>
  <c r="G1320" i="1"/>
  <c r="G1141" i="1"/>
  <c r="G965" i="1"/>
  <c r="G335" i="1"/>
  <c r="G24" i="1"/>
  <c r="G1834" i="1"/>
  <c r="G2441" i="1"/>
  <c r="G3990" i="1"/>
  <c r="G4019" i="1"/>
  <c r="G789" i="1"/>
  <c r="G109" i="1"/>
  <c r="G1504" i="1"/>
  <c r="G786" i="1"/>
  <c r="G1340" i="1"/>
  <c r="G2530" i="1"/>
  <c r="G211" i="1"/>
  <c r="G955" i="1"/>
  <c r="G915" i="1"/>
  <c r="G204" i="1"/>
  <c r="G1149" i="1"/>
  <c r="G3446" i="1"/>
  <c r="G2633" i="1"/>
  <c r="G1684" i="1"/>
  <c r="G2996" i="1"/>
  <c r="G1513" i="1"/>
  <c r="G61" i="1"/>
  <c r="G2463" i="1"/>
  <c r="G2568" i="1"/>
  <c r="G4114" i="1"/>
  <c r="G667" i="1"/>
  <c r="G2985" i="1"/>
  <c r="G2513" i="1"/>
  <c r="G1452" i="1"/>
  <c r="G3833" i="1"/>
  <c r="G2225" i="1"/>
  <c r="G594" i="1"/>
  <c r="G3419" i="1"/>
  <c r="G1244" i="1"/>
  <c r="G1098" i="1"/>
  <c r="G2748" i="1"/>
  <c r="G419" i="1"/>
  <c r="G3276" i="1"/>
  <c r="G3888" i="1"/>
  <c r="G1154" i="1"/>
  <c r="G1273" i="1"/>
  <c r="G120" i="1"/>
  <c r="G3445" i="1"/>
  <c r="G2665" i="1"/>
  <c r="G691" i="1"/>
  <c r="G1068" i="1"/>
  <c r="G1889" i="1"/>
  <c r="G2861" i="1"/>
  <c r="G2567" i="1"/>
  <c r="G2032" i="1"/>
  <c r="G1815" i="1"/>
  <c r="G1802" i="1"/>
  <c r="G2638" i="1"/>
  <c r="G1689" i="1"/>
  <c r="G2782" i="1"/>
  <c r="G2684" i="1"/>
  <c r="G1314" i="1"/>
  <c r="G2188" i="1"/>
  <c r="G1514" i="1"/>
  <c r="G565" i="1"/>
  <c r="G797" i="1"/>
  <c r="G2102" i="1"/>
  <c r="G1899" i="1"/>
  <c r="G1435" i="1"/>
  <c r="G1506" i="1"/>
  <c r="G3320" i="1"/>
  <c r="G1136" i="1"/>
  <c r="G2080" i="1"/>
  <c r="G1937" i="1"/>
  <c r="G774" i="1"/>
  <c r="G2733" i="1"/>
  <c r="G2552" i="1"/>
  <c r="G1860" i="1"/>
  <c r="G1297" i="1"/>
  <c r="G2812" i="1"/>
  <c r="G2874" i="1"/>
  <c r="G1223" i="1"/>
  <c r="G3178" i="1"/>
  <c r="G1171" i="1"/>
  <c r="G634" i="1"/>
  <c r="G987" i="1"/>
  <c r="G1238" i="1"/>
  <c r="G613" i="1"/>
  <c r="G1057" i="1"/>
  <c r="G1393" i="1"/>
  <c r="G17" i="1"/>
  <c r="G385" i="1"/>
  <c r="G291" i="1"/>
  <c r="G3919" i="1"/>
  <c r="G4076" i="1"/>
  <c r="G2629" i="1"/>
  <c r="G2850" i="1"/>
  <c r="G2628" i="1"/>
  <c r="G973" i="1"/>
  <c r="G400" i="1"/>
  <c r="G2058" i="1"/>
  <c r="G1753" i="1"/>
  <c r="G3422" i="1"/>
  <c r="G669" i="1"/>
  <c r="G604" i="1"/>
  <c r="G597" i="1"/>
  <c r="G3435" i="1"/>
  <c r="G3884" i="1"/>
  <c r="G2942" i="1"/>
  <c r="G1264" i="1"/>
  <c r="G3377" i="1"/>
  <c r="G3930" i="1"/>
  <c r="G3185" i="1"/>
  <c r="G853" i="1"/>
  <c r="G4145" i="1"/>
  <c r="G2537" i="1"/>
  <c r="G520" i="1"/>
  <c r="G2641" i="1"/>
  <c r="G386" i="1"/>
  <c r="G992" i="1"/>
  <c r="G954" i="1"/>
  <c r="G1554" i="1"/>
  <c r="G283" i="1"/>
  <c r="G405" i="1"/>
  <c r="G2473" i="1"/>
  <c r="G360" i="1"/>
  <c r="G661" i="1"/>
  <c r="G72" i="1"/>
  <c r="G49" i="1"/>
  <c r="G1531" i="1"/>
  <c r="G2152" i="1"/>
  <c r="G1574" i="1"/>
  <c r="G2420" i="1"/>
  <c r="G2036" i="1"/>
  <c r="G1731" i="1"/>
  <c r="G2165" i="1"/>
  <c r="G1789" i="1"/>
  <c r="G1662" i="1"/>
  <c r="G2199" i="1"/>
  <c r="G3806" i="1"/>
  <c r="G3319" i="1"/>
  <c r="G3702" i="1"/>
  <c r="G2174" i="1"/>
  <c r="G1317" i="1"/>
  <c r="G711" i="1"/>
  <c r="G818" i="1"/>
  <c r="G1518" i="1"/>
  <c r="G470" i="1"/>
  <c r="G1487" i="1"/>
  <c r="G2312" i="1"/>
  <c r="G25" i="1"/>
  <c r="G677" i="1"/>
  <c r="G3820" i="1"/>
  <c r="G3812" i="1"/>
  <c r="G1177" i="1"/>
  <c r="G1349" i="1"/>
  <c r="G1756" i="1"/>
  <c r="G3425" i="1"/>
  <c r="G3200" i="1"/>
  <c r="G1862" i="1"/>
  <c r="G223" i="1"/>
  <c r="G1724" i="1"/>
  <c r="G1184" i="1"/>
  <c r="G1221" i="1"/>
  <c r="G1470" i="1"/>
  <c r="G1021" i="1"/>
  <c r="G668" i="1"/>
  <c r="G664" i="1"/>
  <c r="G1018" i="1"/>
  <c r="G125" i="1"/>
  <c r="G242" i="1"/>
  <c r="G2731" i="1"/>
  <c r="G26" i="1"/>
  <c r="G1229" i="1"/>
  <c r="G228" i="1"/>
  <c r="G163" i="1"/>
  <c r="G3298" i="1"/>
  <c r="G499" i="1"/>
  <c r="G1197" i="1"/>
  <c r="G4126" i="1"/>
  <c r="G799" i="1"/>
  <c r="G3283" i="1"/>
  <c r="G4032" i="1"/>
  <c r="G1728" i="1"/>
  <c r="G2670" i="1"/>
  <c r="G3836" i="1"/>
  <c r="G2279" i="1"/>
  <c r="G254" i="1"/>
  <c r="G476" i="1"/>
  <c r="G3131" i="1"/>
  <c r="G1608" i="1"/>
  <c r="G2783" i="1"/>
  <c r="G2334" i="1"/>
  <c r="G3354" i="1"/>
  <c r="G3070" i="1"/>
  <c r="G1005" i="1"/>
  <c r="G1931" i="1"/>
  <c r="G2976" i="1"/>
  <c r="G544" i="1"/>
  <c r="G350" i="1"/>
  <c r="G2723" i="1"/>
  <c r="G2755" i="1"/>
  <c r="G487" i="1"/>
  <c r="G56" i="1"/>
  <c r="G1305" i="1"/>
  <c r="G767" i="1"/>
  <c r="G2734" i="1"/>
  <c r="G1038" i="1"/>
  <c r="G2604" i="1"/>
  <c r="G1965" i="1"/>
  <c r="G1464" i="1"/>
  <c r="G2647" i="1"/>
  <c r="G3791" i="1"/>
  <c r="G472" i="1"/>
  <c r="G461" i="1"/>
  <c r="G313" i="1"/>
  <c r="G2831" i="1"/>
  <c r="G2002" i="1"/>
  <c r="G2433" i="1"/>
  <c r="G2595" i="1"/>
  <c r="G2330" i="1"/>
  <c r="G816" i="1"/>
  <c r="G590" i="1"/>
  <c r="G1838" i="1"/>
  <c r="G2492" i="1"/>
  <c r="G270" i="1"/>
  <c r="G3146" i="1"/>
  <c r="G4006" i="1"/>
  <c r="G2162" i="1"/>
  <c r="G1152" i="1"/>
  <c r="G2383" i="1"/>
  <c r="G1908" i="1"/>
  <c r="G2177" i="1"/>
  <c r="G1029" i="1"/>
  <c r="G3866" i="1"/>
  <c r="G1890" i="1"/>
  <c r="G2764" i="1"/>
  <c r="G714" i="1"/>
  <c r="G2576" i="1"/>
  <c r="G58" i="1"/>
  <c r="G2563" i="1"/>
  <c r="G2927" i="1"/>
  <c r="G1092" i="1"/>
  <c r="G1339" i="1"/>
  <c r="G2392" i="1"/>
  <c r="G1811" i="1"/>
  <c r="G2706" i="1"/>
  <c r="G991" i="1"/>
  <c r="G1661" i="1"/>
  <c r="G3937" i="1"/>
  <c r="G1726" i="1"/>
  <c r="G2498" i="1"/>
  <c r="G4024" i="1"/>
  <c r="G243" i="1"/>
  <c r="G2847" i="1"/>
  <c r="G722" i="1"/>
  <c r="G514" i="1"/>
  <c r="G2747" i="1"/>
  <c r="G2645" i="1"/>
  <c r="G123" i="1"/>
  <c r="G1602" i="1"/>
  <c r="G3033" i="1"/>
  <c r="G3387" i="1"/>
  <c r="G2788" i="1"/>
  <c r="G2068" i="1"/>
  <c r="G3168" i="1"/>
  <c r="G2964" i="1"/>
  <c r="G3391" i="1"/>
  <c r="G526" i="1"/>
  <c r="G2549" i="1"/>
  <c r="G1014" i="1"/>
  <c r="G2195" i="1"/>
  <c r="G3983" i="1"/>
  <c r="G2827" i="1"/>
  <c r="G3123" i="1"/>
  <c r="G449" i="1"/>
  <c r="G2810" i="1"/>
  <c r="G846" i="1"/>
  <c r="G808" i="1"/>
  <c r="G3269" i="1"/>
  <c r="G2214" i="1"/>
  <c r="G4012" i="1"/>
  <c r="G3883" i="1"/>
  <c r="G1671" i="1"/>
  <c r="G3915" i="1"/>
  <c r="G2302" i="1"/>
  <c r="G3205" i="1"/>
  <c r="G935" i="1"/>
  <c r="G3221" i="1"/>
  <c r="G790" i="1"/>
  <c r="G673" i="1"/>
  <c r="G3889" i="1"/>
  <c r="G1480" i="1"/>
  <c r="G624" i="1"/>
  <c r="G285" i="1"/>
  <c r="G4146" i="1"/>
  <c r="G2122" i="1"/>
  <c r="G2932" i="1"/>
  <c r="G6" i="1"/>
  <c r="G1120" i="1"/>
  <c r="G1721" i="1"/>
  <c r="G3189" i="1"/>
  <c r="G3076" i="1"/>
  <c r="G2627" i="1"/>
  <c r="G2438" i="1"/>
  <c r="G3363" i="1"/>
  <c r="G1850" i="1"/>
  <c r="G428" i="1"/>
  <c r="G3850" i="1"/>
  <c r="G2506" i="1"/>
  <c r="G1130" i="1"/>
  <c r="G1565" i="1"/>
  <c r="G553" i="1"/>
  <c r="G1050" i="1"/>
  <c r="G1128" i="1"/>
  <c r="G2630" i="1"/>
  <c r="G2274" i="1"/>
  <c r="G1824" i="1"/>
  <c r="G4078" i="1"/>
  <c r="G2551" i="1"/>
  <c r="G3853" i="1"/>
  <c r="G872" i="1"/>
  <c r="G803" i="1"/>
  <c r="G1530" i="1"/>
  <c r="G855" i="1"/>
  <c r="G2359" i="1"/>
  <c r="G3224" i="1"/>
  <c r="G3290" i="1"/>
  <c r="G1819" i="1"/>
  <c r="G2759" i="1"/>
  <c r="G259" i="1"/>
  <c r="G654" i="1"/>
  <c r="G1008" i="1"/>
  <c r="G2155" i="1"/>
  <c r="G1783" i="1"/>
  <c r="G2691" i="1"/>
  <c r="G3841" i="1"/>
  <c r="G3705" i="1"/>
  <c r="G1717" i="1"/>
  <c r="G2702" i="1"/>
  <c r="G4102" i="1"/>
  <c r="G2557" i="1"/>
  <c r="G1011" i="1"/>
  <c r="G1463" i="1"/>
  <c r="G599" i="1"/>
  <c r="G2603" i="1"/>
  <c r="G2038" i="1"/>
  <c r="G2970" i="1"/>
  <c r="G2466" i="1"/>
  <c r="G502" i="1"/>
  <c r="G403" i="1"/>
  <c r="G4062" i="1"/>
  <c r="G2393" i="1"/>
  <c r="G3374" i="1"/>
  <c r="G824" i="1"/>
  <c r="G4081" i="1"/>
  <c r="G4098" i="1"/>
  <c r="G1127" i="1"/>
  <c r="G3436" i="1"/>
  <c r="G1454" i="1"/>
  <c r="G3160" i="1"/>
  <c r="G36" i="1"/>
  <c r="G2598" i="1"/>
  <c r="G1528" i="1"/>
  <c r="G827" i="1"/>
  <c r="G1125" i="1"/>
  <c r="G3049" i="1"/>
  <c r="G2600" i="1"/>
  <c r="G2971" i="1"/>
  <c r="G2457" i="1"/>
  <c r="G4031" i="1"/>
  <c r="G1916" i="1"/>
  <c r="G2427" i="1"/>
  <c r="G485" i="1"/>
  <c r="G3207" i="1"/>
  <c r="G1401" i="1"/>
  <c r="G919" i="1"/>
  <c r="G3434" i="1"/>
  <c r="G22" i="1"/>
  <c r="G113" i="1"/>
  <c r="G2187" i="1"/>
  <c r="G2049" i="1"/>
  <c r="G3303" i="1"/>
  <c r="G122" i="1"/>
  <c r="G688" i="1"/>
  <c r="G1672" i="1"/>
  <c r="G2196" i="1"/>
  <c r="G3443" i="1"/>
  <c r="G1035" i="1"/>
  <c r="G3359" i="1"/>
  <c r="G3120" i="1"/>
  <c r="G757" i="1"/>
  <c r="G596" i="1"/>
  <c r="G3765" i="1"/>
  <c r="G65" i="1"/>
  <c r="G2626" i="1"/>
  <c r="G3175" i="1"/>
  <c r="G2581" i="1"/>
  <c r="G2779" i="1"/>
  <c r="G2545" i="1"/>
  <c r="G3718" i="1"/>
  <c r="G16" i="1"/>
  <c r="G2926" i="1"/>
  <c r="G795" i="1"/>
  <c r="G2229" i="1"/>
  <c r="G1564" i="1"/>
  <c r="G2364" i="1"/>
  <c r="G736" i="1"/>
  <c r="G1966" i="1"/>
  <c r="G3173" i="1"/>
  <c r="G884" i="1"/>
  <c r="G2140" i="1"/>
  <c r="G3867" i="1"/>
  <c r="G1977" i="1"/>
  <c r="G14" i="1"/>
  <c r="G1903" i="1"/>
  <c r="G1146" i="1"/>
  <c r="G2860" i="1"/>
  <c r="G2521" i="1"/>
  <c r="G3333" i="1"/>
  <c r="G971" i="1"/>
  <c r="G3252" i="1"/>
  <c r="G392" i="1"/>
  <c r="G2020" i="1"/>
  <c r="G1542" i="1"/>
  <c r="G2318" i="1"/>
  <c r="G1036" i="1"/>
  <c r="G842" i="1"/>
  <c r="G445" i="1"/>
  <c r="G2317" i="1"/>
  <c r="G974" i="1"/>
  <c r="G977" i="1"/>
  <c r="G1630" i="1"/>
  <c r="G1841" i="1"/>
  <c r="G659" i="1"/>
  <c r="G1750" i="1"/>
  <c r="G4097" i="1"/>
  <c r="G1296" i="1"/>
  <c r="G3901" i="1"/>
  <c r="G3852" i="1"/>
  <c r="G1827" i="1"/>
  <c r="G91" i="1"/>
  <c r="G4119" i="1"/>
  <c r="G1192" i="1"/>
  <c r="G1624" i="1"/>
  <c r="G1972" i="1"/>
  <c r="G2908" i="1"/>
  <c r="G3012" i="1"/>
  <c r="G3213" i="1"/>
  <c r="G612" i="1"/>
  <c r="G173" i="1"/>
  <c r="G415" i="1"/>
  <c r="G1024" i="1"/>
  <c r="G533" i="1"/>
  <c r="G2660" i="1"/>
  <c r="G904" i="1"/>
  <c r="G3427" i="1"/>
  <c r="G1440" i="1"/>
  <c r="G477" i="1"/>
  <c r="G1352" i="1"/>
  <c r="G1652" i="1"/>
  <c r="G1691" i="1"/>
  <c r="G344" i="1"/>
  <c r="G2519" i="1"/>
  <c r="G3248" i="1"/>
  <c r="G1234" i="1"/>
  <c r="G3970" i="1"/>
  <c r="G1722" i="1"/>
  <c r="G1805" i="1"/>
  <c r="G3707" i="1"/>
  <c r="G1219" i="1"/>
  <c r="G1461" i="1"/>
  <c r="G45" i="1"/>
  <c r="G1458" i="1"/>
  <c r="G577" i="1"/>
  <c r="G4030" i="1"/>
  <c r="G2217" i="1"/>
  <c r="G3825" i="1"/>
  <c r="G154" i="1"/>
  <c r="G2806" i="1"/>
  <c r="G648" i="1"/>
  <c r="G2586" i="1"/>
  <c r="G3933" i="1"/>
  <c r="G3802" i="1"/>
  <c r="G1311" i="1"/>
  <c r="G1052" i="1"/>
  <c r="G126" i="1"/>
  <c r="G847" i="1"/>
  <c r="G3932" i="1"/>
  <c r="G3368" i="1"/>
  <c r="G3908" i="1"/>
  <c r="G2930" i="1"/>
  <c r="G1206" i="1"/>
  <c r="G2906" i="1"/>
  <c r="G2737" i="1"/>
  <c r="G422" i="1"/>
  <c r="G513" i="1"/>
  <c r="G1961" i="1"/>
  <c r="G1494" i="1"/>
  <c r="G2978" i="1"/>
  <c r="G3002" i="1"/>
  <c r="G2713" i="1"/>
  <c r="G3980" i="1"/>
  <c r="G1266" i="1"/>
  <c r="G4124" i="1"/>
  <c r="G2663" i="1"/>
  <c r="G448" i="1"/>
  <c r="G2093" i="1"/>
  <c r="G1544" i="1"/>
  <c r="G2119" i="1"/>
  <c r="G11" i="1"/>
  <c r="G2361" i="1"/>
  <c r="G4137" i="1"/>
  <c r="G783" i="1"/>
  <c r="G2516" i="1"/>
  <c r="G3344" i="1"/>
  <c r="G2238" i="1"/>
  <c r="G1555" i="1"/>
  <c r="G302" i="1"/>
  <c r="G2715" i="1"/>
  <c r="G2121" i="1"/>
  <c r="G3270" i="1"/>
  <c r="G1269" i="1"/>
  <c r="G996" i="1"/>
  <c r="G2331" i="1"/>
  <c r="G1551" i="1"/>
  <c r="G194" i="1"/>
  <c r="G1166" i="1"/>
  <c r="G766" i="1"/>
  <c r="G3061" i="1"/>
  <c r="G307" i="1"/>
  <c r="G3785" i="1"/>
  <c r="G2180" i="1"/>
  <c r="G1207" i="1"/>
  <c r="G632" i="1"/>
  <c r="G167" i="1"/>
  <c r="G3317" i="1"/>
  <c r="G1218" i="1"/>
  <c r="G2651" i="1"/>
  <c r="G3800" i="1"/>
  <c r="G2975" i="1"/>
  <c r="G2523" i="1"/>
  <c r="G48" i="1"/>
  <c r="G4088" i="1"/>
  <c r="G2842" i="1"/>
  <c r="G2865" i="1"/>
  <c r="G215" i="1"/>
  <c r="G1230" i="1"/>
  <c r="G401" i="1"/>
  <c r="G587" i="1"/>
  <c r="G2186" i="1"/>
  <c r="G2240" i="1"/>
  <c r="G1686" i="1"/>
  <c r="G2829" i="1"/>
  <c r="G2967" i="1"/>
  <c r="G1606" i="1"/>
  <c r="G1765" i="1"/>
  <c r="G3430" i="1"/>
  <c r="G541" i="1"/>
  <c r="G3865" i="1"/>
  <c r="G3293" i="1"/>
  <c r="G4149" i="1"/>
  <c r="G3266" i="1"/>
  <c r="G1448" i="1"/>
  <c r="G2587" i="1"/>
  <c r="G3770" i="1"/>
  <c r="G979" i="1"/>
  <c r="G2288" i="1"/>
  <c r="G510" i="1"/>
  <c r="G1015" i="1"/>
  <c r="G1681" i="1"/>
  <c r="G3141" i="1"/>
  <c r="G2896" i="1"/>
  <c r="G3956" i="1"/>
  <c r="G2688" i="1"/>
  <c r="G2820" i="1"/>
  <c r="G2259" i="1"/>
  <c r="G990" i="1"/>
  <c r="G3027" i="1"/>
  <c r="G2206" i="1"/>
  <c r="G1590" i="1"/>
  <c r="G717" i="1"/>
  <c r="G2103" i="1"/>
  <c r="G3292" i="1"/>
  <c r="G3358" i="1"/>
  <c r="G1788" i="1"/>
  <c r="G1442" i="1"/>
  <c r="G1741" i="1"/>
  <c r="G2543" i="1"/>
  <c r="G220" i="1"/>
  <c r="G1034" i="1"/>
  <c r="G530" i="1"/>
  <c r="G3233" i="1"/>
  <c r="G1897" i="1"/>
  <c r="G1978" i="1"/>
  <c r="G2382" i="1"/>
  <c r="G2940" i="1"/>
  <c r="G3414" i="1"/>
  <c r="G3794" i="1"/>
  <c r="G2689" i="1"/>
  <c r="G3982" i="1"/>
  <c r="G1843" i="1"/>
  <c r="G3113" i="1"/>
  <c r="G2825" i="1"/>
  <c r="G44" i="1"/>
  <c r="G3040" i="1"/>
  <c r="G4066" i="1"/>
  <c r="G3090" i="1"/>
  <c r="G1845" i="1"/>
  <c r="G2540" i="1"/>
  <c r="G3057" i="1"/>
  <c r="G2658" i="1"/>
  <c r="G475" i="1"/>
  <c r="G968" i="1"/>
  <c r="G1981" i="1"/>
  <c r="G752" i="1"/>
  <c r="G1249" i="1"/>
  <c r="G456" i="1"/>
  <c r="G1761" i="1"/>
  <c r="G494" i="1"/>
  <c r="G1438" i="1"/>
  <c r="G886" i="1"/>
  <c r="G2460" i="1"/>
  <c r="G862" i="1"/>
  <c r="G473" i="1"/>
  <c r="G608" i="1"/>
  <c r="G1180" i="1"/>
  <c r="G2373" i="1"/>
  <c r="G1675" i="1"/>
  <c r="G2790" i="1"/>
  <c r="G1614" i="1"/>
  <c r="G2916" i="1"/>
  <c r="G3223" i="1"/>
  <c r="G3085" i="1"/>
  <c r="G417" i="1"/>
  <c r="G193" i="1"/>
  <c r="G2912" i="1"/>
  <c r="G4112" i="1"/>
  <c r="G378" i="1"/>
  <c r="G3747" i="1"/>
  <c r="G2130" i="1"/>
  <c r="G2453" i="1"/>
  <c r="G681" i="1"/>
  <c r="G1524" i="1"/>
  <c r="G2461" i="1"/>
  <c r="G1982" i="1"/>
  <c r="G898" i="1"/>
  <c r="G2412" i="1"/>
  <c r="G946" i="1"/>
  <c r="G3441" i="1"/>
  <c r="G474" i="1"/>
  <c r="G68" i="1"/>
  <c r="G1757" i="1"/>
  <c r="G524" i="1"/>
  <c r="G628" i="1"/>
  <c r="G4101" i="1"/>
  <c r="G1381" i="1"/>
  <c r="G1371" i="1"/>
  <c r="G769" i="1"/>
  <c r="G2232" i="1"/>
  <c r="G2514" i="1"/>
  <c r="G2097" i="1"/>
  <c r="G985" i="1"/>
  <c r="G1725" i="1"/>
  <c r="G3873" i="1"/>
  <c r="G1900" i="1"/>
  <c r="G1139" i="1"/>
  <c r="G2358" i="1"/>
  <c r="G674" i="1"/>
  <c r="G1768" i="1"/>
  <c r="G3424" i="1"/>
  <c r="G1589" i="1"/>
  <c r="G1938" i="1"/>
  <c r="G1875" i="1"/>
  <c r="G2625" i="1"/>
  <c r="G3722" i="1"/>
  <c r="G488" i="1"/>
  <c r="G684" i="1"/>
  <c r="G1863" i="1"/>
  <c r="G1692" i="1"/>
  <c r="G657" i="1"/>
  <c r="G3005" i="1"/>
  <c r="G4034" i="1"/>
  <c r="G2112" i="1"/>
  <c r="G4010" i="1"/>
  <c r="G3735" i="1"/>
  <c r="G831" i="1"/>
  <c r="G2413" i="1"/>
  <c r="G3803" i="1"/>
  <c r="G1190" i="1"/>
  <c r="G3378" i="1"/>
  <c r="G2216" i="1"/>
  <c r="G571" i="1"/>
  <c r="G694" i="1"/>
  <c r="G3758" i="1"/>
  <c r="G2766" i="1"/>
  <c r="G1341" i="1"/>
  <c r="G3271" i="1"/>
  <c r="G2562" i="1"/>
  <c r="G2030" i="1"/>
  <c r="G1517" i="1"/>
  <c r="G3411" i="1"/>
  <c r="G2297" i="1"/>
  <c r="G40" i="1"/>
  <c r="G3775" i="1"/>
  <c r="G1085" i="1"/>
  <c r="G322" i="1"/>
  <c r="G1172" i="1"/>
  <c r="G2550" i="1"/>
  <c r="G3724" i="1"/>
  <c r="G1566" i="1"/>
  <c r="G3404" i="1"/>
  <c r="G1048" i="1"/>
  <c r="G644" i="1"/>
  <c r="G2143" i="1"/>
  <c r="G253" i="1"/>
  <c r="G2171" i="1"/>
  <c r="G2969" i="1"/>
  <c r="G840" i="1"/>
  <c r="G4036" i="1"/>
  <c r="G1490" i="1"/>
  <c r="G155" i="1"/>
  <c r="G3022" i="1"/>
  <c r="G572" i="1"/>
  <c r="G1729" i="1"/>
  <c r="G1272" i="1"/>
  <c r="G1927" i="1"/>
  <c r="G299" i="1"/>
  <c r="G3180" i="1"/>
  <c r="G1131" i="1"/>
  <c r="G191" i="1"/>
  <c r="G3323" i="1"/>
  <c r="G3384" i="1"/>
  <c r="G2283" i="1"/>
  <c r="G645" i="1"/>
  <c r="G3986" i="1"/>
  <c r="G310" i="1"/>
  <c r="G998" i="1"/>
  <c r="G318" i="1"/>
  <c r="G408" i="1"/>
  <c r="G2456" i="1"/>
  <c r="G2416" i="1"/>
  <c r="G2879" i="1"/>
  <c r="G3281" i="1"/>
  <c r="G2935" i="1"/>
  <c r="G374" i="1"/>
  <c r="G2166" i="1"/>
  <c r="G2322" i="1"/>
  <c r="G2211" i="1"/>
  <c r="G1872" i="1"/>
  <c r="G3108" i="1"/>
  <c r="G693" i="1"/>
  <c r="G3727" i="1"/>
  <c r="G2374" i="1"/>
  <c r="G2529" i="1"/>
  <c r="G1246" i="1"/>
  <c r="G1664" i="1"/>
  <c r="G3277" i="1"/>
  <c r="G1071" i="1"/>
  <c r="G2138" i="1"/>
  <c r="G2081" i="1"/>
  <c r="G785" i="1"/>
  <c r="G3306" i="1"/>
  <c r="G3135" i="1"/>
  <c r="G1383" i="1"/>
  <c r="G1169" i="1"/>
  <c r="G4122" i="1"/>
  <c r="G1973" i="1"/>
  <c r="G2512" i="1"/>
  <c r="G3379" i="1"/>
  <c r="G2735" i="1"/>
  <c r="G4140" i="1"/>
  <c r="G1239" i="1"/>
  <c r="G839" i="1"/>
  <c r="G4018" i="1"/>
  <c r="G1279" i="1"/>
  <c r="G29" i="1"/>
  <c r="G3849" i="1"/>
  <c r="G2676" i="1"/>
  <c r="G4057" i="1"/>
  <c r="G295" i="1"/>
  <c r="G2375" i="1"/>
  <c r="G772" i="1"/>
  <c r="G2875" i="1"/>
  <c r="G568" i="1"/>
  <c r="G3809" i="1"/>
  <c r="G1093" i="1"/>
  <c r="G548" i="1"/>
  <c r="G466" i="1"/>
  <c r="G1523" i="1"/>
  <c r="G869" i="1"/>
  <c r="G21" i="1"/>
  <c r="G2011" i="1"/>
  <c r="G118" i="1"/>
  <c r="G951" i="1"/>
  <c r="G131" i="1"/>
  <c r="G3195" i="1"/>
  <c r="G2522" i="1"/>
  <c r="G3751" i="1"/>
  <c r="G1898" i="1"/>
  <c r="G372" i="1"/>
  <c r="G1028" i="1"/>
  <c r="G1944" i="1"/>
  <c r="G727" i="1"/>
  <c r="G1090" i="1"/>
  <c r="G2979" i="1"/>
  <c r="G1374" i="1"/>
  <c r="G3939" i="1"/>
  <c r="G3255" i="1"/>
  <c r="G1653" i="1"/>
  <c r="G1336" i="1"/>
  <c r="G1205" i="1"/>
  <c r="G3723" i="1"/>
  <c r="G2816" i="1"/>
  <c r="G1001" i="1"/>
  <c r="G1663" i="1"/>
  <c r="G1473" i="1"/>
  <c r="G1377" i="1"/>
  <c r="G2515" i="1"/>
  <c r="G3393" i="1"/>
  <c r="G850" i="1"/>
  <c r="G1211" i="1"/>
  <c r="G543" i="1"/>
  <c r="G575" i="1"/>
  <c r="G2452" i="1"/>
  <c r="G566" i="1"/>
  <c r="G2241" i="1"/>
  <c r="G3174" i="1"/>
  <c r="G1422" i="1"/>
  <c r="G576" i="1"/>
  <c r="G2863" i="1"/>
  <c r="G2245" i="1"/>
  <c r="G177" i="1"/>
  <c r="G2869" i="1"/>
  <c r="G1794" i="1"/>
  <c r="G3951" i="1"/>
  <c r="G593" i="1"/>
  <c r="G1236" i="1"/>
  <c r="G284" i="1"/>
  <c r="G469" i="1"/>
  <c r="G841" i="1"/>
  <c r="G2705" i="1"/>
  <c r="G3964" i="1"/>
  <c r="G743" i="1"/>
  <c r="G890" i="1"/>
  <c r="G2222" i="1"/>
  <c r="G3289" i="1"/>
  <c r="G2671" i="1"/>
  <c r="G3428" i="1"/>
  <c r="G367" i="1"/>
  <c r="G1928" i="1"/>
  <c r="G2580" i="1"/>
  <c r="G782" i="1"/>
  <c r="G1188" i="1"/>
  <c r="G1212" i="1"/>
  <c r="G2203" i="1"/>
  <c r="G2307" i="1"/>
  <c r="G4082" i="1"/>
  <c r="G2480" i="1"/>
  <c r="G375" i="1"/>
  <c r="G181" i="1"/>
  <c r="G1584" i="1"/>
  <c r="G2555" i="1"/>
  <c r="G3106" i="1"/>
  <c r="G1612" i="1"/>
  <c r="G2905" i="1"/>
  <c r="G763" i="1"/>
  <c r="G1665" i="1"/>
  <c r="G1203" i="1"/>
  <c r="G2372" i="1"/>
  <c r="G2643" i="1"/>
  <c r="G534" i="1"/>
  <c r="G1335" i="1"/>
  <c r="G3011" i="1"/>
  <c r="G3757" i="1"/>
  <c r="G927" i="1"/>
  <c r="G3892" i="1"/>
  <c r="G2291" i="1"/>
  <c r="G1367" i="1"/>
  <c r="G781" i="1"/>
  <c r="G3974" i="1"/>
  <c r="G294" i="1"/>
  <c r="G3330" i="1"/>
  <c r="G2632" i="1"/>
  <c r="G4029" i="1"/>
  <c r="G4080" i="1"/>
  <c r="G3311" i="1"/>
  <c r="G4103" i="1"/>
  <c r="G1168" i="1"/>
  <c r="G2246" i="1"/>
  <c r="G2336" i="1"/>
  <c r="G3893" i="1"/>
  <c r="G2778" i="1"/>
  <c r="G2554" i="1"/>
  <c r="G234" i="1"/>
  <c r="G1101" i="1"/>
  <c r="G933" i="1"/>
  <c r="G3755" i="1"/>
  <c r="G1855" i="1"/>
  <c r="G3781" i="1"/>
  <c r="G1043" i="1"/>
  <c r="G1920" i="1"/>
  <c r="G3790" i="1"/>
  <c r="G1959" i="1"/>
  <c r="G298" i="1"/>
  <c r="G1656" i="1"/>
  <c r="G2945" i="1"/>
  <c r="G3385" i="1"/>
  <c r="G2485" i="1"/>
  <c r="G1733" i="1"/>
  <c r="G1676" i="1"/>
  <c r="G3349" i="1"/>
  <c r="G606" i="1"/>
  <c r="G1300" i="1"/>
  <c r="G263" i="1"/>
  <c r="G1516" i="1"/>
  <c r="G2178" i="1"/>
  <c r="G759" i="1"/>
  <c r="G3856" i="1"/>
  <c r="G943" i="1"/>
  <c r="G4023" i="1"/>
  <c r="G241" i="1"/>
  <c r="G1357" i="1"/>
  <c r="G3339" i="1"/>
  <c r="G208" i="1"/>
  <c r="G2417" i="1"/>
  <c r="G1270" i="1"/>
  <c r="G1974" i="1"/>
  <c r="G1026" i="1"/>
  <c r="G1957" i="1"/>
  <c r="G1744" i="1"/>
  <c r="G3423" i="1"/>
  <c r="G1881" i="1"/>
  <c r="G130" i="1"/>
  <c r="G2083" i="1"/>
  <c r="G1853" i="1"/>
  <c r="G1593" i="1"/>
  <c r="G1080" i="1"/>
  <c r="G1575" i="1"/>
  <c r="G3025" i="1"/>
  <c r="G641" i="1"/>
  <c r="G1151" i="1"/>
  <c r="G948" i="1"/>
  <c r="G174" i="1"/>
  <c r="G3916" i="1"/>
  <c r="G3789" i="1"/>
  <c r="G149" i="1"/>
  <c r="G1449" i="1"/>
  <c r="G2161" i="1"/>
  <c r="G4069" i="1"/>
  <c r="G1775" i="1"/>
  <c r="G3432" i="1"/>
  <c r="G3433" i="1"/>
  <c r="G1213" i="1"/>
  <c r="G3078" i="1"/>
  <c r="G3157" i="1"/>
  <c r="G2751" i="1"/>
  <c r="G3900" i="1"/>
  <c r="G3408" i="1"/>
  <c r="G4121" i="1"/>
  <c r="G1326" i="1"/>
  <c r="G261" i="1"/>
  <c r="G3711" i="1"/>
  <c r="G1170" i="1"/>
  <c r="G2653" i="1"/>
  <c r="G658" i="1"/>
  <c r="G2442" i="1"/>
  <c r="G2110" i="1"/>
  <c r="G2654" i="1"/>
  <c r="G2482" i="1"/>
  <c r="G3026" i="1"/>
  <c r="G2062" i="1"/>
  <c r="G2486" i="1"/>
  <c r="G3887" i="1"/>
  <c r="G3913" i="1"/>
  <c r="G2848" i="1"/>
  <c r="G4085" i="1"/>
  <c r="G2086" i="1"/>
  <c r="G105" i="1"/>
  <c r="G2556" i="1"/>
  <c r="G2981" i="1"/>
  <c r="G3943" i="1"/>
  <c r="G2224" i="1"/>
  <c r="G416" i="1"/>
  <c r="G2006" i="1"/>
  <c r="G3786" i="1"/>
  <c r="G1252" i="1"/>
  <c r="G778" i="1"/>
  <c r="G4063" i="1"/>
  <c r="G3822" i="1"/>
  <c r="G2710" i="1"/>
  <c r="G724" i="1"/>
  <c r="G3823" i="1"/>
  <c r="G4043" i="1"/>
  <c r="G556" i="1"/>
  <c r="G413" i="1"/>
  <c r="G2802" i="1"/>
  <c r="G3973" i="1"/>
  <c r="G3415" i="1"/>
  <c r="G549" i="1"/>
  <c r="G3364" i="1"/>
  <c r="G3733" i="1"/>
  <c r="G1378" i="1"/>
  <c r="G1515" i="1"/>
  <c r="G2668" i="1"/>
  <c r="G2621" i="1"/>
  <c r="G1820" i="1"/>
  <c r="G3752" i="1"/>
  <c r="G2287" i="1"/>
  <c r="G1191" i="1"/>
  <c r="G1743" i="1"/>
  <c r="G3124" i="1"/>
  <c r="G2669" i="1"/>
  <c r="G4118" i="1"/>
  <c r="G880" i="1"/>
  <c r="G2315" i="1"/>
  <c r="G2475" i="1"/>
  <c r="G1546" i="1"/>
  <c r="G3706" i="1"/>
  <c r="G656" i="1"/>
  <c r="G132" i="1"/>
  <c r="G2095" i="1"/>
  <c r="G240" i="1"/>
  <c r="G1447" i="1"/>
  <c r="G425" i="1"/>
  <c r="G2454" i="1"/>
  <c r="G124" i="1"/>
  <c r="G1468" i="1"/>
  <c r="G2493" i="1"/>
  <c r="G1443" i="1"/>
  <c r="G67" i="1"/>
  <c r="G4115" i="1"/>
  <c r="G741" i="1"/>
  <c r="G3155" i="1"/>
  <c r="G3879" i="1"/>
  <c r="G3395" i="1"/>
  <c r="G3181" i="1"/>
  <c r="G1199" i="1"/>
  <c r="G176" i="1"/>
  <c r="G3149" i="1"/>
  <c r="G1420" i="1"/>
  <c r="G2712" i="1"/>
  <c r="G2126" i="1"/>
  <c r="G852" i="1"/>
  <c r="G199" i="1"/>
  <c r="G3925" i="1"/>
  <c r="G3855" i="1"/>
  <c r="G1129" i="1"/>
  <c r="G3176" i="1"/>
  <c r="G1497" i="1"/>
  <c r="G1174" i="1"/>
  <c r="G2904" i="1"/>
  <c r="G2261" i="1"/>
  <c r="G1505" i="1"/>
  <c r="G4015" i="1"/>
  <c r="G947" i="1"/>
  <c r="G157" i="1"/>
  <c r="G1586" i="1"/>
  <c r="G967" i="1"/>
  <c r="G3447" i="1"/>
  <c r="G2872" i="1"/>
  <c r="G2925" i="1"/>
  <c r="G3895" i="1"/>
  <c r="G3700" i="1"/>
  <c r="G908" i="1"/>
  <c r="G2963" i="1"/>
  <c r="G636" i="1"/>
  <c r="G1114" i="1"/>
  <c r="G710" i="1"/>
  <c r="G2471" i="1"/>
  <c r="G2078" i="1"/>
  <c r="G2835" i="1"/>
  <c r="G823" i="1"/>
  <c r="G616" i="1"/>
  <c r="G3196" i="1"/>
  <c r="G1507" i="1"/>
  <c r="G478" i="1"/>
  <c r="G3159" i="1"/>
  <c r="G3944" i="1"/>
  <c r="G1007" i="1"/>
  <c r="G1095" i="1"/>
  <c r="G2995" i="1"/>
  <c r="G1360" i="1"/>
  <c r="G258" i="1"/>
  <c r="G895" i="1"/>
  <c r="G3421" i="1"/>
  <c r="G1758" i="1"/>
  <c r="G1767" i="1"/>
  <c r="G97" i="1"/>
  <c r="G325" i="1"/>
  <c r="G38" i="1"/>
  <c r="G3766" i="1"/>
  <c r="G676" i="1"/>
  <c r="G3274" i="1"/>
  <c r="G75" i="1"/>
  <c r="G1158" i="1"/>
  <c r="G2394" i="1"/>
  <c r="G3409" i="1"/>
  <c r="G2073" i="1"/>
  <c r="G1878" i="1"/>
  <c r="G2164" i="1"/>
  <c r="G2881" i="1"/>
  <c r="G3324" i="1"/>
  <c r="G3864" i="1"/>
  <c r="G1657" i="1"/>
  <c r="G3171" i="1"/>
  <c r="G570" i="1"/>
  <c r="G497" i="1"/>
  <c r="G4083" i="1"/>
  <c r="G1952" i="1"/>
  <c r="G945" i="1"/>
  <c r="G1677" i="1"/>
  <c r="G1510" i="1"/>
  <c r="G1434" i="1"/>
  <c r="G3142" i="1"/>
  <c r="G2233" i="1"/>
  <c r="G4127" i="1"/>
  <c r="G3863" i="1"/>
  <c r="G3375" i="1"/>
  <c r="G265" i="1"/>
  <c r="G3099" i="1"/>
  <c r="G3748" i="1"/>
  <c r="G1578" i="1"/>
  <c r="G1883" i="1"/>
  <c r="G2987" i="1"/>
  <c r="G2084" i="1"/>
  <c r="G1056" i="1"/>
  <c r="G4068" i="1"/>
  <c r="G129" i="1"/>
  <c r="G2749" i="1"/>
  <c r="G801" i="1"/>
  <c r="G825" i="1"/>
  <c r="G1423" i="1"/>
  <c r="G1439" i="1"/>
  <c r="G3278" i="1"/>
  <c r="G3876" i="1"/>
  <c r="G1642" i="1"/>
  <c r="G1673" i="1"/>
  <c r="G159" i="1"/>
  <c r="G393" i="1"/>
  <c r="G666" i="1"/>
  <c r="G2481" i="1"/>
  <c r="G2115" i="1"/>
  <c r="G1179" i="1"/>
  <c r="G2520" i="1"/>
  <c r="G2324" i="1"/>
  <c r="G306" i="1"/>
  <c r="G3243" i="1"/>
  <c r="G324" i="1"/>
  <c r="G550" i="1"/>
  <c r="G2434" i="1"/>
  <c r="G3444" i="1"/>
  <c r="G1910" i="1"/>
  <c r="G2325" i="1"/>
  <c r="G409" i="1"/>
  <c r="G3256" i="1"/>
  <c r="G3779" i="1"/>
  <c r="G3217" i="1"/>
  <c r="G20" i="1"/>
  <c r="G2824" i="1"/>
  <c r="G1047" i="1"/>
  <c r="G821" i="1"/>
  <c r="G2901" i="1"/>
  <c r="G359" i="1"/>
  <c r="G2401" i="1"/>
  <c r="G2786" i="1"/>
  <c r="G2588" i="1"/>
  <c r="G179" i="1"/>
  <c r="G1742" i="1"/>
  <c r="G4117" i="1"/>
  <c r="G370" i="1"/>
  <c r="G1666" i="1"/>
  <c r="G145" i="1"/>
  <c r="G1148" i="1"/>
  <c r="G37" i="1"/>
  <c r="G1372" i="1"/>
  <c r="G4144" i="1"/>
  <c r="G1707" i="1"/>
  <c r="G1693" i="1"/>
  <c r="G4107" i="1"/>
  <c r="G2648" i="1"/>
  <c r="G3896" i="1"/>
  <c r="G1550" i="1"/>
  <c r="G3072" i="1"/>
  <c r="G3150" i="1"/>
  <c r="G162" i="1"/>
  <c r="G314" i="1"/>
  <c r="G1701" i="1"/>
  <c r="G3122" i="1"/>
  <c r="G2135" i="1"/>
  <c r="G2153" i="1"/>
  <c r="G3345" i="1"/>
  <c r="G2056" i="1"/>
  <c r="G3405" i="1"/>
  <c r="G2718" i="1"/>
  <c r="G55" i="1"/>
  <c r="G107" i="1"/>
  <c r="G209" i="1"/>
  <c r="G1688" i="1"/>
  <c r="G396" i="1"/>
  <c r="G2886" i="1"/>
  <c r="G525" i="1"/>
  <c r="G2814" i="1"/>
  <c r="G365" i="1"/>
  <c r="G2389" i="1"/>
  <c r="G2849" i="1"/>
  <c r="G1627" i="1"/>
  <c r="G2113" i="1"/>
  <c r="G3093" i="1"/>
  <c r="G1259" i="1"/>
  <c r="G112" i="1"/>
  <c r="G1591" i="1"/>
  <c r="G545" i="1"/>
  <c r="G547" i="1"/>
  <c r="G2329" i="1"/>
  <c r="G2999" i="1"/>
  <c r="G640" i="1"/>
  <c r="G2421" i="1"/>
  <c r="G1361" i="1"/>
  <c r="G3412" i="1"/>
  <c r="G2609" i="1"/>
  <c r="G1176" i="1"/>
  <c r="G2117" i="1"/>
  <c r="G775" i="1"/>
  <c r="G1917" i="1"/>
  <c r="G74" i="1"/>
  <c r="G3843" i="1"/>
  <c r="G3006" i="1"/>
  <c r="G3287" i="1"/>
  <c r="G2673" i="1"/>
  <c r="G702" i="1"/>
  <c r="G2035" i="1"/>
  <c r="G1809" i="1"/>
  <c r="G3008" i="1"/>
  <c r="G1144" i="1"/>
  <c r="G3000" i="1"/>
  <c r="G3043" i="1"/>
  <c r="G2664" i="1"/>
  <c r="G554" i="1"/>
  <c r="G255" i="1"/>
  <c r="G3899" i="1"/>
  <c r="G1771" i="1"/>
  <c r="G950" i="1"/>
  <c r="G3875" i="1"/>
  <c r="G3947" i="1"/>
  <c r="G1817" i="1"/>
  <c r="G500" i="1"/>
  <c r="G1235" i="1"/>
  <c r="G2091" i="1"/>
  <c r="G39" i="1"/>
  <c r="G168" i="1"/>
  <c r="G629" i="1"/>
  <c r="G1877" i="1"/>
  <c r="G3826" i="1"/>
  <c r="G1045" i="1"/>
  <c r="G2558" i="1"/>
  <c r="G3388" i="1"/>
  <c r="G348" i="1"/>
  <c r="G1569" i="1"/>
  <c r="G2479" i="1"/>
  <c r="G844" i="1"/>
  <c r="G746" i="1"/>
  <c r="G3234" i="1"/>
  <c r="G2851" i="1"/>
  <c r="G1582" i="1"/>
  <c r="G2582" i="1"/>
  <c r="G296" i="1"/>
  <c r="G2294" i="1"/>
  <c r="G3815" i="1"/>
  <c r="G2601" i="1"/>
  <c r="G2099" i="1"/>
  <c r="G192" i="1"/>
  <c r="G1343" i="1"/>
  <c r="G1710" i="1"/>
  <c r="G1822" i="1"/>
  <c r="G1708" i="1"/>
  <c r="G2844" i="1"/>
  <c r="G1394" i="1"/>
  <c r="G331" i="1"/>
  <c r="G2623" i="1"/>
  <c r="G1705" i="1"/>
  <c r="G2727" i="1"/>
  <c r="G1466" i="1"/>
  <c r="G3713" i="1"/>
  <c r="G1886" i="1"/>
  <c r="G454" i="1"/>
  <c r="G798" i="1"/>
  <c r="G3949" i="1"/>
  <c r="G3087" i="1"/>
  <c r="G2532" i="1"/>
  <c r="G1755" i="1"/>
  <c r="G2503" i="1"/>
  <c r="G3995" i="1"/>
  <c r="G345" i="1"/>
  <c r="G960" i="1"/>
  <c r="G2045" i="1"/>
  <c r="G2451" i="1"/>
  <c r="G1580" i="1"/>
  <c r="G1996" i="1"/>
  <c r="G964" i="1"/>
  <c r="G779" i="1"/>
  <c r="G1669" i="1"/>
  <c r="G1945" i="1"/>
  <c r="G1785" i="1"/>
  <c r="G3818" i="1"/>
  <c r="G3714" i="1"/>
  <c r="G906" i="1"/>
  <c r="G3429" i="1"/>
  <c r="G3191" i="1"/>
  <c r="G2041" i="1"/>
  <c r="G539" i="1"/>
  <c r="G646" i="1"/>
  <c r="G4044" i="1"/>
  <c r="G1345" i="1"/>
  <c r="G4028" i="1"/>
  <c r="G2589" i="1"/>
  <c r="G631" i="1"/>
  <c r="G146" i="1"/>
  <c r="G918" i="1"/>
  <c r="G3280" i="1"/>
  <c r="G1622" i="1"/>
  <c r="G1502" i="1"/>
  <c r="G1164" i="1"/>
  <c r="G2949" i="1"/>
  <c r="G3170" i="1"/>
  <c r="G431" i="1"/>
  <c r="G3793" i="1"/>
  <c r="G2767" i="1"/>
  <c r="G2172" i="1"/>
  <c r="G3109" i="1"/>
  <c r="G3126" i="1"/>
  <c r="G3719" i="1"/>
  <c r="G2387" i="1"/>
  <c r="G1573" i="1"/>
  <c r="G715" i="1"/>
  <c r="G619" i="1"/>
  <c r="G2510" i="1"/>
  <c r="G4072" i="1"/>
  <c r="G341" i="1"/>
  <c r="G1501" i="1"/>
  <c r="G275" i="1"/>
  <c r="G1474" i="1"/>
  <c r="G672" i="1"/>
  <c r="G103" i="1"/>
  <c r="G3138" i="1"/>
  <c r="G2578" i="1"/>
  <c r="G3219" i="1"/>
  <c r="G1476" i="1"/>
  <c r="G3821" i="1"/>
  <c r="G701" i="1"/>
  <c r="G3081" i="1"/>
  <c r="G600" i="1"/>
  <c r="G3731" i="1"/>
  <c r="G584" i="1"/>
  <c r="G3844" i="1"/>
  <c r="G589" i="1"/>
  <c r="G2662" i="1"/>
  <c r="G1975" i="1"/>
  <c r="G1702" i="1"/>
  <c r="G2776" i="1"/>
  <c r="G3858" i="1"/>
  <c r="G1492" i="1"/>
  <c r="G2207" i="1"/>
  <c r="G957" i="1"/>
  <c r="G104" i="1"/>
  <c r="G1749" i="1"/>
  <c r="G2866" i="1"/>
  <c r="G1380" i="1"/>
  <c r="G1533" i="1"/>
  <c r="G3265" i="1"/>
  <c r="G1407" i="1"/>
  <c r="G1532" i="1"/>
  <c r="G653" i="1"/>
  <c r="G728" i="1"/>
  <c r="G1925" i="1"/>
  <c r="G1901" i="1"/>
  <c r="G1553" i="1"/>
  <c r="G2251" i="1"/>
  <c r="G4035" i="1"/>
  <c r="G2209" i="1"/>
  <c r="G2539" i="1"/>
  <c r="G3927" i="1"/>
  <c r="G2210" i="1"/>
  <c r="G286" i="1"/>
  <c r="G3246" i="1"/>
  <c r="G2061" i="1"/>
  <c r="G3780" i="1"/>
  <c r="G3094" i="1"/>
  <c r="G1145" i="1"/>
  <c r="G863" i="1"/>
  <c r="G1943" i="1"/>
  <c r="G2736" i="1"/>
  <c r="G651" i="1"/>
  <c r="G3251" i="1"/>
  <c r="G2455" i="1"/>
  <c r="G1784" i="1"/>
  <c r="G2892" i="1"/>
  <c r="G2350" i="1"/>
  <c r="G1628" i="1"/>
  <c r="G1237" i="1"/>
  <c r="G4133" i="1"/>
  <c r="G3351" i="1"/>
  <c r="G1670" i="1"/>
  <c r="G952" i="1"/>
  <c r="G245" i="1"/>
  <c r="G2426" i="1"/>
  <c r="G1053" i="1"/>
  <c r="G1329" i="1"/>
  <c r="G2276" i="1"/>
  <c r="G573" i="1"/>
  <c r="G1488" i="1"/>
  <c r="G4004" i="1"/>
  <c r="G1887" i="1"/>
  <c r="G2541" i="1"/>
  <c r="G3728" i="1"/>
  <c r="G3032" i="1"/>
  <c r="G2681" i="1"/>
  <c r="G580" i="1"/>
  <c r="G1918" i="1"/>
  <c r="G1543" i="1"/>
  <c r="G2605" i="1"/>
  <c r="G3778" i="1"/>
  <c r="G3918" i="1"/>
  <c r="G2659" i="1"/>
  <c r="G64" i="1"/>
  <c r="G3971" i="1"/>
  <c r="G4003" i="1"/>
  <c r="G442" i="1"/>
  <c r="G3310" i="1"/>
  <c r="G1836" i="1"/>
  <c r="G522" i="1"/>
  <c r="G2208" i="1"/>
  <c r="G1790" i="1"/>
  <c r="G819" i="1"/>
  <c r="G2709" i="1"/>
  <c r="G3050" i="1"/>
  <c r="G2386" i="1"/>
  <c r="G1469" i="1"/>
  <c r="G1864" i="1"/>
  <c r="G3886" i="1"/>
  <c r="G4041" i="1"/>
  <c r="G2198" i="1"/>
  <c r="G2079" i="1"/>
  <c r="G1891" i="1"/>
  <c r="G856" i="1"/>
  <c r="G27" i="1"/>
  <c r="G671" i="1"/>
  <c r="G3356" i="1"/>
  <c r="G2496" i="1"/>
  <c r="G3028" i="1"/>
  <c r="G2855" i="1"/>
  <c r="G2900" i="1"/>
  <c r="G3273" i="1"/>
  <c r="G3235" i="1"/>
  <c r="G491" i="1"/>
  <c r="G1417" i="1"/>
  <c r="G3857" i="1"/>
  <c r="G1540" i="1"/>
  <c r="G2680" i="1"/>
  <c r="G1355" i="1"/>
  <c r="G326" i="1"/>
  <c r="G2921" i="1"/>
  <c r="G1752" i="1"/>
  <c r="G82" i="1"/>
  <c r="G3301" i="1"/>
  <c r="G2962" i="1"/>
  <c r="G1786" i="1"/>
  <c r="G1732" i="1"/>
  <c r="G3047" i="1"/>
  <c r="G2351" i="1"/>
  <c r="G1388" i="1"/>
  <c r="G2984" i="1"/>
  <c r="G2257" i="1"/>
  <c r="G2683" i="1"/>
  <c r="G742" i="1"/>
  <c r="G2272" i="1"/>
  <c r="G3051" i="1"/>
  <c r="G3958" i="1"/>
  <c r="G3869" i="1"/>
  <c r="G2843" i="1"/>
  <c r="G4042" i="1"/>
  <c r="G424" i="1"/>
  <c r="G1818" i="1"/>
  <c r="G3734" i="1"/>
  <c r="G1384" i="1"/>
  <c r="G490" i="1"/>
  <c r="G2029" i="1"/>
  <c r="G2289" i="1"/>
  <c r="G321" i="1"/>
  <c r="G3116" i="1"/>
  <c r="G2447" i="1"/>
  <c r="G3399" i="1"/>
  <c r="G2290" i="1"/>
  <c r="G873" i="1"/>
  <c r="G404" i="1"/>
  <c r="G2345" i="1"/>
  <c r="G2818" i="1"/>
  <c r="G1947" i="1"/>
  <c r="G1718" i="1"/>
  <c r="G793" i="1"/>
  <c r="G3322" i="1"/>
  <c r="G4100" i="1"/>
  <c r="G186" i="1"/>
  <c r="G2365" i="1"/>
  <c r="G2902" i="1"/>
  <c r="G2898" i="1"/>
  <c r="G3309" i="1"/>
  <c r="G1156" i="1"/>
  <c r="G1147" i="1"/>
  <c r="G493" i="1"/>
  <c r="G3952" i="1"/>
  <c r="G1066" i="1"/>
  <c r="G3902" i="1"/>
  <c r="G2777" i="1"/>
  <c r="G4011" i="1"/>
  <c r="G2449" i="1"/>
  <c r="G2349" i="1"/>
  <c r="G1647" i="1"/>
  <c r="G1436" i="1"/>
  <c r="G3244" i="1"/>
  <c r="G2440" i="1"/>
  <c r="G330" i="1"/>
  <c r="G2724" i="1"/>
  <c r="G3030" i="1"/>
  <c r="G2834" i="1"/>
  <c r="G2244" i="1"/>
  <c r="G921" i="1"/>
  <c r="G3437" i="1"/>
  <c r="G2226" i="1"/>
  <c r="G133" i="1"/>
  <c r="G2610" i="1"/>
  <c r="G751" i="1"/>
  <c r="G3294" i="1"/>
  <c r="G1232" i="1"/>
  <c r="G2686" i="1"/>
  <c r="G3068" i="1"/>
  <c r="G1797" i="1"/>
  <c r="G1369" i="1"/>
  <c r="G2716" i="1"/>
  <c r="G3241" i="1"/>
  <c r="G288" i="1"/>
  <c r="G2000" i="1"/>
  <c r="G1868" i="1"/>
  <c r="G2034" i="1"/>
  <c r="G627" i="1"/>
  <c r="G116" i="1"/>
  <c r="G1023" i="1"/>
  <c r="G1810" i="1"/>
  <c r="G647" i="1"/>
  <c r="G3922" i="1"/>
  <c r="G1370" i="1"/>
  <c r="G3186" i="1"/>
  <c r="G642" i="1"/>
  <c r="G1678" i="1"/>
  <c r="G2635" i="1"/>
  <c r="G2768" i="1"/>
  <c r="G451" i="1"/>
  <c r="G246" i="1"/>
  <c r="G3720" i="1"/>
  <c r="G1763" i="1"/>
  <c r="G3960" i="1"/>
  <c r="G848" i="1"/>
  <c r="G4048" i="1"/>
  <c r="G446" i="1"/>
  <c r="G1840" i="1"/>
  <c r="G1333" i="1"/>
  <c r="G4" i="1"/>
  <c r="G2066" i="1"/>
  <c r="G1651" i="1"/>
  <c r="G878" i="1"/>
  <c r="G3370" i="1"/>
  <c r="G3242" i="1"/>
  <c r="G183" i="1"/>
  <c r="G3188" i="1"/>
  <c r="G3326" i="1"/>
  <c r="G796" i="1"/>
  <c r="G3340" i="1"/>
  <c r="G1251" i="1"/>
  <c r="G3134" i="1"/>
  <c r="G3773" i="1"/>
  <c r="G2200" i="1"/>
  <c r="G3767" i="1"/>
  <c r="G2591" i="1"/>
  <c r="G713" i="1"/>
  <c r="G1995" i="1"/>
  <c r="G166" i="1"/>
  <c r="G2583" i="1"/>
  <c r="G1061" i="1"/>
  <c r="G1392" i="1"/>
  <c r="G1328" i="1"/>
  <c r="G1046" i="1"/>
  <c r="G2465" i="1"/>
  <c r="G1161" i="1"/>
  <c r="G328" i="1"/>
  <c r="G3039" i="1"/>
  <c r="G1453" i="1"/>
  <c r="G1922" i="1"/>
  <c r="G3817" i="1"/>
  <c r="G290" i="1"/>
  <c r="G352" i="1"/>
  <c r="G3936" i="1"/>
  <c r="G2656" i="1"/>
  <c r="G89" i="1"/>
  <c r="G804" i="1"/>
  <c r="G1195" i="1"/>
  <c r="G1643" i="1"/>
  <c r="G2744" i="1"/>
  <c r="G1304" i="1"/>
  <c r="G3367" i="1"/>
  <c r="G2008" i="1"/>
  <c r="G339" i="1"/>
  <c r="G3059" i="1"/>
  <c r="G1299" i="1"/>
  <c r="G50" i="1"/>
  <c r="G2922" i="1"/>
  <c r="G3312" i="1"/>
  <c r="G195" i="1"/>
  <c r="G2585" i="1"/>
  <c r="G963" i="1"/>
  <c r="G2853" i="1"/>
  <c r="G1303" i="1"/>
  <c r="G3782" i="1"/>
  <c r="G207" i="1"/>
  <c r="G2741" i="1"/>
  <c r="G59" i="1"/>
  <c r="G1049" i="1"/>
  <c r="G3203" i="1"/>
  <c r="G633" i="1"/>
  <c r="G2500" i="1"/>
  <c r="G851" i="1"/>
  <c r="G1312" i="1"/>
  <c r="G2308" i="1"/>
  <c r="G3038" i="1"/>
  <c r="G2566" i="1"/>
  <c r="G2239" i="1"/>
  <c r="G3257" i="1"/>
  <c r="G2059" i="1"/>
  <c r="G250" i="1"/>
  <c r="G1740" i="1"/>
  <c r="G983" i="1"/>
  <c r="G3152" i="1"/>
  <c r="G3145" i="1"/>
  <c r="G2497" i="1"/>
  <c r="G3966" i="1"/>
  <c r="G1032" i="1"/>
  <c r="G481" i="1"/>
  <c r="G3953" i="1"/>
  <c r="G2357" i="1"/>
  <c r="G53" i="1"/>
  <c r="G3749" i="1"/>
  <c r="G3737" i="1"/>
  <c r="G3346" i="1"/>
  <c r="G1483" i="1"/>
  <c r="G3390" i="1"/>
  <c r="G3838" i="1"/>
  <c r="G3105" i="1"/>
  <c r="G1472" i="1"/>
  <c r="G1560" i="1"/>
  <c r="G1087" i="1"/>
  <c r="G2619" i="1"/>
  <c r="G1226" i="1"/>
  <c r="G2004" i="1"/>
  <c r="G2098" i="1"/>
  <c r="G226" i="1"/>
  <c r="G3814" i="1"/>
  <c r="G3140" i="1"/>
  <c r="G269" i="1"/>
  <c r="G1829" i="1"/>
  <c r="G2505" i="1"/>
  <c r="G3147" i="1"/>
  <c r="G4014" i="1"/>
  <c r="G2833" i="1"/>
  <c r="G3717" i="1"/>
  <c r="G2431" i="1"/>
  <c r="G119" i="1"/>
  <c r="G2708" i="1"/>
  <c r="G2275" i="1"/>
  <c r="G4090" i="1"/>
  <c r="G1496" i="1"/>
  <c r="G814" i="1"/>
  <c r="G932" i="1"/>
  <c r="G1347" i="1"/>
  <c r="G1294" i="1"/>
  <c r="G1157" i="1"/>
  <c r="G3302" i="1"/>
  <c r="G437" i="1"/>
  <c r="G970" i="1"/>
  <c r="G2380" i="1"/>
  <c r="G3813" i="1"/>
  <c r="G703" i="1"/>
  <c r="G1214" i="1"/>
  <c r="G1004" i="1"/>
  <c r="G3890" i="1"/>
  <c r="G1958" i="1"/>
  <c r="G832" i="1"/>
  <c r="G542" i="1"/>
  <c r="G1990" i="1"/>
  <c r="G1162" i="1"/>
  <c r="G4022" i="1"/>
  <c r="G988" i="1"/>
  <c r="G2657" i="1"/>
  <c r="G1133" i="1"/>
  <c r="G1426" i="1"/>
  <c r="G349" i="1"/>
  <c r="G1526" i="1"/>
  <c r="G2077" i="1"/>
  <c r="G233" i="1"/>
  <c r="G2796" i="1"/>
  <c r="G355" i="1"/>
  <c r="G2809" i="1"/>
  <c r="G3060" i="1"/>
  <c r="G3406" i="1"/>
  <c r="G1278" i="1"/>
  <c r="G2304" i="1"/>
  <c r="G4005" i="1"/>
  <c r="G828" i="1"/>
  <c r="G3079" i="1"/>
  <c r="G1118" i="1"/>
  <c r="G52" i="1"/>
  <c r="G2487" i="1"/>
  <c r="G447" i="1"/>
  <c r="G1404" i="1"/>
  <c r="G1610" i="1"/>
  <c r="G388" i="1"/>
  <c r="G1727" i="1"/>
  <c r="G2016" i="1"/>
  <c r="G1999" i="1"/>
  <c r="G4091" i="1"/>
  <c r="G2191" i="1"/>
  <c r="G3227" i="1"/>
  <c r="G3759" i="1"/>
  <c r="G2661" i="1"/>
  <c r="G3824" i="1"/>
  <c r="G1365" i="1"/>
  <c r="G2548" i="1"/>
  <c r="G682" i="1"/>
  <c r="G3107" i="1"/>
  <c r="G3098" i="1"/>
  <c r="G876" i="1"/>
  <c r="G1832" i="1"/>
  <c r="G334" i="1"/>
  <c r="G2612" i="1"/>
  <c r="G379" i="1"/>
  <c r="G317" i="1"/>
  <c r="G3225" i="1"/>
  <c r="G725" i="1"/>
  <c r="G309" i="1"/>
  <c r="G3111" i="1"/>
  <c r="G3764" i="1"/>
  <c r="G2726" i="1"/>
  <c r="G69" i="1"/>
  <c r="G940" i="1"/>
  <c r="G560" i="1"/>
  <c r="G773" i="1"/>
  <c r="G2951" i="1"/>
  <c r="G2157" i="1"/>
  <c r="G3021" i="1"/>
  <c r="G1645" i="1"/>
  <c r="G1287" i="1"/>
  <c r="G2690" i="1"/>
  <c r="G3736" i="1"/>
  <c r="G2237" i="1"/>
  <c r="G3204" i="1"/>
  <c r="G900" i="1"/>
  <c r="G1258" i="1"/>
  <c r="G3923" i="1"/>
  <c r="G2536" i="1"/>
  <c r="G2678" i="1"/>
  <c r="G2871" i="1"/>
  <c r="G1983" i="1"/>
  <c r="G2560" i="1"/>
  <c r="G2954" i="1"/>
  <c r="G929" i="1"/>
  <c r="G3976" i="1"/>
  <c r="G3104" i="1"/>
  <c r="G3968" i="1"/>
  <c r="G1870" i="1"/>
  <c r="G1241" i="1"/>
  <c r="G1842" i="1"/>
  <c r="G1857" i="1"/>
  <c r="G2052" i="1"/>
  <c r="G887" i="1"/>
  <c r="G3811" i="1"/>
  <c r="G3979" i="1"/>
  <c r="G3708" i="1"/>
  <c r="G1539" i="1"/>
  <c r="G643" i="1"/>
  <c r="G934" i="1"/>
  <c r="G586" i="1"/>
  <c r="G304" i="1"/>
  <c r="G1364" i="1"/>
  <c r="G1552" i="1"/>
  <c r="G3859" i="1"/>
  <c r="G861" i="1"/>
  <c r="G2929" i="1"/>
  <c r="G232" i="1"/>
  <c r="G76" i="1"/>
  <c r="G1265" i="1"/>
  <c r="G1585" i="1"/>
  <c r="G2343" i="1"/>
  <c r="G695" i="1"/>
  <c r="G3798" i="1"/>
  <c r="G3315" i="1"/>
  <c r="G41" i="1"/>
  <c r="G1595" i="1"/>
  <c r="G1091" i="1"/>
  <c r="G2298" i="1"/>
  <c r="G837" i="1"/>
  <c r="G1825" i="1"/>
  <c r="G1201" i="1"/>
  <c r="G1396" i="1"/>
  <c r="G1926" i="1"/>
  <c r="G1823" i="1"/>
  <c r="G2082" i="1"/>
  <c r="G2019" i="1"/>
  <c r="G387" i="1"/>
  <c r="G2150" i="1"/>
  <c r="G922" i="1"/>
  <c r="G2124" i="1"/>
  <c r="G1386" i="1"/>
  <c r="G2936" i="1"/>
  <c r="G439" i="1"/>
  <c r="G35" i="1"/>
  <c r="G2508" i="1"/>
  <c r="G3083" i="1"/>
  <c r="G3996" i="1"/>
  <c r="G84" i="1"/>
  <c r="G3192" i="1"/>
  <c r="G1660" i="1"/>
  <c r="G501" i="1"/>
  <c r="G3003" i="1"/>
  <c r="G4055" i="1"/>
  <c r="G2158" i="1"/>
  <c r="G1027" i="1"/>
  <c r="G4025" i="1"/>
  <c r="G377" i="1"/>
  <c r="G1599" i="1"/>
  <c r="G1310" i="1"/>
  <c r="G3870" i="1"/>
  <c r="G1421" i="1"/>
  <c r="G3830" i="1"/>
  <c r="G111" i="1"/>
  <c r="G1734" i="1"/>
  <c r="G3965" i="1"/>
  <c r="G266" i="1"/>
  <c r="G2085" i="1"/>
  <c r="G2789" i="1"/>
  <c r="G1780" i="1"/>
  <c r="G143" i="1"/>
  <c r="G2845" i="1"/>
  <c r="G2640" i="1"/>
  <c r="G2223" i="1"/>
  <c r="G1288" i="1"/>
  <c r="G1293" i="1"/>
  <c r="G3763" i="1"/>
  <c r="G153" i="1"/>
  <c r="G4001" i="1"/>
  <c r="G1711" i="1"/>
  <c r="G3878" i="1"/>
  <c r="G709" i="1"/>
  <c r="G1706" i="1"/>
  <c r="G2168" i="1"/>
  <c r="G689" i="1"/>
  <c r="G498" i="1"/>
  <c r="G3102" i="1"/>
  <c r="G128" i="1"/>
  <c r="G2535" i="1"/>
  <c r="G758" i="1"/>
  <c r="G2939" i="1"/>
  <c r="G2646" i="1"/>
  <c r="G4045" i="1"/>
  <c r="G1796" i="1"/>
  <c r="G4104" i="1"/>
  <c r="G2255" i="1"/>
  <c r="G961" i="1"/>
  <c r="G4132" i="1"/>
  <c r="G925" i="1"/>
  <c r="G218" i="1"/>
  <c r="G2435" i="1"/>
  <c r="G5" i="1"/>
  <c r="G10" i="1"/>
  <c r="G3366" i="1"/>
  <c r="G3847" i="1"/>
  <c r="G3848" i="1"/>
  <c r="G320" i="1"/>
  <c r="G3231" i="1"/>
  <c r="G139" i="1"/>
  <c r="G2260" i="1"/>
  <c r="G402" i="1"/>
  <c r="G2333" i="1"/>
  <c r="G94" i="1"/>
  <c r="G2414" i="1"/>
  <c r="G433" i="1"/>
  <c r="G213" i="1"/>
  <c r="G180" i="1"/>
  <c r="G2254" i="1"/>
  <c r="G9" i="1"/>
  <c r="G2292" i="1"/>
  <c r="G150" i="1"/>
  <c r="G151" i="1"/>
  <c r="G224" i="1"/>
  <c r="G3263" i="1"/>
  <c r="G745" i="1"/>
  <c r="G399" i="1"/>
  <c r="G201" i="1"/>
  <c r="G3254" i="1"/>
  <c r="G865" i="1"/>
  <c r="G28" i="1"/>
  <c r="G2693" i="1"/>
  <c r="G3341" i="1"/>
  <c r="G2089" i="1"/>
  <c r="G338" i="1"/>
  <c r="G2923" i="1"/>
  <c r="G3834" i="1"/>
  <c r="G1012" i="1"/>
  <c r="G455" i="1"/>
  <c r="G3416" i="1"/>
  <c r="G2311" i="1"/>
  <c r="G2105" i="1"/>
  <c r="G2840" i="1"/>
  <c r="G3325" i="1"/>
  <c r="G51" i="1"/>
  <c r="G165" i="1"/>
  <c r="G3407" i="1"/>
  <c r="G452" i="1"/>
  <c r="G453" i="1"/>
  <c r="G1934" i="1"/>
  <c r="G3438" i="1"/>
  <c r="G182" i="1"/>
  <c r="G2055" i="1"/>
  <c r="G3328" i="1"/>
  <c r="G95" i="1"/>
  <c r="G3305" i="1"/>
  <c r="G457" i="1"/>
  <c r="G2594" i="1"/>
  <c r="G3307" i="1"/>
  <c r="G3054" i="1"/>
  <c r="G158" i="1"/>
  <c r="G2303" i="1"/>
  <c r="G144" i="1"/>
  <c r="G630" i="1"/>
  <c r="G2149" i="1"/>
  <c r="G3214" i="1"/>
  <c r="G160" i="1"/>
  <c r="G2326" i="1"/>
  <c r="G336" i="1"/>
  <c r="G2910" i="1"/>
  <c r="G1277" i="1"/>
  <c r="G3418" i="1"/>
  <c r="G257" i="1"/>
  <c r="G3232" i="1"/>
  <c r="G519" i="1"/>
  <c r="G3077" i="1"/>
  <c r="G198" i="1"/>
  <c r="G2400" i="1"/>
  <c r="G3392" i="1"/>
  <c r="G85" i="1"/>
  <c r="G3300" i="1"/>
  <c r="G3331" i="1"/>
  <c r="G2725" i="1"/>
  <c r="G2384" i="1"/>
  <c r="G3371" i="1"/>
  <c r="G346" i="1"/>
  <c r="G2388" i="1"/>
  <c r="G1519" i="1"/>
  <c r="G3440" i="1"/>
  <c r="G1334" i="1"/>
  <c r="G136" i="1"/>
  <c r="G3318" i="1"/>
  <c r="G347" i="1"/>
  <c r="G3402" i="1"/>
  <c r="G3211" i="1"/>
  <c r="G2173" i="1"/>
  <c r="G3348" i="1"/>
  <c r="G87" i="1"/>
  <c r="G196" i="1"/>
  <c r="G2060" i="1"/>
  <c r="G4008" i="1"/>
  <c r="G3343" i="1"/>
  <c r="G3400" i="1"/>
  <c r="G3401" i="1"/>
  <c r="G188" i="1"/>
  <c r="G3394" i="1"/>
  <c r="G3380" i="1"/>
  <c r="G1699" i="1"/>
  <c r="G3442" i="1"/>
  <c r="G202" i="1"/>
  <c r="G3304" i="1"/>
  <c r="G2281" i="1"/>
  <c r="G366" i="1"/>
  <c r="G3247" i="1"/>
  <c r="G148" i="1"/>
  <c r="G3218" i="1"/>
  <c r="G203" i="1"/>
  <c r="G2133" i="1"/>
  <c r="G256" i="1"/>
  <c r="G3284" i="1"/>
</calcChain>
</file>

<file path=xl/sharedStrings.xml><?xml version="1.0" encoding="utf-8"?>
<sst xmlns="http://schemas.openxmlformats.org/spreadsheetml/2006/main" count="24592" uniqueCount="323">
  <si>
    <t>Certificate: Certificate Name</t>
  </si>
  <si>
    <t>Policy Type</t>
  </si>
  <si>
    <t>1 Person</t>
  </si>
  <si>
    <t>2 People</t>
  </si>
  <si>
    <t>Policy_Type__c</t>
  </si>
  <si>
    <t>Date Refunded</t>
  </si>
  <si>
    <t>Amount</t>
  </si>
  <si>
    <t>Credit Reason Code</t>
  </si>
  <si>
    <t>Billing - Death Claim Refund</t>
  </si>
  <si>
    <t>Direct Debit (M&amp;T Bank or UMB Bank) - Returned Items</t>
  </si>
  <si>
    <t>Direct Debit (UMB) - Cancellation Refunds</t>
  </si>
  <si>
    <t>Credit Cards (UMB) - Cancellation Refunds</t>
  </si>
  <si>
    <t>Credit Cards (UMB) - Death Claim Refunds</t>
  </si>
  <si>
    <t>Billing - Cancellation Refunds</t>
  </si>
  <si>
    <t>Billing - Bounced Checks</t>
  </si>
  <si>
    <t>Credit_Reason_Code__c</t>
  </si>
  <si>
    <t>Billing - Customer Service</t>
  </si>
  <si>
    <t>Credit Cards - (Global Payments) - Chargeback</t>
  </si>
  <si>
    <t>Credit Cards - (UMB) - Chargeback</t>
  </si>
  <si>
    <t>Direct Debit (UMB) - Death Claim Refunds</t>
  </si>
  <si>
    <t>Certificate</t>
  </si>
  <si>
    <t>Date Received</t>
  </si>
  <si>
    <t>Pay Type</t>
  </si>
  <si>
    <t>Amount Received</t>
  </si>
  <si>
    <t>Auth Code</t>
  </si>
  <si>
    <t>Issuer Response Text</t>
  </si>
  <si>
    <t>Gateway Txn ID</t>
  </si>
  <si>
    <t>Gateway Response Message</t>
  </si>
  <si>
    <t>APPROVAL</t>
  </si>
  <si>
    <t>Success</t>
  </si>
  <si>
    <t>Pay_Type__c</t>
  </si>
  <si>
    <t>1</t>
  </si>
  <si>
    <t>2</t>
  </si>
  <si>
    <t>3</t>
  </si>
  <si>
    <t>Transaction Type</t>
  </si>
  <si>
    <t>Transaction Date</t>
  </si>
  <si>
    <t>Certificate Number</t>
  </si>
  <si>
    <t>Members</t>
  </si>
  <si>
    <t>Reason_for_Credit__c</t>
  </si>
  <si>
    <t>Column1</t>
  </si>
  <si>
    <t>Type</t>
  </si>
  <si>
    <t>Check</t>
  </si>
  <si>
    <t>ACH</t>
  </si>
  <si>
    <t>Credit Card</t>
  </si>
  <si>
    <t>Type__c</t>
  </si>
  <si>
    <t>Column2</t>
  </si>
  <si>
    <t>BILL</t>
  </si>
  <si>
    <t>CC</t>
  </si>
  <si>
    <t>Check No</t>
  </si>
  <si>
    <t>Check #</t>
  </si>
  <si>
    <t>Product__c</t>
  </si>
  <si>
    <t>AD&amp;D</t>
  </si>
  <si>
    <t>AD&amp;D &amp; LIFE</t>
  </si>
  <si>
    <t>AD&amp;D - AGE REDUCED</t>
  </si>
  <si>
    <t>AD&amp;D &amp; LIFE AGE REDUCED</t>
  </si>
  <si>
    <t>A&amp;D - MIXED REDUCED</t>
  </si>
  <si>
    <t>AD&amp;D &amp; LIFE MIXED REDUCED</t>
  </si>
  <si>
    <t>Rollback_Months__c</t>
  </si>
  <si>
    <t>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</si>
  <si>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</si>
  <si>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</si>
  <si>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</si>
  <si>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</si>
  <si>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</si>
  <si>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</si>
  <si>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</si>
  <si>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</si>
  <si>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</si>
  <si>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</si>
  <si>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</si>
  <si>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</si>
  <si>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00</t>
  </si>
  <si>
    <t>Beneficiary 2</t>
  </si>
  <si>
    <t>Inactive</t>
  </si>
  <si>
    <t>Contingent Beneficiary 1</t>
  </si>
  <si>
    <t>Contingent Beneficiary 2</t>
  </si>
  <si>
    <t>Beneficiary - Inactive</t>
  </si>
  <si>
    <t>Type Received</t>
  </si>
  <si>
    <t>Credit Batch ID (Approval)</t>
  </si>
  <si>
    <t>Test_Ajay2</t>
  </si>
  <si>
    <t>Gateway Response Message2</t>
  </si>
  <si>
    <t>01335R</t>
  </si>
  <si>
    <t>90600Z</t>
  </si>
  <si>
    <t>01390Q</t>
  </si>
  <si>
    <t>Transaction Approved. BatchID:10058271</t>
  </si>
  <si>
    <t>Transaction Approved. BatchID:10141732</t>
  </si>
  <si>
    <t>Transaction Approved. BatchID:10072438</t>
  </si>
  <si>
    <t>Transaction Approved. BatchID:10111695</t>
  </si>
  <si>
    <t>01655D</t>
  </si>
  <si>
    <t>Transaction Approved. BatchID:10061647</t>
  </si>
  <si>
    <t>Transaction Approved. BatchID:10102294</t>
  </si>
  <si>
    <t>Transaction Approved. BatchID:10151725</t>
  </si>
  <si>
    <t>Transaction Approved. BatchID:10067535</t>
  </si>
  <si>
    <t>Transaction Approved. BatchID:10107369</t>
  </si>
  <si>
    <t>09234P</t>
  </si>
  <si>
    <t>00607P</t>
  </si>
  <si>
    <t>00721D</t>
  </si>
  <si>
    <t>00223P</t>
  </si>
  <si>
    <t>08014C</t>
  </si>
  <si>
    <t>00768P</t>
  </si>
  <si>
    <t>00900D</t>
  </si>
  <si>
    <t>01315Q</t>
  </si>
  <si>
    <t>06628A</t>
  </si>
  <si>
    <t>00942C</t>
  </si>
  <si>
    <t>Transaction Approved. BatchID:10085204</t>
  </si>
  <si>
    <t>06319Z</t>
  </si>
  <si>
    <t>Transaction Approved. BatchID:10114805</t>
  </si>
  <si>
    <t>Transaction Approved. BatchID:10127826</t>
  </si>
  <si>
    <t>07610D</t>
  </si>
  <si>
    <t>Transaction Approved. BatchID:10080907</t>
  </si>
  <si>
    <t>Transaction Approved. BatchID:10144445</t>
  </si>
  <si>
    <t>00793P</t>
  </si>
  <si>
    <t>01216P</t>
  </si>
  <si>
    <t>Transaction Approved. BatchID:10063762</t>
  </si>
  <si>
    <t>02820P</t>
  </si>
  <si>
    <t>Transaction Approved. BatchID:10090302</t>
  </si>
  <si>
    <t>01429B</t>
  </si>
  <si>
    <t>Transaction Approved. BatchID:10148208</t>
  </si>
  <si>
    <t>Transaction Approved. BatchID:10135665</t>
  </si>
  <si>
    <t>01593P</t>
  </si>
  <si>
    <t>03491P</t>
  </si>
  <si>
    <t>03160P</t>
  </si>
  <si>
    <t>03206Z</t>
  </si>
  <si>
    <t>Transaction Approved. BatchID:10094319</t>
  </si>
  <si>
    <t>03388B</t>
  </si>
  <si>
    <t>07636Z</t>
  </si>
  <si>
    <t>Transaction Approved. BatchID:10076348</t>
  </si>
  <si>
    <t>03273P</t>
  </si>
  <si>
    <t>03708Z</t>
  </si>
  <si>
    <t>03410P</t>
  </si>
  <si>
    <t>00528D</t>
  </si>
  <si>
    <t>71123D</t>
  </si>
  <si>
    <t>03442A</t>
  </si>
  <si>
    <t>03461Z</t>
  </si>
  <si>
    <t>01537Z</t>
  </si>
  <si>
    <t>14064P</t>
  </si>
  <si>
    <t>78685G</t>
  </si>
  <si>
    <t>Transaction Approved. BatchID:10138157</t>
  </si>
  <si>
    <t>03643T</t>
  </si>
  <si>
    <t>03705W</t>
  </si>
  <si>
    <t>01459D</t>
  </si>
  <si>
    <t>40647Z</t>
  </si>
  <si>
    <t>04256B</t>
  </si>
  <si>
    <t>04230D</t>
  </si>
  <si>
    <t>00343Z</t>
  </si>
  <si>
    <t>04459Z</t>
  </si>
  <si>
    <t>01384P</t>
  </si>
  <si>
    <t>01300B</t>
  </si>
  <si>
    <t>16493D</t>
  </si>
  <si>
    <t>04752D</t>
  </si>
  <si>
    <t>06064D</t>
  </si>
  <si>
    <t>08597Z</t>
  </si>
  <si>
    <t>00957P</t>
  </si>
  <si>
    <t>21803G</t>
  </si>
  <si>
    <t>06193Z</t>
  </si>
  <si>
    <t>06229D</t>
  </si>
  <si>
    <t>53234B</t>
  </si>
  <si>
    <t>06299S</t>
  </si>
  <si>
    <t>01690B</t>
  </si>
  <si>
    <t>06524A</t>
  </si>
  <si>
    <t>40901D</t>
  </si>
  <si>
    <t>02245Z</t>
  </si>
  <si>
    <t>06679B</t>
  </si>
  <si>
    <t>06711Q</t>
  </si>
  <si>
    <t>06732Z</t>
  </si>
  <si>
    <t>90204Z</t>
  </si>
  <si>
    <t>06766Z</t>
  </si>
  <si>
    <t>03067D</t>
  </si>
  <si>
    <t>03475D</t>
  </si>
  <si>
    <t>01963R</t>
  </si>
  <si>
    <t>90312Z</t>
  </si>
  <si>
    <t>01362R</t>
  </si>
  <si>
    <t>16937Z</t>
  </si>
  <si>
    <t>06918P</t>
  </si>
  <si>
    <t>06939Z</t>
  </si>
  <si>
    <t>07025Z</t>
  </si>
  <si>
    <t>07007Z</t>
  </si>
  <si>
    <t>16227D</t>
  </si>
  <si>
    <t>07082D</t>
  </si>
  <si>
    <t>07290C</t>
  </si>
  <si>
    <t>05416P</t>
  </si>
  <si>
    <t>41944P</t>
  </si>
  <si>
    <t>07545P</t>
  </si>
  <si>
    <t>00494P</t>
  </si>
  <si>
    <t>07605D</t>
  </si>
  <si>
    <t>01354R</t>
  </si>
  <si>
    <t>05774P</t>
  </si>
  <si>
    <t>00472P</t>
  </si>
  <si>
    <t>03315P</t>
  </si>
  <si>
    <t>90C21F</t>
  </si>
  <si>
    <t>00325A</t>
  </si>
  <si>
    <t>00540Z</t>
  </si>
  <si>
    <t>Transaction Approved. BatchID:10120078</t>
  </si>
  <si>
    <t>09892Z</t>
  </si>
  <si>
    <t>09931D</t>
  </si>
  <si>
    <t>09951D</t>
  </si>
  <si>
    <t>09985D</t>
  </si>
  <si>
    <t>01321R</t>
  </si>
  <si>
    <t>09611A</t>
  </si>
  <si>
    <t>00219C</t>
  </si>
  <si>
    <t>09740A</t>
  </si>
  <si>
    <t>00382D</t>
  </si>
  <si>
    <t>01308P</t>
  </si>
  <si>
    <t>00444Z</t>
  </si>
  <si>
    <t>01253D</t>
  </si>
  <si>
    <t>01356R</t>
  </si>
  <si>
    <t>00357B</t>
  </si>
  <si>
    <t>00645D</t>
  </si>
  <si>
    <t>00666Z</t>
  </si>
  <si>
    <t>02017G</t>
  </si>
  <si>
    <t>01316P</t>
  </si>
  <si>
    <t>02149S</t>
  </si>
  <si>
    <t>01200A</t>
  </si>
  <si>
    <t>01666I</t>
  </si>
  <si>
    <t>Transaction Approved. BatchID:10131779</t>
  </si>
  <si>
    <t>5E514F</t>
  </si>
  <si>
    <t>55479P</t>
  </si>
  <si>
    <t>70245Z</t>
  </si>
  <si>
    <t>02235T</t>
  </si>
  <si>
    <t>P1D7FO</t>
  </si>
  <si>
    <t>Transaction Approved. BatchID:10124041</t>
  </si>
  <si>
    <t>Transaction Approved. BatchID:10116602</t>
  </si>
  <si>
    <t>02737B</t>
  </si>
  <si>
    <t>66838Z</t>
  </si>
  <si>
    <t>07143D</t>
  </si>
  <si>
    <t>03208P</t>
  </si>
  <si>
    <t>Transaction Approved. BatchID:10155524</t>
  </si>
  <si>
    <t>01381P</t>
  </si>
  <si>
    <t>06789B</t>
  </si>
  <si>
    <t>04979C</t>
  </si>
  <si>
    <t>01389T</t>
  </si>
  <si>
    <t>01471P</t>
  </si>
  <si>
    <t>62972P</t>
  </si>
  <si>
    <t>06029S</t>
  </si>
  <si>
    <t>00342P</t>
  </si>
  <si>
    <t>00502B</t>
  </si>
  <si>
    <t>02868D</t>
  </si>
  <si>
    <t>07772D</t>
  </si>
  <si>
    <t>03050C</t>
  </si>
  <si>
    <t>02764B</t>
  </si>
  <si>
    <t>09003D</t>
  </si>
  <si>
    <t>99338P</t>
  </si>
  <si>
    <t>05537F</t>
  </si>
  <si>
    <t>O2VUZQ</t>
  </si>
  <si>
    <t>01298D</t>
  </si>
  <si>
    <t>01300P</t>
  </si>
  <si>
    <t>01940M</t>
  </si>
  <si>
    <t>C1B33E</t>
  </si>
  <si>
    <t>09846A</t>
  </si>
  <si>
    <t>01147D</t>
  </si>
  <si>
    <t>72188T</t>
  </si>
  <si>
    <t>09666Z</t>
  </si>
  <si>
    <t>02554P</t>
  </si>
  <si>
    <t>09480D</t>
  </si>
  <si>
    <t>20951P</t>
  </si>
  <si>
    <t>03519D</t>
  </si>
  <si>
    <t>00450T</t>
  </si>
  <si>
    <t>01397P</t>
  </si>
  <si>
    <t>00278P</t>
  </si>
  <si>
    <t>02898Q</t>
  </si>
  <si>
    <t>00148Q</t>
  </si>
  <si>
    <t>06078C</t>
  </si>
  <si>
    <t>04854A</t>
  </si>
  <si>
    <t>03625P</t>
  </si>
  <si>
    <t>03342S</t>
  </si>
  <si>
    <t>22491P</t>
  </si>
  <si>
    <t>83517C</t>
  </si>
  <si>
    <t>21123D</t>
  </si>
  <si>
    <t>03689Q</t>
  </si>
  <si>
    <t>98082P</t>
  </si>
  <si>
    <t>18262C</t>
  </si>
  <si>
    <t>09175D</t>
  </si>
  <si>
    <t>05728B</t>
  </si>
  <si>
    <t>04386P</t>
  </si>
  <si>
    <t>00691Z</t>
  </si>
  <si>
    <t>04393D</t>
  </si>
  <si>
    <t>07568D</t>
  </si>
  <si>
    <t>00133R</t>
  </si>
  <si>
    <t>01582P</t>
  </si>
  <si>
    <t>05301D</t>
  </si>
  <si>
    <t>01312Q</t>
  </si>
  <si>
    <t>50098C</t>
  </si>
  <si>
    <t>MT3TQB</t>
  </si>
  <si>
    <t>04560P</t>
  </si>
  <si>
    <t>08078D</t>
  </si>
  <si>
    <t>08141G</t>
  </si>
  <si>
    <t>05626C</t>
  </si>
  <si>
    <t>27314D</t>
  </si>
  <si>
    <t>02698Q</t>
  </si>
  <si>
    <t>04329D</t>
  </si>
  <si>
    <t>08584P</t>
  </si>
  <si>
    <t>07842A</t>
  </si>
  <si>
    <t>05726S</t>
  </si>
  <si>
    <t>01447D</t>
  </si>
  <si>
    <t>05880S</t>
  </si>
  <si>
    <t>07257D</t>
  </si>
  <si>
    <t>08766D</t>
  </si>
  <si>
    <t>08547G</t>
  </si>
  <si>
    <t>66488P</t>
  </si>
  <si>
    <t>08560Z</t>
  </si>
  <si>
    <t>64792Z</t>
  </si>
  <si>
    <t>38160Z</t>
  </si>
  <si>
    <t>07493Z</t>
  </si>
  <si>
    <t>01349D</t>
  </si>
  <si>
    <t>00172Z</t>
  </si>
  <si>
    <t>03220D</t>
  </si>
  <si>
    <t>01282C</t>
  </si>
  <si>
    <t>01309B</t>
  </si>
  <si>
    <t>14120Z</t>
  </si>
  <si>
    <t>06708D</t>
  </si>
  <si>
    <t>Transaction Approved. BatchID:10139802</t>
  </si>
  <si>
    <t>08668D</t>
  </si>
  <si>
    <t>01364P</t>
  </si>
  <si>
    <t>08728D</t>
  </si>
  <si>
    <t>LN2GE0</t>
  </si>
  <si>
    <t>08915P</t>
  </si>
  <si>
    <t>90316Z</t>
  </si>
  <si>
    <t>09029C</t>
  </si>
  <si>
    <t>46993Z</t>
  </si>
  <si>
    <t>09213S</t>
  </si>
  <si>
    <t>00353D</t>
  </si>
  <si>
    <t>09324D</t>
  </si>
  <si>
    <t>03497D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</si>
</sst>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44" fontId="0" fillId="0" borderId="0" xfId="1" applyFont="1" applyFill="1" applyAlignment="1">
      <alignment horizontal="center"/>
    </xf>
    <xf numFmtId="11" fontId="0" fillId="0" borderId="0" xfId="0" applyNumberFormat="1"/>
    <xf numFmtId="44" fontId="1" fillId="0" borderId="0" xfId="1" applyFont="1" applyFill="1" applyAlignment="1">
      <alignment horizontal="center" vertical="top"/>
    </xf>
    <xf numFmtId="44" fontId="1" fillId="0" borderId="0" xfId="1" applyFont="1" applyFill="1" applyBorder="1" applyAlignment="1">
      <alignment horizontal="center" vertical="top"/>
    </xf>
    <xf numFmtId="0" fontId="5" fillId="0" borderId="0" xfId="2"/>
    <xf numFmtId="0" fontId="6" fillId="0" borderId="0" xfId="0" applyFon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2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1" fontId="0" fillId="0" borderId="3" xfId="0" applyNumberFormat="1" applyBorder="1" applyAlignment="1">
      <alignment horizontal="center"/>
    </xf>
    <xf numFmtId="0" fontId="5" fillId="0" borderId="3" xfId="2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applyNumberFormat="1"/>
    <xf numFmtId="0" fontId="0" fillId="2" borderId="0" xfId="0" applyNumberFormat="1" applyFill="1"/>
    <xf numFmtId="0" fontId="0" fillId="3" borderId="1" xfId="0" applyFont="1" applyFill="1" applyBorder="1"/>
    <xf numFmtId="0" fontId="0" fillId="3" borderId="3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0" borderId="2" xfId="0" applyFont="1" applyBorder="1"/>
    <xf numFmtId="14" fontId="0" fillId="3" borderId="3" xfId="0" applyNumberFormat="1" applyFont="1" applyFill="1" applyBorder="1"/>
    <xf numFmtId="14" fontId="0" fillId="0" borderId="3" xfId="0" applyNumberFormat="1" applyFont="1" applyBorder="1"/>
  </cellXfs>
  <cellStyles count="3">
    <cellStyle name="Currency" xfId="1" builtinId="4"/>
    <cellStyle name="Hyperlink" xfId="2" builtinId="8"/>
    <cellStyle name="Normal" xfId="0" builtinId="0"/>
  </cellStyles>
  <dxfs count="9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60A5FC-D12E-4D21-8803-486E14A2B020}" name="Table3" displayName="Table3" ref="A1:K4109" totalsRowShown="0" headerRowDxfId="8">
  <autoFilter ref="A1:K4109" xr:uid="{9C60A5FC-D12E-4D21-8803-486E14A2B020}"/>
  <sortState xmlns:xlrd2="http://schemas.microsoft.com/office/spreadsheetml/2017/richdata2" ref="A2:K4470">
    <sortCondition ref="A1:A4470"/>
  </sortState>
  <tableColumns count="11">
    <tableColumn id="1" xr3:uid="{27A2511C-0FF4-407B-9D51-48ED0AC55943}" name="Certificate"/>
    <tableColumn id="2" xr3:uid="{C169AA5B-9383-4BCC-A774-F66DE2CB0C76}" name="Date Received" dataDxfId="7"/>
    <tableColumn id="3" xr3:uid="{5976478C-0B03-42AB-A039-C0FF868063BF}" name="Type Received"/>
    <tableColumn id="4" xr3:uid="{3B2E2C63-8A85-4AC2-BA3F-A887284B2678}" name="Amount Received"/>
    <tableColumn id="10" xr3:uid="{E871C9CB-378A-432D-9A2E-17A33F5A48E8}" name="Check #"/>
    <tableColumn id="11" xr3:uid="{6CAADB10-9B9B-493C-8686-1A044D48EEF2}" name="Auth Code"/>
    <tableColumn id="5" xr3:uid="{80D620DF-CD89-4D5A-911C-4EF124AA1938}" name="Issuer Response Text"/>
    <tableColumn id="6" xr3:uid="{1104E4BB-2AA3-44FB-B132-30A29863A7BF}" name="Gateway Txn ID"/>
    <tableColumn id="7" xr3:uid="{84847A27-11D1-4C5F-9C10-22105B4720BC}" name="Gateway Response Message"/>
    <tableColumn id="8" xr3:uid="{934C9949-316B-4A11-89A6-59AD1FC898B5}" name="Gateway Response Message2"/>
    <tableColumn id="9" xr3:uid="{AA26FF17-FDB8-45B6-A0B7-FEC2DE00AE31}" name="Column1" dataDxfId="6">
      <calculatedColumnFormula>IF(Table3[[#This Row],[Type Received]]=2,"CC",(IF(Table3[[#This Row],[Type Received]]=3,"BILL","ACH")))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01A1A7-F1DA-4F00-83D4-953DC7FF37C1}" name="Table2" displayName="Table2" ref="A1:I71" totalsRowShown="0" headerRowDxfId="5">
  <autoFilter ref="A1:I71" xr:uid="{4101A1A7-F1DA-4F00-83D4-953DC7FF37C1}"/>
  <sortState xmlns:xlrd2="http://schemas.microsoft.com/office/spreadsheetml/2017/richdata2" ref="A2:I71">
    <sortCondition ref="H1:H71"/>
  </sortState>
  <tableColumns count="9">
    <tableColumn id="1" xr3:uid="{53A22A47-9C54-4C02-B6D2-B70798C7E5ED}" name="Certificate: Certificate Name"/>
    <tableColumn id="2" xr3:uid="{CB57D3AE-1099-4147-8D24-6177018A79EB}" name="Date Refunded" dataDxfId="4"/>
    <tableColumn id="3" xr3:uid="{61D07F5F-29BC-4CB1-A4DF-E4F1118C929B}" name="Amount"/>
    <tableColumn id="8" xr3:uid="{4E577FEA-982C-4D01-960C-288734D33500}" name="Check No"/>
    <tableColumn id="9" xr3:uid="{67853EF5-4CA4-4DEC-89BD-71AB41E474EC}" name="Credit Batch ID (Approval)"/>
    <tableColumn id="4" xr3:uid="{FAECD305-7D79-4E9A-8723-A71D486521ED}" name="Credit Reason Code"/>
    <tableColumn id="5" xr3:uid="{6E355D3A-D054-4AA3-ACFD-3E450228D74C}" name="Type"/>
    <tableColumn id="6" xr3:uid="{10EB2C3A-007E-47F1-9E28-3F80CB29F1E8}" name="Column1" dataDxfId="3">
      <calculatedColumnFormula>Table2[[#This Row],[Amount]]*-1</calculatedColumnFormula>
    </tableColumn>
    <tableColumn id="7" xr3:uid="{5CCCA8BD-6D49-4FAD-8431-1A726CE1273D}" name="Column2" dataDxfId="2">
      <calculatedColumnFormula>IF(Table2[[#This Row],[Type]]="Check","BILL",IF(Table2[[#This Row],[Type]]="Credit Card","CC","ACH"))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1991C0-E966-4DCA-BDB3-64CE49421DF8}" name="Table4" displayName="Table4" ref="A1:C5272" totalsRowShown="0" headerRowDxfId="1">
  <autoFilter ref="A1:C5272" xr:uid="{241991C0-E966-4DCA-BDB3-64CE49421DF8}"/>
  <sortState xmlns:xlrd2="http://schemas.microsoft.com/office/spreadsheetml/2017/richdata2" ref="A2:C5293">
    <sortCondition ref="A1:A5293"/>
  </sortState>
  <tableColumns count="3">
    <tableColumn id="1" xr3:uid="{8590A573-FC2A-45C8-BF71-B421545865AA}" name="Certificate: Certificate Name"/>
    <tableColumn id="2" xr3:uid="{71B4E28E-B961-4B2F-A408-DD641184EE78}" name="Policy Type"/>
    <tableColumn id="3" xr3:uid="{D32EDA3C-251A-4795-9325-44546B0E63E1}" name="Column1" dataDxfId="0">
      <calculatedColumnFormula>LEFT(Table4[[#This Row],[Policy Type]],1)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lprod.hpyreg.net/Hps.AchGateway.Reporting/Merchant/LookupDetail/134809320" TargetMode="External"/><Relationship Id="rId13" Type="http://schemas.openxmlformats.org/officeDocument/2006/relationships/hyperlink" Target="https://colprod.hpyreg.net/Hps.AchGateway.Reporting/Merchant/LookupDetail/135448362" TargetMode="External"/><Relationship Id="rId3" Type="http://schemas.openxmlformats.org/officeDocument/2006/relationships/hyperlink" Target="https://colprod.hpyreg.net/Hps.AchGateway.Reporting/Merchant/Batch?batchId=7917764&amp;billingGroupId=10495" TargetMode="External"/><Relationship Id="rId7" Type="http://schemas.openxmlformats.org/officeDocument/2006/relationships/hyperlink" Target="https://colprod.hpyreg.net/Hps.AchGateway.Reporting/Merchant/LookupDetail/134809320" TargetMode="External"/><Relationship Id="rId12" Type="http://schemas.openxmlformats.org/officeDocument/2006/relationships/hyperlink" Target="https://colprod.hpyreg.net/Hps.AchGateway.Reporting/Merchant/LookupDetail/135448362" TargetMode="External"/><Relationship Id="rId2" Type="http://schemas.openxmlformats.org/officeDocument/2006/relationships/hyperlink" Target="https://colprod.hpyreg.net/Hps.AchGateway.Reporting/Merchant/Batch?batchId=7917764&amp;billingGroupId=10495" TargetMode="External"/><Relationship Id="rId1" Type="http://schemas.openxmlformats.org/officeDocument/2006/relationships/hyperlink" Target="https://colprod.hpyreg.net/Hps.AchGateway.Reporting/Merchant/Batch?batchId=7892760&amp;billingGroupId=10495" TargetMode="External"/><Relationship Id="rId6" Type="http://schemas.openxmlformats.org/officeDocument/2006/relationships/hyperlink" Target="https://colprod.hpyreg.net/Hps.AchGateway.Reporting/Merchant/Batch?batchId=7958623&amp;billingGroupId=10495" TargetMode="External"/><Relationship Id="rId11" Type="http://schemas.openxmlformats.org/officeDocument/2006/relationships/hyperlink" Target="https://colprod.hpyreg.net/Hps.AchGateway.Reporting/Merchant/LookupDetail/135448362" TargetMode="External"/><Relationship Id="rId5" Type="http://schemas.openxmlformats.org/officeDocument/2006/relationships/hyperlink" Target="https://colprod.hpyreg.net/Hps.AchGateway.Reporting/Merchant/Batch?batchId=7958623&amp;billingGroupId=10495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https://colprod.hpyreg.net/Hps.AchGateway.Reporting/Merchant/LookupDetail/135448362" TargetMode="External"/><Relationship Id="rId4" Type="http://schemas.openxmlformats.org/officeDocument/2006/relationships/hyperlink" Target="https://colprod.hpyreg.net/Hps.AchGateway.Reporting/Merchant/Batch?batchId=7882922&amp;billingGroupId=10495" TargetMode="External"/><Relationship Id="rId9" Type="http://schemas.openxmlformats.org/officeDocument/2006/relationships/hyperlink" Target="https://colprod.hpyreg.net/Hps.AchGateway.Reporting/Merchant/LookupDetail/135448362" TargetMode="External"/><Relationship Id="rId14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ED15-0412-4AEB-AFB7-FB8B6B7790F0}">
  <dimension ref="A1:F15"/>
  <sheetViews>
    <sheetView workbookViewId="0"/>
  </sheetViews>
  <sheetFormatPr defaultRowHeight="15" x14ac:dyDescent="0.25"/>
  <sheetData>
    <row r="1" spans="1:6" x14ac:dyDescent="0.25">
      <c r="A1" t="s">
        <v>4</v>
      </c>
      <c r="B1" t="s">
        <v>15</v>
      </c>
      <c r="C1" t="s">
        <v>30</v>
      </c>
      <c r="D1" t="s">
        <v>44</v>
      </c>
      <c r="E1" t="s">
        <v>50</v>
      </c>
      <c r="F1" t="s">
        <v>57</v>
      </c>
    </row>
    <row r="2" spans="1:6" x14ac:dyDescent="0.25">
      <c r="A2" s="2" t="s">
        <v>2</v>
      </c>
      <c r="B2" s="2" t="s">
        <v>14</v>
      </c>
      <c r="C2" s="2" t="s">
        <v>31</v>
      </c>
      <c r="D2" s="2" t="s">
        <v>43</v>
      </c>
      <c r="E2" s="2" t="s">
        <v>51</v>
      </c>
      <c r="F2" s="2" t="s">
        <v>58</v>
      </c>
    </row>
    <row r="3" spans="1:6" x14ac:dyDescent="0.25">
      <c r="A3" s="2" t="s">
        <v>3</v>
      </c>
      <c r="B3" s="2" t="s">
        <v>13</v>
      </c>
      <c r="C3" s="2" t="s">
        <v>32</v>
      </c>
      <c r="D3" s="2" t="s">
        <v>42</v>
      </c>
      <c r="E3" s="2" t="s">
        <v>52</v>
      </c>
      <c r="F3" s="2" t="s">
        <v>59</v>
      </c>
    </row>
    <row r="4" spans="1:6" x14ac:dyDescent="0.25">
      <c r="B4" s="2" t="s">
        <v>16</v>
      </c>
      <c r="C4" s="2" t="s">
        <v>33</v>
      </c>
      <c r="D4" s="2" t="s">
        <v>41</v>
      </c>
      <c r="E4" s="2" t="s">
        <v>53</v>
      </c>
      <c r="F4" s="2" t="s">
        <v>60</v>
      </c>
    </row>
    <row r="5" spans="1:6" x14ac:dyDescent="0.25">
      <c r="B5" s="2" t="s">
        <v>8</v>
      </c>
      <c r="D5" s="2" t="s">
        <v>72</v>
      </c>
      <c r="E5" s="2" t="s">
        <v>54</v>
      </c>
      <c r="F5" s="2" t="s">
        <v>61</v>
      </c>
    </row>
    <row r="6" spans="1:6" x14ac:dyDescent="0.25">
      <c r="B6" s="2" t="s">
        <v>17</v>
      </c>
      <c r="D6" s="2" t="s">
        <v>73</v>
      </c>
      <c r="E6" s="2" t="s">
        <v>55</v>
      </c>
      <c r="F6" s="2" t="s">
        <v>62</v>
      </c>
    </row>
    <row r="7" spans="1:6" x14ac:dyDescent="0.25">
      <c r="B7" s="2" t="s">
        <v>11</v>
      </c>
      <c r="D7" s="2" t="s">
        <v>74</v>
      </c>
      <c r="E7" s="2" t="s">
        <v>56</v>
      </c>
      <c r="F7" s="2" t="s">
        <v>63</v>
      </c>
    </row>
    <row r="8" spans="1:6" x14ac:dyDescent="0.25">
      <c r="B8" s="2" t="s">
        <v>18</v>
      </c>
      <c r="D8" s="2" t="s">
        <v>75</v>
      </c>
      <c r="F8" s="2" t="s">
        <v>64</v>
      </c>
    </row>
    <row r="9" spans="1:6" x14ac:dyDescent="0.25">
      <c r="B9" s="2" t="s">
        <v>12</v>
      </c>
      <c r="D9" s="2" t="s">
        <v>76</v>
      </c>
      <c r="F9" s="2" t="s">
        <v>65</v>
      </c>
    </row>
    <row r="10" spans="1:6" x14ac:dyDescent="0.25">
      <c r="B10" s="2" t="s">
        <v>9</v>
      </c>
      <c r="F10" s="2" t="s">
        <v>66</v>
      </c>
    </row>
    <row r="11" spans="1:6" x14ac:dyDescent="0.25">
      <c r="B11" s="2" t="s">
        <v>10</v>
      </c>
      <c r="F11" s="2" t="s">
        <v>67</v>
      </c>
    </row>
    <row r="12" spans="1:6" x14ac:dyDescent="0.25">
      <c r="B12" s="2" t="s">
        <v>19</v>
      </c>
      <c r="F12" s="2" t="s">
        <v>68</v>
      </c>
    </row>
    <row r="13" spans="1:6" x14ac:dyDescent="0.25">
      <c r="F13" s="2" t="s">
        <v>69</v>
      </c>
    </row>
    <row r="14" spans="1:6" x14ac:dyDescent="0.25">
      <c r="F14" s="2" t="s">
        <v>70</v>
      </c>
    </row>
    <row r="15" spans="1:6" x14ac:dyDescent="0.25">
      <c r="F15" s="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B491-5FC6-42EE-B41F-C1EFFAC8B80B}">
  <dimension ref="A1:K5145"/>
  <sheetViews>
    <sheetView workbookViewId="0">
      <selection activeCell="E2" sqref="E2:J4109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16.28515625" bestFit="1" customWidth="1"/>
    <col min="4" max="4" width="19.140625" bestFit="1" customWidth="1"/>
    <col min="5" max="5" width="12" bestFit="1" customWidth="1"/>
    <col min="6" max="6" width="12.5703125" bestFit="1" customWidth="1"/>
    <col min="7" max="7" width="37.42578125" bestFit="1" customWidth="1"/>
    <col min="8" max="8" width="17.140625" bestFit="1" customWidth="1"/>
    <col min="9" max="9" width="29" bestFit="1" customWidth="1"/>
    <col min="11" max="11" width="8.5703125" customWidth="1"/>
  </cols>
  <sheetData>
    <row r="1" spans="1:11" x14ac:dyDescent="0.25">
      <c r="A1" s="1" t="s">
        <v>20</v>
      </c>
      <c r="B1" s="1" t="s">
        <v>21</v>
      </c>
      <c r="C1" s="1" t="s">
        <v>77</v>
      </c>
      <c r="D1" s="1" t="s">
        <v>23</v>
      </c>
      <c r="E1" s="1" t="s">
        <v>49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80</v>
      </c>
      <c r="K1" s="1" t="s">
        <v>39</v>
      </c>
    </row>
    <row r="2" spans="1:11" x14ac:dyDescent="0.25">
      <c r="A2">
        <v>255700</v>
      </c>
      <c r="B2" s="3">
        <v>46155</v>
      </c>
      <c r="C2">
        <v>2</v>
      </c>
      <c r="D2">
        <v>57.55</v>
      </c>
      <c r="F2">
        <v>90005</v>
      </c>
      <c r="G2" t="s">
        <v>28</v>
      </c>
      <c r="H2">
        <v>669424768</v>
      </c>
      <c r="I2" t="s">
        <v>29</v>
      </c>
      <c r="K2" t="str">
        <f>IF(Table3[[#This Row],[Type Received]]=2,"CC",(IF(Table3[[#This Row],[Type Received]]=3,"BILL","ACH")))</f>
        <v>CC</v>
      </c>
    </row>
    <row r="3" spans="1:11" x14ac:dyDescent="0.25">
      <c r="A3">
        <v>255703</v>
      </c>
      <c r="B3" s="3">
        <v>46143</v>
      </c>
      <c r="C3">
        <v>1</v>
      </c>
      <c r="D3">
        <v>53.37</v>
      </c>
      <c r="G3" t="s">
        <v>84</v>
      </c>
      <c r="H3">
        <v>522152026</v>
      </c>
      <c r="I3" t="s">
        <v>29</v>
      </c>
      <c r="J3" t="s">
        <v>29</v>
      </c>
      <c r="K3" t="str">
        <f>IF(Table3[[#This Row],[Type Received]]=2,"CC",(IF(Table3[[#This Row],[Type Received]]=3,"BILL","ACH")))</f>
        <v>ACH</v>
      </c>
    </row>
    <row r="4" spans="1:11" x14ac:dyDescent="0.25">
      <c r="A4">
        <v>255704</v>
      </c>
      <c r="B4" s="3">
        <v>46149</v>
      </c>
      <c r="C4">
        <v>3</v>
      </c>
      <c r="D4">
        <v>71.099999999999994</v>
      </c>
      <c r="E4">
        <v>2787</v>
      </c>
      <c r="J4" t="s">
        <v>29</v>
      </c>
      <c r="K4" t="str">
        <f>IF(Table3[[#This Row],[Type Received]]=2,"CC",(IF(Table3[[#This Row],[Type Received]]=3,"BILL","ACH")))</f>
        <v>BILL</v>
      </c>
    </row>
    <row r="5" spans="1:11" x14ac:dyDescent="0.25">
      <c r="A5">
        <v>255722</v>
      </c>
      <c r="B5" s="3">
        <v>46167</v>
      </c>
      <c r="C5">
        <v>1</v>
      </c>
      <c r="D5">
        <v>84.61</v>
      </c>
      <c r="G5" t="s">
        <v>85</v>
      </c>
      <c r="H5">
        <v>818313346</v>
      </c>
      <c r="I5" t="s">
        <v>29</v>
      </c>
      <c r="J5" t="s">
        <v>29</v>
      </c>
      <c r="K5" t="str">
        <f>IF(Table3[[#This Row],[Type Received]]=2,"CC",(IF(Table3[[#This Row],[Type Received]]=3,"BILL","ACH")))</f>
        <v>ACH</v>
      </c>
    </row>
    <row r="6" spans="1:11" x14ac:dyDescent="0.25">
      <c r="A6">
        <v>255723</v>
      </c>
      <c r="B6" s="3">
        <v>46167</v>
      </c>
      <c r="C6">
        <v>1</v>
      </c>
      <c r="D6">
        <v>134.44</v>
      </c>
      <c r="G6" s="4" t="s">
        <v>85</v>
      </c>
      <c r="H6">
        <v>818318192</v>
      </c>
      <c r="I6" t="s">
        <v>29</v>
      </c>
      <c r="J6" t="s">
        <v>29</v>
      </c>
      <c r="K6" t="str">
        <f>IF(Table3[[#This Row],[Type Received]]=2,"CC",(IF(Table3[[#This Row],[Type Received]]=3,"BILL","ACH")))</f>
        <v>ACH</v>
      </c>
    </row>
    <row r="7" spans="1:11" x14ac:dyDescent="0.25">
      <c r="A7">
        <v>255728</v>
      </c>
      <c r="B7" s="3">
        <v>46168</v>
      </c>
      <c r="C7">
        <v>3</v>
      </c>
      <c r="D7">
        <v>98.49</v>
      </c>
      <c r="E7">
        <v>11723</v>
      </c>
      <c r="K7" t="str">
        <f>IF(Table3[[#This Row],[Type Received]]=2,"CC",(IF(Table3[[#This Row],[Type Received]]=3,"BILL","ACH")))</f>
        <v>BILL</v>
      </c>
    </row>
    <row r="8" spans="1:11" x14ac:dyDescent="0.25">
      <c r="A8">
        <v>255728</v>
      </c>
      <c r="B8" s="3">
        <v>46146</v>
      </c>
      <c r="C8">
        <v>3</v>
      </c>
      <c r="D8">
        <v>98.49</v>
      </c>
      <c r="E8">
        <v>11704</v>
      </c>
      <c r="G8" s="4"/>
      <c r="J8" t="s">
        <v>29</v>
      </c>
      <c r="K8" t="str">
        <f>IF(Table3[[#This Row],[Type Received]]=2,"CC",(IF(Table3[[#This Row],[Type Received]]=3,"BILL","ACH")))</f>
        <v>BILL</v>
      </c>
    </row>
    <row r="9" spans="1:11" x14ac:dyDescent="0.25">
      <c r="A9">
        <v>255730</v>
      </c>
      <c r="B9" s="3">
        <v>46155</v>
      </c>
      <c r="C9">
        <v>3</v>
      </c>
      <c r="D9">
        <v>101.35</v>
      </c>
      <c r="E9">
        <v>10714</v>
      </c>
      <c r="J9" t="s">
        <v>29</v>
      </c>
      <c r="K9" t="str">
        <f>IF(Table3[[#This Row],[Type Received]]=2,"CC",(IF(Table3[[#This Row],[Type Received]]=3,"BILL","ACH")))</f>
        <v>BILL</v>
      </c>
    </row>
    <row r="10" spans="1:11" x14ac:dyDescent="0.25">
      <c r="A10">
        <v>255732</v>
      </c>
      <c r="B10" s="3">
        <v>46147</v>
      </c>
      <c r="C10">
        <v>1</v>
      </c>
      <c r="D10">
        <v>93.52</v>
      </c>
      <c r="G10" t="s">
        <v>86</v>
      </c>
      <c r="H10">
        <v>569459911</v>
      </c>
      <c r="I10" t="s">
        <v>29</v>
      </c>
      <c r="J10" t="s">
        <v>29</v>
      </c>
      <c r="K10" t="str">
        <f>IF(Table3[[#This Row],[Type Received]]=2,"CC",(IF(Table3[[#This Row],[Type Received]]=3,"BILL","ACH")))</f>
        <v>ACH</v>
      </c>
    </row>
    <row r="11" spans="1:11" x14ac:dyDescent="0.25">
      <c r="A11">
        <v>255735</v>
      </c>
      <c r="B11" s="3">
        <v>46167</v>
      </c>
      <c r="C11">
        <v>1</v>
      </c>
      <c r="D11">
        <v>39.729999999999997</v>
      </c>
      <c r="G11" t="s">
        <v>85</v>
      </c>
      <c r="H11">
        <v>818310349</v>
      </c>
      <c r="I11" t="s">
        <v>29</v>
      </c>
      <c r="J11" t="s">
        <v>29</v>
      </c>
      <c r="K11" t="str">
        <f>IF(Table3[[#This Row],[Type Received]]=2,"CC",(IF(Table3[[#This Row],[Type Received]]=3,"BILL","ACH")))</f>
        <v>ACH</v>
      </c>
    </row>
    <row r="12" spans="1:11" x14ac:dyDescent="0.25">
      <c r="A12">
        <v>255737</v>
      </c>
      <c r="B12" s="3">
        <v>46143</v>
      </c>
      <c r="C12">
        <v>1</v>
      </c>
      <c r="D12">
        <v>109.03</v>
      </c>
      <c r="G12" s="4" t="s">
        <v>84</v>
      </c>
      <c r="H12">
        <v>522173379</v>
      </c>
      <c r="I12" t="s">
        <v>29</v>
      </c>
      <c r="J12" t="s">
        <v>29</v>
      </c>
      <c r="K12" t="str">
        <f>IF(Table3[[#This Row],[Type Received]]=2,"CC",(IF(Table3[[#This Row],[Type Received]]=3,"BILL","ACH")))</f>
        <v>ACH</v>
      </c>
    </row>
    <row r="13" spans="1:11" x14ac:dyDescent="0.25">
      <c r="A13">
        <v>255738</v>
      </c>
      <c r="B13" s="3">
        <v>46143</v>
      </c>
      <c r="C13">
        <v>1</v>
      </c>
      <c r="D13">
        <v>91.87</v>
      </c>
      <c r="G13" s="4" t="s">
        <v>84</v>
      </c>
      <c r="H13">
        <v>522174388</v>
      </c>
      <c r="I13" t="s">
        <v>29</v>
      </c>
      <c r="K13" t="str">
        <f>IF(Table3[[#This Row],[Type Received]]=2,"CC",(IF(Table3[[#This Row],[Type Received]]=3,"BILL","ACH")))</f>
        <v>ACH</v>
      </c>
    </row>
    <row r="14" spans="1:11" x14ac:dyDescent="0.25">
      <c r="A14">
        <v>255740</v>
      </c>
      <c r="B14" s="3">
        <v>46143</v>
      </c>
      <c r="C14">
        <v>1</v>
      </c>
      <c r="D14">
        <v>45.23</v>
      </c>
      <c r="G14" t="s">
        <v>84</v>
      </c>
      <c r="H14">
        <v>522174413</v>
      </c>
      <c r="I14" t="s">
        <v>29</v>
      </c>
      <c r="J14" t="s">
        <v>29</v>
      </c>
      <c r="K14" t="str">
        <f>IF(Table3[[#This Row],[Type Received]]=2,"CC",(IF(Table3[[#This Row],[Type Received]]=3,"BILL","ACH")))</f>
        <v>ACH</v>
      </c>
    </row>
    <row r="15" spans="1:11" x14ac:dyDescent="0.25">
      <c r="A15">
        <v>255741</v>
      </c>
      <c r="B15" s="3">
        <v>46157</v>
      </c>
      <c r="C15">
        <v>1</v>
      </c>
      <c r="D15">
        <v>49.63</v>
      </c>
      <c r="G15" t="s">
        <v>87</v>
      </c>
      <c r="H15">
        <v>696580803</v>
      </c>
      <c r="I15" t="s">
        <v>29</v>
      </c>
      <c r="J15" t="s">
        <v>29</v>
      </c>
      <c r="K15" t="str">
        <f>IF(Table3[[#This Row],[Type Received]]=2,"CC",(IF(Table3[[#This Row],[Type Received]]=3,"BILL","ACH")))</f>
        <v>ACH</v>
      </c>
    </row>
    <row r="16" spans="1:11" x14ac:dyDescent="0.25">
      <c r="A16">
        <v>255743</v>
      </c>
      <c r="B16" s="3">
        <v>46157</v>
      </c>
      <c r="C16">
        <v>1</v>
      </c>
      <c r="D16">
        <v>55.24</v>
      </c>
      <c r="G16" t="s">
        <v>87</v>
      </c>
      <c r="H16">
        <v>696572089</v>
      </c>
      <c r="I16" t="s">
        <v>29</v>
      </c>
      <c r="J16" t="s">
        <v>29</v>
      </c>
      <c r="K16" t="str">
        <f>IF(Table3[[#This Row],[Type Received]]=2,"CC",(IF(Table3[[#This Row],[Type Received]]=3,"BILL","ACH")))</f>
        <v>ACH</v>
      </c>
    </row>
    <row r="17" spans="1:11" x14ac:dyDescent="0.25">
      <c r="A17">
        <v>255748</v>
      </c>
      <c r="B17" s="3">
        <v>46146</v>
      </c>
      <c r="C17">
        <v>3</v>
      </c>
      <c r="D17">
        <v>135.12</v>
      </c>
      <c r="E17">
        <v>1371</v>
      </c>
      <c r="J17" t="s">
        <v>29</v>
      </c>
      <c r="K17" t="str">
        <f>IF(Table3[[#This Row],[Type Received]]=2,"CC",(IF(Table3[[#This Row],[Type Received]]=3,"BILL","ACH")))</f>
        <v>BILL</v>
      </c>
    </row>
    <row r="18" spans="1:11" x14ac:dyDescent="0.25">
      <c r="A18">
        <v>255755</v>
      </c>
      <c r="B18" s="3">
        <v>46157</v>
      </c>
      <c r="C18">
        <v>1</v>
      </c>
      <c r="D18">
        <v>79.33</v>
      </c>
      <c r="G18" s="4" t="s">
        <v>87</v>
      </c>
      <c r="H18">
        <v>696583689</v>
      </c>
      <c r="I18" t="s">
        <v>29</v>
      </c>
      <c r="J18" t="s">
        <v>29</v>
      </c>
      <c r="K18" t="str">
        <f>IF(Table3[[#This Row],[Type Received]]=2,"CC",(IF(Table3[[#This Row],[Type Received]]=3,"BILL","ACH")))</f>
        <v>ACH</v>
      </c>
    </row>
    <row r="19" spans="1:11" x14ac:dyDescent="0.25">
      <c r="A19">
        <v>255771</v>
      </c>
      <c r="B19" s="3">
        <v>46143</v>
      </c>
      <c r="C19">
        <v>1</v>
      </c>
      <c r="D19">
        <v>42.37</v>
      </c>
      <c r="G19" t="s">
        <v>84</v>
      </c>
      <c r="H19">
        <v>522178282</v>
      </c>
      <c r="I19" t="s">
        <v>29</v>
      </c>
      <c r="J19" t="s">
        <v>29</v>
      </c>
      <c r="K19" t="str">
        <f>IF(Table3[[#This Row],[Type Received]]=2,"CC",(IF(Table3[[#This Row],[Type Received]]=3,"BILL","ACH")))</f>
        <v>ACH</v>
      </c>
    </row>
    <row r="20" spans="1:11" x14ac:dyDescent="0.25">
      <c r="A20">
        <v>255772</v>
      </c>
      <c r="B20" s="3">
        <v>46143</v>
      </c>
      <c r="C20">
        <v>1</v>
      </c>
      <c r="D20">
        <v>79.33</v>
      </c>
      <c r="G20" t="s">
        <v>84</v>
      </c>
      <c r="H20">
        <v>522176349</v>
      </c>
      <c r="I20" t="s">
        <v>29</v>
      </c>
      <c r="K20" t="str">
        <f>IF(Table3[[#This Row],[Type Received]]=2,"CC",(IF(Table3[[#This Row],[Type Received]]=3,"BILL","ACH")))</f>
        <v>ACH</v>
      </c>
    </row>
    <row r="21" spans="1:11" x14ac:dyDescent="0.25">
      <c r="A21">
        <v>255777</v>
      </c>
      <c r="B21" s="3">
        <v>46143</v>
      </c>
      <c r="C21">
        <v>2</v>
      </c>
      <c r="D21">
        <v>57.24</v>
      </c>
      <c r="F21">
        <v>229370</v>
      </c>
      <c r="G21" s="4" t="s">
        <v>28</v>
      </c>
      <c r="H21">
        <v>525616351</v>
      </c>
      <c r="I21" t="s">
        <v>29</v>
      </c>
      <c r="J21" t="s">
        <v>29</v>
      </c>
      <c r="K21" t="str">
        <f>IF(Table3[[#This Row],[Type Received]]=2,"CC",(IF(Table3[[#This Row],[Type Received]]=3,"BILL","ACH")))</f>
        <v>CC</v>
      </c>
    </row>
    <row r="22" spans="1:11" x14ac:dyDescent="0.25">
      <c r="A22">
        <v>255791</v>
      </c>
      <c r="B22" s="3">
        <v>46155</v>
      </c>
      <c r="C22">
        <v>2</v>
      </c>
      <c r="D22">
        <v>50.95</v>
      </c>
      <c r="F22" t="s">
        <v>88</v>
      </c>
      <c r="G22" t="s">
        <v>28</v>
      </c>
      <c r="H22">
        <v>669451235</v>
      </c>
      <c r="I22" t="s">
        <v>29</v>
      </c>
      <c r="K22" t="str">
        <f>IF(Table3[[#This Row],[Type Received]]=2,"CC",(IF(Table3[[#This Row],[Type Received]]=3,"BILL","ACH")))</f>
        <v>CC</v>
      </c>
    </row>
    <row r="23" spans="1:11" x14ac:dyDescent="0.25">
      <c r="A23">
        <v>255807</v>
      </c>
      <c r="B23" s="3">
        <v>46156</v>
      </c>
      <c r="C23">
        <v>2</v>
      </c>
      <c r="D23">
        <v>25.01</v>
      </c>
      <c r="F23">
        <v>60713</v>
      </c>
      <c r="G23" s="4" t="s">
        <v>28</v>
      </c>
      <c r="H23">
        <v>688255354</v>
      </c>
      <c r="I23" t="s">
        <v>29</v>
      </c>
      <c r="K23" t="str">
        <f>IF(Table3[[#This Row],[Type Received]]=2,"CC",(IF(Table3[[#This Row],[Type Received]]=3,"BILL","ACH")))</f>
        <v>CC</v>
      </c>
    </row>
    <row r="24" spans="1:11" x14ac:dyDescent="0.25">
      <c r="A24">
        <v>255811</v>
      </c>
      <c r="B24" s="3">
        <v>46143</v>
      </c>
      <c r="C24">
        <v>1</v>
      </c>
      <c r="D24">
        <v>37.97</v>
      </c>
      <c r="G24" t="s">
        <v>84</v>
      </c>
      <c r="H24">
        <v>522162831</v>
      </c>
      <c r="I24" t="s">
        <v>29</v>
      </c>
      <c r="K24" t="str">
        <f>IF(Table3[[#This Row],[Type Received]]=2,"CC",(IF(Table3[[#This Row],[Type Received]]=3,"BILL","ACH")))</f>
        <v>ACH</v>
      </c>
    </row>
    <row r="25" spans="1:11" x14ac:dyDescent="0.25">
      <c r="A25">
        <v>255815</v>
      </c>
      <c r="B25" s="3">
        <v>46147</v>
      </c>
      <c r="C25">
        <v>1</v>
      </c>
      <c r="D25">
        <v>76.36</v>
      </c>
      <c r="G25" t="s">
        <v>86</v>
      </c>
      <c r="H25">
        <v>569473520</v>
      </c>
      <c r="I25" t="s">
        <v>29</v>
      </c>
      <c r="J25" t="s">
        <v>29</v>
      </c>
      <c r="K25" t="str">
        <f>IF(Table3[[#This Row],[Type Received]]=2,"CC",(IF(Table3[[#This Row],[Type Received]]=3,"BILL","ACH")))</f>
        <v>ACH</v>
      </c>
    </row>
    <row r="26" spans="1:11" x14ac:dyDescent="0.25">
      <c r="A26">
        <v>255822</v>
      </c>
      <c r="B26" s="3">
        <v>46157</v>
      </c>
      <c r="C26">
        <v>1</v>
      </c>
      <c r="D26">
        <v>89.67</v>
      </c>
      <c r="G26" t="s">
        <v>87</v>
      </c>
      <c r="H26">
        <v>696601134</v>
      </c>
      <c r="I26" t="s">
        <v>29</v>
      </c>
      <c r="K26" t="str">
        <f>IF(Table3[[#This Row],[Type Received]]=2,"CC",(IF(Table3[[#This Row],[Type Received]]=3,"BILL","ACH")))</f>
        <v>ACH</v>
      </c>
    </row>
    <row r="27" spans="1:11" x14ac:dyDescent="0.25">
      <c r="A27">
        <v>255830</v>
      </c>
      <c r="B27" s="3">
        <v>46146</v>
      </c>
      <c r="C27">
        <v>3</v>
      </c>
      <c r="D27">
        <v>236.9</v>
      </c>
      <c r="E27">
        <v>1590</v>
      </c>
      <c r="K27" t="str">
        <f>IF(Table3[[#This Row],[Type Received]]=2,"CC",(IF(Table3[[#This Row],[Type Received]]=3,"BILL","ACH")))</f>
        <v>BILL</v>
      </c>
    </row>
    <row r="28" spans="1:11" x14ac:dyDescent="0.25">
      <c r="A28">
        <v>255846</v>
      </c>
      <c r="B28" s="3">
        <v>46143</v>
      </c>
      <c r="C28">
        <v>1</v>
      </c>
      <c r="D28">
        <v>52.49</v>
      </c>
      <c r="G28" t="s">
        <v>84</v>
      </c>
      <c r="H28">
        <v>522169400</v>
      </c>
      <c r="I28" t="s">
        <v>29</v>
      </c>
      <c r="J28" t="s">
        <v>29</v>
      </c>
      <c r="K28" t="str">
        <f>IF(Table3[[#This Row],[Type Received]]=2,"CC",(IF(Table3[[#This Row],[Type Received]]=3,"BILL","ACH")))</f>
        <v>ACH</v>
      </c>
    </row>
    <row r="29" spans="1:11" x14ac:dyDescent="0.25">
      <c r="A29">
        <v>255847</v>
      </c>
      <c r="B29" s="3">
        <v>46161</v>
      </c>
      <c r="C29">
        <v>2</v>
      </c>
      <c r="D29">
        <v>81.97</v>
      </c>
      <c r="F29">
        <v>108996</v>
      </c>
      <c r="G29" t="s">
        <v>28</v>
      </c>
      <c r="H29">
        <v>745048945</v>
      </c>
      <c r="I29" t="s">
        <v>29</v>
      </c>
      <c r="J29" t="s">
        <v>29</v>
      </c>
      <c r="K29" t="str">
        <f>IF(Table3[[#This Row],[Type Received]]=2,"CC",(IF(Table3[[#This Row],[Type Received]]=3,"BILL","ACH")))</f>
        <v>CC</v>
      </c>
    </row>
    <row r="30" spans="1:11" x14ac:dyDescent="0.25">
      <c r="A30">
        <v>255855</v>
      </c>
      <c r="B30" s="3">
        <v>46167</v>
      </c>
      <c r="C30">
        <v>1</v>
      </c>
      <c r="D30">
        <v>113.32</v>
      </c>
      <c r="G30" t="s">
        <v>85</v>
      </c>
      <c r="H30">
        <v>818308498</v>
      </c>
      <c r="I30" t="s">
        <v>29</v>
      </c>
      <c r="K30" t="str">
        <f>IF(Table3[[#This Row],[Type Received]]=2,"CC",(IF(Table3[[#This Row],[Type Received]]=3,"BILL","ACH")))</f>
        <v>ACH</v>
      </c>
    </row>
    <row r="31" spans="1:11" x14ac:dyDescent="0.25">
      <c r="A31">
        <v>255863</v>
      </c>
      <c r="B31" s="3">
        <v>46157</v>
      </c>
      <c r="C31">
        <v>1</v>
      </c>
      <c r="D31">
        <v>95.39</v>
      </c>
      <c r="G31" t="s">
        <v>87</v>
      </c>
      <c r="H31">
        <v>696602131</v>
      </c>
      <c r="I31" t="s">
        <v>29</v>
      </c>
      <c r="J31" t="s">
        <v>29</v>
      </c>
      <c r="K31" t="str">
        <f>IF(Table3[[#This Row],[Type Received]]=2,"CC",(IF(Table3[[#This Row],[Type Received]]=3,"BILL","ACH")))</f>
        <v>ACH</v>
      </c>
    </row>
    <row r="32" spans="1:11" x14ac:dyDescent="0.25">
      <c r="A32">
        <v>255864</v>
      </c>
      <c r="B32" s="3">
        <v>46157</v>
      </c>
      <c r="C32">
        <v>1</v>
      </c>
      <c r="D32">
        <v>66.13</v>
      </c>
      <c r="G32" s="4" t="s">
        <v>87</v>
      </c>
      <c r="H32">
        <v>696581903</v>
      </c>
      <c r="I32" t="s">
        <v>29</v>
      </c>
      <c r="J32" t="s">
        <v>29</v>
      </c>
      <c r="K32" t="str">
        <f>IF(Table3[[#This Row],[Type Received]]=2,"CC",(IF(Table3[[#This Row],[Type Received]]=3,"BILL","ACH")))</f>
        <v>ACH</v>
      </c>
    </row>
    <row r="33" spans="1:11" x14ac:dyDescent="0.25">
      <c r="A33">
        <v>255867</v>
      </c>
      <c r="B33" s="3">
        <v>46144</v>
      </c>
      <c r="C33">
        <v>1</v>
      </c>
      <c r="D33">
        <v>85.05</v>
      </c>
      <c r="G33" t="s">
        <v>89</v>
      </c>
      <c r="H33">
        <v>535376584</v>
      </c>
      <c r="I33" t="s">
        <v>29</v>
      </c>
      <c r="J33" t="s">
        <v>29</v>
      </c>
      <c r="K33" t="str">
        <f>IF(Table3[[#This Row],[Type Received]]=2,"CC",(IF(Table3[[#This Row],[Type Received]]=3,"BILL","ACH")))</f>
        <v>ACH</v>
      </c>
    </row>
    <row r="34" spans="1:11" x14ac:dyDescent="0.25">
      <c r="A34">
        <v>255870</v>
      </c>
      <c r="B34" s="3">
        <v>46155</v>
      </c>
      <c r="C34">
        <v>1</v>
      </c>
      <c r="D34">
        <v>106.39</v>
      </c>
      <c r="G34" t="s">
        <v>90</v>
      </c>
      <c r="H34">
        <v>669427730</v>
      </c>
      <c r="I34" t="s">
        <v>29</v>
      </c>
      <c r="K34" t="str">
        <f>IF(Table3[[#This Row],[Type Received]]=2,"CC",(IF(Table3[[#This Row],[Type Received]]=3,"BILL","ACH")))</f>
        <v>ACH</v>
      </c>
    </row>
    <row r="35" spans="1:11" x14ac:dyDescent="0.25">
      <c r="A35">
        <v>255871</v>
      </c>
      <c r="B35" s="3">
        <v>46155</v>
      </c>
      <c r="C35">
        <v>2</v>
      </c>
      <c r="D35">
        <v>98.8</v>
      </c>
      <c r="F35">
        <v>126950</v>
      </c>
      <c r="G35" t="s">
        <v>28</v>
      </c>
      <c r="H35">
        <v>669430683</v>
      </c>
      <c r="I35" t="s">
        <v>29</v>
      </c>
      <c r="J35" t="s">
        <v>29</v>
      </c>
      <c r="K35" t="str">
        <f>IF(Table3[[#This Row],[Type Received]]=2,"CC",(IF(Table3[[#This Row],[Type Received]]=3,"BILL","ACH")))</f>
        <v>CC</v>
      </c>
    </row>
    <row r="36" spans="1:11" x14ac:dyDescent="0.25">
      <c r="A36">
        <v>255881</v>
      </c>
      <c r="B36" s="3">
        <v>46170</v>
      </c>
      <c r="C36">
        <v>1</v>
      </c>
      <c r="D36">
        <v>93.19</v>
      </c>
      <c r="G36" t="s">
        <v>91</v>
      </c>
      <c r="H36">
        <v>853926605</v>
      </c>
      <c r="I36" t="s">
        <v>29</v>
      </c>
      <c r="K36" t="str">
        <f>IF(Table3[[#This Row],[Type Received]]=2,"CC",(IF(Table3[[#This Row],[Type Received]]=3,"BILL","ACH")))</f>
        <v>ACH</v>
      </c>
    </row>
    <row r="37" spans="1:11" x14ac:dyDescent="0.25">
      <c r="A37">
        <v>255887</v>
      </c>
      <c r="B37" s="3">
        <v>46157</v>
      </c>
      <c r="C37">
        <v>1</v>
      </c>
      <c r="D37">
        <v>64.81</v>
      </c>
      <c r="G37" t="s">
        <v>87</v>
      </c>
      <c r="H37">
        <v>696574087</v>
      </c>
      <c r="I37" t="s">
        <v>29</v>
      </c>
      <c r="J37" t="s">
        <v>29</v>
      </c>
      <c r="K37" t="str">
        <f>IF(Table3[[#This Row],[Type Received]]=2,"CC",(IF(Table3[[#This Row],[Type Received]]=3,"BILL","ACH")))</f>
        <v>ACH</v>
      </c>
    </row>
    <row r="38" spans="1:11" x14ac:dyDescent="0.25">
      <c r="A38">
        <v>255903</v>
      </c>
      <c r="B38" s="3">
        <v>46156</v>
      </c>
      <c r="C38">
        <v>2</v>
      </c>
      <c r="D38">
        <v>60.63</v>
      </c>
      <c r="F38">
        <v>100606</v>
      </c>
      <c r="G38" t="s">
        <v>28</v>
      </c>
      <c r="H38">
        <v>682511005</v>
      </c>
      <c r="I38" t="s">
        <v>29</v>
      </c>
      <c r="J38" t="s">
        <v>29</v>
      </c>
      <c r="K38" t="str">
        <f>IF(Table3[[#This Row],[Type Received]]=2,"CC",(IF(Table3[[#This Row],[Type Received]]=3,"BILL","ACH")))</f>
        <v>CC</v>
      </c>
    </row>
    <row r="39" spans="1:11" x14ac:dyDescent="0.25">
      <c r="A39">
        <v>255907</v>
      </c>
      <c r="B39" s="3">
        <v>46157</v>
      </c>
      <c r="C39">
        <v>1</v>
      </c>
      <c r="D39">
        <v>106.17</v>
      </c>
      <c r="G39" t="s">
        <v>87</v>
      </c>
      <c r="H39">
        <v>696593510</v>
      </c>
      <c r="I39" t="s">
        <v>29</v>
      </c>
      <c r="J39" t="s">
        <v>29</v>
      </c>
      <c r="K39" t="str">
        <f>IF(Table3[[#This Row],[Type Received]]=2,"CC",(IF(Table3[[#This Row],[Type Received]]=3,"BILL","ACH")))</f>
        <v>ACH</v>
      </c>
    </row>
    <row r="40" spans="1:11" x14ac:dyDescent="0.25">
      <c r="A40">
        <v>255912</v>
      </c>
      <c r="B40" s="3">
        <v>46157</v>
      </c>
      <c r="C40">
        <v>1</v>
      </c>
      <c r="D40">
        <v>56.89</v>
      </c>
      <c r="G40" t="s">
        <v>87</v>
      </c>
      <c r="H40">
        <v>696596321</v>
      </c>
      <c r="I40" t="s">
        <v>29</v>
      </c>
      <c r="K40" t="str">
        <f>IF(Table3[[#This Row],[Type Received]]=2,"CC",(IF(Table3[[#This Row],[Type Received]]=3,"BILL","ACH")))</f>
        <v>ACH</v>
      </c>
    </row>
    <row r="41" spans="1:11" x14ac:dyDescent="0.25">
      <c r="A41">
        <v>255916</v>
      </c>
      <c r="B41" s="3">
        <v>46143</v>
      </c>
      <c r="C41">
        <v>1</v>
      </c>
      <c r="D41">
        <v>43.25</v>
      </c>
      <c r="G41" t="s">
        <v>84</v>
      </c>
      <c r="H41">
        <v>522185164</v>
      </c>
      <c r="I41" t="s">
        <v>29</v>
      </c>
      <c r="K41" t="str">
        <f>IF(Table3[[#This Row],[Type Received]]=2,"CC",(IF(Table3[[#This Row],[Type Received]]=3,"BILL","ACH")))</f>
        <v>ACH</v>
      </c>
    </row>
    <row r="42" spans="1:11" x14ac:dyDescent="0.25">
      <c r="A42">
        <v>255933</v>
      </c>
      <c r="B42" s="3">
        <v>46157</v>
      </c>
      <c r="C42">
        <v>1</v>
      </c>
      <c r="D42">
        <v>76.03</v>
      </c>
      <c r="G42" t="s">
        <v>87</v>
      </c>
      <c r="H42">
        <v>696581962</v>
      </c>
      <c r="I42" t="s">
        <v>29</v>
      </c>
      <c r="K42" t="str">
        <f>IF(Table3[[#This Row],[Type Received]]=2,"CC",(IF(Table3[[#This Row],[Type Received]]=3,"BILL","ACH")))</f>
        <v>ACH</v>
      </c>
    </row>
    <row r="43" spans="1:11" x14ac:dyDescent="0.25">
      <c r="A43">
        <v>255934</v>
      </c>
      <c r="B43" s="3">
        <v>46146</v>
      </c>
      <c r="C43">
        <v>1</v>
      </c>
      <c r="D43">
        <v>65.69</v>
      </c>
      <c r="G43" s="4" t="s">
        <v>92</v>
      </c>
      <c r="H43">
        <v>557088444</v>
      </c>
      <c r="I43" t="s">
        <v>29</v>
      </c>
      <c r="J43" t="s">
        <v>29</v>
      </c>
      <c r="K43" t="str">
        <f>IF(Table3[[#This Row],[Type Received]]=2,"CC",(IF(Table3[[#This Row],[Type Received]]=3,"BILL","ACH")))</f>
        <v>ACH</v>
      </c>
    </row>
    <row r="44" spans="1:11" x14ac:dyDescent="0.25">
      <c r="A44">
        <v>255935</v>
      </c>
      <c r="B44" s="3">
        <v>46167</v>
      </c>
      <c r="C44">
        <v>1</v>
      </c>
      <c r="D44">
        <v>39.950000000000003</v>
      </c>
      <c r="G44" t="s">
        <v>85</v>
      </c>
      <c r="H44">
        <v>818296858</v>
      </c>
      <c r="I44" t="s">
        <v>29</v>
      </c>
      <c r="J44" t="s">
        <v>29</v>
      </c>
      <c r="K44" t="str">
        <f>IF(Table3[[#This Row],[Type Received]]=2,"CC",(IF(Table3[[#This Row],[Type Received]]=3,"BILL","ACH")))</f>
        <v>ACH</v>
      </c>
    </row>
    <row r="45" spans="1:11" x14ac:dyDescent="0.25">
      <c r="A45">
        <v>255938</v>
      </c>
      <c r="B45" s="3">
        <v>46157</v>
      </c>
      <c r="C45">
        <v>1</v>
      </c>
      <c r="D45">
        <v>72.73</v>
      </c>
      <c r="G45" t="s">
        <v>87</v>
      </c>
      <c r="H45">
        <v>696602223</v>
      </c>
      <c r="I45" t="s">
        <v>29</v>
      </c>
      <c r="J45" t="s">
        <v>29</v>
      </c>
      <c r="K45" t="str">
        <f>IF(Table3[[#This Row],[Type Received]]=2,"CC",(IF(Table3[[#This Row],[Type Received]]=3,"BILL","ACH")))</f>
        <v>ACH</v>
      </c>
    </row>
    <row r="46" spans="1:11" x14ac:dyDescent="0.25">
      <c r="A46">
        <v>255939</v>
      </c>
      <c r="B46" s="3">
        <v>46143</v>
      </c>
      <c r="C46">
        <v>1</v>
      </c>
      <c r="D46">
        <v>65.14</v>
      </c>
      <c r="G46" t="s">
        <v>84</v>
      </c>
      <c r="H46">
        <v>522160038</v>
      </c>
      <c r="I46" t="s">
        <v>29</v>
      </c>
      <c r="J46" t="s">
        <v>29</v>
      </c>
      <c r="K46" t="str">
        <f>IF(Table3[[#This Row],[Type Received]]=2,"CC",(IF(Table3[[#This Row],[Type Received]]=3,"BILL","ACH")))</f>
        <v>ACH</v>
      </c>
    </row>
    <row r="47" spans="1:11" x14ac:dyDescent="0.25">
      <c r="A47">
        <v>255941</v>
      </c>
      <c r="B47" s="3">
        <v>46167</v>
      </c>
      <c r="C47">
        <v>1</v>
      </c>
      <c r="D47">
        <v>111.67</v>
      </c>
      <c r="G47" t="s">
        <v>85</v>
      </c>
      <c r="H47">
        <v>818318237</v>
      </c>
      <c r="I47" t="s">
        <v>29</v>
      </c>
      <c r="J47" t="s">
        <v>29</v>
      </c>
      <c r="K47" t="str">
        <f>IF(Table3[[#This Row],[Type Received]]=2,"CC",(IF(Table3[[#This Row],[Type Received]]=3,"BILL","ACH")))</f>
        <v>ACH</v>
      </c>
    </row>
    <row r="48" spans="1:11" x14ac:dyDescent="0.25">
      <c r="A48">
        <v>255944</v>
      </c>
      <c r="B48" s="3">
        <v>46167</v>
      </c>
      <c r="C48">
        <v>1</v>
      </c>
      <c r="D48">
        <v>52.27</v>
      </c>
      <c r="G48" t="s">
        <v>85</v>
      </c>
      <c r="H48">
        <v>818299838</v>
      </c>
      <c r="I48" t="s">
        <v>29</v>
      </c>
      <c r="J48" t="s">
        <v>29</v>
      </c>
      <c r="K48" t="str">
        <f>IF(Table3[[#This Row],[Type Received]]=2,"CC",(IF(Table3[[#This Row],[Type Received]]=3,"BILL","ACH")))</f>
        <v>ACH</v>
      </c>
    </row>
    <row r="49" spans="1:11" x14ac:dyDescent="0.25">
      <c r="A49">
        <v>255945</v>
      </c>
      <c r="B49" s="3">
        <v>46143</v>
      </c>
      <c r="C49">
        <v>2</v>
      </c>
      <c r="D49">
        <v>139.72</v>
      </c>
      <c r="F49">
        <v>1374</v>
      </c>
      <c r="G49" t="s">
        <v>28</v>
      </c>
      <c r="H49">
        <v>522218007</v>
      </c>
      <c r="I49" t="s">
        <v>29</v>
      </c>
      <c r="J49" t="s">
        <v>29</v>
      </c>
      <c r="K49" t="str">
        <f>IF(Table3[[#This Row],[Type Received]]=2,"CC",(IF(Table3[[#This Row],[Type Received]]=3,"BILL","ACH")))</f>
        <v>CC</v>
      </c>
    </row>
    <row r="50" spans="1:11" x14ac:dyDescent="0.25">
      <c r="A50">
        <v>255947</v>
      </c>
      <c r="B50" s="3">
        <v>46157</v>
      </c>
      <c r="C50">
        <v>1</v>
      </c>
      <c r="D50">
        <v>49.63</v>
      </c>
      <c r="G50" t="s">
        <v>87</v>
      </c>
      <c r="H50">
        <v>696579059</v>
      </c>
      <c r="I50" t="s">
        <v>29</v>
      </c>
      <c r="J50" t="s">
        <v>29</v>
      </c>
      <c r="K50" t="str">
        <f>IF(Table3[[#This Row],[Type Received]]=2,"CC",(IF(Table3[[#This Row],[Type Received]]=3,"BILL","ACH")))</f>
        <v>ACH</v>
      </c>
    </row>
    <row r="51" spans="1:11" x14ac:dyDescent="0.25">
      <c r="A51">
        <v>255951</v>
      </c>
      <c r="B51" s="3">
        <v>46143</v>
      </c>
      <c r="C51">
        <v>1</v>
      </c>
      <c r="D51">
        <v>74.38</v>
      </c>
      <c r="G51" t="s">
        <v>84</v>
      </c>
      <c r="H51">
        <v>522179418</v>
      </c>
      <c r="I51" t="s">
        <v>29</v>
      </c>
      <c r="J51" t="s">
        <v>29</v>
      </c>
      <c r="K51" t="str">
        <f>IF(Table3[[#This Row],[Type Received]]=2,"CC",(IF(Table3[[#This Row],[Type Received]]=3,"BILL","ACH")))</f>
        <v>ACH</v>
      </c>
    </row>
    <row r="52" spans="1:11" x14ac:dyDescent="0.25">
      <c r="A52">
        <v>255960</v>
      </c>
      <c r="B52" s="3">
        <v>46143</v>
      </c>
      <c r="C52">
        <v>2</v>
      </c>
      <c r="D52">
        <v>157.56</v>
      </c>
      <c r="F52">
        <v>83416</v>
      </c>
      <c r="G52">
        <v>741374152</v>
      </c>
      <c r="H52">
        <v>353157716</v>
      </c>
      <c r="K52" t="str">
        <f>IF(Table3[[#This Row],[Type Received]]=2,"CC",(IF(Table3[[#This Row],[Type Received]]=3,"BILL","ACH")))</f>
        <v>CC</v>
      </c>
    </row>
    <row r="53" spans="1:11" x14ac:dyDescent="0.25">
      <c r="A53">
        <v>255964</v>
      </c>
      <c r="B53" s="3">
        <v>46143</v>
      </c>
      <c r="C53">
        <v>1</v>
      </c>
      <c r="D53">
        <v>49.41</v>
      </c>
      <c r="G53" t="s">
        <v>84</v>
      </c>
      <c r="H53">
        <v>522162990</v>
      </c>
      <c r="I53" t="s">
        <v>29</v>
      </c>
      <c r="J53" t="s">
        <v>29</v>
      </c>
      <c r="K53" t="str">
        <f>IF(Table3[[#This Row],[Type Received]]=2,"CC",(IF(Table3[[#This Row],[Type Received]]=3,"BILL","ACH")))</f>
        <v>ACH</v>
      </c>
    </row>
    <row r="54" spans="1:11" x14ac:dyDescent="0.25">
      <c r="A54">
        <v>255978</v>
      </c>
      <c r="B54" s="3">
        <v>46157</v>
      </c>
      <c r="C54">
        <v>1</v>
      </c>
      <c r="D54">
        <v>156.55000000000001</v>
      </c>
      <c r="G54" t="s">
        <v>87</v>
      </c>
      <c r="H54">
        <v>696581000</v>
      </c>
      <c r="I54" t="s">
        <v>29</v>
      </c>
      <c r="J54" t="s">
        <v>29</v>
      </c>
      <c r="K54" t="str">
        <f>IF(Table3[[#This Row],[Type Received]]=2,"CC",(IF(Table3[[#This Row],[Type Received]]=3,"BILL","ACH")))</f>
        <v>ACH</v>
      </c>
    </row>
    <row r="55" spans="1:11" x14ac:dyDescent="0.25">
      <c r="A55">
        <v>255979</v>
      </c>
      <c r="B55" s="3">
        <v>46157</v>
      </c>
      <c r="C55">
        <v>1</v>
      </c>
      <c r="D55">
        <v>135.1</v>
      </c>
      <c r="G55" s="4" t="s">
        <v>87</v>
      </c>
      <c r="H55">
        <v>696580059</v>
      </c>
      <c r="I55" t="s">
        <v>29</v>
      </c>
      <c r="J55" t="s">
        <v>29</v>
      </c>
      <c r="K55" t="str">
        <f>IF(Table3[[#This Row],[Type Received]]=2,"CC",(IF(Table3[[#This Row],[Type Received]]=3,"BILL","ACH")))</f>
        <v>ACH</v>
      </c>
    </row>
    <row r="56" spans="1:11" x14ac:dyDescent="0.25">
      <c r="A56">
        <v>255980</v>
      </c>
      <c r="B56" s="3">
        <v>46157</v>
      </c>
      <c r="C56">
        <v>1</v>
      </c>
      <c r="D56">
        <v>82.3</v>
      </c>
      <c r="G56" t="s">
        <v>87</v>
      </c>
      <c r="H56">
        <v>696598360</v>
      </c>
      <c r="I56" t="s">
        <v>29</v>
      </c>
      <c r="K56" t="str">
        <f>IF(Table3[[#This Row],[Type Received]]=2,"CC",(IF(Table3[[#This Row],[Type Received]]=3,"BILL","ACH")))</f>
        <v>ACH</v>
      </c>
    </row>
    <row r="57" spans="1:11" x14ac:dyDescent="0.25">
      <c r="A57">
        <v>255981</v>
      </c>
      <c r="B57" s="3">
        <v>46157</v>
      </c>
      <c r="C57">
        <v>1</v>
      </c>
      <c r="D57">
        <v>61.29</v>
      </c>
      <c r="G57" s="4" t="s">
        <v>87</v>
      </c>
      <c r="H57">
        <v>696583889</v>
      </c>
      <c r="I57" t="s">
        <v>29</v>
      </c>
      <c r="K57" t="str">
        <f>IF(Table3[[#This Row],[Type Received]]=2,"CC",(IF(Table3[[#This Row],[Type Received]]=3,"BILL","ACH")))</f>
        <v>ACH</v>
      </c>
    </row>
    <row r="58" spans="1:11" x14ac:dyDescent="0.25">
      <c r="A58">
        <v>255985</v>
      </c>
      <c r="B58" s="3">
        <v>46143</v>
      </c>
      <c r="C58">
        <v>1</v>
      </c>
      <c r="D58">
        <v>90.88</v>
      </c>
      <c r="G58" t="s">
        <v>84</v>
      </c>
      <c r="H58">
        <v>522186163</v>
      </c>
      <c r="I58" t="s">
        <v>29</v>
      </c>
      <c r="J58" t="s">
        <v>29</v>
      </c>
      <c r="K58" t="str">
        <f>IF(Table3[[#This Row],[Type Received]]=2,"CC",(IF(Table3[[#This Row],[Type Received]]=3,"BILL","ACH")))</f>
        <v>ACH</v>
      </c>
    </row>
    <row r="59" spans="1:11" x14ac:dyDescent="0.25">
      <c r="A59">
        <v>255988</v>
      </c>
      <c r="B59" s="3">
        <v>46167</v>
      </c>
      <c r="C59">
        <v>1</v>
      </c>
      <c r="D59">
        <v>97.48</v>
      </c>
      <c r="G59" t="s">
        <v>85</v>
      </c>
      <c r="H59">
        <v>818313449</v>
      </c>
      <c r="I59" t="s">
        <v>29</v>
      </c>
      <c r="J59" t="s">
        <v>29</v>
      </c>
      <c r="K59" t="str">
        <f>IF(Table3[[#This Row],[Type Received]]=2,"CC",(IF(Table3[[#This Row],[Type Received]]=3,"BILL","ACH")))</f>
        <v>ACH</v>
      </c>
    </row>
    <row r="60" spans="1:11" x14ac:dyDescent="0.25">
      <c r="A60">
        <v>255991</v>
      </c>
      <c r="B60" s="3">
        <v>46143</v>
      </c>
      <c r="C60">
        <v>1</v>
      </c>
      <c r="D60">
        <v>62.17</v>
      </c>
      <c r="G60" t="s">
        <v>84</v>
      </c>
      <c r="H60">
        <v>522191108</v>
      </c>
      <c r="I60" t="s">
        <v>29</v>
      </c>
      <c r="K60" t="str">
        <f>IF(Table3[[#This Row],[Type Received]]=2,"CC",(IF(Table3[[#This Row],[Type Received]]=3,"BILL","ACH")))</f>
        <v>ACH</v>
      </c>
    </row>
    <row r="61" spans="1:11" x14ac:dyDescent="0.25">
      <c r="A61">
        <v>255995</v>
      </c>
      <c r="B61" s="3">
        <v>46169</v>
      </c>
      <c r="C61">
        <v>3</v>
      </c>
      <c r="D61">
        <v>61.31</v>
      </c>
      <c r="E61">
        <v>2904</v>
      </c>
      <c r="J61" t="s">
        <v>29</v>
      </c>
      <c r="K61" t="str">
        <f>IF(Table3[[#This Row],[Type Received]]=2,"CC",(IF(Table3[[#This Row],[Type Received]]=3,"BILL","ACH")))</f>
        <v>BILL</v>
      </c>
    </row>
    <row r="62" spans="1:11" x14ac:dyDescent="0.25">
      <c r="A62">
        <v>255998</v>
      </c>
      <c r="B62" s="3">
        <v>46167</v>
      </c>
      <c r="C62">
        <v>1</v>
      </c>
      <c r="D62">
        <v>166.45</v>
      </c>
      <c r="G62" t="s">
        <v>85</v>
      </c>
      <c r="H62">
        <v>818301821</v>
      </c>
      <c r="I62" t="s">
        <v>29</v>
      </c>
      <c r="J62" t="s">
        <v>29</v>
      </c>
      <c r="K62" t="str">
        <f>IF(Table3[[#This Row],[Type Received]]=2,"CC",(IF(Table3[[#This Row],[Type Received]]=3,"BILL","ACH")))</f>
        <v>ACH</v>
      </c>
    </row>
    <row r="63" spans="1:11" x14ac:dyDescent="0.25">
      <c r="A63">
        <v>256003</v>
      </c>
      <c r="B63" s="3">
        <v>46154</v>
      </c>
      <c r="C63">
        <v>2</v>
      </c>
      <c r="D63">
        <v>151.54</v>
      </c>
      <c r="F63">
        <v>76651</v>
      </c>
      <c r="G63" t="s">
        <v>28</v>
      </c>
      <c r="H63">
        <v>657568886</v>
      </c>
      <c r="I63" t="s">
        <v>29</v>
      </c>
      <c r="J63" t="s">
        <v>29</v>
      </c>
      <c r="K63" t="str">
        <f>IF(Table3[[#This Row],[Type Received]]=2,"CC",(IF(Table3[[#This Row],[Type Received]]=3,"BILL","ACH")))</f>
        <v>CC</v>
      </c>
    </row>
    <row r="64" spans="1:11" x14ac:dyDescent="0.25">
      <c r="A64">
        <v>256005</v>
      </c>
      <c r="B64" s="3">
        <v>46150</v>
      </c>
      <c r="C64">
        <v>3</v>
      </c>
      <c r="D64">
        <v>307.42</v>
      </c>
      <c r="E64">
        <v>3752</v>
      </c>
      <c r="G64" s="4"/>
      <c r="J64" t="s">
        <v>29</v>
      </c>
      <c r="K64" t="str">
        <f>IF(Table3[[#This Row],[Type Received]]=2,"CC",(IF(Table3[[#This Row],[Type Received]]=3,"BILL","ACH")))</f>
        <v>BILL</v>
      </c>
    </row>
    <row r="65" spans="1:11" x14ac:dyDescent="0.25">
      <c r="A65">
        <v>256017</v>
      </c>
      <c r="B65" s="3">
        <v>46164</v>
      </c>
      <c r="C65">
        <v>2</v>
      </c>
      <c r="D65">
        <v>75.81</v>
      </c>
      <c r="F65">
        <v>49643</v>
      </c>
      <c r="G65" s="4" t="s">
        <v>28</v>
      </c>
      <c r="H65">
        <v>784405196</v>
      </c>
      <c r="I65" t="s">
        <v>29</v>
      </c>
      <c r="J65" t="s">
        <v>29</v>
      </c>
      <c r="K65" t="str">
        <f>IF(Table3[[#This Row],[Type Received]]=2,"CC",(IF(Table3[[#This Row],[Type Received]]=3,"BILL","ACH")))</f>
        <v>CC</v>
      </c>
    </row>
    <row r="66" spans="1:11" x14ac:dyDescent="0.25">
      <c r="A66">
        <v>256018</v>
      </c>
      <c r="B66" s="3">
        <v>46156</v>
      </c>
      <c r="C66">
        <v>1</v>
      </c>
      <c r="D66">
        <v>34.01</v>
      </c>
      <c r="G66" t="s">
        <v>93</v>
      </c>
      <c r="H66">
        <v>682535235</v>
      </c>
      <c r="I66" t="s">
        <v>29</v>
      </c>
      <c r="J66" t="s">
        <v>29</v>
      </c>
      <c r="K66" t="str">
        <f>IF(Table3[[#This Row],[Type Received]]=2,"CC",(IF(Table3[[#This Row],[Type Received]]=3,"BILL","ACH")))</f>
        <v>ACH</v>
      </c>
    </row>
    <row r="67" spans="1:11" x14ac:dyDescent="0.25">
      <c r="A67">
        <v>256019</v>
      </c>
      <c r="B67" s="3">
        <v>46167</v>
      </c>
      <c r="C67">
        <v>1</v>
      </c>
      <c r="D67">
        <v>124.21</v>
      </c>
      <c r="G67" t="s">
        <v>85</v>
      </c>
      <c r="H67">
        <v>818301843</v>
      </c>
      <c r="I67" t="s">
        <v>29</v>
      </c>
      <c r="J67" t="s">
        <v>29</v>
      </c>
      <c r="K67" t="str">
        <f>IF(Table3[[#This Row],[Type Received]]=2,"CC",(IF(Table3[[#This Row],[Type Received]]=3,"BILL","ACH")))</f>
        <v>ACH</v>
      </c>
    </row>
    <row r="68" spans="1:11" x14ac:dyDescent="0.25">
      <c r="A68">
        <v>256020</v>
      </c>
      <c r="B68" s="3">
        <v>46167</v>
      </c>
      <c r="C68">
        <v>1</v>
      </c>
      <c r="D68">
        <v>147.97</v>
      </c>
      <c r="G68" t="s">
        <v>85</v>
      </c>
      <c r="H68">
        <v>818321210</v>
      </c>
      <c r="I68" t="s">
        <v>29</v>
      </c>
      <c r="J68" t="s">
        <v>29</v>
      </c>
      <c r="K68" t="str">
        <f>IF(Table3[[#This Row],[Type Received]]=2,"CC",(IF(Table3[[#This Row],[Type Received]]=3,"BILL","ACH")))</f>
        <v>ACH</v>
      </c>
    </row>
    <row r="69" spans="1:11" x14ac:dyDescent="0.25">
      <c r="A69">
        <v>256022</v>
      </c>
      <c r="B69" s="3">
        <v>46167</v>
      </c>
      <c r="C69">
        <v>1</v>
      </c>
      <c r="D69">
        <v>39.950000000000003</v>
      </c>
      <c r="G69" t="s">
        <v>85</v>
      </c>
      <c r="H69">
        <v>818302859</v>
      </c>
      <c r="I69" t="s">
        <v>29</v>
      </c>
      <c r="J69" t="s">
        <v>29</v>
      </c>
      <c r="K69" t="str">
        <f>IF(Table3[[#This Row],[Type Received]]=2,"CC",(IF(Table3[[#This Row],[Type Received]]=3,"BILL","ACH")))</f>
        <v>ACH</v>
      </c>
    </row>
    <row r="70" spans="1:11" x14ac:dyDescent="0.25">
      <c r="A70">
        <v>256027</v>
      </c>
      <c r="B70" s="3">
        <v>46143</v>
      </c>
      <c r="C70">
        <v>1</v>
      </c>
      <c r="D70">
        <v>58.87</v>
      </c>
      <c r="G70" t="s">
        <v>84</v>
      </c>
      <c r="H70">
        <v>522169907</v>
      </c>
      <c r="I70" t="s">
        <v>29</v>
      </c>
      <c r="K70" t="str">
        <f>IF(Table3[[#This Row],[Type Received]]=2,"CC",(IF(Table3[[#This Row],[Type Received]]=3,"BILL","ACH")))</f>
        <v>ACH</v>
      </c>
    </row>
    <row r="71" spans="1:11" x14ac:dyDescent="0.25">
      <c r="A71">
        <v>256028</v>
      </c>
      <c r="B71" s="3">
        <v>46157</v>
      </c>
      <c r="C71">
        <v>1</v>
      </c>
      <c r="D71">
        <v>68.44</v>
      </c>
      <c r="G71" t="s">
        <v>87</v>
      </c>
      <c r="H71">
        <v>696588727</v>
      </c>
      <c r="I71" t="s">
        <v>29</v>
      </c>
      <c r="J71" t="s">
        <v>29</v>
      </c>
      <c r="K71" t="str">
        <f>IF(Table3[[#This Row],[Type Received]]=2,"CC",(IF(Table3[[#This Row],[Type Received]]=3,"BILL","ACH")))</f>
        <v>ACH</v>
      </c>
    </row>
    <row r="72" spans="1:11" x14ac:dyDescent="0.25">
      <c r="A72">
        <v>256029</v>
      </c>
      <c r="B72" s="3">
        <v>46157</v>
      </c>
      <c r="C72">
        <v>1</v>
      </c>
      <c r="D72">
        <v>122.23</v>
      </c>
      <c r="G72" t="s">
        <v>87</v>
      </c>
      <c r="H72">
        <v>696605291</v>
      </c>
      <c r="I72" t="s">
        <v>29</v>
      </c>
      <c r="J72" t="s">
        <v>29</v>
      </c>
      <c r="K72" t="str">
        <f>IF(Table3[[#This Row],[Type Received]]=2,"CC",(IF(Table3[[#This Row],[Type Received]]=3,"BILL","ACH")))</f>
        <v>ACH</v>
      </c>
    </row>
    <row r="73" spans="1:11" x14ac:dyDescent="0.25">
      <c r="A73">
        <v>256030</v>
      </c>
      <c r="B73" s="3">
        <v>46157</v>
      </c>
      <c r="C73">
        <v>1</v>
      </c>
      <c r="D73">
        <v>56.01</v>
      </c>
      <c r="G73" t="s">
        <v>87</v>
      </c>
      <c r="H73">
        <v>696601374</v>
      </c>
      <c r="I73" t="s">
        <v>29</v>
      </c>
      <c r="K73" t="str">
        <f>IF(Table3[[#This Row],[Type Received]]=2,"CC",(IF(Table3[[#This Row],[Type Received]]=3,"BILL","ACH")))</f>
        <v>ACH</v>
      </c>
    </row>
    <row r="74" spans="1:11" x14ac:dyDescent="0.25">
      <c r="A74">
        <v>256041</v>
      </c>
      <c r="B74" s="3">
        <v>46143</v>
      </c>
      <c r="C74">
        <v>1</v>
      </c>
      <c r="D74">
        <v>56.91</v>
      </c>
      <c r="G74" t="s">
        <v>84</v>
      </c>
      <c r="H74">
        <v>526888683</v>
      </c>
      <c r="I74" t="s">
        <v>29</v>
      </c>
      <c r="J74" t="s">
        <v>29</v>
      </c>
      <c r="K74" t="str">
        <f>IF(Table3[[#This Row],[Type Received]]=2,"CC",(IF(Table3[[#This Row],[Type Received]]=3,"BILL","ACH")))</f>
        <v>ACH</v>
      </c>
    </row>
    <row r="75" spans="1:11" x14ac:dyDescent="0.25">
      <c r="A75">
        <v>256046</v>
      </c>
      <c r="B75" s="3">
        <v>46162</v>
      </c>
      <c r="C75">
        <v>2</v>
      </c>
      <c r="D75">
        <v>175.74</v>
      </c>
      <c r="F75" t="s">
        <v>94</v>
      </c>
      <c r="G75" t="s">
        <v>28</v>
      </c>
      <c r="H75">
        <v>759790732</v>
      </c>
      <c r="I75" t="s">
        <v>29</v>
      </c>
      <c r="J75" t="s">
        <v>29</v>
      </c>
      <c r="K75" t="str">
        <f>IF(Table3[[#This Row],[Type Received]]=2,"CC",(IF(Table3[[#This Row],[Type Received]]=3,"BILL","ACH")))</f>
        <v>CC</v>
      </c>
    </row>
    <row r="76" spans="1:11" x14ac:dyDescent="0.25">
      <c r="A76">
        <v>256051</v>
      </c>
      <c r="B76" s="3">
        <v>46157</v>
      </c>
      <c r="C76">
        <v>1</v>
      </c>
      <c r="D76">
        <v>50.95</v>
      </c>
      <c r="G76" t="s">
        <v>87</v>
      </c>
      <c r="H76">
        <v>696589781</v>
      </c>
      <c r="I76" t="s">
        <v>29</v>
      </c>
      <c r="J76" t="s">
        <v>29</v>
      </c>
      <c r="K76" t="str">
        <f>IF(Table3[[#This Row],[Type Received]]=2,"CC",(IF(Table3[[#This Row],[Type Received]]=3,"BILL","ACH")))</f>
        <v>ACH</v>
      </c>
    </row>
    <row r="77" spans="1:11" x14ac:dyDescent="0.25">
      <c r="A77">
        <v>256059</v>
      </c>
      <c r="B77" s="3">
        <v>46155</v>
      </c>
      <c r="C77">
        <v>2</v>
      </c>
      <c r="D77">
        <v>43.69</v>
      </c>
      <c r="F77">
        <v>106910</v>
      </c>
      <c r="G77" s="4" t="s">
        <v>28</v>
      </c>
      <c r="H77">
        <v>669440409</v>
      </c>
      <c r="I77" t="s">
        <v>29</v>
      </c>
      <c r="J77" t="s">
        <v>29</v>
      </c>
      <c r="K77" t="str">
        <f>IF(Table3[[#This Row],[Type Received]]=2,"CC",(IF(Table3[[#This Row],[Type Received]]=3,"BILL","ACH")))</f>
        <v>CC</v>
      </c>
    </row>
    <row r="78" spans="1:11" x14ac:dyDescent="0.25">
      <c r="A78">
        <v>256060</v>
      </c>
      <c r="B78" s="3">
        <v>46143</v>
      </c>
      <c r="C78">
        <v>1</v>
      </c>
      <c r="D78">
        <v>111.89</v>
      </c>
      <c r="G78" t="s">
        <v>84</v>
      </c>
      <c r="H78">
        <v>522186258</v>
      </c>
      <c r="I78" t="s">
        <v>29</v>
      </c>
      <c r="J78" t="s">
        <v>29</v>
      </c>
      <c r="K78" t="str">
        <f>IF(Table3[[#This Row],[Type Received]]=2,"CC",(IF(Table3[[#This Row],[Type Received]]=3,"BILL","ACH")))</f>
        <v>ACH</v>
      </c>
    </row>
    <row r="79" spans="1:11" x14ac:dyDescent="0.25">
      <c r="A79">
        <v>256061</v>
      </c>
      <c r="B79" s="3">
        <v>46143</v>
      </c>
      <c r="C79">
        <v>1</v>
      </c>
      <c r="D79">
        <v>68.11</v>
      </c>
      <c r="G79" t="s">
        <v>84</v>
      </c>
      <c r="H79">
        <v>522183452</v>
      </c>
      <c r="I79" t="s">
        <v>29</v>
      </c>
      <c r="K79" t="str">
        <f>IF(Table3[[#This Row],[Type Received]]=2,"CC",(IF(Table3[[#This Row],[Type Received]]=3,"BILL","ACH")))</f>
        <v>ACH</v>
      </c>
    </row>
    <row r="80" spans="1:11" x14ac:dyDescent="0.25">
      <c r="A80">
        <v>256065</v>
      </c>
      <c r="B80" s="3">
        <v>46143</v>
      </c>
      <c r="C80">
        <v>1</v>
      </c>
      <c r="D80">
        <v>69.87</v>
      </c>
      <c r="G80" t="s">
        <v>84</v>
      </c>
      <c r="H80">
        <v>522173928</v>
      </c>
      <c r="I80" t="s">
        <v>29</v>
      </c>
      <c r="J80" t="s">
        <v>29</v>
      </c>
      <c r="K80" t="str">
        <f>IF(Table3[[#This Row],[Type Received]]=2,"CC",(IF(Table3[[#This Row],[Type Received]]=3,"BILL","ACH")))</f>
        <v>ACH</v>
      </c>
    </row>
    <row r="81" spans="1:11" x14ac:dyDescent="0.25">
      <c r="A81">
        <v>256067</v>
      </c>
      <c r="B81" s="3">
        <v>46157</v>
      </c>
      <c r="C81">
        <v>1</v>
      </c>
      <c r="D81">
        <v>61.51</v>
      </c>
      <c r="G81" t="s">
        <v>87</v>
      </c>
      <c r="H81">
        <v>696602370</v>
      </c>
      <c r="I81" t="s">
        <v>29</v>
      </c>
      <c r="K81" t="str">
        <f>IF(Table3[[#This Row],[Type Received]]=2,"CC",(IF(Table3[[#This Row],[Type Received]]=3,"BILL","ACH")))</f>
        <v>ACH</v>
      </c>
    </row>
    <row r="82" spans="1:11" x14ac:dyDescent="0.25">
      <c r="A82">
        <v>256069</v>
      </c>
      <c r="B82" s="3">
        <v>46157</v>
      </c>
      <c r="C82">
        <v>1</v>
      </c>
      <c r="D82">
        <v>99.46</v>
      </c>
      <c r="G82" t="s">
        <v>87</v>
      </c>
      <c r="H82">
        <v>696608219</v>
      </c>
      <c r="I82" t="s">
        <v>29</v>
      </c>
      <c r="J82" t="s">
        <v>29</v>
      </c>
      <c r="K82" t="str">
        <f>IF(Table3[[#This Row],[Type Received]]=2,"CC",(IF(Table3[[#This Row],[Type Received]]=3,"BILL","ACH")))</f>
        <v>ACH</v>
      </c>
    </row>
    <row r="83" spans="1:11" x14ac:dyDescent="0.25">
      <c r="A83">
        <v>256070</v>
      </c>
      <c r="B83" s="3">
        <v>46157</v>
      </c>
      <c r="C83">
        <v>1</v>
      </c>
      <c r="D83">
        <v>133.78</v>
      </c>
      <c r="G83" t="s">
        <v>87</v>
      </c>
      <c r="H83">
        <v>696602396</v>
      </c>
      <c r="I83" t="s">
        <v>29</v>
      </c>
      <c r="K83" t="str">
        <f>IF(Table3[[#This Row],[Type Received]]=2,"CC",(IF(Table3[[#This Row],[Type Received]]=3,"BILL","ACH")))</f>
        <v>ACH</v>
      </c>
    </row>
    <row r="84" spans="1:11" x14ac:dyDescent="0.25">
      <c r="A84">
        <v>256072</v>
      </c>
      <c r="B84" s="3">
        <v>46157</v>
      </c>
      <c r="C84">
        <v>1</v>
      </c>
      <c r="D84">
        <v>83.95</v>
      </c>
      <c r="G84" t="s">
        <v>87</v>
      </c>
      <c r="H84">
        <v>696598515</v>
      </c>
      <c r="I84" t="s">
        <v>29</v>
      </c>
      <c r="J84" t="s">
        <v>29</v>
      </c>
      <c r="K84" t="str">
        <f>IF(Table3[[#This Row],[Type Received]]=2,"CC",(IF(Table3[[#This Row],[Type Received]]=3,"BILL","ACH")))</f>
        <v>ACH</v>
      </c>
    </row>
    <row r="85" spans="1:11" x14ac:dyDescent="0.25">
      <c r="A85">
        <v>256073</v>
      </c>
      <c r="B85" s="3">
        <v>46157</v>
      </c>
      <c r="C85">
        <v>1</v>
      </c>
      <c r="D85">
        <v>45.67</v>
      </c>
      <c r="G85" t="s">
        <v>87</v>
      </c>
      <c r="H85">
        <v>696598534</v>
      </c>
      <c r="I85" t="s">
        <v>29</v>
      </c>
      <c r="J85" t="s">
        <v>29</v>
      </c>
      <c r="K85" t="str">
        <f>IF(Table3[[#This Row],[Type Received]]=2,"CC",(IF(Table3[[#This Row],[Type Received]]=3,"BILL","ACH")))</f>
        <v>ACH</v>
      </c>
    </row>
    <row r="86" spans="1:11" x14ac:dyDescent="0.25">
      <c r="A86">
        <v>256074</v>
      </c>
      <c r="B86" s="3">
        <v>46157</v>
      </c>
      <c r="C86">
        <v>1</v>
      </c>
      <c r="D86">
        <v>70.97</v>
      </c>
      <c r="G86" t="s">
        <v>87</v>
      </c>
      <c r="H86">
        <v>696585878</v>
      </c>
      <c r="I86" t="s">
        <v>29</v>
      </c>
      <c r="J86" t="s">
        <v>29</v>
      </c>
      <c r="K86" t="str">
        <f>IF(Table3[[#This Row],[Type Received]]=2,"CC",(IF(Table3[[#This Row],[Type Received]]=3,"BILL","ACH")))</f>
        <v>ACH</v>
      </c>
    </row>
    <row r="87" spans="1:11" x14ac:dyDescent="0.25">
      <c r="A87">
        <v>256075</v>
      </c>
      <c r="B87" s="3">
        <v>46167</v>
      </c>
      <c r="C87">
        <v>1</v>
      </c>
      <c r="D87">
        <v>62.5</v>
      </c>
      <c r="G87" s="4" t="s">
        <v>85</v>
      </c>
      <c r="H87">
        <v>818313529</v>
      </c>
      <c r="I87" t="s">
        <v>29</v>
      </c>
      <c r="K87" t="str">
        <f>IF(Table3[[#This Row],[Type Received]]=2,"CC",(IF(Table3[[#This Row],[Type Received]]=3,"BILL","ACH")))</f>
        <v>ACH</v>
      </c>
    </row>
    <row r="88" spans="1:11" x14ac:dyDescent="0.25">
      <c r="A88">
        <v>256087</v>
      </c>
      <c r="B88" s="3">
        <v>46169</v>
      </c>
      <c r="C88">
        <v>2</v>
      </c>
      <c r="D88">
        <v>168.07</v>
      </c>
      <c r="F88">
        <v>50335</v>
      </c>
      <c r="G88" t="s">
        <v>28</v>
      </c>
      <c r="H88">
        <v>844517834</v>
      </c>
      <c r="I88" t="s">
        <v>29</v>
      </c>
      <c r="J88" t="s">
        <v>29</v>
      </c>
      <c r="K88" t="str">
        <f>IF(Table3[[#This Row],[Type Received]]=2,"CC",(IF(Table3[[#This Row],[Type Received]]=3,"BILL","ACH")))</f>
        <v>CC</v>
      </c>
    </row>
    <row r="89" spans="1:11" x14ac:dyDescent="0.25">
      <c r="A89">
        <v>256095</v>
      </c>
      <c r="B89" s="3">
        <v>46143</v>
      </c>
      <c r="C89">
        <v>1</v>
      </c>
      <c r="D89">
        <v>63.82</v>
      </c>
      <c r="G89" t="s">
        <v>84</v>
      </c>
      <c r="H89">
        <v>522169091</v>
      </c>
      <c r="I89" t="s">
        <v>29</v>
      </c>
      <c r="J89" t="s">
        <v>29</v>
      </c>
      <c r="K89" t="str">
        <f>IF(Table3[[#This Row],[Type Received]]=2,"CC",(IF(Table3[[#This Row],[Type Received]]=3,"BILL","ACH")))</f>
        <v>ACH</v>
      </c>
    </row>
    <row r="90" spans="1:11" x14ac:dyDescent="0.25">
      <c r="A90">
        <v>256096</v>
      </c>
      <c r="B90" s="3">
        <v>46143</v>
      </c>
      <c r="C90">
        <v>1</v>
      </c>
      <c r="D90">
        <v>56.89</v>
      </c>
      <c r="G90" t="s">
        <v>84</v>
      </c>
      <c r="H90">
        <v>522195194</v>
      </c>
      <c r="I90" t="s">
        <v>29</v>
      </c>
      <c r="J90" t="s">
        <v>29</v>
      </c>
      <c r="K90" t="str">
        <f>IF(Table3[[#This Row],[Type Received]]=2,"CC",(IF(Table3[[#This Row],[Type Received]]=3,"BILL","ACH")))</f>
        <v>ACH</v>
      </c>
    </row>
    <row r="91" spans="1:11" x14ac:dyDescent="0.25">
      <c r="A91">
        <v>256109</v>
      </c>
      <c r="B91" s="3">
        <v>46161</v>
      </c>
      <c r="C91">
        <v>3</v>
      </c>
      <c r="D91">
        <v>91.26</v>
      </c>
      <c r="E91">
        <v>642</v>
      </c>
      <c r="K91" t="str">
        <f>IF(Table3[[#This Row],[Type Received]]=2,"CC",(IF(Table3[[#This Row],[Type Received]]=3,"BILL","ACH")))</f>
        <v>BILL</v>
      </c>
    </row>
    <row r="92" spans="1:11" x14ac:dyDescent="0.25">
      <c r="A92">
        <v>256115</v>
      </c>
      <c r="B92" s="3">
        <v>46157</v>
      </c>
      <c r="C92">
        <v>1</v>
      </c>
      <c r="D92">
        <v>47.87</v>
      </c>
      <c r="G92" t="s">
        <v>87</v>
      </c>
      <c r="H92">
        <v>696601492</v>
      </c>
      <c r="I92" t="s">
        <v>29</v>
      </c>
      <c r="J92" t="s">
        <v>29</v>
      </c>
      <c r="K92" t="str">
        <f>IF(Table3[[#This Row],[Type Received]]=2,"CC",(IF(Table3[[#This Row],[Type Received]]=3,"BILL","ACH")))</f>
        <v>ACH</v>
      </c>
    </row>
    <row r="93" spans="1:11" x14ac:dyDescent="0.25">
      <c r="A93">
        <v>256120</v>
      </c>
      <c r="B93" s="3">
        <v>46170</v>
      </c>
      <c r="C93">
        <v>2</v>
      </c>
      <c r="D93">
        <v>54.27</v>
      </c>
      <c r="F93">
        <v>420646</v>
      </c>
      <c r="G93" t="s">
        <v>28</v>
      </c>
      <c r="H93">
        <v>855907019</v>
      </c>
      <c r="I93" t="s">
        <v>29</v>
      </c>
      <c r="J93" t="s">
        <v>29</v>
      </c>
      <c r="K93" t="str">
        <f>IF(Table3[[#This Row],[Type Received]]=2,"CC",(IF(Table3[[#This Row],[Type Received]]=3,"BILL","ACH")))</f>
        <v>CC</v>
      </c>
    </row>
    <row r="94" spans="1:11" x14ac:dyDescent="0.25">
      <c r="A94">
        <v>256125</v>
      </c>
      <c r="B94" s="3">
        <v>46157</v>
      </c>
      <c r="C94">
        <v>1</v>
      </c>
      <c r="D94">
        <v>60.52</v>
      </c>
      <c r="G94" t="s">
        <v>87</v>
      </c>
      <c r="H94">
        <v>696592805</v>
      </c>
      <c r="I94" t="s">
        <v>29</v>
      </c>
      <c r="J94" t="s">
        <v>29</v>
      </c>
      <c r="K94" t="str">
        <f>IF(Table3[[#This Row],[Type Received]]=2,"CC",(IF(Table3[[#This Row],[Type Received]]=3,"BILL","ACH")))</f>
        <v>ACH</v>
      </c>
    </row>
    <row r="95" spans="1:11" x14ac:dyDescent="0.25">
      <c r="A95">
        <v>256131</v>
      </c>
      <c r="B95" s="3">
        <v>46155</v>
      </c>
      <c r="C95">
        <v>2</v>
      </c>
      <c r="D95">
        <v>70.75</v>
      </c>
      <c r="F95">
        <v>13339</v>
      </c>
      <c r="G95" t="s">
        <v>28</v>
      </c>
      <c r="H95">
        <v>669431705</v>
      </c>
      <c r="I95" t="s">
        <v>29</v>
      </c>
      <c r="J95" t="s">
        <v>29</v>
      </c>
      <c r="K95" t="str">
        <f>IF(Table3[[#This Row],[Type Received]]=2,"CC",(IF(Table3[[#This Row],[Type Received]]=3,"BILL","ACH")))</f>
        <v>CC</v>
      </c>
    </row>
    <row r="96" spans="1:11" x14ac:dyDescent="0.25">
      <c r="A96">
        <v>256134</v>
      </c>
      <c r="B96" s="3">
        <v>46157</v>
      </c>
      <c r="C96">
        <v>1</v>
      </c>
      <c r="D96">
        <v>68.11</v>
      </c>
      <c r="G96" t="s">
        <v>87</v>
      </c>
      <c r="H96">
        <v>696598599</v>
      </c>
      <c r="I96" t="s">
        <v>29</v>
      </c>
      <c r="K96" t="str">
        <f>IF(Table3[[#This Row],[Type Received]]=2,"CC",(IF(Table3[[#This Row],[Type Received]]=3,"BILL","ACH")))</f>
        <v>ACH</v>
      </c>
    </row>
    <row r="97" spans="1:11" x14ac:dyDescent="0.25">
      <c r="A97">
        <v>256135</v>
      </c>
      <c r="B97" s="3">
        <v>46157</v>
      </c>
      <c r="C97">
        <v>1</v>
      </c>
      <c r="D97">
        <v>58.54</v>
      </c>
      <c r="G97" t="s">
        <v>87</v>
      </c>
      <c r="H97">
        <v>696611229</v>
      </c>
      <c r="I97" t="s">
        <v>29</v>
      </c>
      <c r="K97" t="str">
        <f>IF(Table3[[#This Row],[Type Received]]=2,"CC",(IF(Table3[[#This Row],[Type Received]]=3,"BILL","ACH")))</f>
        <v>ACH</v>
      </c>
    </row>
    <row r="98" spans="1:11" x14ac:dyDescent="0.25">
      <c r="A98">
        <v>256136</v>
      </c>
      <c r="B98" s="3">
        <v>46167</v>
      </c>
      <c r="C98">
        <v>1</v>
      </c>
      <c r="D98">
        <v>181.96</v>
      </c>
      <c r="G98" t="s">
        <v>85</v>
      </c>
      <c r="H98">
        <v>818347383</v>
      </c>
      <c r="I98" t="s">
        <v>29</v>
      </c>
      <c r="J98" t="s">
        <v>29</v>
      </c>
      <c r="K98" t="str">
        <f>IF(Table3[[#This Row],[Type Received]]=2,"CC",(IF(Table3[[#This Row],[Type Received]]=3,"BILL","ACH")))</f>
        <v>ACH</v>
      </c>
    </row>
    <row r="99" spans="1:11" x14ac:dyDescent="0.25">
      <c r="A99">
        <v>256138</v>
      </c>
      <c r="B99" s="3">
        <v>46143</v>
      </c>
      <c r="C99">
        <v>1</v>
      </c>
      <c r="D99">
        <v>44.57</v>
      </c>
      <c r="G99" t="s">
        <v>84</v>
      </c>
      <c r="H99">
        <v>522184603</v>
      </c>
      <c r="I99" t="s">
        <v>29</v>
      </c>
      <c r="J99" t="s">
        <v>29</v>
      </c>
      <c r="K99" t="str">
        <f>IF(Table3[[#This Row],[Type Received]]=2,"CC",(IF(Table3[[#This Row],[Type Received]]=3,"BILL","ACH")))</f>
        <v>ACH</v>
      </c>
    </row>
    <row r="100" spans="1:11" x14ac:dyDescent="0.25">
      <c r="A100">
        <v>256144</v>
      </c>
      <c r="B100" s="3">
        <v>46155</v>
      </c>
      <c r="C100">
        <v>2</v>
      </c>
      <c r="D100">
        <v>158.86000000000001</v>
      </c>
      <c r="F100">
        <v>13710</v>
      </c>
      <c r="G100" s="4" t="s">
        <v>28</v>
      </c>
      <c r="H100">
        <v>669497115</v>
      </c>
      <c r="I100" t="s">
        <v>29</v>
      </c>
      <c r="J100" t="s">
        <v>29</v>
      </c>
      <c r="K100" t="str">
        <f>IF(Table3[[#This Row],[Type Received]]=2,"CC",(IF(Table3[[#This Row],[Type Received]]=3,"BILL","ACH")))</f>
        <v>CC</v>
      </c>
    </row>
    <row r="101" spans="1:11" x14ac:dyDescent="0.25">
      <c r="A101">
        <v>256145</v>
      </c>
      <c r="B101" s="3">
        <v>46144</v>
      </c>
      <c r="C101">
        <v>2</v>
      </c>
      <c r="D101">
        <v>115.32</v>
      </c>
      <c r="F101">
        <v>655356</v>
      </c>
      <c r="G101">
        <v>741651752</v>
      </c>
      <c r="H101">
        <v>353293253</v>
      </c>
      <c r="J101" t="s">
        <v>29</v>
      </c>
      <c r="K101" t="str">
        <f>IF(Table3[[#This Row],[Type Received]]=2,"CC",(IF(Table3[[#This Row],[Type Received]]=3,"BILL","ACH")))</f>
        <v>CC</v>
      </c>
    </row>
    <row r="102" spans="1:11" x14ac:dyDescent="0.25">
      <c r="A102">
        <v>256148</v>
      </c>
      <c r="B102" s="3">
        <v>46157</v>
      </c>
      <c r="C102">
        <v>1</v>
      </c>
      <c r="D102">
        <v>103.09</v>
      </c>
      <c r="G102" t="s">
        <v>87</v>
      </c>
      <c r="H102">
        <v>696612230</v>
      </c>
      <c r="I102" t="s">
        <v>29</v>
      </c>
      <c r="K102" t="str">
        <f>IF(Table3[[#This Row],[Type Received]]=2,"CC",(IF(Table3[[#This Row],[Type Received]]=3,"BILL","ACH")))</f>
        <v>ACH</v>
      </c>
    </row>
    <row r="103" spans="1:11" x14ac:dyDescent="0.25">
      <c r="A103">
        <v>256150</v>
      </c>
      <c r="B103" s="3">
        <v>46155</v>
      </c>
      <c r="C103">
        <v>1</v>
      </c>
      <c r="D103">
        <v>106.06</v>
      </c>
      <c r="G103" t="s">
        <v>90</v>
      </c>
      <c r="H103">
        <v>669425099</v>
      </c>
      <c r="I103" t="s">
        <v>29</v>
      </c>
      <c r="K103" t="str">
        <f>IF(Table3[[#This Row],[Type Received]]=2,"CC",(IF(Table3[[#This Row],[Type Received]]=3,"BILL","ACH")))</f>
        <v>ACH</v>
      </c>
    </row>
    <row r="104" spans="1:11" x14ac:dyDescent="0.25">
      <c r="A104">
        <v>256154</v>
      </c>
      <c r="B104" s="3">
        <v>46146</v>
      </c>
      <c r="C104">
        <v>3</v>
      </c>
      <c r="D104">
        <v>84.63</v>
      </c>
      <c r="E104">
        <v>2597</v>
      </c>
      <c r="K104" t="str">
        <f>IF(Table3[[#This Row],[Type Received]]=2,"CC",(IF(Table3[[#This Row],[Type Received]]=3,"BILL","ACH")))</f>
        <v>BILL</v>
      </c>
    </row>
    <row r="105" spans="1:11" x14ac:dyDescent="0.25">
      <c r="A105">
        <v>256159</v>
      </c>
      <c r="B105" s="3">
        <v>46143</v>
      </c>
      <c r="C105">
        <v>1</v>
      </c>
      <c r="D105">
        <v>71.849999999999994</v>
      </c>
      <c r="G105" t="s">
        <v>84</v>
      </c>
      <c r="H105">
        <v>522180752</v>
      </c>
      <c r="I105" t="s">
        <v>29</v>
      </c>
      <c r="J105" t="s">
        <v>29</v>
      </c>
      <c r="K105" t="str">
        <f>IF(Table3[[#This Row],[Type Received]]=2,"CC",(IF(Table3[[#This Row],[Type Received]]=3,"BILL","ACH")))</f>
        <v>ACH</v>
      </c>
    </row>
    <row r="106" spans="1:11" x14ac:dyDescent="0.25">
      <c r="A106">
        <v>256168</v>
      </c>
      <c r="B106" s="3">
        <v>46155</v>
      </c>
      <c r="C106">
        <v>2</v>
      </c>
      <c r="D106">
        <v>46.66</v>
      </c>
      <c r="F106" t="s">
        <v>95</v>
      </c>
      <c r="G106" t="s">
        <v>28</v>
      </c>
      <c r="H106">
        <v>669438565</v>
      </c>
      <c r="I106" t="s">
        <v>29</v>
      </c>
      <c r="J106" t="s">
        <v>29</v>
      </c>
      <c r="K106" t="str">
        <f>IF(Table3[[#This Row],[Type Received]]=2,"CC",(IF(Table3[[#This Row],[Type Received]]=3,"BILL","ACH")))</f>
        <v>CC</v>
      </c>
    </row>
    <row r="107" spans="1:11" x14ac:dyDescent="0.25">
      <c r="A107">
        <v>256172</v>
      </c>
      <c r="B107" s="3">
        <v>46144</v>
      </c>
      <c r="C107">
        <v>2</v>
      </c>
      <c r="D107">
        <v>89.89</v>
      </c>
      <c r="F107">
        <v>2668</v>
      </c>
      <c r="G107" s="4" t="s">
        <v>28</v>
      </c>
      <c r="H107">
        <v>535336383</v>
      </c>
      <c r="I107" t="s">
        <v>29</v>
      </c>
      <c r="J107" t="s">
        <v>29</v>
      </c>
      <c r="K107" t="str">
        <f>IF(Table3[[#This Row],[Type Received]]=2,"CC",(IF(Table3[[#This Row],[Type Received]]=3,"BILL","ACH")))</f>
        <v>CC</v>
      </c>
    </row>
    <row r="108" spans="1:11" x14ac:dyDescent="0.25">
      <c r="A108">
        <v>256175</v>
      </c>
      <c r="B108" s="3">
        <v>46155</v>
      </c>
      <c r="C108">
        <v>2</v>
      </c>
      <c r="D108">
        <v>53.59</v>
      </c>
      <c r="F108">
        <v>120606</v>
      </c>
      <c r="G108" s="4" t="s">
        <v>28</v>
      </c>
      <c r="H108">
        <v>669439584</v>
      </c>
      <c r="I108" t="s">
        <v>29</v>
      </c>
      <c r="J108" t="s">
        <v>29</v>
      </c>
      <c r="K108" t="str">
        <f>IF(Table3[[#This Row],[Type Received]]=2,"CC",(IF(Table3[[#This Row],[Type Received]]=3,"BILL","ACH")))</f>
        <v>CC</v>
      </c>
    </row>
    <row r="109" spans="1:11" x14ac:dyDescent="0.25">
      <c r="A109">
        <v>256176</v>
      </c>
      <c r="B109" s="3">
        <v>46147</v>
      </c>
      <c r="C109">
        <v>3</v>
      </c>
      <c r="D109">
        <v>48.99</v>
      </c>
      <c r="E109">
        <v>1096</v>
      </c>
      <c r="G109" s="4"/>
      <c r="J109" t="s">
        <v>29</v>
      </c>
      <c r="K109" t="str">
        <f>IF(Table3[[#This Row],[Type Received]]=2,"CC",(IF(Table3[[#This Row],[Type Received]]=3,"BILL","ACH")))</f>
        <v>BILL</v>
      </c>
    </row>
    <row r="110" spans="1:11" x14ac:dyDescent="0.25">
      <c r="A110">
        <v>256178</v>
      </c>
      <c r="B110" s="3">
        <v>46144</v>
      </c>
      <c r="C110">
        <v>1</v>
      </c>
      <c r="D110">
        <v>47.65</v>
      </c>
      <c r="G110" t="s">
        <v>89</v>
      </c>
      <c r="H110">
        <v>535328680</v>
      </c>
      <c r="I110" t="s">
        <v>29</v>
      </c>
      <c r="J110" t="s">
        <v>29</v>
      </c>
      <c r="K110" t="str">
        <f>IF(Table3[[#This Row],[Type Received]]=2,"CC",(IF(Table3[[#This Row],[Type Received]]=3,"BILL","ACH")))</f>
        <v>ACH</v>
      </c>
    </row>
    <row r="111" spans="1:11" x14ac:dyDescent="0.25">
      <c r="A111">
        <v>256179</v>
      </c>
      <c r="B111" s="3">
        <v>46144</v>
      </c>
      <c r="C111">
        <v>1</v>
      </c>
      <c r="D111">
        <v>41.49</v>
      </c>
      <c r="G111" t="s">
        <v>89</v>
      </c>
      <c r="H111">
        <v>535321868</v>
      </c>
      <c r="I111" t="s">
        <v>29</v>
      </c>
      <c r="J111" t="s">
        <v>29</v>
      </c>
      <c r="K111" t="str">
        <f>IF(Table3[[#This Row],[Type Received]]=2,"CC",(IF(Table3[[#This Row],[Type Received]]=3,"BILL","ACH")))</f>
        <v>ACH</v>
      </c>
    </row>
    <row r="112" spans="1:11" x14ac:dyDescent="0.25">
      <c r="A112">
        <v>256181</v>
      </c>
      <c r="B112" s="3">
        <v>46144</v>
      </c>
      <c r="C112">
        <v>1</v>
      </c>
      <c r="D112">
        <v>47.43</v>
      </c>
      <c r="G112" t="s">
        <v>89</v>
      </c>
      <c r="H112">
        <v>535335487</v>
      </c>
      <c r="I112" t="s">
        <v>29</v>
      </c>
      <c r="J112" t="s">
        <v>29</v>
      </c>
      <c r="K112" t="str">
        <f>IF(Table3[[#This Row],[Type Received]]=2,"CC",(IF(Table3[[#This Row],[Type Received]]=3,"BILL","ACH")))</f>
        <v>ACH</v>
      </c>
    </row>
    <row r="113" spans="1:11" x14ac:dyDescent="0.25">
      <c r="A113">
        <v>256182</v>
      </c>
      <c r="B113" s="3">
        <v>46157</v>
      </c>
      <c r="C113">
        <v>1</v>
      </c>
      <c r="D113">
        <v>52.6</v>
      </c>
      <c r="G113" t="s">
        <v>87</v>
      </c>
      <c r="H113">
        <v>696603488</v>
      </c>
      <c r="I113" t="s">
        <v>29</v>
      </c>
      <c r="J113" t="s">
        <v>29</v>
      </c>
      <c r="K113" t="str">
        <f>IF(Table3[[#This Row],[Type Received]]=2,"CC",(IF(Table3[[#This Row],[Type Received]]=3,"BILL","ACH")))</f>
        <v>ACH</v>
      </c>
    </row>
    <row r="114" spans="1:11" x14ac:dyDescent="0.25">
      <c r="A114">
        <v>256183</v>
      </c>
      <c r="B114" s="3">
        <v>46169</v>
      </c>
      <c r="C114">
        <v>2</v>
      </c>
      <c r="D114">
        <v>229.64</v>
      </c>
      <c r="F114">
        <v>53222</v>
      </c>
      <c r="G114">
        <v>749271671</v>
      </c>
      <c r="H114">
        <v>355969077</v>
      </c>
      <c r="J114" t="s">
        <v>29</v>
      </c>
      <c r="K114" t="str">
        <f>IF(Table3[[#This Row],[Type Received]]=2,"CC",(IF(Table3[[#This Row],[Type Received]]=3,"BILL","ACH")))</f>
        <v>CC</v>
      </c>
    </row>
    <row r="115" spans="1:11" x14ac:dyDescent="0.25">
      <c r="A115">
        <v>256185</v>
      </c>
      <c r="B115" s="3">
        <v>46167</v>
      </c>
      <c r="C115">
        <v>1</v>
      </c>
      <c r="D115">
        <v>72.73</v>
      </c>
      <c r="G115" t="s">
        <v>85</v>
      </c>
      <c r="H115">
        <v>818310529</v>
      </c>
      <c r="I115" t="s">
        <v>29</v>
      </c>
      <c r="K115" t="str">
        <f>IF(Table3[[#This Row],[Type Received]]=2,"CC",(IF(Table3[[#This Row],[Type Received]]=3,"BILL","ACH")))</f>
        <v>ACH</v>
      </c>
    </row>
    <row r="116" spans="1:11" x14ac:dyDescent="0.25">
      <c r="A116">
        <v>256188</v>
      </c>
      <c r="B116" s="3">
        <v>46145</v>
      </c>
      <c r="C116">
        <v>2</v>
      </c>
      <c r="D116">
        <v>317.23</v>
      </c>
      <c r="F116">
        <v>98407</v>
      </c>
      <c r="G116">
        <v>742039970</v>
      </c>
      <c r="H116">
        <v>353337623</v>
      </c>
      <c r="K116" t="str">
        <f>IF(Table3[[#This Row],[Type Received]]=2,"CC",(IF(Table3[[#This Row],[Type Received]]=3,"BILL","ACH")))</f>
        <v>CC</v>
      </c>
    </row>
    <row r="117" spans="1:11" x14ac:dyDescent="0.25">
      <c r="A117">
        <v>256204</v>
      </c>
      <c r="B117" s="3">
        <v>46157</v>
      </c>
      <c r="C117">
        <v>1</v>
      </c>
      <c r="D117">
        <v>83.29</v>
      </c>
      <c r="G117" t="s">
        <v>87</v>
      </c>
      <c r="H117">
        <v>696610297</v>
      </c>
      <c r="I117" t="s">
        <v>29</v>
      </c>
      <c r="J117" t="s">
        <v>29</v>
      </c>
      <c r="K117" t="str">
        <f>IF(Table3[[#This Row],[Type Received]]=2,"CC",(IF(Table3[[#This Row],[Type Received]]=3,"BILL","ACH")))</f>
        <v>ACH</v>
      </c>
    </row>
    <row r="118" spans="1:11" x14ac:dyDescent="0.25">
      <c r="A118">
        <v>256207</v>
      </c>
      <c r="B118" s="3">
        <v>46144</v>
      </c>
      <c r="C118">
        <v>1</v>
      </c>
      <c r="D118">
        <v>39.29</v>
      </c>
      <c r="G118" t="s">
        <v>89</v>
      </c>
      <c r="H118">
        <v>535325775</v>
      </c>
      <c r="I118" t="s">
        <v>29</v>
      </c>
      <c r="J118" t="s">
        <v>29</v>
      </c>
      <c r="K118" t="str">
        <f>IF(Table3[[#This Row],[Type Received]]=2,"CC",(IF(Table3[[#This Row],[Type Received]]=3,"BILL","ACH")))</f>
        <v>ACH</v>
      </c>
    </row>
    <row r="119" spans="1:11" x14ac:dyDescent="0.25">
      <c r="A119">
        <v>256209</v>
      </c>
      <c r="B119" s="3">
        <v>46169</v>
      </c>
      <c r="C119">
        <v>2</v>
      </c>
      <c r="D119">
        <v>110.04</v>
      </c>
      <c r="F119">
        <v>520013</v>
      </c>
      <c r="G119" t="s">
        <v>28</v>
      </c>
      <c r="H119">
        <v>843018444</v>
      </c>
      <c r="I119" t="s">
        <v>29</v>
      </c>
      <c r="J119" t="s">
        <v>29</v>
      </c>
      <c r="K119" t="str">
        <f>IF(Table3[[#This Row],[Type Received]]=2,"CC",(IF(Table3[[#This Row],[Type Received]]=3,"BILL","ACH")))</f>
        <v>CC</v>
      </c>
    </row>
    <row r="120" spans="1:11" x14ac:dyDescent="0.25">
      <c r="A120">
        <v>256216</v>
      </c>
      <c r="B120" s="3">
        <v>46155</v>
      </c>
      <c r="C120">
        <v>2</v>
      </c>
      <c r="D120">
        <v>34.450000000000003</v>
      </c>
      <c r="F120">
        <v>182854</v>
      </c>
      <c r="G120" t="s">
        <v>28</v>
      </c>
      <c r="H120">
        <v>669426833</v>
      </c>
      <c r="I120" t="s">
        <v>29</v>
      </c>
      <c r="J120" t="s">
        <v>29</v>
      </c>
      <c r="K120" t="str">
        <f>IF(Table3[[#This Row],[Type Received]]=2,"CC",(IF(Table3[[#This Row],[Type Received]]=3,"BILL","ACH")))</f>
        <v>CC</v>
      </c>
    </row>
    <row r="121" spans="1:11" x14ac:dyDescent="0.25">
      <c r="A121">
        <v>256220</v>
      </c>
      <c r="B121" s="3">
        <v>46157</v>
      </c>
      <c r="C121">
        <v>1</v>
      </c>
      <c r="D121">
        <v>50.95</v>
      </c>
      <c r="G121" t="s">
        <v>87</v>
      </c>
      <c r="H121">
        <v>696601617</v>
      </c>
      <c r="I121" t="s">
        <v>29</v>
      </c>
      <c r="J121" t="s">
        <v>29</v>
      </c>
      <c r="K121" t="str">
        <f>IF(Table3[[#This Row],[Type Received]]=2,"CC",(IF(Table3[[#This Row],[Type Received]]=3,"BILL","ACH")))</f>
        <v>ACH</v>
      </c>
    </row>
    <row r="122" spans="1:11" x14ac:dyDescent="0.25">
      <c r="A122">
        <v>256241</v>
      </c>
      <c r="B122" s="3">
        <v>46167</v>
      </c>
      <c r="C122">
        <v>1</v>
      </c>
      <c r="D122">
        <v>41.38</v>
      </c>
      <c r="G122" s="4" t="s">
        <v>85</v>
      </c>
      <c r="H122">
        <v>818322154</v>
      </c>
      <c r="I122" t="s">
        <v>29</v>
      </c>
      <c r="J122" t="s">
        <v>29</v>
      </c>
      <c r="K122" t="str">
        <f>IF(Table3[[#This Row],[Type Received]]=2,"CC",(IF(Table3[[#This Row],[Type Received]]=3,"BILL","ACH")))</f>
        <v>ACH</v>
      </c>
    </row>
    <row r="123" spans="1:11" x14ac:dyDescent="0.25">
      <c r="A123">
        <v>256242</v>
      </c>
      <c r="B123" s="3">
        <v>46144</v>
      </c>
      <c r="C123">
        <v>1</v>
      </c>
      <c r="D123">
        <v>118.6</v>
      </c>
      <c r="G123" t="s">
        <v>89</v>
      </c>
      <c r="H123">
        <v>535328731</v>
      </c>
      <c r="I123" t="s">
        <v>29</v>
      </c>
      <c r="J123" t="s">
        <v>29</v>
      </c>
      <c r="K123" t="str">
        <f>IF(Table3[[#This Row],[Type Received]]=2,"CC",(IF(Table3[[#This Row],[Type Received]]=3,"BILL","ACH")))</f>
        <v>ACH</v>
      </c>
    </row>
    <row r="124" spans="1:11" x14ac:dyDescent="0.25">
      <c r="A124">
        <v>256251</v>
      </c>
      <c r="B124" s="3">
        <v>46147</v>
      </c>
      <c r="C124">
        <v>1</v>
      </c>
      <c r="D124">
        <v>43.25</v>
      </c>
      <c r="G124" s="4" t="s">
        <v>86</v>
      </c>
      <c r="H124">
        <v>569465936</v>
      </c>
      <c r="I124" t="s">
        <v>29</v>
      </c>
      <c r="J124" t="s">
        <v>29</v>
      </c>
      <c r="K124" t="str">
        <f>IF(Table3[[#This Row],[Type Received]]=2,"CC",(IF(Table3[[#This Row],[Type Received]]=3,"BILL","ACH")))</f>
        <v>ACH</v>
      </c>
    </row>
    <row r="125" spans="1:11" x14ac:dyDescent="0.25">
      <c r="A125">
        <v>256253</v>
      </c>
      <c r="B125" s="3">
        <v>46155</v>
      </c>
      <c r="C125">
        <v>2</v>
      </c>
      <c r="D125">
        <v>58.43</v>
      </c>
      <c r="F125">
        <v>142472</v>
      </c>
      <c r="G125" t="s">
        <v>28</v>
      </c>
      <c r="H125">
        <v>669434738</v>
      </c>
      <c r="I125" t="s">
        <v>29</v>
      </c>
      <c r="J125" t="s">
        <v>29</v>
      </c>
      <c r="K125" t="str">
        <f>IF(Table3[[#This Row],[Type Received]]=2,"CC",(IF(Table3[[#This Row],[Type Received]]=3,"BILL","ACH")))</f>
        <v>CC</v>
      </c>
    </row>
    <row r="126" spans="1:11" x14ac:dyDescent="0.25">
      <c r="A126">
        <v>256254</v>
      </c>
      <c r="B126" s="3">
        <v>46144</v>
      </c>
      <c r="C126">
        <v>1</v>
      </c>
      <c r="D126">
        <v>105.07</v>
      </c>
      <c r="G126" t="s">
        <v>89</v>
      </c>
      <c r="H126">
        <v>535336444</v>
      </c>
      <c r="I126" t="s">
        <v>29</v>
      </c>
      <c r="K126" t="str">
        <f>IF(Table3[[#This Row],[Type Received]]=2,"CC",(IF(Table3[[#This Row],[Type Received]]=3,"BILL","ACH")))</f>
        <v>ACH</v>
      </c>
    </row>
    <row r="127" spans="1:11" x14ac:dyDescent="0.25">
      <c r="A127">
        <v>256257</v>
      </c>
      <c r="B127" s="3">
        <v>46157</v>
      </c>
      <c r="C127">
        <v>1</v>
      </c>
      <c r="D127">
        <v>43.25</v>
      </c>
      <c r="G127" t="s">
        <v>87</v>
      </c>
      <c r="H127">
        <v>696607463</v>
      </c>
      <c r="I127" t="s">
        <v>29</v>
      </c>
      <c r="K127" t="str">
        <f>IF(Table3[[#This Row],[Type Received]]=2,"CC",(IF(Table3[[#This Row],[Type Received]]=3,"BILL","ACH")))</f>
        <v>ACH</v>
      </c>
    </row>
    <row r="128" spans="1:11" x14ac:dyDescent="0.25">
      <c r="A128">
        <v>256258</v>
      </c>
      <c r="B128" s="3">
        <v>46157</v>
      </c>
      <c r="C128">
        <v>1</v>
      </c>
      <c r="D128">
        <v>49.41</v>
      </c>
      <c r="G128" t="s">
        <v>87</v>
      </c>
      <c r="H128">
        <v>696600610</v>
      </c>
      <c r="I128" t="s">
        <v>29</v>
      </c>
      <c r="J128" t="s">
        <v>29</v>
      </c>
      <c r="K128" t="str">
        <f>IF(Table3[[#This Row],[Type Received]]=2,"CC",(IF(Table3[[#This Row],[Type Received]]=3,"BILL","ACH")))</f>
        <v>ACH</v>
      </c>
    </row>
    <row r="129" spans="1:11" x14ac:dyDescent="0.25">
      <c r="A129">
        <v>256264</v>
      </c>
      <c r="B129" s="3">
        <v>46155</v>
      </c>
      <c r="C129">
        <v>2</v>
      </c>
      <c r="D129">
        <v>87.03</v>
      </c>
      <c r="F129">
        <v>246777</v>
      </c>
      <c r="G129" t="s">
        <v>28</v>
      </c>
      <c r="H129">
        <v>669434740</v>
      </c>
      <c r="I129" t="s">
        <v>29</v>
      </c>
      <c r="J129" t="s">
        <v>29</v>
      </c>
      <c r="K129" t="str">
        <f>IF(Table3[[#This Row],[Type Received]]=2,"CC",(IF(Table3[[#This Row],[Type Received]]=3,"BILL","ACH")))</f>
        <v>CC</v>
      </c>
    </row>
    <row r="130" spans="1:11" x14ac:dyDescent="0.25">
      <c r="A130">
        <v>256269</v>
      </c>
      <c r="B130" s="3">
        <v>46167</v>
      </c>
      <c r="C130">
        <v>1</v>
      </c>
      <c r="D130">
        <v>74.27</v>
      </c>
      <c r="G130" t="s">
        <v>85</v>
      </c>
      <c r="H130">
        <v>818297045</v>
      </c>
      <c r="I130" t="s">
        <v>29</v>
      </c>
      <c r="J130" t="s">
        <v>29</v>
      </c>
      <c r="K130" t="str">
        <f>IF(Table3[[#This Row],[Type Received]]=2,"CC",(IF(Table3[[#This Row],[Type Received]]=3,"BILL","ACH")))</f>
        <v>ACH</v>
      </c>
    </row>
    <row r="131" spans="1:11" x14ac:dyDescent="0.25">
      <c r="A131">
        <v>256270</v>
      </c>
      <c r="B131" s="3">
        <v>46157</v>
      </c>
      <c r="C131">
        <v>1</v>
      </c>
      <c r="D131">
        <v>77.680000000000007</v>
      </c>
      <c r="G131" t="s">
        <v>87</v>
      </c>
      <c r="H131">
        <v>696609382</v>
      </c>
      <c r="I131" t="s">
        <v>29</v>
      </c>
      <c r="J131" t="s">
        <v>29</v>
      </c>
      <c r="K131" t="str">
        <f>IF(Table3[[#This Row],[Type Received]]=2,"CC",(IF(Table3[[#This Row],[Type Received]]=3,"BILL","ACH")))</f>
        <v>ACH</v>
      </c>
    </row>
    <row r="132" spans="1:11" x14ac:dyDescent="0.25">
      <c r="A132">
        <v>256272</v>
      </c>
      <c r="B132" s="3">
        <v>46157</v>
      </c>
      <c r="C132">
        <v>1</v>
      </c>
      <c r="D132">
        <v>55.9</v>
      </c>
      <c r="G132" t="s">
        <v>87</v>
      </c>
      <c r="H132">
        <v>696614179</v>
      </c>
      <c r="I132" t="s">
        <v>29</v>
      </c>
      <c r="J132" t="s">
        <v>29</v>
      </c>
      <c r="K132" t="str">
        <f>IF(Table3[[#This Row],[Type Received]]=2,"CC",(IF(Table3[[#This Row],[Type Received]]=3,"BILL","ACH")))</f>
        <v>ACH</v>
      </c>
    </row>
    <row r="133" spans="1:11" x14ac:dyDescent="0.25">
      <c r="A133">
        <v>256281</v>
      </c>
      <c r="B133" s="3">
        <v>46157</v>
      </c>
      <c r="C133">
        <v>1</v>
      </c>
      <c r="D133">
        <v>114.09</v>
      </c>
      <c r="G133" t="s">
        <v>87</v>
      </c>
      <c r="H133">
        <v>696694154</v>
      </c>
      <c r="I133" t="s">
        <v>29</v>
      </c>
      <c r="J133" t="s">
        <v>29</v>
      </c>
      <c r="K133" t="str">
        <f>IF(Table3[[#This Row],[Type Received]]=2,"CC",(IF(Table3[[#This Row],[Type Received]]=3,"BILL","ACH")))</f>
        <v>ACH</v>
      </c>
    </row>
    <row r="134" spans="1:11" x14ac:dyDescent="0.25">
      <c r="A134">
        <v>256282</v>
      </c>
      <c r="B134" s="3">
        <v>46157</v>
      </c>
      <c r="C134">
        <v>1</v>
      </c>
      <c r="D134">
        <v>52.93</v>
      </c>
      <c r="G134" t="s">
        <v>87</v>
      </c>
      <c r="H134">
        <v>696594969</v>
      </c>
      <c r="I134" t="s">
        <v>29</v>
      </c>
      <c r="J134" t="s">
        <v>29</v>
      </c>
      <c r="K134" t="str">
        <f>IF(Table3[[#This Row],[Type Received]]=2,"CC",(IF(Table3[[#This Row],[Type Received]]=3,"BILL","ACH")))</f>
        <v>ACH</v>
      </c>
    </row>
    <row r="135" spans="1:11" x14ac:dyDescent="0.25">
      <c r="A135">
        <v>256291</v>
      </c>
      <c r="B135" s="3">
        <v>46144</v>
      </c>
      <c r="C135">
        <v>1</v>
      </c>
      <c r="D135">
        <v>62.17</v>
      </c>
      <c r="G135" t="s">
        <v>89</v>
      </c>
      <c r="H135">
        <v>535332692</v>
      </c>
      <c r="I135" t="s">
        <v>29</v>
      </c>
      <c r="J135" t="s">
        <v>29</v>
      </c>
      <c r="K135" t="str">
        <f>IF(Table3[[#This Row],[Type Received]]=2,"CC",(IF(Table3[[#This Row],[Type Received]]=3,"BILL","ACH")))</f>
        <v>ACH</v>
      </c>
    </row>
    <row r="136" spans="1:11" x14ac:dyDescent="0.25">
      <c r="A136">
        <v>256295</v>
      </c>
      <c r="B136" s="3">
        <v>46167</v>
      </c>
      <c r="C136">
        <v>1</v>
      </c>
      <c r="D136">
        <v>72.400000000000006</v>
      </c>
      <c r="G136" t="s">
        <v>85</v>
      </c>
      <c r="H136">
        <v>818319392</v>
      </c>
      <c r="I136" t="s">
        <v>29</v>
      </c>
      <c r="J136" t="s">
        <v>29</v>
      </c>
      <c r="K136" t="str">
        <f>IF(Table3[[#This Row],[Type Received]]=2,"CC",(IF(Table3[[#This Row],[Type Received]]=3,"BILL","ACH")))</f>
        <v>ACH</v>
      </c>
    </row>
    <row r="137" spans="1:11" x14ac:dyDescent="0.25">
      <c r="A137">
        <v>256317</v>
      </c>
      <c r="B137" s="3">
        <v>46167</v>
      </c>
      <c r="C137">
        <v>1</v>
      </c>
      <c r="D137">
        <v>77.02</v>
      </c>
      <c r="G137" t="s">
        <v>85</v>
      </c>
      <c r="H137">
        <v>818317477</v>
      </c>
      <c r="I137" t="s">
        <v>29</v>
      </c>
      <c r="K137" t="str">
        <f>IF(Table3[[#This Row],[Type Received]]=2,"CC",(IF(Table3[[#This Row],[Type Received]]=3,"BILL","ACH")))</f>
        <v>ACH</v>
      </c>
    </row>
    <row r="138" spans="1:11" x14ac:dyDescent="0.25">
      <c r="A138">
        <v>256318</v>
      </c>
      <c r="B138" s="3">
        <v>46144</v>
      </c>
      <c r="C138">
        <v>1</v>
      </c>
      <c r="D138">
        <v>59.86</v>
      </c>
      <c r="G138" t="s">
        <v>89</v>
      </c>
      <c r="H138">
        <v>535339402</v>
      </c>
      <c r="I138" t="s">
        <v>29</v>
      </c>
      <c r="K138" t="str">
        <f>IF(Table3[[#This Row],[Type Received]]=2,"CC",(IF(Table3[[#This Row],[Type Received]]=3,"BILL","ACH")))</f>
        <v>ACH</v>
      </c>
    </row>
    <row r="139" spans="1:11" x14ac:dyDescent="0.25">
      <c r="A139">
        <v>256327</v>
      </c>
      <c r="B139" s="3">
        <v>46144</v>
      </c>
      <c r="C139">
        <v>1</v>
      </c>
      <c r="D139">
        <v>46.55</v>
      </c>
      <c r="G139" s="4" t="s">
        <v>89</v>
      </c>
      <c r="H139">
        <v>535345201</v>
      </c>
      <c r="I139" t="s">
        <v>29</v>
      </c>
      <c r="J139" t="s">
        <v>29</v>
      </c>
      <c r="K139" t="str">
        <f>IF(Table3[[#This Row],[Type Received]]=2,"CC",(IF(Table3[[#This Row],[Type Received]]=3,"BILL","ACH")))</f>
        <v>ACH</v>
      </c>
    </row>
    <row r="140" spans="1:11" x14ac:dyDescent="0.25">
      <c r="A140">
        <v>256333</v>
      </c>
      <c r="B140" s="3">
        <v>46157</v>
      </c>
      <c r="C140">
        <v>1</v>
      </c>
      <c r="D140">
        <v>85.93</v>
      </c>
      <c r="G140" t="s">
        <v>87</v>
      </c>
      <c r="H140">
        <v>696619102</v>
      </c>
      <c r="I140" t="s">
        <v>29</v>
      </c>
      <c r="J140" t="s">
        <v>29</v>
      </c>
      <c r="K140" t="str">
        <f>IF(Table3[[#This Row],[Type Received]]=2,"CC",(IF(Table3[[#This Row],[Type Received]]=3,"BILL","ACH")))</f>
        <v>ACH</v>
      </c>
    </row>
    <row r="141" spans="1:11" x14ac:dyDescent="0.25">
      <c r="A141">
        <v>256334</v>
      </c>
      <c r="B141" s="3">
        <v>46157</v>
      </c>
      <c r="C141">
        <v>1</v>
      </c>
      <c r="D141">
        <v>68.77</v>
      </c>
      <c r="G141" t="s">
        <v>87</v>
      </c>
      <c r="H141">
        <v>696596822</v>
      </c>
      <c r="I141" t="s">
        <v>29</v>
      </c>
      <c r="J141" t="s">
        <v>29</v>
      </c>
      <c r="K141" t="str">
        <f>IF(Table3[[#This Row],[Type Received]]=2,"CC",(IF(Table3[[#This Row],[Type Received]]=3,"BILL","ACH")))</f>
        <v>ACH</v>
      </c>
    </row>
    <row r="142" spans="1:11" x14ac:dyDescent="0.25">
      <c r="A142">
        <v>256341</v>
      </c>
      <c r="B142" s="3">
        <v>46155</v>
      </c>
      <c r="C142">
        <v>2</v>
      </c>
      <c r="D142">
        <v>150.28</v>
      </c>
      <c r="F142">
        <v>169834</v>
      </c>
      <c r="G142" s="4" t="s">
        <v>28</v>
      </c>
      <c r="H142">
        <v>669446241</v>
      </c>
      <c r="I142" t="s">
        <v>29</v>
      </c>
      <c r="J142" t="s">
        <v>29</v>
      </c>
      <c r="K142" t="str">
        <f>IF(Table3[[#This Row],[Type Received]]=2,"CC",(IF(Table3[[#This Row],[Type Received]]=3,"BILL","ACH")))</f>
        <v>CC</v>
      </c>
    </row>
    <row r="143" spans="1:11" x14ac:dyDescent="0.25">
      <c r="A143">
        <v>256344</v>
      </c>
      <c r="B143" s="3">
        <v>46167</v>
      </c>
      <c r="C143">
        <v>1</v>
      </c>
      <c r="D143">
        <v>178.66</v>
      </c>
      <c r="G143" t="s">
        <v>85</v>
      </c>
      <c r="H143">
        <v>818325178</v>
      </c>
      <c r="I143" t="s">
        <v>29</v>
      </c>
      <c r="J143" t="s">
        <v>29</v>
      </c>
      <c r="K143" t="str">
        <f>IF(Table3[[#This Row],[Type Received]]=2,"CC",(IF(Table3[[#This Row],[Type Received]]=3,"BILL","ACH")))</f>
        <v>ACH</v>
      </c>
    </row>
    <row r="144" spans="1:11" x14ac:dyDescent="0.25">
      <c r="A144">
        <v>256356</v>
      </c>
      <c r="B144" s="3">
        <v>46144</v>
      </c>
      <c r="C144">
        <v>1</v>
      </c>
      <c r="D144">
        <v>38.409999999999997</v>
      </c>
      <c r="G144" s="4" t="s">
        <v>89</v>
      </c>
      <c r="H144">
        <v>535330732</v>
      </c>
      <c r="I144" t="s">
        <v>29</v>
      </c>
      <c r="K144" t="str">
        <f>IF(Table3[[#This Row],[Type Received]]=2,"CC",(IF(Table3[[#This Row],[Type Received]]=3,"BILL","ACH")))</f>
        <v>ACH</v>
      </c>
    </row>
    <row r="145" spans="1:11" x14ac:dyDescent="0.25">
      <c r="A145">
        <v>256364</v>
      </c>
      <c r="B145" s="3">
        <v>46155</v>
      </c>
      <c r="C145">
        <v>2</v>
      </c>
      <c r="D145">
        <v>116.95</v>
      </c>
      <c r="F145" t="s">
        <v>96</v>
      </c>
      <c r="G145" t="s">
        <v>28</v>
      </c>
      <c r="H145">
        <v>669420070</v>
      </c>
      <c r="I145" t="s">
        <v>29</v>
      </c>
      <c r="J145" t="s">
        <v>29</v>
      </c>
      <c r="K145" t="str">
        <f>IF(Table3[[#This Row],[Type Received]]=2,"CC",(IF(Table3[[#This Row],[Type Received]]=3,"BILL","ACH")))</f>
        <v>CC</v>
      </c>
    </row>
    <row r="146" spans="1:11" x14ac:dyDescent="0.25">
      <c r="A146">
        <v>256366</v>
      </c>
      <c r="B146" s="3">
        <v>46155</v>
      </c>
      <c r="C146">
        <v>2</v>
      </c>
      <c r="D146">
        <v>105.51</v>
      </c>
      <c r="F146">
        <v>38487</v>
      </c>
      <c r="G146" t="s">
        <v>28</v>
      </c>
      <c r="H146">
        <v>669422993</v>
      </c>
      <c r="I146" t="s">
        <v>29</v>
      </c>
      <c r="J146" t="s">
        <v>29</v>
      </c>
      <c r="K146" t="str">
        <f>IF(Table3[[#This Row],[Type Received]]=2,"CC",(IF(Table3[[#This Row],[Type Received]]=3,"BILL","ACH")))</f>
        <v>CC</v>
      </c>
    </row>
    <row r="147" spans="1:11" x14ac:dyDescent="0.25">
      <c r="A147">
        <v>256369</v>
      </c>
      <c r="B147" s="3">
        <v>46169</v>
      </c>
      <c r="C147">
        <v>3</v>
      </c>
      <c r="D147">
        <v>117.3</v>
      </c>
      <c r="E147">
        <v>7306</v>
      </c>
      <c r="K147" t="str">
        <f>IF(Table3[[#This Row],[Type Received]]=2,"CC",(IF(Table3[[#This Row],[Type Received]]=3,"BILL","ACH")))</f>
        <v>BILL</v>
      </c>
    </row>
    <row r="148" spans="1:11" x14ac:dyDescent="0.25">
      <c r="A148">
        <v>256378</v>
      </c>
      <c r="B148" s="3">
        <v>46144</v>
      </c>
      <c r="C148">
        <v>2</v>
      </c>
      <c r="D148">
        <v>39.950000000000003</v>
      </c>
      <c r="F148" t="s">
        <v>97</v>
      </c>
      <c r="G148" t="s">
        <v>28</v>
      </c>
      <c r="H148">
        <v>535346154</v>
      </c>
      <c r="I148" t="s">
        <v>29</v>
      </c>
      <c r="J148" t="s">
        <v>29</v>
      </c>
      <c r="K148" t="str">
        <f>IF(Table3[[#This Row],[Type Received]]=2,"CC",(IF(Table3[[#This Row],[Type Received]]=3,"BILL","ACH")))</f>
        <v>CC</v>
      </c>
    </row>
    <row r="149" spans="1:11" x14ac:dyDescent="0.25">
      <c r="A149">
        <v>256381</v>
      </c>
      <c r="B149" s="3">
        <v>46157</v>
      </c>
      <c r="C149">
        <v>1</v>
      </c>
      <c r="D149">
        <v>109.36</v>
      </c>
      <c r="G149" t="s">
        <v>87</v>
      </c>
      <c r="H149">
        <v>696617152</v>
      </c>
      <c r="I149" t="s">
        <v>29</v>
      </c>
      <c r="J149" t="s">
        <v>29</v>
      </c>
      <c r="K149" t="str">
        <f>IF(Table3[[#This Row],[Type Received]]=2,"CC",(IF(Table3[[#This Row],[Type Received]]=3,"BILL","ACH")))</f>
        <v>ACH</v>
      </c>
    </row>
    <row r="150" spans="1:11" x14ac:dyDescent="0.25">
      <c r="A150">
        <v>256387</v>
      </c>
      <c r="B150" s="3">
        <v>46143</v>
      </c>
      <c r="C150">
        <v>2</v>
      </c>
      <c r="D150">
        <v>75.040000000000006</v>
      </c>
      <c r="F150" t="s">
        <v>98</v>
      </c>
      <c r="G150" t="s">
        <v>28</v>
      </c>
      <c r="H150">
        <v>522223936</v>
      </c>
      <c r="I150" t="s">
        <v>29</v>
      </c>
      <c r="J150" t="s">
        <v>29</v>
      </c>
      <c r="K150" t="str">
        <f>IF(Table3[[#This Row],[Type Received]]=2,"CC",(IF(Table3[[#This Row],[Type Received]]=3,"BILL","ACH")))</f>
        <v>CC</v>
      </c>
    </row>
    <row r="151" spans="1:11" x14ac:dyDescent="0.25">
      <c r="A151">
        <v>256388</v>
      </c>
      <c r="B151" s="3">
        <v>46155</v>
      </c>
      <c r="C151">
        <v>2</v>
      </c>
      <c r="D151">
        <v>160.51</v>
      </c>
      <c r="F151" t="s">
        <v>99</v>
      </c>
      <c r="G151" t="s">
        <v>28</v>
      </c>
      <c r="H151">
        <v>669442442</v>
      </c>
      <c r="I151" t="s">
        <v>29</v>
      </c>
      <c r="J151" t="s">
        <v>29</v>
      </c>
      <c r="K151" t="str">
        <f>IF(Table3[[#This Row],[Type Received]]=2,"CC",(IF(Table3[[#This Row],[Type Received]]=3,"BILL","ACH")))</f>
        <v>CC</v>
      </c>
    </row>
    <row r="152" spans="1:11" x14ac:dyDescent="0.25">
      <c r="A152">
        <v>256393</v>
      </c>
      <c r="B152" s="3">
        <v>46144</v>
      </c>
      <c r="C152">
        <v>1</v>
      </c>
      <c r="D152">
        <v>67.45</v>
      </c>
      <c r="G152" t="s">
        <v>89</v>
      </c>
      <c r="H152">
        <v>535326855</v>
      </c>
      <c r="I152" t="s">
        <v>29</v>
      </c>
      <c r="J152" t="s">
        <v>29</v>
      </c>
      <c r="K152" t="str">
        <f>IF(Table3[[#This Row],[Type Received]]=2,"CC",(IF(Table3[[#This Row],[Type Received]]=3,"BILL","ACH")))</f>
        <v>ACH</v>
      </c>
    </row>
    <row r="153" spans="1:11" x14ac:dyDescent="0.25">
      <c r="A153">
        <v>256394</v>
      </c>
      <c r="B153" s="3">
        <v>46155</v>
      </c>
      <c r="C153">
        <v>1</v>
      </c>
      <c r="D153">
        <v>40.83</v>
      </c>
      <c r="G153" t="s">
        <v>90</v>
      </c>
      <c r="H153">
        <v>669440494</v>
      </c>
      <c r="I153" t="s">
        <v>29</v>
      </c>
      <c r="J153" t="s">
        <v>29</v>
      </c>
      <c r="K153" t="str">
        <f>IF(Table3[[#This Row],[Type Received]]=2,"CC",(IF(Table3[[#This Row],[Type Received]]=3,"BILL","ACH")))</f>
        <v>ACH</v>
      </c>
    </row>
    <row r="154" spans="1:11" x14ac:dyDescent="0.25">
      <c r="A154">
        <v>256397</v>
      </c>
      <c r="B154" s="3">
        <v>46167</v>
      </c>
      <c r="C154">
        <v>1</v>
      </c>
      <c r="D154">
        <v>61.18</v>
      </c>
      <c r="G154" t="s">
        <v>85</v>
      </c>
      <c r="H154">
        <v>818306840</v>
      </c>
      <c r="I154" t="s">
        <v>29</v>
      </c>
      <c r="K154" t="str">
        <f>IF(Table3[[#This Row],[Type Received]]=2,"CC",(IF(Table3[[#This Row],[Type Received]]=3,"BILL","ACH")))</f>
        <v>ACH</v>
      </c>
    </row>
    <row r="155" spans="1:11" x14ac:dyDescent="0.25">
      <c r="A155">
        <v>256401</v>
      </c>
      <c r="B155" s="3">
        <v>46147</v>
      </c>
      <c r="C155">
        <v>1</v>
      </c>
      <c r="D155">
        <v>71.41</v>
      </c>
      <c r="G155" t="s">
        <v>86</v>
      </c>
      <c r="H155">
        <v>569474585</v>
      </c>
      <c r="I155" t="s">
        <v>29</v>
      </c>
      <c r="J155" t="s">
        <v>29</v>
      </c>
      <c r="K155" t="str">
        <f>IF(Table3[[#This Row],[Type Received]]=2,"CC",(IF(Table3[[#This Row],[Type Received]]=3,"BILL","ACH")))</f>
        <v>ACH</v>
      </c>
    </row>
    <row r="156" spans="1:11" x14ac:dyDescent="0.25">
      <c r="A156">
        <v>256409</v>
      </c>
      <c r="B156" s="3">
        <v>46143</v>
      </c>
      <c r="C156">
        <v>2</v>
      </c>
      <c r="D156">
        <v>31.5</v>
      </c>
      <c r="F156">
        <v>391455</v>
      </c>
      <c r="G156">
        <v>741374152</v>
      </c>
      <c r="H156">
        <v>353121600</v>
      </c>
      <c r="J156" t="s">
        <v>29</v>
      </c>
      <c r="K156" t="str">
        <f>IF(Table3[[#This Row],[Type Received]]=2,"CC",(IF(Table3[[#This Row],[Type Received]]=3,"BILL","ACH")))</f>
        <v>CC</v>
      </c>
    </row>
    <row r="157" spans="1:11" x14ac:dyDescent="0.25">
      <c r="A157">
        <v>256412</v>
      </c>
      <c r="B157" s="3">
        <v>46144</v>
      </c>
      <c r="C157">
        <v>1</v>
      </c>
      <c r="D157">
        <v>64.150000000000006</v>
      </c>
      <c r="G157" t="s">
        <v>89</v>
      </c>
      <c r="H157">
        <v>535380357</v>
      </c>
      <c r="I157" t="s">
        <v>29</v>
      </c>
      <c r="J157" t="s">
        <v>29</v>
      </c>
      <c r="K157" t="str">
        <f>IF(Table3[[#This Row],[Type Received]]=2,"CC",(IF(Table3[[#This Row],[Type Received]]=3,"BILL","ACH")))</f>
        <v>ACH</v>
      </c>
    </row>
    <row r="158" spans="1:11" x14ac:dyDescent="0.25">
      <c r="A158">
        <v>256414</v>
      </c>
      <c r="B158" s="3">
        <v>46144</v>
      </c>
      <c r="C158">
        <v>2</v>
      </c>
      <c r="D158">
        <v>181.96</v>
      </c>
      <c r="F158">
        <v>165877</v>
      </c>
      <c r="G158" t="s">
        <v>28</v>
      </c>
      <c r="H158">
        <v>535380549</v>
      </c>
      <c r="I158" t="s">
        <v>29</v>
      </c>
      <c r="J158" t="s">
        <v>29</v>
      </c>
      <c r="K158" t="str">
        <f>IF(Table3[[#This Row],[Type Received]]=2,"CC",(IF(Table3[[#This Row],[Type Received]]=3,"BILL","ACH")))</f>
        <v>CC</v>
      </c>
    </row>
    <row r="159" spans="1:11" x14ac:dyDescent="0.25">
      <c r="A159">
        <v>256422</v>
      </c>
      <c r="B159" s="3">
        <v>46144</v>
      </c>
      <c r="C159">
        <v>1</v>
      </c>
      <c r="D159">
        <v>70.53</v>
      </c>
      <c r="G159" t="s">
        <v>89</v>
      </c>
      <c r="H159">
        <v>535333655</v>
      </c>
      <c r="I159" t="s">
        <v>29</v>
      </c>
      <c r="J159" t="s">
        <v>29</v>
      </c>
      <c r="K159" t="str">
        <f>IF(Table3[[#This Row],[Type Received]]=2,"CC",(IF(Table3[[#This Row],[Type Received]]=3,"BILL","ACH")))</f>
        <v>ACH</v>
      </c>
    </row>
    <row r="160" spans="1:11" x14ac:dyDescent="0.25">
      <c r="A160">
        <v>256431</v>
      </c>
      <c r="B160" s="3">
        <v>46167</v>
      </c>
      <c r="C160">
        <v>1</v>
      </c>
      <c r="D160">
        <v>72.95</v>
      </c>
      <c r="G160" t="s">
        <v>85</v>
      </c>
      <c r="H160">
        <v>818350160</v>
      </c>
      <c r="I160" t="s">
        <v>29</v>
      </c>
      <c r="J160" t="s">
        <v>29</v>
      </c>
      <c r="K160" t="str">
        <f>IF(Table3[[#This Row],[Type Received]]=2,"CC",(IF(Table3[[#This Row],[Type Received]]=3,"BILL","ACH")))</f>
        <v>ACH</v>
      </c>
    </row>
    <row r="161" spans="1:11" x14ac:dyDescent="0.25">
      <c r="A161">
        <v>256467</v>
      </c>
      <c r="B161" s="3">
        <v>46157</v>
      </c>
      <c r="C161">
        <v>1</v>
      </c>
      <c r="D161">
        <v>72.069999999999993</v>
      </c>
      <c r="G161" t="s">
        <v>87</v>
      </c>
      <c r="H161">
        <v>696608590</v>
      </c>
      <c r="I161" t="s">
        <v>29</v>
      </c>
      <c r="K161" t="str">
        <f>IF(Table3[[#This Row],[Type Received]]=2,"CC",(IF(Table3[[#This Row],[Type Received]]=3,"BILL","ACH")))</f>
        <v>ACH</v>
      </c>
    </row>
    <row r="162" spans="1:11" x14ac:dyDescent="0.25">
      <c r="A162">
        <v>256478</v>
      </c>
      <c r="B162" s="3">
        <v>46155</v>
      </c>
      <c r="C162">
        <v>2</v>
      </c>
      <c r="D162">
        <v>70.75</v>
      </c>
      <c r="F162" t="s">
        <v>100</v>
      </c>
      <c r="G162" s="4" t="s">
        <v>28</v>
      </c>
      <c r="H162">
        <v>669438637</v>
      </c>
      <c r="I162" t="s">
        <v>29</v>
      </c>
      <c r="K162" t="str">
        <f>IF(Table3[[#This Row],[Type Received]]=2,"CC",(IF(Table3[[#This Row],[Type Received]]=3,"BILL","ACH")))</f>
        <v>CC</v>
      </c>
    </row>
    <row r="163" spans="1:11" x14ac:dyDescent="0.25">
      <c r="A163">
        <v>256485</v>
      </c>
      <c r="B163" s="3">
        <v>46157</v>
      </c>
      <c r="C163">
        <v>1</v>
      </c>
      <c r="D163">
        <v>66.13</v>
      </c>
      <c r="G163" t="s">
        <v>87</v>
      </c>
      <c r="H163">
        <v>696596904</v>
      </c>
      <c r="I163" t="s">
        <v>29</v>
      </c>
      <c r="J163" t="s">
        <v>29</v>
      </c>
      <c r="K163" t="str">
        <f>IF(Table3[[#This Row],[Type Received]]=2,"CC",(IF(Table3[[#This Row],[Type Received]]=3,"BILL","ACH")))</f>
        <v>ACH</v>
      </c>
    </row>
    <row r="164" spans="1:11" x14ac:dyDescent="0.25">
      <c r="A164">
        <v>256488</v>
      </c>
      <c r="B164" s="3">
        <v>46157</v>
      </c>
      <c r="C164">
        <v>1</v>
      </c>
      <c r="D164">
        <v>72.290000000000006</v>
      </c>
      <c r="G164" t="s">
        <v>87</v>
      </c>
      <c r="H164">
        <v>696621150</v>
      </c>
      <c r="I164" t="s">
        <v>29</v>
      </c>
      <c r="J164" t="s">
        <v>29</v>
      </c>
      <c r="K164" t="str">
        <f>IF(Table3[[#This Row],[Type Received]]=2,"CC",(IF(Table3[[#This Row],[Type Received]]=3,"BILL","ACH")))</f>
        <v>ACH</v>
      </c>
    </row>
    <row r="165" spans="1:11" x14ac:dyDescent="0.25">
      <c r="A165">
        <v>256491</v>
      </c>
      <c r="B165" s="3">
        <v>46167</v>
      </c>
      <c r="C165">
        <v>1</v>
      </c>
      <c r="D165">
        <v>70.75</v>
      </c>
      <c r="G165" s="4" t="s">
        <v>85</v>
      </c>
      <c r="H165">
        <v>818311712</v>
      </c>
      <c r="I165" t="s">
        <v>29</v>
      </c>
      <c r="J165" t="s">
        <v>29</v>
      </c>
      <c r="K165" t="str">
        <f>IF(Table3[[#This Row],[Type Received]]=2,"CC",(IF(Table3[[#This Row],[Type Received]]=3,"BILL","ACH")))</f>
        <v>ACH</v>
      </c>
    </row>
    <row r="166" spans="1:11" x14ac:dyDescent="0.25">
      <c r="A166">
        <v>256496</v>
      </c>
      <c r="B166" s="3">
        <v>46144</v>
      </c>
      <c r="C166">
        <v>1</v>
      </c>
      <c r="D166">
        <v>78.67</v>
      </c>
      <c r="G166" t="s">
        <v>89</v>
      </c>
      <c r="H166">
        <v>535332765</v>
      </c>
      <c r="I166" t="s">
        <v>29</v>
      </c>
      <c r="J166" t="s">
        <v>29</v>
      </c>
      <c r="K166" t="str">
        <f>IF(Table3[[#This Row],[Type Received]]=2,"CC",(IF(Table3[[#This Row],[Type Received]]=3,"BILL","ACH")))</f>
        <v>ACH</v>
      </c>
    </row>
    <row r="167" spans="1:11" x14ac:dyDescent="0.25">
      <c r="A167">
        <v>256500</v>
      </c>
      <c r="B167" s="3">
        <v>46144</v>
      </c>
      <c r="C167">
        <v>1</v>
      </c>
      <c r="D167">
        <v>79.989999999999995</v>
      </c>
      <c r="G167" t="s">
        <v>89</v>
      </c>
      <c r="H167">
        <v>535327855</v>
      </c>
      <c r="I167" t="s">
        <v>29</v>
      </c>
      <c r="J167" t="s">
        <v>29</v>
      </c>
      <c r="K167" t="str">
        <f>IF(Table3[[#This Row],[Type Received]]=2,"CC",(IF(Table3[[#This Row],[Type Received]]=3,"BILL","ACH")))</f>
        <v>ACH</v>
      </c>
    </row>
    <row r="168" spans="1:11" x14ac:dyDescent="0.25">
      <c r="A168">
        <v>256502</v>
      </c>
      <c r="B168" s="3">
        <v>46144</v>
      </c>
      <c r="C168">
        <v>1</v>
      </c>
      <c r="D168">
        <v>71.19</v>
      </c>
      <c r="G168" s="4" t="s">
        <v>89</v>
      </c>
      <c r="H168">
        <v>535334592</v>
      </c>
      <c r="I168" t="s">
        <v>29</v>
      </c>
      <c r="J168" t="s">
        <v>29</v>
      </c>
      <c r="K168" t="str">
        <f>IF(Table3[[#This Row],[Type Received]]=2,"CC",(IF(Table3[[#This Row],[Type Received]]=3,"BILL","ACH")))</f>
        <v>ACH</v>
      </c>
    </row>
    <row r="169" spans="1:11" x14ac:dyDescent="0.25">
      <c r="A169">
        <v>256510</v>
      </c>
      <c r="B169" s="3">
        <v>46168</v>
      </c>
      <c r="C169">
        <v>3</v>
      </c>
      <c r="D169">
        <v>123.93</v>
      </c>
      <c r="E169">
        <v>50518</v>
      </c>
      <c r="K169" t="str">
        <f>IF(Table3[[#This Row],[Type Received]]=2,"CC",(IF(Table3[[#This Row],[Type Received]]=3,"BILL","ACH")))</f>
        <v>BILL</v>
      </c>
    </row>
    <row r="170" spans="1:11" x14ac:dyDescent="0.25">
      <c r="A170">
        <v>256527</v>
      </c>
      <c r="B170" s="3">
        <v>46167</v>
      </c>
      <c r="C170">
        <v>1</v>
      </c>
      <c r="D170">
        <v>118.27</v>
      </c>
      <c r="G170" t="s">
        <v>85</v>
      </c>
      <c r="H170">
        <v>818314640</v>
      </c>
      <c r="I170" t="s">
        <v>29</v>
      </c>
      <c r="J170" t="s">
        <v>29</v>
      </c>
      <c r="K170" t="str">
        <f>IF(Table3[[#This Row],[Type Received]]=2,"CC",(IF(Table3[[#This Row],[Type Received]]=3,"BILL","ACH")))</f>
        <v>ACH</v>
      </c>
    </row>
    <row r="171" spans="1:11" x14ac:dyDescent="0.25">
      <c r="A171">
        <v>256534</v>
      </c>
      <c r="B171" s="3">
        <v>46160</v>
      </c>
      <c r="C171">
        <v>2</v>
      </c>
      <c r="D171">
        <v>94.06</v>
      </c>
      <c r="F171">
        <v>91306</v>
      </c>
      <c r="G171" t="s">
        <v>28</v>
      </c>
      <c r="H171">
        <v>731788134</v>
      </c>
      <c r="I171" t="s">
        <v>29</v>
      </c>
      <c r="K171" t="str">
        <f>IF(Table3[[#This Row],[Type Received]]=2,"CC",(IF(Table3[[#This Row],[Type Received]]=3,"BILL","ACH")))</f>
        <v>CC</v>
      </c>
    </row>
    <row r="172" spans="1:11" x14ac:dyDescent="0.25">
      <c r="A172">
        <v>256546</v>
      </c>
      <c r="B172" s="3">
        <v>46167</v>
      </c>
      <c r="C172">
        <v>1</v>
      </c>
      <c r="D172">
        <v>81.09</v>
      </c>
      <c r="G172" t="s">
        <v>85</v>
      </c>
      <c r="H172">
        <v>818305025</v>
      </c>
      <c r="I172" t="s">
        <v>29</v>
      </c>
      <c r="K172" t="str">
        <f>IF(Table3[[#This Row],[Type Received]]=2,"CC",(IF(Table3[[#This Row],[Type Received]]=3,"BILL","ACH")))</f>
        <v>ACH</v>
      </c>
    </row>
    <row r="173" spans="1:11" x14ac:dyDescent="0.25">
      <c r="A173">
        <v>256548</v>
      </c>
      <c r="B173" s="3">
        <v>46157</v>
      </c>
      <c r="C173">
        <v>1</v>
      </c>
      <c r="D173">
        <v>70.75</v>
      </c>
      <c r="G173" t="s">
        <v>87</v>
      </c>
      <c r="H173">
        <v>696610543</v>
      </c>
      <c r="I173" t="s">
        <v>29</v>
      </c>
      <c r="J173" t="s">
        <v>29</v>
      </c>
      <c r="K173" t="str">
        <f>IF(Table3[[#This Row],[Type Received]]=2,"CC",(IF(Table3[[#This Row],[Type Received]]=3,"BILL","ACH")))</f>
        <v>ACH</v>
      </c>
    </row>
    <row r="174" spans="1:11" x14ac:dyDescent="0.25">
      <c r="A174">
        <v>256558</v>
      </c>
      <c r="B174" s="3">
        <v>46155</v>
      </c>
      <c r="C174">
        <v>2</v>
      </c>
      <c r="D174">
        <v>62.83</v>
      </c>
      <c r="F174" t="s">
        <v>101</v>
      </c>
      <c r="G174" t="s">
        <v>28</v>
      </c>
      <c r="H174">
        <v>669431792</v>
      </c>
      <c r="I174" t="s">
        <v>29</v>
      </c>
      <c r="J174" t="s">
        <v>29</v>
      </c>
      <c r="K174" t="str">
        <f>IF(Table3[[#This Row],[Type Received]]=2,"CC",(IF(Table3[[#This Row],[Type Received]]=3,"BILL","ACH")))</f>
        <v>CC</v>
      </c>
    </row>
    <row r="175" spans="1:11" x14ac:dyDescent="0.25">
      <c r="A175">
        <v>256563</v>
      </c>
      <c r="B175" s="3">
        <v>46144</v>
      </c>
      <c r="C175">
        <v>2</v>
      </c>
      <c r="D175">
        <v>43.69</v>
      </c>
      <c r="F175">
        <v>70107</v>
      </c>
      <c r="G175" s="4" t="s">
        <v>28</v>
      </c>
      <c r="H175">
        <v>535344288</v>
      </c>
      <c r="I175" t="s">
        <v>29</v>
      </c>
      <c r="K175" t="str">
        <f>IF(Table3[[#This Row],[Type Received]]=2,"CC",(IF(Table3[[#This Row],[Type Received]]=3,"BILL","ACH")))</f>
        <v>CC</v>
      </c>
    </row>
    <row r="176" spans="1:11" x14ac:dyDescent="0.25">
      <c r="A176">
        <v>256566</v>
      </c>
      <c r="B176" s="3">
        <v>46150</v>
      </c>
      <c r="C176">
        <v>2</v>
      </c>
      <c r="D176">
        <v>83.64</v>
      </c>
      <c r="F176">
        <v>720434</v>
      </c>
      <c r="G176" t="s">
        <v>28</v>
      </c>
      <c r="H176">
        <v>613192309</v>
      </c>
      <c r="I176" t="s">
        <v>29</v>
      </c>
      <c r="K176" t="str">
        <f>IF(Table3[[#This Row],[Type Received]]=2,"CC",(IF(Table3[[#This Row],[Type Received]]=3,"BILL","ACH")))</f>
        <v>CC</v>
      </c>
    </row>
    <row r="177" spans="1:11" x14ac:dyDescent="0.25">
      <c r="A177">
        <v>256572</v>
      </c>
      <c r="B177" s="3">
        <v>46157</v>
      </c>
      <c r="C177">
        <v>1</v>
      </c>
      <c r="D177">
        <v>48.53</v>
      </c>
      <c r="G177" t="s">
        <v>87</v>
      </c>
      <c r="H177">
        <v>696612545</v>
      </c>
      <c r="I177" t="s">
        <v>29</v>
      </c>
      <c r="J177" t="s">
        <v>29</v>
      </c>
      <c r="K177" t="str">
        <f>IF(Table3[[#This Row],[Type Received]]=2,"CC",(IF(Table3[[#This Row],[Type Received]]=3,"BILL","ACH")))</f>
        <v>ACH</v>
      </c>
    </row>
    <row r="178" spans="1:11" x14ac:dyDescent="0.25">
      <c r="A178">
        <v>256575</v>
      </c>
      <c r="B178" s="3">
        <v>46161</v>
      </c>
      <c r="C178">
        <v>2</v>
      </c>
      <c r="D178">
        <v>197.11</v>
      </c>
      <c r="F178" t="s">
        <v>102</v>
      </c>
      <c r="G178" t="s">
        <v>28</v>
      </c>
      <c r="H178">
        <v>747491846</v>
      </c>
      <c r="I178" t="s">
        <v>29</v>
      </c>
      <c r="J178" t="s">
        <v>29</v>
      </c>
      <c r="K178" t="str">
        <f>IF(Table3[[#This Row],[Type Received]]=2,"CC",(IF(Table3[[#This Row],[Type Received]]=3,"BILL","ACH")))</f>
        <v>CC</v>
      </c>
    </row>
    <row r="179" spans="1:11" x14ac:dyDescent="0.25">
      <c r="A179">
        <v>256579</v>
      </c>
      <c r="B179" s="3">
        <v>46167</v>
      </c>
      <c r="C179">
        <v>1</v>
      </c>
      <c r="D179">
        <v>60.85</v>
      </c>
      <c r="G179" t="s">
        <v>85</v>
      </c>
      <c r="H179">
        <v>818310737</v>
      </c>
      <c r="I179" t="s">
        <v>29</v>
      </c>
      <c r="J179" t="s">
        <v>29</v>
      </c>
      <c r="K179" t="str">
        <f>IF(Table3[[#This Row],[Type Received]]=2,"CC",(IF(Table3[[#This Row],[Type Received]]=3,"BILL","ACH")))</f>
        <v>ACH</v>
      </c>
    </row>
    <row r="180" spans="1:11" x14ac:dyDescent="0.25">
      <c r="A180">
        <v>256580</v>
      </c>
      <c r="B180" s="3">
        <v>46143</v>
      </c>
      <c r="C180">
        <v>1</v>
      </c>
      <c r="D180">
        <v>111.34</v>
      </c>
      <c r="G180" t="s">
        <v>84</v>
      </c>
      <c r="H180">
        <v>522222946</v>
      </c>
      <c r="I180" t="s">
        <v>29</v>
      </c>
      <c r="J180" t="s">
        <v>29</v>
      </c>
      <c r="K180" t="str">
        <f>IF(Table3[[#This Row],[Type Received]]=2,"CC",(IF(Table3[[#This Row],[Type Received]]=3,"BILL","ACH")))</f>
        <v>ACH</v>
      </c>
    </row>
    <row r="181" spans="1:11" x14ac:dyDescent="0.25">
      <c r="A181">
        <v>256584</v>
      </c>
      <c r="B181" s="3">
        <v>46155</v>
      </c>
      <c r="C181">
        <v>2</v>
      </c>
      <c r="D181">
        <v>112.66</v>
      </c>
      <c r="F181" t="s">
        <v>103</v>
      </c>
      <c r="G181" s="4" t="s">
        <v>28</v>
      </c>
      <c r="H181">
        <v>669430810</v>
      </c>
      <c r="I181" t="s">
        <v>29</v>
      </c>
      <c r="J181" t="s">
        <v>29</v>
      </c>
      <c r="K181" t="str">
        <f>IF(Table3[[#This Row],[Type Received]]=2,"CC",(IF(Table3[[#This Row],[Type Received]]=3,"BILL","ACH")))</f>
        <v>CC</v>
      </c>
    </row>
    <row r="182" spans="1:11" x14ac:dyDescent="0.25">
      <c r="A182">
        <v>256585</v>
      </c>
      <c r="B182" s="3">
        <v>46144</v>
      </c>
      <c r="C182">
        <v>1</v>
      </c>
      <c r="D182">
        <v>77.349999999999994</v>
      </c>
      <c r="G182" t="s">
        <v>89</v>
      </c>
      <c r="H182">
        <v>535363489</v>
      </c>
      <c r="I182" t="s">
        <v>29</v>
      </c>
      <c r="J182" t="s">
        <v>29</v>
      </c>
      <c r="K182" t="str">
        <f>IF(Table3[[#This Row],[Type Received]]=2,"CC",(IF(Table3[[#This Row],[Type Received]]=3,"BILL","ACH")))</f>
        <v>ACH</v>
      </c>
    </row>
    <row r="183" spans="1:11" x14ac:dyDescent="0.25">
      <c r="A183">
        <v>256589</v>
      </c>
      <c r="B183" s="3">
        <v>46167</v>
      </c>
      <c r="C183">
        <v>1</v>
      </c>
      <c r="D183">
        <v>110.02</v>
      </c>
      <c r="G183" t="s">
        <v>85</v>
      </c>
      <c r="H183">
        <v>818322566</v>
      </c>
      <c r="I183" t="s">
        <v>29</v>
      </c>
      <c r="J183" t="s">
        <v>29</v>
      </c>
      <c r="K183" t="str">
        <f>IF(Table3[[#This Row],[Type Received]]=2,"CC",(IF(Table3[[#This Row],[Type Received]]=3,"BILL","ACH")))</f>
        <v>ACH</v>
      </c>
    </row>
    <row r="184" spans="1:11" x14ac:dyDescent="0.25">
      <c r="A184">
        <v>256590</v>
      </c>
      <c r="B184" s="3">
        <v>46167</v>
      </c>
      <c r="C184">
        <v>1</v>
      </c>
      <c r="D184">
        <v>72.400000000000006</v>
      </c>
      <c r="G184" t="s">
        <v>85</v>
      </c>
      <c r="H184">
        <v>818308879</v>
      </c>
      <c r="I184" t="s">
        <v>29</v>
      </c>
      <c r="J184" t="s">
        <v>29</v>
      </c>
      <c r="K184" t="str">
        <f>IF(Table3[[#This Row],[Type Received]]=2,"CC",(IF(Table3[[#This Row],[Type Received]]=3,"BILL","ACH")))</f>
        <v>ACH</v>
      </c>
    </row>
    <row r="185" spans="1:11" x14ac:dyDescent="0.25">
      <c r="A185">
        <v>256591</v>
      </c>
      <c r="B185" s="3">
        <v>46167</v>
      </c>
      <c r="C185">
        <v>1</v>
      </c>
      <c r="D185">
        <v>115.63</v>
      </c>
      <c r="G185" t="s">
        <v>85</v>
      </c>
      <c r="H185">
        <v>818307940</v>
      </c>
      <c r="I185" t="s">
        <v>29</v>
      </c>
      <c r="J185" t="s">
        <v>29</v>
      </c>
      <c r="K185" t="str">
        <f>IF(Table3[[#This Row],[Type Received]]=2,"CC",(IF(Table3[[#This Row],[Type Received]]=3,"BILL","ACH")))</f>
        <v>ACH</v>
      </c>
    </row>
    <row r="186" spans="1:11" x14ac:dyDescent="0.25">
      <c r="A186">
        <v>256592</v>
      </c>
      <c r="B186" s="3">
        <v>46167</v>
      </c>
      <c r="C186">
        <v>1</v>
      </c>
      <c r="D186">
        <v>57.99</v>
      </c>
      <c r="G186" t="s">
        <v>85</v>
      </c>
      <c r="H186">
        <v>818327250</v>
      </c>
      <c r="I186" t="s">
        <v>29</v>
      </c>
      <c r="J186" t="s">
        <v>29</v>
      </c>
      <c r="K186" t="str">
        <f>IF(Table3[[#This Row],[Type Received]]=2,"CC",(IF(Table3[[#This Row],[Type Received]]=3,"BILL","ACH")))</f>
        <v>ACH</v>
      </c>
    </row>
    <row r="187" spans="1:11" x14ac:dyDescent="0.25">
      <c r="A187">
        <v>256596</v>
      </c>
      <c r="B187" s="3">
        <v>46144</v>
      </c>
      <c r="C187">
        <v>1</v>
      </c>
      <c r="D187">
        <v>53.59</v>
      </c>
      <c r="G187" t="s">
        <v>89</v>
      </c>
      <c r="H187">
        <v>535332806</v>
      </c>
      <c r="I187" t="s">
        <v>29</v>
      </c>
      <c r="K187" t="str">
        <f>IF(Table3[[#This Row],[Type Received]]=2,"CC",(IF(Table3[[#This Row],[Type Received]]=3,"BILL","ACH")))</f>
        <v>ACH</v>
      </c>
    </row>
    <row r="188" spans="1:11" x14ac:dyDescent="0.25">
      <c r="A188">
        <v>256607</v>
      </c>
      <c r="B188" s="3">
        <v>46156</v>
      </c>
      <c r="C188">
        <v>2</v>
      </c>
      <c r="D188">
        <v>140.97999999999999</v>
      </c>
      <c r="F188">
        <v>141038</v>
      </c>
      <c r="G188" t="s">
        <v>28</v>
      </c>
      <c r="H188">
        <v>682408957</v>
      </c>
      <c r="I188" t="s">
        <v>29</v>
      </c>
      <c r="K188" t="str">
        <f>IF(Table3[[#This Row],[Type Received]]=2,"CC",(IF(Table3[[#This Row],[Type Received]]=3,"BILL","ACH")))</f>
        <v>CC</v>
      </c>
    </row>
    <row r="189" spans="1:11" x14ac:dyDescent="0.25">
      <c r="A189">
        <v>256619</v>
      </c>
      <c r="B189" s="3">
        <v>46150</v>
      </c>
      <c r="C189">
        <v>2</v>
      </c>
      <c r="D189">
        <v>83.53</v>
      </c>
      <c r="F189">
        <v>43331</v>
      </c>
      <c r="G189">
        <v>743671591</v>
      </c>
      <c r="H189">
        <v>354010616</v>
      </c>
      <c r="K189" t="str">
        <f>IF(Table3[[#This Row],[Type Received]]=2,"CC",(IF(Table3[[#This Row],[Type Received]]=3,"BILL","ACH")))</f>
        <v>CC</v>
      </c>
    </row>
    <row r="190" spans="1:11" x14ac:dyDescent="0.25">
      <c r="A190">
        <v>256628</v>
      </c>
      <c r="B190" s="3">
        <v>46167</v>
      </c>
      <c r="C190">
        <v>1</v>
      </c>
      <c r="D190">
        <v>42.15</v>
      </c>
      <c r="G190" t="s">
        <v>85</v>
      </c>
      <c r="H190">
        <v>818314739</v>
      </c>
      <c r="I190" t="s">
        <v>29</v>
      </c>
      <c r="J190" t="s">
        <v>29</v>
      </c>
      <c r="K190" t="str">
        <f>IF(Table3[[#This Row],[Type Received]]=2,"CC",(IF(Table3[[#This Row],[Type Received]]=3,"BILL","ACH")))</f>
        <v>ACH</v>
      </c>
    </row>
    <row r="191" spans="1:11" x14ac:dyDescent="0.25">
      <c r="A191">
        <v>256632</v>
      </c>
      <c r="B191" s="3">
        <v>46146</v>
      </c>
      <c r="C191">
        <v>3</v>
      </c>
      <c r="D191">
        <v>62.85</v>
      </c>
      <c r="E191">
        <v>921579156</v>
      </c>
      <c r="J191" t="s">
        <v>29</v>
      </c>
      <c r="K191" t="str">
        <f>IF(Table3[[#This Row],[Type Received]]=2,"CC",(IF(Table3[[#This Row],[Type Received]]=3,"BILL","ACH")))</f>
        <v>BILL</v>
      </c>
    </row>
    <row r="192" spans="1:11" x14ac:dyDescent="0.25">
      <c r="A192">
        <v>256633</v>
      </c>
      <c r="B192" s="3">
        <v>46161</v>
      </c>
      <c r="C192">
        <v>3</v>
      </c>
      <c r="D192">
        <v>103.11</v>
      </c>
      <c r="E192">
        <v>995614</v>
      </c>
      <c r="G192" s="4"/>
      <c r="J192" t="s">
        <v>29</v>
      </c>
      <c r="K192" t="str">
        <f>IF(Table3[[#This Row],[Type Received]]=2,"CC",(IF(Table3[[#This Row],[Type Received]]=3,"BILL","ACH")))</f>
        <v>BILL</v>
      </c>
    </row>
    <row r="193" spans="1:11" x14ac:dyDescent="0.25">
      <c r="A193">
        <v>256638</v>
      </c>
      <c r="B193" s="3">
        <v>46150</v>
      </c>
      <c r="C193">
        <v>3</v>
      </c>
      <c r="D193">
        <v>156.19999999999999</v>
      </c>
      <c r="E193">
        <v>75545090</v>
      </c>
      <c r="J193" t="s">
        <v>29</v>
      </c>
      <c r="K193" t="str">
        <f>IF(Table3[[#This Row],[Type Received]]=2,"CC",(IF(Table3[[#This Row],[Type Received]]=3,"BILL","ACH")))</f>
        <v>BILL</v>
      </c>
    </row>
    <row r="194" spans="1:11" x14ac:dyDescent="0.25">
      <c r="A194">
        <v>256651</v>
      </c>
      <c r="B194" s="3">
        <v>46155</v>
      </c>
      <c r="C194">
        <v>2</v>
      </c>
      <c r="D194">
        <v>137.41</v>
      </c>
      <c r="F194">
        <v>248050</v>
      </c>
      <c r="G194" t="s">
        <v>28</v>
      </c>
      <c r="H194">
        <v>669435726</v>
      </c>
      <c r="I194" t="s">
        <v>29</v>
      </c>
      <c r="J194" t="s">
        <v>29</v>
      </c>
      <c r="K194" t="str">
        <f>IF(Table3[[#This Row],[Type Received]]=2,"CC",(IF(Table3[[#This Row],[Type Received]]=3,"BILL","ACH")))</f>
        <v>CC</v>
      </c>
    </row>
    <row r="195" spans="1:11" x14ac:dyDescent="0.25">
      <c r="A195">
        <v>256663</v>
      </c>
      <c r="B195" s="3">
        <v>46155</v>
      </c>
      <c r="C195">
        <v>2</v>
      </c>
      <c r="D195">
        <v>71.739999999999995</v>
      </c>
      <c r="F195">
        <v>16919</v>
      </c>
      <c r="G195" t="s">
        <v>28</v>
      </c>
      <c r="H195">
        <v>669432781</v>
      </c>
      <c r="I195" t="s">
        <v>29</v>
      </c>
      <c r="K195" t="str">
        <f>IF(Table3[[#This Row],[Type Received]]=2,"CC",(IF(Table3[[#This Row],[Type Received]]=3,"BILL","ACH")))</f>
        <v>CC</v>
      </c>
    </row>
    <row r="196" spans="1:11" x14ac:dyDescent="0.25">
      <c r="A196">
        <v>256665</v>
      </c>
      <c r="B196" s="3">
        <v>46160</v>
      </c>
      <c r="C196">
        <v>3</v>
      </c>
      <c r="D196">
        <v>30.93</v>
      </c>
      <c r="E196">
        <v>77139490</v>
      </c>
      <c r="K196" t="str">
        <f>IF(Table3[[#This Row],[Type Received]]=2,"CC",(IF(Table3[[#This Row],[Type Received]]=3,"BILL","ACH")))</f>
        <v>BILL</v>
      </c>
    </row>
    <row r="197" spans="1:11" x14ac:dyDescent="0.25">
      <c r="A197">
        <v>256665</v>
      </c>
      <c r="B197" s="3">
        <v>46143</v>
      </c>
      <c r="C197">
        <v>3</v>
      </c>
      <c r="D197">
        <v>30.93</v>
      </c>
      <c r="E197">
        <v>74376728</v>
      </c>
      <c r="K197" t="str">
        <f>IF(Table3[[#This Row],[Type Received]]=2,"CC",(IF(Table3[[#This Row],[Type Received]]=3,"BILL","ACH")))</f>
        <v>BILL</v>
      </c>
    </row>
    <row r="198" spans="1:11" x14ac:dyDescent="0.25">
      <c r="A198">
        <v>256670</v>
      </c>
      <c r="B198" s="3">
        <v>46157</v>
      </c>
      <c r="C198">
        <v>1</v>
      </c>
      <c r="D198">
        <v>81.53</v>
      </c>
      <c r="G198" t="s">
        <v>87</v>
      </c>
      <c r="H198">
        <v>696596948</v>
      </c>
      <c r="I198" t="s">
        <v>29</v>
      </c>
      <c r="K198" t="str">
        <f>IF(Table3[[#This Row],[Type Received]]=2,"CC",(IF(Table3[[#This Row],[Type Received]]=3,"BILL","ACH")))</f>
        <v>ACH</v>
      </c>
    </row>
    <row r="199" spans="1:11" x14ac:dyDescent="0.25">
      <c r="A199">
        <v>256672</v>
      </c>
      <c r="B199" s="3">
        <v>46167</v>
      </c>
      <c r="C199">
        <v>1</v>
      </c>
      <c r="D199">
        <v>92.2</v>
      </c>
      <c r="G199" s="4" t="s">
        <v>85</v>
      </c>
      <c r="H199">
        <v>818339866</v>
      </c>
      <c r="I199" t="s">
        <v>29</v>
      </c>
      <c r="J199" t="s">
        <v>29</v>
      </c>
      <c r="K199" t="str">
        <f>IF(Table3[[#This Row],[Type Received]]=2,"CC",(IF(Table3[[#This Row],[Type Received]]=3,"BILL","ACH")))</f>
        <v>ACH</v>
      </c>
    </row>
    <row r="200" spans="1:11" x14ac:dyDescent="0.25">
      <c r="A200">
        <v>256689</v>
      </c>
      <c r="B200" s="3">
        <v>46150</v>
      </c>
      <c r="C200">
        <v>1</v>
      </c>
      <c r="D200">
        <v>39.950000000000003</v>
      </c>
      <c r="G200" t="s">
        <v>104</v>
      </c>
      <c r="H200">
        <v>608657251</v>
      </c>
      <c r="I200" t="s">
        <v>29</v>
      </c>
      <c r="K200" t="str">
        <f>IF(Table3[[#This Row],[Type Received]]=2,"CC",(IF(Table3[[#This Row],[Type Received]]=3,"BILL","ACH")))</f>
        <v>ACH</v>
      </c>
    </row>
    <row r="201" spans="1:11" x14ac:dyDescent="0.25">
      <c r="A201">
        <v>256689</v>
      </c>
      <c r="B201" s="3">
        <v>46144</v>
      </c>
      <c r="C201">
        <v>1</v>
      </c>
      <c r="D201">
        <v>39.950000000000003</v>
      </c>
      <c r="G201" t="s">
        <v>89</v>
      </c>
      <c r="H201">
        <v>535339517</v>
      </c>
      <c r="I201" t="s">
        <v>29</v>
      </c>
      <c r="J201" t="s">
        <v>29</v>
      </c>
      <c r="K201" t="str">
        <f>IF(Table3[[#This Row],[Type Received]]=2,"CC",(IF(Table3[[#This Row],[Type Received]]=3,"BILL","ACH")))</f>
        <v>ACH</v>
      </c>
    </row>
    <row r="202" spans="1:11" x14ac:dyDescent="0.25">
      <c r="A202">
        <v>256695</v>
      </c>
      <c r="B202" s="3">
        <v>46157</v>
      </c>
      <c r="C202">
        <v>1</v>
      </c>
      <c r="D202">
        <v>132.79</v>
      </c>
      <c r="G202" t="s">
        <v>87</v>
      </c>
      <c r="H202">
        <v>696635378</v>
      </c>
      <c r="I202" t="s">
        <v>29</v>
      </c>
      <c r="K202" t="str">
        <f>IF(Table3[[#This Row],[Type Received]]=2,"CC",(IF(Table3[[#This Row],[Type Received]]=3,"BILL","ACH")))</f>
        <v>ACH</v>
      </c>
    </row>
    <row r="203" spans="1:11" x14ac:dyDescent="0.25">
      <c r="A203">
        <v>256713</v>
      </c>
      <c r="B203" s="3">
        <v>46167</v>
      </c>
      <c r="C203">
        <v>1</v>
      </c>
      <c r="D203">
        <v>43.47</v>
      </c>
      <c r="G203" t="s">
        <v>85</v>
      </c>
      <c r="H203">
        <v>818307983</v>
      </c>
      <c r="I203" t="s">
        <v>29</v>
      </c>
      <c r="K203" t="str">
        <f>IF(Table3[[#This Row],[Type Received]]=2,"CC",(IF(Table3[[#This Row],[Type Received]]=3,"BILL","ACH")))</f>
        <v>ACH</v>
      </c>
    </row>
    <row r="204" spans="1:11" x14ac:dyDescent="0.25">
      <c r="A204">
        <v>256723</v>
      </c>
      <c r="B204" s="3">
        <v>46143</v>
      </c>
      <c r="C204">
        <v>2</v>
      </c>
      <c r="D204">
        <v>82.43</v>
      </c>
      <c r="F204" t="s">
        <v>105</v>
      </c>
      <c r="G204">
        <v>741374152</v>
      </c>
      <c r="H204">
        <v>353212516</v>
      </c>
      <c r="K204" t="str">
        <f>IF(Table3[[#This Row],[Type Received]]=2,"CC",(IF(Table3[[#This Row],[Type Received]]=3,"BILL","ACH")))</f>
        <v>CC</v>
      </c>
    </row>
    <row r="205" spans="1:11" x14ac:dyDescent="0.25">
      <c r="A205">
        <v>256725</v>
      </c>
      <c r="B205" s="3">
        <v>46157</v>
      </c>
      <c r="C205">
        <v>1</v>
      </c>
      <c r="D205">
        <v>68.77</v>
      </c>
      <c r="G205" t="s">
        <v>87</v>
      </c>
      <c r="H205">
        <v>696619293</v>
      </c>
      <c r="I205" t="s">
        <v>29</v>
      </c>
      <c r="J205" t="s">
        <v>29</v>
      </c>
      <c r="K205" t="str">
        <f>IF(Table3[[#This Row],[Type Received]]=2,"CC",(IF(Table3[[#This Row],[Type Received]]=3,"BILL","ACH")))</f>
        <v>ACH</v>
      </c>
    </row>
    <row r="206" spans="1:11" x14ac:dyDescent="0.25">
      <c r="A206">
        <v>256734</v>
      </c>
      <c r="B206" s="3">
        <v>46168</v>
      </c>
      <c r="C206">
        <v>3</v>
      </c>
      <c r="D206">
        <v>71.430000000000007</v>
      </c>
      <c r="E206">
        <v>2466</v>
      </c>
      <c r="G206" s="4"/>
      <c r="J206" t="s">
        <v>29</v>
      </c>
      <c r="K206" t="str">
        <f>IF(Table3[[#This Row],[Type Received]]=2,"CC",(IF(Table3[[#This Row],[Type Received]]=3,"BILL","ACH")))</f>
        <v>BILL</v>
      </c>
    </row>
    <row r="207" spans="1:11" x14ac:dyDescent="0.25">
      <c r="A207">
        <v>256744</v>
      </c>
      <c r="B207" s="3">
        <v>46157</v>
      </c>
      <c r="C207">
        <v>1</v>
      </c>
      <c r="D207">
        <v>77.13</v>
      </c>
      <c r="G207" t="s">
        <v>87</v>
      </c>
      <c r="H207">
        <v>696606743</v>
      </c>
      <c r="I207" t="s">
        <v>29</v>
      </c>
      <c r="K207" t="str">
        <f>IF(Table3[[#This Row],[Type Received]]=2,"CC",(IF(Table3[[#This Row],[Type Received]]=3,"BILL","ACH")))</f>
        <v>ACH</v>
      </c>
    </row>
    <row r="208" spans="1:11" x14ac:dyDescent="0.25">
      <c r="A208">
        <v>256745</v>
      </c>
      <c r="B208" s="3">
        <v>46157</v>
      </c>
      <c r="C208">
        <v>1</v>
      </c>
      <c r="D208">
        <v>68.33</v>
      </c>
      <c r="G208" t="s">
        <v>87</v>
      </c>
      <c r="H208">
        <v>696612617</v>
      </c>
      <c r="I208" t="s">
        <v>29</v>
      </c>
      <c r="J208" t="s">
        <v>29</v>
      </c>
      <c r="K208" t="str">
        <f>IF(Table3[[#This Row],[Type Received]]=2,"CC",(IF(Table3[[#This Row],[Type Received]]=3,"BILL","ACH")))</f>
        <v>ACH</v>
      </c>
    </row>
    <row r="209" spans="1:11" x14ac:dyDescent="0.25">
      <c r="A209">
        <v>256748</v>
      </c>
      <c r="B209" s="3">
        <v>46144</v>
      </c>
      <c r="C209">
        <v>1</v>
      </c>
      <c r="D209">
        <v>75.7</v>
      </c>
      <c r="G209" s="4" t="s">
        <v>89</v>
      </c>
      <c r="H209">
        <v>535344330</v>
      </c>
      <c r="I209" t="s">
        <v>29</v>
      </c>
      <c r="K209" t="str">
        <f>IF(Table3[[#This Row],[Type Received]]=2,"CC",(IF(Table3[[#This Row],[Type Received]]=3,"BILL","ACH")))</f>
        <v>ACH</v>
      </c>
    </row>
    <row r="210" spans="1:11" x14ac:dyDescent="0.25">
      <c r="A210">
        <v>256758</v>
      </c>
      <c r="B210" s="3">
        <v>46144</v>
      </c>
      <c r="C210">
        <v>1</v>
      </c>
      <c r="D210">
        <v>93.85</v>
      </c>
      <c r="G210" t="s">
        <v>89</v>
      </c>
      <c r="H210">
        <v>535324029</v>
      </c>
      <c r="I210" t="s">
        <v>29</v>
      </c>
      <c r="J210" t="s">
        <v>29</v>
      </c>
      <c r="K210" t="str">
        <f>IF(Table3[[#This Row],[Type Received]]=2,"CC",(IF(Table3[[#This Row],[Type Received]]=3,"BILL","ACH")))</f>
        <v>ACH</v>
      </c>
    </row>
    <row r="211" spans="1:11" x14ac:dyDescent="0.25">
      <c r="A211">
        <v>256760</v>
      </c>
      <c r="B211" s="3">
        <v>46155</v>
      </c>
      <c r="C211">
        <v>2</v>
      </c>
      <c r="D211">
        <v>134.11000000000001</v>
      </c>
      <c r="F211">
        <v>186956</v>
      </c>
      <c r="G211" t="s">
        <v>28</v>
      </c>
      <c r="H211">
        <v>669445424</v>
      </c>
      <c r="I211" t="s">
        <v>29</v>
      </c>
      <c r="J211" t="s">
        <v>29</v>
      </c>
      <c r="K211" t="str">
        <f>IF(Table3[[#This Row],[Type Received]]=2,"CC",(IF(Table3[[#This Row],[Type Received]]=3,"BILL","ACH")))</f>
        <v>CC</v>
      </c>
    </row>
    <row r="212" spans="1:11" x14ac:dyDescent="0.25">
      <c r="A212">
        <v>256766</v>
      </c>
      <c r="B212" s="3">
        <v>46147</v>
      </c>
      <c r="C212">
        <v>1</v>
      </c>
      <c r="D212">
        <v>50.95</v>
      </c>
      <c r="G212" s="4" t="s">
        <v>86</v>
      </c>
      <c r="H212">
        <v>569459897</v>
      </c>
      <c r="I212" t="s">
        <v>29</v>
      </c>
      <c r="J212" t="s">
        <v>29</v>
      </c>
      <c r="K212" t="str">
        <f>IF(Table3[[#This Row],[Type Received]]=2,"CC",(IF(Table3[[#This Row],[Type Received]]=3,"BILL","ACH")))</f>
        <v>ACH</v>
      </c>
    </row>
    <row r="213" spans="1:11" x14ac:dyDescent="0.25">
      <c r="A213">
        <v>256779</v>
      </c>
      <c r="B213" s="3">
        <v>46158</v>
      </c>
      <c r="C213">
        <v>1</v>
      </c>
      <c r="D213">
        <v>111.67</v>
      </c>
      <c r="G213" t="s">
        <v>106</v>
      </c>
      <c r="H213">
        <v>710056134</v>
      </c>
      <c r="I213" t="s">
        <v>29</v>
      </c>
      <c r="J213" t="s">
        <v>29</v>
      </c>
      <c r="K213" t="str">
        <f>IF(Table3[[#This Row],[Type Received]]=2,"CC",(IF(Table3[[#This Row],[Type Received]]=3,"BILL","ACH")))</f>
        <v>ACH</v>
      </c>
    </row>
    <row r="214" spans="1:11" x14ac:dyDescent="0.25">
      <c r="A214">
        <v>256788</v>
      </c>
      <c r="B214" s="3">
        <v>46162</v>
      </c>
      <c r="C214">
        <v>1</v>
      </c>
      <c r="D214">
        <v>59.2</v>
      </c>
      <c r="G214" t="s">
        <v>107</v>
      </c>
      <c r="H214">
        <v>757824698</v>
      </c>
      <c r="I214" t="s">
        <v>29</v>
      </c>
      <c r="J214" t="s">
        <v>29</v>
      </c>
      <c r="K214" t="str">
        <f>IF(Table3[[#This Row],[Type Received]]=2,"CC",(IF(Table3[[#This Row],[Type Received]]=3,"BILL","ACH")))</f>
        <v>ACH</v>
      </c>
    </row>
    <row r="215" spans="1:11" x14ac:dyDescent="0.25">
      <c r="A215">
        <v>256790</v>
      </c>
      <c r="B215" s="3">
        <v>46163</v>
      </c>
      <c r="C215">
        <v>2</v>
      </c>
      <c r="D215">
        <v>63.27</v>
      </c>
      <c r="F215">
        <v>15518</v>
      </c>
      <c r="G215" t="s">
        <v>28</v>
      </c>
      <c r="H215">
        <v>772393846</v>
      </c>
      <c r="I215" t="s">
        <v>29</v>
      </c>
      <c r="K215" t="str">
        <f>IF(Table3[[#This Row],[Type Received]]=2,"CC",(IF(Table3[[#This Row],[Type Received]]=3,"BILL","ACH")))</f>
        <v>CC</v>
      </c>
    </row>
    <row r="216" spans="1:11" x14ac:dyDescent="0.25">
      <c r="A216">
        <v>256797</v>
      </c>
      <c r="B216" s="3">
        <v>46155</v>
      </c>
      <c r="C216">
        <v>1</v>
      </c>
      <c r="D216">
        <v>45.67</v>
      </c>
      <c r="G216" t="s">
        <v>90</v>
      </c>
      <c r="H216">
        <v>669445436</v>
      </c>
      <c r="I216" t="s">
        <v>29</v>
      </c>
      <c r="K216" t="str">
        <f>IF(Table3[[#This Row],[Type Received]]=2,"CC",(IF(Table3[[#This Row],[Type Received]]=3,"BILL","ACH")))</f>
        <v>ACH</v>
      </c>
    </row>
    <row r="217" spans="1:11" x14ac:dyDescent="0.25">
      <c r="A217">
        <v>256803</v>
      </c>
      <c r="B217" s="3">
        <v>46157</v>
      </c>
      <c r="C217">
        <v>1</v>
      </c>
      <c r="D217">
        <v>61.73</v>
      </c>
      <c r="G217" t="s">
        <v>87</v>
      </c>
      <c r="H217">
        <v>696602922</v>
      </c>
      <c r="I217" t="s">
        <v>29</v>
      </c>
      <c r="K217" t="str">
        <f>IF(Table3[[#This Row],[Type Received]]=2,"CC",(IF(Table3[[#This Row],[Type Received]]=3,"BILL","ACH")))</f>
        <v>ACH</v>
      </c>
    </row>
    <row r="218" spans="1:11" x14ac:dyDescent="0.25">
      <c r="A218">
        <v>256805</v>
      </c>
      <c r="B218" s="3">
        <v>46157</v>
      </c>
      <c r="C218">
        <v>1</v>
      </c>
      <c r="D218">
        <v>62.17</v>
      </c>
      <c r="G218" t="s">
        <v>87</v>
      </c>
      <c r="H218">
        <v>696616427</v>
      </c>
      <c r="I218" t="s">
        <v>29</v>
      </c>
      <c r="J218" t="s">
        <v>29</v>
      </c>
      <c r="K218" t="str">
        <f>IF(Table3[[#This Row],[Type Received]]=2,"CC",(IF(Table3[[#This Row],[Type Received]]=3,"BILL","ACH")))</f>
        <v>ACH</v>
      </c>
    </row>
    <row r="219" spans="1:11" x14ac:dyDescent="0.25">
      <c r="A219">
        <v>256807</v>
      </c>
      <c r="B219" s="3">
        <v>46144</v>
      </c>
      <c r="C219">
        <v>1</v>
      </c>
      <c r="D219">
        <v>78.67</v>
      </c>
      <c r="G219" t="s">
        <v>89</v>
      </c>
      <c r="H219">
        <v>535327963</v>
      </c>
      <c r="I219" t="s">
        <v>29</v>
      </c>
      <c r="J219" t="s">
        <v>29</v>
      </c>
      <c r="K219" t="str">
        <f>IF(Table3[[#This Row],[Type Received]]=2,"CC",(IF(Table3[[#This Row],[Type Received]]=3,"BILL","ACH")))</f>
        <v>ACH</v>
      </c>
    </row>
    <row r="220" spans="1:11" x14ac:dyDescent="0.25">
      <c r="A220">
        <v>256813</v>
      </c>
      <c r="B220" s="3">
        <v>46143</v>
      </c>
      <c r="C220">
        <v>2</v>
      </c>
      <c r="D220">
        <v>100.69</v>
      </c>
      <c r="F220">
        <v>92816</v>
      </c>
      <c r="G220">
        <v>741374152</v>
      </c>
      <c r="H220">
        <v>353116545</v>
      </c>
      <c r="J220" t="s">
        <v>29</v>
      </c>
      <c r="K220" t="str">
        <f>IF(Table3[[#This Row],[Type Received]]=2,"CC",(IF(Table3[[#This Row],[Type Received]]=3,"BILL","ACH")))</f>
        <v>CC</v>
      </c>
    </row>
    <row r="221" spans="1:11" x14ac:dyDescent="0.25">
      <c r="A221">
        <v>256815</v>
      </c>
      <c r="B221" s="3">
        <v>46157</v>
      </c>
      <c r="C221">
        <v>1</v>
      </c>
      <c r="D221">
        <v>107.71</v>
      </c>
      <c r="G221" t="s">
        <v>87</v>
      </c>
      <c r="H221">
        <v>696606832</v>
      </c>
      <c r="I221" t="s">
        <v>29</v>
      </c>
      <c r="J221" t="s">
        <v>29</v>
      </c>
      <c r="K221" t="str">
        <f>IF(Table3[[#This Row],[Type Received]]=2,"CC",(IF(Table3[[#This Row],[Type Received]]=3,"BILL","ACH")))</f>
        <v>ACH</v>
      </c>
    </row>
    <row r="222" spans="1:11" x14ac:dyDescent="0.25">
      <c r="A222">
        <v>256817</v>
      </c>
      <c r="B222" s="3">
        <v>46167</v>
      </c>
      <c r="C222">
        <v>1</v>
      </c>
      <c r="D222">
        <v>40.39</v>
      </c>
      <c r="G222" s="4" t="s">
        <v>85</v>
      </c>
      <c r="H222">
        <v>818311842</v>
      </c>
      <c r="I222" t="s">
        <v>29</v>
      </c>
      <c r="J222" t="s">
        <v>29</v>
      </c>
      <c r="K222" t="str">
        <f>IF(Table3[[#This Row],[Type Received]]=2,"CC",(IF(Table3[[#This Row],[Type Received]]=3,"BILL","ACH")))</f>
        <v>ACH</v>
      </c>
    </row>
    <row r="223" spans="1:11" x14ac:dyDescent="0.25">
      <c r="A223">
        <v>256818</v>
      </c>
      <c r="B223" s="3">
        <v>46145</v>
      </c>
      <c r="C223">
        <v>2</v>
      </c>
      <c r="D223">
        <v>57.55</v>
      </c>
      <c r="F223" t="s">
        <v>108</v>
      </c>
      <c r="G223" t="s">
        <v>28</v>
      </c>
      <c r="H223">
        <v>546417814</v>
      </c>
      <c r="I223" t="s">
        <v>29</v>
      </c>
      <c r="J223" t="s">
        <v>29</v>
      </c>
      <c r="K223" t="str">
        <f>IF(Table3[[#This Row],[Type Received]]=2,"CC",(IF(Table3[[#This Row],[Type Received]]=3,"BILL","ACH")))</f>
        <v>CC</v>
      </c>
    </row>
    <row r="224" spans="1:11" x14ac:dyDescent="0.25">
      <c r="A224">
        <v>256830</v>
      </c>
      <c r="B224" s="3">
        <v>46157</v>
      </c>
      <c r="C224">
        <v>1</v>
      </c>
      <c r="D224">
        <v>48.97</v>
      </c>
      <c r="G224" t="s">
        <v>87</v>
      </c>
      <c r="H224">
        <v>696626141</v>
      </c>
      <c r="I224" t="s">
        <v>29</v>
      </c>
      <c r="K224" t="str">
        <f>IF(Table3[[#This Row],[Type Received]]=2,"CC",(IF(Table3[[#This Row],[Type Received]]=3,"BILL","ACH")))</f>
        <v>ACH</v>
      </c>
    </row>
    <row r="225" spans="1:11" x14ac:dyDescent="0.25">
      <c r="A225">
        <v>256845</v>
      </c>
      <c r="B225" s="3">
        <v>46144</v>
      </c>
      <c r="C225">
        <v>1</v>
      </c>
      <c r="D225">
        <v>83.29</v>
      </c>
      <c r="G225" s="4" t="s">
        <v>89</v>
      </c>
      <c r="H225">
        <v>535368545</v>
      </c>
      <c r="I225" t="s">
        <v>29</v>
      </c>
      <c r="J225" t="s">
        <v>29</v>
      </c>
      <c r="K225" t="str">
        <f>IF(Table3[[#This Row],[Type Received]]=2,"CC",(IF(Table3[[#This Row],[Type Received]]=3,"BILL","ACH")))</f>
        <v>ACH</v>
      </c>
    </row>
    <row r="226" spans="1:11" x14ac:dyDescent="0.25">
      <c r="A226">
        <v>256846</v>
      </c>
      <c r="B226" s="3">
        <v>46144</v>
      </c>
      <c r="C226">
        <v>1</v>
      </c>
      <c r="D226">
        <v>67.45</v>
      </c>
      <c r="G226" t="s">
        <v>89</v>
      </c>
      <c r="H226">
        <v>535324076</v>
      </c>
      <c r="I226" t="s">
        <v>29</v>
      </c>
      <c r="J226" t="s">
        <v>29</v>
      </c>
      <c r="K226" t="str">
        <f>IF(Table3[[#This Row],[Type Received]]=2,"CC",(IF(Table3[[#This Row],[Type Received]]=3,"BILL","ACH")))</f>
        <v>ACH</v>
      </c>
    </row>
    <row r="227" spans="1:11" x14ac:dyDescent="0.25">
      <c r="A227">
        <v>256853</v>
      </c>
      <c r="B227" s="3">
        <v>46149</v>
      </c>
      <c r="C227">
        <v>1</v>
      </c>
      <c r="D227">
        <v>37.75</v>
      </c>
      <c r="G227" t="s">
        <v>109</v>
      </c>
      <c r="H227">
        <v>594881025</v>
      </c>
      <c r="I227" t="s">
        <v>29</v>
      </c>
      <c r="J227" t="s">
        <v>29</v>
      </c>
      <c r="K227" t="str">
        <f>IF(Table3[[#This Row],[Type Received]]=2,"CC",(IF(Table3[[#This Row],[Type Received]]=3,"BILL","ACH")))</f>
        <v>ACH</v>
      </c>
    </row>
    <row r="228" spans="1:11" x14ac:dyDescent="0.25">
      <c r="A228">
        <v>256855</v>
      </c>
      <c r="B228" s="3">
        <v>46155</v>
      </c>
      <c r="C228">
        <v>2</v>
      </c>
      <c r="D228">
        <v>98.8</v>
      </c>
      <c r="F228">
        <v>3559</v>
      </c>
      <c r="G228" t="s">
        <v>28</v>
      </c>
      <c r="H228">
        <v>669424996</v>
      </c>
      <c r="I228" t="s">
        <v>29</v>
      </c>
      <c r="J228" t="s">
        <v>29</v>
      </c>
      <c r="K228" t="str">
        <f>IF(Table3[[#This Row],[Type Received]]=2,"CC",(IF(Table3[[#This Row],[Type Received]]=3,"BILL","ACH")))</f>
        <v>CC</v>
      </c>
    </row>
    <row r="229" spans="1:11" x14ac:dyDescent="0.25">
      <c r="A229">
        <v>256857</v>
      </c>
      <c r="B229" s="3">
        <v>46144</v>
      </c>
      <c r="C229">
        <v>1</v>
      </c>
      <c r="D229">
        <v>113.98</v>
      </c>
      <c r="G229" t="s">
        <v>89</v>
      </c>
      <c r="H229">
        <v>535346337</v>
      </c>
      <c r="I229" t="s">
        <v>29</v>
      </c>
      <c r="J229" t="s">
        <v>29</v>
      </c>
      <c r="K229" t="str">
        <f>IF(Table3[[#This Row],[Type Received]]=2,"CC",(IF(Table3[[#This Row],[Type Received]]=3,"BILL","ACH")))</f>
        <v>ACH</v>
      </c>
    </row>
    <row r="230" spans="1:11" x14ac:dyDescent="0.25">
      <c r="A230">
        <v>256860</v>
      </c>
      <c r="B230" s="3">
        <v>46144</v>
      </c>
      <c r="C230">
        <v>1</v>
      </c>
      <c r="D230">
        <v>93.52</v>
      </c>
      <c r="G230" t="s">
        <v>89</v>
      </c>
      <c r="H230">
        <v>535335779</v>
      </c>
      <c r="I230" t="s">
        <v>29</v>
      </c>
      <c r="K230" t="str">
        <f>IF(Table3[[#This Row],[Type Received]]=2,"CC",(IF(Table3[[#This Row],[Type Received]]=3,"BILL","ACH")))</f>
        <v>ACH</v>
      </c>
    </row>
    <row r="231" spans="1:11" x14ac:dyDescent="0.25">
      <c r="A231">
        <v>256861</v>
      </c>
      <c r="B231" s="3">
        <v>46149</v>
      </c>
      <c r="C231">
        <v>2</v>
      </c>
      <c r="D231">
        <v>120.27</v>
      </c>
      <c r="F231">
        <v>97054</v>
      </c>
      <c r="G231" t="s">
        <v>28</v>
      </c>
      <c r="H231">
        <v>595774878</v>
      </c>
      <c r="I231" t="s">
        <v>29</v>
      </c>
      <c r="K231" t="str">
        <f>IF(Table3[[#This Row],[Type Received]]=2,"CC",(IF(Table3[[#This Row],[Type Received]]=3,"BILL","ACH")))</f>
        <v>CC</v>
      </c>
    </row>
    <row r="232" spans="1:11" x14ac:dyDescent="0.25">
      <c r="A232">
        <v>256863</v>
      </c>
      <c r="B232" s="3">
        <v>46157</v>
      </c>
      <c r="C232">
        <v>1</v>
      </c>
      <c r="D232">
        <v>65.14</v>
      </c>
      <c r="G232" t="s">
        <v>87</v>
      </c>
      <c r="H232">
        <v>696607887</v>
      </c>
      <c r="I232" t="s">
        <v>29</v>
      </c>
      <c r="J232" t="s">
        <v>29</v>
      </c>
      <c r="K232" t="str">
        <f>IF(Table3[[#This Row],[Type Received]]=2,"CC",(IF(Table3[[#This Row],[Type Received]]=3,"BILL","ACH")))</f>
        <v>ACH</v>
      </c>
    </row>
    <row r="233" spans="1:11" x14ac:dyDescent="0.25">
      <c r="A233">
        <v>256875</v>
      </c>
      <c r="B233" s="3">
        <v>46144</v>
      </c>
      <c r="C233">
        <v>1</v>
      </c>
      <c r="D233">
        <v>149.94999999999999</v>
      </c>
      <c r="G233" t="s">
        <v>89</v>
      </c>
      <c r="H233">
        <v>535350252</v>
      </c>
      <c r="I233" t="s">
        <v>29</v>
      </c>
      <c r="J233" t="s">
        <v>29</v>
      </c>
      <c r="K233" t="str">
        <f>IF(Table3[[#This Row],[Type Received]]=2,"CC",(IF(Table3[[#This Row],[Type Received]]=3,"BILL","ACH")))</f>
        <v>ACH</v>
      </c>
    </row>
    <row r="234" spans="1:11" x14ac:dyDescent="0.25">
      <c r="A234">
        <v>256888</v>
      </c>
      <c r="B234" s="3">
        <v>46158</v>
      </c>
      <c r="C234">
        <v>1</v>
      </c>
      <c r="D234">
        <v>46.77</v>
      </c>
      <c r="G234" t="s">
        <v>106</v>
      </c>
      <c r="H234">
        <v>710027551</v>
      </c>
      <c r="I234" t="s">
        <v>29</v>
      </c>
      <c r="J234" t="s">
        <v>29</v>
      </c>
      <c r="K234" t="str">
        <f>IF(Table3[[#This Row],[Type Received]]=2,"CC",(IF(Table3[[#This Row],[Type Received]]=3,"BILL","ACH")))</f>
        <v>ACH</v>
      </c>
    </row>
    <row r="235" spans="1:11" x14ac:dyDescent="0.25">
      <c r="A235">
        <v>256893</v>
      </c>
      <c r="B235" s="3">
        <v>46144</v>
      </c>
      <c r="C235">
        <v>1</v>
      </c>
      <c r="D235">
        <v>31.81</v>
      </c>
      <c r="G235" t="s">
        <v>89</v>
      </c>
      <c r="H235">
        <v>535349321</v>
      </c>
      <c r="I235" t="s">
        <v>29</v>
      </c>
      <c r="J235" t="s">
        <v>29</v>
      </c>
      <c r="K235" t="str">
        <f>IF(Table3[[#This Row],[Type Received]]=2,"CC",(IF(Table3[[#This Row],[Type Received]]=3,"BILL","ACH")))</f>
        <v>ACH</v>
      </c>
    </row>
    <row r="236" spans="1:11" x14ac:dyDescent="0.25">
      <c r="A236">
        <v>256894</v>
      </c>
      <c r="B236" s="3">
        <v>46158</v>
      </c>
      <c r="C236">
        <v>1</v>
      </c>
      <c r="D236">
        <v>39.51</v>
      </c>
      <c r="G236" t="s">
        <v>106</v>
      </c>
      <c r="H236">
        <v>710019871</v>
      </c>
      <c r="I236" t="s">
        <v>29</v>
      </c>
      <c r="J236" t="s">
        <v>29</v>
      </c>
      <c r="K236" t="str">
        <f>IF(Table3[[#This Row],[Type Received]]=2,"CC",(IF(Table3[[#This Row],[Type Received]]=3,"BILL","ACH")))</f>
        <v>ACH</v>
      </c>
    </row>
    <row r="237" spans="1:11" x14ac:dyDescent="0.25">
      <c r="A237">
        <v>256916</v>
      </c>
      <c r="B237" s="3">
        <v>46168</v>
      </c>
      <c r="C237">
        <v>1</v>
      </c>
      <c r="D237">
        <v>48.53</v>
      </c>
      <c r="G237" t="s">
        <v>110</v>
      </c>
      <c r="H237">
        <v>828226152</v>
      </c>
      <c r="I237" t="s">
        <v>29</v>
      </c>
      <c r="K237" t="str">
        <f>IF(Table3[[#This Row],[Type Received]]=2,"CC",(IF(Table3[[#This Row],[Type Received]]=3,"BILL","ACH")))</f>
        <v>ACH</v>
      </c>
    </row>
    <row r="238" spans="1:11" x14ac:dyDescent="0.25">
      <c r="A238">
        <v>256919</v>
      </c>
      <c r="B238" s="3">
        <v>46156</v>
      </c>
      <c r="C238">
        <v>1</v>
      </c>
      <c r="D238">
        <v>34.119999999999997</v>
      </c>
      <c r="G238" t="s">
        <v>93</v>
      </c>
      <c r="H238">
        <v>682512812</v>
      </c>
      <c r="I238" t="s">
        <v>29</v>
      </c>
      <c r="J238" t="s">
        <v>29</v>
      </c>
      <c r="K238" t="str">
        <f>IF(Table3[[#This Row],[Type Received]]=2,"CC",(IF(Table3[[#This Row],[Type Received]]=3,"BILL","ACH")))</f>
        <v>ACH</v>
      </c>
    </row>
    <row r="239" spans="1:11" x14ac:dyDescent="0.25">
      <c r="A239">
        <v>256920</v>
      </c>
      <c r="B239" s="3">
        <v>46149</v>
      </c>
      <c r="C239">
        <v>2</v>
      </c>
      <c r="D239">
        <v>74.73</v>
      </c>
      <c r="F239" t="s">
        <v>111</v>
      </c>
      <c r="G239" t="s">
        <v>28</v>
      </c>
      <c r="H239">
        <v>597343536</v>
      </c>
      <c r="I239" t="s">
        <v>29</v>
      </c>
      <c r="K239" t="str">
        <f>IF(Table3[[#This Row],[Type Received]]=2,"CC",(IF(Table3[[#This Row],[Type Received]]=3,"BILL","ACH")))</f>
        <v>CC</v>
      </c>
    </row>
    <row r="240" spans="1:11" x14ac:dyDescent="0.25">
      <c r="A240">
        <v>256930</v>
      </c>
      <c r="B240" s="3">
        <v>46155</v>
      </c>
      <c r="C240">
        <v>2</v>
      </c>
      <c r="D240">
        <v>87.58</v>
      </c>
      <c r="F240">
        <v>100601</v>
      </c>
      <c r="G240" t="s">
        <v>28</v>
      </c>
      <c r="H240">
        <v>669429887</v>
      </c>
      <c r="I240" t="s">
        <v>29</v>
      </c>
      <c r="K240" t="str">
        <f>IF(Table3[[#This Row],[Type Received]]=2,"CC",(IF(Table3[[#This Row],[Type Received]]=3,"BILL","ACH")))</f>
        <v>CC</v>
      </c>
    </row>
    <row r="241" spans="1:11" x14ac:dyDescent="0.25">
      <c r="A241">
        <v>256932</v>
      </c>
      <c r="B241" s="3">
        <v>46144</v>
      </c>
      <c r="C241">
        <v>1</v>
      </c>
      <c r="D241">
        <v>67.45</v>
      </c>
      <c r="G241" t="s">
        <v>89</v>
      </c>
      <c r="H241">
        <v>535350309</v>
      </c>
      <c r="I241" t="s">
        <v>29</v>
      </c>
      <c r="J241" t="s">
        <v>29</v>
      </c>
      <c r="K241" t="str">
        <f>IF(Table3[[#This Row],[Type Received]]=2,"CC",(IF(Table3[[#This Row],[Type Received]]=3,"BILL","ACH")))</f>
        <v>ACH</v>
      </c>
    </row>
    <row r="242" spans="1:11" x14ac:dyDescent="0.25">
      <c r="A242">
        <v>256933</v>
      </c>
      <c r="B242" s="3">
        <v>46144</v>
      </c>
      <c r="C242">
        <v>1</v>
      </c>
      <c r="D242">
        <v>53.26</v>
      </c>
      <c r="G242" t="s">
        <v>89</v>
      </c>
      <c r="H242">
        <v>535346493</v>
      </c>
      <c r="I242" t="s">
        <v>29</v>
      </c>
      <c r="J242" t="s">
        <v>29</v>
      </c>
      <c r="K242" t="str">
        <f>IF(Table3[[#This Row],[Type Received]]=2,"CC",(IF(Table3[[#This Row],[Type Received]]=3,"BILL","ACH")))</f>
        <v>ACH</v>
      </c>
    </row>
    <row r="243" spans="1:11" x14ac:dyDescent="0.25">
      <c r="A243">
        <v>256940</v>
      </c>
      <c r="B243" s="3">
        <v>46158</v>
      </c>
      <c r="C243">
        <v>1</v>
      </c>
      <c r="D243">
        <v>88.9</v>
      </c>
      <c r="G243" t="s">
        <v>106</v>
      </c>
      <c r="H243">
        <v>710026649</v>
      </c>
      <c r="I243" t="s">
        <v>29</v>
      </c>
      <c r="J243" t="s">
        <v>29</v>
      </c>
      <c r="K243" t="str">
        <f>IF(Table3[[#This Row],[Type Received]]=2,"CC",(IF(Table3[[#This Row],[Type Received]]=3,"BILL","ACH")))</f>
        <v>ACH</v>
      </c>
    </row>
    <row r="244" spans="1:11" x14ac:dyDescent="0.25">
      <c r="A244">
        <v>256942</v>
      </c>
      <c r="B244" s="3">
        <v>46144</v>
      </c>
      <c r="C244">
        <v>1</v>
      </c>
      <c r="D244">
        <v>47.65</v>
      </c>
      <c r="G244" t="s">
        <v>89</v>
      </c>
      <c r="H244">
        <v>535358171</v>
      </c>
      <c r="I244" t="s">
        <v>29</v>
      </c>
      <c r="J244" t="s">
        <v>29</v>
      </c>
      <c r="K244" t="str">
        <f>IF(Table3[[#This Row],[Type Received]]=2,"CC",(IF(Table3[[#This Row],[Type Received]]=3,"BILL","ACH")))</f>
        <v>ACH</v>
      </c>
    </row>
    <row r="245" spans="1:11" x14ac:dyDescent="0.25">
      <c r="A245">
        <v>256946</v>
      </c>
      <c r="B245" s="3">
        <v>46146</v>
      </c>
      <c r="C245">
        <v>3</v>
      </c>
      <c r="D245">
        <v>89.5</v>
      </c>
      <c r="E245">
        <v>2497</v>
      </c>
      <c r="J245" t="s">
        <v>29</v>
      </c>
      <c r="K245" t="str">
        <f>IF(Table3[[#This Row],[Type Received]]=2,"CC",(IF(Table3[[#This Row],[Type Received]]=3,"BILL","ACH")))</f>
        <v>BILL</v>
      </c>
    </row>
    <row r="246" spans="1:11" x14ac:dyDescent="0.25">
      <c r="A246">
        <v>256970</v>
      </c>
      <c r="B246" s="3">
        <v>46146</v>
      </c>
      <c r="C246">
        <v>1</v>
      </c>
      <c r="D246">
        <v>71.41</v>
      </c>
      <c r="G246" t="s">
        <v>92</v>
      </c>
      <c r="H246">
        <v>557084281</v>
      </c>
      <c r="I246" t="s">
        <v>29</v>
      </c>
      <c r="J246" t="s">
        <v>29</v>
      </c>
      <c r="K246" t="str">
        <f>IF(Table3[[#This Row],[Type Received]]=2,"CC",(IF(Table3[[#This Row],[Type Received]]=3,"BILL","ACH")))</f>
        <v>ACH</v>
      </c>
    </row>
    <row r="247" spans="1:11" x14ac:dyDescent="0.25">
      <c r="A247">
        <v>256971</v>
      </c>
      <c r="B247" s="3">
        <v>46157</v>
      </c>
      <c r="C247">
        <v>1</v>
      </c>
      <c r="D247">
        <v>54.91</v>
      </c>
      <c r="G247" t="s">
        <v>87</v>
      </c>
      <c r="H247">
        <v>696672224</v>
      </c>
      <c r="I247" t="s">
        <v>29</v>
      </c>
      <c r="K247" t="str">
        <f>IF(Table3[[#This Row],[Type Received]]=2,"CC",(IF(Table3[[#This Row],[Type Received]]=3,"BILL","ACH")))</f>
        <v>ACH</v>
      </c>
    </row>
    <row r="248" spans="1:11" x14ac:dyDescent="0.25">
      <c r="A248">
        <v>256979</v>
      </c>
      <c r="B248" s="3">
        <v>46155</v>
      </c>
      <c r="C248">
        <v>2</v>
      </c>
      <c r="D248">
        <v>56.45</v>
      </c>
      <c r="F248" t="s">
        <v>112</v>
      </c>
      <c r="G248" s="4" t="s">
        <v>28</v>
      </c>
      <c r="H248">
        <v>669437752</v>
      </c>
      <c r="I248" t="s">
        <v>29</v>
      </c>
      <c r="K248" t="str">
        <f>IF(Table3[[#This Row],[Type Received]]=2,"CC",(IF(Table3[[#This Row],[Type Received]]=3,"BILL","ACH")))</f>
        <v>CC</v>
      </c>
    </row>
    <row r="249" spans="1:11" x14ac:dyDescent="0.25">
      <c r="A249">
        <v>256980</v>
      </c>
      <c r="B249" s="3">
        <v>46155</v>
      </c>
      <c r="C249">
        <v>2</v>
      </c>
      <c r="D249">
        <v>86.37</v>
      </c>
      <c r="F249">
        <v>139373</v>
      </c>
      <c r="G249" t="s">
        <v>28</v>
      </c>
      <c r="H249">
        <v>669441612</v>
      </c>
      <c r="I249" t="s">
        <v>29</v>
      </c>
      <c r="J249" t="s">
        <v>29</v>
      </c>
      <c r="K249" t="str">
        <f>IF(Table3[[#This Row],[Type Received]]=2,"CC",(IF(Table3[[#This Row],[Type Received]]=3,"BILL","ACH")))</f>
        <v>CC</v>
      </c>
    </row>
    <row r="250" spans="1:11" x14ac:dyDescent="0.25">
      <c r="A250">
        <v>256984</v>
      </c>
      <c r="B250" s="3">
        <v>46146</v>
      </c>
      <c r="C250">
        <v>1</v>
      </c>
      <c r="D250">
        <v>185.56</v>
      </c>
      <c r="G250" t="s">
        <v>92</v>
      </c>
      <c r="H250">
        <v>562611346</v>
      </c>
      <c r="I250" t="s">
        <v>29</v>
      </c>
      <c r="J250" t="s">
        <v>29</v>
      </c>
      <c r="K250" t="str">
        <f>IF(Table3[[#This Row],[Type Received]]=2,"CC",(IF(Table3[[#This Row],[Type Received]]=3,"BILL","ACH")))</f>
        <v>ACH</v>
      </c>
    </row>
    <row r="251" spans="1:11" x14ac:dyDescent="0.25">
      <c r="A251">
        <v>256985</v>
      </c>
      <c r="B251" s="3">
        <v>46145</v>
      </c>
      <c r="C251">
        <v>1</v>
      </c>
      <c r="D251">
        <v>116.51</v>
      </c>
      <c r="G251" t="s">
        <v>113</v>
      </c>
      <c r="H251">
        <v>546423595</v>
      </c>
      <c r="I251" t="s">
        <v>29</v>
      </c>
      <c r="J251" t="s">
        <v>29</v>
      </c>
      <c r="K251" t="str">
        <f>IF(Table3[[#This Row],[Type Received]]=2,"CC",(IF(Table3[[#This Row],[Type Received]]=3,"BILL","ACH")))</f>
        <v>ACH</v>
      </c>
    </row>
    <row r="252" spans="1:11" x14ac:dyDescent="0.25">
      <c r="A252">
        <v>256986</v>
      </c>
      <c r="B252" s="3">
        <v>46144</v>
      </c>
      <c r="C252">
        <v>1</v>
      </c>
      <c r="D252">
        <v>106.83</v>
      </c>
      <c r="G252" t="s">
        <v>89</v>
      </c>
      <c r="H252">
        <v>535360137</v>
      </c>
      <c r="I252" t="s">
        <v>29</v>
      </c>
      <c r="J252" t="s">
        <v>29</v>
      </c>
      <c r="K252" t="str">
        <f>IF(Table3[[#This Row],[Type Received]]=2,"CC",(IF(Table3[[#This Row],[Type Received]]=3,"BILL","ACH")))</f>
        <v>ACH</v>
      </c>
    </row>
    <row r="253" spans="1:11" x14ac:dyDescent="0.25">
      <c r="A253">
        <v>256990</v>
      </c>
      <c r="B253" s="3">
        <v>46158</v>
      </c>
      <c r="C253">
        <v>1</v>
      </c>
      <c r="D253">
        <v>77.569999999999993</v>
      </c>
      <c r="G253" t="s">
        <v>106</v>
      </c>
      <c r="H253">
        <v>710038382</v>
      </c>
      <c r="I253" t="s">
        <v>29</v>
      </c>
      <c r="J253" t="s">
        <v>29</v>
      </c>
      <c r="K253" t="str">
        <f>IF(Table3[[#This Row],[Type Received]]=2,"CC",(IF(Table3[[#This Row],[Type Received]]=3,"BILL","ACH")))</f>
        <v>ACH</v>
      </c>
    </row>
    <row r="254" spans="1:11" x14ac:dyDescent="0.25">
      <c r="A254">
        <v>256993</v>
      </c>
      <c r="B254" s="3">
        <v>46168</v>
      </c>
      <c r="C254">
        <v>1</v>
      </c>
      <c r="D254">
        <v>50.95</v>
      </c>
      <c r="G254" s="4" t="s">
        <v>110</v>
      </c>
      <c r="H254">
        <v>828221484</v>
      </c>
      <c r="I254" t="s">
        <v>29</v>
      </c>
      <c r="J254" t="s">
        <v>29</v>
      </c>
      <c r="K254" t="str">
        <f>IF(Table3[[#This Row],[Type Received]]=2,"CC",(IF(Table3[[#This Row],[Type Received]]=3,"BILL","ACH")))</f>
        <v>ACH</v>
      </c>
    </row>
    <row r="255" spans="1:11" x14ac:dyDescent="0.25">
      <c r="A255">
        <v>256994</v>
      </c>
      <c r="B255" s="3">
        <v>46144</v>
      </c>
      <c r="C255">
        <v>1</v>
      </c>
      <c r="D255">
        <v>49.85</v>
      </c>
      <c r="G255" t="s">
        <v>89</v>
      </c>
      <c r="H255">
        <v>535334016</v>
      </c>
      <c r="I255" t="s">
        <v>29</v>
      </c>
      <c r="J255" t="s">
        <v>29</v>
      </c>
      <c r="K255" t="str">
        <f>IF(Table3[[#This Row],[Type Received]]=2,"CC",(IF(Table3[[#This Row],[Type Received]]=3,"BILL","ACH")))</f>
        <v>ACH</v>
      </c>
    </row>
    <row r="256" spans="1:11" x14ac:dyDescent="0.25">
      <c r="A256">
        <v>257010</v>
      </c>
      <c r="B256" s="3">
        <v>46155</v>
      </c>
      <c r="C256">
        <v>1</v>
      </c>
      <c r="D256">
        <v>48.97</v>
      </c>
      <c r="G256" s="4" t="s">
        <v>90</v>
      </c>
      <c r="H256">
        <v>669426978</v>
      </c>
      <c r="I256" t="s">
        <v>29</v>
      </c>
      <c r="J256" t="s">
        <v>29</v>
      </c>
      <c r="K256" t="str">
        <f>IF(Table3[[#This Row],[Type Received]]=2,"CC",(IF(Table3[[#This Row],[Type Received]]=3,"BILL","ACH")))</f>
        <v>ACH</v>
      </c>
    </row>
    <row r="257" spans="1:11" x14ac:dyDescent="0.25">
      <c r="A257">
        <v>257012</v>
      </c>
      <c r="B257" s="3">
        <v>46157</v>
      </c>
      <c r="C257">
        <v>1</v>
      </c>
      <c r="D257">
        <v>40.83</v>
      </c>
      <c r="G257" t="s">
        <v>87</v>
      </c>
      <c r="H257">
        <v>696665315</v>
      </c>
      <c r="I257" t="s">
        <v>29</v>
      </c>
      <c r="J257" t="s">
        <v>29</v>
      </c>
      <c r="K257" t="str">
        <f>IF(Table3[[#This Row],[Type Received]]=2,"CC",(IF(Table3[[#This Row],[Type Received]]=3,"BILL","ACH")))</f>
        <v>ACH</v>
      </c>
    </row>
    <row r="258" spans="1:11" x14ac:dyDescent="0.25">
      <c r="A258">
        <v>257014</v>
      </c>
      <c r="B258" s="3">
        <v>46168</v>
      </c>
      <c r="C258">
        <v>1</v>
      </c>
      <c r="D258">
        <v>61.18</v>
      </c>
      <c r="G258" t="s">
        <v>110</v>
      </c>
      <c r="H258">
        <v>828214822</v>
      </c>
      <c r="I258" t="s">
        <v>29</v>
      </c>
      <c r="J258" t="s">
        <v>29</v>
      </c>
      <c r="K258" t="str">
        <f>IF(Table3[[#This Row],[Type Received]]=2,"CC",(IF(Table3[[#This Row],[Type Received]]=3,"BILL","ACH")))</f>
        <v>ACH</v>
      </c>
    </row>
    <row r="259" spans="1:11" x14ac:dyDescent="0.25">
      <c r="A259">
        <v>257019</v>
      </c>
      <c r="B259" s="3">
        <v>46158</v>
      </c>
      <c r="C259">
        <v>1</v>
      </c>
      <c r="D259">
        <v>75.59</v>
      </c>
      <c r="G259" t="s">
        <v>106</v>
      </c>
      <c r="H259">
        <v>710029735</v>
      </c>
      <c r="I259" t="s">
        <v>29</v>
      </c>
      <c r="J259" t="s">
        <v>29</v>
      </c>
      <c r="K259" t="str">
        <f>IF(Table3[[#This Row],[Type Received]]=2,"CC",(IF(Table3[[#This Row],[Type Received]]=3,"BILL","ACH")))</f>
        <v>ACH</v>
      </c>
    </row>
    <row r="260" spans="1:11" x14ac:dyDescent="0.25">
      <c r="A260">
        <v>257021</v>
      </c>
      <c r="B260" s="3">
        <v>46145</v>
      </c>
      <c r="C260">
        <v>1</v>
      </c>
      <c r="D260">
        <v>77.349999999999994</v>
      </c>
      <c r="G260" t="s">
        <v>113</v>
      </c>
      <c r="H260">
        <v>546395949</v>
      </c>
      <c r="I260" t="s">
        <v>29</v>
      </c>
      <c r="K260" t="str">
        <f>IF(Table3[[#This Row],[Type Received]]=2,"CC",(IF(Table3[[#This Row],[Type Received]]=3,"BILL","ACH")))</f>
        <v>ACH</v>
      </c>
    </row>
    <row r="261" spans="1:11" x14ac:dyDescent="0.25">
      <c r="A261">
        <v>257023</v>
      </c>
      <c r="B261" s="3">
        <v>46158</v>
      </c>
      <c r="C261">
        <v>1</v>
      </c>
      <c r="D261">
        <v>39.950000000000003</v>
      </c>
      <c r="G261" t="s">
        <v>106</v>
      </c>
      <c r="H261">
        <v>710041384</v>
      </c>
      <c r="I261" t="s">
        <v>29</v>
      </c>
      <c r="J261" t="s">
        <v>29</v>
      </c>
      <c r="K261" t="str">
        <f>IF(Table3[[#This Row],[Type Received]]=2,"CC",(IF(Table3[[#This Row],[Type Received]]=3,"BILL","ACH")))</f>
        <v>ACH</v>
      </c>
    </row>
    <row r="262" spans="1:11" x14ac:dyDescent="0.25">
      <c r="A262">
        <v>257031</v>
      </c>
      <c r="B262" s="3">
        <v>46145</v>
      </c>
      <c r="C262">
        <v>1</v>
      </c>
      <c r="D262">
        <v>97.81</v>
      </c>
      <c r="G262" t="s">
        <v>113</v>
      </c>
      <c r="H262">
        <v>546406542</v>
      </c>
      <c r="I262" t="s">
        <v>29</v>
      </c>
      <c r="J262" t="s">
        <v>29</v>
      </c>
      <c r="K262" t="str">
        <f>IF(Table3[[#This Row],[Type Received]]=2,"CC",(IF(Table3[[#This Row],[Type Received]]=3,"BILL","ACH")))</f>
        <v>ACH</v>
      </c>
    </row>
    <row r="263" spans="1:11" x14ac:dyDescent="0.25">
      <c r="A263">
        <v>257034</v>
      </c>
      <c r="B263" s="3">
        <v>46147</v>
      </c>
      <c r="C263">
        <v>2</v>
      </c>
      <c r="D263">
        <v>107.07</v>
      </c>
      <c r="F263">
        <v>40133</v>
      </c>
      <c r="G263">
        <v>742576419</v>
      </c>
      <c r="H263">
        <v>353574606</v>
      </c>
      <c r="J263" t="s">
        <v>29</v>
      </c>
      <c r="K263" t="str">
        <f>IF(Table3[[#This Row],[Type Received]]=2,"CC",(IF(Table3[[#This Row],[Type Received]]=3,"BILL","ACH")))</f>
        <v>CC</v>
      </c>
    </row>
    <row r="264" spans="1:11" x14ac:dyDescent="0.25">
      <c r="A264">
        <v>257035</v>
      </c>
      <c r="B264" s="3">
        <v>46158</v>
      </c>
      <c r="C264">
        <v>1</v>
      </c>
      <c r="D264">
        <v>130.15</v>
      </c>
      <c r="G264" s="4" t="s">
        <v>106</v>
      </c>
      <c r="H264">
        <v>710023819</v>
      </c>
      <c r="I264" t="s">
        <v>29</v>
      </c>
      <c r="J264" t="s">
        <v>29</v>
      </c>
      <c r="K264" t="str">
        <f>IF(Table3[[#This Row],[Type Received]]=2,"CC",(IF(Table3[[#This Row],[Type Received]]=3,"BILL","ACH")))</f>
        <v>ACH</v>
      </c>
    </row>
    <row r="265" spans="1:11" x14ac:dyDescent="0.25">
      <c r="A265">
        <v>257039</v>
      </c>
      <c r="B265" s="3">
        <v>46168</v>
      </c>
      <c r="C265">
        <v>3</v>
      </c>
      <c r="D265">
        <v>404.35</v>
      </c>
      <c r="E265">
        <v>6143</v>
      </c>
      <c r="J265" t="s">
        <v>29</v>
      </c>
      <c r="K265" t="str">
        <f>IF(Table3[[#This Row],[Type Received]]=2,"CC",(IF(Table3[[#This Row],[Type Received]]=3,"BILL","ACH")))</f>
        <v>BILL</v>
      </c>
    </row>
    <row r="266" spans="1:11" x14ac:dyDescent="0.25">
      <c r="A266">
        <v>257045</v>
      </c>
      <c r="B266" s="3">
        <v>46158</v>
      </c>
      <c r="C266">
        <v>1</v>
      </c>
      <c r="D266">
        <v>64.150000000000006</v>
      </c>
      <c r="G266" t="s">
        <v>106</v>
      </c>
      <c r="H266">
        <v>710021873</v>
      </c>
      <c r="I266" t="s">
        <v>29</v>
      </c>
      <c r="J266" t="s">
        <v>29</v>
      </c>
      <c r="K266" t="str">
        <f>IF(Table3[[#This Row],[Type Received]]=2,"CC",(IF(Table3[[#This Row],[Type Received]]=3,"BILL","ACH")))</f>
        <v>ACH</v>
      </c>
    </row>
    <row r="267" spans="1:11" x14ac:dyDescent="0.25">
      <c r="A267">
        <v>257047</v>
      </c>
      <c r="B267" s="3">
        <v>46170</v>
      </c>
      <c r="C267">
        <v>2</v>
      </c>
      <c r="D267">
        <v>87.91</v>
      </c>
      <c r="F267" t="s">
        <v>114</v>
      </c>
      <c r="G267" s="4" t="s">
        <v>28</v>
      </c>
      <c r="H267">
        <v>853926633</v>
      </c>
      <c r="I267" t="s">
        <v>29</v>
      </c>
      <c r="K267" t="str">
        <f>IF(Table3[[#This Row],[Type Received]]=2,"CC",(IF(Table3[[#This Row],[Type Received]]=3,"BILL","ACH")))</f>
        <v>CC</v>
      </c>
    </row>
    <row r="268" spans="1:11" x14ac:dyDescent="0.25">
      <c r="A268">
        <v>257049</v>
      </c>
      <c r="B268" s="3">
        <v>46168</v>
      </c>
      <c r="C268">
        <v>1</v>
      </c>
      <c r="D268">
        <v>67.78</v>
      </c>
      <c r="G268" t="s">
        <v>110</v>
      </c>
      <c r="H268">
        <v>828207068</v>
      </c>
      <c r="I268" t="s">
        <v>29</v>
      </c>
      <c r="J268" t="s">
        <v>29</v>
      </c>
      <c r="K268" t="str">
        <f>IF(Table3[[#This Row],[Type Received]]=2,"CC",(IF(Table3[[#This Row],[Type Received]]=3,"BILL","ACH")))</f>
        <v>ACH</v>
      </c>
    </row>
    <row r="269" spans="1:11" x14ac:dyDescent="0.25">
      <c r="A269">
        <v>257057</v>
      </c>
      <c r="B269" s="3">
        <v>46168</v>
      </c>
      <c r="C269">
        <v>3</v>
      </c>
      <c r="D269">
        <v>663.82</v>
      </c>
      <c r="E269">
        <v>4500828640</v>
      </c>
      <c r="J269" t="s">
        <v>29</v>
      </c>
      <c r="K269" t="str">
        <f>IF(Table3[[#This Row],[Type Received]]=2,"CC",(IF(Table3[[#This Row],[Type Received]]=3,"BILL","ACH")))</f>
        <v>BILL</v>
      </c>
    </row>
    <row r="270" spans="1:11" x14ac:dyDescent="0.25">
      <c r="A270">
        <v>257058</v>
      </c>
      <c r="B270" s="3">
        <v>46158</v>
      </c>
      <c r="C270">
        <v>1</v>
      </c>
      <c r="D270">
        <v>48.31</v>
      </c>
      <c r="G270" t="s">
        <v>106</v>
      </c>
      <c r="H270">
        <v>710043300</v>
      </c>
      <c r="I270" t="s">
        <v>29</v>
      </c>
      <c r="K270" t="str">
        <f>IF(Table3[[#This Row],[Type Received]]=2,"CC",(IF(Table3[[#This Row],[Type Received]]=3,"BILL","ACH")))</f>
        <v>ACH</v>
      </c>
    </row>
    <row r="271" spans="1:11" x14ac:dyDescent="0.25">
      <c r="A271">
        <v>257060</v>
      </c>
      <c r="B271" s="3">
        <v>46151</v>
      </c>
      <c r="C271">
        <v>2</v>
      </c>
      <c r="D271">
        <v>110.37</v>
      </c>
      <c r="F271">
        <v>682129</v>
      </c>
      <c r="G271" s="4">
        <v>744033001</v>
      </c>
      <c r="H271">
        <v>354078893</v>
      </c>
      <c r="J271" t="s">
        <v>29</v>
      </c>
      <c r="K271" t="str">
        <f>IF(Table3[[#This Row],[Type Received]]=2,"CC",(IF(Table3[[#This Row],[Type Received]]=3,"BILL","ACH")))</f>
        <v>CC</v>
      </c>
    </row>
    <row r="272" spans="1:11" x14ac:dyDescent="0.25">
      <c r="A272">
        <v>257061</v>
      </c>
      <c r="B272" s="3">
        <v>46145</v>
      </c>
      <c r="C272">
        <v>1</v>
      </c>
      <c r="D272">
        <v>128.5</v>
      </c>
      <c r="G272" s="4" t="s">
        <v>113</v>
      </c>
      <c r="H272">
        <v>546396944</v>
      </c>
      <c r="I272" t="s">
        <v>29</v>
      </c>
      <c r="J272" t="s">
        <v>29</v>
      </c>
      <c r="K272" t="str">
        <f>IF(Table3[[#This Row],[Type Received]]=2,"CC",(IF(Table3[[#This Row],[Type Received]]=3,"BILL","ACH")))</f>
        <v>ACH</v>
      </c>
    </row>
    <row r="273" spans="1:11" x14ac:dyDescent="0.25">
      <c r="A273">
        <v>257069</v>
      </c>
      <c r="B273" s="3">
        <v>46152</v>
      </c>
      <c r="C273">
        <v>1</v>
      </c>
      <c r="D273">
        <v>52.27</v>
      </c>
      <c r="G273" t="s">
        <v>115</v>
      </c>
      <c r="H273">
        <v>632877024</v>
      </c>
      <c r="I273" t="s">
        <v>29</v>
      </c>
      <c r="K273" t="str">
        <f>IF(Table3[[#This Row],[Type Received]]=2,"CC",(IF(Table3[[#This Row],[Type Received]]=3,"BILL","ACH")))</f>
        <v>ACH</v>
      </c>
    </row>
    <row r="274" spans="1:11" x14ac:dyDescent="0.25">
      <c r="A274">
        <v>257072</v>
      </c>
      <c r="B274" s="3">
        <v>46161</v>
      </c>
      <c r="C274">
        <v>2</v>
      </c>
      <c r="D274">
        <v>126.52</v>
      </c>
      <c r="F274">
        <v>62532</v>
      </c>
      <c r="G274" s="4" t="s">
        <v>28</v>
      </c>
      <c r="H274">
        <v>745068285</v>
      </c>
      <c r="I274" t="s">
        <v>29</v>
      </c>
      <c r="J274" t="s">
        <v>29</v>
      </c>
      <c r="K274" t="str">
        <f>IF(Table3[[#This Row],[Type Received]]=2,"CC",(IF(Table3[[#This Row],[Type Received]]=3,"BILL","ACH")))</f>
        <v>CC</v>
      </c>
    </row>
    <row r="275" spans="1:11" x14ac:dyDescent="0.25">
      <c r="A275">
        <v>257077</v>
      </c>
      <c r="B275" s="3">
        <v>46170</v>
      </c>
      <c r="C275">
        <v>2</v>
      </c>
      <c r="D275">
        <v>200.82</v>
      </c>
      <c r="F275">
        <v>647058</v>
      </c>
      <c r="G275" t="s">
        <v>28</v>
      </c>
      <c r="H275">
        <v>858772164</v>
      </c>
      <c r="I275" t="s">
        <v>29</v>
      </c>
      <c r="J275" t="s">
        <v>29</v>
      </c>
      <c r="K275" t="str">
        <f>IF(Table3[[#This Row],[Type Received]]=2,"CC",(IF(Table3[[#This Row],[Type Received]]=3,"BILL","ACH")))</f>
        <v>CC</v>
      </c>
    </row>
    <row r="276" spans="1:11" x14ac:dyDescent="0.25">
      <c r="A276">
        <v>257081</v>
      </c>
      <c r="B276" s="3">
        <v>46145</v>
      </c>
      <c r="C276">
        <v>1</v>
      </c>
      <c r="D276">
        <v>48.09</v>
      </c>
      <c r="G276" t="s">
        <v>113</v>
      </c>
      <c r="H276">
        <v>546421130</v>
      </c>
      <c r="I276" t="s">
        <v>29</v>
      </c>
      <c r="K276" t="str">
        <f>IF(Table3[[#This Row],[Type Received]]=2,"CC",(IF(Table3[[#This Row],[Type Received]]=3,"BILL","ACH")))</f>
        <v>ACH</v>
      </c>
    </row>
    <row r="277" spans="1:11" x14ac:dyDescent="0.25">
      <c r="A277">
        <v>257094</v>
      </c>
      <c r="B277" s="3">
        <v>46168</v>
      </c>
      <c r="C277">
        <v>1</v>
      </c>
      <c r="D277">
        <v>83.95</v>
      </c>
      <c r="G277" t="s">
        <v>110</v>
      </c>
      <c r="H277">
        <v>828212979</v>
      </c>
      <c r="I277" t="s">
        <v>29</v>
      </c>
      <c r="J277" t="s">
        <v>29</v>
      </c>
      <c r="K277" t="str">
        <f>IF(Table3[[#This Row],[Type Received]]=2,"CC",(IF(Table3[[#This Row],[Type Received]]=3,"BILL","ACH")))</f>
        <v>ACH</v>
      </c>
    </row>
    <row r="278" spans="1:11" x14ac:dyDescent="0.25">
      <c r="A278">
        <v>257105</v>
      </c>
      <c r="B278" s="3">
        <v>46168</v>
      </c>
      <c r="C278">
        <v>1</v>
      </c>
      <c r="D278">
        <v>100.45</v>
      </c>
      <c r="G278" t="s">
        <v>110</v>
      </c>
      <c r="H278">
        <v>828208063</v>
      </c>
      <c r="I278" t="s">
        <v>29</v>
      </c>
      <c r="J278" t="s">
        <v>29</v>
      </c>
      <c r="K278" t="str">
        <f>IF(Table3[[#This Row],[Type Received]]=2,"CC",(IF(Table3[[#This Row],[Type Received]]=3,"BILL","ACH")))</f>
        <v>ACH</v>
      </c>
    </row>
    <row r="279" spans="1:11" x14ac:dyDescent="0.25">
      <c r="A279">
        <v>257106</v>
      </c>
      <c r="B279" s="3">
        <v>46167</v>
      </c>
      <c r="C279">
        <v>1</v>
      </c>
      <c r="D279">
        <v>153.25</v>
      </c>
      <c r="G279" s="4" t="s">
        <v>85</v>
      </c>
      <c r="H279">
        <v>818352361</v>
      </c>
      <c r="I279" t="s">
        <v>29</v>
      </c>
      <c r="J279" t="s">
        <v>29</v>
      </c>
      <c r="K279" t="str">
        <f>IF(Table3[[#This Row],[Type Received]]=2,"CC",(IF(Table3[[#This Row],[Type Received]]=3,"BILL","ACH")))</f>
        <v>ACH</v>
      </c>
    </row>
    <row r="280" spans="1:11" x14ac:dyDescent="0.25">
      <c r="A280">
        <v>257109</v>
      </c>
      <c r="B280" s="3">
        <v>46143</v>
      </c>
      <c r="C280">
        <v>1</v>
      </c>
      <c r="D280">
        <v>48.75</v>
      </c>
      <c r="G280" t="s">
        <v>84</v>
      </c>
      <c r="H280">
        <v>522246384</v>
      </c>
      <c r="I280" t="s">
        <v>29</v>
      </c>
      <c r="K280" t="str">
        <f>IF(Table3[[#This Row],[Type Received]]=2,"CC",(IF(Table3[[#This Row],[Type Received]]=3,"BILL","ACH")))</f>
        <v>ACH</v>
      </c>
    </row>
    <row r="281" spans="1:11" x14ac:dyDescent="0.25">
      <c r="A281">
        <v>257110</v>
      </c>
      <c r="B281" s="3">
        <v>46158</v>
      </c>
      <c r="C281">
        <v>1</v>
      </c>
      <c r="D281">
        <v>78.67</v>
      </c>
      <c r="G281" t="s">
        <v>106</v>
      </c>
      <c r="H281">
        <v>710034538</v>
      </c>
      <c r="I281" t="s">
        <v>29</v>
      </c>
      <c r="K281" t="str">
        <f>IF(Table3[[#This Row],[Type Received]]=2,"CC",(IF(Table3[[#This Row],[Type Received]]=3,"BILL","ACH")))</f>
        <v>ACH</v>
      </c>
    </row>
    <row r="282" spans="1:11" x14ac:dyDescent="0.25">
      <c r="A282">
        <v>257112</v>
      </c>
      <c r="B282" s="3">
        <v>46158</v>
      </c>
      <c r="C282">
        <v>1</v>
      </c>
      <c r="D282">
        <v>42.81</v>
      </c>
      <c r="G282" t="s">
        <v>106</v>
      </c>
      <c r="H282">
        <v>710042435</v>
      </c>
      <c r="I282" t="s">
        <v>29</v>
      </c>
      <c r="J282" t="s">
        <v>29</v>
      </c>
      <c r="K282" t="str">
        <f>IF(Table3[[#This Row],[Type Received]]=2,"CC",(IF(Table3[[#This Row],[Type Received]]=3,"BILL","ACH")))</f>
        <v>ACH</v>
      </c>
    </row>
    <row r="283" spans="1:11" x14ac:dyDescent="0.25">
      <c r="A283">
        <v>257123</v>
      </c>
      <c r="B283" s="3">
        <v>46145</v>
      </c>
      <c r="C283">
        <v>1</v>
      </c>
      <c r="D283">
        <v>116.29</v>
      </c>
      <c r="G283" t="s">
        <v>113</v>
      </c>
      <c r="H283">
        <v>546420223</v>
      </c>
      <c r="I283" t="s">
        <v>29</v>
      </c>
      <c r="J283" t="s">
        <v>29</v>
      </c>
      <c r="K283" t="str">
        <f>IF(Table3[[#This Row],[Type Received]]=2,"CC",(IF(Table3[[#This Row],[Type Received]]=3,"BILL","ACH")))</f>
        <v>ACH</v>
      </c>
    </row>
    <row r="284" spans="1:11" x14ac:dyDescent="0.25">
      <c r="A284">
        <v>257133</v>
      </c>
      <c r="B284" s="3">
        <v>46145</v>
      </c>
      <c r="C284">
        <v>1</v>
      </c>
      <c r="D284">
        <v>46.55</v>
      </c>
      <c r="G284" t="s">
        <v>113</v>
      </c>
      <c r="H284">
        <v>546418315</v>
      </c>
      <c r="I284" t="s">
        <v>29</v>
      </c>
      <c r="K284" t="str">
        <f>IF(Table3[[#This Row],[Type Received]]=2,"CC",(IF(Table3[[#This Row],[Type Received]]=3,"BILL","ACH")))</f>
        <v>ACH</v>
      </c>
    </row>
    <row r="285" spans="1:11" x14ac:dyDescent="0.25">
      <c r="A285">
        <v>257144</v>
      </c>
      <c r="B285" s="3">
        <v>46143</v>
      </c>
      <c r="C285">
        <v>3</v>
      </c>
      <c r="D285">
        <v>166.5</v>
      </c>
      <c r="E285">
        <v>278</v>
      </c>
      <c r="J285" t="s">
        <v>29</v>
      </c>
      <c r="K285" t="str">
        <f>IF(Table3[[#This Row],[Type Received]]=2,"CC",(IF(Table3[[#This Row],[Type Received]]=3,"BILL","ACH")))</f>
        <v>BILL</v>
      </c>
    </row>
    <row r="286" spans="1:11" x14ac:dyDescent="0.25">
      <c r="A286">
        <v>257147</v>
      </c>
      <c r="B286" s="3">
        <v>46150</v>
      </c>
      <c r="C286">
        <v>3</v>
      </c>
      <c r="D286">
        <v>200</v>
      </c>
      <c r="E286">
        <v>988229</v>
      </c>
      <c r="K286" t="str">
        <f>IF(Table3[[#This Row],[Type Received]]=2,"CC",(IF(Table3[[#This Row],[Type Received]]=3,"BILL","ACH")))</f>
        <v>BILL</v>
      </c>
    </row>
    <row r="287" spans="1:11" x14ac:dyDescent="0.25">
      <c r="A287">
        <v>257162</v>
      </c>
      <c r="B287" s="3">
        <v>46147</v>
      </c>
      <c r="C287">
        <v>1</v>
      </c>
      <c r="D287">
        <v>115.3</v>
      </c>
      <c r="G287" t="s">
        <v>86</v>
      </c>
      <c r="H287">
        <v>569462855</v>
      </c>
      <c r="I287" t="s">
        <v>29</v>
      </c>
      <c r="J287" t="s">
        <v>29</v>
      </c>
      <c r="K287" t="str">
        <f>IF(Table3[[#This Row],[Type Received]]=2,"CC",(IF(Table3[[#This Row],[Type Received]]=3,"BILL","ACH")))</f>
        <v>ACH</v>
      </c>
    </row>
    <row r="288" spans="1:11" x14ac:dyDescent="0.25">
      <c r="A288">
        <v>257166</v>
      </c>
      <c r="B288" s="3">
        <v>46158</v>
      </c>
      <c r="C288">
        <v>1</v>
      </c>
      <c r="D288">
        <v>152.59</v>
      </c>
      <c r="G288" t="s">
        <v>106</v>
      </c>
      <c r="H288">
        <v>710020937</v>
      </c>
      <c r="I288" t="s">
        <v>29</v>
      </c>
      <c r="J288" t="s">
        <v>29</v>
      </c>
      <c r="K288" t="str">
        <f>IF(Table3[[#This Row],[Type Received]]=2,"CC",(IF(Table3[[#This Row],[Type Received]]=3,"BILL","ACH")))</f>
        <v>ACH</v>
      </c>
    </row>
    <row r="289" spans="1:11" x14ac:dyDescent="0.25">
      <c r="A289">
        <v>257167</v>
      </c>
      <c r="B289" s="3">
        <v>46158</v>
      </c>
      <c r="C289">
        <v>1</v>
      </c>
      <c r="D289">
        <v>51.61</v>
      </c>
      <c r="G289" t="s">
        <v>106</v>
      </c>
      <c r="H289">
        <v>710022978</v>
      </c>
      <c r="I289" t="s">
        <v>29</v>
      </c>
      <c r="J289" t="s">
        <v>29</v>
      </c>
      <c r="K289" t="str">
        <f>IF(Table3[[#This Row],[Type Received]]=2,"CC",(IF(Table3[[#This Row],[Type Received]]=3,"BILL","ACH")))</f>
        <v>ACH</v>
      </c>
    </row>
    <row r="290" spans="1:11" x14ac:dyDescent="0.25">
      <c r="A290">
        <v>257168</v>
      </c>
      <c r="B290" s="3">
        <v>46145</v>
      </c>
      <c r="C290">
        <v>1</v>
      </c>
      <c r="D290">
        <v>75.7</v>
      </c>
      <c r="G290" t="s">
        <v>113</v>
      </c>
      <c r="H290">
        <v>546409444</v>
      </c>
      <c r="I290" t="s">
        <v>29</v>
      </c>
      <c r="K290" t="str">
        <f>IF(Table3[[#This Row],[Type Received]]=2,"CC",(IF(Table3[[#This Row],[Type Received]]=3,"BILL","ACH")))</f>
        <v>ACH</v>
      </c>
    </row>
    <row r="291" spans="1:11" x14ac:dyDescent="0.25">
      <c r="A291">
        <v>257172</v>
      </c>
      <c r="B291" s="3">
        <v>46145</v>
      </c>
      <c r="C291">
        <v>1</v>
      </c>
      <c r="D291">
        <v>50.95</v>
      </c>
      <c r="G291" t="s">
        <v>113</v>
      </c>
      <c r="H291">
        <v>546411455</v>
      </c>
      <c r="I291" t="s">
        <v>29</v>
      </c>
      <c r="J291" t="s">
        <v>29</v>
      </c>
      <c r="K291" t="str">
        <f>IF(Table3[[#This Row],[Type Received]]=2,"CC",(IF(Table3[[#This Row],[Type Received]]=3,"BILL","ACH")))</f>
        <v>ACH</v>
      </c>
    </row>
    <row r="292" spans="1:11" x14ac:dyDescent="0.25">
      <c r="A292">
        <v>257175</v>
      </c>
      <c r="B292" s="3">
        <v>46169</v>
      </c>
      <c r="C292">
        <v>3</v>
      </c>
      <c r="D292">
        <v>60.87</v>
      </c>
      <c r="E292">
        <v>647</v>
      </c>
      <c r="J292" t="s">
        <v>29</v>
      </c>
      <c r="K292" t="str">
        <f>IF(Table3[[#This Row],[Type Received]]=2,"CC",(IF(Table3[[#This Row],[Type Received]]=3,"BILL","ACH")))</f>
        <v>BILL</v>
      </c>
    </row>
    <row r="293" spans="1:11" x14ac:dyDescent="0.25">
      <c r="A293">
        <v>257175</v>
      </c>
      <c r="B293" s="3">
        <v>46147</v>
      </c>
      <c r="C293">
        <v>3</v>
      </c>
      <c r="D293">
        <v>60.87</v>
      </c>
      <c r="E293">
        <v>576</v>
      </c>
      <c r="J293" t="s">
        <v>29</v>
      </c>
      <c r="K293" t="str">
        <f>IF(Table3[[#This Row],[Type Received]]=2,"CC",(IF(Table3[[#This Row],[Type Received]]=3,"BILL","ACH")))</f>
        <v>BILL</v>
      </c>
    </row>
    <row r="294" spans="1:11" x14ac:dyDescent="0.25">
      <c r="A294">
        <v>257181</v>
      </c>
      <c r="B294" s="3">
        <v>46155</v>
      </c>
      <c r="C294">
        <v>1</v>
      </c>
      <c r="D294">
        <v>154.24</v>
      </c>
      <c r="G294" t="s">
        <v>90</v>
      </c>
      <c r="H294">
        <v>669447312</v>
      </c>
      <c r="I294" t="s">
        <v>29</v>
      </c>
      <c r="J294" t="s">
        <v>29</v>
      </c>
      <c r="K294" t="str">
        <f>IF(Table3[[#This Row],[Type Received]]=2,"CC",(IF(Table3[[#This Row],[Type Received]]=3,"BILL","ACH")))</f>
        <v>ACH</v>
      </c>
    </row>
    <row r="295" spans="1:11" x14ac:dyDescent="0.25">
      <c r="A295">
        <v>257184</v>
      </c>
      <c r="B295" s="3">
        <v>46145</v>
      </c>
      <c r="C295">
        <v>1</v>
      </c>
      <c r="D295">
        <v>43.03</v>
      </c>
      <c r="G295" t="s">
        <v>113</v>
      </c>
      <c r="H295">
        <v>546408525</v>
      </c>
      <c r="I295" t="s">
        <v>29</v>
      </c>
      <c r="J295" t="s">
        <v>29</v>
      </c>
      <c r="K295" t="str">
        <f>IF(Table3[[#This Row],[Type Received]]=2,"CC",(IF(Table3[[#This Row],[Type Received]]=3,"BILL","ACH")))</f>
        <v>ACH</v>
      </c>
    </row>
    <row r="296" spans="1:11" x14ac:dyDescent="0.25">
      <c r="A296">
        <v>257186</v>
      </c>
      <c r="B296" s="3">
        <v>46143</v>
      </c>
      <c r="C296">
        <v>2</v>
      </c>
      <c r="D296">
        <v>68.790000000000006</v>
      </c>
      <c r="F296">
        <v>1979</v>
      </c>
      <c r="G296" t="s">
        <v>28</v>
      </c>
      <c r="H296">
        <v>524061544</v>
      </c>
      <c r="I296" t="s">
        <v>29</v>
      </c>
      <c r="K296" t="str">
        <f>IF(Table3[[#This Row],[Type Received]]=2,"CC",(IF(Table3[[#This Row],[Type Received]]=3,"BILL","ACH")))</f>
        <v>CC</v>
      </c>
    </row>
    <row r="297" spans="1:11" x14ac:dyDescent="0.25">
      <c r="A297">
        <v>257192</v>
      </c>
      <c r="B297" s="3">
        <v>46168</v>
      </c>
      <c r="C297">
        <v>1</v>
      </c>
      <c r="D297">
        <v>173.38</v>
      </c>
      <c r="G297" s="4" t="s">
        <v>110</v>
      </c>
      <c r="H297">
        <v>828242102</v>
      </c>
      <c r="I297" t="s">
        <v>29</v>
      </c>
      <c r="J297" t="s">
        <v>29</v>
      </c>
      <c r="K297" t="str">
        <f>IF(Table3[[#This Row],[Type Received]]=2,"CC",(IF(Table3[[#This Row],[Type Received]]=3,"BILL","ACH")))</f>
        <v>ACH</v>
      </c>
    </row>
    <row r="298" spans="1:11" x14ac:dyDescent="0.25">
      <c r="A298">
        <v>257197</v>
      </c>
      <c r="B298" s="3">
        <v>46143</v>
      </c>
      <c r="C298">
        <v>1</v>
      </c>
      <c r="D298">
        <v>44.57</v>
      </c>
      <c r="G298" t="s">
        <v>84</v>
      </c>
      <c r="H298">
        <v>522176095</v>
      </c>
      <c r="I298" t="s">
        <v>29</v>
      </c>
      <c r="J298" t="s">
        <v>29</v>
      </c>
      <c r="K298" t="str">
        <f>IF(Table3[[#This Row],[Type Received]]=2,"CC",(IF(Table3[[#This Row],[Type Received]]=3,"BILL","ACH")))</f>
        <v>ACH</v>
      </c>
    </row>
    <row r="299" spans="1:11" x14ac:dyDescent="0.25">
      <c r="A299">
        <v>257198</v>
      </c>
      <c r="B299" s="3">
        <v>46158</v>
      </c>
      <c r="C299">
        <v>1</v>
      </c>
      <c r="D299">
        <v>122.89</v>
      </c>
      <c r="G299" t="s">
        <v>106</v>
      </c>
      <c r="H299">
        <v>710021959</v>
      </c>
      <c r="I299" t="s">
        <v>29</v>
      </c>
      <c r="J299" t="s">
        <v>29</v>
      </c>
      <c r="K299" t="str">
        <f>IF(Table3[[#This Row],[Type Received]]=2,"CC",(IF(Table3[[#This Row],[Type Received]]=3,"BILL","ACH")))</f>
        <v>ACH</v>
      </c>
    </row>
    <row r="300" spans="1:11" x14ac:dyDescent="0.25">
      <c r="A300">
        <v>257202</v>
      </c>
      <c r="B300" s="3">
        <v>46143</v>
      </c>
      <c r="C300">
        <v>1</v>
      </c>
      <c r="D300">
        <v>55.57</v>
      </c>
      <c r="G300" t="s">
        <v>84</v>
      </c>
      <c r="H300">
        <v>522179942</v>
      </c>
      <c r="I300" t="s">
        <v>29</v>
      </c>
      <c r="J300" t="s">
        <v>29</v>
      </c>
      <c r="K300" t="str">
        <f>IF(Table3[[#This Row],[Type Received]]=2,"CC",(IF(Table3[[#This Row],[Type Received]]=3,"BILL","ACH")))</f>
        <v>ACH</v>
      </c>
    </row>
    <row r="301" spans="1:11" x14ac:dyDescent="0.25">
      <c r="A301">
        <v>257206</v>
      </c>
      <c r="B301" s="3">
        <v>46158</v>
      </c>
      <c r="C301">
        <v>1</v>
      </c>
      <c r="D301">
        <v>59.75</v>
      </c>
      <c r="G301" s="4" t="s">
        <v>106</v>
      </c>
      <c r="H301">
        <v>710033612</v>
      </c>
      <c r="I301" t="s">
        <v>29</v>
      </c>
      <c r="K301" t="str">
        <f>IF(Table3[[#This Row],[Type Received]]=2,"CC",(IF(Table3[[#This Row],[Type Received]]=3,"BILL","ACH")))</f>
        <v>ACH</v>
      </c>
    </row>
    <row r="302" spans="1:11" x14ac:dyDescent="0.25">
      <c r="A302">
        <v>257207</v>
      </c>
      <c r="B302" s="3">
        <v>46143</v>
      </c>
      <c r="C302">
        <v>1</v>
      </c>
      <c r="D302">
        <v>106.39</v>
      </c>
      <c r="G302" t="s">
        <v>84</v>
      </c>
      <c r="H302">
        <v>522194493</v>
      </c>
      <c r="I302" t="s">
        <v>29</v>
      </c>
      <c r="K302" t="str">
        <f>IF(Table3[[#This Row],[Type Received]]=2,"CC",(IF(Table3[[#This Row],[Type Received]]=3,"BILL","ACH")))</f>
        <v>ACH</v>
      </c>
    </row>
    <row r="303" spans="1:11" x14ac:dyDescent="0.25">
      <c r="A303">
        <v>257215</v>
      </c>
      <c r="B303" s="3">
        <v>46143</v>
      </c>
      <c r="C303">
        <v>1</v>
      </c>
      <c r="D303">
        <v>99.13</v>
      </c>
      <c r="G303" s="4" t="s">
        <v>84</v>
      </c>
      <c r="H303">
        <v>522183881</v>
      </c>
      <c r="I303" t="s">
        <v>29</v>
      </c>
      <c r="J303" t="s">
        <v>29</v>
      </c>
      <c r="K303" t="str">
        <f>IF(Table3[[#This Row],[Type Received]]=2,"CC",(IF(Table3[[#This Row],[Type Received]]=3,"BILL","ACH")))</f>
        <v>ACH</v>
      </c>
    </row>
    <row r="304" spans="1:11" x14ac:dyDescent="0.25">
      <c r="A304">
        <v>257219</v>
      </c>
      <c r="B304" s="3">
        <v>46143</v>
      </c>
      <c r="C304">
        <v>1</v>
      </c>
      <c r="D304">
        <v>88.79</v>
      </c>
      <c r="G304" t="s">
        <v>84</v>
      </c>
      <c r="H304">
        <v>522180055</v>
      </c>
      <c r="I304" t="s">
        <v>29</v>
      </c>
      <c r="J304" t="s">
        <v>29</v>
      </c>
      <c r="K304" t="str">
        <f>IF(Table3[[#This Row],[Type Received]]=2,"CC",(IF(Table3[[#This Row],[Type Received]]=3,"BILL","ACH")))</f>
        <v>ACH</v>
      </c>
    </row>
    <row r="305" spans="1:11" x14ac:dyDescent="0.25">
      <c r="A305">
        <v>257224</v>
      </c>
      <c r="B305" s="3">
        <v>46155</v>
      </c>
      <c r="C305">
        <v>2</v>
      </c>
      <c r="D305">
        <v>63.05</v>
      </c>
      <c r="F305">
        <v>415887</v>
      </c>
      <c r="G305" t="s">
        <v>28</v>
      </c>
      <c r="H305">
        <v>669462571</v>
      </c>
      <c r="I305" t="s">
        <v>29</v>
      </c>
      <c r="J305" t="s">
        <v>29</v>
      </c>
      <c r="K305" t="str">
        <f>IF(Table3[[#This Row],[Type Received]]=2,"CC",(IF(Table3[[#This Row],[Type Received]]=3,"BILL","ACH")))</f>
        <v>CC</v>
      </c>
    </row>
    <row r="306" spans="1:11" x14ac:dyDescent="0.25">
      <c r="A306">
        <v>257236</v>
      </c>
      <c r="B306" s="3">
        <v>46150</v>
      </c>
      <c r="C306">
        <v>3</v>
      </c>
      <c r="D306">
        <v>105.09</v>
      </c>
      <c r="E306">
        <v>75613354</v>
      </c>
      <c r="J306" t="s">
        <v>29</v>
      </c>
      <c r="K306" t="str">
        <f>IF(Table3[[#This Row],[Type Received]]=2,"CC",(IF(Table3[[#This Row],[Type Received]]=3,"BILL","ACH")))</f>
        <v>BILL</v>
      </c>
    </row>
    <row r="307" spans="1:11" x14ac:dyDescent="0.25">
      <c r="A307">
        <v>257251</v>
      </c>
      <c r="B307" s="3">
        <v>46158</v>
      </c>
      <c r="C307">
        <v>1</v>
      </c>
      <c r="D307">
        <v>79.55</v>
      </c>
      <c r="G307" t="s">
        <v>106</v>
      </c>
      <c r="H307">
        <v>710023941</v>
      </c>
      <c r="I307" t="s">
        <v>29</v>
      </c>
      <c r="J307" t="s">
        <v>29</v>
      </c>
      <c r="K307" t="str">
        <f>IF(Table3[[#This Row],[Type Received]]=2,"CC",(IF(Table3[[#This Row],[Type Received]]=3,"BILL","ACH")))</f>
        <v>ACH</v>
      </c>
    </row>
    <row r="308" spans="1:11" x14ac:dyDescent="0.25">
      <c r="A308">
        <v>257274</v>
      </c>
      <c r="B308" s="3">
        <v>46144</v>
      </c>
      <c r="C308">
        <v>2</v>
      </c>
      <c r="D308">
        <v>85.29</v>
      </c>
      <c r="F308">
        <v>39725</v>
      </c>
      <c r="G308">
        <v>741651752</v>
      </c>
      <c r="H308">
        <v>353271534</v>
      </c>
      <c r="J308" t="s">
        <v>29</v>
      </c>
      <c r="K308" t="str">
        <f>IF(Table3[[#This Row],[Type Received]]=2,"CC",(IF(Table3[[#This Row],[Type Received]]=3,"BILL","ACH")))</f>
        <v>CC</v>
      </c>
    </row>
    <row r="309" spans="1:11" x14ac:dyDescent="0.25">
      <c r="A309">
        <v>257276</v>
      </c>
      <c r="B309" s="3">
        <v>46155</v>
      </c>
      <c r="C309">
        <v>2</v>
      </c>
      <c r="D309">
        <v>166.45</v>
      </c>
      <c r="F309">
        <v>120700</v>
      </c>
      <c r="G309" t="s">
        <v>28</v>
      </c>
      <c r="H309">
        <v>669434918</v>
      </c>
      <c r="I309" t="s">
        <v>29</v>
      </c>
      <c r="J309" t="s">
        <v>29</v>
      </c>
      <c r="K309" t="str">
        <f>IF(Table3[[#This Row],[Type Received]]=2,"CC",(IF(Table3[[#This Row],[Type Received]]=3,"BILL","ACH")))</f>
        <v>CC</v>
      </c>
    </row>
    <row r="310" spans="1:11" x14ac:dyDescent="0.25">
      <c r="A310">
        <v>257278</v>
      </c>
      <c r="B310" s="3">
        <v>46155</v>
      </c>
      <c r="C310">
        <v>2</v>
      </c>
      <c r="D310">
        <v>104.08</v>
      </c>
      <c r="F310" t="s">
        <v>116</v>
      </c>
      <c r="G310" t="s">
        <v>28</v>
      </c>
      <c r="H310">
        <v>669450185</v>
      </c>
      <c r="I310" t="s">
        <v>29</v>
      </c>
      <c r="K310" t="str">
        <f>IF(Table3[[#This Row],[Type Received]]=2,"CC",(IF(Table3[[#This Row],[Type Received]]=3,"BILL","ACH")))</f>
        <v>CC</v>
      </c>
    </row>
    <row r="311" spans="1:11" x14ac:dyDescent="0.25">
      <c r="A311">
        <v>257279</v>
      </c>
      <c r="B311" s="3">
        <v>46171</v>
      </c>
      <c r="C311">
        <v>2</v>
      </c>
      <c r="D311">
        <v>96.51</v>
      </c>
      <c r="F311">
        <v>90792</v>
      </c>
      <c r="G311" t="s">
        <v>28</v>
      </c>
      <c r="H311">
        <v>869822992</v>
      </c>
      <c r="I311" t="s">
        <v>29</v>
      </c>
      <c r="K311" t="str">
        <f>IF(Table3[[#This Row],[Type Received]]=2,"CC",(IF(Table3[[#This Row],[Type Received]]=3,"BILL","ACH")))</f>
        <v>CC</v>
      </c>
    </row>
    <row r="312" spans="1:11" x14ac:dyDescent="0.25">
      <c r="A312">
        <v>257279</v>
      </c>
      <c r="B312" s="3">
        <v>46143</v>
      </c>
      <c r="C312">
        <v>2</v>
      </c>
      <c r="D312">
        <v>96.51</v>
      </c>
      <c r="F312">
        <v>658860</v>
      </c>
      <c r="G312" t="s">
        <v>28</v>
      </c>
      <c r="H312">
        <v>523559040</v>
      </c>
      <c r="I312" t="s">
        <v>29</v>
      </c>
      <c r="J312" t="s">
        <v>29</v>
      </c>
      <c r="K312" t="str">
        <f>IF(Table3[[#This Row],[Type Received]]=2,"CC",(IF(Table3[[#This Row],[Type Received]]=3,"BILL","ACH")))</f>
        <v>CC</v>
      </c>
    </row>
    <row r="313" spans="1:11" x14ac:dyDescent="0.25">
      <c r="A313">
        <v>257283</v>
      </c>
      <c r="B313" s="3">
        <v>46158</v>
      </c>
      <c r="C313">
        <v>1</v>
      </c>
      <c r="D313">
        <v>135.76</v>
      </c>
      <c r="G313" t="s">
        <v>106</v>
      </c>
      <c r="H313">
        <v>710039552</v>
      </c>
      <c r="I313" t="s">
        <v>29</v>
      </c>
      <c r="K313" t="str">
        <f>IF(Table3[[#This Row],[Type Received]]=2,"CC",(IF(Table3[[#This Row],[Type Received]]=3,"BILL","ACH")))</f>
        <v>ACH</v>
      </c>
    </row>
    <row r="314" spans="1:11" x14ac:dyDescent="0.25">
      <c r="A314">
        <v>257284</v>
      </c>
      <c r="B314" s="3">
        <v>46157</v>
      </c>
      <c r="C314">
        <v>1</v>
      </c>
      <c r="D314">
        <v>74.930000000000007</v>
      </c>
      <c r="G314" t="s">
        <v>87</v>
      </c>
      <c r="H314">
        <v>696612852</v>
      </c>
      <c r="I314" t="s">
        <v>29</v>
      </c>
      <c r="J314" t="s">
        <v>29</v>
      </c>
      <c r="K314" t="str">
        <f>IF(Table3[[#This Row],[Type Received]]=2,"CC",(IF(Table3[[#This Row],[Type Received]]=3,"BILL","ACH")))</f>
        <v>ACH</v>
      </c>
    </row>
    <row r="315" spans="1:11" x14ac:dyDescent="0.25">
      <c r="A315">
        <v>257285</v>
      </c>
      <c r="B315" s="3">
        <v>46168</v>
      </c>
      <c r="C315">
        <v>1</v>
      </c>
      <c r="D315">
        <v>53.15</v>
      </c>
      <c r="G315" t="s">
        <v>110</v>
      </c>
      <c r="H315">
        <v>828237296</v>
      </c>
      <c r="I315" t="s">
        <v>29</v>
      </c>
      <c r="J315" t="s">
        <v>29</v>
      </c>
      <c r="K315" t="str">
        <f>IF(Table3[[#This Row],[Type Received]]=2,"CC",(IF(Table3[[#This Row],[Type Received]]=3,"BILL","ACH")))</f>
        <v>ACH</v>
      </c>
    </row>
    <row r="316" spans="1:11" x14ac:dyDescent="0.25">
      <c r="A316">
        <v>257286</v>
      </c>
      <c r="B316" s="3">
        <v>46168</v>
      </c>
      <c r="C316">
        <v>1</v>
      </c>
      <c r="D316">
        <v>45.45</v>
      </c>
      <c r="G316" t="s">
        <v>110</v>
      </c>
      <c r="H316">
        <v>828228530</v>
      </c>
      <c r="I316" t="s">
        <v>29</v>
      </c>
      <c r="K316" t="str">
        <f>IF(Table3[[#This Row],[Type Received]]=2,"CC",(IF(Table3[[#This Row],[Type Received]]=3,"BILL","ACH")))</f>
        <v>ACH</v>
      </c>
    </row>
    <row r="317" spans="1:11" x14ac:dyDescent="0.25">
      <c r="A317">
        <v>257292</v>
      </c>
      <c r="B317" s="3">
        <v>46170</v>
      </c>
      <c r="C317">
        <v>2</v>
      </c>
      <c r="D317">
        <v>86.94</v>
      </c>
      <c r="F317">
        <v>686091</v>
      </c>
      <c r="G317" t="s">
        <v>28</v>
      </c>
      <c r="H317">
        <v>856236317</v>
      </c>
      <c r="I317" t="s">
        <v>29</v>
      </c>
      <c r="J317" t="s">
        <v>29</v>
      </c>
      <c r="K317" t="str">
        <f>IF(Table3[[#This Row],[Type Received]]=2,"CC",(IF(Table3[[#This Row],[Type Received]]=3,"BILL","ACH")))</f>
        <v>CC</v>
      </c>
    </row>
    <row r="318" spans="1:11" x14ac:dyDescent="0.25">
      <c r="A318">
        <v>257293</v>
      </c>
      <c r="B318" s="3">
        <v>46155</v>
      </c>
      <c r="C318">
        <v>2</v>
      </c>
      <c r="D318">
        <v>209.18</v>
      </c>
      <c r="F318">
        <v>125857</v>
      </c>
      <c r="G318" t="s">
        <v>28</v>
      </c>
      <c r="H318">
        <v>669392112</v>
      </c>
      <c r="I318" t="s">
        <v>29</v>
      </c>
      <c r="J318" t="s">
        <v>29</v>
      </c>
      <c r="K318" t="str">
        <f>IF(Table3[[#This Row],[Type Received]]=2,"CC",(IF(Table3[[#This Row],[Type Received]]=3,"BILL","ACH")))</f>
        <v>CC</v>
      </c>
    </row>
    <row r="319" spans="1:11" x14ac:dyDescent="0.25">
      <c r="A319">
        <v>257294</v>
      </c>
      <c r="B319" s="3">
        <v>46162</v>
      </c>
      <c r="C319">
        <v>2</v>
      </c>
      <c r="D319">
        <v>49.32</v>
      </c>
      <c r="F319">
        <v>11724</v>
      </c>
      <c r="G319" t="s">
        <v>28</v>
      </c>
      <c r="H319">
        <v>758559129</v>
      </c>
      <c r="I319" t="s">
        <v>29</v>
      </c>
      <c r="J319" t="s">
        <v>29</v>
      </c>
      <c r="K319" t="str">
        <f>IF(Table3[[#This Row],[Type Received]]=2,"CC",(IF(Table3[[#This Row],[Type Received]]=3,"BILL","ACH")))</f>
        <v>CC</v>
      </c>
    </row>
    <row r="320" spans="1:11" x14ac:dyDescent="0.25">
      <c r="A320">
        <v>257295</v>
      </c>
      <c r="B320" s="3">
        <v>46144</v>
      </c>
      <c r="C320">
        <v>2</v>
      </c>
      <c r="D320">
        <v>119.15</v>
      </c>
      <c r="F320">
        <v>628747</v>
      </c>
      <c r="G320" t="s">
        <v>28</v>
      </c>
      <c r="H320">
        <v>535378592</v>
      </c>
      <c r="I320" t="s">
        <v>29</v>
      </c>
      <c r="K320" t="str">
        <f>IF(Table3[[#This Row],[Type Received]]=2,"CC",(IF(Table3[[#This Row],[Type Received]]=3,"BILL","ACH")))</f>
        <v>CC</v>
      </c>
    </row>
    <row r="321" spans="1:11" x14ac:dyDescent="0.25">
      <c r="A321">
        <v>257302</v>
      </c>
      <c r="B321" s="3">
        <v>46155</v>
      </c>
      <c r="C321">
        <v>2</v>
      </c>
      <c r="D321">
        <v>67.45</v>
      </c>
      <c r="F321">
        <v>245464</v>
      </c>
      <c r="G321" t="s">
        <v>28</v>
      </c>
      <c r="H321">
        <v>669428965</v>
      </c>
      <c r="I321" t="s">
        <v>29</v>
      </c>
      <c r="J321" t="s">
        <v>29</v>
      </c>
      <c r="K321" t="str">
        <f>IF(Table3[[#This Row],[Type Received]]=2,"CC",(IF(Table3[[#This Row],[Type Received]]=3,"BILL","ACH")))</f>
        <v>CC</v>
      </c>
    </row>
    <row r="322" spans="1:11" x14ac:dyDescent="0.25">
      <c r="A322">
        <v>257306</v>
      </c>
      <c r="B322" s="3">
        <v>46157</v>
      </c>
      <c r="C322">
        <v>1</v>
      </c>
      <c r="D322">
        <v>44.35</v>
      </c>
      <c r="G322" s="4" t="s">
        <v>87</v>
      </c>
      <c r="H322">
        <v>696610870</v>
      </c>
      <c r="I322" t="s">
        <v>29</v>
      </c>
      <c r="J322" t="s">
        <v>29</v>
      </c>
      <c r="K322" t="str">
        <f>IF(Table3[[#This Row],[Type Received]]=2,"CC",(IF(Table3[[#This Row],[Type Received]]=3,"BILL","ACH")))</f>
        <v>ACH</v>
      </c>
    </row>
    <row r="323" spans="1:11" x14ac:dyDescent="0.25">
      <c r="A323">
        <v>257308</v>
      </c>
      <c r="B323" s="3">
        <v>46168</v>
      </c>
      <c r="C323">
        <v>1</v>
      </c>
      <c r="D323">
        <v>54.03</v>
      </c>
      <c r="G323" s="4" t="s">
        <v>110</v>
      </c>
      <c r="H323">
        <v>828228557</v>
      </c>
      <c r="I323" t="s">
        <v>29</v>
      </c>
      <c r="K323" t="str">
        <f>IF(Table3[[#This Row],[Type Received]]=2,"CC",(IF(Table3[[#This Row],[Type Received]]=3,"BILL","ACH")))</f>
        <v>ACH</v>
      </c>
    </row>
    <row r="324" spans="1:11" x14ac:dyDescent="0.25">
      <c r="A324">
        <v>257312</v>
      </c>
      <c r="B324" s="3">
        <v>46143</v>
      </c>
      <c r="C324">
        <v>1</v>
      </c>
      <c r="D324">
        <v>89.23</v>
      </c>
      <c r="G324" t="s">
        <v>84</v>
      </c>
      <c r="H324">
        <v>522204316</v>
      </c>
      <c r="I324" t="s">
        <v>29</v>
      </c>
      <c r="J324" t="s">
        <v>29</v>
      </c>
      <c r="K324" t="str">
        <f>IF(Table3[[#This Row],[Type Received]]=2,"CC",(IF(Table3[[#This Row],[Type Received]]=3,"BILL","ACH")))</f>
        <v>ACH</v>
      </c>
    </row>
    <row r="325" spans="1:11" x14ac:dyDescent="0.25">
      <c r="A325">
        <v>257313</v>
      </c>
      <c r="B325" s="3">
        <v>46143</v>
      </c>
      <c r="C325">
        <v>1</v>
      </c>
      <c r="D325">
        <v>48.31</v>
      </c>
      <c r="G325" t="s">
        <v>84</v>
      </c>
      <c r="H325">
        <v>522197546</v>
      </c>
      <c r="I325" t="s">
        <v>29</v>
      </c>
      <c r="K325" t="str">
        <f>IF(Table3[[#This Row],[Type Received]]=2,"CC",(IF(Table3[[#This Row],[Type Received]]=3,"BILL","ACH")))</f>
        <v>ACH</v>
      </c>
    </row>
    <row r="326" spans="1:11" x14ac:dyDescent="0.25">
      <c r="A326">
        <v>257324</v>
      </c>
      <c r="B326" s="3">
        <v>46157</v>
      </c>
      <c r="C326">
        <v>2</v>
      </c>
      <c r="D326">
        <v>84</v>
      </c>
      <c r="F326">
        <v>143511</v>
      </c>
      <c r="G326" s="4">
        <v>745623440</v>
      </c>
      <c r="H326">
        <v>354651344</v>
      </c>
      <c r="J326" t="s">
        <v>29</v>
      </c>
      <c r="K326" t="str">
        <f>IF(Table3[[#This Row],[Type Received]]=2,"CC",(IF(Table3[[#This Row],[Type Received]]=3,"BILL","ACH")))</f>
        <v>CC</v>
      </c>
    </row>
    <row r="327" spans="1:11" x14ac:dyDescent="0.25">
      <c r="A327">
        <v>257330</v>
      </c>
      <c r="B327" s="3">
        <v>46146</v>
      </c>
      <c r="C327">
        <v>3</v>
      </c>
      <c r="D327">
        <v>170.9</v>
      </c>
      <c r="E327">
        <v>1432</v>
      </c>
      <c r="J327" t="s">
        <v>29</v>
      </c>
      <c r="K327" t="str">
        <f>IF(Table3[[#This Row],[Type Received]]=2,"CC",(IF(Table3[[#This Row],[Type Received]]=3,"BILL","ACH")))</f>
        <v>BILL</v>
      </c>
    </row>
    <row r="328" spans="1:11" x14ac:dyDescent="0.25">
      <c r="A328">
        <v>257331</v>
      </c>
      <c r="B328" s="3">
        <v>46145</v>
      </c>
      <c r="C328">
        <v>1</v>
      </c>
      <c r="D328">
        <v>80.430000000000007</v>
      </c>
      <c r="G328" t="s">
        <v>113</v>
      </c>
      <c r="H328">
        <v>546408533</v>
      </c>
      <c r="I328" t="s">
        <v>29</v>
      </c>
      <c r="J328" t="s">
        <v>29</v>
      </c>
      <c r="K328" t="str">
        <f>IF(Table3[[#This Row],[Type Received]]=2,"CC",(IF(Table3[[#This Row],[Type Received]]=3,"BILL","ACH")))</f>
        <v>ACH</v>
      </c>
    </row>
    <row r="329" spans="1:11" x14ac:dyDescent="0.25">
      <c r="A329">
        <v>257347</v>
      </c>
      <c r="B329" s="3">
        <v>46156</v>
      </c>
      <c r="C329">
        <v>2</v>
      </c>
      <c r="D329">
        <v>39.729999999999997</v>
      </c>
      <c r="F329">
        <v>108200</v>
      </c>
      <c r="G329" t="s">
        <v>28</v>
      </c>
      <c r="H329">
        <v>682529472</v>
      </c>
      <c r="I329" t="s">
        <v>29</v>
      </c>
      <c r="J329" t="s">
        <v>29</v>
      </c>
      <c r="K329" t="str">
        <f>IF(Table3[[#This Row],[Type Received]]=2,"CC",(IF(Table3[[#This Row],[Type Received]]=3,"BILL","ACH")))</f>
        <v>CC</v>
      </c>
    </row>
    <row r="330" spans="1:11" x14ac:dyDescent="0.25">
      <c r="A330">
        <v>257351</v>
      </c>
      <c r="B330" s="3">
        <v>46155</v>
      </c>
      <c r="C330">
        <v>2</v>
      </c>
      <c r="D330">
        <v>49.41</v>
      </c>
      <c r="F330">
        <v>13547</v>
      </c>
      <c r="G330" t="s">
        <v>28</v>
      </c>
      <c r="H330">
        <v>669428980</v>
      </c>
      <c r="I330" t="s">
        <v>29</v>
      </c>
      <c r="J330" t="s">
        <v>29</v>
      </c>
      <c r="K330" t="str">
        <f>IF(Table3[[#This Row],[Type Received]]=2,"CC",(IF(Table3[[#This Row],[Type Received]]=3,"BILL","ACH")))</f>
        <v>CC</v>
      </c>
    </row>
    <row r="331" spans="1:11" x14ac:dyDescent="0.25">
      <c r="A331">
        <v>257352</v>
      </c>
      <c r="B331" s="3">
        <v>46143</v>
      </c>
      <c r="C331">
        <v>1</v>
      </c>
      <c r="D331">
        <v>124.54</v>
      </c>
      <c r="G331" t="s">
        <v>84</v>
      </c>
      <c r="H331">
        <v>522194688</v>
      </c>
      <c r="I331" t="s">
        <v>29</v>
      </c>
      <c r="J331" t="s">
        <v>29</v>
      </c>
      <c r="K331" t="str">
        <f>IF(Table3[[#This Row],[Type Received]]=2,"CC",(IF(Table3[[#This Row],[Type Received]]=3,"BILL","ACH")))</f>
        <v>ACH</v>
      </c>
    </row>
    <row r="332" spans="1:11" x14ac:dyDescent="0.25">
      <c r="A332">
        <v>257353</v>
      </c>
      <c r="B332" s="3">
        <v>46157</v>
      </c>
      <c r="C332">
        <v>1</v>
      </c>
      <c r="D332">
        <v>75.7</v>
      </c>
      <c r="G332" t="s">
        <v>87</v>
      </c>
      <c r="H332">
        <v>696629284</v>
      </c>
      <c r="I332" t="s">
        <v>29</v>
      </c>
      <c r="J332" t="s">
        <v>29</v>
      </c>
      <c r="K332" t="str">
        <f>IF(Table3[[#This Row],[Type Received]]=2,"CC",(IF(Table3[[#This Row],[Type Received]]=3,"BILL","ACH")))</f>
        <v>ACH</v>
      </c>
    </row>
    <row r="333" spans="1:11" x14ac:dyDescent="0.25">
      <c r="A333">
        <v>257354</v>
      </c>
      <c r="B333" s="3">
        <v>46157</v>
      </c>
      <c r="C333">
        <v>1</v>
      </c>
      <c r="D333">
        <v>47.65</v>
      </c>
      <c r="G333" t="s">
        <v>87</v>
      </c>
      <c r="H333">
        <v>696607061</v>
      </c>
      <c r="I333" t="s">
        <v>29</v>
      </c>
      <c r="K333" t="str">
        <f>IF(Table3[[#This Row],[Type Received]]=2,"CC",(IF(Table3[[#This Row],[Type Received]]=3,"BILL","ACH")))</f>
        <v>ACH</v>
      </c>
    </row>
    <row r="334" spans="1:11" x14ac:dyDescent="0.25">
      <c r="A334">
        <v>257355</v>
      </c>
      <c r="B334" s="3">
        <v>46157</v>
      </c>
      <c r="C334">
        <v>1</v>
      </c>
      <c r="D334">
        <v>115.96</v>
      </c>
      <c r="G334" t="s">
        <v>87</v>
      </c>
      <c r="H334">
        <v>696616680</v>
      </c>
      <c r="I334" t="s">
        <v>29</v>
      </c>
      <c r="J334" t="s">
        <v>29</v>
      </c>
      <c r="K334" t="str">
        <f>IF(Table3[[#This Row],[Type Received]]=2,"CC",(IF(Table3[[#This Row],[Type Received]]=3,"BILL","ACH")))</f>
        <v>ACH</v>
      </c>
    </row>
    <row r="335" spans="1:11" x14ac:dyDescent="0.25">
      <c r="A335">
        <v>257357</v>
      </c>
      <c r="B335" s="3">
        <v>46157</v>
      </c>
      <c r="C335">
        <v>1</v>
      </c>
      <c r="D335">
        <v>180.97</v>
      </c>
      <c r="G335" t="s">
        <v>87</v>
      </c>
      <c r="H335">
        <v>696631268</v>
      </c>
      <c r="I335" t="s">
        <v>29</v>
      </c>
      <c r="J335" t="s">
        <v>29</v>
      </c>
      <c r="K335" t="str">
        <f>IF(Table3[[#This Row],[Type Received]]=2,"CC",(IF(Table3[[#This Row],[Type Received]]=3,"BILL","ACH")))</f>
        <v>ACH</v>
      </c>
    </row>
    <row r="336" spans="1:11" x14ac:dyDescent="0.25">
      <c r="A336">
        <v>257359</v>
      </c>
      <c r="B336" s="3">
        <v>46157</v>
      </c>
      <c r="C336">
        <v>1</v>
      </c>
      <c r="D336">
        <v>92.09</v>
      </c>
      <c r="G336" t="s">
        <v>87</v>
      </c>
      <c r="H336">
        <v>696625487</v>
      </c>
      <c r="I336" t="s">
        <v>29</v>
      </c>
      <c r="K336" t="str">
        <f>IF(Table3[[#This Row],[Type Received]]=2,"CC",(IF(Table3[[#This Row],[Type Received]]=3,"BILL","ACH")))</f>
        <v>ACH</v>
      </c>
    </row>
    <row r="337" spans="1:11" x14ac:dyDescent="0.25">
      <c r="A337">
        <v>257360</v>
      </c>
      <c r="B337" s="3">
        <v>46168</v>
      </c>
      <c r="C337">
        <v>1</v>
      </c>
      <c r="D337">
        <v>165.79</v>
      </c>
      <c r="G337" t="s">
        <v>110</v>
      </c>
      <c r="H337">
        <v>828220961</v>
      </c>
      <c r="I337" t="s">
        <v>29</v>
      </c>
      <c r="J337" t="s">
        <v>29</v>
      </c>
      <c r="K337" t="str">
        <f>IF(Table3[[#This Row],[Type Received]]=2,"CC",(IF(Table3[[#This Row],[Type Received]]=3,"BILL","ACH")))</f>
        <v>ACH</v>
      </c>
    </row>
    <row r="338" spans="1:11" x14ac:dyDescent="0.25">
      <c r="A338">
        <v>257364</v>
      </c>
      <c r="B338" s="3">
        <v>46143</v>
      </c>
      <c r="C338">
        <v>1</v>
      </c>
      <c r="D338">
        <v>100.78</v>
      </c>
      <c r="G338" s="4" t="s">
        <v>84</v>
      </c>
      <c r="H338">
        <v>522190837</v>
      </c>
      <c r="I338" t="s">
        <v>29</v>
      </c>
      <c r="J338" t="s">
        <v>29</v>
      </c>
      <c r="K338" t="str">
        <f>IF(Table3[[#This Row],[Type Received]]=2,"CC",(IF(Table3[[#This Row],[Type Received]]=3,"BILL","ACH")))</f>
        <v>ACH</v>
      </c>
    </row>
    <row r="339" spans="1:11" x14ac:dyDescent="0.25">
      <c r="A339">
        <v>257367</v>
      </c>
      <c r="B339" s="3">
        <v>46154</v>
      </c>
      <c r="C339">
        <v>3</v>
      </c>
      <c r="D339">
        <v>52.95</v>
      </c>
      <c r="E339">
        <v>6270</v>
      </c>
      <c r="J339" t="s">
        <v>29</v>
      </c>
      <c r="K339" t="str">
        <f>IF(Table3[[#This Row],[Type Received]]=2,"CC",(IF(Table3[[#This Row],[Type Received]]=3,"BILL","ACH")))</f>
        <v>BILL</v>
      </c>
    </row>
    <row r="340" spans="1:11" x14ac:dyDescent="0.25">
      <c r="A340">
        <v>257375</v>
      </c>
      <c r="B340" s="3">
        <v>46155</v>
      </c>
      <c r="C340">
        <v>2</v>
      </c>
      <c r="D340">
        <v>70</v>
      </c>
      <c r="F340">
        <v>205044</v>
      </c>
      <c r="G340">
        <v>744917848</v>
      </c>
      <c r="H340">
        <v>354509527</v>
      </c>
      <c r="J340" t="s">
        <v>29</v>
      </c>
      <c r="K340" t="str">
        <f>IF(Table3[[#This Row],[Type Received]]=2,"CC",(IF(Table3[[#This Row],[Type Received]]=3,"BILL","ACH")))</f>
        <v>CC</v>
      </c>
    </row>
    <row r="341" spans="1:11" x14ac:dyDescent="0.25">
      <c r="A341">
        <v>257379</v>
      </c>
      <c r="B341" s="3">
        <v>46157</v>
      </c>
      <c r="C341">
        <v>1</v>
      </c>
      <c r="D341">
        <v>127.18</v>
      </c>
      <c r="G341" t="s">
        <v>87</v>
      </c>
      <c r="H341">
        <v>696622614</v>
      </c>
      <c r="I341" t="s">
        <v>29</v>
      </c>
      <c r="J341" t="s">
        <v>29</v>
      </c>
      <c r="K341" t="str">
        <f>IF(Table3[[#This Row],[Type Received]]=2,"CC",(IF(Table3[[#This Row],[Type Received]]=3,"BILL","ACH")))</f>
        <v>ACH</v>
      </c>
    </row>
    <row r="342" spans="1:11" x14ac:dyDescent="0.25">
      <c r="A342">
        <v>257380</v>
      </c>
      <c r="B342" s="3">
        <v>46163</v>
      </c>
      <c r="C342">
        <v>2</v>
      </c>
      <c r="D342">
        <v>121.26</v>
      </c>
      <c r="F342">
        <v>502220</v>
      </c>
      <c r="G342" s="4" t="s">
        <v>28</v>
      </c>
      <c r="H342">
        <v>775576130</v>
      </c>
      <c r="I342" t="s">
        <v>29</v>
      </c>
      <c r="J342" t="s">
        <v>29</v>
      </c>
      <c r="K342" t="str">
        <f>IF(Table3[[#This Row],[Type Received]]=2,"CC",(IF(Table3[[#This Row],[Type Received]]=3,"BILL","ACH")))</f>
        <v>CC</v>
      </c>
    </row>
    <row r="343" spans="1:11" x14ac:dyDescent="0.25">
      <c r="A343">
        <v>257380</v>
      </c>
      <c r="B343" s="3">
        <v>46146</v>
      </c>
      <c r="C343">
        <v>2</v>
      </c>
      <c r="D343">
        <v>121.26</v>
      </c>
      <c r="F343">
        <v>717827</v>
      </c>
      <c r="G343" t="s">
        <v>28</v>
      </c>
      <c r="H343">
        <v>556749148</v>
      </c>
      <c r="I343" t="s">
        <v>29</v>
      </c>
      <c r="J343" t="s">
        <v>29</v>
      </c>
      <c r="K343" t="str">
        <f>IF(Table3[[#This Row],[Type Received]]=2,"CC",(IF(Table3[[#This Row],[Type Received]]=3,"BILL","ACH")))</f>
        <v>CC</v>
      </c>
    </row>
    <row r="344" spans="1:11" x14ac:dyDescent="0.25">
      <c r="A344">
        <v>257391</v>
      </c>
      <c r="B344" s="3">
        <v>46157</v>
      </c>
      <c r="C344">
        <v>1</v>
      </c>
      <c r="D344">
        <v>57.55</v>
      </c>
      <c r="G344" t="s">
        <v>87</v>
      </c>
      <c r="H344">
        <v>696631352</v>
      </c>
      <c r="I344" t="s">
        <v>29</v>
      </c>
      <c r="J344" t="s">
        <v>29</v>
      </c>
      <c r="K344" t="str">
        <f>IF(Table3[[#This Row],[Type Received]]=2,"CC",(IF(Table3[[#This Row],[Type Received]]=3,"BILL","ACH")))</f>
        <v>ACH</v>
      </c>
    </row>
    <row r="345" spans="1:11" x14ac:dyDescent="0.25">
      <c r="A345">
        <v>257392</v>
      </c>
      <c r="B345" s="3">
        <v>46157</v>
      </c>
      <c r="C345">
        <v>1</v>
      </c>
      <c r="D345">
        <v>64.48</v>
      </c>
      <c r="G345" t="s">
        <v>87</v>
      </c>
      <c r="H345">
        <v>696619781</v>
      </c>
      <c r="I345" t="s">
        <v>29</v>
      </c>
      <c r="J345" t="s">
        <v>29</v>
      </c>
      <c r="K345" t="str">
        <f>IF(Table3[[#This Row],[Type Received]]=2,"CC",(IF(Table3[[#This Row],[Type Received]]=3,"BILL","ACH")))</f>
        <v>ACH</v>
      </c>
    </row>
    <row r="346" spans="1:11" x14ac:dyDescent="0.25">
      <c r="A346">
        <v>257398</v>
      </c>
      <c r="B346" s="3">
        <v>46143</v>
      </c>
      <c r="C346">
        <v>1</v>
      </c>
      <c r="D346">
        <v>60.85</v>
      </c>
      <c r="G346" t="s">
        <v>84</v>
      </c>
      <c r="H346">
        <v>522187945</v>
      </c>
      <c r="I346" t="s">
        <v>29</v>
      </c>
      <c r="J346" t="s">
        <v>29</v>
      </c>
      <c r="K346" t="str">
        <f>IF(Table3[[#This Row],[Type Received]]=2,"CC",(IF(Table3[[#This Row],[Type Received]]=3,"BILL","ACH")))</f>
        <v>ACH</v>
      </c>
    </row>
    <row r="347" spans="1:11" x14ac:dyDescent="0.25">
      <c r="A347">
        <v>257405</v>
      </c>
      <c r="B347" s="3">
        <v>46169</v>
      </c>
      <c r="C347">
        <v>1</v>
      </c>
      <c r="D347">
        <v>53.59</v>
      </c>
      <c r="G347" t="s">
        <v>117</v>
      </c>
      <c r="H347">
        <v>840807027</v>
      </c>
      <c r="I347" t="s">
        <v>29</v>
      </c>
      <c r="J347" t="s">
        <v>29</v>
      </c>
      <c r="K347" t="str">
        <f>IF(Table3[[#This Row],[Type Received]]=2,"CC",(IF(Table3[[#This Row],[Type Received]]=3,"BILL","ACH")))</f>
        <v>ACH</v>
      </c>
    </row>
    <row r="348" spans="1:11" x14ac:dyDescent="0.25">
      <c r="A348">
        <v>257415</v>
      </c>
      <c r="B348" s="3">
        <v>46157</v>
      </c>
      <c r="C348">
        <v>2</v>
      </c>
      <c r="D348">
        <v>89.23</v>
      </c>
      <c r="F348">
        <v>80740</v>
      </c>
      <c r="G348" t="s">
        <v>28</v>
      </c>
      <c r="H348">
        <v>696621734</v>
      </c>
      <c r="I348" t="s">
        <v>29</v>
      </c>
      <c r="J348" t="s">
        <v>29</v>
      </c>
      <c r="K348" t="str">
        <f>IF(Table3[[#This Row],[Type Received]]=2,"CC",(IF(Table3[[#This Row],[Type Received]]=3,"BILL","ACH")))</f>
        <v>CC</v>
      </c>
    </row>
    <row r="349" spans="1:11" x14ac:dyDescent="0.25">
      <c r="A349">
        <v>257420</v>
      </c>
      <c r="B349" s="3">
        <v>46150</v>
      </c>
      <c r="C349">
        <v>3</v>
      </c>
      <c r="D349">
        <v>130</v>
      </c>
      <c r="E349">
        <v>75945466</v>
      </c>
      <c r="K349" t="str">
        <f>IF(Table3[[#This Row],[Type Received]]=2,"CC",(IF(Table3[[#This Row],[Type Received]]=3,"BILL","ACH")))</f>
        <v>BILL</v>
      </c>
    </row>
    <row r="350" spans="1:11" x14ac:dyDescent="0.25">
      <c r="A350">
        <v>257428</v>
      </c>
      <c r="B350" s="3">
        <v>46155</v>
      </c>
      <c r="C350">
        <v>2</v>
      </c>
      <c r="D350">
        <v>44.35</v>
      </c>
      <c r="F350">
        <v>718394</v>
      </c>
      <c r="G350" t="s">
        <v>28</v>
      </c>
      <c r="H350">
        <v>669454115</v>
      </c>
      <c r="I350" t="s">
        <v>29</v>
      </c>
      <c r="J350" t="s">
        <v>29</v>
      </c>
      <c r="K350" t="str">
        <f>IF(Table3[[#This Row],[Type Received]]=2,"CC",(IF(Table3[[#This Row],[Type Received]]=3,"BILL","ACH")))</f>
        <v>CC</v>
      </c>
    </row>
    <row r="351" spans="1:11" x14ac:dyDescent="0.25">
      <c r="A351">
        <v>257430</v>
      </c>
      <c r="B351" s="3">
        <v>46157</v>
      </c>
      <c r="C351">
        <v>1</v>
      </c>
      <c r="D351">
        <v>38.630000000000003</v>
      </c>
      <c r="G351" t="s">
        <v>87</v>
      </c>
      <c r="H351">
        <v>696640119</v>
      </c>
      <c r="I351" t="s">
        <v>29</v>
      </c>
      <c r="J351" t="s">
        <v>29</v>
      </c>
      <c r="K351" t="str">
        <f>IF(Table3[[#This Row],[Type Received]]=2,"CC",(IF(Table3[[#This Row],[Type Received]]=3,"BILL","ACH")))</f>
        <v>ACH</v>
      </c>
    </row>
    <row r="352" spans="1:11" x14ac:dyDescent="0.25">
      <c r="A352">
        <v>257442</v>
      </c>
      <c r="B352" s="3">
        <v>46144</v>
      </c>
      <c r="C352">
        <v>2</v>
      </c>
      <c r="D352">
        <v>58.65</v>
      </c>
      <c r="F352">
        <v>966459</v>
      </c>
      <c r="G352" s="4" t="s">
        <v>28</v>
      </c>
      <c r="H352">
        <v>535339655</v>
      </c>
      <c r="I352" t="s">
        <v>29</v>
      </c>
      <c r="J352" t="s">
        <v>29</v>
      </c>
      <c r="K352" t="str">
        <f>IF(Table3[[#This Row],[Type Received]]=2,"CC",(IF(Table3[[#This Row],[Type Received]]=3,"BILL","ACH")))</f>
        <v>CC</v>
      </c>
    </row>
    <row r="353" spans="1:11" x14ac:dyDescent="0.25">
      <c r="A353">
        <v>257443</v>
      </c>
      <c r="B353" s="3">
        <v>46143</v>
      </c>
      <c r="C353">
        <v>3</v>
      </c>
      <c r="D353">
        <v>67.8</v>
      </c>
      <c r="E353">
        <v>4454760897</v>
      </c>
      <c r="G353" s="4"/>
      <c r="J353" t="s">
        <v>29</v>
      </c>
      <c r="K353" t="str">
        <f>IF(Table3[[#This Row],[Type Received]]=2,"CC",(IF(Table3[[#This Row],[Type Received]]=3,"BILL","ACH")))</f>
        <v>BILL</v>
      </c>
    </row>
    <row r="354" spans="1:11" x14ac:dyDescent="0.25">
      <c r="A354">
        <v>257446</v>
      </c>
      <c r="B354" s="3">
        <v>46144</v>
      </c>
      <c r="C354">
        <v>2</v>
      </c>
      <c r="D354">
        <v>101.44</v>
      </c>
      <c r="F354">
        <v>31065</v>
      </c>
      <c r="G354" t="s">
        <v>28</v>
      </c>
      <c r="H354">
        <v>535330981</v>
      </c>
      <c r="I354" t="s">
        <v>29</v>
      </c>
      <c r="J354" t="s">
        <v>29</v>
      </c>
      <c r="K354" t="str">
        <f>IF(Table3[[#This Row],[Type Received]]=2,"CC",(IF(Table3[[#This Row],[Type Received]]=3,"BILL","ACH")))</f>
        <v>CC</v>
      </c>
    </row>
    <row r="355" spans="1:11" x14ac:dyDescent="0.25">
      <c r="A355">
        <v>257448</v>
      </c>
      <c r="B355" s="3">
        <v>46144</v>
      </c>
      <c r="C355">
        <v>1</v>
      </c>
      <c r="D355">
        <v>61.51</v>
      </c>
      <c r="G355" t="s">
        <v>89</v>
      </c>
      <c r="H355">
        <v>535354149</v>
      </c>
      <c r="I355" t="s">
        <v>29</v>
      </c>
      <c r="J355" t="s">
        <v>29</v>
      </c>
      <c r="K355" t="str">
        <f>IF(Table3[[#This Row],[Type Received]]=2,"CC",(IF(Table3[[#This Row],[Type Received]]=3,"BILL","ACH")))</f>
        <v>ACH</v>
      </c>
    </row>
    <row r="356" spans="1:11" x14ac:dyDescent="0.25">
      <c r="A356">
        <v>257449</v>
      </c>
      <c r="B356" s="3">
        <v>46144</v>
      </c>
      <c r="C356">
        <v>1</v>
      </c>
      <c r="D356">
        <v>67.89</v>
      </c>
      <c r="G356" t="s">
        <v>89</v>
      </c>
      <c r="H356">
        <v>535334780</v>
      </c>
      <c r="I356" t="s">
        <v>29</v>
      </c>
      <c r="J356" t="s">
        <v>29</v>
      </c>
      <c r="K356" t="str">
        <f>IF(Table3[[#This Row],[Type Received]]=2,"CC",(IF(Table3[[#This Row],[Type Received]]=3,"BILL","ACH")))</f>
        <v>ACH</v>
      </c>
    </row>
    <row r="357" spans="1:11" x14ac:dyDescent="0.25">
      <c r="A357">
        <v>257450</v>
      </c>
      <c r="B357" s="3">
        <v>46164</v>
      </c>
      <c r="C357">
        <v>1</v>
      </c>
      <c r="D357">
        <v>41.27</v>
      </c>
      <c r="G357" s="4" t="s">
        <v>118</v>
      </c>
      <c r="H357">
        <v>784592378</v>
      </c>
      <c r="I357" t="s">
        <v>29</v>
      </c>
      <c r="J357" t="s">
        <v>29</v>
      </c>
      <c r="K357" t="str">
        <f>IF(Table3[[#This Row],[Type Received]]=2,"CC",(IF(Table3[[#This Row],[Type Received]]=3,"BILL","ACH")))</f>
        <v>ACH</v>
      </c>
    </row>
    <row r="358" spans="1:11" x14ac:dyDescent="0.25">
      <c r="A358">
        <v>257450</v>
      </c>
      <c r="B358" s="3">
        <v>46157</v>
      </c>
      <c r="C358">
        <v>1</v>
      </c>
      <c r="D358">
        <v>41.27</v>
      </c>
      <c r="G358" t="s">
        <v>87</v>
      </c>
      <c r="H358">
        <v>696614564</v>
      </c>
      <c r="I358" t="s">
        <v>29</v>
      </c>
      <c r="K358" t="str">
        <f>IF(Table3[[#This Row],[Type Received]]=2,"CC",(IF(Table3[[#This Row],[Type Received]]=3,"BILL","ACH")))</f>
        <v>ACH</v>
      </c>
    </row>
    <row r="359" spans="1:11" x14ac:dyDescent="0.25">
      <c r="A359">
        <v>257451</v>
      </c>
      <c r="B359" s="3">
        <v>46157</v>
      </c>
      <c r="C359">
        <v>1</v>
      </c>
      <c r="D359">
        <v>119.15</v>
      </c>
      <c r="G359" t="s">
        <v>87</v>
      </c>
      <c r="H359">
        <v>696601072</v>
      </c>
      <c r="I359" t="s">
        <v>29</v>
      </c>
      <c r="K359" t="str">
        <f>IF(Table3[[#This Row],[Type Received]]=2,"CC",(IF(Table3[[#This Row],[Type Received]]=3,"BILL","ACH")))</f>
        <v>ACH</v>
      </c>
    </row>
    <row r="360" spans="1:11" x14ac:dyDescent="0.25">
      <c r="A360">
        <v>257452</v>
      </c>
      <c r="B360" s="3">
        <v>46168</v>
      </c>
      <c r="C360">
        <v>1</v>
      </c>
      <c r="D360">
        <v>55.9</v>
      </c>
      <c r="G360" s="4" t="s">
        <v>110</v>
      </c>
      <c r="H360">
        <v>828209740</v>
      </c>
      <c r="I360" t="s">
        <v>29</v>
      </c>
      <c r="K360" t="str">
        <f>IF(Table3[[#This Row],[Type Received]]=2,"CC",(IF(Table3[[#This Row],[Type Received]]=3,"BILL","ACH")))</f>
        <v>ACH</v>
      </c>
    </row>
    <row r="361" spans="1:11" x14ac:dyDescent="0.25">
      <c r="A361">
        <v>257453</v>
      </c>
      <c r="B361" s="3">
        <v>46170</v>
      </c>
      <c r="C361">
        <v>2</v>
      </c>
      <c r="D361">
        <v>70.11</v>
      </c>
      <c r="F361">
        <v>60947</v>
      </c>
      <c r="G361" s="4" t="s">
        <v>28</v>
      </c>
      <c r="H361">
        <v>858632390</v>
      </c>
      <c r="I361" t="s">
        <v>29</v>
      </c>
      <c r="J361" t="s">
        <v>29</v>
      </c>
      <c r="K361" t="str">
        <f>IF(Table3[[#This Row],[Type Received]]=2,"CC",(IF(Table3[[#This Row],[Type Received]]=3,"BILL","ACH")))</f>
        <v>CC</v>
      </c>
    </row>
    <row r="362" spans="1:11" x14ac:dyDescent="0.25">
      <c r="A362">
        <v>257456</v>
      </c>
      <c r="B362" s="3">
        <v>46143</v>
      </c>
      <c r="C362">
        <v>3</v>
      </c>
      <c r="D362">
        <v>100.14</v>
      </c>
      <c r="E362">
        <v>883647</v>
      </c>
      <c r="J362" t="s">
        <v>29</v>
      </c>
      <c r="K362" t="str">
        <f>IF(Table3[[#This Row],[Type Received]]=2,"CC",(IF(Table3[[#This Row],[Type Received]]=3,"BILL","ACH")))</f>
        <v>BILL</v>
      </c>
    </row>
    <row r="363" spans="1:11" x14ac:dyDescent="0.25">
      <c r="A363">
        <v>257459</v>
      </c>
      <c r="B363" s="3">
        <v>46171</v>
      </c>
      <c r="C363">
        <v>2</v>
      </c>
      <c r="D363">
        <v>142.33000000000001</v>
      </c>
      <c r="F363">
        <v>39552</v>
      </c>
      <c r="G363" t="s">
        <v>28</v>
      </c>
      <c r="H363">
        <v>872384177</v>
      </c>
      <c r="I363" t="s">
        <v>29</v>
      </c>
      <c r="K363" t="str">
        <f>IF(Table3[[#This Row],[Type Received]]=2,"CC",(IF(Table3[[#This Row],[Type Received]]=3,"BILL","ACH")))</f>
        <v>CC</v>
      </c>
    </row>
    <row r="364" spans="1:11" x14ac:dyDescent="0.25">
      <c r="A364">
        <v>257463</v>
      </c>
      <c r="B364" s="3">
        <v>46155</v>
      </c>
      <c r="C364">
        <v>1</v>
      </c>
      <c r="D364">
        <v>58.21</v>
      </c>
      <c r="G364" t="s">
        <v>90</v>
      </c>
      <c r="H364">
        <v>669425985</v>
      </c>
      <c r="I364" t="s">
        <v>29</v>
      </c>
      <c r="J364" t="s">
        <v>29</v>
      </c>
      <c r="K364" t="str">
        <f>IF(Table3[[#This Row],[Type Received]]=2,"CC",(IF(Table3[[#This Row],[Type Received]]=3,"BILL","ACH")))</f>
        <v>ACH</v>
      </c>
    </row>
    <row r="365" spans="1:11" x14ac:dyDescent="0.25">
      <c r="A365">
        <v>257464</v>
      </c>
      <c r="B365" s="3">
        <v>46155</v>
      </c>
      <c r="C365">
        <v>2</v>
      </c>
      <c r="D365">
        <v>102.21</v>
      </c>
      <c r="F365">
        <v>131929</v>
      </c>
      <c r="G365" t="s">
        <v>28</v>
      </c>
      <c r="H365">
        <v>669442540</v>
      </c>
      <c r="I365" t="s">
        <v>29</v>
      </c>
      <c r="J365" t="s">
        <v>29</v>
      </c>
      <c r="K365" t="str">
        <f>IF(Table3[[#This Row],[Type Received]]=2,"CC",(IF(Table3[[#This Row],[Type Received]]=3,"BILL","ACH")))</f>
        <v>CC</v>
      </c>
    </row>
    <row r="366" spans="1:11" x14ac:dyDescent="0.25">
      <c r="A366">
        <v>257468</v>
      </c>
      <c r="B366" s="3">
        <v>46158</v>
      </c>
      <c r="C366">
        <v>1</v>
      </c>
      <c r="D366">
        <v>29.61</v>
      </c>
      <c r="G366" t="s">
        <v>106</v>
      </c>
      <c r="H366">
        <v>710027524</v>
      </c>
      <c r="I366" t="s">
        <v>29</v>
      </c>
      <c r="K366" t="str">
        <f>IF(Table3[[#This Row],[Type Received]]=2,"CC",(IF(Table3[[#This Row],[Type Received]]=3,"BILL","ACH")))</f>
        <v>ACH</v>
      </c>
    </row>
    <row r="367" spans="1:11" x14ac:dyDescent="0.25">
      <c r="A367">
        <v>257469</v>
      </c>
      <c r="B367" s="3">
        <v>46144</v>
      </c>
      <c r="C367">
        <v>1</v>
      </c>
      <c r="D367">
        <v>41.05</v>
      </c>
      <c r="G367" t="s">
        <v>89</v>
      </c>
      <c r="H367">
        <v>535336764</v>
      </c>
      <c r="I367" t="s">
        <v>29</v>
      </c>
      <c r="K367" t="str">
        <f>IF(Table3[[#This Row],[Type Received]]=2,"CC",(IF(Table3[[#This Row],[Type Received]]=3,"BILL","ACH")))</f>
        <v>ACH</v>
      </c>
    </row>
    <row r="368" spans="1:11" x14ac:dyDescent="0.25">
      <c r="A368">
        <v>257470</v>
      </c>
      <c r="B368" s="3">
        <v>46168</v>
      </c>
      <c r="C368">
        <v>1</v>
      </c>
      <c r="D368">
        <v>132.79</v>
      </c>
      <c r="G368" t="s">
        <v>110</v>
      </c>
      <c r="H368">
        <v>828220370</v>
      </c>
      <c r="I368" t="s">
        <v>29</v>
      </c>
      <c r="K368" t="str">
        <f>IF(Table3[[#This Row],[Type Received]]=2,"CC",(IF(Table3[[#This Row],[Type Received]]=3,"BILL","ACH")))</f>
        <v>ACH</v>
      </c>
    </row>
    <row r="369" spans="1:11" x14ac:dyDescent="0.25">
      <c r="A369">
        <v>257479</v>
      </c>
      <c r="B369" s="3">
        <v>46162</v>
      </c>
      <c r="C369">
        <v>1</v>
      </c>
      <c r="D369">
        <v>62.5</v>
      </c>
      <c r="G369" t="s">
        <v>107</v>
      </c>
      <c r="H369">
        <v>759554262</v>
      </c>
      <c r="I369" t="s">
        <v>29</v>
      </c>
      <c r="K369" t="str">
        <f>IF(Table3[[#This Row],[Type Received]]=2,"CC",(IF(Table3[[#This Row],[Type Received]]=3,"BILL","ACH")))</f>
        <v>ACH</v>
      </c>
    </row>
    <row r="370" spans="1:11" x14ac:dyDescent="0.25">
      <c r="A370">
        <v>257490</v>
      </c>
      <c r="B370" s="3">
        <v>46155</v>
      </c>
      <c r="C370">
        <v>2</v>
      </c>
      <c r="D370">
        <v>56.45</v>
      </c>
      <c r="F370">
        <v>13628</v>
      </c>
      <c r="G370" t="s">
        <v>28</v>
      </c>
      <c r="H370">
        <v>669440686</v>
      </c>
      <c r="I370" t="s">
        <v>29</v>
      </c>
      <c r="J370" t="s">
        <v>29</v>
      </c>
      <c r="K370" t="str">
        <f>IF(Table3[[#This Row],[Type Received]]=2,"CC",(IF(Table3[[#This Row],[Type Received]]=3,"BILL","ACH")))</f>
        <v>CC</v>
      </c>
    </row>
    <row r="371" spans="1:11" x14ac:dyDescent="0.25">
      <c r="A371">
        <v>257491</v>
      </c>
      <c r="B371" s="3">
        <v>46143</v>
      </c>
      <c r="C371">
        <v>1</v>
      </c>
      <c r="D371">
        <v>68.33</v>
      </c>
      <c r="G371" t="s">
        <v>84</v>
      </c>
      <c r="H371">
        <v>522208388</v>
      </c>
      <c r="I371" t="s">
        <v>29</v>
      </c>
      <c r="J371" t="s">
        <v>29</v>
      </c>
      <c r="K371" t="str">
        <f>IF(Table3[[#This Row],[Type Received]]=2,"CC",(IF(Table3[[#This Row],[Type Received]]=3,"BILL","ACH")))</f>
        <v>ACH</v>
      </c>
    </row>
    <row r="372" spans="1:11" x14ac:dyDescent="0.25">
      <c r="A372">
        <v>257499</v>
      </c>
      <c r="B372" s="3">
        <v>46166</v>
      </c>
      <c r="C372">
        <v>2</v>
      </c>
      <c r="D372">
        <v>77.7</v>
      </c>
      <c r="F372">
        <v>34444</v>
      </c>
      <c r="G372">
        <v>748427872</v>
      </c>
      <c r="H372">
        <v>355665379</v>
      </c>
      <c r="J372" t="s">
        <v>29</v>
      </c>
      <c r="K372" t="str">
        <f>IF(Table3[[#This Row],[Type Received]]=2,"CC",(IF(Table3[[#This Row],[Type Received]]=3,"BILL","ACH")))</f>
        <v>CC</v>
      </c>
    </row>
    <row r="373" spans="1:11" x14ac:dyDescent="0.25">
      <c r="A373">
        <v>257510</v>
      </c>
      <c r="B373" s="3">
        <v>46168</v>
      </c>
      <c r="C373">
        <v>1</v>
      </c>
      <c r="D373">
        <v>85.6</v>
      </c>
      <c r="G373" t="s">
        <v>110</v>
      </c>
      <c r="H373">
        <v>828221931</v>
      </c>
      <c r="I373" t="s">
        <v>29</v>
      </c>
      <c r="J373" t="s">
        <v>29</v>
      </c>
      <c r="K373" t="str">
        <f>IF(Table3[[#This Row],[Type Received]]=2,"CC",(IF(Table3[[#This Row],[Type Received]]=3,"BILL","ACH")))</f>
        <v>ACH</v>
      </c>
    </row>
    <row r="374" spans="1:11" x14ac:dyDescent="0.25">
      <c r="A374">
        <v>257512</v>
      </c>
      <c r="B374" s="3">
        <v>46168</v>
      </c>
      <c r="C374">
        <v>1</v>
      </c>
      <c r="D374">
        <v>130.47999999999999</v>
      </c>
      <c r="G374" t="s">
        <v>110</v>
      </c>
      <c r="H374">
        <v>828241378</v>
      </c>
      <c r="I374" t="s">
        <v>29</v>
      </c>
      <c r="K374" t="str">
        <f>IF(Table3[[#This Row],[Type Received]]=2,"CC",(IF(Table3[[#This Row],[Type Received]]=3,"BILL","ACH")))</f>
        <v>ACH</v>
      </c>
    </row>
    <row r="375" spans="1:11" x14ac:dyDescent="0.25">
      <c r="A375">
        <v>257516</v>
      </c>
      <c r="B375" s="3">
        <v>46146</v>
      </c>
      <c r="C375">
        <v>2</v>
      </c>
      <c r="D375">
        <v>40.4</v>
      </c>
      <c r="F375">
        <v>11849</v>
      </c>
      <c r="G375">
        <v>742259380</v>
      </c>
      <c r="H375">
        <v>353488522</v>
      </c>
      <c r="J375" t="s">
        <v>29</v>
      </c>
      <c r="K375" t="str">
        <f>IF(Table3[[#This Row],[Type Received]]=2,"CC",(IF(Table3[[#This Row],[Type Received]]=3,"BILL","ACH")))</f>
        <v>CC</v>
      </c>
    </row>
    <row r="376" spans="1:11" x14ac:dyDescent="0.25">
      <c r="A376">
        <v>257517</v>
      </c>
      <c r="B376" s="3">
        <v>46171</v>
      </c>
      <c r="C376">
        <v>3</v>
      </c>
      <c r="D376">
        <v>46.68</v>
      </c>
      <c r="E376">
        <v>266</v>
      </c>
      <c r="J376" t="s">
        <v>29</v>
      </c>
      <c r="K376" t="str">
        <f>IF(Table3[[#This Row],[Type Received]]=2,"CC",(IF(Table3[[#This Row],[Type Received]]=3,"BILL","ACH")))</f>
        <v>BILL</v>
      </c>
    </row>
    <row r="377" spans="1:11" x14ac:dyDescent="0.25">
      <c r="A377">
        <v>257521</v>
      </c>
      <c r="B377" s="3">
        <v>46143</v>
      </c>
      <c r="C377">
        <v>2</v>
      </c>
      <c r="D377">
        <v>102.43</v>
      </c>
      <c r="F377">
        <v>130136</v>
      </c>
      <c r="G377" t="s">
        <v>28</v>
      </c>
      <c r="H377">
        <v>522190952</v>
      </c>
      <c r="I377" t="s">
        <v>29</v>
      </c>
      <c r="J377" t="s">
        <v>29</v>
      </c>
      <c r="K377" t="str">
        <f>IF(Table3[[#This Row],[Type Received]]=2,"CC",(IF(Table3[[#This Row],[Type Received]]=3,"BILL","ACH")))</f>
        <v>CC</v>
      </c>
    </row>
    <row r="378" spans="1:11" x14ac:dyDescent="0.25">
      <c r="A378">
        <v>257527</v>
      </c>
      <c r="B378" s="3">
        <v>46168</v>
      </c>
      <c r="C378">
        <v>1</v>
      </c>
      <c r="D378">
        <v>47.65</v>
      </c>
      <c r="G378" s="4" t="s">
        <v>110</v>
      </c>
      <c r="H378">
        <v>828242389</v>
      </c>
      <c r="I378" t="s">
        <v>29</v>
      </c>
      <c r="J378" t="s">
        <v>29</v>
      </c>
      <c r="K378" t="str">
        <f>IF(Table3[[#This Row],[Type Received]]=2,"CC",(IF(Table3[[#This Row],[Type Received]]=3,"BILL","ACH")))</f>
        <v>ACH</v>
      </c>
    </row>
    <row r="379" spans="1:11" x14ac:dyDescent="0.25">
      <c r="A379">
        <v>257534</v>
      </c>
      <c r="B379" s="3">
        <v>46143</v>
      </c>
      <c r="C379">
        <v>2</v>
      </c>
      <c r="D379">
        <v>79.55</v>
      </c>
      <c r="F379">
        <v>803</v>
      </c>
      <c r="G379" t="s">
        <v>28</v>
      </c>
      <c r="H379">
        <v>522263383</v>
      </c>
      <c r="I379" t="s">
        <v>29</v>
      </c>
      <c r="J379" t="s">
        <v>29</v>
      </c>
      <c r="K379" t="str">
        <f>IF(Table3[[#This Row],[Type Received]]=2,"CC",(IF(Table3[[#This Row],[Type Received]]=3,"BILL","ACH")))</f>
        <v>CC</v>
      </c>
    </row>
    <row r="380" spans="1:11" x14ac:dyDescent="0.25">
      <c r="A380">
        <v>257536</v>
      </c>
      <c r="B380" s="3">
        <v>46157</v>
      </c>
      <c r="C380">
        <v>1</v>
      </c>
      <c r="D380">
        <v>47.21</v>
      </c>
      <c r="G380" s="4" t="s">
        <v>87</v>
      </c>
      <c r="H380">
        <v>696620783</v>
      </c>
      <c r="I380" t="s">
        <v>29</v>
      </c>
      <c r="J380" t="s">
        <v>29</v>
      </c>
      <c r="K380" t="str">
        <f>IF(Table3[[#This Row],[Type Received]]=2,"CC",(IF(Table3[[#This Row],[Type Received]]=3,"BILL","ACH")))</f>
        <v>ACH</v>
      </c>
    </row>
    <row r="381" spans="1:11" x14ac:dyDescent="0.25">
      <c r="A381">
        <v>257547</v>
      </c>
      <c r="B381" s="3">
        <v>46168</v>
      </c>
      <c r="C381">
        <v>1</v>
      </c>
      <c r="D381">
        <v>51.94</v>
      </c>
      <c r="G381" s="4" t="s">
        <v>110</v>
      </c>
      <c r="H381">
        <v>828237504</v>
      </c>
      <c r="I381" t="s">
        <v>29</v>
      </c>
      <c r="J381" t="s">
        <v>29</v>
      </c>
      <c r="K381" t="str">
        <f>IF(Table3[[#This Row],[Type Received]]=2,"CC",(IF(Table3[[#This Row],[Type Received]]=3,"BILL","ACH")))</f>
        <v>ACH</v>
      </c>
    </row>
    <row r="382" spans="1:11" x14ac:dyDescent="0.25">
      <c r="A382">
        <v>257548</v>
      </c>
      <c r="B382" s="3">
        <v>46168</v>
      </c>
      <c r="C382">
        <v>1</v>
      </c>
      <c r="D382">
        <v>69.099999999999994</v>
      </c>
      <c r="G382" t="s">
        <v>110</v>
      </c>
      <c r="H382">
        <v>828223925</v>
      </c>
      <c r="I382" t="s">
        <v>29</v>
      </c>
      <c r="K382" t="str">
        <f>IF(Table3[[#This Row],[Type Received]]=2,"CC",(IF(Table3[[#This Row],[Type Received]]=3,"BILL","ACH")))</f>
        <v>ACH</v>
      </c>
    </row>
    <row r="383" spans="1:11" x14ac:dyDescent="0.25">
      <c r="A383">
        <v>257551</v>
      </c>
      <c r="B383" s="3">
        <v>46145</v>
      </c>
      <c r="C383">
        <v>2</v>
      </c>
      <c r="D383">
        <v>126.19</v>
      </c>
      <c r="F383">
        <v>842805</v>
      </c>
      <c r="G383" t="s">
        <v>28</v>
      </c>
      <c r="H383">
        <v>546402817</v>
      </c>
      <c r="I383" t="s">
        <v>29</v>
      </c>
      <c r="J383" t="s">
        <v>29</v>
      </c>
      <c r="K383" t="str">
        <f>IF(Table3[[#This Row],[Type Received]]=2,"CC",(IF(Table3[[#This Row],[Type Received]]=3,"BILL","ACH")))</f>
        <v>CC</v>
      </c>
    </row>
    <row r="384" spans="1:11" x14ac:dyDescent="0.25">
      <c r="A384">
        <v>257565</v>
      </c>
      <c r="B384" s="3">
        <v>46157</v>
      </c>
      <c r="C384">
        <v>1</v>
      </c>
      <c r="D384">
        <v>52.27</v>
      </c>
      <c r="G384" s="4" t="s">
        <v>87</v>
      </c>
      <c r="H384">
        <v>696627538</v>
      </c>
      <c r="I384" t="s">
        <v>29</v>
      </c>
      <c r="J384" t="s">
        <v>29</v>
      </c>
      <c r="K384" t="str">
        <f>IF(Table3[[#This Row],[Type Received]]=2,"CC",(IF(Table3[[#This Row],[Type Received]]=3,"BILL","ACH")))</f>
        <v>ACH</v>
      </c>
    </row>
    <row r="385" spans="1:11" x14ac:dyDescent="0.25">
      <c r="A385">
        <v>257573</v>
      </c>
      <c r="B385" s="3">
        <v>46143</v>
      </c>
      <c r="C385">
        <v>2</v>
      </c>
      <c r="D385">
        <v>39.29</v>
      </c>
      <c r="F385">
        <v>19200</v>
      </c>
      <c r="G385" t="s">
        <v>28</v>
      </c>
      <c r="H385">
        <v>522234253</v>
      </c>
      <c r="I385" t="s">
        <v>29</v>
      </c>
      <c r="J385" t="s">
        <v>29</v>
      </c>
      <c r="K385" t="str">
        <f>IF(Table3[[#This Row],[Type Received]]=2,"CC",(IF(Table3[[#This Row],[Type Received]]=3,"BILL","ACH")))</f>
        <v>CC</v>
      </c>
    </row>
    <row r="386" spans="1:11" x14ac:dyDescent="0.25">
      <c r="A386">
        <v>257574</v>
      </c>
      <c r="B386" s="3">
        <v>46157</v>
      </c>
      <c r="C386">
        <v>1</v>
      </c>
      <c r="D386">
        <v>50.29</v>
      </c>
      <c r="G386" s="4" t="s">
        <v>87</v>
      </c>
      <c r="H386">
        <v>696625682</v>
      </c>
      <c r="I386" t="s">
        <v>29</v>
      </c>
      <c r="J386" t="s">
        <v>29</v>
      </c>
      <c r="K386" t="str">
        <f>IF(Table3[[#This Row],[Type Received]]=2,"CC",(IF(Table3[[#This Row],[Type Received]]=3,"BILL","ACH")))</f>
        <v>ACH</v>
      </c>
    </row>
    <row r="387" spans="1:11" x14ac:dyDescent="0.25">
      <c r="A387">
        <v>257584</v>
      </c>
      <c r="B387" s="3">
        <v>46155</v>
      </c>
      <c r="C387">
        <v>2</v>
      </c>
      <c r="D387">
        <v>101.55</v>
      </c>
      <c r="F387">
        <v>161963</v>
      </c>
      <c r="G387" t="s">
        <v>28</v>
      </c>
      <c r="H387">
        <v>669454133</v>
      </c>
      <c r="I387" t="s">
        <v>29</v>
      </c>
      <c r="J387" t="s">
        <v>29</v>
      </c>
      <c r="K387" t="str">
        <f>IF(Table3[[#This Row],[Type Received]]=2,"CC",(IF(Table3[[#This Row],[Type Received]]=3,"BILL","ACH")))</f>
        <v>CC</v>
      </c>
    </row>
    <row r="388" spans="1:11" x14ac:dyDescent="0.25">
      <c r="A388">
        <v>257586</v>
      </c>
      <c r="B388" s="3">
        <v>46156</v>
      </c>
      <c r="C388">
        <v>2</v>
      </c>
      <c r="D388">
        <v>52.6</v>
      </c>
      <c r="F388">
        <v>120802</v>
      </c>
      <c r="G388" t="s">
        <v>28</v>
      </c>
      <c r="H388">
        <v>682525554</v>
      </c>
      <c r="I388" t="s">
        <v>29</v>
      </c>
      <c r="K388" t="str">
        <f>IF(Table3[[#This Row],[Type Received]]=2,"CC",(IF(Table3[[#This Row],[Type Received]]=3,"BILL","ACH")))</f>
        <v>CC</v>
      </c>
    </row>
    <row r="389" spans="1:11" x14ac:dyDescent="0.25">
      <c r="A389">
        <v>257588</v>
      </c>
      <c r="B389" s="3">
        <v>46143</v>
      </c>
      <c r="C389">
        <v>2</v>
      </c>
      <c r="D389">
        <v>98.8</v>
      </c>
      <c r="F389">
        <v>110805</v>
      </c>
      <c r="G389" t="s">
        <v>28</v>
      </c>
      <c r="H389">
        <v>522207510</v>
      </c>
      <c r="I389" t="s">
        <v>29</v>
      </c>
      <c r="J389" t="s">
        <v>29</v>
      </c>
      <c r="K389" t="str">
        <f>IF(Table3[[#This Row],[Type Received]]=2,"CC",(IF(Table3[[#This Row],[Type Received]]=3,"BILL","ACH")))</f>
        <v>CC</v>
      </c>
    </row>
    <row r="390" spans="1:11" x14ac:dyDescent="0.25">
      <c r="A390">
        <v>257589</v>
      </c>
      <c r="B390" s="3">
        <v>46143</v>
      </c>
      <c r="C390">
        <v>1</v>
      </c>
      <c r="D390">
        <v>54.25</v>
      </c>
      <c r="G390" s="4" t="s">
        <v>84</v>
      </c>
      <c r="H390">
        <v>522207517</v>
      </c>
      <c r="I390" t="s">
        <v>29</v>
      </c>
      <c r="J390" t="s">
        <v>29</v>
      </c>
      <c r="K390" t="str">
        <f>IF(Table3[[#This Row],[Type Received]]=2,"CC",(IF(Table3[[#This Row],[Type Received]]=3,"BILL","ACH")))</f>
        <v>ACH</v>
      </c>
    </row>
    <row r="391" spans="1:11" x14ac:dyDescent="0.25">
      <c r="A391">
        <v>257593</v>
      </c>
      <c r="B391" s="3">
        <v>46153</v>
      </c>
      <c r="C391">
        <v>2</v>
      </c>
      <c r="D391">
        <v>123.9</v>
      </c>
      <c r="F391">
        <v>278136</v>
      </c>
      <c r="G391" s="4" t="s">
        <v>28</v>
      </c>
      <c r="H391">
        <v>644600576</v>
      </c>
      <c r="I391" t="s">
        <v>29</v>
      </c>
      <c r="K391" t="str">
        <f>IF(Table3[[#This Row],[Type Received]]=2,"CC",(IF(Table3[[#This Row],[Type Received]]=3,"BILL","ACH")))</f>
        <v>CC</v>
      </c>
    </row>
    <row r="392" spans="1:11" x14ac:dyDescent="0.25">
      <c r="A392">
        <v>257603</v>
      </c>
      <c r="B392" s="3">
        <v>46155</v>
      </c>
      <c r="C392">
        <v>2</v>
      </c>
      <c r="D392">
        <v>120.25</v>
      </c>
      <c r="F392">
        <v>229328</v>
      </c>
      <c r="G392" t="s">
        <v>28</v>
      </c>
      <c r="H392">
        <v>669427074</v>
      </c>
      <c r="I392" t="s">
        <v>29</v>
      </c>
      <c r="K392" t="str">
        <f>IF(Table3[[#This Row],[Type Received]]=2,"CC",(IF(Table3[[#This Row],[Type Received]]=3,"BILL","ACH")))</f>
        <v>CC</v>
      </c>
    </row>
    <row r="393" spans="1:11" x14ac:dyDescent="0.25">
      <c r="A393">
        <v>257611</v>
      </c>
      <c r="B393" s="3">
        <v>46168</v>
      </c>
      <c r="C393">
        <v>1</v>
      </c>
      <c r="D393">
        <v>104.41</v>
      </c>
      <c r="G393" t="s">
        <v>110</v>
      </c>
      <c r="H393">
        <v>828232649</v>
      </c>
      <c r="I393" t="s">
        <v>29</v>
      </c>
      <c r="J393" t="s">
        <v>29</v>
      </c>
      <c r="K393" t="str">
        <f>IF(Table3[[#This Row],[Type Received]]=2,"CC",(IF(Table3[[#This Row],[Type Received]]=3,"BILL","ACH")))</f>
        <v>ACH</v>
      </c>
    </row>
    <row r="394" spans="1:11" x14ac:dyDescent="0.25">
      <c r="A394">
        <v>257612</v>
      </c>
      <c r="B394" s="3">
        <v>46169</v>
      </c>
      <c r="C394">
        <v>1</v>
      </c>
      <c r="D394">
        <v>80.319999999999993</v>
      </c>
      <c r="G394" t="s">
        <v>117</v>
      </c>
      <c r="H394">
        <v>840832185</v>
      </c>
      <c r="I394" t="s">
        <v>29</v>
      </c>
      <c r="K394" t="str">
        <f>IF(Table3[[#This Row],[Type Received]]=2,"CC",(IF(Table3[[#This Row],[Type Received]]=3,"BILL","ACH")))</f>
        <v>ACH</v>
      </c>
    </row>
    <row r="395" spans="1:11" x14ac:dyDescent="0.25">
      <c r="A395">
        <v>257613</v>
      </c>
      <c r="B395" s="3">
        <v>46169</v>
      </c>
      <c r="C395">
        <v>1</v>
      </c>
      <c r="D395">
        <v>56.45</v>
      </c>
      <c r="G395" t="s">
        <v>117</v>
      </c>
      <c r="H395">
        <v>840809971</v>
      </c>
      <c r="I395" t="s">
        <v>29</v>
      </c>
      <c r="K395" t="str">
        <f>IF(Table3[[#This Row],[Type Received]]=2,"CC",(IF(Table3[[#This Row],[Type Received]]=3,"BILL","ACH")))</f>
        <v>ACH</v>
      </c>
    </row>
    <row r="396" spans="1:11" x14ac:dyDescent="0.25">
      <c r="A396">
        <v>257614</v>
      </c>
      <c r="B396" s="3">
        <v>46169</v>
      </c>
      <c r="C396">
        <v>1</v>
      </c>
      <c r="D396">
        <v>75.81</v>
      </c>
      <c r="G396" t="s">
        <v>117</v>
      </c>
      <c r="H396">
        <v>840810936</v>
      </c>
      <c r="I396" t="s">
        <v>29</v>
      </c>
      <c r="J396" t="s">
        <v>29</v>
      </c>
      <c r="K396" t="str">
        <f>IF(Table3[[#This Row],[Type Received]]=2,"CC",(IF(Table3[[#This Row],[Type Received]]=3,"BILL","ACH")))</f>
        <v>ACH</v>
      </c>
    </row>
    <row r="397" spans="1:11" x14ac:dyDescent="0.25">
      <c r="A397">
        <v>257617</v>
      </c>
      <c r="B397" s="3">
        <v>46147</v>
      </c>
      <c r="C397">
        <v>3</v>
      </c>
      <c r="D397">
        <v>83.97</v>
      </c>
      <c r="E397">
        <v>1056</v>
      </c>
      <c r="J397" t="s">
        <v>29</v>
      </c>
      <c r="K397" t="str">
        <f>IF(Table3[[#This Row],[Type Received]]=2,"CC",(IF(Table3[[#This Row],[Type Received]]=3,"BILL","ACH")))</f>
        <v>BILL</v>
      </c>
    </row>
    <row r="398" spans="1:11" x14ac:dyDescent="0.25">
      <c r="A398">
        <v>257619</v>
      </c>
      <c r="B398" s="3">
        <v>46156</v>
      </c>
      <c r="C398">
        <v>1</v>
      </c>
      <c r="D398">
        <v>80.87</v>
      </c>
      <c r="G398" t="s">
        <v>93</v>
      </c>
      <c r="H398">
        <v>682526474</v>
      </c>
      <c r="I398" t="s">
        <v>29</v>
      </c>
      <c r="J398" t="s">
        <v>29</v>
      </c>
      <c r="K398" t="str">
        <f>IF(Table3[[#This Row],[Type Received]]=2,"CC",(IF(Table3[[#This Row],[Type Received]]=3,"BILL","ACH")))</f>
        <v>ACH</v>
      </c>
    </row>
    <row r="399" spans="1:11" x14ac:dyDescent="0.25">
      <c r="A399">
        <v>257620</v>
      </c>
      <c r="B399" s="3">
        <v>46143</v>
      </c>
      <c r="C399">
        <v>1</v>
      </c>
      <c r="D399">
        <v>106.83</v>
      </c>
      <c r="G399" t="s">
        <v>84</v>
      </c>
      <c r="H399">
        <v>522196884</v>
      </c>
      <c r="I399" t="s">
        <v>29</v>
      </c>
      <c r="J399" t="s">
        <v>29</v>
      </c>
      <c r="K399" t="str">
        <f>IF(Table3[[#This Row],[Type Received]]=2,"CC",(IF(Table3[[#This Row],[Type Received]]=3,"BILL","ACH")))</f>
        <v>ACH</v>
      </c>
    </row>
    <row r="400" spans="1:11" x14ac:dyDescent="0.25">
      <c r="A400">
        <v>257621</v>
      </c>
      <c r="B400" s="3">
        <v>46155</v>
      </c>
      <c r="C400">
        <v>1</v>
      </c>
      <c r="D400">
        <v>81.97</v>
      </c>
      <c r="G400" t="s">
        <v>90</v>
      </c>
      <c r="H400">
        <v>669485162</v>
      </c>
      <c r="I400" t="s">
        <v>29</v>
      </c>
      <c r="K400" t="str">
        <f>IF(Table3[[#This Row],[Type Received]]=2,"CC",(IF(Table3[[#This Row],[Type Received]]=3,"BILL","ACH")))</f>
        <v>ACH</v>
      </c>
    </row>
    <row r="401" spans="1:11" x14ac:dyDescent="0.25">
      <c r="A401">
        <v>257624</v>
      </c>
      <c r="B401" s="3">
        <v>46157</v>
      </c>
      <c r="C401">
        <v>1</v>
      </c>
      <c r="D401">
        <v>49.19</v>
      </c>
      <c r="G401" t="s">
        <v>87</v>
      </c>
      <c r="H401">
        <v>696634455</v>
      </c>
      <c r="I401" t="s">
        <v>29</v>
      </c>
      <c r="J401" t="s">
        <v>29</v>
      </c>
      <c r="K401" t="str">
        <f>IF(Table3[[#This Row],[Type Received]]=2,"CC",(IF(Table3[[#This Row],[Type Received]]=3,"BILL","ACH")))</f>
        <v>ACH</v>
      </c>
    </row>
    <row r="402" spans="1:11" x14ac:dyDescent="0.25">
      <c r="A402">
        <v>257649</v>
      </c>
      <c r="B402" s="3">
        <v>46143</v>
      </c>
      <c r="C402">
        <v>1</v>
      </c>
      <c r="D402">
        <v>152.91999999999999</v>
      </c>
      <c r="G402" t="s">
        <v>84</v>
      </c>
      <c r="H402">
        <v>522211416</v>
      </c>
      <c r="I402" t="s">
        <v>29</v>
      </c>
      <c r="J402" t="s">
        <v>29</v>
      </c>
      <c r="K402" t="str">
        <f>IF(Table3[[#This Row],[Type Received]]=2,"CC",(IF(Table3[[#This Row],[Type Received]]=3,"BILL","ACH")))</f>
        <v>ACH</v>
      </c>
    </row>
    <row r="403" spans="1:11" x14ac:dyDescent="0.25">
      <c r="A403">
        <v>257656</v>
      </c>
      <c r="B403" s="3">
        <v>46169</v>
      </c>
      <c r="C403">
        <v>1</v>
      </c>
      <c r="D403">
        <v>53.15</v>
      </c>
      <c r="G403" t="s">
        <v>117</v>
      </c>
      <c r="H403">
        <v>840808095</v>
      </c>
      <c r="I403" t="s">
        <v>29</v>
      </c>
      <c r="J403" t="s">
        <v>29</v>
      </c>
      <c r="K403" t="str">
        <f>IF(Table3[[#This Row],[Type Received]]=2,"CC",(IF(Table3[[#This Row],[Type Received]]=3,"BILL","ACH")))</f>
        <v>ACH</v>
      </c>
    </row>
    <row r="404" spans="1:11" x14ac:dyDescent="0.25">
      <c r="A404">
        <v>257659</v>
      </c>
      <c r="B404" s="3">
        <v>46143</v>
      </c>
      <c r="C404">
        <v>1</v>
      </c>
      <c r="D404">
        <v>83.29</v>
      </c>
      <c r="G404" t="s">
        <v>84</v>
      </c>
      <c r="H404">
        <v>522198899</v>
      </c>
      <c r="I404" t="s">
        <v>29</v>
      </c>
      <c r="J404" t="s">
        <v>29</v>
      </c>
      <c r="K404" t="str">
        <f>IF(Table3[[#This Row],[Type Received]]=2,"CC",(IF(Table3[[#This Row],[Type Received]]=3,"BILL","ACH")))</f>
        <v>ACH</v>
      </c>
    </row>
    <row r="405" spans="1:11" x14ac:dyDescent="0.25">
      <c r="A405">
        <v>257665</v>
      </c>
      <c r="B405" s="3">
        <v>46143</v>
      </c>
      <c r="C405">
        <v>2</v>
      </c>
      <c r="D405">
        <v>39.97</v>
      </c>
      <c r="F405">
        <v>473870</v>
      </c>
      <c r="G405" t="s">
        <v>28</v>
      </c>
      <c r="H405">
        <v>522826673</v>
      </c>
      <c r="I405" t="s">
        <v>29</v>
      </c>
      <c r="J405" t="s">
        <v>29</v>
      </c>
      <c r="K405" t="str">
        <f>IF(Table3[[#This Row],[Type Received]]=2,"CC",(IF(Table3[[#This Row],[Type Received]]=3,"BILL","ACH")))</f>
        <v>CC</v>
      </c>
    </row>
    <row r="406" spans="1:11" x14ac:dyDescent="0.25">
      <c r="A406">
        <v>257673</v>
      </c>
      <c r="B406" s="3">
        <v>46169</v>
      </c>
      <c r="C406">
        <v>1</v>
      </c>
      <c r="D406">
        <v>62.5</v>
      </c>
      <c r="G406" t="s">
        <v>117</v>
      </c>
      <c r="H406">
        <v>840820518</v>
      </c>
      <c r="I406" t="s">
        <v>29</v>
      </c>
      <c r="K406" t="str">
        <f>IF(Table3[[#This Row],[Type Received]]=2,"CC",(IF(Table3[[#This Row],[Type Received]]=3,"BILL","ACH")))</f>
        <v>ACH</v>
      </c>
    </row>
    <row r="407" spans="1:11" x14ac:dyDescent="0.25">
      <c r="A407">
        <v>257674</v>
      </c>
      <c r="B407" s="3">
        <v>46169</v>
      </c>
      <c r="C407">
        <v>1</v>
      </c>
      <c r="D407">
        <v>45.45</v>
      </c>
      <c r="G407" s="4" t="s">
        <v>117</v>
      </c>
      <c r="H407">
        <v>840811940</v>
      </c>
      <c r="I407" t="s">
        <v>29</v>
      </c>
      <c r="K407" t="str">
        <f>IF(Table3[[#This Row],[Type Received]]=2,"CC",(IF(Table3[[#This Row],[Type Received]]=3,"BILL","ACH")))</f>
        <v>ACH</v>
      </c>
    </row>
    <row r="408" spans="1:11" x14ac:dyDescent="0.25">
      <c r="A408">
        <v>257678</v>
      </c>
      <c r="B408" s="3">
        <v>46143</v>
      </c>
      <c r="C408">
        <v>1</v>
      </c>
      <c r="D408">
        <v>76.25</v>
      </c>
      <c r="G408" t="s">
        <v>84</v>
      </c>
      <c r="H408">
        <v>522208619</v>
      </c>
      <c r="I408" t="s">
        <v>29</v>
      </c>
      <c r="K408" t="str">
        <f>IF(Table3[[#This Row],[Type Received]]=2,"CC",(IF(Table3[[#This Row],[Type Received]]=3,"BILL","ACH")))</f>
        <v>ACH</v>
      </c>
    </row>
    <row r="409" spans="1:11" x14ac:dyDescent="0.25">
      <c r="A409">
        <v>257680</v>
      </c>
      <c r="B409" s="3">
        <v>46143</v>
      </c>
      <c r="C409">
        <v>2</v>
      </c>
      <c r="D409">
        <v>122.25</v>
      </c>
      <c r="F409">
        <v>125132</v>
      </c>
      <c r="G409">
        <v>741374152</v>
      </c>
      <c r="H409">
        <v>353162990</v>
      </c>
      <c r="J409" t="s">
        <v>29</v>
      </c>
      <c r="K409" t="str">
        <f>IF(Table3[[#This Row],[Type Received]]=2,"CC",(IF(Table3[[#This Row],[Type Received]]=3,"BILL","ACH")))</f>
        <v>CC</v>
      </c>
    </row>
    <row r="410" spans="1:11" x14ac:dyDescent="0.25">
      <c r="A410">
        <v>257686</v>
      </c>
      <c r="B410" s="3">
        <v>46160</v>
      </c>
      <c r="C410">
        <v>2</v>
      </c>
      <c r="D410">
        <v>93.9</v>
      </c>
      <c r="F410">
        <v>72901</v>
      </c>
      <c r="G410" t="s">
        <v>28</v>
      </c>
      <c r="H410">
        <v>738013398</v>
      </c>
      <c r="I410" t="s">
        <v>29</v>
      </c>
      <c r="J410" t="s">
        <v>29</v>
      </c>
      <c r="K410" t="str">
        <f>IF(Table3[[#This Row],[Type Received]]=2,"CC",(IF(Table3[[#This Row],[Type Received]]=3,"BILL","ACH")))</f>
        <v>CC</v>
      </c>
    </row>
    <row r="411" spans="1:11" x14ac:dyDescent="0.25">
      <c r="A411">
        <v>257688</v>
      </c>
      <c r="B411" s="3">
        <v>46155</v>
      </c>
      <c r="C411">
        <v>2</v>
      </c>
      <c r="D411">
        <v>54.25</v>
      </c>
      <c r="F411">
        <v>7098</v>
      </c>
      <c r="G411" s="4" t="s">
        <v>28</v>
      </c>
      <c r="H411">
        <v>669455134</v>
      </c>
      <c r="I411" t="s">
        <v>29</v>
      </c>
      <c r="J411" t="s">
        <v>29</v>
      </c>
      <c r="K411" t="str">
        <f>IF(Table3[[#This Row],[Type Received]]=2,"CC",(IF(Table3[[#This Row],[Type Received]]=3,"BILL","ACH")))</f>
        <v>CC</v>
      </c>
    </row>
    <row r="412" spans="1:11" x14ac:dyDescent="0.25">
      <c r="A412">
        <v>257698</v>
      </c>
      <c r="B412" s="3">
        <v>46155</v>
      </c>
      <c r="C412">
        <v>2</v>
      </c>
      <c r="D412">
        <v>122.56</v>
      </c>
      <c r="F412">
        <v>881837</v>
      </c>
      <c r="G412" t="s">
        <v>28</v>
      </c>
      <c r="H412">
        <v>669447452</v>
      </c>
      <c r="I412" t="s">
        <v>29</v>
      </c>
      <c r="J412" t="s">
        <v>29</v>
      </c>
      <c r="K412" t="str">
        <f>IF(Table3[[#This Row],[Type Received]]=2,"CC",(IF(Table3[[#This Row],[Type Received]]=3,"BILL","ACH")))</f>
        <v>CC</v>
      </c>
    </row>
    <row r="413" spans="1:11" x14ac:dyDescent="0.25">
      <c r="A413">
        <v>257700</v>
      </c>
      <c r="B413" s="3">
        <v>46155</v>
      </c>
      <c r="C413">
        <v>2</v>
      </c>
      <c r="D413">
        <v>136.75</v>
      </c>
      <c r="F413">
        <v>182917</v>
      </c>
      <c r="G413" t="s">
        <v>28</v>
      </c>
      <c r="H413">
        <v>669428081</v>
      </c>
      <c r="I413" t="s">
        <v>29</v>
      </c>
      <c r="J413" t="s">
        <v>29</v>
      </c>
      <c r="K413" t="str">
        <f>IF(Table3[[#This Row],[Type Received]]=2,"CC",(IF(Table3[[#This Row],[Type Received]]=3,"BILL","ACH")))</f>
        <v>CC</v>
      </c>
    </row>
    <row r="414" spans="1:11" x14ac:dyDescent="0.25">
      <c r="A414">
        <v>257701</v>
      </c>
      <c r="B414" s="3">
        <v>46143</v>
      </c>
      <c r="C414">
        <v>1</v>
      </c>
      <c r="D414">
        <v>94.95</v>
      </c>
      <c r="G414" t="s">
        <v>84</v>
      </c>
      <c r="H414">
        <v>522216274</v>
      </c>
      <c r="I414" t="s">
        <v>29</v>
      </c>
      <c r="J414" t="s">
        <v>29</v>
      </c>
      <c r="K414" t="str">
        <f>IF(Table3[[#This Row],[Type Received]]=2,"CC",(IF(Table3[[#This Row],[Type Received]]=3,"BILL","ACH")))</f>
        <v>ACH</v>
      </c>
    </row>
    <row r="415" spans="1:11" x14ac:dyDescent="0.25">
      <c r="A415">
        <v>257704</v>
      </c>
      <c r="B415" s="3">
        <v>46157</v>
      </c>
      <c r="C415">
        <v>1</v>
      </c>
      <c r="D415">
        <v>59.75</v>
      </c>
      <c r="G415" t="s">
        <v>87</v>
      </c>
      <c r="H415">
        <v>696641229</v>
      </c>
      <c r="I415" t="s">
        <v>29</v>
      </c>
      <c r="J415" t="s">
        <v>29</v>
      </c>
      <c r="K415" t="str">
        <f>IF(Table3[[#This Row],[Type Received]]=2,"CC",(IF(Table3[[#This Row],[Type Received]]=3,"BILL","ACH")))</f>
        <v>ACH</v>
      </c>
    </row>
    <row r="416" spans="1:11" x14ac:dyDescent="0.25">
      <c r="A416">
        <v>257716</v>
      </c>
      <c r="B416" s="3">
        <v>46143</v>
      </c>
      <c r="C416">
        <v>1</v>
      </c>
      <c r="D416">
        <v>89.56</v>
      </c>
      <c r="G416" t="s">
        <v>84</v>
      </c>
      <c r="H416">
        <v>522195097</v>
      </c>
      <c r="I416" t="s">
        <v>29</v>
      </c>
      <c r="J416" t="s">
        <v>29</v>
      </c>
      <c r="K416" t="str">
        <f>IF(Table3[[#This Row],[Type Received]]=2,"CC",(IF(Table3[[#This Row],[Type Received]]=3,"BILL","ACH")))</f>
        <v>ACH</v>
      </c>
    </row>
    <row r="417" spans="1:11" x14ac:dyDescent="0.25">
      <c r="A417">
        <v>257722</v>
      </c>
      <c r="B417" s="3">
        <v>46169</v>
      </c>
      <c r="C417">
        <v>1</v>
      </c>
      <c r="D417">
        <v>58.21</v>
      </c>
      <c r="G417" t="s">
        <v>117</v>
      </c>
      <c r="H417">
        <v>840813898</v>
      </c>
      <c r="I417" t="s">
        <v>29</v>
      </c>
      <c r="K417" t="str">
        <f>IF(Table3[[#This Row],[Type Received]]=2,"CC",(IF(Table3[[#This Row],[Type Received]]=3,"BILL","ACH")))</f>
        <v>ACH</v>
      </c>
    </row>
    <row r="418" spans="1:11" x14ac:dyDescent="0.25">
      <c r="A418">
        <v>257724</v>
      </c>
      <c r="B418" s="3">
        <v>46169</v>
      </c>
      <c r="C418">
        <v>1</v>
      </c>
      <c r="D418">
        <v>72.290000000000006</v>
      </c>
      <c r="G418" t="s">
        <v>117</v>
      </c>
      <c r="H418">
        <v>840831299</v>
      </c>
      <c r="I418" t="s">
        <v>29</v>
      </c>
      <c r="K418" t="str">
        <f>IF(Table3[[#This Row],[Type Received]]=2,"CC",(IF(Table3[[#This Row],[Type Received]]=3,"BILL","ACH")))</f>
        <v>ACH</v>
      </c>
    </row>
    <row r="419" spans="1:11" x14ac:dyDescent="0.25">
      <c r="A419">
        <v>257739</v>
      </c>
      <c r="B419" s="3">
        <v>46157</v>
      </c>
      <c r="C419">
        <v>2</v>
      </c>
      <c r="D419">
        <v>97.81</v>
      </c>
      <c r="F419" t="s">
        <v>119</v>
      </c>
      <c r="G419" t="s">
        <v>28</v>
      </c>
      <c r="H419">
        <v>696638345</v>
      </c>
      <c r="I419" t="s">
        <v>29</v>
      </c>
      <c r="J419" t="s">
        <v>29</v>
      </c>
      <c r="K419" t="str">
        <f>IF(Table3[[#This Row],[Type Received]]=2,"CC",(IF(Table3[[#This Row],[Type Received]]=3,"BILL","ACH")))</f>
        <v>CC</v>
      </c>
    </row>
    <row r="420" spans="1:11" x14ac:dyDescent="0.25">
      <c r="A420">
        <v>257740</v>
      </c>
      <c r="B420" s="3">
        <v>46157</v>
      </c>
      <c r="C420">
        <v>1</v>
      </c>
      <c r="D420">
        <v>45.45</v>
      </c>
      <c r="G420" s="4" t="s">
        <v>87</v>
      </c>
      <c r="H420">
        <v>696634511</v>
      </c>
      <c r="I420" t="s">
        <v>29</v>
      </c>
      <c r="J420" t="s">
        <v>29</v>
      </c>
      <c r="K420" t="str">
        <f>IF(Table3[[#This Row],[Type Received]]=2,"CC",(IF(Table3[[#This Row],[Type Received]]=3,"BILL","ACH")))</f>
        <v>ACH</v>
      </c>
    </row>
    <row r="421" spans="1:11" x14ac:dyDescent="0.25">
      <c r="A421">
        <v>257741</v>
      </c>
      <c r="B421" s="3">
        <v>46157</v>
      </c>
      <c r="C421">
        <v>1</v>
      </c>
      <c r="D421">
        <v>67.23</v>
      </c>
      <c r="G421" s="4" t="s">
        <v>87</v>
      </c>
      <c r="H421">
        <v>696634531</v>
      </c>
      <c r="I421" t="s">
        <v>29</v>
      </c>
      <c r="K421" t="str">
        <f>IF(Table3[[#This Row],[Type Received]]=2,"CC",(IF(Table3[[#This Row],[Type Received]]=3,"BILL","ACH")))</f>
        <v>ACH</v>
      </c>
    </row>
    <row r="422" spans="1:11" x14ac:dyDescent="0.25">
      <c r="A422">
        <v>257748</v>
      </c>
      <c r="B422" s="3">
        <v>46143</v>
      </c>
      <c r="C422">
        <v>2</v>
      </c>
      <c r="D422">
        <v>93.41</v>
      </c>
      <c r="F422">
        <v>49736</v>
      </c>
      <c r="G422" t="s">
        <v>28</v>
      </c>
      <c r="H422">
        <v>522221273</v>
      </c>
      <c r="I422" t="s">
        <v>29</v>
      </c>
      <c r="K422" t="str">
        <f>IF(Table3[[#This Row],[Type Received]]=2,"CC",(IF(Table3[[#This Row],[Type Received]]=3,"BILL","ACH")))</f>
        <v>CC</v>
      </c>
    </row>
    <row r="423" spans="1:11" x14ac:dyDescent="0.25">
      <c r="A423">
        <v>257749</v>
      </c>
      <c r="B423" s="3">
        <v>46157</v>
      </c>
      <c r="C423">
        <v>1</v>
      </c>
      <c r="D423">
        <v>50.95</v>
      </c>
      <c r="G423" t="s">
        <v>87</v>
      </c>
      <c r="H423">
        <v>696625778</v>
      </c>
      <c r="I423" t="s">
        <v>29</v>
      </c>
      <c r="J423" t="s">
        <v>29</v>
      </c>
      <c r="K423" t="str">
        <f>IF(Table3[[#This Row],[Type Received]]=2,"CC",(IF(Table3[[#This Row],[Type Received]]=3,"BILL","ACH")))</f>
        <v>ACH</v>
      </c>
    </row>
    <row r="424" spans="1:11" x14ac:dyDescent="0.25">
      <c r="A424">
        <v>257750</v>
      </c>
      <c r="B424" s="3">
        <v>46169</v>
      </c>
      <c r="C424">
        <v>1</v>
      </c>
      <c r="D424">
        <v>103.42</v>
      </c>
      <c r="G424" s="4" t="s">
        <v>117</v>
      </c>
      <c r="H424">
        <v>840823482</v>
      </c>
      <c r="I424" t="s">
        <v>29</v>
      </c>
      <c r="J424" t="s">
        <v>29</v>
      </c>
      <c r="K424" t="str">
        <f>IF(Table3[[#This Row],[Type Received]]=2,"CC",(IF(Table3[[#This Row],[Type Received]]=3,"BILL","ACH")))</f>
        <v>ACH</v>
      </c>
    </row>
    <row r="425" spans="1:11" x14ac:dyDescent="0.25">
      <c r="A425">
        <v>257751</v>
      </c>
      <c r="B425" s="3">
        <v>46169</v>
      </c>
      <c r="C425">
        <v>1</v>
      </c>
      <c r="D425">
        <v>49.63</v>
      </c>
      <c r="G425" s="4" t="s">
        <v>117</v>
      </c>
      <c r="H425">
        <v>840831328</v>
      </c>
      <c r="I425" t="s">
        <v>29</v>
      </c>
      <c r="J425" t="s">
        <v>29</v>
      </c>
      <c r="K425" t="str">
        <f>IF(Table3[[#This Row],[Type Received]]=2,"CC",(IF(Table3[[#This Row],[Type Received]]=3,"BILL","ACH")))</f>
        <v>ACH</v>
      </c>
    </row>
    <row r="426" spans="1:11" x14ac:dyDescent="0.25">
      <c r="A426">
        <v>257760</v>
      </c>
      <c r="B426" s="3">
        <v>46167</v>
      </c>
      <c r="C426">
        <v>1</v>
      </c>
      <c r="D426">
        <v>48.75</v>
      </c>
      <c r="G426" t="s">
        <v>85</v>
      </c>
      <c r="H426">
        <v>818347250</v>
      </c>
      <c r="I426" t="s">
        <v>29</v>
      </c>
      <c r="J426" t="s">
        <v>29</v>
      </c>
      <c r="K426" t="str">
        <f>IF(Table3[[#This Row],[Type Received]]=2,"CC",(IF(Table3[[#This Row],[Type Received]]=3,"BILL","ACH")))</f>
        <v>ACH</v>
      </c>
    </row>
    <row r="427" spans="1:11" x14ac:dyDescent="0.25">
      <c r="A427">
        <v>257766</v>
      </c>
      <c r="B427" s="3">
        <v>46169</v>
      </c>
      <c r="C427">
        <v>1</v>
      </c>
      <c r="D427">
        <v>107.05</v>
      </c>
      <c r="G427" s="4" t="s">
        <v>117</v>
      </c>
      <c r="H427">
        <v>840811097</v>
      </c>
      <c r="I427" t="s">
        <v>29</v>
      </c>
      <c r="K427" t="str">
        <f>IF(Table3[[#This Row],[Type Received]]=2,"CC",(IF(Table3[[#This Row],[Type Received]]=3,"BILL","ACH")))</f>
        <v>ACH</v>
      </c>
    </row>
    <row r="428" spans="1:11" x14ac:dyDescent="0.25">
      <c r="A428">
        <v>257768</v>
      </c>
      <c r="B428" s="3">
        <v>46155</v>
      </c>
      <c r="C428">
        <v>2</v>
      </c>
      <c r="D428">
        <v>66.459999999999994</v>
      </c>
      <c r="F428">
        <v>90058</v>
      </c>
      <c r="G428" t="s">
        <v>28</v>
      </c>
      <c r="H428">
        <v>669431008</v>
      </c>
      <c r="I428" t="s">
        <v>29</v>
      </c>
      <c r="J428" t="s">
        <v>29</v>
      </c>
      <c r="K428" t="str">
        <f>IF(Table3[[#This Row],[Type Received]]=2,"CC",(IF(Table3[[#This Row],[Type Received]]=3,"BILL","ACH")))</f>
        <v>CC</v>
      </c>
    </row>
    <row r="429" spans="1:11" x14ac:dyDescent="0.25">
      <c r="A429">
        <v>257770</v>
      </c>
      <c r="B429" s="3">
        <v>46155</v>
      </c>
      <c r="C429">
        <v>2</v>
      </c>
      <c r="D429">
        <v>48.53</v>
      </c>
      <c r="F429">
        <v>91175</v>
      </c>
      <c r="G429" t="s">
        <v>28</v>
      </c>
      <c r="H429">
        <v>669435906</v>
      </c>
      <c r="I429" t="s">
        <v>29</v>
      </c>
      <c r="J429" t="s">
        <v>29</v>
      </c>
      <c r="K429" t="str">
        <f>IF(Table3[[#This Row],[Type Received]]=2,"CC",(IF(Table3[[#This Row],[Type Received]]=3,"BILL","ACH")))</f>
        <v>CC</v>
      </c>
    </row>
    <row r="430" spans="1:11" x14ac:dyDescent="0.25">
      <c r="A430">
        <v>257775</v>
      </c>
      <c r="B430" s="3">
        <v>46143</v>
      </c>
      <c r="C430">
        <v>1</v>
      </c>
      <c r="D430">
        <v>60.19</v>
      </c>
      <c r="G430" t="s">
        <v>84</v>
      </c>
      <c r="H430">
        <v>522218579</v>
      </c>
      <c r="I430" t="s">
        <v>29</v>
      </c>
      <c r="J430" t="s">
        <v>29</v>
      </c>
      <c r="K430" t="str">
        <f>IF(Table3[[#This Row],[Type Received]]=2,"CC",(IF(Table3[[#This Row],[Type Received]]=3,"BILL","ACH")))</f>
        <v>ACH</v>
      </c>
    </row>
    <row r="431" spans="1:11" x14ac:dyDescent="0.25">
      <c r="A431">
        <v>257783</v>
      </c>
      <c r="B431" s="3">
        <v>46143</v>
      </c>
      <c r="C431">
        <v>2</v>
      </c>
      <c r="D431">
        <v>67.45</v>
      </c>
      <c r="F431">
        <v>91797</v>
      </c>
      <c r="G431" t="s">
        <v>28</v>
      </c>
      <c r="H431">
        <v>522215736</v>
      </c>
      <c r="I431" t="s">
        <v>29</v>
      </c>
      <c r="J431" t="s">
        <v>29</v>
      </c>
      <c r="K431" t="str">
        <f>IF(Table3[[#This Row],[Type Received]]=2,"CC",(IF(Table3[[#This Row],[Type Received]]=3,"BILL","ACH")))</f>
        <v>CC</v>
      </c>
    </row>
    <row r="432" spans="1:11" x14ac:dyDescent="0.25">
      <c r="A432">
        <v>257795</v>
      </c>
      <c r="B432" s="3">
        <v>46155</v>
      </c>
      <c r="C432">
        <v>2</v>
      </c>
      <c r="D432">
        <v>73.06</v>
      </c>
      <c r="F432">
        <v>270392</v>
      </c>
      <c r="G432" t="s">
        <v>28</v>
      </c>
      <c r="H432">
        <v>669474851</v>
      </c>
      <c r="I432" t="s">
        <v>29</v>
      </c>
      <c r="J432" t="s">
        <v>29</v>
      </c>
      <c r="K432" t="str">
        <f>IF(Table3[[#This Row],[Type Received]]=2,"CC",(IF(Table3[[#This Row],[Type Received]]=3,"BILL","ACH")))</f>
        <v>CC</v>
      </c>
    </row>
    <row r="433" spans="1:11" x14ac:dyDescent="0.25">
      <c r="A433">
        <v>257797</v>
      </c>
      <c r="B433" s="3">
        <v>46143</v>
      </c>
      <c r="C433">
        <v>2</v>
      </c>
      <c r="D433">
        <v>85.73</v>
      </c>
      <c r="F433">
        <v>430952</v>
      </c>
      <c r="G433" t="s">
        <v>28</v>
      </c>
      <c r="H433">
        <v>521643583</v>
      </c>
      <c r="I433" t="s">
        <v>29</v>
      </c>
      <c r="J433" t="s">
        <v>29</v>
      </c>
      <c r="K433" t="str">
        <f>IF(Table3[[#This Row],[Type Received]]=2,"CC",(IF(Table3[[#This Row],[Type Received]]=3,"BILL","ACH")))</f>
        <v>CC</v>
      </c>
    </row>
    <row r="434" spans="1:11" x14ac:dyDescent="0.25">
      <c r="A434">
        <v>257800</v>
      </c>
      <c r="B434" s="3">
        <v>46143</v>
      </c>
      <c r="C434">
        <v>1</v>
      </c>
      <c r="D434">
        <v>73.72</v>
      </c>
      <c r="G434" t="s">
        <v>84</v>
      </c>
      <c r="H434">
        <v>522219554</v>
      </c>
      <c r="I434" t="s">
        <v>29</v>
      </c>
      <c r="J434" t="s">
        <v>29</v>
      </c>
      <c r="K434" t="str">
        <f>IF(Table3[[#This Row],[Type Received]]=2,"CC",(IF(Table3[[#This Row],[Type Received]]=3,"BILL","ACH")))</f>
        <v>ACH</v>
      </c>
    </row>
    <row r="435" spans="1:11" x14ac:dyDescent="0.25">
      <c r="A435">
        <v>257814</v>
      </c>
      <c r="B435" s="3">
        <v>46169</v>
      </c>
      <c r="C435">
        <v>1</v>
      </c>
      <c r="D435">
        <v>49.3</v>
      </c>
      <c r="G435" s="4" t="s">
        <v>117</v>
      </c>
      <c r="H435">
        <v>840838180</v>
      </c>
      <c r="I435" t="s">
        <v>29</v>
      </c>
      <c r="K435" t="str">
        <f>IF(Table3[[#This Row],[Type Received]]=2,"CC",(IF(Table3[[#This Row],[Type Received]]=3,"BILL","ACH")))</f>
        <v>ACH</v>
      </c>
    </row>
    <row r="436" spans="1:11" x14ac:dyDescent="0.25">
      <c r="A436">
        <v>257815</v>
      </c>
      <c r="B436" s="3">
        <v>46169</v>
      </c>
      <c r="C436">
        <v>1</v>
      </c>
      <c r="D436">
        <v>45.23</v>
      </c>
      <c r="G436" t="s">
        <v>117</v>
      </c>
      <c r="H436">
        <v>840828507</v>
      </c>
      <c r="I436" t="s">
        <v>29</v>
      </c>
      <c r="J436" t="s">
        <v>29</v>
      </c>
      <c r="K436" t="str">
        <f>IF(Table3[[#This Row],[Type Received]]=2,"CC",(IF(Table3[[#This Row],[Type Received]]=3,"BILL","ACH")))</f>
        <v>ACH</v>
      </c>
    </row>
    <row r="437" spans="1:11" x14ac:dyDescent="0.25">
      <c r="A437">
        <v>257824</v>
      </c>
      <c r="B437" s="3">
        <v>46155</v>
      </c>
      <c r="C437">
        <v>2</v>
      </c>
      <c r="D437">
        <v>114.64</v>
      </c>
      <c r="F437">
        <v>670392</v>
      </c>
      <c r="G437" t="s">
        <v>28</v>
      </c>
      <c r="H437">
        <v>669438842</v>
      </c>
      <c r="I437" t="s">
        <v>29</v>
      </c>
      <c r="J437" t="s">
        <v>29</v>
      </c>
      <c r="K437" t="str">
        <f>IF(Table3[[#This Row],[Type Received]]=2,"CC",(IF(Table3[[#This Row],[Type Received]]=3,"BILL","ACH")))</f>
        <v>CC</v>
      </c>
    </row>
    <row r="438" spans="1:11" x14ac:dyDescent="0.25">
      <c r="A438">
        <v>257826</v>
      </c>
      <c r="B438" s="3">
        <v>46148</v>
      </c>
      <c r="C438">
        <v>3</v>
      </c>
      <c r="D438">
        <v>120.11</v>
      </c>
      <c r="E438">
        <v>234212961</v>
      </c>
      <c r="G438" s="4"/>
      <c r="J438" t="s">
        <v>29</v>
      </c>
      <c r="K438" t="str">
        <f>IF(Table3[[#This Row],[Type Received]]=2,"CC",(IF(Table3[[#This Row],[Type Received]]=3,"BILL","ACH")))</f>
        <v>BILL</v>
      </c>
    </row>
    <row r="439" spans="1:11" x14ac:dyDescent="0.25">
      <c r="A439">
        <v>257831</v>
      </c>
      <c r="B439" s="3">
        <v>46157</v>
      </c>
      <c r="C439">
        <v>1</v>
      </c>
      <c r="D439">
        <v>45.45</v>
      </c>
      <c r="G439" t="s">
        <v>87</v>
      </c>
      <c r="H439">
        <v>696644176</v>
      </c>
      <c r="I439" t="s">
        <v>29</v>
      </c>
      <c r="J439" t="s">
        <v>29</v>
      </c>
      <c r="K439" t="str">
        <f>IF(Table3[[#This Row],[Type Received]]=2,"CC",(IF(Table3[[#This Row],[Type Received]]=3,"BILL","ACH")))</f>
        <v>ACH</v>
      </c>
    </row>
    <row r="440" spans="1:11" x14ac:dyDescent="0.25">
      <c r="A440">
        <v>257845</v>
      </c>
      <c r="B440" s="3">
        <v>46146</v>
      </c>
      <c r="C440">
        <v>2</v>
      </c>
      <c r="D440">
        <v>56.69</v>
      </c>
      <c r="F440">
        <v>4593</v>
      </c>
      <c r="G440">
        <v>742259380</v>
      </c>
      <c r="H440">
        <v>353429068</v>
      </c>
      <c r="J440" t="s">
        <v>29</v>
      </c>
      <c r="K440" t="str">
        <f>IF(Table3[[#This Row],[Type Received]]=2,"CC",(IF(Table3[[#This Row],[Type Received]]=3,"BILL","ACH")))</f>
        <v>CC</v>
      </c>
    </row>
    <row r="441" spans="1:11" x14ac:dyDescent="0.25">
      <c r="A441">
        <v>257853</v>
      </c>
      <c r="B441" s="3">
        <v>46143</v>
      </c>
      <c r="C441">
        <v>1</v>
      </c>
      <c r="D441">
        <v>57.33</v>
      </c>
      <c r="G441" s="4" t="s">
        <v>84</v>
      </c>
      <c r="H441">
        <v>522209072</v>
      </c>
      <c r="I441" t="s">
        <v>29</v>
      </c>
      <c r="J441" t="s">
        <v>29</v>
      </c>
      <c r="K441" t="str">
        <f>IF(Table3[[#This Row],[Type Received]]=2,"CC",(IF(Table3[[#This Row],[Type Received]]=3,"BILL","ACH")))</f>
        <v>ACH</v>
      </c>
    </row>
    <row r="442" spans="1:11" x14ac:dyDescent="0.25">
      <c r="A442">
        <v>257861</v>
      </c>
      <c r="B442" s="3">
        <v>46157</v>
      </c>
      <c r="C442">
        <v>1</v>
      </c>
      <c r="D442">
        <v>102.1</v>
      </c>
      <c r="G442" t="s">
        <v>87</v>
      </c>
      <c r="H442">
        <v>696623975</v>
      </c>
      <c r="I442" t="s">
        <v>29</v>
      </c>
      <c r="J442" t="s">
        <v>29</v>
      </c>
      <c r="K442" t="str">
        <f>IF(Table3[[#This Row],[Type Received]]=2,"CC",(IF(Table3[[#This Row],[Type Received]]=3,"BILL","ACH")))</f>
        <v>ACH</v>
      </c>
    </row>
    <row r="443" spans="1:11" x14ac:dyDescent="0.25">
      <c r="A443">
        <v>257864</v>
      </c>
      <c r="B443" s="3">
        <v>46169</v>
      </c>
      <c r="C443">
        <v>2</v>
      </c>
      <c r="D443">
        <v>60.52</v>
      </c>
      <c r="F443">
        <v>659958</v>
      </c>
      <c r="G443" t="s">
        <v>28</v>
      </c>
      <c r="H443">
        <v>840824620</v>
      </c>
      <c r="I443" t="s">
        <v>29</v>
      </c>
      <c r="J443" t="s">
        <v>29</v>
      </c>
      <c r="K443" t="str">
        <f>IF(Table3[[#This Row],[Type Received]]=2,"CC",(IF(Table3[[#This Row],[Type Received]]=3,"BILL","ACH")))</f>
        <v>CC</v>
      </c>
    </row>
    <row r="444" spans="1:11" x14ac:dyDescent="0.25">
      <c r="A444">
        <v>257878</v>
      </c>
      <c r="B444" s="3">
        <v>46157</v>
      </c>
      <c r="C444">
        <v>1</v>
      </c>
      <c r="D444">
        <v>109.03</v>
      </c>
      <c r="G444" t="s">
        <v>87</v>
      </c>
      <c r="H444">
        <v>696623995</v>
      </c>
      <c r="I444" t="s">
        <v>29</v>
      </c>
      <c r="J444" t="s">
        <v>29</v>
      </c>
      <c r="K444" t="str">
        <f>IF(Table3[[#This Row],[Type Received]]=2,"CC",(IF(Table3[[#This Row],[Type Received]]=3,"BILL","ACH")))</f>
        <v>ACH</v>
      </c>
    </row>
    <row r="445" spans="1:11" x14ac:dyDescent="0.25">
      <c r="A445">
        <v>257882</v>
      </c>
      <c r="B445" s="3">
        <v>46143</v>
      </c>
      <c r="C445">
        <v>1</v>
      </c>
      <c r="D445">
        <v>85.6</v>
      </c>
      <c r="G445" t="s">
        <v>84</v>
      </c>
      <c r="H445">
        <v>522224609</v>
      </c>
      <c r="I445" t="s">
        <v>29</v>
      </c>
      <c r="J445" t="s">
        <v>29</v>
      </c>
      <c r="K445" t="str">
        <f>IF(Table3[[#This Row],[Type Received]]=2,"CC",(IF(Table3[[#This Row],[Type Received]]=3,"BILL","ACH")))</f>
        <v>ACH</v>
      </c>
    </row>
    <row r="446" spans="1:11" x14ac:dyDescent="0.25">
      <c r="A446">
        <v>257888</v>
      </c>
      <c r="B446" s="3">
        <v>46143</v>
      </c>
      <c r="C446">
        <v>1</v>
      </c>
      <c r="D446">
        <v>34.450000000000003</v>
      </c>
      <c r="G446" t="s">
        <v>84</v>
      </c>
      <c r="H446">
        <v>522227482</v>
      </c>
      <c r="I446" t="s">
        <v>29</v>
      </c>
      <c r="J446" t="s">
        <v>29</v>
      </c>
      <c r="K446" t="str">
        <f>IF(Table3[[#This Row],[Type Received]]=2,"CC",(IF(Table3[[#This Row],[Type Received]]=3,"BILL","ACH")))</f>
        <v>ACH</v>
      </c>
    </row>
    <row r="447" spans="1:11" x14ac:dyDescent="0.25">
      <c r="A447">
        <v>257894</v>
      </c>
      <c r="B447" s="3">
        <v>46168</v>
      </c>
      <c r="C447">
        <v>3</v>
      </c>
      <c r="D447">
        <v>93.43</v>
      </c>
      <c r="E447">
        <v>22123573791</v>
      </c>
      <c r="J447" t="s">
        <v>29</v>
      </c>
      <c r="K447" t="str">
        <f>IF(Table3[[#This Row],[Type Received]]=2,"CC",(IF(Table3[[#This Row],[Type Received]]=3,"BILL","ACH")))</f>
        <v>BILL</v>
      </c>
    </row>
    <row r="448" spans="1:11" x14ac:dyDescent="0.25">
      <c r="A448">
        <v>257897</v>
      </c>
      <c r="B448" s="3">
        <v>46157</v>
      </c>
      <c r="C448">
        <v>1</v>
      </c>
      <c r="D448">
        <v>120.69</v>
      </c>
      <c r="G448" t="s">
        <v>87</v>
      </c>
      <c r="H448">
        <v>696632674</v>
      </c>
      <c r="I448" t="s">
        <v>29</v>
      </c>
      <c r="J448" t="s">
        <v>29</v>
      </c>
      <c r="K448" t="str">
        <f>IF(Table3[[#This Row],[Type Received]]=2,"CC",(IF(Table3[[#This Row],[Type Received]]=3,"BILL","ACH")))</f>
        <v>ACH</v>
      </c>
    </row>
    <row r="449" spans="1:11" x14ac:dyDescent="0.25">
      <c r="A449">
        <v>257898</v>
      </c>
      <c r="B449" s="3">
        <v>46169</v>
      </c>
      <c r="C449">
        <v>1</v>
      </c>
      <c r="D449">
        <v>93.85</v>
      </c>
      <c r="G449" t="s">
        <v>117</v>
      </c>
      <c r="H449">
        <v>840823648</v>
      </c>
      <c r="I449" t="s">
        <v>29</v>
      </c>
      <c r="J449" t="s">
        <v>29</v>
      </c>
      <c r="K449" t="str">
        <f>IF(Table3[[#This Row],[Type Received]]=2,"CC",(IF(Table3[[#This Row],[Type Received]]=3,"BILL","ACH")))</f>
        <v>ACH</v>
      </c>
    </row>
    <row r="450" spans="1:11" x14ac:dyDescent="0.25">
      <c r="A450">
        <v>257900</v>
      </c>
      <c r="B450" s="3">
        <v>46149</v>
      </c>
      <c r="C450">
        <v>2</v>
      </c>
      <c r="D450">
        <v>38.1</v>
      </c>
      <c r="F450">
        <v>10208</v>
      </c>
      <c r="G450" t="s">
        <v>28</v>
      </c>
      <c r="H450">
        <v>596272196</v>
      </c>
      <c r="I450" t="s">
        <v>29</v>
      </c>
      <c r="J450" t="s">
        <v>29</v>
      </c>
      <c r="K450" t="str">
        <f>IF(Table3[[#This Row],[Type Received]]=2,"CC",(IF(Table3[[#This Row],[Type Received]]=3,"BILL","ACH")))</f>
        <v>CC</v>
      </c>
    </row>
    <row r="451" spans="1:11" x14ac:dyDescent="0.25">
      <c r="A451">
        <v>257924</v>
      </c>
      <c r="B451" s="3">
        <v>46143</v>
      </c>
      <c r="C451">
        <v>2</v>
      </c>
      <c r="D451">
        <v>128</v>
      </c>
      <c r="F451" t="s">
        <v>120</v>
      </c>
      <c r="G451">
        <v>741374152</v>
      </c>
      <c r="H451">
        <v>353154318</v>
      </c>
      <c r="J451" t="s">
        <v>29</v>
      </c>
      <c r="K451" t="str">
        <f>IF(Table3[[#This Row],[Type Received]]=2,"CC",(IF(Table3[[#This Row],[Type Received]]=3,"BILL","ACH")))</f>
        <v>CC</v>
      </c>
    </row>
    <row r="452" spans="1:11" x14ac:dyDescent="0.25">
      <c r="A452">
        <v>257926</v>
      </c>
      <c r="B452" s="3">
        <v>46160</v>
      </c>
      <c r="C452">
        <v>2</v>
      </c>
      <c r="D452">
        <v>33.369999999999997</v>
      </c>
      <c r="F452">
        <v>45212</v>
      </c>
      <c r="G452" t="s">
        <v>28</v>
      </c>
      <c r="H452">
        <v>736161150</v>
      </c>
      <c r="I452" t="s">
        <v>29</v>
      </c>
      <c r="K452" t="str">
        <f>IF(Table3[[#This Row],[Type Received]]=2,"CC",(IF(Table3[[#This Row],[Type Received]]=3,"BILL","ACH")))</f>
        <v>CC</v>
      </c>
    </row>
    <row r="453" spans="1:11" x14ac:dyDescent="0.25">
      <c r="A453">
        <v>257935</v>
      </c>
      <c r="B453" s="3">
        <v>46144</v>
      </c>
      <c r="C453">
        <v>2</v>
      </c>
      <c r="D453">
        <v>100</v>
      </c>
      <c r="F453">
        <v>701690</v>
      </c>
      <c r="G453" s="4">
        <v>741651752</v>
      </c>
      <c r="H453">
        <v>353302677</v>
      </c>
      <c r="K453" t="str">
        <f>IF(Table3[[#This Row],[Type Received]]=2,"CC",(IF(Table3[[#This Row],[Type Received]]=3,"BILL","ACH")))</f>
        <v>CC</v>
      </c>
    </row>
    <row r="454" spans="1:11" x14ac:dyDescent="0.25">
      <c r="A454">
        <v>257939</v>
      </c>
      <c r="B454" s="3">
        <v>46157</v>
      </c>
      <c r="C454">
        <v>1</v>
      </c>
      <c r="D454">
        <v>120.47</v>
      </c>
      <c r="G454" t="s">
        <v>87</v>
      </c>
      <c r="H454">
        <v>696631732</v>
      </c>
      <c r="I454" t="s">
        <v>29</v>
      </c>
      <c r="J454" t="s">
        <v>29</v>
      </c>
      <c r="K454" t="str">
        <f>IF(Table3[[#This Row],[Type Received]]=2,"CC",(IF(Table3[[#This Row],[Type Received]]=3,"BILL","ACH")))</f>
        <v>ACH</v>
      </c>
    </row>
    <row r="455" spans="1:11" x14ac:dyDescent="0.25">
      <c r="A455">
        <v>257941</v>
      </c>
      <c r="B455" s="3">
        <v>46147</v>
      </c>
      <c r="C455">
        <v>1</v>
      </c>
      <c r="D455">
        <v>80.430000000000007</v>
      </c>
      <c r="G455" t="s">
        <v>86</v>
      </c>
      <c r="H455">
        <v>569475510</v>
      </c>
      <c r="I455" t="s">
        <v>29</v>
      </c>
      <c r="J455" t="s">
        <v>29</v>
      </c>
      <c r="K455" t="str">
        <f>IF(Table3[[#This Row],[Type Received]]=2,"CC",(IF(Table3[[#This Row],[Type Received]]=3,"BILL","ACH")))</f>
        <v>ACH</v>
      </c>
    </row>
    <row r="456" spans="1:11" x14ac:dyDescent="0.25">
      <c r="A456">
        <v>257942</v>
      </c>
      <c r="B456" s="3">
        <v>46169</v>
      </c>
      <c r="C456">
        <v>1</v>
      </c>
      <c r="D456">
        <v>141.69999999999999</v>
      </c>
      <c r="G456" t="s">
        <v>117</v>
      </c>
      <c r="H456">
        <v>840830531</v>
      </c>
      <c r="I456" t="s">
        <v>29</v>
      </c>
      <c r="J456" t="s">
        <v>29</v>
      </c>
      <c r="K456" t="str">
        <f>IF(Table3[[#This Row],[Type Received]]=2,"CC",(IF(Table3[[#This Row],[Type Received]]=3,"BILL","ACH")))</f>
        <v>ACH</v>
      </c>
    </row>
    <row r="457" spans="1:11" x14ac:dyDescent="0.25">
      <c r="A457">
        <v>257944</v>
      </c>
      <c r="B457" s="3">
        <v>46169</v>
      </c>
      <c r="C457">
        <v>1</v>
      </c>
      <c r="D457">
        <v>97.15</v>
      </c>
      <c r="G457" s="4" t="s">
        <v>117</v>
      </c>
      <c r="H457">
        <v>840841199</v>
      </c>
      <c r="I457" t="s">
        <v>29</v>
      </c>
      <c r="J457" t="s">
        <v>29</v>
      </c>
      <c r="K457" t="str">
        <f>IF(Table3[[#This Row],[Type Received]]=2,"CC",(IF(Table3[[#This Row],[Type Received]]=3,"BILL","ACH")))</f>
        <v>ACH</v>
      </c>
    </row>
    <row r="458" spans="1:11" x14ac:dyDescent="0.25">
      <c r="A458">
        <v>257947</v>
      </c>
      <c r="B458" s="3">
        <v>46143</v>
      </c>
      <c r="C458">
        <v>1</v>
      </c>
      <c r="D458">
        <v>58.21</v>
      </c>
      <c r="G458" t="s">
        <v>84</v>
      </c>
      <c r="H458">
        <v>522223989</v>
      </c>
      <c r="I458" t="s">
        <v>29</v>
      </c>
      <c r="J458" t="s">
        <v>29</v>
      </c>
      <c r="K458" t="str">
        <f>IF(Table3[[#This Row],[Type Received]]=2,"CC",(IF(Table3[[#This Row],[Type Received]]=3,"BILL","ACH")))</f>
        <v>ACH</v>
      </c>
    </row>
    <row r="459" spans="1:11" x14ac:dyDescent="0.25">
      <c r="A459">
        <v>257950</v>
      </c>
      <c r="B459" s="3">
        <v>46169</v>
      </c>
      <c r="C459">
        <v>2</v>
      </c>
      <c r="D459">
        <v>174.7</v>
      </c>
      <c r="F459">
        <v>66188</v>
      </c>
      <c r="G459" t="s">
        <v>28</v>
      </c>
      <c r="H459">
        <v>840821794</v>
      </c>
      <c r="I459" t="s">
        <v>29</v>
      </c>
      <c r="K459" t="str">
        <f>IF(Table3[[#This Row],[Type Received]]=2,"CC",(IF(Table3[[#This Row],[Type Received]]=3,"BILL","ACH")))</f>
        <v>CC</v>
      </c>
    </row>
    <row r="460" spans="1:11" x14ac:dyDescent="0.25">
      <c r="A460">
        <v>257951</v>
      </c>
      <c r="B460" s="3">
        <v>46169</v>
      </c>
      <c r="C460">
        <v>1</v>
      </c>
      <c r="D460">
        <v>47.32</v>
      </c>
      <c r="G460" t="s">
        <v>117</v>
      </c>
      <c r="H460">
        <v>840826719</v>
      </c>
      <c r="I460" t="s">
        <v>29</v>
      </c>
      <c r="J460" t="s">
        <v>29</v>
      </c>
      <c r="K460" t="str">
        <f>IF(Table3[[#This Row],[Type Received]]=2,"CC",(IF(Table3[[#This Row],[Type Received]]=3,"BILL","ACH")))</f>
        <v>ACH</v>
      </c>
    </row>
    <row r="461" spans="1:11" x14ac:dyDescent="0.25">
      <c r="A461">
        <v>257954</v>
      </c>
      <c r="B461" s="3">
        <v>46169</v>
      </c>
      <c r="C461">
        <v>1</v>
      </c>
      <c r="D461">
        <v>26.97</v>
      </c>
      <c r="G461" t="s">
        <v>117</v>
      </c>
      <c r="H461">
        <v>840816067</v>
      </c>
      <c r="I461" t="s">
        <v>29</v>
      </c>
      <c r="K461" t="str">
        <f>IF(Table3[[#This Row],[Type Received]]=2,"CC",(IF(Table3[[#This Row],[Type Received]]=3,"BILL","ACH")))</f>
        <v>ACH</v>
      </c>
    </row>
    <row r="462" spans="1:11" x14ac:dyDescent="0.25">
      <c r="A462">
        <v>257955</v>
      </c>
      <c r="B462" s="3">
        <v>46169</v>
      </c>
      <c r="C462">
        <v>1</v>
      </c>
      <c r="D462">
        <v>40.83</v>
      </c>
      <c r="G462" t="s">
        <v>117</v>
      </c>
      <c r="H462">
        <v>840831595</v>
      </c>
      <c r="I462" t="s">
        <v>29</v>
      </c>
      <c r="J462" t="s">
        <v>29</v>
      </c>
      <c r="K462" t="str">
        <f>IF(Table3[[#This Row],[Type Received]]=2,"CC",(IF(Table3[[#This Row],[Type Received]]=3,"BILL","ACH")))</f>
        <v>ACH</v>
      </c>
    </row>
    <row r="463" spans="1:11" x14ac:dyDescent="0.25">
      <c r="A463">
        <v>257964</v>
      </c>
      <c r="B463" s="3">
        <v>46147</v>
      </c>
      <c r="C463">
        <v>3</v>
      </c>
      <c r="D463">
        <v>96.18</v>
      </c>
      <c r="E463">
        <v>2893</v>
      </c>
      <c r="G463" s="4"/>
      <c r="J463" t="s">
        <v>29</v>
      </c>
      <c r="K463" t="str">
        <f>IF(Table3[[#This Row],[Type Received]]=2,"CC",(IF(Table3[[#This Row],[Type Received]]=3,"BILL","ACH")))</f>
        <v>BILL</v>
      </c>
    </row>
    <row r="464" spans="1:11" x14ac:dyDescent="0.25">
      <c r="A464">
        <v>257958</v>
      </c>
      <c r="B464" s="3">
        <v>46145</v>
      </c>
      <c r="C464">
        <v>1</v>
      </c>
      <c r="D464">
        <v>166.45</v>
      </c>
      <c r="G464" t="s">
        <v>113</v>
      </c>
      <c r="H464">
        <v>546399847</v>
      </c>
      <c r="I464" t="s">
        <v>29</v>
      </c>
      <c r="J464" t="s">
        <v>29</v>
      </c>
      <c r="K464" t="str">
        <f>IF(Table3[[#This Row],[Type Received]]=2,"CC",(IF(Table3[[#This Row],[Type Received]]=3,"BILL","ACH")))</f>
        <v>ACH</v>
      </c>
    </row>
    <row r="465" spans="1:11" x14ac:dyDescent="0.25">
      <c r="A465">
        <v>257961</v>
      </c>
      <c r="B465" s="3">
        <v>46157</v>
      </c>
      <c r="C465">
        <v>2</v>
      </c>
      <c r="D465">
        <v>136.75</v>
      </c>
      <c r="F465">
        <v>96821</v>
      </c>
      <c r="G465" t="s">
        <v>28</v>
      </c>
      <c r="H465">
        <v>696633675</v>
      </c>
      <c r="I465" t="s">
        <v>29</v>
      </c>
      <c r="J465" t="s">
        <v>29</v>
      </c>
      <c r="K465" t="str">
        <f>IF(Table3[[#This Row],[Type Received]]=2,"CC",(IF(Table3[[#This Row],[Type Received]]=3,"BILL","ACH")))</f>
        <v>CC</v>
      </c>
    </row>
    <row r="466" spans="1:11" x14ac:dyDescent="0.25">
      <c r="A466">
        <v>257967</v>
      </c>
      <c r="B466" s="3">
        <v>46169</v>
      </c>
      <c r="C466">
        <v>1</v>
      </c>
      <c r="D466">
        <v>51.83</v>
      </c>
      <c r="G466" t="s">
        <v>117</v>
      </c>
      <c r="H466">
        <v>840822788</v>
      </c>
      <c r="I466" t="s">
        <v>29</v>
      </c>
      <c r="K466" t="str">
        <f>IF(Table3[[#This Row],[Type Received]]=2,"CC",(IF(Table3[[#This Row],[Type Received]]=3,"BILL","ACH")))</f>
        <v>ACH</v>
      </c>
    </row>
    <row r="467" spans="1:11" x14ac:dyDescent="0.25">
      <c r="A467">
        <v>257968</v>
      </c>
      <c r="B467" s="3">
        <v>46169</v>
      </c>
      <c r="C467">
        <v>1</v>
      </c>
      <c r="D467">
        <v>43.03</v>
      </c>
      <c r="G467" t="s">
        <v>117</v>
      </c>
      <c r="H467">
        <v>840817952</v>
      </c>
      <c r="I467" t="s">
        <v>29</v>
      </c>
      <c r="J467" t="s">
        <v>29</v>
      </c>
      <c r="K467" t="str">
        <f>IF(Table3[[#This Row],[Type Received]]=2,"CC",(IF(Table3[[#This Row],[Type Received]]=3,"BILL","ACH")))</f>
        <v>ACH</v>
      </c>
    </row>
    <row r="468" spans="1:11" x14ac:dyDescent="0.25">
      <c r="A468">
        <v>257980</v>
      </c>
      <c r="B468" s="3">
        <v>46145</v>
      </c>
      <c r="C468">
        <v>1</v>
      </c>
      <c r="D468">
        <v>67.45</v>
      </c>
      <c r="G468" t="s">
        <v>113</v>
      </c>
      <c r="H468">
        <v>546418352</v>
      </c>
      <c r="I468" t="s">
        <v>29</v>
      </c>
      <c r="J468" t="s">
        <v>29</v>
      </c>
      <c r="K468" t="str">
        <f>IF(Table3[[#This Row],[Type Received]]=2,"CC",(IF(Table3[[#This Row],[Type Received]]=3,"BILL","ACH")))</f>
        <v>ACH</v>
      </c>
    </row>
    <row r="469" spans="1:11" x14ac:dyDescent="0.25">
      <c r="A469">
        <v>257992</v>
      </c>
      <c r="B469" s="3">
        <v>46145</v>
      </c>
      <c r="C469">
        <v>1</v>
      </c>
      <c r="D469">
        <v>101.77</v>
      </c>
      <c r="G469" t="s">
        <v>113</v>
      </c>
      <c r="H469">
        <v>546396037</v>
      </c>
      <c r="I469" t="s">
        <v>29</v>
      </c>
      <c r="K469" t="str">
        <f>IF(Table3[[#This Row],[Type Received]]=2,"CC",(IF(Table3[[#This Row],[Type Received]]=3,"BILL","ACH")))</f>
        <v>ACH</v>
      </c>
    </row>
    <row r="470" spans="1:11" x14ac:dyDescent="0.25">
      <c r="A470">
        <v>257997</v>
      </c>
      <c r="B470" s="3">
        <v>46155</v>
      </c>
      <c r="C470">
        <v>2</v>
      </c>
      <c r="D470">
        <v>69.650000000000006</v>
      </c>
      <c r="F470" t="s">
        <v>121</v>
      </c>
      <c r="G470" s="4" t="s">
        <v>28</v>
      </c>
      <c r="H470">
        <v>669454213</v>
      </c>
      <c r="I470" t="s">
        <v>29</v>
      </c>
      <c r="J470" t="s">
        <v>29</v>
      </c>
      <c r="K470" t="str">
        <f>IF(Table3[[#This Row],[Type Received]]=2,"CC",(IF(Table3[[#This Row],[Type Received]]=3,"BILL","ACH")))</f>
        <v>CC</v>
      </c>
    </row>
    <row r="471" spans="1:11" x14ac:dyDescent="0.25">
      <c r="A471">
        <v>257999</v>
      </c>
      <c r="B471" s="3">
        <v>46145</v>
      </c>
      <c r="C471">
        <v>1</v>
      </c>
      <c r="D471">
        <v>52.93</v>
      </c>
      <c r="G471" t="s">
        <v>113</v>
      </c>
      <c r="H471">
        <v>546414498</v>
      </c>
      <c r="I471" t="s">
        <v>29</v>
      </c>
      <c r="J471" t="s">
        <v>29</v>
      </c>
      <c r="K471" t="str">
        <f>IF(Table3[[#This Row],[Type Received]]=2,"CC",(IF(Table3[[#This Row],[Type Received]]=3,"BILL","ACH")))</f>
        <v>ACH</v>
      </c>
    </row>
    <row r="472" spans="1:11" x14ac:dyDescent="0.25">
      <c r="A472">
        <v>258007</v>
      </c>
      <c r="B472" s="3">
        <v>46145</v>
      </c>
      <c r="C472">
        <v>2</v>
      </c>
      <c r="D472">
        <v>116.29</v>
      </c>
      <c r="F472">
        <v>530</v>
      </c>
      <c r="G472" t="s">
        <v>28</v>
      </c>
      <c r="H472">
        <v>546422555</v>
      </c>
      <c r="I472" t="s">
        <v>29</v>
      </c>
      <c r="J472" t="s">
        <v>29</v>
      </c>
      <c r="K472" t="str">
        <f>IF(Table3[[#This Row],[Type Received]]=2,"CC",(IF(Table3[[#This Row],[Type Received]]=3,"BILL","ACH")))</f>
        <v>CC</v>
      </c>
    </row>
    <row r="473" spans="1:11" x14ac:dyDescent="0.25">
      <c r="A473">
        <v>258009</v>
      </c>
      <c r="B473" s="3">
        <v>46169</v>
      </c>
      <c r="C473">
        <v>1</v>
      </c>
      <c r="D473">
        <v>29.5</v>
      </c>
      <c r="G473" t="s">
        <v>117</v>
      </c>
      <c r="H473">
        <v>840841313</v>
      </c>
      <c r="I473" t="s">
        <v>29</v>
      </c>
      <c r="J473" t="s">
        <v>29</v>
      </c>
      <c r="K473" t="str">
        <f>IF(Table3[[#This Row],[Type Received]]=2,"CC",(IF(Table3[[#This Row],[Type Received]]=3,"BILL","ACH")))</f>
        <v>ACH</v>
      </c>
    </row>
    <row r="474" spans="1:11" x14ac:dyDescent="0.25">
      <c r="A474">
        <v>258011</v>
      </c>
      <c r="B474" s="3">
        <v>46157</v>
      </c>
      <c r="C474">
        <v>1</v>
      </c>
      <c r="D474">
        <v>80.319999999999993</v>
      </c>
      <c r="G474" t="s">
        <v>87</v>
      </c>
      <c r="H474">
        <v>696652812</v>
      </c>
      <c r="I474" t="s">
        <v>29</v>
      </c>
      <c r="J474" t="s">
        <v>29</v>
      </c>
      <c r="K474" t="str">
        <f>IF(Table3[[#This Row],[Type Received]]=2,"CC",(IF(Table3[[#This Row],[Type Received]]=3,"BILL","ACH")))</f>
        <v>ACH</v>
      </c>
    </row>
    <row r="475" spans="1:11" x14ac:dyDescent="0.25">
      <c r="A475">
        <v>258012</v>
      </c>
      <c r="B475" s="3">
        <v>46160</v>
      </c>
      <c r="C475">
        <v>2</v>
      </c>
      <c r="D475">
        <v>95.85</v>
      </c>
      <c r="F475">
        <v>56604</v>
      </c>
      <c r="G475" t="s">
        <v>28</v>
      </c>
      <c r="H475">
        <v>738891833</v>
      </c>
      <c r="I475" t="s">
        <v>29</v>
      </c>
      <c r="J475" t="s">
        <v>29</v>
      </c>
      <c r="K475" t="str">
        <f>IF(Table3[[#This Row],[Type Received]]=2,"CC",(IF(Table3[[#This Row],[Type Received]]=3,"BILL","ACH")))</f>
        <v>CC</v>
      </c>
    </row>
    <row r="476" spans="1:11" x14ac:dyDescent="0.25">
      <c r="A476">
        <v>258016</v>
      </c>
      <c r="B476" s="3">
        <v>46155</v>
      </c>
      <c r="C476">
        <v>2</v>
      </c>
      <c r="D476">
        <v>35.11</v>
      </c>
      <c r="F476" t="s">
        <v>122</v>
      </c>
      <c r="G476" s="4" t="s">
        <v>28</v>
      </c>
      <c r="H476">
        <v>669441810</v>
      </c>
      <c r="I476" t="s">
        <v>29</v>
      </c>
      <c r="J476" t="s">
        <v>29</v>
      </c>
      <c r="K476" t="str">
        <f>IF(Table3[[#This Row],[Type Received]]=2,"CC",(IF(Table3[[#This Row],[Type Received]]=3,"BILL","ACH")))</f>
        <v>CC</v>
      </c>
    </row>
    <row r="477" spans="1:11" x14ac:dyDescent="0.25">
      <c r="A477">
        <v>258018</v>
      </c>
      <c r="B477" s="3">
        <v>46145</v>
      </c>
      <c r="C477">
        <v>1</v>
      </c>
      <c r="D477">
        <v>83.95</v>
      </c>
      <c r="G477" t="s">
        <v>113</v>
      </c>
      <c r="H477">
        <v>546411526</v>
      </c>
      <c r="I477" t="s">
        <v>29</v>
      </c>
      <c r="K477" t="str">
        <f>IF(Table3[[#This Row],[Type Received]]=2,"CC",(IF(Table3[[#This Row],[Type Received]]=3,"BILL","ACH")))</f>
        <v>ACH</v>
      </c>
    </row>
    <row r="478" spans="1:11" x14ac:dyDescent="0.25">
      <c r="A478">
        <v>258021</v>
      </c>
      <c r="B478" s="3">
        <v>46145</v>
      </c>
      <c r="C478">
        <v>1</v>
      </c>
      <c r="D478">
        <v>46.55</v>
      </c>
      <c r="G478" t="s">
        <v>113</v>
      </c>
      <c r="H478">
        <v>546410544</v>
      </c>
      <c r="I478" t="s">
        <v>29</v>
      </c>
      <c r="K478" t="str">
        <f>IF(Table3[[#This Row],[Type Received]]=2,"CC",(IF(Table3[[#This Row],[Type Received]]=3,"BILL","ACH")))</f>
        <v>ACH</v>
      </c>
    </row>
    <row r="479" spans="1:11" x14ac:dyDescent="0.25">
      <c r="A479">
        <v>258022</v>
      </c>
      <c r="B479" s="3">
        <v>46157</v>
      </c>
      <c r="C479">
        <v>1</v>
      </c>
      <c r="D479">
        <v>58.54</v>
      </c>
      <c r="G479" t="s">
        <v>87</v>
      </c>
      <c r="H479">
        <v>696627821</v>
      </c>
      <c r="I479" t="s">
        <v>29</v>
      </c>
      <c r="J479" t="s">
        <v>29</v>
      </c>
      <c r="K479" t="str">
        <f>IF(Table3[[#This Row],[Type Received]]=2,"CC",(IF(Table3[[#This Row],[Type Received]]=3,"BILL","ACH")))</f>
        <v>ACH</v>
      </c>
    </row>
    <row r="480" spans="1:11" x14ac:dyDescent="0.25">
      <c r="A480">
        <v>258023</v>
      </c>
      <c r="B480" s="3">
        <v>46157</v>
      </c>
      <c r="C480">
        <v>1</v>
      </c>
      <c r="D480">
        <v>119.81</v>
      </c>
      <c r="G480" s="4" t="s">
        <v>87</v>
      </c>
      <c r="H480">
        <v>696648245</v>
      </c>
      <c r="I480" t="s">
        <v>29</v>
      </c>
      <c r="J480" t="s">
        <v>29</v>
      </c>
      <c r="K480" t="str">
        <f>IF(Table3[[#This Row],[Type Received]]=2,"CC",(IF(Table3[[#This Row],[Type Received]]=3,"BILL","ACH")))</f>
        <v>ACH</v>
      </c>
    </row>
    <row r="481" spans="1:11" x14ac:dyDescent="0.25">
      <c r="A481">
        <v>258026</v>
      </c>
      <c r="B481" s="3">
        <v>46157</v>
      </c>
      <c r="C481">
        <v>1</v>
      </c>
      <c r="D481">
        <v>39.729999999999997</v>
      </c>
      <c r="G481" s="4" t="s">
        <v>87</v>
      </c>
      <c r="H481">
        <v>696647243</v>
      </c>
      <c r="I481" t="s">
        <v>29</v>
      </c>
      <c r="K481" t="str">
        <f>IF(Table3[[#This Row],[Type Received]]=2,"CC",(IF(Table3[[#This Row],[Type Received]]=3,"BILL","ACH")))</f>
        <v>ACH</v>
      </c>
    </row>
    <row r="482" spans="1:11" x14ac:dyDescent="0.25">
      <c r="A482">
        <v>258028</v>
      </c>
      <c r="B482" s="3">
        <v>46169</v>
      </c>
      <c r="C482">
        <v>1</v>
      </c>
      <c r="D482">
        <v>126.85</v>
      </c>
      <c r="G482" t="s">
        <v>117</v>
      </c>
      <c r="H482">
        <v>840828721</v>
      </c>
      <c r="I482" t="s">
        <v>29</v>
      </c>
      <c r="J482" t="s">
        <v>29</v>
      </c>
      <c r="K482" t="str">
        <f>IF(Table3[[#This Row],[Type Received]]=2,"CC",(IF(Table3[[#This Row],[Type Received]]=3,"BILL","ACH")))</f>
        <v>ACH</v>
      </c>
    </row>
    <row r="483" spans="1:11" x14ac:dyDescent="0.25">
      <c r="A483">
        <v>258043</v>
      </c>
      <c r="B483" s="3">
        <v>46153</v>
      </c>
      <c r="C483">
        <v>3</v>
      </c>
      <c r="D483">
        <v>91.45</v>
      </c>
      <c r="E483">
        <v>379</v>
      </c>
      <c r="J483" t="s">
        <v>29</v>
      </c>
      <c r="K483" t="str">
        <f>IF(Table3[[#This Row],[Type Received]]=2,"CC",(IF(Table3[[#This Row],[Type Received]]=3,"BILL","ACH")))</f>
        <v>BILL</v>
      </c>
    </row>
    <row r="484" spans="1:11" x14ac:dyDescent="0.25">
      <c r="A484">
        <v>258052</v>
      </c>
      <c r="B484" s="3">
        <v>46153</v>
      </c>
      <c r="C484">
        <v>1</v>
      </c>
      <c r="D484">
        <v>73.61</v>
      </c>
      <c r="G484" t="s">
        <v>123</v>
      </c>
      <c r="H484">
        <v>644692116</v>
      </c>
      <c r="I484" t="s">
        <v>29</v>
      </c>
      <c r="J484" t="s">
        <v>29</v>
      </c>
      <c r="K484" t="str">
        <f>IF(Table3[[#This Row],[Type Received]]=2,"CC",(IF(Table3[[#This Row],[Type Received]]=3,"BILL","ACH")))</f>
        <v>ACH</v>
      </c>
    </row>
    <row r="485" spans="1:11" x14ac:dyDescent="0.25">
      <c r="A485">
        <v>258057</v>
      </c>
      <c r="B485" s="3">
        <v>46163</v>
      </c>
      <c r="C485">
        <v>3</v>
      </c>
      <c r="D485">
        <v>46.35</v>
      </c>
      <c r="E485">
        <v>58831038</v>
      </c>
      <c r="J485" t="s">
        <v>29</v>
      </c>
      <c r="K485" t="str">
        <f>IF(Table3[[#This Row],[Type Received]]=2,"CC",(IF(Table3[[#This Row],[Type Received]]=3,"BILL","ACH")))</f>
        <v>BILL</v>
      </c>
    </row>
    <row r="486" spans="1:11" x14ac:dyDescent="0.25">
      <c r="A486">
        <v>258060</v>
      </c>
      <c r="B486" s="3">
        <v>46157</v>
      </c>
      <c r="C486">
        <v>1</v>
      </c>
      <c r="D486">
        <v>32.25</v>
      </c>
      <c r="G486" t="s">
        <v>87</v>
      </c>
      <c r="H486">
        <v>696645329</v>
      </c>
      <c r="I486" t="s">
        <v>29</v>
      </c>
      <c r="J486" t="s">
        <v>29</v>
      </c>
      <c r="K486" t="str">
        <f>IF(Table3[[#This Row],[Type Received]]=2,"CC",(IF(Table3[[#This Row],[Type Received]]=3,"BILL","ACH")))</f>
        <v>ACH</v>
      </c>
    </row>
    <row r="487" spans="1:11" x14ac:dyDescent="0.25">
      <c r="A487">
        <v>258061</v>
      </c>
      <c r="B487" s="3">
        <v>46157</v>
      </c>
      <c r="C487">
        <v>1</v>
      </c>
      <c r="D487">
        <v>34.450000000000003</v>
      </c>
      <c r="G487" t="s">
        <v>87</v>
      </c>
      <c r="H487">
        <v>696641526</v>
      </c>
      <c r="I487" t="s">
        <v>29</v>
      </c>
      <c r="J487" t="s">
        <v>29</v>
      </c>
      <c r="K487" t="str">
        <f>IF(Table3[[#This Row],[Type Received]]=2,"CC",(IF(Table3[[#This Row],[Type Received]]=3,"BILL","ACH")))</f>
        <v>ACH</v>
      </c>
    </row>
    <row r="488" spans="1:11" x14ac:dyDescent="0.25">
      <c r="A488">
        <v>258062</v>
      </c>
      <c r="B488" s="3">
        <v>46169</v>
      </c>
      <c r="C488">
        <v>2</v>
      </c>
      <c r="D488">
        <v>95.5</v>
      </c>
      <c r="F488" t="s">
        <v>124</v>
      </c>
      <c r="G488" t="s">
        <v>28</v>
      </c>
      <c r="H488">
        <v>840827780</v>
      </c>
      <c r="I488" t="s">
        <v>29</v>
      </c>
      <c r="J488" t="s">
        <v>29</v>
      </c>
      <c r="K488" t="str">
        <f>IF(Table3[[#This Row],[Type Received]]=2,"CC",(IF(Table3[[#This Row],[Type Received]]=3,"BILL","ACH")))</f>
        <v>CC</v>
      </c>
    </row>
    <row r="489" spans="1:11" x14ac:dyDescent="0.25">
      <c r="A489">
        <v>258063</v>
      </c>
      <c r="B489" s="3">
        <v>46169</v>
      </c>
      <c r="C489">
        <v>1</v>
      </c>
      <c r="D489">
        <v>37.090000000000003</v>
      </c>
      <c r="G489" t="s">
        <v>117</v>
      </c>
      <c r="H489">
        <v>840822861</v>
      </c>
      <c r="I489" t="s">
        <v>29</v>
      </c>
      <c r="K489" t="str">
        <f>IF(Table3[[#This Row],[Type Received]]=2,"CC",(IF(Table3[[#This Row],[Type Received]]=3,"BILL","ACH")))</f>
        <v>ACH</v>
      </c>
    </row>
    <row r="490" spans="1:11" x14ac:dyDescent="0.25">
      <c r="A490">
        <v>258067</v>
      </c>
      <c r="B490" s="3">
        <v>46143</v>
      </c>
      <c r="C490">
        <v>3</v>
      </c>
      <c r="D490">
        <v>132.1</v>
      </c>
      <c r="E490">
        <v>6296</v>
      </c>
      <c r="K490" t="str">
        <f>IF(Table3[[#This Row],[Type Received]]=2,"CC",(IF(Table3[[#This Row],[Type Received]]=3,"BILL","ACH")))</f>
        <v>BILL</v>
      </c>
    </row>
    <row r="491" spans="1:11" x14ac:dyDescent="0.25">
      <c r="A491">
        <v>258070</v>
      </c>
      <c r="B491" s="3">
        <v>46144</v>
      </c>
      <c r="C491">
        <v>2</v>
      </c>
      <c r="D491">
        <v>98.16</v>
      </c>
      <c r="F491" t="s">
        <v>125</v>
      </c>
      <c r="G491">
        <v>741651752</v>
      </c>
      <c r="H491">
        <v>353227033</v>
      </c>
      <c r="J491" t="s">
        <v>29</v>
      </c>
      <c r="K491" t="str">
        <f>IF(Table3[[#This Row],[Type Received]]=2,"CC",(IF(Table3[[#This Row],[Type Received]]=3,"BILL","ACH")))</f>
        <v>CC</v>
      </c>
    </row>
    <row r="492" spans="1:11" x14ac:dyDescent="0.25">
      <c r="A492">
        <v>258076</v>
      </c>
      <c r="B492" s="3">
        <v>46167</v>
      </c>
      <c r="C492">
        <v>1</v>
      </c>
      <c r="D492">
        <v>66.569999999999993</v>
      </c>
      <c r="G492" t="s">
        <v>85</v>
      </c>
      <c r="H492">
        <v>818315804</v>
      </c>
      <c r="I492" t="s">
        <v>29</v>
      </c>
      <c r="K492" t="str">
        <f>IF(Table3[[#This Row],[Type Received]]=2,"CC",(IF(Table3[[#This Row],[Type Received]]=3,"BILL","ACH")))</f>
        <v>ACH</v>
      </c>
    </row>
    <row r="493" spans="1:11" x14ac:dyDescent="0.25">
      <c r="A493">
        <v>258077</v>
      </c>
      <c r="B493" s="3">
        <v>46145</v>
      </c>
      <c r="C493">
        <v>1</v>
      </c>
      <c r="D493">
        <v>135.1</v>
      </c>
      <c r="G493" t="s">
        <v>113</v>
      </c>
      <c r="H493">
        <v>546400891</v>
      </c>
      <c r="I493" t="s">
        <v>29</v>
      </c>
      <c r="K493" t="str">
        <f>IF(Table3[[#This Row],[Type Received]]=2,"CC",(IF(Table3[[#This Row],[Type Received]]=3,"BILL","ACH")))</f>
        <v>ACH</v>
      </c>
    </row>
    <row r="494" spans="1:11" x14ac:dyDescent="0.25">
      <c r="A494">
        <v>258082</v>
      </c>
      <c r="B494" s="3">
        <v>46168</v>
      </c>
      <c r="C494">
        <v>3</v>
      </c>
      <c r="D494">
        <v>60.9</v>
      </c>
      <c r="E494">
        <v>4889</v>
      </c>
      <c r="J494" t="s">
        <v>29</v>
      </c>
      <c r="K494" t="str">
        <f>IF(Table3[[#This Row],[Type Received]]=2,"CC",(IF(Table3[[#This Row],[Type Received]]=3,"BILL","ACH")))</f>
        <v>BILL</v>
      </c>
    </row>
    <row r="495" spans="1:11" x14ac:dyDescent="0.25">
      <c r="A495">
        <v>258085</v>
      </c>
      <c r="B495" s="3">
        <v>46167</v>
      </c>
      <c r="C495">
        <v>1</v>
      </c>
      <c r="D495">
        <v>54.25</v>
      </c>
      <c r="G495" t="s">
        <v>85</v>
      </c>
      <c r="H495">
        <v>818311905</v>
      </c>
      <c r="I495" t="s">
        <v>29</v>
      </c>
      <c r="J495" t="s">
        <v>29</v>
      </c>
      <c r="K495" t="str">
        <f>IF(Table3[[#This Row],[Type Received]]=2,"CC",(IF(Table3[[#This Row],[Type Received]]=3,"BILL","ACH")))</f>
        <v>ACH</v>
      </c>
    </row>
    <row r="496" spans="1:11" x14ac:dyDescent="0.25">
      <c r="A496">
        <v>258086</v>
      </c>
      <c r="B496" s="3">
        <v>46167</v>
      </c>
      <c r="C496">
        <v>1</v>
      </c>
      <c r="D496">
        <v>100.45</v>
      </c>
      <c r="G496" s="4" t="s">
        <v>85</v>
      </c>
      <c r="H496">
        <v>818318738</v>
      </c>
      <c r="I496" t="s">
        <v>29</v>
      </c>
      <c r="K496" t="str">
        <f>IF(Table3[[#This Row],[Type Received]]=2,"CC",(IF(Table3[[#This Row],[Type Received]]=3,"BILL","ACH")))</f>
        <v>ACH</v>
      </c>
    </row>
    <row r="497" spans="1:11" x14ac:dyDescent="0.25">
      <c r="A497">
        <v>258087</v>
      </c>
      <c r="B497" s="3">
        <v>46169</v>
      </c>
      <c r="C497">
        <v>1</v>
      </c>
      <c r="D497">
        <v>50.29</v>
      </c>
      <c r="G497" s="4" t="s">
        <v>117</v>
      </c>
      <c r="H497">
        <v>840828085</v>
      </c>
      <c r="I497" t="s">
        <v>29</v>
      </c>
      <c r="J497" t="s">
        <v>29</v>
      </c>
      <c r="K497" t="str">
        <f>IF(Table3[[#This Row],[Type Received]]=2,"CC",(IF(Table3[[#This Row],[Type Received]]=3,"BILL","ACH")))</f>
        <v>ACH</v>
      </c>
    </row>
    <row r="498" spans="1:11" x14ac:dyDescent="0.25">
      <c r="A498">
        <v>258088</v>
      </c>
      <c r="B498" s="3">
        <v>46145</v>
      </c>
      <c r="C498">
        <v>1</v>
      </c>
      <c r="D498">
        <v>125.2</v>
      </c>
      <c r="G498" t="s">
        <v>113</v>
      </c>
      <c r="H498">
        <v>546423174</v>
      </c>
      <c r="I498" t="s">
        <v>29</v>
      </c>
      <c r="J498" t="s">
        <v>29</v>
      </c>
      <c r="K498" t="str">
        <f>IF(Table3[[#This Row],[Type Received]]=2,"CC",(IF(Table3[[#This Row],[Type Received]]=3,"BILL","ACH")))</f>
        <v>ACH</v>
      </c>
    </row>
    <row r="499" spans="1:11" x14ac:dyDescent="0.25">
      <c r="A499">
        <v>258091</v>
      </c>
      <c r="B499" s="3">
        <v>46157</v>
      </c>
      <c r="C499">
        <v>1</v>
      </c>
      <c r="D499">
        <v>54.91</v>
      </c>
      <c r="G499" t="s">
        <v>87</v>
      </c>
      <c r="H499">
        <v>696626018</v>
      </c>
      <c r="I499" t="s">
        <v>29</v>
      </c>
      <c r="J499" t="s">
        <v>29</v>
      </c>
      <c r="K499" t="str">
        <f>IF(Table3[[#This Row],[Type Received]]=2,"CC",(IF(Table3[[#This Row],[Type Received]]=3,"BILL","ACH")))</f>
        <v>ACH</v>
      </c>
    </row>
    <row r="500" spans="1:11" x14ac:dyDescent="0.25">
      <c r="A500">
        <v>258093</v>
      </c>
      <c r="B500" s="3">
        <v>46157</v>
      </c>
      <c r="C500">
        <v>1</v>
      </c>
      <c r="D500">
        <v>41.71</v>
      </c>
      <c r="G500" t="s">
        <v>87</v>
      </c>
      <c r="H500">
        <v>696627926</v>
      </c>
      <c r="I500" t="s">
        <v>29</v>
      </c>
      <c r="J500" t="s">
        <v>29</v>
      </c>
      <c r="K500" t="str">
        <f>IF(Table3[[#This Row],[Type Received]]=2,"CC",(IF(Table3[[#This Row],[Type Received]]=3,"BILL","ACH")))</f>
        <v>ACH</v>
      </c>
    </row>
    <row r="501" spans="1:11" x14ac:dyDescent="0.25">
      <c r="A501">
        <v>258095</v>
      </c>
      <c r="B501" s="3">
        <v>46157</v>
      </c>
      <c r="C501">
        <v>1</v>
      </c>
      <c r="D501">
        <v>81.75</v>
      </c>
      <c r="G501" t="s">
        <v>87</v>
      </c>
      <c r="H501">
        <v>696628917</v>
      </c>
      <c r="I501" t="s">
        <v>29</v>
      </c>
      <c r="J501" t="s">
        <v>29</v>
      </c>
      <c r="K501" t="str">
        <f>IF(Table3[[#This Row],[Type Received]]=2,"CC",(IF(Table3[[#This Row],[Type Received]]=3,"BILL","ACH")))</f>
        <v>ACH</v>
      </c>
    </row>
    <row r="502" spans="1:11" x14ac:dyDescent="0.25">
      <c r="A502">
        <v>258096</v>
      </c>
      <c r="B502" s="3">
        <v>46145</v>
      </c>
      <c r="C502">
        <v>1</v>
      </c>
      <c r="D502">
        <v>46.55</v>
      </c>
      <c r="G502" t="s">
        <v>113</v>
      </c>
      <c r="H502">
        <v>546424120</v>
      </c>
      <c r="I502" t="s">
        <v>29</v>
      </c>
      <c r="J502" t="s">
        <v>29</v>
      </c>
      <c r="K502" t="str">
        <f>IF(Table3[[#This Row],[Type Received]]=2,"CC",(IF(Table3[[#This Row],[Type Received]]=3,"BILL","ACH")))</f>
        <v>ACH</v>
      </c>
    </row>
    <row r="503" spans="1:11" x14ac:dyDescent="0.25">
      <c r="A503">
        <v>258102</v>
      </c>
      <c r="B503" s="3">
        <v>46148</v>
      </c>
      <c r="C503">
        <v>1</v>
      </c>
      <c r="D503">
        <v>107.18</v>
      </c>
      <c r="G503" t="s">
        <v>126</v>
      </c>
      <c r="H503">
        <v>584949221</v>
      </c>
      <c r="I503" t="s">
        <v>29</v>
      </c>
      <c r="J503" t="s">
        <v>29</v>
      </c>
      <c r="K503" t="str">
        <f>IF(Table3[[#This Row],[Type Received]]=2,"CC",(IF(Table3[[#This Row],[Type Received]]=3,"BILL","ACH")))</f>
        <v>ACH</v>
      </c>
    </row>
    <row r="504" spans="1:11" x14ac:dyDescent="0.25">
      <c r="A504">
        <v>258104</v>
      </c>
      <c r="B504" s="3">
        <v>46146</v>
      </c>
      <c r="C504">
        <v>3</v>
      </c>
      <c r="D504">
        <v>34.69</v>
      </c>
      <c r="E504">
        <v>4281</v>
      </c>
      <c r="J504" t="s">
        <v>29</v>
      </c>
      <c r="K504" t="str">
        <f>IF(Table3[[#This Row],[Type Received]]=2,"CC",(IF(Table3[[#This Row],[Type Received]]=3,"BILL","ACH")))</f>
        <v>BILL</v>
      </c>
    </row>
    <row r="505" spans="1:11" x14ac:dyDescent="0.25">
      <c r="A505">
        <v>258133</v>
      </c>
      <c r="B505" s="3">
        <v>46157</v>
      </c>
      <c r="C505">
        <v>1</v>
      </c>
      <c r="D505">
        <v>154.24</v>
      </c>
      <c r="G505" t="s">
        <v>87</v>
      </c>
      <c r="H505">
        <v>696654191</v>
      </c>
      <c r="I505" t="s">
        <v>29</v>
      </c>
      <c r="K505" t="str">
        <f>IF(Table3[[#This Row],[Type Received]]=2,"CC",(IF(Table3[[#This Row],[Type Received]]=3,"BILL","ACH")))</f>
        <v>ACH</v>
      </c>
    </row>
    <row r="506" spans="1:11" x14ac:dyDescent="0.25">
      <c r="A506">
        <v>258139</v>
      </c>
      <c r="B506" s="3">
        <v>46145</v>
      </c>
      <c r="C506">
        <v>1</v>
      </c>
      <c r="D506">
        <v>137.74</v>
      </c>
      <c r="G506" t="s">
        <v>113</v>
      </c>
      <c r="H506">
        <v>546411572</v>
      </c>
      <c r="I506" t="s">
        <v>29</v>
      </c>
      <c r="J506" t="s">
        <v>29</v>
      </c>
      <c r="K506" t="str">
        <f>IF(Table3[[#This Row],[Type Received]]=2,"CC",(IF(Table3[[#This Row],[Type Received]]=3,"BILL","ACH")))</f>
        <v>ACH</v>
      </c>
    </row>
    <row r="507" spans="1:11" x14ac:dyDescent="0.25">
      <c r="A507">
        <v>258144</v>
      </c>
      <c r="B507" s="3">
        <v>46147</v>
      </c>
      <c r="C507">
        <v>3</v>
      </c>
      <c r="D507">
        <v>34.799999999999997</v>
      </c>
      <c r="E507">
        <v>4426510590</v>
      </c>
      <c r="J507" t="s">
        <v>29</v>
      </c>
      <c r="K507" t="str">
        <f>IF(Table3[[#This Row],[Type Received]]=2,"CC",(IF(Table3[[#This Row],[Type Received]]=3,"BILL","ACH")))</f>
        <v>BILL</v>
      </c>
    </row>
    <row r="508" spans="1:11" x14ac:dyDescent="0.25">
      <c r="A508">
        <v>258149</v>
      </c>
      <c r="B508" s="3">
        <v>46147</v>
      </c>
      <c r="C508">
        <v>1</v>
      </c>
      <c r="D508">
        <v>127.29</v>
      </c>
      <c r="G508" t="s">
        <v>86</v>
      </c>
      <c r="H508">
        <v>569462088</v>
      </c>
      <c r="I508" t="s">
        <v>29</v>
      </c>
      <c r="J508" t="s">
        <v>29</v>
      </c>
      <c r="K508" t="str">
        <f>IF(Table3[[#This Row],[Type Received]]=2,"CC",(IF(Table3[[#This Row],[Type Received]]=3,"BILL","ACH")))</f>
        <v>ACH</v>
      </c>
    </row>
    <row r="509" spans="1:11" x14ac:dyDescent="0.25">
      <c r="A509">
        <v>258150</v>
      </c>
      <c r="B509" s="3">
        <v>46149</v>
      </c>
      <c r="C509">
        <v>3</v>
      </c>
      <c r="D509">
        <v>63.1</v>
      </c>
      <c r="E509">
        <v>2368</v>
      </c>
      <c r="G509" s="4"/>
      <c r="J509" t="s">
        <v>29</v>
      </c>
      <c r="K509" t="str">
        <f>IF(Table3[[#This Row],[Type Received]]=2,"CC",(IF(Table3[[#This Row],[Type Received]]=3,"BILL","ACH")))</f>
        <v>BILL</v>
      </c>
    </row>
    <row r="510" spans="1:11" x14ac:dyDescent="0.25">
      <c r="A510">
        <v>258158</v>
      </c>
      <c r="B510" s="3">
        <v>46157</v>
      </c>
      <c r="C510">
        <v>1</v>
      </c>
      <c r="D510">
        <v>58.54</v>
      </c>
      <c r="G510" t="s">
        <v>87</v>
      </c>
      <c r="H510">
        <v>696643428</v>
      </c>
      <c r="I510" t="s">
        <v>29</v>
      </c>
      <c r="K510" t="str">
        <f>IF(Table3[[#This Row],[Type Received]]=2,"CC",(IF(Table3[[#This Row],[Type Received]]=3,"BILL","ACH")))</f>
        <v>ACH</v>
      </c>
    </row>
    <row r="511" spans="1:11" x14ac:dyDescent="0.25">
      <c r="A511">
        <v>258161</v>
      </c>
      <c r="B511" s="3">
        <v>46145</v>
      </c>
      <c r="C511">
        <v>1</v>
      </c>
      <c r="D511">
        <v>89.23</v>
      </c>
      <c r="G511" t="s">
        <v>113</v>
      </c>
      <c r="H511">
        <v>546417445</v>
      </c>
      <c r="I511" t="s">
        <v>29</v>
      </c>
      <c r="J511" t="s">
        <v>29</v>
      </c>
      <c r="K511" t="str">
        <f>IF(Table3[[#This Row],[Type Received]]=2,"CC",(IF(Table3[[#This Row],[Type Received]]=3,"BILL","ACH")))</f>
        <v>ACH</v>
      </c>
    </row>
    <row r="512" spans="1:11" x14ac:dyDescent="0.25">
      <c r="A512">
        <v>258162</v>
      </c>
      <c r="B512" s="3">
        <v>46145</v>
      </c>
      <c r="C512">
        <v>1</v>
      </c>
      <c r="D512">
        <v>58.54</v>
      </c>
      <c r="G512" t="s">
        <v>113</v>
      </c>
      <c r="H512">
        <v>546421287</v>
      </c>
      <c r="I512" t="s">
        <v>29</v>
      </c>
      <c r="J512" t="s">
        <v>29</v>
      </c>
      <c r="K512" t="str">
        <f>IF(Table3[[#This Row],[Type Received]]=2,"CC",(IF(Table3[[#This Row],[Type Received]]=3,"BILL","ACH")))</f>
        <v>ACH</v>
      </c>
    </row>
    <row r="513" spans="1:11" x14ac:dyDescent="0.25">
      <c r="A513">
        <v>258163</v>
      </c>
      <c r="B513" s="3">
        <v>46145</v>
      </c>
      <c r="C513">
        <v>1</v>
      </c>
      <c r="D513">
        <v>54.25</v>
      </c>
      <c r="G513" t="s">
        <v>113</v>
      </c>
      <c r="H513">
        <v>546405753</v>
      </c>
      <c r="I513" t="s">
        <v>29</v>
      </c>
      <c r="K513" t="str">
        <f>IF(Table3[[#This Row],[Type Received]]=2,"CC",(IF(Table3[[#This Row],[Type Received]]=3,"BILL","ACH")))</f>
        <v>ACH</v>
      </c>
    </row>
    <row r="514" spans="1:11" x14ac:dyDescent="0.25">
      <c r="A514">
        <v>258175</v>
      </c>
      <c r="B514" s="3">
        <v>46155</v>
      </c>
      <c r="C514">
        <v>2</v>
      </c>
      <c r="D514">
        <v>116.95</v>
      </c>
      <c r="F514">
        <v>172037</v>
      </c>
      <c r="G514" t="s">
        <v>28</v>
      </c>
      <c r="H514">
        <v>669433038</v>
      </c>
      <c r="I514" t="s">
        <v>29</v>
      </c>
      <c r="J514" t="s">
        <v>29</v>
      </c>
      <c r="K514" t="str">
        <f>IF(Table3[[#This Row],[Type Received]]=2,"CC",(IF(Table3[[#This Row],[Type Received]]=3,"BILL","ACH")))</f>
        <v>CC</v>
      </c>
    </row>
    <row r="515" spans="1:11" x14ac:dyDescent="0.25">
      <c r="A515">
        <v>258177</v>
      </c>
      <c r="B515" s="3">
        <v>46163</v>
      </c>
      <c r="C515">
        <v>2</v>
      </c>
      <c r="D515">
        <v>138.56</v>
      </c>
      <c r="F515">
        <v>728791</v>
      </c>
      <c r="G515">
        <v>747461115</v>
      </c>
      <c r="H515">
        <v>355334537</v>
      </c>
      <c r="K515" t="str">
        <f>IF(Table3[[#This Row],[Type Received]]=2,"CC",(IF(Table3[[#This Row],[Type Received]]=3,"BILL","ACH")))</f>
        <v>CC</v>
      </c>
    </row>
    <row r="516" spans="1:11" x14ac:dyDescent="0.25">
      <c r="A516">
        <v>258180</v>
      </c>
      <c r="B516" s="3">
        <v>46157</v>
      </c>
      <c r="C516">
        <v>2</v>
      </c>
      <c r="D516">
        <v>65.91</v>
      </c>
      <c r="F516">
        <v>51945</v>
      </c>
      <c r="G516" t="s">
        <v>28</v>
      </c>
      <c r="H516">
        <v>696680164</v>
      </c>
      <c r="I516" t="s">
        <v>29</v>
      </c>
      <c r="J516" t="s">
        <v>29</v>
      </c>
      <c r="K516" t="str">
        <f>IF(Table3[[#This Row],[Type Received]]=2,"CC",(IF(Table3[[#This Row],[Type Received]]=3,"BILL","ACH")))</f>
        <v>CC</v>
      </c>
    </row>
    <row r="517" spans="1:11" x14ac:dyDescent="0.25">
      <c r="A517">
        <v>258181</v>
      </c>
      <c r="B517" s="3">
        <v>46155</v>
      </c>
      <c r="C517">
        <v>2</v>
      </c>
      <c r="D517">
        <v>61.95</v>
      </c>
      <c r="F517">
        <v>903110</v>
      </c>
      <c r="G517" t="s">
        <v>28</v>
      </c>
      <c r="H517">
        <v>669449388</v>
      </c>
      <c r="I517" t="s">
        <v>29</v>
      </c>
      <c r="K517" t="str">
        <f>IF(Table3[[#This Row],[Type Received]]=2,"CC",(IF(Table3[[#This Row],[Type Received]]=3,"BILL","ACH")))</f>
        <v>CC</v>
      </c>
    </row>
    <row r="518" spans="1:11" x14ac:dyDescent="0.25">
      <c r="A518">
        <v>258183</v>
      </c>
      <c r="B518" s="3">
        <v>46157</v>
      </c>
      <c r="C518">
        <v>1</v>
      </c>
      <c r="D518">
        <v>69.760000000000005</v>
      </c>
      <c r="G518" t="s">
        <v>87</v>
      </c>
      <c r="H518">
        <v>696648386</v>
      </c>
      <c r="I518" t="s">
        <v>29</v>
      </c>
      <c r="K518" t="str">
        <f>IF(Table3[[#This Row],[Type Received]]=2,"CC",(IF(Table3[[#This Row],[Type Received]]=3,"BILL","ACH")))</f>
        <v>ACH</v>
      </c>
    </row>
    <row r="519" spans="1:11" x14ac:dyDescent="0.25">
      <c r="A519">
        <v>258185</v>
      </c>
      <c r="B519" s="3">
        <v>46145</v>
      </c>
      <c r="C519">
        <v>1</v>
      </c>
      <c r="D519">
        <v>50.95</v>
      </c>
      <c r="G519" t="s">
        <v>113</v>
      </c>
      <c r="H519">
        <v>546413561</v>
      </c>
      <c r="I519" t="s">
        <v>29</v>
      </c>
      <c r="K519" t="str">
        <f>IF(Table3[[#This Row],[Type Received]]=2,"CC",(IF(Table3[[#This Row],[Type Received]]=3,"BILL","ACH")))</f>
        <v>ACH</v>
      </c>
    </row>
    <row r="520" spans="1:11" x14ac:dyDescent="0.25">
      <c r="A520">
        <v>258188</v>
      </c>
      <c r="B520" s="3">
        <v>46157</v>
      </c>
      <c r="C520">
        <v>1</v>
      </c>
      <c r="D520">
        <v>77.569999999999993</v>
      </c>
      <c r="G520" t="s">
        <v>87</v>
      </c>
      <c r="H520">
        <v>696646402</v>
      </c>
      <c r="I520" t="s">
        <v>29</v>
      </c>
      <c r="J520" t="s">
        <v>29</v>
      </c>
      <c r="K520" t="str">
        <f>IF(Table3[[#This Row],[Type Received]]=2,"CC",(IF(Table3[[#This Row],[Type Received]]=3,"BILL","ACH")))</f>
        <v>ACH</v>
      </c>
    </row>
    <row r="521" spans="1:11" x14ac:dyDescent="0.25">
      <c r="A521">
        <v>258191</v>
      </c>
      <c r="B521" s="3">
        <v>46167</v>
      </c>
      <c r="C521">
        <v>1</v>
      </c>
      <c r="D521">
        <v>112.11</v>
      </c>
      <c r="G521" t="s">
        <v>85</v>
      </c>
      <c r="H521">
        <v>818327382</v>
      </c>
      <c r="I521" t="s">
        <v>29</v>
      </c>
      <c r="J521" t="s">
        <v>29</v>
      </c>
      <c r="K521" t="str">
        <f>IF(Table3[[#This Row],[Type Received]]=2,"CC",(IF(Table3[[#This Row],[Type Received]]=3,"BILL","ACH")))</f>
        <v>ACH</v>
      </c>
    </row>
    <row r="522" spans="1:11" x14ac:dyDescent="0.25">
      <c r="A522">
        <v>258192</v>
      </c>
      <c r="B522" s="3">
        <v>46145</v>
      </c>
      <c r="C522">
        <v>1</v>
      </c>
      <c r="D522">
        <v>50.95</v>
      </c>
      <c r="G522" t="s">
        <v>113</v>
      </c>
      <c r="H522">
        <v>546412558</v>
      </c>
      <c r="I522" t="s">
        <v>29</v>
      </c>
      <c r="J522" t="s">
        <v>29</v>
      </c>
      <c r="K522" t="str">
        <f>IF(Table3[[#This Row],[Type Received]]=2,"CC",(IF(Table3[[#This Row],[Type Received]]=3,"BILL","ACH")))</f>
        <v>ACH</v>
      </c>
    </row>
    <row r="523" spans="1:11" x14ac:dyDescent="0.25">
      <c r="A523">
        <v>258193</v>
      </c>
      <c r="B523" s="3">
        <v>46145</v>
      </c>
      <c r="C523">
        <v>1</v>
      </c>
      <c r="D523">
        <v>79.66</v>
      </c>
      <c r="G523" t="s">
        <v>113</v>
      </c>
      <c r="H523">
        <v>546398009</v>
      </c>
      <c r="I523" t="s">
        <v>29</v>
      </c>
      <c r="J523" t="s">
        <v>29</v>
      </c>
      <c r="K523" t="str">
        <f>IF(Table3[[#This Row],[Type Received]]=2,"CC",(IF(Table3[[#This Row],[Type Received]]=3,"BILL","ACH")))</f>
        <v>ACH</v>
      </c>
    </row>
    <row r="524" spans="1:11" x14ac:dyDescent="0.25">
      <c r="A524">
        <v>258195</v>
      </c>
      <c r="B524" s="3">
        <v>46145</v>
      </c>
      <c r="C524">
        <v>1</v>
      </c>
      <c r="D524">
        <v>111.01</v>
      </c>
      <c r="G524" t="s">
        <v>113</v>
      </c>
      <c r="H524">
        <v>546424177</v>
      </c>
      <c r="I524" t="s">
        <v>29</v>
      </c>
      <c r="J524" t="s">
        <v>29</v>
      </c>
      <c r="K524" t="str">
        <f>IF(Table3[[#This Row],[Type Received]]=2,"CC",(IF(Table3[[#This Row],[Type Received]]=3,"BILL","ACH")))</f>
        <v>ACH</v>
      </c>
    </row>
    <row r="525" spans="1:11" x14ac:dyDescent="0.25">
      <c r="A525">
        <v>258212</v>
      </c>
      <c r="B525" s="3">
        <v>46146</v>
      </c>
      <c r="C525">
        <v>3</v>
      </c>
      <c r="D525">
        <v>121.81</v>
      </c>
      <c r="E525">
        <v>1456</v>
      </c>
      <c r="J525" t="s">
        <v>29</v>
      </c>
      <c r="K525" t="str">
        <f>IF(Table3[[#This Row],[Type Received]]=2,"CC",(IF(Table3[[#This Row],[Type Received]]=3,"BILL","ACH")))</f>
        <v>BILL</v>
      </c>
    </row>
    <row r="526" spans="1:11" x14ac:dyDescent="0.25">
      <c r="A526">
        <v>258214</v>
      </c>
      <c r="B526" s="3">
        <v>46145</v>
      </c>
      <c r="C526">
        <v>1</v>
      </c>
      <c r="D526">
        <v>44.35</v>
      </c>
      <c r="G526" t="s">
        <v>113</v>
      </c>
      <c r="H526">
        <v>546409615</v>
      </c>
      <c r="I526" t="s">
        <v>29</v>
      </c>
      <c r="J526" t="s">
        <v>29</v>
      </c>
      <c r="K526" t="str">
        <f>IF(Table3[[#This Row],[Type Received]]=2,"CC",(IF(Table3[[#This Row],[Type Received]]=3,"BILL","ACH")))</f>
        <v>ACH</v>
      </c>
    </row>
    <row r="527" spans="1:11" x14ac:dyDescent="0.25">
      <c r="A527">
        <v>258217</v>
      </c>
      <c r="B527" s="3">
        <v>46155</v>
      </c>
      <c r="C527">
        <v>2</v>
      </c>
      <c r="D527">
        <v>63.49</v>
      </c>
      <c r="F527" t="s">
        <v>127</v>
      </c>
      <c r="G527" t="s">
        <v>28</v>
      </c>
      <c r="H527">
        <v>669430097</v>
      </c>
      <c r="I527" t="s">
        <v>29</v>
      </c>
      <c r="J527" t="s">
        <v>29</v>
      </c>
      <c r="K527" t="str">
        <f>IF(Table3[[#This Row],[Type Received]]=2,"CC",(IF(Table3[[#This Row],[Type Received]]=3,"BILL","ACH")))</f>
        <v>CC</v>
      </c>
    </row>
    <row r="528" spans="1:11" x14ac:dyDescent="0.25">
      <c r="A528">
        <v>258220</v>
      </c>
      <c r="B528" s="3">
        <v>46155</v>
      </c>
      <c r="C528">
        <v>2</v>
      </c>
      <c r="D528">
        <v>79.11</v>
      </c>
      <c r="F528" t="s">
        <v>128</v>
      </c>
      <c r="G528" t="s">
        <v>28</v>
      </c>
      <c r="H528">
        <v>669436945</v>
      </c>
      <c r="I528" t="s">
        <v>29</v>
      </c>
      <c r="J528" t="s">
        <v>29</v>
      </c>
      <c r="K528" t="str">
        <f>IF(Table3[[#This Row],[Type Received]]=2,"CC",(IF(Table3[[#This Row],[Type Received]]=3,"BILL","ACH")))</f>
        <v>CC</v>
      </c>
    </row>
    <row r="529" spans="1:11" x14ac:dyDescent="0.25">
      <c r="A529">
        <v>258223</v>
      </c>
      <c r="B529" s="3">
        <v>46169</v>
      </c>
      <c r="C529">
        <v>1</v>
      </c>
      <c r="D529">
        <v>129.82</v>
      </c>
      <c r="G529" t="s">
        <v>117</v>
      </c>
      <c r="H529">
        <v>840823516</v>
      </c>
      <c r="I529" t="s">
        <v>29</v>
      </c>
      <c r="J529" t="s">
        <v>29</v>
      </c>
      <c r="K529" t="str">
        <f>IF(Table3[[#This Row],[Type Received]]=2,"CC",(IF(Table3[[#This Row],[Type Received]]=3,"BILL","ACH")))</f>
        <v>ACH</v>
      </c>
    </row>
    <row r="530" spans="1:11" x14ac:dyDescent="0.25">
      <c r="A530">
        <v>258226</v>
      </c>
      <c r="B530" s="3">
        <v>46143</v>
      </c>
      <c r="C530">
        <v>1</v>
      </c>
      <c r="D530">
        <v>86.15</v>
      </c>
      <c r="G530" t="s">
        <v>84</v>
      </c>
      <c r="H530">
        <v>522204932</v>
      </c>
      <c r="I530" t="s">
        <v>29</v>
      </c>
      <c r="J530" t="s">
        <v>29</v>
      </c>
      <c r="K530" t="str">
        <f>IF(Table3[[#This Row],[Type Received]]=2,"CC",(IF(Table3[[#This Row],[Type Received]]=3,"BILL","ACH")))</f>
        <v>ACH</v>
      </c>
    </row>
    <row r="531" spans="1:11" x14ac:dyDescent="0.25">
      <c r="A531">
        <v>258227</v>
      </c>
      <c r="B531" s="3">
        <v>46157</v>
      </c>
      <c r="C531">
        <v>1</v>
      </c>
      <c r="D531">
        <v>61.51</v>
      </c>
      <c r="G531" t="s">
        <v>87</v>
      </c>
      <c r="H531">
        <v>696616096</v>
      </c>
      <c r="I531" t="s">
        <v>29</v>
      </c>
      <c r="K531" t="str">
        <f>IF(Table3[[#This Row],[Type Received]]=2,"CC",(IF(Table3[[#This Row],[Type Received]]=3,"BILL","ACH")))</f>
        <v>ACH</v>
      </c>
    </row>
    <row r="532" spans="1:11" x14ac:dyDescent="0.25">
      <c r="A532">
        <v>258232</v>
      </c>
      <c r="B532" s="3">
        <v>46143</v>
      </c>
      <c r="C532">
        <v>1</v>
      </c>
      <c r="D532">
        <v>51.28</v>
      </c>
      <c r="G532" t="s">
        <v>84</v>
      </c>
      <c r="H532">
        <v>522212636</v>
      </c>
      <c r="I532" t="s">
        <v>29</v>
      </c>
      <c r="J532" t="s">
        <v>29</v>
      </c>
      <c r="K532" t="str">
        <f>IF(Table3[[#This Row],[Type Received]]=2,"CC",(IF(Table3[[#This Row],[Type Received]]=3,"BILL","ACH")))</f>
        <v>ACH</v>
      </c>
    </row>
    <row r="533" spans="1:11" x14ac:dyDescent="0.25">
      <c r="A533">
        <v>258236</v>
      </c>
      <c r="B533" s="3">
        <v>46169</v>
      </c>
      <c r="C533">
        <v>3</v>
      </c>
      <c r="D533">
        <v>201.26</v>
      </c>
      <c r="E533">
        <v>5486</v>
      </c>
      <c r="G533" s="4"/>
      <c r="K533" t="str">
        <f>IF(Table3[[#This Row],[Type Received]]=2,"CC",(IF(Table3[[#This Row],[Type Received]]=3,"BILL","ACH")))</f>
        <v>BILL</v>
      </c>
    </row>
    <row r="534" spans="1:11" x14ac:dyDescent="0.25">
      <c r="A534">
        <v>258243</v>
      </c>
      <c r="B534" s="3">
        <v>46157</v>
      </c>
      <c r="C534">
        <v>1</v>
      </c>
      <c r="D534">
        <v>74.489999999999995</v>
      </c>
      <c r="G534" t="s">
        <v>87</v>
      </c>
      <c r="H534">
        <v>696624912</v>
      </c>
      <c r="I534" t="s">
        <v>29</v>
      </c>
      <c r="K534" t="str">
        <f>IF(Table3[[#This Row],[Type Received]]=2,"CC",(IF(Table3[[#This Row],[Type Received]]=3,"BILL","ACH")))</f>
        <v>ACH</v>
      </c>
    </row>
    <row r="535" spans="1:11" x14ac:dyDescent="0.25">
      <c r="A535">
        <v>258245</v>
      </c>
      <c r="B535" s="3">
        <v>46143</v>
      </c>
      <c r="C535">
        <v>2</v>
      </c>
      <c r="D535">
        <v>84.61</v>
      </c>
      <c r="F535">
        <v>130444</v>
      </c>
      <c r="G535" t="s">
        <v>28</v>
      </c>
      <c r="H535">
        <v>522225260</v>
      </c>
      <c r="I535" t="s">
        <v>29</v>
      </c>
      <c r="K535" t="str">
        <f>IF(Table3[[#This Row],[Type Received]]=2,"CC",(IF(Table3[[#This Row],[Type Received]]=3,"BILL","ACH")))</f>
        <v>CC</v>
      </c>
    </row>
    <row r="536" spans="1:11" x14ac:dyDescent="0.25">
      <c r="A536">
        <v>258246</v>
      </c>
      <c r="B536" s="3">
        <v>46170</v>
      </c>
      <c r="C536">
        <v>1</v>
      </c>
      <c r="D536">
        <v>112.11</v>
      </c>
      <c r="G536" t="s">
        <v>91</v>
      </c>
      <c r="H536">
        <v>853941146</v>
      </c>
      <c r="I536" t="s">
        <v>29</v>
      </c>
      <c r="K536" t="str">
        <f>IF(Table3[[#This Row],[Type Received]]=2,"CC",(IF(Table3[[#This Row],[Type Received]]=3,"BILL","ACH")))</f>
        <v>ACH</v>
      </c>
    </row>
    <row r="537" spans="1:11" x14ac:dyDescent="0.25">
      <c r="A537">
        <v>258249</v>
      </c>
      <c r="B537" s="3">
        <v>46169</v>
      </c>
      <c r="C537">
        <v>1</v>
      </c>
      <c r="D537">
        <v>70.42</v>
      </c>
      <c r="G537" t="s">
        <v>117</v>
      </c>
      <c r="H537">
        <v>840825523</v>
      </c>
      <c r="I537" t="s">
        <v>29</v>
      </c>
      <c r="K537" t="str">
        <f>IF(Table3[[#This Row],[Type Received]]=2,"CC",(IF(Table3[[#This Row],[Type Received]]=3,"BILL","ACH")))</f>
        <v>ACH</v>
      </c>
    </row>
    <row r="538" spans="1:11" x14ac:dyDescent="0.25">
      <c r="A538">
        <v>258252</v>
      </c>
      <c r="B538" s="3">
        <v>46150</v>
      </c>
      <c r="C538">
        <v>3</v>
      </c>
      <c r="D538">
        <v>32.159999999999997</v>
      </c>
      <c r="E538">
        <v>1378</v>
      </c>
      <c r="J538" t="s">
        <v>29</v>
      </c>
      <c r="K538" t="str">
        <f>IF(Table3[[#This Row],[Type Received]]=2,"CC",(IF(Table3[[#This Row],[Type Received]]=3,"BILL","ACH")))</f>
        <v>BILL</v>
      </c>
    </row>
    <row r="539" spans="1:11" x14ac:dyDescent="0.25">
      <c r="A539">
        <v>258261</v>
      </c>
      <c r="B539" s="3">
        <v>46147</v>
      </c>
      <c r="C539">
        <v>1</v>
      </c>
      <c r="D539">
        <v>46.66</v>
      </c>
      <c r="G539" s="4" t="s">
        <v>86</v>
      </c>
      <c r="H539">
        <v>569463865</v>
      </c>
      <c r="I539" t="s">
        <v>29</v>
      </c>
      <c r="J539" t="s">
        <v>29</v>
      </c>
      <c r="K539" t="str">
        <f>IF(Table3[[#This Row],[Type Received]]=2,"CC",(IF(Table3[[#This Row],[Type Received]]=3,"BILL","ACH")))</f>
        <v>ACH</v>
      </c>
    </row>
    <row r="540" spans="1:11" x14ac:dyDescent="0.25">
      <c r="A540">
        <v>258267</v>
      </c>
      <c r="B540" s="3">
        <v>46143</v>
      </c>
      <c r="C540">
        <v>1</v>
      </c>
      <c r="D540">
        <v>101.44</v>
      </c>
      <c r="G540" t="s">
        <v>84</v>
      </c>
      <c r="H540">
        <v>522215633</v>
      </c>
      <c r="I540" t="s">
        <v>29</v>
      </c>
      <c r="J540" t="s">
        <v>29</v>
      </c>
      <c r="K540" t="str">
        <f>IF(Table3[[#This Row],[Type Received]]=2,"CC",(IF(Table3[[#This Row],[Type Received]]=3,"BILL","ACH")))</f>
        <v>ACH</v>
      </c>
    </row>
    <row r="541" spans="1:11" x14ac:dyDescent="0.25">
      <c r="A541">
        <v>258281</v>
      </c>
      <c r="B541" s="3">
        <v>46157</v>
      </c>
      <c r="C541">
        <v>2</v>
      </c>
      <c r="D541">
        <v>55.57</v>
      </c>
      <c r="F541">
        <v>102069</v>
      </c>
      <c r="G541" t="s">
        <v>28</v>
      </c>
      <c r="H541">
        <v>696630618</v>
      </c>
      <c r="I541" t="s">
        <v>29</v>
      </c>
      <c r="J541" t="s">
        <v>29</v>
      </c>
      <c r="K541" t="str">
        <f>IF(Table3[[#This Row],[Type Received]]=2,"CC",(IF(Table3[[#This Row],[Type Received]]=3,"BILL","ACH")))</f>
        <v>CC</v>
      </c>
    </row>
    <row r="542" spans="1:11" x14ac:dyDescent="0.25">
      <c r="A542">
        <v>258282</v>
      </c>
      <c r="B542" s="3">
        <v>46163</v>
      </c>
      <c r="C542">
        <v>2</v>
      </c>
      <c r="D542">
        <v>97.15</v>
      </c>
      <c r="F542" t="s">
        <v>129</v>
      </c>
      <c r="G542" t="s">
        <v>28</v>
      </c>
      <c r="H542">
        <v>772535764</v>
      </c>
      <c r="I542" t="s">
        <v>29</v>
      </c>
      <c r="J542" t="s">
        <v>29</v>
      </c>
      <c r="K542" t="str">
        <f>IF(Table3[[#This Row],[Type Received]]=2,"CC",(IF(Table3[[#This Row],[Type Received]]=3,"BILL","ACH")))</f>
        <v>CC</v>
      </c>
    </row>
    <row r="543" spans="1:11" x14ac:dyDescent="0.25">
      <c r="A543">
        <v>258285</v>
      </c>
      <c r="B543" s="3">
        <v>46157</v>
      </c>
      <c r="C543">
        <v>1</v>
      </c>
      <c r="D543">
        <v>181.96</v>
      </c>
      <c r="G543" t="s">
        <v>87</v>
      </c>
      <c r="H543">
        <v>696621966</v>
      </c>
      <c r="I543" t="s">
        <v>29</v>
      </c>
      <c r="K543" t="str">
        <f>IF(Table3[[#This Row],[Type Received]]=2,"CC",(IF(Table3[[#This Row],[Type Received]]=3,"BILL","ACH")))</f>
        <v>ACH</v>
      </c>
    </row>
    <row r="544" spans="1:11" x14ac:dyDescent="0.25">
      <c r="A544">
        <v>258288</v>
      </c>
      <c r="B544" s="3">
        <v>46143</v>
      </c>
      <c r="C544">
        <v>1</v>
      </c>
      <c r="D544">
        <v>48.75</v>
      </c>
      <c r="G544" t="s">
        <v>84</v>
      </c>
      <c r="H544">
        <v>522204060</v>
      </c>
      <c r="I544" t="s">
        <v>29</v>
      </c>
      <c r="J544" t="s">
        <v>29</v>
      </c>
      <c r="K544" t="str">
        <f>IF(Table3[[#This Row],[Type Received]]=2,"CC",(IF(Table3[[#This Row],[Type Received]]=3,"BILL","ACH")))</f>
        <v>ACH</v>
      </c>
    </row>
    <row r="545" spans="1:11" x14ac:dyDescent="0.25">
      <c r="A545">
        <v>258289</v>
      </c>
      <c r="B545" s="3">
        <v>46146</v>
      </c>
      <c r="C545">
        <v>3</v>
      </c>
      <c r="D545">
        <v>106.66</v>
      </c>
      <c r="E545">
        <v>3538</v>
      </c>
      <c r="K545" t="str">
        <f>IF(Table3[[#This Row],[Type Received]]=2,"CC",(IF(Table3[[#This Row],[Type Received]]=3,"BILL","ACH")))</f>
        <v>BILL</v>
      </c>
    </row>
    <row r="546" spans="1:11" x14ac:dyDescent="0.25">
      <c r="A546">
        <v>258291</v>
      </c>
      <c r="B546" s="3">
        <v>46171</v>
      </c>
      <c r="C546">
        <v>2</v>
      </c>
      <c r="D546">
        <v>56.25</v>
      </c>
      <c r="F546">
        <v>427919</v>
      </c>
      <c r="G546" t="s">
        <v>28</v>
      </c>
      <c r="H546">
        <v>866937547</v>
      </c>
      <c r="I546" t="s">
        <v>29</v>
      </c>
      <c r="J546" t="s">
        <v>29</v>
      </c>
      <c r="K546" t="str">
        <f>IF(Table3[[#This Row],[Type Received]]=2,"CC",(IF(Table3[[#This Row],[Type Received]]=3,"BILL","ACH")))</f>
        <v>CC</v>
      </c>
    </row>
    <row r="547" spans="1:11" x14ac:dyDescent="0.25">
      <c r="A547">
        <v>258293</v>
      </c>
      <c r="B547" s="3">
        <v>46168</v>
      </c>
      <c r="C547">
        <v>1</v>
      </c>
      <c r="D547">
        <v>129.79</v>
      </c>
      <c r="G547" t="s">
        <v>110</v>
      </c>
      <c r="H547">
        <v>833579067</v>
      </c>
      <c r="I547" t="s">
        <v>29</v>
      </c>
      <c r="J547" t="s">
        <v>29</v>
      </c>
      <c r="K547" t="str">
        <f>IF(Table3[[#This Row],[Type Received]]=2,"CC",(IF(Table3[[#This Row],[Type Received]]=3,"BILL","ACH")))</f>
        <v>ACH</v>
      </c>
    </row>
    <row r="548" spans="1:11" x14ac:dyDescent="0.25">
      <c r="A548">
        <v>258302</v>
      </c>
      <c r="B548" s="3">
        <v>46149</v>
      </c>
      <c r="C548">
        <v>2</v>
      </c>
      <c r="D548">
        <v>87.91</v>
      </c>
      <c r="F548" t="s">
        <v>130</v>
      </c>
      <c r="G548" t="s">
        <v>28</v>
      </c>
      <c r="H548">
        <v>594883989</v>
      </c>
      <c r="I548" t="s">
        <v>29</v>
      </c>
      <c r="K548" t="str">
        <f>IF(Table3[[#This Row],[Type Received]]=2,"CC",(IF(Table3[[#This Row],[Type Received]]=3,"BILL","ACH")))</f>
        <v>CC</v>
      </c>
    </row>
    <row r="549" spans="1:11" x14ac:dyDescent="0.25">
      <c r="A549">
        <v>258307</v>
      </c>
      <c r="B549" s="3">
        <v>46163</v>
      </c>
      <c r="C549">
        <v>2</v>
      </c>
      <c r="D549">
        <v>96.1</v>
      </c>
      <c r="F549">
        <v>392</v>
      </c>
      <c r="G549" t="s">
        <v>28</v>
      </c>
      <c r="H549">
        <v>773297755</v>
      </c>
      <c r="I549" t="s">
        <v>29</v>
      </c>
      <c r="J549" t="s">
        <v>29</v>
      </c>
      <c r="K549" t="str">
        <f>IF(Table3[[#This Row],[Type Received]]=2,"CC",(IF(Table3[[#This Row],[Type Received]]=3,"BILL","ACH")))</f>
        <v>CC</v>
      </c>
    </row>
    <row r="550" spans="1:11" x14ac:dyDescent="0.25">
      <c r="A550">
        <v>258309</v>
      </c>
      <c r="B550" s="3">
        <v>46157</v>
      </c>
      <c r="C550">
        <v>1</v>
      </c>
      <c r="D550">
        <v>98.14</v>
      </c>
      <c r="G550" t="s">
        <v>87</v>
      </c>
      <c r="H550">
        <v>696637736</v>
      </c>
      <c r="I550" t="s">
        <v>29</v>
      </c>
      <c r="K550" t="str">
        <f>IF(Table3[[#This Row],[Type Received]]=2,"CC",(IF(Table3[[#This Row],[Type Received]]=3,"BILL","ACH")))</f>
        <v>ACH</v>
      </c>
    </row>
    <row r="551" spans="1:11" x14ac:dyDescent="0.25">
      <c r="A551">
        <v>258310</v>
      </c>
      <c r="B551" s="3">
        <v>46167</v>
      </c>
      <c r="C551">
        <v>1</v>
      </c>
      <c r="D551">
        <v>61.84</v>
      </c>
      <c r="G551" t="s">
        <v>85</v>
      </c>
      <c r="H551">
        <v>818336124</v>
      </c>
      <c r="I551" t="s">
        <v>29</v>
      </c>
      <c r="J551" t="s">
        <v>29</v>
      </c>
      <c r="K551" t="str">
        <f>IF(Table3[[#This Row],[Type Received]]=2,"CC",(IF(Table3[[#This Row],[Type Received]]=3,"BILL","ACH")))</f>
        <v>ACH</v>
      </c>
    </row>
    <row r="552" spans="1:11" x14ac:dyDescent="0.25">
      <c r="A552">
        <v>258312</v>
      </c>
      <c r="B552" s="3">
        <v>46146</v>
      </c>
      <c r="C552">
        <v>1</v>
      </c>
      <c r="D552">
        <v>38.409999999999997</v>
      </c>
      <c r="G552" t="s">
        <v>92</v>
      </c>
      <c r="H552">
        <v>557080454</v>
      </c>
      <c r="I552" t="s">
        <v>29</v>
      </c>
      <c r="J552" t="s">
        <v>29</v>
      </c>
      <c r="K552" t="str">
        <f>IF(Table3[[#This Row],[Type Received]]=2,"CC",(IF(Table3[[#This Row],[Type Received]]=3,"BILL","ACH")))</f>
        <v>ACH</v>
      </c>
    </row>
    <row r="553" spans="1:11" x14ac:dyDescent="0.25">
      <c r="A553">
        <v>258315</v>
      </c>
      <c r="B553" s="3">
        <v>46144</v>
      </c>
      <c r="C553">
        <v>1</v>
      </c>
      <c r="D553">
        <v>51.39</v>
      </c>
      <c r="G553" t="s">
        <v>89</v>
      </c>
      <c r="H553">
        <v>535359423</v>
      </c>
      <c r="I553" t="s">
        <v>29</v>
      </c>
      <c r="K553" t="str">
        <f>IF(Table3[[#This Row],[Type Received]]=2,"CC",(IF(Table3[[#This Row],[Type Received]]=3,"BILL","ACH")))</f>
        <v>ACH</v>
      </c>
    </row>
    <row r="554" spans="1:11" x14ac:dyDescent="0.25">
      <c r="A554">
        <v>258320</v>
      </c>
      <c r="B554" s="3">
        <v>46170</v>
      </c>
      <c r="C554">
        <v>2</v>
      </c>
      <c r="D554">
        <v>72.78</v>
      </c>
      <c r="F554">
        <v>175757</v>
      </c>
      <c r="G554">
        <v>749514569</v>
      </c>
      <c r="H554">
        <v>356116903</v>
      </c>
      <c r="K554" t="str">
        <f>IF(Table3[[#This Row],[Type Received]]=2,"CC",(IF(Table3[[#This Row],[Type Received]]=3,"BILL","ACH")))</f>
        <v>CC</v>
      </c>
    </row>
    <row r="555" spans="1:11" x14ac:dyDescent="0.25">
      <c r="A555">
        <v>258324</v>
      </c>
      <c r="B555" s="3">
        <v>46157</v>
      </c>
      <c r="C555">
        <v>1</v>
      </c>
      <c r="D555">
        <v>87.69</v>
      </c>
      <c r="G555" t="s">
        <v>87</v>
      </c>
      <c r="H555">
        <v>696643486</v>
      </c>
      <c r="I555" t="s">
        <v>29</v>
      </c>
      <c r="J555" t="s">
        <v>29</v>
      </c>
      <c r="K555" t="str">
        <f>IF(Table3[[#This Row],[Type Received]]=2,"CC",(IF(Table3[[#This Row],[Type Received]]=3,"BILL","ACH")))</f>
        <v>ACH</v>
      </c>
    </row>
    <row r="556" spans="1:11" x14ac:dyDescent="0.25">
      <c r="A556">
        <v>258327</v>
      </c>
      <c r="B556" s="3">
        <v>46155</v>
      </c>
      <c r="C556">
        <v>2</v>
      </c>
      <c r="D556">
        <v>33.79</v>
      </c>
      <c r="F556">
        <v>85470</v>
      </c>
      <c r="G556" t="s">
        <v>28</v>
      </c>
      <c r="H556">
        <v>669458149</v>
      </c>
      <c r="I556" t="s">
        <v>29</v>
      </c>
      <c r="K556" t="str">
        <f>IF(Table3[[#This Row],[Type Received]]=2,"CC",(IF(Table3[[#This Row],[Type Received]]=3,"BILL","ACH")))</f>
        <v>CC</v>
      </c>
    </row>
    <row r="557" spans="1:11" x14ac:dyDescent="0.25">
      <c r="A557">
        <v>258332</v>
      </c>
      <c r="B557" s="3">
        <v>46157</v>
      </c>
      <c r="C557">
        <v>1</v>
      </c>
      <c r="D557">
        <v>81.64</v>
      </c>
      <c r="G557" t="s">
        <v>87</v>
      </c>
      <c r="H557">
        <v>696650361</v>
      </c>
      <c r="I557" t="s">
        <v>29</v>
      </c>
      <c r="K557" t="str">
        <f>IF(Table3[[#This Row],[Type Received]]=2,"CC",(IF(Table3[[#This Row],[Type Received]]=3,"BILL","ACH")))</f>
        <v>ACH</v>
      </c>
    </row>
    <row r="558" spans="1:11" x14ac:dyDescent="0.25">
      <c r="A558">
        <v>258333</v>
      </c>
      <c r="B558" s="3">
        <v>46157</v>
      </c>
      <c r="C558">
        <v>1</v>
      </c>
      <c r="D558">
        <v>52.27</v>
      </c>
      <c r="G558" t="s">
        <v>87</v>
      </c>
      <c r="H558">
        <v>696646465</v>
      </c>
      <c r="I558" t="s">
        <v>29</v>
      </c>
      <c r="J558" t="s">
        <v>29</v>
      </c>
      <c r="K558" t="str">
        <f>IF(Table3[[#This Row],[Type Received]]=2,"CC",(IF(Table3[[#This Row],[Type Received]]=3,"BILL","ACH")))</f>
        <v>ACH</v>
      </c>
    </row>
    <row r="559" spans="1:11" x14ac:dyDescent="0.25">
      <c r="A559">
        <v>258355</v>
      </c>
      <c r="B559" s="3">
        <v>46167</v>
      </c>
      <c r="C559">
        <v>1</v>
      </c>
      <c r="D559">
        <v>32.909999999999997</v>
      </c>
      <c r="G559" t="s">
        <v>85</v>
      </c>
      <c r="H559">
        <v>818320699</v>
      </c>
      <c r="I559" t="s">
        <v>29</v>
      </c>
      <c r="K559" t="str">
        <f>IF(Table3[[#This Row],[Type Received]]=2,"CC",(IF(Table3[[#This Row],[Type Received]]=3,"BILL","ACH")))</f>
        <v>ACH</v>
      </c>
    </row>
    <row r="560" spans="1:11" x14ac:dyDescent="0.25">
      <c r="A560">
        <v>258359</v>
      </c>
      <c r="B560" s="3">
        <v>46143</v>
      </c>
      <c r="C560">
        <v>1</v>
      </c>
      <c r="D560">
        <v>48.55</v>
      </c>
      <c r="G560" s="4" t="s">
        <v>84</v>
      </c>
      <c r="H560">
        <v>527716699</v>
      </c>
      <c r="I560" t="s">
        <v>29</v>
      </c>
      <c r="J560" t="s">
        <v>29</v>
      </c>
      <c r="K560" t="str">
        <f>IF(Table3[[#This Row],[Type Received]]=2,"CC",(IF(Table3[[#This Row],[Type Received]]=3,"BILL","ACH")))</f>
        <v>ACH</v>
      </c>
    </row>
    <row r="561" spans="1:11" x14ac:dyDescent="0.25">
      <c r="A561">
        <v>258370</v>
      </c>
      <c r="B561" s="3">
        <v>46145</v>
      </c>
      <c r="C561">
        <v>1</v>
      </c>
      <c r="D561">
        <v>43.25</v>
      </c>
      <c r="G561" t="s">
        <v>113</v>
      </c>
      <c r="H561">
        <v>546412584</v>
      </c>
      <c r="I561" t="s">
        <v>29</v>
      </c>
      <c r="J561" t="s">
        <v>29</v>
      </c>
      <c r="K561" t="str">
        <f>IF(Table3[[#This Row],[Type Received]]=2,"CC",(IF(Table3[[#This Row],[Type Received]]=3,"BILL","ACH")))</f>
        <v>ACH</v>
      </c>
    </row>
    <row r="562" spans="1:11" x14ac:dyDescent="0.25">
      <c r="A562">
        <v>258373</v>
      </c>
      <c r="B562" s="3">
        <v>46149</v>
      </c>
      <c r="C562">
        <v>2</v>
      </c>
      <c r="D562">
        <v>150.96</v>
      </c>
      <c r="F562">
        <v>434190</v>
      </c>
      <c r="G562" t="s">
        <v>28</v>
      </c>
      <c r="H562">
        <v>595649274</v>
      </c>
      <c r="I562" t="s">
        <v>29</v>
      </c>
      <c r="J562" t="s">
        <v>29</v>
      </c>
      <c r="K562" t="str">
        <f>IF(Table3[[#This Row],[Type Received]]=2,"CC",(IF(Table3[[#This Row],[Type Received]]=3,"BILL","ACH")))</f>
        <v>CC</v>
      </c>
    </row>
    <row r="563" spans="1:11" x14ac:dyDescent="0.25">
      <c r="A563">
        <v>258385</v>
      </c>
      <c r="B563" s="3">
        <v>46145</v>
      </c>
      <c r="C563">
        <v>1</v>
      </c>
      <c r="D563">
        <v>42.81</v>
      </c>
      <c r="G563" t="s">
        <v>113</v>
      </c>
      <c r="H563">
        <v>546407751</v>
      </c>
      <c r="I563" t="s">
        <v>29</v>
      </c>
      <c r="K563" t="str">
        <f>IF(Table3[[#This Row],[Type Received]]=2,"CC",(IF(Table3[[#This Row],[Type Received]]=3,"BILL","ACH")))</f>
        <v>ACH</v>
      </c>
    </row>
    <row r="564" spans="1:11" x14ac:dyDescent="0.25">
      <c r="A564">
        <v>258389</v>
      </c>
      <c r="B564" s="3">
        <v>46155</v>
      </c>
      <c r="C564">
        <v>1</v>
      </c>
      <c r="D564">
        <v>42.7</v>
      </c>
      <c r="G564" t="s">
        <v>90</v>
      </c>
      <c r="H564">
        <v>669459119</v>
      </c>
      <c r="I564" t="s">
        <v>29</v>
      </c>
      <c r="J564" t="s">
        <v>29</v>
      </c>
      <c r="K564" t="str">
        <f>IF(Table3[[#This Row],[Type Received]]=2,"CC",(IF(Table3[[#This Row],[Type Received]]=3,"BILL","ACH")))</f>
        <v>ACH</v>
      </c>
    </row>
    <row r="565" spans="1:11" x14ac:dyDescent="0.25">
      <c r="A565">
        <v>258392</v>
      </c>
      <c r="B565" s="3">
        <v>46167</v>
      </c>
      <c r="C565">
        <v>1</v>
      </c>
      <c r="D565">
        <v>79</v>
      </c>
      <c r="G565" t="s">
        <v>85</v>
      </c>
      <c r="H565">
        <v>818320722</v>
      </c>
      <c r="I565" t="s">
        <v>29</v>
      </c>
      <c r="J565" t="s">
        <v>29</v>
      </c>
      <c r="K565" t="str">
        <f>IF(Table3[[#This Row],[Type Received]]=2,"CC",(IF(Table3[[#This Row],[Type Received]]=3,"BILL","ACH")))</f>
        <v>ACH</v>
      </c>
    </row>
    <row r="566" spans="1:11" x14ac:dyDescent="0.25">
      <c r="A566">
        <v>258393</v>
      </c>
      <c r="B566" s="3">
        <v>46167</v>
      </c>
      <c r="C566">
        <v>1</v>
      </c>
      <c r="D566">
        <v>44.35</v>
      </c>
      <c r="G566" t="s">
        <v>85</v>
      </c>
      <c r="H566">
        <v>818316866</v>
      </c>
      <c r="I566" t="s">
        <v>29</v>
      </c>
      <c r="J566" t="s">
        <v>29</v>
      </c>
      <c r="K566" t="str">
        <f>IF(Table3[[#This Row],[Type Received]]=2,"CC",(IF(Table3[[#This Row],[Type Received]]=3,"BILL","ACH")))</f>
        <v>ACH</v>
      </c>
    </row>
    <row r="567" spans="1:11" x14ac:dyDescent="0.25">
      <c r="A567">
        <v>258394</v>
      </c>
      <c r="B567" s="3">
        <v>46167</v>
      </c>
      <c r="C567">
        <v>1</v>
      </c>
      <c r="D567">
        <v>28.95</v>
      </c>
      <c r="G567" t="s">
        <v>85</v>
      </c>
      <c r="H567">
        <v>818317841</v>
      </c>
      <c r="I567" t="s">
        <v>29</v>
      </c>
      <c r="K567" t="str">
        <f>IF(Table3[[#This Row],[Type Received]]=2,"CC",(IF(Table3[[#This Row],[Type Received]]=3,"BILL","ACH")))</f>
        <v>ACH</v>
      </c>
    </row>
    <row r="568" spans="1:11" x14ac:dyDescent="0.25">
      <c r="A568">
        <v>258400</v>
      </c>
      <c r="B568" s="3">
        <v>46157</v>
      </c>
      <c r="C568">
        <v>1</v>
      </c>
      <c r="D568">
        <v>27.85</v>
      </c>
      <c r="G568" s="4" t="s">
        <v>87</v>
      </c>
      <c r="H568">
        <v>696635954</v>
      </c>
      <c r="I568" t="s">
        <v>29</v>
      </c>
      <c r="J568" t="s">
        <v>29</v>
      </c>
      <c r="K568" t="str">
        <f>IF(Table3[[#This Row],[Type Received]]=2,"CC",(IF(Table3[[#This Row],[Type Received]]=3,"BILL","ACH")))</f>
        <v>ACH</v>
      </c>
    </row>
    <row r="569" spans="1:11" x14ac:dyDescent="0.25">
      <c r="A569">
        <v>258402</v>
      </c>
      <c r="B569" s="3">
        <v>46157</v>
      </c>
      <c r="C569">
        <v>1</v>
      </c>
      <c r="D569">
        <v>31.37</v>
      </c>
      <c r="G569" t="s">
        <v>87</v>
      </c>
      <c r="H569">
        <v>696633037</v>
      </c>
      <c r="I569" t="s">
        <v>29</v>
      </c>
      <c r="J569" t="s">
        <v>29</v>
      </c>
      <c r="K569" t="str">
        <f>IF(Table3[[#This Row],[Type Received]]=2,"CC",(IF(Table3[[#This Row],[Type Received]]=3,"BILL","ACH")))</f>
        <v>ACH</v>
      </c>
    </row>
    <row r="570" spans="1:11" x14ac:dyDescent="0.25">
      <c r="A570">
        <v>258418</v>
      </c>
      <c r="B570" s="3">
        <v>46169</v>
      </c>
      <c r="C570">
        <v>3</v>
      </c>
      <c r="D570">
        <v>34.69</v>
      </c>
      <c r="E570">
        <v>7060</v>
      </c>
      <c r="J570" t="s">
        <v>29</v>
      </c>
      <c r="K570" t="str">
        <f>IF(Table3[[#This Row],[Type Received]]=2,"CC",(IF(Table3[[#This Row],[Type Received]]=3,"BILL","ACH")))</f>
        <v>BILL</v>
      </c>
    </row>
    <row r="571" spans="1:11" x14ac:dyDescent="0.25">
      <c r="A571">
        <v>258423</v>
      </c>
      <c r="B571" s="3">
        <v>46155</v>
      </c>
      <c r="C571">
        <v>2</v>
      </c>
      <c r="D571">
        <v>30.16</v>
      </c>
      <c r="F571" t="s">
        <v>131</v>
      </c>
      <c r="G571" t="s">
        <v>28</v>
      </c>
      <c r="H571">
        <v>669439948</v>
      </c>
      <c r="I571" t="s">
        <v>29</v>
      </c>
      <c r="J571" t="s">
        <v>29</v>
      </c>
      <c r="K571" t="str">
        <f>IF(Table3[[#This Row],[Type Received]]=2,"CC",(IF(Table3[[#This Row],[Type Received]]=3,"BILL","ACH")))</f>
        <v>CC</v>
      </c>
    </row>
    <row r="572" spans="1:11" x14ac:dyDescent="0.25">
      <c r="A572">
        <v>258424</v>
      </c>
      <c r="B572" s="3">
        <v>46144</v>
      </c>
      <c r="C572">
        <v>2</v>
      </c>
      <c r="D572">
        <v>34.450000000000003</v>
      </c>
      <c r="F572">
        <v>780101</v>
      </c>
      <c r="G572" t="s">
        <v>28</v>
      </c>
      <c r="H572">
        <v>535361660</v>
      </c>
      <c r="I572" t="s">
        <v>29</v>
      </c>
      <c r="J572" t="s">
        <v>29</v>
      </c>
      <c r="K572" t="str">
        <f>IF(Table3[[#This Row],[Type Received]]=2,"CC",(IF(Table3[[#This Row],[Type Received]]=3,"BILL","ACH")))</f>
        <v>CC</v>
      </c>
    </row>
    <row r="573" spans="1:11" x14ac:dyDescent="0.25">
      <c r="A573">
        <v>258427</v>
      </c>
      <c r="B573" s="3">
        <v>46155</v>
      </c>
      <c r="C573">
        <v>2</v>
      </c>
      <c r="D573">
        <v>105.29</v>
      </c>
      <c r="F573">
        <v>92892</v>
      </c>
      <c r="G573" t="s">
        <v>28</v>
      </c>
      <c r="H573">
        <v>669440842</v>
      </c>
      <c r="I573" t="s">
        <v>29</v>
      </c>
      <c r="K573" t="str">
        <f>IF(Table3[[#This Row],[Type Received]]=2,"CC",(IF(Table3[[#This Row],[Type Received]]=3,"BILL","ACH")))</f>
        <v>CC</v>
      </c>
    </row>
    <row r="574" spans="1:11" x14ac:dyDescent="0.25">
      <c r="A574">
        <v>258430</v>
      </c>
      <c r="B574" s="3">
        <v>46163</v>
      </c>
      <c r="C574">
        <v>2</v>
      </c>
      <c r="D574">
        <v>114.09</v>
      </c>
      <c r="F574">
        <v>142057</v>
      </c>
      <c r="G574" t="s">
        <v>28</v>
      </c>
      <c r="H574">
        <v>774364654</v>
      </c>
      <c r="I574" t="s">
        <v>29</v>
      </c>
      <c r="K574" t="str">
        <f>IF(Table3[[#This Row],[Type Received]]=2,"CC",(IF(Table3[[#This Row],[Type Received]]=3,"BILL","ACH")))</f>
        <v>CC</v>
      </c>
    </row>
    <row r="575" spans="1:11" x14ac:dyDescent="0.25">
      <c r="A575">
        <v>258431</v>
      </c>
      <c r="B575" s="3">
        <v>46155</v>
      </c>
      <c r="C575">
        <v>2</v>
      </c>
      <c r="D575">
        <v>84.83</v>
      </c>
      <c r="F575" t="s">
        <v>132</v>
      </c>
      <c r="G575" t="s">
        <v>28</v>
      </c>
      <c r="H575">
        <v>669450396</v>
      </c>
      <c r="I575" t="s">
        <v>29</v>
      </c>
      <c r="J575" t="s">
        <v>29</v>
      </c>
      <c r="K575" t="str">
        <f>IF(Table3[[#This Row],[Type Received]]=2,"CC",(IF(Table3[[#This Row],[Type Received]]=3,"BILL","ACH")))</f>
        <v>CC</v>
      </c>
    </row>
    <row r="576" spans="1:11" x14ac:dyDescent="0.25">
      <c r="A576">
        <v>258432</v>
      </c>
      <c r="B576" s="3">
        <v>46155</v>
      </c>
      <c r="C576">
        <v>2</v>
      </c>
      <c r="D576">
        <v>83.95</v>
      </c>
      <c r="F576" t="s">
        <v>133</v>
      </c>
      <c r="G576" t="s">
        <v>28</v>
      </c>
      <c r="H576">
        <v>669450402</v>
      </c>
      <c r="I576" t="s">
        <v>29</v>
      </c>
      <c r="J576" t="s">
        <v>29</v>
      </c>
      <c r="K576" t="str">
        <f>IF(Table3[[#This Row],[Type Received]]=2,"CC",(IF(Table3[[#This Row],[Type Received]]=3,"BILL","ACH")))</f>
        <v>CC</v>
      </c>
    </row>
    <row r="577" spans="1:11" x14ac:dyDescent="0.25">
      <c r="A577">
        <v>258434</v>
      </c>
      <c r="B577" s="3">
        <v>46145</v>
      </c>
      <c r="C577">
        <v>1</v>
      </c>
      <c r="D577">
        <v>101.77</v>
      </c>
      <c r="G577" t="s">
        <v>113</v>
      </c>
      <c r="H577">
        <v>546404887</v>
      </c>
      <c r="I577" t="s">
        <v>29</v>
      </c>
      <c r="J577" t="s">
        <v>29</v>
      </c>
      <c r="K577" t="str">
        <f>IF(Table3[[#This Row],[Type Received]]=2,"CC",(IF(Table3[[#This Row],[Type Received]]=3,"BILL","ACH")))</f>
        <v>ACH</v>
      </c>
    </row>
    <row r="578" spans="1:11" x14ac:dyDescent="0.25">
      <c r="A578">
        <v>258436</v>
      </c>
      <c r="B578" s="3">
        <v>46145</v>
      </c>
      <c r="C578">
        <v>1</v>
      </c>
      <c r="D578">
        <v>32.47</v>
      </c>
      <c r="G578" s="4" t="s">
        <v>113</v>
      </c>
      <c r="H578">
        <v>546407766</v>
      </c>
      <c r="I578" t="s">
        <v>29</v>
      </c>
      <c r="K578" t="str">
        <f>IF(Table3[[#This Row],[Type Received]]=2,"CC",(IF(Table3[[#This Row],[Type Received]]=3,"BILL","ACH")))</f>
        <v>ACH</v>
      </c>
    </row>
    <row r="579" spans="1:11" x14ac:dyDescent="0.25">
      <c r="A579">
        <v>258440</v>
      </c>
      <c r="B579" s="3">
        <v>46157</v>
      </c>
      <c r="C579">
        <v>1</v>
      </c>
      <c r="D579">
        <v>43.25</v>
      </c>
      <c r="G579" t="s">
        <v>87</v>
      </c>
      <c r="H579">
        <v>696646499</v>
      </c>
      <c r="I579" t="s">
        <v>29</v>
      </c>
      <c r="J579" t="s">
        <v>29</v>
      </c>
      <c r="K579" t="str">
        <f>IF(Table3[[#This Row],[Type Received]]=2,"CC",(IF(Table3[[#This Row],[Type Received]]=3,"BILL","ACH")))</f>
        <v>ACH</v>
      </c>
    </row>
    <row r="580" spans="1:11" x14ac:dyDescent="0.25">
      <c r="A580">
        <v>258443</v>
      </c>
      <c r="B580" s="3">
        <v>46167</v>
      </c>
      <c r="C580">
        <v>1</v>
      </c>
      <c r="D580">
        <v>47.65</v>
      </c>
      <c r="G580" s="4" t="s">
        <v>85</v>
      </c>
      <c r="H580">
        <v>818331414</v>
      </c>
      <c r="I580" t="s">
        <v>29</v>
      </c>
      <c r="K580" t="str">
        <f>IF(Table3[[#This Row],[Type Received]]=2,"CC",(IF(Table3[[#This Row],[Type Received]]=3,"BILL","ACH")))</f>
        <v>ACH</v>
      </c>
    </row>
    <row r="581" spans="1:11" x14ac:dyDescent="0.25">
      <c r="A581">
        <v>258444</v>
      </c>
      <c r="B581" s="3">
        <v>46167</v>
      </c>
      <c r="C581">
        <v>1</v>
      </c>
      <c r="D581">
        <v>35.549999999999997</v>
      </c>
      <c r="G581" t="s">
        <v>85</v>
      </c>
      <c r="H581">
        <v>818322623</v>
      </c>
      <c r="I581" t="s">
        <v>29</v>
      </c>
      <c r="J581" t="s">
        <v>29</v>
      </c>
      <c r="K581" t="str">
        <f>IF(Table3[[#This Row],[Type Received]]=2,"CC",(IF(Table3[[#This Row],[Type Received]]=3,"BILL","ACH")))</f>
        <v>ACH</v>
      </c>
    </row>
    <row r="582" spans="1:11" x14ac:dyDescent="0.25">
      <c r="A582">
        <v>258460</v>
      </c>
      <c r="B582" s="3">
        <v>46157</v>
      </c>
      <c r="C582">
        <v>1</v>
      </c>
      <c r="D582">
        <v>34.450000000000003</v>
      </c>
      <c r="G582" t="s">
        <v>87</v>
      </c>
      <c r="H582">
        <v>696650425</v>
      </c>
      <c r="I582" t="s">
        <v>29</v>
      </c>
      <c r="J582" t="s">
        <v>29</v>
      </c>
      <c r="K582" t="str">
        <f>IF(Table3[[#This Row],[Type Received]]=2,"CC",(IF(Table3[[#This Row],[Type Received]]=3,"BILL","ACH")))</f>
        <v>ACH</v>
      </c>
    </row>
    <row r="583" spans="1:11" x14ac:dyDescent="0.25">
      <c r="A583">
        <v>258464</v>
      </c>
      <c r="B583" s="3">
        <v>46167</v>
      </c>
      <c r="C583">
        <v>1</v>
      </c>
      <c r="D583">
        <v>73.72</v>
      </c>
      <c r="G583" t="s">
        <v>85</v>
      </c>
      <c r="H583">
        <v>818318875</v>
      </c>
      <c r="I583" t="s">
        <v>29</v>
      </c>
      <c r="J583" t="s">
        <v>29</v>
      </c>
      <c r="K583" t="str">
        <f>IF(Table3[[#This Row],[Type Received]]=2,"CC",(IF(Table3[[#This Row],[Type Received]]=3,"BILL","ACH")))</f>
        <v>ACH</v>
      </c>
    </row>
    <row r="584" spans="1:11" x14ac:dyDescent="0.25">
      <c r="A584">
        <v>258465</v>
      </c>
      <c r="B584" s="3">
        <v>46144</v>
      </c>
      <c r="C584">
        <v>1</v>
      </c>
      <c r="D584">
        <v>42.37</v>
      </c>
      <c r="G584" t="s">
        <v>89</v>
      </c>
      <c r="H584">
        <v>535338908</v>
      </c>
      <c r="I584" t="s">
        <v>29</v>
      </c>
      <c r="K584" t="str">
        <f>IF(Table3[[#This Row],[Type Received]]=2,"CC",(IF(Table3[[#This Row],[Type Received]]=3,"BILL","ACH")))</f>
        <v>ACH</v>
      </c>
    </row>
    <row r="585" spans="1:11" x14ac:dyDescent="0.25">
      <c r="A585">
        <v>258466</v>
      </c>
      <c r="B585" s="3">
        <v>46144</v>
      </c>
      <c r="C585">
        <v>1</v>
      </c>
      <c r="D585">
        <v>115.3</v>
      </c>
      <c r="G585" t="s">
        <v>89</v>
      </c>
      <c r="H585">
        <v>535361190</v>
      </c>
      <c r="I585" t="s">
        <v>29</v>
      </c>
      <c r="K585" t="str">
        <f>IF(Table3[[#This Row],[Type Received]]=2,"CC",(IF(Table3[[#This Row],[Type Received]]=3,"BILL","ACH")))</f>
        <v>ACH</v>
      </c>
    </row>
    <row r="586" spans="1:11" x14ac:dyDescent="0.25">
      <c r="A586">
        <v>258476</v>
      </c>
      <c r="B586" s="3">
        <v>46168</v>
      </c>
      <c r="C586">
        <v>2</v>
      </c>
      <c r="D586">
        <v>170.9</v>
      </c>
      <c r="F586">
        <v>475228</v>
      </c>
      <c r="G586" t="s">
        <v>28</v>
      </c>
      <c r="H586">
        <v>829142779</v>
      </c>
      <c r="I586" t="s">
        <v>29</v>
      </c>
      <c r="J586" t="s">
        <v>29</v>
      </c>
      <c r="K586" t="str">
        <f>IF(Table3[[#This Row],[Type Received]]=2,"CC",(IF(Table3[[#This Row],[Type Received]]=3,"BILL","ACH")))</f>
        <v>CC</v>
      </c>
    </row>
    <row r="587" spans="1:11" x14ac:dyDescent="0.25">
      <c r="A587">
        <v>258476</v>
      </c>
      <c r="B587" s="3">
        <v>46147</v>
      </c>
      <c r="C587">
        <v>2</v>
      </c>
      <c r="D587">
        <v>85.95</v>
      </c>
      <c r="F587">
        <v>993159</v>
      </c>
      <c r="G587" t="s">
        <v>28</v>
      </c>
      <c r="H587">
        <v>571893908</v>
      </c>
      <c r="I587" t="s">
        <v>29</v>
      </c>
      <c r="J587" t="s">
        <v>29</v>
      </c>
      <c r="K587" t="str">
        <f>IF(Table3[[#This Row],[Type Received]]=2,"CC",(IF(Table3[[#This Row],[Type Received]]=3,"BILL","ACH")))</f>
        <v>CC</v>
      </c>
    </row>
    <row r="588" spans="1:11" x14ac:dyDescent="0.25">
      <c r="A588">
        <v>258479</v>
      </c>
      <c r="B588" s="3">
        <v>46167</v>
      </c>
      <c r="C588">
        <v>1</v>
      </c>
      <c r="D588">
        <v>64.150000000000006</v>
      </c>
      <c r="G588" t="s">
        <v>85</v>
      </c>
      <c r="H588">
        <v>818315024</v>
      </c>
      <c r="I588" t="s">
        <v>29</v>
      </c>
      <c r="J588" t="s">
        <v>29</v>
      </c>
      <c r="K588" t="str">
        <f>IF(Table3[[#This Row],[Type Received]]=2,"CC",(IF(Table3[[#This Row],[Type Received]]=3,"BILL","ACH")))</f>
        <v>ACH</v>
      </c>
    </row>
    <row r="589" spans="1:11" x14ac:dyDescent="0.25">
      <c r="A589">
        <v>258480</v>
      </c>
      <c r="B589" s="3">
        <v>46167</v>
      </c>
      <c r="C589">
        <v>1</v>
      </c>
      <c r="D589">
        <v>116.95</v>
      </c>
      <c r="G589" t="s">
        <v>85</v>
      </c>
      <c r="H589">
        <v>818328465</v>
      </c>
      <c r="I589" t="s">
        <v>29</v>
      </c>
      <c r="J589" t="s">
        <v>29</v>
      </c>
      <c r="K589" t="str">
        <f>IF(Table3[[#This Row],[Type Received]]=2,"CC",(IF(Table3[[#This Row],[Type Received]]=3,"BILL","ACH")))</f>
        <v>ACH</v>
      </c>
    </row>
    <row r="590" spans="1:11" x14ac:dyDescent="0.25">
      <c r="A590">
        <v>258482</v>
      </c>
      <c r="B590" s="3">
        <v>46167</v>
      </c>
      <c r="C590">
        <v>1</v>
      </c>
      <c r="D590">
        <v>35.549999999999997</v>
      </c>
      <c r="G590" t="s">
        <v>85</v>
      </c>
      <c r="H590">
        <v>818320837</v>
      </c>
      <c r="I590" t="s">
        <v>29</v>
      </c>
      <c r="J590" t="s">
        <v>29</v>
      </c>
      <c r="K590" t="str">
        <f>IF(Table3[[#This Row],[Type Received]]=2,"CC",(IF(Table3[[#This Row],[Type Received]]=3,"BILL","ACH")))</f>
        <v>ACH</v>
      </c>
    </row>
    <row r="591" spans="1:11" x14ac:dyDescent="0.25">
      <c r="A591">
        <v>258483</v>
      </c>
      <c r="B591" s="3">
        <v>46167</v>
      </c>
      <c r="C591">
        <v>1</v>
      </c>
      <c r="D591">
        <v>60.85</v>
      </c>
      <c r="G591" t="s">
        <v>85</v>
      </c>
      <c r="H591">
        <v>818330484</v>
      </c>
      <c r="I591" t="s">
        <v>29</v>
      </c>
      <c r="J591" t="s">
        <v>29</v>
      </c>
      <c r="K591" t="str">
        <f>IF(Table3[[#This Row],[Type Received]]=2,"CC",(IF(Table3[[#This Row],[Type Received]]=3,"BILL","ACH")))</f>
        <v>ACH</v>
      </c>
    </row>
    <row r="592" spans="1:11" x14ac:dyDescent="0.25">
      <c r="A592">
        <v>258485</v>
      </c>
      <c r="B592" s="3">
        <v>46144</v>
      </c>
      <c r="C592">
        <v>1</v>
      </c>
      <c r="D592">
        <v>84.94</v>
      </c>
      <c r="G592" t="s">
        <v>89</v>
      </c>
      <c r="H592">
        <v>535361196</v>
      </c>
      <c r="I592" t="s">
        <v>29</v>
      </c>
      <c r="K592" t="str">
        <f>IF(Table3[[#This Row],[Type Received]]=2,"CC",(IF(Table3[[#This Row],[Type Received]]=3,"BILL","ACH")))</f>
        <v>ACH</v>
      </c>
    </row>
    <row r="593" spans="1:11" x14ac:dyDescent="0.25">
      <c r="A593">
        <v>258486</v>
      </c>
      <c r="B593" s="3">
        <v>46144</v>
      </c>
      <c r="C593">
        <v>1</v>
      </c>
      <c r="D593">
        <v>87.91</v>
      </c>
      <c r="G593" s="4" t="s">
        <v>89</v>
      </c>
      <c r="H593">
        <v>535336967</v>
      </c>
      <c r="I593" t="s">
        <v>29</v>
      </c>
      <c r="J593" t="s">
        <v>29</v>
      </c>
      <c r="K593" t="str">
        <f>IF(Table3[[#This Row],[Type Received]]=2,"CC",(IF(Table3[[#This Row],[Type Received]]=3,"BILL","ACH")))</f>
        <v>ACH</v>
      </c>
    </row>
    <row r="594" spans="1:11" x14ac:dyDescent="0.25">
      <c r="A594">
        <v>258488</v>
      </c>
      <c r="B594" s="3">
        <v>46157</v>
      </c>
      <c r="C594">
        <v>1</v>
      </c>
      <c r="D594">
        <v>63.82</v>
      </c>
      <c r="G594" t="s">
        <v>87</v>
      </c>
      <c r="H594">
        <v>696641777</v>
      </c>
      <c r="I594" t="s">
        <v>29</v>
      </c>
      <c r="K594" t="str">
        <f>IF(Table3[[#This Row],[Type Received]]=2,"CC",(IF(Table3[[#This Row],[Type Received]]=3,"BILL","ACH")))</f>
        <v>ACH</v>
      </c>
    </row>
    <row r="595" spans="1:11" x14ac:dyDescent="0.25">
      <c r="A595">
        <v>258504</v>
      </c>
      <c r="B595" s="3">
        <v>46157</v>
      </c>
      <c r="C595">
        <v>2</v>
      </c>
      <c r="D595">
        <v>77.569999999999993</v>
      </c>
      <c r="F595" t="s">
        <v>134</v>
      </c>
      <c r="G595" t="s">
        <v>28</v>
      </c>
      <c r="H595">
        <v>696636957</v>
      </c>
      <c r="I595" t="s">
        <v>29</v>
      </c>
      <c r="J595" t="s">
        <v>29</v>
      </c>
      <c r="K595" t="str">
        <f>IF(Table3[[#This Row],[Type Received]]=2,"CC",(IF(Table3[[#This Row],[Type Received]]=3,"BILL","ACH")))</f>
        <v>CC</v>
      </c>
    </row>
    <row r="596" spans="1:11" x14ac:dyDescent="0.25">
      <c r="A596">
        <v>258508</v>
      </c>
      <c r="B596" s="3">
        <v>46155</v>
      </c>
      <c r="C596">
        <v>2</v>
      </c>
      <c r="D596">
        <v>104.08</v>
      </c>
      <c r="F596" t="s">
        <v>135</v>
      </c>
      <c r="G596" t="s">
        <v>28</v>
      </c>
      <c r="H596">
        <v>669436999</v>
      </c>
      <c r="I596" t="s">
        <v>29</v>
      </c>
      <c r="J596" t="s">
        <v>29</v>
      </c>
      <c r="K596" t="str">
        <f>IF(Table3[[#This Row],[Type Received]]=2,"CC",(IF(Table3[[#This Row],[Type Received]]=3,"BILL","ACH")))</f>
        <v>CC</v>
      </c>
    </row>
    <row r="597" spans="1:11" x14ac:dyDescent="0.25">
      <c r="A597">
        <v>258512</v>
      </c>
      <c r="B597" s="3">
        <v>46147</v>
      </c>
      <c r="C597">
        <v>3</v>
      </c>
      <c r="D597">
        <v>41.95</v>
      </c>
      <c r="E597">
        <v>7904</v>
      </c>
      <c r="J597" t="s">
        <v>29</v>
      </c>
      <c r="K597" t="str">
        <f>IF(Table3[[#This Row],[Type Received]]=2,"CC",(IF(Table3[[#This Row],[Type Received]]=3,"BILL","ACH")))</f>
        <v>BILL</v>
      </c>
    </row>
    <row r="598" spans="1:11" x14ac:dyDescent="0.25">
      <c r="A598">
        <v>258514</v>
      </c>
      <c r="B598" s="3">
        <v>46144</v>
      </c>
      <c r="C598">
        <v>1</v>
      </c>
      <c r="D598">
        <v>53.15</v>
      </c>
      <c r="G598" t="s">
        <v>89</v>
      </c>
      <c r="H598">
        <v>535362173</v>
      </c>
      <c r="I598" t="s">
        <v>29</v>
      </c>
      <c r="J598" t="s">
        <v>29</v>
      </c>
      <c r="K598" t="str">
        <f>IF(Table3[[#This Row],[Type Received]]=2,"CC",(IF(Table3[[#This Row],[Type Received]]=3,"BILL","ACH")))</f>
        <v>ACH</v>
      </c>
    </row>
    <row r="599" spans="1:11" x14ac:dyDescent="0.25">
      <c r="A599">
        <v>258518</v>
      </c>
      <c r="B599" s="3">
        <v>46143</v>
      </c>
      <c r="C599">
        <v>2</v>
      </c>
      <c r="D599">
        <v>44.79</v>
      </c>
      <c r="F599">
        <v>1308</v>
      </c>
      <c r="G599" t="s">
        <v>28</v>
      </c>
      <c r="H599">
        <v>522276598</v>
      </c>
      <c r="I599" t="s">
        <v>29</v>
      </c>
      <c r="K599" t="str">
        <f>IF(Table3[[#This Row],[Type Received]]=2,"CC",(IF(Table3[[#This Row],[Type Received]]=3,"BILL","ACH")))</f>
        <v>CC</v>
      </c>
    </row>
    <row r="600" spans="1:11" x14ac:dyDescent="0.25">
      <c r="A600">
        <v>258526</v>
      </c>
      <c r="B600" s="3">
        <v>46147</v>
      </c>
      <c r="C600">
        <v>3</v>
      </c>
      <c r="D600">
        <v>128.19</v>
      </c>
      <c r="E600">
        <v>8102</v>
      </c>
      <c r="J600" t="s">
        <v>29</v>
      </c>
      <c r="K600" t="str">
        <f>IF(Table3[[#This Row],[Type Received]]=2,"CC",(IF(Table3[[#This Row],[Type Received]]=3,"BILL","ACH")))</f>
        <v>BILL</v>
      </c>
    </row>
    <row r="601" spans="1:11" x14ac:dyDescent="0.25">
      <c r="A601">
        <v>258541</v>
      </c>
      <c r="B601" s="3">
        <v>46162</v>
      </c>
      <c r="C601">
        <v>2</v>
      </c>
      <c r="D601">
        <v>116.95</v>
      </c>
      <c r="F601">
        <v>726684</v>
      </c>
      <c r="G601" t="s">
        <v>28</v>
      </c>
      <c r="H601">
        <v>757840297</v>
      </c>
      <c r="I601" t="s">
        <v>29</v>
      </c>
      <c r="J601" t="s">
        <v>29</v>
      </c>
      <c r="K601" t="str">
        <f>IF(Table3[[#This Row],[Type Received]]=2,"CC",(IF(Table3[[#This Row],[Type Received]]=3,"BILL","ACH")))</f>
        <v>CC</v>
      </c>
    </row>
    <row r="602" spans="1:11" x14ac:dyDescent="0.25">
      <c r="A602">
        <v>258542</v>
      </c>
      <c r="B602" s="3">
        <v>46167</v>
      </c>
      <c r="C602">
        <v>1</v>
      </c>
      <c r="D602">
        <v>68.44</v>
      </c>
      <c r="G602" t="s">
        <v>85</v>
      </c>
      <c r="H602">
        <v>818322682</v>
      </c>
      <c r="I602" t="s">
        <v>29</v>
      </c>
      <c r="J602" t="s">
        <v>29</v>
      </c>
      <c r="K602" t="str">
        <f>IF(Table3[[#This Row],[Type Received]]=2,"CC",(IF(Table3[[#This Row],[Type Received]]=3,"BILL","ACH")))</f>
        <v>ACH</v>
      </c>
    </row>
    <row r="603" spans="1:11" x14ac:dyDescent="0.25">
      <c r="A603">
        <v>258544</v>
      </c>
      <c r="B603" s="3">
        <v>46144</v>
      </c>
      <c r="C603">
        <v>1</v>
      </c>
      <c r="D603">
        <v>98.91</v>
      </c>
      <c r="G603" s="4" t="s">
        <v>89</v>
      </c>
      <c r="H603">
        <v>535357336</v>
      </c>
      <c r="I603" t="s">
        <v>29</v>
      </c>
      <c r="J603" t="s">
        <v>29</v>
      </c>
      <c r="K603" t="str">
        <f>IF(Table3[[#This Row],[Type Received]]=2,"CC",(IF(Table3[[#This Row],[Type Received]]=3,"BILL","ACH")))</f>
        <v>ACH</v>
      </c>
    </row>
    <row r="604" spans="1:11" x14ac:dyDescent="0.25">
      <c r="A604">
        <v>258546</v>
      </c>
      <c r="B604" s="3">
        <v>46157</v>
      </c>
      <c r="C604">
        <v>1</v>
      </c>
      <c r="D604">
        <v>83.62</v>
      </c>
      <c r="G604" t="s">
        <v>87</v>
      </c>
      <c r="H604">
        <v>696638903</v>
      </c>
      <c r="I604" t="s">
        <v>29</v>
      </c>
      <c r="J604" t="s">
        <v>29</v>
      </c>
      <c r="K604" t="str">
        <f>IF(Table3[[#This Row],[Type Received]]=2,"CC",(IF(Table3[[#This Row],[Type Received]]=3,"BILL","ACH")))</f>
        <v>ACH</v>
      </c>
    </row>
    <row r="605" spans="1:11" x14ac:dyDescent="0.25">
      <c r="A605">
        <v>258571</v>
      </c>
      <c r="B605" s="3">
        <v>46157</v>
      </c>
      <c r="C605">
        <v>1</v>
      </c>
      <c r="D605">
        <v>95.17</v>
      </c>
      <c r="G605" t="s">
        <v>87</v>
      </c>
      <c r="H605">
        <v>696656311</v>
      </c>
      <c r="I605" t="s">
        <v>29</v>
      </c>
      <c r="K605" t="str">
        <f>IF(Table3[[#This Row],[Type Received]]=2,"CC",(IF(Table3[[#This Row],[Type Received]]=3,"BILL","ACH")))</f>
        <v>ACH</v>
      </c>
    </row>
    <row r="606" spans="1:11" x14ac:dyDescent="0.25">
      <c r="A606">
        <v>258564</v>
      </c>
      <c r="B606" s="3">
        <v>46157</v>
      </c>
      <c r="C606">
        <v>1</v>
      </c>
      <c r="D606">
        <v>29.61</v>
      </c>
      <c r="G606" t="s">
        <v>87</v>
      </c>
      <c r="H606">
        <v>696635056</v>
      </c>
      <c r="I606" t="s">
        <v>29</v>
      </c>
      <c r="J606" t="s">
        <v>29</v>
      </c>
      <c r="K606" t="str">
        <f>IF(Table3[[#This Row],[Type Received]]=2,"CC",(IF(Table3[[#This Row],[Type Received]]=3,"BILL","ACH")))</f>
        <v>ACH</v>
      </c>
    </row>
    <row r="607" spans="1:11" x14ac:dyDescent="0.25">
      <c r="A607">
        <v>258572</v>
      </c>
      <c r="B607" s="3">
        <v>46167</v>
      </c>
      <c r="C607">
        <v>1</v>
      </c>
      <c r="D607">
        <v>97.15</v>
      </c>
      <c r="G607" t="s">
        <v>85</v>
      </c>
      <c r="H607">
        <v>818336317</v>
      </c>
      <c r="I607" t="s">
        <v>29</v>
      </c>
      <c r="J607" t="s">
        <v>29</v>
      </c>
      <c r="K607" t="str">
        <f>IF(Table3[[#This Row],[Type Received]]=2,"CC",(IF(Table3[[#This Row],[Type Received]]=3,"BILL","ACH")))</f>
        <v>ACH</v>
      </c>
    </row>
    <row r="608" spans="1:11" x14ac:dyDescent="0.25">
      <c r="A608">
        <v>258580</v>
      </c>
      <c r="B608" s="3">
        <v>46157</v>
      </c>
      <c r="C608">
        <v>1</v>
      </c>
      <c r="D608">
        <v>106.06</v>
      </c>
      <c r="G608" t="s">
        <v>87</v>
      </c>
      <c r="H608">
        <v>696654432</v>
      </c>
      <c r="I608" t="s">
        <v>29</v>
      </c>
      <c r="J608" t="s">
        <v>29</v>
      </c>
      <c r="K608" t="str">
        <f>IF(Table3[[#This Row],[Type Received]]=2,"CC",(IF(Table3[[#This Row],[Type Received]]=3,"BILL","ACH")))</f>
        <v>ACH</v>
      </c>
    </row>
    <row r="609" spans="1:11" x14ac:dyDescent="0.25">
      <c r="A609">
        <v>258579</v>
      </c>
      <c r="B609" s="3">
        <v>46155</v>
      </c>
      <c r="C609">
        <v>2</v>
      </c>
      <c r="D609">
        <v>138.4</v>
      </c>
      <c r="F609">
        <v>639673</v>
      </c>
      <c r="G609" t="s">
        <v>28</v>
      </c>
      <c r="H609">
        <v>669439995</v>
      </c>
      <c r="I609" t="s">
        <v>29</v>
      </c>
      <c r="J609" t="s">
        <v>29</v>
      </c>
      <c r="K609" t="str">
        <f>IF(Table3[[#This Row],[Type Received]]=2,"CC",(IF(Table3[[#This Row],[Type Received]]=3,"BILL","ACH")))</f>
        <v>CC</v>
      </c>
    </row>
    <row r="610" spans="1:11" x14ac:dyDescent="0.25">
      <c r="A610">
        <v>258581</v>
      </c>
      <c r="B610" s="3">
        <v>46167</v>
      </c>
      <c r="C610">
        <v>1</v>
      </c>
      <c r="D610">
        <v>65.25</v>
      </c>
      <c r="G610" t="s">
        <v>85</v>
      </c>
      <c r="H610">
        <v>818333486</v>
      </c>
      <c r="I610" t="s">
        <v>29</v>
      </c>
      <c r="J610" t="s">
        <v>29</v>
      </c>
      <c r="K610" t="str">
        <f>IF(Table3[[#This Row],[Type Received]]=2,"CC",(IF(Table3[[#This Row],[Type Received]]=3,"BILL","ACH")))</f>
        <v>ACH</v>
      </c>
    </row>
    <row r="611" spans="1:11" x14ac:dyDescent="0.25">
      <c r="A611">
        <v>258589</v>
      </c>
      <c r="B611" s="3">
        <v>46157</v>
      </c>
      <c r="C611">
        <v>1</v>
      </c>
      <c r="D611">
        <v>163.47999999999999</v>
      </c>
      <c r="G611" t="s">
        <v>87</v>
      </c>
      <c r="H611">
        <v>696642853</v>
      </c>
      <c r="I611" t="s">
        <v>29</v>
      </c>
      <c r="J611" t="s">
        <v>29</v>
      </c>
      <c r="K611" t="str">
        <f>IF(Table3[[#This Row],[Type Received]]=2,"CC",(IF(Table3[[#This Row],[Type Received]]=3,"BILL","ACH")))</f>
        <v>ACH</v>
      </c>
    </row>
    <row r="612" spans="1:11" x14ac:dyDescent="0.25">
      <c r="A612">
        <v>258593</v>
      </c>
      <c r="B612" s="3">
        <v>46149</v>
      </c>
      <c r="C612">
        <v>3</v>
      </c>
      <c r="D612">
        <v>75.72</v>
      </c>
      <c r="E612">
        <v>1015</v>
      </c>
      <c r="K612" t="str">
        <f>IF(Table3[[#This Row],[Type Received]]=2,"CC",(IF(Table3[[#This Row],[Type Received]]=3,"BILL","ACH")))</f>
        <v>BILL</v>
      </c>
    </row>
    <row r="613" spans="1:11" x14ac:dyDescent="0.25">
      <c r="A613">
        <v>258599</v>
      </c>
      <c r="B613" s="3">
        <v>46167</v>
      </c>
      <c r="C613">
        <v>1</v>
      </c>
      <c r="D613">
        <v>105.95</v>
      </c>
      <c r="G613" s="4" t="s">
        <v>85</v>
      </c>
      <c r="H613">
        <v>818336342</v>
      </c>
      <c r="I613" t="s">
        <v>29</v>
      </c>
      <c r="K613" t="str">
        <f>IF(Table3[[#This Row],[Type Received]]=2,"CC",(IF(Table3[[#This Row],[Type Received]]=3,"BILL","ACH")))</f>
        <v>ACH</v>
      </c>
    </row>
    <row r="614" spans="1:11" x14ac:dyDescent="0.25">
      <c r="A614">
        <v>258600</v>
      </c>
      <c r="B614" s="3">
        <v>46157</v>
      </c>
      <c r="C614">
        <v>1</v>
      </c>
      <c r="D614">
        <v>45.01</v>
      </c>
      <c r="G614" t="s">
        <v>87</v>
      </c>
      <c r="H614">
        <v>696660189</v>
      </c>
      <c r="I614" t="s">
        <v>29</v>
      </c>
      <c r="J614" t="s">
        <v>29</v>
      </c>
      <c r="K614" t="str">
        <f>IF(Table3[[#This Row],[Type Received]]=2,"CC",(IF(Table3[[#This Row],[Type Received]]=3,"BILL","ACH")))</f>
        <v>ACH</v>
      </c>
    </row>
    <row r="615" spans="1:11" x14ac:dyDescent="0.25">
      <c r="A615">
        <v>258604</v>
      </c>
      <c r="B615" s="3">
        <v>46144</v>
      </c>
      <c r="C615">
        <v>1</v>
      </c>
      <c r="D615">
        <v>51.61</v>
      </c>
      <c r="G615" t="s">
        <v>89</v>
      </c>
      <c r="H615">
        <v>535361242</v>
      </c>
      <c r="I615" t="s">
        <v>29</v>
      </c>
      <c r="J615" t="s">
        <v>29</v>
      </c>
      <c r="K615" t="str">
        <f>IF(Table3[[#This Row],[Type Received]]=2,"CC",(IF(Table3[[#This Row],[Type Received]]=3,"BILL","ACH")))</f>
        <v>ACH</v>
      </c>
    </row>
    <row r="616" spans="1:11" x14ac:dyDescent="0.25">
      <c r="A616">
        <v>258609</v>
      </c>
      <c r="B616" s="3">
        <v>46169</v>
      </c>
      <c r="C616">
        <v>3</v>
      </c>
      <c r="D616">
        <v>138.78</v>
      </c>
      <c r="E616">
        <v>19830276575</v>
      </c>
      <c r="J616" t="s">
        <v>29</v>
      </c>
      <c r="K616" t="str">
        <f>IF(Table3[[#This Row],[Type Received]]=2,"CC",(IF(Table3[[#This Row],[Type Received]]=3,"BILL","ACH")))</f>
        <v>BILL</v>
      </c>
    </row>
    <row r="617" spans="1:11" x14ac:dyDescent="0.25">
      <c r="A617">
        <v>258612</v>
      </c>
      <c r="B617" s="3">
        <v>46144</v>
      </c>
      <c r="C617">
        <v>1</v>
      </c>
      <c r="D617">
        <v>51.61</v>
      </c>
      <c r="G617" t="s">
        <v>89</v>
      </c>
      <c r="H617">
        <v>535338024</v>
      </c>
      <c r="I617" t="s">
        <v>29</v>
      </c>
      <c r="J617" t="s">
        <v>29</v>
      </c>
      <c r="K617" t="str">
        <f>IF(Table3[[#This Row],[Type Received]]=2,"CC",(IF(Table3[[#This Row],[Type Received]]=3,"BILL","ACH")))</f>
        <v>ACH</v>
      </c>
    </row>
    <row r="618" spans="1:11" x14ac:dyDescent="0.25">
      <c r="A618">
        <v>258617</v>
      </c>
      <c r="B618" s="3">
        <v>46144</v>
      </c>
      <c r="C618">
        <v>1</v>
      </c>
      <c r="D618">
        <v>34.450000000000003</v>
      </c>
      <c r="G618" t="s">
        <v>89</v>
      </c>
      <c r="H618">
        <v>535338033</v>
      </c>
      <c r="I618" t="s">
        <v>29</v>
      </c>
      <c r="K618" t="str">
        <f>IF(Table3[[#This Row],[Type Received]]=2,"CC",(IF(Table3[[#This Row],[Type Received]]=3,"BILL","ACH")))</f>
        <v>ACH</v>
      </c>
    </row>
    <row r="619" spans="1:11" x14ac:dyDescent="0.25">
      <c r="A619">
        <v>258621</v>
      </c>
      <c r="B619" s="3">
        <v>46167</v>
      </c>
      <c r="C619">
        <v>1</v>
      </c>
      <c r="D619">
        <v>66.459999999999994</v>
      </c>
      <c r="G619" t="s">
        <v>85</v>
      </c>
      <c r="H619">
        <v>818316053</v>
      </c>
      <c r="I619" t="s">
        <v>29</v>
      </c>
      <c r="K619" t="str">
        <f>IF(Table3[[#This Row],[Type Received]]=2,"CC",(IF(Table3[[#This Row],[Type Received]]=3,"BILL","ACH")))</f>
        <v>ACH</v>
      </c>
    </row>
    <row r="620" spans="1:11" x14ac:dyDescent="0.25">
      <c r="A620">
        <v>258628</v>
      </c>
      <c r="B620" s="3">
        <v>46144</v>
      </c>
      <c r="C620">
        <v>1</v>
      </c>
      <c r="D620">
        <v>46.99</v>
      </c>
      <c r="G620" t="s">
        <v>89</v>
      </c>
      <c r="H620">
        <v>535363183</v>
      </c>
      <c r="I620" t="s">
        <v>29</v>
      </c>
      <c r="J620" t="s">
        <v>29</v>
      </c>
      <c r="K620" t="str">
        <f>IF(Table3[[#This Row],[Type Received]]=2,"CC",(IF(Table3[[#This Row],[Type Received]]=3,"BILL","ACH")))</f>
        <v>ACH</v>
      </c>
    </row>
    <row r="621" spans="1:11" x14ac:dyDescent="0.25">
      <c r="A621">
        <v>258634</v>
      </c>
      <c r="B621" s="3">
        <v>46167</v>
      </c>
      <c r="C621">
        <v>1</v>
      </c>
      <c r="D621">
        <v>82.63</v>
      </c>
      <c r="G621" t="s">
        <v>85</v>
      </c>
      <c r="H621">
        <v>818341181</v>
      </c>
      <c r="I621" t="s">
        <v>29</v>
      </c>
      <c r="K621" t="str">
        <f>IF(Table3[[#This Row],[Type Received]]=2,"CC",(IF(Table3[[#This Row],[Type Received]]=3,"BILL","ACH")))</f>
        <v>ACH</v>
      </c>
    </row>
    <row r="622" spans="1:11" x14ac:dyDescent="0.25">
      <c r="A622">
        <v>258636</v>
      </c>
      <c r="B622" s="3">
        <v>46164</v>
      </c>
      <c r="C622">
        <v>3</v>
      </c>
      <c r="D622">
        <v>145</v>
      </c>
      <c r="E622">
        <v>923196158</v>
      </c>
      <c r="J622" t="s">
        <v>29</v>
      </c>
      <c r="K622" t="str">
        <f>IF(Table3[[#This Row],[Type Received]]=2,"CC",(IF(Table3[[#This Row],[Type Received]]=3,"BILL","ACH")))</f>
        <v>BILL</v>
      </c>
    </row>
    <row r="623" spans="1:11" x14ac:dyDescent="0.25">
      <c r="A623">
        <v>258652</v>
      </c>
      <c r="B623" s="3">
        <v>46155</v>
      </c>
      <c r="C623">
        <v>2</v>
      </c>
      <c r="D623">
        <v>35.770000000000003</v>
      </c>
      <c r="F623">
        <v>135326</v>
      </c>
      <c r="G623" t="s">
        <v>28</v>
      </c>
      <c r="H623">
        <v>669459183</v>
      </c>
      <c r="I623" t="s">
        <v>29</v>
      </c>
      <c r="J623" t="s">
        <v>29</v>
      </c>
      <c r="K623" t="str">
        <f>IF(Table3[[#This Row],[Type Received]]=2,"CC",(IF(Table3[[#This Row],[Type Received]]=3,"BILL","ACH")))</f>
        <v>CC</v>
      </c>
    </row>
    <row r="624" spans="1:11" x14ac:dyDescent="0.25">
      <c r="A624">
        <v>258653</v>
      </c>
      <c r="B624" s="3">
        <v>46157</v>
      </c>
      <c r="C624">
        <v>1</v>
      </c>
      <c r="D624">
        <v>153.25</v>
      </c>
      <c r="G624" t="s">
        <v>87</v>
      </c>
      <c r="H624">
        <v>696664153</v>
      </c>
      <c r="I624" t="s">
        <v>29</v>
      </c>
      <c r="J624" t="s">
        <v>29</v>
      </c>
      <c r="K624" t="str">
        <f>IF(Table3[[#This Row],[Type Received]]=2,"CC",(IF(Table3[[#This Row],[Type Received]]=3,"BILL","ACH")))</f>
        <v>ACH</v>
      </c>
    </row>
    <row r="625" spans="1:11" x14ac:dyDescent="0.25">
      <c r="A625">
        <v>258663</v>
      </c>
      <c r="B625" s="3">
        <v>46167</v>
      </c>
      <c r="C625">
        <v>1</v>
      </c>
      <c r="D625">
        <v>47.21</v>
      </c>
      <c r="G625" s="4" t="s">
        <v>85</v>
      </c>
      <c r="H625">
        <v>818320929</v>
      </c>
      <c r="I625" t="s">
        <v>29</v>
      </c>
      <c r="J625" t="s">
        <v>29</v>
      </c>
      <c r="K625" t="str">
        <f>IF(Table3[[#This Row],[Type Received]]=2,"CC",(IF(Table3[[#This Row],[Type Received]]=3,"BILL","ACH")))</f>
        <v>ACH</v>
      </c>
    </row>
    <row r="626" spans="1:11" x14ac:dyDescent="0.25">
      <c r="A626">
        <v>258662</v>
      </c>
      <c r="B626" s="3">
        <v>46144</v>
      </c>
      <c r="C626">
        <v>1</v>
      </c>
      <c r="D626">
        <v>31.15</v>
      </c>
      <c r="G626" t="s">
        <v>89</v>
      </c>
      <c r="H626">
        <v>535355447</v>
      </c>
      <c r="I626" t="s">
        <v>29</v>
      </c>
      <c r="J626" t="s">
        <v>29</v>
      </c>
      <c r="K626" t="str">
        <f>IF(Table3[[#This Row],[Type Received]]=2,"CC",(IF(Table3[[#This Row],[Type Received]]=3,"BILL","ACH")))</f>
        <v>ACH</v>
      </c>
    </row>
    <row r="627" spans="1:11" x14ac:dyDescent="0.25">
      <c r="A627">
        <v>258664</v>
      </c>
      <c r="B627" s="3">
        <v>46167</v>
      </c>
      <c r="C627">
        <v>1</v>
      </c>
      <c r="D627">
        <v>55.57</v>
      </c>
      <c r="G627" t="s">
        <v>85</v>
      </c>
      <c r="H627">
        <v>818335459</v>
      </c>
      <c r="I627" t="s">
        <v>29</v>
      </c>
      <c r="J627" t="s">
        <v>29</v>
      </c>
      <c r="K627" t="str">
        <f>IF(Table3[[#This Row],[Type Received]]=2,"CC",(IF(Table3[[#This Row],[Type Received]]=3,"BILL","ACH")))</f>
        <v>ACH</v>
      </c>
    </row>
    <row r="628" spans="1:11" x14ac:dyDescent="0.25">
      <c r="A628">
        <v>258665</v>
      </c>
      <c r="B628" s="3">
        <v>46167</v>
      </c>
      <c r="C628">
        <v>1</v>
      </c>
      <c r="D628">
        <v>50.95</v>
      </c>
      <c r="G628" t="s">
        <v>85</v>
      </c>
      <c r="H628">
        <v>818333541</v>
      </c>
      <c r="I628" t="s">
        <v>29</v>
      </c>
      <c r="J628" t="s">
        <v>29</v>
      </c>
      <c r="K628" t="str">
        <f>IF(Table3[[#This Row],[Type Received]]=2,"CC",(IF(Table3[[#This Row],[Type Received]]=3,"BILL","ACH")))</f>
        <v>ACH</v>
      </c>
    </row>
    <row r="629" spans="1:11" x14ac:dyDescent="0.25">
      <c r="A629">
        <v>258670</v>
      </c>
      <c r="B629" s="3">
        <v>46157</v>
      </c>
      <c r="C629">
        <v>1</v>
      </c>
      <c r="D629">
        <v>74.709999999999994</v>
      </c>
      <c r="G629" t="s">
        <v>87</v>
      </c>
      <c r="H629">
        <v>696639970</v>
      </c>
      <c r="I629" t="s">
        <v>29</v>
      </c>
      <c r="J629" t="s">
        <v>29</v>
      </c>
      <c r="K629" t="str">
        <f>IF(Table3[[#This Row],[Type Received]]=2,"CC",(IF(Table3[[#This Row],[Type Received]]=3,"BILL","ACH")))</f>
        <v>ACH</v>
      </c>
    </row>
    <row r="630" spans="1:11" x14ac:dyDescent="0.25">
      <c r="A630">
        <v>258683</v>
      </c>
      <c r="B630" s="3">
        <v>46158</v>
      </c>
      <c r="C630">
        <v>2</v>
      </c>
      <c r="D630">
        <v>145</v>
      </c>
      <c r="F630">
        <v>14226</v>
      </c>
      <c r="G630">
        <v>746001048</v>
      </c>
      <c r="H630">
        <v>354854127</v>
      </c>
      <c r="J630" t="s">
        <v>29</v>
      </c>
      <c r="K630" t="str">
        <f>IF(Table3[[#This Row],[Type Received]]=2,"CC",(IF(Table3[[#This Row],[Type Received]]=3,"BILL","ACH")))</f>
        <v>CC</v>
      </c>
    </row>
    <row r="631" spans="1:11" x14ac:dyDescent="0.25">
      <c r="A631">
        <v>258686</v>
      </c>
      <c r="B631" s="3">
        <v>46157</v>
      </c>
      <c r="C631">
        <v>1</v>
      </c>
      <c r="D631">
        <v>30.05</v>
      </c>
      <c r="G631" t="s">
        <v>87</v>
      </c>
      <c r="H631">
        <v>696646709</v>
      </c>
      <c r="I631" t="s">
        <v>29</v>
      </c>
      <c r="J631" t="s">
        <v>29</v>
      </c>
      <c r="K631" t="str">
        <f>IF(Table3[[#This Row],[Type Received]]=2,"CC",(IF(Table3[[#This Row],[Type Received]]=3,"BILL","ACH")))</f>
        <v>ACH</v>
      </c>
    </row>
    <row r="632" spans="1:11" x14ac:dyDescent="0.25">
      <c r="A632">
        <v>258690</v>
      </c>
      <c r="B632" s="3">
        <v>46167</v>
      </c>
      <c r="C632">
        <v>1</v>
      </c>
      <c r="D632">
        <v>44.35</v>
      </c>
      <c r="G632" t="s">
        <v>85</v>
      </c>
      <c r="H632">
        <v>818318019</v>
      </c>
      <c r="I632" t="s">
        <v>29</v>
      </c>
      <c r="J632" t="s">
        <v>29</v>
      </c>
      <c r="K632" t="str">
        <f>IF(Table3[[#This Row],[Type Received]]=2,"CC",(IF(Table3[[#This Row],[Type Received]]=3,"BILL","ACH")))</f>
        <v>ACH</v>
      </c>
    </row>
    <row r="633" spans="1:11" x14ac:dyDescent="0.25">
      <c r="A633">
        <v>258687</v>
      </c>
      <c r="B633" s="3">
        <v>46164</v>
      </c>
      <c r="C633">
        <v>1</v>
      </c>
      <c r="D633">
        <v>72.510000000000005</v>
      </c>
      <c r="G633" t="s">
        <v>118</v>
      </c>
      <c r="H633">
        <v>784580782</v>
      </c>
      <c r="I633" t="s">
        <v>29</v>
      </c>
      <c r="J633" t="s">
        <v>29</v>
      </c>
      <c r="K633" t="str">
        <f>IF(Table3[[#This Row],[Type Received]]=2,"CC",(IF(Table3[[#This Row],[Type Received]]=3,"BILL","ACH")))</f>
        <v>ACH</v>
      </c>
    </row>
    <row r="634" spans="1:11" x14ac:dyDescent="0.25">
      <c r="A634">
        <v>258687</v>
      </c>
      <c r="B634" s="3">
        <v>46157</v>
      </c>
      <c r="C634">
        <v>1</v>
      </c>
      <c r="D634">
        <v>72.510000000000005</v>
      </c>
      <c r="G634" t="s">
        <v>87</v>
      </c>
      <c r="H634">
        <v>696665158</v>
      </c>
      <c r="I634" t="s">
        <v>29</v>
      </c>
      <c r="J634" t="s">
        <v>29</v>
      </c>
      <c r="K634" t="str">
        <f>IF(Table3[[#This Row],[Type Received]]=2,"CC",(IF(Table3[[#This Row],[Type Received]]=3,"BILL","ACH")))</f>
        <v>ACH</v>
      </c>
    </row>
    <row r="635" spans="1:11" x14ac:dyDescent="0.25">
      <c r="A635">
        <v>258688</v>
      </c>
      <c r="B635" s="3">
        <v>46155</v>
      </c>
      <c r="C635">
        <v>2</v>
      </c>
      <c r="D635">
        <v>123.33</v>
      </c>
      <c r="F635" t="s">
        <v>136</v>
      </c>
      <c r="G635" t="s">
        <v>28</v>
      </c>
      <c r="H635">
        <v>669448519</v>
      </c>
      <c r="I635" t="s">
        <v>29</v>
      </c>
      <c r="J635" t="s">
        <v>29</v>
      </c>
      <c r="K635" t="str">
        <f>IF(Table3[[#This Row],[Type Received]]=2,"CC",(IF(Table3[[#This Row],[Type Received]]=3,"BILL","ACH")))</f>
        <v>CC</v>
      </c>
    </row>
    <row r="636" spans="1:11" x14ac:dyDescent="0.25">
      <c r="A636">
        <v>258693</v>
      </c>
      <c r="B636" s="3">
        <v>46167</v>
      </c>
      <c r="C636">
        <v>1</v>
      </c>
      <c r="D636">
        <v>34.450000000000003</v>
      </c>
      <c r="G636" t="s">
        <v>85</v>
      </c>
      <c r="H636">
        <v>818327631</v>
      </c>
      <c r="I636" t="s">
        <v>29</v>
      </c>
      <c r="K636" t="str">
        <f>IF(Table3[[#This Row],[Type Received]]=2,"CC",(IF(Table3[[#This Row],[Type Received]]=3,"BILL","ACH")))</f>
        <v>ACH</v>
      </c>
    </row>
    <row r="637" spans="1:11" x14ac:dyDescent="0.25">
      <c r="A637">
        <v>258694</v>
      </c>
      <c r="B637" s="3">
        <v>46156</v>
      </c>
      <c r="C637">
        <v>3</v>
      </c>
      <c r="D637">
        <v>151.62</v>
      </c>
      <c r="E637">
        <v>1478</v>
      </c>
      <c r="J637" t="s">
        <v>29</v>
      </c>
      <c r="K637" t="str">
        <f>IF(Table3[[#This Row],[Type Received]]=2,"CC",(IF(Table3[[#This Row],[Type Received]]=3,"BILL","ACH")))</f>
        <v>BILL</v>
      </c>
    </row>
    <row r="638" spans="1:11" x14ac:dyDescent="0.25">
      <c r="A638">
        <v>258704</v>
      </c>
      <c r="B638" s="3">
        <v>46157</v>
      </c>
      <c r="C638">
        <v>1</v>
      </c>
      <c r="D638">
        <v>70.09</v>
      </c>
      <c r="G638" t="s">
        <v>87</v>
      </c>
      <c r="H638">
        <v>696706172</v>
      </c>
      <c r="I638" t="s">
        <v>29</v>
      </c>
      <c r="K638" t="str">
        <f>IF(Table3[[#This Row],[Type Received]]=2,"CC",(IF(Table3[[#This Row],[Type Received]]=3,"BILL","ACH")))</f>
        <v>ACH</v>
      </c>
    </row>
    <row r="639" spans="1:11" x14ac:dyDescent="0.25">
      <c r="A639">
        <v>258703</v>
      </c>
      <c r="B639" s="3">
        <v>46153</v>
      </c>
      <c r="C639">
        <v>3</v>
      </c>
      <c r="D639">
        <v>307.33</v>
      </c>
      <c r="E639">
        <v>318</v>
      </c>
      <c r="J639" t="s">
        <v>29</v>
      </c>
      <c r="K639" t="str">
        <f>IF(Table3[[#This Row],[Type Received]]=2,"CC",(IF(Table3[[#This Row],[Type Received]]=3,"BILL","ACH")))</f>
        <v>BILL</v>
      </c>
    </row>
    <row r="640" spans="1:11" x14ac:dyDescent="0.25">
      <c r="A640">
        <v>258702</v>
      </c>
      <c r="B640" s="3">
        <v>46144</v>
      </c>
      <c r="C640">
        <v>1</v>
      </c>
      <c r="D640">
        <v>66.790000000000006</v>
      </c>
      <c r="G640" t="s">
        <v>89</v>
      </c>
      <c r="H640">
        <v>535343813</v>
      </c>
      <c r="I640" t="s">
        <v>29</v>
      </c>
      <c r="J640" t="s">
        <v>29</v>
      </c>
      <c r="K640" t="str">
        <f>IF(Table3[[#This Row],[Type Received]]=2,"CC",(IF(Table3[[#This Row],[Type Received]]=3,"BILL","ACH")))</f>
        <v>ACH</v>
      </c>
    </row>
    <row r="641" spans="1:11" x14ac:dyDescent="0.25">
      <c r="A641">
        <v>258727</v>
      </c>
      <c r="B641" s="3">
        <v>46157</v>
      </c>
      <c r="C641">
        <v>1</v>
      </c>
      <c r="D641">
        <v>42.04</v>
      </c>
      <c r="G641" t="s">
        <v>87</v>
      </c>
      <c r="H641">
        <v>696640001</v>
      </c>
      <c r="I641" t="s">
        <v>29</v>
      </c>
      <c r="J641" t="s">
        <v>29</v>
      </c>
      <c r="K641" t="str">
        <f>IF(Table3[[#This Row],[Type Received]]=2,"CC",(IF(Table3[[#This Row],[Type Received]]=3,"BILL","ACH")))</f>
        <v>ACH</v>
      </c>
    </row>
    <row r="642" spans="1:11" x14ac:dyDescent="0.25">
      <c r="A642">
        <v>258719</v>
      </c>
      <c r="B642" s="3">
        <v>46167</v>
      </c>
      <c r="C642">
        <v>1</v>
      </c>
      <c r="D642">
        <v>48.97</v>
      </c>
      <c r="G642" t="s">
        <v>85</v>
      </c>
      <c r="H642">
        <v>818334523</v>
      </c>
      <c r="I642" t="s">
        <v>29</v>
      </c>
      <c r="J642" t="s">
        <v>29</v>
      </c>
      <c r="K642" t="str">
        <f>IF(Table3[[#This Row],[Type Received]]=2,"CC",(IF(Table3[[#This Row],[Type Received]]=3,"BILL","ACH")))</f>
        <v>ACH</v>
      </c>
    </row>
    <row r="643" spans="1:11" x14ac:dyDescent="0.25">
      <c r="A643">
        <v>258715</v>
      </c>
      <c r="B643" s="3">
        <v>46144</v>
      </c>
      <c r="C643">
        <v>2</v>
      </c>
      <c r="D643">
        <v>159.85</v>
      </c>
      <c r="F643">
        <v>519364</v>
      </c>
      <c r="G643" t="s">
        <v>28</v>
      </c>
      <c r="H643">
        <v>535355495</v>
      </c>
      <c r="I643" t="s">
        <v>29</v>
      </c>
      <c r="J643" t="s">
        <v>29</v>
      </c>
      <c r="K643" t="str">
        <f>IF(Table3[[#This Row],[Type Received]]=2,"CC",(IF(Table3[[#This Row],[Type Received]]=3,"BILL","ACH")))</f>
        <v>CC</v>
      </c>
    </row>
    <row r="644" spans="1:11" x14ac:dyDescent="0.25">
      <c r="A644">
        <v>258742</v>
      </c>
      <c r="B644" s="3">
        <v>46165</v>
      </c>
      <c r="C644">
        <v>1</v>
      </c>
      <c r="D644">
        <v>125.31</v>
      </c>
      <c r="G644" t="s">
        <v>137</v>
      </c>
      <c r="H644">
        <v>797277854</v>
      </c>
      <c r="I644" t="s">
        <v>29</v>
      </c>
      <c r="K644" t="str">
        <f>IF(Table3[[#This Row],[Type Received]]=2,"CC",(IF(Table3[[#This Row],[Type Received]]=3,"BILL","ACH")))</f>
        <v>ACH</v>
      </c>
    </row>
    <row r="645" spans="1:11" x14ac:dyDescent="0.25">
      <c r="A645">
        <v>258725</v>
      </c>
      <c r="B645" s="3">
        <v>46167</v>
      </c>
      <c r="C645">
        <v>1</v>
      </c>
      <c r="D645">
        <v>56.45</v>
      </c>
      <c r="G645" s="4" t="s">
        <v>85</v>
      </c>
      <c r="H645">
        <v>818322799</v>
      </c>
      <c r="I645" t="s">
        <v>29</v>
      </c>
      <c r="K645" t="str">
        <f>IF(Table3[[#This Row],[Type Received]]=2,"CC",(IF(Table3[[#This Row],[Type Received]]=3,"BILL","ACH")))</f>
        <v>ACH</v>
      </c>
    </row>
    <row r="646" spans="1:11" x14ac:dyDescent="0.25">
      <c r="A646">
        <v>258735</v>
      </c>
      <c r="B646" s="3">
        <v>46144</v>
      </c>
      <c r="C646">
        <v>1</v>
      </c>
      <c r="D646">
        <v>82.85</v>
      </c>
      <c r="G646" s="4" t="s">
        <v>89</v>
      </c>
      <c r="H646">
        <v>535344833</v>
      </c>
      <c r="I646" t="s">
        <v>29</v>
      </c>
      <c r="J646" t="s">
        <v>29</v>
      </c>
      <c r="K646" t="str">
        <f>IF(Table3[[#This Row],[Type Received]]=2,"CC",(IF(Table3[[#This Row],[Type Received]]=3,"BILL","ACH")))</f>
        <v>ACH</v>
      </c>
    </row>
    <row r="647" spans="1:11" x14ac:dyDescent="0.25">
      <c r="A647">
        <v>258728</v>
      </c>
      <c r="B647" s="3">
        <v>46144</v>
      </c>
      <c r="C647">
        <v>1</v>
      </c>
      <c r="D647">
        <v>38.74</v>
      </c>
      <c r="G647" t="s">
        <v>89</v>
      </c>
      <c r="H647">
        <v>535360341</v>
      </c>
      <c r="I647" t="s">
        <v>29</v>
      </c>
      <c r="K647" t="str">
        <f>IF(Table3[[#This Row],[Type Received]]=2,"CC",(IF(Table3[[#This Row],[Type Received]]=3,"BILL","ACH")))</f>
        <v>ACH</v>
      </c>
    </row>
    <row r="648" spans="1:11" x14ac:dyDescent="0.25">
      <c r="A648">
        <v>258730</v>
      </c>
      <c r="B648" s="3">
        <v>46146</v>
      </c>
      <c r="C648">
        <v>1</v>
      </c>
      <c r="D648">
        <v>39.729999999999997</v>
      </c>
      <c r="G648" t="s">
        <v>92</v>
      </c>
      <c r="H648">
        <v>557083442</v>
      </c>
      <c r="I648" t="s">
        <v>29</v>
      </c>
      <c r="J648" t="s">
        <v>29</v>
      </c>
      <c r="K648" t="str">
        <f>IF(Table3[[#This Row],[Type Received]]=2,"CC",(IF(Table3[[#This Row],[Type Received]]=3,"BILL","ACH")))</f>
        <v>ACH</v>
      </c>
    </row>
    <row r="649" spans="1:11" x14ac:dyDescent="0.25">
      <c r="A649">
        <v>258732</v>
      </c>
      <c r="B649" s="3">
        <v>46157</v>
      </c>
      <c r="C649">
        <v>1</v>
      </c>
      <c r="D649">
        <v>102.21</v>
      </c>
      <c r="G649" t="s">
        <v>87</v>
      </c>
      <c r="H649">
        <v>696640009</v>
      </c>
      <c r="I649" t="s">
        <v>29</v>
      </c>
      <c r="K649" t="str">
        <f>IF(Table3[[#This Row],[Type Received]]=2,"CC",(IF(Table3[[#This Row],[Type Received]]=3,"BILL","ACH")))</f>
        <v>ACH</v>
      </c>
    </row>
    <row r="650" spans="1:11" x14ac:dyDescent="0.25">
      <c r="A650">
        <v>258747</v>
      </c>
      <c r="B650" s="3">
        <v>46144</v>
      </c>
      <c r="C650">
        <v>1</v>
      </c>
      <c r="D650">
        <v>34.450000000000003</v>
      </c>
      <c r="G650" t="s">
        <v>89</v>
      </c>
      <c r="H650">
        <v>535353570</v>
      </c>
      <c r="I650" t="s">
        <v>29</v>
      </c>
      <c r="K650" t="str">
        <f>IF(Table3[[#This Row],[Type Received]]=2,"CC",(IF(Table3[[#This Row],[Type Received]]=3,"BILL","ACH")))</f>
        <v>ACH</v>
      </c>
    </row>
    <row r="651" spans="1:11" x14ac:dyDescent="0.25">
      <c r="A651">
        <v>258751</v>
      </c>
      <c r="B651" s="3">
        <v>46155</v>
      </c>
      <c r="C651">
        <v>2</v>
      </c>
      <c r="D651">
        <v>65.03</v>
      </c>
      <c r="F651" t="s">
        <v>138</v>
      </c>
      <c r="G651" t="s">
        <v>28</v>
      </c>
      <c r="H651">
        <v>669460183</v>
      </c>
      <c r="I651" t="s">
        <v>29</v>
      </c>
      <c r="J651" t="s">
        <v>29</v>
      </c>
      <c r="K651" t="str">
        <f>IF(Table3[[#This Row],[Type Received]]=2,"CC",(IF(Table3[[#This Row],[Type Received]]=3,"BILL","ACH")))</f>
        <v>CC</v>
      </c>
    </row>
    <row r="652" spans="1:11" x14ac:dyDescent="0.25">
      <c r="A652">
        <v>258752</v>
      </c>
      <c r="B652" s="3">
        <v>46167</v>
      </c>
      <c r="C652">
        <v>1</v>
      </c>
      <c r="D652">
        <v>93.85</v>
      </c>
      <c r="G652" s="4" t="s">
        <v>85</v>
      </c>
      <c r="H652">
        <v>818342248</v>
      </c>
      <c r="I652" t="s">
        <v>29</v>
      </c>
      <c r="J652" t="s">
        <v>29</v>
      </c>
      <c r="K652" t="str">
        <f>IF(Table3[[#This Row],[Type Received]]=2,"CC",(IF(Table3[[#This Row],[Type Received]]=3,"BILL","ACH")))</f>
        <v>ACH</v>
      </c>
    </row>
    <row r="653" spans="1:11" x14ac:dyDescent="0.25">
      <c r="A653">
        <v>258749</v>
      </c>
      <c r="B653" s="3">
        <v>46157</v>
      </c>
      <c r="C653">
        <v>2</v>
      </c>
      <c r="D653">
        <v>61.18</v>
      </c>
      <c r="F653">
        <v>58932</v>
      </c>
      <c r="G653" t="s">
        <v>28</v>
      </c>
      <c r="H653">
        <v>696661377</v>
      </c>
      <c r="I653" t="s">
        <v>29</v>
      </c>
      <c r="J653" t="s">
        <v>29</v>
      </c>
      <c r="K653" t="str">
        <f>IF(Table3[[#This Row],[Type Received]]=2,"CC",(IF(Table3[[#This Row],[Type Received]]=3,"BILL","ACH")))</f>
        <v>CC</v>
      </c>
    </row>
    <row r="654" spans="1:11" x14ac:dyDescent="0.25">
      <c r="A654">
        <v>258757</v>
      </c>
      <c r="B654" s="3">
        <v>46146</v>
      </c>
      <c r="C654">
        <v>2</v>
      </c>
      <c r="D654">
        <v>149.78</v>
      </c>
      <c r="F654">
        <v>14692</v>
      </c>
      <c r="G654">
        <v>742259380</v>
      </c>
      <c r="H654">
        <v>353417583</v>
      </c>
      <c r="J654" t="s">
        <v>29</v>
      </c>
      <c r="K654" t="str">
        <f>IF(Table3[[#This Row],[Type Received]]=2,"CC",(IF(Table3[[#This Row],[Type Received]]=3,"BILL","ACH")))</f>
        <v>CC</v>
      </c>
    </row>
    <row r="655" spans="1:11" x14ac:dyDescent="0.25">
      <c r="A655">
        <v>258766</v>
      </c>
      <c r="B655" s="3">
        <v>46144</v>
      </c>
      <c r="C655">
        <v>1</v>
      </c>
      <c r="D655">
        <v>53.92</v>
      </c>
      <c r="G655" t="s">
        <v>89</v>
      </c>
      <c r="H655">
        <v>535361366</v>
      </c>
      <c r="I655" t="s">
        <v>29</v>
      </c>
      <c r="J655" t="s">
        <v>29</v>
      </c>
      <c r="K655" t="str">
        <f>IF(Table3[[#This Row],[Type Received]]=2,"CC",(IF(Table3[[#This Row],[Type Received]]=3,"BILL","ACH")))</f>
        <v>ACH</v>
      </c>
    </row>
    <row r="656" spans="1:11" x14ac:dyDescent="0.25">
      <c r="A656">
        <v>258786</v>
      </c>
      <c r="B656" s="3">
        <v>46157</v>
      </c>
      <c r="C656">
        <v>1</v>
      </c>
      <c r="D656">
        <v>122.23</v>
      </c>
      <c r="G656" t="s">
        <v>87</v>
      </c>
      <c r="H656">
        <v>696659358</v>
      </c>
      <c r="I656" t="s">
        <v>29</v>
      </c>
      <c r="K656" t="str">
        <f>IF(Table3[[#This Row],[Type Received]]=2,"CC",(IF(Table3[[#This Row],[Type Received]]=3,"BILL","ACH")))</f>
        <v>ACH</v>
      </c>
    </row>
    <row r="657" spans="1:11" x14ac:dyDescent="0.25">
      <c r="A657">
        <v>258793</v>
      </c>
      <c r="B657" s="3">
        <v>46167</v>
      </c>
      <c r="C657">
        <v>1</v>
      </c>
      <c r="D657">
        <v>59.53</v>
      </c>
      <c r="G657" t="s">
        <v>85</v>
      </c>
      <c r="H657">
        <v>818341281</v>
      </c>
      <c r="I657" t="s">
        <v>29</v>
      </c>
      <c r="J657" t="s">
        <v>29</v>
      </c>
      <c r="K657" t="str">
        <f>IF(Table3[[#This Row],[Type Received]]=2,"CC",(IF(Table3[[#This Row],[Type Received]]=3,"BILL","ACH")))</f>
        <v>ACH</v>
      </c>
    </row>
    <row r="658" spans="1:11" x14ac:dyDescent="0.25">
      <c r="A658">
        <v>258796</v>
      </c>
      <c r="B658" s="3">
        <v>46144</v>
      </c>
      <c r="C658">
        <v>1</v>
      </c>
      <c r="D658">
        <v>81.64</v>
      </c>
      <c r="G658" t="s">
        <v>89</v>
      </c>
      <c r="H658">
        <v>535369103</v>
      </c>
      <c r="I658" t="s">
        <v>29</v>
      </c>
      <c r="J658" t="s">
        <v>29</v>
      </c>
      <c r="K658" t="str">
        <f>IF(Table3[[#This Row],[Type Received]]=2,"CC",(IF(Table3[[#This Row],[Type Received]]=3,"BILL","ACH")))</f>
        <v>ACH</v>
      </c>
    </row>
    <row r="659" spans="1:11" x14ac:dyDescent="0.25">
      <c r="A659">
        <v>258795</v>
      </c>
      <c r="B659" s="3">
        <v>46144</v>
      </c>
      <c r="C659">
        <v>1</v>
      </c>
      <c r="D659">
        <v>64.150000000000006</v>
      </c>
      <c r="G659" t="s">
        <v>89</v>
      </c>
      <c r="H659">
        <v>535344914</v>
      </c>
      <c r="I659" t="s">
        <v>29</v>
      </c>
      <c r="K659" t="str">
        <f>IF(Table3[[#This Row],[Type Received]]=2,"CC",(IF(Table3[[#This Row],[Type Received]]=3,"BILL","ACH")))</f>
        <v>ACH</v>
      </c>
    </row>
    <row r="660" spans="1:11" x14ac:dyDescent="0.25">
      <c r="A660">
        <v>258787</v>
      </c>
      <c r="B660" s="3">
        <v>46158</v>
      </c>
      <c r="C660">
        <v>1</v>
      </c>
      <c r="D660">
        <v>43.69</v>
      </c>
      <c r="G660" t="s">
        <v>106</v>
      </c>
      <c r="H660">
        <v>710034681</v>
      </c>
      <c r="I660" t="s">
        <v>29</v>
      </c>
      <c r="K660" t="str">
        <f>IF(Table3[[#This Row],[Type Received]]=2,"CC",(IF(Table3[[#This Row],[Type Received]]=3,"BILL","ACH")))</f>
        <v>ACH</v>
      </c>
    </row>
    <row r="661" spans="1:11" x14ac:dyDescent="0.25">
      <c r="A661">
        <v>258791</v>
      </c>
      <c r="B661" s="3">
        <v>46158</v>
      </c>
      <c r="C661">
        <v>2</v>
      </c>
      <c r="D661">
        <v>45.01</v>
      </c>
      <c r="F661">
        <v>263793</v>
      </c>
      <c r="G661" t="s">
        <v>28</v>
      </c>
      <c r="H661">
        <v>710024031</v>
      </c>
      <c r="I661" t="s">
        <v>29</v>
      </c>
      <c r="J661" t="s">
        <v>29</v>
      </c>
      <c r="K661" t="str">
        <f>IF(Table3[[#This Row],[Type Received]]=2,"CC",(IF(Table3[[#This Row],[Type Received]]=3,"BILL","ACH")))</f>
        <v>CC</v>
      </c>
    </row>
    <row r="662" spans="1:11" x14ac:dyDescent="0.25">
      <c r="A662">
        <v>258799</v>
      </c>
      <c r="B662" s="3">
        <v>46144</v>
      </c>
      <c r="C662">
        <v>1</v>
      </c>
      <c r="D662">
        <v>30.05</v>
      </c>
      <c r="G662" t="s">
        <v>89</v>
      </c>
      <c r="H662">
        <v>535341000</v>
      </c>
      <c r="I662" t="s">
        <v>29</v>
      </c>
      <c r="K662" t="str">
        <f>IF(Table3[[#This Row],[Type Received]]=2,"CC",(IF(Table3[[#This Row],[Type Received]]=3,"BILL","ACH")))</f>
        <v>ACH</v>
      </c>
    </row>
    <row r="663" spans="1:11" x14ac:dyDescent="0.25">
      <c r="A663">
        <v>258782</v>
      </c>
      <c r="B663" s="3">
        <v>46155</v>
      </c>
      <c r="C663">
        <v>2</v>
      </c>
      <c r="D663">
        <v>170.74</v>
      </c>
      <c r="F663" t="s">
        <v>139</v>
      </c>
      <c r="G663" t="s">
        <v>28</v>
      </c>
      <c r="H663">
        <v>669457257</v>
      </c>
      <c r="I663" t="s">
        <v>29</v>
      </c>
      <c r="J663" t="s">
        <v>29</v>
      </c>
      <c r="K663" t="str">
        <f>IF(Table3[[#This Row],[Type Received]]=2,"CC",(IF(Table3[[#This Row],[Type Received]]=3,"BILL","ACH")))</f>
        <v>CC</v>
      </c>
    </row>
    <row r="664" spans="1:11" x14ac:dyDescent="0.25">
      <c r="A664">
        <v>258789</v>
      </c>
      <c r="B664" s="3">
        <v>46158</v>
      </c>
      <c r="C664">
        <v>1</v>
      </c>
      <c r="D664">
        <v>164.47</v>
      </c>
      <c r="G664" t="s">
        <v>106</v>
      </c>
      <c r="H664">
        <v>710027790</v>
      </c>
      <c r="I664" t="s">
        <v>29</v>
      </c>
      <c r="J664" t="s">
        <v>29</v>
      </c>
      <c r="K664" t="str">
        <f>IF(Table3[[#This Row],[Type Received]]=2,"CC",(IF(Table3[[#This Row],[Type Received]]=3,"BILL","ACH")))</f>
        <v>ACH</v>
      </c>
    </row>
    <row r="665" spans="1:11" x14ac:dyDescent="0.25">
      <c r="A665">
        <v>258798</v>
      </c>
      <c r="B665" s="3">
        <v>46144</v>
      </c>
      <c r="C665">
        <v>1</v>
      </c>
      <c r="D665">
        <v>34.450000000000003</v>
      </c>
      <c r="G665" t="s">
        <v>89</v>
      </c>
      <c r="H665">
        <v>535365193</v>
      </c>
      <c r="I665" t="s">
        <v>29</v>
      </c>
      <c r="J665" t="s">
        <v>29</v>
      </c>
      <c r="K665" t="str">
        <f>IF(Table3[[#This Row],[Type Received]]=2,"CC",(IF(Table3[[#This Row],[Type Received]]=3,"BILL","ACH")))</f>
        <v>ACH</v>
      </c>
    </row>
    <row r="666" spans="1:11" x14ac:dyDescent="0.25">
      <c r="A666">
        <v>258810</v>
      </c>
      <c r="B666" s="3">
        <v>46156</v>
      </c>
      <c r="C666">
        <v>2</v>
      </c>
      <c r="D666">
        <v>39.090000000000003</v>
      </c>
      <c r="F666">
        <v>996</v>
      </c>
      <c r="G666" s="4">
        <v>745301931</v>
      </c>
      <c r="H666">
        <v>354599375</v>
      </c>
      <c r="J666" t="s">
        <v>29</v>
      </c>
      <c r="K666" t="str">
        <f>IF(Table3[[#This Row],[Type Received]]=2,"CC",(IF(Table3[[#This Row],[Type Received]]=3,"BILL","ACH")))</f>
        <v>CC</v>
      </c>
    </row>
    <row r="667" spans="1:11" x14ac:dyDescent="0.25">
      <c r="A667">
        <v>258810</v>
      </c>
      <c r="B667" s="3">
        <v>46147</v>
      </c>
      <c r="C667">
        <v>2</v>
      </c>
      <c r="D667">
        <v>39.090000000000003</v>
      </c>
      <c r="F667" t="s">
        <v>140</v>
      </c>
      <c r="G667">
        <v>742576419</v>
      </c>
      <c r="H667">
        <v>353611186</v>
      </c>
      <c r="K667" t="str">
        <f>IF(Table3[[#This Row],[Type Received]]=2,"CC",(IF(Table3[[#This Row],[Type Received]]=3,"BILL","ACH")))</f>
        <v>CC</v>
      </c>
    </row>
    <row r="668" spans="1:11" x14ac:dyDescent="0.25">
      <c r="A668">
        <v>258807</v>
      </c>
      <c r="B668" s="3">
        <v>46155</v>
      </c>
      <c r="C668">
        <v>2</v>
      </c>
      <c r="D668">
        <v>117.94</v>
      </c>
      <c r="F668">
        <v>37228</v>
      </c>
      <c r="G668" t="s">
        <v>28</v>
      </c>
      <c r="H668">
        <v>669436085</v>
      </c>
      <c r="I668" t="s">
        <v>29</v>
      </c>
      <c r="J668" t="s">
        <v>29</v>
      </c>
      <c r="K668" t="str">
        <f>IF(Table3[[#This Row],[Type Received]]=2,"CC",(IF(Table3[[#This Row],[Type Received]]=3,"BILL","ACH")))</f>
        <v>CC</v>
      </c>
    </row>
    <row r="669" spans="1:11" x14ac:dyDescent="0.25">
      <c r="A669">
        <v>258815</v>
      </c>
      <c r="B669" s="3">
        <v>46167</v>
      </c>
      <c r="C669">
        <v>1</v>
      </c>
      <c r="D669">
        <v>83.73</v>
      </c>
      <c r="G669" s="4" t="s">
        <v>85</v>
      </c>
      <c r="H669">
        <v>818337389</v>
      </c>
      <c r="I669" t="s">
        <v>29</v>
      </c>
      <c r="J669" t="s">
        <v>29</v>
      </c>
      <c r="K669" t="str">
        <f>IF(Table3[[#This Row],[Type Received]]=2,"CC",(IF(Table3[[#This Row],[Type Received]]=3,"BILL","ACH")))</f>
        <v>ACH</v>
      </c>
    </row>
    <row r="670" spans="1:11" x14ac:dyDescent="0.25">
      <c r="A670">
        <v>258818</v>
      </c>
      <c r="B670" s="3">
        <v>46144</v>
      </c>
      <c r="C670">
        <v>1</v>
      </c>
      <c r="D670">
        <v>62.17</v>
      </c>
      <c r="G670" t="s">
        <v>89</v>
      </c>
      <c r="H670">
        <v>535350692</v>
      </c>
      <c r="I670" t="s">
        <v>29</v>
      </c>
      <c r="J670" t="s">
        <v>29</v>
      </c>
      <c r="K670" t="str">
        <f>IF(Table3[[#This Row],[Type Received]]=2,"CC",(IF(Table3[[#This Row],[Type Received]]=3,"BILL","ACH")))</f>
        <v>ACH</v>
      </c>
    </row>
    <row r="671" spans="1:11" x14ac:dyDescent="0.25">
      <c r="A671">
        <v>258822</v>
      </c>
      <c r="B671" s="3">
        <v>46143</v>
      </c>
      <c r="C671">
        <v>3</v>
      </c>
      <c r="D671">
        <v>130.16999999999999</v>
      </c>
      <c r="E671">
        <v>9581</v>
      </c>
      <c r="J671" t="s">
        <v>29</v>
      </c>
      <c r="K671" t="str">
        <f>IF(Table3[[#This Row],[Type Received]]=2,"CC",(IF(Table3[[#This Row],[Type Received]]=3,"BILL","ACH")))</f>
        <v>BILL</v>
      </c>
    </row>
    <row r="672" spans="1:11" x14ac:dyDescent="0.25">
      <c r="A672">
        <v>258814</v>
      </c>
      <c r="B672" s="3">
        <v>46167</v>
      </c>
      <c r="C672">
        <v>1</v>
      </c>
      <c r="D672">
        <v>74.05</v>
      </c>
      <c r="G672" t="s">
        <v>85</v>
      </c>
      <c r="H672">
        <v>818320041</v>
      </c>
      <c r="I672" t="s">
        <v>29</v>
      </c>
      <c r="J672" t="s">
        <v>29</v>
      </c>
      <c r="K672" t="str">
        <f>IF(Table3[[#This Row],[Type Received]]=2,"CC",(IF(Table3[[#This Row],[Type Received]]=3,"BILL","ACH")))</f>
        <v>ACH</v>
      </c>
    </row>
    <row r="673" spans="1:11" x14ac:dyDescent="0.25">
      <c r="A673">
        <v>258816</v>
      </c>
      <c r="B673" s="3">
        <v>46144</v>
      </c>
      <c r="C673">
        <v>1</v>
      </c>
      <c r="D673">
        <v>62.5</v>
      </c>
      <c r="G673" s="4" t="s">
        <v>89</v>
      </c>
      <c r="H673">
        <v>535363343</v>
      </c>
      <c r="I673" t="s">
        <v>29</v>
      </c>
      <c r="J673" t="s">
        <v>29</v>
      </c>
      <c r="K673" t="str">
        <f>IF(Table3[[#This Row],[Type Received]]=2,"CC",(IF(Table3[[#This Row],[Type Received]]=3,"BILL","ACH")))</f>
        <v>ACH</v>
      </c>
    </row>
    <row r="674" spans="1:11" x14ac:dyDescent="0.25">
      <c r="A674">
        <v>258826</v>
      </c>
      <c r="B674" s="3">
        <v>46147</v>
      </c>
      <c r="C674">
        <v>3</v>
      </c>
      <c r="D674">
        <v>75.2</v>
      </c>
      <c r="E674">
        <v>2417</v>
      </c>
      <c r="J674" t="s">
        <v>29</v>
      </c>
      <c r="K674" t="str">
        <f>IF(Table3[[#This Row],[Type Received]]=2,"CC",(IF(Table3[[#This Row],[Type Received]]=3,"BILL","ACH")))</f>
        <v>BILL</v>
      </c>
    </row>
    <row r="675" spans="1:11" x14ac:dyDescent="0.25">
      <c r="A675">
        <v>258840</v>
      </c>
      <c r="B675" s="3">
        <v>46167</v>
      </c>
      <c r="C675">
        <v>1</v>
      </c>
      <c r="D675">
        <v>59.53</v>
      </c>
      <c r="G675" s="4" t="s">
        <v>85</v>
      </c>
      <c r="H675">
        <v>818330639</v>
      </c>
      <c r="I675" t="s">
        <v>29</v>
      </c>
      <c r="J675" t="s">
        <v>29</v>
      </c>
      <c r="K675" t="str">
        <f>IF(Table3[[#This Row],[Type Received]]=2,"CC",(IF(Table3[[#This Row],[Type Received]]=3,"BILL","ACH")))</f>
        <v>ACH</v>
      </c>
    </row>
    <row r="676" spans="1:11" x14ac:dyDescent="0.25">
      <c r="A676">
        <v>258848</v>
      </c>
      <c r="B676" s="3">
        <v>46158</v>
      </c>
      <c r="C676">
        <v>1</v>
      </c>
      <c r="D676">
        <v>51.39</v>
      </c>
      <c r="G676" t="s">
        <v>106</v>
      </c>
      <c r="H676">
        <v>710022089</v>
      </c>
      <c r="I676" t="s">
        <v>29</v>
      </c>
      <c r="J676" t="s">
        <v>29</v>
      </c>
      <c r="K676" t="str">
        <f>IF(Table3[[#This Row],[Type Received]]=2,"CC",(IF(Table3[[#This Row],[Type Received]]=3,"BILL","ACH")))</f>
        <v>ACH</v>
      </c>
    </row>
    <row r="677" spans="1:11" x14ac:dyDescent="0.25">
      <c r="A677">
        <v>258857</v>
      </c>
      <c r="B677" s="3">
        <v>46160</v>
      </c>
      <c r="C677">
        <v>2</v>
      </c>
      <c r="D677">
        <v>55.26</v>
      </c>
      <c r="F677" t="s">
        <v>141</v>
      </c>
      <c r="G677">
        <v>746573029</v>
      </c>
      <c r="H677">
        <v>355067132</v>
      </c>
      <c r="K677" t="str">
        <f>IF(Table3[[#This Row],[Type Received]]=2,"CC",(IF(Table3[[#This Row],[Type Received]]=3,"BILL","ACH")))</f>
        <v>CC</v>
      </c>
    </row>
    <row r="678" spans="1:11" x14ac:dyDescent="0.25">
      <c r="A678">
        <v>258853</v>
      </c>
      <c r="B678" s="3">
        <v>46167</v>
      </c>
      <c r="C678">
        <v>1</v>
      </c>
      <c r="D678">
        <v>31.15</v>
      </c>
      <c r="G678" t="s">
        <v>85</v>
      </c>
      <c r="H678">
        <v>818320062</v>
      </c>
      <c r="I678" t="s">
        <v>29</v>
      </c>
      <c r="K678" t="str">
        <f>IF(Table3[[#This Row],[Type Received]]=2,"CC",(IF(Table3[[#This Row],[Type Received]]=3,"BILL","ACH")))</f>
        <v>ACH</v>
      </c>
    </row>
    <row r="679" spans="1:11" x14ac:dyDescent="0.25">
      <c r="A679">
        <v>258862</v>
      </c>
      <c r="B679" s="3">
        <v>46144</v>
      </c>
      <c r="C679">
        <v>2</v>
      </c>
      <c r="D679">
        <v>54.25</v>
      </c>
      <c r="F679">
        <v>598949</v>
      </c>
      <c r="G679" t="s">
        <v>28</v>
      </c>
      <c r="H679">
        <v>535356597</v>
      </c>
      <c r="I679" t="s">
        <v>29</v>
      </c>
      <c r="J679" t="s">
        <v>29</v>
      </c>
      <c r="K679" t="str">
        <f>IF(Table3[[#This Row],[Type Received]]=2,"CC",(IF(Table3[[#This Row],[Type Received]]=3,"BILL","ACH")))</f>
        <v>CC</v>
      </c>
    </row>
    <row r="680" spans="1:11" x14ac:dyDescent="0.25">
      <c r="A680">
        <v>258869</v>
      </c>
      <c r="B680" s="3">
        <v>46155</v>
      </c>
      <c r="C680">
        <v>2</v>
      </c>
      <c r="D680">
        <v>48.75</v>
      </c>
      <c r="F680" t="s">
        <v>142</v>
      </c>
      <c r="G680" t="s">
        <v>28</v>
      </c>
      <c r="H680">
        <v>669469149</v>
      </c>
      <c r="I680" t="s">
        <v>29</v>
      </c>
      <c r="J680" t="s">
        <v>29</v>
      </c>
      <c r="K680" t="str">
        <f>IF(Table3[[#This Row],[Type Received]]=2,"CC",(IF(Table3[[#This Row],[Type Received]]=3,"BILL","ACH")))</f>
        <v>CC</v>
      </c>
    </row>
    <row r="681" spans="1:11" x14ac:dyDescent="0.25">
      <c r="A681">
        <v>258872</v>
      </c>
      <c r="B681" s="3">
        <v>46143</v>
      </c>
      <c r="C681">
        <v>1</v>
      </c>
      <c r="D681">
        <v>59.86</v>
      </c>
      <c r="G681" t="s">
        <v>84</v>
      </c>
      <c r="H681">
        <v>522220719</v>
      </c>
      <c r="I681" t="s">
        <v>29</v>
      </c>
      <c r="J681" t="s">
        <v>29</v>
      </c>
      <c r="K681" t="str">
        <f>IF(Table3[[#This Row],[Type Received]]=2,"CC",(IF(Table3[[#This Row],[Type Received]]=3,"BILL","ACH")))</f>
        <v>ACH</v>
      </c>
    </row>
    <row r="682" spans="1:11" x14ac:dyDescent="0.25">
      <c r="A682">
        <v>258874</v>
      </c>
      <c r="B682" s="3">
        <v>46144</v>
      </c>
      <c r="C682">
        <v>1</v>
      </c>
      <c r="D682">
        <v>50.95</v>
      </c>
      <c r="G682" t="s">
        <v>89</v>
      </c>
      <c r="H682">
        <v>535350748</v>
      </c>
      <c r="I682" t="s">
        <v>29</v>
      </c>
      <c r="J682" t="s">
        <v>29</v>
      </c>
      <c r="K682" t="str">
        <f>IF(Table3[[#This Row],[Type Received]]=2,"CC",(IF(Table3[[#This Row],[Type Received]]=3,"BILL","ACH")))</f>
        <v>ACH</v>
      </c>
    </row>
    <row r="683" spans="1:11" x14ac:dyDescent="0.25">
      <c r="A683">
        <v>258870</v>
      </c>
      <c r="B683" s="3">
        <v>46167</v>
      </c>
      <c r="C683">
        <v>1</v>
      </c>
      <c r="D683">
        <v>95.17</v>
      </c>
      <c r="G683" t="s">
        <v>85</v>
      </c>
      <c r="H683">
        <v>818336495</v>
      </c>
      <c r="I683" t="s">
        <v>29</v>
      </c>
      <c r="J683" t="s">
        <v>29</v>
      </c>
      <c r="K683" t="str">
        <f>IF(Table3[[#This Row],[Type Received]]=2,"CC",(IF(Table3[[#This Row],[Type Received]]=3,"BILL","ACH")))</f>
        <v>ACH</v>
      </c>
    </row>
    <row r="684" spans="1:11" x14ac:dyDescent="0.25">
      <c r="A684">
        <v>258866</v>
      </c>
      <c r="B684" s="3">
        <v>46155</v>
      </c>
      <c r="C684">
        <v>2</v>
      </c>
      <c r="D684">
        <v>161.5</v>
      </c>
      <c r="F684" t="s">
        <v>143</v>
      </c>
      <c r="G684" t="s">
        <v>28</v>
      </c>
      <c r="H684">
        <v>669447711</v>
      </c>
      <c r="I684" t="s">
        <v>29</v>
      </c>
      <c r="J684" t="s">
        <v>29</v>
      </c>
      <c r="K684" t="str">
        <f>IF(Table3[[#This Row],[Type Received]]=2,"CC",(IF(Table3[[#This Row],[Type Received]]=3,"BILL","ACH")))</f>
        <v>CC</v>
      </c>
    </row>
    <row r="685" spans="1:11" x14ac:dyDescent="0.25">
      <c r="A685">
        <v>258873</v>
      </c>
      <c r="B685" s="3">
        <v>46144</v>
      </c>
      <c r="C685">
        <v>1</v>
      </c>
      <c r="D685">
        <v>133.44999999999999</v>
      </c>
      <c r="G685" t="s">
        <v>89</v>
      </c>
      <c r="H685">
        <v>535343997</v>
      </c>
      <c r="I685" t="s">
        <v>29</v>
      </c>
      <c r="J685" t="s">
        <v>29</v>
      </c>
      <c r="K685" t="str">
        <f>IF(Table3[[#This Row],[Type Received]]=2,"CC",(IF(Table3[[#This Row],[Type Received]]=3,"BILL","ACH")))</f>
        <v>ACH</v>
      </c>
    </row>
    <row r="686" spans="1:11" x14ac:dyDescent="0.25">
      <c r="A686">
        <v>258875</v>
      </c>
      <c r="B686" s="3">
        <v>46158</v>
      </c>
      <c r="C686">
        <v>1</v>
      </c>
      <c r="D686">
        <v>73.39</v>
      </c>
      <c r="G686" t="s">
        <v>106</v>
      </c>
      <c r="H686">
        <v>710044576</v>
      </c>
      <c r="I686" t="s">
        <v>29</v>
      </c>
      <c r="J686" t="s">
        <v>29</v>
      </c>
      <c r="K686" t="str">
        <f>IF(Table3[[#This Row],[Type Received]]=2,"CC",(IF(Table3[[#This Row],[Type Received]]=3,"BILL","ACH")))</f>
        <v>ACH</v>
      </c>
    </row>
    <row r="687" spans="1:11" x14ac:dyDescent="0.25">
      <c r="A687">
        <v>258893</v>
      </c>
      <c r="B687" s="3">
        <v>46155</v>
      </c>
      <c r="C687">
        <v>1</v>
      </c>
      <c r="D687">
        <v>75.040000000000006</v>
      </c>
      <c r="G687" t="s">
        <v>90</v>
      </c>
      <c r="H687">
        <v>669456440</v>
      </c>
      <c r="I687" t="s">
        <v>29</v>
      </c>
      <c r="J687" t="s">
        <v>29</v>
      </c>
      <c r="K687" t="str">
        <f>IF(Table3[[#This Row],[Type Received]]=2,"CC",(IF(Table3[[#This Row],[Type Received]]=3,"BILL","ACH")))</f>
        <v>ACH</v>
      </c>
    </row>
    <row r="688" spans="1:11" x14ac:dyDescent="0.25">
      <c r="A688">
        <v>258899</v>
      </c>
      <c r="B688" s="3">
        <v>46158</v>
      </c>
      <c r="C688">
        <v>1</v>
      </c>
      <c r="D688">
        <v>123.22</v>
      </c>
      <c r="G688" t="s">
        <v>106</v>
      </c>
      <c r="H688">
        <v>710041702</v>
      </c>
      <c r="I688" t="s">
        <v>29</v>
      </c>
      <c r="J688" t="s">
        <v>29</v>
      </c>
      <c r="K688" t="str">
        <f>IF(Table3[[#This Row],[Type Received]]=2,"CC",(IF(Table3[[#This Row],[Type Received]]=3,"BILL","ACH")))</f>
        <v>ACH</v>
      </c>
    </row>
    <row r="689" spans="1:11" x14ac:dyDescent="0.25">
      <c r="A689">
        <v>258907</v>
      </c>
      <c r="B689" s="3">
        <v>46167</v>
      </c>
      <c r="C689">
        <v>1</v>
      </c>
      <c r="D689">
        <v>45.89</v>
      </c>
      <c r="G689" t="s">
        <v>85</v>
      </c>
      <c r="H689">
        <v>818341333</v>
      </c>
      <c r="I689" t="s">
        <v>29</v>
      </c>
      <c r="J689" t="s">
        <v>29</v>
      </c>
      <c r="K689" t="str">
        <f>IF(Table3[[#This Row],[Type Received]]=2,"CC",(IF(Table3[[#This Row],[Type Received]]=3,"BILL","ACH")))</f>
        <v>ACH</v>
      </c>
    </row>
    <row r="690" spans="1:11" x14ac:dyDescent="0.25">
      <c r="A690">
        <v>258904</v>
      </c>
      <c r="B690" s="3">
        <v>46164</v>
      </c>
      <c r="C690">
        <v>1</v>
      </c>
      <c r="D690">
        <v>56.23</v>
      </c>
      <c r="G690" t="s">
        <v>118</v>
      </c>
      <c r="H690">
        <v>784604362</v>
      </c>
      <c r="I690" t="s">
        <v>29</v>
      </c>
      <c r="K690" t="str">
        <f>IF(Table3[[#This Row],[Type Received]]=2,"CC",(IF(Table3[[#This Row],[Type Received]]=3,"BILL","ACH")))</f>
        <v>ACH</v>
      </c>
    </row>
    <row r="691" spans="1:11" x14ac:dyDescent="0.25">
      <c r="A691">
        <v>258904</v>
      </c>
      <c r="B691" s="3">
        <v>46157</v>
      </c>
      <c r="C691">
        <v>1</v>
      </c>
      <c r="D691">
        <v>56.23</v>
      </c>
      <c r="G691" t="s">
        <v>87</v>
      </c>
      <c r="H691">
        <v>696697464</v>
      </c>
      <c r="I691" t="s">
        <v>29</v>
      </c>
      <c r="J691" t="s">
        <v>29</v>
      </c>
      <c r="K691" t="str">
        <f>IF(Table3[[#This Row],[Type Received]]=2,"CC",(IF(Table3[[#This Row],[Type Received]]=3,"BILL","ACH")))</f>
        <v>ACH</v>
      </c>
    </row>
    <row r="692" spans="1:11" x14ac:dyDescent="0.25">
      <c r="A692">
        <v>258905</v>
      </c>
      <c r="B692" s="3">
        <v>46167</v>
      </c>
      <c r="C692">
        <v>1</v>
      </c>
      <c r="D692">
        <v>83.95</v>
      </c>
      <c r="G692" t="s">
        <v>85</v>
      </c>
      <c r="H692">
        <v>818341327</v>
      </c>
      <c r="I692" t="s">
        <v>29</v>
      </c>
      <c r="K692" t="str">
        <f>IF(Table3[[#This Row],[Type Received]]=2,"CC",(IF(Table3[[#This Row],[Type Received]]=3,"BILL","ACH")))</f>
        <v>ACH</v>
      </c>
    </row>
    <row r="693" spans="1:11" x14ac:dyDescent="0.25">
      <c r="A693">
        <v>258906</v>
      </c>
      <c r="B693" s="3">
        <v>46167</v>
      </c>
      <c r="C693">
        <v>1</v>
      </c>
      <c r="D693">
        <v>74.489999999999995</v>
      </c>
      <c r="G693" t="s">
        <v>85</v>
      </c>
      <c r="H693">
        <v>818347152</v>
      </c>
      <c r="I693" t="s">
        <v>29</v>
      </c>
      <c r="K693" t="str">
        <f>IF(Table3[[#This Row],[Type Received]]=2,"CC",(IF(Table3[[#This Row],[Type Received]]=3,"BILL","ACH")))</f>
        <v>ACH</v>
      </c>
    </row>
    <row r="694" spans="1:11" x14ac:dyDescent="0.25">
      <c r="A694">
        <v>258898</v>
      </c>
      <c r="B694" s="3">
        <v>46143</v>
      </c>
      <c r="C694">
        <v>1</v>
      </c>
      <c r="D694">
        <v>52.6</v>
      </c>
      <c r="G694" t="s">
        <v>84</v>
      </c>
      <c r="H694">
        <v>522226602</v>
      </c>
      <c r="I694" t="s">
        <v>29</v>
      </c>
      <c r="J694" t="s">
        <v>29</v>
      </c>
      <c r="K694" t="str">
        <f>IF(Table3[[#This Row],[Type Received]]=2,"CC",(IF(Table3[[#This Row],[Type Received]]=3,"BILL","ACH")))</f>
        <v>ACH</v>
      </c>
    </row>
    <row r="695" spans="1:11" x14ac:dyDescent="0.25">
      <c r="A695">
        <v>258929</v>
      </c>
      <c r="B695" s="3">
        <v>46147</v>
      </c>
      <c r="C695">
        <v>3</v>
      </c>
      <c r="D695">
        <v>46.13</v>
      </c>
      <c r="E695">
        <v>1384</v>
      </c>
      <c r="J695" t="s">
        <v>29</v>
      </c>
      <c r="K695" t="str">
        <f>IF(Table3[[#This Row],[Type Received]]=2,"CC",(IF(Table3[[#This Row],[Type Received]]=3,"BILL","ACH")))</f>
        <v>BILL</v>
      </c>
    </row>
    <row r="696" spans="1:11" x14ac:dyDescent="0.25">
      <c r="A696">
        <v>258900</v>
      </c>
      <c r="B696" s="3">
        <v>46158</v>
      </c>
      <c r="C696">
        <v>1</v>
      </c>
      <c r="D696">
        <v>60.85</v>
      </c>
      <c r="G696" t="s">
        <v>106</v>
      </c>
      <c r="H696">
        <v>710026033</v>
      </c>
      <c r="I696" t="s">
        <v>29</v>
      </c>
      <c r="J696" t="s">
        <v>29</v>
      </c>
      <c r="K696" t="str">
        <f>IF(Table3[[#This Row],[Type Received]]=2,"CC",(IF(Table3[[#This Row],[Type Received]]=3,"BILL","ACH")))</f>
        <v>ACH</v>
      </c>
    </row>
    <row r="697" spans="1:11" x14ac:dyDescent="0.25">
      <c r="A697">
        <v>258911</v>
      </c>
      <c r="B697" s="3">
        <v>46143</v>
      </c>
      <c r="C697">
        <v>2</v>
      </c>
      <c r="D697">
        <v>107.73</v>
      </c>
      <c r="F697">
        <v>765410</v>
      </c>
      <c r="G697" t="s">
        <v>28</v>
      </c>
      <c r="H697">
        <v>522245496</v>
      </c>
      <c r="I697" t="s">
        <v>29</v>
      </c>
      <c r="K697" t="str">
        <f>IF(Table3[[#This Row],[Type Received]]=2,"CC",(IF(Table3[[#This Row],[Type Received]]=3,"BILL","ACH")))</f>
        <v>CC</v>
      </c>
    </row>
    <row r="698" spans="1:11" x14ac:dyDescent="0.25">
      <c r="A698">
        <v>258912</v>
      </c>
      <c r="B698" s="3">
        <v>46143</v>
      </c>
      <c r="C698">
        <v>2</v>
      </c>
      <c r="D698">
        <v>74.709999999999994</v>
      </c>
      <c r="F698">
        <v>128584</v>
      </c>
      <c r="G698" t="s">
        <v>28</v>
      </c>
      <c r="H698">
        <v>522237286</v>
      </c>
      <c r="I698" t="s">
        <v>29</v>
      </c>
      <c r="J698" t="s">
        <v>29</v>
      </c>
      <c r="K698" t="str">
        <f>IF(Table3[[#This Row],[Type Received]]=2,"CC",(IF(Table3[[#This Row],[Type Received]]=3,"BILL","ACH")))</f>
        <v>CC</v>
      </c>
    </row>
    <row r="699" spans="1:11" x14ac:dyDescent="0.25">
      <c r="A699">
        <v>258919</v>
      </c>
      <c r="B699" s="3">
        <v>46164</v>
      </c>
      <c r="C699">
        <v>2</v>
      </c>
      <c r="D699">
        <v>130.63999999999999</v>
      </c>
      <c r="F699">
        <v>413519</v>
      </c>
      <c r="G699" t="s">
        <v>28</v>
      </c>
      <c r="H699">
        <v>788411684</v>
      </c>
      <c r="I699" t="s">
        <v>29</v>
      </c>
      <c r="J699" t="s">
        <v>29</v>
      </c>
      <c r="K699" t="str">
        <f>IF(Table3[[#This Row],[Type Received]]=2,"CC",(IF(Table3[[#This Row],[Type Received]]=3,"BILL","ACH")))</f>
        <v>CC</v>
      </c>
    </row>
    <row r="700" spans="1:11" x14ac:dyDescent="0.25">
      <c r="A700">
        <v>258932</v>
      </c>
      <c r="B700" s="3">
        <v>46155</v>
      </c>
      <c r="C700">
        <v>2</v>
      </c>
      <c r="D700">
        <v>70.75</v>
      </c>
      <c r="F700">
        <v>126554</v>
      </c>
      <c r="G700" t="s">
        <v>28</v>
      </c>
      <c r="H700">
        <v>669451599</v>
      </c>
      <c r="I700" t="s">
        <v>29</v>
      </c>
      <c r="J700" t="s">
        <v>29</v>
      </c>
      <c r="K700" t="str">
        <f>IF(Table3[[#This Row],[Type Received]]=2,"CC",(IF(Table3[[#This Row],[Type Received]]=3,"BILL","ACH")))</f>
        <v>CC</v>
      </c>
    </row>
    <row r="701" spans="1:11" x14ac:dyDescent="0.25">
      <c r="A701">
        <v>258934</v>
      </c>
      <c r="B701" s="3">
        <v>46155</v>
      </c>
      <c r="C701">
        <v>1</v>
      </c>
      <c r="D701">
        <v>72.290000000000006</v>
      </c>
      <c r="G701" t="s">
        <v>90</v>
      </c>
      <c r="H701">
        <v>669491203</v>
      </c>
      <c r="I701" t="s">
        <v>29</v>
      </c>
      <c r="K701" t="str">
        <f>IF(Table3[[#This Row],[Type Received]]=2,"CC",(IF(Table3[[#This Row],[Type Received]]=3,"BILL","ACH")))</f>
        <v>ACH</v>
      </c>
    </row>
    <row r="702" spans="1:11" x14ac:dyDescent="0.25">
      <c r="A702">
        <v>258935</v>
      </c>
      <c r="B702" s="3">
        <v>46158</v>
      </c>
      <c r="C702">
        <v>1</v>
      </c>
      <c r="D702">
        <v>142.36000000000001</v>
      </c>
      <c r="G702" t="s">
        <v>106</v>
      </c>
      <c r="H702">
        <v>710029886</v>
      </c>
      <c r="I702" t="s">
        <v>29</v>
      </c>
      <c r="J702" t="s">
        <v>29</v>
      </c>
      <c r="K702" t="str">
        <f>IF(Table3[[#This Row],[Type Received]]=2,"CC",(IF(Table3[[#This Row],[Type Received]]=3,"BILL","ACH")))</f>
        <v>ACH</v>
      </c>
    </row>
    <row r="703" spans="1:11" x14ac:dyDescent="0.25">
      <c r="A703">
        <v>258939</v>
      </c>
      <c r="B703" s="3">
        <v>46143</v>
      </c>
      <c r="C703">
        <v>2</v>
      </c>
      <c r="D703">
        <v>59.53</v>
      </c>
      <c r="F703">
        <v>55263</v>
      </c>
      <c r="G703" t="s">
        <v>28</v>
      </c>
      <c r="H703">
        <v>522230491</v>
      </c>
      <c r="I703" t="s">
        <v>29</v>
      </c>
      <c r="K703" t="str">
        <f>IF(Table3[[#This Row],[Type Received]]=2,"CC",(IF(Table3[[#This Row],[Type Received]]=3,"BILL","ACH")))</f>
        <v>CC</v>
      </c>
    </row>
    <row r="704" spans="1:11" x14ac:dyDescent="0.25">
      <c r="A704">
        <v>258948</v>
      </c>
      <c r="B704" s="3">
        <v>46143</v>
      </c>
      <c r="C704">
        <v>2</v>
      </c>
      <c r="D704">
        <v>47.21</v>
      </c>
      <c r="F704">
        <v>78101</v>
      </c>
      <c r="G704" t="s">
        <v>28</v>
      </c>
      <c r="H704">
        <v>522234428</v>
      </c>
      <c r="I704" t="s">
        <v>29</v>
      </c>
      <c r="J704" t="s">
        <v>29</v>
      </c>
      <c r="K704" t="str">
        <f>IF(Table3[[#This Row],[Type Received]]=2,"CC",(IF(Table3[[#This Row],[Type Received]]=3,"BILL","ACH")))</f>
        <v>CC</v>
      </c>
    </row>
    <row r="705" spans="1:11" x14ac:dyDescent="0.25">
      <c r="A705">
        <v>258961</v>
      </c>
      <c r="B705" s="3">
        <v>46167</v>
      </c>
      <c r="C705">
        <v>1</v>
      </c>
      <c r="D705">
        <v>123.55</v>
      </c>
      <c r="G705" t="s">
        <v>85</v>
      </c>
      <c r="H705">
        <v>818339349</v>
      </c>
      <c r="I705" t="s">
        <v>29</v>
      </c>
      <c r="J705" t="s">
        <v>29</v>
      </c>
      <c r="K705" t="str">
        <f>IF(Table3[[#This Row],[Type Received]]=2,"CC",(IF(Table3[[#This Row],[Type Received]]=3,"BILL","ACH")))</f>
        <v>ACH</v>
      </c>
    </row>
    <row r="706" spans="1:11" x14ac:dyDescent="0.25">
      <c r="A706">
        <v>258958</v>
      </c>
      <c r="B706" s="3">
        <v>46143</v>
      </c>
      <c r="C706">
        <v>1</v>
      </c>
      <c r="D706">
        <v>63.05</v>
      </c>
      <c r="G706" t="s">
        <v>84</v>
      </c>
      <c r="H706">
        <v>522240240</v>
      </c>
      <c r="I706" t="s">
        <v>29</v>
      </c>
      <c r="J706" t="s">
        <v>29</v>
      </c>
      <c r="K706" t="str">
        <f>IF(Table3[[#This Row],[Type Received]]=2,"CC",(IF(Table3[[#This Row],[Type Received]]=3,"BILL","ACH")))</f>
        <v>ACH</v>
      </c>
    </row>
    <row r="707" spans="1:11" x14ac:dyDescent="0.25">
      <c r="A707">
        <v>258952</v>
      </c>
      <c r="B707" s="3">
        <v>46143</v>
      </c>
      <c r="C707">
        <v>1</v>
      </c>
      <c r="D707">
        <v>84.83</v>
      </c>
      <c r="G707" t="s">
        <v>84</v>
      </c>
      <c r="H707">
        <v>522224770</v>
      </c>
      <c r="I707" t="s">
        <v>29</v>
      </c>
      <c r="J707" t="s">
        <v>29</v>
      </c>
      <c r="K707" t="str">
        <f>IF(Table3[[#This Row],[Type Received]]=2,"CC",(IF(Table3[[#This Row],[Type Received]]=3,"BILL","ACH")))</f>
        <v>ACH</v>
      </c>
    </row>
    <row r="708" spans="1:11" x14ac:dyDescent="0.25">
      <c r="A708">
        <v>258953</v>
      </c>
      <c r="B708" s="3">
        <v>46143</v>
      </c>
      <c r="C708">
        <v>1</v>
      </c>
      <c r="D708">
        <v>39.950000000000003</v>
      </c>
      <c r="G708" t="s">
        <v>84</v>
      </c>
      <c r="H708">
        <v>522235488</v>
      </c>
      <c r="I708" t="s">
        <v>29</v>
      </c>
      <c r="J708" t="s">
        <v>29</v>
      </c>
      <c r="K708" t="str">
        <f>IF(Table3[[#This Row],[Type Received]]=2,"CC",(IF(Table3[[#This Row],[Type Received]]=3,"BILL","ACH")))</f>
        <v>ACH</v>
      </c>
    </row>
    <row r="709" spans="1:11" x14ac:dyDescent="0.25">
      <c r="A709">
        <v>258966</v>
      </c>
      <c r="B709" s="3">
        <v>46147</v>
      </c>
      <c r="C709">
        <v>3</v>
      </c>
      <c r="D709">
        <v>130.41999999999999</v>
      </c>
      <c r="E709">
        <v>357</v>
      </c>
      <c r="J709" t="s">
        <v>29</v>
      </c>
      <c r="K709" t="str">
        <f>IF(Table3[[#This Row],[Type Received]]=2,"CC",(IF(Table3[[#This Row],[Type Received]]=3,"BILL","ACH")))</f>
        <v>BILL</v>
      </c>
    </row>
    <row r="710" spans="1:11" x14ac:dyDescent="0.25">
      <c r="A710">
        <v>258976</v>
      </c>
      <c r="B710" s="3">
        <v>46145</v>
      </c>
      <c r="C710">
        <v>1</v>
      </c>
      <c r="D710">
        <v>43.03</v>
      </c>
      <c r="G710" t="s">
        <v>113</v>
      </c>
      <c r="H710">
        <v>546421353</v>
      </c>
      <c r="I710" t="s">
        <v>29</v>
      </c>
      <c r="J710" t="s">
        <v>29</v>
      </c>
      <c r="K710" t="str">
        <f>IF(Table3[[#This Row],[Type Received]]=2,"CC",(IF(Table3[[#This Row],[Type Received]]=3,"BILL","ACH")))</f>
        <v>ACH</v>
      </c>
    </row>
    <row r="711" spans="1:11" x14ac:dyDescent="0.25">
      <c r="A711">
        <v>258962</v>
      </c>
      <c r="B711" s="3">
        <v>46143</v>
      </c>
      <c r="C711">
        <v>1</v>
      </c>
      <c r="D711">
        <v>54.58</v>
      </c>
      <c r="G711" s="4" t="s">
        <v>84</v>
      </c>
      <c r="H711">
        <v>522238394</v>
      </c>
      <c r="I711" t="s">
        <v>29</v>
      </c>
      <c r="J711" t="s">
        <v>29</v>
      </c>
      <c r="K711" t="str">
        <f>IF(Table3[[#This Row],[Type Received]]=2,"CC",(IF(Table3[[#This Row],[Type Received]]=3,"BILL","ACH")))</f>
        <v>ACH</v>
      </c>
    </row>
    <row r="712" spans="1:11" x14ac:dyDescent="0.25">
      <c r="A712">
        <v>258973</v>
      </c>
      <c r="B712" s="3">
        <v>46158</v>
      </c>
      <c r="C712">
        <v>1</v>
      </c>
      <c r="D712">
        <v>70.09</v>
      </c>
      <c r="G712" t="s">
        <v>106</v>
      </c>
      <c r="H712">
        <v>710037746</v>
      </c>
      <c r="I712" t="s">
        <v>29</v>
      </c>
      <c r="J712" t="s">
        <v>29</v>
      </c>
      <c r="K712" t="str">
        <f>IF(Table3[[#This Row],[Type Received]]=2,"CC",(IF(Table3[[#This Row],[Type Received]]=3,"BILL","ACH")))</f>
        <v>ACH</v>
      </c>
    </row>
    <row r="713" spans="1:11" x14ac:dyDescent="0.25">
      <c r="A713">
        <v>258978</v>
      </c>
      <c r="B713" s="3">
        <v>46167</v>
      </c>
      <c r="C713">
        <v>1</v>
      </c>
      <c r="D713">
        <v>152.59</v>
      </c>
      <c r="G713" t="s">
        <v>85</v>
      </c>
      <c r="H713">
        <v>818340358</v>
      </c>
      <c r="I713" t="s">
        <v>29</v>
      </c>
      <c r="J713" t="s">
        <v>29</v>
      </c>
      <c r="K713" t="str">
        <f>IF(Table3[[#This Row],[Type Received]]=2,"CC",(IF(Table3[[#This Row],[Type Received]]=3,"BILL","ACH")))</f>
        <v>ACH</v>
      </c>
    </row>
    <row r="714" spans="1:11" x14ac:dyDescent="0.25">
      <c r="A714">
        <v>258982</v>
      </c>
      <c r="B714" s="3">
        <v>46168</v>
      </c>
      <c r="C714">
        <v>3</v>
      </c>
      <c r="D714">
        <v>115.9</v>
      </c>
      <c r="E714">
        <v>2865</v>
      </c>
      <c r="J714" t="s">
        <v>29</v>
      </c>
      <c r="K714" t="str">
        <f>IF(Table3[[#This Row],[Type Received]]=2,"CC",(IF(Table3[[#This Row],[Type Received]]=3,"BILL","ACH")))</f>
        <v>BILL</v>
      </c>
    </row>
    <row r="715" spans="1:11" x14ac:dyDescent="0.25">
      <c r="A715">
        <v>258980</v>
      </c>
      <c r="B715" s="3">
        <v>46158</v>
      </c>
      <c r="C715">
        <v>1</v>
      </c>
      <c r="D715">
        <v>100.89</v>
      </c>
      <c r="G715" t="s">
        <v>106</v>
      </c>
      <c r="H715">
        <v>710041743</v>
      </c>
      <c r="I715" t="s">
        <v>29</v>
      </c>
      <c r="K715" t="str">
        <f>IF(Table3[[#This Row],[Type Received]]=2,"CC",(IF(Table3[[#This Row],[Type Received]]=3,"BILL","ACH")))</f>
        <v>ACH</v>
      </c>
    </row>
    <row r="716" spans="1:11" x14ac:dyDescent="0.25">
      <c r="A716">
        <v>258979</v>
      </c>
      <c r="B716" s="3">
        <v>46158</v>
      </c>
      <c r="C716">
        <v>1</v>
      </c>
      <c r="D716">
        <v>98.8</v>
      </c>
      <c r="G716" t="s">
        <v>106</v>
      </c>
      <c r="H716">
        <v>710051217</v>
      </c>
      <c r="I716" t="s">
        <v>29</v>
      </c>
      <c r="K716" t="str">
        <f>IF(Table3[[#This Row],[Type Received]]=2,"CC",(IF(Table3[[#This Row],[Type Received]]=3,"BILL","ACH")))</f>
        <v>ACH</v>
      </c>
    </row>
    <row r="717" spans="1:11" x14ac:dyDescent="0.25">
      <c r="A717">
        <v>258986</v>
      </c>
      <c r="B717" s="3">
        <v>46167</v>
      </c>
      <c r="C717">
        <v>1</v>
      </c>
      <c r="D717">
        <v>80.98</v>
      </c>
      <c r="G717" t="s">
        <v>85</v>
      </c>
      <c r="H717">
        <v>818335650</v>
      </c>
      <c r="I717" t="s">
        <v>29</v>
      </c>
      <c r="J717" t="s">
        <v>29</v>
      </c>
      <c r="K717" t="str">
        <f>IF(Table3[[#This Row],[Type Received]]=2,"CC",(IF(Table3[[#This Row],[Type Received]]=3,"BILL","ACH")))</f>
        <v>ACH</v>
      </c>
    </row>
    <row r="718" spans="1:11" x14ac:dyDescent="0.25">
      <c r="A718">
        <v>258994</v>
      </c>
      <c r="B718" s="3">
        <v>46158</v>
      </c>
      <c r="C718">
        <v>1</v>
      </c>
      <c r="D718">
        <v>53.92</v>
      </c>
      <c r="G718" t="s">
        <v>106</v>
      </c>
      <c r="H718">
        <v>710027062</v>
      </c>
      <c r="I718" t="s">
        <v>29</v>
      </c>
      <c r="K718" t="str">
        <f>IF(Table3[[#This Row],[Type Received]]=2,"CC",(IF(Table3[[#This Row],[Type Received]]=3,"BILL","ACH")))</f>
        <v>ACH</v>
      </c>
    </row>
    <row r="719" spans="1:11" x14ac:dyDescent="0.25">
      <c r="A719">
        <v>258987</v>
      </c>
      <c r="B719" s="3">
        <v>46167</v>
      </c>
      <c r="C719">
        <v>1</v>
      </c>
      <c r="D719">
        <v>50.95</v>
      </c>
      <c r="G719" s="4" t="s">
        <v>85</v>
      </c>
      <c r="H719">
        <v>818342372</v>
      </c>
      <c r="I719" t="s">
        <v>29</v>
      </c>
      <c r="J719" t="s">
        <v>29</v>
      </c>
      <c r="K719" t="str">
        <f>IF(Table3[[#This Row],[Type Received]]=2,"CC",(IF(Table3[[#This Row],[Type Received]]=3,"BILL","ACH")))</f>
        <v>ACH</v>
      </c>
    </row>
    <row r="720" spans="1:11" x14ac:dyDescent="0.25">
      <c r="A720">
        <v>258985</v>
      </c>
      <c r="B720" s="3">
        <v>46167</v>
      </c>
      <c r="C720">
        <v>1</v>
      </c>
      <c r="D720">
        <v>153.25</v>
      </c>
      <c r="G720" t="s">
        <v>85</v>
      </c>
      <c r="H720">
        <v>818325875</v>
      </c>
      <c r="I720" t="s">
        <v>29</v>
      </c>
      <c r="J720" t="s">
        <v>29</v>
      </c>
      <c r="K720" t="str">
        <f>IF(Table3[[#This Row],[Type Received]]=2,"CC",(IF(Table3[[#This Row],[Type Received]]=3,"BILL","ACH")))</f>
        <v>ACH</v>
      </c>
    </row>
    <row r="721" spans="1:11" x14ac:dyDescent="0.25">
      <c r="A721">
        <v>258989</v>
      </c>
      <c r="B721" s="3">
        <v>46148</v>
      </c>
      <c r="C721">
        <v>2</v>
      </c>
      <c r="D721">
        <v>119.26</v>
      </c>
      <c r="F721" t="s">
        <v>144</v>
      </c>
      <c r="G721" t="s">
        <v>28</v>
      </c>
      <c r="H721">
        <v>582136533</v>
      </c>
      <c r="I721" t="s">
        <v>29</v>
      </c>
      <c r="J721" t="s">
        <v>29</v>
      </c>
      <c r="K721" t="str">
        <f>IF(Table3[[#This Row],[Type Received]]=2,"CC",(IF(Table3[[#This Row],[Type Received]]=3,"BILL","ACH")))</f>
        <v>CC</v>
      </c>
    </row>
    <row r="722" spans="1:11" x14ac:dyDescent="0.25">
      <c r="A722">
        <v>259011</v>
      </c>
      <c r="B722" s="3">
        <v>46167</v>
      </c>
      <c r="C722">
        <v>1</v>
      </c>
      <c r="D722">
        <v>126.19</v>
      </c>
      <c r="G722" t="s">
        <v>85</v>
      </c>
      <c r="H722">
        <v>818331752</v>
      </c>
      <c r="I722" t="s">
        <v>29</v>
      </c>
      <c r="J722" t="s">
        <v>29</v>
      </c>
      <c r="K722" t="str">
        <f>IF(Table3[[#This Row],[Type Received]]=2,"CC",(IF(Table3[[#This Row],[Type Received]]=3,"BILL","ACH")))</f>
        <v>ACH</v>
      </c>
    </row>
    <row r="723" spans="1:11" x14ac:dyDescent="0.25">
      <c r="A723">
        <v>259007</v>
      </c>
      <c r="B723" s="3">
        <v>46158</v>
      </c>
      <c r="C723">
        <v>1</v>
      </c>
      <c r="D723">
        <v>148.63</v>
      </c>
      <c r="G723" t="s">
        <v>106</v>
      </c>
      <c r="H723">
        <v>710035822</v>
      </c>
      <c r="I723" t="s">
        <v>29</v>
      </c>
      <c r="K723" t="str">
        <f>IF(Table3[[#This Row],[Type Received]]=2,"CC",(IF(Table3[[#This Row],[Type Received]]=3,"BILL","ACH")))</f>
        <v>ACH</v>
      </c>
    </row>
    <row r="724" spans="1:11" x14ac:dyDescent="0.25">
      <c r="A724">
        <v>259008</v>
      </c>
      <c r="B724" s="3">
        <v>46167</v>
      </c>
      <c r="C724">
        <v>1</v>
      </c>
      <c r="D724">
        <v>174.04</v>
      </c>
      <c r="G724" t="s">
        <v>85</v>
      </c>
      <c r="H724">
        <v>818337498</v>
      </c>
      <c r="I724" t="s">
        <v>29</v>
      </c>
      <c r="J724" t="s">
        <v>29</v>
      </c>
      <c r="K724" t="str">
        <f>IF(Table3[[#This Row],[Type Received]]=2,"CC",(IF(Table3[[#This Row],[Type Received]]=3,"BILL","ACH")))</f>
        <v>ACH</v>
      </c>
    </row>
    <row r="725" spans="1:11" x14ac:dyDescent="0.25">
      <c r="A725">
        <v>259013</v>
      </c>
      <c r="B725" s="3">
        <v>46155</v>
      </c>
      <c r="C725">
        <v>2</v>
      </c>
      <c r="D725">
        <v>99.35</v>
      </c>
      <c r="F725" t="s">
        <v>145</v>
      </c>
      <c r="G725" t="s">
        <v>28</v>
      </c>
      <c r="H725">
        <v>669452604</v>
      </c>
      <c r="I725" t="s">
        <v>29</v>
      </c>
      <c r="J725" t="s">
        <v>29</v>
      </c>
      <c r="K725" t="str">
        <f>IF(Table3[[#This Row],[Type Received]]=2,"CC",(IF(Table3[[#This Row],[Type Received]]=3,"BILL","ACH")))</f>
        <v>CC</v>
      </c>
    </row>
    <row r="726" spans="1:11" x14ac:dyDescent="0.25">
      <c r="A726">
        <v>259015</v>
      </c>
      <c r="B726" s="3">
        <v>46143</v>
      </c>
      <c r="C726">
        <v>2</v>
      </c>
      <c r="D726">
        <v>93.21</v>
      </c>
      <c r="F726">
        <v>416475</v>
      </c>
      <c r="G726">
        <v>741374152</v>
      </c>
      <c r="H726">
        <v>353178471</v>
      </c>
      <c r="J726" t="s">
        <v>29</v>
      </c>
      <c r="K726" t="str">
        <f>IF(Table3[[#This Row],[Type Received]]=2,"CC",(IF(Table3[[#This Row],[Type Received]]=3,"BILL","ACH")))</f>
        <v>CC</v>
      </c>
    </row>
    <row r="727" spans="1:11" x14ac:dyDescent="0.25">
      <c r="A727">
        <v>259006</v>
      </c>
      <c r="B727" s="3">
        <v>46143</v>
      </c>
      <c r="C727">
        <v>1</v>
      </c>
      <c r="D727">
        <v>53.92</v>
      </c>
      <c r="G727" t="s">
        <v>84</v>
      </c>
      <c r="H727">
        <v>522241288</v>
      </c>
      <c r="I727" t="s">
        <v>29</v>
      </c>
      <c r="J727" t="s">
        <v>29</v>
      </c>
      <c r="K727" t="str">
        <f>IF(Table3[[#This Row],[Type Received]]=2,"CC",(IF(Table3[[#This Row],[Type Received]]=3,"BILL","ACH")))</f>
        <v>ACH</v>
      </c>
    </row>
    <row r="728" spans="1:11" x14ac:dyDescent="0.25">
      <c r="A728">
        <v>259009</v>
      </c>
      <c r="B728" s="3">
        <v>46167</v>
      </c>
      <c r="C728">
        <v>1</v>
      </c>
      <c r="D728">
        <v>50.95</v>
      </c>
      <c r="G728" s="4" t="s">
        <v>85</v>
      </c>
      <c r="H728">
        <v>818338499</v>
      </c>
      <c r="I728" t="s">
        <v>29</v>
      </c>
      <c r="K728" t="str">
        <f>IF(Table3[[#This Row],[Type Received]]=2,"CC",(IF(Table3[[#This Row],[Type Received]]=3,"BILL","ACH")))</f>
        <v>ACH</v>
      </c>
    </row>
    <row r="729" spans="1:11" x14ac:dyDescent="0.25">
      <c r="A729">
        <v>259022</v>
      </c>
      <c r="B729" s="3">
        <v>46157</v>
      </c>
      <c r="C729">
        <v>1</v>
      </c>
      <c r="D729">
        <v>120.47</v>
      </c>
      <c r="G729" t="s">
        <v>87</v>
      </c>
      <c r="H729">
        <v>696656577</v>
      </c>
      <c r="I729" t="s">
        <v>29</v>
      </c>
      <c r="K729" t="str">
        <f>IF(Table3[[#This Row],[Type Received]]=2,"CC",(IF(Table3[[#This Row],[Type Received]]=3,"BILL","ACH")))</f>
        <v>ACH</v>
      </c>
    </row>
    <row r="730" spans="1:11" x14ac:dyDescent="0.25">
      <c r="A730">
        <v>259028</v>
      </c>
      <c r="B730" s="3">
        <v>46155</v>
      </c>
      <c r="C730">
        <v>2</v>
      </c>
      <c r="D730">
        <v>72.400000000000006</v>
      </c>
      <c r="F730" t="s">
        <v>146</v>
      </c>
      <c r="G730" t="s">
        <v>28</v>
      </c>
      <c r="H730">
        <v>669464377</v>
      </c>
      <c r="I730" t="s">
        <v>29</v>
      </c>
      <c r="J730" t="s">
        <v>29</v>
      </c>
      <c r="K730" t="str">
        <f>IF(Table3[[#This Row],[Type Received]]=2,"CC",(IF(Table3[[#This Row],[Type Received]]=3,"BILL","ACH")))</f>
        <v>CC</v>
      </c>
    </row>
    <row r="731" spans="1:11" x14ac:dyDescent="0.25">
      <c r="A731">
        <v>259029</v>
      </c>
      <c r="B731" s="3">
        <v>46155</v>
      </c>
      <c r="C731">
        <v>2</v>
      </c>
      <c r="D731">
        <v>70.75</v>
      </c>
      <c r="F731" t="s">
        <v>147</v>
      </c>
      <c r="G731" t="s">
        <v>28</v>
      </c>
      <c r="H731">
        <v>669464372</v>
      </c>
      <c r="I731" t="s">
        <v>29</v>
      </c>
      <c r="J731" t="s">
        <v>29</v>
      </c>
      <c r="K731" t="str">
        <f>IF(Table3[[#This Row],[Type Received]]=2,"CC",(IF(Table3[[#This Row],[Type Received]]=3,"BILL","ACH")))</f>
        <v>CC</v>
      </c>
    </row>
    <row r="732" spans="1:11" x14ac:dyDescent="0.25">
      <c r="A732">
        <v>259035</v>
      </c>
      <c r="B732" s="3">
        <v>46155</v>
      </c>
      <c r="C732">
        <v>2</v>
      </c>
      <c r="D732">
        <v>96.49</v>
      </c>
      <c r="F732">
        <v>903110</v>
      </c>
      <c r="G732" t="s">
        <v>28</v>
      </c>
      <c r="H732">
        <v>669456526</v>
      </c>
      <c r="I732" t="s">
        <v>29</v>
      </c>
      <c r="K732" t="str">
        <f>IF(Table3[[#This Row],[Type Received]]=2,"CC",(IF(Table3[[#This Row],[Type Received]]=3,"BILL","ACH")))</f>
        <v>CC</v>
      </c>
    </row>
    <row r="733" spans="1:11" x14ac:dyDescent="0.25">
      <c r="A733">
        <v>259042</v>
      </c>
      <c r="B733" s="3">
        <v>46146</v>
      </c>
      <c r="C733">
        <v>2</v>
      </c>
      <c r="D733">
        <v>40.630000000000003</v>
      </c>
      <c r="F733">
        <v>3176</v>
      </c>
      <c r="G733" t="s">
        <v>28</v>
      </c>
      <c r="H733">
        <v>556765072</v>
      </c>
      <c r="I733" t="s">
        <v>29</v>
      </c>
      <c r="K733" t="str">
        <f>IF(Table3[[#This Row],[Type Received]]=2,"CC",(IF(Table3[[#This Row],[Type Received]]=3,"BILL","ACH")))</f>
        <v>CC</v>
      </c>
    </row>
    <row r="734" spans="1:11" x14ac:dyDescent="0.25">
      <c r="A734">
        <v>259045</v>
      </c>
      <c r="B734" s="3">
        <v>46167</v>
      </c>
      <c r="C734">
        <v>1</v>
      </c>
      <c r="D734">
        <v>50.29</v>
      </c>
      <c r="G734" t="s">
        <v>85</v>
      </c>
      <c r="H734">
        <v>818336612</v>
      </c>
      <c r="I734" t="s">
        <v>29</v>
      </c>
      <c r="J734" t="s">
        <v>29</v>
      </c>
      <c r="K734" t="str">
        <f>IF(Table3[[#This Row],[Type Received]]=2,"CC",(IF(Table3[[#This Row],[Type Received]]=3,"BILL","ACH")))</f>
        <v>ACH</v>
      </c>
    </row>
    <row r="735" spans="1:11" x14ac:dyDescent="0.25">
      <c r="A735">
        <v>259047</v>
      </c>
      <c r="B735" s="3">
        <v>46170</v>
      </c>
      <c r="C735">
        <v>2</v>
      </c>
      <c r="D735">
        <v>165.92</v>
      </c>
      <c r="F735">
        <v>743161</v>
      </c>
      <c r="G735" t="s">
        <v>28</v>
      </c>
      <c r="H735">
        <v>856737770</v>
      </c>
      <c r="I735" t="s">
        <v>29</v>
      </c>
      <c r="K735" t="str">
        <f>IF(Table3[[#This Row],[Type Received]]=2,"CC",(IF(Table3[[#This Row],[Type Received]]=3,"BILL","ACH")))</f>
        <v>CC</v>
      </c>
    </row>
    <row r="736" spans="1:11" x14ac:dyDescent="0.25">
      <c r="A736">
        <v>259046</v>
      </c>
      <c r="B736" s="3">
        <v>46167</v>
      </c>
      <c r="C736">
        <v>1</v>
      </c>
      <c r="D736">
        <v>49.3</v>
      </c>
      <c r="G736" t="s">
        <v>85</v>
      </c>
      <c r="H736">
        <v>818334721</v>
      </c>
      <c r="I736" t="s">
        <v>29</v>
      </c>
      <c r="J736" t="s">
        <v>29</v>
      </c>
      <c r="K736" t="str">
        <f>IF(Table3[[#This Row],[Type Received]]=2,"CC",(IF(Table3[[#This Row],[Type Received]]=3,"BILL","ACH")))</f>
        <v>ACH</v>
      </c>
    </row>
    <row r="737" spans="1:11" x14ac:dyDescent="0.25">
      <c r="A737">
        <v>259048</v>
      </c>
      <c r="B737" s="3">
        <v>46143</v>
      </c>
      <c r="C737">
        <v>2</v>
      </c>
      <c r="D737">
        <v>72.95</v>
      </c>
      <c r="F737">
        <v>1644</v>
      </c>
      <c r="G737" t="s">
        <v>28</v>
      </c>
      <c r="H737">
        <v>522275596</v>
      </c>
      <c r="I737" t="s">
        <v>29</v>
      </c>
      <c r="J737" t="s">
        <v>29</v>
      </c>
      <c r="K737" t="str">
        <f>IF(Table3[[#This Row],[Type Received]]=2,"CC",(IF(Table3[[#This Row],[Type Received]]=3,"BILL","ACH")))</f>
        <v>CC</v>
      </c>
    </row>
    <row r="738" spans="1:11" x14ac:dyDescent="0.25">
      <c r="A738">
        <v>259050</v>
      </c>
      <c r="B738" s="3">
        <v>46155</v>
      </c>
      <c r="C738">
        <v>2</v>
      </c>
      <c r="D738">
        <v>110.35</v>
      </c>
      <c r="F738">
        <v>82155</v>
      </c>
      <c r="G738" t="s">
        <v>28</v>
      </c>
      <c r="H738">
        <v>669444090</v>
      </c>
      <c r="I738" t="s">
        <v>29</v>
      </c>
      <c r="J738" t="s">
        <v>29</v>
      </c>
      <c r="K738" t="str">
        <f>IF(Table3[[#This Row],[Type Received]]=2,"CC",(IF(Table3[[#This Row],[Type Received]]=3,"BILL","ACH")))</f>
        <v>CC</v>
      </c>
    </row>
    <row r="739" spans="1:11" x14ac:dyDescent="0.25">
      <c r="A739">
        <v>259051</v>
      </c>
      <c r="B739" s="3">
        <v>46143</v>
      </c>
      <c r="C739">
        <v>1</v>
      </c>
      <c r="D739">
        <v>149.94999999999999</v>
      </c>
      <c r="G739" s="4" t="s">
        <v>84</v>
      </c>
      <c r="H739">
        <v>522241337</v>
      </c>
      <c r="I739" t="s">
        <v>29</v>
      </c>
      <c r="J739" t="s">
        <v>29</v>
      </c>
      <c r="K739" t="str">
        <f>IF(Table3[[#This Row],[Type Received]]=2,"CC",(IF(Table3[[#This Row],[Type Received]]=3,"BILL","ACH")))</f>
        <v>ACH</v>
      </c>
    </row>
    <row r="740" spans="1:11" x14ac:dyDescent="0.25">
      <c r="A740">
        <v>259054</v>
      </c>
      <c r="B740" s="3">
        <v>46157</v>
      </c>
      <c r="C740">
        <v>1</v>
      </c>
      <c r="D740">
        <v>181.96</v>
      </c>
      <c r="G740" t="s">
        <v>87</v>
      </c>
      <c r="H740">
        <v>696657472</v>
      </c>
      <c r="I740" t="s">
        <v>29</v>
      </c>
      <c r="J740" t="s">
        <v>29</v>
      </c>
      <c r="K740" t="str">
        <f>IF(Table3[[#This Row],[Type Received]]=2,"CC",(IF(Table3[[#This Row],[Type Received]]=3,"BILL","ACH")))</f>
        <v>ACH</v>
      </c>
    </row>
    <row r="741" spans="1:11" x14ac:dyDescent="0.25">
      <c r="A741">
        <v>259068</v>
      </c>
      <c r="B741" s="3">
        <v>46143</v>
      </c>
      <c r="C741">
        <v>2</v>
      </c>
      <c r="D741">
        <v>54.93</v>
      </c>
      <c r="F741">
        <v>12346</v>
      </c>
      <c r="G741">
        <v>741374152</v>
      </c>
      <c r="H741">
        <v>353115372</v>
      </c>
      <c r="K741" t="str">
        <f>IF(Table3[[#This Row],[Type Received]]=2,"CC",(IF(Table3[[#This Row],[Type Received]]=3,"BILL","ACH")))</f>
        <v>CC</v>
      </c>
    </row>
    <row r="742" spans="1:11" x14ac:dyDescent="0.25">
      <c r="A742">
        <v>259061</v>
      </c>
      <c r="B742" s="3">
        <v>46157</v>
      </c>
      <c r="C742">
        <v>1</v>
      </c>
      <c r="D742">
        <v>78.67</v>
      </c>
      <c r="G742" t="s">
        <v>87</v>
      </c>
      <c r="H742">
        <v>696643927</v>
      </c>
      <c r="I742" t="s">
        <v>29</v>
      </c>
      <c r="J742" t="s">
        <v>29</v>
      </c>
      <c r="K742" t="str">
        <f>IF(Table3[[#This Row],[Type Received]]=2,"CC",(IF(Table3[[#This Row],[Type Received]]=3,"BILL","ACH")))</f>
        <v>ACH</v>
      </c>
    </row>
    <row r="743" spans="1:11" x14ac:dyDescent="0.25">
      <c r="A743">
        <v>259063</v>
      </c>
      <c r="B743" s="3">
        <v>46143</v>
      </c>
      <c r="C743">
        <v>1</v>
      </c>
      <c r="D743">
        <v>47.65</v>
      </c>
      <c r="G743" s="4" t="s">
        <v>84</v>
      </c>
      <c r="H743">
        <v>522242354</v>
      </c>
      <c r="I743" t="s">
        <v>29</v>
      </c>
      <c r="J743" t="s">
        <v>29</v>
      </c>
      <c r="K743" t="str">
        <f>IF(Table3[[#This Row],[Type Received]]=2,"CC",(IF(Table3[[#This Row],[Type Received]]=3,"BILL","ACH")))</f>
        <v>ACH</v>
      </c>
    </row>
    <row r="744" spans="1:11" x14ac:dyDescent="0.25">
      <c r="A744">
        <v>259065</v>
      </c>
      <c r="B744" s="3">
        <v>46144</v>
      </c>
      <c r="C744">
        <v>1</v>
      </c>
      <c r="D744">
        <v>52.93</v>
      </c>
      <c r="G744" t="s">
        <v>89</v>
      </c>
      <c r="H744">
        <v>535375665</v>
      </c>
      <c r="I744" t="s">
        <v>29</v>
      </c>
      <c r="J744" t="s">
        <v>29</v>
      </c>
      <c r="K744" t="str">
        <f>IF(Table3[[#This Row],[Type Received]]=2,"CC",(IF(Table3[[#This Row],[Type Received]]=3,"BILL","ACH")))</f>
        <v>ACH</v>
      </c>
    </row>
    <row r="745" spans="1:11" x14ac:dyDescent="0.25">
      <c r="A745">
        <v>259084</v>
      </c>
      <c r="B745" s="3">
        <v>46157</v>
      </c>
      <c r="C745">
        <v>1</v>
      </c>
      <c r="D745">
        <v>123.55</v>
      </c>
      <c r="G745" t="s">
        <v>87</v>
      </c>
      <c r="H745">
        <v>696665343</v>
      </c>
      <c r="I745" t="s">
        <v>29</v>
      </c>
      <c r="J745" t="s">
        <v>29</v>
      </c>
      <c r="K745" t="str">
        <f>IF(Table3[[#This Row],[Type Received]]=2,"CC",(IF(Table3[[#This Row],[Type Received]]=3,"BILL","ACH")))</f>
        <v>ACH</v>
      </c>
    </row>
    <row r="746" spans="1:11" x14ac:dyDescent="0.25">
      <c r="A746">
        <v>259081</v>
      </c>
      <c r="B746" s="3">
        <v>46143</v>
      </c>
      <c r="C746">
        <v>1</v>
      </c>
      <c r="D746">
        <v>49.96</v>
      </c>
      <c r="G746" t="s">
        <v>84</v>
      </c>
      <c r="H746">
        <v>522238592</v>
      </c>
      <c r="I746" t="s">
        <v>29</v>
      </c>
      <c r="J746" t="s">
        <v>29</v>
      </c>
      <c r="K746" t="str">
        <f>IF(Table3[[#This Row],[Type Received]]=2,"CC",(IF(Table3[[#This Row],[Type Received]]=3,"BILL","ACH")))</f>
        <v>ACH</v>
      </c>
    </row>
    <row r="747" spans="1:11" x14ac:dyDescent="0.25">
      <c r="A747">
        <v>259105</v>
      </c>
      <c r="B747" s="3">
        <v>46143</v>
      </c>
      <c r="C747">
        <v>1</v>
      </c>
      <c r="D747">
        <v>39.950000000000003</v>
      </c>
      <c r="G747" t="s">
        <v>84</v>
      </c>
      <c r="H747">
        <v>522227021</v>
      </c>
      <c r="I747" t="s">
        <v>29</v>
      </c>
      <c r="J747" t="s">
        <v>29</v>
      </c>
      <c r="K747" t="str">
        <f>IF(Table3[[#This Row],[Type Received]]=2,"CC",(IF(Table3[[#This Row],[Type Received]]=3,"BILL","ACH")))</f>
        <v>ACH</v>
      </c>
    </row>
    <row r="748" spans="1:11" x14ac:dyDescent="0.25">
      <c r="A748">
        <v>259100</v>
      </c>
      <c r="B748" s="3">
        <v>46169</v>
      </c>
      <c r="C748">
        <v>1</v>
      </c>
      <c r="D748">
        <v>103.75</v>
      </c>
      <c r="G748" t="s">
        <v>117</v>
      </c>
      <c r="H748">
        <v>840824885</v>
      </c>
      <c r="I748" t="s">
        <v>29</v>
      </c>
      <c r="J748" t="s">
        <v>29</v>
      </c>
      <c r="K748" t="str">
        <f>IF(Table3[[#This Row],[Type Received]]=2,"CC",(IF(Table3[[#This Row],[Type Received]]=3,"BILL","ACH")))</f>
        <v>ACH</v>
      </c>
    </row>
    <row r="749" spans="1:11" x14ac:dyDescent="0.25">
      <c r="A749">
        <v>259107</v>
      </c>
      <c r="B749" s="3">
        <v>46157</v>
      </c>
      <c r="C749">
        <v>1</v>
      </c>
      <c r="D749">
        <v>58.43</v>
      </c>
      <c r="G749" t="s">
        <v>87</v>
      </c>
      <c r="H749">
        <v>696656651</v>
      </c>
      <c r="I749" t="s">
        <v>29</v>
      </c>
      <c r="J749" t="s">
        <v>29</v>
      </c>
      <c r="K749" t="str">
        <f>IF(Table3[[#This Row],[Type Received]]=2,"CC",(IF(Table3[[#This Row],[Type Received]]=3,"BILL","ACH")))</f>
        <v>ACH</v>
      </c>
    </row>
    <row r="750" spans="1:11" x14ac:dyDescent="0.25">
      <c r="A750">
        <v>259104</v>
      </c>
      <c r="B750" s="3">
        <v>46167</v>
      </c>
      <c r="C750">
        <v>1</v>
      </c>
      <c r="D750">
        <v>57.33</v>
      </c>
      <c r="G750" t="s">
        <v>85</v>
      </c>
      <c r="H750">
        <v>818327843</v>
      </c>
      <c r="I750" t="s">
        <v>29</v>
      </c>
      <c r="J750" t="s">
        <v>29</v>
      </c>
      <c r="K750" t="str">
        <f>IF(Table3[[#This Row],[Type Received]]=2,"CC",(IF(Table3[[#This Row],[Type Received]]=3,"BILL","ACH")))</f>
        <v>ACH</v>
      </c>
    </row>
    <row r="751" spans="1:11" x14ac:dyDescent="0.25">
      <c r="A751">
        <v>259095</v>
      </c>
      <c r="B751" s="3">
        <v>46157</v>
      </c>
      <c r="C751">
        <v>1</v>
      </c>
      <c r="D751">
        <v>134.44</v>
      </c>
      <c r="G751" s="4" t="s">
        <v>87</v>
      </c>
      <c r="H751">
        <v>696664739</v>
      </c>
      <c r="I751" t="s">
        <v>29</v>
      </c>
      <c r="J751" t="s">
        <v>29</v>
      </c>
      <c r="K751" t="str">
        <f>IF(Table3[[#This Row],[Type Received]]=2,"CC",(IF(Table3[[#This Row],[Type Received]]=3,"BILL","ACH")))</f>
        <v>ACH</v>
      </c>
    </row>
    <row r="752" spans="1:11" x14ac:dyDescent="0.25">
      <c r="A752">
        <v>259097</v>
      </c>
      <c r="B752" s="3">
        <v>46155</v>
      </c>
      <c r="C752">
        <v>2</v>
      </c>
      <c r="D752">
        <v>80.98</v>
      </c>
      <c r="F752">
        <v>673336</v>
      </c>
      <c r="G752" t="s">
        <v>28</v>
      </c>
      <c r="H752">
        <v>669446038</v>
      </c>
      <c r="I752" t="s">
        <v>29</v>
      </c>
      <c r="J752" t="s">
        <v>29</v>
      </c>
      <c r="K752" t="str">
        <f>IF(Table3[[#This Row],[Type Received]]=2,"CC",(IF(Table3[[#This Row],[Type Received]]=3,"BILL","ACH")))</f>
        <v>CC</v>
      </c>
    </row>
    <row r="753" spans="1:11" x14ac:dyDescent="0.25">
      <c r="A753">
        <v>259101</v>
      </c>
      <c r="B753" s="3">
        <v>46167</v>
      </c>
      <c r="C753">
        <v>1</v>
      </c>
      <c r="D753">
        <v>67.45</v>
      </c>
      <c r="G753" t="s">
        <v>85</v>
      </c>
      <c r="H753">
        <v>818345326</v>
      </c>
      <c r="I753" t="s">
        <v>29</v>
      </c>
      <c r="K753" t="str">
        <f>IF(Table3[[#This Row],[Type Received]]=2,"CC",(IF(Table3[[#This Row],[Type Received]]=3,"BILL","ACH")))</f>
        <v>ACH</v>
      </c>
    </row>
    <row r="754" spans="1:11" x14ac:dyDescent="0.25">
      <c r="A754">
        <v>259112</v>
      </c>
      <c r="B754" s="3">
        <v>46170</v>
      </c>
      <c r="C754">
        <v>3</v>
      </c>
      <c r="D754">
        <v>62.85</v>
      </c>
      <c r="E754">
        <v>2244235972</v>
      </c>
      <c r="J754" t="s">
        <v>29</v>
      </c>
      <c r="K754" t="str">
        <f>IF(Table3[[#This Row],[Type Received]]=2,"CC",(IF(Table3[[#This Row],[Type Received]]=3,"BILL","ACH")))</f>
        <v>BILL</v>
      </c>
    </row>
    <row r="755" spans="1:11" x14ac:dyDescent="0.25">
      <c r="A755">
        <v>259125</v>
      </c>
      <c r="B755" s="3">
        <v>46143</v>
      </c>
      <c r="C755">
        <v>2</v>
      </c>
      <c r="D755">
        <v>51.28</v>
      </c>
      <c r="F755">
        <v>840</v>
      </c>
      <c r="G755" t="s">
        <v>28</v>
      </c>
      <c r="H755">
        <v>522246355</v>
      </c>
      <c r="I755" t="s">
        <v>29</v>
      </c>
      <c r="J755" t="s">
        <v>29</v>
      </c>
      <c r="K755" t="str">
        <f>IF(Table3[[#This Row],[Type Received]]=2,"CC",(IF(Table3[[#This Row],[Type Received]]=3,"BILL","ACH")))</f>
        <v>CC</v>
      </c>
    </row>
    <row r="756" spans="1:11" x14ac:dyDescent="0.25">
      <c r="A756">
        <v>259128</v>
      </c>
      <c r="B756" s="3">
        <v>46143</v>
      </c>
      <c r="C756">
        <v>1</v>
      </c>
      <c r="D756">
        <v>55.24</v>
      </c>
      <c r="G756" t="s">
        <v>84</v>
      </c>
      <c r="H756">
        <v>522230038</v>
      </c>
      <c r="I756" t="s">
        <v>29</v>
      </c>
      <c r="J756" t="s">
        <v>29</v>
      </c>
      <c r="K756" t="str">
        <f>IF(Table3[[#This Row],[Type Received]]=2,"CC",(IF(Table3[[#This Row],[Type Received]]=3,"BILL","ACH")))</f>
        <v>ACH</v>
      </c>
    </row>
    <row r="757" spans="1:11" x14ac:dyDescent="0.25">
      <c r="A757">
        <v>259138</v>
      </c>
      <c r="B757" s="3">
        <v>46150</v>
      </c>
      <c r="C757">
        <v>3</v>
      </c>
      <c r="D757">
        <v>97.83</v>
      </c>
      <c r="E757">
        <v>58089918</v>
      </c>
      <c r="G757" s="4"/>
      <c r="J757" t="s">
        <v>29</v>
      </c>
      <c r="K757" t="str">
        <f>IF(Table3[[#This Row],[Type Received]]=2,"CC",(IF(Table3[[#This Row],[Type Received]]=3,"BILL","ACH")))</f>
        <v>BILL</v>
      </c>
    </row>
    <row r="758" spans="1:11" x14ac:dyDescent="0.25">
      <c r="A758">
        <v>259122</v>
      </c>
      <c r="B758" s="3">
        <v>46155</v>
      </c>
      <c r="C758">
        <v>2</v>
      </c>
      <c r="D758">
        <v>141.04</v>
      </c>
      <c r="F758" t="s">
        <v>148</v>
      </c>
      <c r="G758" t="s">
        <v>28</v>
      </c>
      <c r="H758">
        <v>669445062</v>
      </c>
      <c r="I758" t="s">
        <v>29</v>
      </c>
      <c r="J758" t="s">
        <v>29</v>
      </c>
      <c r="K758" t="str">
        <f>IF(Table3[[#This Row],[Type Received]]=2,"CC",(IF(Table3[[#This Row],[Type Received]]=3,"BILL","ACH")))</f>
        <v>CC</v>
      </c>
    </row>
    <row r="759" spans="1:11" x14ac:dyDescent="0.25">
      <c r="A759">
        <v>259127</v>
      </c>
      <c r="B759" s="3">
        <v>46143</v>
      </c>
      <c r="C759">
        <v>1</v>
      </c>
      <c r="D759">
        <v>50.95</v>
      </c>
      <c r="G759" t="s">
        <v>84</v>
      </c>
      <c r="H759">
        <v>522253152</v>
      </c>
      <c r="I759" t="s">
        <v>29</v>
      </c>
      <c r="J759" t="s">
        <v>29</v>
      </c>
      <c r="K759" t="str">
        <f>IF(Table3[[#This Row],[Type Received]]=2,"CC",(IF(Table3[[#This Row],[Type Received]]=3,"BILL","ACH")))</f>
        <v>ACH</v>
      </c>
    </row>
    <row r="760" spans="1:11" x14ac:dyDescent="0.25">
      <c r="A760">
        <v>259123</v>
      </c>
      <c r="B760" s="3">
        <v>46145</v>
      </c>
      <c r="C760">
        <v>2</v>
      </c>
      <c r="D760">
        <v>154.9</v>
      </c>
      <c r="F760">
        <v>3342</v>
      </c>
      <c r="G760" t="s">
        <v>28</v>
      </c>
      <c r="H760">
        <v>546423350</v>
      </c>
      <c r="I760" t="s">
        <v>29</v>
      </c>
      <c r="J760" t="s">
        <v>29</v>
      </c>
      <c r="K760" t="str">
        <f>IF(Table3[[#This Row],[Type Received]]=2,"CC",(IF(Table3[[#This Row],[Type Received]]=3,"BILL","ACH")))</f>
        <v>CC</v>
      </c>
    </row>
    <row r="761" spans="1:11" x14ac:dyDescent="0.25">
      <c r="A761">
        <v>259156</v>
      </c>
      <c r="B761" s="3">
        <v>46143</v>
      </c>
      <c r="C761">
        <v>1</v>
      </c>
      <c r="D761">
        <v>138.4</v>
      </c>
      <c r="G761" t="s">
        <v>84</v>
      </c>
      <c r="H761">
        <v>522258177</v>
      </c>
      <c r="I761" t="s">
        <v>29</v>
      </c>
      <c r="K761" t="str">
        <f>IF(Table3[[#This Row],[Type Received]]=2,"CC",(IF(Table3[[#This Row],[Type Received]]=3,"BILL","ACH")))</f>
        <v>ACH</v>
      </c>
    </row>
    <row r="762" spans="1:11" x14ac:dyDescent="0.25">
      <c r="A762">
        <v>259143</v>
      </c>
      <c r="B762" s="3">
        <v>46155</v>
      </c>
      <c r="C762">
        <v>2</v>
      </c>
      <c r="D762">
        <v>75.7</v>
      </c>
      <c r="F762" t="s">
        <v>149</v>
      </c>
      <c r="G762" t="s">
        <v>28</v>
      </c>
      <c r="H762">
        <v>669446926</v>
      </c>
      <c r="I762" t="s">
        <v>29</v>
      </c>
      <c r="J762" t="s">
        <v>29</v>
      </c>
      <c r="K762" t="str">
        <f>IF(Table3[[#This Row],[Type Received]]=2,"CC",(IF(Table3[[#This Row],[Type Received]]=3,"BILL","ACH")))</f>
        <v>CC</v>
      </c>
    </row>
    <row r="763" spans="1:11" x14ac:dyDescent="0.25">
      <c r="A763">
        <v>259147</v>
      </c>
      <c r="B763" s="3">
        <v>46149</v>
      </c>
      <c r="C763">
        <v>2</v>
      </c>
      <c r="D763">
        <v>59.75</v>
      </c>
      <c r="F763">
        <v>90020</v>
      </c>
      <c r="G763" t="s">
        <v>28</v>
      </c>
      <c r="H763">
        <v>594886965</v>
      </c>
      <c r="I763" t="s">
        <v>29</v>
      </c>
      <c r="J763" t="s">
        <v>29</v>
      </c>
      <c r="K763" t="str">
        <f>IF(Table3[[#This Row],[Type Received]]=2,"CC",(IF(Table3[[#This Row],[Type Received]]=3,"BILL","ACH")))</f>
        <v>CC</v>
      </c>
    </row>
    <row r="764" spans="1:11" x14ac:dyDescent="0.25">
      <c r="A764">
        <v>259152</v>
      </c>
      <c r="B764" s="3">
        <v>46143</v>
      </c>
      <c r="C764">
        <v>1</v>
      </c>
      <c r="D764">
        <v>153.58000000000001</v>
      </c>
      <c r="G764" t="s">
        <v>84</v>
      </c>
      <c r="H764">
        <v>522256155</v>
      </c>
      <c r="I764" t="s">
        <v>29</v>
      </c>
      <c r="J764" t="s">
        <v>29</v>
      </c>
      <c r="K764" t="str">
        <f>IF(Table3[[#This Row],[Type Received]]=2,"CC",(IF(Table3[[#This Row],[Type Received]]=3,"BILL","ACH")))</f>
        <v>ACH</v>
      </c>
    </row>
    <row r="765" spans="1:11" x14ac:dyDescent="0.25">
      <c r="A765">
        <v>259145</v>
      </c>
      <c r="B765" s="3">
        <v>46155</v>
      </c>
      <c r="C765">
        <v>2</v>
      </c>
      <c r="D765">
        <v>58.21</v>
      </c>
      <c r="F765">
        <v>436932</v>
      </c>
      <c r="G765" t="s">
        <v>28</v>
      </c>
      <c r="H765">
        <v>669466321</v>
      </c>
      <c r="I765" t="s">
        <v>29</v>
      </c>
      <c r="K765" t="str">
        <f>IF(Table3[[#This Row],[Type Received]]=2,"CC",(IF(Table3[[#This Row],[Type Received]]=3,"BILL","ACH")))</f>
        <v>CC</v>
      </c>
    </row>
    <row r="766" spans="1:11" x14ac:dyDescent="0.25">
      <c r="A766">
        <v>259158</v>
      </c>
      <c r="B766" s="3">
        <v>46157</v>
      </c>
      <c r="C766">
        <v>1</v>
      </c>
      <c r="D766">
        <v>82.3</v>
      </c>
      <c r="G766" t="s">
        <v>87</v>
      </c>
      <c r="H766">
        <v>696665384</v>
      </c>
      <c r="I766" t="s">
        <v>29</v>
      </c>
      <c r="K766" t="str">
        <f>IF(Table3[[#This Row],[Type Received]]=2,"CC",(IF(Table3[[#This Row],[Type Received]]=3,"BILL","ACH")))</f>
        <v>ACH</v>
      </c>
    </row>
    <row r="767" spans="1:11" x14ac:dyDescent="0.25">
      <c r="A767">
        <v>259167</v>
      </c>
      <c r="B767" s="3">
        <v>46143</v>
      </c>
      <c r="C767">
        <v>1</v>
      </c>
      <c r="D767">
        <v>67.45</v>
      </c>
      <c r="G767" t="s">
        <v>84</v>
      </c>
      <c r="H767">
        <v>522231023</v>
      </c>
      <c r="I767" t="s">
        <v>29</v>
      </c>
      <c r="J767" t="s">
        <v>29</v>
      </c>
      <c r="K767" t="str">
        <f>IF(Table3[[#This Row],[Type Received]]=2,"CC",(IF(Table3[[#This Row],[Type Received]]=3,"BILL","ACH")))</f>
        <v>ACH</v>
      </c>
    </row>
    <row r="768" spans="1:11" x14ac:dyDescent="0.25">
      <c r="A768">
        <v>259150</v>
      </c>
      <c r="B768" s="3">
        <v>46147</v>
      </c>
      <c r="C768">
        <v>3</v>
      </c>
      <c r="D768">
        <v>159.21</v>
      </c>
      <c r="E768">
        <v>2449</v>
      </c>
      <c r="J768" t="s">
        <v>29</v>
      </c>
      <c r="K768" t="str">
        <f>IF(Table3[[#This Row],[Type Received]]=2,"CC",(IF(Table3[[#This Row],[Type Received]]=3,"BILL","ACH")))</f>
        <v>BILL</v>
      </c>
    </row>
    <row r="769" spans="1:11" x14ac:dyDescent="0.25">
      <c r="A769">
        <v>259160</v>
      </c>
      <c r="B769" s="3">
        <v>46157</v>
      </c>
      <c r="C769">
        <v>1</v>
      </c>
      <c r="D769">
        <v>92.53</v>
      </c>
      <c r="G769" t="s">
        <v>87</v>
      </c>
      <c r="H769">
        <v>696644025</v>
      </c>
      <c r="I769" t="s">
        <v>29</v>
      </c>
      <c r="J769" t="s">
        <v>29</v>
      </c>
      <c r="K769" t="str">
        <f>IF(Table3[[#This Row],[Type Received]]=2,"CC",(IF(Table3[[#This Row],[Type Received]]=3,"BILL","ACH")))</f>
        <v>ACH</v>
      </c>
    </row>
    <row r="770" spans="1:11" x14ac:dyDescent="0.25">
      <c r="A770">
        <v>259154</v>
      </c>
      <c r="B770" s="3">
        <v>46143</v>
      </c>
      <c r="C770">
        <v>1</v>
      </c>
      <c r="D770">
        <v>87.58</v>
      </c>
      <c r="G770" t="s">
        <v>84</v>
      </c>
      <c r="H770">
        <v>522257127</v>
      </c>
      <c r="I770" t="s">
        <v>29</v>
      </c>
      <c r="J770" t="s">
        <v>29</v>
      </c>
      <c r="K770" t="str">
        <f>IF(Table3[[#This Row],[Type Received]]=2,"CC",(IF(Table3[[#This Row],[Type Received]]=3,"BILL","ACH")))</f>
        <v>ACH</v>
      </c>
    </row>
    <row r="771" spans="1:11" x14ac:dyDescent="0.25">
      <c r="A771">
        <v>259169</v>
      </c>
      <c r="B771" s="3">
        <v>46165</v>
      </c>
      <c r="C771">
        <v>1</v>
      </c>
      <c r="D771">
        <v>107.71</v>
      </c>
      <c r="G771" t="s">
        <v>137</v>
      </c>
      <c r="H771">
        <v>797271923</v>
      </c>
      <c r="I771" t="s">
        <v>29</v>
      </c>
      <c r="J771" t="s">
        <v>29</v>
      </c>
      <c r="K771" t="str">
        <f>IF(Table3[[#This Row],[Type Received]]=2,"CC",(IF(Table3[[#This Row],[Type Received]]=3,"BILL","ACH")))</f>
        <v>ACH</v>
      </c>
    </row>
    <row r="772" spans="1:11" x14ac:dyDescent="0.25">
      <c r="A772">
        <v>259177</v>
      </c>
      <c r="B772" s="3">
        <v>46157</v>
      </c>
      <c r="C772">
        <v>1</v>
      </c>
      <c r="D772">
        <v>86.26</v>
      </c>
      <c r="G772" s="4" t="s">
        <v>87</v>
      </c>
      <c r="H772">
        <v>696664413</v>
      </c>
      <c r="I772" t="s">
        <v>29</v>
      </c>
      <c r="J772" t="s">
        <v>29</v>
      </c>
      <c r="K772" t="str">
        <f>IF(Table3[[#This Row],[Type Received]]=2,"CC",(IF(Table3[[#This Row],[Type Received]]=3,"BILL","ACH")))</f>
        <v>ACH</v>
      </c>
    </row>
    <row r="773" spans="1:11" x14ac:dyDescent="0.25">
      <c r="A773">
        <v>259178</v>
      </c>
      <c r="B773" s="3">
        <v>46157</v>
      </c>
      <c r="C773">
        <v>1</v>
      </c>
      <c r="D773">
        <v>83.73</v>
      </c>
      <c r="G773" t="s">
        <v>87</v>
      </c>
      <c r="H773">
        <v>696650871</v>
      </c>
      <c r="I773" t="s">
        <v>29</v>
      </c>
      <c r="J773" t="s">
        <v>29</v>
      </c>
      <c r="K773" t="str">
        <f>IF(Table3[[#This Row],[Type Received]]=2,"CC",(IF(Table3[[#This Row],[Type Received]]=3,"BILL","ACH")))</f>
        <v>ACH</v>
      </c>
    </row>
    <row r="774" spans="1:11" x14ac:dyDescent="0.25">
      <c r="A774">
        <v>259187</v>
      </c>
      <c r="B774" s="3">
        <v>46169</v>
      </c>
      <c r="C774">
        <v>2</v>
      </c>
      <c r="D774">
        <v>58.89</v>
      </c>
      <c r="F774">
        <v>162250</v>
      </c>
      <c r="G774">
        <v>749271671</v>
      </c>
      <c r="H774">
        <v>355979957</v>
      </c>
      <c r="J774" t="s">
        <v>29</v>
      </c>
      <c r="K774" t="str">
        <f>IF(Table3[[#This Row],[Type Received]]=2,"CC",(IF(Table3[[#This Row],[Type Received]]=3,"BILL","ACH")))</f>
        <v>CC</v>
      </c>
    </row>
    <row r="775" spans="1:11" x14ac:dyDescent="0.25">
      <c r="A775">
        <v>259181</v>
      </c>
      <c r="B775" s="3">
        <v>46143</v>
      </c>
      <c r="C775">
        <v>1</v>
      </c>
      <c r="D775">
        <v>83.29</v>
      </c>
      <c r="G775" t="s">
        <v>84</v>
      </c>
      <c r="H775">
        <v>522246525</v>
      </c>
      <c r="I775" t="s">
        <v>29</v>
      </c>
      <c r="K775" t="str">
        <f>IF(Table3[[#This Row],[Type Received]]=2,"CC",(IF(Table3[[#This Row],[Type Received]]=3,"BILL","ACH")))</f>
        <v>ACH</v>
      </c>
    </row>
    <row r="776" spans="1:11" x14ac:dyDescent="0.25">
      <c r="A776">
        <v>259180</v>
      </c>
      <c r="B776" s="3">
        <v>46169</v>
      </c>
      <c r="C776">
        <v>1</v>
      </c>
      <c r="D776">
        <v>43.91</v>
      </c>
      <c r="G776" t="s">
        <v>117</v>
      </c>
      <c r="H776">
        <v>840826924</v>
      </c>
      <c r="I776" t="s">
        <v>29</v>
      </c>
      <c r="K776" t="str">
        <f>IF(Table3[[#This Row],[Type Received]]=2,"CC",(IF(Table3[[#This Row],[Type Received]]=3,"BILL","ACH")))</f>
        <v>ACH</v>
      </c>
    </row>
    <row r="777" spans="1:11" x14ac:dyDescent="0.25">
      <c r="A777">
        <v>259192</v>
      </c>
      <c r="B777" s="3">
        <v>46157</v>
      </c>
      <c r="C777">
        <v>1</v>
      </c>
      <c r="D777">
        <v>44.35</v>
      </c>
      <c r="G777" t="s">
        <v>87</v>
      </c>
      <c r="H777">
        <v>696651849</v>
      </c>
      <c r="I777" t="s">
        <v>29</v>
      </c>
      <c r="J777" t="s">
        <v>29</v>
      </c>
      <c r="K777" t="str">
        <f>IF(Table3[[#This Row],[Type Received]]=2,"CC",(IF(Table3[[#This Row],[Type Received]]=3,"BILL","ACH")))</f>
        <v>ACH</v>
      </c>
    </row>
    <row r="778" spans="1:11" x14ac:dyDescent="0.25">
      <c r="A778">
        <v>259193</v>
      </c>
      <c r="B778" s="3">
        <v>46169</v>
      </c>
      <c r="C778">
        <v>1</v>
      </c>
      <c r="D778">
        <v>152.26</v>
      </c>
      <c r="G778" t="s">
        <v>117</v>
      </c>
      <c r="H778">
        <v>840819077</v>
      </c>
      <c r="I778" t="s">
        <v>29</v>
      </c>
      <c r="J778" t="s">
        <v>29</v>
      </c>
      <c r="K778" t="str">
        <f>IF(Table3[[#This Row],[Type Received]]=2,"CC",(IF(Table3[[#This Row],[Type Received]]=3,"BILL","ACH")))</f>
        <v>ACH</v>
      </c>
    </row>
    <row r="779" spans="1:11" x14ac:dyDescent="0.25">
      <c r="A779">
        <v>259198</v>
      </c>
      <c r="B779" s="3">
        <v>46171</v>
      </c>
      <c r="C779">
        <v>2</v>
      </c>
      <c r="D779">
        <v>123.35</v>
      </c>
      <c r="F779">
        <v>206069</v>
      </c>
      <c r="G779" t="s">
        <v>28</v>
      </c>
      <c r="H779">
        <v>867231586</v>
      </c>
      <c r="I779" t="s">
        <v>29</v>
      </c>
      <c r="J779" t="s">
        <v>29</v>
      </c>
      <c r="K779" t="str">
        <f>IF(Table3[[#This Row],[Type Received]]=2,"CC",(IF(Table3[[#This Row],[Type Received]]=3,"BILL","ACH")))</f>
        <v>CC</v>
      </c>
    </row>
    <row r="780" spans="1:11" x14ac:dyDescent="0.25">
      <c r="A780">
        <v>259198</v>
      </c>
      <c r="B780" s="3">
        <v>46143</v>
      </c>
      <c r="C780">
        <v>2</v>
      </c>
      <c r="D780">
        <v>123.35</v>
      </c>
      <c r="F780">
        <v>262910</v>
      </c>
      <c r="G780" t="s">
        <v>28</v>
      </c>
      <c r="H780">
        <v>525170303</v>
      </c>
      <c r="I780" t="s">
        <v>29</v>
      </c>
      <c r="J780" t="s">
        <v>29</v>
      </c>
      <c r="K780" t="str">
        <f>IF(Table3[[#This Row],[Type Received]]=2,"CC",(IF(Table3[[#This Row],[Type Received]]=3,"BILL","ACH")))</f>
        <v>CC</v>
      </c>
    </row>
    <row r="781" spans="1:11" x14ac:dyDescent="0.25">
      <c r="A781">
        <v>259203</v>
      </c>
      <c r="B781" s="3">
        <v>46155</v>
      </c>
      <c r="C781">
        <v>2</v>
      </c>
      <c r="D781">
        <v>63.71</v>
      </c>
      <c r="F781">
        <v>747013</v>
      </c>
      <c r="G781" t="s">
        <v>28</v>
      </c>
      <c r="H781">
        <v>669473147</v>
      </c>
      <c r="I781" t="s">
        <v>29</v>
      </c>
      <c r="J781" t="s">
        <v>29</v>
      </c>
      <c r="K781" t="str">
        <f>IF(Table3[[#This Row],[Type Received]]=2,"CC",(IF(Table3[[#This Row],[Type Received]]=3,"BILL","ACH")))</f>
        <v>CC</v>
      </c>
    </row>
    <row r="782" spans="1:11" x14ac:dyDescent="0.25">
      <c r="A782">
        <v>259218</v>
      </c>
      <c r="B782" s="3">
        <v>46146</v>
      </c>
      <c r="C782">
        <v>2</v>
      </c>
      <c r="D782">
        <v>99.79</v>
      </c>
      <c r="F782">
        <v>835148</v>
      </c>
      <c r="G782" t="s">
        <v>28</v>
      </c>
      <c r="H782">
        <v>557095210</v>
      </c>
      <c r="I782" t="s">
        <v>29</v>
      </c>
      <c r="K782" t="str">
        <f>IF(Table3[[#This Row],[Type Received]]=2,"CC",(IF(Table3[[#This Row],[Type Received]]=3,"BILL","ACH")))</f>
        <v>CC</v>
      </c>
    </row>
    <row r="783" spans="1:11" x14ac:dyDescent="0.25">
      <c r="A783">
        <v>259214</v>
      </c>
      <c r="B783" s="3">
        <v>46155</v>
      </c>
      <c r="C783">
        <v>2</v>
      </c>
      <c r="D783">
        <v>92.09</v>
      </c>
      <c r="F783" t="s">
        <v>150</v>
      </c>
      <c r="G783" t="s">
        <v>28</v>
      </c>
      <c r="H783">
        <v>669454658</v>
      </c>
      <c r="I783" t="s">
        <v>29</v>
      </c>
      <c r="K783" t="str">
        <f>IF(Table3[[#This Row],[Type Received]]=2,"CC",(IF(Table3[[#This Row],[Type Received]]=3,"BILL","ACH")))</f>
        <v>CC</v>
      </c>
    </row>
    <row r="784" spans="1:11" x14ac:dyDescent="0.25">
      <c r="A784">
        <v>259207</v>
      </c>
      <c r="B784" s="3">
        <v>46155</v>
      </c>
      <c r="C784">
        <v>2</v>
      </c>
      <c r="D784">
        <v>76.69</v>
      </c>
      <c r="F784">
        <v>13079</v>
      </c>
      <c r="G784" t="s">
        <v>28</v>
      </c>
      <c r="H784">
        <v>669454655</v>
      </c>
      <c r="I784" t="s">
        <v>29</v>
      </c>
      <c r="J784" t="s">
        <v>29</v>
      </c>
      <c r="K784" t="str">
        <f>IF(Table3[[#This Row],[Type Received]]=2,"CC",(IF(Table3[[#This Row],[Type Received]]=3,"BILL","ACH")))</f>
        <v>CC</v>
      </c>
    </row>
    <row r="785" spans="1:11" x14ac:dyDescent="0.25">
      <c r="A785">
        <v>259209</v>
      </c>
      <c r="B785" s="3">
        <v>46155</v>
      </c>
      <c r="C785">
        <v>2</v>
      </c>
      <c r="D785">
        <v>112.55</v>
      </c>
      <c r="F785" t="s">
        <v>151</v>
      </c>
      <c r="G785" t="s">
        <v>28</v>
      </c>
      <c r="H785">
        <v>669446075</v>
      </c>
      <c r="I785" t="s">
        <v>29</v>
      </c>
      <c r="J785" t="s">
        <v>29</v>
      </c>
      <c r="K785" t="str">
        <f>IF(Table3[[#This Row],[Type Received]]=2,"CC",(IF(Table3[[#This Row],[Type Received]]=3,"BILL","ACH")))</f>
        <v>CC</v>
      </c>
    </row>
    <row r="786" spans="1:11" x14ac:dyDescent="0.25">
      <c r="A786">
        <v>259231</v>
      </c>
      <c r="B786" s="3">
        <v>46156</v>
      </c>
      <c r="C786">
        <v>2</v>
      </c>
      <c r="D786">
        <v>108.15</v>
      </c>
      <c r="F786" t="s">
        <v>152</v>
      </c>
      <c r="G786" t="s">
        <v>28</v>
      </c>
      <c r="H786">
        <v>682522737</v>
      </c>
      <c r="I786" t="s">
        <v>29</v>
      </c>
      <c r="K786" t="str">
        <f>IF(Table3[[#This Row],[Type Received]]=2,"CC",(IF(Table3[[#This Row],[Type Received]]=3,"BILL","ACH")))</f>
        <v>CC</v>
      </c>
    </row>
    <row r="787" spans="1:11" x14ac:dyDescent="0.25">
      <c r="A787">
        <v>259238</v>
      </c>
      <c r="B787" s="3">
        <v>46143</v>
      </c>
      <c r="C787">
        <v>2</v>
      </c>
      <c r="D787">
        <v>96.82</v>
      </c>
      <c r="F787">
        <v>616020</v>
      </c>
      <c r="G787" t="s">
        <v>28</v>
      </c>
      <c r="H787">
        <v>522257283</v>
      </c>
      <c r="I787" t="s">
        <v>29</v>
      </c>
      <c r="J787" t="s">
        <v>29</v>
      </c>
      <c r="K787" t="str">
        <f>IF(Table3[[#This Row],[Type Received]]=2,"CC",(IF(Table3[[#This Row],[Type Received]]=3,"BILL","ACH")))</f>
        <v>CC</v>
      </c>
    </row>
    <row r="788" spans="1:11" x14ac:dyDescent="0.25">
      <c r="A788">
        <v>259237</v>
      </c>
      <c r="B788" s="3">
        <v>46170</v>
      </c>
      <c r="C788">
        <v>2</v>
      </c>
      <c r="D788">
        <v>57.24</v>
      </c>
      <c r="F788">
        <v>28097</v>
      </c>
      <c r="G788">
        <v>749514569</v>
      </c>
      <c r="H788">
        <v>356053360</v>
      </c>
      <c r="J788" t="s">
        <v>29</v>
      </c>
      <c r="K788" t="str">
        <f>IF(Table3[[#This Row],[Type Received]]=2,"CC",(IF(Table3[[#This Row],[Type Received]]=3,"BILL","ACH")))</f>
        <v>CC</v>
      </c>
    </row>
    <row r="789" spans="1:11" x14ac:dyDescent="0.25">
      <c r="A789">
        <v>259236</v>
      </c>
      <c r="B789" s="3">
        <v>46146</v>
      </c>
      <c r="C789">
        <v>2</v>
      </c>
      <c r="D789">
        <v>134.79</v>
      </c>
      <c r="F789">
        <v>81474</v>
      </c>
      <c r="G789">
        <v>742259380</v>
      </c>
      <c r="H789">
        <v>353392146</v>
      </c>
      <c r="J789" t="s">
        <v>29</v>
      </c>
      <c r="K789" t="str">
        <f>IF(Table3[[#This Row],[Type Received]]=2,"CC",(IF(Table3[[#This Row],[Type Received]]=3,"BILL","ACH")))</f>
        <v>CC</v>
      </c>
    </row>
    <row r="790" spans="1:11" x14ac:dyDescent="0.25">
      <c r="A790">
        <v>259235</v>
      </c>
      <c r="B790" s="3">
        <v>46157</v>
      </c>
      <c r="C790">
        <v>1</v>
      </c>
      <c r="D790">
        <v>73.72</v>
      </c>
      <c r="G790" t="s">
        <v>87</v>
      </c>
      <c r="H790">
        <v>696662517</v>
      </c>
      <c r="I790" t="s">
        <v>29</v>
      </c>
      <c r="J790" t="s">
        <v>29</v>
      </c>
      <c r="K790" t="str">
        <f>IF(Table3[[#This Row],[Type Received]]=2,"CC",(IF(Table3[[#This Row],[Type Received]]=3,"BILL","ACH")))</f>
        <v>ACH</v>
      </c>
    </row>
    <row r="791" spans="1:11" x14ac:dyDescent="0.25">
      <c r="A791">
        <v>259244</v>
      </c>
      <c r="B791" s="3">
        <v>46143</v>
      </c>
      <c r="C791">
        <v>1</v>
      </c>
      <c r="D791">
        <v>66.13</v>
      </c>
      <c r="G791" t="s">
        <v>84</v>
      </c>
      <c r="H791">
        <v>522246562</v>
      </c>
      <c r="I791" t="s">
        <v>29</v>
      </c>
      <c r="J791" t="s">
        <v>29</v>
      </c>
      <c r="K791" t="str">
        <f>IF(Table3[[#This Row],[Type Received]]=2,"CC",(IF(Table3[[#This Row],[Type Received]]=3,"BILL","ACH")))</f>
        <v>ACH</v>
      </c>
    </row>
    <row r="792" spans="1:11" x14ac:dyDescent="0.25">
      <c r="A792">
        <v>259240</v>
      </c>
      <c r="B792" s="3">
        <v>46155</v>
      </c>
      <c r="C792">
        <v>2</v>
      </c>
      <c r="D792">
        <v>141.69999999999999</v>
      </c>
      <c r="F792" t="s">
        <v>153</v>
      </c>
      <c r="G792" t="s">
        <v>28</v>
      </c>
      <c r="H792">
        <v>669446095</v>
      </c>
      <c r="I792" t="s">
        <v>29</v>
      </c>
      <c r="J792" t="s">
        <v>29</v>
      </c>
      <c r="K792" t="str">
        <f>IF(Table3[[#This Row],[Type Received]]=2,"CC",(IF(Table3[[#This Row],[Type Received]]=3,"BILL","ACH")))</f>
        <v>CC</v>
      </c>
    </row>
    <row r="793" spans="1:11" x14ac:dyDescent="0.25">
      <c r="A793">
        <v>259248</v>
      </c>
      <c r="B793" s="3">
        <v>46169</v>
      </c>
      <c r="C793">
        <v>1</v>
      </c>
      <c r="D793">
        <v>79.989999999999995</v>
      </c>
      <c r="G793" t="s">
        <v>117</v>
      </c>
      <c r="H793">
        <v>840827939</v>
      </c>
      <c r="I793" t="s">
        <v>29</v>
      </c>
      <c r="J793" t="s">
        <v>29</v>
      </c>
      <c r="K793" t="str">
        <f>IF(Table3[[#This Row],[Type Received]]=2,"CC",(IF(Table3[[#This Row],[Type Received]]=3,"BILL","ACH")))</f>
        <v>ACH</v>
      </c>
    </row>
    <row r="794" spans="1:11" x14ac:dyDescent="0.25">
      <c r="A794">
        <v>259245</v>
      </c>
      <c r="B794" s="3">
        <v>46143</v>
      </c>
      <c r="C794">
        <v>1</v>
      </c>
      <c r="D794">
        <v>72.400000000000006</v>
      </c>
      <c r="G794" t="s">
        <v>84</v>
      </c>
      <c r="H794">
        <v>522248592</v>
      </c>
      <c r="I794" t="s">
        <v>29</v>
      </c>
      <c r="J794" t="s">
        <v>29</v>
      </c>
      <c r="K794" t="str">
        <f>IF(Table3[[#This Row],[Type Received]]=2,"CC",(IF(Table3[[#This Row],[Type Received]]=3,"BILL","ACH")))</f>
        <v>ACH</v>
      </c>
    </row>
    <row r="795" spans="1:11" x14ac:dyDescent="0.25">
      <c r="A795">
        <v>259249</v>
      </c>
      <c r="B795" s="3">
        <v>46169</v>
      </c>
      <c r="C795">
        <v>1</v>
      </c>
      <c r="D795">
        <v>50.95</v>
      </c>
      <c r="G795" t="s">
        <v>117</v>
      </c>
      <c r="H795">
        <v>840847124</v>
      </c>
      <c r="I795" t="s">
        <v>29</v>
      </c>
      <c r="K795" t="str">
        <f>IF(Table3[[#This Row],[Type Received]]=2,"CC",(IF(Table3[[#This Row],[Type Received]]=3,"BILL","ACH")))</f>
        <v>ACH</v>
      </c>
    </row>
    <row r="796" spans="1:11" x14ac:dyDescent="0.25">
      <c r="A796">
        <v>259250</v>
      </c>
      <c r="B796" s="3">
        <v>46168</v>
      </c>
      <c r="C796">
        <v>3</v>
      </c>
      <c r="D796">
        <v>57.9</v>
      </c>
      <c r="E796">
        <v>6154</v>
      </c>
      <c r="J796" t="s">
        <v>29</v>
      </c>
      <c r="K796" t="str">
        <f>IF(Table3[[#This Row],[Type Received]]=2,"CC",(IF(Table3[[#This Row],[Type Received]]=3,"BILL","ACH")))</f>
        <v>BILL</v>
      </c>
    </row>
    <row r="797" spans="1:11" x14ac:dyDescent="0.25">
      <c r="A797">
        <v>259264</v>
      </c>
      <c r="B797" s="3">
        <v>46146</v>
      </c>
      <c r="C797">
        <v>1</v>
      </c>
      <c r="D797">
        <v>104.1</v>
      </c>
      <c r="G797" t="s">
        <v>92</v>
      </c>
      <c r="H797">
        <v>562051305</v>
      </c>
      <c r="I797" t="s">
        <v>29</v>
      </c>
      <c r="J797" t="s">
        <v>29</v>
      </c>
      <c r="K797" t="str">
        <f>IF(Table3[[#This Row],[Type Received]]=2,"CC",(IF(Table3[[#This Row],[Type Received]]=3,"BILL","ACH")))</f>
        <v>ACH</v>
      </c>
    </row>
    <row r="798" spans="1:11" x14ac:dyDescent="0.25">
      <c r="A798">
        <v>259263</v>
      </c>
      <c r="B798" s="3">
        <v>46169</v>
      </c>
      <c r="C798">
        <v>1</v>
      </c>
      <c r="D798">
        <v>72.400000000000006</v>
      </c>
      <c r="G798" t="s">
        <v>117</v>
      </c>
      <c r="H798">
        <v>840827953</v>
      </c>
      <c r="I798" t="s">
        <v>29</v>
      </c>
      <c r="K798" t="str">
        <f>IF(Table3[[#This Row],[Type Received]]=2,"CC",(IF(Table3[[#This Row],[Type Received]]=3,"BILL","ACH")))</f>
        <v>ACH</v>
      </c>
    </row>
    <row r="799" spans="1:11" x14ac:dyDescent="0.25">
      <c r="A799">
        <v>259262</v>
      </c>
      <c r="B799" s="3">
        <v>46157</v>
      </c>
      <c r="C799">
        <v>1</v>
      </c>
      <c r="D799">
        <v>76.91</v>
      </c>
      <c r="G799" s="4" t="s">
        <v>87</v>
      </c>
      <c r="H799">
        <v>696664492</v>
      </c>
      <c r="I799" t="s">
        <v>29</v>
      </c>
      <c r="J799" t="s">
        <v>29</v>
      </c>
      <c r="K799" t="str">
        <f>IF(Table3[[#This Row],[Type Received]]=2,"CC",(IF(Table3[[#This Row],[Type Received]]=3,"BILL","ACH")))</f>
        <v>ACH</v>
      </c>
    </row>
    <row r="800" spans="1:11" x14ac:dyDescent="0.25">
      <c r="A800">
        <v>259278</v>
      </c>
      <c r="B800" s="3">
        <v>46169</v>
      </c>
      <c r="C800">
        <v>1</v>
      </c>
      <c r="D800">
        <v>44.79</v>
      </c>
      <c r="G800" t="s">
        <v>117</v>
      </c>
      <c r="H800">
        <v>840833779</v>
      </c>
      <c r="I800" t="s">
        <v>29</v>
      </c>
      <c r="J800" t="s">
        <v>29</v>
      </c>
      <c r="K800" t="str">
        <f>IF(Table3[[#This Row],[Type Received]]=2,"CC",(IF(Table3[[#This Row],[Type Received]]=3,"BILL","ACH")))</f>
        <v>ACH</v>
      </c>
    </row>
    <row r="801" spans="1:11" x14ac:dyDescent="0.25">
      <c r="A801">
        <v>259271</v>
      </c>
      <c r="B801" s="3">
        <v>46155</v>
      </c>
      <c r="C801">
        <v>2</v>
      </c>
      <c r="D801">
        <v>65.69</v>
      </c>
      <c r="F801">
        <v>13089</v>
      </c>
      <c r="G801" s="4" t="s">
        <v>28</v>
      </c>
      <c r="H801">
        <v>669470243</v>
      </c>
      <c r="I801" t="s">
        <v>29</v>
      </c>
      <c r="J801" t="s">
        <v>29</v>
      </c>
      <c r="K801" t="str">
        <f>IF(Table3[[#This Row],[Type Received]]=2,"CC",(IF(Table3[[#This Row],[Type Received]]=3,"BILL","ACH")))</f>
        <v>CC</v>
      </c>
    </row>
    <row r="802" spans="1:11" x14ac:dyDescent="0.25">
      <c r="A802">
        <v>259275</v>
      </c>
      <c r="B802" s="3">
        <v>46169</v>
      </c>
      <c r="C802">
        <v>1</v>
      </c>
      <c r="D802">
        <v>67.45</v>
      </c>
      <c r="G802" s="4" t="s">
        <v>117</v>
      </c>
      <c r="H802">
        <v>840844413</v>
      </c>
      <c r="I802" t="s">
        <v>29</v>
      </c>
      <c r="J802" t="s">
        <v>29</v>
      </c>
      <c r="K802" t="str">
        <f>IF(Table3[[#This Row],[Type Received]]=2,"CC",(IF(Table3[[#This Row],[Type Received]]=3,"BILL","ACH")))</f>
        <v>ACH</v>
      </c>
    </row>
    <row r="803" spans="1:11" x14ac:dyDescent="0.25">
      <c r="A803">
        <v>259276</v>
      </c>
      <c r="B803" s="3">
        <v>46169</v>
      </c>
      <c r="C803">
        <v>1</v>
      </c>
      <c r="D803">
        <v>47.65</v>
      </c>
      <c r="G803" t="s">
        <v>117</v>
      </c>
      <c r="H803">
        <v>840830932</v>
      </c>
      <c r="I803" t="s">
        <v>29</v>
      </c>
      <c r="J803" t="s">
        <v>29</v>
      </c>
      <c r="K803" t="str">
        <f>IF(Table3[[#This Row],[Type Received]]=2,"CC",(IF(Table3[[#This Row],[Type Received]]=3,"BILL","ACH")))</f>
        <v>ACH</v>
      </c>
    </row>
    <row r="804" spans="1:11" x14ac:dyDescent="0.25">
      <c r="A804">
        <v>259281</v>
      </c>
      <c r="B804" s="3">
        <v>46143</v>
      </c>
      <c r="C804">
        <v>1</v>
      </c>
      <c r="D804">
        <v>53.59</v>
      </c>
      <c r="G804" s="4" t="s">
        <v>84</v>
      </c>
      <c r="H804">
        <v>522239878</v>
      </c>
      <c r="I804" t="s">
        <v>29</v>
      </c>
      <c r="J804" t="s">
        <v>29</v>
      </c>
      <c r="K804" t="str">
        <f>IF(Table3[[#This Row],[Type Received]]=2,"CC",(IF(Table3[[#This Row],[Type Received]]=3,"BILL","ACH")))</f>
        <v>ACH</v>
      </c>
    </row>
    <row r="805" spans="1:11" x14ac:dyDescent="0.25">
      <c r="A805">
        <v>259273</v>
      </c>
      <c r="B805" s="3">
        <v>46157</v>
      </c>
      <c r="C805">
        <v>1</v>
      </c>
      <c r="D805">
        <v>60.19</v>
      </c>
      <c r="G805" s="4" t="s">
        <v>87</v>
      </c>
      <c r="H805">
        <v>696647048</v>
      </c>
      <c r="I805" t="s">
        <v>29</v>
      </c>
      <c r="J805" t="s">
        <v>29</v>
      </c>
      <c r="K805" t="str">
        <f>IF(Table3[[#This Row],[Type Received]]=2,"CC",(IF(Table3[[#This Row],[Type Received]]=3,"BILL","ACH")))</f>
        <v>ACH</v>
      </c>
    </row>
    <row r="806" spans="1:11" x14ac:dyDescent="0.25">
      <c r="A806">
        <v>259274</v>
      </c>
      <c r="B806" s="3">
        <v>46157</v>
      </c>
      <c r="C806">
        <v>1</v>
      </c>
      <c r="D806">
        <v>56.23</v>
      </c>
      <c r="G806" t="s">
        <v>87</v>
      </c>
      <c r="H806">
        <v>696666467</v>
      </c>
      <c r="I806" t="s">
        <v>29</v>
      </c>
      <c r="K806" t="str">
        <f>IF(Table3[[#This Row],[Type Received]]=2,"CC",(IF(Table3[[#This Row],[Type Received]]=3,"BILL","ACH")))</f>
        <v>ACH</v>
      </c>
    </row>
    <row r="807" spans="1:11" x14ac:dyDescent="0.25">
      <c r="A807">
        <v>259292</v>
      </c>
      <c r="B807" s="3">
        <v>46150</v>
      </c>
      <c r="C807">
        <v>2</v>
      </c>
      <c r="D807">
        <v>93.54</v>
      </c>
      <c r="F807">
        <v>241317</v>
      </c>
      <c r="G807" t="s">
        <v>28</v>
      </c>
      <c r="H807">
        <v>612300261</v>
      </c>
      <c r="I807" t="s">
        <v>29</v>
      </c>
      <c r="J807" t="s">
        <v>29</v>
      </c>
      <c r="K807" t="str">
        <f>IF(Table3[[#This Row],[Type Received]]=2,"CC",(IF(Table3[[#This Row],[Type Received]]=3,"BILL","ACH")))</f>
        <v>CC</v>
      </c>
    </row>
    <row r="808" spans="1:11" x14ac:dyDescent="0.25">
      <c r="A808">
        <v>259296</v>
      </c>
      <c r="B808" s="3">
        <v>46169</v>
      </c>
      <c r="C808">
        <v>1</v>
      </c>
      <c r="D808">
        <v>79</v>
      </c>
      <c r="G808" t="s">
        <v>117</v>
      </c>
      <c r="H808">
        <v>840852122</v>
      </c>
      <c r="I808" t="s">
        <v>29</v>
      </c>
      <c r="K808" t="str">
        <f>IF(Table3[[#This Row],[Type Received]]=2,"CC",(IF(Table3[[#This Row],[Type Received]]=3,"BILL","ACH")))</f>
        <v>ACH</v>
      </c>
    </row>
    <row r="809" spans="1:11" x14ac:dyDescent="0.25">
      <c r="A809">
        <v>259295</v>
      </c>
      <c r="B809" s="3">
        <v>46155</v>
      </c>
      <c r="C809">
        <v>2</v>
      </c>
      <c r="D809">
        <v>50.29</v>
      </c>
      <c r="F809">
        <v>90205</v>
      </c>
      <c r="G809" t="s">
        <v>28</v>
      </c>
      <c r="H809">
        <v>669453710</v>
      </c>
      <c r="I809" t="s">
        <v>29</v>
      </c>
      <c r="J809" t="s">
        <v>29</v>
      </c>
      <c r="K809" t="str">
        <f>IF(Table3[[#This Row],[Type Received]]=2,"CC",(IF(Table3[[#This Row],[Type Received]]=3,"BILL","ACH")))</f>
        <v>CC</v>
      </c>
    </row>
    <row r="810" spans="1:11" x14ac:dyDescent="0.25">
      <c r="A810">
        <v>259293</v>
      </c>
      <c r="B810" s="3">
        <v>46163</v>
      </c>
      <c r="C810">
        <v>3</v>
      </c>
      <c r="D810">
        <v>52.95</v>
      </c>
      <c r="E810">
        <v>7108</v>
      </c>
      <c r="K810" t="str">
        <f>IF(Table3[[#This Row],[Type Received]]=2,"CC",(IF(Table3[[#This Row],[Type Received]]=3,"BILL","ACH")))</f>
        <v>BILL</v>
      </c>
    </row>
    <row r="811" spans="1:11" x14ac:dyDescent="0.25">
      <c r="A811">
        <v>259304</v>
      </c>
      <c r="B811" s="3">
        <v>46143</v>
      </c>
      <c r="C811">
        <v>2</v>
      </c>
      <c r="D811">
        <v>79.33</v>
      </c>
      <c r="F811">
        <v>489477</v>
      </c>
      <c r="G811" t="s">
        <v>28</v>
      </c>
      <c r="H811">
        <v>522241861</v>
      </c>
      <c r="I811" t="s">
        <v>29</v>
      </c>
      <c r="J811" t="s">
        <v>29</v>
      </c>
      <c r="K811" t="str">
        <f>IF(Table3[[#This Row],[Type Received]]=2,"CC",(IF(Table3[[#This Row],[Type Received]]=3,"BILL","ACH")))</f>
        <v>CC</v>
      </c>
    </row>
    <row r="812" spans="1:11" x14ac:dyDescent="0.25">
      <c r="A812">
        <v>259302</v>
      </c>
      <c r="B812" s="3">
        <v>46157</v>
      </c>
      <c r="C812">
        <v>1</v>
      </c>
      <c r="D812">
        <v>75.7</v>
      </c>
      <c r="G812" t="s">
        <v>87</v>
      </c>
      <c r="H812">
        <v>696673175</v>
      </c>
      <c r="I812" t="s">
        <v>29</v>
      </c>
      <c r="J812" t="s">
        <v>29</v>
      </c>
      <c r="K812" t="str">
        <f>IF(Table3[[#This Row],[Type Received]]=2,"CC",(IF(Table3[[#This Row],[Type Received]]=3,"BILL","ACH")))</f>
        <v>ACH</v>
      </c>
    </row>
    <row r="813" spans="1:11" x14ac:dyDescent="0.25">
      <c r="A813">
        <v>259307</v>
      </c>
      <c r="B813" s="3">
        <v>46143</v>
      </c>
      <c r="C813">
        <v>1</v>
      </c>
      <c r="D813">
        <v>60.85</v>
      </c>
      <c r="G813" t="s">
        <v>84</v>
      </c>
      <c r="H813">
        <v>522263189</v>
      </c>
      <c r="I813" t="s">
        <v>29</v>
      </c>
      <c r="J813" t="s">
        <v>29</v>
      </c>
      <c r="K813" t="str">
        <f>IF(Table3[[#This Row],[Type Received]]=2,"CC",(IF(Table3[[#This Row],[Type Received]]=3,"BILL","ACH")))</f>
        <v>ACH</v>
      </c>
    </row>
    <row r="814" spans="1:11" x14ac:dyDescent="0.25">
      <c r="A814">
        <v>259310</v>
      </c>
      <c r="B814" s="3">
        <v>46162</v>
      </c>
      <c r="C814">
        <v>2</v>
      </c>
      <c r="D814">
        <v>66.150000000000006</v>
      </c>
      <c r="F814">
        <v>90845</v>
      </c>
      <c r="G814" t="s">
        <v>28</v>
      </c>
      <c r="H814">
        <v>757259215</v>
      </c>
      <c r="I814" t="s">
        <v>29</v>
      </c>
      <c r="K814" t="str">
        <f>IF(Table3[[#This Row],[Type Received]]=2,"CC",(IF(Table3[[#This Row],[Type Received]]=3,"BILL","ACH")))</f>
        <v>CC</v>
      </c>
    </row>
    <row r="815" spans="1:11" x14ac:dyDescent="0.25">
      <c r="A815">
        <v>259308</v>
      </c>
      <c r="B815" s="3">
        <v>46157</v>
      </c>
      <c r="C815">
        <v>1</v>
      </c>
      <c r="D815">
        <v>77.349999999999994</v>
      </c>
      <c r="G815" t="s">
        <v>87</v>
      </c>
      <c r="H815">
        <v>696656861</v>
      </c>
      <c r="I815" t="s">
        <v>29</v>
      </c>
      <c r="K815" t="str">
        <f>IF(Table3[[#This Row],[Type Received]]=2,"CC",(IF(Table3[[#This Row],[Type Received]]=3,"BILL","ACH")))</f>
        <v>ACH</v>
      </c>
    </row>
    <row r="816" spans="1:11" x14ac:dyDescent="0.25">
      <c r="A816">
        <v>259306</v>
      </c>
      <c r="B816" s="3">
        <v>46155</v>
      </c>
      <c r="C816">
        <v>2</v>
      </c>
      <c r="D816">
        <v>74.05</v>
      </c>
      <c r="F816">
        <v>205</v>
      </c>
      <c r="G816" s="4" t="s">
        <v>28</v>
      </c>
      <c r="H816">
        <v>669452731</v>
      </c>
      <c r="I816" t="s">
        <v>29</v>
      </c>
      <c r="K816" t="str">
        <f>IF(Table3[[#This Row],[Type Received]]=2,"CC",(IF(Table3[[#This Row],[Type Received]]=3,"BILL","ACH")))</f>
        <v>CC</v>
      </c>
    </row>
    <row r="817" spans="1:11" x14ac:dyDescent="0.25">
      <c r="A817">
        <v>259305</v>
      </c>
      <c r="B817" s="3">
        <v>46155</v>
      </c>
      <c r="C817">
        <v>2</v>
      </c>
      <c r="D817">
        <v>86.81</v>
      </c>
      <c r="F817" t="s">
        <v>154</v>
      </c>
      <c r="G817" t="s">
        <v>28</v>
      </c>
      <c r="H817">
        <v>669458582</v>
      </c>
      <c r="I817" t="s">
        <v>29</v>
      </c>
      <c r="K817" t="str">
        <f>IF(Table3[[#This Row],[Type Received]]=2,"CC",(IF(Table3[[#This Row],[Type Received]]=3,"BILL","ACH")))</f>
        <v>CC</v>
      </c>
    </row>
    <row r="818" spans="1:11" x14ac:dyDescent="0.25">
      <c r="A818">
        <v>259317</v>
      </c>
      <c r="B818" s="3">
        <v>46143</v>
      </c>
      <c r="C818">
        <v>1</v>
      </c>
      <c r="D818">
        <v>48.31</v>
      </c>
      <c r="G818" t="s">
        <v>84</v>
      </c>
      <c r="H818">
        <v>522264238</v>
      </c>
      <c r="I818" t="s">
        <v>29</v>
      </c>
      <c r="J818" t="s">
        <v>29</v>
      </c>
      <c r="K818" t="str">
        <f>IF(Table3[[#This Row],[Type Received]]=2,"CC",(IF(Table3[[#This Row],[Type Received]]=3,"BILL","ACH")))</f>
        <v>ACH</v>
      </c>
    </row>
    <row r="819" spans="1:11" x14ac:dyDescent="0.25">
      <c r="A819">
        <v>259313</v>
      </c>
      <c r="B819" s="3">
        <v>46155</v>
      </c>
      <c r="C819">
        <v>2</v>
      </c>
      <c r="D819">
        <v>57.88</v>
      </c>
      <c r="F819">
        <v>20151</v>
      </c>
      <c r="G819" t="s">
        <v>28</v>
      </c>
      <c r="H819">
        <v>669471236</v>
      </c>
      <c r="I819" t="s">
        <v>29</v>
      </c>
      <c r="J819" t="s">
        <v>29</v>
      </c>
      <c r="K819" t="str">
        <f>IF(Table3[[#This Row],[Type Received]]=2,"CC",(IF(Table3[[#This Row],[Type Received]]=3,"BILL","ACH")))</f>
        <v>CC</v>
      </c>
    </row>
    <row r="820" spans="1:11" x14ac:dyDescent="0.25">
      <c r="A820">
        <v>259323</v>
      </c>
      <c r="B820" s="3">
        <v>46145</v>
      </c>
      <c r="C820">
        <v>1</v>
      </c>
      <c r="D820">
        <v>54.47</v>
      </c>
      <c r="G820" s="4" t="s">
        <v>113</v>
      </c>
      <c r="H820">
        <v>546425226</v>
      </c>
      <c r="I820" t="s">
        <v>29</v>
      </c>
      <c r="J820" t="s">
        <v>29</v>
      </c>
      <c r="K820" t="str">
        <f>IF(Table3[[#This Row],[Type Received]]=2,"CC",(IF(Table3[[#This Row],[Type Received]]=3,"BILL","ACH")))</f>
        <v>ACH</v>
      </c>
    </row>
    <row r="821" spans="1:11" x14ac:dyDescent="0.25">
      <c r="A821">
        <v>259324</v>
      </c>
      <c r="B821" s="3">
        <v>46157</v>
      </c>
      <c r="C821">
        <v>2</v>
      </c>
      <c r="D821">
        <v>101.46</v>
      </c>
      <c r="F821">
        <v>78038</v>
      </c>
      <c r="G821" t="s">
        <v>28</v>
      </c>
      <c r="H821">
        <v>697952937</v>
      </c>
      <c r="I821" t="s">
        <v>29</v>
      </c>
      <c r="J821" t="s">
        <v>29</v>
      </c>
      <c r="K821" t="str">
        <f>IF(Table3[[#This Row],[Type Received]]=2,"CC",(IF(Table3[[#This Row],[Type Received]]=3,"BILL","ACH")))</f>
        <v>CC</v>
      </c>
    </row>
    <row r="822" spans="1:11" x14ac:dyDescent="0.25">
      <c r="A822">
        <v>259316</v>
      </c>
      <c r="B822" s="3">
        <v>46143</v>
      </c>
      <c r="C822">
        <v>1</v>
      </c>
      <c r="D822">
        <v>57.55</v>
      </c>
      <c r="G822" t="s">
        <v>84</v>
      </c>
      <c r="H822">
        <v>522239970</v>
      </c>
      <c r="I822" t="s">
        <v>29</v>
      </c>
      <c r="J822" t="s">
        <v>29</v>
      </c>
      <c r="K822" t="str">
        <f>IF(Table3[[#This Row],[Type Received]]=2,"CC",(IF(Table3[[#This Row],[Type Received]]=3,"BILL","ACH")))</f>
        <v>ACH</v>
      </c>
    </row>
    <row r="823" spans="1:11" x14ac:dyDescent="0.25">
      <c r="A823">
        <v>259321</v>
      </c>
      <c r="B823" s="3">
        <v>46157</v>
      </c>
      <c r="C823">
        <v>1</v>
      </c>
      <c r="D823">
        <v>62.5</v>
      </c>
      <c r="G823" t="s">
        <v>87</v>
      </c>
      <c r="H823">
        <v>696671298</v>
      </c>
      <c r="I823" t="s">
        <v>29</v>
      </c>
      <c r="K823" t="str">
        <f>IF(Table3[[#This Row],[Type Received]]=2,"CC",(IF(Table3[[#This Row],[Type Received]]=3,"BILL","ACH")))</f>
        <v>ACH</v>
      </c>
    </row>
    <row r="824" spans="1:11" x14ac:dyDescent="0.25">
      <c r="A824">
        <v>259312</v>
      </c>
      <c r="B824" s="3">
        <v>46155</v>
      </c>
      <c r="C824">
        <v>2</v>
      </c>
      <c r="D824">
        <v>105.4</v>
      </c>
      <c r="F824" t="s">
        <v>155</v>
      </c>
      <c r="G824" t="s">
        <v>28</v>
      </c>
      <c r="H824">
        <v>669458598</v>
      </c>
      <c r="I824" t="s">
        <v>29</v>
      </c>
      <c r="J824" t="s">
        <v>29</v>
      </c>
      <c r="K824" t="str">
        <f>IF(Table3[[#This Row],[Type Received]]=2,"CC",(IF(Table3[[#This Row],[Type Received]]=3,"BILL","ACH")))</f>
        <v>CC</v>
      </c>
    </row>
    <row r="825" spans="1:11" x14ac:dyDescent="0.25">
      <c r="A825">
        <v>259318</v>
      </c>
      <c r="B825" s="3">
        <v>46143</v>
      </c>
      <c r="C825">
        <v>1</v>
      </c>
      <c r="D825">
        <v>117.28</v>
      </c>
      <c r="G825" t="s">
        <v>84</v>
      </c>
      <c r="H825">
        <v>522249735</v>
      </c>
      <c r="I825" t="s">
        <v>29</v>
      </c>
      <c r="J825" t="s">
        <v>29</v>
      </c>
      <c r="K825" t="str">
        <f>IF(Table3[[#This Row],[Type Received]]=2,"CC",(IF(Table3[[#This Row],[Type Received]]=3,"BILL","ACH")))</f>
        <v>ACH</v>
      </c>
    </row>
    <row r="826" spans="1:11" x14ac:dyDescent="0.25">
      <c r="A826">
        <v>259335</v>
      </c>
      <c r="B826" s="3">
        <v>46155</v>
      </c>
      <c r="C826">
        <v>2</v>
      </c>
      <c r="D826">
        <v>112.99</v>
      </c>
      <c r="F826">
        <v>9221</v>
      </c>
      <c r="G826" t="s">
        <v>28</v>
      </c>
      <c r="H826">
        <v>669454705</v>
      </c>
      <c r="I826" t="s">
        <v>29</v>
      </c>
      <c r="K826" t="str">
        <f>IF(Table3[[#This Row],[Type Received]]=2,"CC",(IF(Table3[[#This Row],[Type Received]]=3,"BILL","ACH")))</f>
        <v>CC</v>
      </c>
    </row>
    <row r="827" spans="1:11" x14ac:dyDescent="0.25">
      <c r="A827">
        <v>259338</v>
      </c>
      <c r="B827" s="3">
        <v>46170</v>
      </c>
      <c r="C827">
        <v>2</v>
      </c>
      <c r="D827">
        <v>55.37</v>
      </c>
      <c r="F827">
        <v>76108</v>
      </c>
      <c r="G827" t="s">
        <v>28</v>
      </c>
      <c r="H827">
        <v>859354480</v>
      </c>
      <c r="I827" t="s">
        <v>29</v>
      </c>
      <c r="J827" t="s">
        <v>29</v>
      </c>
      <c r="K827" t="str">
        <f>IF(Table3[[#This Row],[Type Received]]=2,"CC",(IF(Table3[[#This Row],[Type Received]]=3,"BILL","ACH")))</f>
        <v>CC</v>
      </c>
    </row>
    <row r="828" spans="1:11" x14ac:dyDescent="0.25">
      <c r="A828">
        <v>259346</v>
      </c>
      <c r="B828" s="3">
        <v>46169</v>
      </c>
      <c r="C828">
        <v>1</v>
      </c>
      <c r="D828">
        <v>90.22</v>
      </c>
      <c r="G828" s="4" t="s">
        <v>117</v>
      </c>
      <c r="H828">
        <v>840829023</v>
      </c>
      <c r="I828" t="s">
        <v>29</v>
      </c>
      <c r="K828" t="str">
        <f>IF(Table3[[#This Row],[Type Received]]=2,"CC",(IF(Table3[[#This Row],[Type Received]]=3,"BILL","ACH")))</f>
        <v>ACH</v>
      </c>
    </row>
    <row r="829" spans="1:11" x14ac:dyDescent="0.25">
      <c r="A829">
        <v>259352</v>
      </c>
      <c r="B829" s="3">
        <v>46145</v>
      </c>
      <c r="C829">
        <v>2</v>
      </c>
      <c r="D829">
        <v>64.48</v>
      </c>
      <c r="F829">
        <v>584930</v>
      </c>
      <c r="G829" t="s">
        <v>28</v>
      </c>
      <c r="H829">
        <v>546420586</v>
      </c>
      <c r="I829" t="s">
        <v>29</v>
      </c>
      <c r="K829" t="str">
        <f>IF(Table3[[#This Row],[Type Received]]=2,"CC",(IF(Table3[[#This Row],[Type Received]]=3,"BILL","ACH")))</f>
        <v>CC</v>
      </c>
    </row>
    <row r="830" spans="1:11" x14ac:dyDescent="0.25">
      <c r="A830">
        <v>259343</v>
      </c>
      <c r="B830" s="3">
        <v>46155</v>
      </c>
      <c r="C830">
        <v>2</v>
      </c>
      <c r="D830">
        <v>50.95</v>
      </c>
      <c r="F830" t="s">
        <v>156</v>
      </c>
      <c r="G830" t="s">
        <v>28</v>
      </c>
      <c r="H830">
        <v>669458603</v>
      </c>
      <c r="I830" t="s">
        <v>29</v>
      </c>
      <c r="J830" t="s">
        <v>29</v>
      </c>
      <c r="K830" t="str">
        <f>IF(Table3[[#This Row],[Type Received]]=2,"CC",(IF(Table3[[#This Row],[Type Received]]=3,"BILL","ACH")))</f>
        <v>CC</v>
      </c>
    </row>
    <row r="831" spans="1:11" x14ac:dyDescent="0.25">
      <c r="A831">
        <v>259348</v>
      </c>
      <c r="B831" s="3">
        <v>46143</v>
      </c>
      <c r="C831">
        <v>1</v>
      </c>
      <c r="D831">
        <v>170.74</v>
      </c>
      <c r="G831" t="s">
        <v>84</v>
      </c>
      <c r="H831">
        <v>522262338</v>
      </c>
      <c r="I831" t="s">
        <v>29</v>
      </c>
      <c r="J831" t="s">
        <v>29</v>
      </c>
      <c r="K831" t="str">
        <f>IF(Table3[[#This Row],[Type Received]]=2,"CC",(IF(Table3[[#This Row],[Type Received]]=3,"BILL","ACH")))</f>
        <v>ACH</v>
      </c>
    </row>
    <row r="832" spans="1:11" x14ac:dyDescent="0.25">
      <c r="A832">
        <v>259358</v>
      </c>
      <c r="B832" s="3">
        <v>46169</v>
      </c>
      <c r="C832">
        <v>1</v>
      </c>
      <c r="D832">
        <v>71.08</v>
      </c>
      <c r="G832" t="s">
        <v>117</v>
      </c>
      <c r="H832">
        <v>840842542</v>
      </c>
      <c r="I832" t="s">
        <v>29</v>
      </c>
      <c r="J832" t="s">
        <v>29</v>
      </c>
      <c r="K832" t="str">
        <f>IF(Table3[[#This Row],[Type Received]]=2,"CC",(IF(Table3[[#This Row],[Type Received]]=3,"BILL","ACH")))</f>
        <v>ACH</v>
      </c>
    </row>
    <row r="833" spans="1:11" x14ac:dyDescent="0.25">
      <c r="A833">
        <v>259360</v>
      </c>
      <c r="B833" s="3">
        <v>46144</v>
      </c>
      <c r="C833">
        <v>1</v>
      </c>
      <c r="D833">
        <v>39.950000000000003</v>
      </c>
      <c r="G833" t="s">
        <v>89</v>
      </c>
      <c r="H833">
        <v>535350794</v>
      </c>
      <c r="I833" t="s">
        <v>29</v>
      </c>
      <c r="J833" t="s">
        <v>29</v>
      </c>
      <c r="K833" t="str">
        <f>IF(Table3[[#This Row],[Type Received]]=2,"CC",(IF(Table3[[#This Row],[Type Received]]=3,"BILL","ACH")))</f>
        <v>ACH</v>
      </c>
    </row>
    <row r="834" spans="1:11" x14ac:dyDescent="0.25">
      <c r="A834">
        <v>259357</v>
      </c>
      <c r="B834" s="3">
        <v>46155</v>
      </c>
      <c r="C834">
        <v>2</v>
      </c>
      <c r="D834">
        <v>34.450000000000003</v>
      </c>
      <c r="F834" t="s">
        <v>157</v>
      </c>
      <c r="G834" t="s">
        <v>28</v>
      </c>
      <c r="H834">
        <v>669452755</v>
      </c>
      <c r="I834" t="s">
        <v>29</v>
      </c>
      <c r="J834" t="s">
        <v>29</v>
      </c>
      <c r="K834" t="str">
        <f>IF(Table3[[#This Row],[Type Received]]=2,"CC",(IF(Table3[[#This Row],[Type Received]]=3,"BILL","ACH")))</f>
        <v>CC</v>
      </c>
    </row>
    <row r="835" spans="1:11" x14ac:dyDescent="0.25">
      <c r="A835">
        <v>259364</v>
      </c>
      <c r="B835" s="3">
        <v>46155</v>
      </c>
      <c r="C835">
        <v>2</v>
      </c>
      <c r="D835">
        <v>57.55</v>
      </c>
      <c r="F835">
        <v>743377</v>
      </c>
      <c r="G835" t="s">
        <v>28</v>
      </c>
      <c r="H835">
        <v>669460550</v>
      </c>
      <c r="I835" t="s">
        <v>29</v>
      </c>
      <c r="K835" t="str">
        <f>IF(Table3[[#This Row],[Type Received]]=2,"CC",(IF(Table3[[#This Row],[Type Received]]=3,"BILL","ACH")))</f>
        <v>CC</v>
      </c>
    </row>
    <row r="836" spans="1:11" x14ac:dyDescent="0.25">
      <c r="A836">
        <v>259368</v>
      </c>
      <c r="B836" s="3">
        <v>46157</v>
      </c>
      <c r="C836">
        <v>1</v>
      </c>
      <c r="D836">
        <v>71.41</v>
      </c>
      <c r="G836" t="s">
        <v>87</v>
      </c>
      <c r="H836">
        <v>696678121</v>
      </c>
      <c r="I836" t="s">
        <v>29</v>
      </c>
      <c r="K836" t="str">
        <f>IF(Table3[[#This Row],[Type Received]]=2,"CC",(IF(Table3[[#This Row],[Type Received]]=3,"BILL","ACH")))</f>
        <v>ACH</v>
      </c>
    </row>
    <row r="837" spans="1:11" x14ac:dyDescent="0.25">
      <c r="A837">
        <v>259370</v>
      </c>
      <c r="B837" s="3">
        <v>46169</v>
      </c>
      <c r="C837">
        <v>1</v>
      </c>
      <c r="D837">
        <v>36.65</v>
      </c>
      <c r="G837" t="s">
        <v>117</v>
      </c>
      <c r="H837">
        <v>840830034</v>
      </c>
      <c r="I837" t="s">
        <v>29</v>
      </c>
      <c r="J837" t="s">
        <v>29</v>
      </c>
      <c r="K837" t="str">
        <f>IF(Table3[[#This Row],[Type Received]]=2,"CC",(IF(Table3[[#This Row],[Type Received]]=3,"BILL","ACH")))</f>
        <v>ACH</v>
      </c>
    </row>
    <row r="838" spans="1:11" x14ac:dyDescent="0.25">
      <c r="A838">
        <v>259374</v>
      </c>
      <c r="B838" s="3">
        <v>46146</v>
      </c>
      <c r="C838">
        <v>3</v>
      </c>
      <c r="D838">
        <v>53.28</v>
      </c>
      <c r="E838">
        <v>40053023</v>
      </c>
      <c r="J838" t="s">
        <v>29</v>
      </c>
      <c r="K838" t="str">
        <f>IF(Table3[[#This Row],[Type Received]]=2,"CC",(IF(Table3[[#This Row],[Type Received]]=3,"BILL","ACH")))</f>
        <v>BILL</v>
      </c>
    </row>
    <row r="839" spans="1:11" x14ac:dyDescent="0.25">
      <c r="A839">
        <v>259386</v>
      </c>
      <c r="B839" s="3">
        <v>46155</v>
      </c>
      <c r="C839">
        <v>1</v>
      </c>
      <c r="D839">
        <v>54.03</v>
      </c>
      <c r="G839" t="s">
        <v>90</v>
      </c>
      <c r="H839">
        <v>669454732</v>
      </c>
      <c r="I839" t="s">
        <v>29</v>
      </c>
      <c r="K839" t="str">
        <f>IF(Table3[[#This Row],[Type Received]]=2,"CC",(IF(Table3[[#This Row],[Type Received]]=3,"BILL","ACH")))</f>
        <v>ACH</v>
      </c>
    </row>
    <row r="840" spans="1:11" x14ac:dyDescent="0.25">
      <c r="A840">
        <v>259390</v>
      </c>
      <c r="B840" s="3">
        <v>46157</v>
      </c>
      <c r="C840">
        <v>1</v>
      </c>
      <c r="D840">
        <v>52.71</v>
      </c>
      <c r="G840" t="s">
        <v>87</v>
      </c>
      <c r="H840">
        <v>696661722</v>
      </c>
      <c r="I840" t="s">
        <v>29</v>
      </c>
      <c r="J840" t="s">
        <v>29</v>
      </c>
      <c r="K840" t="str">
        <f>IF(Table3[[#This Row],[Type Received]]=2,"CC",(IF(Table3[[#This Row],[Type Received]]=3,"BILL","ACH")))</f>
        <v>ACH</v>
      </c>
    </row>
    <row r="841" spans="1:11" x14ac:dyDescent="0.25">
      <c r="A841">
        <v>259391</v>
      </c>
      <c r="B841" s="3">
        <v>46144</v>
      </c>
      <c r="C841">
        <v>1</v>
      </c>
      <c r="D841">
        <v>110.35</v>
      </c>
      <c r="G841" s="4" t="s">
        <v>89</v>
      </c>
      <c r="H841">
        <v>535363427</v>
      </c>
      <c r="I841" t="s">
        <v>29</v>
      </c>
      <c r="J841" t="s">
        <v>29</v>
      </c>
      <c r="K841" t="str">
        <f>IF(Table3[[#This Row],[Type Received]]=2,"CC",(IF(Table3[[#This Row],[Type Received]]=3,"BILL","ACH")))</f>
        <v>ACH</v>
      </c>
    </row>
    <row r="842" spans="1:11" x14ac:dyDescent="0.25">
      <c r="A842">
        <v>259392</v>
      </c>
      <c r="B842" s="3">
        <v>46169</v>
      </c>
      <c r="C842">
        <v>1</v>
      </c>
      <c r="D842">
        <v>124.21</v>
      </c>
      <c r="G842" t="s">
        <v>117</v>
      </c>
      <c r="H842">
        <v>840841692</v>
      </c>
      <c r="I842" t="s">
        <v>29</v>
      </c>
      <c r="J842" t="s">
        <v>29</v>
      </c>
      <c r="K842" t="str">
        <f>IF(Table3[[#This Row],[Type Received]]=2,"CC",(IF(Table3[[#This Row],[Type Received]]=3,"BILL","ACH")))</f>
        <v>ACH</v>
      </c>
    </row>
    <row r="843" spans="1:11" x14ac:dyDescent="0.25">
      <c r="A843">
        <v>259387</v>
      </c>
      <c r="B843" s="3">
        <v>46157</v>
      </c>
      <c r="C843">
        <v>1</v>
      </c>
      <c r="D843">
        <v>90.55</v>
      </c>
      <c r="G843" t="s">
        <v>87</v>
      </c>
      <c r="H843">
        <v>696666576</v>
      </c>
      <c r="I843" t="s">
        <v>29</v>
      </c>
      <c r="J843" t="s">
        <v>29</v>
      </c>
      <c r="K843" t="str">
        <f>IF(Table3[[#This Row],[Type Received]]=2,"CC",(IF(Table3[[#This Row],[Type Received]]=3,"BILL","ACH")))</f>
        <v>ACH</v>
      </c>
    </row>
    <row r="844" spans="1:11" x14ac:dyDescent="0.25">
      <c r="A844">
        <v>259384</v>
      </c>
      <c r="B844" s="3">
        <v>46163</v>
      </c>
      <c r="C844">
        <v>2</v>
      </c>
      <c r="D844">
        <v>28.95</v>
      </c>
      <c r="F844">
        <v>21122</v>
      </c>
      <c r="G844" s="4" t="s">
        <v>28</v>
      </c>
      <c r="H844">
        <v>774740921</v>
      </c>
      <c r="I844" t="s">
        <v>29</v>
      </c>
      <c r="J844" t="s">
        <v>29</v>
      </c>
      <c r="K844" t="str">
        <f>IF(Table3[[#This Row],[Type Received]]=2,"CC",(IF(Table3[[#This Row],[Type Received]]=3,"BILL","ACH")))</f>
        <v>CC</v>
      </c>
    </row>
    <row r="845" spans="1:11" x14ac:dyDescent="0.25">
      <c r="A845">
        <v>259388</v>
      </c>
      <c r="B845" s="3">
        <v>46157</v>
      </c>
      <c r="C845">
        <v>1</v>
      </c>
      <c r="D845">
        <v>105.4</v>
      </c>
      <c r="G845" t="s">
        <v>87</v>
      </c>
      <c r="H845">
        <v>696656916</v>
      </c>
      <c r="I845" t="s">
        <v>29</v>
      </c>
      <c r="J845" t="s">
        <v>29</v>
      </c>
      <c r="K845" t="str">
        <f>IF(Table3[[#This Row],[Type Received]]=2,"CC",(IF(Table3[[#This Row],[Type Received]]=3,"BILL","ACH")))</f>
        <v>ACH</v>
      </c>
    </row>
    <row r="846" spans="1:11" x14ac:dyDescent="0.25">
      <c r="A846">
        <v>259394</v>
      </c>
      <c r="B846" s="3">
        <v>46169</v>
      </c>
      <c r="C846">
        <v>1</v>
      </c>
      <c r="D846">
        <v>75.59</v>
      </c>
      <c r="G846" t="s">
        <v>117</v>
      </c>
      <c r="H846">
        <v>840851263</v>
      </c>
      <c r="I846" t="s">
        <v>29</v>
      </c>
      <c r="J846" t="s">
        <v>29</v>
      </c>
      <c r="K846" t="str">
        <f>IF(Table3[[#This Row],[Type Received]]=2,"CC",(IF(Table3[[#This Row],[Type Received]]=3,"BILL","ACH")))</f>
        <v>ACH</v>
      </c>
    </row>
    <row r="847" spans="1:11" x14ac:dyDescent="0.25">
      <c r="A847">
        <v>259393</v>
      </c>
      <c r="B847" s="3">
        <v>46169</v>
      </c>
      <c r="C847">
        <v>1</v>
      </c>
      <c r="D847">
        <v>28.95</v>
      </c>
      <c r="G847" s="4" t="s">
        <v>117</v>
      </c>
      <c r="H847">
        <v>840834873</v>
      </c>
      <c r="I847" t="s">
        <v>29</v>
      </c>
      <c r="K847" t="str">
        <f>IF(Table3[[#This Row],[Type Received]]=2,"CC",(IF(Table3[[#This Row],[Type Received]]=3,"BILL","ACH")))</f>
        <v>ACH</v>
      </c>
    </row>
    <row r="848" spans="1:11" x14ac:dyDescent="0.25">
      <c r="A848">
        <v>259410</v>
      </c>
      <c r="B848" s="3">
        <v>46169</v>
      </c>
      <c r="C848">
        <v>1</v>
      </c>
      <c r="D848">
        <v>42.7</v>
      </c>
      <c r="G848" t="s">
        <v>117</v>
      </c>
      <c r="H848">
        <v>840840758</v>
      </c>
      <c r="I848" t="s">
        <v>29</v>
      </c>
      <c r="K848" t="str">
        <f>IF(Table3[[#This Row],[Type Received]]=2,"CC",(IF(Table3[[#This Row],[Type Received]]=3,"BILL","ACH")))</f>
        <v>ACH</v>
      </c>
    </row>
    <row r="849" spans="1:11" x14ac:dyDescent="0.25">
      <c r="A849">
        <v>259416</v>
      </c>
      <c r="B849" s="3">
        <v>46155</v>
      </c>
      <c r="C849">
        <v>2</v>
      </c>
      <c r="D849">
        <v>111.67</v>
      </c>
      <c r="F849">
        <v>9898</v>
      </c>
      <c r="G849" t="s">
        <v>28</v>
      </c>
      <c r="H849">
        <v>669470335</v>
      </c>
      <c r="I849" t="s">
        <v>29</v>
      </c>
      <c r="J849" t="s">
        <v>29</v>
      </c>
      <c r="K849" t="str">
        <f>IF(Table3[[#This Row],[Type Received]]=2,"CC",(IF(Table3[[#This Row],[Type Received]]=3,"BILL","ACH")))</f>
        <v>CC</v>
      </c>
    </row>
    <row r="850" spans="1:11" x14ac:dyDescent="0.25">
      <c r="A850">
        <v>259419</v>
      </c>
      <c r="B850" s="3">
        <v>46147</v>
      </c>
      <c r="C850">
        <v>2</v>
      </c>
      <c r="D850">
        <v>100.45</v>
      </c>
      <c r="F850" t="s">
        <v>158</v>
      </c>
      <c r="G850" t="s">
        <v>28</v>
      </c>
      <c r="H850">
        <v>569484331</v>
      </c>
      <c r="I850" t="s">
        <v>29</v>
      </c>
      <c r="J850" t="s">
        <v>29</v>
      </c>
      <c r="K850" t="str">
        <f>IF(Table3[[#This Row],[Type Received]]=2,"CC",(IF(Table3[[#This Row],[Type Received]]=3,"BILL","ACH")))</f>
        <v>CC</v>
      </c>
    </row>
    <row r="851" spans="1:11" x14ac:dyDescent="0.25">
      <c r="A851">
        <v>259418</v>
      </c>
      <c r="B851" s="3">
        <v>46155</v>
      </c>
      <c r="C851">
        <v>2</v>
      </c>
      <c r="D851">
        <v>83.95</v>
      </c>
      <c r="F851" t="s">
        <v>159</v>
      </c>
      <c r="G851" t="s">
        <v>28</v>
      </c>
      <c r="H851">
        <v>669454771</v>
      </c>
      <c r="I851" t="s">
        <v>29</v>
      </c>
      <c r="J851" t="s">
        <v>29</v>
      </c>
      <c r="K851" t="str">
        <f>IF(Table3[[#This Row],[Type Received]]=2,"CC",(IF(Table3[[#This Row],[Type Received]]=3,"BILL","ACH")))</f>
        <v>CC</v>
      </c>
    </row>
    <row r="852" spans="1:11" x14ac:dyDescent="0.25">
      <c r="A852">
        <v>259430</v>
      </c>
      <c r="B852" s="3">
        <v>46169</v>
      </c>
      <c r="C852">
        <v>1</v>
      </c>
      <c r="D852">
        <v>123.22</v>
      </c>
      <c r="G852" t="s">
        <v>117</v>
      </c>
      <c r="H852">
        <v>842215339</v>
      </c>
      <c r="I852" t="s">
        <v>29</v>
      </c>
      <c r="J852" t="s">
        <v>29</v>
      </c>
      <c r="K852" t="str">
        <f>IF(Table3[[#This Row],[Type Received]]=2,"CC",(IF(Table3[[#This Row],[Type Received]]=3,"BILL","ACH")))</f>
        <v>ACH</v>
      </c>
    </row>
    <row r="853" spans="1:11" x14ac:dyDescent="0.25">
      <c r="A853">
        <v>259439</v>
      </c>
      <c r="B853" s="3">
        <v>46169</v>
      </c>
      <c r="C853">
        <v>1</v>
      </c>
      <c r="D853">
        <v>77.349999999999994</v>
      </c>
      <c r="G853" s="4" t="s">
        <v>117</v>
      </c>
      <c r="H853">
        <v>842213503</v>
      </c>
      <c r="I853" t="s">
        <v>29</v>
      </c>
      <c r="K853" t="str">
        <f>IF(Table3[[#This Row],[Type Received]]=2,"CC",(IF(Table3[[#This Row],[Type Received]]=3,"BILL","ACH")))</f>
        <v>ACH</v>
      </c>
    </row>
    <row r="854" spans="1:11" x14ac:dyDescent="0.25">
      <c r="A854">
        <v>259429</v>
      </c>
      <c r="B854" s="3">
        <v>46155</v>
      </c>
      <c r="C854">
        <v>2</v>
      </c>
      <c r="D854">
        <v>93.63</v>
      </c>
      <c r="F854">
        <v>761820</v>
      </c>
      <c r="G854" t="s">
        <v>28</v>
      </c>
      <c r="H854">
        <v>669467457</v>
      </c>
      <c r="I854" t="s">
        <v>29</v>
      </c>
      <c r="J854" t="s">
        <v>29</v>
      </c>
      <c r="K854" t="str">
        <f>IF(Table3[[#This Row],[Type Received]]=2,"CC",(IF(Table3[[#This Row],[Type Received]]=3,"BILL","ACH")))</f>
        <v>CC</v>
      </c>
    </row>
    <row r="855" spans="1:11" x14ac:dyDescent="0.25">
      <c r="A855">
        <v>259438</v>
      </c>
      <c r="B855" s="3">
        <v>46157</v>
      </c>
      <c r="C855">
        <v>1</v>
      </c>
      <c r="D855">
        <v>59.2</v>
      </c>
      <c r="G855" t="s">
        <v>87</v>
      </c>
      <c r="H855">
        <v>696672407</v>
      </c>
      <c r="I855" t="s">
        <v>29</v>
      </c>
      <c r="J855" t="s">
        <v>29</v>
      </c>
      <c r="K855" t="str">
        <f>IF(Table3[[#This Row],[Type Received]]=2,"CC",(IF(Table3[[#This Row],[Type Received]]=3,"BILL","ACH")))</f>
        <v>ACH</v>
      </c>
    </row>
    <row r="856" spans="1:11" x14ac:dyDescent="0.25">
      <c r="A856">
        <v>259432</v>
      </c>
      <c r="B856" s="3">
        <v>46157</v>
      </c>
      <c r="C856">
        <v>1</v>
      </c>
      <c r="D856">
        <v>91.54</v>
      </c>
      <c r="G856" t="s">
        <v>87</v>
      </c>
      <c r="H856">
        <v>696660817</v>
      </c>
      <c r="I856" t="s">
        <v>29</v>
      </c>
      <c r="J856" t="s">
        <v>29</v>
      </c>
      <c r="K856" t="str">
        <f>IF(Table3[[#This Row],[Type Received]]=2,"CC",(IF(Table3[[#This Row],[Type Received]]=3,"BILL","ACH")))</f>
        <v>ACH</v>
      </c>
    </row>
    <row r="857" spans="1:11" x14ac:dyDescent="0.25">
      <c r="A857">
        <v>259435</v>
      </c>
      <c r="B857" s="3">
        <v>46144</v>
      </c>
      <c r="C857">
        <v>1</v>
      </c>
      <c r="D857">
        <v>111.45</v>
      </c>
      <c r="G857" t="s">
        <v>89</v>
      </c>
      <c r="H857">
        <v>535363475</v>
      </c>
      <c r="I857" t="s">
        <v>29</v>
      </c>
      <c r="J857" t="s">
        <v>29</v>
      </c>
      <c r="K857" t="str">
        <f>IF(Table3[[#This Row],[Type Received]]=2,"CC",(IF(Table3[[#This Row],[Type Received]]=3,"BILL","ACH")))</f>
        <v>ACH</v>
      </c>
    </row>
    <row r="858" spans="1:11" x14ac:dyDescent="0.25">
      <c r="A858">
        <v>259440</v>
      </c>
      <c r="B858" s="3">
        <v>46169</v>
      </c>
      <c r="C858">
        <v>1</v>
      </c>
      <c r="D858">
        <v>57.88</v>
      </c>
      <c r="G858" t="s">
        <v>117</v>
      </c>
      <c r="H858">
        <v>842221209</v>
      </c>
      <c r="I858" t="s">
        <v>29</v>
      </c>
      <c r="J858" t="s">
        <v>29</v>
      </c>
      <c r="K858" t="str">
        <f>IF(Table3[[#This Row],[Type Received]]=2,"CC",(IF(Table3[[#This Row],[Type Received]]=3,"BILL","ACH")))</f>
        <v>ACH</v>
      </c>
    </row>
    <row r="859" spans="1:11" x14ac:dyDescent="0.25">
      <c r="A859">
        <v>259444</v>
      </c>
      <c r="B859" s="3">
        <v>46155</v>
      </c>
      <c r="C859">
        <v>2</v>
      </c>
      <c r="D859">
        <v>83.95</v>
      </c>
      <c r="F859" t="s">
        <v>160</v>
      </c>
      <c r="G859" t="s">
        <v>28</v>
      </c>
      <c r="H859">
        <v>669452830</v>
      </c>
      <c r="I859" t="s">
        <v>29</v>
      </c>
      <c r="J859" t="s">
        <v>29</v>
      </c>
      <c r="K859" t="str">
        <f>IF(Table3[[#This Row],[Type Received]]=2,"CC",(IF(Table3[[#This Row],[Type Received]]=3,"BILL","ACH")))</f>
        <v>CC</v>
      </c>
    </row>
    <row r="860" spans="1:11" x14ac:dyDescent="0.25">
      <c r="A860">
        <v>259447</v>
      </c>
      <c r="B860" s="3">
        <v>46157</v>
      </c>
      <c r="C860">
        <v>2</v>
      </c>
      <c r="D860">
        <v>54.91</v>
      </c>
      <c r="F860" t="s">
        <v>161</v>
      </c>
      <c r="G860" t="s">
        <v>28</v>
      </c>
      <c r="H860">
        <v>696710118</v>
      </c>
      <c r="I860" t="s">
        <v>29</v>
      </c>
      <c r="K860" t="str">
        <f>IF(Table3[[#This Row],[Type Received]]=2,"CC",(IF(Table3[[#This Row],[Type Received]]=3,"BILL","ACH")))</f>
        <v>CC</v>
      </c>
    </row>
    <row r="861" spans="1:11" x14ac:dyDescent="0.25">
      <c r="A861">
        <v>259448</v>
      </c>
      <c r="B861" s="3">
        <v>46157</v>
      </c>
      <c r="C861">
        <v>1</v>
      </c>
      <c r="D861">
        <v>51.61</v>
      </c>
      <c r="G861" t="s">
        <v>87</v>
      </c>
      <c r="H861">
        <v>696667552</v>
      </c>
      <c r="I861" t="s">
        <v>29</v>
      </c>
      <c r="J861" t="s">
        <v>29</v>
      </c>
      <c r="K861" t="str">
        <f>IF(Table3[[#This Row],[Type Received]]=2,"CC",(IF(Table3[[#This Row],[Type Received]]=3,"BILL","ACH")))</f>
        <v>ACH</v>
      </c>
    </row>
    <row r="862" spans="1:11" x14ac:dyDescent="0.25">
      <c r="A862">
        <v>259459</v>
      </c>
      <c r="B862" s="3">
        <v>46169</v>
      </c>
      <c r="C862">
        <v>1</v>
      </c>
      <c r="D862">
        <v>34.450000000000003</v>
      </c>
      <c r="G862" t="s">
        <v>117</v>
      </c>
      <c r="H862">
        <v>842207796</v>
      </c>
      <c r="I862" t="s">
        <v>29</v>
      </c>
      <c r="J862" t="s">
        <v>29</v>
      </c>
      <c r="K862" t="str">
        <f>IF(Table3[[#This Row],[Type Received]]=2,"CC",(IF(Table3[[#This Row],[Type Received]]=3,"BILL","ACH")))</f>
        <v>ACH</v>
      </c>
    </row>
    <row r="863" spans="1:11" x14ac:dyDescent="0.25">
      <c r="A863">
        <v>259458</v>
      </c>
      <c r="B863" s="3">
        <v>46169</v>
      </c>
      <c r="C863">
        <v>1</v>
      </c>
      <c r="D863">
        <v>119.26</v>
      </c>
      <c r="G863" t="s">
        <v>117</v>
      </c>
      <c r="H863">
        <v>842223246</v>
      </c>
      <c r="I863" t="s">
        <v>29</v>
      </c>
      <c r="J863" t="s">
        <v>29</v>
      </c>
      <c r="K863" t="str">
        <f>IF(Table3[[#This Row],[Type Received]]=2,"CC",(IF(Table3[[#This Row],[Type Received]]=3,"BILL","ACH")))</f>
        <v>ACH</v>
      </c>
    </row>
    <row r="864" spans="1:11" x14ac:dyDescent="0.25">
      <c r="A864">
        <v>259456</v>
      </c>
      <c r="B864" s="3">
        <v>46155</v>
      </c>
      <c r="C864">
        <v>2</v>
      </c>
      <c r="D864">
        <v>54.58</v>
      </c>
      <c r="F864">
        <v>140227</v>
      </c>
      <c r="G864" t="s">
        <v>28</v>
      </c>
      <c r="H864">
        <v>669472294</v>
      </c>
      <c r="I864" t="s">
        <v>29</v>
      </c>
      <c r="J864" t="s">
        <v>29</v>
      </c>
      <c r="K864" t="str">
        <f>IF(Table3[[#This Row],[Type Received]]=2,"CC",(IF(Table3[[#This Row],[Type Received]]=3,"BILL","ACH")))</f>
        <v>CC</v>
      </c>
    </row>
    <row r="865" spans="1:11" x14ac:dyDescent="0.25">
      <c r="A865">
        <v>259464</v>
      </c>
      <c r="B865" s="3">
        <v>46157</v>
      </c>
      <c r="C865">
        <v>1</v>
      </c>
      <c r="D865">
        <v>149.62</v>
      </c>
      <c r="G865" s="4" t="s">
        <v>87</v>
      </c>
      <c r="H865">
        <v>696674306</v>
      </c>
      <c r="I865" t="s">
        <v>29</v>
      </c>
      <c r="K865" t="str">
        <f>IF(Table3[[#This Row],[Type Received]]=2,"CC",(IF(Table3[[#This Row],[Type Received]]=3,"BILL","ACH")))</f>
        <v>ACH</v>
      </c>
    </row>
    <row r="866" spans="1:11" x14ac:dyDescent="0.25">
      <c r="A866">
        <v>259470</v>
      </c>
      <c r="B866" s="3">
        <v>46157</v>
      </c>
      <c r="C866">
        <v>1</v>
      </c>
      <c r="D866">
        <v>40.17</v>
      </c>
      <c r="G866" t="s">
        <v>87</v>
      </c>
      <c r="H866">
        <v>696667602</v>
      </c>
      <c r="I866" t="s">
        <v>29</v>
      </c>
      <c r="K866" t="str">
        <f>IF(Table3[[#This Row],[Type Received]]=2,"CC",(IF(Table3[[#This Row],[Type Received]]=3,"BILL","ACH")))</f>
        <v>ACH</v>
      </c>
    </row>
    <row r="867" spans="1:11" x14ac:dyDescent="0.25">
      <c r="A867">
        <v>259475</v>
      </c>
      <c r="B867" s="3">
        <v>46155</v>
      </c>
      <c r="C867">
        <v>2</v>
      </c>
      <c r="D867">
        <v>72.73</v>
      </c>
      <c r="F867" t="s">
        <v>162</v>
      </c>
      <c r="G867" s="4" t="s">
        <v>28</v>
      </c>
      <c r="H867">
        <v>669460652</v>
      </c>
      <c r="I867" t="s">
        <v>29</v>
      </c>
      <c r="J867" t="s">
        <v>29</v>
      </c>
      <c r="K867" t="str">
        <f>IF(Table3[[#This Row],[Type Received]]=2,"CC",(IF(Table3[[#This Row],[Type Received]]=3,"BILL","ACH")))</f>
        <v>CC</v>
      </c>
    </row>
    <row r="868" spans="1:11" x14ac:dyDescent="0.25">
      <c r="A868">
        <v>259476</v>
      </c>
      <c r="B868" s="3">
        <v>46144</v>
      </c>
      <c r="C868">
        <v>1</v>
      </c>
      <c r="D868">
        <v>43.03</v>
      </c>
      <c r="G868" t="s">
        <v>89</v>
      </c>
      <c r="H868">
        <v>535349906</v>
      </c>
      <c r="I868" t="s">
        <v>29</v>
      </c>
      <c r="J868" t="s">
        <v>29</v>
      </c>
      <c r="K868" t="str">
        <f>IF(Table3[[#This Row],[Type Received]]=2,"CC",(IF(Table3[[#This Row],[Type Received]]=3,"BILL","ACH")))</f>
        <v>ACH</v>
      </c>
    </row>
    <row r="869" spans="1:11" x14ac:dyDescent="0.25">
      <c r="A869">
        <v>259477</v>
      </c>
      <c r="B869" s="3">
        <v>46144</v>
      </c>
      <c r="C869">
        <v>2</v>
      </c>
      <c r="D869">
        <v>114.31</v>
      </c>
      <c r="F869">
        <v>140149</v>
      </c>
      <c r="G869" t="s">
        <v>28</v>
      </c>
      <c r="H869">
        <v>535348012</v>
      </c>
      <c r="I869" t="s">
        <v>29</v>
      </c>
      <c r="J869" t="s">
        <v>29</v>
      </c>
      <c r="K869" t="str">
        <f>IF(Table3[[#This Row],[Type Received]]=2,"CC",(IF(Table3[[#This Row],[Type Received]]=3,"BILL","ACH")))</f>
        <v>CC</v>
      </c>
    </row>
    <row r="870" spans="1:11" x14ac:dyDescent="0.25">
      <c r="A870">
        <v>259478</v>
      </c>
      <c r="B870" s="3">
        <v>46147</v>
      </c>
      <c r="C870">
        <v>2</v>
      </c>
      <c r="D870">
        <v>74.709999999999994</v>
      </c>
      <c r="F870">
        <v>310775</v>
      </c>
      <c r="G870" t="s">
        <v>28</v>
      </c>
      <c r="H870">
        <v>569481388</v>
      </c>
      <c r="I870" t="s">
        <v>29</v>
      </c>
      <c r="J870" t="s">
        <v>29</v>
      </c>
      <c r="K870" t="str">
        <f>IF(Table3[[#This Row],[Type Received]]=2,"CC",(IF(Table3[[#This Row],[Type Received]]=3,"BILL","ACH")))</f>
        <v>CC</v>
      </c>
    </row>
    <row r="871" spans="1:11" x14ac:dyDescent="0.25">
      <c r="A871">
        <v>259479</v>
      </c>
      <c r="B871" s="3">
        <v>46143</v>
      </c>
      <c r="C871">
        <v>3</v>
      </c>
      <c r="D871">
        <v>87.6</v>
      </c>
      <c r="E871">
        <v>6995</v>
      </c>
      <c r="J871" t="s">
        <v>29</v>
      </c>
      <c r="K871" t="str">
        <f>IF(Table3[[#This Row],[Type Received]]=2,"CC",(IF(Table3[[#This Row],[Type Received]]=3,"BILL","ACH")))</f>
        <v>BILL</v>
      </c>
    </row>
    <row r="872" spans="1:11" x14ac:dyDescent="0.25">
      <c r="A872">
        <v>259492</v>
      </c>
      <c r="B872" s="3">
        <v>46143</v>
      </c>
      <c r="C872">
        <v>2</v>
      </c>
      <c r="D872">
        <v>39.97</v>
      </c>
      <c r="F872">
        <v>652632</v>
      </c>
      <c r="G872" t="s">
        <v>28</v>
      </c>
      <c r="H872">
        <v>522937842</v>
      </c>
      <c r="I872" t="s">
        <v>29</v>
      </c>
      <c r="J872" t="s">
        <v>29</v>
      </c>
      <c r="K872" t="str">
        <f>IF(Table3[[#This Row],[Type Received]]=2,"CC",(IF(Table3[[#This Row],[Type Received]]=3,"BILL","ACH")))</f>
        <v>CC</v>
      </c>
    </row>
    <row r="873" spans="1:11" x14ac:dyDescent="0.25">
      <c r="A873">
        <v>259484</v>
      </c>
      <c r="B873" s="3">
        <v>46168</v>
      </c>
      <c r="C873">
        <v>1</v>
      </c>
      <c r="D873">
        <v>83.95</v>
      </c>
      <c r="G873" s="4" t="s">
        <v>110</v>
      </c>
      <c r="H873">
        <v>828248292</v>
      </c>
      <c r="I873" t="s">
        <v>29</v>
      </c>
      <c r="J873" t="s">
        <v>29</v>
      </c>
      <c r="K873" t="str">
        <f>IF(Table3[[#This Row],[Type Received]]=2,"CC",(IF(Table3[[#This Row],[Type Received]]=3,"BILL","ACH")))</f>
        <v>ACH</v>
      </c>
    </row>
    <row r="874" spans="1:11" x14ac:dyDescent="0.25">
      <c r="A874">
        <v>259486</v>
      </c>
      <c r="B874" s="3">
        <v>46157</v>
      </c>
      <c r="C874">
        <v>1</v>
      </c>
      <c r="D874">
        <v>97.59</v>
      </c>
      <c r="G874" t="s">
        <v>87</v>
      </c>
      <c r="H874">
        <v>696679265</v>
      </c>
      <c r="I874" t="s">
        <v>29</v>
      </c>
      <c r="J874" t="s">
        <v>29</v>
      </c>
      <c r="K874" t="str">
        <f>IF(Table3[[#This Row],[Type Received]]=2,"CC",(IF(Table3[[#This Row],[Type Received]]=3,"BILL","ACH")))</f>
        <v>ACH</v>
      </c>
    </row>
    <row r="875" spans="1:11" x14ac:dyDescent="0.25">
      <c r="A875">
        <v>259497</v>
      </c>
      <c r="B875" s="3">
        <v>46155</v>
      </c>
      <c r="C875">
        <v>2</v>
      </c>
      <c r="D875">
        <v>34.450000000000003</v>
      </c>
      <c r="F875">
        <v>3726</v>
      </c>
      <c r="G875" t="s">
        <v>28</v>
      </c>
      <c r="H875">
        <v>669461659</v>
      </c>
      <c r="I875" t="s">
        <v>29</v>
      </c>
      <c r="J875" t="s">
        <v>29</v>
      </c>
      <c r="K875" t="str">
        <f>IF(Table3[[#This Row],[Type Received]]=2,"CC",(IF(Table3[[#This Row],[Type Received]]=3,"BILL","ACH")))</f>
        <v>CC</v>
      </c>
    </row>
    <row r="876" spans="1:11" x14ac:dyDescent="0.25">
      <c r="A876">
        <v>259508</v>
      </c>
      <c r="B876" s="3">
        <v>46146</v>
      </c>
      <c r="C876">
        <v>1</v>
      </c>
      <c r="D876">
        <v>67.45</v>
      </c>
      <c r="G876" t="s">
        <v>92</v>
      </c>
      <c r="H876">
        <v>557086396</v>
      </c>
      <c r="I876" t="s">
        <v>29</v>
      </c>
      <c r="J876" t="s">
        <v>29</v>
      </c>
      <c r="K876" t="str">
        <f>IF(Table3[[#This Row],[Type Received]]=2,"CC",(IF(Table3[[#This Row],[Type Received]]=3,"BILL","ACH")))</f>
        <v>ACH</v>
      </c>
    </row>
    <row r="877" spans="1:11" x14ac:dyDescent="0.25">
      <c r="A877">
        <v>259507</v>
      </c>
      <c r="B877" s="3">
        <v>46147</v>
      </c>
      <c r="C877">
        <v>3</v>
      </c>
      <c r="D877">
        <v>107.35</v>
      </c>
      <c r="E877">
        <v>6444</v>
      </c>
      <c r="J877" t="s">
        <v>29</v>
      </c>
      <c r="K877" t="str">
        <f>IF(Table3[[#This Row],[Type Received]]=2,"CC",(IF(Table3[[#This Row],[Type Received]]=3,"BILL","ACH")))</f>
        <v>BILL</v>
      </c>
    </row>
    <row r="878" spans="1:11" x14ac:dyDescent="0.25">
      <c r="A878">
        <v>259499</v>
      </c>
      <c r="B878" s="3">
        <v>46155</v>
      </c>
      <c r="C878">
        <v>2</v>
      </c>
      <c r="D878">
        <v>167.11</v>
      </c>
      <c r="F878" t="s">
        <v>163</v>
      </c>
      <c r="G878" t="s">
        <v>28</v>
      </c>
      <c r="H878">
        <v>669457706</v>
      </c>
      <c r="I878" t="s">
        <v>29</v>
      </c>
      <c r="J878" t="s">
        <v>29</v>
      </c>
      <c r="K878" t="str">
        <f>IF(Table3[[#This Row],[Type Received]]=2,"CC",(IF(Table3[[#This Row],[Type Received]]=3,"BILL","ACH")))</f>
        <v>CC</v>
      </c>
    </row>
    <row r="879" spans="1:11" x14ac:dyDescent="0.25">
      <c r="A879">
        <v>259511</v>
      </c>
      <c r="B879" s="3">
        <v>46155</v>
      </c>
      <c r="C879">
        <v>2</v>
      </c>
      <c r="D879">
        <v>28.75</v>
      </c>
      <c r="F879">
        <v>81815</v>
      </c>
      <c r="G879" s="4">
        <v>744917848</v>
      </c>
      <c r="H879">
        <v>354497312</v>
      </c>
      <c r="K879" t="str">
        <f>IF(Table3[[#This Row],[Type Received]]=2,"CC",(IF(Table3[[#This Row],[Type Received]]=3,"BILL","ACH")))</f>
        <v>CC</v>
      </c>
    </row>
    <row r="880" spans="1:11" x14ac:dyDescent="0.25">
      <c r="A880">
        <v>259509</v>
      </c>
      <c r="B880" s="3">
        <v>46144</v>
      </c>
      <c r="C880">
        <v>1</v>
      </c>
      <c r="D880">
        <v>48.97</v>
      </c>
      <c r="G880" t="s">
        <v>89</v>
      </c>
      <c r="H880">
        <v>535355816</v>
      </c>
      <c r="I880" t="s">
        <v>29</v>
      </c>
      <c r="J880" t="s">
        <v>29</v>
      </c>
      <c r="K880" t="str">
        <f>IF(Table3[[#This Row],[Type Received]]=2,"CC",(IF(Table3[[#This Row],[Type Received]]=3,"BILL","ACH")))</f>
        <v>ACH</v>
      </c>
    </row>
    <row r="881" spans="1:11" x14ac:dyDescent="0.25">
      <c r="A881">
        <v>259510</v>
      </c>
      <c r="B881" s="3">
        <v>46157</v>
      </c>
      <c r="C881">
        <v>1</v>
      </c>
      <c r="D881">
        <v>62.17</v>
      </c>
      <c r="G881" t="s">
        <v>87</v>
      </c>
      <c r="H881">
        <v>696663790</v>
      </c>
      <c r="I881" t="s">
        <v>29</v>
      </c>
      <c r="J881" t="s">
        <v>29</v>
      </c>
      <c r="K881" t="str">
        <f>IF(Table3[[#This Row],[Type Received]]=2,"CC",(IF(Table3[[#This Row],[Type Received]]=3,"BILL","ACH")))</f>
        <v>ACH</v>
      </c>
    </row>
    <row r="882" spans="1:11" x14ac:dyDescent="0.25">
      <c r="A882">
        <v>259519</v>
      </c>
      <c r="B882" s="3">
        <v>46155</v>
      </c>
      <c r="C882">
        <v>2</v>
      </c>
      <c r="D882">
        <v>132.13</v>
      </c>
      <c r="F882" t="s">
        <v>164</v>
      </c>
      <c r="G882" t="s">
        <v>28</v>
      </c>
      <c r="H882">
        <v>669460668</v>
      </c>
      <c r="I882" t="s">
        <v>29</v>
      </c>
      <c r="J882" t="s">
        <v>29</v>
      </c>
      <c r="K882" t="str">
        <f>IF(Table3[[#This Row],[Type Received]]=2,"CC",(IF(Table3[[#This Row],[Type Received]]=3,"BILL","ACH")))</f>
        <v>CC</v>
      </c>
    </row>
    <row r="883" spans="1:11" x14ac:dyDescent="0.25">
      <c r="A883">
        <v>259527</v>
      </c>
      <c r="B883" s="3">
        <v>46144</v>
      </c>
      <c r="C883">
        <v>1</v>
      </c>
      <c r="D883">
        <v>44.68</v>
      </c>
      <c r="G883" t="s">
        <v>89</v>
      </c>
      <c r="H883">
        <v>535374172</v>
      </c>
      <c r="I883" t="s">
        <v>29</v>
      </c>
      <c r="J883" t="s">
        <v>29</v>
      </c>
      <c r="K883" t="str">
        <f>IF(Table3[[#This Row],[Type Received]]=2,"CC",(IF(Table3[[#This Row],[Type Received]]=3,"BILL","ACH")))</f>
        <v>ACH</v>
      </c>
    </row>
    <row r="884" spans="1:11" x14ac:dyDescent="0.25">
      <c r="A884">
        <v>259530</v>
      </c>
      <c r="B884" s="3">
        <v>46144</v>
      </c>
      <c r="C884">
        <v>1</v>
      </c>
      <c r="D884">
        <v>85.49</v>
      </c>
      <c r="G884" t="s">
        <v>89</v>
      </c>
      <c r="H884">
        <v>535361723</v>
      </c>
      <c r="I884" t="s">
        <v>29</v>
      </c>
      <c r="J884" t="s">
        <v>29</v>
      </c>
      <c r="K884" t="str">
        <f>IF(Table3[[#This Row],[Type Received]]=2,"CC",(IF(Table3[[#This Row],[Type Received]]=3,"BILL","ACH")))</f>
        <v>ACH</v>
      </c>
    </row>
    <row r="885" spans="1:11" x14ac:dyDescent="0.25">
      <c r="A885">
        <v>259523</v>
      </c>
      <c r="B885" s="3">
        <v>46157</v>
      </c>
      <c r="C885">
        <v>1</v>
      </c>
      <c r="D885">
        <v>59.53</v>
      </c>
      <c r="G885" t="s">
        <v>87</v>
      </c>
      <c r="H885">
        <v>696675365</v>
      </c>
      <c r="I885" t="s">
        <v>29</v>
      </c>
      <c r="J885" t="s">
        <v>29</v>
      </c>
      <c r="K885" t="str">
        <f>IF(Table3[[#This Row],[Type Received]]=2,"CC",(IF(Table3[[#This Row],[Type Received]]=3,"BILL","ACH")))</f>
        <v>ACH</v>
      </c>
    </row>
    <row r="886" spans="1:11" x14ac:dyDescent="0.25">
      <c r="A886">
        <v>259524</v>
      </c>
      <c r="B886" s="3">
        <v>46157</v>
      </c>
      <c r="C886">
        <v>1</v>
      </c>
      <c r="D886">
        <v>31.15</v>
      </c>
      <c r="G886" s="4" t="s">
        <v>87</v>
      </c>
      <c r="H886">
        <v>696666730</v>
      </c>
      <c r="I886" t="s">
        <v>29</v>
      </c>
      <c r="J886" t="s">
        <v>29</v>
      </c>
      <c r="K886" t="str">
        <f>IF(Table3[[#This Row],[Type Received]]=2,"CC",(IF(Table3[[#This Row],[Type Received]]=3,"BILL","ACH")))</f>
        <v>ACH</v>
      </c>
    </row>
    <row r="887" spans="1:11" x14ac:dyDescent="0.25">
      <c r="A887">
        <v>259521</v>
      </c>
      <c r="B887" s="3">
        <v>46144</v>
      </c>
      <c r="C887">
        <v>2</v>
      </c>
      <c r="D887">
        <v>58.65</v>
      </c>
      <c r="F887" t="s">
        <v>165</v>
      </c>
      <c r="G887" t="s">
        <v>28</v>
      </c>
      <c r="H887">
        <v>535361707</v>
      </c>
      <c r="I887" t="s">
        <v>29</v>
      </c>
      <c r="J887" t="s">
        <v>29</v>
      </c>
      <c r="K887" t="str">
        <f>IF(Table3[[#This Row],[Type Received]]=2,"CC",(IF(Table3[[#This Row],[Type Received]]=3,"BILL","ACH")))</f>
        <v>CC</v>
      </c>
    </row>
    <row r="888" spans="1:11" x14ac:dyDescent="0.25">
      <c r="A888">
        <v>259529</v>
      </c>
      <c r="B888" s="3">
        <v>46144</v>
      </c>
      <c r="C888">
        <v>1</v>
      </c>
      <c r="D888">
        <v>103.75</v>
      </c>
      <c r="G888" t="s">
        <v>89</v>
      </c>
      <c r="H888">
        <v>535373160</v>
      </c>
      <c r="I888" t="s">
        <v>29</v>
      </c>
      <c r="J888" t="s">
        <v>29</v>
      </c>
      <c r="K888" t="str">
        <f>IF(Table3[[#This Row],[Type Received]]=2,"CC",(IF(Table3[[#This Row],[Type Received]]=3,"BILL","ACH")))</f>
        <v>ACH</v>
      </c>
    </row>
    <row r="889" spans="1:11" x14ac:dyDescent="0.25">
      <c r="A889">
        <v>259538</v>
      </c>
      <c r="B889" s="3">
        <v>46169</v>
      </c>
      <c r="C889">
        <v>2</v>
      </c>
      <c r="D889">
        <v>86.39</v>
      </c>
      <c r="F889">
        <v>80553</v>
      </c>
      <c r="G889" t="s">
        <v>28</v>
      </c>
      <c r="H889">
        <v>840893641</v>
      </c>
      <c r="I889" t="s">
        <v>29</v>
      </c>
      <c r="J889" t="s">
        <v>29</v>
      </c>
      <c r="K889" t="str">
        <f>IF(Table3[[#This Row],[Type Received]]=2,"CC",(IF(Table3[[#This Row],[Type Received]]=3,"BILL","ACH")))</f>
        <v>CC</v>
      </c>
    </row>
    <row r="890" spans="1:11" x14ac:dyDescent="0.25">
      <c r="A890">
        <v>259542</v>
      </c>
      <c r="B890" s="3">
        <v>46144</v>
      </c>
      <c r="C890">
        <v>2</v>
      </c>
      <c r="D890">
        <v>83.95</v>
      </c>
      <c r="F890">
        <v>438785</v>
      </c>
      <c r="G890" t="s">
        <v>28</v>
      </c>
      <c r="H890">
        <v>535356831</v>
      </c>
      <c r="I890" t="s">
        <v>29</v>
      </c>
      <c r="K890" t="str">
        <f>IF(Table3[[#This Row],[Type Received]]=2,"CC",(IF(Table3[[#This Row],[Type Received]]=3,"BILL","ACH")))</f>
        <v>CC</v>
      </c>
    </row>
    <row r="891" spans="1:11" x14ac:dyDescent="0.25">
      <c r="A891">
        <v>259546</v>
      </c>
      <c r="B891" s="3">
        <v>46170</v>
      </c>
      <c r="C891">
        <v>2</v>
      </c>
      <c r="D891">
        <v>183.58</v>
      </c>
      <c r="F891">
        <v>82521</v>
      </c>
      <c r="G891">
        <v>749514569</v>
      </c>
      <c r="H891">
        <v>356134084</v>
      </c>
      <c r="J891" t="s">
        <v>29</v>
      </c>
      <c r="K891" t="str">
        <f>IF(Table3[[#This Row],[Type Received]]=2,"CC",(IF(Table3[[#This Row],[Type Received]]=3,"BILL","ACH")))</f>
        <v>CC</v>
      </c>
    </row>
    <row r="892" spans="1:11" x14ac:dyDescent="0.25">
      <c r="A892">
        <v>259541</v>
      </c>
      <c r="B892" s="3">
        <v>46155</v>
      </c>
      <c r="C892">
        <v>2</v>
      </c>
      <c r="D892">
        <v>62.5</v>
      </c>
      <c r="F892" t="s">
        <v>166</v>
      </c>
      <c r="G892" s="4" t="s">
        <v>28</v>
      </c>
      <c r="H892">
        <v>669454843</v>
      </c>
      <c r="I892" t="s">
        <v>29</v>
      </c>
      <c r="J892" t="s">
        <v>29</v>
      </c>
      <c r="K892" t="str">
        <f>IF(Table3[[#This Row],[Type Received]]=2,"CC",(IF(Table3[[#This Row],[Type Received]]=3,"BILL","ACH")))</f>
        <v>CC</v>
      </c>
    </row>
    <row r="893" spans="1:11" x14ac:dyDescent="0.25">
      <c r="A893">
        <v>259543</v>
      </c>
      <c r="B893" s="3">
        <v>46155</v>
      </c>
      <c r="C893">
        <v>2</v>
      </c>
      <c r="D893">
        <v>63.49</v>
      </c>
      <c r="F893" t="s">
        <v>167</v>
      </c>
      <c r="G893" t="s">
        <v>28</v>
      </c>
      <c r="H893">
        <v>669463647</v>
      </c>
      <c r="I893" t="s">
        <v>29</v>
      </c>
      <c r="J893" t="s">
        <v>29</v>
      </c>
      <c r="K893" t="str">
        <f>IF(Table3[[#This Row],[Type Received]]=2,"CC",(IF(Table3[[#This Row],[Type Received]]=3,"BILL","ACH")))</f>
        <v>CC</v>
      </c>
    </row>
    <row r="894" spans="1:11" x14ac:dyDescent="0.25">
      <c r="A894">
        <v>259544</v>
      </c>
      <c r="B894" s="3">
        <v>46157</v>
      </c>
      <c r="C894">
        <v>1</v>
      </c>
      <c r="D894">
        <v>168.76</v>
      </c>
      <c r="G894" t="s">
        <v>87</v>
      </c>
      <c r="H894">
        <v>696666764</v>
      </c>
      <c r="I894" t="s">
        <v>29</v>
      </c>
      <c r="K894" t="str">
        <f>IF(Table3[[#This Row],[Type Received]]=2,"CC",(IF(Table3[[#This Row],[Type Received]]=3,"BILL","ACH")))</f>
        <v>ACH</v>
      </c>
    </row>
    <row r="895" spans="1:11" x14ac:dyDescent="0.25">
      <c r="A895">
        <v>259551</v>
      </c>
      <c r="B895" s="3">
        <v>46144</v>
      </c>
      <c r="C895">
        <v>1</v>
      </c>
      <c r="D895">
        <v>54.25</v>
      </c>
      <c r="G895" t="s">
        <v>89</v>
      </c>
      <c r="H895">
        <v>535349984</v>
      </c>
      <c r="I895" t="s">
        <v>29</v>
      </c>
      <c r="J895" t="s">
        <v>29</v>
      </c>
      <c r="K895" t="str">
        <f>IF(Table3[[#This Row],[Type Received]]=2,"CC",(IF(Table3[[#This Row],[Type Received]]=3,"BILL","ACH")))</f>
        <v>ACH</v>
      </c>
    </row>
    <row r="896" spans="1:11" x14ac:dyDescent="0.25">
      <c r="A896">
        <v>259549</v>
      </c>
      <c r="B896" s="3">
        <v>46155</v>
      </c>
      <c r="C896">
        <v>2</v>
      </c>
      <c r="D896">
        <v>80.209999999999994</v>
      </c>
      <c r="F896">
        <v>90329</v>
      </c>
      <c r="G896" t="s">
        <v>28</v>
      </c>
      <c r="H896">
        <v>669472331</v>
      </c>
      <c r="I896" t="s">
        <v>29</v>
      </c>
      <c r="J896" t="s">
        <v>29</v>
      </c>
      <c r="K896" t="str">
        <f>IF(Table3[[#This Row],[Type Received]]=2,"CC",(IF(Table3[[#This Row],[Type Received]]=3,"BILL","ACH")))</f>
        <v>CC</v>
      </c>
    </row>
    <row r="897" spans="1:11" x14ac:dyDescent="0.25">
      <c r="A897">
        <v>259570</v>
      </c>
      <c r="B897" s="3">
        <v>46144</v>
      </c>
      <c r="C897">
        <v>2</v>
      </c>
      <c r="D897">
        <v>51.83</v>
      </c>
      <c r="F897">
        <v>160262</v>
      </c>
      <c r="G897" t="s">
        <v>28</v>
      </c>
      <c r="H897">
        <v>535384457</v>
      </c>
      <c r="I897" t="s">
        <v>29</v>
      </c>
      <c r="K897" t="str">
        <f>IF(Table3[[#This Row],[Type Received]]=2,"CC",(IF(Table3[[#This Row],[Type Received]]=3,"BILL","ACH")))</f>
        <v>CC</v>
      </c>
    </row>
    <row r="898" spans="1:11" x14ac:dyDescent="0.25">
      <c r="A898">
        <v>259554</v>
      </c>
      <c r="B898" s="3">
        <v>46157</v>
      </c>
      <c r="C898">
        <v>1</v>
      </c>
      <c r="D898">
        <v>78.34</v>
      </c>
      <c r="G898" t="s">
        <v>87</v>
      </c>
      <c r="H898">
        <v>696682175</v>
      </c>
      <c r="I898" t="s">
        <v>29</v>
      </c>
      <c r="J898" t="s">
        <v>29</v>
      </c>
      <c r="K898" t="str">
        <f>IF(Table3[[#This Row],[Type Received]]=2,"CC",(IF(Table3[[#This Row],[Type Received]]=3,"BILL","ACH")))</f>
        <v>ACH</v>
      </c>
    </row>
    <row r="899" spans="1:11" x14ac:dyDescent="0.25">
      <c r="A899">
        <v>259555</v>
      </c>
      <c r="B899" s="3">
        <v>46157</v>
      </c>
      <c r="C899">
        <v>1</v>
      </c>
      <c r="D899">
        <v>125.2</v>
      </c>
      <c r="G899" t="s">
        <v>87</v>
      </c>
      <c r="H899">
        <v>696682207</v>
      </c>
      <c r="I899" t="s">
        <v>29</v>
      </c>
      <c r="J899" t="s">
        <v>29</v>
      </c>
      <c r="K899" t="str">
        <f>IF(Table3[[#This Row],[Type Received]]=2,"CC",(IF(Table3[[#This Row],[Type Received]]=3,"BILL","ACH")))</f>
        <v>ACH</v>
      </c>
    </row>
    <row r="900" spans="1:11" x14ac:dyDescent="0.25">
      <c r="A900">
        <v>259557</v>
      </c>
      <c r="B900" s="3">
        <v>46157</v>
      </c>
      <c r="C900">
        <v>1</v>
      </c>
      <c r="D900">
        <v>95.5</v>
      </c>
      <c r="G900" t="s">
        <v>87</v>
      </c>
      <c r="H900">
        <v>696661006</v>
      </c>
      <c r="I900" t="s">
        <v>29</v>
      </c>
      <c r="K900" t="str">
        <f>IF(Table3[[#This Row],[Type Received]]=2,"CC",(IF(Table3[[#This Row],[Type Received]]=3,"BILL","ACH")))</f>
        <v>ACH</v>
      </c>
    </row>
    <row r="901" spans="1:11" x14ac:dyDescent="0.25">
      <c r="A901">
        <v>259559</v>
      </c>
      <c r="B901" s="3">
        <v>46168</v>
      </c>
      <c r="C901">
        <v>1</v>
      </c>
      <c r="D901">
        <v>31.15</v>
      </c>
      <c r="G901" t="s">
        <v>110</v>
      </c>
      <c r="H901">
        <v>828231843</v>
      </c>
      <c r="I901" t="s">
        <v>29</v>
      </c>
      <c r="K901" t="str">
        <f>IF(Table3[[#This Row],[Type Received]]=2,"CC",(IF(Table3[[#This Row],[Type Received]]=3,"BILL","ACH")))</f>
        <v>ACH</v>
      </c>
    </row>
    <row r="902" spans="1:11" x14ac:dyDescent="0.25">
      <c r="A902">
        <v>259560</v>
      </c>
      <c r="B902" s="3">
        <v>46168</v>
      </c>
      <c r="C902">
        <v>1</v>
      </c>
      <c r="D902">
        <v>45.45</v>
      </c>
      <c r="G902" t="s">
        <v>110</v>
      </c>
      <c r="H902">
        <v>828247459</v>
      </c>
      <c r="I902" t="s">
        <v>29</v>
      </c>
      <c r="J902" t="s">
        <v>29</v>
      </c>
      <c r="K902" t="str">
        <f>IF(Table3[[#This Row],[Type Received]]=2,"CC",(IF(Table3[[#This Row],[Type Received]]=3,"BILL","ACH")))</f>
        <v>ACH</v>
      </c>
    </row>
    <row r="903" spans="1:11" x14ac:dyDescent="0.25">
      <c r="A903">
        <v>259569</v>
      </c>
      <c r="B903" s="3">
        <v>46160</v>
      </c>
      <c r="C903">
        <v>3</v>
      </c>
      <c r="D903">
        <v>39.97</v>
      </c>
      <c r="E903">
        <v>5137</v>
      </c>
      <c r="J903" t="s">
        <v>29</v>
      </c>
      <c r="K903" t="str">
        <f>IF(Table3[[#This Row],[Type Received]]=2,"CC",(IF(Table3[[#This Row],[Type Received]]=3,"BILL","ACH")))</f>
        <v>BILL</v>
      </c>
    </row>
    <row r="904" spans="1:11" x14ac:dyDescent="0.25">
      <c r="A904">
        <v>259572</v>
      </c>
      <c r="B904" s="3">
        <v>46157</v>
      </c>
      <c r="C904">
        <v>2</v>
      </c>
      <c r="D904">
        <v>59.75</v>
      </c>
      <c r="F904">
        <v>334780</v>
      </c>
      <c r="G904" t="s">
        <v>28</v>
      </c>
      <c r="H904">
        <v>696685195</v>
      </c>
      <c r="I904" t="s">
        <v>29</v>
      </c>
      <c r="J904" t="s">
        <v>29</v>
      </c>
      <c r="K904" t="str">
        <f>IF(Table3[[#This Row],[Type Received]]=2,"CC",(IF(Table3[[#This Row],[Type Received]]=3,"BILL","ACH")))</f>
        <v>CC</v>
      </c>
    </row>
    <row r="905" spans="1:11" x14ac:dyDescent="0.25">
      <c r="A905">
        <v>259571</v>
      </c>
      <c r="B905" s="3">
        <v>46161</v>
      </c>
      <c r="C905">
        <v>2</v>
      </c>
      <c r="D905">
        <v>167.13</v>
      </c>
      <c r="F905">
        <v>35924</v>
      </c>
      <c r="G905" t="s">
        <v>28</v>
      </c>
      <c r="H905">
        <v>748734190</v>
      </c>
      <c r="I905" t="s">
        <v>29</v>
      </c>
      <c r="J905" t="s">
        <v>29</v>
      </c>
      <c r="K905" t="str">
        <f>IF(Table3[[#This Row],[Type Received]]=2,"CC",(IF(Table3[[#This Row],[Type Received]]=3,"BILL","ACH")))</f>
        <v>CC</v>
      </c>
    </row>
    <row r="906" spans="1:11" x14ac:dyDescent="0.25">
      <c r="A906">
        <v>259576</v>
      </c>
      <c r="B906" s="3">
        <v>46147</v>
      </c>
      <c r="C906">
        <v>3</v>
      </c>
      <c r="D906">
        <v>118.95</v>
      </c>
      <c r="E906">
        <v>1081</v>
      </c>
      <c r="J906" t="s">
        <v>29</v>
      </c>
      <c r="K906" t="str">
        <f>IF(Table3[[#This Row],[Type Received]]=2,"CC",(IF(Table3[[#This Row],[Type Received]]=3,"BILL","ACH")))</f>
        <v>BILL</v>
      </c>
    </row>
    <row r="907" spans="1:11" x14ac:dyDescent="0.25">
      <c r="A907">
        <v>259586</v>
      </c>
      <c r="B907" s="3">
        <v>46157</v>
      </c>
      <c r="C907">
        <v>1</v>
      </c>
      <c r="D907">
        <v>67.45</v>
      </c>
      <c r="G907" t="s">
        <v>87</v>
      </c>
      <c r="H907">
        <v>696660030</v>
      </c>
      <c r="I907" t="s">
        <v>29</v>
      </c>
      <c r="J907" t="s">
        <v>29</v>
      </c>
      <c r="K907" t="str">
        <f>IF(Table3[[#This Row],[Type Received]]=2,"CC",(IF(Table3[[#This Row],[Type Received]]=3,"BILL","ACH")))</f>
        <v>ACH</v>
      </c>
    </row>
    <row r="908" spans="1:11" x14ac:dyDescent="0.25">
      <c r="A908">
        <v>259575</v>
      </c>
      <c r="B908" s="3">
        <v>46144</v>
      </c>
      <c r="C908">
        <v>1</v>
      </c>
      <c r="D908">
        <v>32.799999999999997</v>
      </c>
      <c r="G908" s="4" t="s">
        <v>89</v>
      </c>
      <c r="H908">
        <v>535352977</v>
      </c>
      <c r="I908" t="s">
        <v>29</v>
      </c>
      <c r="J908" t="s">
        <v>29</v>
      </c>
      <c r="K908" t="str">
        <f>IF(Table3[[#This Row],[Type Received]]=2,"CC",(IF(Table3[[#This Row],[Type Received]]=3,"BILL","ACH")))</f>
        <v>ACH</v>
      </c>
    </row>
    <row r="909" spans="1:11" x14ac:dyDescent="0.25">
      <c r="A909">
        <v>259582</v>
      </c>
      <c r="B909" s="3">
        <v>46157</v>
      </c>
      <c r="C909">
        <v>1</v>
      </c>
      <c r="D909">
        <v>67.67</v>
      </c>
      <c r="G909" t="s">
        <v>87</v>
      </c>
      <c r="H909">
        <v>696661950</v>
      </c>
      <c r="I909" t="s">
        <v>29</v>
      </c>
      <c r="J909" t="s">
        <v>29</v>
      </c>
      <c r="K909" t="str">
        <f>IF(Table3[[#This Row],[Type Received]]=2,"CC",(IF(Table3[[#This Row],[Type Received]]=3,"BILL","ACH")))</f>
        <v>ACH</v>
      </c>
    </row>
    <row r="910" spans="1:11" x14ac:dyDescent="0.25">
      <c r="A910">
        <v>259595</v>
      </c>
      <c r="B910" s="3">
        <v>46155</v>
      </c>
      <c r="C910">
        <v>2</v>
      </c>
      <c r="D910">
        <v>66.459999999999994</v>
      </c>
      <c r="F910">
        <v>925176</v>
      </c>
      <c r="G910" t="s">
        <v>28</v>
      </c>
      <c r="H910">
        <v>669454851</v>
      </c>
      <c r="I910" t="s">
        <v>29</v>
      </c>
      <c r="J910" t="s">
        <v>29</v>
      </c>
      <c r="K910" t="str">
        <f>IF(Table3[[#This Row],[Type Received]]=2,"CC",(IF(Table3[[#This Row],[Type Received]]=3,"BILL","ACH")))</f>
        <v>CC</v>
      </c>
    </row>
    <row r="911" spans="1:11" x14ac:dyDescent="0.25">
      <c r="A911">
        <v>259599</v>
      </c>
      <c r="B911" s="3">
        <v>46144</v>
      </c>
      <c r="C911">
        <v>2</v>
      </c>
      <c r="D911">
        <v>47.21</v>
      </c>
      <c r="F911" t="s">
        <v>168</v>
      </c>
      <c r="G911" t="s">
        <v>28</v>
      </c>
      <c r="H911">
        <v>535356867</v>
      </c>
      <c r="I911" t="s">
        <v>29</v>
      </c>
      <c r="J911" t="s">
        <v>29</v>
      </c>
      <c r="K911" t="str">
        <f>IF(Table3[[#This Row],[Type Received]]=2,"CC",(IF(Table3[[#This Row],[Type Received]]=3,"BILL","ACH")))</f>
        <v>CC</v>
      </c>
    </row>
    <row r="912" spans="1:11" x14ac:dyDescent="0.25">
      <c r="A912">
        <v>259589</v>
      </c>
      <c r="B912" s="3">
        <v>46170</v>
      </c>
      <c r="C912">
        <v>3</v>
      </c>
      <c r="D912">
        <v>40.630000000000003</v>
      </c>
      <c r="E912">
        <v>8597</v>
      </c>
      <c r="J912" t="s">
        <v>29</v>
      </c>
      <c r="K912" t="str">
        <f>IF(Table3[[#This Row],[Type Received]]=2,"CC",(IF(Table3[[#This Row],[Type Received]]=3,"BILL","ACH")))</f>
        <v>BILL</v>
      </c>
    </row>
    <row r="913" spans="1:11" x14ac:dyDescent="0.25">
      <c r="A913">
        <v>259581</v>
      </c>
      <c r="B913" s="3">
        <v>46168</v>
      </c>
      <c r="C913">
        <v>3</v>
      </c>
      <c r="D913">
        <v>107.35</v>
      </c>
      <c r="E913">
        <v>254</v>
      </c>
      <c r="J913" t="s">
        <v>29</v>
      </c>
      <c r="K913" t="str">
        <f>IF(Table3[[#This Row],[Type Received]]=2,"CC",(IF(Table3[[#This Row],[Type Received]]=3,"BILL","ACH")))</f>
        <v>BILL</v>
      </c>
    </row>
    <row r="914" spans="1:11" x14ac:dyDescent="0.25">
      <c r="A914">
        <v>259600</v>
      </c>
      <c r="B914" s="3">
        <v>46168</v>
      </c>
      <c r="C914">
        <v>1</v>
      </c>
      <c r="D914">
        <v>83.51</v>
      </c>
      <c r="G914" t="s">
        <v>110</v>
      </c>
      <c r="H914">
        <v>828228043</v>
      </c>
      <c r="I914" t="s">
        <v>29</v>
      </c>
      <c r="J914" t="s">
        <v>29</v>
      </c>
      <c r="K914" t="str">
        <f>IF(Table3[[#This Row],[Type Received]]=2,"CC",(IF(Table3[[#This Row],[Type Received]]=3,"BILL","ACH")))</f>
        <v>ACH</v>
      </c>
    </row>
    <row r="915" spans="1:11" x14ac:dyDescent="0.25">
      <c r="A915">
        <v>259579</v>
      </c>
      <c r="B915" s="3">
        <v>46157</v>
      </c>
      <c r="C915">
        <v>2</v>
      </c>
      <c r="D915">
        <v>83.95</v>
      </c>
      <c r="F915">
        <v>437546</v>
      </c>
      <c r="G915" t="s">
        <v>28</v>
      </c>
      <c r="H915">
        <v>696680338</v>
      </c>
      <c r="I915" t="s">
        <v>29</v>
      </c>
      <c r="J915" t="s">
        <v>29</v>
      </c>
      <c r="K915" t="str">
        <f>IF(Table3[[#This Row],[Type Received]]=2,"CC",(IF(Table3[[#This Row],[Type Received]]=3,"BILL","ACH")))</f>
        <v>CC</v>
      </c>
    </row>
    <row r="916" spans="1:11" x14ac:dyDescent="0.25">
      <c r="A916">
        <v>259629</v>
      </c>
      <c r="B916" s="3">
        <v>46144</v>
      </c>
      <c r="C916">
        <v>1</v>
      </c>
      <c r="D916">
        <v>34.229999999999997</v>
      </c>
      <c r="G916" t="s">
        <v>89</v>
      </c>
      <c r="H916">
        <v>535348097</v>
      </c>
      <c r="I916" t="s">
        <v>29</v>
      </c>
      <c r="J916" t="s">
        <v>29</v>
      </c>
      <c r="K916" t="str">
        <f>IF(Table3[[#This Row],[Type Received]]=2,"CC",(IF(Table3[[#This Row],[Type Received]]=3,"BILL","ACH")))</f>
        <v>ACH</v>
      </c>
    </row>
    <row r="917" spans="1:11" x14ac:dyDescent="0.25">
      <c r="A917">
        <v>259632</v>
      </c>
      <c r="B917" s="3">
        <v>46161</v>
      </c>
      <c r="C917">
        <v>2</v>
      </c>
      <c r="D917">
        <v>69.12</v>
      </c>
      <c r="F917" t="s">
        <v>169</v>
      </c>
      <c r="G917">
        <v>746805329</v>
      </c>
      <c r="H917">
        <v>355097119</v>
      </c>
      <c r="J917" t="s">
        <v>29</v>
      </c>
      <c r="K917" t="str">
        <f>IF(Table3[[#This Row],[Type Received]]=2,"CC",(IF(Table3[[#This Row],[Type Received]]=3,"BILL","ACH")))</f>
        <v>CC</v>
      </c>
    </row>
    <row r="918" spans="1:11" x14ac:dyDescent="0.25">
      <c r="A918">
        <v>259610</v>
      </c>
      <c r="B918" s="3">
        <v>46147</v>
      </c>
      <c r="C918">
        <v>2</v>
      </c>
      <c r="D918">
        <v>123.22</v>
      </c>
      <c r="F918">
        <v>113135</v>
      </c>
      <c r="G918" t="s">
        <v>28</v>
      </c>
      <c r="H918">
        <v>569466016</v>
      </c>
      <c r="I918" t="s">
        <v>29</v>
      </c>
      <c r="K918" t="str">
        <f>IF(Table3[[#This Row],[Type Received]]=2,"CC",(IF(Table3[[#This Row],[Type Received]]=3,"BILL","ACH")))</f>
        <v>CC</v>
      </c>
    </row>
    <row r="919" spans="1:11" x14ac:dyDescent="0.25">
      <c r="A919">
        <v>259626</v>
      </c>
      <c r="B919" s="3">
        <v>46144</v>
      </c>
      <c r="C919">
        <v>1</v>
      </c>
      <c r="D919">
        <v>60.85</v>
      </c>
      <c r="G919" s="4" t="s">
        <v>89</v>
      </c>
      <c r="H919">
        <v>535352083</v>
      </c>
      <c r="I919" t="s">
        <v>29</v>
      </c>
      <c r="J919" t="s">
        <v>29</v>
      </c>
      <c r="K919" t="str">
        <f>IF(Table3[[#This Row],[Type Received]]=2,"CC",(IF(Table3[[#This Row],[Type Received]]=3,"BILL","ACH")))</f>
        <v>ACH</v>
      </c>
    </row>
    <row r="920" spans="1:11" x14ac:dyDescent="0.25">
      <c r="A920">
        <v>259628</v>
      </c>
      <c r="B920" s="3">
        <v>46168</v>
      </c>
      <c r="C920">
        <v>2</v>
      </c>
      <c r="D920">
        <v>67.45</v>
      </c>
      <c r="F920">
        <v>413909</v>
      </c>
      <c r="G920" s="4" t="s">
        <v>28</v>
      </c>
      <c r="H920">
        <v>828230038</v>
      </c>
      <c r="I920" t="s">
        <v>29</v>
      </c>
      <c r="J920" t="s">
        <v>29</v>
      </c>
      <c r="K920" t="str">
        <f>IF(Table3[[#This Row],[Type Received]]=2,"CC",(IF(Table3[[#This Row],[Type Received]]=3,"BILL","ACH")))</f>
        <v>CC</v>
      </c>
    </row>
    <row r="921" spans="1:11" x14ac:dyDescent="0.25">
      <c r="A921">
        <v>259623</v>
      </c>
      <c r="B921" s="3">
        <v>46168</v>
      </c>
      <c r="C921">
        <v>1</v>
      </c>
      <c r="D921">
        <v>132.13</v>
      </c>
      <c r="G921" t="s">
        <v>110</v>
      </c>
      <c r="H921">
        <v>828247603</v>
      </c>
      <c r="I921" t="s">
        <v>29</v>
      </c>
      <c r="J921" t="s">
        <v>29</v>
      </c>
      <c r="K921" t="str">
        <f>IF(Table3[[#This Row],[Type Received]]=2,"CC",(IF(Table3[[#This Row],[Type Received]]=3,"BILL","ACH")))</f>
        <v>ACH</v>
      </c>
    </row>
    <row r="922" spans="1:11" x14ac:dyDescent="0.25">
      <c r="A922">
        <v>259612</v>
      </c>
      <c r="B922" s="3">
        <v>46168</v>
      </c>
      <c r="C922">
        <v>1</v>
      </c>
      <c r="D922">
        <v>54.03</v>
      </c>
      <c r="G922" t="s">
        <v>110</v>
      </c>
      <c r="H922">
        <v>828244679</v>
      </c>
      <c r="I922" t="s">
        <v>29</v>
      </c>
      <c r="J922" t="s">
        <v>29</v>
      </c>
      <c r="K922" t="str">
        <f>IF(Table3[[#This Row],[Type Received]]=2,"CC",(IF(Table3[[#This Row],[Type Received]]=3,"BILL","ACH")))</f>
        <v>ACH</v>
      </c>
    </row>
    <row r="923" spans="1:11" x14ac:dyDescent="0.25">
      <c r="A923">
        <v>259616</v>
      </c>
      <c r="B923" s="3">
        <v>46168</v>
      </c>
      <c r="C923">
        <v>1</v>
      </c>
      <c r="D923">
        <v>71.41</v>
      </c>
      <c r="G923" t="s">
        <v>110</v>
      </c>
      <c r="H923">
        <v>828235940</v>
      </c>
      <c r="I923" t="s">
        <v>29</v>
      </c>
      <c r="K923" t="str">
        <f>IF(Table3[[#This Row],[Type Received]]=2,"CC",(IF(Table3[[#This Row],[Type Received]]=3,"BILL","ACH")))</f>
        <v>ACH</v>
      </c>
    </row>
    <row r="924" spans="1:11" x14ac:dyDescent="0.25">
      <c r="A924">
        <v>259624</v>
      </c>
      <c r="B924" s="3">
        <v>46155</v>
      </c>
      <c r="C924">
        <v>2</v>
      </c>
      <c r="D924">
        <v>45.67</v>
      </c>
      <c r="F924" t="s">
        <v>170</v>
      </c>
      <c r="G924" t="s">
        <v>28</v>
      </c>
      <c r="H924">
        <v>669463665</v>
      </c>
      <c r="I924" t="s">
        <v>29</v>
      </c>
      <c r="J924" t="s">
        <v>29</v>
      </c>
      <c r="K924" t="str">
        <f>IF(Table3[[#This Row],[Type Received]]=2,"CC",(IF(Table3[[#This Row],[Type Received]]=3,"BILL","ACH")))</f>
        <v>CC</v>
      </c>
    </row>
    <row r="925" spans="1:11" x14ac:dyDescent="0.25">
      <c r="A925">
        <v>259625</v>
      </c>
      <c r="B925" s="3">
        <v>46143</v>
      </c>
      <c r="C925">
        <v>2</v>
      </c>
      <c r="D925">
        <v>49.32</v>
      </c>
      <c r="F925">
        <v>243593</v>
      </c>
      <c r="G925">
        <v>741374152</v>
      </c>
      <c r="H925">
        <v>353136937</v>
      </c>
      <c r="J925" t="s">
        <v>29</v>
      </c>
      <c r="K925" t="str">
        <f>IF(Table3[[#This Row],[Type Received]]=2,"CC",(IF(Table3[[#This Row],[Type Received]]=3,"BILL","ACH")))</f>
        <v>CC</v>
      </c>
    </row>
    <row r="926" spans="1:11" x14ac:dyDescent="0.25">
      <c r="A926">
        <v>259637</v>
      </c>
      <c r="B926" s="3">
        <v>46155</v>
      </c>
      <c r="C926">
        <v>2</v>
      </c>
      <c r="D926">
        <v>60.19</v>
      </c>
      <c r="F926" t="s">
        <v>171</v>
      </c>
      <c r="G926" t="s">
        <v>28</v>
      </c>
      <c r="H926">
        <v>669449977</v>
      </c>
      <c r="I926" t="s">
        <v>29</v>
      </c>
      <c r="J926" t="s">
        <v>29</v>
      </c>
      <c r="K926" t="str">
        <f>IF(Table3[[#This Row],[Type Received]]=2,"CC",(IF(Table3[[#This Row],[Type Received]]=3,"BILL","ACH")))</f>
        <v>CC</v>
      </c>
    </row>
    <row r="927" spans="1:11" x14ac:dyDescent="0.25">
      <c r="A927">
        <v>259645</v>
      </c>
      <c r="B927" s="3">
        <v>46145</v>
      </c>
      <c r="C927">
        <v>1</v>
      </c>
      <c r="D927">
        <v>46</v>
      </c>
      <c r="G927" t="s">
        <v>113</v>
      </c>
      <c r="H927">
        <v>546427108</v>
      </c>
      <c r="I927" t="s">
        <v>29</v>
      </c>
      <c r="J927" t="s">
        <v>29</v>
      </c>
      <c r="K927" t="str">
        <f>IF(Table3[[#This Row],[Type Received]]=2,"CC",(IF(Table3[[#This Row],[Type Received]]=3,"BILL","ACH")))</f>
        <v>ACH</v>
      </c>
    </row>
    <row r="928" spans="1:11" x14ac:dyDescent="0.25">
      <c r="A928">
        <v>259654</v>
      </c>
      <c r="B928" s="3">
        <v>46147</v>
      </c>
      <c r="C928">
        <v>3</v>
      </c>
      <c r="D928">
        <v>44.04</v>
      </c>
      <c r="E928">
        <v>997410</v>
      </c>
      <c r="J928" t="s">
        <v>29</v>
      </c>
      <c r="K928" t="str">
        <f>IF(Table3[[#This Row],[Type Received]]=2,"CC",(IF(Table3[[#This Row],[Type Received]]=3,"BILL","ACH")))</f>
        <v>BILL</v>
      </c>
    </row>
    <row r="929" spans="1:11" x14ac:dyDescent="0.25">
      <c r="A929">
        <v>259640</v>
      </c>
      <c r="B929" s="3">
        <v>46155</v>
      </c>
      <c r="C929">
        <v>2</v>
      </c>
      <c r="D929">
        <v>50.73</v>
      </c>
      <c r="F929" t="s">
        <v>172</v>
      </c>
      <c r="G929" t="s">
        <v>28</v>
      </c>
      <c r="H929">
        <v>669449042</v>
      </c>
      <c r="I929" t="s">
        <v>29</v>
      </c>
      <c r="K929" t="str">
        <f>IF(Table3[[#This Row],[Type Received]]=2,"CC",(IF(Table3[[#This Row],[Type Received]]=3,"BILL","ACH")))</f>
        <v>CC</v>
      </c>
    </row>
    <row r="930" spans="1:11" x14ac:dyDescent="0.25">
      <c r="A930">
        <v>259639</v>
      </c>
      <c r="B930" s="3">
        <v>46155</v>
      </c>
      <c r="C930">
        <v>2</v>
      </c>
      <c r="D930">
        <v>38.630000000000003</v>
      </c>
      <c r="F930" t="s">
        <v>173</v>
      </c>
      <c r="G930" s="4" t="s">
        <v>28</v>
      </c>
      <c r="H930">
        <v>669452899</v>
      </c>
      <c r="I930" t="s">
        <v>29</v>
      </c>
      <c r="J930" t="s">
        <v>29</v>
      </c>
      <c r="K930" t="str">
        <f>IF(Table3[[#This Row],[Type Received]]=2,"CC",(IF(Table3[[#This Row],[Type Received]]=3,"BILL","ACH")))</f>
        <v>CC</v>
      </c>
    </row>
    <row r="931" spans="1:11" x14ac:dyDescent="0.25">
      <c r="A931">
        <v>259648</v>
      </c>
      <c r="B931" s="3">
        <v>46167</v>
      </c>
      <c r="C931">
        <v>1</v>
      </c>
      <c r="D931">
        <v>79</v>
      </c>
      <c r="G931" t="s">
        <v>85</v>
      </c>
      <c r="H931">
        <v>818330830</v>
      </c>
      <c r="I931" t="s">
        <v>29</v>
      </c>
      <c r="J931" t="s">
        <v>29</v>
      </c>
      <c r="K931" t="str">
        <f>IF(Table3[[#This Row],[Type Received]]=2,"CC",(IF(Table3[[#This Row],[Type Received]]=3,"BILL","ACH")))</f>
        <v>ACH</v>
      </c>
    </row>
    <row r="932" spans="1:11" x14ac:dyDescent="0.25">
      <c r="A932">
        <v>259646</v>
      </c>
      <c r="B932" s="3">
        <v>46145</v>
      </c>
      <c r="C932">
        <v>1</v>
      </c>
      <c r="D932">
        <v>110.35</v>
      </c>
      <c r="G932" s="4" t="s">
        <v>113</v>
      </c>
      <c r="H932">
        <v>546421410</v>
      </c>
      <c r="I932" t="s">
        <v>29</v>
      </c>
      <c r="J932" t="s">
        <v>29</v>
      </c>
      <c r="K932" t="str">
        <f>IF(Table3[[#This Row],[Type Received]]=2,"CC",(IF(Table3[[#This Row],[Type Received]]=3,"BILL","ACH")))</f>
        <v>ACH</v>
      </c>
    </row>
    <row r="933" spans="1:11" x14ac:dyDescent="0.25">
      <c r="A933">
        <v>259643</v>
      </c>
      <c r="B933" s="3">
        <v>46145</v>
      </c>
      <c r="C933">
        <v>1</v>
      </c>
      <c r="D933">
        <v>120.58</v>
      </c>
      <c r="G933" t="s">
        <v>113</v>
      </c>
      <c r="H933">
        <v>546407827</v>
      </c>
      <c r="I933" t="s">
        <v>29</v>
      </c>
      <c r="J933" t="s">
        <v>29</v>
      </c>
      <c r="K933" t="str">
        <f>IF(Table3[[#This Row],[Type Received]]=2,"CC",(IF(Table3[[#This Row],[Type Received]]=3,"BILL","ACH")))</f>
        <v>ACH</v>
      </c>
    </row>
    <row r="934" spans="1:11" x14ac:dyDescent="0.25">
      <c r="A934">
        <v>259644</v>
      </c>
      <c r="B934" s="3">
        <v>46145</v>
      </c>
      <c r="C934">
        <v>1</v>
      </c>
      <c r="D934">
        <v>71.08</v>
      </c>
      <c r="G934" t="s">
        <v>113</v>
      </c>
      <c r="H934">
        <v>546401956</v>
      </c>
      <c r="I934" t="s">
        <v>29</v>
      </c>
      <c r="K934" t="str">
        <f>IF(Table3[[#This Row],[Type Received]]=2,"CC",(IF(Table3[[#This Row],[Type Received]]=3,"BILL","ACH")))</f>
        <v>ACH</v>
      </c>
    </row>
    <row r="935" spans="1:11" x14ac:dyDescent="0.25">
      <c r="A935">
        <v>259660</v>
      </c>
      <c r="B935" s="3">
        <v>46145</v>
      </c>
      <c r="C935">
        <v>2</v>
      </c>
      <c r="D935">
        <v>89.01</v>
      </c>
      <c r="F935">
        <v>269924</v>
      </c>
      <c r="G935" t="s">
        <v>28</v>
      </c>
      <c r="H935">
        <v>546424293</v>
      </c>
      <c r="I935" t="s">
        <v>29</v>
      </c>
      <c r="K935" t="str">
        <f>IF(Table3[[#This Row],[Type Received]]=2,"CC",(IF(Table3[[#This Row],[Type Received]]=3,"BILL","ACH")))</f>
        <v>CC</v>
      </c>
    </row>
    <row r="936" spans="1:11" x14ac:dyDescent="0.25">
      <c r="A936">
        <v>259661</v>
      </c>
      <c r="B936" s="3">
        <v>46155</v>
      </c>
      <c r="C936">
        <v>2</v>
      </c>
      <c r="D936">
        <v>94.07</v>
      </c>
      <c r="F936" t="s">
        <v>174</v>
      </c>
      <c r="G936" s="4" t="s">
        <v>28</v>
      </c>
      <c r="H936">
        <v>669462687</v>
      </c>
      <c r="I936" t="s">
        <v>29</v>
      </c>
      <c r="J936" t="s">
        <v>29</v>
      </c>
      <c r="K936" t="str">
        <f>IF(Table3[[#This Row],[Type Received]]=2,"CC",(IF(Table3[[#This Row],[Type Received]]=3,"BILL","ACH")))</f>
        <v>CC</v>
      </c>
    </row>
    <row r="937" spans="1:11" x14ac:dyDescent="0.25">
      <c r="A937">
        <v>259662</v>
      </c>
      <c r="B937" s="3">
        <v>46145</v>
      </c>
      <c r="C937">
        <v>1</v>
      </c>
      <c r="D937">
        <v>80.319999999999993</v>
      </c>
      <c r="G937" s="4" t="s">
        <v>113</v>
      </c>
      <c r="H937">
        <v>546401962</v>
      </c>
      <c r="I937" t="s">
        <v>29</v>
      </c>
      <c r="K937" t="str">
        <f>IF(Table3[[#This Row],[Type Received]]=2,"CC",(IF(Table3[[#This Row],[Type Received]]=3,"BILL","ACH")))</f>
        <v>ACH</v>
      </c>
    </row>
    <row r="938" spans="1:11" x14ac:dyDescent="0.25">
      <c r="A938">
        <v>259672</v>
      </c>
      <c r="B938" s="3">
        <v>46145</v>
      </c>
      <c r="C938">
        <v>1</v>
      </c>
      <c r="D938">
        <v>62.61</v>
      </c>
      <c r="G938" t="s">
        <v>113</v>
      </c>
      <c r="H938">
        <v>546411752</v>
      </c>
      <c r="I938" t="s">
        <v>29</v>
      </c>
      <c r="J938" t="s">
        <v>29</v>
      </c>
      <c r="K938" t="str">
        <f>IF(Table3[[#This Row],[Type Received]]=2,"CC",(IF(Table3[[#This Row],[Type Received]]=3,"BILL","ACH")))</f>
        <v>ACH</v>
      </c>
    </row>
    <row r="939" spans="1:11" x14ac:dyDescent="0.25">
      <c r="A939">
        <v>259683</v>
      </c>
      <c r="B939" s="3">
        <v>46145</v>
      </c>
      <c r="C939">
        <v>1</v>
      </c>
      <c r="D939">
        <v>65.03</v>
      </c>
      <c r="G939" t="s">
        <v>113</v>
      </c>
      <c r="H939">
        <v>546423394</v>
      </c>
      <c r="I939" t="s">
        <v>29</v>
      </c>
      <c r="J939" t="s">
        <v>29</v>
      </c>
      <c r="K939" t="str">
        <f>IF(Table3[[#This Row],[Type Received]]=2,"CC",(IF(Table3[[#This Row],[Type Received]]=3,"BILL","ACH")))</f>
        <v>ACH</v>
      </c>
    </row>
    <row r="940" spans="1:11" x14ac:dyDescent="0.25">
      <c r="A940">
        <v>259665</v>
      </c>
      <c r="B940" s="3">
        <v>46155</v>
      </c>
      <c r="C940">
        <v>2</v>
      </c>
      <c r="D940">
        <v>115.96</v>
      </c>
      <c r="F940">
        <v>13360</v>
      </c>
      <c r="G940" t="s">
        <v>28</v>
      </c>
      <c r="H940">
        <v>669473899</v>
      </c>
      <c r="I940" t="s">
        <v>29</v>
      </c>
      <c r="J940" t="s">
        <v>29</v>
      </c>
      <c r="K940" t="str">
        <f>IF(Table3[[#This Row],[Type Received]]=2,"CC",(IF(Table3[[#This Row],[Type Received]]=3,"BILL","ACH")))</f>
        <v>CC</v>
      </c>
    </row>
    <row r="941" spans="1:11" x14ac:dyDescent="0.25">
      <c r="A941">
        <v>259676</v>
      </c>
      <c r="B941" s="3">
        <v>46167</v>
      </c>
      <c r="C941">
        <v>1</v>
      </c>
      <c r="D941">
        <v>65.8</v>
      </c>
      <c r="G941" s="4" t="s">
        <v>85</v>
      </c>
      <c r="H941">
        <v>818329864</v>
      </c>
      <c r="I941" t="s">
        <v>29</v>
      </c>
      <c r="J941" t="s">
        <v>29</v>
      </c>
      <c r="K941" t="str">
        <f>IF(Table3[[#This Row],[Type Received]]=2,"CC",(IF(Table3[[#This Row],[Type Received]]=3,"BILL","ACH")))</f>
        <v>ACH</v>
      </c>
    </row>
    <row r="942" spans="1:11" x14ac:dyDescent="0.25">
      <c r="A942">
        <v>259690</v>
      </c>
      <c r="B942" s="3">
        <v>46155</v>
      </c>
      <c r="C942">
        <v>2</v>
      </c>
      <c r="D942">
        <v>72.73</v>
      </c>
      <c r="F942">
        <v>90232</v>
      </c>
      <c r="G942" t="s">
        <v>28</v>
      </c>
      <c r="H942">
        <v>669452912</v>
      </c>
      <c r="I942" t="s">
        <v>29</v>
      </c>
      <c r="J942" t="s">
        <v>29</v>
      </c>
      <c r="K942" t="str">
        <f>IF(Table3[[#This Row],[Type Received]]=2,"CC",(IF(Table3[[#This Row],[Type Received]]=3,"BILL","ACH")))</f>
        <v>CC</v>
      </c>
    </row>
    <row r="943" spans="1:11" x14ac:dyDescent="0.25">
      <c r="A943">
        <v>259696</v>
      </c>
      <c r="B943" s="3">
        <v>46157</v>
      </c>
      <c r="C943">
        <v>1</v>
      </c>
      <c r="D943">
        <v>124.54</v>
      </c>
      <c r="G943" t="s">
        <v>87</v>
      </c>
      <c r="H943">
        <v>696658100</v>
      </c>
      <c r="I943" t="s">
        <v>29</v>
      </c>
      <c r="J943" t="s">
        <v>29</v>
      </c>
      <c r="K943" t="str">
        <f>IF(Table3[[#This Row],[Type Received]]=2,"CC",(IF(Table3[[#This Row],[Type Received]]=3,"BILL","ACH")))</f>
        <v>ACH</v>
      </c>
    </row>
    <row r="944" spans="1:11" x14ac:dyDescent="0.25">
      <c r="A944">
        <v>259705</v>
      </c>
      <c r="B944" s="3">
        <v>46145</v>
      </c>
      <c r="C944">
        <v>1</v>
      </c>
      <c r="D944">
        <v>113.98</v>
      </c>
      <c r="G944" t="s">
        <v>113</v>
      </c>
      <c r="H944">
        <v>546424355</v>
      </c>
      <c r="I944" t="s">
        <v>29</v>
      </c>
      <c r="J944" t="s">
        <v>29</v>
      </c>
      <c r="K944" t="str">
        <f>IF(Table3[[#This Row],[Type Received]]=2,"CC",(IF(Table3[[#This Row],[Type Received]]=3,"BILL","ACH")))</f>
        <v>ACH</v>
      </c>
    </row>
    <row r="945" spans="1:11" x14ac:dyDescent="0.25">
      <c r="A945">
        <v>259691</v>
      </c>
      <c r="B945" s="3">
        <v>46155</v>
      </c>
      <c r="C945">
        <v>2</v>
      </c>
      <c r="D945">
        <v>96.16</v>
      </c>
      <c r="F945">
        <v>515013</v>
      </c>
      <c r="G945" t="s">
        <v>28</v>
      </c>
      <c r="H945">
        <v>669471422</v>
      </c>
      <c r="I945" t="s">
        <v>29</v>
      </c>
      <c r="J945" t="s">
        <v>29</v>
      </c>
      <c r="K945" t="str">
        <f>IF(Table3[[#This Row],[Type Received]]=2,"CC",(IF(Table3[[#This Row],[Type Received]]=3,"BILL","ACH")))</f>
        <v>CC</v>
      </c>
    </row>
    <row r="946" spans="1:11" x14ac:dyDescent="0.25">
      <c r="A946">
        <v>259699</v>
      </c>
      <c r="B946" s="3">
        <v>46167</v>
      </c>
      <c r="C946">
        <v>1</v>
      </c>
      <c r="D946">
        <v>121.57</v>
      </c>
      <c r="G946" s="4" t="s">
        <v>85</v>
      </c>
      <c r="H946">
        <v>818328834</v>
      </c>
      <c r="I946" t="s">
        <v>29</v>
      </c>
      <c r="K946" t="str">
        <f>IF(Table3[[#This Row],[Type Received]]=2,"CC",(IF(Table3[[#This Row],[Type Received]]=3,"BILL","ACH")))</f>
        <v>ACH</v>
      </c>
    </row>
    <row r="947" spans="1:11" x14ac:dyDescent="0.25">
      <c r="A947">
        <v>259712</v>
      </c>
      <c r="B947" s="3">
        <v>46160</v>
      </c>
      <c r="C947">
        <v>3</v>
      </c>
      <c r="D947">
        <v>67.91</v>
      </c>
      <c r="E947">
        <v>77488577</v>
      </c>
      <c r="J947" t="s">
        <v>29</v>
      </c>
      <c r="K947" t="str">
        <f>IF(Table3[[#This Row],[Type Received]]=2,"CC",(IF(Table3[[#This Row],[Type Received]]=3,"BILL","ACH")))</f>
        <v>BILL</v>
      </c>
    </row>
    <row r="948" spans="1:11" x14ac:dyDescent="0.25">
      <c r="A948">
        <v>259694</v>
      </c>
      <c r="B948" s="3">
        <v>46145</v>
      </c>
      <c r="C948">
        <v>1</v>
      </c>
      <c r="D948">
        <v>67.67</v>
      </c>
      <c r="G948" s="4" t="s">
        <v>113</v>
      </c>
      <c r="H948">
        <v>546407879</v>
      </c>
      <c r="I948" t="s">
        <v>29</v>
      </c>
      <c r="K948" t="str">
        <f>IF(Table3[[#This Row],[Type Received]]=2,"CC",(IF(Table3[[#This Row],[Type Received]]=3,"BILL","ACH")))</f>
        <v>ACH</v>
      </c>
    </row>
    <row r="949" spans="1:11" x14ac:dyDescent="0.25">
      <c r="A949">
        <v>259700</v>
      </c>
      <c r="B949" s="3">
        <v>46167</v>
      </c>
      <c r="C949">
        <v>1</v>
      </c>
      <c r="D949">
        <v>116.95</v>
      </c>
      <c r="G949" t="s">
        <v>85</v>
      </c>
      <c r="H949">
        <v>818333867</v>
      </c>
      <c r="I949" t="s">
        <v>29</v>
      </c>
      <c r="J949" t="s">
        <v>29</v>
      </c>
      <c r="K949" t="str">
        <f>IF(Table3[[#This Row],[Type Received]]=2,"CC",(IF(Table3[[#This Row],[Type Received]]=3,"BILL","ACH")))</f>
        <v>ACH</v>
      </c>
    </row>
    <row r="950" spans="1:11" x14ac:dyDescent="0.25">
      <c r="A950">
        <v>259702</v>
      </c>
      <c r="B950" s="3">
        <v>46146</v>
      </c>
      <c r="C950">
        <v>3</v>
      </c>
      <c r="D950">
        <v>345.8</v>
      </c>
      <c r="E950">
        <v>193</v>
      </c>
      <c r="J950" t="s">
        <v>29</v>
      </c>
      <c r="K950" t="str">
        <f>IF(Table3[[#This Row],[Type Received]]=2,"CC",(IF(Table3[[#This Row],[Type Received]]=3,"BILL","ACH")))</f>
        <v>BILL</v>
      </c>
    </row>
    <row r="951" spans="1:11" x14ac:dyDescent="0.25">
      <c r="A951">
        <v>259717</v>
      </c>
      <c r="B951" s="3">
        <v>46169</v>
      </c>
      <c r="C951">
        <v>3</v>
      </c>
      <c r="D951">
        <v>74.73</v>
      </c>
      <c r="E951">
        <v>8329</v>
      </c>
      <c r="G951" s="4"/>
      <c r="J951" t="s">
        <v>29</v>
      </c>
      <c r="K951" t="str">
        <f>IF(Table3[[#This Row],[Type Received]]=2,"CC",(IF(Table3[[#This Row],[Type Received]]=3,"BILL","ACH")))</f>
        <v>BILL</v>
      </c>
    </row>
    <row r="952" spans="1:11" x14ac:dyDescent="0.25">
      <c r="A952">
        <v>259701</v>
      </c>
      <c r="B952" s="3">
        <v>46167</v>
      </c>
      <c r="C952">
        <v>1</v>
      </c>
      <c r="D952">
        <v>166.45</v>
      </c>
      <c r="G952" t="s">
        <v>85</v>
      </c>
      <c r="H952">
        <v>818349287</v>
      </c>
      <c r="I952" t="s">
        <v>29</v>
      </c>
      <c r="J952" t="s">
        <v>29</v>
      </c>
      <c r="K952" t="str">
        <f>IF(Table3[[#This Row],[Type Received]]=2,"CC",(IF(Table3[[#This Row],[Type Received]]=3,"BILL","ACH")))</f>
        <v>ACH</v>
      </c>
    </row>
    <row r="953" spans="1:11" x14ac:dyDescent="0.25">
      <c r="A953">
        <v>259706</v>
      </c>
      <c r="B953" s="3">
        <v>46145</v>
      </c>
      <c r="C953">
        <v>1</v>
      </c>
      <c r="D953">
        <v>77.349999999999994</v>
      </c>
      <c r="G953" t="s">
        <v>113</v>
      </c>
      <c r="H953">
        <v>546414739</v>
      </c>
      <c r="I953" t="s">
        <v>29</v>
      </c>
      <c r="J953" t="s">
        <v>29</v>
      </c>
      <c r="K953" t="str">
        <f>IF(Table3[[#This Row],[Type Received]]=2,"CC",(IF(Table3[[#This Row],[Type Received]]=3,"BILL","ACH")))</f>
        <v>ACH</v>
      </c>
    </row>
    <row r="954" spans="1:11" x14ac:dyDescent="0.25">
      <c r="A954">
        <v>259707</v>
      </c>
      <c r="B954" s="3">
        <v>46145</v>
      </c>
      <c r="C954">
        <v>1</v>
      </c>
      <c r="D954">
        <v>34.450000000000003</v>
      </c>
      <c r="G954" t="s">
        <v>113</v>
      </c>
      <c r="H954">
        <v>546413760</v>
      </c>
      <c r="I954" t="s">
        <v>29</v>
      </c>
      <c r="J954" t="s">
        <v>29</v>
      </c>
      <c r="K954" t="str">
        <f>IF(Table3[[#This Row],[Type Received]]=2,"CC",(IF(Table3[[#This Row],[Type Received]]=3,"BILL","ACH")))</f>
        <v>ACH</v>
      </c>
    </row>
    <row r="955" spans="1:11" x14ac:dyDescent="0.25">
      <c r="A955">
        <v>259708</v>
      </c>
      <c r="B955" s="3">
        <v>46145</v>
      </c>
      <c r="C955">
        <v>1</v>
      </c>
      <c r="D955">
        <v>32.25</v>
      </c>
      <c r="G955" t="s">
        <v>113</v>
      </c>
      <c r="H955">
        <v>546419648</v>
      </c>
      <c r="I955" t="s">
        <v>29</v>
      </c>
      <c r="J955" t="s">
        <v>29</v>
      </c>
      <c r="K955" t="str">
        <f>IF(Table3[[#This Row],[Type Received]]=2,"CC",(IF(Table3[[#This Row],[Type Received]]=3,"BILL","ACH")))</f>
        <v>ACH</v>
      </c>
    </row>
    <row r="956" spans="1:11" x14ac:dyDescent="0.25">
      <c r="A956">
        <v>259726</v>
      </c>
      <c r="B956" s="3">
        <v>46155</v>
      </c>
      <c r="C956">
        <v>2</v>
      </c>
      <c r="D956">
        <v>82.96</v>
      </c>
      <c r="F956" t="s">
        <v>175</v>
      </c>
      <c r="G956" t="s">
        <v>28</v>
      </c>
      <c r="H956">
        <v>669454903</v>
      </c>
      <c r="I956" t="s">
        <v>29</v>
      </c>
      <c r="J956" t="s">
        <v>29</v>
      </c>
      <c r="K956" t="str">
        <f>IF(Table3[[#This Row],[Type Received]]=2,"CC",(IF(Table3[[#This Row],[Type Received]]=3,"BILL","ACH")))</f>
        <v>CC</v>
      </c>
    </row>
    <row r="957" spans="1:11" x14ac:dyDescent="0.25">
      <c r="A957">
        <v>259729</v>
      </c>
      <c r="B957" s="3">
        <v>46167</v>
      </c>
      <c r="C957">
        <v>1</v>
      </c>
      <c r="D957">
        <v>52.05</v>
      </c>
      <c r="G957" t="s">
        <v>85</v>
      </c>
      <c r="H957">
        <v>818337644</v>
      </c>
      <c r="I957" t="s">
        <v>29</v>
      </c>
      <c r="J957" t="s">
        <v>29</v>
      </c>
      <c r="K957" t="str">
        <f>IF(Table3[[#This Row],[Type Received]]=2,"CC",(IF(Table3[[#This Row],[Type Received]]=3,"BILL","ACH")))</f>
        <v>ACH</v>
      </c>
    </row>
    <row r="958" spans="1:11" x14ac:dyDescent="0.25">
      <c r="A958">
        <v>259727</v>
      </c>
      <c r="B958" s="3">
        <v>46155</v>
      </c>
      <c r="C958">
        <v>2</v>
      </c>
      <c r="D958">
        <v>42.15</v>
      </c>
      <c r="F958" t="s">
        <v>176</v>
      </c>
      <c r="G958" s="4" t="s">
        <v>28</v>
      </c>
      <c r="H958">
        <v>669459696</v>
      </c>
      <c r="I958" t="s">
        <v>29</v>
      </c>
      <c r="K958" t="str">
        <f>IF(Table3[[#This Row],[Type Received]]=2,"CC",(IF(Table3[[#This Row],[Type Received]]=3,"BILL","ACH")))</f>
        <v>CC</v>
      </c>
    </row>
    <row r="959" spans="1:11" x14ac:dyDescent="0.25">
      <c r="A959">
        <v>259728</v>
      </c>
      <c r="B959" s="3">
        <v>46167</v>
      </c>
      <c r="C959">
        <v>1</v>
      </c>
      <c r="D959">
        <v>32.25</v>
      </c>
      <c r="G959" t="s">
        <v>85</v>
      </c>
      <c r="H959">
        <v>818332883</v>
      </c>
      <c r="I959" t="s">
        <v>29</v>
      </c>
      <c r="J959" t="s">
        <v>29</v>
      </c>
      <c r="K959" t="str">
        <f>IF(Table3[[#This Row],[Type Received]]=2,"CC",(IF(Table3[[#This Row],[Type Received]]=3,"BILL","ACH")))</f>
        <v>ACH</v>
      </c>
    </row>
    <row r="960" spans="1:11" x14ac:dyDescent="0.25">
      <c r="A960">
        <v>259746</v>
      </c>
      <c r="B960" s="3">
        <v>46157</v>
      </c>
      <c r="C960">
        <v>1</v>
      </c>
      <c r="D960">
        <v>103.75</v>
      </c>
      <c r="G960" t="s">
        <v>87</v>
      </c>
      <c r="H960">
        <v>696665978</v>
      </c>
      <c r="I960" t="s">
        <v>29</v>
      </c>
      <c r="J960" t="s">
        <v>29</v>
      </c>
      <c r="K960" t="str">
        <f>IF(Table3[[#This Row],[Type Received]]=2,"CC",(IF(Table3[[#This Row],[Type Received]]=3,"BILL","ACH")))</f>
        <v>ACH</v>
      </c>
    </row>
    <row r="961" spans="1:11" x14ac:dyDescent="0.25">
      <c r="A961">
        <v>259736</v>
      </c>
      <c r="B961" s="3">
        <v>46155</v>
      </c>
      <c r="C961">
        <v>2</v>
      </c>
      <c r="D961">
        <v>110.35</v>
      </c>
      <c r="F961">
        <v>13744</v>
      </c>
      <c r="G961" s="4" t="s">
        <v>28</v>
      </c>
      <c r="H961">
        <v>669453934</v>
      </c>
      <c r="I961" t="s">
        <v>29</v>
      </c>
      <c r="J961" t="s">
        <v>29</v>
      </c>
      <c r="K961" t="str">
        <f>IF(Table3[[#This Row],[Type Received]]=2,"CC",(IF(Table3[[#This Row],[Type Received]]=3,"BILL","ACH")))</f>
        <v>CC</v>
      </c>
    </row>
    <row r="962" spans="1:11" x14ac:dyDescent="0.25">
      <c r="A962">
        <v>259742</v>
      </c>
      <c r="B962" s="3">
        <v>46157</v>
      </c>
      <c r="C962">
        <v>1</v>
      </c>
      <c r="D962">
        <v>66.13</v>
      </c>
      <c r="G962" t="s">
        <v>87</v>
      </c>
      <c r="H962">
        <v>696673551</v>
      </c>
      <c r="I962" t="s">
        <v>29</v>
      </c>
      <c r="J962" t="s">
        <v>29</v>
      </c>
      <c r="K962" t="str">
        <f>IF(Table3[[#This Row],[Type Received]]=2,"CC",(IF(Table3[[#This Row],[Type Received]]=3,"BILL","ACH")))</f>
        <v>ACH</v>
      </c>
    </row>
    <row r="963" spans="1:11" x14ac:dyDescent="0.25">
      <c r="A963">
        <v>259740</v>
      </c>
      <c r="B963" s="3">
        <v>46145</v>
      </c>
      <c r="C963">
        <v>1</v>
      </c>
      <c r="D963">
        <v>27.85</v>
      </c>
      <c r="G963" t="s">
        <v>113</v>
      </c>
      <c r="H963">
        <v>546405964</v>
      </c>
      <c r="I963" t="s">
        <v>29</v>
      </c>
      <c r="J963" t="s">
        <v>29</v>
      </c>
      <c r="K963" t="str">
        <f>IF(Table3[[#This Row],[Type Received]]=2,"CC",(IF(Table3[[#This Row],[Type Received]]=3,"BILL","ACH")))</f>
        <v>ACH</v>
      </c>
    </row>
    <row r="964" spans="1:11" x14ac:dyDescent="0.25">
      <c r="A964">
        <v>259751</v>
      </c>
      <c r="B964" s="3">
        <v>46146</v>
      </c>
      <c r="C964">
        <v>3</v>
      </c>
      <c r="D964">
        <v>68.349999999999994</v>
      </c>
      <c r="E964">
        <v>163</v>
      </c>
      <c r="J964" t="s">
        <v>29</v>
      </c>
      <c r="K964" t="str">
        <f>IF(Table3[[#This Row],[Type Received]]=2,"CC",(IF(Table3[[#This Row],[Type Received]]=3,"BILL","ACH")))</f>
        <v>BILL</v>
      </c>
    </row>
    <row r="965" spans="1:11" x14ac:dyDescent="0.25">
      <c r="A965">
        <v>259738</v>
      </c>
      <c r="B965" s="3">
        <v>46155</v>
      </c>
      <c r="C965">
        <v>2</v>
      </c>
      <c r="D965">
        <v>98.25</v>
      </c>
      <c r="F965">
        <v>423013</v>
      </c>
      <c r="G965" t="s">
        <v>28</v>
      </c>
      <c r="H965">
        <v>669451970</v>
      </c>
      <c r="I965" t="s">
        <v>29</v>
      </c>
      <c r="J965" t="s">
        <v>29</v>
      </c>
      <c r="K965" t="str">
        <f>IF(Table3[[#This Row],[Type Received]]=2,"CC",(IF(Table3[[#This Row],[Type Received]]=3,"BILL","ACH")))</f>
        <v>CC</v>
      </c>
    </row>
    <row r="966" spans="1:11" x14ac:dyDescent="0.25">
      <c r="A966">
        <v>259741</v>
      </c>
      <c r="B966" s="3">
        <v>46145</v>
      </c>
      <c r="C966">
        <v>1</v>
      </c>
      <c r="D966">
        <v>36.65</v>
      </c>
      <c r="G966" t="s">
        <v>113</v>
      </c>
      <c r="H966">
        <v>546416690</v>
      </c>
      <c r="I966" t="s">
        <v>29</v>
      </c>
      <c r="J966" t="s">
        <v>29</v>
      </c>
      <c r="K966" t="str">
        <f>IF(Table3[[#This Row],[Type Received]]=2,"CC",(IF(Table3[[#This Row],[Type Received]]=3,"BILL","ACH")))</f>
        <v>ACH</v>
      </c>
    </row>
    <row r="967" spans="1:11" x14ac:dyDescent="0.25">
      <c r="A967">
        <v>259743</v>
      </c>
      <c r="B967" s="3">
        <v>46157</v>
      </c>
      <c r="C967">
        <v>1</v>
      </c>
      <c r="D967">
        <v>62.61</v>
      </c>
      <c r="G967" t="s">
        <v>87</v>
      </c>
      <c r="H967">
        <v>696667815</v>
      </c>
      <c r="I967" t="s">
        <v>29</v>
      </c>
      <c r="K967" t="str">
        <f>IF(Table3[[#This Row],[Type Received]]=2,"CC",(IF(Table3[[#This Row],[Type Received]]=3,"BILL","ACH")))</f>
        <v>ACH</v>
      </c>
    </row>
    <row r="968" spans="1:11" x14ac:dyDescent="0.25">
      <c r="A968">
        <v>259752</v>
      </c>
      <c r="B968" s="3">
        <v>46145</v>
      </c>
      <c r="C968">
        <v>2</v>
      </c>
      <c r="D968">
        <v>87.47</v>
      </c>
      <c r="F968" t="s">
        <v>177</v>
      </c>
      <c r="G968" t="s">
        <v>28</v>
      </c>
      <c r="H968">
        <v>546423448</v>
      </c>
      <c r="I968" t="s">
        <v>29</v>
      </c>
      <c r="J968" t="s">
        <v>29</v>
      </c>
      <c r="K968" t="str">
        <f>IF(Table3[[#This Row],[Type Received]]=2,"CC",(IF(Table3[[#This Row],[Type Received]]=3,"BILL","ACH")))</f>
        <v>CC</v>
      </c>
    </row>
    <row r="969" spans="1:11" x14ac:dyDescent="0.25">
      <c r="A969">
        <v>259745</v>
      </c>
      <c r="B969" s="3">
        <v>46157</v>
      </c>
      <c r="C969">
        <v>2</v>
      </c>
      <c r="D969">
        <v>76.03</v>
      </c>
      <c r="F969">
        <v>90610</v>
      </c>
      <c r="G969" t="s">
        <v>28</v>
      </c>
      <c r="H969">
        <v>696662979</v>
      </c>
      <c r="I969" t="s">
        <v>29</v>
      </c>
      <c r="J969" t="s">
        <v>29</v>
      </c>
      <c r="K969" t="str">
        <f>IF(Table3[[#This Row],[Type Received]]=2,"CC",(IF(Table3[[#This Row],[Type Received]]=3,"BILL","ACH")))</f>
        <v>CC</v>
      </c>
    </row>
    <row r="970" spans="1:11" x14ac:dyDescent="0.25">
      <c r="A970">
        <v>259760</v>
      </c>
      <c r="B970" s="3">
        <v>46157</v>
      </c>
      <c r="C970">
        <v>1</v>
      </c>
      <c r="D970">
        <v>65.47</v>
      </c>
      <c r="G970" t="s">
        <v>87</v>
      </c>
      <c r="H970">
        <v>696672671</v>
      </c>
      <c r="I970" t="s">
        <v>29</v>
      </c>
      <c r="J970" t="s">
        <v>29</v>
      </c>
      <c r="K970" t="str">
        <f>IF(Table3[[#This Row],[Type Received]]=2,"CC",(IF(Table3[[#This Row],[Type Received]]=3,"BILL","ACH")))</f>
        <v>ACH</v>
      </c>
    </row>
    <row r="971" spans="1:11" x14ac:dyDescent="0.25">
      <c r="A971">
        <v>259761</v>
      </c>
      <c r="B971" s="3">
        <v>46157</v>
      </c>
      <c r="C971">
        <v>1</v>
      </c>
      <c r="D971">
        <v>154.9</v>
      </c>
      <c r="G971" t="s">
        <v>87</v>
      </c>
      <c r="H971">
        <v>696688177</v>
      </c>
      <c r="I971" t="s">
        <v>29</v>
      </c>
      <c r="J971" t="s">
        <v>29</v>
      </c>
      <c r="K971" t="str">
        <f>IF(Table3[[#This Row],[Type Received]]=2,"CC",(IF(Table3[[#This Row],[Type Received]]=3,"BILL","ACH")))</f>
        <v>ACH</v>
      </c>
    </row>
    <row r="972" spans="1:11" x14ac:dyDescent="0.25">
      <c r="A972">
        <v>259762</v>
      </c>
      <c r="B972" s="3">
        <v>46157</v>
      </c>
      <c r="C972">
        <v>1</v>
      </c>
      <c r="D972">
        <v>80.319999999999993</v>
      </c>
      <c r="G972" t="s">
        <v>87</v>
      </c>
      <c r="H972">
        <v>696664990</v>
      </c>
      <c r="I972" t="s">
        <v>29</v>
      </c>
      <c r="J972" t="s">
        <v>29</v>
      </c>
      <c r="K972" t="str">
        <f>IF(Table3[[#This Row],[Type Received]]=2,"CC",(IF(Table3[[#This Row],[Type Received]]=3,"BILL","ACH")))</f>
        <v>ACH</v>
      </c>
    </row>
    <row r="973" spans="1:11" x14ac:dyDescent="0.25">
      <c r="A973">
        <v>259763</v>
      </c>
      <c r="B973" s="3">
        <v>46167</v>
      </c>
      <c r="C973">
        <v>1</v>
      </c>
      <c r="D973">
        <v>66.459999999999994</v>
      </c>
      <c r="G973" t="s">
        <v>85</v>
      </c>
      <c r="H973">
        <v>818347375</v>
      </c>
      <c r="I973" t="s">
        <v>29</v>
      </c>
      <c r="J973" t="s">
        <v>29</v>
      </c>
      <c r="K973" t="str">
        <f>IF(Table3[[#This Row],[Type Received]]=2,"CC",(IF(Table3[[#This Row],[Type Received]]=3,"BILL","ACH")))</f>
        <v>ACH</v>
      </c>
    </row>
    <row r="974" spans="1:11" x14ac:dyDescent="0.25">
      <c r="A974">
        <v>259759</v>
      </c>
      <c r="B974" s="3">
        <v>46145</v>
      </c>
      <c r="C974">
        <v>1</v>
      </c>
      <c r="D974">
        <v>59.09</v>
      </c>
      <c r="G974" t="s">
        <v>113</v>
      </c>
      <c r="H974">
        <v>546403089</v>
      </c>
      <c r="I974" t="s">
        <v>29</v>
      </c>
      <c r="J974" t="s">
        <v>29</v>
      </c>
      <c r="K974" t="str">
        <f>IF(Table3[[#This Row],[Type Received]]=2,"CC",(IF(Table3[[#This Row],[Type Received]]=3,"BILL","ACH")))</f>
        <v>ACH</v>
      </c>
    </row>
    <row r="975" spans="1:11" x14ac:dyDescent="0.25">
      <c r="A975">
        <v>259757</v>
      </c>
      <c r="B975" s="3">
        <v>46145</v>
      </c>
      <c r="C975">
        <v>1</v>
      </c>
      <c r="D975">
        <v>136.41999999999999</v>
      </c>
      <c r="G975" t="s">
        <v>113</v>
      </c>
      <c r="H975">
        <v>546419680</v>
      </c>
      <c r="I975" t="s">
        <v>29</v>
      </c>
      <c r="K975" t="str">
        <f>IF(Table3[[#This Row],[Type Received]]=2,"CC",(IF(Table3[[#This Row],[Type Received]]=3,"BILL","ACH")))</f>
        <v>ACH</v>
      </c>
    </row>
    <row r="976" spans="1:11" x14ac:dyDescent="0.25">
      <c r="A976">
        <v>259758</v>
      </c>
      <c r="B976" s="3">
        <v>46145</v>
      </c>
      <c r="C976">
        <v>1</v>
      </c>
      <c r="D976">
        <v>152.59</v>
      </c>
      <c r="G976" t="s">
        <v>113</v>
      </c>
      <c r="H976">
        <v>546406964</v>
      </c>
      <c r="I976" t="s">
        <v>29</v>
      </c>
      <c r="K976" t="str">
        <f>IF(Table3[[#This Row],[Type Received]]=2,"CC",(IF(Table3[[#This Row],[Type Received]]=3,"BILL","ACH")))</f>
        <v>ACH</v>
      </c>
    </row>
    <row r="977" spans="1:11" x14ac:dyDescent="0.25">
      <c r="A977">
        <v>259776</v>
      </c>
      <c r="B977" s="3">
        <v>46170</v>
      </c>
      <c r="C977">
        <v>1</v>
      </c>
      <c r="D977">
        <v>90.88</v>
      </c>
      <c r="G977" t="s">
        <v>91</v>
      </c>
      <c r="H977">
        <v>853922821</v>
      </c>
      <c r="I977" t="s">
        <v>29</v>
      </c>
      <c r="J977" t="s">
        <v>29</v>
      </c>
      <c r="K977" t="str">
        <f>IF(Table3[[#This Row],[Type Received]]=2,"CC",(IF(Table3[[#This Row],[Type Received]]=3,"BILL","ACH")))</f>
        <v>ACH</v>
      </c>
    </row>
    <row r="978" spans="1:11" x14ac:dyDescent="0.25">
      <c r="A978">
        <v>259773</v>
      </c>
      <c r="B978" s="3">
        <v>46155</v>
      </c>
      <c r="C978">
        <v>2</v>
      </c>
      <c r="D978">
        <v>107.05</v>
      </c>
      <c r="F978" t="s">
        <v>178</v>
      </c>
      <c r="G978" t="s">
        <v>28</v>
      </c>
      <c r="H978">
        <v>669477142</v>
      </c>
      <c r="I978" t="s">
        <v>29</v>
      </c>
      <c r="J978" t="s">
        <v>29</v>
      </c>
      <c r="K978" t="str">
        <f>IF(Table3[[#This Row],[Type Received]]=2,"CC",(IF(Table3[[#This Row],[Type Received]]=3,"BILL","ACH")))</f>
        <v>CC</v>
      </c>
    </row>
    <row r="979" spans="1:11" x14ac:dyDescent="0.25">
      <c r="A979">
        <v>259775</v>
      </c>
      <c r="B979" s="3">
        <v>46143</v>
      </c>
      <c r="C979">
        <v>1</v>
      </c>
      <c r="D979">
        <v>167.9</v>
      </c>
      <c r="G979" t="s">
        <v>84</v>
      </c>
      <c r="H979">
        <v>522562291</v>
      </c>
      <c r="I979" t="s">
        <v>29</v>
      </c>
      <c r="J979" t="s">
        <v>29</v>
      </c>
      <c r="K979" t="str">
        <f>IF(Table3[[#This Row],[Type Received]]=2,"CC",(IF(Table3[[#This Row],[Type Received]]=3,"BILL","ACH")))</f>
        <v>ACH</v>
      </c>
    </row>
    <row r="980" spans="1:11" x14ac:dyDescent="0.25">
      <c r="A980">
        <v>259774</v>
      </c>
      <c r="B980" s="3">
        <v>46155</v>
      </c>
      <c r="C980">
        <v>2</v>
      </c>
      <c r="D980">
        <v>36.65</v>
      </c>
      <c r="F980">
        <v>81390</v>
      </c>
      <c r="G980" t="s">
        <v>28</v>
      </c>
      <c r="H980">
        <v>669469524</v>
      </c>
      <c r="I980" t="s">
        <v>29</v>
      </c>
      <c r="K980" t="str">
        <f>IF(Table3[[#This Row],[Type Received]]=2,"CC",(IF(Table3[[#This Row],[Type Received]]=3,"BILL","ACH")))</f>
        <v>CC</v>
      </c>
    </row>
    <row r="981" spans="1:11" x14ac:dyDescent="0.25">
      <c r="A981">
        <v>259778</v>
      </c>
      <c r="B981" s="3">
        <v>46167</v>
      </c>
      <c r="C981">
        <v>1</v>
      </c>
      <c r="D981">
        <v>32.03</v>
      </c>
      <c r="G981" t="s">
        <v>85</v>
      </c>
      <c r="H981">
        <v>818352122</v>
      </c>
      <c r="I981" t="s">
        <v>29</v>
      </c>
      <c r="K981" t="str">
        <f>IF(Table3[[#This Row],[Type Received]]=2,"CC",(IF(Table3[[#This Row],[Type Received]]=3,"BILL","ACH")))</f>
        <v>ACH</v>
      </c>
    </row>
    <row r="982" spans="1:11" x14ac:dyDescent="0.25">
      <c r="A982">
        <v>259777</v>
      </c>
      <c r="B982" s="3">
        <v>46157</v>
      </c>
      <c r="C982">
        <v>1</v>
      </c>
      <c r="D982">
        <v>109.36</v>
      </c>
      <c r="G982" t="s">
        <v>87</v>
      </c>
      <c r="H982">
        <v>696688202</v>
      </c>
      <c r="I982" t="s">
        <v>29</v>
      </c>
      <c r="J982" t="s">
        <v>29</v>
      </c>
      <c r="K982" t="str">
        <f>IF(Table3[[#This Row],[Type Received]]=2,"CC",(IF(Table3[[#This Row],[Type Received]]=3,"BILL","ACH")))</f>
        <v>ACH</v>
      </c>
    </row>
    <row r="983" spans="1:11" x14ac:dyDescent="0.25">
      <c r="A983">
        <v>259779</v>
      </c>
      <c r="B983" s="3">
        <v>46146</v>
      </c>
      <c r="C983">
        <v>1</v>
      </c>
      <c r="D983">
        <v>94.29</v>
      </c>
      <c r="G983" t="s">
        <v>92</v>
      </c>
      <c r="H983">
        <v>557079689</v>
      </c>
      <c r="I983" t="s">
        <v>29</v>
      </c>
      <c r="J983" t="s">
        <v>29</v>
      </c>
      <c r="K983" t="str">
        <f>IF(Table3[[#This Row],[Type Received]]=2,"CC",(IF(Table3[[#This Row],[Type Received]]=3,"BILL","ACH")))</f>
        <v>ACH</v>
      </c>
    </row>
    <row r="984" spans="1:11" x14ac:dyDescent="0.25">
      <c r="A984">
        <v>259791</v>
      </c>
      <c r="B984" s="3">
        <v>46146</v>
      </c>
      <c r="C984">
        <v>3</v>
      </c>
      <c r="D984">
        <v>51.85</v>
      </c>
      <c r="E984">
        <v>19820094422</v>
      </c>
      <c r="K984" t="str">
        <f>IF(Table3[[#This Row],[Type Received]]=2,"CC",(IF(Table3[[#This Row],[Type Received]]=3,"BILL","ACH")))</f>
        <v>BILL</v>
      </c>
    </row>
    <row r="985" spans="1:11" x14ac:dyDescent="0.25">
      <c r="A985">
        <v>259786</v>
      </c>
      <c r="B985" s="3">
        <v>46167</v>
      </c>
      <c r="C985">
        <v>1</v>
      </c>
      <c r="D985">
        <v>46</v>
      </c>
      <c r="G985" t="s">
        <v>85</v>
      </c>
      <c r="H985">
        <v>818340598</v>
      </c>
      <c r="I985" t="s">
        <v>29</v>
      </c>
      <c r="J985" t="s">
        <v>29</v>
      </c>
      <c r="K985" t="str">
        <f>IF(Table3[[#This Row],[Type Received]]=2,"CC",(IF(Table3[[#This Row],[Type Received]]=3,"BILL","ACH")))</f>
        <v>ACH</v>
      </c>
    </row>
    <row r="986" spans="1:11" x14ac:dyDescent="0.25">
      <c r="A986">
        <v>259784</v>
      </c>
      <c r="B986" s="3">
        <v>46155</v>
      </c>
      <c r="C986">
        <v>2</v>
      </c>
      <c r="D986">
        <v>65.14</v>
      </c>
      <c r="F986">
        <v>70238</v>
      </c>
      <c r="G986" t="s">
        <v>28</v>
      </c>
      <c r="H986">
        <v>669472415</v>
      </c>
      <c r="I986" t="s">
        <v>29</v>
      </c>
      <c r="J986" t="s">
        <v>29</v>
      </c>
      <c r="K986" t="str">
        <f>IF(Table3[[#This Row],[Type Received]]=2,"CC",(IF(Table3[[#This Row],[Type Received]]=3,"BILL","ACH")))</f>
        <v>CC</v>
      </c>
    </row>
    <row r="987" spans="1:11" x14ac:dyDescent="0.25">
      <c r="A987">
        <v>259785</v>
      </c>
      <c r="B987" s="3">
        <v>46155</v>
      </c>
      <c r="C987">
        <v>2</v>
      </c>
      <c r="D987">
        <v>137.41</v>
      </c>
      <c r="F987">
        <v>8958</v>
      </c>
      <c r="G987" s="4" t="s">
        <v>28</v>
      </c>
      <c r="H987">
        <v>669464726</v>
      </c>
      <c r="I987" t="s">
        <v>29</v>
      </c>
      <c r="J987" t="s">
        <v>29</v>
      </c>
      <c r="K987" t="str">
        <f>IF(Table3[[#This Row],[Type Received]]=2,"CC",(IF(Table3[[#This Row],[Type Received]]=3,"BILL","ACH")))</f>
        <v>CC</v>
      </c>
    </row>
    <row r="988" spans="1:11" x14ac:dyDescent="0.25">
      <c r="A988">
        <v>259795</v>
      </c>
      <c r="B988" s="3">
        <v>46155</v>
      </c>
      <c r="C988">
        <v>2</v>
      </c>
      <c r="D988">
        <v>67.45</v>
      </c>
      <c r="F988">
        <v>150224</v>
      </c>
      <c r="G988" t="s">
        <v>28</v>
      </c>
      <c r="H988">
        <v>669474371</v>
      </c>
      <c r="I988" t="s">
        <v>29</v>
      </c>
      <c r="K988" t="str">
        <f>IF(Table3[[#This Row],[Type Received]]=2,"CC",(IF(Table3[[#This Row],[Type Received]]=3,"BILL","ACH")))</f>
        <v>CC</v>
      </c>
    </row>
    <row r="989" spans="1:11" x14ac:dyDescent="0.25">
      <c r="A989">
        <v>259798</v>
      </c>
      <c r="B989" s="3">
        <v>46143</v>
      </c>
      <c r="C989">
        <v>1</v>
      </c>
      <c r="D989">
        <v>81.53</v>
      </c>
      <c r="G989" t="s">
        <v>84</v>
      </c>
      <c r="H989">
        <v>522258533</v>
      </c>
      <c r="I989" t="s">
        <v>29</v>
      </c>
      <c r="J989" t="s">
        <v>29</v>
      </c>
      <c r="K989" t="str">
        <f>IF(Table3[[#This Row],[Type Received]]=2,"CC",(IF(Table3[[#This Row],[Type Received]]=3,"BILL","ACH")))</f>
        <v>ACH</v>
      </c>
    </row>
    <row r="990" spans="1:11" x14ac:dyDescent="0.25">
      <c r="A990">
        <v>259796</v>
      </c>
      <c r="B990" s="3">
        <v>46167</v>
      </c>
      <c r="C990">
        <v>1</v>
      </c>
      <c r="D990">
        <v>51.28</v>
      </c>
      <c r="G990" t="s">
        <v>85</v>
      </c>
      <c r="H990">
        <v>818344549</v>
      </c>
      <c r="I990" t="s">
        <v>29</v>
      </c>
      <c r="J990" t="s">
        <v>29</v>
      </c>
      <c r="K990" t="str">
        <f>IF(Table3[[#This Row],[Type Received]]=2,"CC",(IF(Table3[[#This Row],[Type Received]]=3,"BILL","ACH")))</f>
        <v>ACH</v>
      </c>
    </row>
    <row r="991" spans="1:11" x14ac:dyDescent="0.25">
      <c r="A991">
        <v>259793</v>
      </c>
      <c r="B991" s="3">
        <v>46155</v>
      </c>
      <c r="C991">
        <v>2</v>
      </c>
      <c r="D991">
        <v>34.450000000000003</v>
      </c>
      <c r="F991">
        <v>9853</v>
      </c>
      <c r="G991" t="s">
        <v>28</v>
      </c>
      <c r="H991">
        <v>669455910</v>
      </c>
      <c r="I991" t="s">
        <v>29</v>
      </c>
      <c r="J991" t="s">
        <v>29</v>
      </c>
      <c r="K991" t="str">
        <f>IF(Table3[[#This Row],[Type Received]]=2,"CC",(IF(Table3[[#This Row],[Type Received]]=3,"BILL","ACH")))</f>
        <v>CC</v>
      </c>
    </row>
    <row r="992" spans="1:11" x14ac:dyDescent="0.25">
      <c r="A992">
        <v>259797</v>
      </c>
      <c r="B992" s="3">
        <v>46146</v>
      </c>
      <c r="C992">
        <v>1</v>
      </c>
      <c r="D992">
        <v>34.450000000000003</v>
      </c>
      <c r="G992" t="s">
        <v>92</v>
      </c>
      <c r="H992">
        <v>557089392</v>
      </c>
      <c r="I992" t="s">
        <v>29</v>
      </c>
      <c r="K992" t="str">
        <f>IF(Table3[[#This Row],[Type Received]]=2,"CC",(IF(Table3[[#This Row],[Type Received]]=3,"BILL","ACH")))</f>
        <v>ACH</v>
      </c>
    </row>
    <row r="993" spans="1:11" x14ac:dyDescent="0.25">
      <c r="A993">
        <v>259800</v>
      </c>
      <c r="B993" s="3">
        <v>46161</v>
      </c>
      <c r="C993">
        <v>2</v>
      </c>
      <c r="D993">
        <v>50.64</v>
      </c>
      <c r="F993">
        <v>520087</v>
      </c>
      <c r="G993">
        <v>746805329</v>
      </c>
      <c r="H993">
        <v>355139297</v>
      </c>
      <c r="J993" t="s">
        <v>29</v>
      </c>
      <c r="K993" t="str">
        <f>IF(Table3[[#This Row],[Type Received]]=2,"CC",(IF(Table3[[#This Row],[Type Received]]=3,"BILL","ACH")))</f>
        <v>CC</v>
      </c>
    </row>
    <row r="994" spans="1:11" x14ac:dyDescent="0.25">
      <c r="A994">
        <v>259808</v>
      </c>
      <c r="B994" s="3">
        <v>46147</v>
      </c>
      <c r="C994">
        <v>1</v>
      </c>
      <c r="D994">
        <v>67.89</v>
      </c>
      <c r="G994" t="s">
        <v>86</v>
      </c>
      <c r="H994">
        <v>569486272</v>
      </c>
      <c r="I994" t="s">
        <v>29</v>
      </c>
      <c r="K994" t="str">
        <f>IF(Table3[[#This Row],[Type Received]]=2,"CC",(IF(Table3[[#This Row],[Type Received]]=3,"BILL","ACH")))</f>
        <v>ACH</v>
      </c>
    </row>
    <row r="995" spans="1:11" x14ac:dyDescent="0.25">
      <c r="A995">
        <v>259812</v>
      </c>
      <c r="B995" s="3">
        <v>46155</v>
      </c>
      <c r="C995">
        <v>2</v>
      </c>
      <c r="D995">
        <v>138.72999999999999</v>
      </c>
      <c r="F995" t="s">
        <v>179</v>
      </c>
      <c r="G995" t="s">
        <v>28</v>
      </c>
      <c r="H995">
        <v>669456911</v>
      </c>
      <c r="I995" t="s">
        <v>29</v>
      </c>
      <c r="J995" t="s">
        <v>29</v>
      </c>
      <c r="K995" t="str">
        <f>IF(Table3[[#This Row],[Type Received]]=2,"CC",(IF(Table3[[#This Row],[Type Received]]=3,"BILL","ACH")))</f>
        <v>CC</v>
      </c>
    </row>
    <row r="996" spans="1:11" x14ac:dyDescent="0.25">
      <c r="A996">
        <v>259831</v>
      </c>
      <c r="B996" s="3">
        <v>46153</v>
      </c>
      <c r="C996">
        <v>3</v>
      </c>
      <c r="D996">
        <v>195.1</v>
      </c>
      <c r="E996">
        <v>1390</v>
      </c>
      <c r="K996" t="str">
        <f>IF(Table3[[#This Row],[Type Received]]=2,"CC",(IF(Table3[[#This Row],[Type Received]]=3,"BILL","ACH")))</f>
        <v>BILL</v>
      </c>
    </row>
    <row r="997" spans="1:11" x14ac:dyDescent="0.25">
      <c r="A997">
        <v>259825</v>
      </c>
      <c r="B997" s="3">
        <v>46157</v>
      </c>
      <c r="C997">
        <v>1</v>
      </c>
      <c r="D997">
        <v>67.12</v>
      </c>
      <c r="G997" t="s">
        <v>87</v>
      </c>
      <c r="H997">
        <v>696688216</v>
      </c>
      <c r="I997" t="s">
        <v>29</v>
      </c>
      <c r="J997" t="s">
        <v>29</v>
      </c>
      <c r="K997" t="str">
        <f>IF(Table3[[#This Row],[Type Received]]=2,"CC",(IF(Table3[[#This Row],[Type Received]]=3,"BILL","ACH")))</f>
        <v>ACH</v>
      </c>
    </row>
    <row r="998" spans="1:11" x14ac:dyDescent="0.25">
      <c r="A998">
        <v>259814</v>
      </c>
      <c r="B998" s="3">
        <v>46143</v>
      </c>
      <c r="C998">
        <v>2</v>
      </c>
      <c r="D998">
        <v>39.950000000000003</v>
      </c>
      <c r="F998" t="s">
        <v>180</v>
      </c>
      <c r="G998" t="s">
        <v>28</v>
      </c>
      <c r="H998">
        <v>522250835</v>
      </c>
      <c r="I998" t="s">
        <v>29</v>
      </c>
      <c r="J998" t="s">
        <v>29</v>
      </c>
      <c r="K998" t="str">
        <f>IF(Table3[[#This Row],[Type Received]]=2,"CC",(IF(Table3[[#This Row],[Type Received]]=3,"BILL","ACH")))</f>
        <v>CC</v>
      </c>
    </row>
    <row r="999" spans="1:11" x14ac:dyDescent="0.25">
      <c r="A999">
        <v>259826</v>
      </c>
      <c r="B999" s="3">
        <v>46157</v>
      </c>
      <c r="C999">
        <v>1</v>
      </c>
      <c r="D999">
        <v>74.709999999999994</v>
      </c>
      <c r="G999" t="s">
        <v>87</v>
      </c>
      <c r="H999">
        <v>696679553</v>
      </c>
      <c r="I999" t="s">
        <v>29</v>
      </c>
      <c r="J999" t="s">
        <v>29</v>
      </c>
      <c r="K999" t="str">
        <f>IF(Table3[[#This Row],[Type Received]]=2,"CC",(IF(Table3[[#This Row],[Type Received]]=3,"BILL","ACH")))</f>
        <v>ACH</v>
      </c>
    </row>
    <row r="1000" spans="1:11" x14ac:dyDescent="0.25">
      <c r="A1000">
        <v>259827</v>
      </c>
      <c r="B1000" s="3">
        <v>46157</v>
      </c>
      <c r="C1000">
        <v>1</v>
      </c>
      <c r="D1000">
        <v>45.89</v>
      </c>
      <c r="G1000" t="s">
        <v>87</v>
      </c>
      <c r="H1000">
        <v>696669801</v>
      </c>
      <c r="I1000" t="s">
        <v>29</v>
      </c>
      <c r="J1000" t="s">
        <v>29</v>
      </c>
      <c r="K1000" t="str">
        <f>IF(Table3[[#This Row],[Type Received]]=2,"CC",(IF(Table3[[#This Row],[Type Received]]=3,"BILL","ACH")))</f>
        <v>ACH</v>
      </c>
    </row>
    <row r="1001" spans="1:11" x14ac:dyDescent="0.25">
      <c r="A1001">
        <v>259819</v>
      </c>
      <c r="B1001" s="3">
        <v>46143</v>
      </c>
      <c r="C1001">
        <v>1</v>
      </c>
      <c r="D1001">
        <v>53.26</v>
      </c>
      <c r="G1001" t="s">
        <v>84</v>
      </c>
      <c r="H1001">
        <v>522257750</v>
      </c>
      <c r="I1001" t="s">
        <v>29</v>
      </c>
      <c r="J1001" t="s">
        <v>29</v>
      </c>
      <c r="K1001" t="str">
        <f>IF(Table3[[#This Row],[Type Received]]=2,"CC",(IF(Table3[[#This Row],[Type Received]]=3,"BILL","ACH")))</f>
        <v>ACH</v>
      </c>
    </row>
    <row r="1002" spans="1:11" x14ac:dyDescent="0.25">
      <c r="A1002">
        <v>259820</v>
      </c>
      <c r="B1002" s="3">
        <v>46143</v>
      </c>
      <c r="C1002">
        <v>1</v>
      </c>
      <c r="D1002">
        <v>136.75</v>
      </c>
      <c r="G1002" s="4" t="s">
        <v>84</v>
      </c>
      <c r="H1002">
        <v>522258665</v>
      </c>
      <c r="I1002" t="s">
        <v>29</v>
      </c>
      <c r="J1002" t="s">
        <v>29</v>
      </c>
      <c r="K1002" t="str">
        <f>IF(Table3[[#This Row],[Type Received]]=2,"CC",(IF(Table3[[#This Row],[Type Received]]=3,"BILL","ACH")))</f>
        <v>ACH</v>
      </c>
    </row>
    <row r="1003" spans="1:11" x14ac:dyDescent="0.25">
      <c r="A1003">
        <v>259821</v>
      </c>
      <c r="B1003" s="3">
        <v>46143</v>
      </c>
      <c r="C1003">
        <v>1</v>
      </c>
      <c r="D1003">
        <v>61.73</v>
      </c>
      <c r="G1003" t="s">
        <v>84</v>
      </c>
      <c r="H1003">
        <v>522266491</v>
      </c>
      <c r="I1003" t="s">
        <v>29</v>
      </c>
      <c r="J1003" t="s">
        <v>29</v>
      </c>
      <c r="K1003" t="str">
        <f>IF(Table3[[#This Row],[Type Received]]=2,"CC",(IF(Table3[[#This Row],[Type Received]]=3,"BILL","ACH")))</f>
        <v>ACH</v>
      </c>
    </row>
    <row r="1004" spans="1:11" x14ac:dyDescent="0.25">
      <c r="A1004">
        <v>259818</v>
      </c>
      <c r="B1004" s="3">
        <v>46143</v>
      </c>
      <c r="C1004">
        <v>1</v>
      </c>
      <c r="D1004">
        <v>182.62</v>
      </c>
      <c r="G1004" t="s">
        <v>84</v>
      </c>
      <c r="H1004">
        <v>522246006</v>
      </c>
      <c r="I1004" t="s">
        <v>29</v>
      </c>
      <c r="J1004" t="s">
        <v>29</v>
      </c>
      <c r="K1004" t="str">
        <f>IF(Table3[[#This Row],[Type Received]]=2,"CC",(IF(Table3[[#This Row],[Type Received]]=3,"BILL","ACH")))</f>
        <v>ACH</v>
      </c>
    </row>
    <row r="1005" spans="1:11" x14ac:dyDescent="0.25">
      <c r="A1005">
        <v>259822</v>
      </c>
      <c r="B1005" s="3">
        <v>46143</v>
      </c>
      <c r="C1005">
        <v>1</v>
      </c>
      <c r="D1005">
        <v>67.010000000000005</v>
      </c>
      <c r="G1005" t="s">
        <v>84</v>
      </c>
      <c r="H1005">
        <v>522253919</v>
      </c>
      <c r="I1005" t="s">
        <v>29</v>
      </c>
      <c r="J1005" t="s">
        <v>29</v>
      </c>
      <c r="K1005" t="str">
        <f>IF(Table3[[#This Row],[Type Received]]=2,"CC",(IF(Table3[[#This Row],[Type Received]]=3,"BILL","ACH")))</f>
        <v>ACH</v>
      </c>
    </row>
    <row r="1006" spans="1:11" x14ac:dyDescent="0.25">
      <c r="A1006">
        <v>259834</v>
      </c>
      <c r="B1006" s="3">
        <v>46167</v>
      </c>
      <c r="C1006">
        <v>1</v>
      </c>
      <c r="D1006">
        <v>42.59</v>
      </c>
      <c r="G1006" t="s">
        <v>85</v>
      </c>
      <c r="H1006">
        <v>818338688</v>
      </c>
      <c r="I1006" t="s">
        <v>29</v>
      </c>
      <c r="J1006" t="s">
        <v>29</v>
      </c>
      <c r="K1006" t="str">
        <f>IF(Table3[[#This Row],[Type Received]]=2,"CC",(IF(Table3[[#This Row],[Type Received]]=3,"BILL","ACH")))</f>
        <v>ACH</v>
      </c>
    </row>
    <row r="1007" spans="1:11" x14ac:dyDescent="0.25">
      <c r="A1007">
        <v>259843</v>
      </c>
      <c r="B1007" s="3">
        <v>46143</v>
      </c>
      <c r="C1007">
        <v>1</v>
      </c>
      <c r="D1007">
        <v>42.7</v>
      </c>
      <c r="G1007" t="s">
        <v>84</v>
      </c>
      <c r="H1007">
        <v>522257918</v>
      </c>
      <c r="I1007" t="s">
        <v>29</v>
      </c>
      <c r="J1007" t="s">
        <v>29</v>
      </c>
      <c r="K1007" t="str">
        <f>IF(Table3[[#This Row],[Type Received]]=2,"CC",(IF(Table3[[#This Row],[Type Received]]=3,"BILL","ACH")))</f>
        <v>ACH</v>
      </c>
    </row>
    <row r="1008" spans="1:11" x14ac:dyDescent="0.25">
      <c r="A1008">
        <v>259842</v>
      </c>
      <c r="B1008" s="3">
        <v>46155</v>
      </c>
      <c r="C1008">
        <v>1</v>
      </c>
      <c r="D1008">
        <v>34.450000000000003</v>
      </c>
      <c r="G1008" s="4" t="s">
        <v>90</v>
      </c>
      <c r="H1008">
        <v>669477211</v>
      </c>
      <c r="I1008" t="s">
        <v>29</v>
      </c>
      <c r="J1008" t="s">
        <v>29</v>
      </c>
      <c r="K1008" t="str">
        <f>IF(Table3[[#This Row],[Type Received]]=2,"CC",(IF(Table3[[#This Row],[Type Received]]=3,"BILL","ACH")))</f>
        <v>ACH</v>
      </c>
    </row>
    <row r="1009" spans="1:11" x14ac:dyDescent="0.25">
      <c r="A1009">
        <v>259841</v>
      </c>
      <c r="B1009" s="3">
        <v>46158</v>
      </c>
      <c r="C1009">
        <v>2</v>
      </c>
      <c r="D1009">
        <v>179.65</v>
      </c>
      <c r="F1009">
        <v>515918</v>
      </c>
      <c r="G1009" s="4" t="s">
        <v>28</v>
      </c>
      <c r="H1009">
        <v>710045635</v>
      </c>
      <c r="I1009" t="s">
        <v>29</v>
      </c>
      <c r="J1009" t="s">
        <v>29</v>
      </c>
      <c r="K1009" t="str">
        <f>IF(Table3[[#This Row],[Type Received]]=2,"CC",(IF(Table3[[#This Row],[Type Received]]=3,"BILL","ACH")))</f>
        <v>CC</v>
      </c>
    </row>
    <row r="1010" spans="1:11" x14ac:dyDescent="0.25">
      <c r="A1010">
        <v>259853</v>
      </c>
      <c r="B1010" s="3">
        <v>46155</v>
      </c>
      <c r="C1010">
        <v>2</v>
      </c>
      <c r="D1010">
        <v>30.49</v>
      </c>
      <c r="F1010" t="s">
        <v>181</v>
      </c>
      <c r="G1010" t="s">
        <v>28</v>
      </c>
      <c r="H1010">
        <v>669465719</v>
      </c>
      <c r="I1010" t="s">
        <v>29</v>
      </c>
      <c r="K1010" t="str">
        <f>IF(Table3[[#This Row],[Type Received]]=2,"CC",(IF(Table3[[#This Row],[Type Received]]=3,"BILL","ACH")))</f>
        <v>CC</v>
      </c>
    </row>
    <row r="1011" spans="1:11" x14ac:dyDescent="0.25">
      <c r="A1011">
        <v>259855</v>
      </c>
      <c r="B1011" s="3">
        <v>46167</v>
      </c>
      <c r="C1011">
        <v>1</v>
      </c>
      <c r="D1011">
        <v>26.97</v>
      </c>
      <c r="G1011" t="s">
        <v>85</v>
      </c>
      <c r="H1011">
        <v>818346453</v>
      </c>
      <c r="I1011" t="s">
        <v>29</v>
      </c>
      <c r="J1011" t="s">
        <v>29</v>
      </c>
      <c r="K1011" t="str">
        <f>IF(Table3[[#This Row],[Type Received]]=2,"CC",(IF(Table3[[#This Row],[Type Received]]=3,"BILL","ACH")))</f>
        <v>ACH</v>
      </c>
    </row>
    <row r="1012" spans="1:11" x14ac:dyDescent="0.25">
      <c r="A1012">
        <v>259850</v>
      </c>
      <c r="B1012" s="3">
        <v>46155</v>
      </c>
      <c r="C1012">
        <v>2</v>
      </c>
      <c r="D1012">
        <v>80.430000000000007</v>
      </c>
      <c r="F1012">
        <v>215548</v>
      </c>
      <c r="G1012" t="s">
        <v>28</v>
      </c>
      <c r="H1012">
        <v>669453015</v>
      </c>
      <c r="I1012" t="s">
        <v>29</v>
      </c>
      <c r="K1012" t="str">
        <f>IF(Table3[[#This Row],[Type Received]]=2,"CC",(IF(Table3[[#This Row],[Type Received]]=3,"BILL","ACH")))</f>
        <v>CC</v>
      </c>
    </row>
    <row r="1013" spans="1:11" x14ac:dyDescent="0.25">
      <c r="A1013">
        <v>259856</v>
      </c>
      <c r="B1013" s="3">
        <v>46143</v>
      </c>
      <c r="C1013">
        <v>1</v>
      </c>
      <c r="D1013">
        <v>48.97</v>
      </c>
      <c r="G1013" t="s">
        <v>84</v>
      </c>
      <c r="H1013">
        <v>522274369</v>
      </c>
      <c r="I1013" t="s">
        <v>29</v>
      </c>
      <c r="J1013" t="s">
        <v>29</v>
      </c>
      <c r="K1013" t="str">
        <f>IF(Table3[[#This Row],[Type Received]]=2,"CC",(IF(Table3[[#This Row],[Type Received]]=3,"BILL","ACH")))</f>
        <v>ACH</v>
      </c>
    </row>
    <row r="1014" spans="1:11" x14ac:dyDescent="0.25">
      <c r="A1014">
        <v>259862</v>
      </c>
      <c r="B1014" s="3">
        <v>46152</v>
      </c>
      <c r="C1014">
        <v>1</v>
      </c>
      <c r="D1014">
        <v>36.43</v>
      </c>
      <c r="G1014" t="s">
        <v>115</v>
      </c>
      <c r="H1014">
        <v>632901272</v>
      </c>
      <c r="I1014" t="s">
        <v>29</v>
      </c>
      <c r="J1014" t="s">
        <v>29</v>
      </c>
      <c r="K1014" t="str">
        <f>IF(Table3[[#This Row],[Type Received]]=2,"CC",(IF(Table3[[#This Row],[Type Received]]=3,"BILL","ACH")))</f>
        <v>ACH</v>
      </c>
    </row>
    <row r="1015" spans="1:11" x14ac:dyDescent="0.25">
      <c r="A1015">
        <v>259849</v>
      </c>
      <c r="B1015" s="3">
        <v>46155</v>
      </c>
      <c r="C1015">
        <v>2</v>
      </c>
      <c r="D1015">
        <v>91.87</v>
      </c>
      <c r="F1015">
        <v>130924</v>
      </c>
      <c r="G1015" t="s">
        <v>28</v>
      </c>
      <c r="H1015">
        <v>669469600</v>
      </c>
      <c r="I1015" t="s">
        <v>29</v>
      </c>
      <c r="K1015" t="str">
        <f>IF(Table3[[#This Row],[Type Received]]=2,"CC",(IF(Table3[[#This Row],[Type Received]]=3,"BILL","ACH")))</f>
        <v>CC</v>
      </c>
    </row>
    <row r="1016" spans="1:11" x14ac:dyDescent="0.25">
      <c r="A1016">
        <v>259851</v>
      </c>
      <c r="B1016" s="3">
        <v>46156</v>
      </c>
      <c r="C1016">
        <v>2</v>
      </c>
      <c r="D1016">
        <v>59.97</v>
      </c>
      <c r="F1016">
        <v>738037</v>
      </c>
      <c r="G1016" t="s">
        <v>28</v>
      </c>
      <c r="H1016">
        <v>682530508</v>
      </c>
      <c r="I1016" t="s">
        <v>29</v>
      </c>
      <c r="J1016" t="s">
        <v>29</v>
      </c>
      <c r="K1016" t="str">
        <f>IF(Table3[[#This Row],[Type Received]]=2,"CC",(IF(Table3[[#This Row],[Type Received]]=3,"BILL","ACH")))</f>
        <v>CC</v>
      </c>
    </row>
    <row r="1017" spans="1:11" x14ac:dyDescent="0.25">
      <c r="A1017">
        <v>259854</v>
      </c>
      <c r="B1017" s="3">
        <v>46167</v>
      </c>
      <c r="C1017">
        <v>1</v>
      </c>
      <c r="D1017">
        <v>61.95</v>
      </c>
      <c r="G1017" t="s">
        <v>85</v>
      </c>
      <c r="H1017">
        <v>818336816</v>
      </c>
      <c r="I1017" t="s">
        <v>29</v>
      </c>
      <c r="K1017" t="str">
        <f>IF(Table3[[#This Row],[Type Received]]=2,"CC",(IF(Table3[[#This Row],[Type Received]]=3,"BILL","ACH")))</f>
        <v>ACH</v>
      </c>
    </row>
    <row r="1018" spans="1:11" x14ac:dyDescent="0.25">
      <c r="A1018">
        <v>259867</v>
      </c>
      <c r="B1018" s="3">
        <v>46143</v>
      </c>
      <c r="C1018">
        <v>1</v>
      </c>
      <c r="D1018">
        <v>57.55</v>
      </c>
      <c r="G1018" t="s">
        <v>84</v>
      </c>
      <c r="H1018">
        <v>522258100</v>
      </c>
      <c r="I1018" t="s">
        <v>29</v>
      </c>
      <c r="J1018" t="s">
        <v>29</v>
      </c>
      <c r="K1018" t="str">
        <f>IF(Table3[[#This Row],[Type Received]]=2,"CC",(IF(Table3[[#This Row],[Type Received]]=3,"BILL","ACH")))</f>
        <v>ACH</v>
      </c>
    </row>
    <row r="1019" spans="1:11" x14ac:dyDescent="0.25">
      <c r="A1019">
        <v>259864</v>
      </c>
      <c r="B1019" s="3">
        <v>46144</v>
      </c>
      <c r="C1019">
        <v>2</v>
      </c>
      <c r="D1019">
        <v>71.849999999999994</v>
      </c>
      <c r="F1019">
        <v>960654</v>
      </c>
      <c r="G1019" t="s">
        <v>28</v>
      </c>
      <c r="H1019">
        <v>535384227</v>
      </c>
      <c r="I1019" t="s">
        <v>29</v>
      </c>
      <c r="J1019" t="s">
        <v>29</v>
      </c>
      <c r="K1019" t="str">
        <f>IF(Table3[[#This Row],[Type Received]]=2,"CC",(IF(Table3[[#This Row],[Type Received]]=3,"BILL","ACH")))</f>
        <v>CC</v>
      </c>
    </row>
    <row r="1020" spans="1:11" x14ac:dyDescent="0.25">
      <c r="A1020">
        <v>259863</v>
      </c>
      <c r="B1020" s="3">
        <v>46158</v>
      </c>
      <c r="C1020">
        <v>2</v>
      </c>
      <c r="D1020">
        <v>75.150000000000006</v>
      </c>
      <c r="F1020">
        <v>16341</v>
      </c>
      <c r="G1020" t="s">
        <v>28</v>
      </c>
      <c r="H1020">
        <v>710036883</v>
      </c>
      <c r="I1020" t="s">
        <v>29</v>
      </c>
      <c r="J1020" t="s">
        <v>29</v>
      </c>
      <c r="K1020" t="str">
        <f>IF(Table3[[#This Row],[Type Received]]=2,"CC",(IF(Table3[[#This Row],[Type Received]]=3,"BILL","ACH")))</f>
        <v>CC</v>
      </c>
    </row>
    <row r="1021" spans="1:11" x14ac:dyDescent="0.25">
      <c r="A1021">
        <v>259868</v>
      </c>
      <c r="B1021" s="3">
        <v>46143</v>
      </c>
      <c r="C1021">
        <v>1</v>
      </c>
      <c r="D1021">
        <v>26.97</v>
      </c>
      <c r="G1021" t="s">
        <v>84</v>
      </c>
      <c r="H1021">
        <v>522259050</v>
      </c>
      <c r="I1021" t="s">
        <v>29</v>
      </c>
      <c r="J1021" t="s">
        <v>29</v>
      </c>
      <c r="K1021" t="str">
        <f>IF(Table3[[#This Row],[Type Received]]=2,"CC",(IF(Table3[[#This Row],[Type Received]]=3,"BILL","ACH")))</f>
        <v>ACH</v>
      </c>
    </row>
    <row r="1022" spans="1:11" x14ac:dyDescent="0.25">
      <c r="A1022">
        <v>259880</v>
      </c>
      <c r="B1022" s="3">
        <v>46143</v>
      </c>
      <c r="C1022">
        <v>1</v>
      </c>
      <c r="D1022">
        <v>76.69</v>
      </c>
      <c r="G1022" t="s">
        <v>84</v>
      </c>
      <c r="H1022">
        <v>522262060</v>
      </c>
      <c r="I1022" t="s">
        <v>29</v>
      </c>
      <c r="K1022" t="str">
        <f>IF(Table3[[#This Row],[Type Received]]=2,"CC",(IF(Table3[[#This Row],[Type Received]]=3,"BILL","ACH")))</f>
        <v>ACH</v>
      </c>
    </row>
    <row r="1023" spans="1:11" x14ac:dyDescent="0.25">
      <c r="A1023">
        <v>259883</v>
      </c>
      <c r="B1023" s="3">
        <v>46157</v>
      </c>
      <c r="C1023">
        <v>1</v>
      </c>
      <c r="D1023">
        <v>100.45</v>
      </c>
      <c r="G1023" t="s">
        <v>87</v>
      </c>
      <c r="H1023">
        <v>696679605</v>
      </c>
      <c r="I1023" t="s">
        <v>29</v>
      </c>
      <c r="J1023" t="s">
        <v>29</v>
      </c>
      <c r="K1023" t="str">
        <f>IF(Table3[[#This Row],[Type Received]]=2,"CC",(IF(Table3[[#This Row],[Type Received]]=3,"BILL","ACH")))</f>
        <v>ACH</v>
      </c>
    </row>
    <row r="1024" spans="1:11" x14ac:dyDescent="0.25">
      <c r="A1024">
        <v>259879</v>
      </c>
      <c r="B1024" s="3">
        <v>46167</v>
      </c>
      <c r="C1024">
        <v>1</v>
      </c>
      <c r="D1024">
        <v>33.79</v>
      </c>
      <c r="G1024" t="s">
        <v>85</v>
      </c>
      <c r="H1024">
        <v>818352198</v>
      </c>
      <c r="I1024" t="s">
        <v>29</v>
      </c>
      <c r="J1024" t="s">
        <v>29</v>
      </c>
      <c r="K1024" t="str">
        <f>IF(Table3[[#This Row],[Type Received]]=2,"CC",(IF(Table3[[#This Row],[Type Received]]=3,"BILL","ACH")))</f>
        <v>ACH</v>
      </c>
    </row>
    <row r="1025" spans="1:11" x14ac:dyDescent="0.25">
      <c r="A1025">
        <v>259877</v>
      </c>
      <c r="B1025" s="3">
        <v>46155</v>
      </c>
      <c r="C1025">
        <v>2</v>
      </c>
      <c r="D1025">
        <v>62.83</v>
      </c>
      <c r="F1025">
        <v>9139</v>
      </c>
      <c r="G1025" t="s">
        <v>28</v>
      </c>
      <c r="H1025">
        <v>669462836</v>
      </c>
      <c r="I1025" t="s">
        <v>29</v>
      </c>
      <c r="J1025" t="s">
        <v>29</v>
      </c>
      <c r="K1025" t="str">
        <f>IF(Table3[[#This Row],[Type Received]]=2,"CC",(IF(Table3[[#This Row],[Type Received]]=3,"BILL","ACH")))</f>
        <v>CC</v>
      </c>
    </row>
    <row r="1026" spans="1:11" x14ac:dyDescent="0.25">
      <c r="A1026">
        <v>259878</v>
      </c>
      <c r="B1026" s="3">
        <v>46167</v>
      </c>
      <c r="C1026">
        <v>1</v>
      </c>
      <c r="D1026">
        <v>112</v>
      </c>
      <c r="G1026" t="s">
        <v>85</v>
      </c>
      <c r="H1026">
        <v>818331965</v>
      </c>
      <c r="I1026" t="s">
        <v>29</v>
      </c>
      <c r="K1026" t="str">
        <f>IF(Table3[[#This Row],[Type Received]]=2,"CC",(IF(Table3[[#This Row],[Type Received]]=3,"BILL","ACH")))</f>
        <v>ACH</v>
      </c>
    </row>
    <row r="1027" spans="1:11" x14ac:dyDescent="0.25">
      <c r="A1027">
        <v>259882</v>
      </c>
      <c r="B1027" s="3">
        <v>46157</v>
      </c>
      <c r="C1027">
        <v>1</v>
      </c>
      <c r="D1027">
        <v>36.1</v>
      </c>
      <c r="G1027" s="4" t="s">
        <v>87</v>
      </c>
      <c r="H1027">
        <v>696678629</v>
      </c>
      <c r="I1027" t="s">
        <v>29</v>
      </c>
      <c r="J1027" t="s">
        <v>29</v>
      </c>
      <c r="K1027" t="str">
        <f>IF(Table3[[#This Row],[Type Received]]=2,"CC",(IF(Table3[[#This Row],[Type Received]]=3,"BILL","ACH")))</f>
        <v>ACH</v>
      </c>
    </row>
    <row r="1028" spans="1:11" x14ac:dyDescent="0.25">
      <c r="A1028">
        <v>259891</v>
      </c>
      <c r="B1028" s="3">
        <v>46167</v>
      </c>
      <c r="C1028">
        <v>1</v>
      </c>
      <c r="D1028">
        <v>53.15</v>
      </c>
      <c r="G1028" t="s">
        <v>85</v>
      </c>
      <c r="H1028">
        <v>818340656</v>
      </c>
      <c r="I1028" t="s">
        <v>29</v>
      </c>
      <c r="J1028" t="s">
        <v>29</v>
      </c>
      <c r="K1028" t="str">
        <f>IF(Table3[[#This Row],[Type Received]]=2,"CC",(IF(Table3[[#This Row],[Type Received]]=3,"BILL","ACH")))</f>
        <v>ACH</v>
      </c>
    </row>
    <row r="1029" spans="1:11" x14ac:dyDescent="0.25">
      <c r="A1029">
        <v>259881</v>
      </c>
      <c r="B1029" s="3">
        <v>46143</v>
      </c>
      <c r="C1029">
        <v>1</v>
      </c>
      <c r="D1029">
        <v>51.17</v>
      </c>
      <c r="G1029" t="s">
        <v>84</v>
      </c>
      <c r="H1029">
        <v>522262028</v>
      </c>
      <c r="I1029" t="s">
        <v>29</v>
      </c>
      <c r="K1029" t="str">
        <f>IF(Table3[[#This Row],[Type Received]]=2,"CC",(IF(Table3[[#This Row],[Type Received]]=3,"BILL","ACH")))</f>
        <v>ACH</v>
      </c>
    </row>
    <row r="1030" spans="1:11" x14ac:dyDescent="0.25">
      <c r="A1030">
        <v>259876</v>
      </c>
      <c r="B1030" s="3">
        <v>46155</v>
      </c>
      <c r="C1030">
        <v>2</v>
      </c>
      <c r="D1030">
        <v>36.869999999999997</v>
      </c>
      <c r="F1030" t="s">
        <v>182</v>
      </c>
      <c r="G1030" t="s">
        <v>28</v>
      </c>
      <c r="H1030">
        <v>669466687</v>
      </c>
      <c r="I1030" t="s">
        <v>29</v>
      </c>
      <c r="J1030" t="s">
        <v>29</v>
      </c>
      <c r="K1030" t="str">
        <f>IF(Table3[[#This Row],[Type Received]]=2,"CC",(IF(Table3[[#This Row],[Type Received]]=3,"BILL","ACH")))</f>
        <v>CC</v>
      </c>
    </row>
    <row r="1031" spans="1:11" x14ac:dyDescent="0.25">
      <c r="A1031">
        <v>259884</v>
      </c>
      <c r="B1031" s="3">
        <v>46157</v>
      </c>
      <c r="C1031">
        <v>1</v>
      </c>
      <c r="D1031">
        <v>37.75</v>
      </c>
      <c r="G1031" s="4" t="s">
        <v>87</v>
      </c>
      <c r="H1031">
        <v>696687267</v>
      </c>
      <c r="I1031" t="s">
        <v>29</v>
      </c>
      <c r="J1031" t="s">
        <v>29</v>
      </c>
      <c r="K1031" t="str">
        <f>IF(Table3[[#This Row],[Type Received]]=2,"CC",(IF(Table3[[#This Row],[Type Received]]=3,"BILL","ACH")))</f>
        <v>ACH</v>
      </c>
    </row>
    <row r="1032" spans="1:11" x14ac:dyDescent="0.25">
      <c r="A1032">
        <v>259895</v>
      </c>
      <c r="B1032" s="3">
        <v>46155</v>
      </c>
      <c r="C1032">
        <v>2</v>
      </c>
      <c r="D1032">
        <v>37.75</v>
      </c>
      <c r="F1032" t="s">
        <v>183</v>
      </c>
      <c r="G1032" t="s">
        <v>28</v>
      </c>
      <c r="H1032">
        <v>669467711</v>
      </c>
      <c r="I1032" t="s">
        <v>29</v>
      </c>
      <c r="J1032" t="s">
        <v>29</v>
      </c>
      <c r="K1032" t="str">
        <f>IF(Table3[[#This Row],[Type Received]]=2,"CC",(IF(Table3[[#This Row],[Type Received]]=3,"BILL","ACH")))</f>
        <v>CC</v>
      </c>
    </row>
    <row r="1033" spans="1:11" x14ac:dyDescent="0.25">
      <c r="A1033">
        <v>259896</v>
      </c>
      <c r="B1033" s="3">
        <v>46155</v>
      </c>
      <c r="C1033">
        <v>2</v>
      </c>
      <c r="D1033">
        <v>134.11000000000001</v>
      </c>
      <c r="F1033" t="s">
        <v>184</v>
      </c>
      <c r="G1033" t="s">
        <v>28</v>
      </c>
      <c r="H1033">
        <v>669472532</v>
      </c>
      <c r="I1033" t="s">
        <v>29</v>
      </c>
      <c r="J1033" t="s">
        <v>29</v>
      </c>
      <c r="K1033" t="str">
        <f>IF(Table3[[#This Row],[Type Received]]=2,"CC",(IF(Table3[[#This Row],[Type Received]]=3,"BILL","ACH")))</f>
        <v>CC</v>
      </c>
    </row>
    <row r="1034" spans="1:11" x14ac:dyDescent="0.25">
      <c r="A1034">
        <v>259893</v>
      </c>
      <c r="B1034" s="3">
        <v>46167</v>
      </c>
      <c r="C1034">
        <v>1</v>
      </c>
      <c r="D1034">
        <v>30.71</v>
      </c>
      <c r="G1034" t="s">
        <v>85</v>
      </c>
      <c r="H1034">
        <v>818330982</v>
      </c>
      <c r="I1034" t="s">
        <v>29</v>
      </c>
      <c r="J1034" t="s">
        <v>29</v>
      </c>
      <c r="K1034" t="str">
        <f>IF(Table3[[#This Row],[Type Received]]=2,"CC",(IF(Table3[[#This Row],[Type Received]]=3,"BILL","ACH")))</f>
        <v>ACH</v>
      </c>
    </row>
    <row r="1035" spans="1:11" x14ac:dyDescent="0.25">
      <c r="A1035">
        <v>259904</v>
      </c>
      <c r="B1035" s="3">
        <v>46164</v>
      </c>
      <c r="C1035">
        <v>3</v>
      </c>
      <c r="D1035">
        <v>39.75</v>
      </c>
      <c r="E1035">
        <v>7342</v>
      </c>
      <c r="J1035" t="s">
        <v>29</v>
      </c>
      <c r="K1035" t="str">
        <f>IF(Table3[[#This Row],[Type Received]]=2,"CC",(IF(Table3[[#This Row],[Type Received]]=3,"BILL","ACH")))</f>
        <v>BILL</v>
      </c>
    </row>
    <row r="1036" spans="1:11" x14ac:dyDescent="0.25">
      <c r="A1036">
        <v>259894</v>
      </c>
      <c r="B1036" s="3">
        <v>46155</v>
      </c>
      <c r="C1036">
        <v>2</v>
      </c>
      <c r="D1036">
        <v>108.7</v>
      </c>
      <c r="F1036">
        <v>252</v>
      </c>
      <c r="G1036" t="s">
        <v>28</v>
      </c>
      <c r="H1036">
        <v>669467701</v>
      </c>
      <c r="I1036" t="s">
        <v>29</v>
      </c>
      <c r="J1036" t="s">
        <v>29</v>
      </c>
      <c r="K1036" t="str">
        <f>IF(Table3[[#This Row],[Type Received]]=2,"CC",(IF(Table3[[#This Row],[Type Received]]=3,"BILL","ACH")))</f>
        <v>CC</v>
      </c>
    </row>
    <row r="1037" spans="1:11" x14ac:dyDescent="0.25">
      <c r="A1037">
        <v>259900</v>
      </c>
      <c r="B1037" s="3">
        <v>46157</v>
      </c>
      <c r="C1037">
        <v>1</v>
      </c>
      <c r="D1037">
        <v>67.12</v>
      </c>
      <c r="G1037" t="s">
        <v>87</v>
      </c>
      <c r="H1037">
        <v>696694128</v>
      </c>
      <c r="I1037" t="s">
        <v>29</v>
      </c>
      <c r="J1037" t="s">
        <v>29</v>
      </c>
      <c r="K1037" t="str">
        <f>IF(Table3[[#This Row],[Type Received]]=2,"CC",(IF(Table3[[#This Row],[Type Received]]=3,"BILL","ACH")))</f>
        <v>ACH</v>
      </c>
    </row>
    <row r="1038" spans="1:11" x14ac:dyDescent="0.25">
      <c r="A1038">
        <v>259901</v>
      </c>
      <c r="B1038" s="3">
        <v>46164</v>
      </c>
      <c r="C1038">
        <v>1</v>
      </c>
      <c r="D1038">
        <v>100.45</v>
      </c>
      <c r="G1038" t="s">
        <v>118</v>
      </c>
      <c r="H1038">
        <v>784587709</v>
      </c>
      <c r="I1038" t="s">
        <v>29</v>
      </c>
      <c r="J1038" t="s">
        <v>29</v>
      </c>
      <c r="K1038" t="str">
        <f>IF(Table3[[#This Row],[Type Received]]=2,"CC",(IF(Table3[[#This Row],[Type Received]]=3,"BILL","ACH")))</f>
        <v>ACH</v>
      </c>
    </row>
    <row r="1039" spans="1:11" x14ac:dyDescent="0.25">
      <c r="A1039">
        <v>259901</v>
      </c>
      <c r="B1039" s="3">
        <v>46157</v>
      </c>
      <c r="C1039">
        <v>1</v>
      </c>
      <c r="D1039">
        <v>100.45</v>
      </c>
      <c r="G1039" t="s">
        <v>87</v>
      </c>
      <c r="H1039">
        <v>696678663</v>
      </c>
      <c r="I1039" t="s">
        <v>29</v>
      </c>
      <c r="K1039" t="str">
        <f>IF(Table3[[#This Row],[Type Received]]=2,"CC",(IF(Table3[[#This Row],[Type Received]]=3,"BILL","ACH")))</f>
        <v>ACH</v>
      </c>
    </row>
    <row r="1040" spans="1:11" x14ac:dyDescent="0.25">
      <c r="A1040">
        <v>259914</v>
      </c>
      <c r="B1040" s="3">
        <v>46155</v>
      </c>
      <c r="C1040">
        <v>2</v>
      </c>
      <c r="D1040">
        <v>96.16</v>
      </c>
      <c r="F1040">
        <v>173851</v>
      </c>
      <c r="G1040" t="s">
        <v>28</v>
      </c>
      <c r="H1040">
        <v>669479182</v>
      </c>
      <c r="I1040" t="s">
        <v>29</v>
      </c>
      <c r="J1040" t="s">
        <v>29</v>
      </c>
      <c r="K1040" t="str">
        <f>IF(Table3[[#This Row],[Type Received]]=2,"CC",(IF(Table3[[#This Row],[Type Received]]=3,"BILL","ACH")))</f>
        <v>CC</v>
      </c>
    </row>
    <row r="1041" spans="1:11" x14ac:dyDescent="0.25">
      <c r="A1041">
        <v>259912</v>
      </c>
      <c r="B1041" s="3">
        <v>46155</v>
      </c>
      <c r="C1041">
        <v>2</v>
      </c>
      <c r="D1041">
        <v>136.75</v>
      </c>
      <c r="F1041">
        <v>63300</v>
      </c>
      <c r="G1041" t="s">
        <v>28</v>
      </c>
      <c r="H1041">
        <v>669475468</v>
      </c>
      <c r="I1041" t="s">
        <v>29</v>
      </c>
      <c r="J1041" t="s">
        <v>29</v>
      </c>
      <c r="K1041" t="str">
        <f>IF(Table3[[#This Row],[Type Received]]=2,"CC",(IF(Table3[[#This Row],[Type Received]]=3,"BILL","ACH")))</f>
        <v>CC</v>
      </c>
    </row>
    <row r="1042" spans="1:11" x14ac:dyDescent="0.25">
      <c r="A1042">
        <v>259922</v>
      </c>
      <c r="B1042" s="3">
        <v>46167</v>
      </c>
      <c r="C1042">
        <v>1</v>
      </c>
      <c r="D1042">
        <v>31.15</v>
      </c>
      <c r="G1042" t="s">
        <v>85</v>
      </c>
      <c r="H1042">
        <v>818328027</v>
      </c>
      <c r="I1042" t="s">
        <v>29</v>
      </c>
      <c r="J1042" t="s">
        <v>29</v>
      </c>
      <c r="K1042" t="str">
        <f>IF(Table3[[#This Row],[Type Received]]=2,"CC",(IF(Table3[[#This Row],[Type Received]]=3,"BILL","ACH")))</f>
        <v>ACH</v>
      </c>
    </row>
    <row r="1043" spans="1:11" x14ac:dyDescent="0.25">
      <c r="A1043">
        <v>259910</v>
      </c>
      <c r="B1043" s="3">
        <v>46155</v>
      </c>
      <c r="C1043">
        <v>2</v>
      </c>
      <c r="D1043">
        <v>109.36</v>
      </c>
      <c r="F1043">
        <v>19974</v>
      </c>
      <c r="G1043" t="s">
        <v>28</v>
      </c>
      <c r="H1043">
        <v>669476453</v>
      </c>
      <c r="I1043" t="s">
        <v>29</v>
      </c>
      <c r="J1043" t="s">
        <v>29</v>
      </c>
      <c r="K1043" t="str">
        <f>IF(Table3[[#This Row],[Type Received]]=2,"CC",(IF(Table3[[#This Row],[Type Received]]=3,"BILL","ACH")))</f>
        <v>CC</v>
      </c>
    </row>
    <row r="1044" spans="1:11" x14ac:dyDescent="0.25">
      <c r="A1044">
        <v>259911</v>
      </c>
      <c r="B1044" s="3">
        <v>46155</v>
      </c>
      <c r="C1044">
        <v>2</v>
      </c>
      <c r="D1044">
        <v>85.93</v>
      </c>
      <c r="F1044">
        <v>90304</v>
      </c>
      <c r="G1044" t="s">
        <v>28</v>
      </c>
      <c r="H1044">
        <v>669459932</v>
      </c>
      <c r="I1044" t="s">
        <v>29</v>
      </c>
      <c r="J1044" t="s">
        <v>29</v>
      </c>
      <c r="K1044" t="str">
        <f>IF(Table3[[#This Row],[Type Received]]=2,"CC",(IF(Table3[[#This Row],[Type Received]]=3,"BILL","ACH")))</f>
        <v>CC</v>
      </c>
    </row>
    <row r="1045" spans="1:11" x14ac:dyDescent="0.25">
      <c r="A1045">
        <v>259926</v>
      </c>
      <c r="B1045" s="3">
        <v>46167</v>
      </c>
      <c r="C1045">
        <v>1</v>
      </c>
      <c r="D1045">
        <v>41.71</v>
      </c>
      <c r="G1045" t="s">
        <v>85</v>
      </c>
      <c r="H1045">
        <v>818333039</v>
      </c>
      <c r="I1045" t="s">
        <v>29</v>
      </c>
      <c r="J1045" t="s">
        <v>29</v>
      </c>
      <c r="K1045" t="str">
        <f>IF(Table3[[#This Row],[Type Received]]=2,"CC",(IF(Table3[[#This Row],[Type Received]]=3,"BILL","ACH")))</f>
        <v>ACH</v>
      </c>
    </row>
    <row r="1046" spans="1:11" x14ac:dyDescent="0.25">
      <c r="A1046">
        <v>259924</v>
      </c>
      <c r="B1046" s="3">
        <v>46167</v>
      </c>
      <c r="C1046">
        <v>1</v>
      </c>
      <c r="D1046">
        <v>55.57</v>
      </c>
      <c r="G1046" t="s">
        <v>85</v>
      </c>
      <c r="H1046">
        <v>818351334</v>
      </c>
      <c r="I1046" t="s">
        <v>29</v>
      </c>
      <c r="J1046" t="s">
        <v>29</v>
      </c>
      <c r="K1046" t="str">
        <f>IF(Table3[[#This Row],[Type Received]]=2,"CC",(IF(Table3[[#This Row],[Type Received]]=3,"BILL","ACH")))</f>
        <v>ACH</v>
      </c>
    </row>
    <row r="1047" spans="1:11" x14ac:dyDescent="0.25">
      <c r="A1047">
        <v>259930</v>
      </c>
      <c r="B1047" s="3">
        <v>46145</v>
      </c>
      <c r="C1047">
        <v>1</v>
      </c>
      <c r="D1047">
        <v>45.45</v>
      </c>
      <c r="G1047" t="s">
        <v>113</v>
      </c>
      <c r="H1047">
        <v>546427272</v>
      </c>
      <c r="I1047" t="s">
        <v>29</v>
      </c>
      <c r="K1047" t="str">
        <f>IF(Table3[[#This Row],[Type Received]]=2,"CC",(IF(Table3[[#This Row],[Type Received]]=3,"BILL","ACH")))</f>
        <v>ACH</v>
      </c>
    </row>
    <row r="1048" spans="1:11" x14ac:dyDescent="0.25">
      <c r="A1048">
        <v>259923</v>
      </c>
      <c r="B1048" s="3">
        <v>46167</v>
      </c>
      <c r="C1048">
        <v>1</v>
      </c>
      <c r="D1048">
        <v>85.6</v>
      </c>
      <c r="G1048" t="s">
        <v>85</v>
      </c>
      <c r="H1048">
        <v>818335983</v>
      </c>
      <c r="I1048" t="s">
        <v>29</v>
      </c>
      <c r="J1048" t="s">
        <v>29</v>
      </c>
      <c r="K1048" t="str">
        <f>IF(Table3[[#This Row],[Type Received]]=2,"CC",(IF(Table3[[#This Row],[Type Received]]=3,"BILL","ACH")))</f>
        <v>ACH</v>
      </c>
    </row>
    <row r="1049" spans="1:11" x14ac:dyDescent="0.25">
      <c r="A1049">
        <v>259913</v>
      </c>
      <c r="B1049" s="3">
        <v>46155</v>
      </c>
      <c r="C1049">
        <v>2</v>
      </c>
      <c r="D1049">
        <v>161.83000000000001</v>
      </c>
      <c r="F1049">
        <v>150923</v>
      </c>
      <c r="G1049" t="s">
        <v>28</v>
      </c>
      <c r="H1049">
        <v>669471596</v>
      </c>
      <c r="I1049" t="s">
        <v>29</v>
      </c>
      <c r="J1049" t="s">
        <v>29</v>
      </c>
      <c r="K1049" t="str">
        <f>IF(Table3[[#This Row],[Type Received]]=2,"CC",(IF(Table3[[#This Row],[Type Received]]=3,"BILL","ACH")))</f>
        <v>CC</v>
      </c>
    </row>
    <row r="1050" spans="1:11" x14ac:dyDescent="0.25">
      <c r="A1050">
        <v>259925</v>
      </c>
      <c r="B1050" s="3">
        <v>46167</v>
      </c>
      <c r="C1050">
        <v>1</v>
      </c>
      <c r="D1050">
        <v>42.81</v>
      </c>
      <c r="G1050" t="s">
        <v>85</v>
      </c>
      <c r="H1050">
        <v>818334964</v>
      </c>
      <c r="I1050" t="s">
        <v>29</v>
      </c>
      <c r="J1050" t="s">
        <v>29</v>
      </c>
      <c r="K1050" t="str">
        <f>IF(Table3[[#This Row],[Type Received]]=2,"CC",(IF(Table3[[#This Row],[Type Received]]=3,"BILL","ACH")))</f>
        <v>ACH</v>
      </c>
    </row>
    <row r="1051" spans="1:11" x14ac:dyDescent="0.25">
      <c r="A1051">
        <v>259917</v>
      </c>
      <c r="B1051" s="3">
        <v>46143</v>
      </c>
      <c r="C1051">
        <v>2</v>
      </c>
      <c r="D1051">
        <v>33.57</v>
      </c>
      <c r="F1051">
        <v>96107</v>
      </c>
      <c r="G1051" s="4" t="s">
        <v>28</v>
      </c>
      <c r="H1051">
        <v>522280364</v>
      </c>
      <c r="I1051" t="s">
        <v>29</v>
      </c>
      <c r="J1051" t="s">
        <v>29</v>
      </c>
      <c r="K1051" t="str">
        <f>IF(Table3[[#This Row],[Type Received]]=2,"CC",(IF(Table3[[#This Row],[Type Received]]=3,"BILL","ACH")))</f>
        <v>CC</v>
      </c>
    </row>
    <row r="1052" spans="1:11" x14ac:dyDescent="0.25">
      <c r="A1052">
        <v>259918</v>
      </c>
      <c r="B1052" s="3">
        <v>46157</v>
      </c>
      <c r="C1052">
        <v>1</v>
      </c>
      <c r="D1052">
        <v>111.67</v>
      </c>
      <c r="G1052" s="4" t="s">
        <v>87</v>
      </c>
      <c r="H1052">
        <v>696685476</v>
      </c>
      <c r="I1052" t="s">
        <v>29</v>
      </c>
      <c r="J1052" t="s">
        <v>29</v>
      </c>
      <c r="K1052" t="str">
        <f>IF(Table3[[#This Row],[Type Received]]=2,"CC",(IF(Table3[[#This Row],[Type Received]]=3,"BILL","ACH")))</f>
        <v>ACH</v>
      </c>
    </row>
    <row r="1053" spans="1:11" x14ac:dyDescent="0.25">
      <c r="A1053">
        <v>259927</v>
      </c>
      <c r="B1053" s="3">
        <v>46143</v>
      </c>
      <c r="C1053">
        <v>1</v>
      </c>
      <c r="D1053">
        <v>66.13</v>
      </c>
      <c r="G1053" s="4" t="s">
        <v>84</v>
      </c>
      <c r="H1053">
        <v>522270800</v>
      </c>
      <c r="I1053" t="s">
        <v>29</v>
      </c>
      <c r="J1053" t="s">
        <v>29</v>
      </c>
      <c r="K1053" t="str">
        <f>IF(Table3[[#This Row],[Type Received]]=2,"CC",(IF(Table3[[#This Row],[Type Received]]=3,"BILL","ACH")))</f>
        <v>ACH</v>
      </c>
    </row>
    <row r="1054" spans="1:11" x14ac:dyDescent="0.25">
      <c r="A1054">
        <v>259932</v>
      </c>
      <c r="B1054" s="3">
        <v>46146</v>
      </c>
      <c r="C1054">
        <v>1</v>
      </c>
      <c r="D1054">
        <v>34.450000000000003</v>
      </c>
      <c r="G1054" t="s">
        <v>92</v>
      </c>
      <c r="H1054">
        <v>557092450</v>
      </c>
      <c r="I1054" t="s">
        <v>29</v>
      </c>
      <c r="J1054" t="s">
        <v>29</v>
      </c>
      <c r="K1054" t="str">
        <f>IF(Table3[[#This Row],[Type Received]]=2,"CC",(IF(Table3[[#This Row],[Type Received]]=3,"BILL","ACH")))</f>
        <v>ACH</v>
      </c>
    </row>
    <row r="1055" spans="1:11" x14ac:dyDescent="0.25">
      <c r="A1055">
        <v>259933</v>
      </c>
      <c r="B1055" s="3">
        <v>46145</v>
      </c>
      <c r="C1055">
        <v>1</v>
      </c>
      <c r="D1055">
        <v>39.07</v>
      </c>
      <c r="G1055" s="4" t="s">
        <v>113</v>
      </c>
      <c r="H1055">
        <v>546406037</v>
      </c>
      <c r="I1055" t="s">
        <v>29</v>
      </c>
      <c r="J1055" t="s">
        <v>29</v>
      </c>
      <c r="K1055" t="str">
        <f>IF(Table3[[#This Row],[Type Received]]=2,"CC",(IF(Table3[[#This Row],[Type Received]]=3,"BILL","ACH")))</f>
        <v>ACH</v>
      </c>
    </row>
    <row r="1056" spans="1:11" x14ac:dyDescent="0.25">
      <c r="A1056">
        <v>259934</v>
      </c>
      <c r="B1056" s="3">
        <v>46146</v>
      </c>
      <c r="C1056">
        <v>1</v>
      </c>
      <c r="D1056">
        <v>50.51</v>
      </c>
      <c r="G1056" t="s">
        <v>92</v>
      </c>
      <c r="H1056">
        <v>557083635</v>
      </c>
      <c r="I1056" t="s">
        <v>29</v>
      </c>
      <c r="J1056" t="s">
        <v>29</v>
      </c>
      <c r="K1056" t="str">
        <f>IF(Table3[[#This Row],[Type Received]]=2,"CC",(IF(Table3[[#This Row],[Type Received]]=3,"BILL","ACH")))</f>
        <v>ACH</v>
      </c>
    </row>
    <row r="1057" spans="1:11" x14ac:dyDescent="0.25">
      <c r="A1057">
        <v>259940</v>
      </c>
      <c r="B1057" s="3">
        <v>46147</v>
      </c>
      <c r="C1057">
        <v>3</v>
      </c>
      <c r="D1057">
        <v>118.95</v>
      </c>
      <c r="E1057">
        <v>9332</v>
      </c>
      <c r="K1057" t="str">
        <f>IF(Table3[[#This Row],[Type Received]]=2,"CC",(IF(Table3[[#This Row],[Type Received]]=3,"BILL","ACH")))</f>
        <v>BILL</v>
      </c>
    </row>
    <row r="1058" spans="1:11" x14ac:dyDescent="0.25">
      <c r="A1058">
        <v>259947</v>
      </c>
      <c r="B1058" s="3">
        <v>46145</v>
      </c>
      <c r="C1058">
        <v>1</v>
      </c>
      <c r="D1058">
        <v>80.650000000000006</v>
      </c>
      <c r="G1058" t="s">
        <v>113</v>
      </c>
      <c r="H1058">
        <v>546412950</v>
      </c>
      <c r="I1058" t="s">
        <v>29</v>
      </c>
      <c r="J1058" t="s">
        <v>29</v>
      </c>
      <c r="K1058" t="str">
        <f>IF(Table3[[#This Row],[Type Received]]=2,"CC",(IF(Table3[[#This Row],[Type Received]]=3,"BILL","ACH")))</f>
        <v>ACH</v>
      </c>
    </row>
    <row r="1059" spans="1:11" x14ac:dyDescent="0.25">
      <c r="A1059">
        <v>259951</v>
      </c>
      <c r="B1059" s="3">
        <v>46155</v>
      </c>
      <c r="C1059">
        <v>2</v>
      </c>
      <c r="D1059">
        <v>55.79</v>
      </c>
      <c r="F1059">
        <v>306</v>
      </c>
      <c r="G1059" s="4" t="s">
        <v>28</v>
      </c>
      <c r="H1059">
        <v>669456097</v>
      </c>
      <c r="I1059" t="s">
        <v>29</v>
      </c>
      <c r="J1059" t="s">
        <v>29</v>
      </c>
      <c r="K1059" t="str">
        <f>IF(Table3[[#This Row],[Type Received]]=2,"CC",(IF(Table3[[#This Row],[Type Received]]=3,"BILL","ACH")))</f>
        <v>CC</v>
      </c>
    </row>
    <row r="1060" spans="1:11" x14ac:dyDescent="0.25">
      <c r="A1060">
        <v>259950</v>
      </c>
      <c r="B1060" s="3">
        <v>46155</v>
      </c>
      <c r="C1060">
        <v>2</v>
      </c>
      <c r="D1060">
        <v>88.79</v>
      </c>
      <c r="F1060">
        <v>987405</v>
      </c>
      <c r="G1060" t="s">
        <v>28</v>
      </c>
      <c r="H1060">
        <v>669467787</v>
      </c>
      <c r="I1060" t="s">
        <v>29</v>
      </c>
      <c r="J1060" t="s">
        <v>29</v>
      </c>
      <c r="K1060" t="str">
        <f>IF(Table3[[#This Row],[Type Received]]=2,"CC",(IF(Table3[[#This Row],[Type Received]]=3,"BILL","ACH")))</f>
        <v>CC</v>
      </c>
    </row>
    <row r="1061" spans="1:11" x14ac:dyDescent="0.25">
      <c r="A1061">
        <v>259955</v>
      </c>
      <c r="B1061" s="3">
        <v>46145</v>
      </c>
      <c r="C1061">
        <v>1</v>
      </c>
      <c r="D1061">
        <v>82.19</v>
      </c>
      <c r="G1061" t="s">
        <v>113</v>
      </c>
      <c r="H1061">
        <v>546434112</v>
      </c>
      <c r="I1061" t="s">
        <v>29</v>
      </c>
      <c r="J1061" t="s">
        <v>29</v>
      </c>
      <c r="K1061" t="str">
        <f>IF(Table3[[#This Row],[Type Received]]=2,"CC",(IF(Table3[[#This Row],[Type Received]]=3,"BILL","ACH")))</f>
        <v>ACH</v>
      </c>
    </row>
    <row r="1062" spans="1:11" x14ac:dyDescent="0.25">
      <c r="A1062">
        <v>259956</v>
      </c>
      <c r="B1062" s="3">
        <v>46145</v>
      </c>
      <c r="C1062">
        <v>2</v>
      </c>
      <c r="D1062">
        <v>101.11</v>
      </c>
      <c r="F1062">
        <v>153256</v>
      </c>
      <c r="G1062" t="s">
        <v>28</v>
      </c>
      <c r="H1062">
        <v>546412853</v>
      </c>
      <c r="I1062" t="s">
        <v>29</v>
      </c>
      <c r="J1062" t="s">
        <v>29</v>
      </c>
      <c r="K1062" t="str">
        <f>IF(Table3[[#This Row],[Type Received]]=2,"CC",(IF(Table3[[#This Row],[Type Received]]=3,"BILL","ACH")))</f>
        <v>CC</v>
      </c>
    </row>
    <row r="1063" spans="1:11" x14ac:dyDescent="0.25">
      <c r="A1063">
        <v>259964</v>
      </c>
      <c r="B1063" s="3">
        <v>46155</v>
      </c>
      <c r="C1063">
        <v>2</v>
      </c>
      <c r="D1063">
        <v>101.55</v>
      </c>
      <c r="F1063">
        <v>259358</v>
      </c>
      <c r="G1063" t="s">
        <v>28</v>
      </c>
      <c r="H1063">
        <v>669466849</v>
      </c>
      <c r="I1063" t="s">
        <v>29</v>
      </c>
      <c r="J1063" t="s">
        <v>29</v>
      </c>
      <c r="K1063" t="str">
        <f>IF(Table3[[#This Row],[Type Received]]=2,"CC",(IF(Table3[[#This Row],[Type Received]]=3,"BILL","ACH")))</f>
        <v>CC</v>
      </c>
    </row>
    <row r="1064" spans="1:11" x14ac:dyDescent="0.25">
      <c r="A1064">
        <v>259975</v>
      </c>
      <c r="B1064" s="3">
        <v>46144</v>
      </c>
      <c r="C1064">
        <v>1</v>
      </c>
      <c r="D1064">
        <v>117.28</v>
      </c>
      <c r="G1064" t="s">
        <v>89</v>
      </c>
      <c r="H1064">
        <v>535365604</v>
      </c>
      <c r="I1064" t="s">
        <v>29</v>
      </c>
      <c r="J1064" t="s">
        <v>29</v>
      </c>
      <c r="K1064" t="str">
        <f>IF(Table3[[#This Row],[Type Received]]=2,"CC",(IF(Table3[[#This Row],[Type Received]]=3,"BILL","ACH")))</f>
        <v>ACH</v>
      </c>
    </row>
    <row r="1065" spans="1:11" x14ac:dyDescent="0.25">
      <c r="A1065">
        <v>259970</v>
      </c>
      <c r="B1065" s="3">
        <v>46144</v>
      </c>
      <c r="C1065">
        <v>2</v>
      </c>
      <c r="D1065">
        <v>70.31</v>
      </c>
      <c r="F1065">
        <v>30121</v>
      </c>
      <c r="G1065" t="s">
        <v>28</v>
      </c>
      <c r="H1065">
        <v>535366611</v>
      </c>
      <c r="I1065" t="s">
        <v>29</v>
      </c>
      <c r="J1065" t="s">
        <v>29</v>
      </c>
      <c r="K1065" t="str">
        <f>IF(Table3[[#This Row],[Type Received]]=2,"CC",(IF(Table3[[#This Row],[Type Received]]=3,"BILL","ACH")))</f>
        <v>CC</v>
      </c>
    </row>
    <row r="1066" spans="1:11" x14ac:dyDescent="0.25">
      <c r="A1066">
        <v>259962</v>
      </c>
      <c r="B1066" s="3">
        <v>46155</v>
      </c>
      <c r="C1066">
        <v>2</v>
      </c>
      <c r="D1066">
        <v>80.650000000000006</v>
      </c>
      <c r="F1066">
        <v>97287</v>
      </c>
      <c r="G1066" t="s">
        <v>28</v>
      </c>
      <c r="H1066">
        <v>669468816</v>
      </c>
      <c r="I1066" t="s">
        <v>29</v>
      </c>
      <c r="J1066" t="s">
        <v>29</v>
      </c>
      <c r="K1066" t="str">
        <f>IF(Table3[[#This Row],[Type Received]]=2,"CC",(IF(Table3[[#This Row],[Type Received]]=3,"BILL","ACH")))</f>
        <v>CC</v>
      </c>
    </row>
    <row r="1067" spans="1:11" x14ac:dyDescent="0.25">
      <c r="A1067">
        <v>259974</v>
      </c>
      <c r="B1067" s="3">
        <v>46164</v>
      </c>
      <c r="C1067">
        <v>1</v>
      </c>
      <c r="D1067">
        <v>68.77</v>
      </c>
      <c r="G1067" t="s">
        <v>118</v>
      </c>
      <c r="H1067">
        <v>785603404</v>
      </c>
      <c r="I1067" t="s">
        <v>29</v>
      </c>
      <c r="J1067" t="s">
        <v>29</v>
      </c>
      <c r="K1067" t="str">
        <f>IF(Table3[[#This Row],[Type Received]]=2,"CC",(IF(Table3[[#This Row],[Type Received]]=3,"BILL","ACH")))</f>
        <v>ACH</v>
      </c>
    </row>
    <row r="1068" spans="1:11" x14ac:dyDescent="0.25">
      <c r="A1068">
        <v>259966</v>
      </c>
      <c r="B1068" s="3">
        <v>46155</v>
      </c>
      <c r="C1068">
        <v>2</v>
      </c>
      <c r="D1068">
        <v>36.869999999999997</v>
      </c>
      <c r="F1068">
        <v>90307</v>
      </c>
      <c r="G1068" t="s">
        <v>28</v>
      </c>
      <c r="H1068">
        <v>669477388</v>
      </c>
      <c r="I1068" t="s">
        <v>29</v>
      </c>
      <c r="J1068" t="s">
        <v>29</v>
      </c>
      <c r="K1068" t="str">
        <f>IF(Table3[[#This Row],[Type Received]]=2,"CC",(IF(Table3[[#This Row],[Type Received]]=3,"BILL","ACH")))</f>
        <v>CC</v>
      </c>
    </row>
    <row r="1069" spans="1:11" x14ac:dyDescent="0.25">
      <c r="A1069">
        <v>259961</v>
      </c>
      <c r="B1069" s="3">
        <v>46155</v>
      </c>
      <c r="C1069">
        <v>2</v>
      </c>
      <c r="D1069">
        <v>46.99</v>
      </c>
      <c r="F1069">
        <v>329737</v>
      </c>
      <c r="G1069" t="s">
        <v>28</v>
      </c>
      <c r="H1069">
        <v>669485105</v>
      </c>
      <c r="I1069" t="s">
        <v>29</v>
      </c>
      <c r="J1069" t="s">
        <v>29</v>
      </c>
      <c r="K1069" t="str">
        <f>IF(Table3[[#This Row],[Type Received]]=2,"CC",(IF(Table3[[#This Row],[Type Received]]=3,"BILL","ACH")))</f>
        <v>CC</v>
      </c>
    </row>
    <row r="1070" spans="1:11" x14ac:dyDescent="0.25">
      <c r="A1070">
        <v>259967</v>
      </c>
      <c r="B1070" s="3">
        <v>46155</v>
      </c>
      <c r="C1070">
        <v>2</v>
      </c>
      <c r="D1070">
        <v>76.69</v>
      </c>
      <c r="F1070">
        <v>13395</v>
      </c>
      <c r="G1070" s="4" t="s">
        <v>28</v>
      </c>
      <c r="H1070">
        <v>669458035</v>
      </c>
      <c r="I1070" t="s">
        <v>29</v>
      </c>
      <c r="J1070" t="s">
        <v>29</v>
      </c>
      <c r="K1070" t="str">
        <f>IF(Table3[[#This Row],[Type Received]]=2,"CC",(IF(Table3[[#This Row],[Type Received]]=3,"BILL","ACH")))</f>
        <v>CC</v>
      </c>
    </row>
    <row r="1071" spans="1:11" x14ac:dyDescent="0.25">
      <c r="A1071">
        <v>259960</v>
      </c>
      <c r="B1071" s="3">
        <v>46155</v>
      </c>
      <c r="C1071">
        <v>2</v>
      </c>
      <c r="D1071">
        <v>41.93</v>
      </c>
      <c r="F1071">
        <v>13490</v>
      </c>
      <c r="G1071" t="s">
        <v>28</v>
      </c>
      <c r="H1071">
        <v>669473621</v>
      </c>
      <c r="I1071" t="s">
        <v>29</v>
      </c>
      <c r="J1071" t="s">
        <v>29</v>
      </c>
      <c r="K1071" t="str">
        <f>IF(Table3[[#This Row],[Type Received]]=2,"CC",(IF(Table3[[#This Row],[Type Received]]=3,"BILL","ACH")))</f>
        <v>CC</v>
      </c>
    </row>
    <row r="1072" spans="1:11" x14ac:dyDescent="0.25">
      <c r="A1072">
        <v>259963</v>
      </c>
      <c r="B1072" s="3">
        <v>46155</v>
      </c>
      <c r="C1072">
        <v>2</v>
      </c>
      <c r="D1072">
        <v>46.11</v>
      </c>
      <c r="F1072">
        <v>88237</v>
      </c>
      <c r="G1072" t="s">
        <v>28</v>
      </c>
      <c r="H1072">
        <v>669478355</v>
      </c>
      <c r="I1072" t="s">
        <v>29</v>
      </c>
      <c r="J1072" t="s">
        <v>29</v>
      </c>
      <c r="K1072" t="str">
        <f>IF(Table3[[#This Row],[Type Received]]=2,"CC",(IF(Table3[[#This Row],[Type Received]]=3,"BILL","ACH")))</f>
        <v>CC</v>
      </c>
    </row>
    <row r="1073" spans="1:11" x14ac:dyDescent="0.25">
      <c r="A1073">
        <v>259982</v>
      </c>
      <c r="B1073" s="3">
        <v>46149</v>
      </c>
      <c r="C1073">
        <v>3</v>
      </c>
      <c r="D1073">
        <v>188.5</v>
      </c>
      <c r="E1073">
        <v>308</v>
      </c>
      <c r="J1073" t="s">
        <v>29</v>
      </c>
      <c r="K1073" t="str">
        <f>IF(Table3[[#This Row],[Type Received]]=2,"CC",(IF(Table3[[#This Row],[Type Received]]=3,"BILL","ACH")))</f>
        <v>BILL</v>
      </c>
    </row>
    <row r="1074" spans="1:11" x14ac:dyDescent="0.25">
      <c r="A1074">
        <v>259969</v>
      </c>
      <c r="B1074" s="3">
        <v>46144</v>
      </c>
      <c r="C1074">
        <v>1</v>
      </c>
      <c r="D1074">
        <v>80.209999999999994</v>
      </c>
      <c r="G1074" t="s">
        <v>89</v>
      </c>
      <c r="H1074">
        <v>535354033</v>
      </c>
      <c r="I1074" t="s">
        <v>29</v>
      </c>
      <c r="K1074" t="str">
        <f>IF(Table3[[#This Row],[Type Received]]=2,"CC",(IF(Table3[[#This Row],[Type Received]]=3,"BILL","ACH")))</f>
        <v>ACH</v>
      </c>
    </row>
    <row r="1075" spans="1:11" x14ac:dyDescent="0.25">
      <c r="A1075">
        <v>259971</v>
      </c>
      <c r="B1075" s="3">
        <v>46145</v>
      </c>
      <c r="C1075">
        <v>1</v>
      </c>
      <c r="D1075">
        <v>52.93</v>
      </c>
      <c r="G1075" s="4" t="s">
        <v>113</v>
      </c>
      <c r="H1075">
        <v>546410920</v>
      </c>
      <c r="I1075" t="s">
        <v>29</v>
      </c>
      <c r="J1075" t="s">
        <v>29</v>
      </c>
      <c r="K1075" t="str">
        <f>IF(Table3[[#This Row],[Type Received]]=2,"CC",(IF(Table3[[#This Row],[Type Received]]=3,"BILL","ACH")))</f>
        <v>ACH</v>
      </c>
    </row>
    <row r="1076" spans="1:11" x14ac:dyDescent="0.25">
      <c r="A1076">
        <v>259985</v>
      </c>
      <c r="B1076" s="3">
        <v>46144</v>
      </c>
      <c r="C1076">
        <v>1</v>
      </c>
      <c r="D1076">
        <v>126.85</v>
      </c>
      <c r="G1076" t="s">
        <v>89</v>
      </c>
      <c r="H1076">
        <v>535371362</v>
      </c>
      <c r="I1076" t="s">
        <v>29</v>
      </c>
      <c r="J1076" t="s">
        <v>29</v>
      </c>
      <c r="K1076" t="str">
        <f>IF(Table3[[#This Row],[Type Received]]=2,"CC",(IF(Table3[[#This Row],[Type Received]]=3,"BILL","ACH")))</f>
        <v>ACH</v>
      </c>
    </row>
    <row r="1077" spans="1:11" x14ac:dyDescent="0.25">
      <c r="A1077">
        <v>259988</v>
      </c>
      <c r="B1077" s="3">
        <v>46144</v>
      </c>
      <c r="C1077">
        <v>2</v>
      </c>
      <c r="D1077">
        <v>56.89</v>
      </c>
      <c r="F1077">
        <v>90511</v>
      </c>
      <c r="G1077" s="4" t="s">
        <v>28</v>
      </c>
      <c r="H1077">
        <v>535381117</v>
      </c>
      <c r="I1077" t="s">
        <v>29</v>
      </c>
      <c r="K1077" t="str">
        <f>IF(Table3[[#This Row],[Type Received]]=2,"CC",(IF(Table3[[#This Row],[Type Received]]=3,"BILL","ACH")))</f>
        <v>CC</v>
      </c>
    </row>
    <row r="1078" spans="1:11" x14ac:dyDescent="0.25">
      <c r="A1078">
        <v>260003</v>
      </c>
      <c r="B1078" s="3">
        <v>46150</v>
      </c>
      <c r="C1078">
        <v>3</v>
      </c>
      <c r="D1078">
        <v>43.05</v>
      </c>
      <c r="E1078">
        <v>55238986749</v>
      </c>
      <c r="K1078" t="str">
        <f>IF(Table3[[#This Row],[Type Received]]=2,"CC",(IF(Table3[[#This Row],[Type Received]]=3,"BILL","ACH")))</f>
        <v>BILL</v>
      </c>
    </row>
    <row r="1079" spans="1:11" x14ac:dyDescent="0.25">
      <c r="A1079">
        <v>259993</v>
      </c>
      <c r="B1079" s="3">
        <v>46155</v>
      </c>
      <c r="C1079">
        <v>2</v>
      </c>
      <c r="D1079">
        <v>148.96</v>
      </c>
      <c r="F1079">
        <v>150437</v>
      </c>
      <c r="G1079" s="4" t="s">
        <v>28</v>
      </c>
      <c r="H1079">
        <v>669481250</v>
      </c>
      <c r="I1079" t="s">
        <v>29</v>
      </c>
      <c r="K1079" t="str">
        <f>IF(Table3[[#This Row],[Type Received]]=2,"CC",(IF(Table3[[#This Row],[Type Received]]=3,"BILL","ACH")))</f>
        <v>CC</v>
      </c>
    </row>
    <row r="1080" spans="1:11" x14ac:dyDescent="0.25">
      <c r="A1080">
        <v>259999</v>
      </c>
      <c r="B1080" s="3">
        <v>46167</v>
      </c>
      <c r="C1080">
        <v>1</v>
      </c>
      <c r="D1080">
        <v>51.61</v>
      </c>
      <c r="G1080" s="4" t="s">
        <v>85</v>
      </c>
      <c r="H1080">
        <v>818329023</v>
      </c>
      <c r="I1080" t="s">
        <v>29</v>
      </c>
      <c r="J1080" t="s">
        <v>29</v>
      </c>
      <c r="K1080" t="str">
        <f>IF(Table3[[#This Row],[Type Received]]=2,"CC",(IF(Table3[[#This Row],[Type Received]]=3,"BILL","ACH")))</f>
        <v>ACH</v>
      </c>
    </row>
    <row r="1081" spans="1:11" x14ac:dyDescent="0.25">
      <c r="A1081">
        <v>260001</v>
      </c>
      <c r="B1081" s="3">
        <v>46153</v>
      </c>
      <c r="C1081">
        <v>2</v>
      </c>
      <c r="D1081">
        <v>145.82</v>
      </c>
      <c r="F1081">
        <v>10300</v>
      </c>
      <c r="G1081">
        <v>744352488</v>
      </c>
      <c r="H1081">
        <v>354186409</v>
      </c>
      <c r="J1081" t="s">
        <v>29</v>
      </c>
      <c r="K1081" t="str">
        <f>IF(Table3[[#This Row],[Type Received]]=2,"CC",(IF(Table3[[#This Row],[Type Received]]=3,"BILL","ACH")))</f>
        <v>CC</v>
      </c>
    </row>
    <row r="1082" spans="1:11" x14ac:dyDescent="0.25">
      <c r="A1082">
        <v>259998</v>
      </c>
      <c r="B1082" s="3">
        <v>46167</v>
      </c>
      <c r="C1082">
        <v>1</v>
      </c>
      <c r="D1082">
        <v>85.05</v>
      </c>
      <c r="G1082" t="s">
        <v>85</v>
      </c>
      <c r="H1082">
        <v>818348473</v>
      </c>
      <c r="I1082" t="s">
        <v>29</v>
      </c>
      <c r="K1082" t="str">
        <f>IF(Table3[[#This Row],[Type Received]]=2,"CC",(IF(Table3[[#This Row],[Type Received]]=3,"BILL","ACH")))</f>
        <v>ACH</v>
      </c>
    </row>
    <row r="1083" spans="1:11" x14ac:dyDescent="0.25">
      <c r="A1083">
        <v>260009</v>
      </c>
      <c r="B1083" s="3">
        <v>46155</v>
      </c>
      <c r="C1083">
        <v>2</v>
      </c>
      <c r="D1083">
        <v>45.01</v>
      </c>
      <c r="F1083" t="s">
        <v>185</v>
      </c>
      <c r="G1083" s="4" t="s">
        <v>28</v>
      </c>
      <c r="H1083">
        <v>669487121</v>
      </c>
      <c r="I1083" t="s">
        <v>29</v>
      </c>
      <c r="K1083" t="str">
        <f>IF(Table3[[#This Row],[Type Received]]=2,"CC",(IF(Table3[[#This Row],[Type Received]]=3,"BILL","ACH")))</f>
        <v>CC</v>
      </c>
    </row>
    <row r="1084" spans="1:11" x14ac:dyDescent="0.25">
      <c r="A1084">
        <v>260021</v>
      </c>
      <c r="B1084" s="3">
        <v>46144</v>
      </c>
      <c r="C1084">
        <v>1</v>
      </c>
      <c r="D1084">
        <v>39.950000000000003</v>
      </c>
      <c r="G1084" t="s">
        <v>89</v>
      </c>
      <c r="H1084">
        <v>535372367</v>
      </c>
      <c r="I1084" t="s">
        <v>29</v>
      </c>
      <c r="J1084" t="s">
        <v>29</v>
      </c>
      <c r="K1084" t="str">
        <f>IF(Table3[[#This Row],[Type Received]]=2,"CC",(IF(Table3[[#This Row],[Type Received]]=3,"BILL","ACH")))</f>
        <v>ACH</v>
      </c>
    </row>
    <row r="1085" spans="1:11" x14ac:dyDescent="0.25">
      <c r="A1085">
        <v>260022</v>
      </c>
      <c r="B1085" s="3">
        <v>46144</v>
      </c>
      <c r="C1085">
        <v>1</v>
      </c>
      <c r="D1085">
        <v>108.37</v>
      </c>
      <c r="G1085" s="4" t="s">
        <v>89</v>
      </c>
      <c r="H1085">
        <v>535365652</v>
      </c>
      <c r="I1085" t="s">
        <v>29</v>
      </c>
      <c r="J1085" t="s">
        <v>29</v>
      </c>
      <c r="K1085" t="str">
        <f>IF(Table3[[#This Row],[Type Received]]=2,"CC",(IF(Table3[[#This Row],[Type Received]]=3,"BILL","ACH")))</f>
        <v>ACH</v>
      </c>
    </row>
    <row r="1086" spans="1:11" x14ac:dyDescent="0.25">
      <c r="A1086">
        <v>260018</v>
      </c>
      <c r="B1086" s="3">
        <v>46143</v>
      </c>
      <c r="C1086">
        <v>2</v>
      </c>
      <c r="D1086">
        <v>88.4</v>
      </c>
      <c r="F1086">
        <v>4001</v>
      </c>
      <c r="G1086">
        <v>741374152</v>
      </c>
      <c r="H1086">
        <v>353210573</v>
      </c>
      <c r="J1086" t="s">
        <v>29</v>
      </c>
      <c r="K1086" t="str">
        <f>IF(Table3[[#This Row],[Type Received]]=2,"CC",(IF(Table3[[#This Row],[Type Received]]=3,"BILL","ACH")))</f>
        <v>CC</v>
      </c>
    </row>
    <row r="1087" spans="1:11" x14ac:dyDescent="0.25">
      <c r="A1087">
        <v>260027</v>
      </c>
      <c r="B1087" s="3">
        <v>46169</v>
      </c>
      <c r="C1087">
        <v>3</v>
      </c>
      <c r="D1087">
        <v>92.83</v>
      </c>
      <c r="E1087">
        <v>1818</v>
      </c>
      <c r="K1087" t="str">
        <f>IF(Table3[[#This Row],[Type Received]]=2,"CC",(IF(Table3[[#This Row],[Type Received]]=3,"BILL","ACH")))</f>
        <v>BILL</v>
      </c>
    </row>
    <row r="1088" spans="1:11" x14ac:dyDescent="0.25">
      <c r="A1088">
        <v>260038</v>
      </c>
      <c r="B1088" s="3">
        <v>46157</v>
      </c>
      <c r="C1088">
        <v>1</v>
      </c>
      <c r="D1088">
        <v>103.97</v>
      </c>
      <c r="G1088" t="s">
        <v>87</v>
      </c>
      <c r="H1088">
        <v>696669902</v>
      </c>
      <c r="I1088" t="s">
        <v>29</v>
      </c>
      <c r="J1088" t="s">
        <v>29</v>
      </c>
      <c r="K1088" t="str">
        <f>IF(Table3[[#This Row],[Type Received]]=2,"CC",(IF(Table3[[#This Row],[Type Received]]=3,"BILL","ACH")))</f>
        <v>ACH</v>
      </c>
    </row>
    <row r="1089" spans="1:11" x14ac:dyDescent="0.25">
      <c r="A1089">
        <v>260032</v>
      </c>
      <c r="B1089" s="3">
        <v>46171</v>
      </c>
      <c r="C1089">
        <v>2</v>
      </c>
      <c r="D1089">
        <v>126.43</v>
      </c>
      <c r="F1089">
        <v>192219</v>
      </c>
      <c r="G1089" t="s">
        <v>28</v>
      </c>
      <c r="H1089">
        <v>872401901</v>
      </c>
      <c r="I1089" t="s">
        <v>29</v>
      </c>
      <c r="J1089" t="s">
        <v>29</v>
      </c>
      <c r="K1089" t="str">
        <f>IF(Table3[[#This Row],[Type Received]]=2,"CC",(IF(Table3[[#This Row],[Type Received]]=3,"BILL","ACH")))</f>
        <v>CC</v>
      </c>
    </row>
    <row r="1090" spans="1:11" x14ac:dyDescent="0.25">
      <c r="A1090">
        <v>260041</v>
      </c>
      <c r="B1090" s="3">
        <v>46167</v>
      </c>
      <c r="C1090">
        <v>1</v>
      </c>
      <c r="D1090">
        <v>43.69</v>
      </c>
      <c r="G1090" t="s">
        <v>85</v>
      </c>
      <c r="H1090">
        <v>818353221</v>
      </c>
      <c r="I1090" t="s">
        <v>29</v>
      </c>
      <c r="J1090" t="s">
        <v>29</v>
      </c>
      <c r="K1090" t="str">
        <f>IF(Table3[[#This Row],[Type Received]]=2,"CC",(IF(Table3[[#This Row],[Type Received]]=3,"BILL","ACH")))</f>
        <v>ACH</v>
      </c>
    </row>
    <row r="1091" spans="1:11" x14ac:dyDescent="0.25">
      <c r="A1091">
        <v>260039</v>
      </c>
      <c r="B1091" s="3">
        <v>46157</v>
      </c>
      <c r="C1091">
        <v>1</v>
      </c>
      <c r="D1091">
        <v>70.75</v>
      </c>
      <c r="G1091" t="s">
        <v>87</v>
      </c>
      <c r="H1091">
        <v>696690298</v>
      </c>
      <c r="I1091" t="s">
        <v>29</v>
      </c>
      <c r="J1091" t="s">
        <v>29</v>
      </c>
      <c r="K1091" t="str">
        <f>IF(Table3[[#This Row],[Type Received]]=2,"CC",(IF(Table3[[#This Row],[Type Received]]=3,"BILL","ACH")))</f>
        <v>ACH</v>
      </c>
    </row>
    <row r="1092" spans="1:11" x14ac:dyDescent="0.25">
      <c r="A1092">
        <v>260034</v>
      </c>
      <c r="B1092" s="3">
        <v>46144</v>
      </c>
      <c r="C1092">
        <v>2</v>
      </c>
      <c r="D1092">
        <v>65.8</v>
      </c>
      <c r="F1092" t="s">
        <v>186</v>
      </c>
      <c r="G1092" t="s">
        <v>28</v>
      </c>
      <c r="H1092">
        <v>535358010</v>
      </c>
      <c r="I1092" t="s">
        <v>29</v>
      </c>
      <c r="J1092" t="s">
        <v>29</v>
      </c>
      <c r="K1092" t="str">
        <f>IF(Table3[[#This Row],[Type Received]]=2,"CC",(IF(Table3[[#This Row],[Type Received]]=3,"BILL","ACH")))</f>
        <v>CC</v>
      </c>
    </row>
    <row r="1093" spans="1:11" x14ac:dyDescent="0.25">
      <c r="A1093">
        <v>260044</v>
      </c>
      <c r="B1093" s="3">
        <v>46155</v>
      </c>
      <c r="C1093">
        <v>2</v>
      </c>
      <c r="D1093">
        <v>112.66</v>
      </c>
      <c r="F1093">
        <v>832120</v>
      </c>
      <c r="G1093" t="s">
        <v>28</v>
      </c>
      <c r="H1093">
        <v>669478425</v>
      </c>
      <c r="I1093" t="s">
        <v>29</v>
      </c>
      <c r="J1093" t="s">
        <v>29</v>
      </c>
      <c r="K1093" t="str">
        <f>IF(Table3[[#This Row],[Type Received]]=2,"CC",(IF(Table3[[#This Row],[Type Received]]=3,"BILL","ACH")))</f>
        <v>CC</v>
      </c>
    </row>
    <row r="1094" spans="1:11" x14ac:dyDescent="0.25">
      <c r="A1094">
        <v>260055</v>
      </c>
      <c r="B1094" s="3">
        <v>46169</v>
      </c>
      <c r="C1094">
        <v>2</v>
      </c>
      <c r="D1094">
        <v>41.73</v>
      </c>
      <c r="F1094">
        <v>462923</v>
      </c>
      <c r="G1094" t="s">
        <v>28</v>
      </c>
      <c r="H1094">
        <v>840502011</v>
      </c>
      <c r="I1094" t="s">
        <v>29</v>
      </c>
      <c r="J1094" t="s">
        <v>29</v>
      </c>
      <c r="K1094" t="str">
        <f>IF(Table3[[#This Row],[Type Received]]=2,"CC",(IF(Table3[[#This Row],[Type Received]]=3,"BILL","ACH")))</f>
        <v>CC</v>
      </c>
    </row>
    <row r="1095" spans="1:11" x14ac:dyDescent="0.25">
      <c r="A1095">
        <v>260052</v>
      </c>
      <c r="B1095" s="3">
        <v>46157</v>
      </c>
      <c r="C1095">
        <v>1</v>
      </c>
      <c r="D1095">
        <v>43.36</v>
      </c>
      <c r="G1095" t="s">
        <v>87</v>
      </c>
      <c r="H1095">
        <v>696671891</v>
      </c>
      <c r="I1095" t="s">
        <v>29</v>
      </c>
      <c r="J1095" t="s">
        <v>29</v>
      </c>
      <c r="K1095" t="str">
        <f>IF(Table3[[#This Row],[Type Received]]=2,"CC",(IF(Table3[[#This Row],[Type Received]]=3,"BILL","ACH")))</f>
        <v>ACH</v>
      </c>
    </row>
    <row r="1096" spans="1:11" x14ac:dyDescent="0.25">
      <c r="A1096">
        <v>260042</v>
      </c>
      <c r="B1096" s="3">
        <v>46159</v>
      </c>
      <c r="C1096">
        <v>2</v>
      </c>
      <c r="D1096">
        <v>108.7</v>
      </c>
      <c r="F1096" t="s">
        <v>187</v>
      </c>
      <c r="G1096" t="s">
        <v>28</v>
      </c>
      <c r="H1096">
        <v>721684421</v>
      </c>
      <c r="I1096" t="s">
        <v>29</v>
      </c>
      <c r="J1096" t="s">
        <v>29</v>
      </c>
      <c r="K1096" t="str">
        <f>IF(Table3[[#This Row],[Type Received]]=2,"CC",(IF(Table3[[#This Row],[Type Received]]=3,"BILL","ACH")))</f>
        <v>CC</v>
      </c>
    </row>
    <row r="1097" spans="1:11" x14ac:dyDescent="0.25">
      <c r="A1097">
        <v>260042</v>
      </c>
      <c r="B1097" s="3">
        <v>46147</v>
      </c>
      <c r="C1097">
        <v>2</v>
      </c>
      <c r="D1097">
        <v>108.7</v>
      </c>
      <c r="F1097" t="s">
        <v>188</v>
      </c>
      <c r="G1097" t="s">
        <v>28</v>
      </c>
      <c r="H1097">
        <v>569488333</v>
      </c>
      <c r="I1097" t="s">
        <v>29</v>
      </c>
      <c r="J1097" t="s">
        <v>29</v>
      </c>
      <c r="K1097" t="str">
        <f>IF(Table3[[#This Row],[Type Received]]=2,"CC",(IF(Table3[[#This Row],[Type Received]]=3,"BILL","ACH")))</f>
        <v>CC</v>
      </c>
    </row>
    <row r="1098" spans="1:11" x14ac:dyDescent="0.25">
      <c r="A1098">
        <v>260054</v>
      </c>
      <c r="B1098" s="3">
        <v>46144</v>
      </c>
      <c r="C1098">
        <v>1</v>
      </c>
      <c r="D1098">
        <v>42.7</v>
      </c>
      <c r="G1098" t="s">
        <v>89</v>
      </c>
      <c r="H1098">
        <v>535359988</v>
      </c>
      <c r="I1098" t="s">
        <v>29</v>
      </c>
      <c r="J1098" t="s">
        <v>29</v>
      </c>
      <c r="K1098" t="str">
        <f>IF(Table3[[#This Row],[Type Received]]=2,"CC",(IF(Table3[[#This Row],[Type Received]]=3,"BILL","ACH")))</f>
        <v>ACH</v>
      </c>
    </row>
    <row r="1099" spans="1:11" x14ac:dyDescent="0.25">
      <c r="A1099">
        <v>260053</v>
      </c>
      <c r="B1099" s="3">
        <v>46144</v>
      </c>
      <c r="C1099">
        <v>1</v>
      </c>
      <c r="D1099">
        <v>146.32</v>
      </c>
      <c r="G1099" t="s">
        <v>89</v>
      </c>
      <c r="H1099">
        <v>535379192</v>
      </c>
      <c r="I1099" t="s">
        <v>29</v>
      </c>
      <c r="J1099" t="s">
        <v>29</v>
      </c>
      <c r="K1099" t="str">
        <f>IF(Table3[[#This Row],[Type Received]]=2,"CC",(IF(Table3[[#This Row],[Type Received]]=3,"BILL","ACH")))</f>
        <v>ACH</v>
      </c>
    </row>
    <row r="1100" spans="1:11" x14ac:dyDescent="0.25">
      <c r="A1100">
        <v>260043</v>
      </c>
      <c r="B1100" s="3">
        <v>46155</v>
      </c>
      <c r="C1100">
        <v>2</v>
      </c>
      <c r="D1100">
        <v>51.94</v>
      </c>
      <c r="F1100">
        <v>644081</v>
      </c>
      <c r="G1100" t="s">
        <v>28</v>
      </c>
      <c r="H1100">
        <v>669486163</v>
      </c>
      <c r="I1100" t="s">
        <v>29</v>
      </c>
      <c r="J1100" t="s">
        <v>29</v>
      </c>
      <c r="K1100" t="str">
        <f>IF(Table3[[#This Row],[Type Received]]=2,"CC",(IF(Table3[[#This Row],[Type Received]]=3,"BILL","ACH")))</f>
        <v>CC</v>
      </c>
    </row>
    <row r="1101" spans="1:11" x14ac:dyDescent="0.25">
      <c r="A1101">
        <v>260050</v>
      </c>
      <c r="B1101" s="3">
        <v>46144</v>
      </c>
      <c r="C1101">
        <v>1</v>
      </c>
      <c r="D1101">
        <v>125.2</v>
      </c>
      <c r="G1101" t="s">
        <v>89</v>
      </c>
      <c r="H1101">
        <v>535384124</v>
      </c>
      <c r="I1101" t="s">
        <v>29</v>
      </c>
      <c r="J1101" t="s">
        <v>29</v>
      </c>
      <c r="K1101" t="str">
        <f>IF(Table3[[#This Row],[Type Received]]=2,"CC",(IF(Table3[[#This Row],[Type Received]]=3,"BILL","ACH")))</f>
        <v>ACH</v>
      </c>
    </row>
    <row r="1102" spans="1:11" x14ac:dyDescent="0.25">
      <c r="A1102">
        <v>260059</v>
      </c>
      <c r="B1102" s="3">
        <v>46155</v>
      </c>
      <c r="C1102">
        <v>2</v>
      </c>
      <c r="D1102">
        <v>78.010000000000005</v>
      </c>
      <c r="F1102" t="s">
        <v>189</v>
      </c>
      <c r="G1102" t="s">
        <v>28</v>
      </c>
      <c r="H1102">
        <v>669476582</v>
      </c>
      <c r="I1102" t="s">
        <v>29</v>
      </c>
      <c r="J1102" t="s">
        <v>29</v>
      </c>
      <c r="K1102" t="str">
        <f>IF(Table3[[#This Row],[Type Received]]=2,"CC",(IF(Table3[[#This Row],[Type Received]]=3,"BILL","ACH")))</f>
        <v>CC</v>
      </c>
    </row>
    <row r="1103" spans="1:11" x14ac:dyDescent="0.25">
      <c r="A1103">
        <v>260060</v>
      </c>
      <c r="B1103" s="3">
        <v>46158</v>
      </c>
      <c r="C1103">
        <v>1</v>
      </c>
      <c r="D1103">
        <v>78.34</v>
      </c>
      <c r="G1103" t="s">
        <v>106</v>
      </c>
      <c r="H1103">
        <v>710037854</v>
      </c>
      <c r="I1103" t="s">
        <v>29</v>
      </c>
      <c r="J1103" t="s">
        <v>29</v>
      </c>
      <c r="K1103" t="str">
        <f>IF(Table3[[#This Row],[Type Received]]=2,"CC",(IF(Table3[[#This Row],[Type Received]]=3,"BILL","ACH")))</f>
        <v>ACH</v>
      </c>
    </row>
    <row r="1104" spans="1:11" x14ac:dyDescent="0.25">
      <c r="A1104">
        <v>260061</v>
      </c>
      <c r="B1104" s="3">
        <v>46144</v>
      </c>
      <c r="C1104">
        <v>1</v>
      </c>
      <c r="D1104">
        <v>27.85</v>
      </c>
      <c r="G1104" t="s">
        <v>89</v>
      </c>
      <c r="H1104">
        <v>535382205</v>
      </c>
      <c r="I1104" t="s">
        <v>29</v>
      </c>
      <c r="J1104" t="s">
        <v>29</v>
      </c>
      <c r="K1104" t="str">
        <f>IF(Table3[[#This Row],[Type Received]]=2,"CC",(IF(Table3[[#This Row],[Type Received]]=3,"BILL","ACH")))</f>
        <v>ACH</v>
      </c>
    </row>
    <row r="1105" spans="1:11" x14ac:dyDescent="0.25">
      <c r="A1105">
        <v>260062</v>
      </c>
      <c r="B1105" s="3">
        <v>46144</v>
      </c>
      <c r="C1105">
        <v>1</v>
      </c>
      <c r="D1105">
        <v>57.55</v>
      </c>
      <c r="G1105" t="s">
        <v>89</v>
      </c>
      <c r="H1105">
        <v>535373447</v>
      </c>
      <c r="I1105" t="s">
        <v>29</v>
      </c>
      <c r="J1105" t="s">
        <v>29</v>
      </c>
      <c r="K1105" t="str">
        <f>IF(Table3[[#This Row],[Type Received]]=2,"CC",(IF(Table3[[#This Row],[Type Received]]=3,"BILL","ACH")))</f>
        <v>ACH</v>
      </c>
    </row>
    <row r="1106" spans="1:11" x14ac:dyDescent="0.25">
      <c r="A1106">
        <v>260064</v>
      </c>
      <c r="B1106" s="3">
        <v>46144</v>
      </c>
      <c r="C1106">
        <v>1</v>
      </c>
      <c r="D1106">
        <v>63.49</v>
      </c>
      <c r="G1106" t="s">
        <v>89</v>
      </c>
      <c r="H1106">
        <v>535381198</v>
      </c>
      <c r="I1106" t="s">
        <v>29</v>
      </c>
      <c r="K1106" t="str">
        <f>IF(Table3[[#This Row],[Type Received]]=2,"CC",(IF(Table3[[#This Row],[Type Received]]=3,"BILL","ACH")))</f>
        <v>ACH</v>
      </c>
    </row>
    <row r="1107" spans="1:11" x14ac:dyDescent="0.25">
      <c r="A1107">
        <v>260086</v>
      </c>
      <c r="B1107" s="3">
        <v>46143</v>
      </c>
      <c r="C1107">
        <v>2</v>
      </c>
      <c r="D1107">
        <v>122.91</v>
      </c>
      <c r="F1107">
        <v>99303</v>
      </c>
      <c r="G1107" t="s">
        <v>28</v>
      </c>
      <c r="H1107">
        <v>526066576</v>
      </c>
      <c r="I1107" t="s">
        <v>29</v>
      </c>
      <c r="J1107" t="s">
        <v>29</v>
      </c>
      <c r="K1107" t="str">
        <f>IF(Table3[[#This Row],[Type Received]]=2,"CC",(IF(Table3[[#This Row],[Type Received]]=3,"BILL","ACH")))</f>
        <v>CC</v>
      </c>
    </row>
    <row r="1108" spans="1:11" x14ac:dyDescent="0.25">
      <c r="A1108">
        <v>260072</v>
      </c>
      <c r="B1108" s="3">
        <v>46143</v>
      </c>
      <c r="C1108">
        <v>2</v>
      </c>
      <c r="D1108">
        <v>113.67</v>
      </c>
      <c r="F1108">
        <v>4493</v>
      </c>
      <c r="G1108">
        <v>741374152</v>
      </c>
      <c r="H1108">
        <v>353114639</v>
      </c>
      <c r="J1108" t="s">
        <v>29</v>
      </c>
      <c r="K1108" t="str">
        <f>IF(Table3[[#This Row],[Type Received]]=2,"CC",(IF(Table3[[#This Row],[Type Received]]=3,"BILL","ACH")))</f>
        <v>CC</v>
      </c>
    </row>
    <row r="1109" spans="1:11" x14ac:dyDescent="0.25">
      <c r="A1109">
        <v>260076</v>
      </c>
      <c r="B1109" s="3">
        <v>46155</v>
      </c>
      <c r="C1109">
        <v>2</v>
      </c>
      <c r="D1109">
        <v>58.43</v>
      </c>
      <c r="F1109">
        <v>13606</v>
      </c>
      <c r="G1109" t="s">
        <v>28</v>
      </c>
      <c r="H1109">
        <v>669465041</v>
      </c>
      <c r="I1109" t="s">
        <v>29</v>
      </c>
      <c r="K1109" t="str">
        <f>IF(Table3[[#This Row],[Type Received]]=2,"CC",(IF(Table3[[#This Row],[Type Received]]=3,"BILL","ACH")))</f>
        <v>CC</v>
      </c>
    </row>
    <row r="1110" spans="1:11" x14ac:dyDescent="0.25">
      <c r="A1110">
        <v>260075</v>
      </c>
      <c r="B1110" s="3">
        <v>46155</v>
      </c>
      <c r="C1110">
        <v>2</v>
      </c>
      <c r="D1110">
        <v>26.75</v>
      </c>
      <c r="F1110">
        <v>2181</v>
      </c>
      <c r="G1110" t="s">
        <v>28</v>
      </c>
      <c r="H1110">
        <v>669465972</v>
      </c>
      <c r="I1110" t="s">
        <v>29</v>
      </c>
      <c r="K1110" t="str">
        <f>IF(Table3[[#This Row],[Type Received]]=2,"CC",(IF(Table3[[#This Row],[Type Received]]=3,"BILL","ACH")))</f>
        <v>CC</v>
      </c>
    </row>
    <row r="1111" spans="1:11" x14ac:dyDescent="0.25">
      <c r="A1111">
        <v>260079</v>
      </c>
      <c r="B1111" s="3">
        <v>46144</v>
      </c>
      <c r="C1111">
        <v>1</v>
      </c>
      <c r="D1111">
        <v>49.85</v>
      </c>
      <c r="G1111" t="s">
        <v>89</v>
      </c>
      <c r="H1111">
        <v>535382231</v>
      </c>
      <c r="I1111" t="s">
        <v>29</v>
      </c>
      <c r="K1111" t="str">
        <f>IF(Table3[[#This Row],[Type Received]]=2,"CC",(IF(Table3[[#This Row],[Type Received]]=3,"BILL","ACH")))</f>
        <v>ACH</v>
      </c>
    </row>
    <row r="1112" spans="1:11" x14ac:dyDescent="0.25">
      <c r="A1112">
        <v>260074</v>
      </c>
      <c r="B1112" s="3">
        <v>46155</v>
      </c>
      <c r="C1112">
        <v>2</v>
      </c>
      <c r="D1112">
        <v>43.25</v>
      </c>
      <c r="F1112">
        <v>13092</v>
      </c>
      <c r="G1112" t="s">
        <v>28</v>
      </c>
      <c r="H1112">
        <v>669482292</v>
      </c>
      <c r="I1112" t="s">
        <v>29</v>
      </c>
      <c r="J1112" t="s">
        <v>29</v>
      </c>
      <c r="K1112" t="str">
        <f>IF(Table3[[#This Row],[Type Received]]=2,"CC",(IF(Table3[[#This Row],[Type Received]]=3,"BILL","ACH")))</f>
        <v>CC</v>
      </c>
    </row>
    <row r="1113" spans="1:11" x14ac:dyDescent="0.25">
      <c r="A1113">
        <v>260089</v>
      </c>
      <c r="B1113" s="3">
        <v>46144</v>
      </c>
      <c r="C1113">
        <v>1</v>
      </c>
      <c r="D1113">
        <v>57.77</v>
      </c>
      <c r="G1113" t="s">
        <v>89</v>
      </c>
      <c r="H1113">
        <v>535358088</v>
      </c>
      <c r="I1113" t="s">
        <v>29</v>
      </c>
      <c r="J1113" t="s">
        <v>29</v>
      </c>
      <c r="K1113" t="str">
        <f>IF(Table3[[#This Row],[Type Received]]=2,"CC",(IF(Table3[[#This Row],[Type Received]]=3,"BILL","ACH")))</f>
        <v>ACH</v>
      </c>
    </row>
    <row r="1114" spans="1:11" x14ac:dyDescent="0.25">
      <c r="A1114">
        <v>260078</v>
      </c>
      <c r="B1114" s="3">
        <v>46167</v>
      </c>
      <c r="C1114">
        <v>1</v>
      </c>
      <c r="D1114">
        <v>64.150000000000006</v>
      </c>
      <c r="G1114" t="s">
        <v>85</v>
      </c>
      <c r="H1114">
        <v>818348497</v>
      </c>
      <c r="I1114" t="s">
        <v>29</v>
      </c>
      <c r="J1114" t="s">
        <v>29</v>
      </c>
      <c r="K1114" t="str">
        <f>IF(Table3[[#This Row],[Type Received]]=2,"CC",(IF(Table3[[#This Row],[Type Received]]=3,"BILL","ACH")))</f>
        <v>ACH</v>
      </c>
    </row>
    <row r="1115" spans="1:11" x14ac:dyDescent="0.25">
      <c r="A1115">
        <v>260093</v>
      </c>
      <c r="B1115" s="3">
        <v>46155</v>
      </c>
      <c r="C1115">
        <v>2</v>
      </c>
      <c r="D1115">
        <v>62.83</v>
      </c>
      <c r="F1115">
        <v>618988</v>
      </c>
      <c r="G1115" t="s">
        <v>28</v>
      </c>
      <c r="H1115">
        <v>669481327</v>
      </c>
      <c r="I1115" t="s">
        <v>29</v>
      </c>
      <c r="J1115" t="s">
        <v>29</v>
      </c>
      <c r="K1115" t="str">
        <f>IF(Table3[[#This Row],[Type Received]]=2,"CC",(IF(Table3[[#This Row],[Type Received]]=3,"BILL","ACH")))</f>
        <v>CC</v>
      </c>
    </row>
    <row r="1116" spans="1:11" x14ac:dyDescent="0.25">
      <c r="A1116">
        <v>260092</v>
      </c>
      <c r="B1116" s="3">
        <v>46155</v>
      </c>
      <c r="C1116">
        <v>2</v>
      </c>
      <c r="D1116">
        <v>94.95</v>
      </c>
      <c r="F1116" t="s">
        <v>190</v>
      </c>
      <c r="G1116" t="s">
        <v>28</v>
      </c>
      <c r="H1116">
        <v>669465994</v>
      </c>
      <c r="I1116" t="s">
        <v>29</v>
      </c>
      <c r="J1116" t="s">
        <v>29</v>
      </c>
      <c r="K1116" t="str">
        <f>IF(Table3[[#This Row],[Type Received]]=2,"CC",(IF(Table3[[#This Row],[Type Received]]=3,"BILL","ACH")))</f>
        <v>CC</v>
      </c>
    </row>
    <row r="1117" spans="1:11" x14ac:dyDescent="0.25">
      <c r="A1117">
        <v>260096</v>
      </c>
      <c r="B1117" s="3">
        <v>46144</v>
      </c>
      <c r="C1117">
        <v>1</v>
      </c>
      <c r="D1117">
        <v>109.47</v>
      </c>
      <c r="G1117" t="s">
        <v>89</v>
      </c>
      <c r="H1117">
        <v>535371545</v>
      </c>
      <c r="I1117" t="s">
        <v>29</v>
      </c>
      <c r="J1117" t="s">
        <v>29</v>
      </c>
      <c r="K1117" t="str">
        <f>IF(Table3[[#This Row],[Type Received]]=2,"CC",(IF(Table3[[#This Row],[Type Received]]=3,"BILL","ACH")))</f>
        <v>ACH</v>
      </c>
    </row>
    <row r="1118" spans="1:11" x14ac:dyDescent="0.25">
      <c r="A1118">
        <v>260097</v>
      </c>
      <c r="B1118" s="3">
        <v>46158</v>
      </c>
      <c r="C1118">
        <v>1</v>
      </c>
      <c r="D1118">
        <v>95.17</v>
      </c>
      <c r="G1118" t="s">
        <v>106</v>
      </c>
      <c r="H1118">
        <v>710036926</v>
      </c>
      <c r="I1118" t="s">
        <v>29</v>
      </c>
      <c r="J1118" t="s">
        <v>29</v>
      </c>
      <c r="K1118" t="str">
        <f>IF(Table3[[#This Row],[Type Received]]=2,"CC",(IF(Table3[[#This Row],[Type Received]]=3,"BILL","ACH")))</f>
        <v>ACH</v>
      </c>
    </row>
    <row r="1119" spans="1:11" x14ac:dyDescent="0.25">
      <c r="A1119">
        <v>260094</v>
      </c>
      <c r="B1119" s="3">
        <v>46155</v>
      </c>
      <c r="C1119">
        <v>2</v>
      </c>
      <c r="D1119">
        <v>67.45</v>
      </c>
      <c r="F1119">
        <v>13976</v>
      </c>
      <c r="G1119" t="s">
        <v>28</v>
      </c>
      <c r="H1119">
        <v>669481333</v>
      </c>
      <c r="I1119" t="s">
        <v>29</v>
      </c>
      <c r="J1119" t="s">
        <v>29</v>
      </c>
      <c r="K1119" t="str">
        <f>IF(Table3[[#This Row],[Type Received]]=2,"CC",(IF(Table3[[#This Row],[Type Received]]=3,"BILL","ACH")))</f>
        <v>CC</v>
      </c>
    </row>
    <row r="1120" spans="1:11" x14ac:dyDescent="0.25">
      <c r="A1120">
        <v>260091</v>
      </c>
      <c r="B1120" s="3">
        <v>46155</v>
      </c>
      <c r="C1120">
        <v>2</v>
      </c>
      <c r="D1120">
        <v>151.6</v>
      </c>
      <c r="F1120">
        <v>209606</v>
      </c>
      <c r="G1120" t="s">
        <v>28</v>
      </c>
      <c r="H1120">
        <v>669490126</v>
      </c>
      <c r="I1120" t="s">
        <v>29</v>
      </c>
      <c r="J1120" t="s">
        <v>29</v>
      </c>
      <c r="K1120" t="str">
        <f>IF(Table3[[#This Row],[Type Received]]=2,"CC",(IF(Table3[[#This Row],[Type Received]]=3,"BILL","ACH")))</f>
        <v>CC</v>
      </c>
    </row>
    <row r="1121" spans="1:11" x14ac:dyDescent="0.25">
      <c r="A1121">
        <v>260095</v>
      </c>
      <c r="B1121" s="3">
        <v>46144</v>
      </c>
      <c r="C1121">
        <v>1</v>
      </c>
      <c r="D1121">
        <v>31.15</v>
      </c>
      <c r="G1121" t="s">
        <v>89</v>
      </c>
      <c r="H1121">
        <v>535377350</v>
      </c>
      <c r="I1121" t="s">
        <v>29</v>
      </c>
      <c r="K1121" t="str">
        <f>IF(Table3[[#This Row],[Type Received]]=2,"CC",(IF(Table3[[#This Row],[Type Received]]=3,"BILL","ACH")))</f>
        <v>ACH</v>
      </c>
    </row>
    <row r="1122" spans="1:11" x14ac:dyDescent="0.25">
      <c r="A1122">
        <v>260102</v>
      </c>
      <c r="B1122" s="3">
        <v>46158</v>
      </c>
      <c r="C1122">
        <v>1</v>
      </c>
      <c r="D1122">
        <v>32.799999999999997</v>
      </c>
      <c r="G1122" t="s">
        <v>106</v>
      </c>
      <c r="H1122">
        <v>710032923</v>
      </c>
      <c r="I1122" t="s">
        <v>29</v>
      </c>
      <c r="K1122" t="str">
        <f>IF(Table3[[#This Row],[Type Received]]=2,"CC",(IF(Table3[[#This Row],[Type Received]]=3,"BILL","ACH")))</f>
        <v>ACH</v>
      </c>
    </row>
    <row r="1123" spans="1:11" x14ac:dyDescent="0.25">
      <c r="A1123">
        <v>260103</v>
      </c>
      <c r="B1123" s="3">
        <v>46158</v>
      </c>
      <c r="C1123">
        <v>1</v>
      </c>
      <c r="D1123">
        <v>65.25</v>
      </c>
      <c r="G1123" t="s">
        <v>106</v>
      </c>
      <c r="H1123">
        <v>710054248</v>
      </c>
      <c r="I1123" t="s">
        <v>29</v>
      </c>
      <c r="J1123" t="s">
        <v>29</v>
      </c>
      <c r="K1123" t="str">
        <f>IF(Table3[[#This Row],[Type Received]]=2,"CC",(IF(Table3[[#This Row],[Type Received]]=3,"BILL","ACH")))</f>
        <v>ACH</v>
      </c>
    </row>
    <row r="1124" spans="1:11" x14ac:dyDescent="0.25">
      <c r="A1124">
        <v>260106</v>
      </c>
      <c r="B1124" s="3">
        <v>46162</v>
      </c>
      <c r="C1124">
        <v>2</v>
      </c>
      <c r="D1124">
        <v>137.43</v>
      </c>
      <c r="F1124">
        <v>700377</v>
      </c>
      <c r="G1124">
        <v>747121142</v>
      </c>
      <c r="H1124">
        <v>355298823</v>
      </c>
      <c r="J1124" t="s">
        <v>29</v>
      </c>
      <c r="K1124" t="str">
        <f>IF(Table3[[#This Row],[Type Received]]=2,"CC",(IF(Table3[[#This Row],[Type Received]]=3,"BILL","ACH")))</f>
        <v>CC</v>
      </c>
    </row>
    <row r="1125" spans="1:11" x14ac:dyDescent="0.25">
      <c r="A1125">
        <v>260106</v>
      </c>
      <c r="B1125" s="3">
        <v>46147</v>
      </c>
      <c r="C1125">
        <v>2</v>
      </c>
      <c r="D1125">
        <v>137.43</v>
      </c>
      <c r="F1125">
        <v>654409</v>
      </c>
      <c r="G1125">
        <v>742576419</v>
      </c>
      <c r="H1125">
        <v>353516134</v>
      </c>
      <c r="J1125" t="s">
        <v>29</v>
      </c>
      <c r="K1125" t="str">
        <f>IF(Table3[[#This Row],[Type Received]]=2,"CC",(IF(Table3[[#This Row],[Type Received]]=3,"BILL","ACH")))</f>
        <v>CC</v>
      </c>
    </row>
    <row r="1126" spans="1:11" x14ac:dyDescent="0.25">
      <c r="A1126">
        <v>260107</v>
      </c>
      <c r="B1126" s="3">
        <v>46146</v>
      </c>
      <c r="C1126">
        <v>3</v>
      </c>
      <c r="D1126">
        <v>153.74</v>
      </c>
      <c r="E1126">
        <v>649</v>
      </c>
      <c r="K1126" t="str">
        <f>IF(Table3[[#This Row],[Type Received]]=2,"CC",(IF(Table3[[#This Row],[Type Received]]=3,"BILL","ACH")))</f>
        <v>BILL</v>
      </c>
    </row>
    <row r="1127" spans="1:11" x14ac:dyDescent="0.25">
      <c r="A1127">
        <v>260114</v>
      </c>
      <c r="B1127" s="3">
        <v>46158</v>
      </c>
      <c r="C1127">
        <v>1</v>
      </c>
      <c r="D1127">
        <v>111.67</v>
      </c>
      <c r="G1127" t="s">
        <v>106</v>
      </c>
      <c r="H1127">
        <v>710047669</v>
      </c>
      <c r="I1127" t="s">
        <v>29</v>
      </c>
      <c r="J1127" t="s">
        <v>29</v>
      </c>
      <c r="K1127" t="str">
        <f>IF(Table3[[#This Row],[Type Received]]=2,"CC",(IF(Table3[[#This Row],[Type Received]]=3,"BILL","ACH")))</f>
        <v>ACH</v>
      </c>
    </row>
    <row r="1128" spans="1:11" x14ac:dyDescent="0.25">
      <c r="A1128">
        <v>260117</v>
      </c>
      <c r="B1128" s="3">
        <v>46155</v>
      </c>
      <c r="C1128">
        <v>2</v>
      </c>
      <c r="D1128">
        <v>27.19</v>
      </c>
      <c r="F1128">
        <v>5768</v>
      </c>
      <c r="G1128" t="s">
        <v>28</v>
      </c>
      <c r="H1128">
        <v>669468917</v>
      </c>
      <c r="I1128" t="s">
        <v>29</v>
      </c>
      <c r="J1128" t="s">
        <v>29</v>
      </c>
      <c r="K1128" t="str">
        <f>IF(Table3[[#This Row],[Type Received]]=2,"CC",(IF(Table3[[#This Row],[Type Received]]=3,"BILL","ACH")))</f>
        <v>CC</v>
      </c>
    </row>
    <row r="1129" spans="1:11" x14ac:dyDescent="0.25">
      <c r="A1129">
        <v>260118</v>
      </c>
      <c r="B1129" s="3">
        <v>46167</v>
      </c>
      <c r="C1129">
        <v>1</v>
      </c>
      <c r="D1129">
        <v>48.09</v>
      </c>
      <c r="G1129" t="s">
        <v>85</v>
      </c>
      <c r="H1129">
        <v>818340738</v>
      </c>
      <c r="I1129" t="s">
        <v>29</v>
      </c>
      <c r="J1129" t="s">
        <v>29</v>
      </c>
      <c r="K1129" t="str">
        <f>IF(Table3[[#This Row],[Type Received]]=2,"CC",(IF(Table3[[#This Row],[Type Received]]=3,"BILL","ACH")))</f>
        <v>ACH</v>
      </c>
    </row>
    <row r="1130" spans="1:11" x14ac:dyDescent="0.25">
      <c r="A1130">
        <v>260116</v>
      </c>
      <c r="B1130" s="3">
        <v>46160</v>
      </c>
      <c r="C1130">
        <v>2</v>
      </c>
      <c r="D1130">
        <v>23.67</v>
      </c>
      <c r="F1130" t="s">
        <v>191</v>
      </c>
      <c r="G1130" s="4" t="s">
        <v>28</v>
      </c>
      <c r="H1130">
        <v>732356604</v>
      </c>
      <c r="I1130" t="s">
        <v>29</v>
      </c>
      <c r="J1130" t="s">
        <v>29</v>
      </c>
      <c r="K1130" t="str">
        <f>IF(Table3[[#This Row],[Type Received]]=2,"CC",(IF(Table3[[#This Row],[Type Received]]=3,"BILL","ACH")))</f>
        <v>CC</v>
      </c>
    </row>
    <row r="1131" spans="1:11" x14ac:dyDescent="0.25">
      <c r="A1131">
        <v>260119</v>
      </c>
      <c r="B1131" s="3">
        <v>46144</v>
      </c>
      <c r="C1131">
        <v>1</v>
      </c>
      <c r="D1131">
        <v>114.64</v>
      </c>
      <c r="G1131" t="s">
        <v>89</v>
      </c>
      <c r="H1131">
        <v>535377385</v>
      </c>
      <c r="I1131" t="s">
        <v>29</v>
      </c>
      <c r="J1131" t="s">
        <v>29</v>
      </c>
      <c r="K1131" t="str">
        <f>IF(Table3[[#This Row],[Type Received]]=2,"CC",(IF(Table3[[#This Row],[Type Received]]=3,"BILL","ACH")))</f>
        <v>ACH</v>
      </c>
    </row>
    <row r="1132" spans="1:11" x14ac:dyDescent="0.25">
      <c r="A1132">
        <v>260121</v>
      </c>
      <c r="B1132" s="3">
        <v>46160</v>
      </c>
      <c r="C1132">
        <v>1</v>
      </c>
      <c r="D1132">
        <v>147</v>
      </c>
      <c r="G1132" t="s">
        <v>192</v>
      </c>
      <c r="H1132">
        <v>738388554</v>
      </c>
      <c r="I1132" t="s">
        <v>29</v>
      </c>
      <c r="J1132" t="s">
        <v>29</v>
      </c>
      <c r="K1132" t="str">
        <f>IF(Table3[[#This Row],[Type Received]]=2,"CC",(IF(Table3[[#This Row],[Type Received]]=3,"BILL","ACH")))</f>
        <v>ACH</v>
      </c>
    </row>
    <row r="1133" spans="1:11" x14ac:dyDescent="0.25">
      <c r="A1133">
        <v>260128</v>
      </c>
      <c r="B1133" s="3">
        <v>46144</v>
      </c>
      <c r="C1133">
        <v>1</v>
      </c>
      <c r="D1133">
        <v>104.63</v>
      </c>
      <c r="G1133" s="4" t="s">
        <v>89</v>
      </c>
      <c r="H1133">
        <v>535386144</v>
      </c>
      <c r="I1133" t="s">
        <v>29</v>
      </c>
      <c r="J1133" t="s">
        <v>29</v>
      </c>
      <c r="K1133" t="str">
        <f>IF(Table3[[#This Row],[Type Received]]=2,"CC",(IF(Table3[[#This Row],[Type Received]]=3,"BILL","ACH")))</f>
        <v>ACH</v>
      </c>
    </row>
    <row r="1134" spans="1:11" x14ac:dyDescent="0.25">
      <c r="A1134">
        <v>260133</v>
      </c>
      <c r="B1134" s="3">
        <v>46144</v>
      </c>
      <c r="C1134">
        <v>1</v>
      </c>
      <c r="D1134">
        <v>24.55</v>
      </c>
      <c r="G1134" s="4" t="s">
        <v>89</v>
      </c>
      <c r="H1134">
        <v>535361047</v>
      </c>
      <c r="I1134" t="s">
        <v>29</v>
      </c>
      <c r="J1134" t="s">
        <v>29</v>
      </c>
      <c r="K1134" t="str">
        <f>IF(Table3[[#This Row],[Type Received]]=2,"CC",(IF(Table3[[#This Row],[Type Received]]=3,"BILL","ACH")))</f>
        <v>ACH</v>
      </c>
    </row>
    <row r="1135" spans="1:11" x14ac:dyDescent="0.25">
      <c r="A1135">
        <v>260137</v>
      </c>
      <c r="B1135" s="3">
        <v>46157</v>
      </c>
      <c r="C1135">
        <v>1</v>
      </c>
      <c r="D1135">
        <v>80.87</v>
      </c>
      <c r="G1135" t="s">
        <v>87</v>
      </c>
      <c r="H1135">
        <v>696676840</v>
      </c>
      <c r="I1135" t="s">
        <v>29</v>
      </c>
      <c r="J1135" t="s">
        <v>29</v>
      </c>
      <c r="K1135" t="str">
        <f>IF(Table3[[#This Row],[Type Received]]=2,"CC",(IF(Table3[[#This Row],[Type Received]]=3,"BILL","ACH")))</f>
        <v>ACH</v>
      </c>
    </row>
    <row r="1136" spans="1:11" x14ac:dyDescent="0.25">
      <c r="A1136">
        <v>260134</v>
      </c>
      <c r="B1136" s="3">
        <v>46144</v>
      </c>
      <c r="C1136">
        <v>1</v>
      </c>
      <c r="D1136">
        <v>31.15</v>
      </c>
      <c r="G1136" t="s">
        <v>89</v>
      </c>
      <c r="H1136">
        <v>535362079</v>
      </c>
      <c r="I1136" t="s">
        <v>29</v>
      </c>
      <c r="J1136" t="s">
        <v>29</v>
      </c>
      <c r="K1136" t="str">
        <f>IF(Table3[[#This Row],[Type Received]]=2,"CC",(IF(Table3[[#This Row],[Type Received]]=3,"BILL","ACH")))</f>
        <v>ACH</v>
      </c>
    </row>
    <row r="1137" spans="1:11" x14ac:dyDescent="0.25">
      <c r="A1137">
        <v>260132</v>
      </c>
      <c r="B1137" s="3">
        <v>46167</v>
      </c>
      <c r="C1137">
        <v>1</v>
      </c>
      <c r="D1137">
        <v>182.29</v>
      </c>
      <c r="G1137" t="s">
        <v>85</v>
      </c>
      <c r="H1137">
        <v>818336038</v>
      </c>
      <c r="I1137" t="s">
        <v>29</v>
      </c>
      <c r="J1137" t="s">
        <v>29</v>
      </c>
      <c r="K1137" t="str">
        <f>IF(Table3[[#This Row],[Type Received]]=2,"CC",(IF(Table3[[#This Row],[Type Received]]=3,"BILL","ACH")))</f>
        <v>ACH</v>
      </c>
    </row>
    <row r="1138" spans="1:11" x14ac:dyDescent="0.25">
      <c r="A1138">
        <v>260135</v>
      </c>
      <c r="B1138" s="3">
        <v>46157</v>
      </c>
      <c r="C1138">
        <v>1</v>
      </c>
      <c r="D1138">
        <v>48.31</v>
      </c>
      <c r="G1138" t="s">
        <v>87</v>
      </c>
      <c r="H1138">
        <v>696683632</v>
      </c>
      <c r="I1138" t="s">
        <v>29</v>
      </c>
      <c r="J1138" t="s">
        <v>29</v>
      </c>
      <c r="K1138" t="str">
        <f>IF(Table3[[#This Row],[Type Received]]=2,"CC",(IF(Table3[[#This Row],[Type Received]]=3,"BILL","ACH")))</f>
        <v>ACH</v>
      </c>
    </row>
    <row r="1139" spans="1:11" x14ac:dyDescent="0.25">
      <c r="A1139">
        <v>260136</v>
      </c>
      <c r="B1139" s="3">
        <v>46157</v>
      </c>
      <c r="C1139">
        <v>1</v>
      </c>
      <c r="D1139">
        <v>37.75</v>
      </c>
      <c r="G1139" t="s">
        <v>87</v>
      </c>
      <c r="H1139">
        <v>696694249</v>
      </c>
      <c r="I1139" t="s">
        <v>29</v>
      </c>
      <c r="J1139" t="s">
        <v>29</v>
      </c>
      <c r="K1139" t="str">
        <f>IF(Table3[[#This Row],[Type Received]]=2,"CC",(IF(Table3[[#This Row],[Type Received]]=3,"BILL","ACH")))</f>
        <v>ACH</v>
      </c>
    </row>
    <row r="1140" spans="1:11" x14ac:dyDescent="0.25">
      <c r="A1140">
        <v>260146</v>
      </c>
      <c r="B1140" s="3">
        <v>46147</v>
      </c>
      <c r="C1140">
        <v>2</v>
      </c>
      <c r="D1140">
        <v>73.72</v>
      </c>
      <c r="F1140">
        <v>687228</v>
      </c>
      <c r="G1140" t="s">
        <v>28</v>
      </c>
      <c r="H1140">
        <v>569475754</v>
      </c>
      <c r="I1140" t="s">
        <v>29</v>
      </c>
      <c r="J1140" t="s">
        <v>29</v>
      </c>
      <c r="K1140" t="str">
        <f>IF(Table3[[#This Row],[Type Received]]=2,"CC",(IF(Table3[[#This Row],[Type Received]]=3,"BILL","ACH")))</f>
        <v>CC</v>
      </c>
    </row>
    <row r="1141" spans="1:11" x14ac:dyDescent="0.25">
      <c r="A1141">
        <v>260148</v>
      </c>
      <c r="B1141" s="3">
        <v>46160</v>
      </c>
      <c r="C1141">
        <v>3</v>
      </c>
      <c r="D1141">
        <v>189.82</v>
      </c>
      <c r="E1141">
        <v>4597</v>
      </c>
      <c r="J1141" t="s">
        <v>29</v>
      </c>
      <c r="K1141" t="str">
        <f>IF(Table3[[#This Row],[Type Received]]=2,"CC",(IF(Table3[[#This Row],[Type Received]]=3,"BILL","ACH")))</f>
        <v>BILL</v>
      </c>
    </row>
    <row r="1142" spans="1:11" x14ac:dyDescent="0.25">
      <c r="A1142">
        <v>260143</v>
      </c>
      <c r="B1142" s="3">
        <v>46144</v>
      </c>
      <c r="C1142">
        <v>1</v>
      </c>
      <c r="D1142">
        <v>34.450000000000003</v>
      </c>
      <c r="G1142" t="s">
        <v>89</v>
      </c>
      <c r="H1142">
        <v>535367842</v>
      </c>
      <c r="I1142" t="s">
        <v>29</v>
      </c>
      <c r="J1142" t="s">
        <v>29</v>
      </c>
      <c r="K1142" t="str">
        <f>IF(Table3[[#This Row],[Type Received]]=2,"CC",(IF(Table3[[#This Row],[Type Received]]=3,"BILL","ACH")))</f>
        <v>ACH</v>
      </c>
    </row>
    <row r="1143" spans="1:11" x14ac:dyDescent="0.25">
      <c r="A1143">
        <v>260141</v>
      </c>
      <c r="B1143" s="3">
        <v>46155</v>
      </c>
      <c r="C1143">
        <v>2</v>
      </c>
      <c r="D1143">
        <v>64.81</v>
      </c>
      <c r="F1143">
        <v>16542</v>
      </c>
      <c r="G1143" s="4" t="s">
        <v>28</v>
      </c>
      <c r="H1143">
        <v>669466001</v>
      </c>
      <c r="I1143" t="s">
        <v>29</v>
      </c>
      <c r="K1143" t="str">
        <f>IF(Table3[[#This Row],[Type Received]]=2,"CC",(IF(Table3[[#This Row],[Type Received]]=3,"BILL","ACH")))</f>
        <v>CC</v>
      </c>
    </row>
    <row r="1144" spans="1:11" x14ac:dyDescent="0.25">
      <c r="A1144">
        <v>260145</v>
      </c>
      <c r="B1144" s="3">
        <v>46157</v>
      </c>
      <c r="C1144">
        <v>1</v>
      </c>
      <c r="D1144">
        <v>81.97</v>
      </c>
      <c r="G1144" t="s">
        <v>87</v>
      </c>
      <c r="H1144">
        <v>696690427</v>
      </c>
      <c r="I1144" t="s">
        <v>29</v>
      </c>
      <c r="J1144" t="s">
        <v>29</v>
      </c>
      <c r="K1144" t="str">
        <f>IF(Table3[[#This Row],[Type Received]]=2,"CC",(IF(Table3[[#This Row],[Type Received]]=3,"BILL","ACH")))</f>
        <v>ACH</v>
      </c>
    </row>
    <row r="1145" spans="1:11" x14ac:dyDescent="0.25">
      <c r="A1145">
        <v>260151</v>
      </c>
      <c r="B1145" s="3">
        <v>46144</v>
      </c>
      <c r="C1145">
        <v>1</v>
      </c>
      <c r="D1145">
        <v>28.29</v>
      </c>
      <c r="G1145" t="s">
        <v>89</v>
      </c>
      <c r="H1145">
        <v>535376485</v>
      </c>
      <c r="I1145" t="s">
        <v>29</v>
      </c>
      <c r="J1145" t="s">
        <v>29</v>
      </c>
      <c r="K1145" t="str">
        <f>IF(Table3[[#This Row],[Type Received]]=2,"CC",(IF(Table3[[#This Row],[Type Received]]=3,"BILL","ACH")))</f>
        <v>ACH</v>
      </c>
    </row>
    <row r="1146" spans="1:11" x14ac:dyDescent="0.25">
      <c r="A1146">
        <v>260162</v>
      </c>
      <c r="B1146" s="3">
        <v>46155</v>
      </c>
      <c r="C1146">
        <v>2</v>
      </c>
      <c r="D1146">
        <v>77.13</v>
      </c>
      <c r="F1146">
        <v>2182</v>
      </c>
      <c r="G1146" t="s">
        <v>28</v>
      </c>
      <c r="H1146">
        <v>669473785</v>
      </c>
      <c r="I1146" t="s">
        <v>29</v>
      </c>
      <c r="J1146" t="s">
        <v>29</v>
      </c>
      <c r="K1146" t="str">
        <f>IF(Table3[[#This Row],[Type Received]]=2,"CC",(IF(Table3[[#This Row],[Type Received]]=3,"BILL","ACH")))</f>
        <v>CC</v>
      </c>
    </row>
    <row r="1147" spans="1:11" x14ac:dyDescent="0.25">
      <c r="A1147">
        <v>260159</v>
      </c>
      <c r="B1147" s="3">
        <v>46167</v>
      </c>
      <c r="C1147">
        <v>1</v>
      </c>
      <c r="D1147">
        <v>89.89</v>
      </c>
      <c r="G1147" t="s">
        <v>85</v>
      </c>
      <c r="H1147">
        <v>818339758</v>
      </c>
      <c r="I1147" t="s">
        <v>29</v>
      </c>
      <c r="J1147" t="s">
        <v>29</v>
      </c>
      <c r="K1147" t="str">
        <f>IF(Table3[[#This Row],[Type Received]]=2,"CC",(IF(Table3[[#This Row],[Type Received]]=3,"BILL","ACH")))</f>
        <v>ACH</v>
      </c>
    </row>
    <row r="1148" spans="1:11" x14ac:dyDescent="0.25">
      <c r="A1148">
        <v>260161</v>
      </c>
      <c r="B1148" s="3">
        <v>46155</v>
      </c>
      <c r="C1148">
        <v>2</v>
      </c>
      <c r="D1148">
        <v>56.89</v>
      </c>
      <c r="F1148">
        <v>2240</v>
      </c>
      <c r="G1148" t="s">
        <v>28</v>
      </c>
      <c r="H1148">
        <v>669465093</v>
      </c>
      <c r="I1148" t="s">
        <v>29</v>
      </c>
      <c r="J1148" t="s">
        <v>29</v>
      </c>
      <c r="K1148" t="str">
        <f>IF(Table3[[#This Row],[Type Received]]=2,"CC",(IF(Table3[[#This Row],[Type Received]]=3,"BILL","ACH")))</f>
        <v>CC</v>
      </c>
    </row>
    <row r="1149" spans="1:11" x14ac:dyDescent="0.25">
      <c r="A1149">
        <v>260163</v>
      </c>
      <c r="B1149" s="3">
        <v>46155</v>
      </c>
      <c r="C1149">
        <v>2</v>
      </c>
      <c r="D1149">
        <v>128.5</v>
      </c>
      <c r="F1149">
        <v>207191</v>
      </c>
      <c r="G1149" t="s">
        <v>28</v>
      </c>
      <c r="H1149">
        <v>669474723</v>
      </c>
      <c r="I1149" t="s">
        <v>29</v>
      </c>
      <c r="J1149" t="s">
        <v>29</v>
      </c>
      <c r="K1149" t="str">
        <f>IF(Table3[[#This Row],[Type Received]]=2,"CC",(IF(Table3[[#This Row],[Type Received]]=3,"BILL","ACH")))</f>
        <v>CC</v>
      </c>
    </row>
    <row r="1150" spans="1:11" x14ac:dyDescent="0.25">
      <c r="A1150">
        <v>260166</v>
      </c>
      <c r="B1150" s="3">
        <v>46157</v>
      </c>
      <c r="C1150">
        <v>1</v>
      </c>
      <c r="D1150">
        <v>39.950000000000003</v>
      </c>
      <c r="G1150" t="s">
        <v>87</v>
      </c>
      <c r="H1150">
        <v>696691418</v>
      </c>
      <c r="I1150" t="s">
        <v>29</v>
      </c>
      <c r="J1150" t="s">
        <v>29</v>
      </c>
      <c r="K1150" t="str">
        <f>IF(Table3[[#This Row],[Type Received]]=2,"CC",(IF(Table3[[#This Row],[Type Received]]=3,"BILL","ACH")))</f>
        <v>ACH</v>
      </c>
    </row>
    <row r="1151" spans="1:11" x14ac:dyDescent="0.25">
      <c r="A1151">
        <v>260167</v>
      </c>
      <c r="B1151" s="3">
        <v>46144</v>
      </c>
      <c r="C1151">
        <v>1</v>
      </c>
      <c r="D1151">
        <v>26.75</v>
      </c>
      <c r="G1151" t="s">
        <v>89</v>
      </c>
      <c r="H1151">
        <v>535384299</v>
      </c>
      <c r="I1151" t="s">
        <v>29</v>
      </c>
      <c r="J1151" t="s">
        <v>29</v>
      </c>
      <c r="K1151" t="str">
        <f>IF(Table3[[#This Row],[Type Received]]=2,"CC",(IF(Table3[[#This Row],[Type Received]]=3,"BILL","ACH")))</f>
        <v>ACH</v>
      </c>
    </row>
    <row r="1152" spans="1:11" x14ac:dyDescent="0.25">
      <c r="A1152">
        <v>260181</v>
      </c>
      <c r="B1152" s="3">
        <v>46164</v>
      </c>
      <c r="C1152">
        <v>2</v>
      </c>
      <c r="D1152">
        <v>52.95</v>
      </c>
      <c r="F1152">
        <v>6076</v>
      </c>
      <c r="G1152">
        <v>747909705</v>
      </c>
      <c r="H1152">
        <v>355507428</v>
      </c>
      <c r="J1152" t="s">
        <v>29</v>
      </c>
      <c r="K1152" t="str">
        <f>IF(Table3[[#This Row],[Type Received]]=2,"CC",(IF(Table3[[#This Row],[Type Received]]=3,"BILL","ACH")))</f>
        <v>CC</v>
      </c>
    </row>
    <row r="1153" spans="1:11" x14ac:dyDescent="0.25">
      <c r="A1153">
        <v>260175</v>
      </c>
      <c r="B1153" s="3">
        <v>46144</v>
      </c>
      <c r="C1153">
        <v>1</v>
      </c>
      <c r="D1153">
        <v>70.53</v>
      </c>
      <c r="G1153" t="s">
        <v>89</v>
      </c>
      <c r="H1153">
        <v>535373620</v>
      </c>
      <c r="I1153" t="s">
        <v>29</v>
      </c>
      <c r="K1153" t="str">
        <f>IF(Table3[[#This Row],[Type Received]]=2,"CC",(IF(Table3[[#This Row],[Type Received]]=3,"BILL","ACH")))</f>
        <v>ACH</v>
      </c>
    </row>
    <row r="1154" spans="1:11" x14ac:dyDescent="0.25">
      <c r="A1154">
        <v>260177</v>
      </c>
      <c r="B1154" s="3">
        <v>46157</v>
      </c>
      <c r="C1154">
        <v>1</v>
      </c>
      <c r="D1154">
        <v>72.290000000000006</v>
      </c>
      <c r="G1154" s="4" t="s">
        <v>87</v>
      </c>
      <c r="H1154">
        <v>696670019</v>
      </c>
      <c r="I1154" t="s">
        <v>29</v>
      </c>
      <c r="K1154" t="str">
        <f>IF(Table3[[#This Row],[Type Received]]=2,"CC",(IF(Table3[[#This Row],[Type Received]]=3,"BILL","ACH")))</f>
        <v>ACH</v>
      </c>
    </row>
    <row r="1155" spans="1:11" x14ac:dyDescent="0.25">
      <c r="A1155">
        <v>260170</v>
      </c>
      <c r="B1155" s="3">
        <v>46167</v>
      </c>
      <c r="C1155">
        <v>1</v>
      </c>
      <c r="D1155">
        <v>125.86</v>
      </c>
      <c r="G1155" t="s">
        <v>85</v>
      </c>
      <c r="H1155">
        <v>818358109</v>
      </c>
      <c r="I1155" t="s">
        <v>29</v>
      </c>
      <c r="J1155" t="s">
        <v>29</v>
      </c>
      <c r="K1155" t="str">
        <f>IF(Table3[[#This Row],[Type Received]]=2,"CC",(IF(Table3[[#This Row],[Type Received]]=3,"BILL","ACH")))</f>
        <v>ACH</v>
      </c>
    </row>
    <row r="1156" spans="1:11" x14ac:dyDescent="0.25">
      <c r="A1156">
        <v>260176</v>
      </c>
      <c r="B1156" s="3">
        <v>46144</v>
      </c>
      <c r="C1156">
        <v>1</v>
      </c>
      <c r="D1156">
        <v>71.63</v>
      </c>
      <c r="G1156" t="s">
        <v>89</v>
      </c>
      <c r="H1156">
        <v>535390143</v>
      </c>
      <c r="I1156" t="s">
        <v>29</v>
      </c>
      <c r="J1156" t="s">
        <v>29</v>
      </c>
      <c r="K1156" t="str">
        <f>IF(Table3[[#This Row],[Type Received]]=2,"CC",(IF(Table3[[#This Row],[Type Received]]=3,"BILL","ACH")))</f>
        <v>ACH</v>
      </c>
    </row>
    <row r="1157" spans="1:11" x14ac:dyDescent="0.25">
      <c r="A1157">
        <v>260168</v>
      </c>
      <c r="B1157" s="3">
        <v>46155</v>
      </c>
      <c r="C1157">
        <v>2</v>
      </c>
      <c r="D1157">
        <v>83.29</v>
      </c>
      <c r="F1157" t="s">
        <v>193</v>
      </c>
      <c r="G1157" t="s">
        <v>28</v>
      </c>
      <c r="H1157">
        <v>669475725</v>
      </c>
      <c r="I1157" t="s">
        <v>29</v>
      </c>
      <c r="K1157" t="str">
        <f>IF(Table3[[#This Row],[Type Received]]=2,"CC",(IF(Table3[[#This Row],[Type Received]]=3,"BILL","ACH")))</f>
        <v>CC</v>
      </c>
    </row>
    <row r="1158" spans="1:11" x14ac:dyDescent="0.25">
      <c r="A1158">
        <v>260191</v>
      </c>
      <c r="B1158" s="3">
        <v>46169</v>
      </c>
      <c r="C1158">
        <v>3</v>
      </c>
      <c r="D1158">
        <v>42.83</v>
      </c>
      <c r="E1158">
        <v>19836490495</v>
      </c>
      <c r="J1158" t="s">
        <v>29</v>
      </c>
      <c r="K1158" t="str">
        <f>IF(Table3[[#This Row],[Type Received]]=2,"CC",(IF(Table3[[#This Row],[Type Received]]=3,"BILL","ACH")))</f>
        <v>BILL</v>
      </c>
    </row>
    <row r="1159" spans="1:11" x14ac:dyDescent="0.25">
      <c r="A1159">
        <v>260174</v>
      </c>
      <c r="B1159" s="3">
        <v>46145</v>
      </c>
      <c r="C1159">
        <v>1</v>
      </c>
      <c r="D1159">
        <v>64.150000000000006</v>
      </c>
      <c r="G1159" t="s">
        <v>113</v>
      </c>
      <c r="H1159">
        <v>546414871</v>
      </c>
      <c r="I1159" t="s">
        <v>29</v>
      </c>
      <c r="J1159" t="s">
        <v>29</v>
      </c>
      <c r="K1159" t="str">
        <f>IF(Table3[[#This Row],[Type Received]]=2,"CC",(IF(Table3[[#This Row],[Type Received]]=3,"BILL","ACH")))</f>
        <v>ACH</v>
      </c>
    </row>
    <row r="1160" spans="1:11" x14ac:dyDescent="0.25">
      <c r="A1160">
        <v>260171</v>
      </c>
      <c r="B1160" s="3">
        <v>46167</v>
      </c>
      <c r="C1160">
        <v>1</v>
      </c>
      <c r="D1160">
        <v>53.92</v>
      </c>
      <c r="G1160" t="s">
        <v>85</v>
      </c>
      <c r="H1160">
        <v>818350470</v>
      </c>
      <c r="I1160" t="s">
        <v>29</v>
      </c>
      <c r="J1160" t="s">
        <v>29</v>
      </c>
      <c r="K1160" t="str">
        <f>IF(Table3[[#This Row],[Type Received]]=2,"CC",(IF(Table3[[#This Row],[Type Received]]=3,"BILL","ACH")))</f>
        <v>ACH</v>
      </c>
    </row>
    <row r="1161" spans="1:11" x14ac:dyDescent="0.25">
      <c r="A1161">
        <v>260173</v>
      </c>
      <c r="B1161" s="3">
        <v>46167</v>
      </c>
      <c r="C1161">
        <v>1</v>
      </c>
      <c r="D1161">
        <v>59.31</v>
      </c>
      <c r="G1161" t="s">
        <v>85</v>
      </c>
      <c r="H1161">
        <v>818350455</v>
      </c>
      <c r="I1161" t="s">
        <v>29</v>
      </c>
      <c r="J1161" t="s">
        <v>29</v>
      </c>
      <c r="K1161" t="str">
        <f>IF(Table3[[#This Row],[Type Received]]=2,"CC",(IF(Table3[[#This Row],[Type Received]]=3,"BILL","ACH")))</f>
        <v>ACH</v>
      </c>
    </row>
    <row r="1162" spans="1:11" x14ac:dyDescent="0.25">
      <c r="A1162">
        <v>260180</v>
      </c>
      <c r="B1162" s="3">
        <v>46143</v>
      </c>
      <c r="C1162">
        <v>2</v>
      </c>
      <c r="D1162">
        <v>58.89</v>
      </c>
      <c r="F1162">
        <v>913918</v>
      </c>
      <c r="G1162" t="s">
        <v>28</v>
      </c>
      <c r="H1162">
        <v>526280412</v>
      </c>
      <c r="I1162" t="s">
        <v>29</v>
      </c>
      <c r="J1162" t="s">
        <v>29</v>
      </c>
      <c r="K1162" t="str">
        <f>IF(Table3[[#This Row],[Type Received]]=2,"CC",(IF(Table3[[#This Row],[Type Received]]=3,"BILL","ACH")))</f>
        <v>CC</v>
      </c>
    </row>
    <row r="1163" spans="1:11" x14ac:dyDescent="0.25">
      <c r="A1163">
        <v>260192</v>
      </c>
      <c r="B1163" s="3">
        <v>46155</v>
      </c>
      <c r="C1163">
        <v>2</v>
      </c>
      <c r="D1163">
        <v>76.69</v>
      </c>
      <c r="F1163">
        <v>55007</v>
      </c>
      <c r="G1163" t="s">
        <v>28</v>
      </c>
      <c r="H1163">
        <v>669492119</v>
      </c>
      <c r="I1163" t="s">
        <v>29</v>
      </c>
      <c r="J1163" t="s">
        <v>29</v>
      </c>
      <c r="K1163" t="str">
        <f>IF(Table3[[#This Row],[Type Received]]=2,"CC",(IF(Table3[[#This Row],[Type Received]]=3,"BILL","ACH")))</f>
        <v>CC</v>
      </c>
    </row>
    <row r="1164" spans="1:11" x14ac:dyDescent="0.25">
      <c r="A1164">
        <v>260193</v>
      </c>
      <c r="B1164" s="3">
        <v>46161</v>
      </c>
      <c r="C1164">
        <v>3</v>
      </c>
      <c r="D1164">
        <v>53.17</v>
      </c>
      <c r="E1164">
        <v>250</v>
      </c>
      <c r="J1164" t="s">
        <v>29</v>
      </c>
      <c r="K1164" t="str">
        <f>IF(Table3[[#This Row],[Type Received]]=2,"CC",(IF(Table3[[#This Row],[Type Received]]=3,"BILL","ACH")))</f>
        <v>BILL</v>
      </c>
    </row>
    <row r="1165" spans="1:11" x14ac:dyDescent="0.25">
      <c r="A1165">
        <v>260193</v>
      </c>
      <c r="B1165" s="3">
        <v>46146</v>
      </c>
      <c r="C1165">
        <v>3</v>
      </c>
      <c r="D1165">
        <v>53.17</v>
      </c>
      <c r="E1165">
        <v>252</v>
      </c>
      <c r="J1165" t="s">
        <v>29</v>
      </c>
      <c r="K1165" t="str">
        <f>IF(Table3[[#This Row],[Type Received]]=2,"CC",(IF(Table3[[#This Row],[Type Received]]=3,"BILL","ACH")))</f>
        <v>BILL</v>
      </c>
    </row>
    <row r="1166" spans="1:11" x14ac:dyDescent="0.25">
      <c r="A1166">
        <v>260194</v>
      </c>
      <c r="B1166" s="3">
        <v>46155</v>
      </c>
      <c r="C1166">
        <v>2</v>
      </c>
      <c r="D1166">
        <v>181.3</v>
      </c>
      <c r="F1166" t="s">
        <v>194</v>
      </c>
      <c r="G1166" t="s">
        <v>28</v>
      </c>
      <c r="H1166">
        <v>669476654</v>
      </c>
      <c r="I1166" t="s">
        <v>29</v>
      </c>
      <c r="J1166" t="s">
        <v>29</v>
      </c>
      <c r="K1166" t="str">
        <f>IF(Table3[[#This Row],[Type Received]]=2,"CC",(IF(Table3[[#This Row],[Type Received]]=3,"BILL","ACH")))</f>
        <v>CC</v>
      </c>
    </row>
    <row r="1167" spans="1:11" x14ac:dyDescent="0.25">
      <c r="A1167">
        <v>260196</v>
      </c>
      <c r="B1167" s="3">
        <v>46144</v>
      </c>
      <c r="C1167">
        <v>1</v>
      </c>
      <c r="D1167">
        <v>34.67</v>
      </c>
      <c r="G1167" t="s">
        <v>89</v>
      </c>
      <c r="H1167">
        <v>535389195</v>
      </c>
      <c r="I1167" t="s">
        <v>29</v>
      </c>
      <c r="J1167" t="s">
        <v>29</v>
      </c>
      <c r="K1167" t="str">
        <f>IF(Table3[[#This Row],[Type Received]]=2,"CC",(IF(Table3[[#This Row],[Type Received]]=3,"BILL","ACH")))</f>
        <v>ACH</v>
      </c>
    </row>
    <row r="1168" spans="1:11" x14ac:dyDescent="0.25">
      <c r="A1168">
        <v>260197</v>
      </c>
      <c r="B1168" s="3">
        <v>46163</v>
      </c>
      <c r="C1168">
        <v>2</v>
      </c>
      <c r="D1168">
        <v>157.69999999999999</v>
      </c>
      <c r="F1168">
        <v>11310</v>
      </c>
      <c r="G1168" t="s">
        <v>28</v>
      </c>
      <c r="H1168">
        <v>772671232</v>
      </c>
      <c r="I1168" t="s">
        <v>29</v>
      </c>
      <c r="J1168" t="s">
        <v>29</v>
      </c>
      <c r="K1168" t="str">
        <f>IF(Table3[[#This Row],[Type Received]]=2,"CC",(IF(Table3[[#This Row],[Type Received]]=3,"BILL","ACH")))</f>
        <v>CC</v>
      </c>
    </row>
    <row r="1169" spans="1:11" x14ac:dyDescent="0.25">
      <c r="A1169">
        <v>260199</v>
      </c>
      <c r="B1169" s="3">
        <v>46144</v>
      </c>
      <c r="C1169">
        <v>1</v>
      </c>
      <c r="D1169">
        <v>111.45</v>
      </c>
      <c r="G1169" t="s">
        <v>89</v>
      </c>
      <c r="H1169">
        <v>535384373</v>
      </c>
      <c r="I1169" t="s">
        <v>29</v>
      </c>
      <c r="J1169" t="s">
        <v>29</v>
      </c>
      <c r="K1169" t="str">
        <f>IF(Table3[[#This Row],[Type Received]]=2,"CC",(IF(Table3[[#This Row],[Type Received]]=3,"BILL","ACH")))</f>
        <v>ACH</v>
      </c>
    </row>
    <row r="1170" spans="1:11" x14ac:dyDescent="0.25">
      <c r="A1170">
        <v>260212</v>
      </c>
      <c r="B1170" s="3">
        <v>46157</v>
      </c>
      <c r="C1170">
        <v>1</v>
      </c>
      <c r="D1170">
        <v>133.44999999999999</v>
      </c>
      <c r="G1170" t="s">
        <v>87</v>
      </c>
      <c r="H1170">
        <v>696686672</v>
      </c>
      <c r="I1170" t="s">
        <v>29</v>
      </c>
      <c r="J1170" t="s">
        <v>29</v>
      </c>
      <c r="K1170" t="str">
        <f>IF(Table3[[#This Row],[Type Received]]=2,"CC",(IF(Table3[[#This Row],[Type Received]]=3,"BILL","ACH")))</f>
        <v>ACH</v>
      </c>
    </row>
    <row r="1171" spans="1:11" x14ac:dyDescent="0.25">
      <c r="A1171">
        <v>260211</v>
      </c>
      <c r="B1171" s="3">
        <v>46167</v>
      </c>
      <c r="C1171">
        <v>1</v>
      </c>
      <c r="D1171">
        <v>67.67</v>
      </c>
      <c r="G1171" t="s">
        <v>85</v>
      </c>
      <c r="H1171">
        <v>818346611</v>
      </c>
      <c r="I1171" t="s">
        <v>29</v>
      </c>
      <c r="J1171" t="s">
        <v>29</v>
      </c>
      <c r="K1171" t="str">
        <f>IF(Table3[[#This Row],[Type Received]]=2,"CC",(IF(Table3[[#This Row],[Type Received]]=3,"BILL","ACH")))</f>
        <v>ACH</v>
      </c>
    </row>
    <row r="1172" spans="1:11" x14ac:dyDescent="0.25">
      <c r="A1172">
        <v>260213</v>
      </c>
      <c r="B1172" s="3">
        <v>46144</v>
      </c>
      <c r="C1172">
        <v>1</v>
      </c>
      <c r="D1172">
        <v>57.55</v>
      </c>
      <c r="G1172" t="s">
        <v>89</v>
      </c>
      <c r="H1172">
        <v>535391117</v>
      </c>
      <c r="I1172" t="s">
        <v>29</v>
      </c>
      <c r="J1172" t="s">
        <v>29</v>
      </c>
      <c r="K1172" t="str">
        <f>IF(Table3[[#This Row],[Type Received]]=2,"CC",(IF(Table3[[#This Row],[Type Received]]=3,"BILL","ACH")))</f>
        <v>ACH</v>
      </c>
    </row>
    <row r="1173" spans="1:11" x14ac:dyDescent="0.25">
      <c r="A1173">
        <v>260208</v>
      </c>
      <c r="B1173" s="3">
        <v>46155</v>
      </c>
      <c r="C1173">
        <v>2</v>
      </c>
      <c r="D1173">
        <v>75.040000000000006</v>
      </c>
      <c r="F1173" t="s">
        <v>195</v>
      </c>
      <c r="G1173" t="s">
        <v>28</v>
      </c>
      <c r="H1173">
        <v>669484318</v>
      </c>
      <c r="I1173" t="s">
        <v>29</v>
      </c>
      <c r="J1173" t="s">
        <v>29</v>
      </c>
      <c r="K1173" t="str">
        <f>IF(Table3[[#This Row],[Type Received]]=2,"CC",(IF(Table3[[#This Row],[Type Received]]=3,"BILL","ACH")))</f>
        <v>CC</v>
      </c>
    </row>
    <row r="1174" spans="1:11" x14ac:dyDescent="0.25">
      <c r="A1174">
        <v>260209</v>
      </c>
      <c r="B1174" s="3">
        <v>46157</v>
      </c>
      <c r="C1174">
        <v>1</v>
      </c>
      <c r="D1174">
        <v>42.59</v>
      </c>
      <c r="G1174" t="s">
        <v>87</v>
      </c>
      <c r="H1174">
        <v>696689520</v>
      </c>
      <c r="I1174" t="s">
        <v>29</v>
      </c>
      <c r="J1174" t="s">
        <v>29</v>
      </c>
      <c r="K1174" t="str">
        <f>IF(Table3[[#This Row],[Type Received]]=2,"CC",(IF(Table3[[#This Row],[Type Received]]=3,"BILL","ACH")))</f>
        <v>ACH</v>
      </c>
    </row>
    <row r="1175" spans="1:11" x14ac:dyDescent="0.25">
      <c r="A1175">
        <v>260210</v>
      </c>
      <c r="B1175" s="3">
        <v>46157</v>
      </c>
      <c r="C1175">
        <v>1</v>
      </c>
      <c r="D1175">
        <v>36.869999999999997</v>
      </c>
      <c r="G1175" t="s">
        <v>87</v>
      </c>
      <c r="H1175">
        <v>696696280</v>
      </c>
      <c r="I1175" t="s">
        <v>29</v>
      </c>
      <c r="J1175" t="s">
        <v>29</v>
      </c>
      <c r="K1175" t="str">
        <f>IF(Table3[[#This Row],[Type Received]]=2,"CC",(IF(Table3[[#This Row],[Type Received]]=3,"BILL","ACH")))</f>
        <v>ACH</v>
      </c>
    </row>
    <row r="1176" spans="1:11" x14ac:dyDescent="0.25">
      <c r="A1176">
        <v>260215</v>
      </c>
      <c r="B1176" s="3">
        <v>46155</v>
      </c>
      <c r="C1176">
        <v>2</v>
      </c>
      <c r="D1176">
        <v>110.35</v>
      </c>
      <c r="F1176" t="s">
        <v>196</v>
      </c>
      <c r="G1176" t="s">
        <v>28</v>
      </c>
      <c r="H1176">
        <v>669492136</v>
      </c>
      <c r="I1176" t="s">
        <v>29</v>
      </c>
      <c r="J1176" t="s">
        <v>29</v>
      </c>
      <c r="K1176" t="str">
        <f>IF(Table3[[#This Row],[Type Received]]=2,"CC",(IF(Table3[[#This Row],[Type Received]]=3,"BILL","ACH")))</f>
        <v>CC</v>
      </c>
    </row>
    <row r="1177" spans="1:11" x14ac:dyDescent="0.25">
      <c r="A1177">
        <v>260217</v>
      </c>
      <c r="B1177" s="3">
        <v>46155</v>
      </c>
      <c r="C1177">
        <v>2</v>
      </c>
      <c r="D1177">
        <v>62.17</v>
      </c>
      <c r="F1177">
        <v>67628</v>
      </c>
      <c r="G1177" t="s">
        <v>28</v>
      </c>
      <c r="H1177">
        <v>669472826</v>
      </c>
      <c r="I1177" t="s">
        <v>29</v>
      </c>
      <c r="J1177" t="s">
        <v>29</v>
      </c>
      <c r="K1177" t="str">
        <f>IF(Table3[[#This Row],[Type Received]]=2,"CC",(IF(Table3[[#This Row],[Type Received]]=3,"BILL","ACH")))</f>
        <v>CC</v>
      </c>
    </row>
    <row r="1178" spans="1:11" x14ac:dyDescent="0.25">
      <c r="A1178">
        <v>260219</v>
      </c>
      <c r="B1178" s="3">
        <v>46157</v>
      </c>
      <c r="C1178">
        <v>1</v>
      </c>
      <c r="D1178">
        <v>63.05</v>
      </c>
      <c r="G1178" t="s">
        <v>87</v>
      </c>
      <c r="H1178">
        <v>696670068</v>
      </c>
      <c r="I1178" t="s">
        <v>29</v>
      </c>
      <c r="J1178" t="s">
        <v>29</v>
      </c>
      <c r="K1178" t="str">
        <f>IF(Table3[[#This Row],[Type Received]]=2,"CC",(IF(Table3[[#This Row],[Type Received]]=3,"BILL","ACH")))</f>
        <v>ACH</v>
      </c>
    </row>
    <row r="1179" spans="1:11" x14ac:dyDescent="0.25">
      <c r="A1179">
        <v>260221</v>
      </c>
      <c r="B1179" s="3">
        <v>46157</v>
      </c>
      <c r="C1179">
        <v>1</v>
      </c>
      <c r="D1179">
        <v>55.24</v>
      </c>
      <c r="G1179" t="s">
        <v>87</v>
      </c>
      <c r="H1179">
        <v>696699166</v>
      </c>
      <c r="I1179" t="s">
        <v>29</v>
      </c>
      <c r="J1179" t="s">
        <v>29</v>
      </c>
      <c r="K1179" t="str">
        <f>IF(Table3[[#This Row],[Type Received]]=2,"CC",(IF(Table3[[#This Row],[Type Received]]=3,"BILL","ACH")))</f>
        <v>ACH</v>
      </c>
    </row>
    <row r="1180" spans="1:11" x14ac:dyDescent="0.25">
      <c r="A1180">
        <v>260220</v>
      </c>
      <c r="B1180" s="3">
        <v>46157</v>
      </c>
      <c r="C1180">
        <v>1</v>
      </c>
      <c r="D1180">
        <v>74.05</v>
      </c>
      <c r="G1180" t="s">
        <v>87</v>
      </c>
      <c r="H1180">
        <v>696680881</v>
      </c>
      <c r="I1180" t="s">
        <v>29</v>
      </c>
      <c r="J1180" t="s">
        <v>29</v>
      </c>
      <c r="K1180" t="str">
        <f>IF(Table3[[#This Row],[Type Received]]=2,"CC",(IF(Table3[[#This Row],[Type Received]]=3,"BILL","ACH")))</f>
        <v>ACH</v>
      </c>
    </row>
    <row r="1181" spans="1:11" x14ac:dyDescent="0.25">
      <c r="A1181">
        <v>260225</v>
      </c>
      <c r="B1181" s="3">
        <v>46155</v>
      </c>
      <c r="C1181">
        <v>2</v>
      </c>
      <c r="D1181">
        <v>65.47</v>
      </c>
      <c r="F1181">
        <v>841227</v>
      </c>
      <c r="G1181" s="4" t="s">
        <v>28</v>
      </c>
      <c r="H1181">
        <v>669493135</v>
      </c>
      <c r="I1181" t="s">
        <v>29</v>
      </c>
      <c r="J1181" t="s">
        <v>29</v>
      </c>
      <c r="K1181" t="str">
        <f>IF(Table3[[#This Row],[Type Received]]=2,"CC",(IF(Table3[[#This Row],[Type Received]]=3,"BILL","ACH")))</f>
        <v>CC</v>
      </c>
    </row>
    <row r="1182" spans="1:11" x14ac:dyDescent="0.25">
      <c r="A1182">
        <v>260233</v>
      </c>
      <c r="B1182" s="3">
        <v>46159</v>
      </c>
      <c r="C1182">
        <v>2</v>
      </c>
      <c r="D1182">
        <v>50.95</v>
      </c>
      <c r="F1182">
        <v>32973</v>
      </c>
      <c r="G1182" t="s">
        <v>28</v>
      </c>
      <c r="H1182">
        <v>721683483</v>
      </c>
      <c r="I1182" t="s">
        <v>29</v>
      </c>
      <c r="K1182" t="str">
        <f>IF(Table3[[#This Row],[Type Received]]=2,"CC",(IF(Table3[[#This Row],[Type Received]]=3,"BILL","ACH")))</f>
        <v>CC</v>
      </c>
    </row>
    <row r="1183" spans="1:11" x14ac:dyDescent="0.25">
      <c r="A1183">
        <v>260236</v>
      </c>
      <c r="B1183" s="3">
        <v>46144</v>
      </c>
      <c r="C1183">
        <v>1</v>
      </c>
      <c r="D1183">
        <v>82.96</v>
      </c>
      <c r="G1183" t="s">
        <v>89</v>
      </c>
      <c r="H1183">
        <v>535389269</v>
      </c>
      <c r="I1183" t="s">
        <v>29</v>
      </c>
      <c r="J1183" t="s">
        <v>29</v>
      </c>
      <c r="K1183" t="str">
        <f>IF(Table3[[#This Row],[Type Received]]=2,"CC",(IF(Table3[[#This Row],[Type Received]]=3,"BILL","ACH")))</f>
        <v>ACH</v>
      </c>
    </row>
    <row r="1184" spans="1:11" x14ac:dyDescent="0.25">
      <c r="A1184">
        <v>260239</v>
      </c>
      <c r="B1184" s="3">
        <v>46157</v>
      </c>
      <c r="C1184">
        <v>1</v>
      </c>
      <c r="D1184">
        <v>118.27</v>
      </c>
      <c r="G1184" t="s">
        <v>87</v>
      </c>
      <c r="H1184">
        <v>696682767</v>
      </c>
      <c r="I1184" t="s">
        <v>29</v>
      </c>
      <c r="J1184" t="s">
        <v>29</v>
      </c>
      <c r="K1184" t="str">
        <f>IF(Table3[[#This Row],[Type Received]]=2,"CC",(IF(Table3[[#This Row],[Type Received]]=3,"BILL","ACH")))</f>
        <v>ACH</v>
      </c>
    </row>
    <row r="1185" spans="1:11" x14ac:dyDescent="0.25">
      <c r="A1185">
        <v>260229</v>
      </c>
      <c r="B1185" s="3">
        <v>46155</v>
      </c>
      <c r="C1185">
        <v>2</v>
      </c>
      <c r="D1185">
        <v>66.13</v>
      </c>
      <c r="F1185">
        <v>490933</v>
      </c>
      <c r="G1185" t="s">
        <v>28</v>
      </c>
      <c r="H1185">
        <v>669473840</v>
      </c>
      <c r="I1185" t="s">
        <v>29</v>
      </c>
      <c r="K1185" t="str">
        <f>IF(Table3[[#This Row],[Type Received]]=2,"CC",(IF(Table3[[#This Row],[Type Received]]=3,"BILL","ACH")))</f>
        <v>CC</v>
      </c>
    </row>
    <row r="1186" spans="1:11" x14ac:dyDescent="0.25">
      <c r="A1186">
        <v>260254</v>
      </c>
      <c r="B1186" s="3">
        <v>46170</v>
      </c>
      <c r="C1186">
        <v>1</v>
      </c>
      <c r="D1186">
        <v>26.31</v>
      </c>
      <c r="G1186" t="s">
        <v>91</v>
      </c>
      <c r="H1186">
        <v>853934508</v>
      </c>
      <c r="I1186" t="s">
        <v>29</v>
      </c>
      <c r="J1186" t="s">
        <v>29</v>
      </c>
      <c r="K1186" t="str">
        <f>IF(Table3[[#This Row],[Type Received]]=2,"CC",(IF(Table3[[#This Row],[Type Received]]=3,"BILL","ACH")))</f>
        <v>ACH</v>
      </c>
    </row>
    <row r="1187" spans="1:11" x14ac:dyDescent="0.25">
      <c r="A1187">
        <v>260232</v>
      </c>
      <c r="B1187" s="3">
        <v>46163</v>
      </c>
      <c r="C1187">
        <v>2</v>
      </c>
      <c r="D1187">
        <v>45.45</v>
      </c>
      <c r="F1187">
        <v>879450</v>
      </c>
      <c r="G1187" t="s">
        <v>28</v>
      </c>
      <c r="H1187">
        <v>771107155</v>
      </c>
      <c r="I1187" t="s">
        <v>29</v>
      </c>
      <c r="K1187" t="str">
        <f>IF(Table3[[#This Row],[Type Received]]=2,"CC",(IF(Table3[[#This Row],[Type Received]]=3,"BILL","ACH")))</f>
        <v>CC</v>
      </c>
    </row>
    <row r="1188" spans="1:11" x14ac:dyDescent="0.25">
      <c r="A1188">
        <v>260241</v>
      </c>
      <c r="B1188" s="3">
        <v>46157</v>
      </c>
      <c r="C1188">
        <v>1</v>
      </c>
      <c r="D1188">
        <v>64.150000000000006</v>
      </c>
      <c r="G1188" s="4" t="s">
        <v>87</v>
      </c>
      <c r="H1188">
        <v>696676018</v>
      </c>
      <c r="I1188" t="s">
        <v>29</v>
      </c>
      <c r="J1188" t="s">
        <v>29</v>
      </c>
      <c r="K1188" t="str">
        <f>IF(Table3[[#This Row],[Type Received]]=2,"CC",(IF(Table3[[#This Row],[Type Received]]=3,"BILL","ACH")))</f>
        <v>ACH</v>
      </c>
    </row>
    <row r="1189" spans="1:11" x14ac:dyDescent="0.25">
      <c r="A1189">
        <v>260237</v>
      </c>
      <c r="B1189" s="3">
        <v>46144</v>
      </c>
      <c r="C1189">
        <v>1</v>
      </c>
      <c r="D1189">
        <v>29.61</v>
      </c>
      <c r="G1189" t="s">
        <v>89</v>
      </c>
      <c r="H1189">
        <v>535365976</v>
      </c>
      <c r="I1189" t="s">
        <v>29</v>
      </c>
      <c r="J1189" t="s">
        <v>29</v>
      </c>
      <c r="K1189" t="str">
        <f>IF(Table3[[#This Row],[Type Received]]=2,"CC",(IF(Table3[[#This Row],[Type Received]]=3,"BILL","ACH")))</f>
        <v>ACH</v>
      </c>
    </row>
    <row r="1190" spans="1:11" x14ac:dyDescent="0.25">
      <c r="A1190">
        <v>260231</v>
      </c>
      <c r="B1190" s="3">
        <v>46145</v>
      </c>
      <c r="C1190">
        <v>2</v>
      </c>
      <c r="D1190">
        <v>73.72</v>
      </c>
      <c r="F1190">
        <v>16301</v>
      </c>
      <c r="G1190" t="s">
        <v>28</v>
      </c>
      <c r="H1190">
        <v>546419791</v>
      </c>
      <c r="I1190" t="s">
        <v>29</v>
      </c>
      <c r="K1190" t="str">
        <f>IF(Table3[[#This Row],[Type Received]]=2,"CC",(IF(Table3[[#This Row],[Type Received]]=3,"BILL","ACH")))</f>
        <v>CC</v>
      </c>
    </row>
    <row r="1191" spans="1:11" x14ac:dyDescent="0.25">
      <c r="A1191">
        <v>260238</v>
      </c>
      <c r="B1191" s="3">
        <v>46144</v>
      </c>
      <c r="C1191">
        <v>1</v>
      </c>
      <c r="D1191">
        <v>28.95</v>
      </c>
      <c r="G1191" t="s">
        <v>89</v>
      </c>
      <c r="H1191">
        <v>535367978</v>
      </c>
      <c r="I1191" t="s">
        <v>29</v>
      </c>
      <c r="J1191" t="s">
        <v>29</v>
      </c>
      <c r="K1191" t="str">
        <f>IF(Table3[[#This Row],[Type Received]]=2,"CC",(IF(Table3[[#This Row],[Type Received]]=3,"BILL","ACH")))</f>
        <v>ACH</v>
      </c>
    </row>
    <row r="1192" spans="1:11" x14ac:dyDescent="0.25">
      <c r="A1192">
        <v>260257</v>
      </c>
      <c r="B1192" s="3">
        <v>46155</v>
      </c>
      <c r="C1192">
        <v>2</v>
      </c>
      <c r="D1192">
        <v>116.62</v>
      </c>
      <c r="F1192">
        <v>240142</v>
      </c>
      <c r="G1192" t="s">
        <v>28</v>
      </c>
      <c r="H1192">
        <v>669466076</v>
      </c>
      <c r="I1192" t="s">
        <v>29</v>
      </c>
      <c r="J1192" t="s">
        <v>29</v>
      </c>
      <c r="K1192" t="str">
        <f>IF(Table3[[#This Row],[Type Received]]=2,"CC",(IF(Table3[[#This Row],[Type Received]]=3,"BILL","ACH")))</f>
        <v>CC</v>
      </c>
    </row>
    <row r="1193" spans="1:11" x14ac:dyDescent="0.25">
      <c r="A1193">
        <v>260265</v>
      </c>
      <c r="B1193" s="3">
        <v>46144</v>
      </c>
      <c r="C1193">
        <v>1</v>
      </c>
      <c r="D1193">
        <v>35.11</v>
      </c>
      <c r="G1193" t="s">
        <v>89</v>
      </c>
      <c r="H1193">
        <v>535390271</v>
      </c>
      <c r="I1193" t="s">
        <v>29</v>
      </c>
      <c r="K1193" t="str">
        <f>IF(Table3[[#This Row],[Type Received]]=2,"CC",(IF(Table3[[#This Row],[Type Received]]=3,"BILL","ACH")))</f>
        <v>ACH</v>
      </c>
    </row>
    <row r="1194" spans="1:11" x14ac:dyDescent="0.25">
      <c r="A1194">
        <v>260268</v>
      </c>
      <c r="B1194" s="3">
        <v>46145</v>
      </c>
      <c r="C1194">
        <v>2</v>
      </c>
      <c r="D1194">
        <v>109.69</v>
      </c>
      <c r="F1194">
        <v>618845</v>
      </c>
      <c r="G1194" t="s">
        <v>28</v>
      </c>
      <c r="H1194">
        <v>546434159</v>
      </c>
      <c r="I1194" t="s">
        <v>29</v>
      </c>
      <c r="K1194" t="str">
        <f>IF(Table3[[#This Row],[Type Received]]=2,"CC",(IF(Table3[[#This Row],[Type Received]]=3,"BILL","ACH")))</f>
        <v>CC</v>
      </c>
    </row>
    <row r="1195" spans="1:11" x14ac:dyDescent="0.25">
      <c r="A1195">
        <v>260259</v>
      </c>
      <c r="B1195" s="3">
        <v>46155</v>
      </c>
      <c r="C1195">
        <v>2</v>
      </c>
      <c r="D1195">
        <v>53.15</v>
      </c>
      <c r="F1195" t="s">
        <v>197</v>
      </c>
      <c r="G1195" t="s">
        <v>28</v>
      </c>
      <c r="H1195">
        <v>669468013</v>
      </c>
      <c r="I1195" t="s">
        <v>29</v>
      </c>
      <c r="J1195" t="s">
        <v>29</v>
      </c>
      <c r="K1195" t="str">
        <f>IF(Table3[[#This Row],[Type Received]]=2,"CC",(IF(Table3[[#This Row],[Type Received]]=3,"BILL","ACH")))</f>
        <v>CC</v>
      </c>
    </row>
    <row r="1196" spans="1:11" x14ac:dyDescent="0.25">
      <c r="A1196">
        <v>260266</v>
      </c>
      <c r="B1196" s="3">
        <v>46144</v>
      </c>
      <c r="C1196">
        <v>1</v>
      </c>
      <c r="D1196">
        <v>29.17</v>
      </c>
      <c r="G1196" t="s">
        <v>89</v>
      </c>
      <c r="H1196">
        <v>535377600</v>
      </c>
      <c r="I1196" t="s">
        <v>29</v>
      </c>
      <c r="J1196" t="s">
        <v>29</v>
      </c>
      <c r="K1196" t="str">
        <f>IF(Table3[[#This Row],[Type Received]]=2,"CC",(IF(Table3[[#This Row],[Type Received]]=3,"BILL","ACH")))</f>
        <v>ACH</v>
      </c>
    </row>
    <row r="1197" spans="1:11" x14ac:dyDescent="0.25">
      <c r="A1197">
        <v>260274</v>
      </c>
      <c r="B1197" s="3">
        <v>46144</v>
      </c>
      <c r="C1197">
        <v>1</v>
      </c>
      <c r="D1197">
        <v>52.6</v>
      </c>
      <c r="G1197" t="s">
        <v>89</v>
      </c>
      <c r="H1197">
        <v>535371771</v>
      </c>
      <c r="I1197" t="s">
        <v>29</v>
      </c>
      <c r="J1197" t="s">
        <v>29</v>
      </c>
      <c r="K1197" t="str">
        <f>IF(Table3[[#This Row],[Type Received]]=2,"CC",(IF(Table3[[#This Row],[Type Received]]=3,"BILL","ACH")))</f>
        <v>ACH</v>
      </c>
    </row>
    <row r="1198" spans="1:11" x14ac:dyDescent="0.25">
      <c r="A1198">
        <v>260278</v>
      </c>
      <c r="B1198" s="3">
        <v>46144</v>
      </c>
      <c r="C1198">
        <v>2</v>
      </c>
      <c r="D1198">
        <v>111.34</v>
      </c>
      <c r="F1198" t="s">
        <v>198</v>
      </c>
      <c r="G1198" t="s">
        <v>28</v>
      </c>
      <c r="H1198">
        <v>535386375</v>
      </c>
      <c r="I1198" t="s">
        <v>29</v>
      </c>
      <c r="J1198" t="s">
        <v>29</v>
      </c>
      <c r="K1198" t="str">
        <f>IF(Table3[[#This Row],[Type Received]]=2,"CC",(IF(Table3[[#This Row],[Type Received]]=3,"BILL","ACH")))</f>
        <v>CC</v>
      </c>
    </row>
    <row r="1199" spans="1:11" x14ac:dyDescent="0.25">
      <c r="A1199">
        <v>260284</v>
      </c>
      <c r="B1199" s="3">
        <v>46157</v>
      </c>
      <c r="C1199">
        <v>1</v>
      </c>
      <c r="D1199">
        <v>60.52</v>
      </c>
      <c r="G1199" t="s">
        <v>87</v>
      </c>
      <c r="H1199">
        <v>696690576</v>
      </c>
      <c r="I1199" t="s">
        <v>29</v>
      </c>
      <c r="J1199" t="s">
        <v>29</v>
      </c>
      <c r="K1199" t="str">
        <f>IF(Table3[[#This Row],[Type Received]]=2,"CC",(IF(Table3[[#This Row],[Type Received]]=3,"BILL","ACH")))</f>
        <v>ACH</v>
      </c>
    </row>
    <row r="1200" spans="1:11" x14ac:dyDescent="0.25">
      <c r="A1200">
        <v>260286</v>
      </c>
      <c r="B1200" s="3">
        <v>46155</v>
      </c>
      <c r="C1200">
        <v>2</v>
      </c>
      <c r="D1200">
        <v>64.81</v>
      </c>
      <c r="F1200">
        <v>100339</v>
      </c>
      <c r="G1200" t="s">
        <v>28</v>
      </c>
      <c r="H1200">
        <v>669469020</v>
      </c>
      <c r="I1200" t="s">
        <v>29</v>
      </c>
      <c r="J1200" t="s">
        <v>29</v>
      </c>
      <c r="K1200" t="str">
        <f>IF(Table3[[#This Row],[Type Received]]=2,"CC",(IF(Table3[[#This Row],[Type Received]]=3,"BILL","ACH")))</f>
        <v>CC</v>
      </c>
    </row>
    <row r="1201" spans="1:11" x14ac:dyDescent="0.25">
      <c r="A1201">
        <v>260288</v>
      </c>
      <c r="B1201" s="3">
        <v>46157</v>
      </c>
      <c r="C1201">
        <v>2</v>
      </c>
      <c r="D1201">
        <v>92.2</v>
      </c>
      <c r="F1201">
        <v>32623</v>
      </c>
      <c r="G1201" t="s">
        <v>28</v>
      </c>
      <c r="H1201">
        <v>696693486</v>
      </c>
      <c r="I1201" t="s">
        <v>29</v>
      </c>
      <c r="J1201" t="s">
        <v>29</v>
      </c>
      <c r="K1201" t="str">
        <f>IF(Table3[[#This Row],[Type Received]]=2,"CC",(IF(Table3[[#This Row],[Type Received]]=3,"BILL","ACH")))</f>
        <v>CC</v>
      </c>
    </row>
    <row r="1202" spans="1:11" x14ac:dyDescent="0.25">
      <c r="A1202">
        <v>260291</v>
      </c>
      <c r="B1202" s="3">
        <v>46155</v>
      </c>
      <c r="C1202">
        <v>2</v>
      </c>
      <c r="D1202">
        <v>97.15</v>
      </c>
      <c r="F1202">
        <v>3992</v>
      </c>
      <c r="G1202" t="s">
        <v>28</v>
      </c>
      <c r="H1202">
        <v>669468041</v>
      </c>
      <c r="I1202" t="s">
        <v>29</v>
      </c>
      <c r="J1202" t="s">
        <v>29</v>
      </c>
      <c r="K1202" t="str">
        <f>IF(Table3[[#This Row],[Type Received]]=2,"CC",(IF(Table3[[#This Row],[Type Received]]=3,"BILL","ACH")))</f>
        <v>CC</v>
      </c>
    </row>
    <row r="1203" spans="1:11" x14ac:dyDescent="0.25">
      <c r="A1203">
        <v>260294</v>
      </c>
      <c r="B1203" s="3">
        <v>46167</v>
      </c>
      <c r="C1203">
        <v>1</v>
      </c>
      <c r="D1203">
        <v>46.55</v>
      </c>
      <c r="G1203" t="s">
        <v>85</v>
      </c>
      <c r="H1203">
        <v>818359140</v>
      </c>
      <c r="I1203" t="s">
        <v>29</v>
      </c>
      <c r="J1203" t="s">
        <v>29</v>
      </c>
      <c r="K1203" t="str">
        <f>IF(Table3[[#This Row],[Type Received]]=2,"CC",(IF(Table3[[#This Row],[Type Received]]=3,"BILL","ACH")))</f>
        <v>ACH</v>
      </c>
    </row>
    <row r="1204" spans="1:11" x14ac:dyDescent="0.25">
      <c r="A1204">
        <v>260290</v>
      </c>
      <c r="B1204" s="3">
        <v>46157</v>
      </c>
      <c r="C1204">
        <v>1</v>
      </c>
      <c r="D1204">
        <v>49.85</v>
      </c>
      <c r="G1204" t="s">
        <v>87</v>
      </c>
      <c r="H1204">
        <v>696684801</v>
      </c>
      <c r="I1204" t="s">
        <v>29</v>
      </c>
      <c r="J1204" t="s">
        <v>29</v>
      </c>
      <c r="K1204" t="str">
        <f>IF(Table3[[#This Row],[Type Received]]=2,"CC",(IF(Table3[[#This Row],[Type Received]]=3,"BILL","ACH")))</f>
        <v>ACH</v>
      </c>
    </row>
    <row r="1205" spans="1:11" x14ac:dyDescent="0.25">
      <c r="A1205">
        <v>260293</v>
      </c>
      <c r="B1205" s="3">
        <v>46155</v>
      </c>
      <c r="C1205">
        <v>2</v>
      </c>
      <c r="D1205">
        <v>60.85</v>
      </c>
      <c r="F1205" t="s">
        <v>199</v>
      </c>
      <c r="G1205" t="s">
        <v>28</v>
      </c>
      <c r="H1205">
        <v>669482418</v>
      </c>
      <c r="I1205" t="s">
        <v>29</v>
      </c>
      <c r="J1205" t="s">
        <v>29</v>
      </c>
      <c r="K1205" t="str">
        <f>IF(Table3[[#This Row],[Type Received]]=2,"CC",(IF(Table3[[#This Row],[Type Received]]=3,"BILL","ACH")))</f>
        <v>CC</v>
      </c>
    </row>
    <row r="1206" spans="1:11" x14ac:dyDescent="0.25">
      <c r="A1206">
        <v>260289</v>
      </c>
      <c r="B1206" s="3">
        <v>46157</v>
      </c>
      <c r="C1206">
        <v>1</v>
      </c>
      <c r="D1206">
        <v>67.23</v>
      </c>
      <c r="G1206" t="s">
        <v>87</v>
      </c>
      <c r="H1206">
        <v>696681839</v>
      </c>
      <c r="I1206" t="s">
        <v>29</v>
      </c>
      <c r="J1206" t="s">
        <v>29</v>
      </c>
      <c r="K1206" t="str">
        <f>IF(Table3[[#This Row],[Type Received]]=2,"CC",(IF(Table3[[#This Row],[Type Received]]=3,"BILL","ACH")))</f>
        <v>ACH</v>
      </c>
    </row>
    <row r="1207" spans="1:11" x14ac:dyDescent="0.25">
      <c r="A1207">
        <v>260300</v>
      </c>
      <c r="B1207" s="3">
        <v>46144</v>
      </c>
      <c r="C1207">
        <v>2</v>
      </c>
      <c r="D1207">
        <v>90.57</v>
      </c>
      <c r="F1207">
        <v>162609</v>
      </c>
      <c r="G1207">
        <v>741651752</v>
      </c>
      <c r="H1207">
        <v>353229522</v>
      </c>
      <c r="K1207" t="str">
        <f>IF(Table3[[#This Row],[Type Received]]=2,"CC",(IF(Table3[[#This Row],[Type Received]]=3,"BILL","ACH")))</f>
        <v>CC</v>
      </c>
    </row>
    <row r="1208" spans="1:11" x14ac:dyDescent="0.25">
      <c r="A1208">
        <v>260317</v>
      </c>
      <c r="B1208" s="3">
        <v>46167</v>
      </c>
      <c r="C1208">
        <v>1</v>
      </c>
      <c r="D1208">
        <v>139.38999999999999</v>
      </c>
      <c r="G1208" t="s">
        <v>85</v>
      </c>
      <c r="H1208">
        <v>818360144</v>
      </c>
      <c r="I1208" t="s">
        <v>29</v>
      </c>
      <c r="K1208" t="str">
        <f>IF(Table3[[#This Row],[Type Received]]=2,"CC",(IF(Table3[[#This Row],[Type Received]]=3,"BILL","ACH")))</f>
        <v>ACH</v>
      </c>
    </row>
    <row r="1209" spans="1:11" x14ac:dyDescent="0.25">
      <c r="A1209">
        <v>260316</v>
      </c>
      <c r="B1209" s="3">
        <v>46157</v>
      </c>
      <c r="C1209">
        <v>1</v>
      </c>
      <c r="D1209">
        <v>78.45</v>
      </c>
      <c r="G1209" t="s">
        <v>87</v>
      </c>
      <c r="H1209">
        <v>696680999</v>
      </c>
      <c r="I1209" t="s">
        <v>29</v>
      </c>
      <c r="J1209" t="s">
        <v>29</v>
      </c>
      <c r="K1209" t="str">
        <f>IF(Table3[[#This Row],[Type Received]]=2,"CC",(IF(Table3[[#This Row],[Type Received]]=3,"BILL","ACH")))</f>
        <v>ACH</v>
      </c>
    </row>
    <row r="1210" spans="1:11" x14ac:dyDescent="0.25">
      <c r="A1210">
        <v>260313</v>
      </c>
      <c r="B1210" s="3">
        <v>46157</v>
      </c>
      <c r="C1210">
        <v>1</v>
      </c>
      <c r="D1210">
        <v>65.14</v>
      </c>
      <c r="G1210" t="s">
        <v>87</v>
      </c>
      <c r="H1210">
        <v>696682857</v>
      </c>
      <c r="I1210" t="s">
        <v>29</v>
      </c>
      <c r="J1210" t="s">
        <v>29</v>
      </c>
      <c r="K1210" t="str">
        <f>IF(Table3[[#This Row],[Type Received]]=2,"CC",(IF(Table3[[#This Row],[Type Received]]=3,"BILL","ACH")))</f>
        <v>ACH</v>
      </c>
    </row>
    <row r="1211" spans="1:11" x14ac:dyDescent="0.25">
      <c r="A1211">
        <v>260307</v>
      </c>
      <c r="B1211" s="3">
        <v>46155</v>
      </c>
      <c r="C1211">
        <v>2</v>
      </c>
      <c r="D1211">
        <v>35.99</v>
      </c>
      <c r="F1211">
        <v>170333</v>
      </c>
      <c r="G1211" t="s">
        <v>28</v>
      </c>
      <c r="H1211">
        <v>669482425</v>
      </c>
      <c r="I1211" t="s">
        <v>29</v>
      </c>
      <c r="J1211" t="s">
        <v>29</v>
      </c>
      <c r="K1211" t="str">
        <f>IF(Table3[[#This Row],[Type Received]]=2,"CC",(IF(Table3[[#This Row],[Type Received]]=3,"BILL","ACH")))</f>
        <v>CC</v>
      </c>
    </row>
    <row r="1212" spans="1:11" x14ac:dyDescent="0.25">
      <c r="A1212">
        <v>260323</v>
      </c>
      <c r="B1212" s="3">
        <v>46144</v>
      </c>
      <c r="C1212">
        <v>2</v>
      </c>
      <c r="D1212">
        <v>50.95</v>
      </c>
      <c r="F1212" t="s">
        <v>200</v>
      </c>
      <c r="G1212" t="s">
        <v>28</v>
      </c>
      <c r="H1212">
        <v>535372786</v>
      </c>
      <c r="I1212" t="s">
        <v>29</v>
      </c>
      <c r="J1212" t="s">
        <v>29</v>
      </c>
      <c r="K1212" t="str">
        <f>IF(Table3[[#This Row],[Type Received]]=2,"CC",(IF(Table3[[#This Row],[Type Received]]=3,"BILL","ACH")))</f>
        <v>CC</v>
      </c>
    </row>
    <row r="1213" spans="1:11" x14ac:dyDescent="0.25">
      <c r="A1213">
        <v>260305</v>
      </c>
      <c r="B1213" s="3">
        <v>46145</v>
      </c>
      <c r="C1213">
        <v>2</v>
      </c>
      <c r="D1213">
        <v>124.21</v>
      </c>
      <c r="F1213">
        <v>189517</v>
      </c>
      <c r="G1213" t="s">
        <v>28</v>
      </c>
      <c r="H1213">
        <v>546409937</v>
      </c>
      <c r="I1213" t="s">
        <v>29</v>
      </c>
      <c r="J1213" t="s">
        <v>29</v>
      </c>
      <c r="K1213" t="str">
        <f>IF(Table3[[#This Row],[Type Received]]=2,"CC",(IF(Table3[[#This Row],[Type Received]]=3,"BILL","ACH")))</f>
        <v>CC</v>
      </c>
    </row>
    <row r="1214" spans="1:11" x14ac:dyDescent="0.25">
      <c r="A1214">
        <v>260309</v>
      </c>
      <c r="B1214" s="3">
        <v>46155</v>
      </c>
      <c r="C1214">
        <v>2</v>
      </c>
      <c r="D1214">
        <v>50.29</v>
      </c>
      <c r="F1214">
        <v>120233</v>
      </c>
      <c r="G1214" t="s">
        <v>28</v>
      </c>
      <c r="H1214">
        <v>669493192</v>
      </c>
      <c r="I1214" t="s">
        <v>29</v>
      </c>
      <c r="J1214" t="s">
        <v>29</v>
      </c>
      <c r="K1214" t="str">
        <f>IF(Table3[[#This Row],[Type Received]]=2,"CC",(IF(Table3[[#This Row],[Type Received]]=3,"BILL","ACH")))</f>
        <v>CC</v>
      </c>
    </row>
    <row r="1215" spans="1:11" x14ac:dyDescent="0.25">
      <c r="A1215">
        <v>260314</v>
      </c>
      <c r="B1215" s="3">
        <v>46157</v>
      </c>
      <c r="C1215">
        <v>1</v>
      </c>
      <c r="D1215">
        <v>120.91</v>
      </c>
      <c r="G1215" t="s">
        <v>87</v>
      </c>
      <c r="H1215">
        <v>696704137</v>
      </c>
      <c r="I1215" t="s">
        <v>29</v>
      </c>
      <c r="J1215" t="s">
        <v>29</v>
      </c>
      <c r="K1215" t="str">
        <f>IF(Table3[[#This Row],[Type Received]]=2,"CC",(IF(Table3[[#This Row],[Type Received]]=3,"BILL","ACH")))</f>
        <v>ACH</v>
      </c>
    </row>
    <row r="1216" spans="1:11" x14ac:dyDescent="0.25">
      <c r="A1216">
        <v>260318</v>
      </c>
      <c r="B1216" s="3">
        <v>46157</v>
      </c>
      <c r="C1216">
        <v>2</v>
      </c>
      <c r="D1216">
        <v>59.86</v>
      </c>
      <c r="F1216">
        <v>719910</v>
      </c>
      <c r="G1216" s="4" t="s">
        <v>28</v>
      </c>
      <c r="H1216">
        <v>696705124</v>
      </c>
      <c r="I1216" t="s">
        <v>29</v>
      </c>
      <c r="J1216" t="s">
        <v>29</v>
      </c>
      <c r="K1216" t="str">
        <f>IF(Table3[[#This Row],[Type Received]]=2,"CC",(IF(Table3[[#This Row],[Type Received]]=3,"BILL","ACH")))</f>
        <v>CC</v>
      </c>
    </row>
    <row r="1217" spans="1:11" x14ac:dyDescent="0.25">
      <c r="A1217">
        <v>260333</v>
      </c>
      <c r="B1217" s="3">
        <v>46155</v>
      </c>
      <c r="C1217">
        <v>1</v>
      </c>
      <c r="D1217">
        <v>67.45</v>
      </c>
      <c r="G1217" t="s">
        <v>90</v>
      </c>
      <c r="H1217">
        <v>669468062</v>
      </c>
      <c r="I1217" t="s">
        <v>29</v>
      </c>
      <c r="K1217" t="str">
        <f>IF(Table3[[#This Row],[Type Received]]=2,"CC",(IF(Table3[[#This Row],[Type Received]]=3,"BILL","ACH")))</f>
        <v>ACH</v>
      </c>
    </row>
    <row r="1218" spans="1:11" x14ac:dyDescent="0.25">
      <c r="A1218">
        <v>260334</v>
      </c>
      <c r="B1218" s="3">
        <v>46155</v>
      </c>
      <c r="C1218">
        <v>2</v>
      </c>
      <c r="D1218">
        <v>40.72</v>
      </c>
      <c r="F1218">
        <v>18917</v>
      </c>
      <c r="G1218" s="4" t="s">
        <v>28</v>
      </c>
      <c r="H1218">
        <v>669491244</v>
      </c>
      <c r="I1218" t="s">
        <v>29</v>
      </c>
      <c r="K1218" t="str">
        <f>IF(Table3[[#This Row],[Type Received]]=2,"CC",(IF(Table3[[#This Row],[Type Received]]=3,"BILL","ACH")))</f>
        <v>CC</v>
      </c>
    </row>
    <row r="1219" spans="1:11" x14ac:dyDescent="0.25">
      <c r="A1219">
        <v>260340</v>
      </c>
      <c r="B1219" s="3">
        <v>46144</v>
      </c>
      <c r="C1219">
        <v>1</v>
      </c>
      <c r="D1219">
        <v>32.14</v>
      </c>
      <c r="G1219" t="s">
        <v>89</v>
      </c>
      <c r="H1219">
        <v>535389343</v>
      </c>
      <c r="I1219" t="s">
        <v>29</v>
      </c>
      <c r="J1219" t="s">
        <v>29</v>
      </c>
      <c r="K1219" t="str">
        <f>IF(Table3[[#This Row],[Type Received]]=2,"CC",(IF(Table3[[#This Row],[Type Received]]=3,"BILL","ACH")))</f>
        <v>ACH</v>
      </c>
    </row>
    <row r="1220" spans="1:11" x14ac:dyDescent="0.25">
      <c r="A1220">
        <v>260338</v>
      </c>
      <c r="B1220" s="3">
        <v>46157</v>
      </c>
      <c r="C1220">
        <v>1</v>
      </c>
      <c r="D1220">
        <v>108.15</v>
      </c>
      <c r="G1220" t="s">
        <v>87</v>
      </c>
      <c r="H1220">
        <v>696690658</v>
      </c>
      <c r="I1220" t="s">
        <v>29</v>
      </c>
      <c r="J1220" t="s">
        <v>29</v>
      </c>
      <c r="K1220" t="str">
        <f>IF(Table3[[#This Row],[Type Received]]=2,"CC",(IF(Table3[[#This Row],[Type Received]]=3,"BILL","ACH")))</f>
        <v>ACH</v>
      </c>
    </row>
    <row r="1221" spans="1:11" x14ac:dyDescent="0.25">
      <c r="A1221">
        <v>260339</v>
      </c>
      <c r="B1221" s="3">
        <v>46157</v>
      </c>
      <c r="C1221">
        <v>1</v>
      </c>
      <c r="D1221">
        <v>109.25</v>
      </c>
      <c r="G1221" t="s">
        <v>87</v>
      </c>
      <c r="H1221">
        <v>696687751</v>
      </c>
      <c r="I1221" t="s">
        <v>29</v>
      </c>
      <c r="K1221" t="str">
        <f>IF(Table3[[#This Row],[Type Received]]=2,"CC",(IF(Table3[[#This Row],[Type Received]]=3,"BILL","ACH")))</f>
        <v>ACH</v>
      </c>
    </row>
    <row r="1222" spans="1:11" x14ac:dyDescent="0.25">
      <c r="A1222">
        <v>260337</v>
      </c>
      <c r="B1222" s="3">
        <v>46157</v>
      </c>
      <c r="C1222">
        <v>1</v>
      </c>
      <c r="D1222">
        <v>83.95</v>
      </c>
      <c r="G1222" t="s">
        <v>87</v>
      </c>
      <c r="H1222">
        <v>696703178</v>
      </c>
      <c r="I1222" t="s">
        <v>29</v>
      </c>
      <c r="K1222" t="str">
        <f>IF(Table3[[#This Row],[Type Received]]=2,"CC",(IF(Table3[[#This Row],[Type Received]]=3,"BILL","ACH")))</f>
        <v>ACH</v>
      </c>
    </row>
    <row r="1223" spans="1:11" x14ac:dyDescent="0.25">
      <c r="A1223">
        <v>260359</v>
      </c>
      <c r="B1223" s="3">
        <v>46167</v>
      </c>
      <c r="C1223">
        <v>1</v>
      </c>
      <c r="D1223">
        <v>95.17</v>
      </c>
      <c r="G1223" t="s">
        <v>85</v>
      </c>
      <c r="H1223">
        <v>818350550</v>
      </c>
      <c r="I1223" t="s">
        <v>29</v>
      </c>
      <c r="J1223" t="s">
        <v>29</v>
      </c>
      <c r="K1223" t="str">
        <f>IF(Table3[[#This Row],[Type Received]]=2,"CC",(IF(Table3[[#This Row],[Type Received]]=3,"BILL","ACH")))</f>
        <v>ACH</v>
      </c>
    </row>
    <row r="1224" spans="1:11" x14ac:dyDescent="0.25">
      <c r="A1224">
        <v>260357</v>
      </c>
      <c r="B1224" s="3">
        <v>46157</v>
      </c>
      <c r="C1224">
        <v>1</v>
      </c>
      <c r="D1224">
        <v>102.43</v>
      </c>
      <c r="G1224" t="s">
        <v>87</v>
      </c>
      <c r="H1224">
        <v>696683960</v>
      </c>
      <c r="I1224" t="s">
        <v>29</v>
      </c>
      <c r="J1224" t="s">
        <v>29</v>
      </c>
      <c r="K1224" t="str">
        <f>IF(Table3[[#This Row],[Type Received]]=2,"CC",(IF(Table3[[#This Row],[Type Received]]=3,"BILL","ACH")))</f>
        <v>ACH</v>
      </c>
    </row>
    <row r="1225" spans="1:11" x14ac:dyDescent="0.25">
      <c r="A1225">
        <v>260362</v>
      </c>
      <c r="B1225" s="3">
        <v>46167</v>
      </c>
      <c r="C1225">
        <v>1</v>
      </c>
      <c r="D1225">
        <v>89.45</v>
      </c>
      <c r="G1225" s="4" t="s">
        <v>85</v>
      </c>
      <c r="H1225">
        <v>818339822</v>
      </c>
      <c r="I1225" t="s">
        <v>29</v>
      </c>
      <c r="J1225" t="s">
        <v>29</v>
      </c>
      <c r="K1225" t="str">
        <f>IF(Table3[[#This Row],[Type Received]]=2,"CC",(IF(Table3[[#This Row],[Type Received]]=3,"BILL","ACH")))</f>
        <v>ACH</v>
      </c>
    </row>
    <row r="1226" spans="1:11" x14ac:dyDescent="0.25">
      <c r="A1226">
        <v>260353</v>
      </c>
      <c r="B1226" s="3">
        <v>46155</v>
      </c>
      <c r="C1226">
        <v>2</v>
      </c>
      <c r="D1226">
        <v>69.650000000000006</v>
      </c>
      <c r="F1226" t="s">
        <v>201</v>
      </c>
      <c r="G1226" t="s">
        <v>28</v>
      </c>
      <c r="H1226">
        <v>669471005</v>
      </c>
      <c r="I1226" t="s">
        <v>29</v>
      </c>
      <c r="J1226" t="s">
        <v>29</v>
      </c>
      <c r="K1226" t="str">
        <f>IF(Table3[[#This Row],[Type Received]]=2,"CC",(IF(Table3[[#This Row],[Type Received]]=3,"BILL","ACH")))</f>
        <v>CC</v>
      </c>
    </row>
    <row r="1227" spans="1:11" x14ac:dyDescent="0.25">
      <c r="A1227">
        <v>260356</v>
      </c>
      <c r="B1227" s="3">
        <v>46157</v>
      </c>
      <c r="C1227">
        <v>1</v>
      </c>
      <c r="D1227">
        <v>169.75</v>
      </c>
      <c r="G1227" t="s">
        <v>87</v>
      </c>
      <c r="H1227">
        <v>696691677</v>
      </c>
      <c r="I1227" t="s">
        <v>29</v>
      </c>
      <c r="K1227" t="str">
        <f>IF(Table3[[#This Row],[Type Received]]=2,"CC",(IF(Table3[[#This Row],[Type Received]]=3,"BILL","ACH")))</f>
        <v>ACH</v>
      </c>
    </row>
    <row r="1228" spans="1:11" x14ac:dyDescent="0.25">
      <c r="A1228">
        <v>260361</v>
      </c>
      <c r="B1228" s="3">
        <v>46167</v>
      </c>
      <c r="C1228">
        <v>1</v>
      </c>
      <c r="D1228">
        <v>25.65</v>
      </c>
      <c r="G1228" s="4" t="s">
        <v>85</v>
      </c>
      <c r="H1228">
        <v>818339836</v>
      </c>
      <c r="I1228" t="s">
        <v>29</v>
      </c>
      <c r="J1228" t="s">
        <v>29</v>
      </c>
      <c r="K1228" t="str">
        <f>IF(Table3[[#This Row],[Type Received]]=2,"CC",(IF(Table3[[#This Row],[Type Received]]=3,"BILL","ACH")))</f>
        <v>ACH</v>
      </c>
    </row>
    <row r="1229" spans="1:11" x14ac:dyDescent="0.25">
      <c r="A1229">
        <v>260360</v>
      </c>
      <c r="B1229" s="3">
        <v>46167</v>
      </c>
      <c r="C1229">
        <v>1</v>
      </c>
      <c r="D1229">
        <v>50.29</v>
      </c>
      <c r="G1229" t="s">
        <v>85</v>
      </c>
      <c r="H1229">
        <v>818346692</v>
      </c>
      <c r="I1229" t="s">
        <v>29</v>
      </c>
      <c r="K1229" t="str">
        <f>IF(Table3[[#This Row],[Type Received]]=2,"CC",(IF(Table3[[#This Row],[Type Received]]=3,"BILL","ACH")))</f>
        <v>ACH</v>
      </c>
    </row>
    <row r="1230" spans="1:11" x14ac:dyDescent="0.25">
      <c r="A1230">
        <v>260352</v>
      </c>
      <c r="B1230" s="3">
        <v>46155</v>
      </c>
      <c r="C1230">
        <v>2</v>
      </c>
      <c r="D1230">
        <v>65.8</v>
      </c>
      <c r="F1230" t="s">
        <v>202</v>
      </c>
      <c r="G1230" s="4" t="s">
        <v>28</v>
      </c>
      <c r="H1230">
        <v>669486353</v>
      </c>
      <c r="I1230" t="s">
        <v>29</v>
      </c>
      <c r="J1230" t="s">
        <v>29</v>
      </c>
      <c r="K1230" t="str">
        <f>IF(Table3[[#This Row],[Type Received]]=2,"CC",(IF(Table3[[#This Row],[Type Received]]=3,"BILL","ACH")))</f>
        <v>CC</v>
      </c>
    </row>
    <row r="1231" spans="1:11" x14ac:dyDescent="0.25">
      <c r="A1231">
        <v>260358</v>
      </c>
      <c r="B1231" s="3">
        <v>46167</v>
      </c>
      <c r="C1231">
        <v>1</v>
      </c>
      <c r="D1231">
        <v>45.01</v>
      </c>
      <c r="G1231" t="s">
        <v>85</v>
      </c>
      <c r="H1231">
        <v>818337906</v>
      </c>
      <c r="I1231" t="s">
        <v>29</v>
      </c>
      <c r="J1231" t="s">
        <v>29</v>
      </c>
      <c r="K1231" t="str">
        <f>IF(Table3[[#This Row],[Type Received]]=2,"CC",(IF(Table3[[#This Row],[Type Received]]=3,"BILL","ACH")))</f>
        <v>ACH</v>
      </c>
    </row>
    <row r="1232" spans="1:11" x14ac:dyDescent="0.25">
      <c r="A1232">
        <v>260366</v>
      </c>
      <c r="B1232" s="3">
        <v>46155</v>
      </c>
      <c r="C1232">
        <v>2</v>
      </c>
      <c r="D1232">
        <v>126</v>
      </c>
      <c r="F1232">
        <v>652456</v>
      </c>
      <c r="G1232">
        <v>744917848</v>
      </c>
      <c r="H1232">
        <v>354501199</v>
      </c>
      <c r="J1232" t="s">
        <v>29</v>
      </c>
      <c r="K1232" t="str">
        <f>IF(Table3[[#This Row],[Type Received]]=2,"CC",(IF(Table3[[#This Row],[Type Received]]=3,"BILL","ACH")))</f>
        <v>CC</v>
      </c>
    </row>
    <row r="1233" spans="1:11" x14ac:dyDescent="0.25">
      <c r="A1233">
        <v>260363</v>
      </c>
      <c r="B1233" s="3">
        <v>46167</v>
      </c>
      <c r="C1233">
        <v>1</v>
      </c>
      <c r="D1233">
        <v>31.15</v>
      </c>
      <c r="G1233" t="s">
        <v>85</v>
      </c>
      <c r="H1233">
        <v>818350526</v>
      </c>
      <c r="I1233" t="s">
        <v>29</v>
      </c>
      <c r="J1233" t="s">
        <v>29</v>
      </c>
      <c r="K1233" t="str">
        <f>IF(Table3[[#This Row],[Type Received]]=2,"CC",(IF(Table3[[#This Row],[Type Received]]=3,"BILL","ACH")))</f>
        <v>ACH</v>
      </c>
    </row>
    <row r="1234" spans="1:11" x14ac:dyDescent="0.25">
      <c r="A1234">
        <v>260375</v>
      </c>
      <c r="B1234" s="3">
        <v>46167</v>
      </c>
      <c r="C1234">
        <v>1</v>
      </c>
      <c r="D1234">
        <v>124.21</v>
      </c>
      <c r="G1234" t="s">
        <v>85</v>
      </c>
      <c r="H1234">
        <v>818344824</v>
      </c>
      <c r="I1234" t="s">
        <v>29</v>
      </c>
      <c r="J1234" t="s">
        <v>29</v>
      </c>
      <c r="K1234" t="str">
        <f>IF(Table3[[#This Row],[Type Received]]=2,"CC",(IF(Table3[[#This Row],[Type Received]]=3,"BILL","ACH")))</f>
        <v>ACH</v>
      </c>
    </row>
    <row r="1235" spans="1:11" x14ac:dyDescent="0.25">
      <c r="A1235">
        <v>260371</v>
      </c>
      <c r="B1235" s="3">
        <v>46155</v>
      </c>
      <c r="C1235">
        <v>2</v>
      </c>
      <c r="D1235">
        <v>28.95</v>
      </c>
      <c r="F1235" t="s">
        <v>203</v>
      </c>
      <c r="G1235" t="s">
        <v>28</v>
      </c>
      <c r="H1235">
        <v>669471014</v>
      </c>
      <c r="I1235" t="s">
        <v>29</v>
      </c>
      <c r="J1235" t="s">
        <v>29</v>
      </c>
      <c r="K1235" t="str">
        <f>IF(Table3[[#This Row],[Type Received]]=2,"CC",(IF(Table3[[#This Row],[Type Received]]=3,"BILL","ACH")))</f>
        <v>CC</v>
      </c>
    </row>
    <row r="1236" spans="1:11" x14ac:dyDescent="0.25">
      <c r="A1236">
        <v>260376</v>
      </c>
      <c r="B1236" s="3">
        <v>46144</v>
      </c>
      <c r="C1236">
        <v>1</v>
      </c>
      <c r="D1236">
        <v>55.57</v>
      </c>
      <c r="G1236" t="s">
        <v>89</v>
      </c>
      <c r="H1236">
        <v>535387382</v>
      </c>
      <c r="I1236" t="s">
        <v>29</v>
      </c>
      <c r="J1236" t="s">
        <v>29</v>
      </c>
      <c r="K1236" t="str">
        <f>IF(Table3[[#This Row],[Type Received]]=2,"CC",(IF(Table3[[#This Row],[Type Received]]=3,"BILL","ACH")))</f>
        <v>ACH</v>
      </c>
    </row>
    <row r="1237" spans="1:11" x14ac:dyDescent="0.25">
      <c r="A1237">
        <v>260372</v>
      </c>
      <c r="B1237" s="3">
        <v>46167</v>
      </c>
      <c r="C1237">
        <v>1</v>
      </c>
      <c r="D1237">
        <v>160.51</v>
      </c>
      <c r="G1237" t="s">
        <v>85</v>
      </c>
      <c r="H1237">
        <v>818364175</v>
      </c>
      <c r="I1237" t="s">
        <v>29</v>
      </c>
      <c r="J1237" t="s">
        <v>29</v>
      </c>
      <c r="K1237" t="str">
        <f>IF(Table3[[#This Row],[Type Received]]=2,"CC",(IF(Table3[[#This Row],[Type Received]]=3,"BILL","ACH")))</f>
        <v>ACH</v>
      </c>
    </row>
    <row r="1238" spans="1:11" x14ac:dyDescent="0.25">
      <c r="A1238">
        <v>260374</v>
      </c>
      <c r="B1238" s="3">
        <v>46167</v>
      </c>
      <c r="C1238">
        <v>1</v>
      </c>
      <c r="D1238">
        <v>31.81</v>
      </c>
      <c r="G1238" t="s">
        <v>85</v>
      </c>
      <c r="H1238">
        <v>818358232</v>
      </c>
      <c r="I1238" t="s">
        <v>29</v>
      </c>
      <c r="J1238" t="s">
        <v>29</v>
      </c>
      <c r="K1238" t="str">
        <f>IF(Table3[[#This Row],[Type Received]]=2,"CC",(IF(Table3[[#This Row],[Type Received]]=3,"BILL","ACH")))</f>
        <v>ACH</v>
      </c>
    </row>
    <row r="1239" spans="1:11" x14ac:dyDescent="0.25">
      <c r="A1239">
        <v>260373</v>
      </c>
      <c r="B1239" s="3">
        <v>46167</v>
      </c>
      <c r="C1239">
        <v>1</v>
      </c>
      <c r="D1239">
        <v>107.71</v>
      </c>
      <c r="G1239" t="s">
        <v>85</v>
      </c>
      <c r="H1239">
        <v>818348642</v>
      </c>
      <c r="I1239" t="s">
        <v>29</v>
      </c>
      <c r="J1239" t="s">
        <v>29</v>
      </c>
      <c r="K1239" t="str">
        <f>IF(Table3[[#This Row],[Type Received]]=2,"CC",(IF(Table3[[#This Row],[Type Received]]=3,"BILL","ACH")))</f>
        <v>ACH</v>
      </c>
    </row>
    <row r="1240" spans="1:11" x14ac:dyDescent="0.25">
      <c r="A1240">
        <v>260378</v>
      </c>
      <c r="B1240" s="3">
        <v>46163</v>
      </c>
      <c r="C1240">
        <v>2</v>
      </c>
      <c r="D1240">
        <v>28.2</v>
      </c>
      <c r="F1240" t="s">
        <v>204</v>
      </c>
      <c r="G1240">
        <v>747461115</v>
      </c>
      <c r="H1240">
        <v>355344585</v>
      </c>
      <c r="J1240" t="s">
        <v>29</v>
      </c>
      <c r="K1240" t="str">
        <f>IF(Table3[[#This Row],[Type Received]]=2,"CC",(IF(Table3[[#This Row],[Type Received]]=3,"BILL","ACH")))</f>
        <v>CC</v>
      </c>
    </row>
    <row r="1241" spans="1:11" x14ac:dyDescent="0.25">
      <c r="A1241">
        <v>260381</v>
      </c>
      <c r="B1241" s="3">
        <v>46155</v>
      </c>
      <c r="C1241">
        <v>2</v>
      </c>
      <c r="D1241">
        <v>143.35</v>
      </c>
      <c r="F1241">
        <v>13406</v>
      </c>
      <c r="G1241" s="4" t="s">
        <v>28</v>
      </c>
      <c r="H1241">
        <v>669482474</v>
      </c>
      <c r="I1241" t="s">
        <v>29</v>
      </c>
      <c r="J1241" t="s">
        <v>29</v>
      </c>
      <c r="K1241" t="str">
        <f>IF(Table3[[#This Row],[Type Received]]=2,"CC",(IF(Table3[[#This Row],[Type Received]]=3,"BILL","ACH")))</f>
        <v>CC</v>
      </c>
    </row>
    <row r="1242" spans="1:11" x14ac:dyDescent="0.25">
      <c r="A1242">
        <v>260380</v>
      </c>
      <c r="B1242" s="3">
        <v>46161</v>
      </c>
      <c r="C1242">
        <v>2</v>
      </c>
      <c r="D1242">
        <v>127.18</v>
      </c>
      <c r="F1242">
        <v>70019</v>
      </c>
      <c r="G1242" t="s">
        <v>28</v>
      </c>
      <c r="H1242">
        <v>745058678</v>
      </c>
      <c r="I1242" t="s">
        <v>29</v>
      </c>
      <c r="J1242" t="s">
        <v>29</v>
      </c>
      <c r="K1242" t="str">
        <f>IF(Table3[[#This Row],[Type Received]]=2,"CC",(IF(Table3[[#This Row],[Type Received]]=3,"BILL","ACH")))</f>
        <v>CC</v>
      </c>
    </row>
    <row r="1243" spans="1:11" x14ac:dyDescent="0.25">
      <c r="A1243">
        <v>260383</v>
      </c>
      <c r="B1243" s="3">
        <v>46144</v>
      </c>
      <c r="C1243">
        <v>1</v>
      </c>
      <c r="D1243">
        <v>94.18</v>
      </c>
      <c r="G1243" t="s">
        <v>89</v>
      </c>
      <c r="H1243">
        <v>535371826</v>
      </c>
      <c r="I1243" t="s">
        <v>29</v>
      </c>
      <c r="J1243" t="s">
        <v>29</v>
      </c>
      <c r="K1243" t="str">
        <f>IF(Table3[[#This Row],[Type Received]]=2,"CC",(IF(Table3[[#This Row],[Type Received]]=3,"BILL","ACH")))</f>
        <v>ACH</v>
      </c>
    </row>
    <row r="1244" spans="1:11" x14ac:dyDescent="0.25">
      <c r="A1244">
        <v>260387</v>
      </c>
      <c r="B1244" s="3">
        <v>46168</v>
      </c>
      <c r="C1244">
        <v>1</v>
      </c>
      <c r="D1244">
        <v>52.27</v>
      </c>
      <c r="G1244" t="s">
        <v>110</v>
      </c>
      <c r="H1244">
        <v>828257219</v>
      </c>
      <c r="I1244" t="s">
        <v>29</v>
      </c>
      <c r="J1244" t="s">
        <v>29</v>
      </c>
      <c r="K1244" t="str">
        <f>IF(Table3[[#This Row],[Type Received]]=2,"CC",(IF(Table3[[#This Row],[Type Received]]=3,"BILL","ACH")))</f>
        <v>ACH</v>
      </c>
    </row>
    <row r="1245" spans="1:11" x14ac:dyDescent="0.25">
      <c r="A1245">
        <v>260385</v>
      </c>
      <c r="B1245" s="3">
        <v>46157</v>
      </c>
      <c r="C1245">
        <v>1</v>
      </c>
      <c r="D1245">
        <v>39.950000000000003</v>
      </c>
      <c r="G1245" t="s">
        <v>87</v>
      </c>
      <c r="H1245">
        <v>696684964</v>
      </c>
      <c r="I1245" t="s">
        <v>29</v>
      </c>
      <c r="J1245" t="s">
        <v>29</v>
      </c>
      <c r="K1245" t="str">
        <f>IF(Table3[[#This Row],[Type Received]]=2,"CC",(IF(Table3[[#This Row],[Type Received]]=3,"BILL","ACH")))</f>
        <v>ACH</v>
      </c>
    </row>
    <row r="1246" spans="1:11" x14ac:dyDescent="0.25">
      <c r="A1246">
        <v>260388</v>
      </c>
      <c r="B1246" s="3">
        <v>46169</v>
      </c>
      <c r="C1246">
        <v>3</v>
      </c>
      <c r="D1246">
        <v>93</v>
      </c>
      <c r="E1246">
        <v>3045081</v>
      </c>
      <c r="J1246" t="s">
        <v>29</v>
      </c>
      <c r="K1246" t="str">
        <f>IF(Table3[[#This Row],[Type Received]]=2,"CC",(IF(Table3[[#This Row],[Type Received]]=3,"BILL","ACH")))</f>
        <v>BILL</v>
      </c>
    </row>
    <row r="1247" spans="1:11" x14ac:dyDescent="0.25">
      <c r="A1247">
        <v>260393</v>
      </c>
      <c r="B1247" s="3">
        <v>46168</v>
      </c>
      <c r="C1247">
        <v>1</v>
      </c>
      <c r="D1247">
        <v>67.45</v>
      </c>
      <c r="G1247" t="s">
        <v>110</v>
      </c>
      <c r="H1247">
        <v>828238001</v>
      </c>
      <c r="I1247" t="s">
        <v>29</v>
      </c>
      <c r="J1247" t="s">
        <v>29</v>
      </c>
      <c r="K1247" t="str">
        <f>IF(Table3[[#This Row],[Type Received]]=2,"CC",(IF(Table3[[#This Row],[Type Received]]=3,"BILL","ACH")))</f>
        <v>ACH</v>
      </c>
    </row>
    <row r="1248" spans="1:11" x14ac:dyDescent="0.25">
      <c r="A1248">
        <v>260392</v>
      </c>
      <c r="B1248" s="3">
        <v>46155</v>
      </c>
      <c r="C1248">
        <v>2</v>
      </c>
      <c r="D1248">
        <v>78.45</v>
      </c>
      <c r="F1248">
        <v>544782</v>
      </c>
      <c r="G1248" t="s">
        <v>28</v>
      </c>
      <c r="H1248">
        <v>669481506</v>
      </c>
      <c r="I1248" t="s">
        <v>29</v>
      </c>
      <c r="J1248" t="s">
        <v>29</v>
      </c>
      <c r="K1248" t="str">
        <f>IF(Table3[[#This Row],[Type Received]]=2,"CC",(IF(Table3[[#This Row],[Type Received]]=3,"BILL","ACH")))</f>
        <v>CC</v>
      </c>
    </row>
    <row r="1249" spans="1:11" x14ac:dyDescent="0.25">
      <c r="A1249">
        <v>260395</v>
      </c>
      <c r="B1249" s="3">
        <v>46143</v>
      </c>
      <c r="C1249">
        <v>3</v>
      </c>
      <c r="D1249">
        <v>85.1</v>
      </c>
      <c r="E1249">
        <v>3879</v>
      </c>
      <c r="G1249" s="4"/>
      <c r="K1249" t="str">
        <f>IF(Table3[[#This Row],[Type Received]]=2,"CC",(IF(Table3[[#This Row],[Type Received]]=3,"BILL","ACH")))</f>
        <v>BILL</v>
      </c>
    </row>
    <row r="1250" spans="1:11" x14ac:dyDescent="0.25">
      <c r="A1250">
        <v>260391</v>
      </c>
      <c r="B1250" s="3">
        <v>46155</v>
      </c>
      <c r="C1250">
        <v>2</v>
      </c>
      <c r="D1250">
        <v>90.55</v>
      </c>
      <c r="F1250" t="s">
        <v>205</v>
      </c>
      <c r="G1250" t="s">
        <v>28</v>
      </c>
      <c r="H1250">
        <v>669472006</v>
      </c>
      <c r="I1250" t="s">
        <v>29</v>
      </c>
      <c r="K1250" t="str">
        <f>IF(Table3[[#This Row],[Type Received]]=2,"CC",(IF(Table3[[#This Row],[Type Received]]=3,"BILL","ACH")))</f>
        <v>CC</v>
      </c>
    </row>
    <row r="1251" spans="1:11" x14ac:dyDescent="0.25">
      <c r="A1251">
        <v>260399</v>
      </c>
      <c r="B1251" s="3">
        <v>46157</v>
      </c>
      <c r="C1251">
        <v>1</v>
      </c>
      <c r="D1251">
        <v>57.33</v>
      </c>
      <c r="G1251" s="4" t="s">
        <v>87</v>
      </c>
      <c r="H1251">
        <v>696687906</v>
      </c>
      <c r="I1251" t="s">
        <v>29</v>
      </c>
      <c r="J1251" t="s">
        <v>29</v>
      </c>
      <c r="K1251" t="str">
        <f>IF(Table3[[#This Row],[Type Received]]=2,"CC",(IF(Table3[[#This Row],[Type Received]]=3,"BILL","ACH")))</f>
        <v>ACH</v>
      </c>
    </row>
    <row r="1252" spans="1:11" x14ac:dyDescent="0.25">
      <c r="A1252">
        <v>260397</v>
      </c>
      <c r="B1252" s="3">
        <v>46155</v>
      </c>
      <c r="C1252">
        <v>2</v>
      </c>
      <c r="D1252">
        <v>72.95</v>
      </c>
      <c r="F1252">
        <v>548847</v>
      </c>
      <c r="G1252" t="s">
        <v>28</v>
      </c>
      <c r="H1252">
        <v>669491311</v>
      </c>
      <c r="I1252" t="s">
        <v>29</v>
      </c>
      <c r="K1252" t="str">
        <f>IF(Table3[[#This Row],[Type Received]]=2,"CC",(IF(Table3[[#This Row],[Type Received]]=3,"BILL","ACH")))</f>
        <v>CC</v>
      </c>
    </row>
    <row r="1253" spans="1:11" x14ac:dyDescent="0.25">
      <c r="A1253">
        <v>260400</v>
      </c>
      <c r="B1253" s="3">
        <v>46143</v>
      </c>
      <c r="C1253">
        <v>1</v>
      </c>
      <c r="D1253">
        <v>116.95</v>
      </c>
      <c r="G1253" t="s">
        <v>84</v>
      </c>
      <c r="H1253">
        <v>522271805</v>
      </c>
      <c r="I1253" t="s">
        <v>29</v>
      </c>
      <c r="J1253" t="s">
        <v>29</v>
      </c>
      <c r="K1253" t="str">
        <f>IF(Table3[[#This Row],[Type Received]]=2,"CC",(IF(Table3[[#This Row],[Type Received]]=3,"BILL","ACH")))</f>
        <v>ACH</v>
      </c>
    </row>
    <row r="1254" spans="1:11" x14ac:dyDescent="0.25">
      <c r="A1254">
        <v>260398</v>
      </c>
      <c r="B1254" s="3">
        <v>46157</v>
      </c>
      <c r="C1254">
        <v>1</v>
      </c>
      <c r="D1254">
        <v>46.33</v>
      </c>
      <c r="G1254" t="s">
        <v>87</v>
      </c>
      <c r="H1254">
        <v>696702352</v>
      </c>
      <c r="I1254" t="s">
        <v>29</v>
      </c>
      <c r="K1254" t="str">
        <f>IF(Table3[[#This Row],[Type Received]]=2,"CC",(IF(Table3[[#This Row],[Type Received]]=3,"BILL","ACH")))</f>
        <v>ACH</v>
      </c>
    </row>
    <row r="1255" spans="1:11" x14ac:dyDescent="0.25">
      <c r="A1255">
        <v>260402</v>
      </c>
      <c r="B1255" s="3">
        <v>46157</v>
      </c>
      <c r="C1255">
        <v>1</v>
      </c>
      <c r="D1255">
        <v>41.05</v>
      </c>
      <c r="G1255" t="s">
        <v>87</v>
      </c>
      <c r="H1255">
        <v>696702387</v>
      </c>
      <c r="I1255" t="s">
        <v>29</v>
      </c>
      <c r="J1255" t="s">
        <v>29</v>
      </c>
      <c r="K1255" t="str">
        <f>IF(Table3[[#This Row],[Type Received]]=2,"CC",(IF(Table3[[#This Row],[Type Received]]=3,"BILL","ACH")))</f>
        <v>ACH</v>
      </c>
    </row>
    <row r="1256" spans="1:11" x14ac:dyDescent="0.25">
      <c r="A1256">
        <v>260403</v>
      </c>
      <c r="B1256" s="3">
        <v>46157</v>
      </c>
      <c r="C1256">
        <v>1</v>
      </c>
      <c r="D1256">
        <v>79.989999999999995</v>
      </c>
      <c r="G1256" t="s">
        <v>87</v>
      </c>
      <c r="H1256">
        <v>696701404</v>
      </c>
      <c r="I1256" t="s">
        <v>29</v>
      </c>
      <c r="J1256" t="s">
        <v>29</v>
      </c>
      <c r="K1256" t="str">
        <f>IF(Table3[[#This Row],[Type Received]]=2,"CC",(IF(Table3[[#This Row],[Type Received]]=3,"BILL","ACH")))</f>
        <v>ACH</v>
      </c>
    </row>
    <row r="1257" spans="1:11" x14ac:dyDescent="0.25">
      <c r="A1257">
        <v>260404</v>
      </c>
      <c r="B1257" s="3">
        <v>46157</v>
      </c>
      <c r="C1257">
        <v>1</v>
      </c>
      <c r="D1257">
        <v>36.1</v>
      </c>
      <c r="G1257" t="s">
        <v>87</v>
      </c>
      <c r="H1257">
        <v>696696635</v>
      </c>
      <c r="I1257" t="s">
        <v>29</v>
      </c>
      <c r="K1257" t="str">
        <f>IF(Table3[[#This Row],[Type Received]]=2,"CC",(IF(Table3[[#This Row],[Type Received]]=3,"BILL","ACH")))</f>
        <v>ACH</v>
      </c>
    </row>
    <row r="1258" spans="1:11" x14ac:dyDescent="0.25">
      <c r="A1258">
        <v>260405</v>
      </c>
      <c r="B1258" s="3">
        <v>46163</v>
      </c>
      <c r="C1258">
        <v>2</v>
      </c>
      <c r="D1258">
        <v>56.25</v>
      </c>
      <c r="F1258">
        <v>21684</v>
      </c>
      <c r="G1258" t="s">
        <v>28</v>
      </c>
      <c r="H1258">
        <v>773468708</v>
      </c>
      <c r="I1258" t="s">
        <v>29</v>
      </c>
      <c r="J1258" t="s">
        <v>29</v>
      </c>
      <c r="K1258" t="str">
        <f>IF(Table3[[#This Row],[Type Received]]=2,"CC",(IF(Table3[[#This Row],[Type Received]]=3,"BILL","ACH")))</f>
        <v>CC</v>
      </c>
    </row>
    <row r="1259" spans="1:11" x14ac:dyDescent="0.25">
      <c r="A1259">
        <v>260424</v>
      </c>
      <c r="B1259" s="3">
        <v>46168</v>
      </c>
      <c r="C1259">
        <v>1</v>
      </c>
      <c r="D1259">
        <v>45.45</v>
      </c>
      <c r="G1259" t="s">
        <v>110</v>
      </c>
      <c r="H1259">
        <v>828237099</v>
      </c>
      <c r="I1259" t="s">
        <v>29</v>
      </c>
      <c r="J1259" t="s">
        <v>29</v>
      </c>
      <c r="K1259" t="str">
        <f>IF(Table3[[#This Row],[Type Received]]=2,"CC",(IF(Table3[[#This Row],[Type Received]]=3,"BILL","ACH")))</f>
        <v>ACH</v>
      </c>
    </row>
    <row r="1260" spans="1:11" x14ac:dyDescent="0.25">
      <c r="A1260">
        <v>260426</v>
      </c>
      <c r="B1260" s="3">
        <v>46164</v>
      </c>
      <c r="C1260">
        <v>2</v>
      </c>
      <c r="D1260">
        <v>83.95</v>
      </c>
      <c r="F1260">
        <v>545864</v>
      </c>
      <c r="G1260" s="4" t="s">
        <v>28</v>
      </c>
      <c r="H1260">
        <v>787058675</v>
      </c>
      <c r="I1260" t="s">
        <v>29</v>
      </c>
      <c r="J1260" t="s">
        <v>29</v>
      </c>
      <c r="K1260" t="str">
        <f>IF(Table3[[#This Row],[Type Received]]=2,"CC",(IF(Table3[[#This Row],[Type Received]]=3,"BILL","ACH")))</f>
        <v>CC</v>
      </c>
    </row>
    <row r="1261" spans="1:11" x14ac:dyDescent="0.25">
      <c r="A1261">
        <v>260415</v>
      </c>
      <c r="B1261" s="3">
        <v>46155</v>
      </c>
      <c r="C1261">
        <v>2</v>
      </c>
      <c r="D1261">
        <v>32.03</v>
      </c>
      <c r="F1261">
        <v>13796</v>
      </c>
      <c r="G1261" t="s">
        <v>28</v>
      </c>
      <c r="H1261">
        <v>669488371</v>
      </c>
      <c r="I1261" t="s">
        <v>29</v>
      </c>
      <c r="J1261" t="s">
        <v>29</v>
      </c>
      <c r="K1261" t="str">
        <f>IF(Table3[[#This Row],[Type Received]]=2,"CC",(IF(Table3[[#This Row],[Type Received]]=3,"BILL","ACH")))</f>
        <v>CC</v>
      </c>
    </row>
    <row r="1262" spans="1:11" x14ac:dyDescent="0.25">
      <c r="A1262">
        <v>260410</v>
      </c>
      <c r="B1262" s="3">
        <v>46155</v>
      </c>
      <c r="C1262">
        <v>2</v>
      </c>
      <c r="D1262">
        <v>58.87</v>
      </c>
      <c r="F1262">
        <v>2860</v>
      </c>
      <c r="G1262" t="s">
        <v>28</v>
      </c>
      <c r="H1262">
        <v>669486441</v>
      </c>
      <c r="I1262" t="s">
        <v>29</v>
      </c>
      <c r="J1262" t="s">
        <v>29</v>
      </c>
      <c r="K1262" t="str">
        <f>IF(Table3[[#This Row],[Type Received]]=2,"CC",(IF(Table3[[#This Row],[Type Received]]=3,"BILL","ACH")))</f>
        <v>CC</v>
      </c>
    </row>
    <row r="1263" spans="1:11" x14ac:dyDescent="0.25">
      <c r="A1263">
        <v>260406</v>
      </c>
      <c r="B1263" s="3">
        <v>46155</v>
      </c>
      <c r="C1263">
        <v>2</v>
      </c>
      <c r="D1263">
        <v>34.450000000000003</v>
      </c>
      <c r="F1263">
        <v>971387</v>
      </c>
      <c r="G1263" t="s">
        <v>28</v>
      </c>
      <c r="H1263">
        <v>669494316</v>
      </c>
      <c r="I1263" t="s">
        <v>29</v>
      </c>
      <c r="J1263" t="s">
        <v>29</v>
      </c>
      <c r="K1263" t="str">
        <f>IF(Table3[[#This Row],[Type Received]]=2,"CC",(IF(Table3[[#This Row],[Type Received]]=3,"BILL","ACH")))</f>
        <v>CC</v>
      </c>
    </row>
    <row r="1264" spans="1:11" x14ac:dyDescent="0.25">
      <c r="A1264">
        <v>260419</v>
      </c>
      <c r="B1264" s="3">
        <v>46155</v>
      </c>
      <c r="C1264">
        <v>2</v>
      </c>
      <c r="D1264">
        <v>54.25</v>
      </c>
      <c r="F1264" t="s">
        <v>206</v>
      </c>
      <c r="G1264" t="s">
        <v>28</v>
      </c>
      <c r="H1264">
        <v>669475942</v>
      </c>
      <c r="I1264" t="s">
        <v>29</v>
      </c>
      <c r="J1264" t="s">
        <v>29</v>
      </c>
      <c r="K1264" t="str">
        <f>IF(Table3[[#This Row],[Type Received]]=2,"CC",(IF(Table3[[#This Row],[Type Received]]=3,"BILL","ACH")))</f>
        <v>CC</v>
      </c>
    </row>
    <row r="1265" spans="1:11" x14ac:dyDescent="0.25">
      <c r="A1265">
        <v>260423</v>
      </c>
      <c r="B1265" s="3">
        <v>46146</v>
      </c>
      <c r="C1265">
        <v>1</v>
      </c>
      <c r="D1265">
        <v>93.41</v>
      </c>
      <c r="G1265" s="4" t="s">
        <v>92</v>
      </c>
      <c r="H1265">
        <v>558733610</v>
      </c>
      <c r="I1265" t="s">
        <v>29</v>
      </c>
      <c r="J1265" t="s">
        <v>29</v>
      </c>
      <c r="K1265" t="str">
        <f>IF(Table3[[#This Row],[Type Received]]=2,"CC",(IF(Table3[[#This Row],[Type Received]]=3,"BILL","ACH")))</f>
        <v>ACH</v>
      </c>
    </row>
    <row r="1266" spans="1:11" x14ac:dyDescent="0.25">
      <c r="A1266">
        <v>260425</v>
      </c>
      <c r="B1266" s="3">
        <v>46143</v>
      </c>
      <c r="C1266">
        <v>1</v>
      </c>
      <c r="D1266">
        <v>101.77</v>
      </c>
      <c r="G1266" t="s">
        <v>84</v>
      </c>
      <c r="H1266">
        <v>522267980</v>
      </c>
      <c r="I1266" t="s">
        <v>29</v>
      </c>
      <c r="J1266" t="s">
        <v>29</v>
      </c>
      <c r="K1266" t="str">
        <f>IF(Table3[[#This Row],[Type Received]]=2,"CC",(IF(Table3[[#This Row],[Type Received]]=3,"BILL","ACH")))</f>
        <v>ACH</v>
      </c>
    </row>
    <row r="1267" spans="1:11" x14ac:dyDescent="0.25">
      <c r="A1267">
        <v>260421</v>
      </c>
      <c r="B1267" s="3">
        <v>46168</v>
      </c>
      <c r="C1267">
        <v>1</v>
      </c>
      <c r="D1267">
        <v>133.44999999999999</v>
      </c>
      <c r="G1267" s="4" t="s">
        <v>110</v>
      </c>
      <c r="H1267">
        <v>828244940</v>
      </c>
      <c r="I1267" t="s">
        <v>29</v>
      </c>
      <c r="J1267" t="s">
        <v>29</v>
      </c>
      <c r="K1267" t="str">
        <f>IF(Table3[[#This Row],[Type Received]]=2,"CC",(IF(Table3[[#This Row],[Type Received]]=3,"BILL","ACH")))</f>
        <v>ACH</v>
      </c>
    </row>
    <row r="1268" spans="1:11" x14ac:dyDescent="0.25">
      <c r="A1268">
        <v>260430</v>
      </c>
      <c r="B1268" s="3">
        <v>46143</v>
      </c>
      <c r="C1268">
        <v>1</v>
      </c>
      <c r="D1268">
        <v>93.63</v>
      </c>
      <c r="G1268" t="s">
        <v>84</v>
      </c>
      <c r="H1268">
        <v>522287419</v>
      </c>
      <c r="I1268" t="s">
        <v>29</v>
      </c>
      <c r="J1268" t="s">
        <v>29</v>
      </c>
      <c r="K1268" t="str">
        <f>IF(Table3[[#This Row],[Type Received]]=2,"CC",(IF(Table3[[#This Row],[Type Received]]=3,"BILL","ACH")))</f>
        <v>ACH</v>
      </c>
    </row>
    <row r="1269" spans="1:11" x14ac:dyDescent="0.25">
      <c r="A1269">
        <v>260422</v>
      </c>
      <c r="B1269" s="3">
        <v>46168</v>
      </c>
      <c r="C1269">
        <v>1</v>
      </c>
      <c r="D1269">
        <v>40.83</v>
      </c>
      <c r="G1269" t="s">
        <v>110</v>
      </c>
      <c r="H1269">
        <v>828253485</v>
      </c>
      <c r="I1269" t="s">
        <v>29</v>
      </c>
      <c r="K1269" t="str">
        <f>IF(Table3[[#This Row],[Type Received]]=2,"CC",(IF(Table3[[#This Row],[Type Received]]=3,"BILL","ACH")))</f>
        <v>ACH</v>
      </c>
    </row>
    <row r="1270" spans="1:11" x14ac:dyDescent="0.25">
      <c r="A1270">
        <v>260407</v>
      </c>
      <c r="B1270" s="3">
        <v>46155</v>
      </c>
      <c r="C1270">
        <v>2</v>
      </c>
      <c r="D1270">
        <v>28.84</v>
      </c>
      <c r="F1270">
        <v>190938</v>
      </c>
      <c r="G1270" t="s">
        <v>28</v>
      </c>
      <c r="H1270">
        <v>669498138</v>
      </c>
      <c r="I1270" t="s">
        <v>29</v>
      </c>
      <c r="J1270" t="s">
        <v>29</v>
      </c>
      <c r="K1270" t="str">
        <f>IF(Table3[[#This Row],[Type Received]]=2,"CC",(IF(Table3[[#This Row],[Type Received]]=3,"BILL","ACH")))</f>
        <v>CC</v>
      </c>
    </row>
    <row r="1271" spans="1:11" x14ac:dyDescent="0.25">
      <c r="A1271">
        <v>260409</v>
      </c>
      <c r="B1271" s="3">
        <v>46155</v>
      </c>
      <c r="C1271">
        <v>2</v>
      </c>
      <c r="D1271">
        <v>29.5</v>
      </c>
      <c r="F1271" t="s">
        <v>207</v>
      </c>
      <c r="G1271" s="4" t="s">
        <v>28</v>
      </c>
      <c r="H1271">
        <v>669470079</v>
      </c>
      <c r="I1271" t="s">
        <v>29</v>
      </c>
      <c r="J1271" t="s">
        <v>29</v>
      </c>
      <c r="K1271" t="str">
        <f>IF(Table3[[#This Row],[Type Received]]=2,"CC",(IF(Table3[[#This Row],[Type Received]]=3,"BILL","ACH")))</f>
        <v>CC</v>
      </c>
    </row>
    <row r="1272" spans="1:11" x14ac:dyDescent="0.25">
      <c r="A1272">
        <v>260411</v>
      </c>
      <c r="B1272" s="3">
        <v>46155</v>
      </c>
      <c r="C1272">
        <v>2</v>
      </c>
      <c r="D1272">
        <v>105.07</v>
      </c>
      <c r="F1272">
        <v>18730</v>
      </c>
      <c r="G1272" t="s">
        <v>28</v>
      </c>
      <c r="H1272">
        <v>669480578</v>
      </c>
      <c r="I1272" t="s">
        <v>29</v>
      </c>
      <c r="K1272" t="str">
        <f>IF(Table3[[#This Row],[Type Received]]=2,"CC",(IF(Table3[[#This Row],[Type Received]]=3,"BILL","ACH")))</f>
        <v>CC</v>
      </c>
    </row>
    <row r="1273" spans="1:11" x14ac:dyDescent="0.25">
      <c r="A1273">
        <v>260413</v>
      </c>
      <c r="B1273" s="3">
        <v>46155</v>
      </c>
      <c r="C1273">
        <v>2</v>
      </c>
      <c r="D1273">
        <v>57.99</v>
      </c>
      <c r="F1273">
        <v>13544</v>
      </c>
      <c r="G1273" t="s">
        <v>28</v>
      </c>
      <c r="H1273">
        <v>669493279</v>
      </c>
      <c r="I1273" t="s">
        <v>29</v>
      </c>
      <c r="K1273" t="str">
        <f>IF(Table3[[#This Row],[Type Received]]=2,"CC",(IF(Table3[[#This Row],[Type Received]]=3,"BILL","ACH")))</f>
        <v>CC</v>
      </c>
    </row>
    <row r="1274" spans="1:11" x14ac:dyDescent="0.25">
      <c r="A1274">
        <v>260412</v>
      </c>
      <c r="B1274" s="3">
        <v>46155</v>
      </c>
      <c r="C1274">
        <v>2</v>
      </c>
      <c r="D1274">
        <v>92.2</v>
      </c>
      <c r="F1274">
        <v>903130</v>
      </c>
      <c r="G1274" t="s">
        <v>28</v>
      </c>
      <c r="H1274">
        <v>669474948</v>
      </c>
      <c r="I1274" t="s">
        <v>29</v>
      </c>
      <c r="J1274" t="s">
        <v>29</v>
      </c>
      <c r="K1274" t="str">
        <f>IF(Table3[[#This Row],[Type Received]]=2,"CC",(IF(Table3[[#This Row],[Type Received]]=3,"BILL","ACH")))</f>
        <v>CC</v>
      </c>
    </row>
    <row r="1275" spans="1:11" x14ac:dyDescent="0.25">
      <c r="A1275">
        <v>260416</v>
      </c>
      <c r="B1275" s="3">
        <v>46155</v>
      </c>
      <c r="C1275">
        <v>2</v>
      </c>
      <c r="D1275">
        <v>28.95</v>
      </c>
      <c r="F1275" t="s">
        <v>208</v>
      </c>
      <c r="G1275" t="s">
        <v>28</v>
      </c>
      <c r="H1275">
        <v>669478698</v>
      </c>
      <c r="I1275" t="s">
        <v>29</v>
      </c>
      <c r="J1275" t="s">
        <v>29</v>
      </c>
      <c r="K1275" t="str">
        <f>IF(Table3[[#This Row],[Type Received]]=2,"CC",(IF(Table3[[#This Row],[Type Received]]=3,"BILL","ACH")))</f>
        <v>CC</v>
      </c>
    </row>
    <row r="1276" spans="1:11" x14ac:dyDescent="0.25">
      <c r="A1276">
        <v>260434</v>
      </c>
      <c r="B1276" s="3">
        <v>46143</v>
      </c>
      <c r="C1276">
        <v>2</v>
      </c>
      <c r="D1276">
        <v>29.85</v>
      </c>
      <c r="F1276">
        <v>862790</v>
      </c>
      <c r="G1276" s="4" t="s">
        <v>28</v>
      </c>
      <c r="H1276">
        <v>523512249</v>
      </c>
      <c r="I1276" t="s">
        <v>29</v>
      </c>
      <c r="J1276" t="s">
        <v>29</v>
      </c>
      <c r="K1276" t="str">
        <f>IF(Table3[[#This Row],[Type Received]]=2,"CC",(IF(Table3[[#This Row],[Type Received]]=3,"BILL","ACH")))</f>
        <v>CC</v>
      </c>
    </row>
    <row r="1277" spans="1:11" x14ac:dyDescent="0.25">
      <c r="A1277">
        <v>260418</v>
      </c>
      <c r="B1277" s="3">
        <v>46143</v>
      </c>
      <c r="C1277">
        <v>2</v>
      </c>
      <c r="D1277">
        <v>48.09</v>
      </c>
      <c r="F1277">
        <v>1002</v>
      </c>
      <c r="G1277" t="s">
        <v>28</v>
      </c>
      <c r="H1277">
        <v>524028252</v>
      </c>
      <c r="I1277" t="s">
        <v>29</v>
      </c>
      <c r="J1277" t="s">
        <v>29</v>
      </c>
      <c r="K1277" t="str">
        <f>IF(Table3[[#This Row],[Type Received]]=2,"CC",(IF(Table3[[#This Row],[Type Received]]=3,"BILL","ACH")))</f>
        <v>CC</v>
      </c>
    </row>
    <row r="1278" spans="1:11" x14ac:dyDescent="0.25">
      <c r="A1278">
        <v>260428</v>
      </c>
      <c r="B1278" s="3">
        <v>46143</v>
      </c>
      <c r="C1278">
        <v>1</v>
      </c>
      <c r="D1278">
        <v>45.89</v>
      </c>
      <c r="G1278" s="4" t="s">
        <v>84</v>
      </c>
      <c r="H1278">
        <v>522286467</v>
      </c>
      <c r="I1278" t="s">
        <v>29</v>
      </c>
      <c r="J1278" t="s">
        <v>29</v>
      </c>
      <c r="K1278" t="str">
        <f>IF(Table3[[#This Row],[Type Received]]=2,"CC",(IF(Table3[[#This Row],[Type Received]]=3,"BILL","ACH")))</f>
        <v>ACH</v>
      </c>
    </row>
    <row r="1279" spans="1:11" x14ac:dyDescent="0.25">
      <c r="A1279">
        <v>260447</v>
      </c>
      <c r="B1279" s="3">
        <v>46156</v>
      </c>
      <c r="C1279">
        <v>1</v>
      </c>
      <c r="D1279">
        <v>119.59</v>
      </c>
      <c r="G1279" t="s">
        <v>93</v>
      </c>
      <c r="H1279">
        <v>687806888</v>
      </c>
      <c r="I1279" t="s">
        <v>29</v>
      </c>
      <c r="J1279" t="s">
        <v>29</v>
      </c>
      <c r="K1279" t="str">
        <f>IF(Table3[[#This Row],[Type Received]]=2,"CC",(IF(Table3[[#This Row],[Type Received]]=3,"BILL","ACH")))</f>
        <v>ACH</v>
      </c>
    </row>
    <row r="1280" spans="1:11" x14ac:dyDescent="0.25">
      <c r="A1280">
        <v>260444</v>
      </c>
      <c r="B1280" s="3">
        <v>46155</v>
      </c>
      <c r="C1280">
        <v>2</v>
      </c>
      <c r="D1280">
        <v>57.55</v>
      </c>
      <c r="F1280" t="s">
        <v>209</v>
      </c>
      <c r="G1280" t="s">
        <v>28</v>
      </c>
      <c r="H1280">
        <v>669498177</v>
      </c>
      <c r="I1280" t="s">
        <v>29</v>
      </c>
      <c r="J1280" t="s">
        <v>29</v>
      </c>
      <c r="K1280" t="str">
        <f>IF(Table3[[#This Row],[Type Received]]=2,"CC",(IF(Table3[[#This Row],[Type Received]]=3,"BILL","ACH")))</f>
        <v>CC</v>
      </c>
    </row>
    <row r="1281" spans="1:11" x14ac:dyDescent="0.25">
      <c r="A1281">
        <v>260456</v>
      </c>
      <c r="B1281" s="3">
        <v>46143</v>
      </c>
      <c r="C1281">
        <v>1</v>
      </c>
      <c r="D1281">
        <v>47.87</v>
      </c>
      <c r="G1281" t="s">
        <v>84</v>
      </c>
      <c r="H1281">
        <v>522289677</v>
      </c>
      <c r="I1281" t="s">
        <v>29</v>
      </c>
      <c r="J1281" t="s">
        <v>29</v>
      </c>
      <c r="K1281" t="str">
        <f>IF(Table3[[#This Row],[Type Received]]=2,"CC",(IF(Table3[[#This Row],[Type Received]]=3,"BILL","ACH")))</f>
        <v>ACH</v>
      </c>
    </row>
    <row r="1282" spans="1:11" x14ac:dyDescent="0.25">
      <c r="A1282">
        <v>260455</v>
      </c>
      <c r="B1282" s="3">
        <v>46143</v>
      </c>
      <c r="C1282">
        <v>1</v>
      </c>
      <c r="D1282">
        <v>53.37</v>
      </c>
      <c r="G1282" t="s">
        <v>84</v>
      </c>
      <c r="H1282">
        <v>522289468</v>
      </c>
      <c r="I1282" t="s">
        <v>29</v>
      </c>
      <c r="J1282" t="s">
        <v>29</v>
      </c>
      <c r="K1282" t="str">
        <f>IF(Table3[[#This Row],[Type Received]]=2,"CC",(IF(Table3[[#This Row],[Type Received]]=3,"BILL","ACH")))</f>
        <v>ACH</v>
      </c>
    </row>
    <row r="1283" spans="1:11" x14ac:dyDescent="0.25">
      <c r="A1283">
        <v>260449</v>
      </c>
      <c r="B1283" s="3">
        <v>46168</v>
      </c>
      <c r="C1283">
        <v>1</v>
      </c>
      <c r="D1283">
        <v>63.49</v>
      </c>
      <c r="G1283" t="s">
        <v>110</v>
      </c>
      <c r="H1283">
        <v>828265187</v>
      </c>
      <c r="I1283" t="s">
        <v>29</v>
      </c>
      <c r="J1283" t="s">
        <v>29</v>
      </c>
      <c r="K1283" t="str">
        <f>IF(Table3[[#This Row],[Type Received]]=2,"CC",(IF(Table3[[#This Row],[Type Received]]=3,"BILL","ACH")))</f>
        <v>ACH</v>
      </c>
    </row>
    <row r="1284" spans="1:11" x14ac:dyDescent="0.25">
      <c r="A1284">
        <v>260453</v>
      </c>
      <c r="B1284" s="3">
        <v>46143</v>
      </c>
      <c r="C1284">
        <v>1</v>
      </c>
      <c r="D1284">
        <v>33.79</v>
      </c>
      <c r="G1284" t="s">
        <v>84</v>
      </c>
      <c r="H1284">
        <v>522289588</v>
      </c>
      <c r="I1284" t="s">
        <v>29</v>
      </c>
      <c r="K1284" t="str">
        <f>IF(Table3[[#This Row],[Type Received]]=2,"CC",(IF(Table3[[#This Row],[Type Received]]=3,"BILL","ACH")))</f>
        <v>ACH</v>
      </c>
    </row>
    <row r="1285" spans="1:11" x14ac:dyDescent="0.25">
      <c r="A1285">
        <v>260454</v>
      </c>
      <c r="B1285" s="3">
        <v>46143</v>
      </c>
      <c r="C1285">
        <v>1</v>
      </c>
      <c r="D1285">
        <v>35.549999999999997</v>
      </c>
      <c r="G1285" t="s">
        <v>84</v>
      </c>
      <c r="H1285">
        <v>522287772</v>
      </c>
      <c r="I1285" t="s">
        <v>29</v>
      </c>
      <c r="J1285" t="s">
        <v>29</v>
      </c>
      <c r="K1285" t="str">
        <f>IF(Table3[[#This Row],[Type Received]]=2,"CC",(IF(Table3[[#This Row],[Type Received]]=3,"BILL","ACH")))</f>
        <v>ACH</v>
      </c>
    </row>
    <row r="1286" spans="1:11" x14ac:dyDescent="0.25">
      <c r="A1286">
        <v>260451</v>
      </c>
      <c r="B1286" s="3">
        <v>46143</v>
      </c>
      <c r="C1286">
        <v>1</v>
      </c>
      <c r="D1286">
        <v>55.35</v>
      </c>
      <c r="G1286" t="s">
        <v>84</v>
      </c>
      <c r="H1286">
        <v>522302153</v>
      </c>
      <c r="I1286" t="s">
        <v>29</v>
      </c>
      <c r="J1286" t="s">
        <v>29</v>
      </c>
      <c r="K1286" t="str">
        <f>IF(Table3[[#This Row],[Type Received]]=2,"CC",(IF(Table3[[#This Row],[Type Received]]=3,"BILL","ACH")))</f>
        <v>ACH</v>
      </c>
    </row>
    <row r="1287" spans="1:11" x14ac:dyDescent="0.25">
      <c r="A1287">
        <v>260457</v>
      </c>
      <c r="B1287" s="3">
        <v>46157</v>
      </c>
      <c r="C1287">
        <v>1</v>
      </c>
      <c r="D1287">
        <v>50.51</v>
      </c>
      <c r="G1287" t="s">
        <v>87</v>
      </c>
      <c r="H1287">
        <v>696692814</v>
      </c>
      <c r="I1287" t="s">
        <v>29</v>
      </c>
      <c r="J1287" t="s">
        <v>29</v>
      </c>
      <c r="K1287" t="str">
        <f>IF(Table3[[#This Row],[Type Received]]=2,"CC",(IF(Table3[[#This Row],[Type Received]]=3,"BILL","ACH")))</f>
        <v>ACH</v>
      </c>
    </row>
    <row r="1288" spans="1:11" x14ac:dyDescent="0.25">
      <c r="A1288">
        <v>260450</v>
      </c>
      <c r="B1288" s="3">
        <v>46168</v>
      </c>
      <c r="C1288">
        <v>1</v>
      </c>
      <c r="D1288">
        <v>58.43</v>
      </c>
      <c r="G1288" s="4" t="s">
        <v>110</v>
      </c>
      <c r="H1288">
        <v>828252696</v>
      </c>
      <c r="I1288" t="s">
        <v>29</v>
      </c>
      <c r="K1288" t="str">
        <f>IF(Table3[[#This Row],[Type Received]]=2,"CC",(IF(Table3[[#This Row],[Type Received]]=3,"BILL","ACH")))</f>
        <v>ACH</v>
      </c>
    </row>
    <row r="1289" spans="1:11" x14ac:dyDescent="0.25">
      <c r="A1289">
        <v>260452</v>
      </c>
      <c r="B1289" s="3">
        <v>46148</v>
      </c>
      <c r="C1289">
        <v>1</v>
      </c>
      <c r="D1289">
        <v>26.97</v>
      </c>
      <c r="G1289" t="s">
        <v>126</v>
      </c>
      <c r="H1289">
        <v>582077695</v>
      </c>
      <c r="I1289" t="s">
        <v>29</v>
      </c>
      <c r="J1289" t="s">
        <v>29</v>
      </c>
      <c r="K1289" t="str">
        <f>IF(Table3[[#This Row],[Type Received]]=2,"CC",(IF(Table3[[#This Row],[Type Received]]=3,"BILL","ACH")))</f>
        <v>ACH</v>
      </c>
    </row>
    <row r="1290" spans="1:11" x14ac:dyDescent="0.25">
      <c r="A1290">
        <v>260452</v>
      </c>
      <c r="B1290" s="3">
        <v>46143</v>
      </c>
      <c r="C1290">
        <v>1</v>
      </c>
      <c r="D1290">
        <v>26.97</v>
      </c>
      <c r="G1290" t="s">
        <v>84</v>
      </c>
      <c r="H1290">
        <v>522279912</v>
      </c>
      <c r="I1290" t="s">
        <v>29</v>
      </c>
      <c r="J1290" t="s">
        <v>29</v>
      </c>
      <c r="K1290" t="str">
        <f>IF(Table3[[#This Row],[Type Received]]=2,"CC",(IF(Table3[[#This Row],[Type Received]]=3,"BILL","ACH")))</f>
        <v>ACH</v>
      </c>
    </row>
    <row r="1291" spans="1:11" x14ac:dyDescent="0.25">
      <c r="A1291">
        <v>260448</v>
      </c>
      <c r="B1291" s="3">
        <v>46168</v>
      </c>
      <c r="C1291">
        <v>1</v>
      </c>
      <c r="D1291">
        <v>66.790000000000006</v>
      </c>
      <c r="G1291" s="4" t="s">
        <v>110</v>
      </c>
      <c r="H1291">
        <v>828245907</v>
      </c>
      <c r="I1291" t="s">
        <v>29</v>
      </c>
      <c r="J1291" t="s">
        <v>29</v>
      </c>
      <c r="K1291" t="str">
        <f>IF(Table3[[#This Row],[Type Received]]=2,"CC",(IF(Table3[[#This Row],[Type Received]]=3,"BILL","ACH")))</f>
        <v>ACH</v>
      </c>
    </row>
    <row r="1292" spans="1:11" x14ac:dyDescent="0.25">
      <c r="A1292">
        <v>260448</v>
      </c>
      <c r="B1292" s="3">
        <v>46146</v>
      </c>
      <c r="C1292">
        <v>1</v>
      </c>
      <c r="D1292">
        <v>66.790000000000006</v>
      </c>
      <c r="G1292" s="4" t="s">
        <v>92</v>
      </c>
      <c r="H1292">
        <v>558725067</v>
      </c>
      <c r="I1292" t="s">
        <v>29</v>
      </c>
      <c r="J1292" t="s">
        <v>29</v>
      </c>
      <c r="K1292" t="str">
        <f>IF(Table3[[#This Row],[Type Received]]=2,"CC",(IF(Table3[[#This Row],[Type Received]]=3,"BILL","ACH")))</f>
        <v>ACH</v>
      </c>
    </row>
    <row r="1293" spans="1:11" x14ac:dyDescent="0.25">
      <c r="A1293">
        <v>260469</v>
      </c>
      <c r="B1293" s="3">
        <v>46170</v>
      </c>
      <c r="C1293">
        <v>3</v>
      </c>
      <c r="D1293">
        <v>58.7</v>
      </c>
      <c r="E1293">
        <v>923941346</v>
      </c>
      <c r="J1293" t="s">
        <v>29</v>
      </c>
      <c r="K1293" t="str">
        <f>IF(Table3[[#This Row],[Type Received]]=2,"CC",(IF(Table3[[#This Row],[Type Received]]=3,"BILL","ACH")))</f>
        <v>BILL</v>
      </c>
    </row>
    <row r="1294" spans="1:11" x14ac:dyDescent="0.25">
      <c r="A1294">
        <v>260468</v>
      </c>
      <c r="B1294" s="3">
        <v>46169</v>
      </c>
      <c r="C1294">
        <v>3</v>
      </c>
      <c r="D1294">
        <v>130.86000000000001</v>
      </c>
      <c r="E1294">
        <v>230</v>
      </c>
      <c r="J1294" t="s">
        <v>29</v>
      </c>
      <c r="K1294" t="str">
        <f>IF(Table3[[#This Row],[Type Received]]=2,"CC",(IF(Table3[[#This Row],[Type Received]]=3,"BILL","ACH")))</f>
        <v>BILL</v>
      </c>
    </row>
    <row r="1295" spans="1:11" x14ac:dyDescent="0.25">
      <c r="A1295">
        <v>260458</v>
      </c>
      <c r="B1295" s="3">
        <v>46157</v>
      </c>
      <c r="C1295">
        <v>1</v>
      </c>
      <c r="D1295">
        <v>65.25</v>
      </c>
      <c r="G1295" t="s">
        <v>87</v>
      </c>
      <c r="H1295">
        <v>696692801</v>
      </c>
      <c r="I1295" t="s">
        <v>29</v>
      </c>
      <c r="J1295" t="s">
        <v>29</v>
      </c>
      <c r="K1295" t="str">
        <f>IF(Table3[[#This Row],[Type Received]]=2,"CC",(IF(Table3[[#This Row],[Type Received]]=3,"BILL","ACH")))</f>
        <v>ACH</v>
      </c>
    </row>
    <row r="1296" spans="1:11" x14ac:dyDescent="0.25">
      <c r="A1296">
        <v>260476</v>
      </c>
      <c r="B1296" s="3">
        <v>46157</v>
      </c>
      <c r="C1296">
        <v>1</v>
      </c>
      <c r="D1296">
        <v>63.05</v>
      </c>
      <c r="G1296" t="s">
        <v>87</v>
      </c>
      <c r="H1296">
        <v>696715119</v>
      </c>
      <c r="I1296" t="s">
        <v>29</v>
      </c>
      <c r="J1296" t="s">
        <v>29</v>
      </c>
      <c r="K1296" t="str">
        <f>IF(Table3[[#This Row],[Type Received]]=2,"CC",(IF(Table3[[#This Row],[Type Received]]=3,"BILL","ACH")))</f>
        <v>ACH</v>
      </c>
    </row>
    <row r="1297" spans="1:11" x14ac:dyDescent="0.25">
      <c r="A1297">
        <v>260471</v>
      </c>
      <c r="B1297" s="3">
        <v>46155</v>
      </c>
      <c r="C1297">
        <v>2</v>
      </c>
      <c r="D1297">
        <v>26.75</v>
      </c>
      <c r="F1297" t="s">
        <v>210</v>
      </c>
      <c r="G1297" s="4" t="s">
        <v>28</v>
      </c>
      <c r="H1297">
        <v>669489381</v>
      </c>
      <c r="I1297" t="s">
        <v>29</v>
      </c>
      <c r="J1297" t="s">
        <v>29</v>
      </c>
      <c r="K1297" t="str">
        <f>IF(Table3[[#This Row],[Type Received]]=2,"CC",(IF(Table3[[#This Row],[Type Received]]=3,"BILL","ACH")))</f>
        <v>CC</v>
      </c>
    </row>
    <row r="1298" spans="1:11" x14ac:dyDescent="0.25">
      <c r="A1298">
        <v>260473</v>
      </c>
      <c r="B1298" s="3">
        <v>46168</v>
      </c>
      <c r="C1298">
        <v>1</v>
      </c>
      <c r="D1298">
        <v>43.36</v>
      </c>
      <c r="G1298" t="s">
        <v>110</v>
      </c>
      <c r="H1298">
        <v>828269161</v>
      </c>
      <c r="I1298" t="s">
        <v>29</v>
      </c>
      <c r="J1298" t="s">
        <v>29</v>
      </c>
      <c r="K1298" t="str">
        <f>IF(Table3[[#This Row],[Type Received]]=2,"CC",(IF(Table3[[#This Row],[Type Received]]=3,"BILL","ACH")))</f>
        <v>ACH</v>
      </c>
    </row>
    <row r="1299" spans="1:11" x14ac:dyDescent="0.25">
      <c r="A1299">
        <v>260472</v>
      </c>
      <c r="B1299" s="3">
        <v>46155</v>
      </c>
      <c r="C1299">
        <v>2</v>
      </c>
      <c r="D1299">
        <v>45.23</v>
      </c>
      <c r="F1299">
        <v>9905</v>
      </c>
      <c r="G1299" t="s">
        <v>28</v>
      </c>
      <c r="H1299">
        <v>669484550</v>
      </c>
      <c r="I1299" t="s">
        <v>29</v>
      </c>
      <c r="K1299" t="str">
        <f>IF(Table3[[#This Row],[Type Received]]=2,"CC",(IF(Table3[[#This Row],[Type Received]]=3,"BILL","ACH")))</f>
        <v>CC</v>
      </c>
    </row>
    <row r="1300" spans="1:11" x14ac:dyDescent="0.25">
      <c r="A1300">
        <v>260482</v>
      </c>
      <c r="B1300" s="3">
        <v>46168</v>
      </c>
      <c r="C1300">
        <v>3</v>
      </c>
      <c r="D1300">
        <v>148.9</v>
      </c>
      <c r="E1300">
        <v>3128</v>
      </c>
      <c r="J1300" t="s">
        <v>29</v>
      </c>
      <c r="K1300" t="str">
        <f>IF(Table3[[#This Row],[Type Received]]=2,"CC",(IF(Table3[[#This Row],[Type Received]]=3,"BILL","ACH")))</f>
        <v>BILL</v>
      </c>
    </row>
    <row r="1301" spans="1:11" x14ac:dyDescent="0.25">
      <c r="A1301">
        <v>260474</v>
      </c>
      <c r="B1301" s="3">
        <v>46143</v>
      </c>
      <c r="C1301">
        <v>1</v>
      </c>
      <c r="D1301">
        <v>82.63</v>
      </c>
      <c r="G1301" t="s">
        <v>84</v>
      </c>
      <c r="H1301">
        <v>522287888</v>
      </c>
      <c r="I1301" t="s">
        <v>29</v>
      </c>
      <c r="J1301" t="s">
        <v>29</v>
      </c>
      <c r="K1301" t="str">
        <f>IF(Table3[[#This Row],[Type Received]]=2,"CC",(IF(Table3[[#This Row],[Type Received]]=3,"BILL","ACH")))</f>
        <v>ACH</v>
      </c>
    </row>
    <row r="1302" spans="1:11" x14ac:dyDescent="0.25">
      <c r="A1302">
        <v>260475</v>
      </c>
      <c r="B1302" s="3">
        <v>46143</v>
      </c>
      <c r="C1302">
        <v>1</v>
      </c>
      <c r="D1302">
        <v>31.37</v>
      </c>
      <c r="G1302" t="s">
        <v>84</v>
      </c>
      <c r="H1302">
        <v>522283939</v>
      </c>
      <c r="I1302" t="s">
        <v>29</v>
      </c>
      <c r="J1302" t="s">
        <v>29</v>
      </c>
      <c r="K1302" t="str">
        <f>IF(Table3[[#This Row],[Type Received]]=2,"CC",(IF(Table3[[#This Row],[Type Received]]=3,"BILL","ACH")))</f>
        <v>ACH</v>
      </c>
    </row>
    <row r="1303" spans="1:11" x14ac:dyDescent="0.25">
      <c r="A1303">
        <v>260485</v>
      </c>
      <c r="B1303" s="3">
        <v>46155</v>
      </c>
      <c r="C1303">
        <v>2</v>
      </c>
      <c r="D1303">
        <v>67.89</v>
      </c>
      <c r="F1303">
        <v>498967</v>
      </c>
      <c r="G1303" t="s">
        <v>28</v>
      </c>
      <c r="H1303">
        <v>669494370</v>
      </c>
      <c r="I1303" t="s">
        <v>29</v>
      </c>
      <c r="K1303" t="str">
        <f>IF(Table3[[#This Row],[Type Received]]=2,"CC",(IF(Table3[[#This Row],[Type Received]]=3,"BILL","ACH")))</f>
        <v>CC</v>
      </c>
    </row>
    <row r="1304" spans="1:11" x14ac:dyDescent="0.25">
      <c r="A1304">
        <v>260484</v>
      </c>
      <c r="B1304" s="3">
        <v>46155</v>
      </c>
      <c r="C1304">
        <v>2</v>
      </c>
      <c r="D1304">
        <v>26.31</v>
      </c>
      <c r="F1304">
        <v>93116</v>
      </c>
      <c r="G1304" s="4" t="s">
        <v>28</v>
      </c>
      <c r="H1304">
        <v>669474977</v>
      </c>
      <c r="I1304" t="s">
        <v>29</v>
      </c>
      <c r="K1304" t="str">
        <f>IF(Table3[[#This Row],[Type Received]]=2,"CC",(IF(Table3[[#This Row],[Type Received]]=3,"BILL","ACH")))</f>
        <v>CC</v>
      </c>
    </row>
    <row r="1305" spans="1:11" x14ac:dyDescent="0.25">
      <c r="A1305">
        <v>260486</v>
      </c>
      <c r="B1305" s="3">
        <v>46155</v>
      </c>
      <c r="C1305">
        <v>2</v>
      </c>
      <c r="D1305">
        <v>26.31</v>
      </c>
      <c r="F1305" t="s">
        <v>211</v>
      </c>
      <c r="G1305" t="s">
        <v>28</v>
      </c>
      <c r="H1305">
        <v>669484563</v>
      </c>
      <c r="I1305" t="s">
        <v>29</v>
      </c>
      <c r="J1305" t="s">
        <v>29</v>
      </c>
      <c r="K1305" t="str">
        <f>IF(Table3[[#This Row],[Type Received]]=2,"CC",(IF(Table3[[#This Row],[Type Received]]=3,"BILL","ACH")))</f>
        <v>CC</v>
      </c>
    </row>
    <row r="1306" spans="1:11" x14ac:dyDescent="0.25">
      <c r="A1306">
        <v>260492</v>
      </c>
      <c r="B1306" s="3">
        <v>46155</v>
      </c>
      <c r="C1306">
        <v>2</v>
      </c>
      <c r="D1306">
        <v>120.58</v>
      </c>
      <c r="F1306">
        <v>818090</v>
      </c>
      <c r="G1306" t="s">
        <v>28</v>
      </c>
      <c r="H1306">
        <v>670819260</v>
      </c>
      <c r="I1306" t="s">
        <v>29</v>
      </c>
      <c r="J1306" t="s">
        <v>29</v>
      </c>
      <c r="K1306" t="str">
        <f>IF(Table3[[#This Row],[Type Received]]=2,"CC",(IF(Table3[[#This Row],[Type Received]]=3,"BILL","ACH")))</f>
        <v>CC</v>
      </c>
    </row>
    <row r="1307" spans="1:11" x14ac:dyDescent="0.25">
      <c r="A1307">
        <v>260495</v>
      </c>
      <c r="B1307" s="3">
        <v>46155</v>
      </c>
      <c r="C1307">
        <v>2</v>
      </c>
      <c r="D1307">
        <v>83.95</v>
      </c>
      <c r="F1307" t="s">
        <v>212</v>
      </c>
      <c r="G1307" t="s">
        <v>28</v>
      </c>
      <c r="H1307">
        <v>674777333</v>
      </c>
      <c r="I1307" t="s">
        <v>29</v>
      </c>
      <c r="J1307" t="s">
        <v>29</v>
      </c>
      <c r="K1307" t="str">
        <f>IF(Table3[[#This Row],[Type Received]]=2,"CC",(IF(Table3[[#This Row],[Type Received]]=3,"BILL","ACH")))</f>
        <v>CC</v>
      </c>
    </row>
    <row r="1308" spans="1:11" x14ac:dyDescent="0.25">
      <c r="A1308">
        <v>260496</v>
      </c>
      <c r="B1308" s="3">
        <v>46157</v>
      </c>
      <c r="C1308">
        <v>1</v>
      </c>
      <c r="D1308">
        <v>158.19999999999999</v>
      </c>
      <c r="G1308" t="s">
        <v>87</v>
      </c>
      <c r="H1308">
        <v>696710331</v>
      </c>
      <c r="I1308" t="s">
        <v>29</v>
      </c>
      <c r="J1308" t="s">
        <v>29</v>
      </c>
      <c r="K1308" t="str">
        <f>IF(Table3[[#This Row],[Type Received]]=2,"CC",(IF(Table3[[#This Row],[Type Received]]=3,"BILL","ACH")))</f>
        <v>ACH</v>
      </c>
    </row>
    <row r="1309" spans="1:11" x14ac:dyDescent="0.25">
      <c r="A1309">
        <v>260493</v>
      </c>
      <c r="B1309" s="3">
        <v>46155</v>
      </c>
      <c r="C1309">
        <v>2</v>
      </c>
      <c r="D1309">
        <v>41.05</v>
      </c>
      <c r="F1309">
        <v>264853</v>
      </c>
      <c r="G1309" t="s">
        <v>28</v>
      </c>
      <c r="H1309">
        <v>674044691</v>
      </c>
      <c r="I1309" t="s">
        <v>29</v>
      </c>
      <c r="J1309" t="s">
        <v>29</v>
      </c>
      <c r="K1309" t="str">
        <f>IF(Table3[[#This Row],[Type Received]]=2,"CC",(IF(Table3[[#This Row],[Type Received]]=3,"BILL","ACH")))</f>
        <v>CC</v>
      </c>
    </row>
    <row r="1310" spans="1:11" x14ac:dyDescent="0.25">
      <c r="A1310">
        <v>260494</v>
      </c>
      <c r="B1310" s="3">
        <v>46155</v>
      </c>
      <c r="C1310">
        <v>2</v>
      </c>
      <c r="D1310">
        <v>114.64</v>
      </c>
      <c r="F1310" t="s">
        <v>213</v>
      </c>
      <c r="G1310" t="s">
        <v>28</v>
      </c>
      <c r="H1310">
        <v>674722941</v>
      </c>
      <c r="I1310" t="s">
        <v>29</v>
      </c>
      <c r="J1310" t="s">
        <v>29</v>
      </c>
      <c r="K1310" t="str">
        <f>IF(Table3[[#This Row],[Type Received]]=2,"CC",(IF(Table3[[#This Row],[Type Received]]=3,"BILL","ACH")))</f>
        <v>CC</v>
      </c>
    </row>
    <row r="1311" spans="1:11" x14ac:dyDescent="0.25">
      <c r="A1311">
        <v>260505</v>
      </c>
      <c r="B1311" s="3">
        <v>46169</v>
      </c>
      <c r="C1311">
        <v>3</v>
      </c>
      <c r="D1311">
        <v>550.55999999999995</v>
      </c>
      <c r="E1311">
        <v>1975</v>
      </c>
      <c r="J1311" t="s">
        <v>29</v>
      </c>
      <c r="K1311" t="str">
        <f>IF(Table3[[#This Row],[Type Received]]=2,"CC",(IF(Table3[[#This Row],[Type Received]]=3,"BILL","ACH")))</f>
        <v>BILL</v>
      </c>
    </row>
    <row r="1312" spans="1:11" x14ac:dyDescent="0.25">
      <c r="A1312">
        <v>260497</v>
      </c>
      <c r="B1312" s="3">
        <v>46168</v>
      </c>
      <c r="C1312">
        <v>1</v>
      </c>
      <c r="D1312">
        <v>63.16</v>
      </c>
      <c r="G1312" t="s">
        <v>110</v>
      </c>
      <c r="H1312">
        <v>828272205</v>
      </c>
      <c r="I1312" t="s">
        <v>29</v>
      </c>
      <c r="J1312" t="s">
        <v>29</v>
      </c>
      <c r="K1312" t="str">
        <f>IF(Table3[[#This Row],[Type Received]]=2,"CC",(IF(Table3[[#This Row],[Type Received]]=3,"BILL","ACH")))</f>
        <v>ACH</v>
      </c>
    </row>
    <row r="1313" spans="1:11" x14ac:dyDescent="0.25">
      <c r="A1313">
        <v>260509</v>
      </c>
      <c r="B1313" s="3">
        <v>46157</v>
      </c>
      <c r="C1313">
        <v>1</v>
      </c>
      <c r="D1313">
        <v>48.97</v>
      </c>
      <c r="G1313" s="4" t="s">
        <v>87</v>
      </c>
      <c r="H1313">
        <v>697214073</v>
      </c>
      <c r="I1313" t="s">
        <v>29</v>
      </c>
      <c r="J1313" t="s">
        <v>29</v>
      </c>
      <c r="K1313" t="str">
        <f>IF(Table3[[#This Row],[Type Received]]=2,"CC",(IF(Table3[[#This Row],[Type Received]]=3,"BILL","ACH")))</f>
        <v>ACH</v>
      </c>
    </row>
    <row r="1314" spans="1:11" x14ac:dyDescent="0.25">
      <c r="A1314">
        <v>260510</v>
      </c>
      <c r="B1314" s="3">
        <v>46168</v>
      </c>
      <c r="C1314">
        <v>1</v>
      </c>
      <c r="D1314">
        <v>56.23</v>
      </c>
      <c r="G1314" t="s">
        <v>110</v>
      </c>
      <c r="H1314">
        <v>828265341</v>
      </c>
      <c r="I1314" t="s">
        <v>29</v>
      </c>
      <c r="J1314" t="s">
        <v>29</v>
      </c>
      <c r="K1314" t="str">
        <f>IF(Table3[[#This Row],[Type Received]]=2,"CC",(IF(Table3[[#This Row],[Type Received]]=3,"BILL","ACH")))</f>
        <v>ACH</v>
      </c>
    </row>
    <row r="1315" spans="1:11" x14ac:dyDescent="0.25">
      <c r="A1315">
        <v>260515</v>
      </c>
      <c r="B1315" s="3">
        <v>46157</v>
      </c>
      <c r="C1315">
        <v>2</v>
      </c>
      <c r="D1315">
        <v>42.7</v>
      </c>
      <c r="F1315">
        <v>615170</v>
      </c>
      <c r="G1315" t="s">
        <v>28</v>
      </c>
      <c r="H1315">
        <v>702026081</v>
      </c>
      <c r="I1315" t="s">
        <v>29</v>
      </c>
      <c r="K1315" t="str">
        <f>IF(Table3[[#This Row],[Type Received]]=2,"CC",(IF(Table3[[#This Row],[Type Received]]=3,"BILL","ACH")))</f>
        <v>CC</v>
      </c>
    </row>
    <row r="1316" spans="1:11" x14ac:dyDescent="0.25">
      <c r="A1316">
        <v>260516</v>
      </c>
      <c r="B1316" s="3">
        <v>46157</v>
      </c>
      <c r="C1316">
        <v>2</v>
      </c>
      <c r="D1316">
        <v>125.75</v>
      </c>
      <c r="F1316">
        <v>850188</v>
      </c>
      <c r="G1316" t="s">
        <v>28</v>
      </c>
      <c r="H1316">
        <v>702079395</v>
      </c>
      <c r="I1316" t="s">
        <v>29</v>
      </c>
      <c r="K1316" t="str">
        <f>IF(Table3[[#This Row],[Type Received]]=2,"CC",(IF(Table3[[#This Row],[Type Received]]=3,"BILL","ACH")))</f>
        <v>CC</v>
      </c>
    </row>
    <row r="1317" spans="1:11" x14ac:dyDescent="0.25">
      <c r="A1317">
        <v>260518</v>
      </c>
      <c r="B1317" s="3">
        <v>46168</v>
      </c>
      <c r="C1317">
        <v>1</v>
      </c>
      <c r="D1317">
        <v>54.25</v>
      </c>
      <c r="G1317" t="s">
        <v>110</v>
      </c>
      <c r="H1317">
        <v>828258536</v>
      </c>
      <c r="I1317" t="s">
        <v>29</v>
      </c>
      <c r="K1317" t="str">
        <f>IF(Table3[[#This Row],[Type Received]]=2,"CC",(IF(Table3[[#This Row],[Type Received]]=3,"BILL","ACH")))</f>
        <v>ACH</v>
      </c>
    </row>
    <row r="1318" spans="1:11" x14ac:dyDescent="0.25">
      <c r="A1318">
        <v>260514</v>
      </c>
      <c r="B1318" s="3">
        <v>46164</v>
      </c>
      <c r="C1318">
        <v>2</v>
      </c>
      <c r="D1318">
        <v>56.23</v>
      </c>
      <c r="F1318">
        <v>441046</v>
      </c>
      <c r="G1318" t="s">
        <v>28</v>
      </c>
      <c r="H1318">
        <v>786752595</v>
      </c>
      <c r="I1318" t="s">
        <v>29</v>
      </c>
      <c r="J1318" t="s">
        <v>29</v>
      </c>
      <c r="K1318" t="str">
        <f>IF(Table3[[#This Row],[Type Received]]=2,"CC",(IF(Table3[[#This Row],[Type Received]]=3,"BILL","ACH")))</f>
        <v>CC</v>
      </c>
    </row>
    <row r="1319" spans="1:11" x14ac:dyDescent="0.25">
      <c r="A1319">
        <v>150453</v>
      </c>
      <c r="B1319" s="3">
        <v>46143</v>
      </c>
      <c r="C1319">
        <v>1</v>
      </c>
      <c r="D1319">
        <v>26.96</v>
      </c>
      <c r="G1319" t="s">
        <v>84</v>
      </c>
      <c r="H1319">
        <v>522304329</v>
      </c>
      <c r="I1319" t="s">
        <v>29</v>
      </c>
      <c r="J1319" t="s">
        <v>29</v>
      </c>
      <c r="K1319" t="str">
        <f>IF(Table3[[#This Row],[Type Received]]=2,"CC",(IF(Table3[[#This Row],[Type Received]]=3,"BILL","ACH")))</f>
        <v>ACH</v>
      </c>
    </row>
    <row r="1320" spans="1:11" x14ac:dyDescent="0.25">
      <c r="A1320">
        <v>150540</v>
      </c>
      <c r="B1320" s="3">
        <v>46143</v>
      </c>
      <c r="C1320">
        <v>1</v>
      </c>
      <c r="D1320">
        <v>18.59</v>
      </c>
      <c r="G1320" s="4" t="s">
        <v>84</v>
      </c>
      <c r="H1320">
        <v>522296587</v>
      </c>
      <c r="I1320" t="s">
        <v>29</v>
      </c>
      <c r="J1320" t="s">
        <v>29</v>
      </c>
      <c r="K1320" t="str">
        <f>IF(Table3[[#This Row],[Type Received]]=2,"CC",(IF(Table3[[#This Row],[Type Received]]=3,"BILL","ACH")))</f>
        <v>ACH</v>
      </c>
    </row>
    <row r="1321" spans="1:11" x14ac:dyDescent="0.25">
      <c r="A1321">
        <v>150558</v>
      </c>
      <c r="B1321" s="3">
        <v>46164</v>
      </c>
      <c r="C1321">
        <v>2</v>
      </c>
      <c r="D1321">
        <v>29</v>
      </c>
      <c r="F1321">
        <v>9483</v>
      </c>
      <c r="G1321">
        <v>747909705</v>
      </c>
      <c r="H1321">
        <v>355539598</v>
      </c>
      <c r="J1321" t="s">
        <v>29</v>
      </c>
      <c r="K1321" t="str">
        <f>IF(Table3[[#This Row],[Type Received]]=2,"CC",(IF(Table3[[#This Row],[Type Received]]=3,"BILL","ACH")))</f>
        <v>CC</v>
      </c>
    </row>
    <row r="1322" spans="1:11" x14ac:dyDescent="0.25">
      <c r="A1322">
        <v>150595</v>
      </c>
      <c r="B1322" s="3">
        <v>46157</v>
      </c>
      <c r="C1322">
        <v>1</v>
      </c>
      <c r="D1322">
        <v>6.44</v>
      </c>
      <c r="G1322" t="s">
        <v>87</v>
      </c>
      <c r="H1322">
        <v>696689066</v>
      </c>
      <c r="I1322" t="s">
        <v>29</v>
      </c>
      <c r="K1322" t="str">
        <f>IF(Table3[[#This Row],[Type Received]]=2,"CC",(IF(Table3[[#This Row],[Type Received]]=3,"BILL","ACH")))</f>
        <v>ACH</v>
      </c>
    </row>
    <row r="1323" spans="1:11" x14ac:dyDescent="0.25">
      <c r="A1323">
        <v>150218</v>
      </c>
      <c r="B1323" s="3">
        <v>46147</v>
      </c>
      <c r="C1323">
        <v>3</v>
      </c>
      <c r="D1323">
        <v>75.44</v>
      </c>
      <c r="E1323">
        <v>6838</v>
      </c>
      <c r="J1323" t="s">
        <v>29</v>
      </c>
      <c r="K1323" t="str">
        <f>IF(Table3[[#This Row],[Type Received]]=2,"CC",(IF(Table3[[#This Row],[Type Received]]=3,"BILL","ACH")))</f>
        <v>BILL</v>
      </c>
    </row>
    <row r="1324" spans="1:11" x14ac:dyDescent="0.25">
      <c r="A1324">
        <v>150615</v>
      </c>
      <c r="B1324" s="3">
        <v>46143</v>
      </c>
      <c r="C1324">
        <v>1</v>
      </c>
      <c r="D1324">
        <v>4.28</v>
      </c>
      <c r="G1324" t="s">
        <v>84</v>
      </c>
      <c r="H1324">
        <v>522284074</v>
      </c>
      <c r="I1324" t="s">
        <v>29</v>
      </c>
      <c r="J1324" t="s">
        <v>29</v>
      </c>
      <c r="K1324" t="str">
        <f>IF(Table3[[#This Row],[Type Received]]=2,"CC",(IF(Table3[[#This Row],[Type Received]]=3,"BILL","ACH")))</f>
        <v>ACH</v>
      </c>
    </row>
    <row r="1325" spans="1:11" x14ac:dyDescent="0.25">
      <c r="A1325">
        <v>150632</v>
      </c>
      <c r="B1325" s="3">
        <v>46168</v>
      </c>
      <c r="C1325">
        <v>1</v>
      </c>
      <c r="D1325">
        <v>10.54</v>
      </c>
      <c r="G1325" t="s">
        <v>110</v>
      </c>
      <c r="H1325">
        <v>828271178</v>
      </c>
      <c r="I1325" t="s">
        <v>29</v>
      </c>
      <c r="J1325" t="s">
        <v>29</v>
      </c>
      <c r="K1325" t="str">
        <f>IF(Table3[[#This Row],[Type Received]]=2,"CC",(IF(Table3[[#This Row],[Type Received]]=3,"BILL","ACH")))</f>
        <v>ACH</v>
      </c>
    </row>
    <row r="1326" spans="1:11" x14ac:dyDescent="0.25">
      <c r="A1326">
        <v>150634</v>
      </c>
      <c r="B1326" s="3">
        <v>46157</v>
      </c>
      <c r="C1326">
        <v>1</v>
      </c>
      <c r="D1326">
        <v>9.1</v>
      </c>
      <c r="G1326" t="s">
        <v>87</v>
      </c>
      <c r="H1326">
        <v>696704471</v>
      </c>
      <c r="I1326" t="s">
        <v>29</v>
      </c>
      <c r="J1326" t="s">
        <v>29</v>
      </c>
      <c r="K1326" t="str">
        <f>IF(Table3[[#This Row],[Type Received]]=2,"CC",(IF(Table3[[#This Row],[Type Received]]=3,"BILL","ACH")))</f>
        <v>ACH</v>
      </c>
    </row>
    <row r="1327" spans="1:11" x14ac:dyDescent="0.25">
      <c r="A1327">
        <v>150640</v>
      </c>
      <c r="B1327" s="3">
        <v>46157</v>
      </c>
      <c r="C1327">
        <v>1</v>
      </c>
      <c r="D1327">
        <v>30.16</v>
      </c>
      <c r="G1327" t="s">
        <v>87</v>
      </c>
      <c r="H1327">
        <v>696698700</v>
      </c>
      <c r="I1327" t="s">
        <v>29</v>
      </c>
      <c r="J1327" t="s">
        <v>29</v>
      </c>
      <c r="K1327" t="str">
        <f>IF(Table3[[#This Row],[Type Received]]=2,"CC",(IF(Table3[[#This Row],[Type Received]]=3,"BILL","ACH")))</f>
        <v>ACH</v>
      </c>
    </row>
    <row r="1328" spans="1:11" x14ac:dyDescent="0.25">
      <c r="A1328">
        <v>150707</v>
      </c>
      <c r="B1328" s="3">
        <v>46168</v>
      </c>
      <c r="C1328">
        <v>3</v>
      </c>
      <c r="D1328">
        <v>198.4</v>
      </c>
      <c r="E1328">
        <v>7934</v>
      </c>
      <c r="J1328" t="s">
        <v>29</v>
      </c>
      <c r="K1328" t="str">
        <f>IF(Table3[[#This Row],[Type Received]]=2,"CC",(IF(Table3[[#This Row],[Type Received]]=3,"BILL","ACH")))</f>
        <v>BILL</v>
      </c>
    </row>
    <row r="1329" spans="1:11" x14ac:dyDescent="0.25">
      <c r="A1329">
        <v>150990</v>
      </c>
      <c r="B1329" s="3">
        <v>46168</v>
      </c>
      <c r="C1329">
        <v>1</v>
      </c>
      <c r="D1329">
        <v>168.08</v>
      </c>
      <c r="G1329" t="s">
        <v>110</v>
      </c>
      <c r="H1329">
        <v>828251921</v>
      </c>
      <c r="I1329" t="s">
        <v>29</v>
      </c>
      <c r="J1329" t="s">
        <v>29</v>
      </c>
      <c r="K1329" t="str">
        <f>IF(Table3[[#This Row],[Type Received]]=2,"CC",(IF(Table3[[#This Row],[Type Received]]=3,"BILL","ACH")))</f>
        <v>ACH</v>
      </c>
    </row>
    <row r="1330" spans="1:11" x14ac:dyDescent="0.25">
      <c r="A1330">
        <v>150992</v>
      </c>
      <c r="B1330" s="3">
        <v>46157</v>
      </c>
      <c r="C1330">
        <v>1</v>
      </c>
      <c r="D1330">
        <v>12.88</v>
      </c>
      <c r="G1330" t="s">
        <v>87</v>
      </c>
      <c r="H1330">
        <v>696709411</v>
      </c>
      <c r="I1330" t="s">
        <v>29</v>
      </c>
      <c r="J1330" t="s">
        <v>29</v>
      </c>
      <c r="K1330" t="str">
        <f>IF(Table3[[#This Row],[Type Received]]=2,"CC",(IF(Table3[[#This Row],[Type Received]]=3,"BILL","ACH")))</f>
        <v>ACH</v>
      </c>
    </row>
    <row r="1331" spans="1:11" x14ac:dyDescent="0.25">
      <c r="A1331">
        <v>151003</v>
      </c>
      <c r="B1331" s="3">
        <v>46168</v>
      </c>
      <c r="C1331">
        <v>1</v>
      </c>
      <c r="D1331">
        <v>29.93</v>
      </c>
      <c r="G1331" t="s">
        <v>110</v>
      </c>
      <c r="H1331">
        <v>828257629</v>
      </c>
      <c r="I1331" t="s">
        <v>29</v>
      </c>
      <c r="J1331" t="s">
        <v>29</v>
      </c>
      <c r="K1331" t="str">
        <f>IF(Table3[[#This Row],[Type Received]]=2,"CC",(IF(Table3[[#This Row],[Type Received]]=3,"BILL","ACH")))</f>
        <v>ACH</v>
      </c>
    </row>
    <row r="1332" spans="1:11" x14ac:dyDescent="0.25">
      <c r="A1332">
        <v>151054</v>
      </c>
      <c r="B1332" s="3">
        <v>46143</v>
      </c>
      <c r="C1332">
        <v>2</v>
      </c>
      <c r="D1332">
        <v>13.44</v>
      </c>
      <c r="F1332">
        <v>57264</v>
      </c>
      <c r="G1332">
        <v>741374152</v>
      </c>
      <c r="H1332">
        <v>353093808</v>
      </c>
      <c r="J1332" t="s">
        <v>29</v>
      </c>
      <c r="K1332" t="str">
        <f>IF(Table3[[#This Row],[Type Received]]=2,"CC",(IF(Table3[[#This Row],[Type Received]]=3,"BILL","ACH")))</f>
        <v>CC</v>
      </c>
    </row>
    <row r="1333" spans="1:11" x14ac:dyDescent="0.25">
      <c r="A1333">
        <v>151098</v>
      </c>
      <c r="B1333" s="3">
        <v>46147</v>
      </c>
      <c r="C1333">
        <v>3</v>
      </c>
      <c r="D1333">
        <v>64.02</v>
      </c>
      <c r="E1333">
        <v>75805296</v>
      </c>
      <c r="J1333" t="s">
        <v>29</v>
      </c>
      <c r="K1333" t="str">
        <f>IF(Table3[[#This Row],[Type Received]]=2,"CC",(IF(Table3[[#This Row],[Type Received]]=3,"BILL","ACH")))</f>
        <v>BILL</v>
      </c>
    </row>
    <row r="1334" spans="1:11" x14ac:dyDescent="0.25">
      <c r="A1334">
        <v>151242</v>
      </c>
      <c r="B1334" s="3">
        <v>46143</v>
      </c>
      <c r="C1334">
        <v>2</v>
      </c>
      <c r="D1334">
        <v>18.510000000000002</v>
      </c>
      <c r="F1334">
        <v>80927</v>
      </c>
      <c r="G1334" t="s">
        <v>28</v>
      </c>
      <c r="H1334">
        <v>524960153</v>
      </c>
      <c r="I1334" t="s">
        <v>29</v>
      </c>
      <c r="K1334" t="str">
        <f>IF(Table3[[#This Row],[Type Received]]=2,"CC",(IF(Table3[[#This Row],[Type Received]]=3,"BILL","ACH")))</f>
        <v>CC</v>
      </c>
    </row>
    <row r="1335" spans="1:11" x14ac:dyDescent="0.25">
      <c r="A1335">
        <v>151273</v>
      </c>
      <c r="B1335" s="3">
        <v>46168</v>
      </c>
      <c r="C1335">
        <v>3</v>
      </c>
      <c r="D1335">
        <v>19.39</v>
      </c>
      <c r="E1335">
        <v>4459</v>
      </c>
      <c r="J1335" t="s">
        <v>29</v>
      </c>
      <c r="K1335" t="str">
        <f>IF(Table3[[#This Row],[Type Received]]=2,"CC",(IF(Table3[[#This Row],[Type Received]]=3,"BILL","ACH")))</f>
        <v>BILL</v>
      </c>
    </row>
    <row r="1336" spans="1:11" x14ac:dyDescent="0.25">
      <c r="A1336">
        <v>151331</v>
      </c>
      <c r="B1336" s="3">
        <v>46168</v>
      </c>
      <c r="C1336">
        <v>3</v>
      </c>
      <c r="D1336">
        <v>91.75</v>
      </c>
      <c r="E1336">
        <v>19824570629</v>
      </c>
      <c r="J1336" t="s">
        <v>29</v>
      </c>
      <c r="K1336" t="str">
        <f>IF(Table3[[#This Row],[Type Received]]=2,"CC",(IF(Table3[[#This Row],[Type Received]]=3,"BILL","ACH")))</f>
        <v>BILL</v>
      </c>
    </row>
    <row r="1337" spans="1:11" x14ac:dyDescent="0.25">
      <c r="A1337">
        <v>151608</v>
      </c>
      <c r="B1337" s="3">
        <v>46163</v>
      </c>
      <c r="C1337">
        <v>1</v>
      </c>
      <c r="D1337">
        <v>22.78</v>
      </c>
      <c r="G1337" t="s">
        <v>214</v>
      </c>
      <c r="H1337">
        <v>770883010</v>
      </c>
      <c r="I1337" t="s">
        <v>29</v>
      </c>
      <c r="J1337" t="s">
        <v>29</v>
      </c>
      <c r="K1337" t="str">
        <f>IF(Table3[[#This Row],[Type Received]]=2,"CC",(IF(Table3[[#This Row],[Type Received]]=3,"BILL","ACH")))</f>
        <v>ACH</v>
      </c>
    </row>
    <row r="1338" spans="1:11" x14ac:dyDescent="0.25">
      <c r="A1338">
        <v>151715</v>
      </c>
      <c r="B1338" s="3">
        <v>46169</v>
      </c>
      <c r="C1338">
        <v>1</v>
      </c>
      <c r="D1338">
        <v>27.39</v>
      </c>
      <c r="G1338" t="s">
        <v>117</v>
      </c>
      <c r="H1338">
        <v>840877446</v>
      </c>
      <c r="I1338" t="s">
        <v>29</v>
      </c>
      <c r="J1338" t="s">
        <v>29</v>
      </c>
      <c r="K1338" t="str">
        <f>IF(Table3[[#This Row],[Type Received]]=2,"CC",(IF(Table3[[#This Row],[Type Received]]=3,"BILL","ACH")))</f>
        <v>ACH</v>
      </c>
    </row>
    <row r="1339" spans="1:11" x14ac:dyDescent="0.25">
      <c r="A1339">
        <v>151734</v>
      </c>
      <c r="B1339" s="3">
        <v>46146</v>
      </c>
      <c r="C1339">
        <v>3</v>
      </c>
      <c r="D1339">
        <v>40</v>
      </c>
      <c r="E1339">
        <v>6589</v>
      </c>
      <c r="K1339" t="str">
        <f>IF(Table3[[#This Row],[Type Received]]=2,"CC",(IF(Table3[[#This Row],[Type Received]]=3,"BILL","ACH")))</f>
        <v>BILL</v>
      </c>
    </row>
    <row r="1340" spans="1:11" x14ac:dyDescent="0.25">
      <c r="A1340">
        <v>151748</v>
      </c>
      <c r="B1340" s="3">
        <v>46157</v>
      </c>
      <c r="C1340">
        <v>1</v>
      </c>
      <c r="D1340">
        <v>17.739999999999998</v>
      </c>
      <c r="G1340" t="s">
        <v>87</v>
      </c>
      <c r="H1340">
        <v>696711253</v>
      </c>
      <c r="I1340" t="s">
        <v>29</v>
      </c>
      <c r="J1340" t="s">
        <v>29</v>
      </c>
      <c r="K1340" t="str">
        <f>IF(Table3[[#This Row],[Type Received]]=2,"CC",(IF(Table3[[#This Row],[Type Received]]=3,"BILL","ACH")))</f>
        <v>ACH</v>
      </c>
    </row>
    <row r="1341" spans="1:11" x14ac:dyDescent="0.25">
      <c r="A1341">
        <v>151753</v>
      </c>
      <c r="B1341" s="3">
        <v>46143</v>
      </c>
      <c r="C1341">
        <v>1</v>
      </c>
      <c r="D1341">
        <v>20.71</v>
      </c>
      <c r="G1341" s="4" t="s">
        <v>84</v>
      </c>
      <c r="H1341">
        <v>522310198</v>
      </c>
      <c r="I1341" t="s">
        <v>29</v>
      </c>
      <c r="J1341" t="s">
        <v>29</v>
      </c>
      <c r="K1341" t="str">
        <f>IF(Table3[[#This Row],[Type Received]]=2,"CC",(IF(Table3[[#This Row],[Type Received]]=3,"BILL","ACH")))</f>
        <v>ACH</v>
      </c>
    </row>
    <row r="1342" spans="1:11" x14ac:dyDescent="0.25">
      <c r="A1342">
        <v>151764</v>
      </c>
      <c r="B1342" s="3">
        <v>46157</v>
      </c>
      <c r="C1342">
        <v>1</v>
      </c>
      <c r="D1342">
        <v>9.34</v>
      </c>
      <c r="G1342" t="s">
        <v>87</v>
      </c>
      <c r="H1342">
        <v>696713239</v>
      </c>
      <c r="I1342" t="s">
        <v>29</v>
      </c>
      <c r="J1342" t="s">
        <v>29</v>
      </c>
      <c r="K1342" t="str">
        <f>IF(Table3[[#This Row],[Type Received]]=2,"CC",(IF(Table3[[#This Row],[Type Received]]=3,"BILL","ACH")))</f>
        <v>ACH</v>
      </c>
    </row>
    <row r="1343" spans="1:11" x14ac:dyDescent="0.25">
      <c r="A1343">
        <v>151466</v>
      </c>
      <c r="B1343" s="3">
        <v>46143</v>
      </c>
      <c r="C1343">
        <v>2</v>
      </c>
      <c r="D1343">
        <v>5.86</v>
      </c>
      <c r="F1343">
        <v>36568</v>
      </c>
      <c r="G1343" s="4" t="s">
        <v>28</v>
      </c>
      <c r="H1343">
        <v>522304460</v>
      </c>
      <c r="I1343" t="s">
        <v>29</v>
      </c>
      <c r="K1343" t="str">
        <f>IF(Table3[[#This Row],[Type Received]]=2,"CC",(IF(Table3[[#This Row],[Type Received]]=3,"BILL","ACH")))</f>
        <v>CC</v>
      </c>
    </row>
    <row r="1344" spans="1:11" x14ac:dyDescent="0.25">
      <c r="A1344">
        <v>151502</v>
      </c>
      <c r="B1344" s="3">
        <v>46143</v>
      </c>
      <c r="C1344">
        <v>1</v>
      </c>
      <c r="D1344">
        <v>63.75</v>
      </c>
      <c r="G1344" t="s">
        <v>84</v>
      </c>
      <c r="H1344">
        <v>522288067</v>
      </c>
      <c r="I1344" t="s">
        <v>29</v>
      </c>
      <c r="J1344" t="s">
        <v>29</v>
      </c>
      <c r="K1344" t="str">
        <f>IF(Table3[[#This Row],[Type Received]]=2,"CC",(IF(Table3[[#This Row],[Type Received]]=3,"BILL","ACH")))</f>
        <v>ACH</v>
      </c>
    </row>
    <row r="1345" spans="1:11" x14ac:dyDescent="0.25">
      <c r="A1345">
        <v>152123</v>
      </c>
      <c r="B1345" s="3">
        <v>46168</v>
      </c>
      <c r="C1345">
        <v>1</v>
      </c>
      <c r="D1345">
        <v>36.93</v>
      </c>
      <c r="G1345" t="s">
        <v>110</v>
      </c>
      <c r="H1345">
        <v>828277109</v>
      </c>
      <c r="I1345" t="s">
        <v>29</v>
      </c>
      <c r="J1345" t="s">
        <v>29</v>
      </c>
      <c r="K1345" t="str">
        <f>IF(Table3[[#This Row],[Type Received]]=2,"CC",(IF(Table3[[#This Row],[Type Received]]=3,"BILL","ACH")))</f>
        <v>ACH</v>
      </c>
    </row>
    <row r="1346" spans="1:11" x14ac:dyDescent="0.25">
      <c r="A1346">
        <v>152129</v>
      </c>
      <c r="B1346" s="3">
        <v>46143</v>
      </c>
      <c r="C1346">
        <v>3</v>
      </c>
      <c r="D1346">
        <v>22</v>
      </c>
      <c r="E1346">
        <v>4973</v>
      </c>
      <c r="J1346" t="s">
        <v>29</v>
      </c>
      <c r="K1346" t="str">
        <f>IF(Table3[[#This Row],[Type Received]]=2,"CC",(IF(Table3[[#This Row],[Type Received]]=3,"BILL","ACH")))</f>
        <v>BILL</v>
      </c>
    </row>
    <row r="1347" spans="1:11" x14ac:dyDescent="0.25">
      <c r="A1347">
        <v>151852</v>
      </c>
      <c r="B1347" s="3">
        <v>46147</v>
      </c>
      <c r="C1347">
        <v>3</v>
      </c>
      <c r="D1347">
        <v>67.36</v>
      </c>
      <c r="E1347">
        <v>6761</v>
      </c>
      <c r="J1347" t="s">
        <v>29</v>
      </c>
      <c r="K1347" t="str">
        <f>IF(Table3[[#This Row],[Type Received]]=2,"CC",(IF(Table3[[#This Row],[Type Received]]=3,"BILL","ACH")))</f>
        <v>BILL</v>
      </c>
    </row>
    <row r="1348" spans="1:11" x14ac:dyDescent="0.25">
      <c r="A1348">
        <v>151932</v>
      </c>
      <c r="B1348" s="3">
        <v>46150</v>
      </c>
      <c r="C1348">
        <v>3</v>
      </c>
      <c r="D1348">
        <v>81.42</v>
      </c>
      <c r="E1348">
        <v>9931</v>
      </c>
      <c r="J1348" t="s">
        <v>29</v>
      </c>
      <c r="K1348" t="str">
        <f>IF(Table3[[#This Row],[Type Received]]=2,"CC",(IF(Table3[[#This Row],[Type Received]]=3,"BILL","ACH")))</f>
        <v>BILL</v>
      </c>
    </row>
    <row r="1349" spans="1:11" x14ac:dyDescent="0.25">
      <c r="A1349">
        <v>151939</v>
      </c>
      <c r="B1349" s="3">
        <v>46157</v>
      </c>
      <c r="C1349">
        <v>1</v>
      </c>
      <c r="D1349">
        <v>4.96</v>
      </c>
      <c r="G1349" t="s">
        <v>87</v>
      </c>
      <c r="H1349">
        <v>696701558</v>
      </c>
      <c r="I1349" t="s">
        <v>29</v>
      </c>
      <c r="K1349" t="str">
        <f>IF(Table3[[#This Row],[Type Received]]=2,"CC",(IF(Table3[[#This Row],[Type Received]]=3,"BILL","ACH")))</f>
        <v>ACH</v>
      </c>
    </row>
    <row r="1350" spans="1:11" x14ac:dyDescent="0.25">
      <c r="A1350">
        <v>151989</v>
      </c>
      <c r="B1350" s="3">
        <v>46146</v>
      </c>
      <c r="C1350">
        <v>2</v>
      </c>
      <c r="D1350">
        <v>18.489999999999998</v>
      </c>
      <c r="F1350">
        <v>1222</v>
      </c>
      <c r="G1350" t="s">
        <v>28</v>
      </c>
      <c r="H1350">
        <v>556624569</v>
      </c>
      <c r="I1350" t="s">
        <v>29</v>
      </c>
      <c r="J1350" t="s">
        <v>29</v>
      </c>
      <c r="K1350" t="str">
        <f>IF(Table3[[#This Row],[Type Received]]=2,"CC",(IF(Table3[[#This Row],[Type Received]]=3,"BILL","ACH")))</f>
        <v>CC</v>
      </c>
    </row>
    <row r="1351" spans="1:11" x14ac:dyDescent="0.25">
      <c r="A1351">
        <v>152274</v>
      </c>
      <c r="B1351" s="3">
        <v>46168</v>
      </c>
      <c r="C1351">
        <v>2</v>
      </c>
      <c r="D1351">
        <v>11.55</v>
      </c>
      <c r="F1351" s="6" t="s">
        <v>215</v>
      </c>
      <c r="G1351" t="s">
        <v>28</v>
      </c>
      <c r="H1351">
        <v>828267475</v>
      </c>
      <c r="I1351" t="s">
        <v>29</v>
      </c>
      <c r="J1351" t="s">
        <v>29</v>
      </c>
      <c r="K1351" t="str">
        <f>IF(Table3[[#This Row],[Type Received]]=2,"CC",(IF(Table3[[#This Row],[Type Received]]=3,"BILL","ACH")))</f>
        <v>CC</v>
      </c>
    </row>
    <row r="1352" spans="1:11" x14ac:dyDescent="0.25">
      <c r="A1352">
        <v>152304</v>
      </c>
      <c r="B1352" s="3">
        <v>46157</v>
      </c>
      <c r="C1352">
        <v>1</v>
      </c>
      <c r="D1352">
        <v>8.52</v>
      </c>
      <c r="G1352" t="s">
        <v>87</v>
      </c>
      <c r="H1352">
        <v>696692017</v>
      </c>
      <c r="I1352" t="s">
        <v>29</v>
      </c>
      <c r="K1352" t="str">
        <f>IF(Table3[[#This Row],[Type Received]]=2,"CC",(IF(Table3[[#This Row],[Type Received]]=3,"BILL","ACH")))</f>
        <v>ACH</v>
      </c>
    </row>
    <row r="1353" spans="1:11" x14ac:dyDescent="0.25">
      <c r="A1353">
        <v>152310</v>
      </c>
      <c r="B1353" s="3">
        <v>46143</v>
      </c>
      <c r="C1353">
        <v>1</v>
      </c>
      <c r="D1353">
        <v>34.229999999999997</v>
      </c>
      <c r="G1353" t="s">
        <v>84</v>
      </c>
      <c r="H1353">
        <v>522311214</v>
      </c>
      <c r="I1353" t="s">
        <v>29</v>
      </c>
      <c r="J1353" t="s">
        <v>29</v>
      </c>
      <c r="K1353" t="str">
        <f>IF(Table3[[#This Row],[Type Received]]=2,"CC",(IF(Table3[[#This Row],[Type Received]]=3,"BILL","ACH")))</f>
        <v>ACH</v>
      </c>
    </row>
    <row r="1354" spans="1:11" x14ac:dyDescent="0.25">
      <c r="A1354">
        <v>152472</v>
      </c>
      <c r="B1354" s="3">
        <v>46157</v>
      </c>
      <c r="C1354">
        <v>1</v>
      </c>
      <c r="D1354">
        <v>16.68</v>
      </c>
      <c r="G1354" t="s">
        <v>87</v>
      </c>
      <c r="H1354">
        <v>696693933</v>
      </c>
      <c r="I1354" t="s">
        <v>29</v>
      </c>
      <c r="J1354" t="s">
        <v>29</v>
      </c>
      <c r="K1354" t="str">
        <f>IF(Table3[[#This Row],[Type Received]]=2,"CC",(IF(Table3[[#This Row],[Type Received]]=3,"BILL","ACH")))</f>
        <v>ACH</v>
      </c>
    </row>
    <row r="1355" spans="1:11" x14ac:dyDescent="0.25">
      <c r="A1355">
        <v>152581</v>
      </c>
      <c r="B1355" s="3">
        <v>46168</v>
      </c>
      <c r="C1355">
        <v>3</v>
      </c>
      <c r="D1355">
        <v>18.420000000000002</v>
      </c>
      <c r="E1355">
        <v>9239</v>
      </c>
      <c r="J1355" t="s">
        <v>29</v>
      </c>
      <c r="K1355" t="str">
        <f>IF(Table3[[#This Row],[Type Received]]=2,"CC",(IF(Table3[[#This Row],[Type Received]]=3,"BILL","ACH")))</f>
        <v>BILL</v>
      </c>
    </row>
    <row r="1356" spans="1:11" x14ac:dyDescent="0.25">
      <c r="A1356">
        <v>152662</v>
      </c>
      <c r="B1356" s="3">
        <v>46157</v>
      </c>
      <c r="C1356">
        <v>1</v>
      </c>
      <c r="D1356">
        <v>14.25</v>
      </c>
      <c r="G1356" t="s">
        <v>87</v>
      </c>
      <c r="H1356">
        <v>696710446</v>
      </c>
      <c r="I1356" t="s">
        <v>29</v>
      </c>
      <c r="J1356" t="s">
        <v>29</v>
      </c>
      <c r="K1356" t="str">
        <f>IF(Table3[[#This Row],[Type Received]]=2,"CC",(IF(Table3[[#This Row],[Type Received]]=3,"BILL","ACH")))</f>
        <v>ACH</v>
      </c>
    </row>
    <row r="1357" spans="1:11" x14ac:dyDescent="0.25">
      <c r="A1357">
        <v>152886</v>
      </c>
      <c r="B1357" s="3">
        <v>46157</v>
      </c>
      <c r="C1357">
        <v>1</v>
      </c>
      <c r="D1357">
        <v>15.33</v>
      </c>
      <c r="G1357" t="s">
        <v>87</v>
      </c>
      <c r="H1357">
        <v>696701607</v>
      </c>
      <c r="I1357" t="s">
        <v>29</v>
      </c>
      <c r="K1357" t="str">
        <f>IF(Table3[[#This Row],[Type Received]]=2,"CC",(IF(Table3[[#This Row],[Type Received]]=3,"BILL","ACH")))</f>
        <v>ACH</v>
      </c>
    </row>
    <row r="1358" spans="1:11" x14ac:dyDescent="0.25">
      <c r="A1358">
        <v>152902</v>
      </c>
      <c r="B1358" s="3">
        <v>46145</v>
      </c>
      <c r="C1358">
        <v>1</v>
      </c>
      <c r="D1358">
        <v>9.39</v>
      </c>
      <c r="G1358" s="4" t="s">
        <v>113</v>
      </c>
      <c r="H1358">
        <v>546411563</v>
      </c>
      <c r="I1358" t="s">
        <v>29</v>
      </c>
      <c r="J1358" t="s">
        <v>29</v>
      </c>
      <c r="K1358" t="str">
        <f>IF(Table3[[#This Row],[Type Received]]=2,"CC",(IF(Table3[[#This Row],[Type Received]]=3,"BILL","ACH")))</f>
        <v>ACH</v>
      </c>
    </row>
    <row r="1359" spans="1:11" x14ac:dyDescent="0.25">
      <c r="A1359">
        <v>152912</v>
      </c>
      <c r="B1359" s="3">
        <v>46157</v>
      </c>
      <c r="C1359">
        <v>1</v>
      </c>
      <c r="D1359">
        <v>6.94</v>
      </c>
      <c r="G1359" t="s">
        <v>87</v>
      </c>
      <c r="H1359">
        <v>696702621</v>
      </c>
      <c r="I1359" t="s">
        <v>29</v>
      </c>
      <c r="K1359" t="str">
        <f>IF(Table3[[#This Row],[Type Received]]=2,"CC",(IF(Table3[[#This Row],[Type Received]]=3,"BILL","ACH")))</f>
        <v>ACH</v>
      </c>
    </row>
    <row r="1360" spans="1:11" x14ac:dyDescent="0.25">
      <c r="A1360">
        <v>152923</v>
      </c>
      <c r="B1360" s="3">
        <v>46168</v>
      </c>
      <c r="C1360">
        <v>1</v>
      </c>
      <c r="D1360">
        <v>16.97</v>
      </c>
      <c r="G1360" t="s">
        <v>110</v>
      </c>
      <c r="H1360">
        <v>828277153</v>
      </c>
      <c r="I1360" t="s">
        <v>29</v>
      </c>
      <c r="J1360" t="s">
        <v>29</v>
      </c>
      <c r="K1360" t="str">
        <f>IF(Table3[[#This Row],[Type Received]]=2,"CC",(IF(Table3[[#This Row],[Type Received]]=3,"BILL","ACH")))</f>
        <v>ACH</v>
      </c>
    </row>
    <row r="1361" spans="1:11" x14ac:dyDescent="0.25">
      <c r="A1361">
        <v>152988</v>
      </c>
      <c r="B1361" s="3">
        <v>46168</v>
      </c>
      <c r="C1361">
        <v>1</v>
      </c>
      <c r="D1361">
        <v>6.07</v>
      </c>
      <c r="G1361" t="s">
        <v>110</v>
      </c>
      <c r="H1361">
        <v>828260589</v>
      </c>
      <c r="I1361" t="s">
        <v>29</v>
      </c>
      <c r="J1361" t="s">
        <v>29</v>
      </c>
      <c r="K1361" t="str">
        <f>IF(Table3[[#This Row],[Type Received]]=2,"CC",(IF(Table3[[#This Row],[Type Received]]=3,"BILL","ACH")))</f>
        <v>ACH</v>
      </c>
    </row>
    <row r="1362" spans="1:11" x14ac:dyDescent="0.25">
      <c r="A1362">
        <v>153234</v>
      </c>
      <c r="B1362" s="3">
        <v>46143</v>
      </c>
      <c r="C1362">
        <v>1</v>
      </c>
      <c r="D1362">
        <v>5.89</v>
      </c>
      <c r="G1362" t="s">
        <v>84</v>
      </c>
      <c r="H1362">
        <v>522317128</v>
      </c>
      <c r="I1362" t="s">
        <v>29</v>
      </c>
      <c r="K1362" t="str">
        <f>IF(Table3[[#This Row],[Type Received]]=2,"CC",(IF(Table3[[#This Row],[Type Received]]=3,"BILL","ACH")))</f>
        <v>ACH</v>
      </c>
    </row>
    <row r="1363" spans="1:11" x14ac:dyDescent="0.25">
      <c r="A1363">
        <v>153254</v>
      </c>
      <c r="B1363" s="3">
        <v>46169</v>
      </c>
      <c r="C1363">
        <v>1</v>
      </c>
      <c r="D1363">
        <v>54.39</v>
      </c>
      <c r="G1363" t="s">
        <v>117</v>
      </c>
      <c r="H1363">
        <v>840844302</v>
      </c>
      <c r="I1363" t="s">
        <v>29</v>
      </c>
      <c r="J1363" t="s">
        <v>29</v>
      </c>
      <c r="K1363" t="str">
        <f>IF(Table3[[#This Row],[Type Received]]=2,"CC",(IF(Table3[[#This Row],[Type Received]]=3,"BILL","ACH")))</f>
        <v>ACH</v>
      </c>
    </row>
    <row r="1364" spans="1:11" x14ac:dyDescent="0.25">
      <c r="A1364">
        <v>153324</v>
      </c>
      <c r="B1364" s="3">
        <v>46156</v>
      </c>
      <c r="C1364">
        <v>1</v>
      </c>
      <c r="D1364">
        <v>29.01</v>
      </c>
      <c r="G1364" t="s">
        <v>93</v>
      </c>
      <c r="H1364">
        <v>682526663</v>
      </c>
      <c r="I1364" t="s">
        <v>29</v>
      </c>
      <c r="J1364" t="s">
        <v>29</v>
      </c>
      <c r="K1364" t="str">
        <f>IF(Table3[[#This Row],[Type Received]]=2,"CC",(IF(Table3[[#This Row],[Type Received]]=3,"BILL","ACH")))</f>
        <v>ACH</v>
      </c>
    </row>
    <row r="1365" spans="1:11" x14ac:dyDescent="0.25">
      <c r="A1365">
        <v>153357</v>
      </c>
      <c r="B1365" s="3">
        <v>46169</v>
      </c>
      <c r="C1365">
        <v>3</v>
      </c>
      <c r="D1365">
        <v>32.200000000000003</v>
      </c>
      <c r="E1365">
        <v>19827596744</v>
      </c>
      <c r="J1365" t="s">
        <v>29</v>
      </c>
      <c r="K1365" t="str">
        <f>IF(Table3[[#This Row],[Type Received]]=2,"CC",(IF(Table3[[#This Row],[Type Received]]=3,"BILL","ACH")))</f>
        <v>BILL</v>
      </c>
    </row>
    <row r="1366" spans="1:11" x14ac:dyDescent="0.25">
      <c r="A1366">
        <v>153444</v>
      </c>
      <c r="B1366" s="3">
        <v>46161</v>
      </c>
      <c r="C1366">
        <v>2</v>
      </c>
      <c r="D1366">
        <v>1106.9000000000001</v>
      </c>
      <c r="J1366" t="s">
        <v>29</v>
      </c>
      <c r="K1366" t="str">
        <f>IF(Table3[[#This Row],[Type Received]]=2,"CC",(IF(Table3[[#This Row],[Type Received]]=3,"BILL","ACH")))</f>
        <v>CC</v>
      </c>
    </row>
    <row r="1367" spans="1:11" x14ac:dyDescent="0.25">
      <c r="A1367">
        <v>153576</v>
      </c>
      <c r="B1367" s="3">
        <v>46157</v>
      </c>
      <c r="C1367">
        <v>1</v>
      </c>
      <c r="D1367">
        <v>13.53</v>
      </c>
      <c r="G1367" t="s">
        <v>87</v>
      </c>
      <c r="H1367">
        <v>696705562</v>
      </c>
      <c r="I1367" t="s">
        <v>29</v>
      </c>
      <c r="K1367" t="str">
        <f>IF(Table3[[#This Row],[Type Received]]=2,"CC",(IF(Table3[[#This Row],[Type Received]]=3,"BILL","ACH")))</f>
        <v>ACH</v>
      </c>
    </row>
    <row r="1368" spans="1:11" x14ac:dyDescent="0.25">
      <c r="A1368">
        <v>153589</v>
      </c>
      <c r="B1368" s="3">
        <v>46143</v>
      </c>
      <c r="C1368">
        <v>1</v>
      </c>
      <c r="D1368">
        <v>8.99</v>
      </c>
      <c r="G1368" t="s">
        <v>84</v>
      </c>
      <c r="H1368">
        <v>522291005</v>
      </c>
      <c r="I1368" t="s">
        <v>29</v>
      </c>
      <c r="J1368" t="s">
        <v>29</v>
      </c>
      <c r="K1368" t="str">
        <f>IF(Table3[[#This Row],[Type Received]]=2,"CC",(IF(Table3[[#This Row],[Type Received]]=3,"BILL","ACH")))</f>
        <v>ACH</v>
      </c>
    </row>
    <row r="1369" spans="1:11" x14ac:dyDescent="0.25">
      <c r="A1369">
        <v>153859</v>
      </c>
      <c r="B1369" s="3">
        <v>46146</v>
      </c>
      <c r="C1369">
        <v>3</v>
      </c>
      <c r="D1369">
        <v>29.17</v>
      </c>
      <c r="E1369">
        <v>5065</v>
      </c>
      <c r="J1369" t="s">
        <v>29</v>
      </c>
      <c r="K1369" t="str">
        <f>IF(Table3[[#This Row],[Type Received]]=2,"CC",(IF(Table3[[#This Row],[Type Received]]=3,"BILL","ACH")))</f>
        <v>BILL</v>
      </c>
    </row>
    <row r="1370" spans="1:11" x14ac:dyDescent="0.25">
      <c r="A1370">
        <v>153972</v>
      </c>
      <c r="B1370" s="3">
        <v>46143</v>
      </c>
      <c r="C1370">
        <v>1</v>
      </c>
      <c r="D1370">
        <v>24.51</v>
      </c>
      <c r="G1370" t="s">
        <v>84</v>
      </c>
      <c r="H1370">
        <v>522291022</v>
      </c>
      <c r="I1370" t="s">
        <v>29</v>
      </c>
      <c r="J1370" t="s">
        <v>29</v>
      </c>
      <c r="K1370" t="str">
        <f>IF(Table3[[#This Row],[Type Received]]=2,"CC",(IF(Table3[[#This Row],[Type Received]]=3,"BILL","ACH")))</f>
        <v>ACH</v>
      </c>
    </row>
    <row r="1371" spans="1:11" x14ac:dyDescent="0.25">
      <c r="A1371">
        <v>153998</v>
      </c>
      <c r="B1371" s="3">
        <v>46150</v>
      </c>
      <c r="C1371">
        <v>1</v>
      </c>
      <c r="D1371">
        <v>13.98</v>
      </c>
      <c r="G1371" s="4" t="s">
        <v>104</v>
      </c>
      <c r="H1371">
        <v>608159808</v>
      </c>
      <c r="I1371" t="s">
        <v>29</v>
      </c>
      <c r="J1371" t="s">
        <v>29</v>
      </c>
      <c r="K1371" t="str">
        <f>IF(Table3[[#This Row],[Type Received]]=2,"CC",(IF(Table3[[#This Row],[Type Received]]=3,"BILL","ACH")))</f>
        <v>ACH</v>
      </c>
    </row>
    <row r="1372" spans="1:11" x14ac:dyDescent="0.25">
      <c r="A1372">
        <v>153612</v>
      </c>
      <c r="B1372" s="3">
        <v>46155</v>
      </c>
      <c r="C1372">
        <v>2</v>
      </c>
      <c r="D1372">
        <v>90.21</v>
      </c>
      <c r="F1372">
        <v>150444</v>
      </c>
      <c r="G1372" t="s">
        <v>28</v>
      </c>
      <c r="H1372">
        <v>669474076</v>
      </c>
      <c r="I1372" t="s">
        <v>29</v>
      </c>
      <c r="J1372" t="s">
        <v>29</v>
      </c>
      <c r="K1372" t="str">
        <f>IF(Table3[[#This Row],[Type Received]]=2,"CC",(IF(Table3[[#This Row],[Type Received]]=3,"BILL","ACH")))</f>
        <v>CC</v>
      </c>
    </row>
    <row r="1373" spans="1:11" x14ac:dyDescent="0.25">
      <c r="A1373">
        <v>153648</v>
      </c>
      <c r="B1373" s="3">
        <v>46146</v>
      </c>
      <c r="C1373">
        <v>3</v>
      </c>
      <c r="D1373">
        <v>51.85</v>
      </c>
      <c r="E1373">
        <v>157775303</v>
      </c>
      <c r="G1373" s="4"/>
      <c r="J1373" t="s">
        <v>29</v>
      </c>
      <c r="K1373" t="str">
        <f>IF(Table3[[#This Row],[Type Received]]=2,"CC",(IF(Table3[[#This Row],[Type Received]]=3,"BILL","ACH")))</f>
        <v>BILL</v>
      </c>
    </row>
    <row r="1374" spans="1:11" x14ac:dyDescent="0.25">
      <c r="A1374">
        <v>153671</v>
      </c>
      <c r="B1374" s="3">
        <v>46157</v>
      </c>
      <c r="C1374">
        <v>1</v>
      </c>
      <c r="D1374">
        <v>25.86</v>
      </c>
      <c r="G1374" t="s">
        <v>87</v>
      </c>
      <c r="H1374">
        <v>696715320</v>
      </c>
      <c r="I1374" t="s">
        <v>29</v>
      </c>
      <c r="J1374" t="s">
        <v>29</v>
      </c>
      <c r="K1374" t="str">
        <f>IF(Table3[[#This Row],[Type Received]]=2,"CC",(IF(Table3[[#This Row],[Type Received]]=3,"BILL","ACH")))</f>
        <v>ACH</v>
      </c>
    </row>
    <row r="1375" spans="1:11" x14ac:dyDescent="0.25">
      <c r="A1375">
        <v>153714</v>
      </c>
      <c r="B1375" s="3">
        <v>46168</v>
      </c>
      <c r="C1375">
        <v>1</v>
      </c>
      <c r="D1375">
        <v>9.39</v>
      </c>
      <c r="G1375" t="s">
        <v>110</v>
      </c>
      <c r="H1375">
        <v>828269489</v>
      </c>
      <c r="I1375" t="s">
        <v>29</v>
      </c>
      <c r="J1375" t="s">
        <v>29</v>
      </c>
      <c r="K1375" t="str">
        <f>IF(Table3[[#This Row],[Type Received]]=2,"CC",(IF(Table3[[#This Row],[Type Received]]=3,"BILL","ACH")))</f>
        <v>ACH</v>
      </c>
    </row>
    <row r="1376" spans="1:11" x14ac:dyDescent="0.25">
      <c r="A1376">
        <v>153721</v>
      </c>
      <c r="B1376" s="3">
        <v>46168</v>
      </c>
      <c r="C1376">
        <v>1</v>
      </c>
      <c r="D1376">
        <v>17.760000000000002</v>
      </c>
      <c r="G1376" t="s">
        <v>110</v>
      </c>
      <c r="H1376">
        <v>828253043</v>
      </c>
      <c r="I1376" t="s">
        <v>29</v>
      </c>
      <c r="J1376" t="s">
        <v>29</v>
      </c>
      <c r="K1376" t="str">
        <f>IF(Table3[[#This Row],[Type Received]]=2,"CC",(IF(Table3[[#This Row],[Type Received]]=3,"BILL","ACH")))</f>
        <v>ACH</v>
      </c>
    </row>
    <row r="1377" spans="1:11" x14ac:dyDescent="0.25">
      <c r="A1377">
        <v>153739</v>
      </c>
      <c r="B1377" s="3">
        <v>46155</v>
      </c>
      <c r="C1377">
        <v>2</v>
      </c>
      <c r="D1377">
        <v>14.34</v>
      </c>
      <c r="F1377" t="s">
        <v>216</v>
      </c>
      <c r="G1377" t="s">
        <v>28</v>
      </c>
      <c r="H1377">
        <v>669491426</v>
      </c>
      <c r="I1377" t="s">
        <v>29</v>
      </c>
      <c r="J1377" t="s">
        <v>29</v>
      </c>
      <c r="K1377" t="str">
        <f>IF(Table3[[#This Row],[Type Received]]=2,"CC",(IF(Table3[[#This Row],[Type Received]]=3,"BILL","ACH")))</f>
        <v>CC</v>
      </c>
    </row>
    <row r="1378" spans="1:11" x14ac:dyDescent="0.25">
      <c r="A1378">
        <v>153740</v>
      </c>
      <c r="B1378" s="3">
        <v>46157</v>
      </c>
      <c r="C1378">
        <v>1</v>
      </c>
      <c r="D1378">
        <v>6.07</v>
      </c>
      <c r="G1378" t="s">
        <v>87</v>
      </c>
      <c r="H1378">
        <v>696718198</v>
      </c>
      <c r="I1378" t="s">
        <v>29</v>
      </c>
      <c r="J1378" t="s">
        <v>29</v>
      </c>
      <c r="K1378" t="str">
        <f>IF(Table3[[#This Row],[Type Received]]=2,"CC",(IF(Table3[[#This Row],[Type Received]]=3,"BILL","ACH")))</f>
        <v>ACH</v>
      </c>
    </row>
    <row r="1379" spans="1:11" x14ac:dyDescent="0.25">
      <c r="A1379">
        <v>153787</v>
      </c>
      <c r="B1379" s="3">
        <v>46157</v>
      </c>
      <c r="C1379">
        <v>1</v>
      </c>
      <c r="D1379">
        <v>36.39</v>
      </c>
      <c r="G1379" t="s">
        <v>87</v>
      </c>
      <c r="H1379">
        <v>696695010</v>
      </c>
      <c r="I1379" t="s">
        <v>29</v>
      </c>
      <c r="K1379" t="str">
        <f>IF(Table3[[#This Row],[Type Received]]=2,"CC",(IF(Table3[[#This Row],[Type Received]]=3,"BILL","ACH")))</f>
        <v>ACH</v>
      </c>
    </row>
    <row r="1380" spans="1:11" x14ac:dyDescent="0.25">
      <c r="A1380">
        <v>154053</v>
      </c>
      <c r="B1380" s="3">
        <v>46168</v>
      </c>
      <c r="C1380">
        <v>3</v>
      </c>
      <c r="D1380">
        <v>17.079999999999998</v>
      </c>
      <c r="E1380">
        <v>100414</v>
      </c>
      <c r="J1380" t="s">
        <v>29</v>
      </c>
      <c r="K1380" t="str">
        <f>IF(Table3[[#This Row],[Type Received]]=2,"CC",(IF(Table3[[#This Row],[Type Received]]=3,"BILL","ACH")))</f>
        <v>BILL</v>
      </c>
    </row>
    <row r="1381" spans="1:11" x14ac:dyDescent="0.25">
      <c r="A1381">
        <v>154133</v>
      </c>
      <c r="B1381" s="3">
        <v>46157</v>
      </c>
      <c r="C1381">
        <v>1</v>
      </c>
      <c r="D1381">
        <v>24.15</v>
      </c>
      <c r="G1381" t="s">
        <v>87</v>
      </c>
      <c r="H1381">
        <v>696618963</v>
      </c>
      <c r="I1381" t="s">
        <v>29</v>
      </c>
      <c r="K1381" t="str">
        <f>IF(Table3[[#This Row],[Type Received]]=2,"CC",(IF(Table3[[#This Row],[Type Received]]=3,"BILL","ACH")))</f>
        <v>ACH</v>
      </c>
    </row>
    <row r="1382" spans="1:11" x14ac:dyDescent="0.25">
      <c r="A1382">
        <v>154244</v>
      </c>
      <c r="B1382" s="3">
        <v>46155</v>
      </c>
      <c r="C1382">
        <v>2</v>
      </c>
      <c r="D1382">
        <v>20.51</v>
      </c>
      <c r="F1382">
        <v>180848</v>
      </c>
      <c r="G1382" t="s">
        <v>28</v>
      </c>
      <c r="H1382">
        <v>669478790</v>
      </c>
      <c r="I1382" t="s">
        <v>29</v>
      </c>
      <c r="J1382" t="s">
        <v>29</v>
      </c>
      <c r="K1382" t="str">
        <f>IF(Table3[[#This Row],[Type Received]]=2,"CC",(IF(Table3[[#This Row],[Type Received]]=3,"BILL","ACH")))</f>
        <v>CC</v>
      </c>
    </row>
    <row r="1383" spans="1:11" x14ac:dyDescent="0.25">
      <c r="A1383">
        <v>154391</v>
      </c>
      <c r="B1383" s="3">
        <v>46168</v>
      </c>
      <c r="C1383">
        <v>1</v>
      </c>
      <c r="D1383">
        <v>9.17</v>
      </c>
      <c r="G1383" t="s">
        <v>110</v>
      </c>
      <c r="H1383">
        <v>828273496</v>
      </c>
      <c r="I1383" t="s">
        <v>29</v>
      </c>
      <c r="J1383" t="s">
        <v>29</v>
      </c>
      <c r="K1383" t="str">
        <f>IF(Table3[[#This Row],[Type Received]]=2,"CC",(IF(Table3[[#This Row],[Type Received]]=3,"BILL","ACH")))</f>
        <v>ACH</v>
      </c>
    </row>
    <row r="1384" spans="1:11" x14ac:dyDescent="0.25">
      <c r="A1384">
        <v>154392</v>
      </c>
      <c r="B1384" s="3">
        <v>46157</v>
      </c>
      <c r="C1384">
        <v>1</v>
      </c>
      <c r="D1384">
        <v>15.83</v>
      </c>
      <c r="G1384" s="4" t="s">
        <v>87</v>
      </c>
      <c r="H1384">
        <v>696695021</v>
      </c>
      <c r="I1384" t="s">
        <v>29</v>
      </c>
      <c r="J1384" t="s">
        <v>29</v>
      </c>
      <c r="K1384" t="str">
        <f>IF(Table3[[#This Row],[Type Received]]=2,"CC",(IF(Table3[[#This Row],[Type Received]]=3,"BILL","ACH")))</f>
        <v>ACH</v>
      </c>
    </row>
    <row r="1385" spans="1:11" x14ac:dyDescent="0.25">
      <c r="A1385">
        <v>154401</v>
      </c>
      <c r="B1385" s="3">
        <v>46168</v>
      </c>
      <c r="C1385">
        <v>3</v>
      </c>
      <c r="D1385">
        <v>18.100000000000001</v>
      </c>
      <c r="E1385">
        <v>2114</v>
      </c>
      <c r="J1385" t="s">
        <v>29</v>
      </c>
      <c r="K1385" t="str">
        <f>IF(Table3[[#This Row],[Type Received]]=2,"CC",(IF(Table3[[#This Row],[Type Received]]=3,"BILL","ACH")))</f>
        <v>BILL</v>
      </c>
    </row>
    <row r="1386" spans="1:11" x14ac:dyDescent="0.25">
      <c r="A1386">
        <v>154405</v>
      </c>
      <c r="B1386" s="3">
        <v>46164</v>
      </c>
      <c r="C1386">
        <v>3</v>
      </c>
      <c r="D1386">
        <v>59.02</v>
      </c>
      <c r="E1386">
        <v>8037</v>
      </c>
      <c r="K1386" t="str">
        <f>IF(Table3[[#This Row],[Type Received]]=2,"CC",(IF(Table3[[#This Row],[Type Received]]=3,"BILL","ACH")))</f>
        <v>BILL</v>
      </c>
    </row>
    <row r="1387" spans="1:11" x14ac:dyDescent="0.25">
      <c r="A1387">
        <v>154742</v>
      </c>
      <c r="B1387" s="3">
        <v>46164</v>
      </c>
      <c r="C1387">
        <v>3</v>
      </c>
      <c r="D1387">
        <v>14.35</v>
      </c>
      <c r="E1387">
        <v>2003</v>
      </c>
      <c r="J1387" t="s">
        <v>29</v>
      </c>
      <c r="K1387" t="str">
        <f>IF(Table3[[#This Row],[Type Received]]=2,"CC",(IF(Table3[[#This Row],[Type Received]]=3,"BILL","ACH")))</f>
        <v>BILL</v>
      </c>
    </row>
    <row r="1388" spans="1:11" x14ac:dyDescent="0.25">
      <c r="A1388">
        <v>154744</v>
      </c>
      <c r="B1388" s="3">
        <v>46143</v>
      </c>
      <c r="C1388">
        <v>2</v>
      </c>
      <c r="D1388">
        <v>14.96</v>
      </c>
      <c r="F1388">
        <v>854329</v>
      </c>
      <c r="G1388" s="4" t="s">
        <v>28</v>
      </c>
      <c r="H1388">
        <v>526353271</v>
      </c>
      <c r="I1388" t="s">
        <v>29</v>
      </c>
      <c r="K1388" t="str">
        <f>IF(Table3[[#This Row],[Type Received]]=2,"CC",(IF(Table3[[#This Row],[Type Received]]=3,"BILL","ACH")))</f>
        <v>CC</v>
      </c>
    </row>
    <row r="1389" spans="1:11" x14ac:dyDescent="0.25">
      <c r="A1389">
        <v>154964</v>
      </c>
      <c r="B1389" s="3">
        <v>46143</v>
      </c>
      <c r="C1389">
        <v>1</v>
      </c>
      <c r="D1389">
        <v>44.18</v>
      </c>
      <c r="G1389" t="s">
        <v>84</v>
      </c>
      <c r="H1389">
        <v>522307430</v>
      </c>
      <c r="I1389" t="s">
        <v>29</v>
      </c>
      <c r="K1389" t="str">
        <f>IF(Table3[[#This Row],[Type Received]]=2,"CC",(IF(Table3[[#This Row],[Type Received]]=3,"BILL","ACH")))</f>
        <v>ACH</v>
      </c>
    </row>
    <row r="1390" spans="1:11" x14ac:dyDescent="0.25">
      <c r="A1390">
        <v>154989</v>
      </c>
      <c r="B1390" s="3">
        <v>46157</v>
      </c>
      <c r="C1390">
        <v>1</v>
      </c>
      <c r="D1390">
        <v>23.21</v>
      </c>
      <c r="G1390" t="s">
        <v>87</v>
      </c>
      <c r="H1390">
        <v>696708577</v>
      </c>
      <c r="I1390" t="s">
        <v>29</v>
      </c>
      <c r="J1390" t="s">
        <v>29</v>
      </c>
      <c r="K1390" t="str">
        <f>IF(Table3[[#This Row],[Type Received]]=2,"CC",(IF(Table3[[#This Row],[Type Received]]=3,"BILL","ACH")))</f>
        <v>ACH</v>
      </c>
    </row>
    <row r="1391" spans="1:11" x14ac:dyDescent="0.25">
      <c r="A1391">
        <v>154998</v>
      </c>
      <c r="B1391" s="3">
        <v>46143</v>
      </c>
      <c r="C1391">
        <v>1</v>
      </c>
      <c r="D1391">
        <v>33.11</v>
      </c>
      <c r="G1391" t="s">
        <v>84</v>
      </c>
      <c r="H1391">
        <v>522303634</v>
      </c>
      <c r="I1391" t="s">
        <v>29</v>
      </c>
      <c r="J1391" t="s">
        <v>29</v>
      </c>
      <c r="K1391" t="str">
        <f>IF(Table3[[#This Row],[Type Received]]=2,"CC",(IF(Table3[[#This Row],[Type Received]]=3,"BILL","ACH")))</f>
        <v>ACH</v>
      </c>
    </row>
    <row r="1392" spans="1:11" x14ac:dyDescent="0.25">
      <c r="A1392">
        <v>154999</v>
      </c>
      <c r="B1392" s="3">
        <v>46143</v>
      </c>
      <c r="C1392">
        <v>1</v>
      </c>
      <c r="D1392">
        <v>20.69</v>
      </c>
      <c r="G1392" t="s">
        <v>84</v>
      </c>
      <c r="H1392">
        <v>522295042</v>
      </c>
      <c r="I1392" t="s">
        <v>29</v>
      </c>
      <c r="J1392" t="s">
        <v>29</v>
      </c>
      <c r="K1392" t="str">
        <f>IF(Table3[[#This Row],[Type Received]]=2,"CC",(IF(Table3[[#This Row],[Type Received]]=3,"BILL","ACH")))</f>
        <v>ACH</v>
      </c>
    </row>
    <row r="1393" spans="1:11" x14ac:dyDescent="0.25">
      <c r="A1393">
        <v>155003</v>
      </c>
      <c r="B1393" s="3">
        <v>46143</v>
      </c>
      <c r="C1393">
        <v>1</v>
      </c>
      <c r="D1393">
        <v>28.25</v>
      </c>
      <c r="G1393" t="s">
        <v>84</v>
      </c>
      <c r="H1393">
        <v>522301734</v>
      </c>
      <c r="I1393" t="s">
        <v>29</v>
      </c>
      <c r="J1393" t="s">
        <v>29</v>
      </c>
      <c r="K1393" t="str">
        <f>IF(Table3[[#This Row],[Type Received]]=2,"CC",(IF(Table3[[#This Row],[Type Received]]=3,"BILL","ACH")))</f>
        <v>ACH</v>
      </c>
    </row>
    <row r="1394" spans="1:11" x14ac:dyDescent="0.25">
      <c r="A1394">
        <v>155236</v>
      </c>
      <c r="B1394" s="3">
        <v>46145</v>
      </c>
      <c r="C1394">
        <v>1</v>
      </c>
      <c r="D1394">
        <v>15.56</v>
      </c>
      <c r="G1394" s="4" t="s">
        <v>113</v>
      </c>
      <c r="H1394">
        <v>546429404</v>
      </c>
      <c r="I1394" t="s">
        <v>29</v>
      </c>
      <c r="J1394" t="s">
        <v>29</v>
      </c>
      <c r="K1394" t="str">
        <f>IF(Table3[[#This Row],[Type Received]]=2,"CC",(IF(Table3[[#This Row],[Type Received]]=3,"BILL","ACH")))</f>
        <v>ACH</v>
      </c>
    </row>
    <row r="1395" spans="1:11" x14ac:dyDescent="0.25">
      <c r="A1395">
        <v>155251</v>
      </c>
      <c r="B1395" s="3">
        <v>46145</v>
      </c>
      <c r="C1395">
        <v>1</v>
      </c>
      <c r="D1395">
        <v>8.77</v>
      </c>
      <c r="G1395" t="s">
        <v>113</v>
      </c>
      <c r="H1395">
        <v>546430391</v>
      </c>
      <c r="I1395" t="s">
        <v>29</v>
      </c>
      <c r="J1395" t="s">
        <v>29</v>
      </c>
      <c r="K1395" t="str">
        <f>IF(Table3[[#This Row],[Type Received]]=2,"CC",(IF(Table3[[#This Row],[Type Received]]=3,"BILL","ACH")))</f>
        <v>ACH</v>
      </c>
    </row>
    <row r="1396" spans="1:11" x14ac:dyDescent="0.25">
      <c r="A1396">
        <v>155680</v>
      </c>
      <c r="B1396" s="3">
        <v>46168</v>
      </c>
      <c r="C1396">
        <v>1</v>
      </c>
      <c r="D1396">
        <v>22.31</v>
      </c>
      <c r="G1396" t="s">
        <v>110</v>
      </c>
      <c r="H1396">
        <v>828261650</v>
      </c>
      <c r="I1396" t="s">
        <v>29</v>
      </c>
      <c r="K1396" t="str">
        <f>IF(Table3[[#This Row],[Type Received]]=2,"CC",(IF(Table3[[#This Row],[Type Received]]=3,"BILL","ACH")))</f>
        <v>ACH</v>
      </c>
    </row>
    <row r="1397" spans="1:11" x14ac:dyDescent="0.25">
      <c r="A1397">
        <v>155685</v>
      </c>
      <c r="B1397" s="3">
        <v>46157</v>
      </c>
      <c r="C1397">
        <v>1</v>
      </c>
      <c r="D1397">
        <v>12.05</v>
      </c>
      <c r="G1397" t="s">
        <v>87</v>
      </c>
      <c r="H1397">
        <v>696697885</v>
      </c>
      <c r="I1397" t="s">
        <v>29</v>
      </c>
      <c r="J1397" t="s">
        <v>29</v>
      </c>
      <c r="K1397" t="str">
        <f>IF(Table3[[#This Row],[Type Received]]=2,"CC",(IF(Table3[[#This Row],[Type Received]]=3,"BILL","ACH")))</f>
        <v>ACH</v>
      </c>
    </row>
    <row r="1398" spans="1:11" x14ac:dyDescent="0.25">
      <c r="A1398">
        <v>155703</v>
      </c>
      <c r="B1398" s="3">
        <v>46168</v>
      </c>
      <c r="C1398">
        <v>1</v>
      </c>
      <c r="D1398">
        <v>23.12</v>
      </c>
      <c r="G1398" t="s">
        <v>110</v>
      </c>
      <c r="H1398">
        <v>828254024</v>
      </c>
      <c r="I1398" t="s">
        <v>29</v>
      </c>
      <c r="K1398" t="str">
        <f>IF(Table3[[#This Row],[Type Received]]=2,"CC",(IF(Table3[[#This Row],[Type Received]]=3,"BILL","ACH")))</f>
        <v>ACH</v>
      </c>
    </row>
    <row r="1399" spans="1:11" x14ac:dyDescent="0.25">
      <c r="A1399">
        <v>155724</v>
      </c>
      <c r="B1399" s="3">
        <v>46157</v>
      </c>
      <c r="C1399">
        <v>1</v>
      </c>
      <c r="D1399">
        <v>10.11</v>
      </c>
      <c r="G1399" t="s">
        <v>87</v>
      </c>
      <c r="H1399">
        <v>696713386</v>
      </c>
      <c r="I1399" t="s">
        <v>29</v>
      </c>
      <c r="K1399" t="str">
        <f>IF(Table3[[#This Row],[Type Received]]=2,"CC",(IF(Table3[[#This Row],[Type Received]]=3,"BILL","ACH")))</f>
        <v>ACH</v>
      </c>
    </row>
    <row r="1400" spans="1:11" x14ac:dyDescent="0.25">
      <c r="A1400">
        <v>155725</v>
      </c>
      <c r="B1400" s="3">
        <v>46157</v>
      </c>
      <c r="C1400">
        <v>1</v>
      </c>
      <c r="D1400">
        <v>28.25</v>
      </c>
      <c r="G1400" t="s">
        <v>87</v>
      </c>
      <c r="H1400">
        <v>696703752</v>
      </c>
      <c r="I1400" t="s">
        <v>29</v>
      </c>
      <c r="J1400" t="s">
        <v>29</v>
      </c>
      <c r="K1400" t="str">
        <f>IF(Table3[[#This Row],[Type Received]]=2,"CC",(IF(Table3[[#This Row],[Type Received]]=3,"BILL","ACH")))</f>
        <v>ACH</v>
      </c>
    </row>
    <row r="1401" spans="1:11" x14ac:dyDescent="0.25">
      <c r="A1401">
        <v>155787</v>
      </c>
      <c r="B1401" s="3">
        <v>46163</v>
      </c>
      <c r="C1401">
        <v>1</v>
      </c>
      <c r="D1401">
        <v>38.200000000000003</v>
      </c>
      <c r="G1401" t="s">
        <v>214</v>
      </c>
      <c r="H1401">
        <v>772664934</v>
      </c>
      <c r="I1401" t="s">
        <v>29</v>
      </c>
      <c r="J1401" t="s">
        <v>29</v>
      </c>
      <c r="K1401" t="str">
        <f>IF(Table3[[#This Row],[Type Received]]=2,"CC",(IF(Table3[[#This Row],[Type Received]]=3,"BILL","ACH")))</f>
        <v>ACH</v>
      </c>
    </row>
    <row r="1402" spans="1:11" x14ac:dyDescent="0.25">
      <c r="A1402">
        <v>155428</v>
      </c>
      <c r="B1402" s="3">
        <v>46157</v>
      </c>
      <c r="C1402">
        <v>1</v>
      </c>
      <c r="D1402">
        <v>38.549999999999997</v>
      </c>
      <c r="G1402" t="s">
        <v>87</v>
      </c>
      <c r="H1402">
        <v>696713370</v>
      </c>
      <c r="I1402" t="s">
        <v>29</v>
      </c>
      <c r="J1402" t="s">
        <v>29</v>
      </c>
      <c r="K1402" t="str">
        <f>IF(Table3[[#This Row],[Type Received]]=2,"CC",(IF(Table3[[#This Row],[Type Received]]=3,"BILL","ACH")))</f>
        <v>ACH</v>
      </c>
    </row>
    <row r="1403" spans="1:11" x14ac:dyDescent="0.25">
      <c r="A1403">
        <v>156014</v>
      </c>
      <c r="B1403" s="3">
        <v>46168</v>
      </c>
      <c r="C1403">
        <v>3</v>
      </c>
      <c r="D1403">
        <v>38.07</v>
      </c>
      <c r="E1403">
        <v>2059</v>
      </c>
      <c r="K1403" t="str">
        <f>IF(Table3[[#This Row],[Type Received]]=2,"CC",(IF(Table3[[#This Row],[Type Received]]=3,"BILL","ACH")))</f>
        <v>BILL</v>
      </c>
    </row>
    <row r="1404" spans="1:11" x14ac:dyDescent="0.25">
      <c r="A1404">
        <v>156094</v>
      </c>
      <c r="B1404" s="3">
        <v>46157</v>
      </c>
      <c r="C1404">
        <v>1</v>
      </c>
      <c r="D1404">
        <v>12.99</v>
      </c>
      <c r="G1404" t="s">
        <v>87</v>
      </c>
      <c r="H1404">
        <v>696827049</v>
      </c>
      <c r="I1404" t="s">
        <v>29</v>
      </c>
      <c r="J1404" t="s">
        <v>29</v>
      </c>
      <c r="K1404" t="str">
        <f>IF(Table3[[#This Row],[Type Received]]=2,"CC",(IF(Table3[[#This Row],[Type Received]]=3,"BILL","ACH")))</f>
        <v>ACH</v>
      </c>
    </row>
    <row r="1405" spans="1:11" x14ac:dyDescent="0.25">
      <c r="A1405">
        <v>156103</v>
      </c>
      <c r="B1405" s="3">
        <v>46144</v>
      </c>
      <c r="C1405">
        <v>2</v>
      </c>
      <c r="D1405">
        <v>39.81</v>
      </c>
      <c r="F1405">
        <v>100704</v>
      </c>
      <c r="G1405" s="4" t="s">
        <v>28</v>
      </c>
      <c r="H1405">
        <v>535328767</v>
      </c>
      <c r="I1405" t="s">
        <v>29</v>
      </c>
      <c r="J1405" t="s">
        <v>29</v>
      </c>
      <c r="K1405" t="str">
        <f>IF(Table3[[#This Row],[Type Received]]=2,"CC",(IF(Table3[[#This Row],[Type Received]]=3,"BILL","ACH")))</f>
        <v>CC</v>
      </c>
    </row>
    <row r="1406" spans="1:11" x14ac:dyDescent="0.25">
      <c r="A1406">
        <v>156129</v>
      </c>
      <c r="B1406" s="3">
        <v>46171</v>
      </c>
      <c r="C1406">
        <v>3</v>
      </c>
      <c r="D1406">
        <v>107.86</v>
      </c>
      <c r="E1406">
        <v>1632</v>
      </c>
      <c r="J1406" t="s">
        <v>29</v>
      </c>
      <c r="K1406" t="str">
        <f>IF(Table3[[#This Row],[Type Received]]=2,"CC",(IF(Table3[[#This Row],[Type Received]]=3,"BILL","ACH")))</f>
        <v>BILL</v>
      </c>
    </row>
    <row r="1407" spans="1:11" x14ac:dyDescent="0.25">
      <c r="A1407">
        <v>156477</v>
      </c>
      <c r="B1407" s="3">
        <v>46143</v>
      </c>
      <c r="C1407">
        <v>2</v>
      </c>
      <c r="D1407">
        <v>145.69</v>
      </c>
      <c r="F1407">
        <v>2839</v>
      </c>
      <c r="G1407" t="s">
        <v>28</v>
      </c>
      <c r="H1407">
        <v>522478202</v>
      </c>
      <c r="I1407" t="s">
        <v>29</v>
      </c>
      <c r="K1407" t="str">
        <f>IF(Table3[[#This Row],[Type Received]]=2,"CC",(IF(Table3[[#This Row],[Type Received]]=3,"BILL","ACH")))</f>
        <v>CC</v>
      </c>
    </row>
    <row r="1408" spans="1:11" x14ac:dyDescent="0.25">
      <c r="A1408">
        <v>156506</v>
      </c>
      <c r="B1408" s="3">
        <v>46163</v>
      </c>
      <c r="C1408">
        <v>2</v>
      </c>
      <c r="D1408">
        <v>233.62</v>
      </c>
      <c r="F1408">
        <v>138974</v>
      </c>
      <c r="G1408" t="s">
        <v>28</v>
      </c>
      <c r="H1408">
        <v>777832552</v>
      </c>
      <c r="I1408" t="s">
        <v>29</v>
      </c>
      <c r="K1408" t="str">
        <f>IF(Table3[[#This Row],[Type Received]]=2,"CC",(IF(Table3[[#This Row],[Type Received]]=3,"BILL","ACH")))</f>
        <v>CC</v>
      </c>
    </row>
    <row r="1409" spans="1:11" x14ac:dyDescent="0.25">
      <c r="A1409">
        <v>156522</v>
      </c>
      <c r="B1409" s="3">
        <v>46171</v>
      </c>
      <c r="C1409">
        <v>3</v>
      </c>
      <c r="D1409">
        <v>68.44</v>
      </c>
      <c r="E1409">
        <v>2883</v>
      </c>
      <c r="J1409" t="s">
        <v>29</v>
      </c>
      <c r="K1409" t="str">
        <f>IF(Table3[[#This Row],[Type Received]]=2,"CC",(IF(Table3[[#This Row],[Type Received]]=3,"BILL","ACH")))</f>
        <v>BILL</v>
      </c>
    </row>
    <row r="1410" spans="1:11" x14ac:dyDescent="0.25">
      <c r="A1410">
        <v>156550</v>
      </c>
      <c r="B1410" s="3">
        <v>46145</v>
      </c>
      <c r="C1410">
        <v>1</v>
      </c>
      <c r="D1410">
        <v>26.94</v>
      </c>
      <c r="G1410" t="s">
        <v>113</v>
      </c>
      <c r="H1410">
        <v>546413013</v>
      </c>
      <c r="I1410" t="s">
        <v>29</v>
      </c>
      <c r="J1410" t="s">
        <v>29</v>
      </c>
      <c r="K1410" t="str">
        <f>IF(Table3[[#This Row],[Type Received]]=2,"CC",(IF(Table3[[#This Row],[Type Received]]=3,"BILL","ACH")))</f>
        <v>ACH</v>
      </c>
    </row>
    <row r="1411" spans="1:11" x14ac:dyDescent="0.25">
      <c r="A1411">
        <v>156294</v>
      </c>
      <c r="B1411" s="3">
        <v>46145</v>
      </c>
      <c r="C1411">
        <v>1</v>
      </c>
      <c r="D1411">
        <v>15.15</v>
      </c>
      <c r="G1411" t="s">
        <v>113</v>
      </c>
      <c r="H1411">
        <v>546435188</v>
      </c>
      <c r="I1411" t="s">
        <v>29</v>
      </c>
      <c r="J1411" t="s">
        <v>29</v>
      </c>
      <c r="K1411" t="str">
        <f>IF(Table3[[#This Row],[Type Received]]=2,"CC",(IF(Table3[[#This Row],[Type Received]]=3,"BILL","ACH")))</f>
        <v>ACH</v>
      </c>
    </row>
    <row r="1412" spans="1:11" x14ac:dyDescent="0.25">
      <c r="A1412">
        <v>156304</v>
      </c>
      <c r="B1412" s="3">
        <v>46168</v>
      </c>
      <c r="C1412">
        <v>1</v>
      </c>
      <c r="D1412">
        <v>18.350000000000001</v>
      </c>
      <c r="G1412" t="s">
        <v>110</v>
      </c>
      <c r="H1412">
        <v>828256973</v>
      </c>
      <c r="I1412" t="s">
        <v>29</v>
      </c>
      <c r="J1412" t="s">
        <v>29</v>
      </c>
      <c r="K1412" t="str">
        <f>IF(Table3[[#This Row],[Type Received]]=2,"CC",(IF(Table3[[#This Row],[Type Received]]=3,"BILL","ACH")))</f>
        <v>ACH</v>
      </c>
    </row>
    <row r="1413" spans="1:11" x14ac:dyDescent="0.25">
      <c r="A1413">
        <v>156314</v>
      </c>
      <c r="B1413" s="3">
        <v>46157</v>
      </c>
      <c r="C1413">
        <v>1</v>
      </c>
      <c r="D1413">
        <v>15.11</v>
      </c>
      <c r="G1413" s="4" t="s">
        <v>87</v>
      </c>
      <c r="H1413">
        <v>696720200</v>
      </c>
      <c r="I1413" t="s">
        <v>29</v>
      </c>
      <c r="J1413" t="s">
        <v>29</v>
      </c>
      <c r="K1413" t="str">
        <f>IF(Table3[[#This Row],[Type Received]]=2,"CC",(IF(Table3[[#This Row],[Type Received]]=3,"BILL","ACH")))</f>
        <v>ACH</v>
      </c>
    </row>
    <row r="1414" spans="1:11" x14ac:dyDescent="0.25">
      <c r="A1414">
        <v>156344</v>
      </c>
      <c r="B1414" s="3">
        <v>46145</v>
      </c>
      <c r="C1414">
        <v>1</v>
      </c>
      <c r="D1414">
        <v>55.07</v>
      </c>
      <c r="G1414" t="s">
        <v>113</v>
      </c>
      <c r="H1414">
        <v>546436170</v>
      </c>
      <c r="I1414" t="s">
        <v>29</v>
      </c>
      <c r="J1414" t="s">
        <v>29</v>
      </c>
      <c r="K1414" t="str">
        <f>IF(Table3[[#This Row],[Type Received]]=2,"CC",(IF(Table3[[#This Row],[Type Received]]=3,"BILL","ACH")))</f>
        <v>ACH</v>
      </c>
    </row>
    <row r="1415" spans="1:11" x14ac:dyDescent="0.25">
      <c r="A1415">
        <v>156387</v>
      </c>
      <c r="B1415" s="3">
        <v>46169</v>
      </c>
      <c r="C1415">
        <v>3</v>
      </c>
      <c r="D1415">
        <v>16.649999999999999</v>
      </c>
      <c r="E1415">
        <v>3493</v>
      </c>
      <c r="J1415" t="s">
        <v>29</v>
      </c>
      <c r="K1415" t="str">
        <f>IF(Table3[[#This Row],[Type Received]]=2,"CC",(IF(Table3[[#This Row],[Type Received]]=3,"BILL","ACH")))</f>
        <v>BILL</v>
      </c>
    </row>
    <row r="1416" spans="1:11" x14ac:dyDescent="0.25">
      <c r="A1416">
        <v>156802</v>
      </c>
      <c r="B1416" s="3">
        <v>46144</v>
      </c>
      <c r="C1416">
        <v>2</v>
      </c>
      <c r="D1416">
        <v>155.91999999999999</v>
      </c>
      <c r="F1416" t="s">
        <v>217</v>
      </c>
      <c r="G1416">
        <v>741651752</v>
      </c>
      <c r="H1416">
        <v>353262769</v>
      </c>
      <c r="J1416" t="s">
        <v>29</v>
      </c>
      <c r="K1416" t="str">
        <f>IF(Table3[[#This Row],[Type Received]]=2,"CC",(IF(Table3[[#This Row],[Type Received]]=3,"BILL","ACH")))</f>
        <v>CC</v>
      </c>
    </row>
    <row r="1417" spans="1:11" x14ac:dyDescent="0.25">
      <c r="A1417">
        <v>156871</v>
      </c>
      <c r="B1417" s="3">
        <v>46168</v>
      </c>
      <c r="C1417">
        <v>1</v>
      </c>
      <c r="D1417">
        <v>11.15</v>
      </c>
      <c r="G1417" t="s">
        <v>110</v>
      </c>
      <c r="H1417">
        <v>828276448</v>
      </c>
      <c r="I1417" t="s">
        <v>29</v>
      </c>
      <c r="J1417" t="s">
        <v>29</v>
      </c>
      <c r="K1417" t="str">
        <f>IF(Table3[[#This Row],[Type Received]]=2,"CC",(IF(Table3[[#This Row],[Type Received]]=3,"BILL","ACH")))</f>
        <v>ACH</v>
      </c>
    </row>
    <row r="1418" spans="1:11" x14ac:dyDescent="0.25">
      <c r="A1418">
        <v>156881</v>
      </c>
      <c r="B1418" s="3">
        <v>46157</v>
      </c>
      <c r="C1418">
        <v>1</v>
      </c>
      <c r="D1418">
        <v>32.29</v>
      </c>
      <c r="G1418" t="s">
        <v>87</v>
      </c>
      <c r="H1418">
        <v>696722149</v>
      </c>
      <c r="I1418" t="s">
        <v>29</v>
      </c>
      <c r="K1418" t="str">
        <f>IF(Table3[[#This Row],[Type Received]]=2,"CC",(IF(Table3[[#This Row],[Type Received]]=3,"BILL","ACH")))</f>
        <v>ACH</v>
      </c>
    </row>
    <row r="1419" spans="1:11" x14ac:dyDescent="0.25">
      <c r="A1419">
        <v>156948</v>
      </c>
      <c r="B1419" s="3">
        <v>46157</v>
      </c>
      <c r="C1419">
        <v>1</v>
      </c>
      <c r="D1419">
        <v>45.39</v>
      </c>
      <c r="G1419" t="s">
        <v>87</v>
      </c>
      <c r="H1419">
        <v>696701774</v>
      </c>
      <c r="I1419" t="s">
        <v>29</v>
      </c>
      <c r="K1419" t="str">
        <f>IF(Table3[[#This Row],[Type Received]]=2,"CC",(IF(Table3[[#This Row],[Type Received]]=3,"BILL","ACH")))</f>
        <v>ACH</v>
      </c>
    </row>
    <row r="1420" spans="1:11" x14ac:dyDescent="0.25">
      <c r="A1420">
        <v>156630</v>
      </c>
      <c r="B1420" s="3">
        <v>46157</v>
      </c>
      <c r="C1420">
        <v>1</v>
      </c>
      <c r="D1420">
        <v>25.01</v>
      </c>
      <c r="G1420" t="s">
        <v>87</v>
      </c>
      <c r="H1420">
        <v>696710604</v>
      </c>
      <c r="I1420" t="s">
        <v>29</v>
      </c>
      <c r="K1420" t="str">
        <f>IF(Table3[[#This Row],[Type Received]]=2,"CC",(IF(Table3[[#This Row],[Type Received]]=3,"BILL","ACH")))</f>
        <v>ACH</v>
      </c>
    </row>
    <row r="1421" spans="1:11" x14ac:dyDescent="0.25">
      <c r="A1421">
        <v>156657</v>
      </c>
      <c r="B1421" s="3">
        <v>46145</v>
      </c>
      <c r="C1421">
        <v>1</v>
      </c>
      <c r="D1421">
        <v>8.73</v>
      </c>
      <c r="G1421" t="s">
        <v>113</v>
      </c>
      <c r="H1421">
        <v>546427423</v>
      </c>
      <c r="I1421" t="s">
        <v>29</v>
      </c>
      <c r="K1421" t="str">
        <f>IF(Table3[[#This Row],[Type Received]]=2,"CC",(IF(Table3[[#This Row],[Type Received]]=3,"BILL","ACH")))</f>
        <v>ACH</v>
      </c>
    </row>
    <row r="1422" spans="1:11" x14ac:dyDescent="0.25">
      <c r="A1422">
        <v>156659</v>
      </c>
      <c r="B1422" s="3">
        <v>46157</v>
      </c>
      <c r="C1422">
        <v>1</v>
      </c>
      <c r="D1422">
        <v>7.65</v>
      </c>
      <c r="G1422" t="s">
        <v>87</v>
      </c>
      <c r="H1422">
        <v>696706690</v>
      </c>
      <c r="I1422" t="s">
        <v>29</v>
      </c>
      <c r="K1422" t="str">
        <f>IF(Table3[[#This Row],[Type Received]]=2,"CC",(IF(Table3[[#This Row],[Type Received]]=3,"BILL","ACH")))</f>
        <v>ACH</v>
      </c>
    </row>
    <row r="1423" spans="1:11" x14ac:dyDescent="0.25">
      <c r="A1423">
        <v>156669</v>
      </c>
      <c r="B1423" s="3">
        <v>46157</v>
      </c>
      <c r="C1423">
        <v>1</v>
      </c>
      <c r="D1423">
        <v>8.3699999999999992</v>
      </c>
      <c r="G1423" t="s">
        <v>87</v>
      </c>
      <c r="H1423">
        <v>696715445</v>
      </c>
      <c r="I1423" t="s">
        <v>29</v>
      </c>
      <c r="K1423" t="str">
        <f>IF(Table3[[#This Row],[Type Received]]=2,"CC",(IF(Table3[[#This Row],[Type Received]]=3,"BILL","ACH")))</f>
        <v>ACH</v>
      </c>
    </row>
    <row r="1424" spans="1:11" x14ac:dyDescent="0.25">
      <c r="A1424">
        <v>156717</v>
      </c>
      <c r="B1424" s="3">
        <v>46147</v>
      </c>
      <c r="C1424">
        <v>3</v>
      </c>
      <c r="D1424">
        <v>55.48</v>
      </c>
      <c r="E1424">
        <v>2431</v>
      </c>
      <c r="K1424" t="str">
        <f>IF(Table3[[#This Row],[Type Received]]=2,"CC",(IF(Table3[[#This Row],[Type Received]]=3,"BILL","ACH")))</f>
        <v>BILL</v>
      </c>
    </row>
    <row r="1425" spans="1:11" x14ac:dyDescent="0.25">
      <c r="A1425">
        <v>156762</v>
      </c>
      <c r="B1425" s="3">
        <v>46143</v>
      </c>
      <c r="C1425">
        <v>3</v>
      </c>
      <c r="D1425">
        <v>285.13</v>
      </c>
      <c r="E1425">
        <v>5115</v>
      </c>
      <c r="K1425" t="str">
        <f>IF(Table3[[#This Row],[Type Received]]=2,"CC",(IF(Table3[[#This Row],[Type Received]]=3,"BILL","ACH")))</f>
        <v>BILL</v>
      </c>
    </row>
    <row r="1426" spans="1:11" x14ac:dyDescent="0.25">
      <c r="A1426">
        <v>157169</v>
      </c>
      <c r="B1426" s="3">
        <v>46171</v>
      </c>
      <c r="C1426">
        <v>3</v>
      </c>
      <c r="D1426">
        <v>45.45</v>
      </c>
      <c r="E1426">
        <v>6926</v>
      </c>
      <c r="G1426" s="4"/>
      <c r="K1426" t="str">
        <f>IF(Table3[[#This Row],[Type Received]]=2,"CC",(IF(Table3[[#This Row],[Type Received]]=3,"BILL","ACH")))</f>
        <v>BILL</v>
      </c>
    </row>
    <row r="1427" spans="1:11" x14ac:dyDescent="0.25">
      <c r="A1427">
        <v>157173</v>
      </c>
      <c r="B1427" s="3">
        <v>46157</v>
      </c>
      <c r="C1427">
        <v>1</v>
      </c>
      <c r="D1427">
        <v>15.56</v>
      </c>
      <c r="G1427" t="s">
        <v>87</v>
      </c>
      <c r="H1427">
        <v>696713463</v>
      </c>
      <c r="I1427" t="s">
        <v>29</v>
      </c>
      <c r="K1427" t="str">
        <f>IF(Table3[[#This Row],[Type Received]]=2,"CC",(IF(Table3[[#This Row],[Type Received]]=3,"BILL","ACH")))</f>
        <v>ACH</v>
      </c>
    </row>
    <row r="1428" spans="1:11" x14ac:dyDescent="0.25">
      <c r="A1428">
        <v>157235</v>
      </c>
      <c r="B1428" s="3">
        <v>46145</v>
      </c>
      <c r="C1428">
        <v>1</v>
      </c>
      <c r="D1428">
        <v>8.91</v>
      </c>
      <c r="G1428" t="s">
        <v>113</v>
      </c>
      <c r="H1428">
        <v>546423690</v>
      </c>
      <c r="I1428" t="s">
        <v>29</v>
      </c>
      <c r="K1428" t="str">
        <f>IF(Table3[[#This Row],[Type Received]]=2,"CC",(IF(Table3[[#This Row],[Type Received]]=3,"BILL","ACH")))</f>
        <v>ACH</v>
      </c>
    </row>
    <row r="1429" spans="1:11" x14ac:dyDescent="0.25">
      <c r="A1429">
        <v>157268</v>
      </c>
      <c r="B1429" s="3">
        <v>46145</v>
      </c>
      <c r="C1429">
        <v>1</v>
      </c>
      <c r="D1429">
        <v>20.96</v>
      </c>
      <c r="G1429" s="4" t="s">
        <v>113</v>
      </c>
      <c r="H1429">
        <v>546422683</v>
      </c>
      <c r="I1429" t="s">
        <v>29</v>
      </c>
      <c r="K1429" t="str">
        <f>IF(Table3[[#This Row],[Type Received]]=2,"CC",(IF(Table3[[#This Row],[Type Received]]=3,"BILL","ACH")))</f>
        <v>ACH</v>
      </c>
    </row>
    <row r="1430" spans="1:11" x14ac:dyDescent="0.25">
      <c r="A1430">
        <v>157354</v>
      </c>
      <c r="B1430" s="3">
        <v>46168</v>
      </c>
      <c r="C1430">
        <v>1</v>
      </c>
      <c r="D1430">
        <v>30.14</v>
      </c>
      <c r="G1430" t="s">
        <v>110</v>
      </c>
      <c r="H1430">
        <v>828277386</v>
      </c>
      <c r="I1430" t="s">
        <v>29</v>
      </c>
      <c r="K1430" t="str">
        <f>IF(Table3[[#This Row],[Type Received]]=2,"CC",(IF(Table3[[#This Row],[Type Received]]=3,"BILL","ACH")))</f>
        <v>ACH</v>
      </c>
    </row>
    <row r="1431" spans="1:11" x14ac:dyDescent="0.25">
      <c r="A1431">
        <v>157607</v>
      </c>
      <c r="B1431" s="3">
        <v>46155</v>
      </c>
      <c r="C1431">
        <v>2</v>
      </c>
      <c r="D1431">
        <v>19.420000000000002</v>
      </c>
      <c r="F1431" t="s">
        <v>218</v>
      </c>
      <c r="G1431" t="s">
        <v>28</v>
      </c>
      <c r="H1431">
        <v>669497239</v>
      </c>
      <c r="I1431" t="s">
        <v>29</v>
      </c>
      <c r="K1431" t="str">
        <f>IF(Table3[[#This Row],[Type Received]]=2,"CC",(IF(Table3[[#This Row],[Type Received]]=3,"BILL","ACH")))</f>
        <v>CC</v>
      </c>
    </row>
    <row r="1432" spans="1:11" x14ac:dyDescent="0.25">
      <c r="A1432">
        <v>157686</v>
      </c>
      <c r="B1432" s="3">
        <v>46168</v>
      </c>
      <c r="C1432">
        <v>3</v>
      </c>
      <c r="D1432">
        <v>39.5</v>
      </c>
      <c r="E1432">
        <v>3552</v>
      </c>
      <c r="G1432" s="4"/>
      <c r="K1432" t="str">
        <f>IF(Table3[[#This Row],[Type Received]]=2,"CC",(IF(Table3[[#This Row],[Type Received]]=3,"BILL","ACH")))</f>
        <v>BILL</v>
      </c>
    </row>
    <row r="1433" spans="1:11" x14ac:dyDescent="0.25">
      <c r="A1433">
        <v>157704</v>
      </c>
      <c r="B1433" s="3">
        <v>46168</v>
      </c>
      <c r="C1433">
        <v>1</v>
      </c>
      <c r="D1433">
        <v>17.670000000000002</v>
      </c>
      <c r="G1433" t="s">
        <v>110</v>
      </c>
      <c r="H1433">
        <v>828278381</v>
      </c>
      <c r="I1433" t="s">
        <v>29</v>
      </c>
      <c r="K1433" t="str">
        <f>IF(Table3[[#This Row],[Type Received]]=2,"CC",(IF(Table3[[#This Row],[Type Received]]=3,"BILL","ACH")))</f>
        <v>ACH</v>
      </c>
    </row>
    <row r="1434" spans="1:11" x14ac:dyDescent="0.25">
      <c r="A1434">
        <v>157747</v>
      </c>
      <c r="B1434" s="3">
        <v>46157</v>
      </c>
      <c r="C1434">
        <v>1</v>
      </c>
      <c r="D1434">
        <v>80.45</v>
      </c>
      <c r="G1434" t="s">
        <v>87</v>
      </c>
      <c r="H1434">
        <v>696832873</v>
      </c>
      <c r="I1434" t="s">
        <v>29</v>
      </c>
      <c r="K1434" t="str">
        <f>IF(Table3[[#This Row],[Type Received]]=2,"CC",(IF(Table3[[#This Row],[Type Received]]=3,"BILL","ACH")))</f>
        <v>ACH</v>
      </c>
    </row>
    <row r="1435" spans="1:11" x14ac:dyDescent="0.25">
      <c r="A1435">
        <v>158005</v>
      </c>
      <c r="B1435" s="3">
        <v>46145</v>
      </c>
      <c r="C1435">
        <v>1</v>
      </c>
      <c r="D1435">
        <v>40.130000000000003</v>
      </c>
      <c r="G1435" s="4" t="s">
        <v>113</v>
      </c>
      <c r="H1435">
        <v>546431325</v>
      </c>
      <c r="I1435" t="s">
        <v>29</v>
      </c>
      <c r="K1435" t="str">
        <f>IF(Table3[[#This Row],[Type Received]]=2,"CC",(IF(Table3[[#This Row],[Type Received]]=3,"BILL","ACH")))</f>
        <v>ACH</v>
      </c>
    </row>
    <row r="1436" spans="1:11" x14ac:dyDescent="0.25">
      <c r="A1436">
        <v>158017</v>
      </c>
      <c r="B1436" s="3">
        <v>46168</v>
      </c>
      <c r="C1436">
        <v>1</v>
      </c>
      <c r="D1436">
        <v>20.96</v>
      </c>
      <c r="G1436" t="s">
        <v>110</v>
      </c>
      <c r="H1436">
        <v>828278400</v>
      </c>
      <c r="I1436" t="s">
        <v>29</v>
      </c>
      <c r="K1436" t="str">
        <f>IF(Table3[[#This Row],[Type Received]]=2,"CC",(IF(Table3[[#This Row],[Type Received]]=3,"BILL","ACH")))</f>
        <v>ACH</v>
      </c>
    </row>
    <row r="1437" spans="1:11" x14ac:dyDescent="0.25">
      <c r="A1437">
        <v>158022</v>
      </c>
      <c r="B1437" s="3">
        <v>46145</v>
      </c>
      <c r="C1437">
        <v>1</v>
      </c>
      <c r="D1437">
        <v>16.37</v>
      </c>
      <c r="G1437" t="s">
        <v>113</v>
      </c>
      <c r="H1437">
        <v>546422695</v>
      </c>
      <c r="I1437" t="s">
        <v>29</v>
      </c>
      <c r="K1437" t="str">
        <f>IF(Table3[[#This Row],[Type Received]]=2,"CC",(IF(Table3[[#This Row],[Type Received]]=3,"BILL","ACH")))</f>
        <v>ACH</v>
      </c>
    </row>
    <row r="1438" spans="1:11" x14ac:dyDescent="0.25">
      <c r="A1438">
        <v>158025</v>
      </c>
      <c r="B1438" s="3">
        <v>46144</v>
      </c>
      <c r="C1438">
        <v>1</v>
      </c>
      <c r="D1438">
        <v>21.05</v>
      </c>
      <c r="G1438" t="s">
        <v>89</v>
      </c>
      <c r="H1438">
        <v>535338763</v>
      </c>
      <c r="I1438" t="s">
        <v>29</v>
      </c>
      <c r="K1438" t="str">
        <f>IF(Table3[[#This Row],[Type Received]]=2,"CC",(IF(Table3[[#This Row],[Type Received]]=3,"BILL","ACH")))</f>
        <v>ACH</v>
      </c>
    </row>
    <row r="1439" spans="1:11" x14ac:dyDescent="0.25">
      <c r="A1439">
        <v>158038</v>
      </c>
      <c r="B1439" s="3">
        <v>46145</v>
      </c>
      <c r="C1439">
        <v>1</v>
      </c>
      <c r="D1439">
        <v>16.190000000000001</v>
      </c>
      <c r="G1439" t="s">
        <v>113</v>
      </c>
      <c r="H1439">
        <v>546426577</v>
      </c>
      <c r="I1439" t="s">
        <v>29</v>
      </c>
      <c r="K1439" t="str">
        <f>IF(Table3[[#This Row],[Type Received]]=2,"CC",(IF(Table3[[#This Row],[Type Received]]=3,"BILL","ACH")))</f>
        <v>ACH</v>
      </c>
    </row>
    <row r="1440" spans="1:11" x14ac:dyDescent="0.25">
      <c r="A1440">
        <v>158119</v>
      </c>
      <c r="B1440" s="3">
        <v>46168</v>
      </c>
      <c r="C1440">
        <v>3</v>
      </c>
      <c r="D1440">
        <v>33.57</v>
      </c>
      <c r="E1440">
        <v>19825278913</v>
      </c>
      <c r="K1440" t="str">
        <f>IF(Table3[[#This Row],[Type Received]]=2,"CC",(IF(Table3[[#This Row],[Type Received]]=3,"BILL","ACH")))</f>
        <v>BILL</v>
      </c>
    </row>
    <row r="1441" spans="1:11" x14ac:dyDescent="0.25">
      <c r="A1441">
        <v>158199</v>
      </c>
      <c r="B1441" s="3">
        <v>46157</v>
      </c>
      <c r="C1441">
        <v>1</v>
      </c>
      <c r="D1441">
        <v>8.9499999999999993</v>
      </c>
      <c r="G1441" t="s">
        <v>87</v>
      </c>
      <c r="H1441">
        <v>696701789</v>
      </c>
      <c r="I1441" t="s">
        <v>29</v>
      </c>
      <c r="K1441" t="str">
        <f>IF(Table3[[#This Row],[Type Received]]=2,"CC",(IF(Table3[[#This Row],[Type Received]]=3,"BILL","ACH")))</f>
        <v>ACH</v>
      </c>
    </row>
    <row r="1442" spans="1:11" x14ac:dyDescent="0.25">
      <c r="A1442">
        <v>157981</v>
      </c>
      <c r="B1442" s="3">
        <v>46150</v>
      </c>
      <c r="C1442">
        <v>2</v>
      </c>
      <c r="D1442">
        <v>10.35</v>
      </c>
      <c r="F1442">
        <v>15892</v>
      </c>
      <c r="G1442" t="s">
        <v>28</v>
      </c>
      <c r="H1442">
        <v>613660519</v>
      </c>
      <c r="I1442" t="s">
        <v>29</v>
      </c>
      <c r="K1442" t="str">
        <f>IF(Table3[[#This Row],[Type Received]]=2,"CC",(IF(Table3[[#This Row],[Type Received]]=3,"BILL","ACH")))</f>
        <v>CC</v>
      </c>
    </row>
    <row r="1443" spans="1:11" x14ac:dyDescent="0.25">
      <c r="A1443">
        <v>158427</v>
      </c>
      <c r="B1443" s="3">
        <v>46143</v>
      </c>
      <c r="C1443">
        <v>2</v>
      </c>
      <c r="D1443">
        <v>26.91</v>
      </c>
      <c r="F1443">
        <v>20551</v>
      </c>
      <c r="G1443" t="s">
        <v>28</v>
      </c>
      <c r="H1443">
        <v>523433409</v>
      </c>
      <c r="I1443" t="s">
        <v>29</v>
      </c>
      <c r="K1443" t="str">
        <f>IF(Table3[[#This Row],[Type Received]]=2,"CC",(IF(Table3[[#This Row],[Type Received]]=3,"BILL","ACH")))</f>
        <v>CC</v>
      </c>
    </row>
    <row r="1444" spans="1:11" x14ac:dyDescent="0.25">
      <c r="A1444">
        <v>158430</v>
      </c>
      <c r="B1444" s="3">
        <v>46171</v>
      </c>
      <c r="C1444">
        <v>3</v>
      </c>
      <c r="D1444">
        <v>37.35</v>
      </c>
      <c r="E1444">
        <v>3620</v>
      </c>
      <c r="K1444" t="str">
        <f>IF(Table3[[#This Row],[Type Received]]=2,"CC",(IF(Table3[[#This Row],[Type Received]]=3,"BILL","ACH")))</f>
        <v>BILL</v>
      </c>
    </row>
    <row r="1445" spans="1:11" x14ac:dyDescent="0.25">
      <c r="A1445">
        <v>158430</v>
      </c>
      <c r="B1445" s="3">
        <v>46146</v>
      </c>
      <c r="C1445">
        <v>3</v>
      </c>
      <c r="D1445">
        <v>37.35</v>
      </c>
      <c r="E1445">
        <v>3607</v>
      </c>
      <c r="K1445" t="str">
        <f>IF(Table3[[#This Row],[Type Received]]=2,"CC",(IF(Table3[[#This Row],[Type Received]]=3,"BILL","ACH")))</f>
        <v>BILL</v>
      </c>
    </row>
    <row r="1446" spans="1:11" x14ac:dyDescent="0.25">
      <c r="A1446">
        <v>158562</v>
      </c>
      <c r="B1446" s="3">
        <v>46143</v>
      </c>
      <c r="C1446">
        <v>3</v>
      </c>
      <c r="D1446">
        <v>10.85</v>
      </c>
      <c r="E1446">
        <v>987482</v>
      </c>
      <c r="K1446" t="str">
        <f>IF(Table3[[#This Row],[Type Received]]=2,"CC",(IF(Table3[[#This Row],[Type Received]]=3,"BILL","ACH")))</f>
        <v>BILL</v>
      </c>
    </row>
    <row r="1447" spans="1:11" x14ac:dyDescent="0.25">
      <c r="A1447">
        <v>158595</v>
      </c>
      <c r="B1447" s="3">
        <v>46155</v>
      </c>
      <c r="C1447">
        <v>1</v>
      </c>
      <c r="D1447">
        <v>32.840000000000003</v>
      </c>
      <c r="G1447" s="4" t="s">
        <v>90</v>
      </c>
      <c r="H1447">
        <v>669479718</v>
      </c>
      <c r="I1447" t="s">
        <v>29</v>
      </c>
      <c r="K1447" t="str">
        <f>IF(Table3[[#This Row],[Type Received]]=2,"CC",(IF(Table3[[#This Row],[Type Received]]=3,"BILL","ACH")))</f>
        <v>ACH</v>
      </c>
    </row>
    <row r="1448" spans="1:11" x14ac:dyDescent="0.25">
      <c r="A1448">
        <v>158201</v>
      </c>
      <c r="B1448" s="3">
        <v>46145</v>
      </c>
      <c r="C1448">
        <v>1</v>
      </c>
      <c r="D1448">
        <v>15.47</v>
      </c>
      <c r="G1448" t="s">
        <v>113</v>
      </c>
      <c r="H1448">
        <v>546435247</v>
      </c>
      <c r="I1448" t="s">
        <v>29</v>
      </c>
      <c r="K1448" t="str">
        <f>IF(Table3[[#This Row],[Type Received]]=2,"CC",(IF(Table3[[#This Row],[Type Received]]=3,"BILL","ACH")))</f>
        <v>ACH</v>
      </c>
    </row>
    <row r="1449" spans="1:11" x14ac:dyDescent="0.25">
      <c r="A1449">
        <v>158308</v>
      </c>
      <c r="B1449" s="3">
        <v>46167</v>
      </c>
      <c r="C1449">
        <v>1</v>
      </c>
      <c r="D1449">
        <v>27.17</v>
      </c>
      <c r="G1449" t="s">
        <v>85</v>
      </c>
      <c r="H1449">
        <v>818359253</v>
      </c>
      <c r="I1449" t="s">
        <v>29</v>
      </c>
      <c r="K1449" t="str">
        <f>IF(Table3[[#This Row],[Type Received]]=2,"CC",(IF(Table3[[#This Row],[Type Received]]=3,"BILL","ACH")))</f>
        <v>ACH</v>
      </c>
    </row>
    <row r="1450" spans="1:11" x14ac:dyDescent="0.25">
      <c r="A1450">
        <v>158311</v>
      </c>
      <c r="B1450" s="3">
        <v>46145</v>
      </c>
      <c r="C1450">
        <v>1</v>
      </c>
      <c r="D1450">
        <v>14.75</v>
      </c>
      <c r="G1450" t="s">
        <v>113</v>
      </c>
      <c r="H1450">
        <v>546431346</v>
      </c>
      <c r="I1450" t="s">
        <v>29</v>
      </c>
      <c r="K1450" t="str">
        <f>IF(Table3[[#This Row],[Type Received]]=2,"CC",(IF(Table3[[#This Row],[Type Received]]=3,"BILL","ACH")))</f>
        <v>ACH</v>
      </c>
    </row>
    <row r="1451" spans="1:11" x14ac:dyDescent="0.25">
      <c r="A1451">
        <v>158330</v>
      </c>
      <c r="B1451" s="3">
        <v>46145</v>
      </c>
      <c r="C1451">
        <v>1</v>
      </c>
      <c r="D1451">
        <v>106.86</v>
      </c>
      <c r="G1451" t="s">
        <v>113</v>
      </c>
      <c r="H1451">
        <v>546420871</v>
      </c>
      <c r="I1451" t="s">
        <v>29</v>
      </c>
      <c r="K1451" t="str">
        <f>IF(Table3[[#This Row],[Type Received]]=2,"CC",(IF(Table3[[#This Row],[Type Received]]=3,"BILL","ACH")))</f>
        <v>ACH</v>
      </c>
    </row>
    <row r="1452" spans="1:11" x14ac:dyDescent="0.25">
      <c r="A1452">
        <v>158834</v>
      </c>
      <c r="B1452" s="3">
        <v>46150</v>
      </c>
      <c r="C1452">
        <v>3</v>
      </c>
      <c r="D1452">
        <v>55.39</v>
      </c>
      <c r="E1452">
        <v>5043</v>
      </c>
      <c r="K1452" t="str">
        <f>IF(Table3[[#This Row],[Type Received]]=2,"CC",(IF(Table3[[#This Row],[Type Received]]=3,"BILL","ACH")))</f>
        <v>BILL</v>
      </c>
    </row>
    <row r="1453" spans="1:11" x14ac:dyDescent="0.25">
      <c r="A1453">
        <v>158969</v>
      </c>
      <c r="B1453" s="3">
        <v>46167</v>
      </c>
      <c r="C1453">
        <v>1</v>
      </c>
      <c r="D1453">
        <v>16.73</v>
      </c>
      <c r="G1453" t="s">
        <v>85</v>
      </c>
      <c r="H1453">
        <v>818360254</v>
      </c>
      <c r="I1453" t="s">
        <v>29</v>
      </c>
      <c r="K1453" t="str">
        <f>IF(Table3[[#This Row],[Type Received]]=2,"CC",(IF(Table3[[#This Row],[Type Received]]=3,"BILL","ACH")))</f>
        <v>ACH</v>
      </c>
    </row>
    <row r="1454" spans="1:11" x14ac:dyDescent="0.25">
      <c r="A1454">
        <v>159090</v>
      </c>
      <c r="B1454" s="3">
        <v>46163</v>
      </c>
      <c r="C1454">
        <v>3</v>
      </c>
      <c r="D1454">
        <v>19.489999999999998</v>
      </c>
      <c r="E1454">
        <v>19817734781</v>
      </c>
      <c r="K1454" t="str">
        <f>IF(Table3[[#This Row],[Type Received]]=2,"CC",(IF(Table3[[#This Row],[Type Received]]=3,"BILL","ACH")))</f>
        <v>BILL</v>
      </c>
    </row>
    <row r="1455" spans="1:11" x14ac:dyDescent="0.25">
      <c r="A1455">
        <v>159116</v>
      </c>
      <c r="B1455" s="3">
        <v>46145</v>
      </c>
      <c r="C1455">
        <v>1</v>
      </c>
      <c r="D1455">
        <v>15.25</v>
      </c>
      <c r="G1455" t="s">
        <v>113</v>
      </c>
      <c r="H1455">
        <v>546436239</v>
      </c>
      <c r="I1455" t="s">
        <v>29</v>
      </c>
      <c r="K1455" t="str">
        <f>IF(Table3[[#This Row],[Type Received]]=2,"CC",(IF(Table3[[#This Row],[Type Received]]=3,"BILL","ACH")))</f>
        <v>ACH</v>
      </c>
    </row>
    <row r="1456" spans="1:11" x14ac:dyDescent="0.25">
      <c r="A1456">
        <v>159255</v>
      </c>
      <c r="B1456" s="3">
        <v>46157</v>
      </c>
      <c r="C1456">
        <v>1</v>
      </c>
      <c r="D1456">
        <v>12.19</v>
      </c>
      <c r="G1456" t="s">
        <v>87</v>
      </c>
      <c r="H1456">
        <v>696712519</v>
      </c>
      <c r="I1456" t="s">
        <v>29</v>
      </c>
      <c r="K1456" t="str">
        <f>IF(Table3[[#This Row],[Type Received]]=2,"CC",(IF(Table3[[#This Row],[Type Received]]=3,"BILL","ACH")))</f>
        <v>ACH</v>
      </c>
    </row>
    <row r="1457" spans="1:11" x14ac:dyDescent="0.25">
      <c r="A1457">
        <v>159265</v>
      </c>
      <c r="B1457" s="3">
        <v>46145</v>
      </c>
      <c r="C1457">
        <v>1</v>
      </c>
      <c r="D1457">
        <v>13.63</v>
      </c>
      <c r="G1457" s="4" t="s">
        <v>113</v>
      </c>
      <c r="H1457">
        <v>546423757</v>
      </c>
      <c r="I1457" t="s">
        <v>29</v>
      </c>
      <c r="K1457" t="str">
        <f>IF(Table3[[#This Row],[Type Received]]=2,"CC",(IF(Table3[[#This Row],[Type Received]]=3,"BILL","ACH")))</f>
        <v>ACH</v>
      </c>
    </row>
    <row r="1458" spans="1:11" x14ac:dyDescent="0.25">
      <c r="A1458">
        <v>159284</v>
      </c>
      <c r="B1458" s="3">
        <v>46167</v>
      </c>
      <c r="C1458">
        <v>1</v>
      </c>
      <c r="D1458">
        <v>33.07</v>
      </c>
      <c r="G1458" t="s">
        <v>85</v>
      </c>
      <c r="H1458">
        <v>818340921</v>
      </c>
      <c r="I1458" t="s">
        <v>29</v>
      </c>
      <c r="K1458" t="str">
        <f>IF(Table3[[#This Row],[Type Received]]=2,"CC",(IF(Table3[[#This Row],[Type Received]]=3,"BILL","ACH")))</f>
        <v>ACH</v>
      </c>
    </row>
    <row r="1459" spans="1:11" x14ac:dyDescent="0.25">
      <c r="A1459">
        <v>159293</v>
      </c>
      <c r="B1459" s="3">
        <v>46167</v>
      </c>
      <c r="C1459">
        <v>2</v>
      </c>
      <c r="D1459">
        <v>13.19</v>
      </c>
      <c r="F1459">
        <v>647905</v>
      </c>
      <c r="G1459">
        <v>748612213</v>
      </c>
      <c r="H1459">
        <v>355719131</v>
      </c>
      <c r="K1459" t="str">
        <f>IF(Table3[[#This Row],[Type Received]]=2,"CC",(IF(Table3[[#This Row],[Type Received]]=3,"BILL","ACH")))</f>
        <v>CC</v>
      </c>
    </row>
    <row r="1460" spans="1:11" x14ac:dyDescent="0.25">
      <c r="A1460">
        <v>159297</v>
      </c>
      <c r="B1460" s="3">
        <v>46145</v>
      </c>
      <c r="C1460">
        <v>1</v>
      </c>
      <c r="D1460">
        <v>11.83</v>
      </c>
      <c r="G1460" s="4" t="s">
        <v>113</v>
      </c>
      <c r="H1460">
        <v>546421824</v>
      </c>
      <c r="I1460" t="s">
        <v>29</v>
      </c>
      <c r="K1460" t="str">
        <f>IF(Table3[[#This Row],[Type Received]]=2,"CC",(IF(Table3[[#This Row],[Type Received]]=3,"BILL","ACH")))</f>
        <v>ACH</v>
      </c>
    </row>
    <row r="1461" spans="1:11" x14ac:dyDescent="0.25">
      <c r="A1461">
        <v>159301</v>
      </c>
      <c r="B1461" s="3">
        <v>46157</v>
      </c>
      <c r="C1461">
        <v>1</v>
      </c>
      <c r="D1461">
        <v>10.75</v>
      </c>
      <c r="G1461" t="s">
        <v>87</v>
      </c>
      <c r="H1461">
        <v>696713489</v>
      </c>
      <c r="I1461" t="s">
        <v>29</v>
      </c>
      <c r="K1461" t="str">
        <f>IF(Table3[[#This Row],[Type Received]]=2,"CC",(IF(Table3[[#This Row],[Type Received]]=3,"BILL","ACH")))</f>
        <v>ACH</v>
      </c>
    </row>
    <row r="1462" spans="1:11" x14ac:dyDescent="0.25">
      <c r="A1462">
        <v>159331</v>
      </c>
      <c r="B1462" s="3">
        <v>46145</v>
      </c>
      <c r="C1462">
        <v>1</v>
      </c>
      <c r="D1462">
        <v>14.35</v>
      </c>
      <c r="G1462" s="4" t="s">
        <v>113</v>
      </c>
      <c r="H1462">
        <v>546422754</v>
      </c>
      <c r="I1462" t="s">
        <v>29</v>
      </c>
      <c r="K1462" t="str">
        <f>IF(Table3[[#This Row],[Type Received]]=2,"CC",(IF(Table3[[#This Row],[Type Received]]=3,"BILL","ACH")))</f>
        <v>ACH</v>
      </c>
    </row>
    <row r="1463" spans="1:11" x14ac:dyDescent="0.25">
      <c r="A1463">
        <v>159390</v>
      </c>
      <c r="B1463" s="3">
        <v>46169</v>
      </c>
      <c r="C1463">
        <v>2</v>
      </c>
      <c r="D1463">
        <v>23.17</v>
      </c>
      <c r="F1463" t="s">
        <v>219</v>
      </c>
      <c r="G1463" t="s">
        <v>28</v>
      </c>
      <c r="H1463">
        <v>841139382</v>
      </c>
      <c r="I1463" t="s">
        <v>29</v>
      </c>
      <c r="K1463" t="str">
        <f>IF(Table3[[#This Row],[Type Received]]=2,"CC",(IF(Table3[[#This Row],[Type Received]]=3,"BILL","ACH")))</f>
        <v>CC</v>
      </c>
    </row>
    <row r="1464" spans="1:11" x14ac:dyDescent="0.25">
      <c r="A1464">
        <v>159409</v>
      </c>
      <c r="B1464" s="3">
        <v>46145</v>
      </c>
      <c r="C1464">
        <v>1</v>
      </c>
      <c r="D1464">
        <v>44.95</v>
      </c>
      <c r="G1464" t="s">
        <v>113</v>
      </c>
      <c r="H1464">
        <v>546435291</v>
      </c>
      <c r="I1464" t="s">
        <v>29</v>
      </c>
      <c r="K1464" t="str">
        <f>IF(Table3[[#This Row],[Type Received]]=2,"CC",(IF(Table3[[#This Row],[Type Received]]=3,"BILL","ACH")))</f>
        <v>ACH</v>
      </c>
    </row>
    <row r="1465" spans="1:11" x14ac:dyDescent="0.25">
      <c r="A1465">
        <v>159451</v>
      </c>
      <c r="B1465" s="3">
        <v>46170</v>
      </c>
      <c r="C1465">
        <v>2</v>
      </c>
      <c r="D1465">
        <v>24.62</v>
      </c>
      <c r="F1465">
        <v>7965</v>
      </c>
      <c r="G1465" t="s">
        <v>28</v>
      </c>
      <c r="H1465">
        <v>858169758</v>
      </c>
      <c r="I1465" t="s">
        <v>29</v>
      </c>
      <c r="K1465" t="str">
        <f>IF(Table3[[#This Row],[Type Received]]=2,"CC",(IF(Table3[[#This Row],[Type Received]]=3,"BILL","ACH")))</f>
        <v>CC</v>
      </c>
    </row>
    <row r="1466" spans="1:11" x14ac:dyDescent="0.25">
      <c r="A1466">
        <v>159453</v>
      </c>
      <c r="B1466" s="3">
        <v>46161</v>
      </c>
      <c r="C1466">
        <v>1</v>
      </c>
      <c r="D1466">
        <v>34.61</v>
      </c>
      <c r="G1466" t="s">
        <v>220</v>
      </c>
      <c r="H1466">
        <v>746282687</v>
      </c>
      <c r="I1466" t="s">
        <v>29</v>
      </c>
      <c r="K1466" t="str">
        <f>IF(Table3[[#This Row],[Type Received]]=2,"CC",(IF(Table3[[#This Row],[Type Received]]=3,"BILL","ACH")))</f>
        <v>ACH</v>
      </c>
    </row>
    <row r="1467" spans="1:11" x14ac:dyDescent="0.25">
      <c r="A1467">
        <v>159495</v>
      </c>
      <c r="B1467" s="3">
        <v>46143</v>
      </c>
      <c r="C1467">
        <v>2</v>
      </c>
      <c r="D1467">
        <v>6.63</v>
      </c>
      <c r="F1467">
        <v>461604</v>
      </c>
      <c r="G1467" s="4" t="s">
        <v>28</v>
      </c>
      <c r="H1467">
        <v>521674013</v>
      </c>
      <c r="I1467" t="s">
        <v>29</v>
      </c>
      <c r="K1467" t="str">
        <f>IF(Table3[[#This Row],[Type Received]]=2,"CC",(IF(Table3[[#This Row],[Type Received]]=3,"BILL","ACH")))</f>
        <v>CC</v>
      </c>
    </row>
    <row r="1468" spans="1:11" x14ac:dyDescent="0.25">
      <c r="A1468">
        <v>159496</v>
      </c>
      <c r="B1468" s="3">
        <v>46153</v>
      </c>
      <c r="C1468">
        <v>1</v>
      </c>
      <c r="D1468">
        <v>80.77</v>
      </c>
      <c r="G1468" t="s">
        <v>123</v>
      </c>
      <c r="H1468">
        <v>646152409</v>
      </c>
      <c r="I1468" t="s">
        <v>29</v>
      </c>
      <c r="K1468" t="str">
        <f>IF(Table3[[#This Row],[Type Received]]=2,"CC",(IF(Table3[[#This Row],[Type Received]]=3,"BILL","ACH")))</f>
        <v>ACH</v>
      </c>
    </row>
    <row r="1469" spans="1:11" x14ac:dyDescent="0.25">
      <c r="A1469">
        <v>159534</v>
      </c>
      <c r="B1469" s="3">
        <v>46155</v>
      </c>
      <c r="C1469">
        <v>2</v>
      </c>
      <c r="D1469">
        <v>36.229999999999997</v>
      </c>
      <c r="F1469">
        <v>100733</v>
      </c>
      <c r="G1469" t="s">
        <v>28</v>
      </c>
      <c r="H1469">
        <v>669518857</v>
      </c>
      <c r="I1469" t="s">
        <v>29</v>
      </c>
      <c r="K1469" t="str">
        <f>IF(Table3[[#This Row],[Type Received]]=2,"CC",(IF(Table3[[#This Row],[Type Received]]=3,"BILL","ACH")))</f>
        <v>CC</v>
      </c>
    </row>
    <row r="1470" spans="1:11" x14ac:dyDescent="0.25">
      <c r="A1470">
        <v>159552</v>
      </c>
      <c r="B1470" s="3">
        <v>46145</v>
      </c>
      <c r="C1470">
        <v>1</v>
      </c>
      <c r="D1470">
        <v>23.35</v>
      </c>
      <c r="G1470" t="s">
        <v>113</v>
      </c>
      <c r="H1470">
        <v>546433347</v>
      </c>
      <c r="I1470" t="s">
        <v>29</v>
      </c>
      <c r="K1470" t="str">
        <f>IF(Table3[[#This Row],[Type Received]]=2,"CC",(IF(Table3[[#This Row],[Type Received]]=3,"BILL","ACH")))</f>
        <v>ACH</v>
      </c>
    </row>
    <row r="1471" spans="1:11" x14ac:dyDescent="0.25">
      <c r="A1471">
        <v>159553</v>
      </c>
      <c r="B1471" s="3">
        <v>46145</v>
      </c>
      <c r="C1471">
        <v>1</v>
      </c>
      <c r="D1471">
        <v>7.07</v>
      </c>
      <c r="G1471" s="4" t="s">
        <v>113</v>
      </c>
      <c r="H1471">
        <v>546440151</v>
      </c>
      <c r="I1471" t="s">
        <v>29</v>
      </c>
      <c r="K1471" t="str">
        <f>IF(Table3[[#This Row],[Type Received]]=2,"CC",(IF(Table3[[#This Row],[Type Received]]=3,"BILL","ACH")))</f>
        <v>ACH</v>
      </c>
    </row>
    <row r="1472" spans="1:11" x14ac:dyDescent="0.25">
      <c r="A1472">
        <v>159558</v>
      </c>
      <c r="B1472" s="3">
        <v>46157</v>
      </c>
      <c r="C1472">
        <v>1</v>
      </c>
      <c r="D1472">
        <v>9.49</v>
      </c>
      <c r="G1472" s="4" t="s">
        <v>87</v>
      </c>
      <c r="H1472">
        <v>696707715</v>
      </c>
      <c r="I1472" t="s">
        <v>29</v>
      </c>
      <c r="K1472" t="str">
        <f>IF(Table3[[#This Row],[Type Received]]=2,"CC",(IF(Table3[[#This Row],[Type Received]]=3,"BILL","ACH")))</f>
        <v>ACH</v>
      </c>
    </row>
    <row r="1473" spans="1:11" x14ac:dyDescent="0.25">
      <c r="A1473">
        <v>159568</v>
      </c>
      <c r="B1473" s="3">
        <v>46143</v>
      </c>
      <c r="C1473">
        <v>3</v>
      </c>
      <c r="D1473">
        <v>26.51</v>
      </c>
      <c r="E1473">
        <v>995001</v>
      </c>
      <c r="G1473" s="4"/>
      <c r="K1473" t="str">
        <f>IF(Table3[[#This Row],[Type Received]]=2,"CC",(IF(Table3[[#This Row],[Type Received]]=3,"BILL","ACH")))</f>
        <v>BILL</v>
      </c>
    </row>
    <row r="1474" spans="1:11" x14ac:dyDescent="0.25">
      <c r="A1474">
        <v>159600</v>
      </c>
      <c r="B1474" s="3">
        <v>46168</v>
      </c>
      <c r="C1474">
        <v>3</v>
      </c>
      <c r="D1474">
        <v>322.52999999999997</v>
      </c>
      <c r="E1474">
        <v>139</v>
      </c>
      <c r="K1474" t="str">
        <f>IF(Table3[[#This Row],[Type Received]]=2,"CC",(IF(Table3[[#This Row],[Type Received]]=3,"BILL","ACH")))</f>
        <v>BILL</v>
      </c>
    </row>
    <row r="1475" spans="1:11" x14ac:dyDescent="0.25">
      <c r="A1475">
        <v>159611</v>
      </c>
      <c r="B1475" s="3">
        <v>46144</v>
      </c>
      <c r="C1475">
        <v>1</v>
      </c>
      <c r="D1475">
        <v>26.84</v>
      </c>
      <c r="G1475" t="s">
        <v>89</v>
      </c>
      <c r="H1475">
        <v>535370031</v>
      </c>
      <c r="I1475" t="s">
        <v>29</v>
      </c>
      <c r="K1475" t="str">
        <f>IF(Table3[[#This Row],[Type Received]]=2,"CC",(IF(Table3[[#This Row],[Type Received]]=3,"BILL","ACH")))</f>
        <v>ACH</v>
      </c>
    </row>
    <row r="1476" spans="1:11" x14ac:dyDescent="0.25">
      <c r="A1476">
        <v>159625</v>
      </c>
      <c r="B1476" s="3">
        <v>46143</v>
      </c>
      <c r="C1476">
        <v>2</v>
      </c>
      <c r="D1476">
        <v>84.01</v>
      </c>
      <c r="F1476">
        <v>112624</v>
      </c>
      <c r="G1476" t="s">
        <v>28</v>
      </c>
      <c r="H1476">
        <v>523898221</v>
      </c>
      <c r="I1476" t="s">
        <v>29</v>
      </c>
      <c r="K1476" t="str">
        <f>IF(Table3[[#This Row],[Type Received]]=2,"CC",(IF(Table3[[#This Row],[Type Received]]=3,"BILL","ACH")))</f>
        <v>CC</v>
      </c>
    </row>
    <row r="1477" spans="1:11" x14ac:dyDescent="0.25">
      <c r="A1477">
        <v>159702</v>
      </c>
      <c r="B1477" s="3">
        <v>46144</v>
      </c>
      <c r="C1477">
        <v>1</v>
      </c>
      <c r="D1477">
        <v>24.16</v>
      </c>
      <c r="G1477" t="s">
        <v>89</v>
      </c>
      <c r="H1477">
        <v>535394184</v>
      </c>
      <c r="I1477" t="s">
        <v>29</v>
      </c>
      <c r="K1477" t="str">
        <f>IF(Table3[[#This Row],[Type Received]]=2,"CC",(IF(Table3[[#This Row],[Type Received]]=3,"BILL","ACH")))</f>
        <v>ACH</v>
      </c>
    </row>
    <row r="1478" spans="1:11" x14ac:dyDescent="0.25">
      <c r="A1478">
        <v>159725</v>
      </c>
      <c r="B1478" s="3">
        <v>46157</v>
      </c>
      <c r="C1478">
        <v>1</v>
      </c>
      <c r="D1478">
        <v>14.89</v>
      </c>
      <c r="G1478" t="s">
        <v>87</v>
      </c>
      <c r="H1478">
        <v>696582811</v>
      </c>
      <c r="I1478" t="s">
        <v>29</v>
      </c>
      <c r="K1478" t="str">
        <f>IF(Table3[[#This Row],[Type Received]]=2,"CC",(IF(Table3[[#This Row],[Type Received]]=3,"BILL","ACH")))</f>
        <v>ACH</v>
      </c>
    </row>
    <row r="1479" spans="1:11" x14ac:dyDescent="0.25">
      <c r="A1479">
        <v>159850</v>
      </c>
      <c r="B1479" s="3">
        <v>46168</v>
      </c>
      <c r="C1479">
        <v>3</v>
      </c>
      <c r="D1479">
        <v>32.270000000000003</v>
      </c>
      <c r="E1479">
        <v>3192</v>
      </c>
      <c r="K1479" t="str">
        <f>IF(Table3[[#This Row],[Type Received]]=2,"CC",(IF(Table3[[#This Row],[Type Received]]=3,"BILL","ACH")))</f>
        <v>BILL</v>
      </c>
    </row>
    <row r="1480" spans="1:11" x14ac:dyDescent="0.25">
      <c r="A1480">
        <v>159874</v>
      </c>
      <c r="B1480" s="3">
        <v>46171</v>
      </c>
      <c r="C1480">
        <v>3</v>
      </c>
      <c r="D1480">
        <v>68.09</v>
      </c>
      <c r="E1480">
        <v>844</v>
      </c>
      <c r="K1480" t="str">
        <f>IF(Table3[[#This Row],[Type Received]]=2,"CC",(IF(Table3[[#This Row],[Type Received]]=3,"BILL","ACH")))</f>
        <v>BILL</v>
      </c>
    </row>
    <row r="1481" spans="1:11" x14ac:dyDescent="0.25">
      <c r="A1481">
        <v>159976</v>
      </c>
      <c r="B1481" s="3">
        <v>46144</v>
      </c>
      <c r="C1481">
        <v>1</v>
      </c>
      <c r="D1481">
        <v>14.71</v>
      </c>
      <c r="G1481" t="s">
        <v>89</v>
      </c>
      <c r="H1481">
        <v>535382593</v>
      </c>
      <c r="I1481" t="s">
        <v>29</v>
      </c>
      <c r="K1481" t="str">
        <f>IF(Table3[[#This Row],[Type Received]]=2,"CC",(IF(Table3[[#This Row],[Type Received]]=3,"BILL","ACH")))</f>
        <v>ACH</v>
      </c>
    </row>
    <row r="1482" spans="1:11" x14ac:dyDescent="0.25">
      <c r="A1482">
        <v>160161</v>
      </c>
      <c r="B1482" s="3">
        <v>46158</v>
      </c>
      <c r="C1482">
        <v>1</v>
      </c>
      <c r="D1482">
        <v>37.61</v>
      </c>
      <c r="G1482" t="s">
        <v>106</v>
      </c>
      <c r="H1482">
        <v>710037697</v>
      </c>
      <c r="I1482" t="s">
        <v>29</v>
      </c>
      <c r="K1482" t="str">
        <f>IF(Table3[[#This Row],[Type Received]]=2,"CC",(IF(Table3[[#This Row],[Type Received]]=3,"BILL","ACH")))</f>
        <v>ACH</v>
      </c>
    </row>
    <row r="1483" spans="1:11" x14ac:dyDescent="0.25">
      <c r="A1483">
        <v>160228</v>
      </c>
      <c r="B1483" s="3">
        <v>46157</v>
      </c>
      <c r="C1483">
        <v>1</v>
      </c>
      <c r="D1483">
        <v>34.96</v>
      </c>
      <c r="G1483" t="s">
        <v>87</v>
      </c>
      <c r="H1483">
        <v>696699017</v>
      </c>
      <c r="I1483" t="s">
        <v>29</v>
      </c>
      <c r="K1483" t="str">
        <f>IF(Table3[[#This Row],[Type Received]]=2,"CC",(IF(Table3[[#This Row],[Type Received]]=3,"BILL","ACH")))</f>
        <v>ACH</v>
      </c>
    </row>
    <row r="1484" spans="1:11" x14ac:dyDescent="0.25">
      <c r="A1484">
        <v>160411</v>
      </c>
      <c r="B1484" s="3">
        <v>46144</v>
      </c>
      <c r="C1484">
        <v>1</v>
      </c>
      <c r="D1484">
        <v>24.16</v>
      </c>
      <c r="G1484" t="s">
        <v>89</v>
      </c>
      <c r="H1484">
        <v>535370058</v>
      </c>
      <c r="I1484" t="s">
        <v>29</v>
      </c>
      <c r="K1484" t="str">
        <f>IF(Table3[[#This Row],[Type Received]]=2,"CC",(IF(Table3[[#This Row],[Type Received]]=3,"BILL","ACH")))</f>
        <v>ACH</v>
      </c>
    </row>
    <row r="1485" spans="1:11" x14ac:dyDescent="0.25">
      <c r="A1485">
        <v>160642</v>
      </c>
      <c r="B1485" s="3">
        <v>46153</v>
      </c>
      <c r="C1485">
        <v>3</v>
      </c>
      <c r="D1485">
        <v>60.22</v>
      </c>
      <c r="E1485">
        <v>5750</v>
      </c>
      <c r="K1485" t="str">
        <f>IF(Table3[[#This Row],[Type Received]]=2,"CC",(IF(Table3[[#This Row],[Type Received]]=3,"BILL","ACH")))</f>
        <v>BILL</v>
      </c>
    </row>
    <row r="1486" spans="1:11" x14ac:dyDescent="0.25">
      <c r="A1486">
        <v>160681</v>
      </c>
      <c r="B1486" s="3">
        <v>46144</v>
      </c>
      <c r="C1486">
        <v>1</v>
      </c>
      <c r="D1486">
        <v>28.92</v>
      </c>
      <c r="G1486" t="s">
        <v>89</v>
      </c>
      <c r="H1486">
        <v>535373896</v>
      </c>
      <c r="I1486" t="s">
        <v>29</v>
      </c>
      <c r="K1486" t="str">
        <f>IF(Table3[[#This Row],[Type Received]]=2,"CC",(IF(Table3[[#This Row],[Type Received]]=3,"BILL","ACH")))</f>
        <v>ACH</v>
      </c>
    </row>
    <row r="1487" spans="1:11" x14ac:dyDescent="0.25">
      <c r="A1487">
        <v>160938</v>
      </c>
      <c r="B1487" s="3">
        <v>46144</v>
      </c>
      <c r="C1487">
        <v>1</v>
      </c>
      <c r="D1487">
        <v>7.1</v>
      </c>
      <c r="G1487" t="s">
        <v>89</v>
      </c>
      <c r="H1487">
        <v>535380228</v>
      </c>
      <c r="I1487" t="s">
        <v>29</v>
      </c>
      <c r="K1487" t="str">
        <f>IF(Table3[[#This Row],[Type Received]]=2,"CC",(IF(Table3[[#This Row],[Type Received]]=3,"BILL","ACH")))</f>
        <v>ACH</v>
      </c>
    </row>
    <row r="1488" spans="1:11" x14ac:dyDescent="0.25">
      <c r="A1488">
        <v>161161</v>
      </c>
      <c r="B1488" s="3">
        <v>46169</v>
      </c>
      <c r="C1488">
        <v>2</v>
      </c>
      <c r="D1488">
        <v>12.35</v>
      </c>
      <c r="F1488">
        <v>27761</v>
      </c>
      <c r="G1488" t="s">
        <v>28</v>
      </c>
      <c r="H1488">
        <v>840337730</v>
      </c>
      <c r="I1488" t="s">
        <v>29</v>
      </c>
      <c r="K1488" t="str">
        <f>IF(Table3[[#This Row],[Type Received]]=2,"CC",(IF(Table3[[#This Row],[Type Received]]=3,"BILL","ACH")))</f>
        <v>CC</v>
      </c>
    </row>
    <row r="1489" spans="1:11" x14ac:dyDescent="0.25">
      <c r="A1489">
        <v>161391</v>
      </c>
      <c r="B1489" s="3">
        <v>46163</v>
      </c>
      <c r="C1489">
        <v>2</v>
      </c>
      <c r="D1489">
        <v>32.08</v>
      </c>
      <c r="F1489">
        <v>801285</v>
      </c>
      <c r="G1489" s="4">
        <v>747461115</v>
      </c>
      <c r="H1489">
        <v>355350331</v>
      </c>
      <c r="J1489" t="s">
        <v>29</v>
      </c>
      <c r="K1489" t="str">
        <f>IF(Table3[[#This Row],[Type Received]]=2,"CC",(IF(Table3[[#This Row],[Type Received]]=3,"BILL","ACH")))</f>
        <v>CC</v>
      </c>
    </row>
    <row r="1490" spans="1:11" x14ac:dyDescent="0.25">
      <c r="A1490">
        <v>161428</v>
      </c>
      <c r="B1490" s="3">
        <v>46144</v>
      </c>
      <c r="C1490">
        <v>1</v>
      </c>
      <c r="D1490">
        <v>7.6</v>
      </c>
      <c r="G1490" t="s">
        <v>89</v>
      </c>
      <c r="H1490">
        <v>535398167</v>
      </c>
      <c r="I1490" t="s">
        <v>29</v>
      </c>
      <c r="J1490" t="s">
        <v>29</v>
      </c>
      <c r="K1490" t="str">
        <f>IF(Table3[[#This Row],[Type Received]]=2,"CC",(IF(Table3[[#This Row],[Type Received]]=3,"BILL","ACH")))</f>
        <v>ACH</v>
      </c>
    </row>
    <row r="1491" spans="1:11" x14ac:dyDescent="0.25">
      <c r="A1491">
        <v>161458</v>
      </c>
      <c r="B1491" s="3">
        <v>46158</v>
      </c>
      <c r="C1491">
        <v>1</v>
      </c>
      <c r="D1491">
        <v>19.559999999999999</v>
      </c>
      <c r="G1491" t="s">
        <v>106</v>
      </c>
      <c r="H1491">
        <v>710047110</v>
      </c>
      <c r="I1491" t="s">
        <v>29</v>
      </c>
      <c r="K1491" t="str">
        <f>IF(Table3[[#This Row],[Type Received]]=2,"CC",(IF(Table3[[#This Row],[Type Received]]=3,"BILL","ACH")))</f>
        <v>ACH</v>
      </c>
    </row>
    <row r="1492" spans="1:11" x14ac:dyDescent="0.25">
      <c r="A1492">
        <v>161720</v>
      </c>
      <c r="B1492" s="3">
        <v>46167</v>
      </c>
      <c r="C1492">
        <v>1</v>
      </c>
      <c r="D1492">
        <v>25.95</v>
      </c>
      <c r="G1492" t="s">
        <v>85</v>
      </c>
      <c r="H1492">
        <v>818343850</v>
      </c>
      <c r="I1492" t="s">
        <v>29</v>
      </c>
      <c r="J1492" t="s">
        <v>29</v>
      </c>
      <c r="K1492" t="str">
        <f>IF(Table3[[#This Row],[Type Received]]=2,"CC",(IF(Table3[[#This Row],[Type Received]]=3,"BILL","ACH")))</f>
        <v>ACH</v>
      </c>
    </row>
    <row r="1493" spans="1:11" x14ac:dyDescent="0.25">
      <c r="A1493">
        <v>161895</v>
      </c>
      <c r="B1493" s="3">
        <v>46157</v>
      </c>
      <c r="C1493">
        <v>1</v>
      </c>
      <c r="D1493">
        <v>32.97</v>
      </c>
      <c r="G1493" t="s">
        <v>87</v>
      </c>
      <c r="H1493">
        <v>696699988</v>
      </c>
      <c r="I1493" t="s">
        <v>29</v>
      </c>
      <c r="J1493" t="s">
        <v>29</v>
      </c>
      <c r="K1493" t="str">
        <f>IF(Table3[[#This Row],[Type Received]]=2,"CC",(IF(Table3[[#This Row],[Type Received]]=3,"BILL","ACH")))</f>
        <v>ACH</v>
      </c>
    </row>
    <row r="1494" spans="1:11" x14ac:dyDescent="0.25">
      <c r="A1494">
        <v>161897</v>
      </c>
      <c r="B1494" s="3">
        <v>46157</v>
      </c>
      <c r="C1494">
        <v>1</v>
      </c>
      <c r="D1494">
        <v>17.940000000000001</v>
      </c>
      <c r="G1494" t="s">
        <v>87</v>
      </c>
      <c r="H1494">
        <v>696708763</v>
      </c>
      <c r="I1494" t="s">
        <v>29</v>
      </c>
      <c r="K1494" t="str">
        <f>IF(Table3[[#This Row],[Type Received]]=2,"CC",(IF(Table3[[#This Row],[Type Received]]=3,"BILL","ACH")))</f>
        <v>ACH</v>
      </c>
    </row>
    <row r="1495" spans="1:11" x14ac:dyDescent="0.25">
      <c r="A1495">
        <v>161906</v>
      </c>
      <c r="B1495" s="3">
        <v>46167</v>
      </c>
      <c r="C1495">
        <v>1</v>
      </c>
      <c r="D1495">
        <v>20.82</v>
      </c>
      <c r="G1495" t="s">
        <v>85</v>
      </c>
      <c r="H1495">
        <v>818363222</v>
      </c>
      <c r="I1495" t="s">
        <v>29</v>
      </c>
      <c r="J1495" t="s">
        <v>29</v>
      </c>
      <c r="K1495" t="str">
        <f>IF(Table3[[#This Row],[Type Received]]=2,"CC",(IF(Table3[[#This Row],[Type Received]]=3,"BILL","ACH")))</f>
        <v>ACH</v>
      </c>
    </row>
    <row r="1496" spans="1:11" x14ac:dyDescent="0.25">
      <c r="A1496">
        <v>161974</v>
      </c>
      <c r="B1496" s="3">
        <v>46144</v>
      </c>
      <c r="C1496">
        <v>1</v>
      </c>
      <c r="D1496">
        <v>26.22</v>
      </c>
      <c r="G1496" t="s">
        <v>89</v>
      </c>
      <c r="H1496">
        <v>535372912</v>
      </c>
      <c r="I1496" t="s">
        <v>29</v>
      </c>
      <c r="J1496" t="s">
        <v>29</v>
      </c>
      <c r="K1496" t="str">
        <f>IF(Table3[[#This Row],[Type Received]]=2,"CC",(IF(Table3[[#This Row],[Type Received]]=3,"BILL","ACH")))</f>
        <v>ACH</v>
      </c>
    </row>
    <row r="1497" spans="1:11" x14ac:dyDescent="0.25">
      <c r="A1497">
        <v>162007</v>
      </c>
      <c r="B1497" s="3">
        <v>46144</v>
      </c>
      <c r="C1497">
        <v>1</v>
      </c>
      <c r="D1497">
        <v>15.69</v>
      </c>
      <c r="G1497" t="s">
        <v>89</v>
      </c>
      <c r="H1497">
        <v>535374877</v>
      </c>
      <c r="I1497" t="s">
        <v>29</v>
      </c>
      <c r="J1497" t="s">
        <v>29</v>
      </c>
      <c r="K1497" t="str">
        <f>IF(Table3[[#This Row],[Type Received]]=2,"CC",(IF(Table3[[#This Row],[Type Received]]=3,"BILL","ACH")))</f>
        <v>ACH</v>
      </c>
    </row>
    <row r="1498" spans="1:11" x14ac:dyDescent="0.25">
      <c r="A1498">
        <v>162033</v>
      </c>
      <c r="B1498" s="3">
        <v>46155</v>
      </c>
      <c r="C1498">
        <v>2</v>
      </c>
      <c r="D1498">
        <v>29.73</v>
      </c>
      <c r="F1498">
        <v>181175</v>
      </c>
      <c r="G1498" t="s">
        <v>28</v>
      </c>
      <c r="H1498">
        <v>669493398</v>
      </c>
      <c r="I1498" t="s">
        <v>29</v>
      </c>
      <c r="J1498" t="s">
        <v>29</v>
      </c>
      <c r="K1498" t="str">
        <f>IF(Table3[[#This Row],[Type Received]]=2,"CC",(IF(Table3[[#This Row],[Type Received]]=3,"BILL","ACH")))</f>
        <v>CC</v>
      </c>
    </row>
    <row r="1499" spans="1:11" x14ac:dyDescent="0.25">
      <c r="A1499">
        <v>162043</v>
      </c>
      <c r="B1499" s="3">
        <v>46158</v>
      </c>
      <c r="C1499">
        <v>1</v>
      </c>
      <c r="D1499">
        <v>14.88</v>
      </c>
      <c r="G1499" s="4" t="s">
        <v>106</v>
      </c>
      <c r="H1499">
        <v>710036051</v>
      </c>
      <c r="I1499" t="s">
        <v>29</v>
      </c>
      <c r="J1499" t="s">
        <v>29</v>
      </c>
      <c r="K1499" t="str">
        <f>IF(Table3[[#This Row],[Type Received]]=2,"CC",(IF(Table3[[#This Row],[Type Received]]=3,"BILL","ACH")))</f>
        <v>ACH</v>
      </c>
    </row>
    <row r="1500" spans="1:11" x14ac:dyDescent="0.25">
      <c r="A1500">
        <v>162046</v>
      </c>
      <c r="B1500" s="3">
        <v>46167</v>
      </c>
      <c r="C1500">
        <v>1</v>
      </c>
      <c r="D1500">
        <v>16.690000000000001</v>
      </c>
      <c r="G1500" t="s">
        <v>85</v>
      </c>
      <c r="H1500">
        <v>818362290</v>
      </c>
      <c r="I1500" t="s">
        <v>29</v>
      </c>
      <c r="J1500" t="s">
        <v>29</v>
      </c>
      <c r="K1500" t="str">
        <f>IF(Table3[[#This Row],[Type Received]]=2,"CC",(IF(Table3[[#This Row],[Type Received]]=3,"BILL","ACH")))</f>
        <v>ACH</v>
      </c>
    </row>
    <row r="1501" spans="1:11" x14ac:dyDescent="0.25">
      <c r="A1501">
        <v>162047</v>
      </c>
      <c r="B1501" s="3">
        <v>46167</v>
      </c>
      <c r="C1501">
        <v>1</v>
      </c>
      <c r="D1501">
        <v>22.62</v>
      </c>
      <c r="G1501" t="s">
        <v>85</v>
      </c>
      <c r="H1501">
        <v>818358287</v>
      </c>
      <c r="I1501" t="s">
        <v>29</v>
      </c>
      <c r="J1501" t="s">
        <v>29</v>
      </c>
      <c r="K1501" t="str">
        <f>IF(Table3[[#This Row],[Type Received]]=2,"CC",(IF(Table3[[#This Row],[Type Received]]=3,"BILL","ACH")))</f>
        <v>ACH</v>
      </c>
    </row>
    <row r="1502" spans="1:11" x14ac:dyDescent="0.25">
      <c r="A1502">
        <v>162096</v>
      </c>
      <c r="B1502" s="3">
        <v>46147</v>
      </c>
      <c r="C1502">
        <v>3</v>
      </c>
      <c r="D1502">
        <v>9.76</v>
      </c>
      <c r="E1502">
        <v>57740045</v>
      </c>
      <c r="K1502" t="str">
        <f>IF(Table3[[#This Row],[Type Received]]=2,"CC",(IF(Table3[[#This Row],[Type Received]]=3,"BILL","ACH")))</f>
        <v>BILL</v>
      </c>
    </row>
    <row r="1503" spans="1:11" x14ac:dyDescent="0.25">
      <c r="A1503">
        <v>162354</v>
      </c>
      <c r="B1503" s="3">
        <v>46168</v>
      </c>
      <c r="C1503">
        <v>1</v>
      </c>
      <c r="D1503">
        <v>45.88</v>
      </c>
      <c r="G1503" t="s">
        <v>110</v>
      </c>
      <c r="H1503">
        <v>827793278</v>
      </c>
      <c r="I1503" t="s">
        <v>29</v>
      </c>
      <c r="J1503" t="s">
        <v>29</v>
      </c>
      <c r="K1503" t="str">
        <f>IF(Table3[[#This Row],[Type Received]]=2,"CC",(IF(Table3[[#This Row],[Type Received]]=3,"BILL","ACH")))</f>
        <v>ACH</v>
      </c>
    </row>
    <row r="1504" spans="1:11" x14ac:dyDescent="0.25">
      <c r="A1504">
        <v>162406</v>
      </c>
      <c r="B1504" s="3">
        <v>46158</v>
      </c>
      <c r="C1504">
        <v>1</v>
      </c>
      <c r="D1504">
        <v>18.48</v>
      </c>
      <c r="G1504" t="s">
        <v>106</v>
      </c>
      <c r="H1504">
        <v>710037038</v>
      </c>
      <c r="I1504" t="s">
        <v>29</v>
      </c>
      <c r="J1504" t="s">
        <v>29</v>
      </c>
      <c r="K1504" t="str">
        <f>IF(Table3[[#This Row],[Type Received]]=2,"CC",(IF(Table3[[#This Row],[Type Received]]=3,"BILL","ACH")))</f>
        <v>ACH</v>
      </c>
    </row>
    <row r="1505" spans="1:11" x14ac:dyDescent="0.25">
      <c r="A1505">
        <v>162416</v>
      </c>
      <c r="B1505" s="3">
        <v>46143</v>
      </c>
      <c r="C1505">
        <v>2</v>
      </c>
      <c r="D1505">
        <v>56.98</v>
      </c>
      <c r="F1505">
        <v>172920</v>
      </c>
      <c r="G1505" s="4" t="s">
        <v>28</v>
      </c>
      <c r="H1505">
        <v>526250903</v>
      </c>
      <c r="I1505" t="s">
        <v>29</v>
      </c>
      <c r="J1505" t="s">
        <v>29</v>
      </c>
      <c r="K1505" t="str">
        <f>IF(Table3[[#This Row],[Type Received]]=2,"CC",(IF(Table3[[#This Row],[Type Received]]=3,"BILL","ACH")))</f>
        <v>CC</v>
      </c>
    </row>
    <row r="1506" spans="1:11" x14ac:dyDescent="0.25">
      <c r="A1506">
        <v>162635</v>
      </c>
      <c r="B1506" s="3">
        <v>46167</v>
      </c>
      <c r="C1506">
        <v>1</v>
      </c>
      <c r="D1506">
        <v>39.450000000000003</v>
      </c>
      <c r="G1506" s="4" t="s">
        <v>85</v>
      </c>
      <c r="H1506">
        <v>818359301</v>
      </c>
      <c r="I1506" t="s">
        <v>29</v>
      </c>
      <c r="J1506" t="s">
        <v>29</v>
      </c>
      <c r="K1506" t="str">
        <f>IF(Table3[[#This Row],[Type Received]]=2,"CC",(IF(Table3[[#This Row],[Type Received]]=3,"BILL","ACH")))</f>
        <v>ACH</v>
      </c>
    </row>
    <row r="1507" spans="1:11" x14ac:dyDescent="0.25">
      <c r="A1507">
        <v>162666</v>
      </c>
      <c r="B1507" s="3">
        <v>46167</v>
      </c>
      <c r="C1507">
        <v>1</v>
      </c>
      <c r="D1507">
        <v>29.73</v>
      </c>
      <c r="G1507" s="4" t="s">
        <v>85</v>
      </c>
      <c r="H1507">
        <v>818348751</v>
      </c>
      <c r="I1507" t="s">
        <v>29</v>
      </c>
      <c r="J1507" t="s">
        <v>29</v>
      </c>
      <c r="K1507" t="str">
        <f>IF(Table3[[#This Row],[Type Received]]=2,"CC",(IF(Table3[[#This Row],[Type Received]]=3,"BILL","ACH")))</f>
        <v>ACH</v>
      </c>
    </row>
    <row r="1508" spans="1:11" x14ac:dyDescent="0.25">
      <c r="A1508">
        <v>162682</v>
      </c>
      <c r="B1508" s="3">
        <v>46159</v>
      </c>
      <c r="C1508">
        <v>1</v>
      </c>
      <c r="D1508">
        <v>18.84</v>
      </c>
      <c r="G1508" t="s">
        <v>221</v>
      </c>
      <c r="H1508">
        <v>721664079</v>
      </c>
      <c r="I1508" t="s">
        <v>29</v>
      </c>
      <c r="J1508" t="s">
        <v>29</v>
      </c>
      <c r="K1508" t="str">
        <f>IF(Table3[[#This Row],[Type Received]]=2,"CC",(IF(Table3[[#This Row],[Type Received]]=3,"BILL","ACH")))</f>
        <v>ACH</v>
      </c>
    </row>
    <row r="1509" spans="1:11" x14ac:dyDescent="0.25">
      <c r="A1509">
        <v>162686</v>
      </c>
      <c r="B1509" s="3">
        <v>46159</v>
      </c>
      <c r="C1509">
        <v>1</v>
      </c>
      <c r="D1509">
        <v>16.420000000000002</v>
      </c>
      <c r="G1509" t="s">
        <v>221</v>
      </c>
      <c r="H1509">
        <v>721687352</v>
      </c>
      <c r="I1509" t="s">
        <v>29</v>
      </c>
      <c r="J1509" t="s">
        <v>29</v>
      </c>
      <c r="K1509" t="str">
        <f>IF(Table3[[#This Row],[Type Received]]=2,"CC",(IF(Table3[[#This Row],[Type Received]]=3,"BILL","ACH")))</f>
        <v>ACH</v>
      </c>
    </row>
    <row r="1510" spans="1:11" x14ac:dyDescent="0.25">
      <c r="A1510">
        <v>162805</v>
      </c>
      <c r="B1510" s="3">
        <v>46144</v>
      </c>
      <c r="C1510">
        <v>1</v>
      </c>
      <c r="D1510">
        <v>32.159999999999997</v>
      </c>
      <c r="G1510" t="s">
        <v>89</v>
      </c>
      <c r="H1510">
        <v>535377783</v>
      </c>
      <c r="I1510" t="s">
        <v>29</v>
      </c>
      <c r="J1510" t="s">
        <v>29</v>
      </c>
      <c r="K1510" t="str">
        <f>IF(Table3[[#This Row],[Type Received]]=2,"CC",(IF(Table3[[#This Row],[Type Received]]=3,"BILL","ACH")))</f>
        <v>ACH</v>
      </c>
    </row>
    <row r="1511" spans="1:11" x14ac:dyDescent="0.25">
      <c r="A1511">
        <v>162807</v>
      </c>
      <c r="B1511" s="3">
        <v>46144</v>
      </c>
      <c r="C1511">
        <v>1</v>
      </c>
      <c r="D1511">
        <v>23.52</v>
      </c>
      <c r="G1511" t="s">
        <v>89</v>
      </c>
      <c r="H1511">
        <v>535385638</v>
      </c>
      <c r="I1511" t="s">
        <v>29</v>
      </c>
      <c r="J1511" t="s">
        <v>29</v>
      </c>
      <c r="K1511" t="str">
        <f>IF(Table3[[#This Row],[Type Received]]=2,"CC",(IF(Table3[[#This Row],[Type Received]]=3,"BILL","ACH")))</f>
        <v>ACH</v>
      </c>
    </row>
    <row r="1512" spans="1:11" x14ac:dyDescent="0.25">
      <c r="A1512">
        <v>162809</v>
      </c>
      <c r="B1512" s="3">
        <v>46144</v>
      </c>
      <c r="C1512">
        <v>1</v>
      </c>
      <c r="D1512">
        <v>16.149999999999999</v>
      </c>
      <c r="G1512" s="4" t="s">
        <v>89</v>
      </c>
      <c r="H1512">
        <v>535380728</v>
      </c>
      <c r="I1512" t="s">
        <v>29</v>
      </c>
      <c r="J1512" t="s">
        <v>29</v>
      </c>
      <c r="K1512" t="str">
        <f>IF(Table3[[#This Row],[Type Received]]=2,"CC",(IF(Table3[[#This Row],[Type Received]]=3,"BILL","ACH")))</f>
        <v>ACH</v>
      </c>
    </row>
    <row r="1513" spans="1:11" x14ac:dyDescent="0.25">
      <c r="A1513">
        <v>162827</v>
      </c>
      <c r="B1513" s="3">
        <v>46163</v>
      </c>
      <c r="C1513">
        <v>2</v>
      </c>
      <c r="D1513">
        <v>52.24</v>
      </c>
      <c r="F1513">
        <v>123625</v>
      </c>
      <c r="G1513" t="s">
        <v>28</v>
      </c>
      <c r="H1513">
        <v>771446926</v>
      </c>
      <c r="I1513" t="s">
        <v>29</v>
      </c>
      <c r="J1513" t="s">
        <v>29</v>
      </c>
      <c r="K1513" t="str">
        <f>IF(Table3[[#This Row],[Type Received]]=2,"CC",(IF(Table3[[#This Row],[Type Received]]=3,"BILL","ACH")))</f>
        <v>CC</v>
      </c>
    </row>
    <row r="1514" spans="1:11" x14ac:dyDescent="0.25">
      <c r="A1514">
        <v>162829</v>
      </c>
      <c r="B1514" s="3">
        <v>46144</v>
      </c>
      <c r="C1514">
        <v>1</v>
      </c>
      <c r="D1514">
        <v>16.239999999999998</v>
      </c>
      <c r="G1514" s="4" t="s">
        <v>89</v>
      </c>
      <c r="H1514">
        <v>535371980</v>
      </c>
      <c r="I1514" t="s">
        <v>29</v>
      </c>
      <c r="J1514" t="s">
        <v>29</v>
      </c>
      <c r="K1514" t="str">
        <f>IF(Table3[[#This Row],[Type Received]]=2,"CC",(IF(Table3[[#This Row],[Type Received]]=3,"BILL","ACH")))</f>
        <v>ACH</v>
      </c>
    </row>
    <row r="1515" spans="1:11" x14ac:dyDescent="0.25">
      <c r="A1515">
        <v>162891</v>
      </c>
      <c r="B1515" s="3">
        <v>46144</v>
      </c>
      <c r="C1515">
        <v>1</v>
      </c>
      <c r="D1515">
        <v>60.42</v>
      </c>
      <c r="G1515" t="s">
        <v>89</v>
      </c>
      <c r="H1515">
        <v>535385675</v>
      </c>
      <c r="I1515" t="s">
        <v>29</v>
      </c>
      <c r="J1515" t="s">
        <v>29</v>
      </c>
      <c r="K1515" t="str">
        <f>IF(Table3[[#This Row],[Type Received]]=2,"CC",(IF(Table3[[#This Row],[Type Received]]=3,"BILL","ACH")))</f>
        <v>ACH</v>
      </c>
    </row>
    <row r="1516" spans="1:11" x14ac:dyDescent="0.25">
      <c r="A1516">
        <v>162957</v>
      </c>
      <c r="B1516" s="3">
        <v>46167</v>
      </c>
      <c r="C1516">
        <v>1</v>
      </c>
      <c r="D1516">
        <v>14.62</v>
      </c>
      <c r="G1516" t="s">
        <v>85</v>
      </c>
      <c r="H1516">
        <v>818353481</v>
      </c>
      <c r="I1516" t="s">
        <v>29</v>
      </c>
      <c r="J1516" t="s">
        <v>29</v>
      </c>
      <c r="K1516" t="str">
        <f>IF(Table3[[#This Row],[Type Received]]=2,"CC",(IF(Table3[[#This Row],[Type Received]]=3,"BILL","ACH")))</f>
        <v>ACH</v>
      </c>
    </row>
    <row r="1517" spans="1:11" x14ac:dyDescent="0.25">
      <c r="A1517">
        <v>162971</v>
      </c>
      <c r="B1517" s="3">
        <v>46159</v>
      </c>
      <c r="C1517">
        <v>1</v>
      </c>
      <c r="D1517">
        <v>24.83</v>
      </c>
      <c r="G1517" t="s">
        <v>221</v>
      </c>
      <c r="H1517">
        <v>721678673</v>
      </c>
      <c r="I1517" t="s">
        <v>29</v>
      </c>
      <c r="J1517" t="s">
        <v>29</v>
      </c>
      <c r="K1517" t="str">
        <f>IF(Table3[[#This Row],[Type Received]]=2,"CC",(IF(Table3[[#This Row],[Type Received]]=3,"BILL","ACH")))</f>
        <v>ACH</v>
      </c>
    </row>
    <row r="1518" spans="1:11" x14ac:dyDescent="0.25">
      <c r="A1518">
        <v>163104</v>
      </c>
      <c r="B1518" s="3">
        <v>46159</v>
      </c>
      <c r="C1518">
        <v>1</v>
      </c>
      <c r="D1518">
        <v>20.28</v>
      </c>
      <c r="G1518" t="s">
        <v>221</v>
      </c>
      <c r="H1518">
        <v>721669949</v>
      </c>
      <c r="I1518" t="s">
        <v>29</v>
      </c>
      <c r="J1518" t="s">
        <v>29</v>
      </c>
      <c r="K1518" t="str">
        <f>IF(Table3[[#This Row],[Type Received]]=2,"CC",(IF(Table3[[#This Row],[Type Received]]=3,"BILL","ACH")))</f>
        <v>ACH</v>
      </c>
    </row>
    <row r="1519" spans="1:11" x14ac:dyDescent="0.25">
      <c r="A1519">
        <v>163130</v>
      </c>
      <c r="B1519" s="3">
        <v>46146</v>
      </c>
      <c r="C1519">
        <v>3</v>
      </c>
      <c r="D1519">
        <v>23.67</v>
      </c>
      <c r="E1519">
        <v>3298</v>
      </c>
      <c r="J1519" t="s">
        <v>29</v>
      </c>
      <c r="K1519" t="str">
        <f>IF(Table3[[#This Row],[Type Received]]=2,"CC",(IF(Table3[[#This Row],[Type Received]]=3,"BILL","ACH")))</f>
        <v>BILL</v>
      </c>
    </row>
    <row r="1520" spans="1:11" x14ac:dyDescent="0.25">
      <c r="A1520">
        <v>163243</v>
      </c>
      <c r="B1520" s="3">
        <v>46149</v>
      </c>
      <c r="C1520">
        <v>2</v>
      </c>
      <c r="D1520">
        <v>39.729999999999997</v>
      </c>
      <c r="F1520">
        <v>781565</v>
      </c>
      <c r="G1520" t="s">
        <v>28</v>
      </c>
      <c r="H1520">
        <v>595561221</v>
      </c>
      <c r="I1520" t="s">
        <v>29</v>
      </c>
      <c r="J1520" t="s">
        <v>29</v>
      </c>
      <c r="K1520" t="str">
        <f>IF(Table3[[#This Row],[Type Received]]=2,"CC",(IF(Table3[[#This Row],[Type Received]]=3,"BILL","ACH")))</f>
        <v>CC</v>
      </c>
    </row>
    <row r="1521" spans="1:11" x14ac:dyDescent="0.25">
      <c r="A1521">
        <v>163346</v>
      </c>
      <c r="B1521" s="3">
        <v>46143</v>
      </c>
      <c r="C1521">
        <v>1</v>
      </c>
      <c r="D1521">
        <v>71.709999999999994</v>
      </c>
      <c r="G1521" s="4" t="s">
        <v>84</v>
      </c>
      <c r="H1521">
        <v>522258562</v>
      </c>
      <c r="I1521" t="s">
        <v>29</v>
      </c>
      <c r="J1521" t="s">
        <v>29</v>
      </c>
      <c r="K1521" t="str">
        <f>IF(Table3[[#This Row],[Type Received]]=2,"CC",(IF(Table3[[#This Row],[Type Received]]=3,"BILL","ACH")))</f>
        <v>ACH</v>
      </c>
    </row>
    <row r="1522" spans="1:11" x14ac:dyDescent="0.25">
      <c r="A1522">
        <v>163390</v>
      </c>
      <c r="B1522" s="3">
        <v>46167</v>
      </c>
      <c r="C1522">
        <v>1</v>
      </c>
      <c r="D1522">
        <v>42.42</v>
      </c>
      <c r="G1522" t="s">
        <v>85</v>
      </c>
      <c r="H1522">
        <v>818361327</v>
      </c>
      <c r="I1522" t="s">
        <v>29</v>
      </c>
      <c r="J1522" t="s">
        <v>29</v>
      </c>
      <c r="K1522" t="str">
        <f>IF(Table3[[#This Row],[Type Received]]=2,"CC",(IF(Table3[[#This Row],[Type Received]]=3,"BILL","ACH")))</f>
        <v>ACH</v>
      </c>
    </row>
    <row r="1523" spans="1:11" x14ac:dyDescent="0.25">
      <c r="A1523">
        <v>163434</v>
      </c>
      <c r="B1523" s="3">
        <v>46170</v>
      </c>
      <c r="C1523">
        <v>3</v>
      </c>
      <c r="D1523">
        <v>40.72</v>
      </c>
      <c r="E1523">
        <v>923905435</v>
      </c>
      <c r="J1523" t="s">
        <v>29</v>
      </c>
      <c r="K1523" t="str">
        <f>IF(Table3[[#This Row],[Type Received]]=2,"CC",(IF(Table3[[#This Row],[Type Received]]=3,"BILL","ACH")))</f>
        <v>BILL</v>
      </c>
    </row>
    <row r="1524" spans="1:11" x14ac:dyDescent="0.25">
      <c r="A1524">
        <v>163434</v>
      </c>
      <c r="B1524" s="3">
        <v>46160</v>
      </c>
      <c r="C1524">
        <v>3</v>
      </c>
      <c r="D1524">
        <v>40.72</v>
      </c>
      <c r="E1524">
        <v>922766564</v>
      </c>
      <c r="K1524" t="str">
        <f>IF(Table3[[#This Row],[Type Received]]=2,"CC",(IF(Table3[[#This Row],[Type Received]]=3,"BILL","ACH")))</f>
        <v>BILL</v>
      </c>
    </row>
    <row r="1525" spans="1:11" x14ac:dyDescent="0.25">
      <c r="A1525">
        <v>163608</v>
      </c>
      <c r="B1525" s="3">
        <v>46169</v>
      </c>
      <c r="C1525">
        <v>2</v>
      </c>
      <c r="D1525">
        <v>21.64</v>
      </c>
      <c r="F1525" t="s">
        <v>222</v>
      </c>
      <c r="G1525">
        <v>749271671</v>
      </c>
      <c r="H1525">
        <v>356005746</v>
      </c>
      <c r="J1525" t="s">
        <v>29</v>
      </c>
      <c r="K1525" t="str">
        <f>IF(Table3[[#This Row],[Type Received]]=2,"CC",(IF(Table3[[#This Row],[Type Received]]=3,"BILL","ACH")))</f>
        <v>CC</v>
      </c>
    </row>
    <row r="1526" spans="1:11" x14ac:dyDescent="0.25">
      <c r="A1526">
        <v>163608</v>
      </c>
      <c r="B1526" s="3">
        <v>46147</v>
      </c>
      <c r="C1526">
        <v>3</v>
      </c>
      <c r="D1526">
        <v>21.64</v>
      </c>
      <c r="E1526">
        <v>1006</v>
      </c>
      <c r="J1526" t="s">
        <v>29</v>
      </c>
      <c r="K1526" t="str">
        <f>IF(Table3[[#This Row],[Type Received]]=2,"CC",(IF(Table3[[#This Row],[Type Received]]=3,"BILL","ACH")))</f>
        <v>BILL</v>
      </c>
    </row>
    <row r="1527" spans="1:11" x14ac:dyDescent="0.25">
      <c r="A1527">
        <v>163611</v>
      </c>
      <c r="B1527" s="3">
        <v>46143</v>
      </c>
      <c r="C1527">
        <v>2</v>
      </c>
      <c r="D1527">
        <v>65.86</v>
      </c>
      <c r="F1527">
        <v>160430</v>
      </c>
      <c r="G1527" t="s">
        <v>28</v>
      </c>
      <c r="H1527">
        <v>524394618</v>
      </c>
      <c r="I1527" t="s">
        <v>29</v>
      </c>
      <c r="J1527" t="s">
        <v>29</v>
      </c>
      <c r="K1527" t="str">
        <f>IF(Table3[[#This Row],[Type Received]]=2,"CC",(IF(Table3[[#This Row],[Type Received]]=3,"BILL","ACH")))</f>
        <v>CC</v>
      </c>
    </row>
    <row r="1528" spans="1:11" x14ac:dyDescent="0.25">
      <c r="A1528">
        <v>163662</v>
      </c>
      <c r="B1528" s="3">
        <v>46163</v>
      </c>
      <c r="C1528">
        <v>2</v>
      </c>
      <c r="D1528">
        <v>36.130000000000003</v>
      </c>
      <c r="F1528">
        <v>104405</v>
      </c>
      <c r="G1528" t="s">
        <v>28</v>
      </c>
      <c r="H1528">
        <v>775569612</v>
      </c>
      <c r="I1528" t="s">
        <v>29</v>
      </c>
      <c r="J1528" t="s">
        <v>29</v>
      </c>
      <c r="K1528" t="str">
        <f>IF(Table3[[#This Row],[Type Received]]=2,"CC",(IF(Table3[[#This Row],[Type Received]]=3,"BILL","ACH")))</f>
        <v>CC</v>
      </c>
    </row>
    <row r="1529" spans="1:11" x14ac:dyDescent="0.25">
      <c r="A1529">
        <v>163680</v>
      </c>
      <c r="B1529" s="3">
        <v>46159</v>
      </c>
      <c r="C1529">
        <v>1</v>
      </c>
      <c r="D1529">
        <v>50.52</v>
      </c>
      <c r="G1529" t="s">
        <v>221</v>
      </c>
      <c r="H1529">
        <v>721687389</v>
      </c>
      <c r="I1529" t="s">
        <v>29</v>
      </c>
      <c r="J1529" t="s">
        <v>29</v>
      </c>
      <c r="K1529" t="str">
        <f>IF(Table3[[#This Row],[Type Received]]=2,"CC",(IF(Table3[[#This Row],[Type Received]]=3,"BILL","ACH")))</f>
        <v>ACH</v>
      </c>
    </row>
    <row r="1530" spans="1:11" x14ac:dyDescent="0.25">
      <c r="A1530">
        <v>163831</v>
      </c>
      <c r="B1530" s="3">
        <v>46163</v>
      </c>
      <c r="C1530">
        <v>2</v>
      </c>
      <c r="D1530">
        <v>95.55</v>
      </c>
      <c r="F1530" t="s">
        <v>223</v>
      </c>
      <c r="G1530" t="s">
        <v>28</v>
      </c>
      <c r="H1530">
        <v>774064299</v>
      </c>
      <c r="I1530" t="s">
        <v>29</v>
      </c>
      <c r="J1530" t="s">
        <v>29</v>
      </c>
      <c r="K1530" t="str">
        <f>IF(Table3[[#This Row],[Type Received]]=2,"CC",(IF(Table3[[#This Row],[Type Received]]=3,"BILL","ACH")))</f>
        <v>CC</v>
      </c>
    </row>
    <row r="1531" spans="1:11" x14ac:dyDescent="0.25">
      <c r="A1531">
        <v>163891</v>
      </c>
      <c r="B1531" s="3">
        <v>46144</v>
      </c>
      <c r="C1531">
        <v>1</v>
      </c>
      <c r="D1531">
        <v>24.24</v>
      </c>
      <c r="G1531" t="s">
        <v>89</v>
      </c>
      <c r="H1531">
        <v>535373993</v>
      </c>
      <c r="I1531" t="s">
        <v>29</v>
      </c>
      <c r="J1531" t="s">
        <v>29</v>
      </c>
      <c r="K1531" t="str">
        <f>IF(Table3[[#This Row],[Type Received]]=2,"CC",(IF(Table3[[#This Row],[Type Received]]=3,"BILL","ACH")))</f>
        <v>ACH</v>
      </c>
    </row>
    <row r="1532" spans="1:11" x14ac:dyDescent="0.25">
      <c r="A1532">
        <v>163935</v>
      </c>
      <c r="B1532" s="3">
        <v>46155</v>
      </c>
      <c r="C1532">
        <v>1</v>
      </c>
      <c r="D1532">
        <v>80.459999999999994</v>
      </c>
      <c r="G1532" s="4" t="s">
        <v>90</v>
      </c>
      <c r="H1532">
        <v>669427699</v>
      </c>
      <c r="I1532" t="s">
        <v>29</v>
      </c>
      <c r="J1532" t="s">
        <v>29</v>
      </c>
      <c r="K1532" t="str">
        <f>IF(Table3[[#This Row],[Type Received]]=2,"CC",(IF(Table3[[#This Row],[Type Received]]=3,"BILL","ACH")))</f>
        <v>ACH</v>
      </c>
    </row>
    <row r="1533" spans="1:11" x14ac:dyDescent="0.25">
      <c r="A1533">
        <v>163964</v>
      </c>
      <c r="B1533" s="3">
        <v>46167</v>
      </c>
      <c r="C1533">
        <v>1</v>
      </c>
      <c r="D1533">
        <v>16.059999999999999</v>
      </c>
      <c r="G1533" t="s">
        <v>85</v>
      </c>
      <c r="H1533">
        <v>818362343</v>
      </c>
      <c r="I1533" t="s">
        <v>29</v>
      </c>
      <c r="J1533" t="s">
        <v>29</v>
      </c>
      <c r="K1533" t="str">
        <f>IF(Table3[[#This Row],[Type Received]]=2,"CC",(IF(Table3[[#This Row],[Type Received]]=3,"BILL","ACH")))</f>
        <v>ACH</v>
      </c>
    </row>
    <row r="1534" spans="1:11" x14ac:dyDescent="0.25">
      <c r="A1534">
        <v>163967</v>
      </c>
      <c r="B1534" s="3">
        <v>46159</v>
      </c>
      <c r="C1534">
        <v>1</v>
      </c>
      <c r="D1534">
        <v>19.7</v>
      </c>
      <c r="G1534" t="s">
        <v>221</v>
      </c>
      <c r="H1534">
        <v>721688399</v>
      </c>
      <c r="I1534" t="s">
        <v>29</v>
      </c>
      <c r="J1534" t="s">
        <v>29</v>
      </c>
      <c r="K1534" t="str">
        <f>IF(Table3[[#This Row],[Type Received]]=2,"CC",(IF(Table3[[#This Row],[Type Received]]=3,"BILL","ACH")))</f>
        <v>ACH</v>
      </c>
    </row>
    <row r="1535" spans="1:11" x14ac:dyDescent="0.25">
      <c r="A1535">
        <v>164024</v>
      </c>
      <c r="B1535" s="3">
        <v>46167</v>
      </c>
      <c r="C1535">
        <v>1</v>
      </c>
      <c r="D1535">
        <v>11.92</v>
      </c>
      <c r="G1535" t="s">
        <v>85</v>
      </c>
      <c r="H1535">
        <v>818353518</v>
      </c>
      <c r="I1535" t="s">
        <v>29</v>
      </c>
      <c r="K1535" t="str">
        <f>IF(Table3[[#This Row],[Type Received]]=2,"CC",(IF(Table3[[#This Row],[Type Received]]=3,"BILL","ACH")))</f>
        <v>ACH</v>
      </c>
    </row>
    <row r="1536" spans="1:11" x14ac:dyDescent="0.25">
      <c r="A1536">
        <v>164025</v>
      </c>
      <c r="B1536" s="3">
        <v>46167</v>
      </c>
      <c r="C1536">
        <v>1</v>
      </c>
      <c r="D1536">
        <v>13.8</v>
      </c>
      <c r="G1536" t="s">
        <v>85</v>
      </c>
      <c r="H1536">
        <v>818361350</v>
      </c>
      <c r="I1536" t="s">
        <v>29</v>
      </c>
      <c r="J1536" t="s">
        <v>29</v>
      </c>
      <c r="K1536" t="str">
        <f>IF(Table3[[#This Row],[Type Received]]=2,"CC",(IF(Table3[[#This Row],[Type Received]]=3,"BILL","ACH")))</f>
        <v>ACH</v>
      </c>
    </row>
    <row r="1537" spans="1:11" x14ac:dyDescent="0.25">
      <c r="A1537">
        <v>164048</v>
      </c>
      <c r="B1537" s="3">
        <v>46144</v>
      </c>
      <c r="C1537">
        <v>1</v>
      </c>
      <c r="D1537">
        <v>23.16</v>
      </c>
      <c r="G1537" t="s">
        <v>89</v>
      </c>
      <c r="H1537">
        <v>535400106</v>
      </c>
      <c r="I1537" t="s">
        <v>29</v>
      </c>
      <c r="K1537" t="str">
        <f>IF(Table3[[#This Row],[Type Received]]=2,"CC",(IF(Table3[[#This Row],[Type Received]]=3,"BILL","ACH")))</f>
        <v>ACH</v>
      </c>
    </row>
    <row r="1538" spans="1:11" x14ac:dyDescent="0.25">
      <c r="A1538">
        <v>164108</v>
      </c>
      <c r="B1538" s="3">
        <v>46144</v>
      </c>
      <c r="C1538">
        <v>1</v>
      </c>
      <c r="D1538">
        <v>12.46</v>
      </c>
      <c r="G1538" t="s">
        <v>89</v>
      </c>
      <c r="H1538">
        <v>535374010</v>
      </c>
      <c r="I1538" t="s">
        <v>29</v>
      </c>
      <c r="J1538" t="s">
        <v>29</v>
      </c>
      <c r="K1538" t="str">
        <f>IF(Table3[[#This Row],[Type Received]]=2,"CC",(IF(Table3[[#This Row],[Type Received]]=3,"BILL","ACH")))</f>
        <v>ACH</v>
      </c>
    </row>
    <row r="1539" spans="1:11" x14ac:dyDescent="0.25">
      <c r="A1539">
        <v>164262</v>
      </c>
      <c r="B1539" s="3">
        <v>46146</v>
      </c>
      <c r="C1539">
        <v>3</v>
      </c>
      <c r="D1539">
        <v>42.84</v>
      </c>
      <c r="E1539">
        <v>125</v>
      </c>
      <c r="J1539" t="s">
        <v>29</v>
      </c>
      <c r="K1539" t="str">
        <f>IF(Table3[[#This Row],[Type Received]]=2,"CC",(IF(Table3[[#This Row],[Type Received]]=3,"BILL","ACH")))</f>
        <v>BILL</v>
      </c>
    </row>
    <row r="1540" spans="1:11" x14ac:dyDescent="0.25">
      <c r="A1540">
        <v>164349</v>
      </c>
      <c r="B1540" s="3">
        <v>46159</v>
      </c>
      <c r="C1540">
        <v>1</v>
      </c>
      <c r="D1540">
        <v>23.75</v>
      </c>
      <c r="G1540" t="s">
        <v>221</v>
      </c>
      <c r="H1540">
        <v>721685480</v>
      </c>
      <c r="I1540" t="s">
        <v>29</v>
      </c>
      <c r="J1540" t="s">
        <v>29</v>
      </c>
      <c r="K1540" t="str">
        <f>IF(Table3[[#This Row],[Type Received]]=2,"CC",(IF(Table3[[#This Row],[Type Received]]=3,"BILL","ACH")))</f>
        <v>ACH</v>
      </c>
    </row>
    <row r="1541" spans="1:11" x14ac:dyDescent="0.25">
      <c r="A1541">
        <v>164362</v>
      </c>
      <c r="B1541" s="3">
        <v>46167</v>
      </c>
      <c r="C1541">
        <v>1</v>
      </c>
      <c r="D1541">
        <v>18.89</v>
      </c>
      <c r="G1541" t="s">
        <v>85</v>
      </c>
      <c r="H1541">
        <v>818353533</v>
      </c>
      <c r="I1541" t="s">
        <v>29</v>
      </c>
      <c r="J1541" t="s">
        <v>29</v>
      </c>
      <c r="K1541" t="str">
        <f>IF(Table3[[#This Row],[Type Received]]=2,"CC",(IF(Table3[[#This Row],[Type Received]]=3,"BILL","ACH")))</f>
        <v>ACH</v>
      </c>
    </row>
    <row r="1542" spans="1:11" x14ac:dyDescent="0.25">
      <c r="A1542">
        <v>164430</v>
      </c>
      <c r="B1542" s="3">
        <v>46144</v>
      </c>
      <c r="C1542">
        <v>1</v>
      </c>
      <c r="D1542">
        <v>26.47</v>
      </c>
      <c r="G1542" t="s">
        <v>89</v>
      </c>
      <c r="H1542">
        <v>535396282</v>
      </c>
      <c r="I1542" t="s">
        <v>29</v>
      </c>
      <c r="J1542" t="s">
        <v>29</v>
      </c>
      <c r="K1542" t="str">
        <f>IF(Table3[[#This Row],[Type Received]]=2,"CC",(IF(Table3[[#This Row],[Type Received]]=3,"BILL","ACH")))</f>
        <v>ACH</v>
      </c>
    </row>
    <row r="1543" spans="1:11" x14ac:dyDescent="0.25">
      <c r="A1543">
        <v>164493</v>
      </c>
      <c r="B1543" s="3">
        <v>46144</v>
      </c>
      <c r="C1543">
        <v>1</v>
      </c>
      <c r="D1543">
        <v>16.600000000000001</v>
      </c>
      <c r="G1543" t="s">
        <v>89</v>
      </c>
      <c r="H1543">
        <v>535398287</v>
      </c>
      <c r="I1543" t="s">
        <v>29</v>
      </c>
      <c r="J1543" t="s">
        <v>29</v>
      </c>
      <c r="K1543" t="str">
        <f>IF(Table3[[#This Row],[Type Received]]=2,"CC",(IF(Table3[[#This Row],[Type Received]]=3,"BILL","ACH")))</f>
        <v>ACH</v>
      </c>
    </row>
    <row r="1544" spans="1:11" x14ac:dyDescent="0.25">
      <c r="A1544">
        <v>164678</v>
      </c>
      <c r="B1544" s="3">
        <v>46143</v>
      </c>
      <c r="C1544">
        <v>3</v>
      </c>
      <c r="D1544">
        <v>43.78</v>
      </c>
      <c r="E1544">
        <v>3078</v>
      </c>
      <c r="J1544" t="s">
        <v>29</v>
      </c>
      <c r="K1544" t="str">
        <f>IF(Table3[[#This Row],[Type Received]]=2,"CC",(IF(Table3[[#This Row],[Type Received]]=3,"BILL","ACH")))</f>
        <v>BILL</v>
      </c>
    </row>
    <row r="1545" spans="1:11" x14ac:dyDescent="0.25">
      <c r="A1545">
        <v>164781</v>
      </c>
      <c r="B1545" s="3">
        <v>46149</v>
      </c>
      <c r="C1545">
        <v>2</v>
      </c>
      <c r="D1545">
        <v>425.61</v>
      </c>
      <c r="F1545" t="s">
        <v>224</v>
      </c>
      <c r="G1545" t="s">
        <v>28</v>
      </c>
      <c r="H1545">
        <v>594463519</v>
      </c>
      <c r="I1545" t="s">
        <v>29</v>
      </c>
      <c r="J1545" t="s">
        <v>29</v>
      </c>
      <c r="K1545" t="str">
        <f>IF(Table3[[#This Row],[Type Received]]=2,"CC",(IF(Table3[[#This Row],[Type Received]]=3,"BILL","ACH")))</f>
        <v>CC</v>
      </c>
    </row>
    <row r="1546" spans="1:11" x14ac:dyDescent="0.25">
      <c r="A1546">
        <v>164980</v>
      </c>
      <c r="B1546" s="3">
        <v>46150</v>
      </c>
      <c r="C1546">
        <v>2</v>
      </c>
      <c r="D1546">
        <v>16.34</v>
      </c>
      <c r="F1546">
        <v>135994</v>
      </c>
      <c r="G1546" s="4">
        <v>743671591</v>
      </c>
      <c r="H1546">
        <v>353967312</v>
      </c>
      <c r="J1546" t="s">
        <v>29</v>
      </c>
      <c r="K1546" t="str">
        <f>IF(Table3[[#This Row],[Type Received]]=2,"CC",(IF(Table3[[#This Row],[Type Received]]=3,"BILL","ACH")))</f>
        <v>CC</v>
      </c>
    </row>
    <row r="1547" spans="1:11" x14ac:dyDescent="0.25">
      <c r="A1547">
        <v>165048</v>
      </c>
      <c r="B1547" s="3">
        <v>46167</v>
      </c>
      <c r="C1547">
        <v>1</v>
      </c>
      <c r="D1547">
        <v>35.04</v>
      </c>
      <c r="G1547" t="s">
        <v>85</v>
      </c>
      <c r="H1547">
        <v>818342027</v>
      </c>
      <c r="I1547" t="s">
        <v>29</v>
      </c>
      <c r="J1547" t="s">
        <v>29</v>
      </c>
      <c r="K1547" t="str">
        <f>IF(Table3[[#This Row],[Type Received]]=2,"CC",(IF(Table3[[#This Row],[Type Received]]=3,"BILL","ACH")))</f>
        <v>ACH</v>
      </c>
    </row>
    <row r="1548" spans="1:11" x14ac:dyDescent="0.25">
      <c r="A1548">
        <v>165086</v>
      </c>
      <c r="B1548" s="3">
        <v>46168</v>
      </c>
      <c r="C1548">
        <v>3</v>
      </c>
      <c r="D1548">
        <v>19.87</v>
      </c>
      <c r="E1548">
        <v>1034</v>
      </c>
      <c r="K1548" t="str">
        <f>IF(Table3[[#This Row],[Type Received]]=2,"CC",(IF(Table3[[#This Row],[Type Received]]=3,"BILL","ACH")))</f>
        <v>BILL</v>
      </c>
    </row>
    <row r="1549" spans="1:11" x14ac:dyDescent="0.25">
      <c r="A1549">
        <v>165163</v>
      </c>
      <c r="B1549" s="3">
        <v>46143</v>
      </c>
      <c r="C1549">
        <v>3</v>
      </c>
      <c r="D1549">
        <v>52.5</v>
      </c>
      <c r="E1549">
        <v>9792</v>
      </c>
      <c r="J1549" t="s">
        <v>29</v>
      </c>
      <c r="K1549" t="str">
        <f>IF(Table3[[#This Row],[Type Received]]=2,"CC",(IF(Table3[[#This Row],[Type Received]]=3,"BILL","ACH")))</f>
        <v>BILL</v>
      </c>
    </row>
    <row r="1550" spans="1:11" x14ac:dyDescent="0.25">
      <c r="A1550">
        <v>165202</v>
      </c>
      <c r="B1550" s="3">
        <v>46170</v>
      </c>
      <c r="C1550">
        <v>2</v>
      </c>
      <c r="D1550">
        <v>83.92</v>
      </c>
      <c r="F1550">
        <v>16781</v>
      </c>
      <c r="G1550" t="s">
        <v>28</v>
      </c>
      <c r="H1550">
        <v>856700444</v>
      </c>
      <c r="I1550" t="s">
        <v>29</v>
      </c>
      <c r="J1550" t="s">
        <v>29</v>
      </c>
      <c r="K1550" t="str">
        <f>IF(Table3[[#This Row],[Type Received]]=2,"CC",(IF(Table3[[#This Row],[Type Received]]=3,"BILL","ACH")))</f>
        <v>CC</v>
      </c>
    </row>
    <row r="1551" spans="1:11" x14ac:dyDescent="0.25">
      <c r="A1551">
        <v>165408</v>
      </c>
      <c r="B1551" s="3">
        <v>46143</v>
      </c>
      <c r="C1551">
        <v>2</v>
      </c>
      <c r="D1551">
        <v>27.76</v>
      </c>
      <c r="F1551">
        <v>80477</v>
      </c>
      <c r="G1551" t="s">
        <v>28</v>
      </c>
      <c r="H1551">
        <v>522255543</v>
      </c>
      <c r="I1551" t="s">
        <v>29</v>
      </c>
      <c r="J1551" t="s">
        <v>29</v>
      </c>
      <c r="K1551" t="str">
        <f>IF(Table3[[#This Row],[Type Received]]=2,"CC",(IF(Table3[[#This Row],[Type Received]]=3,"BILL","ACH")))</f>
        <v>CC</v>
      </c>
    </row>
    <row r="1552" spans="1:11" x14ac:dyDescent="0.25">
      <c r="A1552">
        <v>165419</v>
      </c>
      <c r="B1552" s="3">
        <v>46143</v>
      </c>
      <c r="C1552">
        <v>2</v>
      </c>
      <c r="D1552">
        <v>25.02</v>
      </c>
      <c r="F1552">
        <v>618010</v>
      </c>
      <c r="G1552">
        <v>741374152</v>
      </c>
      <c r="H1552">
        <v>353160995</v>
      </c>
      <c r="J1552" t="s">
        <v>29</v>
      </c>
      <c r="K1552" t="str">
        <f>IF(Table3[[#This Row],[Type Received]]=2,"CC",(IF(Table3[[#This Row],[Type Received]]=3,"BILL","ACH")))</f>
        <v>CC</v>
      </c>
    </row>
    <row r="1553" spans="1:11" x14ac:dyDescent="0.25">
      <c r="A1553">
        <v>165448</v>
      </c>
      <c r="B1553" s="3">
        <v>46164</v>
      </c>
      <c r="C1553">
        <v>2</v>
      </c>
      <c r="D1553">
        <v>100.72</v>
      </c>
      <c r="F1553" t="s">
        <v>225</v>
      </c>
      <c r="G1553">
        <v>747909705</v>
      </c>
      <c r="H1553">
        <v>355510666</v>
      </c>
      <c r="J1553" t="s">
        <v>29</v>
      </c>
      <c r="K1553" t="str">
        <f>IF(Table3[[#This Row],[Type Received]]=2,"CC",(IF(Table3[[#This Row],[Type Received]]=3,"BILL","ACH")))</f>
        <v>CC</v>
      </c>
    </row>
    <row r="1554" spans="1:11" x14ac:dyDescent="0.25">
      <c r="A1554">
        <v>165504</v>
      </c>
      <c r="B1554" s="3">
        <v>46157</v>
      </c>
      <c r="C1554">
        <v>1</v>
      </c>
      <c r="D1554">
        <v>17.86</v>
      </c>
      <c r="G1554" t="s">
        <v>87</v>
      </c>
      <c r="H1554">
        <v>696709821</v>
      </c>
      <c r="I1554" t="s">
        <v>29</v>
      </c>
      <c r="J1554" t="s">
        <v>29</v>
      </c>
      <c r="K1554" t="str">
        <f>IF(Table3[[#This Row],[Type Received]]=2,"CC",(IF(Table3[[#This Row],[Type Received]]=3,"BILL","ACH")))</f>
        <v>ACH</v>
      </c>
    </row>
    <row r="1555" spans="1:11" x14ac:dyDescent="0.25">
      <c r="A1555">
        <v>165512</v>
      </c>
      <c r="B1555" s="3">
        <v>46143</v>
      </c>
      <c r="C1555">
        <v>1</v>
      </c>
      <c r="D1555">
        <v>13.76</v>
      </c>
      <c r="G1555" t="s">
        <v>84</v>
      </c>
      <c r="H1555">
        <v>522220508</v>
      </c>
      <c r="I1555" t="s">
        <v>29</v>
      </c>
      <c r="J1555" t="s">
        <v>29</v>
      </c>
      <c r="K1555" t="str">
        <f>IF(Table3[[#This Row],[Type Received]]=2,"CC",(IF(Table3[[#This Row],[Type Received]]=3,"BILL","ACH")))</f>
        <v>ACH</v>
      </c>
    </row>
    <row r="1556" spans="1:11" x14ac:dyDescent="0.25">
      <c r="A1556">
        <v>165524</v>
      </c>
      <c r="B1556" s="3">
        <v>46161</v>
      </c>
      <c r="C1556">
        <v>2</v>
      </c>
      <c r="D1556">
        <v>140.38</v>
      </c>
      <c r="F1556">
        <v>304786</v>
      </c>
      <c r="G1556">
        <v>746805329</v>
      </c>
      <c r="H1556">
        <v>355105322</v>
      </c>
      <c r="J1556" t="s">
        <v>29</v>
      </c>
      <c r="K1556" t="str">
        <f>IF(Table3[[#This Row],[Type Received]]=2,"CC",(IF(Table3[[#This Row],[Type Received]]=3,"BILL","ACH")))</f>
        <v>CC</v>
      </c>
    </row>
    <row r="1557" spans="1:11" x14ac:dyDescent="0.25">
      <c r="A1557">
        <v>165533</v>
      </c>
      <c r="B1557" s="3">
        <v>46155</v>
      </c>
      <c r="C1557">
        <v>2</v>
      </c>
      <c r="D1557">
        <v>37.83</v>
      </c>
      <c r="F1557">
        <v>102237</v>
      </c>
      <c r="G1557" t="s">
        <v>28</v>
      </c>
      <c r="H1557">
        <v>669487539</v>
      </c>
      <c r="I1557" t="s">
        <v>29</v>
      </c>
      <c r="J1557" t="s">
        <v>29</v>
      </c>
      <c r="K1557" t="str">
        <f>IF(Table3[[#This Row],[Type Received]]=2,"CC",(IF(Table3[[#This Row],[Type Received]]=3,"BILL","ACH")))</f>
        <v>CC</v>
      </c>
    </row>
    <row r="1558" spans="1:11" x14ac:dyDescent="0.25">
      <c r="A1558">
        <v>165592</v>
      </c>
      <c r="B1558" s="3">
        <v>46164</v>
      </c>
      <c r="C1558">
        <v>3</v>
      </c>
      <c r="D1558">
        <v>69.94</v>
      </c>
      <c r="E1558">
        <v>3393</v>
      </c>
      <c r="J1558" t="s">
        <v>29</v>
      </c>
      <c r="K1558" t="str">
        <f>IF(Table3[[#This Row],[Type Received]]=2,"CC",(IF(Table3[[#This Row],[Type Received]]=3,"BILL","ACH")))</f>
        <v>BILL</v>
      </c>
    </row>
    <row r="1559" spans="1:11" x14ac:dyDescent="0.25">
      <c r="A1559">
        <v>165633</v>
      </c>
      <c r="B1559" s="3">
        <v>46157</v>
      </c>
      <c r="C1559">
        <v>1</v>
      </c>
      <c r="D1559">
        <v>25.64</v>
      </c>
      <c r="G1559" t="s">
        <v>87</v>
      </c>
      <c r="H1559">
        <v>696725212</v>
      </c>
      <c r="I1559" t="s">
        <v>29</v>
      </c>
      <c r="J1559" t="s">
        <v>29</v>
      </c>
      <c r="K1559" t="str">
        <f>IF(Table3[[#This Row],[Type Received]]=2,"CC",(IF(Table3[[#This Row],[Type Received]]=3,"BILL","ACH")))</f>
        <v>ACH</v>
      </c>
    </row>
    <row r="1560" spans="1:11" x14ac:dyDescent="0.25">
      <c r="A1560">
        <v>165703</v>
      </c>
      <c r="B1560" s="3">
        <v>46169</v>
      </c>
      <c r="C1560">
        <v>3</v>
      </c>
      <c r="D1560">
        <v>35.14</v>
      </c>
      <c r="E1560">
        <v>888362</v>
      </c>
      <c r="J1560" t="s">
        <v>29</v>
      </c>
      <c r="K1560" t="str">
        <f>IF(Table3[[#This Row],[Type Received]]=2,"CC",(IF(Table3[[#This Row],[Type Received]]=3,"BILL","ACH")))</f>
        <v>BILL</v>
      </c>
    </row>
    <row r="1561" spans="1:11" x14ac:dyDescent="0.25">
      <c r="A1561">
        <v>165876</v>
      </c>
      <c r="B1561" s="3">
        <v>46147</v>
      </c>
      <c r="C1561">
        <v>3</v>
      </c>
      <c r="D1561">
        <v>18.18</v>
      </c>
      <c r="E1561">
        <v>19823328590</v>
      </c>
      <c r="J1561" t="s">
        <v>29</v>
      </c>
      <c r="K1561" t="str">
        <f>IF(Table3[[#This Row],[Type Received]]=2,"CC",(IF(Table3[[#This Row],[Type Received]]=3,"BILL","ACH")))</f>
        <v>BILL</v>
      </c>
    </row>
    <row r="1562" spans="1:11" x14ac:dyDescent="0.25">
      <c r="A1562">
        <v>165935</v>
      </c>
      <c r="B1562" s="3">
        <v>46143</v>
      </c>
      <c r="C1562">
        <v>3</v>
      </c>
      <c r="D1562">
        <v>19.579999999999998</v>
      </c>
      <c r="E1562">
        <v>1039</v>
      </c>
      <c r="J1562" t="s">
        <v>29</v>
      </c>
      <c r="K1562" t="str">
        <f>IF(Table3[[#This Row],[Type Received]]=2,"CC",(IF(Table3[[#This Row],[Type Received]]=3,"BILL","ACH")))</f>
        <v>BILL</v>
      </c>
    </row>
    <row r="1563" spans="1:11" x14ac:dyDescent="0.25">
      <c r="A1563">
        <v>165984</v>
      </c>
      <c r="B1563" s="3">
        <v>46144</v>
      </c>
      <c r="C1563">
        <v>1</v>
      </c>
      <c r="D1563">
        <v>28.11</v>
      </c>
      <c r="G1563" t="s">
        <v>89</v>
      </c>
      <c r="H1563">
        <v>535373032</v>
      </c>
      <c r="I1563" t="s">
        <v>29</v>
      </c>
      <c r="J1563" t="s">
        <v>29</v>
      </c>
      <c r="K1563" t="str">
        <f>IF(Table3[[#This Row],[Type Received]]=2,"CC",(IF(Table3[[#This Row],[Type Received]]=3,"BILL","ACH")))</f>
        <v>ACH</v>
      </c>
    </row>
    <row r="1564" spans="1:11" x14ac:dyDescent="0.25">
      <c r="A1564">
        <v>166028</v>
      </c>
      <c r="B1564" s="3">
        <v>46167</v>
      </c>
      <c r="C1564">
        <v>1</v>
      </c>
      <c r="D1564">
        <v>17.5</v>
      </c>
      <c r="G1564" t="s">
        <v>85</v>
      </c>
      <c r="H1564">
        <v>818365312</v>
      </c>
      <c r="I1564" t="s">
        <v>29</v>
      </c>
      <c r="J1564" t="s">
        <v>29</v>
      </c>
      <c r="K1564" t="str">
        <f>IF(Table3[[#This Row],[Type Received]]=2,"CC",(IF(Table3[[#This Row],[Type Received]]=3,"BILL","ACH")))</f>
        <v>ACH</v>
      </c>
    </row>
    <row r="1565" spans="1:11" x14ac:dyDescent="0.25">
      <c r="A1565">
        <v>166101</v>
      </c>
      <c r="B1565" s="3">
        <v>46169</v>
      </c>
      <c r="C1565">
        <v>3</v>
      </c>
      <c r="D1565">
        <v>43.1</v>
      </c>
      <c r="E1565">
        <v>5401681951</v>
      </c>
      <c r="J1565" t="s">
        <v>29</v>
      </c>
      <c r="K1565" t="str">
        <f>IF(Table3[[#This Row],[Type Received]]=2,"CC",(IF(Table3[[#This Row],[Type Received]]=3,"BILL","ACH")))</f>
        <v>BILL</v>
      </c>
    </row>
    <row r="1566" spans="1:11" x14ac:dyDescent="0.25">
      <c r="A1566">
        <v>166214</v>
      </c>
      <c r="B1566" s="3">
        <v>46167</v>
      </c>
      <c r="C1566">
        <v>1</v>
      </c>
      <c r="D1566">
        <v>20.64</v>
      </c>
      <c r="G1566" t="s">
        <v>85</v>
      </c>
      <c r="H1566">
        <v>818345892</v>
      </c>
      <c r="I1566" t="s">
        <v>29</v>
      </c>
      <c r="J1566" t="s">
        <v>29</v>
      </c>
      <c r="K1566" t="str">
        <f>IF(Table3[[#This Row],[Type Received]]=2,"CC",(IF(Table3[[#This Row],[Type Received]]=3,"BILL","ACH")))</f>
        <v>ACH</v>
      </c>
    </row>
    <row r="1567" spans="1:11" x14ac:dyDescent="0.25">
      <c r="A1567">
        <v>166268</v>
      </c>
      <c r="B1567" s="3">
        <v>46171</v>
      </c>
      <c r="C1567">
        <v>2</v>
      </c>
      <c r="D1567">
        <v>113.34</v>
      </c>
      <c r="F1567">
        <v>111146</v>
      </c>
      <c r="G1567" t="s">
        <v>28</v>
      </c>
      <c r="H1567">
        <v>870660862</v>
      </c>
      <c r="I1567" t="s">
        <v>29</v>
      </c>
      <c r="J1567" t="s">
        <v>29</v>
      </c>
      <c r="K1567" t="str">
        <f>IF(Table3[[#This Row],[Type Received]]=2,"CC",(IF(Table3[[#This Row],[Type Received]]=3,"BILL","ACH")))</f>
        <v>CC</v>
      </c>
    </row>
    <row r="1568" spans="1:11" x14ac:dyDescent="0.25">
      <c r="A1568">
        <v>166268</v>
      </c>
      <c r="B1568" s="3">
        <v>46143</v>
      </c>
      <c r="C1568">
        <v>2</v>
      </c>
      <c r="D1568">
        <v>225.68</v>
      </c>
      <c r="F1568">
        <v>134211</v>
      </c>
      <c r="G1568" t="s">
        <v>28</v>
      </c>
      <c r="H1568">
        <v>527266456</v>
      </c>
      <c r="I1568" t="s">
        <v>29</v>
      </c>
      <c r="J1568" t="s">
        <v>29</v>
      </c>
      <c r="K1568" t="str">
        <f>IF(Table3[[#This Row],[Type Received]]=2,"CC",(IF(Table3[[#This Row],[Type Received]]=3,"BILL","ACH")))</f>
        <v>CC</v>
      </c>
    </row>
    <row r="1569" spans="1:11" x14ac:dyDescent="0.25">
      <c r="A1569">
        <v>166313</v>
      </c>
      <c r="B1569" s="3">
        <v>46144</v>
      </c>
      <c r="C1569">
        <v>1</v>
      </c>
      <c r="D1569">
        <v>23.48</v>
      </c>
      <c r="G1569" t="s">
        <v>89</v>
      </c>
      <c r="H1569">
        <v>535393370</v>
      </c>
      <c r="I1569" t="s">
        <v>29</v>
      </c>
      <c r="J1569" t="s">
        <v>29</v>
      </c>
      <c r="K1569" t="str">
        <f>IF(Table3[[#This Row],[Type Received]]=2,"CC",(IF(Table3[[#This Row],[Type Received]]=3,"BILL","ACH")))</f>
        <v>ACH</v>
      </c>
    </row>
    <row r="1570" spans="1:11" x14ac:dyDescent="0.25">
      <c r="A1570">
        <v>166364</v>
      </c>
      <c r="B1570" s="3">
        <v>46146</v>
      </c>
      <c r="C1570">
        <v>3</v>
      </c>
      <c r="D1570">
        <v>61.72</v>
      </c>
      <c r="E1570">
        <v>4580</v>
      </c>
      <c r="G1570" s="4"/>
      <c r="J1570" t="s">
        <v>29</v>
      </c>
      <c r="K1570" t="str">
        <f>IF(Table3[[#This Row],[Type Received]]=2,"CC",(IF(Table3[[#This Row],[Type Received]]=3,"BILL","ACH")))</f>
        <v>BILL</v>
      </c>
    </row>
    <row r="1571" spans="1:11" x14ac:dyDescent="0.25">
      <c r="A1571">
        <v>166480</v>
      </c>
      <c r="B1571" s="3">
        <v>46155</v>
      </c>
      <c r="C1571">
        <v>2</v>
      </c>
      <c r="D1571">
        <v>25.32</v>
      </c>
      <c r="F1571">
        <v>411</v>
      </c>
      <c r="G1571" t="s">
        <v>28</v>
      </c>
      <c r="H1571">
        <v>669493410</v>
      </c>
      <c r="I1571" t="s">
        <v>29</v>
      </c>
      <c r="J1571" t="s">
        <v>29</v>
      </c>
      <c r="K1571" t="str">
        <f>IF(Table3[[#This Row],[Type Received]]=2,"CC",(IF(Table3[[#This Row],[Type Received]]=3,"BILL","ACH")))</f>
        <v>CC</v>
      </c>
    </row>
    <row r="1572" spans="1:11" x14ac:dyDescent="0.25">
      <c r="A1572">
        <v>166488</v>
      </c>
      <c r="B1572" s="3">
        <v>46167</v>
      </c>
      <c r="C1572">
        <v>1</v>
      </c>
      <c r="D1572">
        <v>21</v>
      </c>
      <c r="G1572" t="s">
        <v>85</v>
      </c>
      <c r="H1572">
        <v>818364325</v>
      </c>
      <c r="I1572" t="s">
        <v>29</v>
      </c>
      <c r="J1572" t="s">
        <v>29</v>
      </c>
      <c r="K1572" t="str">
        <f>IF(Table3[[#This Row],[Type Received]]=2,"CC",(IF(Table3[[#This Row],[Type Received]]=3,"BILL","ACH")))</f>
        <v>ACH</v>
      </c>
    </row>
    <row r="1573" spans="1:11" x14ac:dyDescent="0.25">
      <c r="A1573">
        <v>166505</v>
      </c>
      <c r="B1573" s="3">
        <v>46167</v>
      </c>
      <c r="C1573">
        <v>1</v>
      </c>
      <c r="D1573">
        <v>51.42</v>
      </c>
      <c r="G1573" t="s">
        <v>85</v>
      </c>
      <c r="H1573">
        <v>818350749</v>
      </c>
      <c r="I1573" t="s">
        <v>29</v>
      </c>
      <c r="J1573" t="s">
        <v>29</v>
      </c>
      <c r="K1573" t="str">
        <f>IF(Table3[[#This Row],[Type Received]]=2,"CC",(IF(Table3[[#This Row],[Type Received]]=3,"BILL","ACH")))</f>
        <v>ACH</v>
      </c>
    </row>
    <row r="1574" spans="1:11" x14ac:dyDescent="0.25">
      <c r="A1574">
        <v>166517</v>
      </c>
      <c r="B1574" s="3">
        <v>46144</v>
      </c>
      <c r="C1574">
        <v>1</v>
      </c>
      <c r="D1574">
        <v>34.049999999999997</v>
      </c>
      <c r="G1574" t="s">
        <v>89</v>
      </c>
      <c r="H1574">
        <v>535379854</v>
      </c>
      <c r="I1574" t="s">
        <v>29</v>
      </c>
      <c r="J1574" t="s">
        <v>29</v>
      </c>
      <c r="K1574" t="str">
        <f>IF(Table3[[#This Row],[Type Received]]=2,"CC",(IF(Table3[[#This Row],[Type Received]]=3,"BILL","ACH")))</f>
        <v>ACH</v>
      </c>
    </row>
    <row r="1575" spans="1:11" x14ac:dyDescent="0.25">
      <c r="A1575">
        <v>166619</v>
      </c>
      <c r="B1575" s="3">
        <v>46167</v>
      </c>
      <c r="C1575">
        <v>1</v>
      </c>
      <c r="D1575">
        <v>14.44</v>
      </c>
      <c r="G1575" t="s">
        <v>85</v>
      </c>
      <c r="H1575">
        <v>818346896</v>
      </c>
      <c r="I1575" t="s">
        <v>29</v>
      </c>
      <c r="J1575" t="s">
        <v>29</v>
      </c>
      <c r="K1575" t="str">
        <f>IF(Table3[[#This Row],[Type Received]]=2,"CC",(IF(Table3[[#This Row],[Type Received]]=3,"BILL","ACH")))</f>
        <v>ACH</v>
      </c>
    </row>
    <row r="1576" spans="1:11" x14ac:dyDescent="0.25">
      <c r="A1576">
        <v>166815</v>
      </c>
      <c r="B1576" s="3">
        <v>46143</v>
      </c>
      <c r="C1576">
        <v>3</v>
      </c>
      <c r="D1576">
        <v>42.37</v>
      </c>
      <c r="E1576">
        <v>74377797</v>
      </c>
      <c r="J1576" t="s">
        <v>29</v>
      </c>
      <c r="K1576" t="str">
        <f>IF(Table3[[#This Row],[Type Received]]=2,"CC",(IF(Table3[[#This Row],[Type Received]]=3,"BILL","ACH")))</f>
        <v>BILL</v>
      </c>
    </row>
    <row r="1577" spans="1:11" x14ac:dyDescent="0.25">
      <c r="A1577">
        <v>166873</v>
      </c>
      <c r="B1577" s="3">
        <v>46171</v>
      </c>
      <c r="C1577">
        <v>1</v>
      </c>
      <c r="D1577">
        <v>46.9</v>
      </c>
      <c r="G1577" t="s">
        <v>226</v>
      </c>
      <c r="H1577">
        <v>868402269</v>
      </c>
      <c r="I1577" t="s">
        <v>29</v>
      </c>
      <c r="J1577" t="s">
        <v>29</v>
      </c>
      <c r="K1577" t="str">
        <f>IF(Table3[[#This Row],[Type Received]]=2,"CC",(IF(Table3[[#This Row],[Type Received]]=3,"BILL","ACH")))</f>
        <v>ACH</v>
      </c>
    </row>
    <row r="1578" spans="1:11" x14ac:dyDescent="0.25">
      <c r="A1578">
        <v>166873</v>
      </c>
      <c r="B1578" s="3">
        <v>46155</v>
      </c>
      <c r="C1578">
        <v>1</v>
      </c>
      <c r="D1578">
        <v>46.9</v>
      </c>
      <c r="G1578" t="s">
        <v>90</v>
      </c>
      <c r="H1578">
        <v>673811589</v>
      </c>
      <c r="I1578" t="s">
        <v>29</v>
      </c>
      <c r="J1578" t="s">
        <v>29</v>
      </c>
      <c r="K1578" t="str">
        <f>IF(Table3[[#This Row],[Type Received]]=2,"CC",(IF(Table3[[#This Row],[Type Received]]=3,"BILL","ACH")))</f>
        <v>ACH</v>
      </c>
    </row>
    <row r="1579" spans="1:11" x14ac:dyDescent="0.25">
      <c r="A1579">
        <v>166889</v>
      </c>
      <c r="B1579" s="3">
        <v>46148</v>
      </c>
      <c r="C1579">
        <v>1</v>
      </c>
      <c r="D1579">
        <v>18.579999999999998</v>
      </c>
      <c r="G1579" t="s">
        <v>126</v>
      </c>
      <c r="H1579">
        <v>582147200</v>
      </c>
      <c r="I1579" t="s">
        <v>29</v>
      </c>
      <c r="J1579" t="s">
        <v>29</v>
      </c>
      <c r="K1579" t="str">
        <f>IF(Table3[[#This Row],[Type Received]]=2,"CC",(IF(Table3[[#This Row],[Type Received]]=3,"BILL","ACH")))</f>
        <v>ACH</v>
      </c>
    </row>
    <row r="1580" spans="1:11" x14ac:dyDescent="0.25">
      <c r="A1580">
        <v>166940</v>
      </c>
      <c r="B1580" s="3">
        <v>46144</v>
      </c>
      <c r="C1580">
        <v>1</v>
      </c>
      <c r="D1580">
        <v>21.9</v>
      </c>
      <c r="G1580" t="s">
        <v>89</v>
      </c>
      <c r="H1580">
        <v>535372063</v>
      </c>
      <c r="I1580" t="s">
        <v>29</v>
      </c>
      <c r="J1580" t="s">
        <v>29</v>
      </c>
      <c r="K1580" t="str">
        <f>IF(Table3[[#This Row],[Type Received]]=2,"CC",(IF(Table3[[#This Row],[Type Received]]=3,"BILL","ACH")))</f>
        <v>ACH</v>
      </c>
    </row>
    <row r="1581" spans="1:11" x14ac:dyDescent="0.25">
      <c r="A1581">
        <v>167114</v>
      </c>
      <c r="B1581" s="3">
        <v>46146</v>
      </c>
      <c r="C1581">
        <v>2</v>
      </c>
      <c r="D1581">
        <v>156.16</v>
      </c>
      <c r="F1581">
        <v>837462</v>
      </c>
      <c r="G1581" s="4" t="s">
        <v>28</v>
      </c>
      <c r="H1581">
        <v>562975604</v>
      </c>
      <c r="I1581" t="s">
        <v>29</v>
      </c>
      <c r="K1581" t="str">
        <f>IF(Table3[[#This Row],[Type Received]]=2,"CC",(IF(Table3[[#This Row],[Type Received]]=3,"BILL","ACH")))</f>
        <v>CC</v>
      </c>
    </row>
    <row r="1582" spans="1:11" x14ac:dyDescent="0.25">
      <c r="A1582">
        <v>167203</v>
      </c>
      <c r="B1582" s="3">
        <v>46167</v>
      </c>
      <c r="C1582">
        <v>1</v>
      </c>
      <c r="D1582">
        <v>18.940000000000001</v>
      </c>
      <c r="G1582" s="4" t="s">
        <v>85</v>
      </c>
      <c r="H1582">
        <v>818364347</v>
      </c>
      <c r="I1582" t="s">
        <v>29</v>
      </c>
      <c r="J1582" t="s">
        <v>29</v>
      </c>
      <c r="K1582" t="str">
        <f>IF(Table3[[#This Row],[Type Received]]=2,"CC",(IF(Table3[[#This Row],[Type Received]]=3,"BILL","ACH")))</f>
        <v>ACH</v>
      </c>
    </row>
    <row r="1583" spans="1:11" x14ac:dyDescent="0.25">
      <c r="A1583">
        <v>167212</v>
      </c>
      <c r="B1583" s="3">
        <v>46167</v>
      </c>
      <c r="C1583">
        <v>1</v>
      </c>
      <c r="D1583">
        <v>8.32</v>
      </c>
      <c r="G1583" s="4" t="s">
        <v>85</v>
      </c>
      <c r="H1583">
        <v>818367161</v>
      </c>
      <c r="I1583" t="s">
        <v>29</v>
      </c>
      <c r="K1583" t="str">
        <f>IF(Table3[[#This Row],[Type Received]]=2,"CC",(IF(Table3[[#This Row],[Type Received]]=3,"BILL","ACH")))</f>
        <v>ACH</v>
      </c>
    </row>
    <row r="1584" spans="1:11" x14ac:dyDescent="0.25">
      <c r="A1584">
        <v>167613</v>
      </c>
      <c r="B1584" s="3">
        <v>46167</v>
      </c>
      <c r="C1584">
        <v>1</v>
      </c>
      <c r="D1584">
        <v>17.18</v>
      </c>
      <c r="G1584" t="s">
        <v>85</v>
      </c>
      <c r="H1584">
        <v>818343490</v>
      </c>
      <c r="I1584" t="s">
        <v>29</v>
      </c>
      <c r="J1584" t="s">
        <v>29</v>
      </c>
      <c r="K1584" t="str">
        <f>IF(Table3[[#This Row],[Type Received]]=2,"CC",(IF(Table3[[#This Row],[Type Received]]=3,"BILL","ACH")))</f>
        <v>ACH</v>
      </c>
    </row>
    <row r="1585" spans="1:11" x14ac:dyDescent="0.25">
      <c r="A1585">
        <v>167701</v>
      </c>
      <c r="B1585" s="3">
        <v>46144</v>
      </c>
      <c r="C1585">
        <v>1</v>
      </c>
      <c r="D1585">
        <v>35.4</v>
      </c>
      <c r="G1585" t="s">
        <v>89</v>
      </c>
      <c r="H1585">
        <v>535383783</v>
      </c>
      <c r="I1585" t="s">
        <v>29</v>
      </c>
      <c r="J1585" t="s">
        <v>29</v>
      </c>
      <c r="K1585" t="str">
        <f>IF(Table3[[#This Row],[Type Received]]=2,"CC",(IF(Table3[[#This Row],[Type Received]]=3,"BILL","ACH")))</f>
        <v>ACH</v>
      </c>
    </row>
    <row r="1586" spans="1:11" x14ac:dyDescent="0.25">
      <c r="A1586">
        <v>167558</v>
      </c>
      <c r="B1586" s="3">
        <v>46144</v>
      </c>
      <c r="C1586">
        <v>1</v>
      </c>
      <c r="D1586">
        <v>19.97</v>
      </c>
      <c r="G1586" s="4" t="s">
        <v>89</v>
      </c>
      <c r="H1586">
        <v>535393392</v>
      </c>
      <c r="I1586" t="s">
        <v>29</v>
      </c>
      <c r="K1586" t="str">
        <f>IF(Table3[[#This Row],[Type Received]]=2,"CC",(IF(Table3[[#This Row],[Type Received]]=3,"BILL","ACH")))</f>
        <v>ACH</v>
      </c>
    </row>
    <row r="1587" spans="1:11" x14ac:dyDescent="0.25">
      <c r="A1587">
        <v>167954</v>
      </c>
      <c r="B1587" s="3">
        <v>46157</v>
      </c>
      <c r="C1587">
        <v>1</v>
      </c>
      <c r="D1587">
        <v>38.1</v>
      </c>
      <c r="G1587" t="s">
        <v>87</v>
      </c>
      <c r="H1587">
        <v>696705895</v>
      </c>
      <c r="I1587" t="s">
        <v>29</v>
      </c>
      <c r="J1587" t="s">
        <v>29</v>
      </c>
      <c r="K1587" t="str">
        <f>IF(Table3[[#This Row],[Type Received]]=2,"CC",(IF(Table3[[#This Row],[Type Received]]=3,"BILL","ACH")))</f>
        <v>ACH</v>
      </c>
    </row>
    <row r="1588" spans="1:11" x14ac:dyDescent="0.25">
      <c r="A1588">
        <v>168213</v>
      </c>
      <c r="B1588" s="3">
        <v>46168</v>
      </c>
      <c r="C1588">
        <v>3</v>
      </c>
      <c r="D1588">
        <v>39.82</v>
      </c>
      <c r="E1588">
        <v>1361</v>
      </c>
      <c r="G1588" s="4"/>
      <c r="J1588" t="s">
        <v>29</v>
      </c>
      <c r="K1588" t="str">
        <f>IF(Table3[[#This Row],[Type Received]]=2,"CC",(IF(Table3[[#This Row],[Type Received]]=3,"BILL","ACH")))</f>
        <v>BILL</v>
      </c>
    </row>
    <row r="1589" spans="1:11" x14ac:dyDescent="0.25">
      <c r="A1589">
        <v>168218</v>
      </c>
      <c r="B1589" s="3">
        <v>46144</v>
      </c>
      <c r="C1589">
        <v>1</v>
      </c>
      <c r="D1589">
        <v>47.82</v>
      </c>
      <c r="G1589" t="s">
        <v>89</v>
      </c>
      <c r="H1589">
        <v>535395405</v>
      </c>
      <c r="I1589" t="s">
        <v>29</v>
      </c>
      <c r="J1589" t="s">
        <v>29</v>
      </c>
      <c r="K1589" t="str">
        <f>IF(Table3[[#This Row],[Type Received]]=2,"CC",(IF(Table3[[#This Row],[Type Received]]=3,"BILL","ACH")))</f>
        <v>ACH</v>
      </c>
    </row>
    <row r="1590" spans="1:11" x14ac:dyDescent="0.25">
      <c r="A1590">
        <v>168284</v>
      </c>
      <c r="B1590" s="3">
        <v>46169</v>
      </c>
      <c r="C1590">
        <v>3</v>
      </c>
      <c r="D1590">
        <v>47.42</v>
      </c>
      <c r="E1590">
        <v>7884</v>
      </c>
      <c r="J1590" t="s">
        <v>29</v>
      </c>
      <c r="K1590" t="str">
        <f>IF(Table3[[#This Row],[Type Received]]=2,"CC",(IF(Table3[[#This Row],[Type Received]]=3,"BILL","ACH")))</f>
        <v>BILL</v>
      </c>
    </row>
    <row r="1591" spans="1:11" x14ac:dyDescent="0.25">
      <c r="A1591">
        <v>168135</v>
      </c>
      <c r="B1591" s="3">
        <v>46168</v>
      </c>
      <c r="C1591">
        <v>1</v>
      </c>
      <c r="D1591">
        <v>27.66</v>
      </c>
      <c r="G1591" s="4" t="s">
        <v>110</v>
      </c>
      <c r="H1591">
        <v>828213719</v>
      </c>
      <c r="I1591" t="s">
        <v>29</v>
      </c>
      <c r="J1591" t="s">
        <v>29</v>
      </c>
      <c r="K1591" t="str">
        <f>IF(Table3[[#This Row],[Type Received]]=2,"CC",(IF(Table3[[#This Row],[Type Received]]=3,"BILL","ACH")))</f>
        <v>ACH</v>
      </c>
    </row>
    <row r="1592" spans="1:11" x14ac:dyDescent="0.25">
      <c r="A1592">
        <v>168460</v>
      </c>
      <c r="B1592" s="3">
        <v>46143</v>
      </c>
      <c r="C1592">
        <v>3</v>
      </c>
      <c r="D1592">
        <v>103.96</v>
      </c>
      <c r="E1592">
        <v>2656</v>
      </c>
      <c r="K1592" t="str">
        <f>IF(Table3[[#This Row],[Type Received]]=2,"CC",(IF(Table3[[#This Row],[Type Received]]=3,"BILL","ACH")))</f>
        <v>BILL</v>
      </c>
    </row>
    <row r="1593" spans="1:11" x14ac:dyDescent="0.25">
      <c r="A1593">
        <v>168829</v>
      </c>
      <c r="B1593" s="3">
        <v>46144</v>
      </c>
      <c r="C1593">
        <v>1</v>
      </c>
      <c r="D1593">
        <v>34.86</v>
      </c>
      <c r="G1593" t="s">
        <v>89</v>
      </c>
      <c r="H1593">
        <v>535389661</v>
      </c>
      <c r="I1593" t="s">
        <v>29</v>
      </c>
      <c r="J1593" t="s">
        <v>29</v>
      </c>
      <c r="K1593" t="str">
        <f>IF(Table3[[#This Row],[Type Received]]=2,"CC",(IF(Table3[[#This Row],[Type Received]]=3,"BILL","ACH")))</f>
        <v>ACH</v>
      </c>
    </row>
    <row r="1594" spans="1:11" x14ac:dyDescent="0.25">
      <c r="A1594">
        <v>168866</v>
      </c>
      <c r="B1594" s="3">
        <v>46147</v>
      </c>
      <c r="C1594">
        <v>3</v>
      </c>
      <c r="D1594">
        <v>57.19</v>
      </c>
      <c r="E1594">
        <v>9008</v>
      </c>
      <c r="J1594" t="s">
        <v>29</v>
      </c>
      <c r="K1594" t="str">
        <f>IF(Table3[[#This Row],[Type Received]]=2,"CC",(IF(Table3[[#This Row],[Type Received]]=3,"BILL","ACH")))</f>
        <v>BILL</v>
      </c>
    </row>
    <row r="1595" spans="1:11" x14ac:dyDescent="0.25">
      <c r="A1595">
        <v>168901</v>
      </c>
      <c r="B1595" s="3">
        <v>46143</v>
      </c>
      <c r="C1595">
        <v>3</v>
      </c>
      <c r="D1595">
        <v>56.2</v>
      </c>
      <c r="E1595">
        <v>271</v>
      </c>
      <c r="J1595" t="s">
        <v>29</v>
      </c>
      <c r="K1595" t="str">
        <f>IF(Table3[[#This Row],[Type Received]]=2,"CC",(IF(Table3[[#This Row],[Type Received]]=3,"BILL","ACH")))</f>
        <v>BILL</v>
      </c>
    </row>
    <row r="1596" spans="1:11" x14ac:dyDescent="0.25">
      <c r="A1596">
        <v>168990</v>
      </c>
      <c r="B1596" s="3">
        <v>46143</v>
      </c>
      <c r="C1596">
        <v>3</v>
      </c>
      <c r="D1596">
        <v>27.47</v>
      </c>
      <c r="E1596">
        <v>74427144</v>
      </c>
      <c r="K1596" t="str">
        <f>IF(Table3[[#This Row],[Type Received]]=2,"CC",(IF(Table3[[#This Row],[Type Received]]=3,"BILL","ACH")))</f>
        <v>BILL</v>
      </c>
    </row>
    <row r="1597" spans="1:11" x14ac:dyDescent="0.25">
      <c r="A1597">
        <v>168664</v>
      </c>
      <c r="B1597" s="3">
        <v>46157</v>
      </c>
      <c r="C1597">
        <v>1</v>
      </c>
      <c r="D1597">
        <v>18.22</v>
      </c>
      <c r="G1597" s="4" t="s">
        <v>87</v>
      </c>
      <c r="H1597">
        <v>696717552</v>
      </c>
      <c r="I1597" t="s">
        <v>29</v>
      </c>
      <c r="K1597" t="str">
        <f>IF(Table3[[#This Row],[Type Received]]=2,"CC",(IF(Table3[[#This Row],[Type Received]]=3,"BILL","ACH")))</f>
        <v>ACH</v>
      </c>
    </row>
    <row r="1598" spans="1:11" x14ac:dyDescent="0.25">
      <c r="A1598">
        <v>168747</v>
      </c>
      <c r="B1598" s="3">
        <v>46167</v>
      </c>
      <c r="C1598">
        <v>1</v>
      </c>
      <c r="D1598">
        <v>13.45</v>
      </c>
      <c r="G1598" t="s">
        <v>85</v>
      </c>
      <c r="H1598">
        <v>818358420</v>
      </c>
      <c r="I1598" t="s">
        <v>29</v>
      </c>
      <c r="J1598" t="s">
        <v>29</v>
      </c>
      <c r="K1598" t="str">
        <f>IF(Table3[[#This Row],[Type Received]]=2,"CC",(IF(Table3[[#This Row],[Type Received]]=3,"BILL","ACH")))</f>
        <v>ACH</v>
      </c>
    </row>
    <row r="1599" spans="1:11" x14ac:dyDescent="0.25">
      <c r="A1599">
        <v>168761</v>
      </c>
      <c r="B1599" s="3">
        <v>46144</v>
      </c>
      <c r="C1599">
        <v>1</v>
      </c>
      <c r="D1599">
        <v>55.65</v>
      </c>
      <c r="G1599" t="s">
        <v>89</v>
      </c>
      <c r="H1599">
        <v>535417050</v>
      </c>
      <c r="I1599" t="s">
        <v>29</v>
      </c>
      <c r="J1599" t="s">
        <v>29</v>
      </c>
      <c r="K1599" t="str">
        <f>IF(Table3[[#This Row],[Type Received]]=2,"CC",(IF(Table3[[#This Row],[Type Received]]=3,"BILL","ACH")))</f>
        <v>ACH</v>
      </c>
    </row>
    <row r="1600" spans="1:11" x14ac:dyDescent="0.25">
      <c r="A1600">
        <v>168779</v>
      </c>
      <c r="B1600" s="3">
        <v>46168</v>
      </c>
      <c r="C1600">
        <v>3</v>
      </c>
      <c r="D1600">
        <v>190.91</v>
      </c>
      <c r="E1600">
        <v>6724</v>
      </c>
      <c r="K1600" t="str">
        <f>IF(Table3[[#This Row],[Type Received]]=2,"CC",(IF(Table3[[#This Row],[Type Received]]=3,"BILL","ACH")))</f>
        <v>BILL</v>
      </c>
    </row>
    <row r="1601" spans="1:11" x14ac:dyDescent="0.25">
      <c r="A1601">
        <v>169133</v>
      </c>
      <c r="B1601" s="3">
        <v>46168</v>
      </c>
      <c r="C1601">
        <v>3</v>
      </c>
      <c r="D1601">
        <v>20.97</v>
      </c>
      <c r="E1601">
        <v>399</v>
      </c>
      <c r="J1601" t="s">
        <v>29</v>
      </c>
      <c r="K1601" t="str">
        <f>IF(Table3[[#This Row],[Type Received]]=2,"CC",(IF(Table3[[#This Row],[Type Received]]=3,"BILL","ACH")))</f>
        <v>BILL</v>
      </c>
    </row>
    <row r="1602" spans="1:11" x14ac:dyDescent="0.25">
      <c r="A1602">
        <v>169508</v>
      </c>
      <c r="B1602" s="3">
        <v>46156</v>
      </c>
      <c r="C1602">
        <v>2</v>
      </c>
      <c r="D1602">
        <v>137.19</v>
      </c>
      <c r="F1602">
        <v>130579</v>
      </c>
      <c r="G1602" t="s">
        <v>28</v>
      </c>
      <c r="H1602">
        <v>682531607</v>
      </c>
      <c r="I1602" t="s">
        <v>29</v>
      </c>
      <c r="J1602" t="s">
        <v>29</v>
      </c>
      <c r="K1602" t="str">
        <f>IF(Table3[[#This Row],[Type Received]]=2,"CC",(IF(Table3[[#This Row],[Type Received]]=3,"BILL","ACH")))</f>
        <v>CC</v>
      </c>
    </row>
    <row r="1603" spans="1:11" x14ac:dyDescent="0.25">
      <c r="A1603">
        <v>169509</v>
      </c>
      <c r="B1603" s="3">
        <v>46157</v>
      </c>
      <c r="C1603">
        <v>2</v>
      </c>
      <c r="D1603">
        <v>38.369999999999997</v>
      </c>
      <c r="F1603">
        <v>34153</v>
      </c>
      <c r="G1603" t="s">
        <v>28</v>
      </c>
      <c r="H1603">
        <v>696719516</v>
      </c>
      <c r="I1603" t="s">
        <v>29</v>
      </c>
      <c r="K1603" t="str">
        <f>IF(Table3[[#This Row],[Type Received]]=2,"CC",(IF(Table3[[#This Row],[Type Received]]=3,"BILL","ACH")))</f>
        <v>CC</v>
      </c>
    </row>
    <row r="1604" spans="1:11" x14ac:dyDescent="0.25">
      <c r="A1604">
        <v>169528</v>
      </c>
      <c r="B1604" s="3">
        <v>46169</v>
      </c>
      <c r="C1604">
        <v>3</v>
      </c>
      <c r="D1604">
        <v>84.52</v>
      </c>
      <c r="E1604">
        <v>1359</v>
      </c>
      <c r="J1604" t="s">
        <v>29</v>
      </c>
      <c r="K1604" t="str">
        <f>IF(Table3[[#This Row],[Type Received]]=2,"CC",(IF(Table3[[#This Row],[Type Received]]=3,"BILL","ACH")))</f>
        <v>BILL</v>
      </c>
    </row>
    <row r="1605" spans="1:11" x14ac:dyDescent="0.25">
      <c r="A1605">
        <v>169559</v>
      </c>
      <c r="B1605" s="3">
        <v>46148</v>
      </c>
      <c r="C1605">
        <v>3</v>
      </c>
      <c r="D1605">
        <v>38.979999999999997</v>
      </c>
      <c r="E1605">
        <v>1495</v>
      </c>
      <c r="J1605" t="s">
        <v>29</v>
      </c>
      <c r="K1605" t="str">
        <f>IF(Table3[[#This Row],[Type Received]]=2,"CC",(IF(Table3[[#This Row],[Type Received]]=3,"BILL","ACH")))</f>
        <v>BILL</v>
      </c>
    </row>
    <row r="1606" spans="1:11" x14ac:dyDescent="0.25">
      <c r="A1606">
        <v>169210</v>
      </c>
      <c r="B1606" s="3">
        <v>46157</v>
      </c>
      <c r="C1606">
        <v>1</v>
      </c>
      <c r="D1606">
        <v>19.02</v>
      </c>
      <c r="G1606" t="s">
        <v>87</v>
      </c>
      <c r="H1606">
        <v>696700099</v>
      </c>
      <c r="I1606" t="s">
        <v>29</v>
      </c>
      <c r="J1606" t="s">
        <v>29</v>
      </c>
      <c r="K1606" t="str">
        <f>IF(Table3[[#This Row],[Type Received]]=2,"CC",(IF(Table3[[#This Row],[Type Received]]=3,"BILL","ACH")))</f>
        <v>ACH</v>
      </c>
    </row>
    <row r="1607" spans="1:11" x14ac:dyDescent="0.25">
      <c r="A1607">
        <v>169261</v>
      </c>
      <c r="B1607" s="3">
        <v>46162</v>
      </c>
      <c r="C1607">
        <v>1</v>
      </c>
      <c r="D1607">
        <v>101.68</v>
      </c>
      <c r="G1607" t="s">
        <v>107</v>
      </c>
      <c r="H1607">
        <v>758582238</v>
      </c>
      <c r="I1607" t="s">
        <v>29</v>
      </c>
      <c r="J1607" t="s">
        <v>29</v>
      </c>
      <c r="K1607" t="str">
        <f>IF(Table3[[#This Row],[Type Received]]=2,"CC",(IF(Table3[[#This Row],[Type Received]]=3,"BILL","ACH")))</f>
        <v>ACH</v>
      </c>
    </row>
    <row r="1608" spans="1:11" x14ac:dyDescent="0.25">
      <c r="A1608">
        <v>169288</v>
      </c>
      <c r="B1608" s="3">
        <v>46148</v>
      </c>
      <c r="C1608">
        <v>2</v>
      </c>
      <c r="D1608">
        <v>54.16</v>
      </c>
      <c r="F1608">
        <v>3295</v>
      </c>
      <c r="G1608" t="s">
        <v>28</v>
      </c>
      <c r="H1608">
        <v>585922575</v>
      </c>
      <c r="I1608" t="s">
        <v>29</v>
      </c>
      <c r="J1608" t="s">
        <v>29</v>
      </c>
      <c r="K1608" t="str">
        <f>IF(Table3[[#This Row],[Type Received]]=2,"CC",(IF(Table3[[#This Row],[Type Received]]=3,"BILL","ACH")))</f>
        <v>CC</v>
      </c>
    </row>
    <row r="1609" spans="1:11" x14ac:dyDescent="0.25">
      <c r="A1609">
        <v>169374</v>
      </c>
      <c r="B1609" s="3">
        <v>46144</v>
      </c>
      <c r="C1609">
        <v>1</v>
      </c>
      <c r="D1609">
        <v>32.700000000000003</v>
      </c>
      <c r="G1609" s="4" t="s">
        <v>89</v>
      </c>
      <c r="H1609">
        <v>535385824</v>
      </c>
      <c r="I1609" t="s">
        <v>29</v>
      </c>
      <c r="J1609" t="s">
        <v>29</v>
      </c>
      <c r="K1609" t="str">
        <f>IF(Table3[[#This Row],[Type Received]]=2,"CC",(IF(Table3[[#This Row],[Type Received]]=3,"BILL","ACH")))</f>
        <v>ACH</v>
      </c>
    </row>
    <row r="1610" spans="1:11" x14ac:dyDescent="0.25">
      <c r="A1610">
        <v>169390</v>
      </c>
      <c r="B1610" s="3">
        <v>46144</v>
      </c>
      <c r="C1610">
        <v>1</v>
      </c>
      <c r="D1610">
        <v>43.5</v>
      </c>
      <c r="G1610" t="s">
        <v>89</v>
      </c>
      <c r="H1610">
        <v>535378005</v>
      </c>
      <c r="I1610" t="s">
        <v>29</v>
      </c>
      <c r="K1610" t="str">
        <f>IF(Table3[[#This Row],[Type Received]]=2,"CC",(IF(Table3[[#This Row],[Type Received]]=3,"BILL","ACH")))</f>
        <v>ACH</v>
      </c>
    </row>
    <row r="1611" spans="1:11" x14ac:dyDescent="0.25">
      <c r="A1611">
        <v>169707</v>
      </c>
      <c r="B1611" s="3">
        <v>46157</v>
      </c>
      <c r="C1611">
        <v>1</v>
      </c>
      <c r="D1611">
        <v>20.34</v>
      </c>
      <c r="G1611" t="s">
        <v>87</v>
      </c>
      <c r="H1611">
        <v>696715687</v>
      </c>
      <c r="I1611" t="s">
        <v>29</v>
      </c>
      <c r="J1611" t="s">
        <v>29</v>
      </c>
      <c r="K1611" t="str">
        <f>IF(Table3[[#This Row],[Type Received]]=2,"CC",(IF(Table3[[#This Row],[Type Received]]=3,"BILL","ACH")))</f>
        <v>ACH</v>
      </c>
    </row>
    <row r="1612" spans="1:11" x14ac:dyDescent="0.25">
      <c r="A1612">
        <v>169746</v>
      </c>
      <c r="B1612" s="3">
        <v>46145</v>
      </c>
      <c r="C1612">
        <v>2</v>
      </c>
      <c r="D1612">
        <v>12.02</v>
      </c>
      <c r="F1612">
        <v>1133</v>
      </c>
      <c r="G1612" t="s">
        <v>28</v>
      </c>
      <c r="H1612">
        <v>546408045</v>
      </c>
      <c r="I1612" t="s">
        <v>29</v>
      </c>
      <c r="K1612" t="str">
        <f>IF(Table3[[#This Row],[Type Received]]=2,"CC",(IF(Table3[[#This Row],[Type Received]]=3,"BILL","ACH")))</f>
        <v>CC</v>
      </c>
    </row>
    <row r="1613" spans="1:11" x14ac:dyDescent="0.25">
      <c r="A1613">
        <v>169790</v>
      </c>
      <c r="B1613" s="3">
        <v>46157</v>
      </c>
      <c r="C1613">
        <v>1</v>
      </c>
      <c r="D1613">
        <v>51.33</v>
      </c>
      <c r="G1613" t="s">
        <v>87</v>
      </c>
      <c r="H1613">
        <v>696712691</v>
      </c>
      <c r="I1613" t="s">
        <v>29</v>
      </c>
      <c r="J1613" t="s">
        <v>29</v>
      </c>
      <c r="K1613" t="str">
        <f>IF(Table3[[#This Row],[Type Received]]=2,"CC",(IF(Table3[[#This Row],[Type Received]]=3,"BILL","ACH")))</f>
        <v>ACH</v>
      </c>
    </row>
    <row r="1614" spans="1:11" x14ac:dyDescent="0.25">
      <c r="A1614">
        <v>169817</v>
      </c>
      <c r="B1614" s="3">
        <v>46157</v>
      </c>
      <c r="C1614">
        <v>1</v>
      </c>
      <c r="D1614">
        <v>23.67</v>
      </c>
      <c r="G1614" t="s">
        <v>87</v>
      </c>
      <c r="H1614">
        <v>696704964</v>
      </c>
      <c r="I1614" t="s">
        <v>29</v>
      </c>
      <c r="J1614" t="s">
        <v>29</v>
      </c>
      <c r="K1614" t="str">
        <f>IF(Table3[[#This Row],[Type Received]]=2,"CC",(IF(Table3[[#This Row],[Type Received]]=3,"BILL","ACH")))</f>
        <v>ACH</v>
      </c>
    </row>
    <row r="1615" spans="1:11" x14ac:dyDescent="0.25">
      <c r="A1615">
        <v>170063</v>
      </c>
      <c r="B1615" s="3">
        <v>46169</v>
      </c>
      <c r="C1615">
        <v>3</v>
      </c>
      <c r="D1615">
        <v>18.46</v>
      </c>
      <c r="E1615">
        <v>27905</v>
      </c>
      <c r="G1615" s="4"/>
      <c r="J1615" t="s">
        <v>29</v>
      </c>
      <c r="K1615" t="str">
        <f>IF(Table3[[#This Row],[Type Received]]=2,"CC",(IF(Table3[[#This Row],[Type Received]]=3,"BILL","ACH")))</f>
        <v>BILL</v>
      </c>
    </row>
    <row r="1616" spans="1:11" x14ac:dyDescent="0.25">
      <c r="A1616">
        <v>170401</v>
      </c>
      <c r="B1616" s="3">
        <v>46169</v>
      </c>
      <c r="C1616">
        <v>3</v>
      </c>
      <c r="D1616">
        <v>102.97</v>
      </c>
      <c r="E1616">
        <v>8096</v>
      </c>
      <c r="G1616" s="4"/>
      <c r="J1616" t="s">
        <v>29</v>
      </c>
      <c r="K1616" t="str">
        <f>IF(Table3[[#This Row],[Type Received]]=2,"CC",(IF(Table3[[#This Row],[Type Received]]=3,"BILL","ACH")))</f>
        <v>BILL</v>
      </c>
    </row>
    <row r="1617" spans="1:11" x14ac:dyDescent="0.25">
      <c r="A1617">
        <v>170499</v>
      </c>
      <c r="B1617" s="3">
        <v>46164</v>
      </c>
      <c r="C1617">
        <v>2</v>
      </c>
      <c r="D1617">
        <v>46.24</v>
      </c>
      <c r="F1617">
        <v>3333</v>
      </c>
      <c r="G1617" t="s">
        <v>28</v>
      </c>
      <c r="H1617">
        <v>790278311</v>
      </c>
      <c r="I1617" t="s">
        <v>29</v>
      </c>
      <c r="J1617" t="s">
        <v>29</v>
      </c>
      <c r="K1617" t="str">
        <f>IF(Table3[[#This Row],[Type Received]]=2,"CC",(IF(Table3[[#This Row],[Type Received]]=3,"BILL","ACH")))</f>
        <v>CC</v>
      </c>
    </row>
    <row r="1618" spans="1:11" x14ac:dyDescent="0.25">
      <c r="A1618">
        <v>170499</v>
      </c>
      <c r="B1618" s="3">
        <v>46146</v>
      </c>
      <c r="C1618">
        <v>2</v>
      </c>
      <c r="D1618">
        <v>46.24</v>
      </c>
      <c r="F1618">
        <v>7284</v>
      </c>
      <c r="G1618" t="s">
        <v>28</v>
      </c>
      <c r="H1618">
        <v>561976498</v>
      </c>
      <c r="I1618" t="s">
        <v>29</v>
      </c>
      <c r="J1618" t="s">
        <v>29</v>
      </c>
      <c r="K1618" t="str">
        <f>IF(Table3[[#This Row],[Type Received]]=2,"CC",(IF(Table3[[#This Row],[Type Received]]=3,"BILL","ACH")))</f>
        <v>CC</v>
      </c>
    </row>
    <row r="1619" spans="1:11" x14ac:dyDescent="0.25">
      <c r="A1619">
        <v>170557</v>
      </c>
      <c r="B1619" s="3">
        <v>46144</v>
      </c>
      <c r="C1619">
        <v>1</v>
      </c>
      <c r="D1619">
        <v>28.84</v>
      </c>
      <c r="G1619" t="s">
        <v>89</v>
      </c>
      <c r="H1619">
        <v>535382906</v>
      </c>
      <c r="I1619" t="s">
        <v>29</v>
      </c>
      <c r="J1619" t="s">
        <v>29</v>
      </c>
      <c r="K1619" t="str">
        <f>IF(Table3[[#This Row],[Type Received]]=2,"CC",(IF(Table3[[#This Row],[Type Received]]=3,"BILL","ACH")))</f>
        <v>ACH</v>
      </c>
    </row>
    <row r="1620" spans="1:11" x14ac:dyDescent="0.25">
      <c r="A1620">
        <v>170584</v>
      </c>
      <c r="B1620" s="3">
        <v>46157</v>
      </c>
      <c r="C1620">
        <v>1</v>
      </c>
      <c r="D1620">
        <v>27.9</v>
      </c>
      <c r="G1620" s="4" t="s">
        <v>87</v>
      </c>
      <c r="H1620">
        <v>696716663</v>
      </c>
      <c r="I1620" t="s">
        <v>29</v>
      </c>
      <c r="J1620" t="s">
        <v>29</v>
      </c>
      <c r="K1620" t="str">
        <f>IF(Table3[[#This Row],[Type Received]]=2,"CC",(IF(Table3[[#This Row],[Type Received]]=3,"BILL","ACH")))</f>
        <v>ACH</v>
      </c>
    </row>
    <row r="1621" spans="1:11" x14ac:dyDescent="0.25">
      <c r="A1621">
        <v>170275</v>
      </c>
      <c r="B1621" s="3">
        <v>46157</v>
      </c>
      <c r="C1621">
        <v>1</v>
      </c>
      <c r="D1621">
        <v>35.799999999999997</v>
      </c>
      <c r="G1621" t="s">
        <v>87</v>
      </c>
      <c r="H1621">
        <v>696708916</v>
      </c>
      <c r="I1621" t="s">
        <v>29</v>
      </c>
      <c r="J1621" t="s">
        <v>29</v>
      </c>
      <c r="K1621" t="str">
        <f>IF(Table3[[#This Row],[Type Received]]=2,"CC",(IF(Table3[[#This Row],[Type Received]]=3,"BILL","ACH")))</f>
        <v>ACH</v>
      </c>
    </row>
    <row r="1622" spans="1:11" x14ac:dyDescent="0.25">
      <c r="A1622">
        <v>170392</v>
      </c>
      <c r="B1622" s="3">
        <v>46167</v>
      </c>
      <c r="C1622">
        <v>1</v>
      </c>
      <c r="D1622">
        <v>14.53</v>
      </c>
      <c r="G1622" t="s">
        <v>85</v>
      </c>
      <c r="H1622">
        <v>818362437</v>
      </c>
      <c r="I1622" t="s">
        <v>29</v>
      </c>
      <c r="J1622" t="s">
        <v>29</v>
      </c>
      <c r="K1622" t="str">
        <f>IF(Table3[[#This Row],[Type Received]]=2,"CC",(IF(Table3[[#This Row],[Type Received]]=3,"BILL","ACH")))</f>
        <v>ACH</v>
      </c>
    </row>
    <row r="1623" spans="1:11" x14ac:dyDescent="0.25">
      <c r="A1623">
        <v>170395</v>
      </c>
      <c r="B1623" s="3">
        <v>46144</v>
      </c>
      <c r="C1623">
        <v>1</v>
      </c>
      <c r="D1623">
        <v>33.450000000000003</v>
      </c>
      <c r="G1623" t="s">
        <v>89</v>
      </c>
      <c r="H1623">
        <v>535391630</v>
      </c>
      <c r="I1623" t="s">
        <v>29</v>
      </c>
      <c r="J1623" t="s">
        <v>29</v>
      </c>
      <c r="K1623" t="str">
        <f>IF(Table3[[#This Row],[Type Received]]=2,"CC",(IF(Table3[[#This Row],[Type Received]]=3,"BILL","ACH")))</f>
        <v>ACH</v>
      </c>
    </row>
    <row r="1624" spans="1:11" x14ac:dyDescent="0.25">
      <c r="A1624">
        <v>170709</v>
      </c>
      <c r="B1624" s="3">
        <v>46146</v>
      </c>
      <c r="C1624">
        <v>3</v>
      </c>
      <c r="D1624">
        <v>275.02999999999997</v>
      </c>
      <c r="E1624">
        <v>234</v>
      </c>
      <c r="J1624" t="s">
        <v>29</v>
      </c>
      <c r="K1624" t="str">
        <f>IF(Table3[[#This Row],[Type Received]]=2,"CC",(IF(Table3[[#This Row],[Type Received]]=3,"BILL","ACH")))</f>
        <v>BILL</v>
      </c>
    </row>
    <row r="1625" spans="1:11" x14ac:dyDescent="0.25">
      <c r="A1625">
        <v>171230</v>
      </c>
      <c r="B1625" s="3">
        <v>46157</v>
      </c>
      <c r="C1625">
        <v>1</v>
      </c>
      <c r="D1625">
        <v>37.200000000000003</v>
      </c>
      <c r="G1625" t="s">
        <v>87</v>
      </c>
      <c r="H1625">
        <v>696712725</v>
      </c>
      <c r="I1625" t="s">
        <v>29</v>
      </c>
      <c r="J1625" t="s">
        <v>29</v>
      </c>
      <c r="K1625" t="str">
        <f>IF(Table3[[#This Row],[Type Received]]=2,"CC",(IF(Table3[[#This Row],[Type Received]]=3,"BILL","ACH")))</f>
        <v>ACH</v>
      </c>
    </row>
    <row r="1626" spans="1:11" x14ac:dyDescent="0.25">
      <c r="A1626">
        <v>171233</v>
      </c>
      <c r="B1626" s="3">
        <v>46157</v>
      </c>
      <c r="C1626">
        <v>2</v>
      </c>
      <c r="D1626">
        <v>99.66</v>
      </c>
      <c r="F1626">
        <v>185381</v>
      </c>
      <c r="G1626" t="s">
        <v>28</v>
      </c>
      <c r="H1626">
        <v>696723366</v>
      </c>
      <c r="I1626" t="s">
        <v>29</v>
      </c>
      <c r="J1626" t="s">
        <v>29</v>
      </c>
      <c r="K1626" t="str">
        <f>IF(Table3[[#This Row],[Type Received]]=2,"CC",(IF(Table3[[#This Row],[Type Received]]=3,"BILL","ACH")))</f>
        <v>CC</v>
      </c>
    </row>
    <row r="1627" spans="1:11" x14ac:dyDescent="0.25">
      <c r="A1627">
        <v>171296</v>
      </c>
      <c r="B1627" s="3">
        <v>46168</v>
      </c>
      <c r="C1627">
        <v>3</v>
      </c>
      <c r="D1627">
        <v>29.56</v>
      </c>
      <c r="E1627">
        <v>2134</v>
      </c>
      <c r="J1627" t="s">
        <v>29</v>
      </c>
      <c r="K1627" t="str">
        <f>IF(Table3[[#This Row],[Type Received]]=2,"CC",(IF(Table3[[#This Row],[Type Received]]=3,"BILL","ACH")))</f>
        <v>BILL</v>
      </c>
    </row>
    <row r="1628" spans="1:11" x14ac:dyDescent="0.25">
      <c r="A1628">
        <v>171346</v>
      </c>
      <c r="B1628" s="3">
        <v>46148</v>
      </c>
      <c r="C1628">
        <v>2</v>
      </c>
      <c r="D1628">
        <v>136.36000000000001</v>
      </c>
      <c r="F1628">
        <v>679742</v>
      </c>
      <c r="G1628" t="s">
        <v>28</v>
      </c>
      <c r="H1628">
        <v>581970357</v>
      </c>
      <c r="I1628" t="s">
        <v>29</v>
      </c>
      <c r="K1628" t="str">
        <f>IF(Table3[[#This Row],[Type Received]]=2,"CC",(IF(Table3[[#This Row],[Type Received]]=3,"BILL","ACH")))</f>
        <v>CC</v>
      </c>
    </row>
    <row r="1629" spans="1:11" x14ac:dyDescent="0.25">
      <c r="A1629">
        <v>171013</v>
      </c>
      <c r="B1629" s="3">
        <v>46146</v>
      </c>
      <c r="C1629">
        <v>3</v>
      </c>
      <c r="D1629">
        <v>288.83</v>
      </c>
      <c r="E1629">
        <v>468</v>
      </c>
      <c r="J1629" t="s">
        <v>29</v>
      </c>
      <c r="K1629" t="str">
        <f>IF(Table3[[#This Row],[Type Received]]=2,"CC",(IF(Table3[[#This Row],[Type Received]]=3,"BILL","ACH")))</f>
        <v>BILL</v>
      </c>
    </row>
    <row r="1630" spans="1:11" x14ac:dyDescent="0.25">
      <c r="A1630">
        <v>171414</v>
      </c>
      <c r="B1630" s="3">
        <v>46169</v>
      </c>
      <c r="C1630">
        <v>3</v>
      </c>
      <c r="D1630">
        <v>31.96</v>
      </c>
      <c r="E1630">
        <v>2964</v>
      </c>
      <c r="G1630" s="4"/>
      <c r="J1630" t="s">
        <v>29</v>
      </c>
      <c r="K1630" t="str">
        <f>IF(Table3[[#This Row],[Type Received]]=2,"CC",(IF(Table3[[#This Row],[Type Received]]=3,"BILL","ACH")))</f>
        <v>BILL</v>
      </c>
    </row>
    <row r="1631" spans="1:11" x14ac:dyDescent="0.25">
      <c r="A1631">
        <v>171414</v>
      </c>
      <c r="B1631" s="3">
        <v>46146</v>
      </c>
      <c r="C1631">
        <v>3</v>
      </c>
      <c r="D1631">
        <v>16.48</v>
      </c>
      <c r="E1631">
        <v>2916</v>
      </c>
      <c r="G1631" s="4"/>
      <c r="J1631" t="s">
        <v>29</v>
      </c>
      <c r="K1631" t="str">
        <f>IF(Table3[[#This Row],[Type Received]]=2,"CC",(IF(Table3[[#This Row],[Type Received]]=3,"BILL","ACH")))</f>
        <v>BILL</v>
      </c>
    </row>
    <row r="1632" spans="1:11" x14ac:dyDescent="0.25">
      <c r="A1632">
        <v>171476</v>
      </c>
      <c r="B1632" s="3">
        <v>46168</v>
      </c>
      <c r="C1632">
        <v>3</v>
      </c>
      <c r="D1632">
        <v>18.100000000000001</v>
      </c>
      <c r="E1632">
        <v>7385</v>
      </c>
      <c r="J1632" t="s">
        <v>29</v>
      </c>
      <c r="K1632" t="str">
        <f>IF(Table3[[#This Row],[Type Received]]=2,"CC",(IF(Table3[[#This Row],[Type Received]]=3,"BILL","ACH")))</f>
        <v>BILL</v>
      </c>
    </row>
    <row r="1633" spans="1:11" x14ac:dyDescent="0.25">
      <c r="A1633">
        <v>171934</v>
      </c>
      <c r="B1633" s="3">
        <v>46157</v>
      </c>
      <c r="C1633">
        <v>1</v>
      </c>
      <c r="D1633">
        <v>37.229999999999997</v>
      </c>
      <c r="G1633" t="s">
        <v>87</v>
      </c>
      <c r="H1633">
        <v>696708956</v>
      </c>
      <c r="I1633" t="s">
        <v>29</v>
      </c>
      <c r="K1633" t="str">
        <f>IF(Table3[[#This Row],[Type Received]]=2,"CC",(IF(Table3[[#This Row],[Type Received]]=3,"BILL","ACH")))</f>
        <v>ACH</v>
      </c>
    </row>
    <row r="1634" spans="1:11" x14ac:dyDescent="0.25">
      <c r="A1634">
        <v>171956</v>
      </c>
      <c r="B1634" s="3">
        <v>46161</v>
      </c>
      <c r="C1634">
        <v>2</v>
      </c>
      <c r="D1634">
        <v>78.28</v>
      </c>
      <c r="F1634">
        <v>19168</v>
      </c>
      <c r="G1634" t="s">
        <v>28</v>
      </c>
      <c r="H1634">
        <v>749910001</v>
      </c>
      <c r="I1634" t="s">
        <v>29</v>
      </c>
      <c r="J1634" t="s">
        <v>29</v>
      </c>
      <c r="K1634" t="str">
        <f>IF(Table3[[#This Row],[Type Received]]=2,"CC",(IF(Table3[[#This Row],[Type Received]]=3,"BILL","ACH")))</f>
        <v>CC</v>
      </c>
    </row>
    <row r="1635" spans="1:11" x14ac:dyDescent="0.25">
      <c r="A1635">
        <v>172098</v>
      </c>
      <c r="B1635" s="3">
        <v>46155</v>
      </c>
      <c r="C1635">
        <v>2</v>
      </c>
      <c r="D1635">
        <v>26.76</v>
      </c>
      <c r="F1635" t="s">
        <v>227</v>
      </c>
      <c r="G1635" t="s">
        <v>28</v>
      </c>
      <c r="H1635">
        <v>669488588</v>
      </c>
      <c r="I1635" t="s">
        <v>29</v>
      </c>
      <c r="J1635" t="s">
        <v>29</v>
      </c>
      <c r="K1635" t="str">
        <f>IF(Table3[[#This Row],[Type Received]]=2,"CC",(IF(Table3[[#This Row],[Type Received]]=3,"BILL","ACH")))</f>
        <v>CC</v>
      </c>
    </row>
    <row r="1636" spans="1:11" x14ac:dyDescent="0.25">
      <c r="A1636">
        <v>172121</v>
      </c>
      <c r="B1636" s="3">
        <v>46167</v>
      </c>
      <c r="C1636">
        <v>1</v>
      </c>
      <c r="D1636">
        <v>9.18</v>
      </c>
      <c r="G1636" s="4" t="s">
        <v>85</v>
      </c>
      <c r="H1636">
        <v>818345061</v>
      </c>
      <c r="I1636" t="s">
        <v>29</v>
      </c>
      <c r="J1636" t="s">
        <v>29</v>
      </c>
      <c r="K1636" t="str">
        <f>IF(Table3[[#This Row],[Type Received]]=2,"CC",(IF(Table3[[#This Row],[Type Received]]=3,"BILL","ACH")))</f>
        <v>ACH</v>
      </c>
    </row>
    <row r="1637" spans="1:11" x14ac:dyDescent="0.25">
      <c r="A1637">
        <v>172122</v>
      </c>
      <c r="B1637" s="3">
        <v>46150</v>
      </c>
      <c r="C1637">
        <v>1</v>
      </c>
      <c r="D1637">
        <v>10.02</v>
      </c>
      <c r="G1637" t="s">
        <v>104</v>
      </c>
      <c r="H1637">
        <v>608663284</v>
      </c>
      <c r="I1637" t="s">
        <v>29</v>
      </c>
      <c r="J1637" t="s">
        <v>29</v>
      </c>
      <c r="K1637" t="str">
        <f>IF(Table3[[#This Row],[Type Received]]=2,"CC",(IF(Table3[[#This Row],[Type Received]]=3,"BILL","ACH")))</f>
        <v>ACH</v>
      </c>
    </row>
    <row r="1638" spans="1:11" x14ac:dyDescent="0.25">
      <c r="A1638">
        <v>172122</v>
      </c>
      <c r="B1638" s="3">
        <v>46144</v>
      </c>
      <c r="C1638">
        <v>1</v>
      </c>
      <c r="D1638">
        <v>10.02</v>
      </c>
      <c r="G1638" t="s">
        <v>89</v>
      </c>
      <c r="H1638">
        <v>535377098</v>
      </c>
      <c r="I1638" t="s">
        <v>29</v>
      </c>
      <c r="J1638" t="s">
        <v>29</v>
      </c>
      <c r="K1638" t="str">
        <f>IF(Table3[[#This Row],[Type Received]]=2,"CC",(IF(Table3[[#This Row],[Type Received]]=3,"BILL","ACH")))</f>
        <v>ACH</v>
      </c>
    </row>
    <row r="1639" spans="1:11" x14ac:dyDescent="0.25">
      <c r="A1639">
        <v>172135</v>
      </c>
      <c r="B1639" s="3">
        <v>46147</v>
      </c>
      <c r="C1639">
        <v>3</v>
      </c>
      <c r="D1639">
        <v>17.559999999999999</v>
      </c>
      <c r="E1639">
        <v>57701462</v>
      </c>
      <c r="J1639" t="s">
        <v>29</v>
      </c>
      <c r="K1639" t="str">
        <f>IF(Table3[[#This Row],[Type Received]]=2,"CC",(IF(Table3[[#This Row],[Type Received]]=3,"BILL","ACH")))</f>
        <v>BILL</v>
      </c>
    </row>
    <row r="1640" spans="1:11" x14ac:dyDescent="0.25">
      <c r="A1640">
        <v>172146</v>
      </c>
      <c r="B1640" s="3">
        <v>46143</v>
      </c>
      <c r="C1640">
        <v>2</v>
      </c>
      <c r="D1640">
        <v>227.62</v>
      </c>
      <c r="F1640">
        <v>767567</v>
      </c>
      <c r="G1640" t="s">
        <v>28</v>
      </c>
      <c r="H1640">
        <v>523125724</v>
      </c>
      <c r="I1640" t="s">
        <v>29</v>
      </c>
      <c r="J1640" t="s">
        <v>29</v>
      </c>
      <c r="K1640" t="str">
        <f>IF(Table3[[#This Row],[Type Received]]=2,"CC",(IF(Table3[[#This Row],[Type Received]]=3,"BILL","ACH")))</f>
        <v>CC</v>
      </c>
    </row>
    <row r="1641" spans="1:11" x14ac:dyDescent="0.25">
      <c r="A1641">
        <v>172190</v>
      </c>
      <c r="B1641" s="3">
        <v>46155</v>
      </c>
      <c r="C1641">
        <v>1</v>
      </c>
      <c r="D1641">
        <v>18.64</v>
      </c>
      <c r="G1641" t="s">
        <v>90</v>
      </c>
      <c r="H1641">
        <v>669494505</v>
      </c>
      <c r="I1641" t="s">
        <v>29</v>
      </c>
      <c r="J1641" t="s">
        <v>29</v>
      </c>
      <c r="K1641" t="str">
        <f>IF(Table3[[#This Row],[Type Received]]=2,"CC",(IF(Table3[[#This Row],[Type Received]]=3,"BILL","ACH")))</f>
        <v>ACH</v>
      </c>
    </row>
    <row r="1642" spans="1:11" x14ac:dyDescent="0.25">
      <c r="A1642">
        <v>171623</v>
      </c>
      <c r="B1642" s="3">
        <v>46167</v>
      </c>
      <c r="C1642">
        <v>1</v>
      </c>
      <c r="D1642">
        <v>25.56</v>
      </c>
      <c r="G1642" t="s">
        <v>85</v>
      </c>
      <c r="H1642">
        <v>818345943</v>
      </c>
      <c r="I1642" t="s">
        <v>29</v>
      </c>
      <c r="J1642" t="s">
        <v>29</v>
      </c>
      <c r="K1642" t="str">
        <f>IF(Table3[[#This Row],[Type Received]]=2,"CC",(IF(Table3[[#This Row],[Type Received]]=3,"BILL","ACH")))</f>
        <v>ACH</v>
      </c>
    </row>
    <row r="1643" spans="1:11" x14ac:dyDescent="0.25">
      <c r="A1643">
        <v>171626</v>
      </c>
      <c r="B1643" s="3">
        <v>46157</v>
      </c>
      <c r="C1643">
        <v>1</v>
      </c>
      <c r="D1643">
        <v>55.74</v>
      </c>
      <c r="G1643" t="s">
        <v>87</v>
      </c>
      <c r="H1643">
        <v>696712758</v>
      </c>
      <c r="I1643" t="s">
        <v>29</v>
      </c>
      <c r="J1643" t="s">
        <v>29</v>
      </c>
      <c r="K1643" t="str">
        <f>IF(Table3[[#This Row],[Type Received]]=2,"CC",(IF(Table3[[#This Row],[Type Received]]=3,"BILL","ACH")))</f>
        <v>ACH</v>
      </c>
    </row>
    <row r="1644" spans="1:11" x14ac:dyDescent="0.25">
      <c r="A1644">
        <v>171689</v>
      </c>
      <c r="B1644" s="3">
        <v>46143</v>
      </c>
      <c r="C1644">
        <v>2</v>
      </c>
      <c r="D1644">
        <v>58.24</v>
      </c>
      <c r="F1644" t="s">
        <v>228</v>
      </c>
      <c r="G1644">
        <v>741374152</v>
      </c>
      <c r="H1644">
        <v>353073244</v>
      </c>
      <c r="J1644" t="s">
        <v>29</v>
      </c>
      <c r="K1644" t="str">
        <f>IF(Table3[[#This Row],[Type Received]]=2,"CC",(IF(Table3[[#This Row],[Type Received]]=3,"BILL","ACH")))</f>
        <v>CC</v>
      </c>
    </row>
    <row r="1645" spans="1:11" x14ac:dyDescent="0.25">
      <c r="A1645">
        <v>171778</v>
      </c>
      <c r="B1645" s="3">
        <v>46155</v>
      </c>
      <c r="C1645">
        <v>2</v>
      </c>
      <c r="D1645">
        <v>20.43</v>
      </c>
      <c r="F1645" t="s">
        <v>229</v>
      </c>
      <c r="G1645" t="s">
        <v>28</v>
      </c>
      <c r="H1645">
        <v>669478901</v>
      </c>
      <c r="I1645" t="s">
        <v>29</v>
      </c>
      <c r="J1645" t="s">
        <v>29</v>
      </c>
      <c r="K1645" t="str">
        <f>IF(Table3[[#This Row],[Type Received]]=2,"CC",(IF(Table3[[#This Row],[Type Received]]=3,"BILL","ACH")))</f>
        <v>CC</v>
      </c>
    </row>
    <row r="1646" spans="1:11" x14ac:dyDescent="0.25">
      <c r="A1646">
        <v>172236</v>
      </c>
      <c r="B1646" s="3">
        <v>46147</v>
      </c>
      <c r="C1646">
        <v>3</v>
      </c>
      <c r="D1646">
        <v>15.76</v>
      </c>
      <c r="E1646">
        <v>4919</v>
      </c>
      <c r="J1646" t="s">
        <v>29</v>
      </c>
      <c r="K1646" t="str">
        <f>IF(Table3[[#This Row],[Type Received]]=2,"CC",(IF(Table3[[#This Row],[Type Received]]=3,"BILL","ACH")))</f>
        <v>BILL</v>
      </c>
    </row>
    <row r="1647" spans="1:11" x14ac:dyDescent="0.25">
      <c r="A1647">
        <v>172256</v>
      </c>
      <c r="B1647" s="3">
        <v>46157</v>
      </c>
      <c r="C1647">
        <v>1</v>
      </c>
      <c r="D1647">
        <v>26.64</v>
      </c>
      <c r="G1647" t="s">
        <v>87</v>
      </c>
      <c r="H1647">
        <v>696722448</v>
      </c>
      <c r="I1647" t="s">
        <v>29</v>
      </c>
      <c r="J1647" t="s">
        <v>29</v>
      </c>
      <c r="K1647" t="str">
        <f>IF(Table3[[#This Row],[Type Received]]=2,"CC",(IF(Table3[[#This Row],[Type Received]]=3,"BILL","ACH")))</f>
        <v>ACH</v>
      </c>
    </row>
    <row r="1648" spans="1:11" x14ac:dyDescent="0.25">
      <c r="A1648">
        <v>172268</v>
      </c>
      <c r="B1648" s="3">
        <v>46164</v>
      </c>
      <c r="C1648">
        <v>2</v>
      </c>
      <c r="D1648">
        <v>12.83</v>
      </c>
      <c r="F1648">
        <v>2935</v>
      </c>
      <c r="G1648" t="s">
        <v>28</v>
      </c>
      <c r="H1648">
        <v>785607825</v>
      </c>
      <c r="I1648" t="s">
        <v>29</v>
      </c>
      <c r="J1648" t="s">
        <v>29</v>
      </c>
      <c r="K1648" t="str">
        <f>IF(Table3[[#This Row],[Type Received]]=2,"CC",(IF(Table3[[#This Row],[Type Received]]=3,"BILL","ACH")))</f>
        <v>CC</v>
      </c>
    </row>
    <row r="1649" spans="1:11" x14ac:dyDescent="0.25">
      <c r="A1649">
        <v>172297</v>
      </c>
      <c r="B1649" s="3">
        <v>46170</v>
      </c>
      <c r="C1649">
        <v>3</v>
      </c>
      <c r="D1649">
        <v>112.24</v>
      </c>
      <c r="E1649">
        <v>19837013419</v>
      </c>
      <c r="J1649" t="s">
        <v>29</v>
      </c>
      <c r="K1649" t="str">
        <f>IF(Table3[[#This Row],[Type Received]]=2,"CC",(IF(Table3[[#This Row],[Type Received]]=3,"BILL","ACH")))</f>
        <v>BILL</v>
      </c>
    </row>
    <row r="1650" spans="1:11" x14ac:dyDescent="0.25">
      <c r="A1650">
        <v>172385</v>
      </c>
      <c r="B1650" s="3">
        <v>46149</v>
      </c>
      <c r="C1650">
        <v>2</v>
      </c>
      <c r="D1650">
        <v>15.94</v>
      </c>
      <c r="F1650">
        <v>192926</v>
      </c>
      <c r="G1650">
        <v>743273545</v>
      </c>
      <c r="H1650">
        <v>353788980</v>
      </c>
      <c r="J1650" t="s">
        <v>29</v>
      </c>
      <c r="K1650" t="str">
        <f>IF(Table3[[#This Row],[Type Received]]=2,"CC",(IF(Table3[[#This Row],[Type Received]]=3,"BILL","ACH")))</f>
        <v>CC</v>
      </c>
    </row>
    <row r="1651" spans="1:11" x14ac:dyDescent="0.25">
      <c r="A1651">
        <v>172463</v>
      </c>
      <c r="B1651" s="3">
        <v>46171</v>
      </c>
      <c r="C1651">
        <v>3</v>
      </c>
      <c r="D1651">
        <v>183.34</v>
      </c>
      <c r="E1651">
        <v>1</v>
      </c>
      <c r="J1651" t="s">
        <v>29</v>
      </c>
      <c r="K1651" t="str">
        <f>IF(Table3[[#This Row],[Type Received]]=2,"CC",(IF(Table3[[#This Row],[Type Received]]=3,"BILL","ACH")))</f>
        <v>BILL</v>
      </c>
    </row>
    <row r="1652" spans="1:11" x14ac:dyDescent="0.25">
      <c r="A1652">
        <v>172503</v>
      </c>
      <c r="B1652" s="3">
        <v>46167</v>
      </c>
      <c r="C1652">
        <v>1</v>
      </c>
      <c r="D1652">
        <v>25.38</v>
      </c>
      <c r="G1652" t="s">
        <v>85</v>
      </c>
      <c r="H1652">
        <v>818347921</v>
      </c>
      <c r="I1652" t="s">
        <v>29</v>
      </c>
      <c r="K1652" t="str">
        <f>IF(Table3[[#This Row],[Type Received]]=2,"CC",(IF(Table3[[#This Row],[Type Received]]=3,"BILL","ACH")))</f>
        <v>ACH</v>
      </c>
    </row>
    <row r="1653" spans="1:11" x14ac:dyDescent="0.25">
      <c r="A1653">
        <v>172508</v>
      </c>
      <c r="B1653" s="3">
        <v>46157</v>
      </c>
      <c r="C1653">
        <v>1</v>
      </c>
      <c r="D1653">
        <v>28.84</v>
      </c>
      <c r="G1653" t="s">
        <v>87</v>
      </c>
      <c r="H1653">
        <v>696708997</v>
      </c>
      <c r="I1653" t="s">
        <v>29</v>
      </c>
      <c r="J1653" t="s">
        <v>29</v>
      </c>
      <c r="K1653" t="str">
        <f>IF(Table3[[#This Row],[Type Received]]=2,"CC",(IF(Table3[[#This Row],[Type Received]]=3,"BILL","ACH")))</f>
        <v>ACH</v>
      </c>
    </row>
    <row r="1654" spans="1:11" x14ac:dyDescent="0.25">
      <c r="A1654">
        <v>172555</v>
      </c>
      <c r="B1654" s="3">
        <v>46147</v>
      </c>
      <c r="C1654">
        <v>3</v>
      </c>
      <c r="D1654">
        <v>97.72</v>
      </c>
      <c r="E1654">
        <v>3093</v>
      </c>
      <c r="G1654" s="4"/>
      <c r="J1654" t="s">
        <v>29</v>
      </c>
      <c r="K1654" t="str">
        <f>IF(Table3[[#This Row],[Type Received]]=2,"CC",(IF(Table3[[#This Row],[Type Received]]=3,"BILL","ACH")))</f>
        <v>BILL</v>
      </c>
    </row>
    <row r="1655" spans="1:11" x14ac:dyDescent="0.25">
      <c r="A1655">
        <v>172815</v>
      </c>
      <c r="B1655" s="3">
        <v>46156</v>
      </c>
      <c r="C1655">
        <v>1</v>
      </c>
      <c r="D1655">
        <v>68.34</v>
      </c>
      <c r="G1655" t="s">
        <v>93</v>
      </c>
      <c r="H1655">
        <v>682512914</v>
      </c>
      <c r="I1655" t="s">
        <v>29</v>
      </c>
      <c r="J1655" t="s">
        <v>29</v>
      </c>
      <c r="K1655" t="str">
        <f>IF(Table3[[#This Row],[Type Received]]=2,"CC",(IF(Table3[[#This Row],[Type Received]]=3,"BILL","ACH")))</f>
        <v>ACH</v>
      </c>
    </row>
    <row r="1656" spans="1:11" x14ac:dyDescent="0.25">
      <c r="A1656">
        <v>172867</v>
      </c>
      <c r="B1656" s="3">
        <v>46160</v>
      </c>
      <c r="C1656">
        <v>2</v>
      </c>
      <c r="D1656">
        <v>34.72</v>
      </c>
      <c r="F1656">
        <v>141418</v>
      </c>
      <c r="G1656" s="4">
        <v>746573029</v>
      </c>
      <c r="H1656">
        <v>355068868</v>
      </c>
      <c r="J1656" t="s">
        <v>29</v>
      </c>
      <c r="K1656" t="str">
        <f>IF(Table3[[#This Row],[Type Received]]=2,"CC",(IF(Table3[[#This Row],[Type Received]]=3,"BILL","ACH")))</f>
        <v>CC</v>
      </c>
    </row>
    <row r="1657" spans="1:11" x14ac:dyDescent="0.25">
      <c r="A1657">
        <v>172902</v>
      </c>
      <c r="B1657" s="3">
        <v>46143</v>
      </c>
      <c r="C1657">
        <v>1</v>
      </c>
      <c r="D1657">
        <v>25.89</v>
      </c>
      <c r="G1657" t="s">
        <v>84</v>
      </c>
      <c r="H1657">
        <v>522226439</v>
      </c>
      <c r="I1657" t="s">
        <v>29</v>
      </c>
      <c r="J1657" t="s">
        <v>29</v>
      </c>
      <c r="K1657" t="str">
        <f>IF(Table3[[#This Row],[Type Received]]=2,"CC",(IF(Table3[[#This Row],[Type Received]]=3,"BILL","ACH")))</f>
        <v>ACH</v>
      </c>
    </row>
    <row r="1658" spans="1:11" x14ac:dyDescent="0.25">
      <c r="A1658">
        <v>172917</v>
      </c>
      <c r="B1658" s="3">
        <v>46167</v>
      </c>
      <c r="C1658">
        <v>1</v>
      </c>
      <c r="D1658">
        <v>29.82</v>
      </c>
      <c r="G1658" t="s">
        <v>85</v>
      </c>
      <c r="H1658">
        <v>818368170</v>
      </c>
      <c r="I1658" t="s">
        <v>29</v>
      </c>
      <c r="J1658" t="s">
        <v>29</v>
      </c>
      <c r="K1658" t="str">
        <f>IF(Table3[[#This Row],[Type Received]]=2,"CC",(IF(Table3[[#This Row],[Type Received]]=3,"BILL","ACH")))</f>
        <v>ACH</v>
      </c>
    </row>
    <row r="1659" spans="1:11" x14ac:dyDescent="0.25">
      <c r="A1659">
        <v>172695</v>
      </c>
      <c r="B1659" s="3">
        <v>46169</v>
      </c>
      <c r="C1659">
        <v>3</v>
      </c>
      <c r="D1659">
        <v>10.67</v>
      </c>
      <c r="E1659">
        <v>8692</v>
      </c>
      <c r="J1659" t="s">
        <v>29</v>
      </c>
      <c r="K1659" t="str">
        <f>IF(Table3[[#This Row],[Type Received]]=2,"CC",(IF(Table3[[#This Row],[Type Received]]=3,"BILL","ACH")))</f>
        <v>BILL</v>
      </c>
    </row>
    <row r="1660" spans="1:11" x14ac:dyDescent="0.25">
      <c r="A1660">
        <v>172695</v>
      </c>
      <c r="B1660" s="3">
        <v>46146</v>
      </c>
      <c r="C1660">
        <v>3</v>
      </c>
      <c r="D1660">
        <v>10.67</v>
      </c>
      <c r="E1660">
        <v>8672</v>
      </c>
      <c r="J1660" t="s">
        <v>29</v>
      </c>
      <c r="K1660" t="str">
        <f>IF(Table3[[#This Row],[Type Received]]=2,"CC",(IF(Table3[[#This Row],[Type Received]]=3,"BILL","ACH")))</f>
        <v>BILL</v>
      </c>
    </row>
    <row r="1661" spans="1:11" x14ac:dyDescent="0.25">
      <c r="A1661">
        <v>172712</v>
      </c>
      <c r="B1661" s="3">
        <v>46144</v>
      </c>
      <c r="C1661">
        <v>1</v>
      </c>
      <c r="D1661">
        <v>17.100000000000001</v>
      </c>
      <c r="G1661" t="s">
        <v>89</v>
      </c>
      <c r="H1661">
        <v>535380985</v>
      </c>
      <c r="I1661" t="s">
        <v>29</v>
      </c>
      <c r="J1661" t="s">
        <v>29</v>
      </c>
      <c r="K1661" t="str">
        <f>IF(Table3[[#This Row],[Type Received]]=2,"CC",(IF(Table3[[#This Row],[Type Received]]=3,"BILL","ACH")))</f>
        <v>ACH</v>
      </c>
    </row>
    <row r="1662" spans="1:11" x14ac:dyDescent="0.25">
      <c r="A1662">
        <v>172724</v>
      </c>
      <c r="B1662" s="3">
        <v>46148</v>
      </c>
      <c r="C1662">
        <v>3</v>
      </c>
      <c r="D1662">
        <v>48.82</v>
      </c>
      <c r="E1662">
        <v>1485</v>
      </c>
      <c r="K1662" t="str">
        <f>IF(Table3[[#This Row],[Type Received]]=2,"CC",(IF(Table3[[#This Row],[Type Received]]=3,"BILL","ACH")))</f>
        <v>BILL</v>
      </c>
    </row>
    <row r="1663" spans="1:11" x14ac:dyDescent="0.25">
      <c r="A1663">
        <v>173020</v>
      </c>
      <c r="B1663" s="3">
        <v>46157</v>
      </c>
      <c r="C1663">
        <v>1</v>
      </c>
      <c r="D1663">
        <v>20.7</v>
      </c>
      <c r="G1663" t="s">
        <v>87</v>
      </c>
      <c r="H1663">
        <v>696711787</v>
      </c>
      <c r="I1663" t="s">
        <v>29</v>
      </c>
      <c r="K1663" t="str">
        <f>IF(Table3[[#This Row],[Type Received]]=2,"CC",(IF(Table3[[#This Row],[Type Received]]=3,"BILL","ACH")))</f>
        <v>ACH</v>
      </c>
    </row>
    <row r="1664" spans="1:11" x14ac:dyDescent="0.25">
      <c r="A1664">
        <v>173493</v>
      </c>
      <c r="B1664" s="3">
        <v>46157</v>
      </c>
      <c r="C1664">
        <v>1</v>
      </c>
      <c r="D1664">
        <v>28.8</v>
      </c>
      <c r="G1664" t="s">
        <v>87</v>
      </c>
      <c r="H1664">
        <v>696715808</v>
      </c>
      <c r="I1664" t="s">
        <v>29</v>
      </c>
      <c r="J1664" t="s">
        <v>29</v>
      </c>
      <c r="K1664" t="str">
        <f>IF(Table3[[#This Row],[Type Received]]=2,"CC",(IF(Table3[[#This Row],[Type Received]]=3,"BILL","ACH")))</f>
        <v>ACH</v>
      </c>
    </row>
    <row r="1665" spans="1:11" x14ac:dyDescent="0.25">
      <c r="A1665">
        <v>173614</v>
      </c>
      <c r="B1665" s="3">
        <v>46155</v>
      </c>
      <c r="C1665">
        <v>2</v>
      </c>
      <c r="D1665">
        <v>26.1</v>
      </c>
      <c r="F1665" t="s">
        <v>230</v>
      </c>
      <c r="G1665" t="s">
        <v>28</v>
      </c>
      <c r="H1665">
        <v>669478914</v>
      </c>
      <c r="I1665" t="s">
        <v>29</v>
      </c>
      <c r="K1665" t="str">
        <f>IF(Table3[[#This Row],[Type Received]]=2,"CC",(IF(Table3[[#This Row],[Type Received]]=3,"BILL","ACH")))</f>
        <v>CC</v>
      </c>
    </row>
    <row r="1666" spans="1:11" x14ac:dyDescent="0.25">
      <c r="A1666">
        <v>173762</v>
      </c>
      <c r="B1666" s="3">
        <v>46143</v>
      </c>
      <c r="C1666">
        <v>1</v>
      </c>
      <c r="D1666">
        <v>11.34</v>
      </c>
      <c r="G1666" t="s">
        <v>84</v>
      </c>
      <c r="H1666">
        <v>522437230</v>
      </c>
      <c r="I1666" t="s">
        <v>29</v>
      </c>
      <c r="J1666" t="s">
        <v>29</v>
      </c>
      <c r="K1666" t="str">
        <f>IF(Table3[[#This Row],[Type Received]]=2,"CC",(IF(Table3[[#This Row],[Type Received]]=3,"BILL","ACH")))</f>
        <v>ACH</v>
      </c>
    </row>
    <row r="1667" spans="1:11" x14ac:dyDescent="0.25">
      <c r="A1667">
        <v>173796</v>
      </c>
      <c r="B1667" s="3">
        <v>46144</v>
      </c>
      <c r="C1667">
        <v>1</v>
      </c>
      <c r="D1667">
        <v>45.66</v>
      </c>
      <c r="G1667" t="s">
        <v>89</v>
      </c>
      <c r="H1667">
        <v>535380994</v>
      </c>
      <c r="I1667" t="s">
        <v>29</v>
      </c>
      <c r="J1667" t="s">
        <v>29</v>
      </c>
      <c r="K1667" t="str">
        <f>IF(Table3[[#This Row],[Type Received]]=2,"CC",(IF(Table3[[#This Row],[Type Received]]=3,"BILL","ACH")))</f>
        <v>ACH</v>
      </c>
    </row>
    <row r="1668" spans="1:11" x14ac:dyDescent="0.25">
      <c r="A1668">
        <v>173974</v>
      </c>
      <c r="B1668" s="3">
        <v>46143</v>
      </c>
      <c r="C1668">
        <v>1</v>
      </c>
      <c r="D1668">
        <v>64.98</v>
      </c>
      <c r="G1668" t="s">
        <v>84</v>
      </c>
      <c r="H1668">
        <v>522412856</v>
      </c>
      <c r="I1668" t="s">
        <v>29</v>
      </c>
      <c r="J1668" t="s">
        <v>29</v>
      </c>
      <c r="K1668" t="str">
        <f>IF(Table3[[#This Row],[Type Received]]=2,"CC",(IF(Table3[[#This Row],[Type Received]]=3,"BILL","ACH")))</f>
        <v>ACH</v>
      </c>
    </row>
    <row r="1669" spans="1:11" x14ac:dyDescent="0.25">
      <c r="A1669">
        <v>174115</v>
      </c>
      <c r="B1669" s="3">
        <v>46168</v>
      </c>
      <c r="C1669">
        <v>3</v>
      </c>
      <c r="D1669">
        <v>28</v>
      </c>
      <c r="E1669">
        <v>2821</v>
      </c>
      <c r="J1669" t="s">
        <v>29</v>
      </c>
      <c r="K1669" t="str">
        <f>IF(Table3[[#This Row],[Type Received]]=2,"CC",(IF(Table3[[#This Row],[Type Received]]=3,"BILL","ACH")))</f>
        <v>BILL</v>
      </c>
    </row>
    <row r="1670" spans="1:11" x14ac:dyDescent="0.25">
      <c r="A1670">
        <v>174247</v>
      </c>
      <c r="B1670" s="3">
        <v>46144</v>
      </c>
      <c r="C1670">
        <v>1</v>
      </c>
      <c r="D1670">
        <v>11.7</v>
      </c>
      <c r="G1670" t="s">
        <v>89</v>
      </c>
      <c r="H1670">
        <v>535406157</v>
      </c>
      <c r="I1670" t="s">
        <v>29</v>
      </c>
      <c r="J1670" t="s">
        <v>29</v>
      </c>
      <c r="K1670" t="str">
        <f>IF(Table3[[#This Row],[Type Received]]=2,"CC",(IF(Table3[[#This Row],[Type Received]]=3,"BILL","ACH")))</f>
        <v>ACH</v>
      </c>
    </row>
    <row r="1671" spans="1:11" x14ac:dyDescent="0.25">
      <c r="A1671">
        <v>174341</v>
      </c>
      <c r="B1671" s="3">
        <v>46160</v>
      </c>
      <c r="C1671">
        <v>3</v>
      </c>
      <c r="D1671">
        <v>57.52</v>
      </c>
      <c r="E1671">
        <v>4490061592</v>
      </c>
      <c r="G1671" s="4"/>
      <c r="J1671" t="s">
        <v>29</v>
      </c>
      <c r="K1671" t="str">
        <f>IF(Table3[[#This Row],[Type Received]]=2,"CC",(IF(Table3[[#This Row],[Type Received]]=3,"BILL","ACH")))</f>
        <v>BILL</v>
      </c>
    </row>
    <row r="1672" spans="1:11" x14ac:dyDescent="0.25">
      <c r="A1672">
        <v>174367</v>
      </c>
      <c r="B1672" s="3">
        <v>46157</v>
      </c>
      <c r="C1672">
        <v>1</v>
      </c>
      <c r="D1672">
        <v>38.92</v>
      </c>
      <c r="G1672" t="s">
        <v>87</v>
      </c>
      <c r="H1672">
        <v>696733107</v>
      </c>
      <c r="I1672" t="s">
        <v>29</v>
      </c>
      <c r="J1672" t="s">
        <v>29</v>
      </c>
      <c r="K1672" t="str">
        <f>IF(Table3[[#This Row],[Type Received]]=2,"CC",(IF(Table3[[#This Row],[Type Received]]=3,"BILL","ACH")))</f>
        <v>ACH</v>
      </c>
    </row>
    <row r="1673" spans="1:11" x14ac:dyDescent="0.25">
      <c r="A1673">
        <v>174417</v>
      </c>
      <c r="B1673" s="3">
        <v>46150</v>
      </c>
      <c r="C1673">
        <v>3</v>
      </c>
      <c r="D1673">
        <v>47.71</v>
      </c>
      <c r="E1673">
        <v>900076</v>
      </c>
      <c r="G1673" s="4"/>
      <c r="K1673" t="str">
        <f>IF(Table3[[#This Row],[Type Received]]=2,"CC",(IF(Table3[[#This Row],[Type Received]]=3,"BILL","ACH")))</f>
        <v>BILL</v>
      </c>
    </row>
    <row r="1674" spans="1:11" x14ac:dyDescent="0.25">
      <c r="A1674">
        <v>174421</v>
      </c>
      <c r="B1674" s="3">
        <v>46167</v>
      </c>
      <c r="C1674">
        <v>1</v>
      </c>
      <c r="D1674">
        <v>19.079999999999998</v>
      </c>
      <c r="G1674" t="s">
        <v>85</v>
      </c>
      <c r="H1674">
        <v>818343087</v>
      </c>
      <c r="I1674" t="s">
        <v>29</v>
      </c>
      <c r="J1674" t="s">
        <v>29</v>
      </c>
      <c r="K1674" t="str">
        <f>IF(Table3[[#This Row],[Type Received]]=2,"CC",(IF(Table3[[#This Row],[Type Received]]=3,"BILL","ACH")))</f>
        <v>ACH</v>
      </c>
    </row>
    <row r="1675" spans="1:11" x14ac:dyDescent="0.25">
      <c r="A1675">
        <v>174466</v>
      </c>
      <c r="B1675" s="3">
        <v>46168</v>
      </c>
      <c r="C1675">
        <v>3</v>
      </c>
      <c r="D1675">
        <v>131.68</v>
      </c>
      <c r="E1675">
        <v>717</v>
      </c>
      <c r="K1675" t="str">
        <f>IF(Table3[[#This Row],[Type Received]]=2,"CC",(IF(Table3[[#This Row],[Type Received]]=3,"BILL","ACH")))</f>
        <v>BILL</v>
      </c>
    </row>
    <row r="1676" spans="1:11" x14ac:dyDescent="0.25">
      <c r="A1676">
        <v>174514</v>
      </c>
      <c r="B1676" s="3">
        <v>46157</v>
      </c>
      <c r="C1676">
        <v>1</v>
      </c>
      <c r="D1676">
        <v>34.799999999999997</v>
      </c>
      <c r="G1676" s="4" t="s">
        <v>87</v>
      </c>
      <c r="H1676">
        <v>696705079</v>
      </c>
      <c r="I1676" t="s">
        <v>29</v>
      </c>
      <c r="J1676" t="s">
        <v>29</v>
      </c>
      <c r="K1676" t="str">
        <f>IF(Table3[[#This Row],[Type Received]]=2,"CC",(IF(Table3[[#This Row],[Type Received]]=3,"BILL","ACH")))</f>
        <v>ACH</v>
      </c>
    </row>
    <row r="1677" spans="1:11" x14ac:dyDescent="0.25">
      <c r="A1677">
        <v>174524</v>
      </c>
      <c r="B1677" s="3">
        <v>46167</v>
      </c>
      <c r="C1677">
        <v>1</v>
      </c>
      <c r="D1677">
        <v>28.8</v>
      </c>
      <c r="G1677" t="s">
        <v>85</v>
      </c>
      <c r="H1677">
        <v>818367211</v>
      </c>
      <c r="I1677" t="s">
        <v>29</v>
      </c>
      <c r="J1677" t="s">
        <v>29</v>
      </c>
      <c r="K1677" t="str">
        <f>IF(Table3[[#This Row],[Type Received]]=2,"CC",(IF(Table3[[#This Row],[Type Received]]=3,"BILL","ACH")))</f>
        <v>ACH</v>
      </c>
    </row>
    <row r="1678" spans="1:11" x14ac:dyDescent="0.25">
      <c r="A1678">
        <v>174535</v>
      </c>
      <c r="B1678" s="3">
        <v>46156</v>
      </c>
      <c r="C1678">
        <v>2</v>
      </c>
      <c r="D1678">
        <v>52.66</v>
      </c>
      <c r="F1678">
        <v>82965</v>
      </c>
      <c r="G1678" s="4" t="s">
        <v>28</v>
      </c>
      <c r="H1678">
        <v>686913387</v>
      </c>
      <c r="I1678" t="s">
        <v>29</v>
      </c>
      <c r="J1678" t="s">
        <v>29</v>
      </c>
      <c r="K1678" t="str">
        <f>IF(Table3[[#This Row],[Type Received]]=2,"CC",(IF(Table3[[#This Row],[Type Received]]=3,"BILL","ACH")))</f>
        <v>CC</v>
      </c>
    </row>
    <row r="1679" spans="1:11" x14ac:dyDescent="0.25">
      <c r="A1679">
        <v>174535</v>
      </c>
      <c r="B1679" s="3">
        <v>46153</v>
      </c>
      <c r="C1679">
        <v>3</v>
      </c>
      <c r="D1679">
        <v>52.66</v>
      </c>
      <c r="E1679">
        <v>2725</v>
      </c>
      <c r="J1679" t="s">
        <v>29</v>
      </c>
      <c r="K1679" t="str">
        <f>IF(Table3[[#This Row],[Type Received]]=2,"CC",(IF(Table3[[#This Row],[Type Received]]=3,"BILL","ACH")))</f>
        <v>BILL</v>
      </c>
    </row>
    <row r="1680" spans="1:11" x14ac:dyDescent="0.25">
      <c r="A1680">
        <v>174569</v>
      </c>
      <c r="B1680" s="3">
        <v>46157</v>
      </c>
      <c r="C1680">
        <v>1</v>
      </c>
      <c r="D1680">
        <v>22.59</v>
      </c>
      <c r="G1680" s="4" t="s">
        <v>87</v>
      </c>
      <c r="H1680">
        <v>696705090</v>
      </c>
      <c r="I1680" t="s">
        <v>29</v>
      </c>
      <c r="J1680" t="s">
        <v>29</v>
      </c>
      <c r="K1680" t="str">
        <f>IF(Table3[[#This Row],[Type Received]]=2,"CC",(IF(Table3[[#This Row],[Type Received]]=3,"BILL","ACH")))</f>
        <v>ACH</v>
      </c>
    </row>
    <row r="1681" spans="1:11" x14ac:dyDescent="0.25">
      <c r="A1681">
        <v>174590</v>
      </c>
      <c r="B1681" s="3">
        <v>46144</v>
      </c>
      <c r="C1681">
        <v>1</v>
      </c>
      <c r="D1681">
        <v>12.78</v>
      </c>
      <c r="G1681" t="s">
        <v>89</v>
      </c>
      <c r="H1681">
        <v>535379036</v>
      </c>
      <c r="I1681" t="s">
        <v>29</v>
      </c>
      <c r="J1681" t="s">
        <v>29</v>
      </c>
      <c r="K1681" t="str">
        <f>IF(Table3[[#This Row],[Type Received]]=2,"CC",(IF(Table3[[#This Row],[Type Received]]=3,"BILL","ACH")))</f>
        <v>ACH</v>
      </c>
    </row>
    <row r="1682" spans="1:11" x14ac:dyDescent="0.25">
      <c r="A1682">
        <v>174749</v>
      </c>
      <c r="B1682" s="3">
        <v>46156</v>
      </c>
      <c r="C1682">
        <v>2</v>
      </c>
      <c r="D1682">
        <v>51.33</v>
      </c>
      <c r="F1682" t="s">
        <v>231</v>
      </c>
      <c r="G1682" t="s">
        <v>28</v>
      </c>
      <c r="H1682">
        <v>682514094</v>
      </c>
      <c r="I1682" t="s">
        <v>29</v>
      </c>
      <c r="J1682" t="s">
        <v>29</v>
      </c>
      <c r="K1682" t="str">
        <f>IF(Table3[[#This Row],[Type Received]]=2,"CC",(IF(Table3[[#This Row],[Type Received]]=3,"BILL","ACH")))</f>
        <v>CC</v>
      </c>
    </row>
    <row r="1683" spans="1:11" x14ac:dyDescent="0.25">
      <c r="A1683">
        <v>174780</v>
      </c>
      <c r="B1683" s="3">
        <v>46168</v>
      </c>
      <c r="C1683">
        <v>3</v>
      </c>
      <c r="D1683">
        <v>35.26</v>
      </c>
      <c r="E1683">
        <v>4993</v>
      </c>
      <c r="J1683" t="s">
        <v>29</v>
      </c>
      <c r="K1683" t="str">
        <f>IF(Table3[[#This Row],[Type Received]]=2,"CC",(IF(Table3[[#This Row],[Type Received]]=3,"BILL","ACH")))</f>
        <v>BILL</v>
      </c>
    </row>
    <row r="1684" spans="1:11" x14ac:dyDescent="0.25">
      <c r="A1684">
        <v>174780</v>
      </c>
      <c r="B1684" s="3">
        <v>46146</v>
      </c>
      <c r="C1684">
        <v>3</v>
      </c>
      <c r="D1684">
        <v>35.26</v>
      </c>
      <c r="E1684">
        <v>5246</v>
      </c>
      <c r="J1684" t="s">
        <v>29</v>
      </c>
      <c r="K1684" t="str">
        <f>IF(Table3[[#This Row],[Type Received]]=2,"CC",(IF(Table3[[#This Row],[Type Received]]=3,"BILL","ACH")))</f>
        <v>BILL</v>
      </c>
    </row>
    <row r="1685" spans="1:11" x14ac:dyDescent="0.25">
      <c r="A1685">
        <v>174801</v>
      </c>
      <c r="B1685" s="3">
        <v>46168</v>
      </c>
      <c r="C1685">
        <v>3</v>
      </c>
      <c r="D1685">
        <v>54.22</v>
      </c>
      <c r="E1685">
        <v>6794</v>
      </c>
      <c r="J1685" t="s">
        <v>29</v>
      </c>
      <c r="K1685" t="str">
        <f>IF(Table3[[#This Row],[Type Received]]=2,"CC",(IF(Table3[[#This Row],[Type Received]]=3,"BILL","ACH")))</f>
        <v>BILL</v>
      </c>
    </row>
    <row r="1686" spans="1:11" x14ac:dyDescent="0.25">
      <c r="A1686">
        <v>174830</v>
      </c>
      <c r="B1686" s="3">
        <v>46143</v>
      </c>
      <c r="C1686">
        <v>3</v>
      </c>
      <c r="D1686">
        <v>33.909999999999997</v>
      </c>
      <c r="E1686">
        <v>74738613</v>
      </c>
      <c r="J1686" t="s">
        <v>29</v>
      </c>
      <c r="K1686" t="str">
        <f>IF(Table3[[#This Row],[Type Received]]=2,"CC",(IF(Table3[[#This Row],[Type Received]]=3,"BILL","ACH")))</f>
        <v>BILL</v>
      </c>
    </row>
    <row r="1687" spans="1:11" x14ac:dyDescent="0.25">
      <c r="A1687">
        <v>175072</v>
      </c>
      <c r="B1687" s="3">
        <v>46157</v>
      </c>
      <c r="C1687">
        <v>1</v>
      </c>
      <c r="D1687">
        <v>27.18</v>
      </c>
      <c r="G1687" s="4" t="s">
        <v>87</v>
      </c>
      <c r="H1687">
        <v>696716804</v>
      </c>
      <c r="I1687" t="s">
        <v>29</v>
      </c>
      <c r="K1687" t="str">
        <f>IF(Table3[[#This Row],[Type Received]]=2,"CC",(IF(Table3[[#This Row],[Type Received]]=3,"BILL","ACH")))</f>
        <v>ACH</v>
      </c>
    </row>
    <row r="1688" spans="1:11" x14ac:dyDescent="0.25">
      <c r="A1688">
        <v>175111</v>
      </c>
      <c r="B1688" s="3">
        <v>46157</v>
      </c>
      <c r="C1688">
        <v>1</v>
      </c>
      <c r="D1688">
        <v>44.76</v>
      </c>
      <c r="G1688" s="4" t="s">
        <v>87</v>
      </c>
      <c r="H1688">
        <v>696615230</v>
      </c>
      <c r="I1688" t="s">
        <v>29</v>
      </c>
      <c r="K1688" t="str">
        <f>IF(Table3[[#This Row],[Type Received]]=2,"CC",(IF(Table3[[#This Row],[Type Received]]=3,"BILL","ACH")))</f>
        <v>ACH</v>
      </c>
    </row>
    <row r="1689" spans="1:11" x14ac:dyDescent="0.25">
      <c r="A1689">
        <v>175143</v>
      </c>
      <c r="B1689" s="3">
        <v>46155</v>
      </c>
      <c r="C1689">
        <v>2</v>
      </c>
      <c r="D1689">
        <v>70.23</v>
      </c>
      <c r="F1689">
        <v>247828</v>
      </c>
      <c r="G1689" t="s">
        <v>28</v>
      </c>
      <c r="H1689">
        <v>669477044</v>
      </c>
      <c r="I1689" t="s">
        <v>29</v>
      </c>
      <c r="J1689" t="s">
        <v>29</v>
      </c>
      <c r="K1689" t="str">
        <f>IF(Table3[[#This Row],[Type Received]]=2,"CC",(IF(Table3[[#This Row],[Type Received]]=3,"BILL","ACH")))</f>
        <v>CC</v>
      </c>
    </row>
    <row r="1690" spans="1:11" x14ac:dyDescent="0.25">
      <c r="A1690">
        <v>175257</v>
      </c>
      <c r="B1690" s="3">
        <v>46144</v>
      </c>
      <c r="C1690">
        <v>1</v>
      </c>
      <c r="D1690">
        <v>15.66</v>
      </c>
      <c r="G1690" t="s">
        <v>89</v>
      </c>
      <c r="H1690">
        <v>535367313</v>
      </c>
      <c r="I1690" t="s">
        <v>29</v>
      </c>
      <c r="J1690" t="s">
        <v>29</v>
      </c>
      <c r="K1690" t="str">
        <f>IF(Table3[[#This Row],[Type Received]]=2,"CC",(IF(Table3[[#This Row],[Type Received]]=3,"BILL","ACH")))</f>
        <v>ACH</v>
      </c>
    </row>
    <row r="1691" spans="1:11" x14ac:dyDescent="0.25">
      <c r="A1691">
        <v>175520</v>
      </c>
      <c r="B1691" s="3">
        <v>46150</v>
      </c>
      <c r="C1691">
        <v>3</v>
      </c>
      <c r="D1691">
        <v>242.03</v>
      </c>
      <c r="E1691">
        <v>986908</v>
      </c>
      <c r="J1691" t="s">
        <v>29</v>
      </c>
      <c r="K1691" t="str">
        <f>IF(Table3[[#This Row],[Type Received]]=2,"CC",(IF(Table3[[#This Row],[Type Received]]=3,"BILL","ACH")))</f>
        <v>BILL</v>
      </c>
    </row>
    <row r="1692" spans="1:11" x14ac:dyDescent="0.25">
      <c r="A1692">
        <v>175545</v>
      </c>
      <c r="B1692" s="3">
        <v>46143</v>
      </c>
      <c r="C1692">
        <v>2</v>
      </c>
      <c r="D1692">
        <v>28.72</v>
      </c>
      <c r="F1692" t="s">
        <v>232</v>
      </c>
      <c r="G1692" t="s">
        <v>28</v>
      </c>
      <c r="H1692">
        <v>521721661</v>
      </c>
      <c r="I1692" t="s">
        <v>29</v>
      </c>
      <c r="J1692" t="s">
        <v>29</v>
      </c>
      <c r="K1692" t="str">
        <f>IF(Table3[[#This Row],[Type Received]]=2,"CC",(IF(Table3[[#This Row],[Type Received]]=3,"BILL","ACH")))</f>
        <v>CC</v>
      </c>
    </row>
    <row r="1693" spans="1:11" x14ac:dyDescent="0.25">
      <c r="A1693">
        <v>175592</v>
      </c>
      <c r="B1693" s="3">
        <v>46167</v>
      </c>
      <c r="C1693">
        <v>1</v>
      </c>
      <c r="D1693">
        <v>30.48</v>
      </c>
      <c r="G1693" s="4" t="s">
        <v>85</v>
      </c>
      <c r="H1693">
        <v>818360471</v>
      </c>
      <c r="I1693" t="s">
        <v>29</v>
      </c>
      <c r="J1693" t="s">
        <v>29</v>
      </c>
      <c r="K1693" t="str">
        <f>IF(Table3[[#This Row],[Type Received]]=2,"CC",(IF(Table3[[#This Row],[Type Received]]=3,"BILL","ACH")))</f>
        <v>ACH</v>
      </c>
    </row>
    <row r="1694" spans="1:11" x14ac:dyDescent="0.25">
      <c r="A1694">
        <v>175642</v>
      </c>
      <c r="B1694" s="3">
        <v>46143</v>
      </c>
      <c r="C1694">
        <v>3</v>
      </c>
      <c r="D1694">
        <v>73.63</v>
      </c>
      <c r="E1694">
        <v>7324</v>
      </c>
      <c r="J1694" t="s">
        <v>29</v>
      </c>
      <c r="K1694" t="str">
        <f>IF(Table3[[#This Row],[Type Received]]=2,"CC",(IF(Table3[[#This Row],[Type Received]]=3,"BILL","ACH")))</f>
        <v>BILL</v>
      </c>
    </row>
    <row r="1695" spans="1:11" x14ac:dyDescent="0.25">
      <c r="A1695">
        <v>175667</v>
      </c>
      <c r="B1695" s="3">
        <v>46157</v>
      </c>
      <c r="C1695">
        <v>1</v>
      </c>
      <c r="D1695">
        <v>57.54</v>
      </c>
      <c r="G1695" t="s">
        <v>87</v>
      </c>
      <c r="H1695">
        <v>696716825</v>
      </c>
      <c r="I1695" t="s">
        <v>29</v>
      </c>
      <c r="J1695" t="s">
        <v>29</v>
      </c>
      <c r="K1695" t="str">
        <f>IF(Table3[[#This Row],[Type Received]]=2,"CC",(IF(Table3[[#This Row],[Type Received]]=3,"BILL","ACH")))</f>
        <v>ACH</v>
      </c>
    </row>
    <row r="1696" spans="1:11" x14ac:dyDescent="0.25">
      <c r="A1696">
        <v>175783</v>
      </c>
      <c r="B1696" s="3">
        <v>46152</v>
      </c>
      <c r="C1696">
        <v>1</v>
      </c>
      <c r="D1696">
        <v>49.62</v>
      </c>
      <c r="G1696" t="s">
        <v>115</v>
      </c>
      <c r="H1696">
        <v>632881911</v>
      </c>
      <c r="I1696" t="s">
        <v>29</v>
      </c>
      <c r="J1696" t="s">
        <v>29</v>
      </c>
      <c r="K1696" t="str">
        <f>IF(Table3[[#This Row],[Type Received]]=2,"CC",(IF(Table3[[#This Row],[Type Received]]=3,"BILL","ACH")))</f>
        <v>ACH</v>
      </c>
    </row>
    <row r="1697" spans="1:11" x14ac:dyDescent="0.25">
      <c r="A1697">
        <v>175788</v>
      </c>
      <c r="B1697" s="3">
        <v>46146</v>
      </c>
      <c r="C1697">
        <v>3</v>
      </c>
      <c r="D1697">
        <v>24.04</v>
      </c>
      <c r="E1697">
        <v>6220</v>
      </c>
      <c r="J1697" t="s">
        <v>29</v>
      </c>
      <c r="K1697" t="str">
        <f>IF(Table3[[#This Row],[Type Received]]=2,"CC",(IF(Table3[[#This Row],[Type Received]]=3,"BILL","ACH")))</f>
        <v>BILL</v>
      </c>
    </row>
    <row r="1698" spans="1:11" x14ac:dyDescent="0.25">
      <c r="A1698">
        <v>175888</v>
      </c>
      <c r="B1698" s="3">
        <v>46167</v>
      </c>
      <c r="C1698">
        <v>1</v>
      </c>
      <c r="D1698">
        <v>15.48</v>
      </c>
      <c r="G1698" s="4" t="s">
        <v>85</v>
      </c>
      <c r="H1698">
        <v>818357518</v>
      </c>
      <c r="I1698" t="s">
        <v>29</v>
      </c>
      <c r="J1698" t="s">
        <v>29</v>
      </c>
      <c r="K1698" t="str">
        <f>IF(Table3[[#This Row],[Type Received]]=2,"CC",(IF(Table3[[#This Row],[Type Received]]=3,"BILL","ACH")))</f>
        <v>ACH</v>
      </c>
    </row>
    <row r="1699" spans="1:11" x14ac:dyDescent="0.25">
      <c r="A1699">
        <v>175895</v>
      </c>
      <c r="B1699" s="3">
        <v>46157</v>
      </c>
      <c r="C1699">
        <v>1</v>
      </c>
      <c r="D1699">
        <v>18.54</v>
      </c>
      <c r="G1699" t="s">
        <v>87</v>
      </c>
      <c r="H1699">
        <v>696718731</v>
      </c>
      <c r="I1699" t="s">
        <v>29</v>
      </c>
      <c r="J1699" t="s">
        <v>29</v>
      </c>
      <c r="K1699" t="str">
        <f>IF(Table3[[#This Row],[Type Received]]=2,"CC",(IF(Table3[[#This Row],[Type Received]]=3,"BILL","ACH")))</f>
        <v>ACH</v>
      </c>
    </row>
    <row r="1700" spans="1:11" x14ac:dyDescent="0.25">
      <c r="A1700">
        <v>176033</v>
      </c>
      <c r="B1700" s="3">
        <v>46157</v>
      </c>
      <c r="C1700">
        <v>1</v>
      </c>
      <c r="D1700">
        <v>36.96</v>
      </c>
      <c r="G1700" t="s">
        <v>87</v>
      </c>
      <c r="H1700">
        <v>696713847</v>
      </c>
      <c r="I1700" t="s">
        <v>29</v>
      </c>
      <c r="K1700" t="str">
        <f>IF(Table3[[#This Row],[Type Received]]=2,"CC",(IF(Table3[[#This Row],[Type Received]]=3,"BILL","ACH")))</f>
        <v>ACH</v>
      </c>
    </row>
    <row r="1701" spans="1:11" x14ac:dyDescent="0.25">
      <c r="A1701">
        <v>176567</v>
      </c>
      <c r="B1701" s="3">
        <v>46150</v>
      </c>
      <c r="C1701">
        <v>2</v>
      </c>
      <c r="D1701">
        <v>43.66</v>
      </c>
      <c r="F1701">
        <v>52079</v>
      </c>
      <c r="G1701" t="s">
        <v>28</v>
      </c>
      <c r="H1701">
        <v>612305027</v>
      </c>
      <c r="I1701" t="s">
        <v>29</v>
      </c>
      <c r="K1701" t="str">
        <f>IF(Table3[[#This Row],[Type Received]]=2,"CC",(IF(Table3[[#This Row],[Type Received]]=3,"BILL","ACH")))</f>
        <v>CC</v>
      </c>
    </row>
    <row r="1702" spans="1:11" x14ac:dyDescent="0.25">
      <c r="A1702">
        <v>176579</v>
      </c>
      <c r="B1702" s="3">
        <v>46150</v>
      </c>
      <c r="C1702">
        <v>2</v>
      </c>
      <c r="D1702">
        <v>179.26</v>
      </c>
      <c r="F1702">
        <v>844499</v>
      </c>
      <c r="G1702" t="s">
        <v>28</v>
      </c>
      <c r="H1702">
        <v>609213648</v>
      </c>
      <c r="I1702" t="s">
        <v>29</v>
      </c>
      <c r="J1702" t="s">
        <v>29</v>
      </c>
      <c r="K1702" t="str">
        <f>IF(Table3[[#This Row],[Type Received]]=2,"CC",(IF(Table3[[#This Row],[Type Received]]=3,"BILL","ACH")))</f>
        <v>CC</v>
      </c>
    </row>
    <row r="1703" spans="1:11" x14ac:dyDescent="0.25">
      <c r="A1703">
        <v>176304</v>
      </c>
      <c r="B1703" s="3">
        <v>46163</v>
      </c>
      <c r="C1703">
        <v>1</v>
      </c>
      <c r="D1703">
        <v>23.4</v>
      </c>
      <c r="G1703" t="s">
        <v>214</v>
      </c>
      <c r="H1703">
        <v>771088852</v>
      </c>
      <c r="I1703" t="s">
        <v>29</v>
      </c>
      <c r="K1703" t="str">
        <f>IF(Table3[[#This Row],[Type Received]]=2,"CC",(IF(Table3[[#This Row],[Type Received]]=3,"BILL","ACH")))</f>
        <v>ACH</v>
      </c>
    </row>
    <row r="1704" spans="1:11" x14ac:dyDescent="0.25">
      <c r="A1704">
        <v>176314</v>
      </c>
      <c r="B1704" s="3">
        <v>46144</v>
      </c>
      <c r="C1704">
        <v>1</v>
      </c>
      <c r="D1704">
        <v>33.06</v>
      </c>
      <c r="G1704" t="s">
        <v>89</v>
      </c>
      <c r="H1704">
        <v>535389829</v>
      </c>
      <c r="I1704" t="s">
        <v>29</v>
      </c>
      <c r="J1704" t="s">
        <v>29</v>
      </c>
      <c r="K1704" t="str">
        <f>IF(Table3[[#This Row],[Type Received]]=2,"CC",(IF(Table3[[#This Row],[Type Received]]=3,"BILL","ACH")))</f>
        <v>ACH</v>
      </c>
    </row>
    <row r="1705" spans="1:11" x14ac:dyDescent="0.25">
      <c r="A1705">
        <v>176370</v>
      </c>
      <c r="B1705" s="3">
        <v>46157</v>
      </c>
      <c r="C1705">
        <v>1</v>
      </c>
      <c r="D1705">
        <v>10.8</v>
      </c>
      <c r="G1705" t="s">
        <v>87</v>
      </c>
      <c r="H1705">
        <v>696711066</v>
      </c>
      <c r="I1705" t="s">
        <v>29</v>
      </c>
      <c r="J1705" t="s">
        <v>29</v>
      </c>
      <c r="K1705" t="str">
        <f>IF(Table3[[#This Row],[Type Received]]=2,"CC",(IF(Table3[[#This Row],[Type Received]]=3,"BILL","ACH")))</f>
        <v>ACH</v>
      </c>
    </row>
    <row r="1706" spans="1:11" x14ac:dyDescent="0.25">
      <c r="A1706">
        <v>176375</v>
      </c>
      <c r="B1706" s="3">
        <v>46143</v>
      </c>
      <c r="C1706">
        <v>3</v>
      </c>
      <c r="D1706">
        <v>83.65</v>
      </c>
      <c r="E1706">
        <v>74832278</v>
      </c>
      <c r="K1706" t="str">
        <f>IF(Table3[[#This Row],[Type Received]]=2,"CC",(IF(Table3[[#This Row],[Type Received]]=3,"BILL","ACH")))</f>
        <v>BILL</v>
      </c>
    </row>
    <row r="1707" spans="1:11" x14ac:dyDescent="0.25">
      <c r="A1707">
        <v>176723</v>
      </c>
      <c r="B1707" s="3">
        <v>46144</v>
      </c>
      <c r="C1707">
        <v>1</v>
      </c>
      <c r="D1707">
        <v>15.26</v>
      </c>
      <c r="G1707" t="s">
        <v>89</v>
      </c>
      <c r="H1707">
        <v>535405204</v>
      </c>
      <c r="I1707" t="s">
        <v>29</v>
      </c>
      <c r="K1707" t="str">
        <f>IF(Table3[[#This Row],[Type Received]]=2,"CC",(IF(Table3[[#This Row],[Type Received]]=3,"BILL","ACH")))</f>
        <v>ACH</v>
      </c>
    </row>
    <row r="1708" spans="1:11" x14ac:dyDescent="0.25">
      <c r="A1708">
        <v>176911</v>
      </c>
      <c r="B1708" s="3">
        <v>46146</v>
      </c>
      <c r="C1708">
        <v>3</v>
      </c>
      <c r="D1708">
        <v>14.82</v>
      </c>
      <c r="E1708">
        <v>3487</v>
      </c>
      <c r="J1708" t="s">
        <v>29</v>
      </c>
      <c r="K1708" t="str">
        <f>IF(Table3[[#This Row],[Type Received]]=2,"CC",(IF(Table3[[#This Row],[Type Received]]=3,"BILL","ACH")))</f>
        <v>BILL</v>
      </c>
    </row>
    <row r="1709" spans="1:11" x14ac:dyDescent="0.25">
      <c r="A1709">
        <v>177088</v>
      </c>
      <c r="B1709" s="3">
        <v>46166</v>
      </c>
      <c r="C1709">
        <v>2</v>
      </c>
      <c r="D1709">
        <v>33.25</v>
      </c>
      <c r="F1709">
        <v>75306</v>
      </c>
      <c r="G1709" s="4">
        <v>748427872</v>
      </c>
      <c r="H1709">
        <v>355674878</v>
      </c>
      <c r="J1709" t="s">
        <v>29</v>
      </c>
      <c r="K1709" t="str">
        <f>IF(Table3[[#This Row],[Type Received]]=2,"CC",(IF(Table3[[#This Row],[Type Received]]=3,"BILL","ACH")))</f>
        <v>CC</v>
      </c>
    </row>
    <row r="1710" spans="1:11" x14ac:dyDescent="0.25">
      <c r="A1710">
        <v>177191</v>
      </c>
      <c r="B1710" s="3">
        <v>46168</v>
      </c>
      <c r="C1710">
        <v>3</v>
      </c>
      <c r="D1710">
        <v>84.73</v>
      </c>
      <c r="E1710">
        <v>4673</v>
      </c>
      <c r="K1710" t="str">
        <f>IF(Table3[[#This Row],[Type Received]]=2,"CC",(IF(Table3[[#This Row],[Type Received]]=3,"BILL","ACH")))</f>
        <v>BILL</v>
      </c>
    </row>
    <row r="1711" spans="1:11" x14ac:dyDescent="0.25">
      <c r="A1711">
        <v>177281</v>
      </c>
      <c r="B1711" s="3">
        <v>46144</v>
      </c>
      <c r="C1711">
        <v>1</v>
      </c>
      <c r="D1711">
        <v>29.36</v>
      </c>
      <c r="G1711" t="s">
        <v>89</v>
      </c>
      <c r="H1711">
        <v>535396590</v>
      </c>
      <c r="I1711" t="s">
        <v>29</v>
      </c>
      <c r="K1711" t="str">
        <f>IF(Table3[[#This Row],[Type Received]]=2,"CC",(IF(Table3[[#This Row],[Type Received]]=3,"BILL","ACH")))</f>
        <v>ACH</v>
      </c>
    </row>
    <row r="1712" spans="1:11" x14ac:dyDescent="0.25">
      <c r="A1712">
        <v>177331</v>
      </c>
      <c r="B1712" s="3">
        <v>46167</v>
      </c>
      <c r="C1712">
        <v>1</v>
      </c>
      <c r="D1712">
        <v>22.82</v>
      </c>
      <c r="G1712" s="4" t="s">
        <v>85</v>
      </c>
      <c r="H1712">
        <v>818365433</v>
      </c>
      <c r="I1712" t="s">
        <v>29</v>
      </c>
      <c r="J1712" t="s">
        <v>29</v>
      </c>
      <c r="K1712" t="str">
        <f>IF(Table3[[#This Row],[Type Received]]=2,"CC",(IF(Table3[[#This Row],[Type Received]]=3,"BILL","ACH")))</f>
        <v>ACH</v>
      </c>
    </row>
    <row r="1713" spans="1:11" x14ac:dyDescent="0.25">
      <c r="A1713">
        <v>177389</v>
      </c>
      <c r="B1713" s="3">
        <v>46164</v>
      </c>
      <c r="C1713">
        <v>3</v>
      </c>
      <c r="D1713">
        <v>69.28</v>
      </c>
      <c r="E1713">
        <v>5557</v>
      </c>
      <c r="J1713" t="s">
        <v>29</v>
      </c>
      <c r="K1713" t="str">
        <f>IF(Table3[[#This Row],[Type Received]]=2,"CC",(IF(Table3[[#This Row],[Type Received]]=3,"BILL","ACH")))</f>
        <v>BILL</v>
      </c>
    </row>
    <row r="1714" spans="1:11" x14ac:dyDescent="0.25">
      <c r="A1714">
        <v>177397</v>
      </c>
      <c r="B1714" s="3">
        <v>46144</v>
      </c>
      <c r="C1714">
        <v>1</v>
      </c>
      <c r="D1714">
        <v>48.36</v>
      </c>
      <c r="G1714" t="s">
        <v>89</v>
      </c>
      <c r="H1714">
        <v>535383049</v>
      </c>
      <c r="I1714" t="s">
        <v>29</v>
      </c>
      <c r="J1714" t="s">
        <v>29</v>
      </c>
      <c r="K1714" t="str">
        <f>IF(Table3[[#This Row],[Type Received]]=2,"CC",(IF(Table3[[#This Row],[Type Received]]=3,"BILL","ACH")))</f>
        <v>ACH</v>
      </c>
    </row>
    <row r="1715" spans="1:11" x14ac:dyDescent="0.25">
      <c r="A1715">
        <v>177417</v>
      </c>
      <c r="B1715" s="3">
        <v>46157</v>
      </c>
      <c r="C1715">
        <v>1</v>
      </c>
      <c r="D1715">
        <v>43.46</v>
      </c>
      <c r="G1715" t="s">
        <v>87</v>
      </c>
      <c r="H1715">
        <v>696725462</v>
      </c>
      <c r="I1715" t="s">
        <v>29</v>
      </c>
      <c r="J1715" t="s">
        <v>29</v>
      </c>
      <c r="K1715" t="str">
        <f>IF(Table3[[#This Row],[Type Received]]=2,"CC",(IF(Table3[[#This Row],[Type Received]]=3,"BILL","ACH")))</f>
        <v>ACH</v>
      </c>
    </row>
    <row r="1716" spans="1:11" x14ac:dyDescent="0.25">
      <c r="A1716">
        <v>177468</v>
      </c>
      <c r="B1716" s="3">
        <v>46150</v>
      </c>
      <c r="C1716">
        <v>3</v>
      </c>
      <c r="D1716">
        <v>14.64</v>
      </c>
      <c r="E1716">
        <v>58008594</v>
      </c>
      <c r="J1716" t="s">
        <v>29</v>
      </c>
      <c r="K1716" t="str">
        <f>IF(Table3[[#This Row],[Type Received]]=2,"CC",(IF(Table3[[#This Row],[Type Received]]=3,"BILL","ACH")))</f>
        <v>BILL</v>
      </c>
    </row>
    <row r="1717" spans="1:11" x14ac:dyDescent="0.25">
      <c r="A1717">
        <v>177614</v>
      </c>
      <c r="B1717" s="3">
        <v>46157</v>
      </c>
      <c r="C1717">
        <v>1</v>
      </c>
      <c r="D1717">
        <v>19.579999999999998</v>
      </c>
      <c r="G1717" t="s">
        <v>87</v>
      </c>
      <c r="H1717">
        <v>696734173</v>
      </c>
      <c r="I1717" t="s">
        <v>29</v>
      </c>
      <c r="J1717" t="s">
        <v>29</v>
      </c>
      <c r="K1717" t="str">
        <f>IF(Table3[[#This Row],[Type Received]]=2,"CC",(IF(Table3[[#This Row],[Type Received]]=3,"BILL","ACH")))</f>
        <v>ACH</v>
      </c>
    </row>
    <row r="1718" spans="1:11" x14ac:dyDescent="0.25">
      <c r="A1718">
        <v>177654</v>
      </c>
      <c r="B1718" s="3">
        <v>46169</v>
      </c>
      <c r="C1718">
        <v>3</v>
      </c>
      <c r="D1718">
        <v>149.26</v>
      </c>
      <c r="E1718">
        <v>5499</v>
      </c>
      <c r="J1718" t="s">
        <v>29</v>
      </c>
      <c r="K1718" t="str">
        <f>IF(Table3[[#This Row],[Type Received]]=2,"CC",(IF(Table3[[#This Row],[Type Received]]=3,"BILL","ACH")))</f>
        <v>BILL</v>
      </c>
    </row>
    <row r="1719" spans="1:11" x14ac:dyDescent="0.25">
      <c r="A1719">
        <v>177662</v>
      </c>
      <c r="B1719" s="3">
        <v>46144</v>
      </c>
      <c r="C1719">
        <v>1</v>
      </c>
      <c r="D1719">
        <v>12.02</v>
      </c>
      <c r="G1719" s="4" t="s">
        <v>89</v>
      </c>
      <c r="H1719">
        <v>535396622</v>
      </c>
      <c r="I1719" t="s">
        <v>29</v>
      </c>
      <c r="J1719" t="s">
        <v>29</v>
      </c>
      <c r="K1719" t="str">
        <f>IF(Table3[[#This Row],[Type Received]]=2,"CC",(IF(Table3[[#This Row],[Type Received]]=3,"BILL","ACH")))</f>
        <v>ACH</v>
      </c>
    </row>
    <row r="1720" spans="1:11" x14ac:dyDescent="0.25">
      <c r="A1720">
        <v>177709</v>
      </c>
      <c r="B1720" s="3">
        <v>46144</v>
      </c>
      <c r="C1720">
        <v>1</v>
      </c>
      <c r="D1720">
        <v>46.47</v>
      </c>
      <c r="G1720" t="s">
        <v>89</v>
      </c>
      <c r="H1720">
        <v>535401373</v>
      </c>
      <c r="I1720" t="s">
        <v>29</v>
      </c>
      <c r="J1720" t="s">
        <v>29</v>
      </c>
      <c r="K1720" t="str">
        <f>IF(Table3[[#This Row],[Type Received]]=2,"CC",(IF(Table3[[#This Row],[Type Received]]=3,"BILL","ACH")))</f>
        <v>ACH</v>
      </c>
    </row>
    <row r="1721" spans="1:11" x14ac:dyDescent="0.25">
      <c r="A1721">
        <v>177715</v>
      </c>
      <c r="B1721" s="3">
        <v>46144</v>
      </c>
      <c r="C1721">
        <v>1</v>
      </c>
      <c r="D1721">
        <v>34.950000000000003</v>
      </c>
      <c r="G1721" t="s">
        <v>89</v>
      </c>
      <c r="H1721">
        <v>535385086</v>
      </c>
      <c r="I1721" t="s">
        <v>29</v>
      </c>
      <c r="K1721" t="str">
        <f>IF(Table3[[#This Row],[Type Received]]=2,"CC",(IF(Table3[[#This Row],[Type Received]]=3,"BILL","ACH")))</f>
        <v>ACH</v>
      </c>
    </row>
    <row r="1722" spans="1:11" x14ac:dyDescent="0.25">
      <c r="A1722">
        <v>177798</v>
      </c>
      <c r="B1722" s="3">
        <v>46148</v>
      </c>
      <c r="C1722">
        <v>1</v>
      </c>
      <c r="D1722">
        <v>14</v>
      </c>
      <c r="G1722" s="4" t="s">
        <v>126</v>
      </c>
      <c r="H1722">
        <v>582140455</v>
      </c>
      <c r="I1722" t="s">
        <v>29</v>
      </c>
      <c r="J1722" t="s">
        <v>29</v>
      </c>
      <c r="K1722" t="str">
        <f>IF(Table3[[#This Row],[Type Received]]=2,"CC",(IF(Table3[[#This Row],[Type Received]]=3,"BILL","ACH")))</f>
        <v>ACH</v>
      </c>
    </row>
    <row r="1723" spans="1:11" x14ac:dyDescent="0.25">
      <c r="A1723">
        <v>177971</v>
      </c>
      <c r="B1723" s="3">
        <v>46157</v>
      </c>
      <c r="C1723">
        <v>1</v>
      </c>
      <c r="D1723">
        <v>47.28</v>
      </c>
      <c r="G1723" s="4" t="s">
        <v>87</v>
      </c>
      <c r="H1723">
        <v>696590596</v>
      </c>
      <c r="I1723" t="s">
        <v>29</v>
      </c>
      <c r="J1723" t="s">
        <v>29</v>
      </c>
      <c r="K1723" t="str">
        <f>IF(Table3[[#This Row],[Type Received]]=2,"CC",(IF(Table3[[#This Row],[Type Received]]=3,"BILL","ACH")))</f>
        <v>ACH</v>
      </c>
    </row>
    <row r="1724" spans="1:11" x14ac:dyDescent="0.25">
      <c r="A1724">
        <v>177972</v>
      </c>
      <c r="B1724" s="3">
        <v>46167</v>
      </c>
      <c r="C1724">
        <v>1</v>
      </c>
      <c r="D1724">
        <v>44.58</v>
      </c>
      <c r="G1724" t="s">
        <v>85</v>
      </c>
      <c r="H1724">
        <v>818353669</v>
      </c>
      <c r="I1724" t="s">
        <v>29</v>
      </c>
      <c r="J1724" t="s">
        <v>29</v>
      </c>
      <c r="K1724" t="str">
        <f>IF(Table3[[#This Row],[Type Received]]=2,"CC",(IF(Table3[[#This Row],[Type Received]]=3,"BILL","ACH")))</f>
        <v>ACH</v>
      </c>
    </row>
    <row r="1725" spans="1:11" x14ac:dyDescent="0.25">
      <c r="A1725">
        <v>177973</v>
      </c>
      <c r="B1725" s="3">
        <v>46167</v>
      </c>
      <c r="C1725">
        <v>1</v>
      </c>
      <c r="D1725">
        <v>9.08</v>
      </c>
      <c r="G1725" s="4" t="s">
        <v>85</v>
      </c>
      <c r="H1725">
        <v>818349921</v>
      </c>
      <c r="I1725" t="s">
        <v>29</v>
      </c>
      <c r="J1725" t="s">
        <v>29</v>
      </c>
      <c r="K1725" t="str">
        <f>IF(Table3[[#This Row],[Type Received]]=2,"CC",(IF(Table3[[#This Row],[Type Received]]=3,"BILL","ACH")))</f>
        <v>ACH</v>
      </c>
    </row>
    <row r="1726" spans="1:11" x14ac:dyDescent="0.25">
      <c r="A1726">
        <v>178028</v>
      </c>
      <c r="B1726" s="3">
        <v>46167</v>
      </c>
      <c r="C1726">
        <v>1</v>
      </c>
      <c r="D1726">
        <v>24.62</v>
      </c>
      <c r="G1726" t="s">
        <v>85</v>
      </c>
      <c r="H1726">
        <v>818354652</v>
      </c>
      <c r="I1726" t="s">
        <v>29</v>
      </c>
      <c r="J1726" t="s">
        <v>29</v>
      </c>
      <c r="K1726" t="str">
        <f>IF(Table3[[#This Row],[Type Received]]=2,"CC",(IF(Table3[[#This Row],[Type Received]]=3,"BILL","ACH")))</f>
        <v>ACH</v>
      </c>
    </row>
    <row r="1727" spans="1:11" x14ac:dyDescent="0.25">
      <c r="A1727">
        <v>178225</v>
      </c>
      <c r="B1727" s="3">
        <v>46153</v>
      </c>
      <c r="C1727">
        <v>3</v>
      </c>
      <c r="D1727">
        <v>17.2</v>
      </c>
      <c r="E1727">
        <v>78057081179</v>
      </c>
      <c r="G1727" s="4"/>
      <c r="J1727" t="s">
        <v>29</v>
      </c>
      <c r="K1727" t="str">
        <f>IF(Table3[[#This Row],[Type Received]]=2,"CC",(IF(Table3[[#This Row],[Type Received]]=3,"BILL","ACH")))</f>
        <v>BILL</v>
      </c>
    </row>
    <row r="1728" spans="1:11" x14ac:dyDescent="0.25">
      <c r="A1728">
        <v>178235</v>
      </c>
      <c r="B1728" s="3">
        <v>46164</v>
      </c>
      <c r="C1728">
        <v>3</v>
      </c>
      <c r="D1728">
        <v>80</v>
      </c>
      <c r="E1728">
        <v>4496482197</v>
      </c>
      <c r="J1728" t="s">
        <v>29</v>
      </c>
      <c r="K1728" t="str">
        <f>IF(Table3[[#This Row],[Type Received]]=2,"CC",(IF(Table3[[#This Row],[Type Received]]=3,"BILL","ACH")))</f>
        <v>BILL</v>
      </c>
    </row>
    <row r="1729" spans="1:11" x14ac:dyDescent="0.25">
      <c r="A1729">
        <v>178235</v>
      </c>
      <c r="B1729" s="3">
        <v>46146</v>
      </c>
      <c r="C1729">
        <v>3</v>
      </c>
      <c r="D1729">
        <v>75</v>
      </c>
      <c r="E1729">
        <v>4459779050</v>
      </c>
      <c r="J1729" t="s">
        <v>29</v>
      </c>
      <c r="K1729" t="str">
        <f>IF(Table3[[#This Row],[Type Received]]=2,"CC",(IF(Table3[[#This Row],[Type Received]]=3,"BILL","ACH")))</f>
        <v>BILL</v>
      </c>
    </row>
    <row r="1730" spans="1:11" x14ac:dyDescent="0.25">
      <c r="A1730">
        <v>178327</v>
      </c>
      <c r="B1730" s="3">
        <v>46144</v>
      </c>
      <c r="C1730">
        <v>1</v>
      </c>
      <c r="D1730">
        <v>33.700000000000003</v>
      </c>
      <c r="G1730" t="s">
        <v>89</v>
      </c>
      <c r="H1730">
        <v>535387954</v>
      </c>
      <c r="I1730" t="s">
        <v>29</v>
      </c>
      <c r="J1730" t="s">
        <v>29</v>
      </c>
      <c r="K1730" t="str">
        <f>IF(Table3[[#This Row],[Type Received]]=2,"CC",(IF(Table3[[#This Row],[Type Received]]=3,"BILL","ACH")))</f>
        <v>ACH</v>
      </c>
    </row>
    <row r="1731" spans="1:11" x14ac:dyDescent="0.25">
      <c r="A1731">
        <v>178339</v>
      </c>
      <c r="B1731" s="3">
        <v>46167</v>
      </c>
      <c r="C1731">
        <v>1</v>
      </c>
      <c r="D1731">
        <v>28.41</v>
      </c>
      <c r="G1731" t="s">
        <v>85</v>
      </c>
      <c r="H1731">
        <v>818325571</v>
      </c>
      <c r="I1731" t="s">
        <v>29</v>
      </c>
      <c r="J1731" t="s">
        <v>29</v>
      </c>
      <c r="K1731" t="str">
        <f>IF(Table3[[#This Row],[Type Received]]=2,"CC",(IF(Table3[[#This Row],[Type Received]]=3,"BILL","ACH")))</f>
        <v>ACH</v>
      </c>
    </row>
    <row r="1732" spans="1:11" x14ac:dyDescent="0.25">
      <c r="A1732">
        <v>178401</v>
      </c>
      <c r="B1732" s="3">
        <v>46158</v>
      </c>
      <c r="C1732">
        <v>1</v>
      </c>
      <c r="D1732">
        <v>21.92</v>
      </c>
      <c r="G1732" t="s">
        <v>106</v>
      </c>
      <c r="H1732">
        <v>710029081</v>
      </c>
      <c r="I1732" t="s">
        <v>29</v>
      </c>
      <c r="J1732" t="s">
        <v>29</v>
      </c>
      <c r="K1732" t="str">
        <f>IF(Table3[[#This Row],[Type Received]]=2,"CC",(IF(Table3[[#This Row],[Type Received]]=3,"BILL","ACH")))</f>
        <v>ACH</v>
      </c>
    </row>
    <row r="1733" spans="1:11" x14ac:dyDescent="0.25">
      <c r="A1733">
        <v>178406</v>
      </c>
      <c r="B1733" s="3">
        <v>46167</v>
      </c>
      <c r="C1733">
        <v>1</v>
      </c>
      <c r="D1733">
        <v>35.340000000000003</v>
      </c>
      <c r="G1733" t="s">
        <v>85</v>
      </c>
      <c r="H1733">
        <v>818347025</v>
      </c>
      <c r="I1733" t="s">
        <v>29</v>
      </c>
      <c r="K1733" t="str">
        <f>IF(Table3[[#This Row],[Type Received]]=2,"CC",(IF(Table3[[#This Row],[Type Received]]=3,"BILL","ACH")))</f>
        <v>ACH</v>
      </c>
    </row>
    <row r="1734" spans="1:11" x14ac:dyDescent="0.25">
      <c r="A1734">
        <v>178449</v>
      </c>
      <c r="B1734" s="3">
        <v>46146</v>
      </c>
      <c r="C1734">
        <v>3</v>
      </c>
      <c r="D1734">
        <v>31.06</v>
      </c>
      <c r="E1734">
        <v>101</v>
      </c>
      <c r="K1734" t="str">
        <f>IF(Table3[[#This Row],[Type Received]]=2,"CC",(IF(Table3[[#This Row],[Type Received]]=3,"BILL","ACH")))</f>
        <v>BILL</v>
      </c>
    </row>
    <row r="1735" spans="1:11" x14ac:dyDescent="0.25">
      <c r="A1735">
        <v>178477</v>
      </c>
      <c r="B1735" s="3">
        <v>46146</v>
      </c>
      <c r="C1735">
        <v>3</v>
      </c>
      <c r="D1735">
        <v>67.72</v>
      </c>
      <c r="E1735">
        <v>2701</v>
      </c>
      <c r="K1735" t="str">
        <f>IF(Table3[[#This Row],[Type Received]]=2,"CC",(IF(Table3[[#This Row],[Type Received]]=3,"BILL","ACH")))</f>
        <v>BILL</v>
      </c>
    </row>
    <row r="1736" spans="1:11" x14ac:dyDescent="0.25">
      <c r="A1736">
        <v>178662</v>
      </c>
      <c r="B1736" s="3">
        <v>46144</v>
      </c>
      <c r="C1736">
        <v>1</v>
      </c>
      <c r="D1736">
        <v>30.72</v>
      </c>
      <c r="G1736" s="4" t="s">
        <v>89</v>
      </c>
      <c r="H1736">
        <v>535409187</v>
      </c>
      <c r="I1736" t="s">
        <v>29</v>
      </c>
      <c r="K1736" t="str">
        <f>IF(Table3[[#This Row],[Type Received]]=2,"CC",(IF(Table3[[#This Row],[Type Received]]=3,"BILL","ACH")))</f>
        <v>ACH</v>
      </c>
    </row>
    <row r="1737" spans="1:11" x14ac:dyDescent="0.25">
      <c r="A1737">
        <v>178670</v>
      </c>
      <c r="B1737" s="3">
        <v>46163</v>
      </c>
      <c r="C1737">
        <v>2</v>
      </c>
      <c r="D1737">
        <v>23.14</v>
      </c>
      <c r="F1737">
        <v>105379</v>
      </c>
      <c r="G1737" t="s">
        <v>28</v>
      </c>
      <c r="H1737">
        <v>776727272</v>
      </c>
      <c r="I1737" t="s">
        <v>29</v>
      </c>
      <c r="K1737" t="str">
        <f>IF(Table3[[#This Row],[Type Received]]=2,"CC",(IF(Table3[[#This Row],[Type Received]]=3,"BILL","ACH")))</f>
        <v>CC</v>
      </c>
    </row>
    <row r="1738" spans="1:11" x14ac:dyDescent="0.25">
      <c r="A1738">
        <v>178760</v>
      </c>
      <c r="B1738" s="3">
        <v>46167</v>
      </c>
      <c r="C1738">
        <v>1</v>
      </c>
      <c r="D1738">
        <v>26.76</v>
      </c>
      <c r="G1738" t="s">
        <v>85</v>
      </c>
      <c r="H1738">
        <v>818362550</v>
      </c>
      <c r="I1738" t="s">
        <v>29</v>
      </c>
      <c r="K1738" t="str">
        <f>IF(Table3[[#This Row],[Type Received]]=2,"CC",(IF(Table3[[#This Row],[Type Received]]=3,"BILL","ACH")))</f>
        <v>ACH</v>
      </c>
    </row>
    <row r="1739" spans="1:11" x14ac:dyDescent="0.25">
      <c r="A1739">
        <v>178813</v>
      </c>
      <c r="B1739" s="3">
        <v>46169</v>
      </c>
      <c r="C1739">
        <v>3</v>
      </c>
      <c r="D1739">
        <v>19.84</v>
      </c>
      <c r="E1739">
        <v>4415859711</v>
      </c>
      <c r="J1739" t="s">
        <v>29</v>
      </c>
      <c r="K1739" t="str">
        <f>IF(Table3[[#This Row],[Type Received]]=2,"CC",(IF(Table3[[#This Row],[Type Received]]=3,"BILL","ACH")))</f>
        <v>BILL</v>
      </c>
    </row>
    <row r="1740" spans="1:11" x14ac:dyDescent="0.25">
      <c r="A1740">
        <v>178874</v>
      </c>
      <c r="B1740" s="3">
        <v>46147</v>
      </c>
      <c r="C1740">
        <v>2</v>
      </c>
      <c r="D1740">
        <v>269.68</v>
      </c>
      <c r="F1740">
        <v>248653</v>
      </c>
      <c r="G1740" t="s">
        <v>28</v>
      </c>
      <c r="H1740">
        <v>570192996</v>
      </c>
      <c r="I1740" t="s">
        <v>29</v>
      </c>
      <c r="J1740" t="s">
        <v>29</v>
      </c>
      <c r="K1740" t="str">
        <f>IF(Table3[[#This Row],[Type Received]]=2,"CC",(IF(Table3[[#This Row],[Type Received]]=3,"BILL","ACH")))</f>
        <v>CC</v>
      </c>
    </row>
    <row r="1741" spans="1:11" x14ac:dyDescent="0.25">
      <c r="A1741">
        <v>178981</v>
      </c>
      <c r="B1741" s="3">
        <v>46145</v>
      </c>
      <c r="C1741">
        <v>1</v>
      </c>
      <c r="D1741">
        <v>53.82</v>
      </c>
      <c r="G1741" t="s">
        <v>113</v>
      </c>
      <c r="H1741">
        <v>546440159</v>
      </c>
      <c r="I1741" t="s">
        <v>29</v>
      </c>
      <c r="J1741" t="s">
        <v>29</v>
      </c>
      <c r="K1741" t="str">
        <f>IF(Table3[[#This Row],[Type Received]]=2,"CC",(IF(Table3[[#This Row],[Type Received]]=3,"BILL","ACH")))</f>
        <v>ACH</v>
      </c>
    </row>
    <row r="1742" spans="1:11" x14ac:dyDescent="0.25">
      <c r="A1742">
        <v>179067</v>
      </c>
      <c r="B1742" s="3">
        <v>46157</v>
      </c>
      <c r="C1742">
        <v>1</v>
      </c>
      <c r="D1742">
        <v>28.49</v>
      </c>
      <c r="G1742" t="s">
        <v>87</v>
      </c>
      <c r="H1742">
        <v>696726508</v>
      </c>
      <c r="I1742" t="s">
        <v>29</v>
      </c>
      <c r="J1742" t="s">
        <v>29</v>
      </c>
      <c r="K1742" t="str">
        <f>IF(Table3[[#This Row],[Type Received]]=2,"CC",(IF(Table3[[#This Row],[Type Received]]=3,"BILL","ACH")))</f>
        <v>ACH</v>
      </c>
    </row>
    <row r="1743" spans="1:11" x14ac:dyDescent="0.25">
      <c r="A1743">
        <v>179109</v>
      </c>
      <c r="B1743" s="3">
        <v>46168</v>
      </c>
      <c r="C1743">
        <v>3</v>
      </c>
      <c r="D1743">
        <v>16.98</v>
      </c>
      <c r="E1743">
        <v>19818208756</v>
      </c>
      <c r="G1743" s="4"/>
      <c r="J1743" t="s">
        <v>29</v>
      </c>
      <c r="K1743" t="str">
        <f>IF(Table3[[#This Row],[Type Received]]=2,"CC",(IF(Table3[[#This Row],[Type Received]]=3,"BILL","ACH")))</f>
        <v>BILL</v>
      </c>
    </row>
    <row r="1744" spans="1:11" x14ac:dyDescent="0.25">
      <c r="A1744">
        <v>179146</v>
      </c>
      <c r="B1744" s="3">
        <v>46153</v>
      </c>
      <c r="C1744">
        <v>3</v>
      </c>
      <c r="D1744">
        <v>26.44</v>
      </c>
      <c r="E1744">
        <v>265</v>
      </c>
      <c r="J1744" t="s">
        <v>29</v>
      </c>
      <c r="K1744" t="str">
        <f>IF(Table3[[#This Row],[Type Received]]=2,"CC",(IF(Table3[[#This Row],[Type Received]]=3,"BILL","ACH")))</f>
        <v>BILL</v>
      </c>
    </row>
    <row r="1745" spans="1:11" x14ac:dyDescent="0.25">
      <c r="A1745">
        <v>179278</v>
      </c>
      <c r="B1745" s="3">
        <v>46145</v>
      </c>
      <c r="C1745">
        <v>1</v>
      </c>
      <c r="D1745">
        <v>9.6</v>
      </c>
      <c r="G1745" t="s">
        <v>113</v>
      </c>
      <c r="H1745">
        <v>546440167</v>
      </c>
      <c r="I1745" t="s">
        <v>29</v>
      </c>
      <c r="J1745" t="s">
        <v>29</v>
      </c>
      <c r="K1745" t="str">
        <f>IF(Table3[[#This Row],[Type Received]]=2,"CC",(IF(Table3[[#This Row],[Type Received]]=3,"BILL","ACH")))</f>
        <v>ACH</v>
      </c>
    </row>
    <row r="1746" spans="1:11" x14ac:dyDescent="0.25">
      <c r="A1746">
        <v>179370</v>
      </c>
      <c r="B1746" s="3">
        <v>46143</v>
      </c>
      <c r="C1746">
        <v>1</v>
      </c>
      <c r="D1746">
        <v>40.840000000000003</v>
      </c>
      <c r="G1746" t="s">
        <v>84</v>
      </c>
      <c r="H1746">
        <v>522418766</v>
      </c>
      <c r="I1746" t="s">
        <v>29</v>
      </c>
      <c r="J1746" t="s">
        <v>29</v>
      </c>
      <c r="K1746" t="str">
        <f>IF(Table3[[#This Row],[Type Received]]=2,"CC",(IF(Table3[[#This Row],[Type Received]]=3,"BILL","ACH")))</f>
        <v>ACH</v>
      </c>
    </row>
    <row r="1747" spans="1:11" x14ac:dyDescent="0.25">
      <c r="A1747">
        <v>179394</v>
      </c>
      <c r="B1747" s="3">
        <v>46143</v>
      </c>
      <c r="C1747">
        <v>3</v>
      </c>
      <c r="D1747">
        <v>36.56</v>
      </c>
      <c r="E1747">
        <v>74882531</v>
      </c>
      <c r="J1747" t="s">
        <v>29</v>
      </c>
      <c r="K1747" t="str">
        <f>IF(Table3[[#This Row],[Type Received]]=2,"CC",(IF(Table3[[#This Row],[Type Received]]=3,"BILL","ACH")))</f>
        <v>BILL</v>
      </c>
    </row>
    <row r="1748" spans="1:11" x14ac:dyDescent="0.25">
      <c r="A1748">
        <v>179395</v>
      </c>
      <c r="B1748" s="3">
        <v>46155</v>
      </c>
      <c r="C1748">
        <v>3</v>
      </c>
      <c r="D1748">
        <v>20.5</v>
      </c>
      <c r="E1748">
        <v>4503061799</v>
      </c>
      <c r="J1748" t="s">
        <v>29</v>
      </c>
      <c r="K1748" t="str">
        <f>IF(Table3[[#This Row],[Type Received]]=2,"CC",(IF(Table3[[#This Row],[Type Received]]=3,"BILL","ACH")))</f>
        <v>BILL</v>
      </c>
    </row>
    <row r="1749" spans="1:11" x14ac:dyDescent="0.25">
      <c r="A1749">
        <v>179409</v>
      </c>
      <c r="B1749" s="3">
        <v>46157</v>
      </c>
      <c r="C1749">
        <v>3</v>
      </c>
      <c r="D1749">
        <v>66</v>
      </c>
      <c r="E1749">
        <v>109408148003</v>
      </c>
      <c r="K1749" t="str">
        <f>IF(Table3[[#This Row],[Type Received]]=2,"CC",(IF(Table3[[#This Row],[Type Received]]=3,"BILL","ACH")))</f>
        <v>BILL</v>
      </c>
    </row>
    <row r="1750" spans="1:11" x14ac:dyDescent="0.25">
      <c r="A1750">
        <v>179437</v>
      </c>
      <c r="B1750" s="3">
        <v>46163</v>
      </c>
      <c r="C1750">
        <v>2</v>
      </c>
      <c r="D1750">
        <v>44.26</v>
      </c>
      <c r="F1750">
        <v>190179</v>
      </c>
      <c r="G1750" t="s">
        <v>28</v>
      </c>
      <c r="H1750">
        <v>777257913</v>
      </c>
      <c r="I1750" t="s">
        <v>29</v>
      </c>
      <c r="J1750" t="s">
        <v>29</v>
      </c>
      <c r="K1750" t="str">
        <f>IF(Table3[[#This Row],[Type Received]]=2,"CC",(IF(Table3[[#This Row],[Type Received]]=3,"BILL","ACH")))</f>
        <v>CC</v>
      </c>
    </row>
    <row r="1751" spans="1:11" x14ac:dyDescent="0.25">
      <c r="A1751">
        <v>179527</v>
      </c>
      <c r="B1751" s="3">
        <v>46143</v>
      </c>
      <c r="C1751">
        <v>2</v>
      </c>
      <c r="D1751">
        <v>45.9</v>
      </c>
      <c r="F1751">
        <v>32888</v>
      </c>
      <c r="G1751" s="4" t="s">
        <v>28</v>
      </c>
      <c r="H1751">
        <v>522310469</v>
      </c>
      <c r="I1751" t="s">
        <v>29</v>
      </c>
      <c r="K1751" t="str">
        <f>IF(Table3[[#This Row],[Type Received]]=2,"CC",(IF(Table3[[#This Row],[Type Received]]=3,"BILL","ACH")))</f>
        <v>CC</v>
      </c>
    </row>
    <row r="1752" spans="1:11" x14ac:dyDescent="0.25">
      <c r="A1752">
        <v>179592</v>
      </c>
      <c r="B1752" s="3">
        <v>46153</v>
      </c>
      <c r="C1752">
        <v>3</v>
      </c>
      <c r="D1752">
        <v>51.19</v>
      </c>
      <c r="E1752">
        <v>55096634577</v>
      </c>
      <c r="J1752" t="s">
        <v>29</v>
      </c>
      <c r="K1752" t="str">
        <f>IF(Table3[[#This Row],[Type Received]]=2,"CC",(IF(Table3[[#This Row],[Type Received]]=3,"BILL","ACH")))</f>
        <v>BILL</v>
      </c>
    </row>
    <row r="1753" spans="1:11" x14ac:dyDescent="0.25">
      <c r="A1753">
        <v>179622</v>
      </c>
      <c r="B1753" s="3">
        <v>46143</v>
      </c>
      <c r="C1753">
        <v>1</v>
      </c>
      <c r="D1753">
        <v>39.97</v>
      </c>
      <c r="G1753" s="4" t="s">
        <v>84</v>
      </c>
      <c r="H1753">
        <v>522314396</v>
      </c>
      <c r="I1753" t="s">
        <v>29</v>
      </c>
      <c r="J1753" t="s">
        <v>29</v>
      </c>
      <c r="K1753" t="str">
        <f>IF(Table3[[#This Row],[Type Received]]=2,"CC",(IF(Table3[[#This Row],[Type Received]]=3,"BILL","ACH")))</f>
        <v>ACH</v>
      </c>
    </row>
    <row r="1754" spans="1:11" x14ac:dyDescent="0.25">
      <c r="A1754">
        <v>179645</v>
      </c>
      <c r="B1754" s="3">
        <v>46143</v>
      </c>
      <c r="C1754">
        <v>2</v>
      </c>
      <c r="D1754">
        <v>19.170000000000002</v>
      </c>
      <c r="F1754" t="s">
        <v>233</v>
      </c>
      <c r="G1754" t="s">
        <v>28</v>
      </c>
      <c r="H1754">
        <v>522323150</v>
      </c>
      <c r="I1754" t="s">
        <v>29</v>
      </c>
      <c r="J1754" t="s">
        <v>29</v>
      </c>
      <c r="K1754" t="str">
        <f>IF(Table3[[#This Row],[Type Received]]=2,"CC",(IF(Table3[[#This Row],[Type Received]]=3,"BILL","ACH")))</f>
        <v>CC</v>
      </c>
    </row>
    <row r="1755" spans="1:11" x14ac:dyDescent="0.25">
      <c r="A1755">
        <v>179675</v>
      </c>
      <c r="B1755" s="3">
        <v>46150</v>
      </c>
      <c r="C1755">
        <v>2</v>
      </c>
      <c r="D1755">
        <v>17.64</v>
      </c>
      <c r="F1755">
        <v>162605</v>
      </c>
      <c r="G1755" t="s">
        <v>28</v>
      </c>
      <c r="H1755">
        <v>612895639</v>
      </c>
      <c r="I1755" t="s">
        <v>29</v>
      </c>
      <c r="J1755" t="s">
        <v>29</v>
      </c>
      <c r="K1755" t="str">
        <f>IF(Table3[[#This Row],[Type Received]]=2,"CC",(IF(Table3[[#This Row],[Type Received]]=3,"BILL","ACH")))</f>
        <v>CC</v>
      </c>
    </row>
    <row r="1756" spans="1:11" x14ac:dyDescent="0.25">
      <c r="A1756">
        <v>179731</v>
      </c>
      <c r="B1756" s="3">
        <v>46164</v>
      </c>
      <c r="C1756">
        <v>3</v>
      </c>
      <c r="D1756">
        <v>19.760000000000002</v>
      </c>
      <c r="E1756">
        <v>7864</v>
      </c>
      <c r="J1756" t="s">
        <v>29</v>
      </c>
      <c r="K1756" t="str">
        <f>IF(Table3[[#This Row],[Type Received]]=2,"CC",(IF(Table3[[#This Row],[Type Received]]=3,"BILL","ACH")))</f>
        <v>BILL</v>
      </c>
    </row>
    <row r="1757" spans="1:11" x14ac:dyDescent="0.25">
      <c r="A1757">
        <v>179827</v>
      </c>
      <c r="B1757" s="3">
        <v>46167</v>
      </c>
      <c r="C1757">
        <v>1</v>
      </c>
      <c r="D1757">
        <v>33.04</v>
      </c>
      <c r="G1757" t="s">
        <v>85</v>
      </c>
      <c r="H1757">
        <v>818368259</v>
      </c>
      <c r="I1757" t="s">
        <v>29</v>
      </c>
      <c r="J1757" t="s">
        <v>29</v>
      </c>
      <c r="K1757" t="str">
        <f>IF(Table3[[#This Row],[Type Received]]=2,"CC",(IF(Table3[[#This Row],[Type Received]]=3,"BILL","ACH")))</f>
        <v>ACH</v>
      </c>
    </row>
    <row r="1758" spans="1:11" x14ac:dyDescent="0.25">
      <c r="A1758">
        <v>179866</v>
      </c>
      <c r="B1758" s="3">
        <v>46167</v>
      </c>
      <c r="C1758">
        <v>1</v>
      </c>
      <c r="D1758">
        <v>21.92</v>
      </c>
      <c r="G1758" t="s">
        <v>85</v>
      </c>
      <c r="H1758">
        <v>818349962</v>
      </c>
      <c r="I1758" t="s">
        <v>29</v>
      </c>
      <c r="J1758" t="s">
        <v>29</v>
      </c>
      <c r="K1758" t="str">
        <f>IF(Table3[[#This Row],[Type Received]]=2,"CC",(IF(Table3[[#This Row],[Type Received]]=3,"BILL","ACH")))</f>
        <v>ACH</v>
      </c>
    </row>
    <row r="1759" spans="1:11" x14ac:dyDescent="0.25">
      <c r="A1759">
        <v>179926</v>
      </c>
      <c r="B1759" s="3">
        <v>46143</v>
      </c>
      <c r="C1759">
        <v>3</v>
      </c>
      <c r="D1759">
        <v>16.100000000000001</v>
      </c>
      <c r="E1759">
        <v>996049</v>
      </c>
      <c r="J1759" t="s">
        <v>29</v>
      </c>
      <c r="K1759" t="str">
        <f>IF(Table3[[#This Row],[Type Received]]=2,"CC",(IF(Table3[[#This Row],[Type Received]]=3,"BILL","ACH")))</f>
        <v>BILL</v>
      </c>
    </row>
    <row r="1760" spans="1:11" x14ac:dyDescent="0.25">
      <c r="A1760">
        <v>179951</v>
      </c>
      <c r="B1760" s="3">
        <v>46157</v>
      </c>
      <c r="C1760">
        <v>1</v>
      </c>
      <c r="D1760">
        <v>167.01</v>
      </c>
      <c r="G1760" t="s">
        <v>87</v>
      </c>
      <c r="H1760">
        <v>696651029</v>
      </c>
      <c r="I1760" t="s">
        <v>29</v>
      </c>
      <c r="K1760" t="str">
        <f>IF(Table3[[#This Row],[Type Received]]=2,"CC",(IF(Table3[[#This Row],[Type Received]]=3,"BILL","ACH")))</f>
        <v>ACH</v>
      </c>
    </row>
    <row r="1761" spans="1:11" x14ac:dyDescent="0.25">
      <c r="A1761">
        <v>179952</v>
      </c>
      <c r="B1761" s="3">
        <v>46143</v>
      </c>
      <c r="C1761">
        <v>1</v>
      </c>
      <c r="D1761">
        <v>28.41</v>
      </c>
      <c r="G1761" s="4" t="s">
        <v>84</v>
      </c>
      <c r="H1761">
        <v>522299953</v>
      </c>
      <c r="I1761" t="s">
        <v>29</v>
      </c>
      <c r="J1761" t="s">
        <v>29</v>
      </c>
      <c r="K1761" t="str">
        <f>IF(Table3[[#This Row],[Type Received]]=2,"CC",(IF(Table3[[#This Row],[Type Received]]=3,"BILL","ACH")))</f>
        <v>ACH</v>
      </c>
    </row>
    <row r="1762" spans="1:11" x14ac:dyDescent="0.25">
      <c r="A1762">
        <v>180101</v>
      </c>
      <c r="B1762" s="3">
        <v>46167</v>
      </c>
      <c r="C1762">
        <v>1</v>
      </c>
      <c r="D1762">
        <v>25.22</v>
      </c>
      <c r="G1762" t="s">
        <v>85</v>
      </c>
      <c r="H1762">
        <v>818359551</v>
      </c>
      <c r="I1762" t="s">
        <v>29</v>
      </c>
      <c r="J1762" t="s">
        <v>29</v>
      </c>
      <c r="K1762" t="str">
        <f>IF(Table3[[#This Row],[Type Received]]=2,"CC",(IF(Table3[[#This Row],[Type Received]]=3,"BILL","ACH")))</f>
        <v>ACH</v>
      </c>
    </row>
    <row r="1763" spans="1:11" x14ac:dyDescent="0.25">
      <c r="A1763">
        <v>180119</v>
      </c>
      <c r="B1763" s="3">
        <v>46167</v>
      </c>
      <c r="C1763">
        <v>1</v>
      </c>
      <c r="D1763">
        <v>14.44</v>
      </c>
      <c r="G1763" t="s">
        <v>85</v>
      </c>
      <c r="H1763">
        <v>818349984</v>
      </c>
      <c r="I1763" t="s">
        <v>29</v>
      </c>
      <c r="J1763" t="s">
        <v>29</v>
      </c>
      <c r="K1763" t="str">
        <f>IF(Table3[[#This Row],[Type Received]]=2,"CC",(IF(Table3[[#This Row],[Type Received]]=3,"BILL","ACH")))</f>
        <v>ACH</v>
      </c>
    </row>
    <row r="1764" spans="1:11" x14ac:dyDescent="0.25">
      <c r="A1764">
        <v>180129</v>
      </c>
      <c r="B1764" s="3">
        <v>46157</v>
      </c>
      <c r="C1764">
        <v>1</v>
      </c>
      <c r="D1764">
        <v>99.03</v>
      </c>
      <c r="G1764" t="s">
        <v>87</v>
      </c>
      <c r="H1764">
        <v>696712941</v>
      </c>
      <c r="I1764" t="s">
        <v>29</v>
      </c>
      <c r="J1764" t="s">
        <v>29</v>
      </c>
      <c r="K1764" t="str">
        <f>IF(Table3[[#This Row],[Type Received]]=2,"CC",(IF(Table3[[#This Row],[Type Received]]=3,"BILL","ACH")))</f>
        <v>ACH</v>
      </c>
    </row>
    <row r="1765" spans="1:11" x14ac:dyDescent="0.25">
      <c r="A1765">
        <v>180234</v>
      </c>
      <c r="B1765" s="3">
        <v>46143</v>
      </c>
      <c r="C1765">
        <v>3</v>
      </c>
      <c r="D1765">
        <v>53</v>
      </c>
      <c r="E1765">
        <v>459</v>
      </c>
      <c r="G1765" s="4"/>
      <c r="J1765" t="s">
        <v>29</v>
      </c>
      <c r="K1765" t="str">
        <f>IF(Table3[[#This Row],[Type Received]]=2,"CC",(IF(Table3[[#This Row],[Type Received]]=3,"BILL","ACH")))</f>
        <v>BILL</v>
      </c>
    </row>
    <row r="1766" spans="1:11" x14ac:dyDescent="0.25">
      <c r="A1766">
        <v>180268</v>
      </c>
      <c r="B1766" s="3">
        <v>46143</v>
      </c>
      <c r="C1766">
        <v>1</v>
      </c>
      <c r="D1766">
        <v>29.45</v>
      </c>
      <c r="G1766" t="s">
        <v>84</v>
      </c>
      <c r="H1766">
        <v>522308651</v>
      </c>
      <c r="I1766" t="s">
        <v>29</v>
      </c>
      <c r="J1766" t="s">
        <v>29</v>
      </c>
      <c r="K1766" t="str">
        <f>IF(Table3[[#This Row],[Type Received]]=2,"CC",(IF(Table3[[#This Row],[Type Received]]=3,"BILL","ACH")))</f>
        <v>ACH</v>
      </c>
    </row>
    <row r="1767" spans="1:11" x14ac:dyDescent="0.25">
      <c r="A1767">
        <v>180354</v>
      </c>
      <c r="B1767" s="3">
        <v>46150</v>
      </c>
      <c r="C1767">
        <v>3</v>
      </c>
      <c r="D1767">
        <v>95.74</v>
      </c>
      <c r="E1767">
        <v>57915431</v>
      </c>
      <c r="J1767" t="s">
        <v>29</v>
      </c>
      <c r="K1767" t="str">
        <f>IF(Table3[[#This Row],[Type Received]]=2,"CC",(IF(Table3[[#This Row],[Type Received]]=3,"BILL","ACH")))</f>
        <v>BILL</v>
      </c>
    </row>
    <row r="1768" spans="1:11" x14ac:dyDescent="0.25">
      <c r="A1768">
        <v>180374</v>
      </c>
      <c r="B1768" s="3">
        <v>46143</v>
      </c>
      <c r="C1768">
        <v>3</v>
      </c>
      <c r="D1768">
        <v>43.27</v>
      </c>
      <c r="E1768">
        <v>5654</v>
      </c>
      <c r="G1768" s="4"/>
      <c r="J1768" t="s">
        <v>29</v>
      </c>
      <c r="K1768" t="str">
        <f>IF(Table3[[#This Row],[Type Received]]=2,"CC",(IF(Table3[[#This Row],[Type Received]]=3,"BILL","ACH")))</f>
        <v>BILL</v>
      </c>
    </row>
    <row r="1769" spans="1:11" x14ac:dyDescent="0.25">
      <c r="A1769">
        <v>180383</v>
      </c>
      <c r="B1769" s="3">
        <v>46163</v>
      </c>
      <c r="C1769">
        <v>2</v>
      </c>
      <c r="D1769">
        <v>145.24</v>
      </c>
      <c r="F1769">
        <v>78437</v>
      </c>
      <c r="G1769" t="s">
        <v>28</v>
      </c>
      <c r="H1769">
        <v>771275680</v>
      </c>
      <c r="I1769" t="s">
        <v>29</v>
      </c>
      <c r="J1769" t="s">
        <v>29</v>
      </c>
      <c r="K1769" t="str">
        <f>IF(Table3[[#This Row],[Type Received]]=2,"CC",(IF(Table3[[#This Row],[Type Received]]=3,"BILL","ACH")))</f>
        <v>CC</v>
      </c>
    </row>
    <row r="1770" spans="1:11" x14ac:dyDescent="0.25">
      <c r="A1770">
        <v>180434</v>
      </c>
      <c r="B1770" s="3">
        <v>46170</v>
      </c>
      <c r="C1770">
        <v>2</v>
      </c>
      <c r="D1770">
        <v>84.84</v>
      </c>
      <c r="F1770">
        <v>379111</v>
      </c>
      <c r="G1770" t="s">
        <v>28</v>
      </c>
      <c r="H1770">
        <v>853929658</v>
      </c>
      <c r="I1770" t="s">
        <v>29</v>
      </c>
      <c r="J1770" t="s">
        <v>29</v>
      </c>
      <c r="K1770" t="str">
        <f>IF(Table3[[#This Row],[Type Received]]=2,"CC",(IF(Table3[[#This Row],[Type Received]]=3,"BILL","ACH")))</f>
        <v>CC</v>
      </c>
    </row>
    <row r="1771" spans="1:11" x14ac:dyDescent="0.25">
      <c r="A1771">
        <v>180487</v>
      </c>
      <c r="B1771" s="3">
        <v>46143</v>
      </c>
      <c r="C1771">
        <v>1</v>
      </c>
      <c r="D1771">
        <v>24.78</v>
      </c>
      <c r="G1771" t="s">
        <v>84</v>
      </c>
      <c r="H1771">
        <v>522436482</v>
      </c>
      <c r="I1771" t="s">
        <v>29</v>
      </c>
      <c r="J1771" t="s">
        <v>29</v>
      </c>
      <c r="K1771" t="str">
        <f>IF(Table3[[#This Row],[Type Received]]=2,"CC",(IF(Table3[[#This Row],[Type Received]]=3,"BILL","ACH")))</f>
        <v>ACH</v>
      </c>
    </row>
    <row r="1772" spans="1:11" x14ac:dyDescent="0.25">
      <c r="A1772">
        <v>180493</v>
      </c>
      <c r="B1772" s="3">
        <v>46157</v>
      </c>
      <c r="C1772">
        <v>1</v>
      </c>
      <c r="D1772">
        <v>31.08</v>
      </c>
      <c r="G1772" t="s">
        <v>87</v>
      </c>
      <c r="H1772">
        <v>696733235</v>
      </c>
      <c r="I1772" t="s">
        <v>29</v>
      </c>
      <c r="J1772" t="s">
        <v>29</v>
      </c>
      <c r="K1772" t="str">
        <f>IF(Table3[[#This Row],[Type Received]]=2,"CC",(IF(Table3[[#This Row],[Type Received]]=3,"BILL","ACH")))</f>
        <v>ACH</v>
      </c>
    </row>
    <row r="1773" spans="1:11" x14ac:dyDescent="0.25">
      <c r="A1773">
        <v>180500</v>
      </c>
      <c r="B1773" s="3">
        <v>46157</v>
      </c>
      <c r="C1773">
        <v>1</v>
      </c>
      <c r="D1773">
        <v>16.86</v>
      </c>
      <c r="G1773" t="s">
        <v>87</v>
      </c>
      <c r="H1773">
        <v>696714989</v>
      </c>
      <c r="I1773" t="s">
        <v>29</v>
      </c>
      <c r="K1773" t="str">
        <f>IF(Table3[[#This Row],[Type Received]]=2,"CC",(IF(Table3[[#This Row],[Type Received]]=3,"BILL","ACH")))</f>
        <v>ACH</v>
      </c>
    </row>
    <row r="1774" spans="1:11" x14ac:dyDescent="0.25">
      <c r="A1774">
        <v>180548</v>
      </c>
      <c r="B1774" s="3">
        <v>46146</v>
      </c>
      <c r="C1774">
        <v>3</v>
      </c>
      <c r="D1774">
        <v>40.630000000000003</v>
      </c>
      <c r="E1774">
        <v>4344</v>
      </c>
      <c r="K1774" t="str">
        <f>IF(Table3[[#This Row],[Type Received]]=2,"CC",(IF(Table3[[#This Row],[Type Received]]=3,"BILL","ACH")))</f>
        <v>BILL</v>
      </c>
    </row>
    <row r="1775" spans="1:11" x14ac:dyDescent="0.25">
      <c r="A1775">
        <v>180706</v>
      </c>
      <c r="B1775" s="3">
        <v>46145</v>
      </c>
      <c r="C1775">
        <v>2</v>
      </c>
      <c r="D1775">
        <v>8.94</v>
      </c>
      <c r="F1775">
        <v>984073</v>
      </c>
      <c r="G1775" t="s">
        <v>28</v>
      </c>
      <c r="H1775">
        <v>546413711</v>
      </c>
      <c r="I1775" t="s">
        <v>29</v>
      </c>
      <c r="J1775" t="s">
        <v>29</v>
      </c>
      <c r="K1775" t="str">
        <f>IF(Table3[[#This Row],[Type Received]]=2,"CC",(IF(Table3[[#This Row],[Type Received]]=3,"BILL","ACH")))</f>
        <v>CC</v>
      </c>
    </row>
    <row r="1776" spans="1:11" x14ac:dyDescent="0.25">
      <c r="A1776">
        <v>180787</v>
      </c>
      <c r="B1776" s="3">
        <v>46157</v>
      </c>
      <c r="C1776">
        <v>1</v>
      </c>
      <c r="D1776">
        <v>46.23</v>
      </c>
      <c r="G1776" s="4" t="s">
        <v>87</v>
      </c>
      <c r="H1776">
        <v>696723568</v>
      </c>
      <c r="I1776" t="s">
        <v>29</v>
      </c>
      <c r="J1776" t="s">
        <v>29</v>
      </c>
      <c r="K1776" t="str">
        <f>IF(Table3[[#This Row],[Type Received]]=2,"CC",(IF(Table3[[#This Row],[Type Received]]=3,"BILL","ACH")))</f>
        <v>ACH</v>
      </c>
    </row>
    <row r="1777" spans="1:11" x14ac:dyDescent="0.25">
      <c r="A1777">
        <v>181061</v>
      </c>
      <c r="B1777" s="3">
        <v>46146</v>
      </c>
      <c r="C1777">
        <v>2</v>
      </c>
      <c r="D1777">
        <v>56.8</v>
      </c>
      <c r="F1777">
        <v>376568</v>
      </c>
      <c r="G1777" t="s">
        <v>28</v>
      </c>
      <c r="H1777">
        <v>558161987</v>
      </c>
      <c r="I1777" t="s">
        <v>29</v>
      </c>
      <c r="J1777" t="s">
        <v>29</v>
      </c>
      <c r="K1777" t="str">
        <f>IF(Table3[[#This Row],[Type Received]]=2,"CC",(IF(Table3[[#This Row],[Type Received]]=3,"BILL","ACH")))</f>
        <v>CC</v>
      </c>
    </row>
    <row r="1778" spans="1:11" x14ac:dyDescent="0.25">
      <c r="A1778">
        <v>181086</v>
      </c>
      <c r="B1778" s="3">
        <v>46144</v>
      </c>
      <c r="C1778">
        <v>1</v>
      </c>
      <c r="D1778">
        <v>51.51</v>
      </c>
      <c r="G1778" t="s">
        <v>89</v>
      </c>
      <c r="H1778">
        <v>535333027</v>
      </c>
      <c r="I1778" t="s">
        <v>29</v>
      </c>
      <c r="J1778" t="s">
        <v>29</v>
      </c>
      <c r="K1778" t="str">
        <f>IF(Table3[[#This Row],[Type Received]]=2,"CC",(IF(Table3[[#This Row],[Type Received]]=3,"BILL","ACH")))</f>
        <v>ACH</v>
      </c>
    </row>
    <row r="1779" spans="1:11" x14ac:dyDescent="0.25">
      <c r="A1779">
        <v>181195</v>
      </c>
      <c r="B1779" s="3">
        <v>46146</v>
      </c>
      <c r="C1779">
        <v>1</v>
      </c>
      <c r="D1779">
        <v>61.64</v>
      </c>
      <c r="G1779" t="s">
        <v>92</v>
      </c>
      <c r="H1779">
        <v>562009754</v>
      </c>
      <c r="I1779" t="s">
        <v>29</v>
      </c>
      <c r="J1779" t="s">
        <v>29</v>
      </c>
      <c r="K1779" t="str">
        <f>IF(Table3[[#This Row],[Type Received]]=2,"CC",(IF(Table3[[#This Row],[Type Received]]=3,"BILL","ACH")))</f>
        <v>ACH</v>
      </c>
    </row>
    <row r="1780" spans="1:11" x14ac:dyDescent="0.25">
      <c r="A1780">
        <v>180852</v>
      </c>
      <c r="B1780" s="3">
        <v>46157</v>
      </c>
      <c r="C1780">
        <v>1</v>
      </c>
      <c r="D1780">
        <v>29.08</v>
      </c>
      <c r="G1780" t="s">
        <v>87</v>
      </c>
      <c r="H1780">
        <v>696740143</v>
      </c>
      <c r="I1780" t="s">
        <v>29</v>
      </c>
      <c r="J1780" t="s">
        <v>29</v>
      </c>
      <c r="K1780" t="str">
        <f>IF(Table3[[#This Row],[Type Received]]=2,"CC",(IF(Table3[[#This Row],[Type Received]]=3,"BILL","ACH")))</f>
        <v>ACH</v>
      </c>
    </row>
    <row r="1781" spans="1:11" x14ac:dyDescent="0.25">
      <c r="A1781">
        <v>180861</v>
      </c>
      <c r="B1781" s="3">
        <v>46143</v>
      </c>
      <c r="C1781">
        <v>1</v>
      </c>
      <c r="D1781">
        <v>9.6</v>
      </c>
      <c r="G1781" s="4" t="s">
        <v>84</v>
      </c>
      <c r="H1781">
        <v>522300977</v>
      </c>
      <c r="I1781" t="s">
        <v>29</v>
      </c>
      <c r="J1781" t="s">
        <v>29</v>
      </c>
      <c r="K1781" t="str">
        <f>IF(Table3[[#This Row],[Type Received]]=2,"CC",(IF(Table3[[#This Row],[Type Received]]=3,"BILL","ACH")))</f>
        <v>ACH</v>
      </c>
    </row>
    <row r="1782" spans="1:11" x14ac:dyDescent="0.25">
      <c r="A1782">
        <v>180928</v>
      </c>
      <c r="B1782" s="3">
        <v>46167</v>
      </c>
      <c r="C1782">
        <v>1</v>
      </c>
      <c r="D1782">
        <v>42.6</v>
      </c>
      <c r="G1782" t="s">
        <v>85</v>
      </c>
      <c r="H1782">
        <v>818351888</v>
      </c>
      <c r="I1782" t="s">
        <v>29</v>
      </c>
      <c r="J1782" t="s">
        <v>29</v>
      </c>
      <c r="K1782" t="str">
        <f>IF(Table3[[#This Row],[Type Received]]=2,"CC",(IF(Table3[[#This Row],[Type Received]]=3,"BILL","ACH")))</f>
        <v>ACH</v>
      </c>
    </row>
    <row r="1783" spans="1:11" x14ac:dyDescent="0.25">
      <c r="A1783">
        <v>180970</v>
      </c>
      <c r="B1783" s="3">
        <v>46143</v>
      </c>
      <c r="C1783">
        <v>3</v>
      </c>
      <c r="D1783">
        <v>93.68</v>
      </c>
      <c r="E1783">
        <v>19824769980</v>
      </c>
      <c r="J1783" t="s">
        <v>29</v>
      </c>
      <c r="K1783" t="str">
        <f>IF(Table3[[#This Row],[Type Received]]=2,"CC",(IF(Table3[[#This Row],[Type Received]]=3,"BILL","ACH")))</f>
        <v>BILL</v>
      </c>
    </row>
    <row r="1784" spans="1:11" x14ac:dyDescent="0.25">
      <c r="A1784">
        <v>181362</v>
      </c>
      <c r="B1784" s="3">
        <v>46143</v>
      </c>
      <c r="C1784">
        <v>3</v>
      </c>
      <c r="D1784">
        <v>76.930000000000007</v>
      </c>
      <c r="E1784">
        <v>995221</v>
      </c>
      <c r="J1784" t="s">
        <v>29</v>
      </c>
      <c r="K1784" t="str">
        <f>IF(Table3[[#This Row],[Type Received]]=2,"CC",(IF(Table3[[#This Row],[Type Received]]=3,"BILL","ACH")))</f>
        <v>BILL</v>
      </c>
    </row>
    <row r="1785" spans="1:11" x14ac:dyDescent="0.25">
      <c r="A1785">
        <v>181486</v>
      </c>
      <c r="B1785" s="3">
        <v>46157</v>
      </c>
      <c r="C1785">
        <v>1</v>
      </c>
      <c r="D1785">
        <v>45.24</v>
      </c>
      <c r="G1785" t="s">
        <v>87</v>
      </c>
      <c r="H1785">
        <v>696716949</v>
      </c>
      <c r="I1785" t="s">
        <v>29</v>
      </c>
      <c r="K1785" t="str">
        <f>IF(Table3[[#This Row],[Type Received]]=2,"CC",(IF(Table3[[#This Row],[Type Received]]=3,"BILL","ACH")))</f>
        <v>ACH</v>
      </c>
    </row>
    <row r="1786" spans="1:11" x14ac:dyDescent="0.25">
      <c r="A1786">
        <v>181493</v>
      </c>
      <c r="B1786" s="3">
        <v>46167</v>
      </c>
      <c r="C1786">
        <v>1</v>
      </c>
      <c r="D1786">
        <v>22.8</v>
      </c>
      <c r="G1786" s="4" t="s">
        <v>85</v>
      </c>
      <c r="H1786">
        <v>818348040</v>
      </c>
      <c r="I1786" t="s">
        <v>29</v>
      </c>
      <c r="J1786" t="s">
        <v>29</v>
      </c>
      <c r="K1786" t="str">
        <f>IF(Table3[[#This Row],[Type Received]]=2,"CC",(IF(Table3[[#This Row],[Type Received]]=3,"BILL","ACH")))</f>
        <v>ACH</v>
      </c>
    </row>
    <row r="1787" spans="1:11" x14ac:dyDescent="0.25">
      <c r="A1787">
        <v>181539</v>
      </c>
      <c r="B1787" s="3">
        <v>46150</v>
      </c>
      <c r="C1787">
        <v>3</v>
      </c>
      <c r="D1787">
        <v>35.35</v>
      </c>
      <c r="E1787">
        <v>57804409</v>
      </c>
      <c r="J1787" t="s">
        <v>29</v>
      </c>
      <c r="K1787" t="str">
        <f>IF(Table3[[#This Row],[Type Received]]=2,"CC",(IF(Table3[[#This Row],[Type Received]]=3,"BILL","ACH")))</f>
        <v>BILL</v>
      </c>
    </row>
    <row r="1788" spans="1:11" x14ac:dyDescent="0.25">
      <c r="A1788">
        <v>181662</v>
      </c>
      <c r="B1788" s="3">
        <v>46143</v>
      </c>
      <c r="C1788">
        <v>1</v>
      </c>
      <c r="D1788">
        <v>26.54</v>
      </c>
      <c r="G1788" t="s">
        <v>84</v>
      </c>
      <c r="H1788">
        <v>522302911</v>
      </c>
      <c r="I1788" t="s">
        <v>29</v>
      </c>
      <c r="J1788" t="s">
        <v>29</v>
      </c>
      <c r="K1788" t="str">
        <f>IF(Table3[[#This Row],[Type Received]]=2,"CC",(IF(Table3[[#This Row],[Type Received]]=3,"BILL","ACH")))</f>
        <v>ACH</v>
      </c>
    </row>
    <row r="1789" spans="1:11" x14ac:dyDescent="0.25">
      <c r="A1789">
        <v>181663</v>
      </c>
      <c r="B1789" s="3">
        <v>46155</v>
      </c>
      <c r="C1789">
        <v>2</v>
      </c>
      <c r="D1789">
        <v>45.68</v>
      </c>
      <c r="F1789">
        <v>937149</v>
      </c>
      <c r="G1789" t="s">
        <v>28</v>
      </c>
      <c r="H1789">
        <v>669452131</v>
      </c>
      <c r="I1789" t="s">
        <v>29</v>
      </c>
      <c r="J1789" t="s">
        <v>29</v>
      </c>
      <c r="K1789" t="str">
        <f>IF(Table3[[#This Row],[Type Received]]=2,"CC",(IF(Table3[[#This Row],[Type Received]]=3,"BILL","ACH")))</f>
        <v>CC</v>
      </c>
    </row>
    <row r="1790" spans="1:11" x14ac:dyDescent="0.25">
      <c r="A1790">
        <v>181742</v>
      </c>
      <c r="B1790" s="3">
        <v>46167</v>
      </c>
      <c r="C1790">
        <v>1</v>
      </c>
      <c r="D1790">
        <v>15.76</v>
      </c>
      <c r="G1790" t="s">
        <v>85</v>
      </c>
      <c r="H1790">
        <v>818357623</v>
      </c>
      <c r="I1790" t="s">
        <v>29</v>
      </c>
      <c r="J1790" t="s">
        <v>29</v>
      </c>
      <c r="K1790" t="str">
        <f>IF(Table3[[#This Row],[Type Received]]=2,"CC",(IF(Table3[[#This Row],[Type Received]]=3,"BILL","ACH")))</f>
        <v>ACH</v>
      </c>
    </row>
    <row r="1791" spans="1:11" x14ac:dyDescent="0.25">
      <c r="A1791">
        <v>182110</v>
      </c>
      <c r="B1791" s="3">
        <v>46157</v>
      </c>
      <c r="C1791">
        <v>1</v>
      </c>
      <c r="D1791">
        <v>21.92</v>
      </c>
      <c r="G1791" t="s">
        <v>87</v>
      </c>
      <c r="H1791">
        <v>696733287</v>
      </c>
      <c r="I1791" t="s">
        <v>29</v>
      </c>
      <c r="K1791" t="str">
        <f>IF(Table3[[#This Row],[Type Received]]=2,"CC",(IF(Table3[[#This Row],[Type Received]]=3,"BILL","ACH")))</f>
        <v>ACH</v>
      </c>
    </row>
    <row r="1792" spans="1:11" x14ac:dyDescent="0.25">
      <c r="A1792">
        <v>182142</v>
      </c>
      <c r="B1792" s="3">
        <v>46168</v>
      </c>
      <c r="C1792">
        <v>3</v>
      </c>
      <c r="D1792">
        <v>71.98</v>
      </c>
      <c r="E1792">
        <v>4403</v>
      </c>
      <c r="J1792" t="s">
        <v>29</v>
      </c>
      <c r="K1792" t="str">
        <f>IF(Table3[[#This Row],[Type Received]]=2,"CC",(IF(Table3[[#This Row],[Type Received]]=3,"BILL","ACH")))</f>
        <v>BILL</v>
      </c>
    </row>
    <row r="1793" spans="1:11" x14ac:dyDescent="0.25">
      <c r="A1793">
        <v>182200</v>
      </c>
      <c r="B1793" s="3">
        <v>46157</v>
      </c>
      <c r="C1793">
        <v>1</v>
      </c>
      <c r="D1793">
        <v>42.82</v>
      </c>
      <c r="G1793" t="s">
        <v>87</v>
      </c>
      <c r="H1793">
        <v>696739229</v>
      </c>
      <c r="I1793" t="s">
        <v>29</v>
      </c>
      <c r="J1793" t="s">
        <v>29</v>
      </c>
      <c r="K1793" t="str">
        <f>IF(Table3[[#This Row],[Type Received]]=2,"CC",(IF(Table3[[#This Row],[Type Received]]=3,"BILL","ACH")))</f>
        <v>ACH</v>
      </c>
    </row>
    <row r="1794" spans="1:11" x14ac:dyDescent="0.25">
      <c r="A1794">
        <v>182273</v>
      </c>
      <c r="B1794" s="3">
        <v>46143</v>
      </c>
      <c r="C1794">
        <v>1</v>
      </c>
      <c r="D1794">
        <v>68.34</v>
      </c>
      <c r="G1794" t="s">
        <v>84</v>
      </c>
      <c r="H1794">
        <v>522326119</v>
      </c>
      <c r="I1794" t="s">
        <v>29</v>
      </c>
      <c r="J1794" t="s">
        <v>29</v>
      </c>
      <c r="K1794" t="str">
        <f>IF(Table3[[#This Row],[Type Received]]=2,"CC",(IF(Table3[[#This Row],[Type Received]]=3,"BILL","ACH")))</f>
        <v>ACH</v>
      </c>
    </row>
    <row r="1795" spans="1:11" x14ac:dyDescent="0.25">
      <c r="A1795">
        <v>182316</v>
      </c>
      <c r="B1795" s="3">
        <v>46157</v>
      </c>
      <c r="C1795">
        <v>1</v>
      </c>
      <c r="D1795">
        <v>32.04</v>
      </c>
      <c r="G1795" s="4" t="s">
        <v>87</v>
      </c>
      <c r="H1795">
        <v>696729413</v>
      </c>
      <c r="I1795" t="s">
        <v>29</v>
      </c>
      <c r="K1795" t="str">
        <f>IF(Table3[[#This Row],[Type Received]]=2,"CC",(IF(Table3[[#This Row],[Type Received]]=3,"BILL","ACH")))</f>
        <v>ACH</v>
      </c>
    </row>
    <row r="1796" spans="1:11" x14ac:dyDescent="0.25">
      <c r="A1796">
        <v>182369</v>
      </c>
      <c r="B1796" s="3">
        <v>46168</v>
      </c>
      <c r="C1796">
        <v>3</v>
      </c>
      <c r="D1796">
        <v>34.03</v>
      </c>
      <c r="E1796">
        <v>2248709784</v>
      </c>
      <c r="J1796" t="s">
        <v>29</v>
      </c>
      <c r="K1796" t="str">
        <f>IF(Table3[[#This Row],[Type Received]]=2,"CC",(IF(Table3[[#This Row],[Type Received]]=3,"BILL","ACH")))</f>
        <v>BILL</v>
      </c>
    </row>
    <row r="1797" spans="1:11" x14ac:dyDescent="0.25">
      <c r="A1797">
        <v>182416</v>
      </c>
      <c r="B1797" s="3">
        <v>46143</v>
      </c>
      <c r="C1797">
        <v>2</v>
      </c>
      <c r="D1797">
        <v>22.48</v>
      </c>
      <c r="F1797">
        <v>767162</v>
      </c>
      <c r="G1797" t="s">
        <v>28</v>
      </c>
      <c r="H1797">
        <v>525626829</v>
      </c>
      <c r="I1797" t="s">
        <v>29</v>
      </c>
      <c r="J1797" t="s">
        <v>29</v>
      </c>
      <c r="K1797" t="str">
        <f>IF(Table3[[#This Row],[Type Received]]=2,"CC",(IF(Table3[[#This Row],[Type Received]]=3,"BILL","ACH")))</f>
        <v>CC</v>
      </c>
    </row>
    <row r="1798" spans="1:11" x14ac:dyDescent="0.25">
      <c r="A1798">
        <v>182452</v>
      </c>
      <c r="B1798" s="3">
        <v>46167</v>
      </c>
      <c r="C1798">
        <v>1</v>
      </c>
      <c r="D1798">
        <v>31.05</v>
      </c>
      <c r="G1798" t="s">
        <v>85</v>
      </c>
      <c r="H1798">
        <v>818351909</v>
      </c>
      <c r="I1798" t="s">
        <v>29</v>
      </c>
      <c r="J1798" t="s">
        <v>29</v>
      </c>
      <c r="K1798" t="str">
        <f>IF(Table3[[#This Row],[Type Received]]=2,"CC",(IF(Table3[[#This Row],[Type Received]]=3,"BILL","ACH")))</f>
        <v>ACH</v>
      </c>
    </row>
    <row r="1799" spans="1:11" x14ac:dyDescent="0.25">
      <c r="A1799">
        <v>182461</v>
      </c>
      <c r="B1799" s="3">
        <v>46148</v>
      </c>
      <c r="C1799">
        <v>2</v>
      </c>
      <c r="D1799">
        <v>135.34</v>
      </c>
      <c r="F1799">
        <v>25724</v>
      </c>
      <c r="G1799" t="s">
        <v>28</v>
      </c>
      <c r="H1799">
        <v>586113160</v>
      </c>
      <c r="I1799" t="s">
        <v>29</v>
      </c>
      <c r="J1799" t="s">
        <v>29</v>
      </c>
      <c r="K1799" t="str">
        <f>IF(Table3[[#This Row],[Type Received]]=2,"CC",(IF(Table3[[#This Row],[Type Received]]=3,"BILL","ACH")))</f>
        <v>CC</v>
      </c>
    </row>
    <row r="1800" spans="1:11" x14ac:dyDescent="0.25">
      <c r="A1800">
        <v>182463</v>
      </c>
      <c r="B1800" s="3">
        <v>46146</v>
      </c>
      <c r="C1800">
        <v>3</v>
      </c>
      <c r="D1800">
        <v>61.42</v>
      </c>
      <c r="E1800">
        <v>8508</v>
      </c>
      <c r="J1800" t="s">
        <v>29</v>
      </c>
      <c r="K1800" t="str">
        <f>IF(Table3[[#This Row],[Type Received]]=2,"CC",(IF(Table3[[#This Row],[Type Received]]=3,"BILL","ACH")))</f>
        <v>BILL</v>
      </c>
    </row>
    <row r="1801" spans="1:11" x14ac:dyDescent="0.25">
      <c r="A1801">
        <v>182522</v>
      </c>
      <c r="B1801" s="3">
        <v>46167</v>
      </c>
      <c r="C1801">
        <v>1</v>
      </c>
      <c r="D1801">
        <v>11.33</v>
      </c>
      <c r="G1801" t="s">
        <v>85</v>
      </c>
      <c r="H1801">
        <v>818356682</v>
      </c>
      <c r="I1801" t="s">
        <v>29</v>
      </c>
      <c r="J1801" t="s">
        <v>29</v>
      </c>
      <c r="K1801" t="str">
        <f>IF(Table3[[#This Row],[Type Received]]=2,"CC",(IF(Table3[[#This Row],[Type Received]]=3,"BILL","ACH")))</f>
        <v>ACH</v>
      </c>
    </row>
    <row r="1802" spans="1:11" x14ac:dyDescent="0.25">
      <c r="A1802">
        <v>182605</v>
      </c>
      <c r="B1802" s="3">
        <v>46145</v>
      </c>
      <c r="C1802">
        <v>2</v>
      </c>
      <c r="D1802">
        <v>38.979999999999997</v>
      </c>
      <c r="F1802" t="s">
        <v>234</v>
      </c>
      <c r="G1802">
        <v>742039970</v>
      </c>
      <c r="H1802">
        <v>353328890</v>
      </c>
      <c r="J1802" t="s">
        <v>29</v>
      </c>
      <c r="K1802" t="str">
        <f>IF(Table3[[#This Row],[Type Received]]=2,"CC",(IF(Table3[[#This Row],[Type Received]]=3,"BILL","ACH")))</f>
        <v>CC</v>
      </c>
    </row>
    <row r="1803" spans="1:11" x14ac:dyDescent="0.25">
      <c r="A1803">
        <v>182628</v>
      </c>
      <c r="B1803" s="3">
        <v>46157</v>
      </c>
      <c r="C1803">
        <v>1</v>
      </c>
      <c r="D1803">
        <v>18.47</v>
      </c>
      <c r="G1803" t="s">
        <v>87</v>
      </c>
      <c r="H1803">
        <v>696735295</v>
      </c>
      <c r="I1803" t="s">
        <v>29</v>
      </c>
      <c r="J1803" t="s">
        <v>29</v>
      </c>
      <c r="K1803" t="str">
        <f>IF(Table3[[#This Row],[Type Received]]=2,"CC",(IF(Table3[[#This Row],[Type Received]]=3,"BILL","ACH")))</f>
        <v>ACH</v>
      </c>
    </row>
    <row r="1804" spans="1:11" x14ac:dyDescent="0.25">
      <c r="A1804">
        <v>182720</v>
      </c>
      <c r="B1804" s="3">
        <v>46157</v>
      </c>
      <c r="C1804">
        <v>1</v>
      </c>
      <c r="D1804">
        <v>10.33</v>
      </c>
      <c r="G1804" s="4" t="s">
        <v>87</v>
      </c>
      <c r="H1804">
        <v>696725602</v>
      </c>
      <c r="I1804" t="s">
        <v>29</v>
      </c>
      <c r="J1804" t="s">
        <v>29</v>
      </c>
      <c r="K1804" t="str">
        <f>IF(Table3[[#This Row],[Type Received]]=2,"CC",(IF(Table3[[#This Row],[Type Received]]=3,"BILL","ACH")))</f>
        <v>ACH</v>
      </c>
    </row>
    <row r="1805" spans="1:11" x14ac:dyDescent="0.25">
      <c r="A1805">
        <v>182813</v>
      </c>
      <c r="B1805" s="3">
        <v>46157</v>
      </c>
      <c r="C1805">
        <v>1</v>
      </c>
      <c r="D1805">
        <v>61.56</v>
      </c>
      <c r="G1805" t="s">
        <v>87</v>
      </c>
      <c r="H1805">
        <v>696727571</v>
      </c>
      <c r="I1805" t="s">
        <v>29</v>
      </c>
      <c r="K1805" t="str">
        <f>IF(Table3[[#This Row],[Type Received]]=2,"CC",(IF(Table3[[#This Row],[Type Received]]=3,"BILL","ACH")))</f>
        <v>ACH</v>
      </c>
    </row>
    <row r="1806" spans="1:11" x14ac:dyDescent="0.25">
      <c r="A1806">
        <v>183009</v>
      </c>
      <c r="B1806" s="3">
        <v>46143</v>
      </c>
      <c r="C1806">
        <v>1</v>
      </c>
      <c r="D1806">
        <v>107.24</v>
      </c>
      <c r="G1806" t="s">
        <v>84</v>
      </c>
      <c r="H1806">
        <v>522325195</v>
      </c>
      <c r="I1806" t="s">
        <v>29</v>
      </c>
      <c r="J1806" t="s">
        <v>29</v>
      </c>
      <c r="K1806" t="str">
        <f>IF(Table3[[#This Row],[Type Received]]=2,"CC",(IF(Table3[[#This Row],[Type Received]]=3,"BILL","ACH")))</f>
        <v>ACH</v>
      </c>
    </row>
    <row r="1807" spans="1:11" x14ac:dyDescent="0.25">
      <c r="A1807">
        <v>183020</v>
      </c>
      <c r="B1807" s="3">
        <v>46157</v>
      </c>
      <c r="C1807">
        <v>1</v>
      </c>
      <c r="D1807">
        <v>15.39</v>
      </c>
      <c r="G1807" t="s">
        <v>87</v>
      </c>
      <c r="H1807">
        <v>696732371</v>
      </c>
      <c r="I1807" t="s">
        <v>29</v>
      </c>
      <c r="K1807" t="str">
        <f>IF(Table3[[#This Row],[Type Received]]=2,"CC",(IF(Table3[[#This Row],[Type Received]]=3,"BILL","ACH")))</f>
        <v>ACH</v>
      </c>
    </row>
    <row r="1808" spans="1:11" x14ac:dyDescent="0.25">
      <c r="A1808">
        <v>183021</v>
      </c>
      <c r="B1808" s="3">
        <v>46157</v>
      </c>
      <c r="C1808">
        <v>1</v>
      </c>
      <c r="D1808">
        <v>8.1300000000000008</v>
      </c>
      <c r="G1808" t="s">
        <v>87</v>
      </c>
      <c r="H1808">
        <v>696716097</v>
      </c>
      <c r="I1808" t="s">
        <v>29</v>
      </c>
      <c r="J1808" t="s">
        <v>29</v>
      </c>
      <c r="K1808" t="str">
        <f>IF(Table3[[#This Row],[Type Received]]=2,"CC",(IF(Table3[[#This Row],[Type Received]]=3,"BILL","ACH")))</f>
        <v>ACH</v>
      </c>
    </row>
    <row r="1809" spans="1:11" x14ac:dyDescent="0.25">
      <c r="A1809">
        <v>183049</v>
      </c>
      <c r="B1809" s="3">
        <v>46157</v>
      </c>
      <c r="C1809">
        <v>1</v>
      </c>
      <c r="D1809">
        <v>16.71</v>
      </c>
      <c r="G1809" t="s">
        <v>87</v>
      </c>
      <c r="H1809">
        <v>696734338</v>
      </c>
      <c r="I1809" t="s">
        <v>29</v>
      </c>
      <c r="J1809" t="s">
        <v>29</v>
      </c>
      <c r="K1809" t="str">
        <f>IF(Table3[[#This Row],[Type Received]]=2,"CC",(IF(Table3[[#This Row],[Type Received]]=3,"BILL","ACH")))</f>
        <v>ACH</v>
      </c>
    </row>
    <row r="1810" spans="1:11" x14ac:dyDescent="0.25">
      <c r="A1810">
        <v>183050</v>
      </c>
      <c r="B1810" s="3">
        <v>46156</v>
      </c>
      <c r="C1810">
        <v>2</v>
      </c>
      <c r="D1810">
        <v>18.14</v>
      </c>
      <c r="F1810">
        <v>14537</v>
      </c>
      <c r="G1810" t="s">
        <v>28</v>
      </c>
      <c r="H1810">
        <v>682532596</v>
      </c>
      <c r="I1810" t="s">
        <v>29</v>
      </c>
      <c r="J1810" t="s">
        <v>29</v>
      </c>
      <c r="K1810" t="str">
        <f>IF(Table3[[#This Row],[Type Received]]=2,"CC",(IF(Table3[[#This Row],[Type Received]]=3,"BILL","ACH")))</f>
        <v>CC</v>
      </c>
    </row>
    <row r="1811" spans="1:11" x14ac:dyDescent="0.25">
      <c r="A1811">
        <v>183098</v>
      </c>
      <c r="B1811" s="3">
        <v>46147</v>
      </c>
      <c r="C1811">
        <v>2</v>
      </c>
      <c r="D1811">
        <v>67.64</v>
      </c>
      <c r="F1811">
        <v>93455</v>
      </c>
      <c r="G1811" t="s">
        <v>28</v>
      </c>
      <c r="H1811">
        <v>569461915</v>
      </c>
      <c r="I1811" t="s">
        <v>29</v>
      </c>
      <c r="J1811" t="s">
        <v>29</v>
      </c>
      <c r="K1811" t="str">
        <f>IF(Table3[[#This Row],[Type Received]]=2,"CC",(IF(Table3[[#This Row],[Type Received]]=3,"BILL","ACH")))</f>
        <v>CC</v>
      </c>
    </row>
    <row r="1812" spans="1:11" x14ac:dyDescent="0.25">
      <c r="A1812">
        <v>183195</v>
      </c>
      <c r="B1812" s="3">
        <v>46143</v>
      </c>
      <c r="C1812">
        <v>3</v>
      </c>
      <c r="D1812">
        <v>85.14</v>
      </c>
      <c r="E1812">
        <v>70049772</v>
      </c>
      <c r="J1812" t="s">
        <v>29</v>
      </c>
      <c r="K1812" t="str">
        <f>IF(Table3[[#This Row],[Type Received]]=2,"CC",(IF(Table3[[#This Row],[Type Received]]=3,"BILL","ACH")))</f>
        <v>BILL</v>
      </c>
    </row>
    <row r="1813" spans="1:11" x14ac:dyDescent="0.25">
      <c r="A1813">
        <v>183311</v>
      </c>
      <c r="B1813" s="3">
        <v>46157</v>
      </c>
      <c r="C1813">
        <v>1</v>
      </c>
      <c r="D1813">
        <v>13.85</v>
      </c>
      <c r="G1813" t="s">
        <v>87</v>
      </c>
      <c r="H1813">
        <v>696734352</v>
      </c>
      <c r="I1813" t="s">
        <v>29</v>
      </c>
      <c r="J1813" t="s">
        <v>29</v>
      </c>
      <c r="K1813" t="str">
        <f>IF(Table3[[#This Row],[Type Received]]=2,"CC",(IF(Table3[[#This Row],[Type Received]]=3,"BILL","ACH")))</f>
        <v>ACH</v>
      </c>
    </row>
    <row r="1814" spans="1:11" x14ac:dyDescent="0.25">
      <c r="A1814">
        <v>183315</v>
      </c>
      <c r="B1814" s="3">
        <v>46167</v>
      </c>
      <c r="C1814">
        <v>1</v>
      </c>
      <c r="D1814">
        <v>28.37</v>
      </c>
      <c r="G1814" t="s">
        <v>85</v>
      </c>
      <c r="H1814">
        <v>818353770</v>
      </c>
      <c r="I1814" t="s">
        <v>29</v>
      </c>
      <c r="J1814" t="s">
        <v>29</v>
      </c>
      <c r="K1814" t="str">
        <f>IF(Table3[[#This Row],[Type Received]]=2,"CC",(IF(Table3[[#This Row],[Type Received]]=3,"BILL","ACH")))</f>
        <v>ACH</v>
      </c>
    </row>
    <row r="1815" spans="1:11" x14ac:dyDescent="0.25">
      <c r="A1815">
        <v>183332</v>
      </c>
      <c r="B1815" s="3">
        <v>46157</v>
      </c>
      <c r="C1815">
        <v>1</v>
      </c>
      <c r="D1815">
        <v>29.69</v>
      </c>
      <c r="G1815" t="s">
        <v>87</v>
      </c>
      <c r="H1815">
        <v>696721841</v>
      </c>
      <c r="I1815" t="s">
        <v>29</v>
      </c>
      <c r="K1815" t="str">
        <f>IF(Table3[[#This Row],[Type Received]]=2,"CC",(IF(Table3[[#This Row],[Type Received]]=3,"BILL","ACH")))</f>
        <v>ACH</v>
      </c>
    </row>
    <row r="1816" spans="1:11" x14ac:dyDescent="0.25">
      <c r="A1816">
        <v>183338</v>
      </c>
      <c r="B1816" s="3">
        <v>46168</v>
      </c>
      <c r="C1816">
        <v>1</v>
      </c>
      <c r="D1816">
        <v>9.89</v>
      </c>
      <c r="G1816" t="s">
        <v>110</v>
      </c>
      <c r="H1816">
        <v>828257478</v>
      </c>
      <c r="I1816" t="s">
        <v>29</v>
      </c>
      <c r="K1816" t="str">
        <f>IF(Table3[[#This Row],[Type Received]]=2,"CC",(IF(Table3[[#This Row],[Type Received]]=3,"BILL","ACH")))</f>
        <v>ACH</v>
      </c>
    </row>
    <row r="1817" spans="1:11" x14ac:dyDescent="0.25">
      <c r="A1817">
        <v>183363</v>
      </c>
      <c r="B1817" s="3">
        <v>46146</v>
      </c>
      <c r="C1817">
        <v>3</v>
      </c>
      <c r="D1817">
        <v>33.659999999999997</v>
      </c>
      <c r="E1817">
        <v>6641</v>
      </c>
      <c r="J1817" t="s">
        <v>29</v>
      </c>
      <c r="K1817" t="str">
        <f>IF(Table3[[#This Row],[Type Received]]=2,"CC",(IF(Table3[[#This Row],[Type Received]]=3,"BILL","ACH")))</f>
        <v>BILL</v>
      </c>
    </row>
    <row r="1818" spans="1:11" x14ac:dyDescent="0.25">
      <c r="A1818">
        <v>183625</v>
      </c>
      <c r="B1818" s="3">
        <v>46143</v>
      </c>
      <c r="C1818">
        <v>1</v>
      </c>
      <c r="D1818">
        <v>19.28</v>
      </c>
      <c r="G1818" t="s">
        <v>84</v>
      </c>
      <c r="H1818">
        <v>522315582</v>
      </c>
      <c r="I1818" t="s">
        <v>29</v>
      </c>
      <c r="J1818" t="s">
        <v>29</v>
      </c>
      <c r="K1818" t="str">
        <f>IF(Table3[[#This Row],[Type Received]]=2,"CC",(IF(Table3[[#This Row],[Type Received]]=3,"BILL","ACH")))</f>
        <v>ACH</v>
      </c>
    </row>
    <row r="1819" spans="1:11" x14ac:dyDescent="0.25">
      <c r="A1819">
        <v>183783</v>
      </c>
      <c r="B1819" s="3">
        <v>46167</v>
      </c>
      <c r="C1819">
        <v>1</v>
      </c>
      <c r="D1819">
        <v>30.35</v>
      </c>
      <c r="G1819" t="s">
        <v>85</v>
      </c>
      <c r="H1819">
        <v>818360637</v>
      </c>
      <c r="I1819" t="s">
        <v>29</v>
      </c>
      <c r="J1819" t="s">
        <v>29</v>
      </c>
      <c r="K1819" t="str">
        <f>IF(Table3[[#This Row],[Type Received]]=2,"CC",(IF(Table3[[#This Row],[Type Received]]=3,"BILL","ACH")))</f>
        <v>ACH</v>
      </c>
    </row>
    <row r="1820" spans="1:11" x14ac:dyDescent="0.25">
      <c r="A1820">
        <v>183435</v>
      </c>
      <c r="B1820" s="3">
        <v>46167</v>
      </c>
      <c r="C1820">
        <v>1</v>
      </c>
      <c r="D1820">
        <v>16.93</v>
      </c>
      <c r="G1820" t="s">
        <v>85</v>
      </c>
      <c r="H1820">
        <v>818368347</v>
      </c>
      <c r="I1820" t="s">
        <v>29</v>
      </c>
      <c r="J1820" t="s">
        <v>29</v>
      </c>
      <c r="K1820" t="str">
        <f>IF(Table3[[#This Row],[Type Received]]=2,"CC",(IF(Table3[[#This Row],[Type Received]]=3,"BILL","ACH")))</f>
        <v>ACH</v>
      </c>
    </row>
    <row r="1821" spans="1:11" x14ac:dyDescent="0.25">
      <c r="A1821">
        <v>183500</v>
      </c>
      <c r="B1821" s="3">
        <v>46167</v>
      </c>
      <c r="C1821">
        <v>1</v>
      </c>
      <c r="D1821">
        <v>19.13</v>
      </c>
      <c r="G1821" s="4" t="s">
        <v>85</v>
      </c>
      <c r="H1821">
        <v>818364562</v>
      </c>
      <c r="I1821" t="s">
        <v>29</v>
      </c>
      <c r="J1821" t="s">
        <v>29</v>
      </c>
      <c r="K1821" t="str">
        <f>IF(Table3[[#This Row],[Type Received]]=2,"CC",(IF(Table3[[#This Row],[Type Received]]=3,"BILL","ACH")))</f>
        <v>ACH</v>
      </c>
    </row>
    <row r="1822" spans="1:11" x14ac:dyDescent="0.25">
      <c r="A1822">
        <v>183540</v>
      </c>
      <c r="B1822" s="3">
        <v>46170</v>
      </c>
      <c r="C1822">
        <v>2</v>
      </c>
      <c r="D1822">
        <v>36.96</v>
      </c>
      <c r="F1822">
        <v>414506</v>
      </c>
      <c r="G1822" s="4">
        <v>749514569</v>
      </c>
      <c r="H1822">
        <v>356040033</v>
      </c>
      <c r="J1822" t="s">
        <v>29</v>
      </c>
      <c r="K1822" t="str">
        <f>IF(Table3[[#This Row],[Type Received]]=2,"CC",(IF(Table3[[#This Row],[Type Received]]=3,"BILL","ACH")))</f>
        <v>CC</v>
      </c>
    </row>
    <row r="1823" spans="1:11" x14ac:dyDescent="0.25">
      <c r="A1823">
        <v>183571</v>
      </c>
      <c r="B1823" s="3">
        <v>46155</v>
      </c>
      <c r="C1823">
        <v>2</v>
      </c>
      <c r="D1823">
        <v>23.75</v>
      </c>
      <c r="F1823">
        <v>28104</v>
      </c>
      <c r="G1823" t="s">
        <v>28</v>
      </c>
      <c r="H1823">
        <v>669481777</v>
      </c>
      <c r="I1823" t="s">
        <v>29</v>
      </c>
      <c r="K1823" t="str">
        <f>IF(Table3[[#This Row],[Type Received]]=2,"CC",(IF(Table3[[#This Row],[Type Received]]=3,"BILL","ACH")))</f>
        <v>CC</v>
      </c>
    </row>
    <row r="1824" spans="1:11" x14ac:dyDescent="0.25">
      <c r="A1824">
        <v>183586</v>
      </c>
      <c r="B1824" s="3">
        <v>46144</v>
      </c>
      <c r="C1824">
        <v>1</v>
      </c>
      <c r="D1824">
        <v>14.51</v>
      </c>
      <c r="G1824" t="s">
        <v>89</v>
      </c>
      <c r="H1824">
        <v>535433508</v>
      </c>
      <c r="I1824" t="s">
        <v>29</v>
      </c>
      <c r="J1824" t="s">
        <v>29</v>
      </c>
      <c r="K1824" t="str">
        <f>IF(Table3[[#This Row],[Type Received]]=2,"CC",(IF(Table3[[#This Row],[Type Received]]=3,"BILL","ACH")))</f>
        <v>ACH</v>
      </c>
    </row>
    <row r="1825" spans="1:11" x14ac:dyDescent="0.25">
      <c r="A1825">
        <v>184032</v>
      </c>
      <c r="B1825" s="3">
        <v>46150</v>
      </c>
      <c r="C1825">
        <v>3</v>
      </c>
      <c r="D1825">
        <v>150.22</v>
      </c>
      <c r="E1825">
        <v>75556748</v>
      </c>
      <c r="J1825" t="s">
        <v>29</v>
      </c>
      <c r="K1825" t="str">
        <f>IF(Table3[[#This Row],[Type Received]]=2,"CC",(IF(Table3[[#This Row],[Type Received]]=3,"BILL","ACH")))</f>
        <v>BILL</v>
      </c>
    </row>
    <row r="1826" spans="1:11" x14ac:dyDescent="0.25">
      <c r="A1826">
        <v>184102</v>
      </c>
      <c r="B1826" s="3">
        <v>46153</v>
      </c>
      <c r="C1826">
        <v>3</v>
      </c>
      <c r="D1826">
        <v>19.03</v>
      </c>
      <c r="E1826">
        <v>22125045739</v>
      </c>
      <c r="J1826" t="s">
        <v>29</v>
      </c>
      <c r="K1826" t="str">
        <f>IF(Table3[[#This Row],[Type Received]]=2,"CC",(IF(Table3[[#This Row],[Type Received]]=3,"BILL","ACH")))</f>
        <v>BILL</v>
      </c>
    </row>
    <row r="1827" spans="1:11" x14ac:dyDescent="0.25">
      <c r="A1827">
        <v>184177</v>
      </c>
      <c r="B1827" s="3">
        <v>46171</v>
      </c>
      <c r="C1827">
        <v>3</v>
      </c>
      <c r="D1827">
        <v>87.12</v>
      </c>
      <c r="E1827">
        <v>204</v>
      </c>
      <c r="K1827" t="str">
        <f>IF(Table3[[#This Row],[Type Received]]=2,"CC",(IF(Table3[[#This Row],[Type Received]]=3,"BILL","ACH")))</f>
        <v>BILL</v>
      </c>
    </row>
    <row r="1828" spans="1:11" x14ac:dyDescent="0.25">
      <c r="A1828">
        <v>184193</v>
      </c>
      <c r="B1828" s="3">
        <v>46143</v>
      </c>
      <c r="C1828">
        <v>1</v>
      </c>
      <c r="D1828">
        <v>21.99</v>
      </c>
      <c r="G1828" t="s">
        <v>84</v>
      </c>
      <c r="H1828">
        <v>522324359</v>
      </c>
      <c r="I1828" t="s">
        <v>29</v>
      </c>
      <c r="J1828" t="s">
        <v>29</v>
      </c>
      <c r="K1828" t="str">
        <f>IF(Table3[[#This Row],[Type Received]]=2,"CC",(IF(Table3[[#This Row],[Type Received]]=3,"BILL","ACH")))</f>
        <v>ACH</v>
      </c>
    </row>
    <row r="1829" spans="1:11" x14ac:dyDescent="0.25">
      <c r="A1829">
        <v>184209</v>
      </c>
      <c r="B1829" s="3">
        <v>46157</v>
      </c>
      <c r="C1829">
        <v>1</v>
      </c>
      <c r="D1829">
        <v>21.11</v>
      </c>
      <c r="G1829" t="s">
        <v>87</v>
      </c>
      <c r="H1829">
        <v>696726707</v>
      </c>
      <c r="I1829" t="s">
        <v>29</v>
      </c>
      <c r="J1829" t="s">
        <v>29</v>
      </c>
      <c r="K1829" t="str">
        <f>IF(Table3[[#This Row],[Type Received]]=2,"CC",(IF(Table3[[#This Row],[Type Received]]=3,"BILL","ACH")))</f>
        <v>ACH</v>
      </c>
    </row>
    <row r="1830" spans="1:11" x14ac:dyDescent="0.25">
      <c r="A1830">
        <v>184223</v>
      </c>
      <c r="B1830" s="3">
        <v>46157</v>
      </c>
      <c r="C1830">
        <v>1</v>
      </c>
      <c r="D1830">
        <v>29.4</v>
      </c>
      <c r="G1830" t="s">
        <v>87</v>
      </c>
      <c r="H1830">
        <v>696727673</v>
      </c>
      <c r="I1830" t="s">
        <v>29</v>
      </c>
      <c r="K1830" t="str">
        <f>IF(Table3[[#This Row],[Type Received]]=2,"CC",(IF(Table3[[#This Row],[Type Received]]=3,"BILL","ACH")))</f>
        <v>ACH</v>
      </c>
    </row>
    <row r="1831" spans="1:11" x14ac:dyDescent="0.25">
      <c r="A1831">
        <v>184226</v>
      </c>
      <c r="B1831" s="3">
        <v>46167</v>
      </c>
      <c r="C1831">
        <v>1</v>
      </c>
      <c r="D1831">
        <v>11.43</v>
      </c>
      <c r="G1831" s="4" t="s">
        <v>85</v>
      </c>
      <c r="H1831">
        <v>818361624</v>
      </c>
      <c r="I1831" t="s">
        <v>29</v>
      </c>
      <c r="K1831" t="str">
        <f>IF(Table3[[#This Row],[Type Received]]=2,"CC",(IF(Table3[[#This Row],[Type Received]]=3,"BILL","ACH")))</f>
        <v>ACH</v>
      </c>
    </row>
    <row r="1832" spans="1:11" x14ac:dyDescent="0.25">
      <c r="A1832">
        <v>184230</v>
      </c>
      <c r="B1832" s="3">
        <v>46144</v>
      </c>
      <c r="C1832">
        <v>2</v>
      </c>
      <c r="D1832">
        <v>12.24</v>
      </c>
      <c r="F1832">
        <v>120457</v>
      </c>
      <c r="G1832" t="s">
        <v>28</v>
      </c>
      <c r="H1832">
        <v>535386132</v>
      </c>
      <c r="I1832" t="s">
        <v>29</v>
      </c>
      <c r="J1832" t="s">
        <v>29</v>
      </c>
      <c r="K1832" t="str">
        <f>IF(Table3[[#This Row],[Type Received]]=2,"CC",(IF(Table3[[#This Row],[Type Received]]=3,"BILL","ACH")))</f>
        <v>CC</v>
      </c>
    </row>
    <row r="1833" spans="1:11" x14ac:dyDescent="0.25">
      <c r="A1833">
        <v>184255</v>
      </c>
      <c r="B1833" s="3">
        <v>46143</v>
      </c>
      <c r="C1833">
        <v>3</v>
      </c>
      <c r="D1833">
        <v>153.69999999999999</v>
      </c>
      <c r="E1833">
        <v>7159</v>
      </c>
      <c r="G1833" s="4"/>
      <c r="J1833" t="s">
        <v>29</v>
      </c>
      <c r="K1833" t="str">
        <f>IF(Table3[[#This Row],[Type Received]]=2,"CC",(IF(Table3[[#This Row],[Type Received]]=3,"BILL","ACH")))</f>
        <v>BILL</v>
      </c>
    </row>
    <row r="1834" spans="1:11" x14ac:dyDescent="0.25">
      <c r="A1834">
        <v>183828</v>
      </c>
      <c r="B1834" s="3">
        <v>46155</v>
      </c>
      <c r="C1834">
        <v>1</v>
      </c>
      <c r="D1834">
        <v>51.14</v>
      </c>
      <c r="G1834" t="s">
        <v>90</v>
      </c>
      <c r="H1834">
        <v>669486650</v>
      </c>
      <c r="I1834" t="s">
        <v>29</v>
      </c>
      <c r="J1834" t="s">
        <v>29</v>
      </c>
      <c r="K1834" t="str">
        <f>IF(Table3[[#This Row],[Type Received]]=2,"CC",(IF(Table3[[#This Row],[Type Received]]=3,"BILL","ACH")))</f>
        <v>ACH</v>
      </c>
    </row>
    <row r="1835" spans="1:11" x14ac:dyDescent="0.25">
      <c r="A1835">
        <v>183871</v>
      </c>
      <c r="B1835" s="3">
        <v>46143</v>
      </c>
      <c r="C1835">
        <v>1</v>
      </c>
      <c r="D1835">
        <v>46.52</v>
      </c>
      <c r="G1835" t="s">
        <v>84</v>
      </c>
      <c r="H1835">
        <v>522314581</v>
      </c>
      <c r="I1835" t="s">
        <v>29</v>
      </c>
      <c r="J1835" t="s">
        <v>29</v>
      </c>
      <c r="K1835" t="str">
        <f>IF(Table3[[#This Row],[Type Received]]=2,"CC",(IF(Table3[[#This Row],[Type Received]]=3,"BILL","ACH")))</f>
        <v>ACH</v>
      </c>
    </row>
    <row r="1836" spans="1:11" x14ac:dyDescent="0.25">
      <c r="A1836">
        <v>183965</v>
      </c>
      <c r="B1836" s="3">
        <v>46143</v>
      </c>
      <c r="C1836">
        <v>1</v>
      </c>
      <c r="D1836">
        <v>23.42</v>
      </c>
      <c r="G1836" t="s">
        <v>84</v>
      </c>
      <c r="H1836">
        <v>522329144</v>
      </c>
      <c r="I1836" t="s">
        <v>29</v>
      </c>
      <c r="J1836" t="s">
        <v>29</v>
      </c>
      <c r="K1836" t="str">
        <f>IF(Table3[[#This Row],[Type Received]]=2,"CC",(IF(Table3[[#This Row],[Type Received]]=3,"BILL","ACH")))</f>
        <v>ACH</v>
      </c>
    </row>
    <row r="1837" spans="1:11" x14ac:dyDescent="0.25">
      <c r="A1837">
        <v>184697</v>
      </c>
      <c r="B1837" s="3">
        <v>46171</v>
      </c>
      <c r="C1837">
        <v>3</v>
      </c>
      <c r="D1837">
        <v>54.78</v>
      </c>
      <c r="E1837">
        <v>111</v>
      </c>
      <c r="G1837" s="4"/>
      <c r="J1837" t="s">
        <v>29</v>
      </c>
      <c r="K1837" t="str">
        <f>IF(Table3[[#This Row],[Type Received]]=2,"CC",(IF(Table3[[#This Row],[Type Received]]=3,"BILL","ACH")))</f>
        <v>BILL</v>
      </c>
    </row>
    <row r="1838" spans="1:11" x14ac:dyDescent="0.25">
      <c r="A1838">
        <v>184697</v>
      </c>
      <c r="B1838" s="3">
        <v>46143</v>
      </c>
      <c r="C1838">
        <v>3</v>
      </c>
      <c r="D1838">
        <v>54.78</v>
      </c>
      <c r="E1838">
        <v>9600</v>
      </c>
      <c r="K1838" t="str">
        <f>IF(Table3[[#This Row],[Type Received]]=2,"CC",(IF(Table3[[#This Row],[Type Received]]=3,"BILL","ACH")))</f>
        <v>BILL</v>
      </c>
    </row>
    <row r="1839" spans="1:11" x14ac:dyDescent="0.25">
      <c r="A1839">
        <v>184758</v>
      </c>
      <c r="B1839" s="3">
        <v>46143</v>
      </c>
      <c r="C1839">
        <v>1</v>
      </c>
      <c r="D1839">
        <v>21.77</v>
      </c>
      <c r="G1839" t="s">
        <v>84</v>
      </c>
      <c r="H1839">
        <v>522323372</v>
      </c>
      <c r="I1839" t="s">
        <v>29</v>
      </c>
      <c r="J1839" t="s">
        <v>29</v>
      </c>
      <c r="K1839" t="str">
        <f>IF(Table3[[#This Row],[Type Received]]=2,"CC",(IF(Table3[[#This Row],[Type Received]]=3,"BILL","ACH")))</f>
        <v>ACH</v>
      </c>
    </row>
    <row r="1840" spans="1:11" x14ac:dyDescent="0.25">
      <c r="A1840">
        <v>184783</v>
      </c>
      <c r="B1840" s="3">
        <v>46147</v>
      </c>
      <c r="C1840">
        <v>3</v>
      </c>
      <c r="D1840">
        <v>187.06</v>
      </c>
      <c r="E1840">
        <v>75825491</v>
      </c>
      <c r="J1840" t="s">
        <v>29</v>
      </c>
      <c r="K1840" t="str">
        <f>IF(Table3[[#This Row],[Type Received]]=2,"CC",(IF(Table3[[#This Row],[Type Received]]=3,"BILL","ACH")))</f>
        <v>BILL</v>
      </c>
    </row>
    <row r="1841" spans="1:11" x14ac:dyDescent="0.25">
      <c r="A1841">
        <v>184797</v>
      </c>
      <c r="B1841" s="3">
        <v>46157</v>
      </c>
      <c r="C1841">
        <v>1</v>
      </c>
      <c r="D1841">
        <v>17.809999999999999</v>
      </c>
      <c r="G1841" t="s">
        <v>87</v>
      </c>
      <c r="H1841">
        <v>696731528</v>
      </c>
      <c r="I1841" t="s">
        <v>29</v>
      </c>
      <c r="J1841" t="s">
        <v>29</v>
      </c>
      <c r="K1841" t="str">
        <f>IF(Table3[[#This Row],[Type Received]]=2,"CC",(IF(Table3[[#This Row],[Type Received]]=3,"BILL","ACH")))</f>
        <v>ACH</v>
      </c>
    </row>
    <row r="1842" spans="1:11" x14ac:dyDescent="0.25">
      <c r="A1842">
        <v>184549</v>
      </c>
      <c r="B1842" s="3">
        <v>46167</v>
      </c>
      <c r="C1842">
        <v>1</v>
      </c>
      <c r="D1842">
        <v>19.03</v>
      </c>
      <c r="G1842" t="s">
        <v>85</v>
      </c>
      <c r="H1842">
        <v>818365571</v>
      </c>
      <c r="I1842" t="s">
        <v>29</v>
      </c>
      <c r="J1842" t="s">
        <v>29</v>
      </c>
      <c r="K1842" t="str">
        <f>IF(Table3[[#This Row],[Type Received]]=2,"CC",(IF(Table3[[#This Row],[Type Received]]=3,"BILL","ACH")))</f>
        <v>ACH</v>
      </c>
    </row>
    <row r="1843" spans="1:11" x14ac:dyDescent="0.25">
      <c r="A1843">
        <v>184593</v>
      </c>
      <c r="B1843" s="3">
        <v>46157</v>
      </c>
      <c r="C1843">
        <v>1</v>
      </c>
      <c r="D1843">
        <v>12.31</v>
      </c>
      <c r="G1843" t="s">
        <v>87</v>
      </c>
      <c r="H1843">
        <v>696712091</v>
      </c>
      <c r="I1843" t="s">
        <v>29</v>
      </c>
      <c r="K1843" t="str">
        <f>IF(Table3[[#This Row],[Type Received]]=2,"CC",(IF(Table3[[#This Row],[Type Received]]=3,"BILL","ACH")))</f>
        <v>ACH</v>
      </c>
    </row>
    <row r="1844" spans="1:11" x14ac:dyDescent="0.25">
      <c r="A1844">
        <v>185048</v>
      </c>
      <c r="B1844" s="3">
        <v>46157</v>
      </c>
      <c r="C1844">
        <v>1</v>
      </c>
      <c r="D1844">
        <v>21.77</v>
      </c>
      <c r="G1844" t="s">
        <v>87</v>
      </c>
      <c r="H1844">
        <v>696734419</v>
      </c>
      <c r="I1844" t="s">
        <v>29</v>
      </c>
      <c r="J1844" t="s">
        <v>29</v>
      </c>
      <c r="K1844" t="str">
        <f>IF(Table3[[#This Row],[Type Received]]=2,"CC",(IF(Table3[[#This Row],[Type Received]]=3,"BILL","ACH")))</f>
        <v>ACH</v>
      </c>
    </row>
    <row r="1845" spans="1:11" x14ac:dyDescent="0.25">
      <c r="A1845">
        <v>185144</v>
      </c>
      <c r="B1845" s="3">
        <v>46167</v>
      </c>
      <c r="C1845">
        <v>1</v>
      </c>
      <c r="D1845">
        <v>11.65</v>
      </c>
      <c r="G1845" t="s">
        <v>85</v>
      </c>
      <c r="H1845">
        <v>818351968</v>
      </c>
      <c r="I1845" t="s">
        <v>29</v>
      </c>
      <c r="J1845" t="s">
        <v>29</v>
      </c>
      <c r="K1845" t="str">
        <f>IF(Table3[[#This Row],[Type Received]]=2,"CC",(IF(Table3[[#This Row],[Type Received]]=3,"BILL","ACH")))</f>
        <v>ACH</v>
      </c>
    </row>
    <row r="1846" spans="1:11" x14ac:dyDescent="0.25">
      <c r="A1846">
        <v>184929</v>
      </c>
      <c r="B1846" s="3">
        <v>46143</v>
      </c>
      <c r="C1846">
        <v>1</v>
      </c>
      <c r="D1846">
        <v>47.22</v>
      </c>
      <c r="G1846" t="s">
        <v>84</v>
      </c>
      <c r="H1846">
        <v>522322447</v>
      </c>
      <c r="I1846" t="s">
        <v>29</v>
      </c>
      <c r="J1846" t="s">
        <v>29</v>
      </c>
      <c r="K1846" t="str">
        <f>IF(Table3[[#This Row],[Type Received]]=2,"CC",(IF(Table3[[#This Row],[Type Received]]=3,"BILL","ACH")))</f>
        <v>ACH</v>
      </c>
    </row>
    <row r="1847" spans="1:11" x14ac:dyDescent="0.25">
      <c r="A1847">
        <v>184960</v>
      </c>
      <c r="B1847" s="3">
        <v>46143</v>
      </c>
      <c r="C1847">
        <v>1</v>
      </c>
      <c r="D1847">
        <v>50.15</v>
      </c>
      <c r="G1847" t="s">
        <v>84</v>
      </c>
      <c r="H1847">
        <v>522304097</v>
      </c>
      <c r="I1847" t="s">
        <v>29</v>
      </c>
      <c r="J1847" t="s">
        <v>29</v>
      </c>
      <c r="K1847" t="str">
        <f>IF(Table3[[#This Row],[Type Received]]=2,"CC",(IF(Table3[[#This Row],[Type Received]]=3,"BILL","ACH")))</f>
        <v>ACH</v>
      </c>
    </row>
    <row r="1848" spans="1:11" x14ac:dyDescent="0.25">
      <c r="A1848">
        <v>185246</v>
      </c>
      <c r="B1848" s="3">
        <v>46149</v>
      </c>
      <c r="C1848">
        <v>2</v>
      </c>
      <c r="D1848">
        <v>29.37</v>
      </c>
      <c r="F1848">
        <v>60326</v>
      </c>
      <c r="G1848" t="s">
        <v>28</v>
      </c>
      <c r="H1848">
        <v>597721996</v>
      </c>
      <c r="I1848" t="s">
        <v>29</v>
      </c>
      <c r="J1848" t="s">
        <v>29</v>
      </c>
      <c r="K1848" t="str">
        <f>IF(Table3[[#This Row],[Type Received]]=2,"CC",(IF(Table3[[#This Row],[Type Received]]=3,"BILL","ACH")))</f>
        <v>CC</v>
      </c>
    </row>
    <row r="1849" spans="1:11" x14ac:dyDescent="0.25">
      <c r="A1849">
        <v>185268</v>
      </c>
      <c r="B1849" s="3">
        <v>46143</v>
      </c>
      <c r="C1849">
        <v>1</v>
      </c>
      <c r="D1849">
        <v>11.21</v>
      </c>
      <c r="G1849" t="s">
        <v>84</v>
      </c>
      <c r="H1849">
        <v>522324462</v>
      </c>
      <c r="I1849" t="s">
        <v>29</v>
      </c>
      <c r="J1849" t="s">
        <v>29</v>
      </c>
      <c r="K1849" t="str">
        <f>IF(Table3[[#This Row],[Type Received]]=2,"CC",(IF(Table3[[#This Row],[Type Received]]=3,"BILL","ACH")))</f>
        <v>ACH</v>
      </c>
    </row>
    <row r="1850" spans="1:11" x14ac:dyDescent="0.25">
      <c r="A1850">
        <v>185365</v>
      </c>
      <c r="B1850" s="3">
        <v>46157</v>
      </c>
      <c r="C1850">
        <v>1</v>
      </c>
      <c r="D1850">
        <v>26.83</v>
      </c>
      <c r="G1850" t="s">
        <v>87</v>
      </c>
      <c r="H1850">
        <v>696732474</v>
      </c>
      <c r="I1850" t="s">
        <v>29</v>
      </c>
      <c r="J1850" t="s">
        <v>29</v>
      </c>
      <c r="K1850" t="str">
        <f>IF(Table3[[#This Row],[Type Received]]=2,"CC",(IF(Table3[[#This Row],[Type Received]]=3,"BILL","ACH")))</f>
        <v>ACH</v>
      </c>
    </row>
    <row r="1851" spans="1:11" x14ac:dyDescent="0.25">
      <c r="A1851">
        <v>185368</v>
      </c>
      <c r="B1851" s="3">
        <v>46143</v>
      </c>
      <c r="C1851">
        <v>1</v>
      </c>
      <c r="D1851">
        <v>23.09</v>
      </c>
      <c r="G1851" t="s">
        <v>84</v>
      </c>
      <c r="H1851">
        <v>522307980</v>
      </c>
      <c r="I1851" t="s">
        <v>29</v>
      </c>
      <c r="K1851" t="str">
        <f>IF(Table3[[#This Row],[Type Received]]=2,"CC",(IF(Table3[[#This Row],[Type Received]]=3,"BILL","ACH")))</f>
        <v>ACH</v>
      </c>
    </row>
    <row r="1852" spans="1:11" x14ac:dyDescent="0.25">
      <c r="A1852">
        <v>185418</v>
      </c>
      <c r="B1852" s="3">
        <v>46146</v>
      </c>
      <c r="C1852">
        <v>2</v>
      </c>
      <c r="D1852">
        <v>92.05</v>
      </c>
      <c r="F1852" t="s">
        <v>235</v>
      </c>
      <c r="G1852">
        <v>742259380</v>
      </c>
      <c r="H1852">
        <v>353416673</v>
      </c>
      <c r="J1852" t="s">
        <v>29</v>
      </c>
      <c r="K1852" t="str">
        <f>IF(Table3[[#This Row],[Type Received]]=2,"CC",(IF(Table3[[#This Row],[Type Received]]=3,"BILL","ACH")))</f>
        <v>CC</v>
      </c>
    </row>
    <row r="1853" spans="1:11" x14ac:dyDescent="0.25">
      <c r="A1853">
        <v>185479</v>
      </c>
      <c r="B1853" s="3">
        <v>46157</v>
      </c>
      <c r="C1853">
        <v>1</v>
      </c>
      <c r="D1853">
        <v>36.07</v>
      </c>
      <c r="G1853" t="s">
        <v>87</v>
      </c>
      <c r="H1853">
        <v>696733463</v>
      </c>
      <c r="I1853" t="s">
        <v>29</v>
      </c>
      <c r="J1853" t="s">
        <v>29</v>
      </c>
      <c r="K1853" t="str">
        <f>IF(Table3[[#This Row],[Type Received]]=2,"CC",(IF(Table3[[#This Row],[Type Received]]=3,"BILL","ACH")))</f>
        <v>ACH</v>
      </c>
    </row>
    <row r="1854" spans="1:11" x14ac:dyDescent="0.25">
      <c r="A1854">
        <v>185527</v>
      </c>
      <c r="B1854" s="3">
        <v>46157</v>
      </c>
      <c r="C1854">
        <v>1</v>
      </c>
      <c r="D1854">
        <v>12.31</v>
      </c>
      <c r="G1854" t="s">
        <v>87</v>
      </c>
      <c r="H1854">
        <v>696719056</v>
      </c>
      <c r="I1854" t="s">
        <v>29</v>
      </c>
      <c r="J1854" t="s">
        <v>29</v>
      </c>
      <c r="K1854" t="str">
        <f>IF(Table3[[#This Row],[Type Received]]=2,"CC",(IF(Table3[[#This Row],[Type Received]]=3,"BILL","ACH")))</f>
        <v>ACH</v>
      </c>
    </row>
    <row r="1855" spans="1:11" x14ac:dyDescent="0.25">
      <c r="A1855">
        <v>185814</v>
      </c>
      <c r="B1855" s="3">
        <v>46143</v>
      </c>
      <c r="C1855">
        <v>2</v>
      </c>
      <c r="D1855">
        <v>29.7</v>
      </c>
      <c r="F1855">
        <v>695175</v>
      </c>
      <c r="G1855">
        <v>741374152</v>
      </c>
      <c r="H1855">
        <v>353190040</v>
      </c>
      <c r="J1855" t="s">
        <v>29</v>
      </c>
      <c r="K1855" t="str">
        <f>IF(Table3[[#This Row],[Type Received]]=2,"CC",(IF(Table3[[#This Row],[Type Received]]=3,"BILL","ACH")))</f>
        <v>CC</v>
      </c>
    </row>
    <row r="1856" spans="1:11" x14ac:dyDescent="0.25">
      <c r="A1856">
        <v>185833</v>
      </c>
      <c r="B1856" s="3">
        <v>46157</v>
      </c>
      <c r="C1856">
        <v>1</v>
      </c>
      <c r="D1856">
        <v>16.05</v>
      </c>
      <c r="G1856" s="4" t="s">
        <v>87</v>
      </c>
      <c r="H1856">
        <v>696741221</v>
      </c>
      <c r="I1856" t="s">
        <v>29</v>
      </c>
      <c r="J1856" t="s">
        <v>29</v>
      </c>
      <c r="K1856" t="str">
        <f>IF(Table3[[#This Row],[Type Received]]=2,"CC",(IF(Table3[[#This Row],[Type Received]]=3,"BILL","ACH")))</f>
        <v>ACH</v>
      </c>
    </row>
    <row r="1857" spans="1:11" x14ac:dyDescent="0.25">
      <c r="A1857">
        <v>185836</v>
      </c>
      <c r="B1857" s="3">
        <v>46143</v>
      </c>
      <c r="C1857">
        <v>1</v>
      </c>
      <c r="D1857">
        <v>15.39</v>
      </c>
      <c r="G1857" t="s">
        <v>84</v>
      </c>
      <c r="H1857">
        <v>522321580</v>
      </c>
      <c r="I1857" t="s">
        <v>29</v>
      </c>
      <c r="J1857" t="s">
        <v>29</v>
      </c>
      <c r="K1857" t="str">
        <f>IF(Table3[[#This Row],[Type Received]]=2,"CC",(IF(Table3[[#This Row],[Type Received]]=3,"BILL","ACH")))</f>
        <v>ACH</v>
      </c>
    </row>
    <row r="1858" spans="1:11" x14ac:dyDescent="0.25">
      <c r="A1858">
        <v>185912</v>
      </c>
      <c r="B1858" s="3">
        <v>46168</v>
      </c>
      <c r="C1858">
        <v>3</v>
      </c>
      <c r="D1858">
        <v>52.45</v>
      </c>
      <c r="E1858">
        <v>8269</v>
      </c>
      <c r="J1858" t="s">
        <v>29</v>
      </c>
      <c r="K1858" t="str">
        <f>IF(Table3[[#This Row],[Type Received]]=2,"CC",(IF(Table3[[#This Row],[Type Received]]=3,"BILL","ACH")))</f>
        <v>BILL</v>
      </c>
    </row>
    <row r="1859" spans="1:11" x14ac:dyDescent="0.25">
      <c r="A1859">
        <v>185978</v>
      </c>
      <c r="B1859" s="3">
        <v>46157</v>
      </c>
      <c r="C1859">
        <v>1</v>
      </c>
      <c r="D1859">
        <v>32</v>
      </c>
      <c r="G1859" t="s">
        <v>87</v>
      </c>
      <c r="H1859">
        <v>696732517</v>
      </c>
      <c r="I1859" t="s">
        <v>29</v>
      </c>
      <c r="J1859" t="s">
        <v>29</v>
      </c>
      <c r="K1859" t="str">
        <f>IF(Table3[[#This Row],[Type Received]]=2,"CC",(IF(Table3[[#This Row],[Type Received]]=3,"BILL","ACH")))</f>
        <v>ACH</v>
      </c>
    </row>
    <row r="1860" spans="1:11" x14ac:dyDescent="0.25">
      <c r="A1860">
        <v>185684</v>
      </c>
      <c r="B1860" s="3">
        <v>46143</v>
      </c>
      <c r="C1860">
        <v>1</v>
      </c>
      <c r="D1860">
        <v>32.99</v>
      </c>
      <c r="G1860" s="4" t="s">
        <v>84</v>
      </c>
      <c r="H1860">
        <v>522328315</v>
      </c>
      <c r="I1860" t="s">
        <v>29</v>
      </c>
      <c r="K1860" t="str">
        <f>IF(Table3[[#This Row],[Type Received]]=2,"CC",(IF(Table3[[#This Row],[Type Received]]=3,"BILL","ACH")))</f>
        <v>ACH</v>
      </c>
    </row>
    <row r="1861" spans="1:11" x14ac:dyDescent="0.25">
      <c r="A1861">
        <v>186007</v>
      </c>
      <c r="B1861" s="3">
        <v>46169</v>
      </c>
      <c r="C1861">
        <v>3</v>
      </c>
      <c r="D1861">
        <v>22.77</v>
      </c>
      <c r="E1861">
        <v>4562</v>
      </c>
      <c r="J1861" t="s">
        <v>29</v>
      </c>
      <c r="K1861" t="str">
        <f>IF(Table3[[#This Row],[Type Received]]=2,"CC",(IF(Table3[[#This Row],[Type Received]]=3,"BILL","ACH")))</f>
        <v>BILL</v>
      </c>
    </row>
    <row r="1862" spans="1:11" x14ac:dyDescent="0.25">
      <c r="A1862">
        <v>186077</v>
      </c>
      <c r="B1862" s="3">
        <v>46164</v>
      </c>
      <c r="C1862">
        <v>3</v>
      </c>
      <c r="D1862">
        <v>92</v>
      </c>
      <c r="E1862">
        <v>1662</v>
      </c>
      <c r="G1862" s="4"/>
      <c r="J1862" t="s">
        <v>29</v>
      </c>
      <c r="K1862" t="str">
        <f>IF(Table3[[#This Row],[Type Received]]=2,"CC",(IF(Table3[[#This Row],[Type Received]]=3,"BILL","ACH")))</f>
        <v>BILL</v>
      </c>
    </row>
    <row r="1863" spans="1:11" x14ac:dyDescent="0.25">
      <c r="A1863">
        <v>186091</v>
      </c>
      <c r="B1863" s="3">
        <v>46146</v>
      </c>
      <c r="C1863">
        <v>2</v>
      </c>
      <c r="D1863">
        <v>43.87</v>
      </c>
      <c r="F1863">
        <v>152947</v>
      </c>
      <c r="G1863" t="s">
        <v>28</v>
      </c>
      <c r="H1863">
        <v>556773547</v>
      </c>
      <c r="I1863" t="s">
        <v>29</v>
      </c>
      <c r="J1863" t="s">
        <v>29</v>
      </c>
      <c r="K1863" t="str">
        <f>IF(Table3[[#This Row],[Type Received]]=2,"CC",(IF(Table3[[#This Row],[Type Received]]=3,"BILL","ACH")))</f>
        <v>CC</v>
      </c>
    </row>
    <row r="1864" spans="1:11" x14ac:dyDescent="0.25">
      <c r="A1864">
        <v>186116</v>
      </c>
      <c r="B1864" s="3">
        <v>46155</v>
      </c>
      <c r="C1864">
        <v>2</v>
      </c>
      <c r="D1864">
        <v>43.22</v>
      </c>
      <c r="F1864">
        <v>72848</v>
      </c>
      <c r="G1864" t="s">
        <v>28</v>
      </c>
      <c r="H1864">
        <v>674992590</v>
      </c>
      <c r="I1864" t="s">
        <v>29</v>
      </c>
      <c r="J1864" t="s">
        <v>29</v>
      </c>
      <c r="K1864" t="str">
        <f>IF(Table3[[#This Row],[Type Received]]=2,"CC",(IF(Table3[[#This Row],[Type Received]]=3,"BILL","ACH")))</f>
        <v>CC</v>
      </c>
    </row>
    <row r="1865" spans="1:11" x14ac:dyDescent="0.25">
      <c r="A1865">
        <v>186687</v>
      </c>
      <c r="B1865" s="3">
        <v>46160</v>
      </c>
      <c r="C1865">
        <v>3</v>
      </c>
      <c r="D1865">
        <v>26.94</v>
      </c>
      <c r="E1865">
        <v>78067447161</v>
      </c>
      <c r="J1865" t="s">
        <v>29</v>
      </c>
      <c r="K1865" t="str">
        <f>IF(Table3[[#This Row],[Type Received]]=2,"CC",(IF(Table3[[#This Row],[Type Received]]=3,"BILL","ACH")))</f>
        <v>BILL</v>
      </c>
    </row>
    <row r="1866" spans="1:11" x14ac:dyDescent="0.25">
      <c r="A1866">
        <v>186734</v>
      </c>
      <c r="B1866" s="3">
        <v>46143</v>
      </c>
      <c r="C1866">
        <v>1</v>
      </c>
      <c r="D1866">
        <v>19.79</v>
      </c>
      <c r="G1866" t="s">
        <v>84</v>
      </c>
      <c r="H1866">
        <v>522318767</v>
      </c>
      <c r="I1866" t="s">
        <v>29</v>
      </c>
      <c r="J1866" t="s">
        <v>29</v>
      </c>
      <c r="K1866" t="str">
        <f>IF(Table3[[#This Row],[Type Received]]=2,"CC",(IF(Table3[[#This Row],[Type Received]]=3,"BILL","ACH")))</f>
        <v>ACH</v>
      </c>
    </row>
    <row r="1867" spans="1:11" x14ac:dyDescent="0.25">
      <c r="A1867">
        <v>186457</v>
      </c>
      <c r="B1867" s="3">
        <v>46167</v>
      </c>
      <c r="C1867">
        <v>1</v>
      </c>
      <c r="D1867">
        <v>14.95</v>
      </c>
      <c r="G1867" t="s">
        <v>85</v>
      </c>
      <c r="H1867">
        <v>818367401</v>
      </c>
      <c r="I1867" t="s">
        <v>29</v>
      </c>
      <c r="J1867" t="s">
        <v>29</v>
      </c>
      <c r="K1867" t="str">
        <f>IF(Table3[[#This Row],[Type Received]]=2,"CC",(IF(Table3[[#This Row],[Type Received]]=3,"BILL","ACH")))</f>
        <v>ACH</v>
      </c>
    </row>
    <row r="1868" spans="1:11" x14ac:dyDescent="0.25">
      <c r="A1868">
        <v>186901</v>
      </c>
      <c r="B1868" s="3">
        <v>46146</v>
      </c>
      <c r="C1868">
        <v>3</v>
      </c>
      <c r="D1868">
        <v>45.19</v>
      </c>
      <c r="E1868">
        <v>6824</v>
      </c>
      <c r="J1868" t="s">
        <v>29</v>
      </c>
      <c r="K1868" t="str">
        <f>IF(Table3[[#This Row],[Type Received]]=2,"CC",(IF(Table3[[#This Row],[Type Received]]=3,"BILL","ACH")))</f>
        <v>BILL</v>
      </c>
    </row>
    <row r="1869" spans="1:11" x14ac:dyDescent="0.25">
      <c r="A1869">
        <v>187060</v>
      </c>
      <c r="B1869" s="3">
        <v>46143</v>
      </c>
      <c r="C1869">
        <v>1</v>
      </c>
      <c r="D1869">
        <v>48.49</v>
      </c>
      <c r="G1869" t="s">
        <v>84</v>
      </c>
      <c r="H1869">
        <v>522197440</v>
      </c>
      <c r="I1869" t="s">
        <v>29</v>
      </c>
      <c r="J1869" t="s">
        <v>29</v>
      </c>
      <c r="K1869" t="str">
        <f>IF(Table3[[#This Row],[Type Received]]=2,"CC",(IF(Table3[[#This Row],[Type Received]]=3,"BILL","ACH")))</f>
        <v>ACH</v>
      </c>
    </row>
    <row r="1870" spans="1:11" x14ac:dyDescent="0.25">
      <c r="A1870">
        <v>187077</v>
      </c>
      <c r="B1870" s="3">
        <v>46157</v>
      </c>
      <c r="C1870">
        <v>1</v>
      </c>
      <c r="D1870">
        <v>43.56</v>
      </c>
      <c r="G1870" t="s">
        <v>87</v>
      </c>
      <c r="H1870">
        <v>696748102</v>
      </c>
      <c r="I1870" t="s">
        <v>29</v>
      </c>
      <c r="J1870" t="s">
        <v>29</v>
      </c>
      <c r="K1870" t="str">
        <f>IF(Table3[[#This Row],[Type Received]]=2,"CC",(IF(Table3[[#This Row],[Type Received]]=3,"BILL","ACH")))</f>
        <v>ACH</v>
      </c>
    </row>
    <row r="1871" spans="1:11" x14ac:dyDescent="0.25">
      <c r="A1871">
        <v>187093</v>
      </c>
      <c r="B1871" s="3">
        <v>46167</v>
      </c>
      <c r="C1871">
        <v>1</v>
      </c>
      <c r="D1871">
        <v>36.950000000000003</v>
      </c>
      <c r="G1871" t="s">
        <v>85</v>
      </c>
      <c r="H1871">
        <v>818362693</v>
      </c>
      <c r="I1871" t="s">
        <v>29</v>
      </c>
      <c r="J1871" t="s">
        <v>29</v>
      </c>
      <c r="K1871" t="str">
        <f>IF(Table3[[#This Row],[Type Received]]=2,"CC",(IF(Table3[[#This Row],[Type Received]]=3,"BILL","ACH")))</f>
        <v>ACH</v>
      </c>
    </row>
    <row r="1872" spans="1:11" x14ac:dyDescent="0.25">
      <c r="A1872">
        <v>187120</v>
      </c>
      <c r="B1872" s="3">
        <v>46147</v>
      </c>
      <c r="C1872">
        <v>1</v>
      </c>
      <c r="D1872">
        <v>17.05</v>
      </c>
      <c r="G1872" t="s">
        <v>86</v>
      </c>
      <c r="H1872">
        <v>569969654</v>
      </c>
      <c r="I1872" t="s">
        <v>29</v>
      </c>
      <c r="J1872" t="s">
        <v>29</v>
      </c>
      <c r="K1872" t="str">
        <f>IF(Table3[[#This Row],[Type Received]]=2,"CC",(IF(Table3[[#This Row],[Type Received]]=3,"BILL","ACH")))</f>
        <v>ACH</v>
      </c>
    </row>
    <row r="1873" spans="1:11" x14ac:dyDescent="0.25">
      <c r="A1873">
        <v>187176</v>
      </c>
      <c r="B1873" s="3">
        <v>46157</v>
      </c>
      <c r="C1873">
        <v>1</v>
      </c>
      <c r="D1873">
        <v>28.37</v>
      </c>
      <c r="G1873" s="4" t="s">
        <v>87</v>
      </c>
      <c r="H1873">
        <v>696742263</v>
      </c>
      <c r="I1873" t="s">
        <v>29</v>
      </c>
      <c r="K1873" t="str">
        <f>IF(Table3[[#This Row],[Type Received]]=2,"CC",(IF(Table3[[#This Row],[Type Received]]=3,"BILL","ACH")))</f>
        <v>ACH</v>
      </c>
    </row>
    <row r="1874" spans="1:11" x14ac:dyDescent="0.25">
      <c r="A1874">
        <v>187206</v>
      </c>
      <c r="B1874" s="3">
        <v>46144</v>
      </c>
      <c r="C1874">
        <v>1</v>
      </c>
      <c r="D1874">
        <v>35.96</v>
      </c>
      <c r="G1874" t="s">
        <v>89</v>
      </c>
      <c r="H1874">
        <v>535374106</v>
      </c>
      <c r="I1874" t="s">
        <v>29</v>
      </c>
      <c r="K1874" t="str">
        <f>IF(Table3[[#This Row],[Type Received]]=2,"CC",(IF(Table3[[#This Row],[Type Received]]=3,"BILL","ACH")))</f>
        <v>ACH</v>
      </c>
    </row>
    <row r="1875" spans="1:11" x14ac:dyDescent="0.25">
      <c r="A1875">
        <v>187225</v>
      </c>
      <c r="B1875" s="3">
        <v>46157</v>
      </c>
      <c r="C1875">
        <v>1</v>
      </c>
      <c r="D1875">
        <v>21.44</v>
      </c>
      <c r="G1875" t="s">
        <v>87</v>
      </c>
      <c r="H1875">
        <v>696726837</v>
      </c>
      <c r="I1875" t="s">
        <v>29</v>
      </c>
      <c r="K1875" t="str">
        <f>IF(Table3[[#This Row],[Type Received]]=2,"CC",(IF(Table3[[#This Row],[Type Received]]=3,"BILL","ACH")))</f>
        <v>ACH</v>
      </c>
    </row>
    <row r="1876" spans="1:11" x14ac:dyDescent="0.25">
      <c r="A1876">
        <v>187228</v>
      </c>
      <c r="B1876" s="3">
        <v>46145</v>
      </c>
      <c r="C1876">
        <v>1</v>
      </c>
      <c r="D1876">
        <v>18.47</v>
      </c>
      <c r="G1876" t="s">
        <v>113</v>
      </c>
      <c r="H1876">
        <v>546403722</v>
      </c>
      <c r="I1876" t="s">
        <v>29</v>
      </c>
      <c r="J1876" t="s">
        <v>29</v>
      </c>
      <c r="K1876" t="str">
        <f>IF(Table3[[#This Row],[Type Received]]=2,"CC",(IF(Table3[[#This Row],[Type Received]]=3,"BILL","ACH")))</f>
        <v>ACH</v>
      </c>
    </row>
    <row r="1877" spans="1:11" x14ac:dyDescent="0.25">
      <c r="A1877">
        <v>187321</v>
      </c>
      <c r="B1877" s="3">
        <v>46143</v>
      </c>
      <c r="C1877">
        <v>1</v>
      </c>
      <c r="D1877">
        <v>68.63</v>
      </c>
      <c r="G1877" t="s">
        <v>84</v>
      </c>
      <c r="H1877">
        <v>522322634</v>
      </c>
      <c r="I1877" t="s">
        <v>29</v>
      </c>
      <c r="K1877" t="str">
        <f>IF(Table3[[#This Row],[Type Received]]=2,"CC",(IF(Table3[[#This Row],[Type Received]]=3,"BILL","ACH")))</f>
        <v>ACH</v>
      </c>
    </row>
    <row r="1878" spans="1:11" x14ac:dyDescent="0.25">
      <c r="A1878">
        <v>187423</v>
      </c>
      <c r="B1878" s="3">
        <v>46146</v>
      </c>
      <c r="C1878">
        <v>3</v>
      </c>
      <c r="D1878">
        <v>148.55000000000001</v>
      </c>
      <c r="E1878">
        <v>208</v>
      </c>
      <c r="J1878" t="s">
        <v>29</v>
      </c>
      <c r="K1878" t="str">
        <f>IF(Table3[[#This Row],[Type Received]]=2,"CC",(IF(Table3[[#This Row],[Type Received]]=3,"BILL","ACH")))</f>
        <v>BILL</v>
      </c>
    </row>
    <row r="1879" spans="1:11" x14ac:dyDescent="0.25">
      <c r="A1879">
        <v>187576</v>
      </c>
      <c r="B1879" s="3">
        <v>46156</v>
      </c>
      <c r="C1879">
        <v>1</v>
      </c>
      <c r="D1879">
        <v>23.75</v>
      </c>
      <c r="G1879" s="4" t="s">
        <v>93</v>
      </c>
      <c r="H1879">
        <v>682537118</v>
      </c>
      <c r="I1879" t="s">
        <v>29</v>
      </c>
      <c r="K1879" t="str">
        <f>IF(Table3[[#This Row],[Type Received]]=2,"CC",(IF(Table3[[#This Row],[Type Received]]=3,"BILL","ACH")))</f>
        <v>ACH</v>
      </c>
    </row>
    <row r="1880" spans="1:11" x14ac:dyDescent="0.25">
      <c r="A1880">
        <v>187578</v>
      </c>
      <c r="B1880" s="3">
        <v>46157</v>
      </c>
      <c r="C1880">
        <v>1</v>
      </c>
      <c r="D1880">
        <v>36.950000000000003</v>
      </c>
      <c r="G1880" t="s">
        <v>87</v>
      </c>
      <c r="H1880">
        <v>696733540</v>
      </c>
      <c r="I1880" t="s">
        <v>29</v>
      </c>
      <c r="J1880" t="s">
        <v>29</v>
      </c>
      <c r="K1880" t="str">
        <f>IF(Table3[[#This Row],[Type Received]]=2,"CC",(IF(Table3[[#This Row],[Type Received]]=3,"BILL","ACH")))</f>
        <v>ACH</v>
      </c>
    </row>
    <row r="1881" spans="1:11" x14ac:dyDescent="0.25">
      <c r="A1881">
        <v>187616</v>
      </c>
      <c r="B1881" s="3">
        <v>46143</v>
      </c>
      <c r="C1881">
        <v>1</v>
      </c>
      <c r="D1881">
        <v>15.61</v>
      </c>
      <c r="G1881" t="s">
        <v>84</v>
      </c>
      <c r="H1881">
        <v>522312917</v>
      </c>
      <c r="I1881" t="s">
        <v>29</v>
      </c>
      <c r="J1881" t="s">
        <v>29</v>
      </c>
      <c r="K1881" t="str">
        <f>IF(Table3[[#This Row],[Type Received]]=2,"CC",(IF(Table3[[#This Row],[Type Received]]=3,"BILL","ACH")))</f>
        <v>ACH</v>
      </c>
    </row>
    <row r="1882" spans="1:11" x14ac:dyDescent="0.25">
      <c r="A1882">
        <v>187634</v>
      </c>
      <c r="B1882" s="3">
        <v>46155</v>
      </c>
      <c r="C1882">
        <v>2</v>
      </c>
      <c r="D1882">
        <v>19.309999999999999</v>
      </c>
      <c r="F1882" t="s">
        <v>236</v>
      </c>
      <c r="G1882" t="s">
        <v>28</v>
      </c>
      <c r="H1882">
        <v>669504153</v>
      </c>
      <c r="I1882" t="s">
        <v>29</v>
      </c>
      <c r="J1882" t="s">
        <v>29</v>
      </c>
      <c r="K1882" t="str">
        <f>IF(Table3[[#This Row],[Type Received]]=2,"CC",(IF(Table3[[#This Row],[Type Received]]=3,"BILL","ACH")))</f>
        <v>CC</v>
      </c>
    </row>
    <row r="1883" spans="1:11" x14ac:dyDescent="0.25">
      <c r="A1883">
        <v>187783</v>
      </c>
      <c r="B1883" s="3">
        <v>46143</v>
      </c>
      <c r="C1883">
        <v>1</v>
      </c>
      <c r="D1883">
        <v>25.29</v>
      </c>
      <c r="G1883" t="s">
        <v>84</v>
      </c>
      <c r="H1883">
        <v>522331341</v>
      </c>
      <c r="I1883" t="s">
        <v>29</v>
      </c>
      <c r="J1883" t="s">
        <v>29</v>
      </c>
      <c r="K1883" t="str">
        <f>IF(Table3[[#This Row],[Type Received]]=2,"CC",(IF(Table3[[#This Row],[Type Received]]=3,"BILL","ACH")))</f>
        <v>ACH</v>
      </c>
    </row>
    <row r="1884" spans="1:11" x14ac:dyDescent="0.25">
      <c r="A1884">
        <v>187842</v>
      </c>
      <c r="B1884" s="3">
        <v>46155</v>
      </c>
      <c r="C1884">
        <v>2</v>
      </c>
      <c r="D1884">
        <v>21.33</v>
      </c>
      <c r="F1884">
        <v>115142</v>
      </c>
      <c r="G1884" s="4" t="s">
        <v>28</v>
      </c>
      <c r="H1884">
        <v>669496402</v>
      </c>
      <c r="I1884" t="s">
        <v>29</v>
      </c>
      <c r="J1884" t="s">
        <v>29</v>
      </c>
      <c r="K1884" t="str">
        <f>IF(Table3[[#This Row],[Type Received]]=2,"CC",(IF(Table3[[#This Row],[Type Received]]=3,"BILL","ACH")))</f>
        <v>CC</v>
      </c>
    </row>
    <row r="1885" spans="1:11" x14ac:dyDescent="0.25">
      <c r="A1885">
        <v>187862</v>
      </c>
      <c r="B1885" s="3">
        <v>46157</v>
      </c>
      <c r="C1885">
        <v>1</v>
      </c>
      <c r="D1885">
        <v>9.89</v>
      </c>
      <c r="G1885" t="s">
        <v>87</v>
      </c>
      <c r="H1885">
        <v>696725830</v>
      </c>
      <c r="I1885" t="s">
        <v>29</v>
      </c>
      <c r="J1885" t="s">
        <v>29</v>
      </c>
      <c r="K1885" t="str">
        <f>IF(Table3[[#This Row],[Type Received]]=2,"CC",(IF(Table3[[#This Row],[Type Received]]=3,"BILL","ACH")))</f>
        <v>ACH</v>
      </c>
    </row>
    <row r="1886" spans="1:11" x14ac:dyDescent="0.25">
      <c r="A1886">
        <v>187874</v>
      </c>
      <c r="B1886" s="3">
        <v>46163</v>
      </c>
      <c r="C1886">
        <v>3</v>
      </c>
      <c r="D1886">
        <v>123.75</v>
      </c>
      <c r="E1886">
        <v>998369</v>
      </c>
      <c r="J1886" t="s">
        <v>29</v>
      </c>
      <c r="K1886" t="str">
        <f>IF(Table3[[#This Row],[Type Received]]=2,"CC",(IF(Table3[[#This Row],[Type Received]]=3,"BILL","ACH")))</f>
        <v>BILL</v>
      </c>
    </row>
    <row r="1887" spans="1:11" x14ac:dyDescent="0.25">
      <c r="A1887">
        <v>187874</v>
      </c>
      <c r="B1887" s="3">
        <v>46161</v>
      </c>
      <c r="C1887">
        <v>3</v>
      </c>
      <c r="D1887">
        <v>123.75</v>
      </c>
      <c r="E1887">
        <v>998363</v>
      </c>
      <c r="K1887" t="str">
        <f>IF(Table3[[#This Row],[Type Received]]=2,"CC",(IF(Table3[[#This Row],[Type Received]]=3,"BILL","ACH")))</f>
        <v>BILL</v>
      </c>
    </row>
    <row r="1888" spans="1:11" x14ac:dyDescent="0.25">
      <c r="A1888">
        <v>188240</v>
      </c>
      <c r="B1888" s="3">
        <v>46149</v>
      </c>
      <c r="C1888">
        <v>3</v>
      </c>
      <c r="D1888">
        <v>34</v>
      </c>
      <c r="E1888">
        <v>19818835581</v>
      </c>
      <c r="K1888" t="str">
        <f>IF(Table3[[#This Row],[Type Received]]=2,"CC",(IF(Table3[[#This Row],[Type Received]]=3,"BILL","ACH")))</f>
        <v>BILL</v>
      </c>
    </row>
    <row r="1889" spans="1:11" x14ac:dyDescent="0.25">
      <c r="A1889">
        <v>188373</v>
      </c>
      <c r="B1889" s="3">
        <v>46163</v>
      </c>
      <c r="C1889">
        <v>2</v>
      </c>
      <c r="D1889">
        <v>59.38</v>
      </c>
      <c r="F1889">
        <v>975137</v>
      </c>
      <c r="G1889" t="s">
        <v>28</v>
      </c>
      <c r="H1889">
        <v>776036564</v>
      </c>
      <c r="I1889" t="s">
        <v>29</v>
      </c>
      <c r="J1889" t="s">
        <v>29</v>
      </c>
      <c r="K1889" t="str">
        <f>IF(Table3[[#This Row],[Type Received]]=2,"CC",(IF(Table3[[#This Row],[Type Received]]=3,"BILL","ACH")))</f>
        <v>CC</v>
      </c>
    </row>
    <row r="1890" spans="1:11" x14ac:dyDescent="0.25">
      <c r="A1890">
        <v>188433</v>
      </c>
      <c r="B1890" s="3">
        <v>46168</v>
      </c>
      <c r="C1890">
        <v>3</v>
      </c>
      <c r="D1890">
        <v>47.83</v>
      </c>
      <c r="E1890">
        <v>20610084</v>
      </c>
      <c r="J1890" t="s">
        <v>29</v>
      </c>
      <c r="K1890" t="str">
        <f>IF(Table3[[#This Row],[Type Received]]=2,"CC",(IF(Table3[[#This Row],[Type Received]]=3,"BILL","ACH")))</f>
        <v>BILL</v>
      </c>
    </row>
    <row r="1891" spans="1:11" x14ac:dyDescent="0.25">
      <c r="A1891">
        <v>188489</v>
      </c>
      <c r="B1891" s="3">
        <v>46145</v>
      </c>
      <c r="C1891">
        <v>1</v>
      </c>
      <c r="D1891">
        <v>34.19</v>
      </c>
      <c r="G1891" t="s">
        <v>113</v>
      </c>
      <c r="H1891">
        <v>546431187</v>
      </c>
      <c r="I1891" t="s">
        <v>29</v>
      </c>
      <c r="J1891" t="s">
        <v>29</v>
      </c>
      <c r="K1891" t="str">
        <f>IF(Table3[[#This Row],[Type Received]]=2,"CC",(IF(Table3[[#This Row],[Type Received]]=3,"BILL","ACH")))</f>
        <v>ACH</v>
      </c>
    </row>
    <row r="1892" spans="1:11" x14ac:dyDescent="0.25">
      <c r="A1892">
        <v>188560</v>
      </c>
      <c r="B1892" s="3">
        <v>46146</v>
      </c>
      <c r="C1892">
        <v>3</v>
      </c>
      <c r="D1892">
        <v>92.51</v>
      </c>
      <c r="E1892">
        <v>3923</v>
      </c>
      <c r="J1892" t="s">
        <v>29</v>
      </c>
      <c r="K1892" t="str">
        <f>IF(Table3[[#This Row],[Type Received]]=2,"CC",(IF(Table3[[#This Row],[Type Received]]=3,"BILL","ACH")))</f>
        <v>BILL</v>
      </c>
    </row>
    <row r="1893" spans="1:11" x14ac:dyDescent="0.25">
      <c r="A1893">
        <v>188599</v>
      </c>
      <c r="B1893" s="3">
        <v>46143</v>
      </c>
      <c r="C1893">
        <v>2</v>
      </c>
      <c r="D1893">
        <v>146.83000000000001</v>
      </c>
      <c r="F1893">
        <v>240010</v>
      </c>
      <c r="G1893">
        <v>741374152</v>
      </c>
      <c r="H1893">
        <v>353208184</v>
      </c>
      <c r="J1893" t="s">
        <v>29</v>
      </c>
      <c r="K1893" t="str">
        <f>IF(Table3[[#This Row],[Type Received]]=2,"CC",(IF(Table3[[#This Row],[Type Received]]=3,"BILL","ACH")))</f>
        <v>CC</v>
      </c>
    </row>
    <row r="1894" spans="1:11" x14ac:dyDescent="0.25">
      <c r="A1894">
        <v>188672</v>
      </c>
      <c r="B1894" s="3">
        <v>46157</v>
      </c>
      <c r="C1894">
        <v>1</v>
      </c>
      <c r="D1894">
        <v>53.45</v>
      </c>
      <c r="G1894" t="s">
        <v>87</v>
      </c>
      <c r="H1894">
        <v>696726863</v>
      </c>
      <c r="I1894" t="s">
        <v>29</v>
      </c>
      <c r="J1894" t="s">
        <v>29</v>
      </c>
      <c r="K1894" t="str">
        <f>IF(Table3[[#This Row],[Type Received]]=2,"CC",(IF(Table3[[#This Row],[Type Received]]=3,"BILL","ACH")))</f>
        <v>ACH</v>
      </c>
    </row>
    <row r="1895" spans="1:11" x14ac:dyDescent="0.25">
      <c r="A1895">
        <v>188725</v>
      </c>
      <c r="B1895" s="3">
        <v>46157</v>
      </c>
      <c r="C1895">
        <v>1</v>
      </c>
      <c r="D1895">
        <v>38.979999999999997</v>
      </c>
      <c r="G1895" t="s">
        <v>87</v>
      </c>
      <c r="H1895">
        <v>696648194</v>
      </c>
      <c r="I1895" t="s">
        <v>29</v>
      </c>
      <c r="K1895" t="str">
        <f>IF(Table3[[#This Row],[Type Received]]=2,"CC",(IF(Table3[[#This Row],[Type Received]]=3,"BILL","ACH")))</f>
        <v>ACH</v>
      </c>
    </row>
    <row r="1896" spans="1:11" x14ac:dyDescent="0.25">
      <c r="A1896">
        <v>188977</v>
      </c>
      <c r="B1896" s="3">
        <v>46169</v>
      </c>
      <c r="C1896">
        <v>3</v>
      </c>
      <c r="D1896">
        <v>36</v>
      </c>
      <c r="E1896">
        <v>3883</v>
      </c>
      <c r="K1896" t="str">
        <f>IF(Table3[[#This Row],[Type Received]]=2,"CC",(IF(Table3[[#This Row],[Type Received]]=3,"BILL","ACH")))</f>
        <v>BILL</v>
      </c>
    </row>
    <row r="1897" spans="1:11" x14ac:dyDescent="0.25">
      <c r="A1897">
        <v>189065</v>
      </c>
      <c r="B1897" s="3">
        <v>46147</v>
      </c>
      <c r="C1897">
        <v>2</v>
      </c>
      <c r="D1897">
        <v>45.86</v>
      </c>
      <c r="F1897">
        <v>113</v>
      </c>
      <c r="G1897" t="s">
        <v>28</v>
      </c>
      <c r="H1897">
        <v>569492196</v>
      </c>
      <c r="I1897" t="s">
        <v>29</v>
      </c>
      <c r="K1897" t="str">
        <f>IF(Table3[[#This Row],[Type Received]]=2,"CC",(IF(Table3[[#This Row],[Type Received]]=3,"BILL","ACH")))</f>
        <v>CC</v>
      </c>
    </row>
    <row r="1898" spans="1:11" x14ac:dyDescent="0.25">
      <c r="A1898">
        <v>189167</v>
      </c>
      <c r="B1898" s="3">
        <v>46146</v>
      </c>
      <c r="C1898">
        <v>3</v>
      </c>
      <c r="D1898">
        <v>39.26</v>
      </c>
      <c r="E1898">
        <v>19820479431</v>
      </c>
      <c r="J1898" t="s">
        <v>29</v>
      </c>
      <c r="K1898" t="str">
        <f>IF(Table3[[#This Row],[Type Received]]=2,"CC",(IF(Table3[[#This Row],[Type Received]]=3,"BILL","ACH")))</f>
        <v>BILL</v>
      </c>
    </row>
    <row r="1899" spans="1:11" x14ac:dyDescent="0.25">
      <c r="A1899">
        <v>189186</v>
      </c>
      <c r="B1899" s="3">
        <v>46169</v>
      </c>
      <c r="C1899">
        <v>3</v>
      </c>
      <c r="D1899">
        <v>47.17</v>
      </c>
      <c r="E1899">
        <v>148</v>
      </c>
      <c r="J1899" t="s">
        <v>29</v>
      </c>
      <c r="K1899" t="str">
        <f>IF(Table3[[#This Row],[Type Received]]=2,"CC",(IF(Table3[[#This Row],[Type Received]]=3,"BILL","ACH")))</f>
        <v>BILL</v>
      </c>
    </row>
    <row r="1900" spans="1:11" x14ac:dyDescent="0.25">
      <c r="A1900">
        <v>189188</v>
      </c>
      <c r="B1900" s="3">
        <v>46143</v>
      </c>
      <c r="C1900">
        <v>3</v>
      </c>
      <c r="D1900">
        <v>33.33</v>
      </c>
      <c r="E1900">
        <v>1836</v>
      </c>
      <c r="G1900" s="4"/>
      <c r="K1900" t="str">
        <f>IF(Table3[[#This Row],[Type Received]]=2,"CC",(IF(Table3[[#This Row],[Type Received]]=3,"BILL","ACH")))</f>
        <v>BILL</v>
      </c>
    </row>
    <row r="1901" spans="1:11" x14ac:dyDescent="0.25">
      <c r="A1901">
        <v>189225</v>
      </c>
      <c r="B1901" s="3">
        <v>46157</v>
      </c>
      <c r="C1901">
        <v>1</v>
      </c>
      <c r="D1901">
        <v>26.9</v>
      </c>
      <c r="G1901" s="4" t="s">
        <v>87</v>
      </c>
      <c r="H1901">
        <v>696726878</v>
      </c>
      <c r="I1901" t="s">
        <v>29</v>
      </c>
      <c r="J1901" t="s">
        <v>29</v>
      </c>
      <c r="K1901" t="str">
        <f>IF(Table3[[#This Row],[Type Received]]=2,"CC",(IF(Table3[[#This Row],[Type Received]]=3,"BILL","ACH")))</f>
        <v>ACH</v>
      </c>
    </row>
    <row r="1902" spans="1:11" x14ac:dyDescent="0.25">
      <c r="A1902">
        <v>189237</v>
      </c>
      <c r="B1902" s="3">
        <v>46157</v>
      </c>
      <c r="C1902">
        <v>1</v>
      </c>
      <c r="D1902">
        <v>167.96</v>
      </c>
      <c r="G1902" t="s">
        <v>87</v>
      </c>
      <c r="H1902">
        <v>696646351</v>
      </c>
      <c r="I1902" t="s">
        <v>29</v>
      </c>
      <c r="J1902" t="s">
        <v>29</v>
      </c>
      <c r="K1902" t="str">
        <f>IF(Table3[[#This Row],[Type Received]]=2,"CC",(IF(Table3[[#This Row],[Type Received]]=3,"BILL","ACH")))</f>
        <v>ACH</v>
      </c>
    </row>
    <row r="1903" spans="1:11" x14ac:dyDescent="0.25">
      <c r="A1903">
        <v>189296</v>
      </c>
      <c r="B1903" s="3">
        <v>46147</v>
      </c>
      <c r="C1903">
        <v>3</v>
      </c>
      <c r="D1903">
        <v>19.03</v>
      </c>
      <c r="E1903">
        <v>995046</v>
      </c>
      <c r="J1903" t="s">
        <v>29</v>
      </c>
      <c r="K1903" t="str">
        <f>IF(Table3[[#This Row],[Type Received]]=2,"CC",(IF(Table3[[#This Row],[Type Received]]=3,"BILL","ACH")))</f>
        <v>BILL</v>
      </c>
    </row>
    <row r="1904" spans="1:11" x14ac:dyDescent="0.25">
      <c r="A1904">
        <v>189300</v>
      </c>
      <c r="B1904" s="3">
        <v>46147</v>
      </c>
      <c r="C1904">
        <v>1</v>
      </c>
      <c r="D1904">
        <v>17.809999999999999</v>
      </c>
      <c r="G1904" t="s">
        <v>86</v>
      </c>
      <c r="H1904">
        <v>569476484</v>
      </c>
      <c r="I1904" t="s">
        <v>29</v>
      </c>
      <c r="K1904" t="str">
        <f>IF(Table3[[#This Row],[Type Received]]=2,"CC",(IF(Table3[[#This Row],[Type Received]]=3,"BILL","ACH")))</f>
        <v>ACH</v>
      </c>
    </row>
    <row r="1905" spans="1:11" x14ac:dyDescent="0.25">
      <c r="A1905">
        <v>189370</v>
      </c>
      <c r="B1905" s="3">
        <v>46147</v>
      </c>
      <c r="C1905">
        <v>3</v>
      </c>
      <c r="D1905">
        <v>24.09</v>
      </c>
      <c r="E1905">
        <v>75302898</v>
      </c>
      <c r="J1905" t="s">
        <v>29</v>
      </c>
      <c r="K1905" t="str">
        <f>IF(Table3[[#This Row],[Type Received]]=2,"CC",(IF(Table3[[#This Row],[Type Received]]=3,"BILL","ACH")))</f>
        <v>BILL</v>
      </c>
    </row>
    <row r="1906" spans="1:11" x14ac:dyDescent="0.25">
      <c r="A1906">
        <v>189619</v>
      </c>
      <c r="B1906" s="3">
        <v>46167</v>
      </c>
      <c r="C1906">
        <v>1</v>
      </c>
      <c r="D1906">
        <v>46.85</v>
      </c>
      <c r="G1906" s="4" t="s">
        <v>85</v>
      </c>
      <c r="H1906">
        <v>818370371</v>
      </c>
      <c r="I1906" t="s">
        <v>29</v>
      </c>
      <c r="J1906" t="s">
        <v>29</v>
      </c>
      <c r="K1906" t="str">
        <f>IF(Table3[[#This Row],[Type Received]]=2,"CC",(IF(Table3[[#This Row],[Type Received]]=3,"BILL","ACH")))</f>
        <v>ACH</v>
      </c>
    </row>
    <row r="1907" spans="1:11" x14ac:dyDescent="0.25">
      <c r="A1907">
        <v>189688</v>
      </c>
      <c r="B1907" s="3">
        <v>46155</v>
      </c>
      <c r="C1907">
        <v>2</v>
      </c>
      <c r="D1907">
        <v>41.9</v>
      </c>
      <c r="F1907">
        <v>147803</v>
      </c>
      <c r="G1907" t="s">
        <v>28</v>
      </c>
      <c r="H1907">
        <v>669480821</v>
      </c>
      <c r="I1907" t="s">
        <v>29</v>
      </c>
      <c r="J1907" t="s">
        <v>29</v>
      </c>
      <c r="K1907" t="str">
        <f>IF(Table3[[#This Row],[Type Received]]=2,"CC",(IF(Table3[[#This Row],[Type Received]]=3,"BILL","ACH")))</f>
        <v>CC</v>
      </c>
    </row>
    <row r="1908" spans="1:11" x14ac:dyDescent="0.25">
      <c r="A1908">
        <v>189690</v>
      </c>
      <c r="B1908" s="3">
        <v>46155</v>
      </c>
      <c r="C1908">
        <v>2</v>
      </c>
      <c r="D1908">
        <v>32.67</v>
      </c>
      <c r="F1908">
        <v>100127</v>
      </c>
      <c r="G1908" t="s">
        <v>28</v>
      </c>
      <c r="H1908">
        <v>670734517</v>
      </c>
      <c r="I1908" t="s">
        <v>29</v>
      </c>
      <c r="K1908" t="str">
        <f>IF(Table3[[#This Row],[Type Received]]=2,"CC",(IF(Table3[[#This Row],[Type Received]]=3,"BILL","ACH")))</f>
        <v>CC</v>
      </c>
    </row>
    <row r="1909" spans="1:11" x14ac:dyDescent="0.25">
      <c r="A1909">
        <v>189717</v>
      </c>
      <c r="B1909" s="3">
        <v>46157</v>
      </c>
      <c r="C1909">
        <v>1</v>
      </c>
      <c r="D1909">
        <v>12.53</v>
      </c>
      <c r="G1909" t="s">
        <v>87</v>
      </c>
      <c r="H1909">
        <v>696738509</v>
      </c>
      <c r="I1909" t="s">
        <v>29</v>
      </c>
      <c r="J1909" t="s">
        <v>29</v>
      </c>
      <c r="K1909" t="str">
        <f>IF(Table3[[#This Row],[Type Received]]=2,"CC",(IF(Table3[[#This Row],[Type Received]]=3,"BILL","ACH")))</f>
        <v>ACH</v>
      </c>
    </row>
    <row r="1910" spans="1:11" x14ac:dyDescent="0.25">
      <c r="A1910">
        <v>189408</v>
      </c>
      <c r="B1910" s="3">
        <v>46162</v>
      </c>
      <c r="C1910">
        <v>1</v>
      </c>
      <c r="D1910">
        <v>101.96</v>
      </c>
      <c r="G1910" t="s">
        <v>107</v>
      </c>
      <c r="H1910">
        <v>757837346</v>
      </c>
      <c r="I1910" t="s">
        <v>29</v>
      </c>
      <c r="J1910" t="s">
        <v>29</v>
      </c>
      <c r="K1910" t="str">
        <f>IF(Table3[[#This Row],[Type Received]]=2,"CC",(IF(Table3[[#This Row],[Type Received]]=3,"BILL","ACH")))</f>
        <v>ACH</v>
      </c>
    </row>
    <row r="1911" spans="1:11" x14ac:dyDescent="0.25">
      <c r="A1911">
        <v>189461</v>
      </c>
      <c r="B1911" s="3">
        <v>46150</v>
      </c>
      <c r="C1911">
        <v>3</v>
      </c>
      <c r="D1911">
        <v>61</v>
      </c>
      <c r="E1911">
        <v>944457</v>
      </c>
      <c r="K1911" t="str">
        <f>IF(Table3[[#This Row],[Type Received]]=2,"CC",(IF(Table3[[#This Row],[Type Received]]=3,"BILL","ACH")))</f>
        <v>BILL</v>
      </c>
    </row>
    <row r="1912" spans="1:11" x14ac:dyDescent="0.25">
      <c r="A1912">
        <v>189899</v>
      </c>
      <c r="B1912" s="3">
        <v>46143</v>
      </c>
      <c r="C1912">
        <v>3</v>
      </c>
      <c r="D1912">
        <v>26.73</v>
      </c>
      <c r="E1912">
        <v>7622</v>
      </c>
      <c r="K1912" t="str">
        <f>IF(Table3[[#This Row],[Type Received]]=2,"CC",(IF(Table3[[#This Row],[Type Received]]=3,"BILL","ACH")))</f>
        <v>BILL</v>
      </c>
    </row>
    <row r="1913" spans="1:11" x14ac:dyDescent="0.25">
      <c r="A1913">
        <v>189974</v>
      </c>
      <c r="B1913" s="3">
        <v>46143</v>
      </c>
      <c r="C1913">
        <v>3</v>
      </c>
      <c r="D1913">
        <v>46.3</v>
      </c>
      <c r="E1913">
        <v>7524</v>
      </c>
      <c r="J1913" t="s">
        <v>29</v>
      </c>
      <c r="K1913" t="str">
        <f>IF(Table3[[#This Row],[Type Received]]=2,"CC",(IF(Table3[[#This Row],[Type Received]]=3,"BILL","ACH")))</f>
        <v>BILL</v>
      </c>
    </row>
    <row r="1914" spans="1:11" x14ac:dyDescent="0.25">
      <c r="A1914">
        <v>190052</v>
      </c>
      <c r="B1914" s="3">
        <v>46157</v>
      </c>
      <c r="C1914">
        <v>1</v>
      </c>
      <c r="D1914">
        <v>43.88</v>
      </c>
      <c r="G1914" t="s">
        <v>87</v>
      </c>
      <c r="H1914">
        <v>696733588</v>
      </c>
      <c r="I1914" t="s">
        <v>29</v>
      </c>
      <c r="J1914" t="s">
        <v>29</v>
      </c>
      <c r="K1914" t="str">
        <f>IF(Table3[[#This Row],[Type Received]]=2,"CC",(IF(Table3[[#This Row],[Type Received]]=3,"BILL","ACH")))</f>
        <v>ACH</v>
      </c>
    </row>
    <row r="1915" spans="1:11" x14ac:dyDescent="0.25">
      <c r="A1915">
        <v>190140</v>
      </c>
      <c r="B1915" s="3">
        <v>46168</v>
      </c>
      <c r="C1915">
        <v>3</v>
      </c>
      <c r="D1915">
        <v>32.229999999999997</v>
      </c>
      <c r="E1915">
        <v>222</v>
      </c>
      <c r="G1915" s="4"/>
      <c r="J1915" t="s">
        <v>29</v>
      </c>
      <c r="K1915" t="str">
        <f>IF(Table3[[#This Row],[Type Received]]=2,"CC",(IF(Table3[[#This Row],[Type Received]]=3,"BILL","ACH")))</f>
        <v>BILL</v>
      </c>
    </row>
    <row r="1916" spans="1:11" x14ac:dyDescent="0.25">
      <c r="A1916">
        <v>190161</v>
      </c>
      <c r="B1916" s="3">
        <v>46147</v>
      </c>
      <c r="C1916">
        <v>1</v>
      </c>
      <c r="D1916">
        <v>13.85</v>
      </c>
      <c r="G1916" t="s">
        <v>86</v>
      </c>
      <c r="H1916">
        <v>569480534</v>
      </c>
      <c r="I1916" t="s">
        <v>29</v>
      </c>
      <c r="J1916" t="s">
        <v>29</v>
      </c>
      <c r="K1916" t="str">
        <f>IF(Table3[[#This Row],[Type Received]]=2,"CC",(IF(Table3[[#This Row],[Type Received]]=3,"BILL","ACH")))</f>
        <v>ACH</v>
      </c>
    </row>
    <row r="1917" spans="1:11" x14ac:dyDescent="0.25">
      <c r="A1917">
        <v>190168</v>
      </c>
      <c r="B1917" s="3">
        <v>46157</v>
      </c>
      <c r="C1917">
        <v>1</v>
      </c>
      <c r="D1917">
        <v>21.99</v>
      </c>
      <c r="G1917" t="s">
        <v>87</v>
      </c>
      <c r="H1917">
        <v>696734577</v>
      </c>
      <c r="I1917" t="s">
        <v>29</v>
      </c>
      <c r="J1917" t="s">
        <v>29</v>
      </c>
      <c r="K1917" t="str">
        <f>IF(Table3[[#This Row],[Type Received]]=2,"CC",(IF(Table3[[#This Row],[Type Received]]=3,"BILL","ACH")))</f>
        <v>ACH</v>
      </c>
    </row>
    <row r="1918" spans="1:11" x14ac:dyDescent="0.25">
      <c r="A1918">
        <v>190171</v>
      </c>
      <c r="B1918" s="3">
        <v>46157</v>
      </c>
      <c r="C1918">
        <v>1</v>
      </c>
      <c r="D1918">
        <v>18.47</v>
      </c>
      <c r="G1918" t="s">
        <v>87</v>
      </c>
      <c r="H1918">
        <v>696734584</v>
      </c>
      <c r="I1918" t="s">
        <v>29</v>
      </c>
      <c r="K1918" t="str">
        <f>IF(Table3[[#This Row],[Type Received]]=2,"CC",(IF(Table3[[#This Row],[Type Received]]=3,"BILL","ACH")))</f>
        <v>ACH</v>
      </c>
    </row>
    <row r="1919" spans="1:11" x14ac:dyDescent="0.25">
      <c r="A1919">
        <v>190204</v>
      </c>
      <c r="B1919" s="3">
        <v>46143</v>
      </c>
      <c r="C1919">
        <v>1</v>
      </c>
      <c r="D1919">
        <v>80.510000000000005</v>
      </c>
      <c r="G1919" t="s">
        <v>84</v>
      </c>
      <c r="H1919">
        <v>522319801</v>
      </c>
      <c r="I1919" t="s">
        <v>29</v>
      </c>
      <c r="K1919" t="str">
        <f>IF(Table3[[#This Row],[Type Received]]=2,"CC",(IF(Table3[[#This Row],[Type Received]]=3,"BILL","ACH")))</f>
        <v>ACH</v>
      </c>
    </row>
    <row r="1920" spans="1:11" x14ac:dyDescent="0.25">
      <c r="A1920">
        <v>190212</v>
      </c>
      <c r="B1920" s="3">
        <v>46157</v>
      </c>
      <c r="C1920">
        <v>1</v>
      </c>
      <c r="D1920">
        <v>11.87</v>
      </c>
      <c r="G1920" t="s">
        <v>87</v>
      </c>
      <c r="H1920">
        <v>696737552</v>
      </c>
      <c r="I1920" t="s">
        <v>29</v>
      </c>
      <c r="J1920" t="s">
        <v>29</v>
      </c>
      <c r="K1920" t="str">
        <f>IF(Table3[[#This Row],[Type Received]]=2,"CC",(IF(Table3[[#This Row],[Type Received]]=3,"BILL","ACH")))</f>
        <v>ACH</v>
      </c>
    </row>
    <row r="1921" spans="1:11" x14ac:dyDescent="0.25">
      <c r="A1921">
        <v>190275</v>
      </c>
      <c r="B1921" s="3">
        <v>46171</v>
      </c>
      <c r="C1921">
        <v>1</v>
      </c>
      <c r="D1921">
        <v>26.94</v>
      </c>
      <c r="G1921" t="s">
        <v>226</v>
      </c>
      <c r="H1921">
        <v>872363117</v>
      </c>
      <c r="I1921" t="s">
        <v>29</v>
      </c>
      <c r="J1921" t="s">
        <v>29</v>
      </c>
      <c r="K1921" t="str">
        <f>IF(Table3[[#This Row],[Type Received]]=2,"CC",(IF(Table3[[#This Row],[Type Received]]=3,"BILL","ACH")))</f>
        <v>ACH</v>
      </c>
    </row>
    <row r="1922" spans="1:11" x14ac:dyDescent="0.25">
      <c r="A1922">
        <v>190366</v>
      </c>
      <c r="B1922" s="3">
        <v>46167</v>
      </c>
      <c r="C1922">
        <v>1</v>
      </c>
      <c r="D1922">
        <v>32</v>
      </c>
      <c r="G1922" s="4" t="s">
        <v>85</v>
      </c>
      <c r="H1922">
        <v>818355845</v>
      </c>
      <c r="I1922" t="s">
        <v>29</v>
      </c>
      <c r="J1922" t="s">
        <v>29</v>
      </c>
      <c r="K1922" t="str">
        <f>IF(Table3[[#This Row],[Type Received]]=2,"CC",(IF(Table3[[#This Row],[Type Received]]=3,"BILL","ACH")))</f>
        <v>ACH</v>
      </c>
    </row>
    <row r="1923" spans="1:11" x14ac:dyDescent="0.25">
      <c r="A1923">
        <v>190369</v>
      </c>
      <c r="B1923" s="3">
        <v>46167</v>
      </c>
      <c r="C1923">
        <v>1</v>
      </c>
      <c r="D1923">
        <v>108.23</v>
      </c>
      <c r="G1923" t="s">
        <v>85</v>
      </c>
      <c r="H1923">
        <v>818324754</v>
      </c>
      <c r="I1923" t="s">
        <v>29</v>
      </c>
      <c r="J1923" t="s">
        <v>29</v>
      </c>
      <c r="K1923" t="str">
        <f>IF(Table3[[#This Row],[Type Received]]=2,"CC",(IF(Table3[[#This Row],[Type Received]]=3,"BILL","ACH")))</f>
        <v>ACH</v>
      </c>
    </row>
    <row r="1924" spans="1:11" x14ac:dyDescent="0.25">
      <c r="A1924">
        <v>190485</v>
      </c>
      <c r="B1924" s="3">
        <v>46167</v>
      </c>
      <c r="C1924">
        <v>1</v>
      </c>
      <c r="D1924">
        <v>20.89</v>
      </c>
      <c r="G1924" t="s">
        <v>85</v>
      </c>
      <c r="H1924">
        <v>818378147</v>
      </c>
      <c r="I1924" t="s">
        <v>29</v>
      </c>
      <c r="K1924" t="str">
        <f>IF(Table3[[#This Row],[Type Received]]=2,"CC",(IF(Table3[[#This Row],[Type Received]]=3,"BILL","ACH")))</f>
        <v>ACH</v>
      </c>
    </row>
    <row r="1925" spans="1:11" x14ac:dyDescent="0.25">
      <c r="A1925">
        <v>190712</v>
      </c>
      <c r="B1925" s="3">
        <v>46157</v>
      </c>
      <c r="C1925">
        <v>1</v>
      </c>
      <c r="D1925">
        <v>34.869999999999997</v>
      </c>
      <c r="G1925" t="s">
        <v>87</v>
      </c>
      <c r="H1925">
        <v>696741385</v>
      </c>
      <c r="I1925" t="s">
        <v>29</v>
      </c>
      <c r="K1925" t="str">
        <f>IF(Table3[[#This Row],[Type Received]]=2,"CC",(IF(Table3[[#This Row],[Type Received]]=3,"BILL","ACH")))</f>
        <v>ACH</v>
      </c>
    </row>
    <row r="1926" spans="1:11" x14ac:dyDescent="0.25">
      <c r="A1926">
        <v>190789</v>
      </c>
      <c r="B1926" s="3">
        <v>46160</v>
      </c>
      <c r="C1926">
        <v>3</v>
      </c>
      <c r="D1926">
        <v>75</v>
      </c>
      <c r="E1926">
        <v>234511012</v>
      </c>
      <c r="K1926" t="str">
        <f>IF(Table3[[#This Row],[Type Received]]=2,"CC",(IF(Table3[[#This Row],[Type Received]]=3,"BILL","ACH")))</f>
        <v>BILL</v>
      </c>
    </row>
    <row r="1927" spans="1:11" x14ac:dyDescent="0.25">
      <c r="A1927">
        <v>190829</v>
      </c>
      <c r="B1927" s="3">
        <v>46167</v>
      </c>
      <c r="C1927">
        <v>1</v>
      </c>
      <c r="D1927">
        <v>35.19</v>
      </c>
      <c r="G1927" t="s">
        <v>85</v>
      </c>
      <c r="H1927">
        <v>818354822</v>
      </c>
      <c r="I1927" t="s">
        <v>29</v>
      </c>
      <c r="K1927" t="str">
        <f>IF(Table3[[#This Row],[Type Received]]=2,"CC",(IF(Table3[[#This Row],[Type Received]]=3,"BILL","ACH")))</f>
        <v>ACH</v>
      </c>
    </row>
    <row r="1928" spans="1:11" x14ac:dyDescent="0.25">
      <c r="A1928">
        <v>190892</v>
      </c>
      <c r="B1928" s="3">
        <v>46169</v>
      </c>
      <c r="C1928">
        <v>1</v>
      </c>
      <c r="D1928">
        <v>18.47</v>
      </c>
      <c r="G1928" t="s">
        <v>117</v>
      </c>
      <c r="H1928">
        <v>842229231</v>
      </c>
      <c r="I1928" t="s">
        <v>29</v>
      </c>
      <c r="J1928" t="s">
        <v>29</v>
      </c>
      <c r="K1928" t="str">
        <f>IF(Table3[[#This Row],[Type Received]]=2,"CC",(IF(Table3[[#This Row],[Type Received]]=3,"BILL","ACH")))</f>
        <v>ACH</v>
      </c>
    </row>
    <row r="1929" spans="1:11" x14ac:dyDescent="0.25">
      <c r="A1929">
        <v>190896</v>
      </c>
      <c r="B1929" s="3">
        <v>46147</v>
      </c>
      <c r="C1929">
        <v>3</v>
      </c>
      <c r="D1929">
        <v>22.77</v>
      </c>
      <c r="E1929">
        <v>19826025998</v>
      </c>
      <c r="K1929" t="str">
        <f>IF(Table3[[#This Row],[Type Received]]=2,"CC",(IF(Table3[[#This Row],[Type Received]]=3,"BILL","ACH")))</f>
        <v>BILL</v>
      </c>
    </row>
    <row r="1930" spans="1:11" x14ac:dyDescent="0.25">
      <c r="A1930">
        <v>190905</v>
      </c>
      <c r="B1930" s="3">
        <v>46171</v>
      </c>
      <c r="C1930">
        <v>3</v>
      </c>
      <c r="D1930">
        <v>78.2</v>
      </c>
      <c r="E1930">
        <v>2417</v>
      </c>
      <c r="G1930" s="4"/>
      <c r="K1930" t="str">
        <f>IF(Table3[[#This Row],[Type Received]]=2,"CC",(IF(Table3[[#This Row],[Type Received]]=3,"BILL","ACH")))</f>
        <v>BILL</v>
      </c>
    </row>
    <row r="1931" spans="1:11" x14ac:dyDescent="0.25">
      <c r="A1931">
        <v>191050</v>
      </c>
      <c r="B1931" s="3">
        <v>46171</v>
      </c>
      <c r="C1931">
        <v>3</v>
      </c>
      <c r="D1931">
        <v>39.270000000000003</v>
      </c>
      <c r="E1931">
        <v>2441</v>
      </c>
      <c r="J1931" t="s">
        <v>29</v>
      </c>
      <c r="K1931" t="str">
        <f>IF(Table3[[#This Row],[Type Received]]=2,"CC",(IF(Table3[[#This Row],[Type Received]]=3,"BILL","ACH")))</f>
        <v>BILL</v>
      </c>
    </row>
    <row r="1932" spans="1:11" x14ac:dyDescent="0.25">
      <c r="A1932">
        <v>191078</v>
      </c>
      <c r="B1932" s="3">
        <v>46143</v>
      </c>
      <c r="C1932">
        <v>1</v>
      </c>
      <c r="D1932">
        <v>62.69</v>
      </c>
      <c r="G1932" t="s">
        <v>84</v>
      </c>
      <c r="H1932">
        <v>522329501</v>
      </c>
      <c r="I1932" t="s">
        <v>29</v>
      </c>
      <c r="K1932" t="str">
        <f>IF(Table3[[#This Row],[Type Received]]=2,"CC",(IF(Table3[[#This Row],[Type Received]]=3,"BILL","ACH")))</f>
        <v>ACH</v>
      </c>
    </row>
    <row r="1933" spans="1:11" x14ac:dyDescent="0.25">
      <c r="A1933">
        <v>191209</v>
      </c>
      <c r="B1933" s="3">
        <v>46169</v>
      </c>
      <c r="C1933">
        <v>1</v>
      </c>
      <c r="D1933">
        <v>85.46</v>
      </c>
      <c r="G1933" t="s">
        <v>117</v>
      </c>
      <c r="H1933">
        <v>842214933</v>
      </c>
      <c r="I1933" t="s">
        <v>29</v>
      </c>
      <c r="J1933" t="s">
        <v>29</v>
      </c>
      <c r="K1933" t="str">
        <f>IF(Table3[[#This Row],[Type Received]]=2,"CC",(IF(Table3[[#This Row],[Type Received]]=3,"BILL","ACH")))</f>
        <v>ACH</v>
      </c>
    </row>
    <row r="1934" spans="1:11" x14ac:dyDescent="0.25">
      <c r="A1934">
        <v>191396</v>
      </c>
      <c r="B1934" s="3">
        <v>46168</v>
      </c>
      <c r="C1934">
        <v>3</v>
      </c>
      <c r="D1934">
        <v>648.73</v>
      </c>
      <c r="E1934">
        <v>6211</v>
      </c>
      <c r="J1934" t="s">
        <v>29</v>
      </c>
      <c r="K1934" t="str">
        <f>IF(Table3[[#This Row],[Type Received]]=2,"CC",(IF(Table3[[#This Row],[Type Received]]=3,"BILL","ACH")))</f>
        <v>BILL</v>
      </c>
    </row>
    <row r="1935" spans="1:11" x14ac:dyDescent="0.25">
      <c r="A1935">
        <v>191462</v>
      </c>
      <c r="B1935" s="3">
        <v>46157</v>
      </c>
      <c r="C1935">
        <v>1</v>
      </c>
      <c r="D1935">
        <v>42.56</v>
      </c>
      <c r="G1935" t="s">
        <v>87</v>
      </c>
      <c r="H1935">
        <v>696742411</v>
      </c>
      <c r="I1935" t="s">
        <v>29</v>
      </c>
      <c r="K1935" t="str">
        <f>IF(Table3[[#This Row],[Type Received]]=2,"CC",(IF(Table3[[#This Row],[Type Received]]=3,"BILL","ACH")))</f>
        <v>ACH</v>
      </c>
    </row>
    <row r="1936" spans="1:11" x14ac:dyDescent="0.25">
      <c r="A1936">
        <v>191509</v>
      </c>
      <c r="B1936" s="3">
        <v>46143</v>
      </c>
      <c r="C1936">
        <v>1</v>
      </c>
      <c r="D1936">
        <v>24.63</v>
      </c>
      <c r="G1936" t="s">
        <v>84</v>
      </c>
      <c r="H1936">
        <v>522329559</v>
      </c>
      <c r="I1936" t="s">
        <v>29</v>
      </c>
      <c r="J1936" t="s">
        <v>29</v>
      </c>
      <c r="K1936" t="str">
        <f>IF(Table3[[#This Row],[Type Received]]=2,"CC",(IF(Table3[[#This Row],[Type Received]]=3,"BILL","ACH")))</f>
        <v>ACH</v>
      </c>
    </row>
    <row r="1937" spans="1:11" x14ac:dyDescent="0.25">
      <c r="A1937">
        <v>191609</v>
      </c>
      <c r="B1937" s="3">
        <v>46146</v>
      </c>
      <c r="C1937">
        <v>3</v>
      </c>
      <c r="D1937">
        <v>27.39</v>
      </c>
      <c r="E1937">
        <v>9811373462</v>
      </c>
      <c r="J1937" t="s">
        <v>29</v>
      </c>
      <c r="K1937" t="str">
        <f>IF(Table3[[#This Row],[Type Received]]=2,"CC",(IF(Table3[[#This Row],[Type Received]]=3,"BILL","ACH")))</f>
        <v>BILL</v>
      </c>
    </row>
    <row r="1938" spans="1:11" x14ac:dyDescent="0.25">
      <c r="A1938">
        <v>191619</v>
      </c>
      <c r="B1938" s="3">
        <v>46169</v>
      </c>
      <c r="C1938">
        <v>3</v>
      </c>
      <c r="D1938">
        <v>55.09</v>
      </c>
      <c r="E1938">
        <v>628</v>
      </c>
      <c r="J1938" t="s">
        <v>29</v>
      </c>
      <c r="K1938" t="str">
        <f>IF(Table3[[#This Row],[Type Received]]=2,"CC",(IF(Table3[[#This Row],[Type Received]]=3,"BILL","ACH")))</f>
        <v>BILL</v>
      </c>
    </row>
    <row r="1939" spans="1:11" x14ac:dyDescent="0.25">
      <c r="A1939">
        <v>191631</v>
      </c>
      <c r="B1939" s="3">
        <v>46155</v>
      </c>
      <c r="C1939">
        <v>1</v>
      </c>
      <c r="D1939">
        <v>21.33</v>
      </c>
      <c r="G1939" t="s">
        <v>90</v>
      </c>
      <c r="H1939">
        <v>669447426</v>
      </c>
      <c r="I1939" t="s">
        <v>29</v>
      </c>
      <c r="J1939" t="s">
        <v>29</v>
      </c>
      <c r="K1939" t="str">
        <f>IF(Table3[[#This Row],[Type Received]]=2,"CC",(IF(Table3[[#This Row],[Type Received]]=3,"BILL","ACH")))</f>
        <v>ACH</v>
      </c>
    </row>
    <row r="1940" spans="1:11" x14ac:dyDescent="0.25">
      <c r="A1940">
        <v>191658</v>
      </c>
      <c r="B1940" s="3">
        <v>46170</v>
      </c>
      <c r="C1940">
        <v>2</v>
      </c>
      <c r="D1940">
        <v>47.19</v>
      </c>
      <c r="F1940">
        <v>86663</v>
      </c>
      <c r="G1940" t="s">
        <v>28</v>
      </c>
      <c r="H1940">
        <v>853851209</v>
      </c>
      <c r="I1940" t="s">
        <v>29</v>
      </c>
      <c r="J1940" t="s">
        <v>29</v>
      </c>
      <c r="K1940" t="str">
        <f>IF(Table3[[#This Row],[Type Received]]=2,"CC",(IF(Table3[[#This Row],[Type Received]]=3,"BILL","ACH")))</f>
        <v>CC</v>
      </c>
    </row>
    <row r="1941" spans="1:11" x14ac:dyDescent="0.25">
      <c r="A1941">
        <v>191708</v>
      </c>
      <c r="B1941" s="3">
        <v>46143</v>
      </c>
      <c r="C1941">
        <v>1</v>
      </c>
      <c r="D1941">
        <v>85.46</v>
      </c>
      <c r="G1941" t="s">
        <v>84</v>
      </c>
      <c r="H1941">
        <v>522328541</v>
      </c>
      <c r="I1941" t="s">
        <v>29</v>
      </c>
      <c r="J1941" t="s">
        <v>29</v>
      </c>
      <c r="K1941" t="str">
        <f>IF(Table3[[#This Row],[Type Received]]=2,"CC",(IF(Table3[[#This Row],[Type Received]]=3,"BILL","ACH")))</f>
        <v>ACH</v>
      </c>
    </row>
    <row r="1942" spans="1:11" x14ac:dyDescent="0.25">
      <c r="A1942">
        <v>191728</v>
      </c>
      <c r="B1942" s="3">
        <v>46143</v>
      </c>
      <c r="C1942">
        <v>2</v>
      </c>
      <c r="D1942">
        <v>35.96</v>
      </c>
      <c r="F1942" t="s">
        <v>237</v>
      </c>
      <c r="G1942" t="s">
        <v>28</v>
      </c>
      <c r="H1942">
        <v>522434336</v>
      </c>
      <c r="I1942" t="s">
        <v>29</v>
      </c>
      <c r="J1942" t="s">
        <v>29</v>
      </c>
      <c r="K1942" t="str">
        <f>IF(Table3[[#This Row],[Type Received]]=2,"CC",(IF(Table3[[#This Row],[Type Received]]=3,"BILL","ACH")))</f>
        <v>CC</v>
      </c>
    </row>
    <row r="1943" spans="1:11" x14ac:dyDescent="0.25">
      <c r="A1943">
        <v>191731</v>
      </c>
      <c r="B1943" s="3">
        <v>46157</v>
      </c>
      <c r="C1943">
        <v>1</v>
      </c>
      <c r="D1943">
        <v>21.33</v>
      </c>
      <c r="G1943" t="s">
        <v>87</v>
      </c>
      <c r="H1943">
        <v>696732669</v>
      </c>
      <c r="I1943" t="s">
        <v>29</v>
      </c>
      <c r="K1943" t="str">
        <f>IF(Table3[[#This Row],[Type Received]]=2,"CC",(IF(Table3[[#This Row],[Type Received]]=3,"BILL","ACH")))</f>
        <v>ACH</v>
      </c>
    </row>
    <row r="1944" spans="1:11" x14ac:dyDescent="0.25">
      <c r="A1944">
        <v>191812</v>
      </c>
      <c r="B1944" s="3">
        <v>46143</v>
      </c>
      <c r="C1944">
        <v>1</v>
      </c>
      <c r="D1944">
        <v>25.07</v>
      </c>
      <c r="G1944" t="s">
        <v>84</v>
      </c>
      <c r="H1944">
        <v>522334434</v>
      </c>
      <c r="I1944" t="s">
        <v>29</v>
      </c>
      <c r="J1944" t="s">
        <v>29</v>
      </c>
      <c r="K1944" t="str">
        <f>IF(Table3[[#This Row],[Type Received]]=2,"CC",(IF(Table3[[#This Row],[Type Received]]=3,"BILL","ACH")))</f>
        <v>ACH</v>
      </c>
    </row>
    <row r="1945" spans="1:11" x14ac:dyDescent="0.25">
      <c r="A1945">
        <v>192203</v>
      </c>
      <c r="B1945" s="3">
        <v>46143</v>
      </c>
      <c r="C1945">
        <v>1</v>
      </c>
      <c r="D1945">
        <v>24.63</v>
      </c>
      <c r="G1945" t="s">
        <v>84</v>
      </c>
      <c r="H1945">
        <v>522326679</v>
      </c>
      <c r="I1945" t="s">
        <v>29</v>
      </c>
      <c r="J1945" t="s">
        <v>29</v>
      </c>
      <c r="K1945" t="str">
        <f>IF(Table3[[#This Row],[Type Received]]=2,"CC",(IF(Table3[[#This Row],[Type Received]]=3,"BILL","ACH")))</f>
        <v>ACH</v>
      </c>
    </row>
    <row r="1946" spans="1:11" x14ac:dyDescent="0.25">
      <c r="A1946">
        <v>192204</v>
      </c>
      <c r="B1946" s="3">
        <v>46155</v>
      </c>
      <c r="C1946">
        <v>2</v>
      </c>
      <c r="D1946">
        <v>11.21</v>
      </c>
      <c r="F1946" t="s">
        <v>238</v>
      </c>
      <c r="G1946" s="4" t="s">
        <v>28</v>
      </c>
      <c r="H1946">
        <v>669480832</v>
      </c>
      <c r="I1946" t="s">
        <v>29</v>
      </c>
      <c r="J1946" t="s">
        <v>29</v>
      </c>
      <c r="K1946" t="str">
        <f>IF(Table3[[#This Row],[Type Received]]=2,"CC",(IF(Table3[[#This Row],[Type Received]]=3,"BILL","ACH")))</f>
        <v>CC</v>
      </c>
    </row>
    <row r="1947" spans="1:11" x14ac:dyDescent="0.25">
      <c r="A1947">
        <v>192232</v>
      </c>
      <c r="B1947" s="3">
        <v>46157</v>
      </c>
      <c r="C1947">
        <v>1</v>
      </c>
      <c r="D1947">
        <v>32.67</v>
      </c>
      <c r="G1947" t="s">
        <v>87</v>
      </c>
      <c r="H1947">
        <v>696723058</v>
      </c>
      <c r="I1947" t="s">
        <v>29</v>
      </c>
      <c r="J1947" t="s">
        <v>29</v>
      </c>
      <c r="K1947" t="str">
        <f>IF(Table3[[#This Row],[Type Received]]=2,"CC",(IF(Table3[[#This Row],[Type Received]]=3,"BILL","ACH")))</f>
        <v>ACH</v>
      </c>
    </row>
    <row r="1948" spans="1:11" x14ac:dyDescent="0.25">
      <c r="A1948">
        <v>192044</v>
      </c>
      <c r="B1948" s="3">
        <v>46169</v>
      </c>
      <c r="C1948">
        <v>1</v>
      </c>
      <c r="D1948">
        <v>33.11</v>
      </c>
      <c r="G1948" s="4" t="s">
        <v>117</v>
      </c>
      <c r="H1948">
        <v>842221600</v>
      </c>
      <c r="I1948" t="s">
        <v>29</v>
      </c>
      <c r="J1948" t="s">
        <v>29</v>
      </c>
      <c r="K1948" t="str">
        <f>IF(Table3[[#This Row],[Type Received]]=2,"CC",(IF(Table3[[#This Row],[Type Received]]=3,"BILL","ACH")))</f>
        <v>ACH</v>
      </c>
    </row>
    <row r="1949" spans="1:11" x14ac:dyDescent="0.25">
      <c r="A1949">
        <v>192049</v>
      </c>
      <c r="B1949" s="3">
        <v>46146</v>
      </c>
      <c r="C1949">
        <v>3</v>
      </c>
      <c r="D1949">
        <v>31.13</v>
      </c>
      <c r="E1949">
        <v>3352</v>
      </c>
      <c r="J1949" t="s">
        <v>29</v>
      </c>
      <c r="K1949" t="str">
        <f>IF(Table3[[#This Row],[Type Received]]=2,"CC",(IF(Table3[[#This Row],[Type Received]]=3,"BILL","ACH")))</f>
        <v>BILL</v>
      </c>
    </row>
    <row r="1950" spans="1:11" x14ac:dyDescent="0.25">
      <c r="A1950">
        <v>192107</v>
      </c>
      <c r="B1950" s="3">
        <v>46155</v>
      </c>
      <c r="C1950">
        <v>3</v>
      </c>
      <c r="D1950">
        <v>28.71</v>
      </c>
      <c r="E1950">
        <v>925</v>
      </c>
      <c r="J1950" t="s">
        <v>29</v>
      </c>
      <c r="K1950" t="str">
        <f>IF(Table3[[#This Row],[Type Received]]=2,"CC",(IF(Table3[[#This Row],[Type Received]]=3,"BILL","ACH")))</f>
        <v>BILL</v>
      </c>
    </row>
    <row r="1951" spans="1:11" x14ac:dyDescent="0.25">
      <c r="A1951">
        <v>192147</v>
      </c>
      <c r="B1951" s="3">
        <v>46169</v>
      </c>
      <c r="C1951">
        <v>1</v>
      </c>
      <c r="D1951">
        <v>32.11</v>
      </c>
      <c r="G1951" t="s">
        <v>117</v>
      </c>
      <c r="H1951">
        <v>842210072</v>
      </c>
      <c r="I1951" t="s">
        <v>29</v>
      </c>
      <c r="J1951" t="s">
        <v>29</v>
      </c>
      <c r="K1951" t="str">
        <f>IF(Table3[[#This Row],[Type Received]]=2,"CC",(IF(Table3[[#This Row],[Type Received]]=3,"BILL","ACH")))</f>
        <v>ACH</v>
      </c>
    </row>
    <row r="1952" spans="1:11" x14ac:dyDescent="0.25">
      <c r="A1952">
        <v>192483</v>
      </c>
      <c r="B1952" s="3">
        <v>46145</v>
      </c>
      <c r="C1952">
        <v>1</v>
      </c>
      <c r="D1952">
        <v>29.03</v>
      </c>
      <c r="G1952" t="s">
        <v>113</v>
      </c>
      <c r="H1952">
        <v>546441772</v>
      </c>
      <c r="I1952" t="s">
        <v>29</v>
      </c>
      <c r="J1952" t="s">
        <v>29</v>
      </c>
      <c r="K1952" t="str">
        <f>IF(Table3[[#This Row],[Type Received]]=2,"CC",(IF(Table3[[#This Row],[Type Received]]=3,"BILL","ACH")))</f>
        <v>ACH</v>
      </c>
    </row>
    <row r="1953" spans="1:11" x14ac:dyDescent="0.25">
      <c r="A1953">
        <v>192566</v>
      </c>
      <c r="B1953" s="3">
        <v>46157</v>
      </c>
      <c r="C1953">
        <v>1</v>
      </c>
      <c r="D1953">
        <v>37.94</v>
      </c>
      <c r="G1953" t="s">
        <v>87</v>
      </c>
      <c r="H1953">
        <v>696730735</v>
      </c>
      <c r="I1953" t="s">
        <v>29</v>
      </c>
      <c r="J1953" t="s">
        <v>29</v>
      </c>
      <c r="K1953" t="str">
        <f>IF(Table3[[#This Row],[Type Received]]=2,"CC",(IF(Table3[[#This Row],[Type Received]]=3,"BILL","ACH")))</f>
        <v>ACH</v>
      </c>
    </row>
    <row r="1954" spans="1:11" x14ac:dyDescent="0.25">
      <c r="A1954">
        <v>192659</v>
      </c>
      <c r="B1954" s="3">
        <v>46168</v>
      </c>
      <c r="C1954">
        <v>1</v>
      </c>
      <c r="D1954">
        <v>43.66</v>
      </c>
      <c r="G1954" s="4" t="s">
        <v>110</v>
      </c>
      <c r="H1954">
        <v>830682562</v>
      </c>
      <c r="I1954" t="s">
        <v>29</v>
      </c>
      <c r="K1954" t="str">
        <f>IF(Table3[[#This Row],[Type Received]]=2,"CC",(IF(Table3[[#This Row],[Type Received]]=3,"BILL","ACH")))</f>
        <v>ACH</v>
      </c>
    </row>
    <row r="1955" spans="1:11" x14ac:dyDescent="0.25">
      <c r="A1955">
        <v>192732</v>
      </c>
      <c r="B1955" s="3">
        <v>46143</v>
      </c>
      <c r="C1955">
        <v>2</v>
      </c>
      <c r="D1955">
        <v>14.18</v>
      </c>
      <c r="F1955">
        <v>60360</v>
      </c>
      <c r="G1955" t="s">
        <v>28</v>
      </c>
      <c r="H1955">
        <v>522439243</v>
      </c>
      <c r="I1955" t="s">
        <v>29</v>
      </c>
      <c r="J1955" t="s">
        <v>29</v>
      </c>
      <c r="K1955" t="str">
        <f>IF(Table3[[#This Row],[Type Received]]=2,"CC",(IF(Table3[[#This Row],[Type Received]]=3,"BILL","ACH")))</f>
        <v>CC</v>
      </c>
    </row>
    <row r="1956" spans="1:11" x14ac:dyDescent="0.25">
      <c r="A1956">
        <v>192794</v>
      </c>
      <c r="B1956" s="3">
        <v>46146</v>
      </c>
      <c r="C1956">
        <v>2</v>
      </c>
      <c r="D1956">
        <v>81.290000000000006</v>
      </c>
      <c r="F1956">
        <v>46495</v>
      </c>
      <c r="G1956" t="s">
        <v>28</v>
      </c>
      <c r="H1956">
        <v>559254713</v>
      </c>
      <c r="I1956" t="s">
        <v>29</v>
      </c>
      <c r="J1956" t="s">
        <v>29</v>
      </c>
      <c r="K1956" t="str">
        <f>IF(Table3[[#This Row],[Type Received]]=2,"CC",(IF(Table3[[#This Row],[Type Received]]=3,"BILL","ACH")))</f>
        <v>CC</v>
      </c>
    </row>
    <row r="1957" spans="1:11" x14ac:dyDescent="0.25">
      <c r="A1957">
        <v>193361</v>
      </c>
      <c r="B1957" s="3">
        <v>46156</v>
      </c>
      <c r="C1957">
        <v>3</v>
      </c>
      <c r="D1957">
        <v>21.45</v>
      </c>
      <c r="E1957">
        <v>58394261</v>
      </c>
      <c r="G1957" s="4"/>
      <c r="J1957" t="s">
        <v>29</v>
      </c>
      <c r="K1957" t="str">
        <f>IF(Table3[[#This Row],[Type Received]]=2,"CC",(IF(Table3[[#This Row],[Type Received]]=3,"BILL","ACH")))</f>
        <v>BILL</v>
      </c>
    </row>
    <row r="1958" spans="1:11" x14ac:dyDescent="0.25">
      <c r="A1958">
        <v>193014</v>
      </c>
      <c r="B1958" s="3">
        <v>46145</v>
      </c>
      <c r="C1958">
        <v>1</v>
      </c>
      <c r="D1958">
        <v>17.37</v>
      </c>
      <c r="G1958" t="s">
        <v>113</v>
      </c>
      <c r="H1958">
        <v>546427543</v>
      </c>
      <c r="I1958" t="s">
        <v>29</v>
      </c>
      <c r="J1958" t="s">
        <v>29</v>
      </c>
      <c r="K1958" t="str">
        <f>IF(Table3[[#This Row],[Type Received]]=2,"CC",(IF(Table3[[#This Row],[Type Received]]=3,"BILL","ACH")))</f>
        <v>ACH</v>
      </c>
    </row>
    <row r="1959" spans="1:11" x14ac:dyDescent="0.25">
      <c r="A1959">
        <v>193068</v>
      </c>
      <c r="B1959" s="3">
        <v>46155</v>
      </c>
      <c r="C1959">
        <v>1</v>
      </c>
      <c r="D1959">
        <v>25.43</v>
      </c>
      <c r="G1959" s="4" t="s">
        <v>90</v>
      </c>
      <c r="H1959">
        <v>669470528</v>
      </c>
      <c r="I1959" t="s">
        <v>29</v>
      </c>
      <c r="J1959" t="s">
        <v>29</v>
      </c>
      <c r="K1959" t="str">
        <f>IF(Table3[[#This Row],[Type Received]]=2,"CC",(IF(Table3[[#This Row],[Type Received]]=3,"BILL","ACH")))</f>
        <v>ACH</v>
      </c>
    </row>
    <row r="1960" spans="1:11" x14ac:dyDescent="0.25">
      <c r="A1960">
        <v>193080</v>
      </c>
      <c r="B1960" s="3">
        <v>46169</v>
      </c>
      <c r="C1960">
        <v>1</v>
      </c>
      <c r="D1960">
        <v>19.79</v>
      </c>
      <c r="G1960" t="s">
        <v>117</v>
      </c>
      <c r="H1960">
        <v>842232357</v>
      </c>
      <c r="I1960" t="s">
        <v>29</v>
      </c>
      <c r="J1960" t="s">
        <v>29</v>
      </c>
      <c r="K1960" t="str">
        <f>IF(Table3[[#This Row],[Type Received]]=2,"CC",(IF(Table3[[#This Row],[Type Received]]=3,"BILL","ACH")))</f>
        <v>ACH</v>
      </c>
    </row>
    <row r="1961" spans="1:11" x14ac:dyDescent="0.25">
      <c r="A1961">
        <v>193122</v>
      </c>
      <c r="B1961" s="3">
        <v>46145</v>
      </c>
      <c r="C1961">
        <v>1</v>
      </c>
      <c r="D1961">
        <v>20.23</v>
      </c>
      <c r="G1961" t="s">
        <v>113</v>
      </c>
      <c r="H1961">
        <v>546435330</v>
      </c>
      <c r="I1961" t="s">
        <v>29</v>
      </c>
      <c r="J1961" t="s">
        <v>29</v>
      </c>
      <c r="K1961" t="str">
        <f>IF(Table3[[#This Row],[Type Received]]=2,"CC",(IF(Table3[[#This Row],[Type Received]]=3,"BILL","ACH")))</f>
        <v>ACH</v>
      </c>
    </row>
    <row r="1962" spans="1:11" x14ac:dyDescent="0.25">
      <c r="A1962">
        <v>193150</v>
      </c>
      <c r="B1962" s="3">
        <v>46144</v>
      </c>
      <c r="C1962">
        <v>2</v>
      </c>
      <c r="D1962">
        <v>123.09</v>
      </c>
      <c r="F1962">
        <v>650988</v>
      </c>
      <c r="G1962" s="4">
        <v>741651752</v>
      </c>
      <c r="H1962">
        <v>353293709</v>
      </c>
      <c r="K1962" t="str">
        <f>IF(Table3[[#This Row],[Type Received]]=2,"CC",(IF(Table3[[#This Row],[Type Received]]=3,"BILL","ACH")))</f>
        <v>CC</v>
      </c>
    </row>
    <row r="1963" spans="1:11" x14ac:dyDescent="0.25">
      <c r="A1963">
        <v>193152</v>
      </c>
      <c r="B1963" s="3">
        <v>46145</v>
      </c>
      <c r="C1963">
        <v>2</v>
      </c>
      <c r="D1963">
        <v>70.39</v>
      </c>
      <c r="F1963">
        <v>787827</v>
      </c>
      <c r="G1963" t="s">
        <v>28</v>
      </c>
      <c r="H1963">
        <v>546419036</v>
      </c>
      <c r="I1963" t="s">
        <v>29</v>
      </c>
      <c r="J1963" t="s">
        <v>29</v>
      </c>
      <c r="K1963" t="str">
        <f>IF(Table3[[#This Row],[Type Received]]=2,"CC",(IF(Table3[[#This Row],[Type Received]]=3,"BILL","ACH")))</f>
        <v>CC</v>
      </c>
    </row>
    <row r="1964" spans="1:11" x14ac:dyDescent="0.25">
      <c r="A1964">
        <v>193180</v>
      </c>
      <c r="B1964" s="3">
        <v>46169</v>
      </c>
      <c r="C1964">
        <v>3</v>
      </c>
      <c r="D1964">
        <v>36.630000000000003</v>
      </c>
      <c r="E1964">
        <v>173</v>
      </c>
      <c r="J1964" t="s">
        <v>29</v>
      </c>
      <c r="K1964" t="str">
        <f>IF(Table3[[#This Row],[Type Received]]=2,"CC",(IF(Table3[[#This Row],[Type Received]]=3,"BILL","ACH")))</f>
        <v>BILL</v>
      </c>
    </row>
    <row r="1965" spans="1:11" x14ac:dyDescent="0.25">
      <c r="A1965">
        <v>193180</v>
      </c>
      <c r="B1965" s="3">
        <v>46148</v>
      </c>
      <c r="C1965">
        <v>3</v>
      </c>
      <c r="D1965">
        <v>36.630000000000003</v>
      </c>
      <c r="E1965">
        <v>161</v>
      </c>
      <c r="J1965" t="s">
        <v>29</v>
      </c>
      <c r="K1965" t="str">
        <f>IF(Table3[[#This Row],[Type Received]]=2,"CC",(IF(Table3[[#This Row],[Type Received]]=3,"BILL","ACH")))</f>
        <v>BILL</v>
      </c>
    </row>
    <row r="1966" spans="1:11" x14ac:dyDescent="0.25">
      <c r="A1966">
        <v>193423</v>
      </c>
      <c r="B1966" s="3">
        <v>46157</v>
      </c>
      <c r="C1966">
        <v>2</v>
      </c>
      <c r="D1966">
        <v>48.51</v>
      </c>
      <c r="F1966">
        <v>438493</v>
      </c>
      <c r="G1966" s="4" t="s">
        <v>28</v>
      </c>
      <c r="H1966">
        <v>696568239</v>
      </c>
      <c r="I1966" t="s">
        <v>29</v>
      </c>
      <c r="K1966" t="str">
        <f>IF(Table3[[#This Row],[Type Received]]=2,"CC",(IF(Table3[[#This Row],[Type Received]]=3,"BILL","ACH")))</f>
        <v>CC</v>
      </c>
    </row>
    <row r="1967" spans="1:11" x14ac:dyDescent="0.25">
      <c r="A1967">
        <v>193424</v>
      </c>
      <c r="B1967" s="3">
        <v>46143</v>
      </c>
      <c r="C1967">
        <v>2</v>
      </c>
      <c r="D1967">
        <v>60.37</v>
      </c>
      <c r="F1967">
        <v>19518</v>
      </c>
      <c r="G1967" t="s">
        <v>28</v>
      </c>
      <c r="H1967">
        <v>523249321</v>
      </c>
      <c r="I1967" t="s">
        <v>29</v>
      </c>
      <c r="J1967" t="s">
        <v>29</v>
      </c>
      <c r="K1967" t="str">
        <f>IF(Table3[[#This Row],[Type Received]]=2,"CC",(IF(Table3[[#This Row],[Type Received]]=3,"BILL","ACH")))</f>
        <v>CC</v>
      </c>
    </row>
    <row r="1968" spans="1:11" x14ac:dyDescent="0.25">
      <c r="A1968">
        <v>193506</v>
      </c>
      <c r="B1968" s="3">
        <v>46156</v>
      </c>
      <c r="C1968">
        <v>1</v>
      </c>
      <c r="D1968">
        <v>113.29</v>
      </c>
      <c r="G1968" t="s">
        <v>93</v>
      </c>
      <c r="H1968">
        <v>682539104</v>
      </c>
      <c r="I1968" t="s">
        <v>29</v>
      </c>
      <c r="J1968" t="s">
        <v>29</v>
      </c>
      <c r="K1968" t="str">
        <f>IF(Table3[[#This Row],[Type Received]]=2,"CC",(IF(Table3[[#This Row],[Type Received]]=3,"BILL","ACH")))</f>
        <v>ACH</v>
      </c>
    </row>
    <row r="1969" spans="1:11" x14ac:dyDescent="0.25">
      <c r="A1969">
        <v>193527</v>
      </c>
      <c r="B1969" s="3">
        <v>46154</v>
      </c>
      <c r="C1969">
        <v>2</v>
      </c>
      <c r="D1969">
        <v>26.29</v>
      </c>
      <c r="F1969">
        <v>8745</v>
      </c>
      <c r="G1969">
        <v>744853534</v>
      </c>
      <c r="H1969">
        <v>354384948</v>
      </c>
      <c r="J1969" t="s">
        <v>29</v>
      </c>
      <c r="K1969" t="str">
        <f>IF(Table3[[#This Row],[Type Received]]=2,"CC",(IF(Table3[[#This Row],[Type Received]]=3,"BILL","ACH")))</f>
        <v>CC</v>
      </c>
    </row>
    <row r="1970" spans="1:11" x14ac:dyDescent="0.25">
      <c r="A1970">
        <v>193586</v>
      </c>
      <c r="B1970" s="3">
        <v>46143</v>
      </c>
      <c r="C1970">
        <v>2</v>
      </c>
      <c r="D1970">
        <v>110.86</v>
      </c>
      <c r="F1970">
        <v>32711</v>
      </c>
      <c r="G1970" t="s">
        <v>28</v>
      </c>
      <c r="H1970">
        <v>528325053</v>
      </c>
      <c r="I1970" t="s">
        <v>29</v>
      </c>
      <c r="J1970" t="s">
        <v>29</v>
      </c>
      <c r="K1970" t="str">
        <f>IF(Table3[[#This Row],[Type Received]]=2,"CC",(IF(Table3[[#This Row],[Type Received]]=3,"BILL","ACH")))</f>
        <v>CC</v>
      </c>
    </row>
    <row r="1971" spans="1:11" x14ac:dyDescent="0.25">
      <c r="A1971">
        <v>193608</v>
      </c>
      <c r="B1971" s="3">
        <v>46169</v>
      </c>
      <c r="C1971">
        <v>1</v>
      </c>
      <c r="D1971">
        <v>21.99</v>
      </c>
      <c r="G1971" t="s">
        <v>117</v>
      </c>
      <c r="H1971">
        <v>842244134</v>
      </c>
      <c r="I1971" t="s">
        <v>29</v>
      </c>
      <c r="J1971" t="s">
        <v>29</v>
      </c>
      <c r="K1971" t="str">
        <f>IF(Table3[[#This Row],[Type Received]]=2,"CC",(IF(Table3[[#This Row],[Type Received]]=3,"BILL","ACH")))</f>
        <v>ACH</v>
      </c>
    </row>
    <row r="1972" spans="1:11" x14ac:dyDescent="0.25">
      <c r="A1972">
        <v>193679</v>
      </c>
      <c r="B1972" s="3">
        <v>46169</v>
      </c>
      <c r="C1972">
        <v>1</v>
      </c>
      <c r="D1972">
        <v>18.91</v>
      </c>
      <c r="G1972" t="s">
        <v>117</v>
      </c>
      <c r="H1972">
        <v>842220954</v>
      </c>
      <c r="I1972" t="s">
        <v>29</v>
      </c>
      <c r="K1972" t="str">
        <f>IF(Table3[[#This Row],[Type Received]]=2,"CC",(IF(Table3[[#This Row],[Type Received]]=3,"BILL","ACH")))</f>
        <v>ACH</v>
      </c>
    </row>
    <row r="1973" spans="1:11" x14ac:dyDescent="0.25">
      <c r="A1973">
        <v>193873</v>
      </c>
      <c r="B1973" s="3">
        <v>46157</v>
      </c>
      <c r="C1973">
        <v>1</v>
      </c>
      <c r="D1973">
        <v>25.29</v>
      </c>
      <c r="G1973" t="s">
        <v>87</v>
      </c>
      <c r="H1973">
        <v>696743419</v>
      </c>
      <c r="I1973" t="s">
        <v>29</v>
      </c>
      <c r="J1973" t="s">
        <v>29</v>
      </c>
      <c r="K1973" t="str">
        <f>IF(Table3[[#This Row],[Type Received]]=2,"CC",(IF(Table3[[#This Row],[Type Received]]=3,"BILL","ACH")))</f>
        <v>ACH</v>
      </c>
    </row>
    <row r="1974" spans="1:11" x14ac:dyDescent="0.25">
      <c r="A1974">
        <v>194146</v>
      </c>
      <c r="B1974" s="3">
        <v>46145</v>
      </c>
      <c r="C1974">
        <v>1</v>
      </c>
      <c r="D1974">
        <v>33.43</v>
      </c>
      <c r="G1974" t="s">
        <v>113</v>
      </c>
      <c r="H1974">
        <v>546431434</v>
      </c>
      <c r="I1974" t="s">
        <v>29</v>
      </c>
      <c r="J1974" t="s">
        <v>29</v>
      </c>
      <c r="K1974" t="str">
        <f>IF(Table3[[#This Row],[Type Received]]=2,"CC",(IF(Table3[[#This Row],[Type Received]]=3,"BILL","ACH")))</f>
        <v>ACH</v>
      </c>
    </row>
    <row r="1975" spans="1:11" x14ac:dyDescent="0.25">
      <c r="A1975">
        <v>194226</v>
      </c>
      <c r="B1975" s="3">
        <v>46169</v>
      </c>
      <c r="C1975">
        <v>3</v>
      </c>
      <c r="D1975">
        <v>16.39</v>
      </c>
      <c r="E1975">
        <v>3642</v>
      </c>
      <c r="J1975" t="s">
        <v>29</v>
      </c>
      <c r="K1975" t="str">
        <f>IF(Table3[[#This Row],[Type Received]]=2,"CC",(IF(Table3[[#This Row],[Type Received]]=3,"BILL","ACH")))</f>
        <v>BILL</v>
      </c>
    </row>
    <row r="1976" spans="1:11" x14ac:dyDescent="0.25">
      <c r="A1976">
        <v>194226</v>
      </c>
      <c r="B1976" s="3">
        <v>46143</v>
      </c>
      <c r="C1976">
        <v>3</v>
      </c>
      <c r="D1976">
        <v>16.39</v>
      </c>
      <c r="E1976">
        <v>3638</v>
      </c>
      <c r="J1976" t="s">
        <v>29</v>
      </c>
      <c r="K1976" t="str">
        <f>IF(Table3[[#This Row],[Type Received]]=2,"CC",(IF(Table3[[#This Row],[Type Received]]=3,"BILL","ACH")))</f>
        <v>BILL</v>
      </c>
    </row>
    <row r="1977" spans="1:11" x14ac:dyDescent="0.25">
      <c r="A1977">
        <v>194391</v>
      </c>
      <c r="B1977" s="3">
        <v>46168</v>
      </c>
      <c r="C1977">
        <v>3</v>
      </c>
      <c r="D1977">
        <v>59.5</v>
      </c>
      <c r="E1977">
        <v>8431</v>
      </c>
      <c r="J1977" t="s">
        <v>29</v>
      </c>
      <c r="K1977" t="str">
        <f>IF(Table3[[#This Row],[Type Received]]=2,"CC",(IF(Table3[[#This Row],[Type Received]]=3,"BILL","ACH")))</f>
        <v>BILL</v>
      </c>
    </row>
    <row r="1978" spans="1:11" x14ac:dyDescent="0.25">
      <c r="A1978">
        <v>194394</v>
      </c>
      <c r="B1978" s="3">
        <v>46157</v>
      </c>
      <c r="C1978">
        <v>1</v>
      </c>
      <c r="D1978">
        <v>11.43</v>
      </c>
      <c r="G1978" s="4" t="s">
        <v>87</v>
      </c>
      <c r="H1978">
        <v>696673515</v>
      </c>
      <c r="I1978" t="s">
        <v>29</v>
      </c>
      <c r="J1978" t="s">
        <v>29</v>
      </c>
      <c r="K1978" t="str">
        <f>IF(Table3[[#This Row],[Type Received]]=2,"CC",(IF(Table3[[#This Row],[Type Received]]=3,"BILL","ACH")))</f>
        <v>ACH</v>
      </c>
    </row>
    <row r="1979" spans="1:11" x14ac:dyDescent="0.25">
      <c r="A1979">
        <v>194455</v>
      </c>
      <c r="B1979" s="3">
        <v>46145</v>
      </c>
      <c r="C1979">
        <v>1</v>
      </c>
      <c r="D1979">
        <v>44.35</v>
      </c>
      <c r="G1979" t="s">
        <v>113</v>
      </c>
      <c r="H1979">
        <v>546430550</v>
      </c>
      <c r="I1979" t="s">
        <v>29</v>
      </c>
      <c r="J1979" t="s">
        <v>29</v>
      </c>
      <c r="K1979" t="str">
        <f>IF(Table3[[#This Row],[Type Received]]=2,"CC",(IF(Table3[[#This Row],[Type Received]]=3,"BILL","ACH")))</f>
        <v>ACH</v>
      </c>
    </row>
    <row r="1980" spans="1:11" x14ac:dyDescent="0.25">
      <c r="A1980">
        <v>194697</v>
      </c>
      <c r="B1980" s="3">
        <v>46143</v>
      </c>
      <c r="C1980">
        <v>1</v>
      </c>
      <c r="D1980">
        <v>97</v>
      </c>
      <c r="G1980" t="s">
        <v>84</v>
      </c>
      <c r="H1980">
        <v>527962669</v>
      </c>
      <c r="I1980" t="s">
        <v>29</v>
      </c>
      <c r="J1980" t="s">
        <v>29</v>
      </c>
      <c r="K1980" t="str">
        <f>IF(Table3[[#This Row],[Type Received]]=2,"CC",(IF(Table3[[#This Row],[Type Received]]=3,"BILL","ACH")))</f>
        <v>ACH</v>
      </c>
    </row>
    <row r="1981" spans="1:11" x14ac:dyDescent="0.25">
      <c r="A1981">
        <v>194710</v>
      </c>
      <c r="B1981" s="3">
        <v>46157</v>
      </c>
      <c r="C1981">
        <v>1</v>
      </c>
      <c r="D1981">
        <v>29.03</v>
      </c>
      <c r="G1981" s="4" t="s">
        <v>87</v>
      </c>
      <c r="H1981">
        <v>696748286</v>
      </c>
      <c r="I1981" t="s">
        <v>29</v>
      </c>
      <c r="J1981" t="s">
        <v>29</v>
      </c>
      <c r="K1981" t="str">
        <f>IF(Table3[[#This Row],[Type Received]]=2,"CC",(IF(Table3[[#This Row],[Type Received]]=3,"BILL","ACH")))</f>
        <v>ACH</v>
      </c>
    </row>
    <row r="1982" spans="1:11" x14ac:dyDescent="0.25">
      <c r="A1982">
        <v>194741</v>
      </c>
      <c r="B1982" s="3">
        <v>46146</v>
      </c>
      <c r="C1982">
        <v>3</v>
      </c>
      <c r="D1982">
        <v>76.22</v>
      </c>
      <c r="E1982">
        <v>9807</v>
      </c>
      <c r="J1982" t="s">
        <v>29</v>
      </c>
      <c r="K1982" t="str">
        <f>IF(Table3[[#This Row],[Type Received]]=2,"CC",(IF(Table3[[#This Row],[Type Received]]=3,"BILL","ACH")))</f>
        <v>BILL</v>
      </c>
    </row>
    <row r="1983" spans="1:11" x14ac:dyDescent="0.25">
      <c r="A1983">
        <v>194791</v>
      </c>
      <c r="B1983" s="3">
        <v>46157</v>
      </c>
      <c r="C1983">
        <v>1</v>
      </c>
      <c r="D1983">
        <v>32</v>
      </c>
      <c r="G1983" t="s">
        <v>87</v>
      </c>
      <c r="H1983">
        <v>696751159</v>
      </c>
      <c r="I1983" t="s">
        <v>29</v>
      </c>
      <c r="J1983" t="s">
        <v>29</v>
      </c>
      <c r="K1983" t="str">
        <f>IF(Table3[[#This Row],[Type Received]]=2,"CC",(IF(Table3[[#This Row],[Type Received]]=3,"BILL","ACH")))</f>
        <v>ACH</v>
      </c>
    </row>
    <row r="1984" spans="1:11" x14ac:dyDescent="0.25">
      <c r="A1984">
        <v>194840</v>
      </c>
      <c r="B1984" s="3">
        <v>46155</v>
      </c>
      <c r="C1984">
        <v>2</v>
      </c>
      <c r="D1984">
        <v>30.13</v>
      </c>
      <c r="F1984">
        <v>168805</v>
      </c>
      <c r="G1984" t="s">
        <v>28</v>
      </c>
      <c r="H1984">
        <v>669502283</v>
      </c>
      <c r="I1984" t="s">
        <v>29</v>
      </c>
      <c r="J1984" t="s">
        <v>29</v>
      </c>
      <c r="K1984" t="str">
        <f>IF(Table3[[#This Row],[Type Received]]=2,"CC",(IF(Table3[[#This Row],[Type Received]]=3,"BILL","ACH")))</f>
        <v>CC</v>
      </c>
    </row>
    <row r="1985" spans="1:11" x14ac:dyDescent="0.25">
      <c r="A1985">
        <v>194854</v>
      </c>
      <c r="B1985" s="3">
        <v>46146</v>
      </c>
      <c r="C1985">
        <v>1</v>
      </c>
      <c r="D1985">
        <v>104.93</v>
      </c>
      <c r="G1985" t="s">
        <v>92</v>
      </c>
      <c r="H1985">
        <v>557105112</v>
      </c>
      <c r="I1985" t="s">
        <v>29</v>
      </c>
      <c r="J1985" t="s">
        <v>29</v>
      </c>
      <c r="K1985" t="str">
        <f>IF(Table3[[#This Row],[Type Received]]=2,"CC",(IF(Table3[[#This Row],[Type Received]]=3,"BILL","ACH")))</f>
        <v>ACH</v>
      </c>
    </row>
    <row r="1986" spans="1:11" x14ac:dyDescent="0.25">
      <c r="A1986">
        <v>194865</v>
      </c>
      <c r="B1986" s="3">
        <v>46158</v>
      </c>
      <c r="C1986">
        <v>1</v>
      </c>
      <c r="D1986">
        <v>28.37</v>
      </c>
      <c r="G1986" s="4" t="s">
        <v>106</v>
      </c>
      <c r="H1986">
        <v>710049538</v>
      </c>
      <c r="I1986" t="s">
        <v>29</v>
      </c>
      <c r="J1986" t="s">
        <v>29</v>
      </c>
      <c r="K1986" t="str">
        <f>IF(Table3[[#This Row],[Type Received]]=2,"CC",(IF(Table3[[#This Row],[Type Received]]=3,"BILL","ACH")))</f>
        <v>ACH</v>
      </c>
    </row>
    <row r="1987" spans="1:11" x14ac:dyDescent="0.25">
      <c r="A1987">
        <v>194882</v>
      </c>
      <c r="B1987" s="3">
        <v>46150</v>
      </c>
      <c r="C1987">
        <v>3</v>
      </c>
      <c r="D1987">
        <v>49.06</v>
      </c>
      <c r="E1987">
        <v>1958</v>
      </c>
      <c r="J1987" t="s">
        <v>29</v>
      </c>
      <c r="K1987" t="str">
        <f>IF(Table3[[#This Row],[Type Received]]=2,"CC",(IF(Table3[[#This Row],[Type Received]]=3,"BILL","ACH")))</f>
        <v>BILL</v>
      </c>
    </row>
    <row r="1988" spans="1:11" x14ac:dyDescent="0.25">
      <c r="A1988">
        <v>194911</v>
      </c>
      <c r="B1988" s="3">
        <v>46143</v>
      </c>
      <c r="C1988">
        <v>3</v>
      </c>
      <c r="D1988">
        <v>37.950000000000003</v>
      </c>
      <c r="E1988">
        <v>74882532</v>
      </c>
      <c r="J1988" t="s">
        <v>29</v>
      </c>
      <c r="K1988" t="str">
        <f>IF(Table3[[#This Row],[Type Received]]=2,"CC",(IF(Table3[[#This Row],[Type Received]]=3,"BILL","ACH")))</f>
        <v>BILL</v>
      </c>
    </row>
    <row r="1989" spans="1:11" x14ac:dyDescent="0.25">
      <c r="A1989">
        <v>194921</v>
      </c>
      <c r="B1989" s="3">
        <v>46146</v>
      </c>
      <c r="C1989">
        <v>3</v>
      </c>
      <c r="D1989">
        <v>31.13</v>
      </c>
      <c r="E1989">
        <v>6316</v>
      </c>
      <c r="J1989" t="s">
        <v>29</v>
      </c>
      <c r="K1989" t="str">
        <f>IF(Table3[[#This Row],[Type Received]]=2,"CC",(IF(Table3[[#This Row],[Type Received]]=3,"BILL","ACH")))</f>
        <v>BILL</v>
      </c>
    </row>
    <row r="1990" spans="1:11" x14ac:dyDescent="0.25">
      <c r="A1990">
        <v>194926</v>
      </c>
      <c r="B1990" s="3">
        <v>46169</v>
      </c>
      <c r="C1990">
        <v>3</v>
      </c>
      <c r="D1990">
        <v>33.33</v>
      </c>
      <c r="E1990">
        <v>2023</v>
      </c>
      <c r="K1990" t="str">
        <f>IF(Table3[[#This Row],[Type Received]]=2,"CC",(IF(Table3[[#This Row],[Type Received]]=3,"BILL","ACH")))</f>
        <v>BILL</v>
      </c>
    </row>
    <row r="1991" spans="1:11" x14ac:dyDescent="0.25">
      <c r="A1991">
        <v>194976</v>
      </c>
      <c r="B1991" s="3">
        <v>46169</v>
      </c>
      <c r="C1991">
        <v>1</v>
      </c>
      <c r="D1991">
        <v>31.01</v>
      </c>
      <c r="G1991" t="s">
        <v>117</v>
      </c>
      <c r="H1991">
        <v>842224836</v>
      </c>
      <c r="I1991" t="s">
        <v>29</v>
      </c>
      <c r="J1991" t="s">
        <v>29</v>
      </c>
      <c r="K1991" t="str">
        <f>IF(Table3[[#This Row],[Type Received]]=2,"CC",(IF(Table3[[#This Row],[Type Received]]=3,"BILL","ACH")))</f>
        <v>ACH</v>
      </c>
    </row>
    <row r="1992" spans="1:11" x14ac:dyDescent="0.25">
      <c r="A1992">
        <v>195030</v>
      </c>
      <c r="B1992" s="3">
        <v>46169</v>
      </c>
      <c r="C1992">
        <v>2</v>
      </c>
      <c r="D1992">
        <v>67.430000000000007</v>
      </c>
      <c r="F1992" t="s">
        <v>239</v>
      </c>
      <c r="G1992">
        <v>749271671</v>
      </c>
      <c r="H1992">
        <v>355971428</v>
      </c>
      <c r="J1992" t="s">
        <v>29</v>
      </c>
      <c r="K1992" t="str">
        <f>IF(Table3[[#This Row],[Type Received]]=2,"CC",(IF(Table3[[#This Row],[Type Received]]=3,"BILL","ACH")))</f>
        <v>CC</v>
      </c>
    </row>
    <row r="1993" spans="1:11" x14ac:dyDescent="0.25">
      <c r="A1993">
        <v>195085</v>
      </c>
      <c r="B1993" s="3">
        <v>46155</v>
      </c>
      <c r="C1993">
        <v>2</v>
      </c>
      <c r="D1993">
        <v>455.38</v>
      </c>
      <c r="F1993" t="s">
        <v>240</v>
      </c>
      <c r="G1993">
        <v>744917848</v>
      </c>
      <c r="H1993">
        <v>354514332</v>
      </c>
      <c r="J1993" t="s">
        <v>29</v>
      </c>
      <c r="K1993" t="str">
        <f>IF(Table3[[#This Row],[Type Received]]=2,"CC",(IF(Table3[[#This Row],[Type Received]]=3,"BILL","ACH")))</f>
        <v>CC</v>
      </c>
    </row>
    <row r="1994" spans="1:11" x14ac:dyDescent="0.25">
      <c r="A1994">
        <v>195110</v>
      </c>
      <c r="B1994" s="3">
        <v>46169</v>
      </c>
      <c r="C1994">
        <v>1</v>
      </c>
      <c r="D1994">
        <v>31.62</v>
      </c>
      <c r="G1994" t="s">
        <v>117</v>
      </c>
      <c r="H1994">
        <v>846976734</v>
      </c>
      <c r="I1994" t="s">
        <v>29</v>
      </c>
      <c r="J1994" t="s">
        <v>29</v>
      </c>
      <c r="K1994" t="str">
        <f>IF(Table3[[#This Row],[Type Received]]=2,"CC",(IF(Table3[[#This Row],[Type Received]]=3,"BILL","ACH")))</f>
        <v>ACH</v>
      </c>
    </row>
    <row r="1995" spans="1:11" x14ac:dyDescent="0.25">
      <c r="A1995">
        <v>195150</v>
      </c>
      <c r="B1995" s="3">
        <v>46155</v>
      </c>
      <c r="C1995">
        <v>2</v>
      </c>
      <c r="D1995">
        <v>34.01</v>
      </c>
      <c r="F1995">
        <v>627873</v>
      </c>
      <c r="G1995" t="s">
        <v>28</v>
      </c>
      <c r="H1995">
        <v>669495518</v>
      </c>
      <c r="I1995" t="s">
        <v>29</v>
      </c>
      <c r="J1995" t="s">
        <v>29</v>
      </c>
      <c r="K1995" t="str">
        <f>IF(Table3[[#This Row],[Type Received]]=2,"CC",(IF(Table3[[#This Row],[Type Received]]=3,"BILL","ACH")))</f>
        <v>CC</v>
      </c>
    </row>
    <row r="1996" spans="1:11" x14ac:dyDescent="0.25">
      <c r="A1996">
        <v>195184</v>
      </c>
      <c r="B1996" s="3">
        <v>46158</v>
      </c>
      <c r="C1996">
        <v>1</v>
      </c>
      <c r="D1996">
        <v>99.35</v>
      </c>
      <c r="G1996" t="s">
        <v>106</v>
      </c>
      <c r="H1996">
        <v>710042058</v>
      </c>
      <c r="I1996" t="s">
        <v>29</v>
      </c>
      <c r="J1996" t="s">
        <v>29</v>
      </c>
      <c r="K1996" t="str">
        <f>IF(Table3[[#This Row],[Type Received]]=2,"CC",(IF(Table3[[#This Row],[Type Received]]=3,"BILL","ACH")))</f>
        <v>ACH</v>
      </c>
    </row>
    <row r="1997" spans="1:11" x14ac:dyDescent="0.25">
      <c r="A1997">
        <v>195268</v>
      </c>
      <c r="B1997" s="3">
        <v>46147</v>
      </c>
      <c r="C1997">
        <v>3</v>
      </c>
      <c r="D1997">
        <v>26.65</v>
      </c>
      <c r="E1997">
        <v>4439</v>
      </c>
      <c r="J1997" t="s">
        <v>29</v>
      </c>
      <c r="K1997" t="str">
        <f>IF(Table3[[#This Row],[Type Received]]=2,"CC",(IF(Table3[[#This Row],[Type Received]]=3,"BILL","ACH")))</f>
        <v>BILL</v>
      </c>
    </row>
    <row r="1998" spans="1:11" x14ac:dyDescent="0.25">
      <c r="A1998">
        <v>195273</v>
      </c>
      <c r="B1998" s="3">
        <v>46171</v>
      </c>
      <c r="C1998">
        <v>3</v>
      </c>
      <c r="D1998">
        <v>41.28</v>
      </c>
      <c r="E1998">
        <v>3840</v>
      </c>
      <c r="J1998" t="s">
        <v>29</v>
      </c>
      <c r="K1998" t="str">
        <f>IF(Table3[[#This Row],[Type Received]]=2,"CC",(IF(Table3[[#This Row],[Type Received]]=3,"BILL","ACH")))</f>
        <v>BILL</v>
      </c>
    </row>
    <row r="1999" spans="1:11" x14ac:dyDescent="0.25">
      <c r="A1999">
        <v>195392</v>
      </c>
      <c r="B1999" s="3">
        <v>46147</v>
      </c>
      <c r="C1999">
        <v>1</v>
      </c>
      <c r="D1999">
        <v>69.650000000000006</v>
      </c>
      <c r="G1999" t="s">
        <v>86</v>
      </c>
      <c r="H1999">
        <v>569496206</v>
      </c>
      <c r="I1999" t="s">
        <v>29</v>
      </c>
      <c r="J1999" t="s">
        <v>29</v>
      </c>
      <c r="K1999" t="str">
        <f>IF(Table3[[#This Row],[Type Received]]=2,"CC",(IF(Table3[[#This Row],[Type Received]]=3,"BILL","ACH")))</f>
        <v>ACH</v>
      </c>
    </row>
    <row r="2000" spans="1:11" x14ac:dyDescent="0.25">
      <c r="A2000">
        <v>195738</v>
      </c>
      <c r="B2000" s="3">
        <v>46169</v>
      </c>
      <c r="C2000">
        <v>3</v>
      </c>
      <c r="D2000">
        <v>24.23</v>
      </c>
      <c r="E2000">
        <v>3408</v>
      </c>
      <c r="K2000" t="str">
        <f>IF(Table3[[#This Row],[Type Received]]=2,"CC",(IF(Table3[[#This Row],[Type Received]]=3,"BILL","ACH")))</f>
        <v>BILL</v>
      </c>
    </row>
    <row r="2001" spans="1:11" x14ac:dyDescent="0.25">
      <c r="A2001">
        <v>195739</v>
      </c>
      <c r="B2001" s="3">
        <v>46169</v>
      </c>
      <c r="C2001">
        <v>3</v>
      </c>
      <c r="D2001">
        <v>34.68</v>
      </c>
      <c r="E2001">
        <v>128</v>
      </c>
      <c r="J2001" t="s">
        <v>29</v>
      </c>
      <c r="K2001" t="str">
        <f>IF(Table3[[#This Row],[Type Received]]=2,"CC",(IF(Table3[[#This Row],[Type Received]]=3,"BILL","ACH")))</f>
        <v>BILL</v>
      </c>
    </row>
    <row r="2002" spans="1:11" x14ac:dyDescent="0.25">
      <c r="A2002">
        <v>195786</v>
      </c>
      <c r="B2002" s="3">
        <v>46169</v>
      </c>
      <c r="C2002">
        <v>1</v>
      </c>
      <c r="D2002">
        <v>77.900000000000006</v>
      </c>
      <c r="G2002" t="s">
        <v>117</v>
      </c>
      <c r="H2002">
        <v>842230780</v>
      </c>
      <c r="I2002" t="s">
        <v>29</v>
      </c>
      <c r="K2002" t="str">
        <f>IF(Table3[[#This Row],[Type Received]]=2,"CC",(IF(Table3[[#This Row],[Type Received]]=3,"BILL","ACH")))</f>
        <v>ACH</v>
      </c>
    </row>
    <row r="2003" spans="1:11" x14ac:dyDescent="0.25">
      <c r="A2003">
        <v>195829</v>
      </c>
      <c r="B2003" s="3">
        <v>46163</v>
      </c>
      <c r="C2003">
        <v>2</v>
      </c>
      <c r="D2003">
        <v>667.59</v>
      </c>
      <c r="F2003">
        <v>92513</v>
      </c>
      <c r="G2003">
        <v>747461115</v>
      </c>
      <c r="H2003">
        <v>355430564</v>
      </c>
      <c r="K2003" t="str">
        <f>IF(Table3[[#This Row],[Type Received]]=2,"CC",(IF(Table3[[#This Row],[Type Received]]=3,"BILL","ACH")))</f>
        <v>CC</v>
      </c>
    </row>
    <row r="2004" spans="1:11" x14ac:dyDescent="0.25">
      <c r="A2004">
        <v>195842</v>
      </c>
      <c r="B2004" s="3">
        <v>46169</v>
      </c>
      <c r="C2004">
        <v>1</v>
      </c>
      <c r="D2004">
        <v>31.59</v>
      </c>
      <c r="G2004" t="s">
        <v>117</v>
      </c>
      <c r="H2004">
        <v>842247349</v>
      </c>
      <c r="I2004" t="s">
        <v>29</v>
      </c>
      <c r="J2004" t="s">
        <v>29</v>
      </c>
      <c r="K2004" t="str">
        <f>IF(Table3[[#This Row],[Type Received]]=2,"CC",(IF(Table3[[#This Row],[Type Received]]=3,"BILL","ACH")))</f>
        <v>ACH</v>
      </c>
    </row>
    <row r="2005" spans="1:11" x14ac:dyDescent="0.25">
      <c r="A2005">
        <v>195874</v>
      </c>
      <c r="B2005" s="3">
        <v>46158</v>
      </c>
      <c r="C2005">
        <v>1</v>
      </c>
      <c r="D2005">
        <v>26.09</v>
      </c>
      <c r="G2005" t="s">
        <v>106</v>
      </c>
      <c r="H2005">
        <v>710043973</v>
      </c>
      <c r="I2005" t="s">
        <v>29</v>
      </c>
      <c r="J2005" t="s">
        <v>29</v>
      </c>
      <c r="K2005" t="str">
        <f>IF(Table3[[#This Row],[Type Received]]=2,"CC",(IF(Table3[[#This Row],[Type Received]]=3,"BILL","ACH")))</f>
        <v>ACH</v>
      </c>
    </row>
    <row r="2006" spans="1:11" x14ac:dyDescent="0.25">
      <c r="A2006">
        <v>195890</v>
      </c>
      <c r="B2006" s="3">
        <v>46158</v>
      </c>
      <c r="C2006">
        <v>1</v>
      </c>
      <c r="D2006">
        <v>72.95</v>
      </c>
      <c r="G2006" t="s">
        <v>106</v>
      </c>
      <c r="H2006">
        <v>710062196</v>
      </c>
      <c r="I2006" t="s">
        <v>29</v>
      </c>
      <c r="J2006" t="s">
        <v>29</v>
      </c>
      <c r="K2006" t="str">
        <f>IF(Table3[[#This Row],[Type Received]]=2,"CC",(IF(Table3[[#This Row],[Type Received]]=3,"BILL","ACH")))</f>
        <v>ACH</v>
      </c>
    </row>
    <row r="2007" spans="1:11" x14ac:dyDescent="0.25">
      <c r="A2007">
        <v>195900</v>
      </c>
      <c r="B2007" s="3">
        <v>46158</v>
      </c>
      <c r="C2007">
        <v>1</v>
      </c>
      <c r="D2007">
        <v>38.299999999999997</v>
      </c>
      <c r="G2007" t="s">
        <v>106</v>
      </c>
      <c r="H2007">
        <v>710064183</v>
      </c>
      <c r="I2007" t="s">
        <v>29</v>
      </c>
      <c r="J2007" t="s">
        <v>29</v>
      </c>
      <c r="K2007" t="str">
        <f>IF(Table3[[#This Row],[Type Received]]=2,"CC",(IF(Table3[[#This Row],[Type Received]]=3,"BILL","ACH")))</f>
        <v>ACH</v>
      </c>
    </row>
    <row r="2008" spans="1:11" x14ac:dyDescent="0.25">
      <c r="A2008">
        <v>195912</v>
      </c>
      <c r="B2008" s="3">
        <v>46145</v>
      </c>
      <c r="C2008">
        <v>1</v>
      </c>
      <c r="D2008">
        <v>39.29</v>
      </c>
      <c r="G2008" t="s">
        <v>113</v>
      </c>
      <c r="H2008">
        <v>546421885</v>
      </c>
      <c r="I2008" t="s">
        <v>29</v>
      </c>
      <c r="J2008" t="s">
        <v>29</v>
      </c>
      <c r="K2008" t="str">
        <f>IF(Table3[[#This Row],[Type Received]]=2,"CC",(IF(Table3[[#This Row],[Type Received]]=3,"BILL","ACH")))</f>
        <v>ACH</v>
      </c>
    </row>
    <row r="2009" spans="1:11" x14ac:dyDescent="0.25">
      <c r="A2009">
        <v>195914</v>
      </c>
      <c r="B2009" s="3">
        <v>46168</v>
      </c>
      <c r="C2009">
        <v>1</v>
      </c>
      <c r="D2009">
        <v>21.03</v>
      </c>
      <c r="G2009" t="s">
        <v>110</v>
      </c>
      <c r="H2009">
        <v>828229760</v>
      </c>
      <c r="I2009" t="s">
        <v>29</v>
      </c>
      <c r="K2009" t="str">
        <f>IF(Table3[[#This Row],[Type Received]]=2,"CC",(IF(Table3[[#This Row],[Type Received]]=3,"BILL","ACH")))</f>
        <v>ACH</v>
      </c>
    </row>
    <row r="2010" spans="1:11" x14ac:dyDescent="0.25">
      <c r="A2010">
        <v>195928</v>
      </c>
      <c r="B2010" s="3">
        <v>46150</v>
      </c>
      <c r="C2010">
        <v>3</v>
      </c>
      <c r="D2010">
        <v>29.29</v>
      </c>
      <c r="E2010">
        <v>75578887</v>
      </c>
      <c r="J2010" t="s">
        <v>29</v>
      </c>
      <c r="K2010" t="str">
        <f>IF(Table3[[#This Row],[Type Received]]=2,"CC",(IF(Table3[[#This Row],[Type Received]]=3,"BILL","ACH")))</f>
        <v>BILL</v>
      </c>
    </row>
    <row r="2011" spans="1:11" x14ac:dyDescent="0.25">
      <c r="A2011">
        <v>195948</v>
      </c>
      <c r="B2011" s="3">
        <v>46171</v>
      </c>
      <c r="C2011">
        <v>1</v>
      </c>
      <c r="D2011">
        <v>24.89</v>
      </c>
      <c r="G2011" t="s">
        <v>226</v>
      </c>
      <c r="H2011">
        <v>873083332</v>
      </c>
      <c r="I2011" t="s">
        <v>29</v>
      </c>
      <c r="K2011" t="str">
        <f>IF(Table3[[#This Row],[Type Received]]=2,"CC",(IF(Table3[[#This Row],[Type Received]]=3,"BILL","ACH")))</f>
        <v>ACH</v>
      </c>
    </row>
    <row r="2012" spans="1:11" x14ac:dyDescent="0.25">
      <c r="A2012">
        <v>196299</v>
      </c>
      <c r="B2012" s="3">
        <v>46158</v>
      </c>
      <c r="C2012">
        <v>1</v>
      </c>
      <c r="D2012">
        <v>40.61</v>
      </c>
      <c r="G2012" t="s">
        <v>106</v>
      </c>
      <c r="H2012">
        <v>710051610</v>
      </c>
      <c r="I2012" t="s">
        <v>29</v>
      </c>
      <c r="J2012" t="s">
        <v>29</v>
      </c>
      <c r="K2012" t="str">
        <f>IF(Table3[[#This Row],[Type Received]]=2,"CC",(IF(Table3[[#This Row],[Type Received]]=3,"BILL","ACH")))</f>
        <v>ACH</v>
      </c>
    </row>
    <row r="2013" spans="1:11" x14ac:dyDescent="0.25">
      <c r="A2013">
        <v>196300</v>
      </c>
      <c r="B2013" s="3">
        <v>46145</v>
      </c>
      <c r="C2013">
        <v>1</v>
      </c>
      <c r="D2013">
        <v>126.41</v>
      </c>
      <c r="G2013" t="s">
        <v>113</v>
      </c>
      <c r="H2013">
        <v>546416025</v>
      </c>
      <c r="I2013" t="s">
        <v>29</v>
      </c>
      <c r="K2013" t="str">
        <f>IF(Table3[[#This Row],[Type Received]]=2,"CC",(IF(Table3[[#This Row],[Type Received]]=3,"BILL","ACH")))</f>
        <v>ACH</v>
      </c>
    </row>
    <row r="2014" spans="1:11" x14ac:dyDescent="0.25">
      <c r="A2014">
        <v>196344</v>
      </c>
      <c r="B2014" s="3">
        <v>46168</v>
      </c>
      <c r="C2014">
        <v>3</v>
      </c>
      <c r="D2014">
        <v>115.22</v>
      </c>
      <c r="E2014">
        <v>2845</v>
      </c>
      <c r="K2014" t="str">
        <f>IF(Table3[[#This Row],[Type Received]]=2,"CC",(IF(Table3[[#This Row],[Type Received]]=3,"BILL","ACH")))</f>
        <v>BILL</v>
      </c>
    </row>
    <row r="2015" spans="1:11" x14ac:dyDescent="0.25">
      <c r="A2015">
        <v>196393</v>
      </c>
      <c r="B2015" s="3">
        <v>46145</v>
      </c>
      <c r="C2015">
        <v>1</v>
      </c>
      <c r="D2015">
        <v>37.97</v>
      </c>
      <c r="G2015" t="s">
        <v>113</v>
      </c>
      <c r="H2015">
        <v>546423846</v>
      </c>
      <c r="I2015" t="s">
        <v>29</v>
      </c>
      <c r="K2015" t="str">
        <f>IF(Table3[[#This Row],[Type Received]]=2,"CC",(IF(Table3[[#This Row],[Type Received]]=3,"BILL","ACH")))</f>
        <v>ACH</v>
      </c>
    </row>
    <row r="2016" spans="1:11" x14ac:dyDescent="0.25">
      <c r="A2016">
        <v>196437</v>
      </c>
      <c r="B2016" s="3">
        <v>46146</v>
      </c>
      <c r="C2016">
        <v>1</v>
      </c>
      <c r="D2016">
        <v>45.7</v>
      </c>
      <c r="G2016" t="s">
        <v>92</v>
      </c>
      <c r="H2016">
        <v>562592991</v>
      </c>
      <c r="I2016" t="s">
        <v>29</v>
      </c>
      <c r="J2016" t="s">
        <v>29</v>
      </c>
      <c r="K2016" t="str">
        <f>IF(Table3[[#This Row],[Type Received]]=2,"CC",(IF(Table3[[#This Row],[Type Received]]=3,"BILL","ACH")))</f>
        <v>ACH</v>
      </c>
    </row>
    <row r="2017" spans="1:11" x14ac:dyDescent="0.25">
      <c r="A2017">
        <v>196534</v>
      </c>
      <c r="B2017" s="3">
        <v>46145</v>
      </c>
      <c r="C2017">
        <v>2</v>
      </c>
      <c r="D2017">
        <v>60.08</v>
      </c>
      <c r="F2017">
        <v>190136</v>
      </c>
      <c r="G2017" t="s">
        <v>28</v>
      </c>
      <c r="H2017">
        <v>546436353</v>
      </c>
      <c r="I2017" t="s">
        <v>29</v>
      </c>
      <c r="J2017" t="s">
        <v>29</v>
      </c>
      <c r="K2017" t="str">
        <f>IF(Table3[[#This Row],[Type Received]]=2,"CC",(IF(Table3[[#This Row],[Type Received]]=3,"BILL","ACH")))</f>
        <v>CC</v>
      </c>
    </row>
    <row r="2018" spans="1:11" x14ac:dyDescent="0.25">
      <c r="A2018">
        <v>196695</v>
      </c>
      <c r="B2018" s="3">
        <v>46147</v>
      </c>
      <c r="C2018">
        <v>3</v>
      </c>
      <c r="D2018">
        <v>33.380000000000003</v>
      </c>
      <c r="E2018">
        <v>109426762160</v>
      </c>
      <c r="J2018" t="s">
        <v>29</v>
      </c>
      <c r="K2018" t="str">
        <f>IF(Table3[[#This Row],[Type Received]]=2,"CC",(IF(Table3[[#This Row],[Type Received]]=3,"BILL","ACH")))</f>
        <v>BILL</v>
      </c>
    </row>
    <row r="2019" spans="1:11" x14ac:dyDescent="0.25">
      <c r="A2019">
        <v>196786</v>
      </c>
      <c r="B2019" s="3">
        <v>46168</v>
      </c>
      <c r="C2019">
        <v>1</v>
      </c>
      <c r="D2019">
        <v>97.18</v>
      </c>
      <c r="G2019" t="s">
        <v>110</v>
      </c>
      <c r="H2019">
        <v>833029225</v>
      </c>
      <c r="I2019" t="s">
        <v>29</v>
      </c>
      <c r="J2019" t="s">
        <v>29</v>
      </c>
      <c r="K2019" t="str">
        <f>IF(Table3[[#This Row],[Type Received]]=2,"CC",(IF(Table3[[#This Row],[Type Received]]=3,"BILL","ACH")))</f>
        <v>ACH</v>
      </c>
    </row>
    <row r="2020" spans="1:11" x14ac:dyDescent="0.25">
      <c r="A2020">
        <v>196812</v>
      </c>
      <c r="B2020" s="3">
        <v>46169</v>
      </c>
      <c r="C2020">
        <v>1</v>
      </c>
      <c r="D2020">
        <v>24.55</v>
      </c>
      <c r="G2020" t="s">
        <v>117</v>
      </c>
      <c r="H2020">
        <v>840839868</v>
      </c>
      <c r="I2020" t="s">
        <v>29</v>
      </c>
      <c r="J2020" t="s">
        <v>29</v>
      </c>
      <c r="K2020" t="str">
        <f>IF(Table3[[#This Row],[Type Received]]=2,"CC",(IF(Table3[[#This Row],[Type Received]]=3,"BILL","ACH")))</f>
        <v>ACH</v>
      </c>
    </row>
    <row r="2021" spans="1:11" x14ac:dyDescent="0.25">
      <c r="A2021">
        <v>196843</v>
      </c>
      <c r="B2021" s="3">
        <v>46158</v>
      </c>
      <c r="C2021">
        <v>1</v>
      </c>
      <c r="D2021">
        <v>30.71</v>
      </c>
      <c r="G2021" t="s">
        <v>106</v>
      </c>
      <c r="H2021">
        <v>710045080</v>
      </c>
      <c r="I2021" t="s">
        <v>29</v>
      </c>
      <c r="J2021" t="s">
        <v>29</v>
      </c>
      <c r="K2021" t="str">
        <f>IF(Table3[[#This Row],[Type Received]]=2,"CC",(IF(Table3[[#This Row],[Type Received]]=3,"BILL","ACH")))</f>
        <v>ACH</v>
      </c>
    </row>
    <row r="2022" spans="1:11" x14ac:dyDescent="0.25">
      <c r="A2022">
        <v>196845</v>
      </c>
      <c r="B2022" s="3">
        <v>46158</v>
      </c>
      <c r="C2022">
        <v>1</v>
      </c>
      <c r="D2022">
        <v>23.45</v>
      </c>
      <c r="G2022" s="4" t="s">
        <v>106</v>
      </c>
      <c r="H2022">
        <v>710067181</v>
      </c>
      <c r="I2022" t="s">
        <v>29</v>
      </c>
      <c r="J2022" t="s">
        <v>29</v>
      </c>
      <c r="K2022" t="str">
        <f>IF(Table3[[#This Row],[Type Received]]=2,"CC",(IF(Table3[[#This Row],[Type Received]]=3,"BILL","ACH")))</f>
        <v>ACH</v>
      </c>
    </row>
    <row r="2023" spans="1:11" x14ac:dyDescent="0.25">
      <c r="A2023">
        <v>196915</v>
      </c>
      <c r="B2023" s="3">
        <v>46169</v>
      </c>
      <c r="C2023">
        <v>3</v>
      </c>
      <c r="D2023">
        <v>33.69</v>
      </c>
      <c r="E2023">
        <v>7872</v>
      </c>
      <c r="J2023" t="s">
        <v>29</v>
      </c>
      <c r="K2023" t="str">
        <f>IF(Table3[[#This Row],[Type Received]]=2,"CC",(IF(Table3[[#This Row],[Type Received]]=3,"BILL","ACH")))</f>
        <v>BILL</v>
      </c>
    </row>
    <row r="2024" spans="1:11" x14ac:dyDescent="0.25">
      <c r="A2024">
        <v>196915</v>
      </c>
      <c r="B2024" s="3">
        <v>46146</v>
      </c>
      <c r="C2024">
        <v>3</v>
      </c>
      <c r="D2024">
        <v>33.69</v>
      </c>
      <c r="E2024">
        <v>7868</v>
      </c>
      <c r="G2024" s="4"/>
      <c r="J2024" t="s">
        <v>29</v>
      </c>
      <c r="K2024" t="str">
        <f>IF(Table3[[#This Row],[Type Received]]=2,"CC",(IF(Table3[[#This Row],[Type Received]]=3,"BILL","ACH")))</f>
        <v>BILL</v>
      </c>
    </row>
    <row r="2025" spans="1:11" x14ac:dyDescent="0.25">
      <c r="A2025">
        <v>197045</v>
      </c>
      <c r="B2025" s="3">
        <v>46145</v>
      </c>
      <c r="C2025">
        <v>1</v>
      </c>
      <c r="D2025">
        <v>11.79</v>
      </c>
      <c r="G2025" t="s">
        <v>113</v>
      </c>
      <c r="H2025">
        <v>546426704</v>
      </c>
      <c r="I2025" t="s">
        <v>29</v>
      </c>
      <c r="J2025" t="s">
        <v>29</v>
      </c>
      <c r="K2025" t="str">
        <f>IF(Table3[[#This Row],[Type Received]]=2,"CC",(IF(Table3[[#This Row],[Type Received]]=3,"BILL","ACH")))</f>
        <v>ACH</v>
      </c>
    </row>
    <row r="2026" spans="1:11" x14ac:dyDescent="0.25">
      <c r="A2026">
        <v>197096</v>
      </c>
      <c r="B2026" s="3">
        <v>46145</v>
      </c>
      <c r="C2026">
        <v>1</v>
      </c>
      <c r="D2026">
        <v>45.23</v>
      </c>
      <c r="G2026" s="4" t="s">
        <v>113</v>
      </c>
      <c r="H2026">
        <v>546428606</v>
      </c>
      <c r="I2026" t="s">
        <v>29</v>
      </c>
      <c r="J2026" t="s">
        <v>29</v>
      </c>
      <c r="K2026" t="str">
        <f>IF(Table3[[#This Row],[Type Received]]=2,"CC",(IF(Table3[[#This Row],[Type Received]]=3,"BILL","ACH")))</f>
        <v>ACH</v>
      </c>
    </row>
    <row r="2027" spans="1:11" x14ac:dyDescent="0.25">
      <c r="A2027">
        <v>197100</v>
      </c>
      <c r="B2027" s="3">
        <v>46147</v>
      </c>
      <c r="C2027">
        <v>2</v>
      </c>
      <c r="D2027">
        <v>143.62</v>
      </c>
      <c r="F2027">
        <v>887415</v>
      </c>
      <c r="G2027" t="s">
        <v>28</v>
      </c>
      <c r="H2027">
        <v>572833750</v>
      </c>
      <c r="I2027" t="s">
        <v>29</v>
      </c>
      <c r="J2027" t="s">
        <v>29</v>
      </c>
      <c r="K2027" t="str">
        <f>IF(Table3[[#This Row],[Type Received]]=2,"CC",(IF(Table3[[#This Row],[Type Received]]=3,"BILL","ACH")))</f>
        <v>CC</v>
      </c>
    </row>
    <row r="2028" spans="1:11" x14ac:dyDescent="0.25">
      <c r="A2028">
        <v>197143</v>
      </c>
      <c r="B2028" s="3">
        <v>46143</v>
      </c>
      <c r="C2028">
        <v>1</v>
      </c>
      <c r="D2028">
        <v>222.26</v>
      </c>
      <c r="G2028" t="s">
        <v>84</v>
      </c>
      <c r="H2028">
        <v>525590601</v>
      </c>
      <c r="I2028" t="s">
        <v>29</v>
      </c>
      <c r="J2028" t="s">
        <v>29</v>
      </c>
      <c r="K2028" t="str">
        <f>IF(Table3[[#This Row],[Type Received]]=2,"CC",(IF(Table3[[#This Row],[Type Received]]=3,"BILL","ACH")))</f>
        <v>ACH</v>
      </c>
    </row>
    <row r="2029" spans="1:11" x14ac:dyDescent="0.25">
      <c r="A2029">
        <v>197177</v>
      </c>
      <c r="B2029" s="3">
        <v>46168</v>
      </c>
      <c r="C2029">
        <v>3</v>
      </c>
      <c r="D2029">
        <v>168.21</v>
      </c>
      <c r="E2029">
        <v>6226</v>
      </c>
      <c r="K2029" t="str">
        <f>IF(Table3[[#This Row],[Type Received]]=2,"CC",(IF(Table3[[#This Row],[Type Received]]=3,"BILL","ACH")))</f>
        <v>BILL</v>
      </c>
    </row>
    <row r="2030" spans="1:11" x14ac:dyDescent="0.25">
      <c r="A2030">
        <v>197233</v>
      </c>
      <c r="B2030" s="3">
        <v>46158</v>
      </c>
      <c r="C2030">
        <v>1</v>
      </c>
      <c r="D2030">
        <v>13.11</v>
      </c>
      <c r="G2030" t="s">
        <v>106</v>
      </c>
      <c r="H2030">
        <v>710056477</v>
      </c>
      <c r="I2030" t="s">
        <v>29</v>
      </c>
      <c r="K2030" t="str">
        <f>IF(Table3[[#This Row],[Type Received]]=2,"CC",(IF(Table3[[#This Row],[Type Received]]=3,"BILL","ACH")))</f>
        <v>ACH</v>
      </c>
    </row>
    <row r="2031" spans="1:11" x14ac:dyDescent="0.25">
      <c r="A2031">
        <v>197612</v>
      </c>
      <c r="B2031" s="3">
        <v>46169</v>
      </c>
      <c r="C2031">
        <v>1</v>
      </c>
      <c r="D2031">
        <v>54.8</v>
      </c>
      <c r="G2031" t="s">
        <v>117</v>
      </c>
      <c r="H2031">
        <v>840862116</v>
      </c>
      <c r="I2031" t="s">
        <v>29</v>
      </c>
      <c r="J2031" t="s">
        <v>29</v>
      </c>
      <c r="K2031" t="str">
        <f>IF(Table3[[#This Row],[Type Received]]=2,"CC",(IF(Table3[[#This Row],[Type Received]]=3,"BILL","ACH")))</f>
        <v>ACH</v>
      </c>
    </row>
    <row r="2032" spans="1:11" x14ac:dyDescent="0.25">
      <c r="A2032">
        <v>197618</v>
      </c>
      <c r="B2032" s="3">
        <v>46145</v>
      </c>
      <c r="C2032">
        <v>2</v>
      </c>
      <c r="D2032">
        <v>82.19</v>
      </c>
      <c r="F2032">
        <v>601194</v>
      </c>
      <c r="G2032" t="s">
        <v>28</v>
      </c>
      <c r="H2032">
        <v>546416051</v>
      </c>
      <c r="I2032" t="s">
        <v>29</v>
      </c>
      <c r="J2032" t="s">
        <v>29</v>
      </c>
      <c r="K2032" t="str">
        <f>IF(Table3[[#This Row],[Type Received]]=2,"CC",(IF(Table3[[#This Row],[Type Received]]=3,"BILL","ACH")))</f>
        <v>CC</v>
      </c>
    </row>
    <row r="2033" spans="1:11" x14ac:dyDescent="0.25">
      <c r="A2033">
        <v>197658</v>
      </c>
      <c r="B2033" s="3">
        <v>46158</v>
      </c>
      <c r="C2033">
        <v>1</v>
      </c>
      <c r="D2033">
        <v>32.36</v>
      </c>
      <c r="G2033" t="s">
        <v>106</v>
      </c>
      <c r="H2033">
        <v>710046955</v>
      </c>
      <c r="I2033" t="s">
        <v>29</v>
      </c>
      <c r="J2033" t="s">
        <v>29</v>
      </c>
      <c r="K2033" t="str">
        <f>IF(Table3[[#This Row],[Type Received]]=2,"CC",(IF(Table3[[#This Row],[Type Received]]=3,"BILL","ACH")))</f>
        <v>ACH</v>
      </c>
    </row>
    <row r="2034" spans="1:11" x14ac:dyDescent="0.25">
      <c r="A2034">
        <v>198005</v>
      </c>
      <c r="B2034" s="3">
        <v>46147</v>
      </c>
      <c r="C2034">
        <v>3</v>
      </c>
      <c r="D2034">
        <v>55.91</v>
      </c>
      <c r="E2034">
        <v>1038</v>
      </c>
      <c r="G2034" s="4"/>
      <c r="J2034" t="s">
        <v>29</v>
      </c>
      <c r="K2034" t="str">
        <f>IF(Table3[[#This Row],[Type Received]]=2,"CC",(IF(Table3[[#This Row],[Type Received]]=3,"BILL","ACH")))</f>
        <v>BILL</v>
      </c>
    </row>
    <row r="2035" spans="1:11" x14ac:dyDescent="0.25">
      <c r="A2035">
        <v>198088</v>
      </c>
      <c r="B2035" s="3">
        <v>46146</v>
      </c>
      <c r="C2035">
        <v>3</v>
      </c>
      <c r="D2035">
        <v>21.15</v>
      </c>
      <c r="E2035">
        <v>1004</v>
      </c>
      <c r="G2035" s="4"/>
      <c r="K2035" t="str">
        <f>IF(Table3[[#This Row],[Type Received]]=2,"CC",(IF(Table3[[#This Row],[Type Received]]=3,"BILL","ACH")))</f>
        <v>BILL</v>
      </c>
    </row>
    <row r="2036" spans="1:11" x14ac:dyDescent="0.25">
      <c r="A2036">
        <v>198095</v>
      </c>
      <c r="B2036" s="3">
        <v>46158</v>
      </c>
      <c r="C2036">
        <v>1</v>
      </c>
      <c r="D2036">
        <v>33.79</v>
      </c>
      <c r="G2036" s="4" t="s">
        <v>106</v>
      </c>
      <c r="H2036">
        <v>710058396</v>
      </c>
      <c r="I2036" t="s">
        <v>29</v>
      </c>
      <c r="J2036" t="s">
        <v>29</v>
      </c>
      <c r="K2036" t="str">
        <f>IF(Table3[[#This Row],[Type Received]]=2,"CC",(IF(Table3[[#This Row],[Type Received]]=3,"BILL","ACH")))</f>
        <v>ACH</v>
      </c>
    </row>
    <row r="2037" spans="1:11" x14ac:dyDescent="0.25">
      <c r="A2037">
        <v>198133</v>
      </c>
      <c r="B2037" s="3">
        <v>46143</v>
      </c>
      <c r="C2037">
        <v>2</v>
      </c>
      <c r="D2037">
        <v>24.44</v>
      </c>
      <c r="F2037">
        <v>109123</v>
      </c>
      <c r="G2037" t="s">
        <v>28</v>
      </c>
      <c r="H2037">
        <v>522176419</v>
      </c>
      <c r="I2037" t="s">
        <v>29</v>
      </c>
      <c r="K2037" t="str">
        <f>IF(Table3[[#This Row],[Type Received]]=2,"CC",(IF(Table3[[#This Row],[Type Received]]=3,"BILL","ACH")))</f>
        <v>CC</v>
      </c>
    </row>
    <row r="2038" spans="1:11" x14ac:dyDescent="0.25">
      <c r="A2038">
        <v>198191</v>
      </c>
      <c r="B2038" s="3">
        <v>46145</v>
      </c>
      <c r="C2038">
        <v>1</v>
      </c>
      <c r="D2038">
        <v>71.63</v>
      </c>
      <c r="G2038" t="s">
        <v>113</v>
      </c>
      <c r="H2038">
        <v>546434433</v>
      </c>
      <c r="I2038" t="s">
        <v>29</v>
      </c>
      <c r="J2038" t="s">
        <v>29</v>
      </c>
      <c r="K2038" t="str">
        <f>IF(Table3[[#This Row],[Type Received]]=2,"CC",(IF(Table3[[#This Row],[Type Received]]=3,"BILL","ACH")))</f>
        <v>ACH</v>
      </c>
    </row>
    <row r="2039" spans="1:11" x14ac:dyDescent="0.25">
      <c r="A2039">
        <v>197807</v>
      </c>
      <c r="B2039" s="3">
        <v>46169</v>
      </c>
      <c r="C2039">
        <v>1</v>
      </c>
      <c r="D2039">
        <v>25.76</v>
      </c>
      <c r="G2039" t="s">
        <v>117</v>
      </c>
      <c r="H2039">
        <v>840834077</v>
      </c>
      <c r="I2039" t="s">
        <v>29</v>
      </c>
      <c r="J2039" t="s">
        <v>29</v>
      </c>
      <c r="K2039" t="str">
        <f>IF(Table3[[#This Row],[Type Received]]=2,"CC",(IF(Table3[[#This Row],[Type Received]]=3,"BILL","ACH")))</f>
        <v>ACH</v>
      </c>
    </row>
    <row r="2040" spans="1:11" x14ac:dyDescent="0.25">
      <c r="A2040">
        <v>197916</v>
      </c>
      <c r="B2040" s="3">
        <v>46158</v>
      </c>
      <c r="C2040">
        <v>1</v>
      </c>
      <c r="D2040">
        <v>40.950000000000003</v>
      </c>
      <c r="G2040" t="s">
        <v>106</v>
      </c>
      <c r="H2040">
        <v>710046987</v>
      </c>
      <c r="I2040" t="s">
        <v>29</v>
      </c>
      <c r="K2040" t="str">
        <f>IF(Table3[[#This Row],[Type Received]]=2,"CC",(IF(Table3[[#This Row],[Type Received]]=3,"BILL","ACH")))</f>
        <v>ACH</v>
      </c>
    </row>
    <row r="2041" spans="1:11" x14ac:dyDescent="0.25">
      <c r="A2041">
        <v>197955</v>
      </c>
      <c r="B2041" s="3">
        <v>46145</v>
      </c>
      <c r="C2041">
        <v>1</v>
      </c>
      <c r="D2041">
        <v>28.07</v>
      </c>
      <c r="G2041" s="4" t="s">
        <v>113</v>
      </c>
      <c r="H2041">
        <v>546419080</v>
      </c>
      <c r="I2041" t="s">
        <v>29</v>
      </c>
      <c r="J2041" t="s">
        <v>29</v>
      </c>
      <c r="K2041" t="str">
        <f>IF(Table3[[#This Row],[Type Received]]=2,"CC",(IF(Table3[[#This Row],[Type Received]]=3,"BILL","ACH")))</f>
        <v>ACH</v>
      </c>
    </row>
    <row r="2042" spans="1:11" x14ac:dyDescent="0.25">
      <c r="A2042">
        <v>197982</v>
      </c>
      <c r="B2042" s="3">
        <v>46169</v>
      </c>
      <c r="C2042">
        <v>2</v>
      </c>
      <c r="D2042">
        <v>30.39</v>
      </c>
      <c r="F2042">
        <v>101632</v>
      </c>
      <c r="G2042" t="s">
        <v>28</v>
      </c>
      <c r="H2042">
        <v>843878757</v>
      </c>
      <c r="I2042" t="s">
        <v>29</v>
      </c>
      <c r="J2042" t="s">
        <v>29</v>
      </c>
      <c r="K2042" t="str">
        <f>IF(Table3[[#This Row],[Type Received]]=2,"CC",(IF(Table3[[#This Row],[Type Received]]=3,"BILL","ACH")))</f>
        <v>CC</v>
      </c>
    </row>
    <row r="2043" spans="1:11" x14ac:dyDescent="0.25">
      <c r="A2043">
        <v>197982</v>
      </c>
      <c r="B2043" s="3">
        <v>46143</v>
      </c>
      <c r="C2043">
        <v>2</v>
      </c>
      <c r="D2043">
        <v>30.39</v>
      </c>
      <c r="F2043">
        <v>125948</v>
      </c>
      <c r="G2043" t="s">
        <v>28</v>
      </c>
      <c r="H2043">
        <v>522746165</v>
      </c>
      <c r="I2043" t="s">
        <v>29</v>
      </c>
      <c r="J2043" t="s">
        <v>29</v>
      </c>
      <c r="K2043" t="str">
        <f>IF(Table3[[#This Row],[Type Received]]=2,"CC",(IF(Table3[[#This Row],[Type Received]]=3,"BILL","ACH")))</f>
        <v>CC</v>
      </c>
    </row>
    <row r="2044" spans="1:11" x14ac:dyDescent="0.25">
      <c r="A2044">
        <v>198217</v>
      </c>
      <c r="B2044" s="3">
        <v>46145</v>
      </c>
      <c r="C2044">
        <v>1</v>
      </c>
      <c r="D2044">
        <v>14.87</v>
      </c>
      <c r="G2044" t="s">
        <v>113</v>
      </c>
      <c r="H2044">
        <v>546449556</v>
      </c>
      <c r="I2044" t="s">
        <v>29</v>
      </c>
      <c r="J2044" t="s">
        <v>29</v>
      </c>
      <c r="K2044" t="str">
        <f>IF(Table3[[#This Row],[Type Received]]=2,"CC",(IF(Table3[[#This Row],[Type Received]]=3,"BILL","ACH")))</f>
        <v>ACH</v>
      </c>
    </row>
    <row r="2045" spans="1:11" x14ac:dyDescent="0.25">
      <c r="A2045">
        <v>198337</v>
      </c>
      <c r="B2045" s="3">
        <v>46171</v>
      </c>
      <c r="C2045">
        <v>3</v>
      </c>
      <c r="D2045">
        <v>29.07</v>
      </c>
      <c r="E2045">
        <v>3961</v>
      </c>
      <c r="J2045" t="s">
        <v>29</v>
      </c>
      <c r="K2045" t="str">
        <f>IF(Table3[[#This Row],[Type Received]]=2,"CC",(IF(Table3[[#This Row],[Type Received]]=3,"BILL","ACH")))</f>
        <v>BILL</v>
      </c>
    </row>
    <row r="2046" spans="1:11" x14ac:dyDescent="0.25">
      <c r="A2046">
        <v>198350</v>
      </c>
      <c r="B2046" s="3">
        <v>46169</v>
      </c>
      <c r="C2046">
        <v>3</v>
      </c>
      <c r="D2046">
        <v>24.15</v>
      </c>
      <c r="E2046">
        <v>11963</v>
      </c>
      <c r="J2046" t="s">
        <v>29</v>
      </c>
      <c r="K2046" t="str">
        <f>IF(Table3[[#This Row],[Type Received]]=2,"CC",(IF(Table3[[#This Row],[Type Received]]=3,"BILL","ACH")))</f>
        <v>BILL</v>
      </c>
    </row>
    <row r="2047" spans="1:11" x14ac:dyDescent="0.25">
      <c r="A2047">
        <v>198492</v>
      </c>
      <c r="B2047" s="3">
        <v>46157</v>
      </c>
      <c r="C2047">
        <v>1</v>
      </c>
      <c r="D2047">
        <v>104.96</v>
      </c>
      <c r="G2047" t="s">
        <v>87</v>
      </c>
      <c r="H2047">
        <v>696588976</v>
      </c>
      <c r="I2047" t="s">
        <v>29</v>
      </c>
      <c r="J2047" t="s">
        <v>29</v>
      </c>
      <c r="K2047" t="str">
        <f>IF(Table3[[#This Row],[Type Received]]=2,"CC",(IF(Table3[[#This Row],[Type Received]]=3,"BILL","ACH")))</f>
        <v>ACH</v>
      </c>
    </row>
    <row r="2048" spans="1:11" x14ac:dyDescent="0.25">
      <c r="A2048">
        <v>198555</v>
      </c>
      <c r="B2048" s="3">
        <v>46147</v>
      </c>
      <c r="C2048">
        <v>2</v>
      </c>
      <c r="D2048">
        <v>33.25</v>
      </c>
      <c r="F2048">
        <v>10949</v>
      </c>
      <c r="G2048" t="s">
        <v>28</v>
      </c>
      <c r="H2048">
        <v>572948485</v>
      </c>
      <c r="I2048" t="s">
        <v>29</v>
      </c>
      <c r="J2048" t="s">
        <v>29</v>
      </c>
      <c r="K2048" t="str">
        <f>IF(Table3[[#This Row],[Type Received]]=2,"CC",(IF(Table3[[#This Row],[Type Received]]=3,"BILL","ACH")))</f>
        <v>CC</v>
      </c>
    </row>
    <row r="2049" spans="1:11" x14ac:dyDescent="0.25">
      <c r="A2049">
        <v>198750</v>
      </c>
      <c r="B2049" s="3">
        <v>46145</v>
      </c>
      <c r="C2049">
        <v>1</v>
      </c>
      <c r="D2049">
        <v>21.69</v>
      </c>
      <c r="G2049" t="s">
        <v>113</v>
      </c>
      <c r="H2049">
        <v>546426733</v>
      </c>
      <c r="I2049" t="s">
        <v>29</v>
      </c>
      <c r="J2049" t="s">
        <v>29</v>
      </c>
      <c r="K2049" t="str">
        <f>IF(Table3[[#This Row],[Type Received]]=2,"CC",(IF(Table3[[#This Row],[Type Received]]=3,"BILL","ACH")))</f>
        <v>ACH</v>
      </c>
    </row>
    <row r="2050" spans="1:11" x14ac:dyDescent="0.25">
      <c r="A2050">
        <v>198755</v>
      </c>
      <c r="B2050" s="3">
        <v>46161</v>
      </c>
      <c r="C2050">
        <v>3</v>
      </c>
      <c r="D2050">
        <v>57.12</v>
      </c>
      <c r="E2050">
        <v>10022</v>
      </c>
      <c r="J2050" t="s">
        <v>29</v>
      </c>
      <c r="K2050" t="str">
        <f>IF(Table3[[#This Row],[Type Received]]=2,"CC",(IF(Table3[[#This Row],[Type Received]]=3,"BILL","ACH")))</f>
        <v>BILL</v>
      </c>
    </row>
    <row r="2051" spans="1:11" x14ac:dyDescent="0.25">
      <c r="A2051">
        <v>198813</v>
      </c>
      <c r="B2051" s="3">
        <v>46170</v>
      </c>
      <c r="C2051">
        <v>3</v>
      </c>
      <c r="D2051">
        <v>92.78</v>
      </c>
      <c r="E2051">
        <v>5401685121</v>
      </c>
      <c r="J2051" t="s">
        <v>29</v>
      </c>
      <c r="K2051" t="str">
        <f>IF(Table3[[#This Row],[Type Received]]=2,"CC",(IF(Table3[[#This Row],[Type Received]]=3,"BILL","ACH")))</f>
        <v>BILL</v>
      </c>
    </row>
    <row r="2052" spans="1:11" x14ac:dyDescent="0.25">
      <c r="A2052">
        <v>198887</v>
      </c>
      <c r="B2052" s="3">
        <v>46153</v>
      </c>
      <c r="C2052">
        <v>3</v>
      </c>
      <c r="D2052">
        <v>573.33000000000004</v>
      </c>
      <c r="E2052">
        <v>176</v>
      </c>
      <c r="J2052" t="s">
        <v>29</v>
      </c>
      <c r="K2052" t="str">
        <f>IF(Table3[[#This Row],[Type Received]]=2,"CC",(IF(Table3[[#This Row],[Type Received]]=3,"BILL","ACH")))</f>
        <v>BILL</v>
      </c>
    </row>
    <row r="2053" spans="1:11" x14ac:dyDescent="0.25">
      <c r="A2053">
        <v>198929</v>
      </c>
      <c r="B2053" s="3">
        <v>46169</v>
      </c>
      <c r="C2053">
        <v>1</v>
      </c>
      <c r="D2053">
        <v>23.45</v>
      </c>
      <c r="G2053" t="s">
        <v>117</v>
      </c>
      <c r="H2053">
        <v>840857262</v>
      </c>
      <c r="I2053" t="s">
        <v>29</v>
      </c>
      <c r="J2053" t="s">
        <v>29</v>
      </c>
      <c r="K2053" t="str">
        <f>IF(Table3[[#This Row],[Type Received]]=2,"CC",(IF(Table3[[#This Row],[Type Received]]=3,"BILL","ACH")))</f>
        <v>ACH</v>
      </c>
    </row>
    <row r="2054" spans="1:11" x14ac:dyDescent="0.25">
      <c r="A2054">
        <v>199281</v>
      </c>
      <c r="B2054" s="3">
        <v>46143</v>
      </c>
      <c r="C2054">
        <v>3</v>
      </c>
      <c r="D2054">
        <v>34.35</v>
      </c>
      <c r="E2054">
        <v>996564</v>
      </c>
      <c r="J2054" t="s">
        <v>29</v>
      </c>
      <c r="K2054" t="str">
        <f>IF(Table3[[#This Row],[Type Received]]=2,"CC",(IF(Table3[[#This Row],[Type Received]]=3,"BILL","ACH")))</f>
        <v>BILL</v>
      </c>
    </row>
    <row r="2055" spans="1:11" x14ac:dyDescent="0.25">
      <c r="A2055">
        <v>199284</v>
      </c>
      <c r="B2055" s="3">
        <v>46150</v>
      </c>
      <c r="C2055">
        <v>2</v>
      </c>
      <c r="D2055">
        <v>37.979999999999997</v>
      </c>
      <c r="F2055">
        <v>21841</v>
      </c>
      <c r="G2055">
        <v>743671591</v>
      </c>
      <c r="H2055">
        <v>354019761</v>
      </c>
      <c r="J2055" t="s">
        <v>29</v>
      </c>
      <c r="K2055" t="str">
        <f>IF(Table3[[#This Row],[Type Received]]=2,"CC",(IF(Table3[[#This Row],[Type Received]]=3,"BILL","ACH")))</f>
        <v>CC</v>
      </c>
    </row>
    <row r="2056" spans="1:11" x14ac:dyDescent="0.25">
      <c r="A2056">
        <v>199307</v>
      </c>
      <c r="B2056" s="3">
        <v>46170</v>
      </c>
      <c r="C2056">
        <v>2</v>
      </c>
      <c r="D2056">
        <v>71.64</v>
      </c>
      <c r="F2056" t="s">
        <v>241</v>
      </c>
      <c r="G2056" t="s">
        <v>28</v>
      </c>
      <c r="H2056">
        <v>854879348</v>
      </c>
      <c r="I2056" t="s">
        <v>29</v>
      </c>
      <c r="J2056" t="s">
        <v>29</v>
      </c>
      <c r="K2056" t="str">
        <f>IF(Table3[[#This Row],[Type Received]]=2,"CC",(IF(Table3[[#This Row],[Type Received]]=3,"BILL","ACH")))</f>
        <v>CC</v>
      </c>
    </row>
    <row r="2057" spans="1:11" x14ac:dyDescent="0.25">
      <c r="A2057">
        <v>199344</v>
      </c>
      <c r="B2057" s="3">
        <v>46155</v>
      </c>
      <c r="C2057">
        <v>2</v>
      </c>
      <c r="D2057">
        <v>60.41</v>
      </c>
      <c r="F2057">
        <v>167538</v>
      </c>
      <c r="G2057" t="s">
        <v>28</v>
      </c>
      <c r="H2057">
        <v>669482839</v>
      </c>
      <c r="I2057" t="s">
        <v>29</v>
      </c>
      <c r="J2057" t="s">
        <v>29</v>
      </c>
      <c r="K2057" t="str">
        <f>IF(Table3[[#This Row],[Type Received]]=2,"CC",(IF(Table3[[#This Row],[Type Received]]=3,"BILL","ACH")))</f>
        <v>CC</v>
      </c>
    </row>
    <row r="2058" spans="1:11" x14ac:dyDescent="0.25">
      <c r="A2058">
        <v>199349</v>
      </c>
      <c r="B2058" s="3">
        <v>46168</v>
      </c>
      <c r="C2058">
        <v>3</v>
      </c>
      <c r="D2058">
        <v>43.15</v>
      </c>
      <c r="E2058">
        <v>2264</v>
      </c>
      <c r="J2058" t="s">
        <v>29</v>
      </c>
      <c r="K2058" t="str">
        <f>IF(Table3[[#This Row],[Type Received]]=2,"CC",(IF(Table3[[#This Row],[Type Received]]=3,"BILL","ACH")))</f>
        <v>BILL</v>
      </c>
    </row>
    <row r="2059" spans="1:11" x14ac:dyDescent="0.25">
      <c r="A2059">
        <v>199397</v>
      </c>
      <c r="B2059" s="3">
        <v>46157</v>
      </c>
      <c r="C2059">
        <v>1</v>
      </c>
      <c r="D2059">
        <v>23.45</v>
      </c>
      <c r="G2059" t="s">
        <v>87</v>
      </c>
      <c r="H2059">
        <v>696726052</v>
      </c>
      <c r="I2059" t="s">
        <v>29</v>
      </c>
      <c r="K2059" t="str">
        <f>IF(Table3[[#This Row],[Type Received]]=2,"CC",(IF(Table3[[#This Row],[Type Received]]=3,"BILL","ACH")))</f>
        <v>ACH</v>
      </c>
    </row>
    <row r="2060" spans="1:11" x14ac:dyDescent="0.25">
      <c r="A2060">
        <v>199609</v>
      </c>
      <c r="B2060" s="3">
        <v>46146</v>
      </c>
      <c r="C2060">
        <v>3</v>
      </c>
      <c r="D2060">
        <v>85.5</v>
      </c>
      <c r="E2060">
        <v>11945</v>
      </c>
      <c r="K2060" t="str">
        <f>IF(Table3[[#This Row],[Type Received]]=2,"CC",(IF(Table3[[#This Row],[Type Received]]=3,"BILL","ACH")))</f>
        <v>BILL</v>
      </c>
    </row>
    <row r="2061" spans="1:11" x14ac:dyDescent="0.25">
      <c r="A2061">
        <v>199616</v>
      </c>
      <c r="B2061" s="3">
        <v>46169</v>
      </c>
      <c r="C2061">
        <v>1</v>
      </c>
      <c r="D2061">
        <v>35</v>
      </c>
      <c r="G2061" t="s">
        <v>117</v>
      </c>
      <c r="H2061">
        <v>840863107</v>
      </c>
      <c r="I2061" t="s">
        <v>29</v>
      </c>
      <c r="J2061" t="s">
        <v>29</v>
      </c>
      <c r="K2061" t="str">
        <f>IF(Table3[[#This Row],[Type Received]]=2,"CC",(IF(Table3[[#This Row],[Type Received]]=3,"BILL","ACH")))</f>
        <v>ACH</v>
      </c>
    </row>
    <row r="2062" spans="1:11" x14ac:dyDescent="0.25">
      <c r="A2062">
        <v>199627</v>
      </c>
      <c r="B2062" s="3">
        <v>46161</v>
      </c>
      <c r="C2062">
        <v>2</v>
      </c>
      <c r="D2062">
        <v>103.03</v>
      </c>
      <c r="F2062">
        <v>791381</v>
      </c>
      <c r="G2062">
        <v>746805329</v>
      </c>
      <c r="H2062">
        <v>355166982</v>
      </c>
      <c r="J2062" t="s">
        <v>29</v>
      </c>
      <c r="K2062" t="str">
        <f>IF(Table3[[#This Row],[Type Received]]=2,"CC",(IF(Table3[[#This Row],[Type Received]]=3,"BILL","ACH")))</f>
        <v>CC</v>
      </c>
    </row>
    <row r="2063" spans="1:11" x14ac:dyDescent="0.25">
      <c r="A2063">
        <v>199642</v>
      </c>
      <c r="B2063" s="3">
        <v>46145</v>
      </c>
      <c r="C2063">
        <v>1</v>
      </c>
      <c r="D2063">
        <v>18.39</v>
      </c>
      <c r="G2063" t="s">
        <v>113</v>
      </c>
      <c r="H2063">
        <v>546433449</v>
      </c>
      <c r="I2063" t="s">
        <v>29</v>
      </c>
      <c r="J2063" t="s">
        <v>29</v>
      </c>
      <c r="K2063" t="str">
        <f>IF(Table3[[#This Row],[Type Received]]=2,"CC",(IF(Table3[[#This Row],[Type Received]]=3,"BILL","ACH")))</f>
        <v>ACH</v>
      </c>
    </row>
    <row r="2064" spans="1:11" x14ac:dyDescent="0.25">
      <c r="A2064">
        <v>199709</v>
      </c>
      <c r="B2064" s="3">
        <v>46155</v>
      </c>
      <c r="C2064">
        <v>2</v>
      </c>
      <c r="D2064">
        <v>21.47</v>
      </c>
      <c r="F2064">
        <v>85884</v>
      </c>
      <c r="G2064" t="s">
        <v>28</v>
      </c>
      <c r="H2064">
        <v>669495524</v>
      </c>
      <c r="I2064" t="s">
        <v>29</v>
      </c>
      <c r="J2064" t="s">
        <v>29</v>
      </c>
      <c r="K2064" t="str">
        <f>IF(Table3[[#This Row],[Type Received]]=2,"CC",(IF(Table3[[#This Row],[Type Received]]=3,"BILL","ACH")))</f>
        <v>CC</v>
      </c>
    </row>
    <row r="2065" spans="1:11" x14ac:dyDescent="0.25">
      <c r="A2065">
        <v>199774</v>
      </c>
      <c r="B2065" s="3">
        <v>46156</v>
      </c>
      <c r="C2065">
        <v>1</v>
      </c>
      <c r="D2065">
        <v>232.56</v>
      </c>
      <c r="G2065" s="4" t="s">
        <v>93</v>
      </c>
      <c r="H2065">
        <v>682541343</v>
      </c>
      <c r="I2065" t="s">
        <v>29</v>
      </c>
      <c r="J2065" t="s">
        <v>29</v>
      </c>
      <c r="K2065" t="str">
        <f>IF(Table3[[#This Row],[Type Received]]=2,"CC",(IF(Table3[[#This Row],[Type Received]]=3,"BILL","ACH")))</f>
        <v>ACH</v>
      </c>
    </row>
    <row r="2066" spans="1:11" x14ac:dyDescent="0.25">
      <c r="A2066">
        <v>199785</v>
      </c>
      <c r="B2066" s="3">
        <v>46169</v>
      </c>
      <c r="C2066">
        <v>2</v>
      </c>
      <c r="D2066">
        <v>128.5</v>
      </c>
      <c r="F2066">
        <v>580220</v>
      </c>
      <c r="G2066" s="4" t="s">
        <v>28</v>
      </c>
      <c r="H2066">
        <v>846719124</v>
      </c>
      <c r="I2066" t="s">
        <v>29</v>
      </c>
      <c r="K2066" t="str">
        <f>IF(Table3[[#This Row],[Type Received]]=2,"CC",(IF(Table3[[#This Row],[Type Received]]=3,"BILL","ACH")))</f>
        <v>CC</v>
      </c>
    </row>
    <row r="2067" spans="1:11" x14ac:dyDescent="0.25">
      <c r="A2067">
        <v>199494</v>
      </c>
      <c r="B2067" s="3">
        <v>46146</v>
      </c>
      <c r="C2067">
        <v>3</v>
      </c>
      <c r="D2067">
        <v>16.75</v>
      </c>
      <c r="E2067">
        <v>4459770175</v>
      </c>
      <c r="K2067" t="str">
        <f>IF(Table3[[#This Row],[Type Received]]=2,"CC",(IF(Table3[[#This Row],[Type Received]]=3,"BILL","ACH")))</f>
        <v>BILL</v>
      </c>
    </row>
    <row r="2068" spans="1:11" x14ac:dyDescent="0.25">
      <c r="A2068">
        <v>199523</v>
      </c>
      <c r="B2068" s="3">
        <v>46145</v>
      </c>
      <c r="C2068">
        <v>1</v>
      </c>
      <c r="D2068">
        <v>56.12</v>
      </c>
      <c r="G2068" t="s">
        <v>113</v>
      </c>
      <c r="H2068">
        <v>546420093</v>
      </c>
      <c r="I2068" t="s">
        <v>29</v>
      </c>
      <c r="J2068" t="s">
        <v>29</v>
      </c>
      <c r="K2068" t="str">
        <f>IF(Table3[[#This Row],[Type Received]]=2,"CC",(IF(Table3[[#This Row],[Type Received]]=3,"BILL","ACH")))</f>
        <v>ACH</v>
      </c>
    </row>
    <row r="2069" spans="1:11" x14ac:dyDescent="0.25">
      <c r="A2069">
        <v>199589</v>
      </c>
      <c r="B2069" s="3">
        <v>46145</v>
      </c>
      <c r="C2069">
        <v>1</v>
      </c>
      <c r="D2069">
        <v>32.36</v>
      </c>
      <c r="G2069" t="s">
        <v>113</v>
      </c>
      <c r="H2069">
        <v>546445107</v>
      </c>
      <c r="I2069" t="s">
        <v>29</v>
      </c>
      <c r="J2069" t="s">
        <v>29</v>
      </c>
      <c r="K2069" t="str">
        <f>IF(Table3[[#This Row],[Type Received]]=2,"CC",(IF(Table3[[#This Row],[Type Received]]=3,"BILL","ACH")))</f>
        <v>ACH</v>
      </c>
    </row>
    <row r="2070" spans="1:11" x14ac:dyDescent="0.25">
      <c r="A2070">
        <v>199916</v>
      </c>
      <c r="B2070" s="3">
        <v>46168</v>
      </c>
      <c r="C2070">
        <v>3</v>
      </c>
      <c r="D2070">
        <v>40.86</v>
      </c>
      <c r="E2070">
        <v>7928</v>
      </c>
      <c r="K2070" t="str">
        <f>IF(Table3[[#This Row],[Type Received]]=2,"CC",(IF(Table3[[#This Row],[Type Received]]=3,"BILL","ACH")))</f>
        <v>BILL</v>
      </c>
    </row>
    <row r="2071" spans="1:11" x14ac:dyDescent="0.25">
      <c r="A2071">
        <v>199979</v>
      </c>
      <c r="B2071" s="3">
        <v>46169</v>
      </c>
      <c r="C2071">
        <v>1</v>
      </c>
      <c r="D2071">
        <v>41.59</v>
      </c>
      <c r="G2071" t="s">
        <v>117</v>
      </c>
      <c r="H2071">
        <v>840838966</v>
      </c>
      <c r="I2071" t="s">
        <v>29</v>
      </c>
      <c r="K2071" t="str">
        <f>IF(Table3[[#This Row],[Type Received]]=2,"CC",(IF(Table3[[#This Row],[Type Received]]=3,"BILL","ACH")))</f>
        <v>ACH</v>
      </c>
    </row>
    <row r="2072" spans="1:11" x14ac:dyDescent="0.25">
      <c r="A2072">
        <v>199995</v>
      </c>
      <c r="B2072" s="3">
        <v>46146</v>
      </c>
      <c r="C2072">
        <v>3</v>
      </c>
      <c r="D2072">
        <v>16.97</v>
      </c>
      <c r="E2072">
        <v>706</v>
      </c>
      <c r="G2072" s="4"/>
      <c r="J2072" t="s">
        <v>29</v>
      </c>
      <c r="K2072" t="str">
        <f>IF(Table3[[#This Row],[Type Received]]=2,"CC",(IF(Table3[[#This Row],[Type Received]]=3,"BILL","ACH")))</f>
        <v>BILL</v>
      </c>
    </row>
    <row r="2073" spans="1:11" x14ac:dyDescent="0.25">
      <c r="A2073">
        <v>200029</v>
      </c>
      <c r="B2073" s="3">
        <v>46156</v>
      </c>
      <c r="C2073">
        <v>1</v>
      </c>
      <c r="D2073">
        <v>32.869999999999997</v>
      </c>
      <c r="G2073" s="4" t="s">
        <v>93</v>
      </c>
      <c r="H2073">
        <v>682523903</v>
      </c>
      <c r="I2073" t="s">
        <v>29</v>
      </c>
      <c r="J2073" t="s">
        <v>29</v>
      </c>
      <c r="K2073" t="str">
        <f>IF(Table3[[#This Row],[Type Received]]=2,"CC",(IF(Table3[[#This Row],[Type Received]]=3,"BILL","ACH")))</f>
        <v>ACH</v>
      </c>
    </row>
    <row r="2074" spans="1:11" x14ac:dyDescent="0.25">
      <c r="A2074">
        <v>200142</v>
      </c>
      <c r="B2074" s="3">
        <v>46164</v>
      </c>
      <c r="C2074">
        <v>3</v>
      </c>
      <c r="D2074">
        <v>158.47</v>
      </c>
      <c r="E2074">
        <v>2976</v>
      </c>
      <c r="G2074" s="4"/>
      <c r="K2074" t="str">
        <f>IF(Table3[[#This Row],[Type Received]]=2,"CC",(IF(Table3[[#This Row],[Type Received]]=3,"BILL","ACH")))</f>
        <v>BILL</v>
      </c>
    </row>
    <row r="2075" spans="1:11" x14ac:dyDescent="0.25">
      <c r="A2075">
        <v>200178</v>
      </c>
      <c r="B2075" s="3">
        <v>46157</v>
      </c>
      <c r="C2075">
        <v>1</v>
      </c>
      <c r="D2075">
        <v>23.45</v>
      </c>
      <c r="G2075" t="s">
        <v>87</v>
      </c>
      <c r="H2075">
        <v>696734752</v>
      </c>
      <c r="I2075" t="s">
        <v>29</v>
      </c>
      <c r="J2075" t="s">
        <v>29</v>
      </c>
      <c r="K2075" t="str">
        <f>IF(Table3[[#This Row],[Type Received]]=2,"CC",(IF(Table3[[#This Row],[Type Received]]=3,"BILL","ACH")))</f>
        <v>ACH</v>
      </c>
    </row>
    <row r="2076" spans="1:11" x14ac:dyDescent="0.25">
      <c r="A2076">
        <v>200495</v>
      </c>
      <c r="B2076" s="3">
        <v>46156</v>
      </c>
      <c r="C2076">
        <v>3</v>
      </c>
      <c r="D2076">
        <v>37.65</v>
      </c>
      <c r="E2076">
        <v>6849</v>
      </c>
      <c r="J2076" t="s">
        <v>29</v>
      </c>
      <c r="K2076" t="str">
        <f>IF(Table3[[#This Row],[Type Received]]=2,"CC",(IF(Table3[[#This Row],[Type Received]]=3,"BILL","ACH")))</f>
        <v>BILL</v>
      </c>
    </row>
    <row r="2077" spans="1:11" x14ac:dyDescent="0.25">
      <c r="A2077">
        <v>200495</v>
      </c>
      <c r="B2077" s="3">
        <v>46154</v>
      </c>
      <c r="C2077">
        <v>2</v>
      </c>
      <c r="D2077">
        <v>73.3</v>
      </c>
      <c r="F2077">
        <v>772680</v>
      </c>
      <c r="G2077" t="s">
        <v>28</v>
      </c>
      <c r="H2077">
        <v>661102189</v>
      </c>
      <c r="I2077" t="s">
        <v>29</v>
      </c>
      <c r="J2077" t="s">
        <v>29</v>
      </c>
      <c r="K2077" t="str">
        <f>IF(Table3[[#This Row],[Type Received]]=2,"CC",(IF(Table3[[#This Row],[Type Received]]=3,"BILL","ACH")))</f>
        <v>CC</v>
      </c>
    </row>
    <row r="2078" spans="1:11" x14ac:dyDescent="0.25">
      <c r="A2078">
        <v>200580</v>
      </c>
      <c r="B2078" s="3">
        <v>46169</v>
      </c>
      <c r="C2078">
        <v>1</v>
      </c>
      <c r="D2078">
        <v>28.29</v>
      </c>
      <c r="G2078" t="s">
        <v>117</v>
      </c>
      <c r="H2078">
        <v>840861203</v>
      </c>
      <c r="I2078" t="s">
        <v>29</v>
      </c>
      <c r="J2078" t="s">
        <v>29</v>
      </c>
      <c r="K2078" t="str">
        <f>IF(Table3[[#This Row],[Type Received]]=2,"CC",(IF(Table3[[#This Row],[Type Received]]=3,"BILL","ACH")))</f>
        <v>ACH</v>
      </c>
    </row>
    <row r="2079" spans="1:11" x14ac:dyDescent="0.25">
      <c r="A2079">
        <v>200382</v>
      </c>
      <c r="B2079" s="3">
        <v>46149</v>
      </c>
      <c r="C2079">
        <v>3</v>
      </c>
      <c r="D2079">
        <v>18.07</v>
      </c>
      <c r="E2079">
        <v>2264</v>
      </c>
      <c r="G2079" s="4"/>
      <c r="J2079" t="s">
        <v>29</v>
      </c>
      <c r="K2079" t="str">
        <f>IF(Table3[[#This Row],[Type Received]]=2,"CC",(IF(Table3[[#This Row],[Type Received]]=3,"BILL","ACH")))</f>
        <v>BILL</v>
      </c>
    </row>
    <row r="2080" spans="1:11" x14ac:dyDescent="0.25">
      <c r="A2080">
        <v>200638</v>
      </c>
      <c r="B2080" s="3">
        <v>46170</v>
      </c>
      <c r="C2080">
        <v>3</v>
      </c>
      <c r="D2080">
        <v>66.36</v>
      </c>
      <c r="E2080">
        <v>923942706</v>
      </c>
      <c r="J2080" t="s">
        <v>29</v>
      </c>
      <c r="K2080" t="str">
        <f>IF(Table3[[#This Row],[Type Received]]=2,"CC",(IF(Table3[[#This Row],[Type Received]]=3,"BILL","ACH")))</f>
        <v>BILL</v>
      </c>
    </row>
    <row r="2081" spans="1:11" x14ac:dyDescent="0.25">
      <c r="A2081">
        <v>200738</v>
      </c>
      <c r="B2081" s="3">
        <v>46150</v>
      </c>
      <c r="C2081">
        <v>3</v>
      </c>
      <c r="D2081">
        <v>50.98</v>
      </c>
      <c r="E2081">
        <v>11260</v>
      </c>
      <c r="J2081" t="s">
        <v>29</v>
      </c>
      <c r="K2081" t="str">
        <f>IF(Table3[[#This Row],[Type Received]]=2,"CC",(IF(Table3[[#This Row],[Type Received]]=3,"BILL","ACH")))</f>
        <v>BILL</v>
      </c>
    </row>
    <row r="2082" spans="1:11" x14ac:dyDescent="0.25">
      <c r="A2082">
        <v>200753</v>
      </c>
      <c r="B2082" s="3">
        <v>46157</v>
      </c>
      <c r="C2082">
        <v>1</v>
      </c>
      <c r="D2082">
        <v>37.31</v>
      </c>
      <c r="G2082" t="s">
        <v>87</v>
      </c>
      <c r="H2082">
        <v>696731895</v>
      </c>
      <c r="I2082" t="s">
        <v>29</v>
      </c>
      <c r="J2082" t="s">
        <v>29</v>
      </c>
      <c r="K2082" t="str">
        <f>IF(Table3[[#This Row],[Type Received]]=2,"CC",(IF(Table3[[#This Row],[Type Received]]=3,"BILL","ACH")))</f>
        <v>ACH</v>
      </c>
    </row>
    <row r="2083" spans="1:11" x14ac:dyDescent="0.25">
      <c r="A2083">
        <v>200778</v>
      </c>
      <c r="B2083" s="3">
        <v>46163</v>
      </c>
      <c r="C2083">
        <v>3</v>
      </c>
      <c r="D2083">
        <v>32.369999999999997</v>
      </c>
      <c r="E2083">
        <v>4561</v>
      </c>
      <c r="K2083" t="str">
        <f>IF(Table3[[#This Row],[Type Received]]=2,"CC",(IF(Table3[[#This Row],[Type Received]]=3,"BILL","ACH")))</f>
        <v>BILL</v>
      </c>
    </row>
    <row r="2084" spans="1:11" x14ac:dyDescent="0.25">
      <c r="A2084">
        <v>200797</v>
      </c>
      <c r="B2084" s="3">
        <v>46161</v>
      </c>
      <c r="C2084">
        <v>3</v>
      </c>
      <c r="D2084">
        <v>113.9</v>
      </c>
      <c r="E2084">
        <v>8262</v>
      </c>
      <c r="K2084" t="str">
        <f>IF(Table3[[#This Row],[Type Received]]=2,"CC",(IF(Table3[[#This Row],[Type Received]]=3,"BILL","ACH")))</f>
        <v>BILL</v>
      </c>
    </row>
    <row r="2085" spans="1:11" x14ac:dyDescent="0.25">
      <c r="A2085">
        <v>200863</v>
      </c>
      <c r="B2085" s="3">
        <v>46145</v>
      </c>
      <c r="C2085">
        <v>1</v>
      </c>
      <c r="D2085">
        <v>72.62</v>
      </c>
      <c r="G2085" t="s">
        <v>113</v>
      </c>
      <c r="H2085">
        <v>546432491</v>
      </c>
      <c r="I2085" t="s">
        <v>29</v>
      </c>
      <c r="J2085" t="s">
        <v>29</v>
      </c>
      <c r="K2085" t="str">
        <f>IF(Table3[[#This Row],[Type Received]]=2,"CC",(IF(Table3[[#This Row],[Type Received]]=3,"BILL","ACH")))</f>
        <v>ACH</v>
      </c>
    </row>
    <row r="2086" spans="1:11" x14ac:dyDescent="0.25">
      <c r="A2086">
        <v>200909</v>
      </c>
      <c r="B2086" s="3">
        <v>46164</v>
      </c>
      <c r="C2086">
        <v>2</v>
      </c>
      <c r="D2086">
        <v>27.75</v>
      </c>
      <c r="F2086">
        <v>1010</v>
      </c>
      <c r="G2086" s="4" t="s">
        <v>28</v>
      </c>
      <c r="H2086">
        <v>789654521</v>
      </c>
      <c r="I2086" t="s">
        <v>29</v>
      </c>
      <c r="J2086" t="s">
        <v>29</v>
      </c>
      <c r="K2086" t="str">
        <f>IF(Table3[[#This Row],[Type Received]]=2,"CC",(IF(Table3[[#This Row],[Type Received]]=3,"BILL","ACH")))</f>
        <v>CC</v>
      </c>
    </row>
    <row r="2087" spans="1:11" x14ac:dyDescent="0.25">
      <c r="A2087">
        <v>200916</v>
      </c>
      <c r="B2087" s="3">
        <v>46157</v>
      </c>
      <c r="C2087">
        <v>1</v>
      </c>
      <c r="D2087">
        <v>31.05</v>
      </c>
      <c r="G2087" t="s">
        <v>87</v>
      </c>
      <c r="H2087">
        <v>700834832</v>
      </c>
      <c r="I2087" t="s">
        <v>29</v>
      </c>
      <c r="J2087" t="s">
        <v>29</v>
      </c>
      <c r="K2087" t="str">
        <f>IF(Table3[[#This Row],[Type Received]]=2,"CC",(IF(Table3[[#This Row],[Type Received]]=3,"BILL","ACH")))</f>
        <v>ACH</v>
      </c>
    </row>
    <row r="2088" spans="1:11" x14ac:dyDescent="0.25">
      <c r="A2088">
        <v>201062</v>
      </c>
      <c r="B2088" s="3">
        <v>46169</v>
      </c>
      <c r="C2088">
        <v>3</v>
      </c>
      <c r="D2088">
        <v>38.31</v>
      </c>
      <c r="E2088">
        <v>8077</v>
      </c>
      <c r="J2088" t="s">
        <v>29</v>
      </c>
      <c r="K2088" t="str">
        <f>IF(Table3[[#This Row],[Type Received]]=2,"CC",(IF(Table3[[#This Row],[Type Received]]=3,"BILL","ACH")))</f>
        <v>BILL</v>
      </c>
    </row>
    <row r="2089" spans="1:11" x14ac:dyDescent="0.25">
      <c r="A2089">
        <v>201069</v>
      </c>
      <c r="B2089" s="3">
        <v>46150</v>
      </c>
      <c r="C2089">
        <v>3</v>
      </c>
      <c r="D2089">
        <v>19.61</v>
      </c>
      <c r="E2089">
        <v>19832341951</v>
      </c>
      <c r="J2089" t="s">
        <v>29</v>
      </c>
      <c r="K2089" t="str">
        <f>IF(Table3[[#This Row],[Type Received]]=2,"CC",(IF(Table3[[#This Row],[Type Received]]=3,"BILL","ACH")))</f>
        <v>BILL</v>
      </c>
    </row>
    <row r="2090" spans="1:11" x14ac:dyDescent="0.25">
      <c r="A2090">
        <v>201225</v>
      </c>
      <c r="B2090" s="3">
        <v>46145</v>
      </c>
      <c r="C2090">
        <v>1</v>
      </c>
      <c r="D2090">
        <v>83.51</v>
      </c>
      <c r="G2090" t="s">
        <v>113</v>
      </c>
      <c r="H2090">
        <v>546434461</v>
      </c>
      <c r="I2090" t="s">
        <v>29</v>
      </c>
      <c r="J2090" t="s">
        <v>29</v>
      </c>
      <c r="K2090" t="str">
        <f>IF(Table3[[#This Row],[Type Received]]=2,"CC",(IF(Table3[[#This Row],[Type Received]]=3,"BILL","ACH")))</f>
        <v>ACH</v>
      </c>
    </row>
    <row r="2091" spans="1:11" x14ac:dyDescent="0.25">
      <c r="A2091">
        <v>201226</v>
      </c>
      <c r="B2091" s="3">
        <v>46145</v>
      </c>
      <c r="C2091">
        <v>1</v>
      </c>
      <c r="D2091">
        <v>92.75</v>
      </c>
      <c r="G2091" t="s">
        <v>113</v>
      </c>
      <c r="H2091">
        <v>546421968</v>
      </c>
      <c r="I2091" t="s">
        <v>29</v>
      </c>
      <c r="K2091" t="str">
        <f>IF(Table3[[#This Row],[Type Received]]=2,"CC",(IF(Table3[[#This Row],[Type Received]]=3,"BILL","ACH")))</f>
        <v>ACH</v>
      </c>
    </row>
    <row r="2092" spans="1:11" x14ac:dyDescent="0.25">
      <c r="A2092">
        <v>201227</v>
      </c>
      <c r="B2092" s="3">
        <v>46150</v>
      </c>
      <c r="C2092">
        <v>3</v>
      </c>
      <c r="D2092">
        <v>44.25</v>
      </c>
      <c r="E2092">
        <v>57881726</v>
      </c>
      <c r="K2092" t="str">
        <f>IF(Table3[[#This Row],[Type Received]]=2,"CC",(IF(Table3[[#This Row],[Type Received]]=3,"BILL","ACH")))</f>
        <v>BILL</v>
      </c>
    </row>
    <row r="2093" spans="1:11" x14ac:dyDescent="0.25">
      <c r="A2093">
        <v>201243</v>
      </c>
      <c r="B2093" s="3">
        <v>46157</v>
      </c>
      <c r="C2093">
        <v>1</v>
      </c>
      <c r="D2093">
        <v>21.47</v>
      </c>
      <c r="G2093" t="s">
        <v>87</v>
      </c>
      <c r="H2093">
        <v>696728060</v>
      </c>
      <c r="I2093" t="s">
        <v>29</v>
      </c>
      <c r="J2093" t="s">
        <v>29</v>
      </c>
      <c r="K2093" t="str">
        <f>IF(Table3[[#This Row],[Type Received]]=2,"CC",(IF(Table3[[#This Row],[Type Received]]=3,"BILL","ACH")))</f>
        <v>ACH</v>
      </c>
    </row>
    <row r="2094" spans="1:11" x14ac:dyDescent="0.25">
      <c r="A2094">
        <v>201309</v>
      </c>
      <c r="B2094" s="3">
        <v>46155</v>
      </c>
      <c r="C2094">
        <v>2</v>
      </c>
      <c r="D2094">
        <v>30.05</v>
      </c>
      <c r="F2094">
        <v>90438</v>
      </c>
      <c r="G2094" t="s">
        <v>28</v>
      </c>
      <c r="H2094">
        <v>669483826</v>
      </c>
      <c r="I2094" t="s">
        <v>29</v>
      </c>
      <c r="J2094" t="s">
        <v>29</v>
      </c>
      <c r="K2094" t="str">
        <f>IF(Table3[[#This Row],[Type Received]]=2,"CC",(IF(Table3[[#This Row],[Type Received]]=3,"BILL","ACH")))</f>
        <v>CC</v>
      </c>
    </row>
    <row r="2095" spans="1:11" x14ac:dyDescent="0.25">
      <c r="A2095">
        <v>201350</v>
      </c>
      <c r="B2095" s="3">
        <v>46160</v>
      </c>
      <c r="C2095">
        <v>3</v>
      </c>
      <c r="D2095">
        <v>29.4</v>
      </c>
      <c r="E2095">
        <v>19819809811</v>
      </c>
      <c r="J2095" t="s">
        <v>29</v>
      </c>
      <c r="K2095" t="str">
        <f>IF(Table3[[#This Row],[Type Received]]=2,"CC",(IF(Table3[[#This Row],[Type Received]]=3,"BILL","ACH")))</f>
        <v>BILL</v>
      </c>
    </row>
    <row r="2096" spans="1:11" x14ac:dyDescent="0.25">
      <c r="A2096">
        <v>201351</v>
      </c>
      <c r="B2096" s="3">
        <v>46157</v>
      </c>
      <c r="C2096">
        <v>1</v>
      </c>
      <c r="D2096">
        <v>36.65</v>
      </c>
      <c r="G2096" t="s">
        <v>87</v>
      </c>
      <c r="H2096">
        <v>696744504</v>
      </c>
      <c r="I2096" t="s">
        <v>29</v>
      </c>
      <c r="K2096" t="str">
        <f>IF(Table3[[#This Row],[Type Received]]=2,"CC",(IF(Table3[[#This Row],[Type Received]]=3,"BILL","ACH")))</f>
        <v>ACH</v>
      </c>
    </row>
    <row r="2097" spans="1:11" x14ac:dyDescent="0.25">
      <c r="A2097">
        <v>201422</v>
      </c>
      <c r="B2097" s="3">
        <v>46171</v>
      </c>
      <c r="C2097">
        <v>3</v>
      </c>
      <c r="D2097">
        <v>148.57</v>
      </c>
      <c r="E2097">
        <v>4352</v>
      </c>
      <c r="J2097" t="s">
        <v>29</v>
      </c>
      <c r="K2097" t="str">
        <f>IF(Table3[[#This Row],[Type Received]]=2,"CC",(IF(Table3[[#This Row],[Type Received]]=3,"BILL","ACH")))</f>
        <v>BILL</v>
      </c>
    </row>
    <row r="2098" spans="1:11" x14ac:dyDescent="0.25">
      <c r="A2098">
        <v>201431</v>
      </c>
      <c r="B2098" s="3">
        <v>46144</v>
      </c>
      <c r="C2098">
        <v>2</v>
      </c>
      <c r="D2098">
        <v>21.03</v>
      </c>
      <c r="F2098">
        <v>69186</v>
      </c>
      <c r="G2098" s="4" t="s">
        <v>28</v>
      </c>
      <c r="H2098">
        <v>535372543</v>
      </c>
      <c r="I2098" t="s">
        <v>29</v>
      </c>
      <c r="J2098" t="s">
        <v>29</v>
      </c>
      <c r="K2098" t="str">
        <f>IF(Table3[[#This Row],[Type Received]]=2,"CC",(IF(Table3[[#This Row],[Type Received]]=3,"BILL","ACH")))</f>
        <v>CC</v>
      </c>
    </row>
    <row r="2099" spans="1:11" x14ac:dyDescent="0.25">
      <c r="A2099">
        <v>201436</v>
      </c>
      <c r="B2099" s="3">
        <v>46150</v>
      </c>
      <c r="C2099">
        <v>3</v>
      </c>
      <c r="D2099">
        <v>67.39</v>
      </c>
      <c r="E2099">
        <v>438</v>
      </c>
      <c r="K2099" t="str">
        <f>IF(Table3[[#This Row],[Type Received]]=2,"CC",(IF(Table3[[#This Row],[Type Received]]=3,"BILL","ACH")))</f>
        <v>BILL</v>
      </c>
    </row>
    <row r="2100" spans="1:11" x14ac:dyDescent="0.25">
      <c r="A2100">
        <v>201440</v>
      </c>
      <c r="B2100" s="3">
        <v>46168</v>
      </c>
      <c r="C2100">
        <v>3</v>
      </c>
      <c r="D2100">
        <v>60</v>
      </c>
      <c r="E2100">
        <v>6804</v>
      </c>
      <c r="J2100" t="s">
        <v>29</v>
      </c>
      <c r="K2100" t="str">
        <f>IF(Table3[[#This Row],[Type Received]]=2,"CC",(IF(Table3[[#This Row],[Type Received]]=3,"BILL","ACH")))</f>
        <v>BILL</v>
      </c>
    </row>
    <row r="2101" spans="1:11" x14ac:dyDescent="0.25">
      <c r="A2101">
        <v>201440</v>
      </c>
      <c r="B2101" s="3">
        <v>46146</v>
      </c>
      <c r="C2101">
        <v>3</v>
      </c>
      <c r="D2101">
        <v>60</v>
      </c>
      <c r="E2101">
        <v>4303</v>
      </c>
      <c r="J2101" t="s">
        <v>29</v>
      </c>
      <c r="K2101" t="str">
        <f>IF(Table3[[#This Row],[Type Received]]=2,"CC",(IF(Table3[[#This Row],[Type Received]]=3,"BILL","ACH")))</f>
        <v>BILL</v>
      </c>
    </row>
    <row r="2102" spans="1:11" x14ac:dyDescent="0.25">
      <c r="A2102">
        <v>201454</v>
      </c>
      <c r="B2102" s="3">
        <v>46157</v>
      </c>
      <c r="C2102">
        <v>1</v>
      </c>
      <c r="D2102">
        <v>36.43</v>
      </c>
      <c r="G2102" t="s">
        <v>87</v>
      </c>
      <c r="H2102">
        <v>696752196</v>
      </c>
      <c r="I2102" t="s">
        <v>29</v>
      </c>
      <c r="J2102" t="s">
        <v>29</v>
      </c>
      <c r="K2102" t="str">
        <f>IF(Table3[[#This Row],[Type Received]]=2,"CC",(IF(Table3[[#This Row],[Type Received]]=3,"BILL","ACH")))</f>
        <v>ACH</v>
      </c>
    </row>
    <row r="2103" spans="1:11" x14ac:dyDescent="0.25">
      <c r="A2103">
        <v>201465</v>
      </c>
      <c r="B2103" s="3">
        <v>46145</v>
      </c>
      <c r="C2103">
        <v>1</v>
      </c>
      <c r="D2103">
        <v>53.15</v>
      </c>
      <c r="G2103" t="s">
        <v>113</v>
      </c>
      <c r="H2103">
        <v>546440268</v>
      </c>
      <c r="I2103" t="s">
        <v>29</v>
      </c>
      <c r="J2103" t="s">
        <v>29</v>
      </c>
      <c r="K2103" t="str">
        <f>IF(Table3[[#This Row],[Type Received]]=2,"CC",(IF(Table3[[#This Row],[Type Received]]=3,"BILL","ACH")))</f>
        <v>ACH</v>
      </c>
    </row>
    <row r="2104" spans="1:11" x14ac:dyDescent="0.25">
      <c r="A2104">
        <v>201506</v>
      </c>
      <c r="B2104" s="3">
        <v>46146</v>
      </c>
      <c r="C2104">
        <v>2</v>
      </c>
      <c r="D2104">
        <v>32.81</v>
      </c>
      <c r="F2104" t="s">
        <v>242</v>
      </c>
      <c r="G2104" t="s">
        <v>28</v>
      </c>
      <c r="H2104">
        <v>557617995</v>
      </c>
      <c r="I2104" t="s">
        <v>29</v>
      </c>
      <c r="K2104" t="str">
        <f>IF(Table3[[#This Row],[Type Received]]=2,"CC",(IF(Table3[[#This Row],[Type Received]]=3,"BILL","ACH")))</f>
        <v>CC</v>
      </c>
    </row>
    <row r="2105" spans="1:11" x14ac:dyDescent="0.25">
      <c r="A2105">
        <v>201528</v>
      </c>
      <c r="B2105" s="3">
        <v>46156</v>
      </c>
      <c r="C2105">
        <v>3</v>
      </c>
      <c r="D2105">
        <v>38.31</v>
      </c>
      <c r="E2105">
        <v>997349</v>
      </c>
      <c r="K2105" t="str">
        <f>IF(Table3[[#This Row],[Type Received]]=2,"CC",(IF(Table3[[#This Row],[Type Received]]=3,"BILL","ACH")))</f>
        <v>BILL</v>
      </c>
    </row>
    <row r="2106" spans="1:11" x14ac:dyDescent="0.25">
      <c r="A2106">
        <v>201814</v>
      </c>
      <c r="B2106" s="3">
        <v>46148</v>
      </c>
      <c r="C2106">
        <v>2</v>
      </c>
      <c r="D2106">
        <v>94.76</v>
      </c>
      <c r="F2106">
        <v>95257</v>
      </c>
      <c r="G2106">
        <v>743046280</v>
      </c>
      <c r="H2106">
        <v>353725011</v>
      </c>
      <c r="J2106" t="s">
        <v>29</v>
      </c>
      <c r="K2106" t="str">
        <f>IF(Table3[[#This Row],[Type Received]]=2,"CC",(IF(Table3[[#This Row],[Type Received]]=3,"BILL","ACH")))</f>
        <v>CC</v>
      </c>
    </row>
    <row r="2107" spans="1:11" x14ac:dyDescent="0.25">
      <c r="A2107">
        <v>201816</v>
      </c>
      <c r="B2107" s="3">
        <v>46169</v>
      </c>
      <c r="C2107">
        <v>2</v>
      </c>
      <c r="D2107">
        <v>65.72</v>
      </c>
      <c r="F2107">
        <v>15580</v>
      </c>
      <c r="G2107" t="s">
        <v>28</v>
      </c>
      <c r="H2107">
        <v>844155340</v>
      </c>
      <c r="I2107" t="s">
        <v>29</v>
      </c>
      <c r="J2107" t="s">
        <v>29</v>
      </c>
      <c r="K2107" t="str">
        <f>IF(Table3[[#This Row],[Type Received]]=2,"CC",(IF(Table3[[#This Row],[Type Received]]=3,"BILL","ACH")))</f>
        <v>CC</v>
      </c>
    </row>
    <row r="2108" spans="1:11" x14ac:dyDescent="0.25">
      <c r="A2108">
        <v>201818</v>
      </c>
      <c r="B2108" s="3">
        <v>46145</v>
      </c>
      <c r="C2108">
        <v>1</v>
      </c>
      <c r="D2108">
        <v>30.49</v>
      </c>
      <c r="G2108" t="s">
        <v>113</v>
      </c>
      <c r="H2108">
        <v>546421988</v>
      </c>
      <c r="I2108" t="s">
        <v>29</v>
      </c>
      <c r="J2108" t="s">
        <v>29</v>
      </c>
      <c r="K2108" t="str">
        <f>IF(Table3[[#This Row],[Type Received]]=2,"CC",(IF(Table3[[#This Row],[Type Received]]=3,"BILL","ACH")))</f>
        <v>ACH</v>
      </c>
    </row>
    <row r="2109" spans="1:11" x14ac:dyDescent="0.25">
      <c r="A2109">
        <v>201862</v>
      </c>
      <c r="B2109" s="3">
        <v>46160</v>
      </c>
      <c r="C2109">
        <v>3</v>
      </c>
      <c r="D2109">
        <v>63</v>
      </c>
      <c r="E2109">
        <v>359</v>
      </c>
      <c r="J2109" t="s">
        <v>29</v>
      </c>
      <c r="K2109" t="str">
        <f>IF(Table3[[#This Row],[Type Received]]=2,"CC",(IF(Table3[[#This Row],[Type Received]]=3,"BILL","ACH")))</f>
        <v>BILL</v>
      </c>
    </row>
    <row r="2110" spans="1:11" x14ac:dyDescent="0.25">
      <c r="A2110">
        <v>201945</v>
      </c>
      <c r="B2110" s="3">
        <v>46168</v>
      </c>
      <c r="C2110">
        <v>3</v>
      </c>
      <c r="D2110">
        <v>23.79</v>
      </c>
      <c r="E2110">
        <v>828</v>
      </c>
      <c r="K2110" t="str">
        <f>IF(Table3[[#This Row],[Type Received]]=2,"CC",(IF(Table3[[#This Row],[Type Received]]=3,"BILL","ACH")))</f>
        <v>BILL</v>
      </c>
    </row>
    <row r="2111" spans="1:11" x14ac:dyDescent="0.25">
      <c r="A2111">
        <v>201945</v>
      </c>
      <c r="B2111" s="3">
        <v>46146</v>
      </c>
      <c r="C2111">
        <v>3</v>
      </c>
      <c r="D2111">
        <v>23.79</v>
      </c>
      <c r="E2111">
        <v>825</v>
      </c>
      <c r="K2111" t="str">
        <f>IF(Table3[[#This Row],[Type Received]]=2,"CC",(IF(Table3[[#This Row],[Type Received]]=3,"BILL","ACH")))</f>
        <v>BILL</v>
      </c>
    </row>
    <row r="2112" spans="1:11" x14ac:dyDescent="0.25">
      <c r="A2112">
        <v>201642</v>
      </c>
      <c r="B2112" s="3">
        <v>46157</v>
      </c>
      <c r="C2112">
        <v>1</v>
      </c>
      <c r="D2112">
        <v>28.73</v>
      </c>
      <c r="G2112" t="s">
        <v>87</v>
      </c>
      <c r="H2112">
        <v>696729957</v>
      </c>
      <c r="I2112" t="s">
        <v>29</v>
      </c>
      <c r="J2112" t="s">
        <v>29</v>
      </c>
      <c r="K2112" t="str">
        <f>IF(Table3[[#This Row],[Type Received]]=2,"CC",(IF(Table3[[#This Row],[Type Received]]=3,"BILL","ACH")))</f>
        <v>ACH</v>
      </c>
    </row>
    <row r="2113" spans="1:11" x14ac:dyDescent="0.25">
      <c r="A2113">
        <v>201650</v>
      </c>
      <c r="B2113" s="3">
        <v>46169</v>
      </c>
      <c r="C2113">
        <v>1</v>
      </c>
      <c r="D2113">
        <v>21.91</v>
      </c>
      <c r="G2113" t="s">
        <v>117</v>
      </c>
      <c r="H2113">
        <v>840841921</v>
      </c>
      <c r="I2113" t="s">
        <v>29</v>
      </c>
      <c r="K2113" t="str">
        <f>IF(Table3[[#This Row],[Type Received]]=2,"CC",(IF(Table3[[#This Row],[Type Received]]=3,"BILL","ACH")))</f>
        <v>ACH</v>
      </c>
    </row>
    <row r="2114" spans="1:11" x14ac:dyDescent="0.25">
      <c r="A2114">
        <v>201660</v>
      </c>
      <c r="B2114" s="3">
        <v>46145</v>
      </c>
      <c r="C2114">
        <v>1</v>
      </c>
      <c r="D2114">
        <v>36.21</v>
      </c>
      <c r="G2114" t="s">
        <v>113</v>
      </c>
      <c r="H2114">
        <v>546431528</v>
      </c>
      <c r="I2114" t="s">
        <v>29</v>
      </c>
      <c r="K2114" t="str">
        <f>IF(Table3[[#This Row],[Type Received]]=2,"CC",(IF(Table3[[#This Row],[Type Received]]=3,"BILL","ACH")))</f>
        <v>ACH</v>
      </c>
    </row>
    <row r="2115" spans="1:11" x14ac:dyDescent="0.25">
      <c r="A2115">
        <v>201722</v>
      </c>
      <c r="B2115" s="3">
        <v>46145</v>
      </c>
      <c r="C2115">
        <v>1</v>
      </c>
      <c r="D2115">
        <v>17.510000000000002</v>
      </c>
      <c r="G2115" t="s">
        <v>113</v>
      </c>
      <c r="H2115">
        <v>546421057</v>
      </c>
      <c r="I2115" t="s">
        <v>29</v>
      </c>
      <c r="J2115" t="s">
        <v>29</v>
      </c>
      <c r="K2115" t="str">
        <f>IF(Table3[[#This Row],[Type Received]]=2,"CC",(IF(Table3[[#This Row],[Type Received]]=3,"BILL","ACH")))</f>
        <v>ACH</v>
      </c>
    </row>
    <row r="2116" spans="1:11" x14ac:dyDescent="0.25">
      <c r="A2116">
        <v>202322</v>
      </c>
      <c r="B2116" s="3">
        <v>46145</v>
      </c>
      <c r="C2116">
        <v>2</v>
      </c>
      <c r="D2116">
        <v>91.43</v>
      </c>
      <c r="F2116">
        <v>37186</v>
      </c>
      <c r="G2116" t="s">
        <v>28</v>
      </c>
      <c r="H2116">
        <v>546442292</v>
      </c>
      <c r="I2116" t="s">
        <v>29</v>
      </c>
      <c r="J2116" t="s">
        <v>29</v>
      </c>
      <c r="K2116" t="str">
        <f>IF(Table3[[#This Row],[Type Received]]=2,"CC",(IF(Table3[[#This Row],[Type Received]]=3,"BILL","ACH")))</f>
        <v>CC</v>
      </c>
    </row>
    <row r="2117" spans="1:11" x14ac:dyDescent="0.25">
      <c r="A2117">
        <v>202336</v>
      </c>
      <c r="B2117" s="3">
        <v>46153</v>
      </c>
      <c r="C2117">
        <v>3</v>
      </c>
      <c r="D2117">
        <v>15</v>
      </c>
      <c r="E2117">
        <v>78035968417</v>
      </c>
      <c r="J2117" t="s">
        <v>29</v>
      </c>
      <c r="K2117" t="str">
        <f>IF(Table3[[#This Row],[Type Received]]=2,"CC",(IF(Table3[[#This Row],[Type Received]]=3,"BILL","ACH")))</f>
        <v>BILL</v>
      </c>
    </row>
    <row r="2118" spans="1:11" x14ac:dyDescent="0.25">
      <c r="A2118">
        <v>202382</v>
      </c>
      <c r="B2118" s="3">
        <v>46157</v>
      </c>
      <c r="C2118">
        <v>2</v>
      </c>
      <c r="D2118">
        <v>24.11</v>
      </c>
      <c r="F2118">
        <v>673015</v>
      </c>
      <c r="G2118" t="s">
        <v>28</v>
      </c>
      <c r="H2118">
        <v>696757127</v>
      </c>
      <c r="I2118" t="s">
        <v>29</v>
      </c>
      <c r="K2118" t="str">
        <f>IF(Table3[[#This Row],[Type Received]]=2,"CC",(IF(Table3[[#This Row],[Type Received]]=3,"BILL","ACH")))</f>
        <v>CC</v>
      </c>
    </row>
    <row r="2119" spans="1:11" x14ac:dyDescent="0.25">
      <c r="A2119">
        <v>202084</v>
      </c>
      <c r="B2119" s="3">
        <v>46159</v>
      </c>
      <c r="C2119">
        <v>2</v>
      </c>
      <c r="D2119">
        <v>20.05</v>
      </c>
      <c r="F2119">
        <v>85451</v>
      </c>
      <c r="G2119">
        <v>746397880</v>
      </c>
      <c r="H2119">
        <v>354938420</v>
      </c>
      <c r="J2119" t="s">
        <v>29</v>
      </c>
      <c r="K2119" t="str">
        <f>IF(Table3[[#This Row],[Type Received]]=2,"CC",(IF(Table3[[#This Row],[Type Received]]=3,"BILL","ACH")))</f>
        <v>CC</v>
      </c>
    </row>
    <row r="2120" spans="1:11" x14ac:dyDescent="0.25">
      <c r="A2120">
        <v>202109</v>
      </c>
      <c r="B2120" s="3">
        <v>46157</v>
      </c>
      <c r="C2120">
        <v>1</v>
      </c>
      <c r="D2120">
        <v>47.21</v>
      </c>
      <c r="G2120" t="s">
        <v>87</v>
      </c>
      <c r="H2120">
        <v>696744526</v>
      </c>
      <c r="I2120" t="s">
        <v>29</v>
      </c>
      <c r="J2120" t="s">
        <v>29</v>
      </c>
      <c r="K2120" t="str">
        <f>IF(Table3[[#This Row],[Type Received]]=2,"CC",(IF(Table3[[#This Row],[Type Received]]=3,"BILL","ACH")))</f>
        <v>ACH</v>
      </c>
    </row>
    <row r="2121" spans="1:11" x14ac:dyDescent="0.25">
      <c r="A2121">
        <v>202200</v>
      </c>
      <c r="B2121" s="3">
        <v>46157</v>
      </c>
      <c r="C2121">
        <v>1</v>
      </c>
      <c r="D2121">
        <v>67.34</v>
      </c>
      <c r="G2121" t="s">
        <v>87</v>
      </c>
      <c r="H2121">
        <v>696752244</v>
      </c>
      <c r="I2121" t="s">
        <v>29</v>
      </c>
      <c r="J2121" t="s">
        <v>29</v>
      </c>
      <c r="K2121" t="str">
        <f>IF(Table3[[#This Row],[Type Received]]=2,"CC",(IF(Table3[[#This Row],[Type Received]]=3,"BILL","ACH")))</f>
        <v>ACH</v>
      </c>
    </row>
    <row r="2122" spans="1:11" x14ac:dyDescent="0.25">
      <c r="A2122">
        <v>202420</v>
      </c>
      <c r="B2122" s="3">
        <v>46150</v>
      </c>
      <c r="C2122">
        <v>3</v>
      </c>
      <c r="D2122">
        <v>47.22</v>
      </c>
      <c r="E2122">
        <v>1791</v>
      </c>
      <c r="J2122" t="s">
        <v>29</v>
      </c>
      <c r="K2122" t="str">
        <f>IF(Table3[[#This Row],[Type Received]]=2,"CC",(IF(Table3[[#This Row],[Type Received]]=3,"BILL","ACH")))</f>
        <v>BILL</v>
      </c>
    </row>
    <row r="2123" spans="1:11" x14ac:dyDescent="0.25">
      <c r="A2123">
        <v>202565</v>
      </c>
      <c r="B2123" s="3">
        <v>46157</v>
      </c>
      <c r="C2123">
        <v>1</v>
      </c>
      <c r="D2123">
        <v>29.72</v>
      </c>
      <c r="G2123" t="s">
        <v>87</v>
      </c>
      <c r="H2123">
        <v>696733878</v>
      </c>
      <c r="I2123" t="s">
        <v>29</v>
      </c>
      <c r="J2123" t="s">
        <v>29</v>
      </c>
      <c r="K2123" t="str">
        <f>IF(Table3[[#This Row],[Type Received]]=2,"CC",(IF(Table3[[#This Row],[Type Received]]=3,"BILL","ACH")))</f>
        <v>ACH</v>
      </c>
    </row>
    <row r="2124" spans="1:11" x14ac:dyDescent="0.25">
      <c r="A2124">
        <v>202584</v>
      </c>
      <c r="B2124" s="3">
        <v>46169</v>
      </c>
      <c r="C2124">
        <v>1</v>
      </c>
      <c r="D2124">
        <v>14.21</v>
      </c>
      <c r="G2124" t="s">
        <v>117</v>
      </c>
      <c r="H2124">
        <v>840842825</v>
      </c>
      <c r="I2124" t="s">
        <v>29</v>
      </c>
      <c r="J2124" t="s">
        <v>29</v>
      </c>
      <c r="K2124" t="str">
        <f>IF(Table3[[#This Row],[Type Received]]=2,"CC",(IF(Table3[[#This Row],[Type Received]]=3,"BILL","ACH")))</f>
        <v>ACH</v>
      </c>
    </row>
    <row r="2125" spans="1:11" x14ac:dyDescent="0.25">
      <c r="A2125">
        <v>202822</v>
      </c>
      <c r="B2125" s="3">
        <v>46157</v>
      </c>
      <c r="C2125">
        <v>1</v>
      </c>
      <c r="D2125">
        <v>27.08</v>
      </c>
      <c r="G2125" t="s">
        <v>87</v>
      </c>
      <c r="H2125">
        <v>696742664</v>
      </c>
      <c r="I2125" t="s">
        <v>29</v>
      </c>
      <c r="J2125" t="s">
        <v>29</v>
      </c>
      <c r="K2125" t="str">
        <f>IF(Table3[[#This Row],[Type Received]]=2,"CC",(IF(Table3[[#This Row],[Type Received]]=3,"BILL","ACH")))</f>
        <v>ACH</v>
      </c>
    </row>
    <row r="2126" spans="1:11" x14ac:dyDescent="0.25">
      <c r="A2126">
        <v>202839</v>
      </c>
      <c r="B2126" s="3">
        <v>46145</v>
      </c>
      <c r="C2126">
        <v>1</v>
      </c>
      <c r="D2126">
        <v>10.25</v>
      </c>
      <c r="G2126" t="s">
        <v>113</v>
      </c>
      <c r="H2126">
        <v>546435473</v>
      </c>
      <c r="I2126" t="s">
        <v>29</v>
      </c>
      <c r="J2126" t="s">
        <v>29</v>
      </c>
      <c r="K2126" t="str">
        <f>IF(Table3[[#This Row],[Type Received]]=2,"CC",(IF(Table3[[#This Row],[Type Received]]=3,"BILL","ACH")))</f>
        <v>ACH</v>
      </c>
    </row>
    <row r="2127" spans="1:11" x14ac:dyDescent="0.25">
      <c r="A2127">
        <v>202857</v>
      </c>
      <c r="B2127" s="3">
        <v>46147</v>
      </c>
      <c r="C2127">
        <v>2</v>
      </c>
      <c r="D2127">
        <v>23.45</v>
      </c>
      <c r="F2127">
        <v>183466</v>
      </c>
      <c r="G2127" s="4" t="s">
        <v>28</v>
      </c>
      <c r="H2127">
        <v>569472900</v>
      </c>
      <c r="I2127" t="s">
        <v>29</v>
      </c>
      <c r="J2127" t="s">
        <v>29</v>
      </c>
      <c r="K2127" t="str">
        <f>IF(Table3[[#This Row],[Type Received]]=2,"CC",(IF(Table3[[#This Row],[Type Received]]=3,"BILL","ACH")))</f>
        <v>CC</v>
      </c>
    </row>
    <row r="2128" spans="1:11" x14ac:dyDescent="0.25">
      <c r="A2128">
        <v>202898</v>
      </c>
      <c r="B2128" s="3">
        <v>46155</v>
      </c>
      <c r="C2128">
        <v>2</v>
      </c>
      <c r="D2128">
        <v>52.83</v>
      </c>
      <c r="F2128">
        <v>2529</v>
      </c>
      <c r="G2128">
        <v>744917848</v>
      </c>
      <c r="H2128">
        <v>354511544</v>
      </c>
      <c r="J2128" t="s">
        <v>29</v>
      </c>
      <c r="K2128" t="str">
        <f>IF(Table3[[#This Row],[Type Received]]=2,"CC",(IF(Table3[[#This Row],[Type Received]]=3,"BILL","ACH")))</f>
        <v>CC</v>
      </c>
    </row>
    <row r="2129" spans="1:11" x14ac:dyDescent="0.25">
      <c r="A2129">
        <v>202654</v>
      </c>
      <c r="B2129" s="3">
        <v>46145</v>
      </c>
      <c r="C2129">
        <v>1</v>
      </c>
      <c r="D2129">
        <v>23.34</v>
      </c>
      <c r="G2129" t="s">
        <v>113</v>
      </c>
      <c r="H2129">
        <v>546421998</v>
      </c>
      <c r="I2129" t="s">
        <v>29</v>
      </c>
      <c r="K2129" t="str">
        <f>IF(Table3[[#This Row],[Type Received]]=2,"CC",(IF(Table3[[#This Row],[Type Received]]=3,"BILL","ACH")))</f>
        <v>ACH</v>
      </c>
    </row>
    <row r="2130" spans="1:11" x14ac:dyDescent="0.25">
      <c r="A2130">
        <v>202713</v>
      </c>
      <c r="B2130" s="3">
        <v>46146</v>
      </c>
      <c r="C2130">
        <v>3</v>
      </c>
      <c r="D2130">
        <v>66.38</v>
      </c>
      <c r="E2130">
        <v>55130626488</v>
      </c>
      <c r="G2130" s="4"/>
      <c r="J2130" t="s">
        <v>29</v>
      </c>
      <c r="K2130" t="str">
        <f>IF(Table3[[#This Row],[Type Received]]=2,"CC",(IF(Table3[[#This Row],[Type Received]]=3,"BILL","ACH")))</f>
        <v>BILL</v>
      </c>
    </row>
    <row r="2131" spans="1:11" x14ac:dyDescent="0.25">
      <c r="A2131">
        <v>202725</v>
      </c>
      <c r="B2131" s="3">
        <v>46145</v>
      </c>
      <c r="C2131">
        <v>1</v>
      </c>
      <c r="D2131">
        <v>39.950000000000003</v>
      </c>
      <c r="G2131" t="s">
        <v>113</v>
      </c>
      <c r="H2131">
        <v>546446156</v>
      </c>
      <c r="I2131" t="s">
        <v>29</v>
      </c>
      <c r="J2131" t="s">
        <v>29</v>
      </c>
      <c r="K2131" t="str">
        <f>IF(Table3[[#This Row],[Type Received]]=2,"CC",(IF(Table3[[#This Row],[Type Received]]=3,"BILL","ACH")))</f>
        <v>ACH</v>
      </c>
    </row>
    <row r="2132" spans="1:11" x14ac:dyDescent="0.25">
      <c r="A2132">
        <v>202745</v>
      </c>
      <c r="B2132" s="3">
        <v>46153</v>
      </c>
      <c r="C2132">
        <v>3</v>
      </c>
      <c r="D2132">
        <v>53.18</v>
      </c>
      <c r="E2132">
        <v>9326</v>
      </c>
      <c r="K2132" t="str">
        <f>IF(Table3[[#This Row],[Type Received]]=2,"CC",(IF(Table3[[#This Row],[Type Received]]=3,"BILL","ACH")))</f>
        <v>BILL</v>
      </c>
    </row>
    <row r="2133" spans="1:11" x14ac:dyDescent="0.25">
      <c r="A2133">
        <v>202747</v>
      </c>
      <c r="B2133" s="3">
        <v>46170</v>
      </c>
      <c r="C2133">
        <v>2</v>
      </c>
      <c r="D2133">
        <v>84.22</v>
      </c>
      <c r="F2133">
        <v>76285</v>
      </c>
      <c r="G2133" t="s">
        <v>28</v>
      </c>
      <c r="H2133">
        <v>859202351</v>
      </c>
      <c r="I2133" t="s">
        <v>29</v>
      </c>
      <c r="J2133" t="s">
        <v>29</v>
      </c>
      <c r="K2133" t="str">
        <f>IF(Table3[[#This Row],[Type Received]]=2,"CC",(IF(Table3[[#This Row],[Type Received]]=3,"BILL","ACH")))</f>
        <v>CC</v>
      </c>
    </row>
    <row r="2134" spans="1:11" x14ac:dyDescent="0.25">
      <c r="A2134">
        <v>203004</v>
      </c>
      <c r="B2134" s="3">
        <v>46145</v>
      </c>
      <c r="C2134">
        <v>1</v>
      </c>
      <c r="D2134">
        <v>43.03</v>
      </c>
      <c r="G2134" s="4" t="s">
        <v>113</v>
      </c>
      <c r="H2134">
        <v>546446171</v>
      </c>
      <c r="I2134" t="s">
        <v>29</v>
      </c>
      <c r="J2134" t="s">
        <v>29</v>
      </c>
      <c r="K2134" t="str">
        <f>IF(Table3[[#This Row],[Type Received]]=2,"CC",(IF(Table3[[#This Row],[Type Received]]=3,"BILL","ACH")))</f>
        <v>ACH</v>
      </c>
    </row>
    <row r="2135" spans="1:11" x14ac:dyDescent="0.25">
      <c r="A2135">
        <v>203078</v>
      </c>
      <c r="B2135" s="3">
        <v>46169</v>
      </c>
      <c r="C2135">
        <v>1</v>
      </c>
      <c r="D2135">
        <v>42.7</v>
      </c>
      <c r="G2135" t="s">
        <v>117</v>
      </c>
      <c r="H2135">
        <v>840853447</v>
      </c>
      <c r="I2135" t="s">
        <v>29</v>
      </c>
      <c r="J2135" t="s">
        <v>29</v>
      </c>
      <c r="K2135" t="str">
        <f>IF(Table3[[#This Row],[Type Received]]=2,"CC",(IF(Table3[[#This Row],[Type Received]]=3,"BILL","ACH")))</f>
        <v>ACH</v>
      </c>
    </row>
    <row r="2136" spans="1:11" x14ac:dyDescent="0.25">
      <c r="A2136">
        <v>203084</v>
      </c>
      <c r="B2136" s="3">
        <v>46145</v>
      </c>
      <c r="C2136">
        <v>1</v>
      </c>
      <c r="D2136">
        <v>33.79</v>
      </c>
      <c r="G2136" s="4" t="s">
        <v>113</v>
      </c>
      <c r="H2136">
        <v>546408501</v>
      </c>
      <c r="I2136" t="s">
        <v>29</v>
      </c>
      <c r="K2136" t="str">
        <f>IF(Table3[[#This Row],[Type Received]]=2,"CC",(IF(Table3[[#This Row],[Type Received]]=3,"BILL","ACH")))</f>
        <v>ACH</v>
      </c>
    </row>
    <row r="2137" spans="1:11" x14ac:dyDescent="0.25">
      <c r="A2137">
        <v>203091</v>
      </c>
      <c r="B2137" s="3">
        <v>46157</v>
      </c>
      <c r="C2137">
        <v>1</v>
      </c>
      <c r="D2137">
        <v>25.32</v>
      </c>
      <c r="G2137" t="s">
        <v>87</v>
      </c>
      <c r="H2137">
        <v>696754289</v>
      </c>
      <c r="I2137" t="s">
        <v>29</v>
      </c>
      <c r="J2137" t="s">
        <v>29</v>
      </c>
      <c r="K2137" t="str">
        <f>IF(Table3[[#This Row],[Type Received]]=2,"CC",(IF(Table3[[#This Row],[Type Received]]=3,"BILL","ACH")))</f>
        <v>ACH</v>
      </c>
    </row>
    <row r="2138" spans="1:11" x14ac:dyDescent="0.25">
      <c r="A2138">
        <v>203189</v>
      </c>
      <c r="B2138" s="3">
        <v>46155</v>
      </c>
      <c r="C2138">
        <v>2</v>
      </c>
      <c r="D2138">
        <v>31.05</v>
      </c>
      <c r="F2138">
        <v>805232</v>
      </c>
      <c r="G2138" t="s">
        <v>28</v>
      </c>
      <c r="H2138">
        <v>672610326</v>
      </c>
      <c r="I2138" t="s">
        <v>29</v>
      </c>
      <c r="J2138" t="s">
        <v>29</v>
      </c>
      <c r="K2138" t="str">
        <f>IF(Table3[[#This Row],[Type Received]]=2,"CC",(IF(Table3[[#This Row],[Type Received]]=3,"BILL","ACH")))</f>
        <v>CC</v>
      </c>
    </row>
    <row r="2139" spans="1:11" x14ac:dyDescent="0.25">
      <c r="A2139">
        <v>203241</v>
      </c>
      <c r="B2139" s="3">
        <v>46150</v>
      </c>
      <c r="C2139">
        <v>3</v>
      </c>
      <c r="D2139">
        <v>34.35</v>
      </c>
      <c r="E2139">
        <v>5576</v>
      </c>
      <c r="K2139" t="str">
        <f>IF(Table3[[#This Row],[Type Received]]=2,"CC",(IF(Table3[[#This Row],[Type Received]]=3,"BILL","ACH")))</f>
        <v>BILL</v>
      </c>
    </row>
    <row r="2140" spans="1:11" x14ac:dyDescent="0.25">
      <c r="A2140">
        <v>203246</v>
      </c>
      <c r="B2140" s="3">
        <v>46162</v>
      </c>
      <c r="C2140">
        <v>2</v>
      </c>
      <c r="D2140">
        <v>64.41</v>
      </c>
      <c r="F2140" t="s">
        <v>243</v>
      </c>
      <c r="G2140" t="s">
        <v>28</v>
      </c>
      <c r="H2140">
        <v>763372202</v>
      </c>
      <c r="I2140" t="s">
        <v>29</v>
      </c>
      <c r="J2140" t="s">
        <v>29</v>
      </c>
      <c r="K2140" t="str">
        <f>IF(Table3[[#This Row],[Type Received]]=2,"CC",(IF(Table3[[#This Row],[Type Received]]=3,"BILL","ACH")))</f>
        <v>CC</v>
      </c>
    </row>
    <row r="2141" spans="1:11" x14ac:dyDescent="0.25">
      <c r="A2141">
        <v>203259</v>
      </c>
      <c r="B2141" s="3">
        <v>46150</v>
      </c>
      <c r="C2141">
        <v>3</v>
      </c>
      <c r="D2141">
        <v>16.53</v>
      </c>
      <c r="E2141">
        <v>193339178</v>
      </c>
      <c r="J2141" t="s">
        <v>29</v>
      </c>
      <c r="K2141" t="str">
        <f>IF(Table3[[#This Row],[Type Received]]=2,"CC",(IF(Table3[[#This Row],[Type Received]]=3,"BILL","ACH")))</f>
        <v>BILL</v>
      </c>
    </row>
    <row r="2142" spans="1:11" x14ac:dyDescent="0.25">
      <c r="A2142">
        <v>203348</v>
      </c>
      <c r="B2142" s="3">
        <v>46148</v>
      </c>
      <c r="C2142">
        <v>3</v>
      </c>
      <c r="D2142">
        <v>31.93</v>
      </c>
      <c r="E2142">
        <v>3913</v>
      </c>
      <c r="J2142" t="s">
        <v>29</v>
      </c>
      <c r="K2142" t="str">
        <f>IF(Table3[[#This Row],[Type Received]]=2,"CC",(IF(Table3[[#This Row],[Type Received]]=3,"BILL","ACH")))</f>
        <v>BILL</v>
      </c>
    </row>
    <row r="2143" spans="1:11" x14ac:dyDescent="0.25">
      <c r="A2143">
        <v>203368</v>
      </c>
      <c r="B2143" s="3">
        <v>46162</v>
      </c>
      <c r="C2143">
        <v>1</v>
      </c>
      <c r="D2143">
        <v>33.35</v>
      </c>
      <c r="G2143" t="s">
        <v>107</v>
      </c>
      <c r="H2143">
        <v>757837469</v>
      </c>
      <c r="I2143" t="s">
        <v>29</v>
      </c>
      <c r="K2143" t="str">
        <f>IF(Table3[[#This Row],[Type Received]]=2,"CC",(IF(Table3[[#This Row],[Type Received]]=3,"BILL","ACH")))</f>
        <v>ACH</v>
      </c>
    </row>
    <row r="2144" spans="1:11" x14ac:dyDescent="0.25">
      <c r="A2144">
        <v>203415</v>
      </c>
      <c r="B2144" s="3">
        <v>46157</v>
      </c>
      <c r="C2144">
        <v>1</v>
      </c>
      <c r="D2144">
        <v>39.950000000000003</v>
      </c>
      <c r="G2144" t="s">
        <v>87</v>
      </c>
      <c r="H2144">
        <v>696756200</v>
      </c>
      <c r="I2144" t="s">
        <v>29</v>
      </c>
      <c r="J2144" t="s">
        <v>29</v>
      </c>
      <c r="K2144" t="str">
        <f>IF(Table3[[#This Row],[Type Received]]=2,"CC",(IF(Table3[[#This Row],[Type Received]]=3,"BILL","ACH")))</f>
        <v>ACH</v>
      </c>
    </row>
    <row r="2145" spans="1:11" x14ac:dyDescent="0.25">
      <c r="A2145">
        <v>203424</v>
      </c>
      <c r="B2145" s="3">
        <v>46169</v>
      </c>
      <c r="C2145">
        <v>1</v>
      </c>
      <c r="D2145">
        <v>30.05</v>
      </c>
      <c r="G2145" t="s">
        <v>117</v>
      </c>
      <c r="H2145">
        <v>840853471</v>
      </c>
      <c r="I2145" t="s">
        <v>29</v>
      </c>
      <c r="K2145" t="str">
        <f>IF(Table3[[#This Row],[Type Received]]=2,"CC",(IF(Table3[[#This Row],[Type Received]]=3,"BILL","ACH")))</f>
        <v>ACH</v>
      </c>
    </row>
    <row r="2146" spans="1:11" x14ac:dyDescent="0.25">
      <c r="A2146">
        <v>203428</v>
      </c>
      <c r="B2146" s="3">
        <v>46169</v>
      </c>
      <c r="C2146">
        <v>1</v>
      </c>
      <c r="D2146">
        <v>74.930000000000007</v>
      </c>
      <c r="G2146" t="s">
        <v>117</v>
      </c>
      <c r="H2146">
        <v>840864188</v>
      </c>
      <c r="I2146" t="s">
        <v>29</v>
      </c>
      <c r="J2146" t="s">
        <v>29</v>
      </c>
      <c r="K2146" t="str">
        <f>IF(Table3[[#This Row],[Type Received]]=2,"CC",(IF(Table3[[#This Row],[Type Received]]=3,"BILL","ACH")))</f>
        <v>ACH</v>
      </c>
    </row>
    <row r="2147" spans="1:11" x14ac:dyDescent="0.25">
      <c r="A2147">
        <v>203445</v>
      </c>
      <c r="B2147" s="3">
        <v>46162</v>
      </c>
      <c r="C2147">
        <v>2</v>
      </c>
      <c r="D2147">
        <v>34</v>
      </c>
      <c r="F2147">
        <v>54017</v>
      </c>
      <c r="G2147">
        <v>747121142</v>
      </c>
      <c r="H2147">
        <v>355206633</v>
      </c>
      <c r="J2147" t="s">
        <v>29</v>
      </c>
      <c r="K2147" t="str">
        <f>IF(Table3[[#This Row],[Type Received]]=2,"CC",(IF(Table3[[#This Row],[Type Received]]=3,"BILL","ACH")))</f>
        <v>CC</v>
      </c>
    </row>
    <row r="2148" spans="1:11" x14ac:dyDescent="0.25">
      <c r="A2148">
        <v>203504</v>
      </c>
      <c r="B2148" s="3">
        <v>46157</v>
      </c>
      <c r="C2148">
        <v>1</v>
      </c>
      <c r="D2148">
        <v>106.94</v>
      </c>
      <c r="G2148" t="s">
        <v>87</v>
      </c>
      <c r="H2148">
        <v>696750398</v>
      </c>
      <c r="I2148" t="s">
        <v>29</v>
      </c>
      <c r="J2148" t="s">
        <v>29</v>
      </c>
      <c r="K2148" t="str">
        <f>IF(Table3[[#This Row],[Type Received]]=2,"CC",(IF(Table3[[#This Row],[Type Received]]=3,"BILL","ACH")))</f>
        <v>ACH</v>
      </c>
    </row>
    <row r="2149" spans="1:11" x14ac:dyDescent="0.25">
      <c r="A2149">
        <v>203629</v>
      </c>
      <c r="B2149" s="3">
        <v>46161</v>
      </c>
      <c r="C2149">
        <v>2</v>
      </c>
      <c r="D2149">
        <v>32.369999999999997</v>
      </c>
      <c r="F2149">
        <v>154940</v>
      </c>
      <c r="G2149" t="s">
        <v>28</v>
      </c>
      <c r="H2149">
        <v>750732087</v>
      </c>
      <c r="I2149" t="s">
        <v>29</v>
      </c>
      <c r="J2149" t="s">
        <v>29</v>
      </c>
      <c r="K2149" t="str">
        <f>IF(Table3[[#This Row],[Type Received]]=2,"CC",(IF(Table3[[#This Row],[Type Received]]=3,"BILL","ACH")))</f>
        <v>CC</v>
      </c>
    </row>
    <row r="2150" spans="1:11" x14ac:dyDescent="0.25">
      <c r="A2150">
        <v>203638</v>
      </c>
      <c r="B2150" s="3">
        <v>46169</v>
      </c>
      <c r="C2150">
        <v>1</v>
      </c>
      <c r="D2150">
        <v>41.6</v>
      </c>
      <c r="G2150" t="s">
        <v>117</v>
      </c>
      <c r="H2150">
        <v>840844833</v>
      </c>
      <c r="I2150" t="s">
        <v>29</v>
      </c>
      <c r="J2150" t="s">
        <v>29</v>
      </c>
      <c r="K2150" t="str">
        <f>IF(Table3[[#This Row],[Type Received]]=2,"CC",(IF(Table3[[#This Row],[Type Received]]=3,"BILL","ACH")))</f>
        <v>ACH</v>
      </c>
    </row>
    <row r="2151" spans="1:11" x14ac:dyDescent="0.25">
      <c r="A2151">
        <v>203674</v>
      </c>
      <c r="B2151" s="3">
        <v>46157</v>
      </c>
      <c r="C2151">
        <v>1</v>
      </c>
      <c r="D2151">
        <v>26.09</v>
      </c>
      <c r="G2151" t="s">
        <v>87</v>
      </c>
      <c r="H2151">
        <v>696733940</v>
      </c>
      <c r="I2151" t="s">
        <v>29</v>
      </c>
      <c r="J2151" t="s">
        <v>29</v>
      </c>
      <c r="K2151" t="str">
        <f>IF(Table3[[#This Row],[Type Received]]=2,"CC",(IF(Table3[[#This Row],[Type Received]]=3,"BILL","ACH")))</f>
        <v>ACH</v>
      </c>
    </row>
    <row r="2152" spans="1:11" x14ac:dyDescent="0.25">
      <c r="A2152">
        <v>203678</v>
      </c>
      <c r="B2152" s="3">
        <v>46157</v>
      </c>
      <c r="C2152">
        <v>1</v>
      </c>
      <c r="D2152">
        <v>18.170000000000002</v>
      </c>
      <c r="G2152" t="s">
        <v>87</v>
      </c>
      <c r="H2152">
        <v>696752332</v>
      </c>
      <c r="I2152" t="s">
        <v>29</v>
      </c>
      <c r="J2152" t="s">
        <v>29</v>
      </c>
      <c r="K2152" t="str">
        <f>IF(Table3[[#This Row],[Type Received]]=2,"CC",(IF(Table3[[#This Row],[Type Received]]=3,"BILL","ACH")))</f>
        <v>ACH</v>
      </c>
    </row>
    <row r="2153" spans="1:11" x14ac:dyDescent="0.25">
      <c r="A2153">
        <v>203711</v>
      </c>
      <c r="B2153" s="3">
        <v>46144</v>
      </c>
      <c r="C2153">
        <v>2</v>
      </c>
      <c r="D2153">
        <v>17.29</v>
      </c>
      <c r="F2153">
        <v>372734</v>
      </c>
      <c r="G2153" t="s">
        <v>28</v>
      </c>
      <c r="H2153">
        <v>535383496</v>
      </c>
      <c r="I2153" t="s">
        <v>29</v>
      </c>
      <c r="J2153" t="s">
        <v>29</v>
      </c>
      <c r="K2153" t="str">
        <f>IF(Table3[[#This Row],[Type Received]]=2,"CC",(IF(Table3[[#This Row],[Type Received]]=3,"BILL","ACH")))</f>
        <v>CC</v>
      </c>
    </row>
    <row r="2154" spans="1:11" x14ac:dyDescent="0.25">
      <c r="A2154">
        <v>203782</v>
      </c>
      <c r="B2154" s="3">
        <v>46169</v>
      </c>
      <c r="C2154">
        <v>2</v>
      </c>
      <c r="D2154">
        <v>108.31</v>
      </c>
      <c r="F2154" t="s">
        <v>244</v>
      </c>
      <c r="G2154">
        <v>749271671</v>
      </c>
      <c r="H2154">
        <v>355945238</v>
      </c>
      <c r="J2154" t="s">
        <v>29</v>
      </c>
      <c r="K2154" t="str">
        <f>IF(Table3[[#This Row],[Type Received]]=2,"CC",(IF(Table3[[#This Row],[Type Received]]=3,"BILL","ACH")))</f>
        <v>CC</v>
      </c>
    </row>
    <row r="2155" spans="1:11" x14ac:dyDescent="0.25">
      <c r="A2155">
        <v>203874</v>
      </c>
      <c r="B2155" s="3">
        <v>46156</v>
      </c>
      <c r="C2155">
        <v>2</v>
      </c>
      <c r="D2155">
        <v>31.05</v>
      </c>
      <c r="F2155">
        <v>707274</v>
      </c>
      <c r="G2155">
        <v>745301931</v>
      </c>
      <c r="H2155">
        <v>354521186</v>
      </c>
      <c r="J2155" t="s">
        <v>29</v>
      </c>
      <c r="K2155" t="str">
        <f>IF(Table3[[#This Row],[Type Received]]=2,"CC",(IF(Table3[[#This Row],[Type Received]]=3,"BILL","ACH")))</f>
        <v>CC</v>
      </c>
    </row>
    <row r="2156" spans="1:11" x14ac:dyDescent="0.25">
      <c r="A2156">
        <v>203900</v>
      </c>
      <c r="B2156" s="3">
        <v>46171</v>
      </c>
      <c r="C2156">
        <v>2</v>
      </c>
      <c r="D2156">
        <v>142.13999999999999</v>
      </c>
      <c r="F2156">
        <v>273868</v>
      </c>
      <c r="G2156" s="4" t="s">
        <v>28</v>
      </c>
      <c r="H2156">
        <v>867500950</v>
      </c>
      <c r="I2156" t="s">
        <v>29</v>
      </c>
      <c r="K2156" t="str">
        <f>IF(Table3[[#This Row],[Type Received]]=2,"CC",(IF(Table3[[#This Row],[Type Received]]=3,"BILL","ACH")))</f>
        <v>CC</v>
      </c>
    </row>
    <row r="2157" spans="1:11" x14ac:dyDescent="0.25">
      <c r="A2157">
        <v>203937</v>
      </c>
      <c r="B2157" s="3">
        <v>46169</v>
      </c>
      <c r="C2157">
        <v>1</v>
      </c>
      <c r="D2157">
        <v>39.729999999999997</v>
      </c>
      <c r="G2157" t="s">
        <v>117</v>
      </c>
      <c r="H2157">
        <v>840860388</v>
      </c>
      <c r="I2157" t="s">
        <v>29</v>
      </c>
      <c r="K2157" t="str">
        <f>IF(Table3[[#This Row],[Type Received]]=2,"CC",(IF(Table3[[#This Row],[Type Received]]=3,"BILL","ACH")))</f>
        <v>ACH</v>
      </c>
    </row>
    <row r="2158" spans="1:11" x14ac:dyDescent="0.25">
      <c r="A2158">
        <v>203992</v>
      </c>
      <c r="B2158" s="3">
        <v>46157</v>
      </c>
      <c r="C2158">
        <v>1</v>
      </c>
      <c r="D2158">
        <v>14.21</v>
      </c>
      <c r="G2158" s="4" t="s">
        <v>87</v>
      </c>
      <c r="H2158">
        <v>696758214</v>
      </c>
      <c r="I2158" t="s">
        <v>29</v>
      </c>
      <c r="J2158" t="s">
        <v>29</v>
      </c>
      <c r="K2158" t="str">
        <f>IF(Table3[[#This Row],[Type Received]]=2,"CC",(IF(Table3[[#This Row],[Type Received]]=3,"BILL","ACH")))</f>
        <v>ACH</v>
      </c>
    </row>
    <row r="2159" spans="1:11" x14ac:dyDescent="0.25">
      <c r="A2159">
        <v>204022</v>
      </c>
      <c r="B2159" s="3">
        <v>46145</v>
      </c>
      <c r="C2159">
        <v>1</v>
      </c>
      <c r="D2159">
        <v>21.46</v>
      </c>
      <c r="G2159" s="4" t="s">
        <v>113</v>
      </c>
      <c r="H2159">
        <v>546445177</v>
      </c>
      <c r="I2159" t="s">
        <v>29</v>
      </c>
      <c r="K2159" t="str">
        <f>IF(Table3[[#This Row],[Type Received]]=2,"CC",(IF(Table3[[#This Row],[Type Received]]=3,"BILL","ACH")))</f>
        <v>ACH</v>
      </c>
    </row>
    <row r="2160" spans="1:11" x14ac:dyDescent="0.25">
      <c r="A2160">
        <v>204119</v>
      </c>
      <c r="B2160" s="3">
        <v>46145</v>
      </c>
      <c r="C2160">
        <v>1</v>
      </c>
      <c r="D2160">
        <v>39.130000000000003</v>
      </c>
      <c r="G2160" t="s">
        <v>113</v>
      </c>
      <c r="H2160">
        <v>546422026</v>
      </c>
      <c r="I2160" t="s">
        <v>29</v>
      </c>
      <c r="J2160" t="s">
        <v>29</v>
      </c>
      <c r="K2160" t="str">
        <f>IF(Table3[[#This Row],[Type Received]]=2,"CC",(IF(Table3[[#This Row],[Type Received]]=3,"BILL","ACH")))</f>
        <v>ACH</v>
      </c>
    </row>
    <row r="2161" spans="1:11" x14ac:dyDescent="0.25">
      <c r="A2161">
        <v>204156</v>
      </c>
      <c r="B2161" s="3">
        <v>46145</v>
      </c>
      <c r="C2161">
        <v>1</v>
      </c>
      <c r="D2161">
        <v>24.99</v>
      </c>
      <c r="G2161" t="s">
        <v>113</v>
      </c>
      <c r="H2161">
        <v>546423977</v>
      </c>
      <c r="I2161" t="s">
        <v>29</v>
      </c>
      <c r="J2161" t="s">
        <v>29</v>
      </c>
      <c r="K2161" t="str">
        <f>IF(Table3[[#This Row],[Type Received]]=2,"CC",(IF(Table3[[#This Row],[Type Received]]=3,"BILL","ACH")))</f>
        <v>ACH</v>
      </c>
    </row>
    <row r="2162" spans="1:11" x14ac:dyDescent="0.25">
      <c r="A2162">
        <v>204166</v>
      </c>
      <c r="B2162" s="3">
        <v>46169</v>
      </c>
      <c r="C2162">
        <v>1</v>
      </c>
      <c r="D2162">
        <v>17.95</v>
      </c>
      <c r="G2162" t="s">
        <v>117</v>
      </c>
      <c r="H2162">
        <v>840866196</v>
      </c>
      <c r="I2162" t="s">
        <v>29</v>
      </c>
      <c r="K2162" t="str">
        <f>IF(Table3[[#This Row],[Type Received]]=2,"CC",(IF(Table3[[#This Row],[Type Received]]=3,"BILL","ACH")))</f>
        <v>ACH</v>
      </c>
    </row>
    <row r="2163" spans="1:11" x14ac:dyDescent="0.25">
      <c r="A2163">
        <v>204383</v>
      </c>
      <c r="B2163" s="3">
        <v>46157</v>
      </c>
      <c r="C2163">
        <v>1</v>
      </c>
      <c r="D2163">
        <v>39.29</v>
      </c>
      <c r="G2163" s="4" t="s">
        <v>87</v>
      </c>
      <c r="H2163">
        <v>696735986</v>
      </c>
      <c r="I2163" t="s">
        <v>29</v>
      </c>
      <c r="J2163" t="s">
        <v>29</v>
      </c>
      <c r="K2163" t="str">
        <f>IF(Table3[[#This Row],[Type Received]]=2,"CC",(IF(Table3[[#This Row],[Type Received]]=3,"BILL","ACH")))</f>
        <v>ACH</v>
      </c>
    </row>
    <row r="2164" spans="1:11" x14ac:dyDescent="0.25">
      <c r="A2164">
        <v>204384</v>
      </c>
      <c r="B2164" s="3">
        <v>46157</v>
      </c>
      <c r="C2164">
        <v>1</v>
      </c>
      <c r="D2164">
        <v>28.31</v>
      </c>
      <c r="G2164" t="s">
        <v>87</v>
      </c>
      <c r="H2164">
        <v>696739894</v>
      </c>
      <c r="I2164" t="s">
        <v>29</v>
      </c>
      <c r="K2164" t="str">
        <f>IF(Table3[[#This Row],[Type Received]]=2,"CC",(IF(Table3[[#This Row],[Type Received]]=3,"BILL","ACH")))</f>
        <v>ACH</v>
      </c>
    </row>
    <row r="2165" spans="1:11" x14ac:dyDescent="0.25">
      <c r="A2165">
        <v>204386</v>
      </c>
      <c r="B2165" s="3">
        <v>46162</v>
      </c>
      <c r="C2165">
        <v>1</v>
      </c>
      <c r="D2165">
        <v>46.22</v>
      </c>
      <c r="G2165" t="s">
        <v>107</v>
      </c>
      <c r="H2165">
        <v>757834554</v>
      </c>
      <c r="I2165" t="s">
        <v>29</v>
      </c>
      <c r="K2165" t="str">
        <f>IF(Table3[[#This Row],[Type Received]]=2,"CC",(IF(Table3[[#This Row],[Type Received]]=3,"BILL","ACH")))</f>
        <v>ACH</v>
      </c>
    </row>
    <row r="2166" spans="1:11" x14ac:dyDescent="0.25">
      <c r="A2166">
        <v>204450</v>
      </c>
      <c r="B2166" s="3">
        <v>46169</v>
      </c>
      <c r="C2166">
        <v>3</v>
      </c>
      <c r="D2166">
        <v>38.33</v>
      </c>
      <c r="E2166">
        <v>3471</v>
      </c>
      <c r="K2166" t="str">
        <f>IF(Table3[[#This Row],[Type Received]]=2,"CC",(IF(Table3[[#This Row],[Type Received]]=3,"BILL","ACH")))</f>
        <v>BILL</v>
      </c>
    </row>
    <row r="2167" spans="1:11" x14ac:dyDescent="0.25">
      <c r="A2167">
        <v>204450</v>
      </c>
      <c r="B2167" s="3">
        <v>46146</v>
      </c>
      <c r="C2167">
        <v>3</v>
      </c>
      <c r="D2167">
        <v>38.33</v>
      </c>
      <c r="E2167">
        <v>3467</v>
      </c>
      <c r="J2167" t="s">
        <v>29</v>
      </c>
      <c r="K2167" t="str">
        <f>IF(Table3[[#This Row],[Type Received]]=2,"CC",(IF(Table3[[#This Row],[Type Received]]=3,"BILL","ACH")))</f>
        <v>BILL</v>
      </c>
    </row>
    <row r="2168" spans="1:11" x14ac:dyDescent="0.25">
      <c r="A2168">
        <v>204504</v>
      </c>
      <c r="B2168" s="3">
        <v>46157</v>
      </c>
      <c r="C2168">
        <v>1</v>
      </c>
      <c r="D2168">
        <v>51.52</v>
      </c>
      <c r="G2168" t="s">
        <v>87</v>
      </c>
      <c r="H2168">
        <v>696749571</v>
      </c>
      <c r="I2168" t="s">
        <v>29</v>
      </c>
      <c r="J2168" t="s">
        <v>29</v>
      </c>
      <c r="K2168" t="str">
        <f>IF(Table3[[#This Row],[Type Received]]=2,"CC",(IF(Table3[[#This Row],[Type Received]]=3,"BILL","ACH")))</f>
        <v>ACH</v>
      </c>
    </row>
    <row r="2169" spans="1:11" x14ac:dyDescent="0.25">
      <c r="A2169">
        <v>204516</v>
      </c>
      <c r="B2169" s="3">
        <v>46157</v>
      </c>
      <c r="C2169">
        <v>1</v>
      </c>
      <c r="D2169">
        <v>28.75</v>
      </c>
      <c r="G2169" t="s">
        <v>87</v>
      </c>
      <c r="H2169">
        <v>696753348</v>
      </c>
      <c r="I2169" t="s">
        <v>29</v>
      </c>
      <c r="J2169" t="s">
        <v>29</v>
      </c>
      <c r="K2169" t="str">
        <f>IF(Table3[[#This Row],[Type Received]]=2,"CC",(IF(Table3[[#This Row],[Type Received]]=3,"BILL","ACH")))</f>
        <v>ACH</v>
      </c>
    </row>
    <row r="2170" spans="1:11" x14ac:dyDescent="0.25">
      <c r="A2170">
        <v>204582</v>
      </c>
      <c r="B2170" s="3">
        <v>46143</v>
      </c>
      <c r="C2170">
        <v>2</v>
      </c>
      <c r="D2170">
        <v>29.09</v>
      </c>
      <c r="F2170">
        <v>124990</v>
      </c>
      <c r="G2170" s="4" t="s">
        <v>28</v>
      </c>
      <c r="H2170">
        <v>522673812</v>
      </c>
      <c r="I2170" t="s">
        <v>29</v>
      </c>
      <c r="J2170" t="s">
        <v>29</v>
      </c>
      <c r="K2170" t="str">
        <f>IF(Table3[[#This Row],[Type Received]]=2,"CC",(IF(Table3[[#This Row],[Type Received]]=3,"BILL","ACH")))</f>
        <v>CC</v>
      </c>
    </row>
    <row r="2171" spans="1:11" x14ac:dyDescent="0.25">
      <c r="A2171">
        <v>204592</v>
      </c>
      <c r="B2171" s="3">
        <v>46170</v>
      </c>
      <c r="C2171">
        <v>2</v>
      </c>
      <c r="D2171">
        <v>56.26</v>
      </c>
      <c r="F2171">
        <v>19697</v>
      </c>
      <c r="G2171" s="4">
        <v>749514569</v>
      </c>
      <c r="H2171">
        <v>356055560</v>
      </c>
      <c r="J2171" t="s">
        <v>29</v>
      </c>
      <c r="K2171" t="str">
        <f>IF(Table3[[#This Row],[Type Received]]=2,"CC",(IF(Table3[[#This Row],[Type Received]]=3,"BILL","ACH")))</f>
        <v>CC</v>
      </c>
    </row>
    <row r="2172" spans="1:11" x14ac:dyDescent="0.25">
      <c r="A2172">
        <v>204622</v>
      </c>
      <c r="B2172" s="3">
        <v>46143</v>
      </c>
      <c r="C2172">
        <v>3</v>
      </c>
      <c r="D2172">
        <v>47.22</v>
      </c>
      <c r="E2172">
        <v>5628</v>
      </c>
      <c r="J2172" t="s">
        <v>29</v>
      </c>
      <c r="K2172" t="str">
        <f>IF(Table3[[#This Row],[Type Received]]=2,"CC",(IF(Table3[[#This Row],[Type Received]]=3,"BILL","ACH")))</f>
        <v>BILL</v>
      </c>
    </row>
    <row r="2173" spans="1:11" x14ac:dyDescent="0.25">
      <c r="A2173">
        <v>204730</v>
      </c>
      <c r="B2173" s="3">
        <v>46155</v>
      </c>
      <c r="C2173">
        <v>2</v>
      </c>
      <c r="D2173">
        <v>43.05</v>
      </c>
      <c r="F2173" t="s">
        <v>245</v>
      </c>
      <c r="G2173" t="s">
        <v>28</v>
      </c>
      <c r="H2173">
        <v>669500389</v>
      </c>
      <c r="I2173" t="s">
        <v>29</v>
      </c>
      <c r="J2173" t="s">
        <v>29</v>
      </c>
      <c r="K2173" t="str">
        <f>IF(Table3[[#This Row],[Type Received]]=2,"CC",(IF(Table3[[#This Row],[Type Received]]=3,"BILL","ACH")))</f>
        <v>CC</v>
      </c>
    </row>
    <row r="2174" spans="1:11" x14ac:dyDescent="0.25">
      <c r="A2174">
        <v>204867</v>
      </c>
      <c r="B2174" s="3">
        <v>46143</v>
      </c>
      <c r="C2174">
        <v>3</v>
      </c>
      <c r="D2174">
        <v>51.9</v>
      </c>
      <c r="E2174">
        <v>8073</v>
      </c>
      <c r="J2174" t="s">
        <v>29</v>
      </c>
      <c r="K2174" t="str">
        <f>IF(Table3[[#This Row],[Type Received]]=2,"CC",(IF(Table3[[#This Row],[Type Received]]=3,"BILL","ACH")))</f>
        <v>BILL</v>
      </c>
    </row>
    <row r="2175" spans="1:11" x14ac:dyDescent="0.25">
      <c r="A2175">
        <v>204900</v>
      </c>
      <c r="B2175" s="3">
        <v>46145</v>
      </c>
      <c r="C2175">
        <v>1</v>
      </c>
      <c r="D2175">
        <v>17.73</v>
      </c>
      <c r="G2175" t="s">
        <v>113</v>
      </c>
      <c r="H2175">
        <v>546424901</v>
      </c>
      <c r="I2175" t="s">
        <v>29</v>
      </c>
      <c r="K2175" t="str">
        <f>IF(Table3[[#This Row],[Type Received]]=2,"CC",(IF(Table3[[#This Row],[Type Received]]=3,"BILL","ACH")))</f>
        <v>ACH</v>
      </c>
    </row>
    <row r="2176" spans="1:11" x14ac:dyDescent="0.25">
      <c r="A2176">
        <v>204903</v>
      </c>
      <c r="B2176" s="3">
        <v>46145</v>
      </c>
      <c r="C2176">
        <v>1</v>
      </c>
      <c r="D2176">
        <v>17.420000000000002</v>
      </c>
      <c r="G2176" t="s">
        <v>113</v>
      </c>
      <c r="H2176">
        <v>546440352</v>
      </c>
      <c r="I2176" t="s">
        <v>29</v>
      </c>
      <c r="K2176" t="str">
        <f>IF(Table3[[#This Row],[Type Received]]=2,"CC",(IF(Table3[[#This Row],[Type Received]]=3,"BILL","ACH")))</f>
        <v>ACH</v>
      </c>
    </row>
    <row r="2177" spans="1:11" x14ac:dyDescent="0.25">
      <c r="A2177">
        <v>204921</v>
      </c>
      <c r="B2177" s="3">
        <v>46147</v>
      </c>
      <c r="C2177">
        <v>3</v>
      </c>
      <c r="D2177">
        <v>69.5</v>
      </c>
      <c r="E2177">
        <v>670</v>
      </c>
      <c r="J2177" t="s">
        <v>29</v>
      </c>
      <c r="K2177" t="str">
        <f>IF(Table3[[#This Row],[Type Received]]=2,"CC",(IF(Table3[[#This Row],[Type Received]]=3,"BILL","ACH")))</f>
        <v>BILL</v>
      </c>
    </row>
    <row r="2178" spans="1:11" x14ac:dyDescent="0.25">
      <c r="A2178">
        <v>204979</v>
      </c>
      <c r="B2178" s="3">
        <v>46169</v>
      </c>
      <c r="C2178">
        <v>1</v>
      </c>
      <c r="D2178">
        <v>30.38</v>
      </c>
      <c r="G2178" t="s">
        <v>117</v>
      </c>
      <c r="H2178">
        <v>840852576</v>
      </c>
      <c r="I2178" t="s">
        <v>29</v>
      </c>
      <c r="J2178" t="s">
        <v>29</v>
      </c>
      <c r="K2178" t="str">
        <f>IF(Table3[[#This Row],[Type Received]]=2,"CC",(IF(Table3[[#This Row],[Type Received]]=3,"BILL","ACH")))</f>
        <v>ACH</v>
      </c>
    </row>
    <row r="2179" spans="1:11" x14ac:dyDescent="0.25">
      <c r="A2179">
        <v>204982</v>
      </c>
      <c r="B2179" s="3">
        <v>46163</v>
      </c>
      <c r="C2179">
        <v>2</v>
      </c>
      <c r="D2179">
        <v>105.07</v>
      </c>
      <c r="F2179">
        <v>185848</v>
      </c>
      <c r="G2179">
        <v>747461115</v>
      </c>
      <c r="H2179">
        <v>355428767</v>
      </c>
      <c r="J2179" t="s">
        <v>29</v>
      </c>
      <c r="K2179" t="str">
        <f>IF(Table3[[#This Row],[Type Received]]=2,"CC",(IF(Table3[[#This Row],[Type Received]]=3,"BILL","ACH")))</f>
        <v>CC</v>
      </c>
    </row>
    <row r="2180" spans="1:11" x14ac:dyDescent="0.25">
      <c r="A2180">
        <v>204987</v>
      </c>
      <c r="B2180" s="3">
        <v>46145</v>
      </c>
      <c r="C2180">
        <v>1</v>
      </c>
      <c r="D2180">
        <v>39.97</v>
      </c>
      <c r="G2180" t="s">
        <v>113</v>
      </c>
      <c r="H2180">
        <v>546448168</v>
      </c>
      <c r="I2180" t="s">
        <v>29</v>
      </c>
      <c r="J2180" t="s">
        <v>29</v>
      </c>
      <c r="K2180" t="str">
        <f>IF(Table3[[#This Row],[Type Received]]=2,"CC",(IF(Table3[[#This Row],[Type Received]]=3,"BILL","ACH")))</f>
        <v>ACH</v>
      </c>
    </row>
    <row r="2181" spans="1:11" x14ac:dyDescent="0.25">
      <c r="A2181">
        <v>204996</v>
      </c>
      <c r="B2181" s="3">
        <v>46169</v>
      </c>
      <c r="C2181">
        <v>3</v>
      </c>
      <c r="D2181">
        <v>60.77</v>
      </c>
      <c r="E2181">
        <v>5145</v>
      </c>
      <c r="J2181" t="s">
        <v>29</v>
      </c>
      <c r="K2181" t="str">
        <f>IF(Table3[[#This Row],[Type Received]]=2,"CC",(IF(Table3[[#This Row],[Type Received]]=3,"BILL","ACH")))</f>
        <v>BILL</v>
      </c>
    </row>
    <row r="2182" spans="1:11" x14ac:dyDescent="0.25">
      <c r="A2182">
        <v>205114</v>
      </c>
      <c r="B2182" s="3">
        <v>46169</v>
      </c>
      <c r="C2182">
        <v>1</v>
      </c>
      <c r="D2182">
        <v>26.31</v>
      </c>
      <c r="G2182" t="s">
        <v>117</v>
      </c>
      <c r="H2182">
        <v>840863320</v>
      </c>
      <c r="I2182" t="s">
        <v>29</v>
      </c>
      <c r="J2182" t="s">
        <v>29</v>
      </c>
      <c r="K2182" t="str">
        <f>IF(Table3[[#This Row],[Type Received]]=2,"CC",(IF(Table3[[#This Row],[Type Received]]=3,"BILL","ACH")))</f>
        <v>ACH</v>
      </c>
    </row>
    <row r="2183" spans="1:11" x14ac:dyDescent="0.25">
      <c r="A2183">
        <v>205203</v>
      </c>
      <c r="B2183" s="3">
        <v>46155</v>
      </c>
      <c r="C2183">
        <v>2</v>
      </c>
      <c r="D2183">
        <v>55.15</v>
      </c>
      <c r="F2183">
        <v>672603</v>
      </c>
      <c r="G2183" t="s">
        <v>28</v>
      </c>
      <c r="H2183">
        <v>669483837</v>
      </c>
      <c r="I2183" t="s">
        <v>29</v>
      </c>
      <c r="J2183" t="s">
        <v>29</v>
      </c>
      <c r="K2183" t="str">
        <f>IF(Table3[[#This Row],[Type Received]]=2,"CC",(IF(Table3[[#This Row],[Type Received]]=3,"BILL","ACH")))</f>
        <v>CC</v>
      </c>
    </row>
    <row r="2184" spans="1:11" x14ac:dyDescent="0.25">
      <c r="A2184">
        <v>205280</v>
      </c>
      <c r="B2184" s="3">
        <v>46157</v>
      </c>
      <c r="C2184">
        <v>1</v>
      </c>
      <c r="D2184">
        <v>34.03</v>
      </c>
      <c r="G2184" t="s">
        <v>87</v>
      </c>
      <c r="H2184">
        <v>696739909</v>
      </c>
      <c r="I2184" t="s">
        <v>29</v>
      </c>
      <c r="J2184" t="s">
        <v>29</v>
      </c>
      <c r="K2184" t="str">
        <f>IF(Table3[[#This Row],[Type Received]]=2,"CC",(IF(Table3[[#This Row],[Type Received]]=3,"BILL","ACH")))</f>
        <v>ACH</v>
      </c>
    </row>
    <row r="2185" spans="1:11" x14ac:dyDescent="0.25">
      <c r="A2185">
        <v>205297</v>
      </c>
      <c r="B2185" s="3">
        <v>46169</v>
      </c>
      <c r="C2185">
        <v>3</v>
      </c>
      <c r="D2185">
        <v>165.46</v>
      </c>
      <c r="E2185">
        <v>2888</v>
      </c>
      <c r="J2185" t="s">
        <v>29</v>
      </c>
      <c r="K2185" t="str">
        <f>IF(Table3[[#This Row],[Type Received]]=2,"CC",(IF(Table3[[#This Row],[Type Received]]=3,"BILL","ACH")))</f>
        <v>BILL</v>
      </c>
    </row>
    <row r="2186" spans="1:11" x14ac:dyDescent="0.25">
      <c r="A2186">
        <v>205423</v>
      </c>
      <c r="B2186" s="3">
        <v>46162</v>
      </c>
      <c r="C2186">
        <v>2</v>
      </c>
      <c r="D2186">
        <v>23.81</v>
      </c>
      <c r="F2186">
        <v>665200</v>
      </c>
      <c r="G2186" t="s">
        <v>28</v>
      </c>
      <c r="H2186">
        <v>757560967</v>
      </c>
      <c r="I2186" t="s">
        <v>29</v>
      </c>
      <c r="J2186" t="s">
        <v>29</v>
      </c>
      <c r="K2186" t="str">
        <f>IF(Table3[[#This Row],[Type Received]]=2,"CC",(IF(Table3[[#This Row],[Type Received]]=3,"BILL","ACH")))</f>
        <v>CC</v>
      </c>
    </row>
    <row r="2187" spans="1:11" x14ac:dyDescent="0.25">
      <c r="A2187">
        <v>205423</v>
      </c>
      <c r="B2187" s="3">
        <v>46146</v>
      </c>
      <c r="C2187">
        <v>2</v>
      </c>
      <c r="D2187">
        <v>23.81</v>
      </c>
      <c r="F2187">
        <v>742419</v>
      </c>
      <c r="G2187" t="s">
        <v>28</v>
      </c>
      <c r="H2187">
        <v>561300203</v>
      </c>
      <c r="I2187" t="s">
        <v>29</v>
      </c>
      <c r="J2187" t="s">
        <v>29</v>
      </c>
      <c r="K2187" t="str">
        <f>IF(Table3[[#This Row],[Type Received]]=2,"CC",(IF(Table3[[#This Row],[Type Received]]=3,"BILL","ACH")))</f>
        <v>CC</v>
      </c>
    </row>
    <row r="2188" spans="1:11" x14ac:dyDescent="0.25">
      <c r="A2188">
        <v>205699</v>
      </c>
      <c r="B2188" s="3">
        <v>46145</v>
      </c>
      <c r="C2188">
        <v>1</v>
      </c>
      <c r="D2188">
        <v>27.1</v>
      </c>
      <c r="G2188" s="4" t="s">
        <v>113</v>
      </c>
      <c r="H2188">
        <v>546448174</v>
      </c>
      <c r="I2188" t="s">
        <v>29</v>
      </c>
      <c r="J2188" t="s">
        <v>29</v>
      </c>
      <c r="K2188" t="str">
        <f>IF(Table3[[#This Row],[Type Received]]=2,"CC",(IF(Table3[[#This Row],[Type Received]]=3,"BILL","ACH")))</f>
        <v>ACH</v>
      </c>
    </row>
    <row r="2189" spans="1:11" x14ac:dyDescent="0.25">
      <c r="A2189">
        <v>205735</v>
      </c>
      <c r="B2189" s="3">
        <v>46145</v>
      </c>
      <c r="C2189">
        <v>1</v>
      </c>
      <c r="D2189">
        <v>22.04</v>
      </c>
      <c r="G2189" t="s">
        <v>113</v>
      </c>
      <c r="H2189">
        <v>546441346</v>
      </c>
      <c r="I2189" t="s">
        <v>29</v>
      </c>
      <c r="J2189" t="s">
        <v>29</v>
      </c>
      <c r="K2189" t="str">
        <f>IF(Table3[[#This Row],[Type Received]]=2,"CC",(IF(Table3[[#This Row],[Type Received]]=3,"BILL","ACH")))</f>
        <v>ACH</v>
      </c>
    </row>
    <row r="2190" spans="1:11" x14ac:dyDescent="0.25">
      <c r="A2190">
        <v>205746</v>
      </c>
      <c r="B2190" s="3">
        <v>46169</v>
      </c>
      <c r="C2190">
        <v>1</v>
      </c>
      <c r="D2190">
        <v>27.87</v>
      </c>
      <c r="G2190" t="s">
        <v>117</v>
      </c>
      <c r="H2190">
        <v>840848715</v>
      </c>
      <c r="I2190" t="s">
        <v>29</v>
      </c>
      <c r="J2190" t="s">
        <v>29</v>
      </c>
      <c r="K2190" t="str">
        <f>IF(Table3[[#This Row],[Type Received]]=2,"CC",(IF(Table3[[#This Row],[Type Received]]=3,"BILL","ACH")))</f>
        <v>ACH</v>
      </c>
    </row>
    <row r="2191" spans="1:11" x14ac:dyDescent="0.25">
      <c r="A2191">
        <v>205748</v>
      </c>
      <c r="B2191" s="3">
        <v>46155</v>
      </c>
      <c r="C2191">
        <v>2</v>
      </c>
      <c r="D2191">
        <v>36.869999999999997</v>
      </c>
      <c r="F2191">
        <v>286686</v>
      </c>
      <c r="G2191" t="s">
        <v>28</v>
      </c>
      <c r="H2191">
        <v>669497465</v>
      </c>
      <c r="I2191" t="s">
        <v>29</v>
      </c>
      <c r="J2191" t="s">
        <v>29</v>
      </c>
      <c r="K2191" t="str">
        <f>IF(Table3[[#This Row],[Type Received]]=2,"CC",(IF(Table3[[#This Row],[Type Received]]=3,"BILL","ACH")))</f>
        <v>CC</v>
      </c>
    </row>
    <row r="2192" spans="1:11" x14ac:dyDescent="0.25">
      <c r="A2192">
        <v>205960</v>
      </c>
      <c r="B2192" s="3">
        <v>46169</v>
      </c>
      <c r="C2192">
        <v>1</v>
      </c>
      <c r="D2192">
        <v>16.32</v>
      </c>
      <c r="G2192" t="s">
        <v>117</v>
      </c>
      <c r="H2192">
        <v>840862399</v>
      </c>
      <c r="I2192" t="s">
        <v>29</v>
      </c>
      <c r="J2192" t="s">
        <v>29</v>
      </c>
      <c r="K2192" t="str">
        <f>IF(Table3[[#This Row],[Type Received]]=2,"CC",(IF(Table3[[#This Row],[Type Received]]=3,"BILL","ACH")))</f>
        <v>ACH</v>
      </c>
    </row>
    <row r="2193" spans="1:11" x14ac:dyDescent="0.25">
      <c r="A2193">
        <v>206208</v>
      </c>
      <c r="B2193" s="3">
        <v>46158</v>
      </c>
      <c r="C2193">
        <v>1</v>
      </c>
      <c r="D2193">
        <v>13.11</v>
      </c>
      <c r="G2193" t="s">
        <v>106</v>
      </c>
      <c r="H2193">
        <v>710021917</v>
      </c>
      <c r="I2193" t="s">
        <v>29</v>
      </c>
      <c r="J2193" t="s">
        <v>29</v>
      </c>
      <c r="K2193" t="str">
        <f>IF(Table3[[#This Row],[Type Received]]=2,"CC",(IF(Table3[[#This Row],[Type Received]]=3,"BILL","ACH")))</f>
        <v>ACH</v>
      </c>
    </row>
    <row r="2194" spans="1:11" x14ac:dyDescent="0.25">
      <c r="A2194">
        <v>206275</v>
      </c>
      <c r="B2194" s="3">
        <v>46164</v>
      </c>
      <c r="C2194">
        <v>2</v>
      </c>
      <c r="D2194">
        <v>46.58</v>
      </c>
      <c r="F2194">
        <v>90210</v>
      </c>
      <c r="G2194">
        <v>747909705</v>
      </c>
      <c r="H2194">
        <v>355553518</v>
      </c>
      <c r="J2194" t="s">
        <v>29</v>
      </c>
      <c r="K2194" t="str">
        <f>IF(Table3[[#This Row],[Type Received]]=2,"CC",(IF(Table3[[#This Row],[Type Received]]=3,"BILL","ACH")))</f>
        <v>CC</v>
      </c>
    </row>
    <row r="2195" spans="1:11" x14ac:dyDescent="0.25">
      <c r="A2195">
        <v>206384</v>
      </c>
      <c r="B2195" s="3">
        <v>46157</v>
      </c>
      <c r="C2195">
        <v>1</v>
      </c>
      <c r="D2195">
        <v>80.56</v>
      </c>
      <c r="G2195" t="s">
        <v>87</v>
      </c>
      <c r="H2195">
        <v>696655418</v>
      </c>
      <c r="I2195" t="s">
        <v>29</v>
      </c>
      <c r="J2195" t="s">
        <v>29</v>
      </c>
      <c r="K2195" t="str">
        <f>IF(Table3[[#This Row],[Type Received]]=2,"CC",(IF(Table3[[#This Row],[Type Received]]=3,"BILL","ACH")))</f>
        <v>ACH</v>
      </c>
    </row>
    <row r="2196" spans="1:11" x14ac:dyDescent="0.25">
      <c r="A2196">
        <v>206684</v>
      </c>
      <c r="B2196" s="3">
        <v>46171</v>
      </c>
      <c r="C2196">
        <v>3</v>
      </c>
      <c r="D2196">
        <v>66.13</v>
      </c>
      <c r="E2196">
        <v>701010040</v>
      </c>
      <c r="J2196" t="s">
        <v>29</v>
      </c>
      <c r="K2196" t="str">
        <f>IF(Table3[[#This Row],[Type Received]]=2,"CC",(IF(Table3[[#This Row],[Type Received]]=3,"BILL","ACH")))</f>
        <v>BILL</v>
      </c>
    </row>
    <row r="2197" spans="1:11" x14ac:dyDescent="0.25">
      <c r="A2197">
        <v>206530</v>
      </c>
      <c r="B2197" s="3">
        <v>46146</v>
      </c>
      <c r="C2197">
        <v>2</v>
      </c>
      <c r="D2197">
        <v>107.05</v>
      </c>
      <c r="F2197">
        <v>85090</v>
      </c>
      <c r="G2197" t="s">
        <v>28</v>
      </c>
      <c r="H2197">
        <v>557121534</v>
      </c>
      <c r="I2197" t="s">
        <v>29</v>
      </c>
      <c r="J2197" t="s">
        <v>29</v>
      </c>
      <c r="K2197" t="str">
        <f>IF(Table3[[#This Row],[Type Received]]=2,"CC",(IF(Table3[[#This Row],[Type Received]]=3,"BILL","ACH")))</f>
        <v>CC</v>
      </c>
    </row>
    <row r="2198" spans="1:11" x14ac:dyDescent="0.25">
      <c r="A2198">
        <v>206547</v>
      </c>
      <c r="B2198" s="3">
        <v>46143</v>
      </c>
      <c r="C2198">
        <v>2</v>
      </c>
      <c r="D2198">
        <v>59.71</v>
      </c>
      <c r="F2198">
        <v>540420</v>
      </c>
      <c r="G2198" t="s">
        <v>28</v>
      </c>
      <c r="H2198">
        <v>524597076</v>
      </c>
      <c r="I2198" t="s">
        <v>29</v>
      </c>
      <c r="J2198" t="s">
        <v>29</v>
      </c>
      <c r="K2198" t="str">
        <f>IF(Table3[[#This Row],[Type Received]]=2,"CC",(IF(Table3[[#This Row],[Type Received]]=3,"BILL","ACH")))</f>
        <v>CC</v>
      </c>
    </row>
    <row r="2199" spans="1:11" x14ac:dyDescent="0.25">
      <c r="A2199">
        <v>206806</v>
      </c>
      <c r="B2199" s="3">
        <v>46149</v>
      </c>
      <c r="C2199">
        <v>3</v>
      </c>
      <c r="D2199">
        <v>71.41</v>
      </c>
      <c r="E2199">
        <v>887</v>
      </c>
      <c r="G2199" s="4"/>
      <c r="J2199" t="s">
        <v>29</v>
      </c>
      <c r="K2199" t="str">
        <f>IF(Table3[[#This Row],[Type Received]]=2,"CC",(IF(Table3[[#This Row],[Type Received]]=3,"BILL","ACH")))</f>
        <v>BILL</v>
      </c>
    </row>
    <row r="2200" spans="1:11" x14ac:dyDescent="0.25">
      <c r="A2200">
        <v>206884</v>
      </c>
      <c r="B2200" s="3">
        <v>46170</v>
      </c>
      <c r="C2200">
        <v>3</v>
      </c>
      <c r="D2200">
        <v>54.52</v>
      </c>
      <c r="E2200">
        <v>6197</v>
      </c>
      <c r="K2200" t="str">
        <f>IF(Table3[[#This Row],[Type Received]]=2,"CC",(IF(Table3[[#This Row],[Type Received]]=3,"BILL","ACH")))</f>
        <v>BILL</v>
      </c>
    </row>
    <row r="2201" spans="1:11" x14ac:dyDescent="0.25">
      <c r="A2201">
        <v>207012</v>
      </c>
      <c r="B2201" s="3">
        <v>46169</v>
      </c>
      <c r="C2201">
        <v>1</v>
      </c>
      <c r="D2201">
        <v>12.94</v>
      </c>
      <c r="G2201" t="s">
        <v>117</v>
      </c>
      <c r="H2201">
        <v>840867258</v>
      </c>
      <c r="I2201" t="s">
        <v>29</v>
      </c>
      <c r="J2201" t="s">
        <v>29</v>
      </c>
      <c r="K2201" t="str">
        <f>IF(Table3[[#This Row],[Type Received]]=2,"CC",(IF(Table3[[#This Row],[Type Received]]=3,"BILL","ACH")))</f>
        <v>ACH</v>
      </c>
    </row>
    <row r="2202" spans="1:11" x14ac:dyDescent="0.25">
      <c r="A2202">
        <v>207024</v>
      </c>
      <c r="B2202" s="3">
        <v>46169</v>
      </c>
      <c r="C2202">
        <v>1</v>
      </c>
      <c r="D2202">
        <v>28.09</v>
      </c>
      <c r="G2202" t="s">
        <v>117</v>
      </c>
      <c r="H2202">
        <v>840856578</v>
      </c>
      <c r="I2202" t="s">
        <v>29</v>
      </c>
      <c r="J2202" t="s">
        <v>29</v>
      </c>
      <c r="K2202" t="str">
        <f>IF(Table3[[#This Row],[Type Received]]=2,"CC",(IF(Table3[[#This Row],[Type Received]]=3,"BILL","ACH")))</f>
        <v>ACH</v>
      </c>
    </row>
    <row r="2203" spans="1:11" x14ac:dyDescent="0.25">
      <c r="A2203">
        <v>207046</v>
      </c>
      <c r="B2203" s="3">
        <v>46169</v>
      </c>
      <c r="C2203">
        <v>1</v>
      </c>
      <c r="D2203">
        <v>37.56</v>
      </c>
      <c r="G2203" t="s">
        <v>117</v>
      </c>
      <c r="H2203">
        <v>840862472</v>
      </c>
      <c r="I2203" t="s">
        <v>29</v>
      </c>
      <c r="J2203" t="s">
        <v>29</v>
      </c>
      <c r="K2203" t="str">
        <f>IF(Table3[[#This Row],[Type Received]]=2,"CC",(IF(Table3[[#This Row],[Type Received]]=3,"BILL","ACH")))</f>
        <v>ACH</v>
      </c>
    </row>
    <row r="2204" spans="1:11" x14ac:dyDescent="0.25">
      <c r="A2204">
        <v>207193</v>
      </c>
      <c r="B2204" s="3">
        <v>46155</v>
      </c>
      <c r="C2204">
        <v>2</v>
      </c>
      <c r="D2204">
        <v>24.68</v>
      </c>
      <c r="F2204">
        <v>188432</v>
      </c>
      <c r="G2204" t="s">
        <v>28</v>
      </c>
      <c r="H2204">
        <v>669499414</v>
      </c>
      <c r="I2204" t="s">
        <v>29</v>
      </c>
      <c r="J2204" t="s">
        <v>29</v>
      </c>
      <c r="K2204" t="str">
        <f>IF(Table3[[#This Row],[Type Received]]=2,"CC",(IF(Table3[[#This Row],[Type Received]]=3,"BILL","ACH")))</f>
        <v>CC</v>
      </c>
    </row>
    <row r="2205" spans="1:11" x14ac:dyDescent="0.25">
      <c r="A2205">
        <v>207197</v>
      </c>
      <c r="B2205" s="3">
        <v>46157</v>
      </c>
      <c r="C2205">
        <v>1</v>
      </c>
      <c r="D2205">
        <v>13.29</v>
      </c>
      <c r="G2205" t="s">
        <v>87</v>
      </c>
      <c r="H2205">
        <v>696738990</v>
      </c>
      <c r="I2205" t="s">
        <v>29</v>
      </c>
      <c r="J2205" t="s">
        <v>29</v>
      </c>
      <c r="K2205" t="str">
        <f>IF(Table3[[#This Row],[Type Received]]=2,"CC",(IF(Table3[[#This Row],[Type Received]]=3,"BILL","ACH")))</f>
        <v>ACH</v>
      </c>
    </row>
    <row r="2206" spans="1:11" x14ac:dyDescent="0.25">
      <c r="A2206">
        <v>207261</v>
      </c>
      <c r="B2206" s="3">
        <v>46157</v>
      </c>
      <c r="C2206">
        <v>1</v>
      </c>
      <c r="D2206">
        <v>15.88</v>
      </c>
      <c r="G2206" t="s">
        <v>87</v>
      </c>
      <c r="H2206">
        <v>696742820</v>
      </c>
      <c r="I2206" t="s">
        <v>29</v>
      </c>
      <c r="J2206" t="s">
        <v>29</v>
      </c>
      <c r="K2206" t="str">
        <f>IF(Table3[[#This Row],[Type Received]]=2,"CC",(IF(Table3[[#This Row],[Type Received]]=3,"BILL","ACH")))</f>
        <v>ACH</v>
      </c>
    </row>
    <row r="2207" spans="1:11" x14ac:dyDescent="0.25">
      <c r="A2207">
        <v>207286</v>
      </c>
      <c r="B2207" s="3">
        <v>46146</v>
      </c>
      <c r="C2207">
        <v>3</v>
      </c>
      <c r="D2207">
        <v>56.81</v>
      </c>
      <c r="E2207">
        <v>1389</v>
      </c>
      <c r="J2207" t="s">
        <v>29</v>
      </c>
      <c r="K2207" t="str">
        <f>IF(Table3[[#This Row],[Type Received]]=2,"CC",(IF(Table3[[#This Row],[Type Received]]=3,"BILL","ACH")))</f>
        <v>BILL</v>
      </c>
    </row>
    <row r="2208" spans="1:11" x14ac:dyDescent="0.25">
      <c r="A2208">
        <v>207459</v>
      </c>
      <c r="B2208" s="3">
        <v>46157</v>
      </c>
      <c r="C2208">
        <v>1</v>
      </c>
      <c r="D2208">
        <v>16.510000000000002</v>
      </c>
      <c r="G2208" t="s">
        <v>87</v>
      </c>
      <c r="H2208">
        <v>696741803</v>
      </c>
      <c r="I2208" t="s">
        <v>29</v>
      </c>
      <c r="J2208" t="s">
        <v>29</v>
      </c>
      <c r="K2208" t="str">
        <f>IF(Table3[[#This Row],[Type Received]]=2,"CC",(IF(Table3[[#This Row],[Type Received]]=3,"BILL","ACH")))</f>
        <v>ACH</v>
      </c>
    </row>
    <row r="2209" spans="1:11" x14ac:dyDescent="0.25">
      <c r="A2209">
        <v>207460</v>
      </c>
      <c r="B2209" s="3">
        <v>46157</v>
      </c>
      <c r="C2209">
        <v>1</v>
      </c>
      <c r="D2209">
        <v>15.99</v>
      </c>
      <c r="G2209" t="s">
        <v>87</v>
      </c>
      <c r="H2209">
        <v>696739950</v>
      </c>
      <c r="I2209" t="s">
        <v>29</v>
      </c>
      <c r="J2209" t="s">
        <v>29</v>
      </c>
      <c r="K2209" t="str">
        <f>IF(Table3[[#This Row],[Type Received]]=2,"CC",(IF(Table3[[#This Row],[Type Received]]=3,"BILL","ACH")))</f>
        <v>ACH</v>
      </c>
    </row>
    <row r="2210" spans="1:11" x14ac:dyDescent="0.25">
      <c r="A2210">
        <v>207463</v>
      </c>
      <c r="B2210" s="3">
        <v>46146</v>
      </c>
      <c r="C2210">
        <v>1</v>
      </c>
      <c r="D2210">
        <v>51.52</v>
      </c>
      <c r="G2210" t="s">
        <v>92</v>
      </c>
      <c r="H2210">
        <v>558766688</v>
      </c>
      <c r="I2210" t="s">
        <v>29</v>
      </c>
      <c r="J2210" t="s">
        <v>29</v>
      </c>
      <c r="K2210" t="str">
        <f>IF(Table3[[#This Row],[Type Received]]=2,"CC",(IF(Table3[[#This Row],[Type Received]]=3,"BILL","ACH")))</f>
        <v>ACH</v>
      </c>
    </row>
    <row r="2211" spans="1:11" x14ac:dyDescent="0.25">
      <c r="A2211">
        <v>207543</v>
      </c>
      <c r="B2211" s="3">
        <v>46169</v>
      </c>
      <c r="C2211">
        <v>1</v>
      </c>
      <c r="D2211">
        <v>57.13</v>
      </c>
      <c r="G2211" t="s">
        <v>117</v>
      </c>
      <c r="H2211">
        <v>840868212</v>
      </c>
      <c r="I2211" t="s">
        <v>29</v>
      </c>
      <c r="K2211" t="str">
        <f>IF(Table3[[#This Row],[Type Received]]=2,"CC",(IF(Table3[[#This Row],[Type Received]]=3,"BILL","ACH")))</f>
        <v>ACH</v>
      </c>
    </row>
    <row r="2212" spans="1:11" x14ac:dyDescent="0.25">
      <c r="A2212">
        <v>207558</v>
      </c>
      <c r="B2212" s="3">
        <v>46169</v>
      </c>
      <c r="C2212">
        <v>1</v>
      </c>
      <c r="D2212">
        <v>18.190000000000001</v>
      </c>
      <c r="G2212" t="s">
        <v>117</v>
      </c>
      <c r="H2212">
        <v>840845974</v>
      </c>
      <c r="I2212" t="s">
        <v>29</v>
      </c>
      <c r="J2212" t="s">
        <v>29</v>
      </c>
      <c r="K2212" t="str">
        <f>IF(Table3[[#This Row],[Type Received]]=2,"CC",(IF(Table3[[#This Row],[Type Received]]=3,"BILL","ACH")))</f>
        <v>ACH</v>
      </c>
    </row>
    <row r="2213" spans="1:11" x14ac:dyDescent="0.25">
      <c r="A2213">
        <v>207587</v>
      </c>
      <c r="B2213" s="3">
        <v>46153</v>
      </c>
      <c r="C2213">
        <v>3</v>
      </c>
      <c r="D2213">
        <v>232</v>
      </c>
      <c r="E2213">
        <v>8952</v>
      </c>
      <c r="J2213" t="s">
        <v>29</v>
      </c>
      <c r="K2213" t="str">
        <f>IF(Table3[[#This Row],[Type Received]]=2,"CC",(IF(Table3[[#This Row],[Type Received]]=3,"BILL","ACH")))</f>
        <v>BILL</v>
      </c>
    </row>
    <row r="2214" spans="1:11" x14ac:dyDescent="0.25">
      <c r="A2214">
        <v>207679</v>
      </c>
      <c r="B2214" s="3">
        <v>46171</v>
      </c>
      <c r="C2214">
        <v>3</v>
      </c>
      <c r="D2214">
        <v>41.96</v>
      </c>
      <c r="E2214">
        <v>5794</v>
      </c>
      <c r="K2214" t="str">
        <f>IF(Table3[[#This Row],[Type Received]]=2,"CC",(IF(Table3[[#This Row],[Type Received]]=3,"BILL","ACH")))</f>
        <v>BILL</v>
      </c>
    </row>
    <row r="2215" spans="1:11" x14ac:dyDescent="0.25">
      <c r="A2215">
        <v>207686</v>
      </c>
      <c r="B2215" s="3">
        <v>46169</v>
      </c>
      <c r="C2215">
        <v>1</v>
      </c>
      <c r="D2215">
        <v>54.16</v>
      </c>
      <c r="G2215" s="4" t="s">
        <v>117</v>
      </c>
      <c r="H2215">
        <v>840861504</v>
      </c>
      <c r="I2215" t="s">
        <v>29</v>
      </c>
      <c r="J2215" t="s">
        <v>29</v>
      </c>
      <c r="K2215" t="str">
        <f>IF(Table3[[#This Row],[Type Received]]=2,"CC",(IF(Table3[[#This Row],[Type Received]]=3,"BILL","ACH")))</f>
        <v>ACH</v>
      </c>
    </row>
    <row r="2216" spans="1:11" x14ac:dyDescent="0.25">
      <c r="A2216">
        <v>207700</v>
      </c>
      <c r="B2216" s="3">
        <v>46156</v>
      </c>
      <c r="C2216">
        <v>1</v>
      </c>
      <c r="D2216">
        <v>99.71</v>
      </c>
      <c r="G2216" t="s">
        <v>93</v>
      </c>
      <c r="H2216">
        <v>686401174</v>
      </c>
      <c r="I2216" t="s">
        <v>29</v>
      </c>
      <c r="J2216" t="s">
        <v>29</v>
      </c>
      <c r="K2216" t="str">
        <f>IF(Table3[[#This Row],[Type Received]]=2,"CC",(IF(Table3[[#This Row],[Type Received]]=3,"BILL","ACH")))</f>
        <v>ACH</v>
      </c>
    </row>
    <row r="2217" spans="1:11" x14ac:dyDescent="0.25">
      <c r="A2217">
        <v>207710</v>
      </c>
      <c r="B2217" s="3">
        <v>46157</v>
      </c>
      <c r="C2217">
        <v>1</v>
      </c>
      <c r="D2217">
        <v>20.170000000000002</v>
      </c>
      <c r="G2217" t="s">
        <v>87</v>
      </c>
      <c r="H2217">
        <v>696759193</v>
      </c>
      <c r="I2217" t="s">
        <v>29</v>
      </c>
      <c r="J2217" t="s">
        <v>29</v>
      </c>
      <c r="K2217" t="str">
        <f>IF(Table3[[#This Row],[Type Received]]=2,"CC",(IF(Table3[[#This Row],[Type Received]]=3,"BILL","ACH")))</f>
        <v>ACH</v>
      </c>
    </row>
    <row r="2218" spans="1:11" x14ac:dyDescent="0.25">
      <c r="A2218">
        <v>207773</v>
      </c>
      <c r="B2218" s="3">
        <v>46145</v>
      </c>
      <c r="C2218">
        <v>1</v>
      </c>
      <c r="D2218">
        <v>19.510000000000002</v>
      </c>
      <c r="G2218" t="s">
        <v>113</v>
      </c>
      <c r="H2218">
        <v>546431613</v>
      </c>
      <c r="I2218" t="s">
        <v>29</v>
      </c>
      <c r="J2218" t="s">
        <v>29</v>
      </c>
      <c r="K2218" t="str">
        <f>IF(Table3[[#This Row],[Type Received]]=2,"CC",(IF(Table3[[#This Row],[Type Received]]=3,"BILL","ACH")))</f>
        <v>ACH</v>
      </c>
    </row>
    <row r="2219" spans="1:11" x14ac:dyDescent="0.25">
      <c r="A2219">
        <v>207777</v>
      </c>
      <c r="B2219" s="3">
        <v>46146</v>
      </c>
      <c r="C2219">
        <v>1</v>
      </c>
      <c r="D2219">
        <v>63.73</v>
      </c>
      <c r="G2219" s="4" t="s">
        <v>92</v>
      </c>
      <c r="H2219">
        <v>557097486</v>
      </c>
      <c r="I2219" t="s">
        <v>29</v>
      </c>
      <c r="J2219" t="s">
        <v>29</v>
      </c>
      <c r="K2219" t="str">
        <f>IF(Table3[[#This Row],[Type Received]]=2,"CC",(IF(Table3[[#This Row],[Type Received]]=3,"BILL","ACH")))</f>
        <v>ACH</v>
      </c>
    </row>
    <row r="2220" spans="1:11" x14ac:dyDescent="0.25">
      <c r="A2220">
        <v>208000</v>
      </c>
      <c r="B2220" s="3">
        <v>46157</v>
      </c>
      <c r="C2220">
        <v>1</v>
      </c>
      <c r="D2220">
        <v>26</v>
      </c>
      <c r="G2220" t="s">
        <v>87</v>
      </c>
      <c r="H2220">
        <v>696752464</v>
      </c>
      <c r="I2220" t="s">
        <v>29</v>
      </c>
      <c r="K2220" t="str">
        <f>IF(Table3[[#This Row],[Type Received]]=2,"CC",(IF(Table3[[#This Row],[Type Received]]=3,"BILL","ACH")))</f>
        <v>ACH</v>
      </c>
    </row>
    <row r="2221" spans="1:11" x14ac:dyDescent="0.25">
      <c r="A2221">
        <v>208223</v>
      </c>
      <c r="B2221" s="3">
        <v>46157</v>
      </c>
      <c r="C2221">
        <v>1</v>
      </c>
      <c r="D2221">
        <v>45.25</v>
      </c>
      <c r="G2221" t="s">
        <v>87</v>
      </c>
      <c r="H2221">
        <v>696743836</v>
      </c>
      <c r="I2221" t="s">
        <v>29</v>
      </c>
      <c r="J2221" t="s">
        <v>29</v>
      </c>
      <c r="K2221" t="str">
        <f>IF(Table3[[#This Row],[Type Received]]=2,"CC",(IF(Table3[[#This Row],[Type Received]]=3,"BILL","ACH")))</f>
        <v>ACH</v>
      </c>
    </row>
    <row r="2222" spans="1:11" x14ac:dyDescent="0.25">
      <c r="A2222">
        <v>208230</v>
      </c>
      <c r="B2222" s="3">
        <v>46153</v>
      </c>
      <c r="C2222">
        <v>3</v>
      </c>
      <c r="D2222">
        <v>60.85</v>
      </c>
      <c r="E2222">
        <v>5330</v>
      </c>
      <c r="J2222" t="s">
        <v>29</v>
      </c>
      <c r="K2222" t="str">
        <f>IF(Table3[[#This Row],[Type Received]]=2,"CC",(IF(Table3[[#This Row],[Type Received]]=3,"BILL","ACH")))</f>
        <v>BILL</v>
      </c>
    </row>
    <row r="2223" spans="1:11" x14ac:dyDescent="0.25">
      <c r="A2223">
        <v>208316</v>
      </c>
      <c r="B2223" s="3">
        <v>46146</v>
      </c>
      <c r="C2223">
        <v>2</v>
      </c>
      <c r="D2223">
        <v>45.3</v>
      </c>
      <c r="F2223">
        <v>104608</v>
      </c>
      <c r="G2223" s="4" t="s">
        <v>28</v>
      </c>
      <c r="H2223">
        <v>563148415</v>
      </c>
      <c r="I2223" t="s">
        <v>29</v>
      </c>
      <c r="J2223" t="s">
        <v>29</v>
      </c>
      <c r="K2223" t="str">
        <f>IF(Table3[[#This Row],[Type Received]]=2,"CC",(IF(Table3[[#This Row],[Type Received]]=3,"BILL","ACH")))</f>
        <v>CC</v>
      </c>
    </row>
    <row r="2224" spans="1:11" x14ac:dyDescent="0.25">
      <c r="A2224">
        <v>208100</v>
      </c>
      <c r="B2224" s="3">
        <v>46169</v>
      </c>
      <c r="C2224">
        <v>3</v>
      </c>
      <c r="D2224">
        <v>45.34</v>
      </c>
      <c r="E2224">
        <v>2244716676</v>
      </c>
      <c r="J2224" t="s">
        <v>29</v>
      </c>
      <c r="K2224" t="str">
        <f>IF(Table3[[#This Row],[Type Received]]=2,"CC",(IF(Table3[[#This Row],[Type Received]]=3,"BILL","ACH")))</f>
        <v>BILL</v>
      </c>
    </row>
    <row r="2225" spans="1:11" x14ac:dyDescent="0.25">
      <c r="A2225">
        <v>208155</v>
      </c>
      <c r="B2225" s="3">
        <v>46148</v>
      </c>
      <c r="C2225">
        <v>3</v>
      </c>
      <c r="D2225">
        <v>30.08</v>
      </c>
      <c r="E2225">
        <v>959</v>
      </c>
      <c r="J2225" t="s">
        <v>29</v>
      </c>
      <c r="K2225" t="str">
        <f>IF(Table3[[#This Row],[Type Received]]=2,"CC",(IF(Table3[[#This Row],[Type Received]]=3,"BILL","ACH")))</f>
        <v>BILL</v>
      </c>
    </row>
    <row r="2226" spans="1:11" x14ac:dyDescent="0.25">
      <c r="A2226">
        <v>208166</v>
      </c>
      <c r="B2226" s="3">
        <v>46157</v>
      </c>
      <c r="C2226">
        <v>1</v>
      </c>
      <c r="D2226">
        <v>25.67</v>
      </c>
      <c r="G2226" t="s">
        <v>87</v>
      </c>
      <c r="H2226">
        <v>696735037</v>
      </c>
      <c r="I2226" t="s">
        <v>29</v>
      </c>
      <c r="J2226" t="s">
        <v>29</v>
      </c>
      <c r="K2226" t="str">
        <f>IF(Table3[[#This Row],[Type Received]]=2,"CC",(IF(Table3[[#This Row],[Type Received]]=3,"BILL","ACH")))</f>
        <v>ACH</v>
      </c>
    </row>
    <row r="2227" spans="1:11" x14ac:dyDescent="0.25">
      <c r="A2227">
        <v>208170</v>
      </c>
      <c r="B2227" s="3">
        <v>46157</v>
      </c>
      <c r="C2227">
        <v>1</v>
      </c>
      <c r="D2227">
        <v>62.41</v>
      </c>
      <c r="G2227" t="s">
        <v>87</v>
      </c>
      <c r="H2227">
        <v>696749700</v>
      </c>
      <c r="I2227" t="s">
        <v>29</v>
      </c>
      <c r="J2227" t="s">
        <v>29</v>
      </c>
      <c r="K2227" t="str">
        <f>IF(Table3[[#This Row],[Type Received]]=2,"CC",(IF(Table3[[#This Row],[Type Received]]=3,"BILL","ACH")))</f>
        <v>ACH</v>
      </c>
    </row>
    <row r="2228" spans="1:11" x14ac:dyDescent="0.25">
      <c r="A2228">
        <v>208185</v>
      </c>
      <c r="B2228" s="3">
        <v>46162</v>
      </c>
      <c r="C2228">
        <v>2</v>
      </c>
      <c r="D2228">
        <v>38.659999999999997</v>
      </c>
      <c r="F2228">
        <v>712037</v>
      </c>
      <c r="G2228" t="s">
        <v>28</v>
      </c>
      <c r="H2228">
        <v>760484262</v>
      </c>
      <c r="I2228" t="s">
        <v>29</v>
      </c>
      <c r="J2228" t="s">
        <v>29</v>
      </c>
      <c r="K2228" t="str">
        <f>IF(Table3[[#This Row],[Type Received]]=2,"CC",(IF(Table3[[#This Row],[Type Received]]=3,"BILL","ACH")))</f>
        <v>CC</v>
      </c>
    </row>
    <row r="2229" spans="1:11" x14ac:dyDescent="0.25">
      <c r="A2229">
        <v>208427</v>
      </c>
      <c r="B2229" s="3">
        <v>46169</v>
      </c>
      <c r="C2229">
        <v>3</v>
      </c>
      <c r="D2229">
        <v>20.29</v>
      </c>
      <c r="E2229">
        <v>3279</v>
      </c>
      <c r="G2229" s="4"/>
      <c r="J2229" t="s">
        <v>29</v>
      </c>
      <c r="K2229" t="str">
        <f>IF(Table3[[#This Row],[Type Received]]=2,"CC",(IF(Table3[[#This Row],[Type Received]]=3,"BILL","ACH")))</f>
        <v>BILL</v>
      </c>
    </row>
    <row r="2230" spans="1:11" x14ac:dyDescent="0.25">
      <c r="A2230">
        <v>208493</v>
      </c>
      <c r="B2230" s="3">
        <v>46157</v>
      </c>
      <c r="C2230">
        <v>1</v>
      </c>
      <c r="D2230">
        <v>49.54</v>
      </c>
      <c r="G2230" t="s">
        <v>87</v>
      </c>
      <c r="H2230">
        <v>696760236</v>
      </c>
      <c r="I2230" t="s">
        <v>29</v>
      </c>
      <c r="K2230" t="str">
        <f>IF(Table3[[#This Row],[Type Received]]=2,"CC",(IF(Table3[[#This Row],[Type Received]]=3,"BILL","ACH")))</f>
        <v>ACH</v>
      </c>
    </row>
    <row r="2231" spans="1:11" x14ac:dyDescent="0.25">
      <c r="A2231">
        <v>208527</v>
      </c>
      <c r="B2231" s="3">
        <v>46169</v>
      </c>
      <c r="C2231">
        <v>1</v>
      </c>
      <c r="D2231">
        <v>23.25</v>
      </c>
      <c r="G2231" t="s">
        <v>117</v>
      </c>
      <c r="H2231">
        <v>840865396</v>
      </c>
      <c r="I2231" t="s">
        <v>29</v>
      </c>
      <c r="J2231" t="s">
        <v>29</v>
      </c>
      <c r="K2231" t="str">
        <f>IF(Table3[[#This Row],[Type Received]]=2,"CC",(IF(Table3[[#This Row],[Type Received]]=3,"BILL","ACH")))</f>
        <v>ACH</v>
      </c>
    </row>
    <row r="2232" spans="1:11" x14ac:dyDescent="0.25">
      <c r="A2232">
        <v>208572</v>
      </c>
      <c r="B2232" s="3">
        <v>46162</v>
      </c>
      <c r="C2232">
        <v>2</v>
      </c>
      <c r="D2232">
        <v>77.64</v>
      </c>
      <c r="F2232">
        <v>714734</v>
      </c>
      <c r="G2232" t="s">
        <v>28</v>
      </c>
      <c r="H2232">
        <v>764441450</v>
      </c>
      <c r="I2232" t="s">
        <v>29</v>
      </c>
      <c r="J2232" t="s">
        <v>29</v>
      </c>
      <c r="K2232" t="str">
        <f>IF(Table3[[#This Row],[Type Received]]=2,"CC",(IF(Table3[[#This Row],[Type Received]]=3,"BILL","ACH")))</f>
        <v>CC</v>
      </c>
    </row>
    <row r="2233" spans="1:11" x14ac:dyDescent="0.25">
      <c r="A2233">
        <v>208585</v>
      </c>
      <c r="B2233" s="3">
        <v>46152</v>
      </c>
      <c r="C2233">
        <v>1</v>
      </c>
      <c r="D2233">
        <v>12.52</v>
      </c>
      <c r="G2233" t="s">
        <v>115</v>
      </c>
      <c r="H2233">
        <v>632899354</v>
      </c>
      <c r="I2233" t="s">
        <v>29</v>
      </c>
      <c r="J2233" t="s">
        <v>29</v>
      </c>
      <c r="K2233" t="str">
        <f>IF(Table3[[#This Row],[Type Received]]=2,"CC",(IF(Table3[[#This Row],[Type Received]]=3,"BILL","ACH")))</f>
        <v>ACH</v>
      </c>
    </row>
    <row r="2234" spans="1:11" x14ac:dyDescent="0.25">
      <c r="A2234">
        <v>208617</v>
      </c>
      <c r="B2234" s="3">
        <v>46160</v>
      </c>
      <c r="C2234">
        <v>3</v>
      </c>
      <c r="D2234">
        <v>14.08</v>
      </c>
      <c r="E2234">
        <v>6517</v>
      </c>
      <c r="J2234" t="s">
        <v>29</v>
      </c>
      <c r="K2234" t="str">
        <f>IF(Table3[[#This Row],[Type Received]]=2,"CC",(IF(Table3[[#This Row],[Type Received]]=3,"BILL","ACH")))</f>
        <v>BILL</v>
      </c>
    </row>
    <row r="2235" spans="1:11" x14ac:dyDescent="0.25">
      <c r="A2235">
        <v>208723</v>
      </c>
      <c r="B2235" s="3">
        <v>46168</v>
      </c>
      <c r="C2235">
        <v>3</v>
      </c>
      <c r="D2235">
        <v>21.61</v>
      </c>
      <c r="E2235">
        <v>1672</v>
      </c>
      <c r="J2235" t="s">
        <v>29</v>
      </c>
      <c r="K2235" t="str">
        <f>IF(Table3[[#This Row],[Type Received]]=2,"CC",(IF(Table3[[#This Row],[Type Received]]=3,"BILL","ACH")))</f>
        <v>BILL</v>
      </c>
    </row>
    <row r="2236" spans="1:11" x14ac:dyDescent="0.25">
      <c r="A2236">
        <v>208790</v>
      </c>
      <c r="B2236" s="3">
        <v>46146</v>
      </c>
      <c r="C2236">
        <v>1</v>
      </c>
      <c r="D2236">
        <v>47.56</v>
      </c>
      <c r="G2236" t="s">
        <v>92</v>
      </c>
      <c r="H2236">
        <v>557086677</v>
      </c>
      <c r="I2236" t="s">
        <v>29</v>
      </c>
      <c r="K2236" t="str">
        <f>IF(Table3[[#This Row],[Type Received]]=2,"CC",(IF(Table3[[#This Row],[Type Received]]=3,"BILL","ACH")))</f>
        <v>ACH</v>
      </c>
    </row>
    <row r="2237" spans="1:11" x14ac:dyDescent="0.25">
      <c r="A2237">
        <v>208821</v>
      </c>
      <c r="B2237" s="3">
        <v>46143</v>
      </c>
      <c r="C2237">
        <v>2</v>
      </c>
      <c r="D2237">
        <v>29.09</v>
      </c>
      <c r="F2237">
        <v>841954</v>
      </c>
      <c r="G2237" t="s">
        <v>28</v>
      </c>
      <c r="H2237">
        <v>525815095</v>
      </c>
      <c r="I2237" t="s">
        <v>29</v>
      </c>
      <c r="J2237" t="s">
        <v>29</v>
      </c>
      <c r="K2237" t="str">
        <f>IF(Table3[[#This Row],[Type Received]]=2,"CC",(IF(Table3[[#This Row],[Type Received]]=3,"BILL","ACH")))</f>
        <v>CC</v>
      </c>
    </row>
    <row r="2238" spans="1:11" x14ac:dyDescent="0.25">
      <c r="A2238">
        <v>208923</v>
      </c>
      <c r="B2238" s="3">
        <v>46169</v>
      </c>
      <c r="C2238">
        <v>3</v>
      </c>
      <c r="D2238">
        <v>59.12</v>
      </c>
      <c r="E2238">
        <v>177</v>
      </c>
      <c r="J2238" t="s">
        <v>29</v>
      </c>
      <c r="K2238" t="str">
        <f>IF(Table3[[#This Row],[Type Received]]=2,"CC",(IF(Table3[[#This Row],[Type Received]]=3,"BILL","ACH")))</f>
        <v>BILL</v>
      </c>
    </row>
    <row r="2239" spans="1:11" x14ac:dyDescent="0.25">
      <c r="A2239">
        <v>208966</v>
      </c>
      <c r="B2239" s="3">
        <v>46147</v>
      </c>
      <c r="C2239">
        <v>3</v>
      </c>
      <c r="D2239">
        <v>100</v>
      </c>
      <c r="E2239">
        <v>8021</v>
      </c>
      <c r="K2239" t="str">
        <f>IF(Table3[[#This Row],[Type Received]]=2,"CC",(IF(Table3[[#This Row],[Type Received]]=3,"BILL","ACH")))</f>
        <v>BILL</v>
      </c>
    </row>
    <row r="2240" spans="1:11" x14ac:dyDescent="0.25">
      <c r="A2240">
        <v>208972</v>
      </c>
      <c r="B2240" s="3">
        <v>46160</v>
      </c>
      <c r="C2240">
        <v>2</v>
      </c>
      <c r="D2240">
        <v>29.9</v>
      </c>
      <c r="F2240">
        <v>121547</v>
      </c>
      <c r="G2240" t="s">
        <v>28</v>
      </c>
      <c r="H2240">
        <v>736436350</v>
      </c>
      <c r="I2240" t="s">
        <v>29</v>
      </c>
      <c r="K2240" t="str">
        <f>IF(Table3[[#This Row],[Type Received]]=2,"CC",(IF(Table3[[#This Row],[Type Received]]=3,"BILL","ACH")))</f>
        <v>CC</v>
      </c>
    </row>
    <row r="2241" spans="1:11" x14ac:dyDescent="0.25">
      <c r="A2241">
        <v>208978</v>
      </c>
      <c r="B2241" s="3">
        <v>46155</v>
      </c>
      <c r="C2241">
        <v>2</v>
      </c>
      <c r="D2241">
        <v>36.78</v>
      </c>
      <c r="F2241" t="s">
        <v>246</v>
      </c>
      <c r="G2241" t="s">
        <v>28</v>
      </c>
      <c r="H2241">
        <v>669506151</v>
      </c>
      <c r="I2241" t="s">
        <v>29</v>
      </c>
      <c r="J2241" t="s">
        <v>29</v>
      </c>
      <c r="K2241" t="str">
        <f>IF(Table3[[#This Row],[Type Received]]=2,"CC",(IF(Table3[[#This Row],[Type Received]]=3,"BILL","ACH")))</f>
        <v>CC</v>
      </c>
    </row>
    <row r="2242" spans="1:11" x14ac:dyDescent="0.25">
      <c r="A2242">
        <v>208984</v>
      </c>
      <c r="B2242" s="3">
        <v>46146</v>
      </c>
      <c r="C2242">
        <v>1</v>
      </c>
      <c r="D2242">
        <v>172.96</v>
      </c>
      <c r="G2242" t="s">
        <v>92</v>
      </c>
      <c r="H2242">
        <v>557079945</v>
      </c>
      <c r="I2242" t="s">
        <v>29</v>
      </c>
      <c r="K2242" t="str">
        <f>IF(Table3[[#This Row],[Type Received]]=2,"CC",(IF(Table3[[#This Row],[Type Received]]=3,"BILL","ACH")))</f>
        <v>ACH</v>
      </c>
    </row>
    <row r="2243" spans="1:11" x14ac:dyDescent="0.25">
      <c r="A2243">
        <v>209271</v>
      </c>
      <c r="B2243" s="3">
        <v>46157</v>
      </c>
      <c r="C2243">
        <v>1</v>
      </c>
      <c r="D2243">
        <v>22.37</v>
      </c>
      <c r="G2243" t="s">
        <v>87</v>
      </c>
      <c r="H2243">
        <v>696623476</v>
      </c>
      <c r="I2243" t="s">
        <v>29</v>
      </c>
      <c r="J2243" t="s">
        <v>29</v>
      </c>
      <c r="K2243" t="str">
        <f>IF(Table3[[#This Row],[Type Received]]=2,"CC",(IF(Table3[[#This Row],[Type Received]]=3,"BILL","ACH")))</f>
        <v>ACH</v>
      </c>
    </row>
    <row r="2244" spans="1:11" x14ac:dyDescent="0.25">
      <c r="A2244">
        <v>209333</v>
      </c>
      <c r="B2244" s="3">
        <v>46155</v>
      </c>
      <c r="C2244">
        <v>1</v>
      </c>
      <c r="D2244">
        <v>51.79</v>
      </c>
      <c r="G2244" t="s">
        <v>90</v>
      </c>
      <c r="H2244">
        <v>673390245</v>
      </c>
      <c r="I2244" t="s">
        <v>29</v>
      </c>
      <c r="J2244" t="s">
        <v>29</v>
      </c>
      <c r="K2244" t="str">
        <f>IF(Table3[[#This Row],[Type Received]]=2,"CC",(IF(Table3[[#This Row],[Type Received]]=3,"BILL","ACH")))</f>
        <v>ACH</v>
      </c>
    </row>
    <row r="2245" spans="1:11" x14ac:dyDescent="0.25">
      <c r="A2245">
        <v>209364</v>
      </c>
      <c r="B2245" s="3">
        <v>46143</v>
      </c>
      <c r="C2245">
        <v>2</v>
      </c>
      <c r="D2245">
        <v>38.32</v>
      </c>
      <c r="F2245">
        <v>524344</v>
      </c>
      <c r="G2245" t="s">
        <v>28</v>
      </c>
      <c r="H2245">
        <v>522185644</v>
      </c>
      <c r="I2245" t="s">
        <v>29</v>
      </c>
      <c r="J2245" t="s">
        <v>29</v>
      </c>
      <c r="K2245" t="str">
        <f>IF(Table3[[#This Row],[Type Received]]=2,"CC",(IF(Table3[[#This Row],[Type Received]]=3,"BILL","ACH")))</f>
        <v>CC</v>
      </c>
    </row>
    <row r="2246" spans="1:11" x14ac:dyDescent="0.25">
      <c r="A2246">
        <v>209372</v>
      </c>
      <c r="B2246" s="3">
        <v>46146</v>
      </c>
      <c r="C2246">
        <v>1</v>
      </c>
      <c r="D2246">
        <v>52.84</v>
      </c>
      <c r="G2246" t="s">
        <v>92</v>
      </c>
      <c r="H2246">
        <v>557101294</v>
      </c>
      <c r="I2246" t="s">
        <v>29</v>
      </c>
      <c r="J2246" t="s">
        <v>29</v>
      </c>
      <c r="K2246" t="str">
        <f>IF(Table3[[#This Row],[Type Received]]=2,"CC",(IF(Table3[[#This Row],[Type Received]]=3,"BILL","ACH")))</f>
        <v>ACH</v>
      </c>
    </row>
    <row r="2247" spans="1:11" x14ac:dyDescent="0.25">
      <c r="A2247">
        <v>209008</v>
      </c>
      <c r="B2247" s="3">
        <v>46146</v>
      </c>
      <c r="C2247">
        <v>1</v>
      </c>
      <c r="D2247">
        <v>16.43</v>
      </c>
      <c r="G2247" t="s">
        <v>92</v>
      </c>
      <c r="H2247">
        <v>557082906</v>
      </c>
      <c r="I2247" t="s">
        <v>29</v>
      </c>
      <c r="J2247" t="s">
        <v>29</v>
      </c>
      <c r="K2247" t="str">
        <f>IF(Table3[[#This Row],[Type Received]]=2,"CC",(IF(Table3[[#This Row],[Type Received]]=3,"BILL","ACH")))</f>
        <v>ACH</v>
      </c>
    </row>
    <row r="2248" spans="1:11" x14ac:dyDescent="0.25">
      <c r="A2248">
        <v>209052</v>
      </c>
      <c r="B2248" s="3">
        <v>46155</v>
      </c>
      <c r="C2248">
        <v>2</v>
      </c>
      <c r="D2248">
        <v>19.63</v>
      </c>
      <c r="F2248">
        <v>65258</v>
      </c>
      <c r="G2248" s="4" t="s">
        <v>28</v>
      </c>
      <c r="H2248">
        <v>673775378</v>
      </c>
      <c r="I2248" t="s">
        <v>29</v>
      </c>
      <c r="J2248" t="s">
        <v>29</v>
      </c>
      <c r="K2248" t="str">
        <f>IF(Table3[[#This Row],[Type Received]]=2,"CC",(IF(Table3[[#This Row],[Type Received]]=3,"BILL","ACH")))</f>
        <v>CC</v>
      </c>
    </row>
    <row r="2249" spans="1:11" x14ac:dyDescent="0.25">
      <c r="A2249">
        <v>209052</v>
      </c>
      <c r="B2249" s="3">
        <v>46155</v>
      </c>
      <c r="C2249">
        <v>2</v>
      </c>
      <c r="D2249">
        <v>56.89</v>
      </c>
      <c r="F2249">
        <v>52831</v>
      </c>
      <c r="G2249" t="s">
        <v>28</v>
      </c>
      <c r="H2249">
        <v>673751097</v>
      </c>
      <c r="I2249" t="s">
        <v>29</v>
      </c>
      <c r="J2249" t="s">
        <v>29</v>
      </c>
      <c r="K2249" t="str">
        <f>IF(Table3[[#This Row],[Type Received]]=2,"CC",(IF(Table3[[#This Row],[Type Received]]=3,"BILL","ACH")))</f>
        <v>CC</v>
      </c>
    </row>
    <row r="2250" spans="1:11" x14ac:dyDescent="0.25">
      <c r="A2250">
        <v>209056</v>
      </c>
      <c r="B2250" s="3">
        <v>46150</v>
      </c>
      <c r="C2250">
        <v>2</v>
      </c>
      <c r="D2250">
        <v>27.86</v>
      </c>
      <c r="F2250">
        <v>85839</v>
      </c>
      <c r="G2250" t="s">
        <v>28</v>
      </c>
      <c r="H2250">
        <v>608145745</v>
      </c>
      <c r="I2250" t="s">
        <v>29</v>
      </c>
      <c r="J2250" t="s">
        <v>29</v>
      </c>
      <c r="K2250" t="str">
        <f>IF(Table3[[#This Row],[Type Received]]=2,"CC",(IF(Table3[[#This Row],[Type Received]]=3,"BILL","ACH")))</f>
        <v>CC</v>
      </c>
    </row>
    <row r="2251" spans="1:11" x14ac:dyDescent="0.25">
      <c r="A2251">
        <v>209087</v>
      </c>
      <c r="B2251" s="3">
        <v>46157</v>
      </c>
      <c r="C2251">
        <v>1</v>
      </c>
      <c r="D2251">
        <v>32.049999999999997</v>
      </c>
      <c r="G2251" t="s">
        <v>87</v>
      </c>
      <c r="H2251">
        <v>696761205</v>
      </c>
      <c r="I2251" t="s">
        <v>29</v>
      </c>
      <c r="J2251" t="s">
        <v>29</v>
      </c>
      <c r="K2251" t="str">
        <f>IF(Table3[[#This Row],[Type Received]]=2,"CC",(IF(Table3[[#This Row],[Type Received]]=3,"BILL","ACH")))</f>
        <v>ACH</v>
      </c>
    </row>
    <row r="2252" spans="1:11" x14ac:dyDescent="0.25">
      <c r="A2252">
        <v>209112</v>
      </c>
      <c r="B2252" s="3">
        <v>46147</v>
      </c>
      <c r="C2252">
        <v>3</v>
      </c>
      <c r="D2252">
        <v>25.79</v>
      </c>
      <c r="E2252">
        <v>55156930368</v>
      </c>
      <c r="J2252" t="s">
        <v>29</v>
      </c>
      <c r="K2252" t="str">
        <f>IF(Table3[[#This Row],[Type Received]]=2,"CC",(IF(Table3[[#This Row],[Type Received]]=3,"BILL","ACH")))</f>
        <v>BILL</v>
      </c>
    </row>
    <row r="2253" spans="1:11" x14ac:dyDescent="0.25">
      <c r="A2253">
        <v>209604</v>
      </c>
      <c r="B2253" s="3">
        <v>46157</v>
      </c>
      <c r="C2253">
        <v>1</v>
      </c>
      <c r="D2253">
        <v>12.24</v>
      </c>
      <c r="G2253" s="4" t="s">
        <v>87</v>
      </c>
      <c r="H2253">
        <v>696749751</v>
      </c>
      <c r="I2253" t="s">
        <v>29</v>
      </c>
      <c r="J2253" t="s">
        <v>29</v>
      </c>
      <c r="K2253" t="str">
        <f>IF(Table3[[#This Row],[Type Received]]=2,"CC",(IF(Table3[[#This Row],[Type Received]]=3,"BILL","ACH")))</f>
        <v>ACH</v>
      </c>
    </row>
    <row r="2254" spans="1:11" x14ac:dyDescent="0.25">
      <c r="A2254">
        <v>209706</v>
      </c>
      <c r="B2254" s="3">
        <v>46157</v>
      </c>
      <c r="C2254">
        <v>1</v>
      </c>
      <c r="D2254">
        <v>25.67</v>
      </c>
      <c r="G2254" t="s">
        <v>87</v>
      </c>
      <c r="H2254">
        <v>696761223</v>
      </c>
      <c r="I2254" t="s">
        <v>29</v>
      </c>
      <c r="J2254" t="s">
        <v>29</v>
      </c>
      <c r="K2254" t="str">
        <f>IF(Table3[[#This Row],[Type Received]]=2,"CC",(IF(Table3[[#This Row],[Type Received]]=3,"BILL","ACH")))</f>
        <v>ACH</v>
      </c>
    </row>
    <row r="2255" spans="1:11" x14ac:dyDescent="0.25">
      <c r="A2255">
        <v>209806</v>
      </c>
      <c r="B2255" s="3">
        <v>46146</v>
      </c>
      <c r="C2255">
        <v>1</v>
      </c>
      <c r="D2255">
        <v>30.29</v>
      </c>
      <c r="G2255" t="s">
        <v>92</v>
      </c>
      <c r="H2255">
        <v>557102306</v>
      </c>
      <c r="I2255" t="s">
        <v>29</v>
      </c>
      <c r="J2255" t="s">
        <v>29</v>
      </c>
      <c r="K2255" t="str">
        <f>IF(Table3[[#This Row],[Type Received]]=2,"CC",(IF(Table3[[#This Row],[Type Received]]=3,"BILL","ACH")))</f>
        <v>ACH</v>
      </c>
    </row>
    <row r="2256" spans="1:11" x14ac:dyDescent="0.25">
      <c r="A2256">
        <v>209870</v>
      </c>
      <c r="B2256" s="3">
        <v>46157</v>
      </c>
      <c r="C2256">
        <v>1</v>
      </c>
      <c r="D2256">
        <v>21.27</v>
      </c>
      <c r="G2256" s="4" t="s">
        <v>87</v>
      </c>
      <c r="H2256">
        <v>696756418</v>
      </c>
      <c r="I2256" t="s">
        <v>29</v>
      </c>
      <c r="J2256" t="s">
        <v>29</v>
      </c>
      <c r="K2256" t="str">
        <f>IF(Table3[[#This Row],[Type Received]]=2,"CC",(IF(Table3[[#This Row],[Type Received]]=3,"BILL","ACH")))</f>
        <v>ACH</v>
      </c>
    </row>
    <row r="2257" spans="1:11" x14ac:dyDescent="0.25">
      <c r="A2257">
        <v>209951</v>
      </c>
      <c r="B2257" s="3">
        <v>46143</v>
      </c>
      <c r="C2257">
        <v>2</v>
      </c>
      <c r="D2257">
        <v>129.12</v>
      </c>
      <c r="F2257">
        <v>612168</v>
      </c>
      <c r="G2257" t="s">
        <v>28</v>
      </c>
      <c r="H2257">
        <v>521760499</v>
      </c>
      <c r="I2257" t="s">
        <v>29</v>
      </c>
      <c r="K2257" t="str">
        <f>IF(Table3[[#This Row],[Type Received]]=2,"CC",(IF(Table3[[#This Row],[Type Received]]=3,"BILL","ACH")))</f>
        <v>CC</v>
      </c>
    </row>
    <row r="2258" spans="1:11" x14ac:dyDescent="0.25">
      <c r="A2258">
        <v>209990</v>
      </c>
      <c r="B2258" s="3">
        <v>46154</v>
      </c>
      <c r="C2258">
        <v>2</v>
      </c>
      <c r="D2258">
        <v>132.44999999999999</v>
      </c>
      <c r="F2258">
        <v>201325</v>
      </c>
      <c r="G2258" t="s">
        <v>28</v>
      </c>
      <c r="H2258">
        <v>661116471</v>
      </c>
      <c r="I2258" t="s">
        <v>29</v>
      </c>
      <c r="J2258" t="s">
        <v>29</v>
      </c>
      <c r="K2258" t="str">
        <f>IF(Table3[[#This Row],[Type Received]]=2,"CC",(IF(Table3[[#This Row],[Type Received]]=3,"BILL","ACH")))</f>
        <v>CC</v>
      </c>
    </row>
    <row r="2259" spans="1:11" x14ac:dyDescent="0.25">
      <c r="A2259">
        <v>209996</v>
      </c>
      <c r="B2259" s="3">
        <v>46146</v>
      </c>
      <c r="C2259">
        <v>1</v>
      </c>
      <c r="D2259">
        <v>21.71</v>
      </c>
      <c r="G2259" t="s">
        <v>92</v>
      </c>
      <c r="H2259">
        <v>557081919</v>
      </c>
      <c r="I2259" t="s">
        <v>29</v>
      </c>
      <c r="J2259" t="s">
        <v>29</v>
      </c>
      <c r="K2259" t="str">
        <f>IF(Table3[[#This Row],[Type Received]]=2,"CC",(IF(Table3[[#This Row],[Type Received]]=3,"BILL","ACH")))</f>
        <v>ACH</v>
      </c>
    </row>
    <row r="2260" spans="1:11" x14ac:dyDescent="0.25">
      <c r="A2260">
        <v>210012</v>
      </c>
      <c r="B2260" s="3">
        <v>46169</v>
      </c>
      <c r="C2260">
        <v>1</v>
      </c>
      <c r="D2260">
        <v>54.16</v>
      </c>
      <c r="G2260" t="s">
        <v>117</v>
      </c>
      <c r="H2260">
        <v>840856682</v>
      </c>
      <c r="I2260" t="s">
        <v>29</v>
      </c>
      <c r="J2260" t="s">
        <v>29</v>
      </c>
      <c r="K2260" t="str">
        <f>IF(Table3[[#This Row],[Type Received]]=2,"CC",(IF(Table3[[#This Row],[Type Received]]=3,"BILL","ACH")))</f>
        <v>ACH</v>
      </c>
    </row>
    <row r="2261" spans="1:11" x14ac:dyDescent="0.25">
      <c r="A2261">
        <v>210057</v>
      </c>
      <c r="B2261" s="3">
        <v>46146</v>
      </c>
      <c r="C2261">
        <v>1</v>
      </c>
      <c r="D2261">
        <v>36.67</v>
      </c>
      <c r="G2261" t="s">
        <v>92</v>
      </c>
      <c r="H2261">
        <v>557092738</v>
      </c>
      <c r="I2261" t="s">
        <v>29</v>
      </c>
      <c r="J2261" t="s">
        <v>29</v>
      </c>
      <c r="K2261" t="str">
        <f>IF(Table3[[#This Row],[Type Received]]=2,"CC",(IF(Table3[[#This Row],[Type Received]]=3,"BILL","ACH")))</f>
        <v>ACH</v>
      </c>
    </row>
    <row r="2262" spans="1:11" x14ac:dyDescent="0.25">
      <c r="A2262">
        <v>210095</v>
      </c>
      <c r="B2262" s="3">
        <v>46146</v>
      </c>
      <c r="C2262">
        <v>1</v>
      </c>
      <c r="D2262">
        <v>37.549999999999997</v>
      </c>
      <c r="G2262" t="s">
        <v>92</v>
      </c>
      <c r="H2262">
        <v>557096833</v>
      </c>
      <c r="I2262" t="s">
        <v>29</v>
      </c>
      <c r="J2262" t="s">
        <v>29</v>
      </c>
      <c r="K2262" t="str">
        <f>IF(Table3[[#This Row],[Type Received]]=2,"CC",(IF(Table3[[#This Row],[Type Received]]=3,"BILL","ACH")))</f>
        <v>ACH</v>
      </c>
    </row>
    <row r="2263" spans="1:11" x14ac:dyDescent="0.25">
      <c r="A2263">
        <v>210097</v>
      </c>
      <c r="B2263" s="3">
        <v>46169</v>
      </c>
      <c r="C2263">
        <v>1</v>
      </c>
      <c r="D2263">
        <v>41.95</v>
      </c>
      <c r="G2263" t="s">
        <v>117</v>
      </c>
      <c r="H2263">
        <v>840870315</v>
      </c>
      <c r="I2263" t="s">
        <v>29</v>
      </c>
      <c r="J2263" t="s">
        <v>29</v>
      </c>
      <c r="K2263" t="str">
        <f>IF(Table3[[#This Row],[Type Received]]=2,"CC",(IF(Table3[[#This Row],[Type Received]]=3,"BILL","ACH")))</f>
        <v>ACH</v>
      </c>
    </row>
    <row r="2264" spans="1:11" x14ac:dyDescent="0.25">
      <c r="A2264">
        <v>210210</v>
      </c>
      <c r="B2264" s="3">
        <v>46162</v>
      </c>
      <c r="C2264">
        <v>2</v>
      </c>
      <c r="D2264">
        <v>64.62</v>
      </c>
      <c r="F2264">
        <v>53246</v>
      </c>
      <c r="G2264">
        <v>747121142</v>
      </c>
      <c r="H2264">
        <v>355208768</v>
      </c>
      <c r="K2264" t="str">
        <f>IF(Table3[[#This Row],[Type Received]]=2,"CC",(IF(Table3[[#This Row],[Type Received]]=3,"BILL","ACH")))</f>
        <v>CC</v>
      </c>
    </row>
    <row r="2265" spans="1:11" x14ac:dyDescent="0.25">
      <c r="A2265">
        <v>210229</v>
      </c>
      <c r="B2265" s="3">
        <v>46168</v>
      </c>
      <c r="C2265">
        <v>3</v>
      </c>
      <c r="D2265">
        <v>106.46</v>
      </c>
      <c r="E2265">
        <v>1958</v>
      </c>
      <c r="K2265" t="str">
        <f>IF(Table3[[#This Row],[Type Received]]=2,"CC",(IF(Table3[[#This Row],[Type Received]]=3,"BILL","ACH")))</f>
        <v>BILL</v>
      </c>
    </row>
    <row r="2266" spans="1:11" x14ac:dyDescent="0.25">
      <c r="A2266">
        <v>210236</v>
      </c>
      <c r="B2266" s="3">
        <v>46161</v>
      </c>
      <c r="C2266">
        <v>3</v>
      </c>
      <c r="D2266">
        <v>121.82</v>
      </c>
      <c r="E2266">
        <v>77686630</v>
      </c>
      <c r="G2266" s="4"/>
      <c r="J2266" t="s">
        <v>29</v>
      </c>
      <c r="K2266" t="str">
        <f>IF(Table3[[#This Row],[Type Received]]=2,"CC",(IF(Table3[[#This Row],[Type Received]]=3,"BILL","ACH")))</f>
        <v>BILL</v>
      </c>
    </row>
    <row r="2267" spans="1:11" x14ac:dyDescent="0.25">
      <c r="A2267">
        <v>210258</v>
      </c>
      <c r="B2267" s="3">
        <v>46167</v>
      </c>
      <c r="C2267">
        <v>1</v>
      </c>
      <c r="D2267">
        <v>12.38</v>
      </c>
      <c r="G2267" t="s">
        <v>85</v>
      </c>
      <c r="H2267">
        <v>818363658</v>
      </c>
      <c r="I2267" t="s">
        <v>29</v>
      </c>
      <c r="J2267" t="s">
        <v>29</v>
      </c>
      <c r="K2267" t="str">
        <f>IF(Table3[[#This Row],[Type Received]]=2,"CC",(IF(Table3[[#This Row],[Type Received]]=3,"BILL","ACH")))</f>
        <v>ACH</v>
      </c>
    </row>
    <row r="2268" spans="1:11" x14ac:dyDescent="0.25">
      <c r="A2268">
        <v>210281</v>
      </c>
      <c r="B2268" s="3">
        <v>46146</v>
      </c>
      <c r="C2268">
        <v>1</v>
      </c>
      <c r="D2268">
        <v>45.25</v>
      </c>
      <c r="G2268" t="s">
        <v>92</v>
      </c>
      <c r="H2268">
        <v>557102394</v>
      </c>
      <c r="I2268" t="s">
        <v>29</v>
      </c>
      <c r="J2268" t="s">
        <v>29</v>
      </c>
      <c r="K2268" t="str">
        <f>IF(Table3[[#This Row],[Type Received]]=2,"CC",(IF(Table3[[#This Row],[Type Received]]=3,"BILL","ACH")))</f>
        <v>ACH</v>
      </c>
    </row>
    <row r="2269" spans="1:11" x14ac:dyDescent="0.25">
      <c r="A2269">
        <v>210283</v>
      </c>
      <c r="B2269" s="3">
        <v>46157</v>
      </c>
      <c r="C2269">
        <v>1</v>
      </c>
      <c r="D2269">
        <v>36.67</v>
      </c>
      <c r="G2269" t="s">
        <v>87</v>
      </c>
      <c r="H2269">
        <v>696737037</v>
      </c>
      <c r="I2269" t="s">
        <v>29</v>
      </c>
      <c r="J2269" t="s">
        <v>29</v>
      </c>
      <c r="K2269" t="str">
        <f>IF(Table3[[#This Row],[Type Received]]=2,"CC",(IF(Table3[[#This Row],[Type Received]]=3,"BILL","ACH")))</f>
        <v>ACH</v>
      </c>
    </row>
    <row r="2270" spans="1:11" x14ac:dyDescent="0.25">
      <c r="A2270">
        <v>210475</v>
      </c>
      <c r="B2270" s="3">
        <v>46167</v>
      </c>
      <c r="C2270">
        <v>1</v>
      </c>
      <c r="D2270">
        <v>33.04</v>
      </c>
      <c r="G2270" t="s">
        <v>85</v>
      </c>
      <c r="H2270">
        <v>818371367</v>
      </c>
      <c r="I2270" t="s">
        <v>29</v>
      </c>
      <c r="J2270" t="s">
        <v>29</v>
      </c>
      <c r="K2270" t="str">
        <f>IF(Table3[[#This Row],[Type Received]]=2,"CC",(IF(Table3[[#This Row],[Type Received]]=3,"BILL","ACH")))</f>
        <v>ACH</v>
      </c>
    </row>
    <row r="2271" spans="1:11" x14ac:dyDescent="0.25">
      <c r="A2271">
        <v>210860</v>
      </c>
      <c r="B2271" s="3">
        <v>46146</v>
      </c>
      <c r="C2271">
        <v>1</v>
      </c>
      <c r="D2271">
        <v>37.659999999999997</v>
      </c>
      <c r="G2271" t="s">
        <v>92</v>
      </c>
      <c r="H2271">
        <v>557101430</v>
      </c>
      <c r="I2271" t="s">
        <v>29</v>
      </c>
      <c r="J2271" t="s">
        <v>29</v>
      </c>
      <c r="K2271" t="str">
        <f>IF(Table3[[#This Row],[Type Received]]=2,"CC",(IF(Table3[[#This Row],[Type Received]]=3,"BILL","ACH")))</f>
        <v>ACH</v>
      </c>
    </row>
    <row r="2272" spans="1:11" x14ac:dyDescent="0.25">
      <c r="A2272">
        <v>210939</v>
      </c>
      <c r="B2272" s="3">
        <v>46157</v>
      </c>
      <c r="C2272">
        <v>1</v>
      </c>
      <c r="D2272">
        <v>23.86</v>
      </c>
      <c r="G2272" s="4" t="s">
        <v>87</v>
      </c>
      <c r="H2272">
        <v>696747806</v>
      </c>
      <c r="I2272" t="s">
        <v>29</v>
      </c>
      <c r="J2272" t="s">
        <v>29</v>
      </c>
      <c r="K2272" t="str">
        <f>IF(Table3[[#This Row],[Type Received]]=2,"CC",(IF(Table3[[#This Row],[Type Received]]=3,"BILL","ACH")))</f>
        <v>ACH</v>
      </c>
    </row>
    <row r="2273" spans="1:11" x14ac:dyDescent="0.25">
      <c r="A2273">
        <v>210941</v>
      </c>
      <c r="B2273" s="3">
        <v>46157</v>
      </c>
      <c r="C2273">
        <v>1</v>
      </c>
      <c r="D2273">
        <v>97.39</v>
      </c>
      <c r="G2273" t="s">
        <v>87</v>
      </c>
      <c r="H2273">
        <v>696758429</v>
      </c>
      <c r="I2273" t="s">
        <v>29</v>
      </c>
      <c r="K2273" t="str">
        <f>IF(Table3[[#This Row],[Type Received]]=2,"CC",(IF(Table3[[#This Row],[Type Received]]=3,"BILL","ACH")))</f>
        <v>ACH</v>
      </c>
    </row>
    <row r="2274" spans="1:11" x14ac:dyDescent="0.25">
      <c r="A2274">
        <v>210744</v>
      </c>
      <c r="B2274" s="3">
        <v>46146</v>
      </c>
      <c r="C2274">
        <v>1</v>
      </c>
      <c r="D2274">
        <v>36.67</v>
      </c>
      <c r="G2274" t="s">
        <v>92</v>
      </c>
      <c r="H2274">
        <v>557106356</v>
      </c>
      <c r="I2274" t="s">
        <v>29</v>
      </c>
      <c r="J2274" t="s">
        <v>29</v>
      </c>
      <c r="K2274" t="str">
        <f>IF(Table3[[#This Row],[Type Received]]=2,"CC",(IF(Table3[[#This Row],[Type Received]]=3,"BILL","ACH")))</f>
        <v>ACH</v>
      </c>
    </row>
    <row r="2275" spans="1:11" x14ac:dyDescent="0.25">
      <c r="A2275">
        <v>210749</v>
      </c>
      <c r="B2275" s="3">
        <v>46157</v>
      </c>
      <c r="C2275">
        <v>1</v>
      </c>
      <c r="D2275">
        <v>15.11</v>
      </c>
      <c r="G2275" t="s">
        <v>87</v>
      </c>
      <c r="H2275">
        <v>696741952</v>
      </c>
      <c r="I2275" t="s">
        <v>29</v>
      </c>
      <c r="J2275" t="s">
        <v>29</v>
      </c>
      <c r="K2275" t="str">
        <f>IF(Table3[[#This Row],[Type Received]]=2,"CC",(IF(Table3[[#This Row],[Type Received]]=3,"BILL","ACH")))</f>
        <v>ACH</v>
      </c>
    </row>
    <row r="2276" spans="1:11" x14ac:dyDescent="0.25">
      <c r="A2276">
        <v>211225</v>
      </c>
      <c r="B2276" s="3">
        <v>46170</v>
      </c>
      <c r="C2276">
        <v>2</v>
      </c>
      <c r="D2276">
        <v>31.07</v>
      </c>
      <c r="F2276">
        <v>720860</v>
      </c>
      <c r="G2276" t="s">
        <v>28</v>
      </c>
      <c r="H2276">
        <v>858207075</v>
      </c>
      <c r="I2276" t="s">
        <v>29</v>
      </c>
      <c r="K2276" t="str">
        <f>IF(Table3[[#This Row],[Type Received]]=2,"CC",(IF(Table3[[#This Row],[Type Received]]=3,"BILL","ACH")))</f>
        <v>CC</v>
      </c>
    </row>
    <row r="2277" spans="1:11" x14ac:dyDescent="0.25">
      <c r="A2277">
        <v>211233</v>
      </c>
      <c r="B2277" s="3">
        <v>46157</v>
      </c>
      <c r="C2277">
        <v>1</v>
      </c>
      <c r="D2277">
        <v>24.35</v>
      </c>
      <c r="G2277" t="s">
        <v>87</v>
      </c>
      <c r="H2277">
        <v>696690763</v>
      </c>
      <c r="I2277" t="s">
        <v>29</v>
      </c>
      <c r="J2277" t="s">
        <v>29</v>
      </c>
      <c r="K2277" t="str">
        <f>IF(Table3[[#This Row],[Type Received]]=2,"CC",(IF(Table3[[#This Row],[Type Received]]=3,"BILL","ACH")))</f>
        <v>ACH</v>
      </c>
    </row>
    <row r="2278" spans="1:11" x14ac:dyDescent="0.25">
      <c r="A2278">
        <v>211273</v>
      </c>
      <c r="B2278" s="3">
        <v>46146</v>
      </c>
      <c r="C2278">
        <v>1</v>
      </c>
      <c r="D2278">
        <v>13.15</v>
      </c>
      <c r="G2278" t="s">
        <v>92</v>
      </c>
      <c r="H2278">
        <v>557084009</v>
      </c>
      <c r="I2278" t="s">
        <v>29</v>
      </c>
      <c r="K2278" t="str">
        <f>IF(Table3[[#This Row],[Type Received]]=2,"CC",(IF(Table3[[#This Row],[Type Received]]=3,"BILL","ACH")))</f>
        <v>ACH</v>
      </c>
    </row>
    <row r="2279" spans="1:11" x14ac:dyDescent="0.25">
      <c r="A2279">
        <v>211382</v>
      </c>
      <c r="B2279" s="3">
        <v>46157</v>
      </c>
      <c r="C2279">
        <v>1</v>
      </c>
      <c r="D2279">
        <v>32.93</v>
      </c>
      <c r="G2279" t="s">
        <v>87</v>
      </c>
      <c r="H2279">
        <v>696767170</v>
      </c>
      <c r="I2279" t="s">
        <v>29</v>
      </c>
      <c r="J2279" t="s">
        <v>29</v>
      </c>
      <c r="K2279" t="str">
        <f>IF(Table3[[#This Row],[Type Received]]=2,"CC",(IF(Table3[[#This Row],[Type Received]]=3,"BILL","ACH")))</f>
        <v>ACH</v>
      </c>
    </row>
    <row r="2280" spans="1:11" x14ac:dyDescent="0.25">
      <c r="A2280">
        <v>211008</v>
      </c>
      <c r="B2280" s="3">
        <v>46169</v>
      </c>
      <c r="C2280">
        <v>3</v>
      </c>
      <c r="D2280">
        <v>30.08</v>
      </c>
      <c r="E2280">
        <v>4045</v>
      </c>
      <c r="J2280" t="s">
        <v>29</v>
      </c>
      <c r="K2280" t="str">
        <f>IF(Table3[[#This Row],[Type Received]]=2,"CC",(IF(Table3[[#This Row],[Type Received]]=3,"BILL","ACH")))</f>
        <v>BILL</v>
      </c>
    </row>
    <row r="2281" spans="1:11" x14ac:dyDescent="0.25">
      <c r="A2281">
        <v>211017</v>
      </c>
      <c r="B2281" s="3">
        <v>46163</v>
      </c>
      <c r="C2281">
        <v>1</v>
      </c>
      <c r="D2281">
        <v>40.020000000000003</v>
      </c>
      <c r="G2281" t="s">
        <v>214</v>
      </c>
      <c r="H2281">
        <v>776981219</v>
      </c>
      <c r="I2281" t="s">
        <v>29</v>
      </c>
      <c r="J2281" t="s">
        <v>29</v>
      </c>
      <c r="K2281" t="str">
        <f>IF(Table3[[#This Row],[Type Received]]=2,"CC",(IF(Table3[[#This Row],[Type Received]]=3,"BILL","ACH")))</f>
        <v>ACH</v>
      </c>
    </row>
    <row r="2282" spans="1:11" x14ac:dyDescent="0.25">
      <c r="A2282">
        <v>211429</v>
      </c>
      <c r="B2282" s="3">
        <v>46146</v>
      </c>
      <c r="C2282">
        <v>3</v>
      </c>
      <c r="D2282">
        <v>53.51</v>
      </c>
      <c r="E2282">
        <v>2242</v>
      </c>
      <c r="J2282" t="s">
        <v>29</v>
      </c>
      <c r="K2282" t="str">
        <f>IF(Table3[[#This Row],[Type Received]]=2,"CC",(IF(Table3[[#This Row],[Type Received]]=3,"BILL","ACH")))</f>
        <v>BILL</v>
      </c>
    </row>
    <row r="2283" spans="1:11" x14ac:dyDescent="0.25">
      <c r="A2283">
        <v>211430</v>
      </c>
      <c r="B2283" s="3">
        <v>46144</v>
      </c>
      <c r="C2283">
        <v>2</v>
      </c>
      <c r="D2283">
        <v>39.58</v>
      </c>
      <c r="F2283" t="s">
        <v>247</v>
      </c>
      <c r="G2283">
        <v>741651752</v>
      </c>
      <c r="H2283">
        <v>353259748</v>
      </c>
      <c r="J2283" t="s">
        <v>29</v>
      </c>
      <c r="K2283" t="str">
        <f>IF(Table3[[#This Row],[Type Received]]=2,"CC",(IF(Table3[[#This Row],[Type Received]]=3,"BILL","ACH")))</f>
        <v>CC</v>
      </c>
    </row>
    <row r="2284" spans="1:11" x14ac:dyDescent="0.25">
      <c r="A2284">
        <v>211437</v>
      </c>
      <c r="B2284" s="3">
        <v>46162</v>
      </c>
      <c r="C2284">
        <v>2</v>
      </c>
      <c r="D2284">
        <v>31.51</v>
      </c>
      <c r="F2284">
        <v>85636</v>
      </c>
      <c r="G2284" t="s">
        <v>28</v>
      </c>
      <c r="H2284">
        <v>757771986</v>
      </c>
      <c r="I2284" t="s">
        <v>29</v>
      </c>
      <c r="J2284" t="s">
        <v>29</v>
      </c>
      <c r="K2284" t="str">
        <f>IF(Table3[[#This Row],[Type Received]]=2,"CC",(IF(Table3[[#This Row],[Type Received]]=3,"BILL","ACH")))</f>
        <v>CC</v>
      </c>
    </row>
    <row r="2285" spans="1:11" x14ac:dyDescent="0.25">
      <c r="A2285">
        <v>211743</v>
      </c>
      <c r="B2285" s="3">
        <v>46157</v>
      </c>
      <c r="C2285">
        <v>1</v>
      </c>
      <c r="D2285">
        <v>41.73</v>
      </c>
      <c r="G2285" t="s">
        <v>87</v>
      </c>
      <c r="H2285">
        <v>696769130</v>
      </c>
      <c r="I2285" t="s">
        <v>29</v>
      </c>
      <c r="J2285" t="s">
        <v>29</v>
      </c>
      <c r="K2285" t="str">
        <f>IF(Table3[[#This Row],[Type Received]]=2,"CC",(IF(Table3[[#This Row],[Type Received]]=3,"BILL","ACH")))</f>
        <v>ACH</v>
      </c>
    </row>
    <row r="2286" spans="1:11" x14ac:dyDescent="0.25">
      <c r="A2286">
        <v>211745</v>
      </c>
      <c r="B2286" s="3">
        <v>46167</v>
      </c>
      <c r="C2286">
        <v>1</v>
      </c>
      <c r="D2286">
        <v>20.94</v>
      </c>
      <c r="G2286" t="s">
        <v>85</v>
      </c>
      <c r="H2286">
        <v>818380116</v>
      </c>
      <c r="I2286" t="s">
        <v>29</v>
      </c>
      <c r="J2286" t="s">
        <v>29</v>
      </c>
      <c r="K2286" t="str">
        <f>IF(Table3[[#This Row],[Type Received]]=2,"CC",(IF(Table3[[#This Row],[Type Received]]=3,"BILL","ACH")))</f>
        <v>ACH</v>
      </c>
    </row>
    <row r="2287" spans="1:11" x14ac:dyDescent="0.25">
      <c r="A2287">
        <v>211758</v>
      </c>
      <c r="B2287" s="3">
        <v>46145</v>
      </c>
      <c r="C2287">
        <v>1</v>
      </c>
      <c r="D2287">
        <v>21.41</v>
      </c>
      <c r="G2287" t="s">
        <v>113</v>
      </c>
      <c r="H2287">
        <v>546449213</v>
      </c>
      <c r="I2287" t="s">
        <v>29</v>
      </c>
      <c r="J2287" t="s">
        <v>29</v>
      </c>
      <c r="K2287" t="str">
        <f>IF(Table3[[#This Row],[Type Received]]=2,"CC",(IF(Table3[[#This Row],[Type Received]]=3,"BILL","ACH")))</f>
        <v>ACH</v>
      </c>
    </row>
    <row r="2288" spans="1:11" x14ac:dyDescent="0.25">
      <c r="A2288">
        <v>211836</v>
      </c>
      <c r="B2288" s="3">
        <v>46167</v>
      </c>
      <c r="C2288">
        <v>1</v>
      </c>
      <c r="D2288">
        <v>63.73</v>
      </c>
      <c r="G2288" t="s">
        <v>85</v>
      </c>
      <c r="H2288">
        <v>818375272</v>
      </c>
      <c r="I2288" t="s">
        <v>29</v>
      </c>
      <c r="J2288" t="s">
        <v>29</v>
      </c>
      <c r="K2288" t="str">
        <f>IF(Table3[[#This Row],[Type Received]]=2,"CC",(IF(Table3[[#This Row],[Type Received]]=3,"BILL","ACH")))</f>
        <v>ACH</v>
      </c>
    </row>
    <row r="2289" spans="1:11" x14ac:dyDescent="0.25">
      <c r="A2289">
        <v>211874</v>
      </c>
      <c r="B2289" s="3">
        <v>46167</v>
      </c>
      <c r="C2289">
        <v>1</v>
      </c>
      <c r="D2289">
        <v>30.29</v>
      </c>
      <c r="G2289" t="s">
        <v>85</v>
      </c>
      <c r="H2289">
        <v>818361741</v>
      </c>
      <c r="I2289" t="s">
        <v>29</v>
      </c>
      <c r="J2289" t="s">
        <v>29</v>
      </c>
      <c r="K2289" t="str">
        <f>IF(Table3[[#This Row],[Type Received]]=2,"CC",(IF(Table3[[#This Row],[Type Received]]=3,"BILL","ACH")))</f>
        <v>ACH</v>
      </c>
    </row>
    <row r="2290" spans="1:11" x14ac:dyDescent="0.25">
      <c r="A2290">
        <v>211984</v>
      </c>
      <c r="B2290" s="3">
        <v>46145</v>
      </c>
      <c r="C2290">
        <v>1</v>
      </c>
      <c r="D2290">
        <v>18.190000000000001</v>
      </c>
      <c r="G2290" t="s">
        <v>113</v>
      </c>
      <c r="H2290">
        <v>546440418</v>
      </c>
      <c r="I2290" t="s">
        <v>29</v>
      </c>
      <c r="J2290" t="s">
        <v>29</v>
      </c>
      <c r="K2290" t="str">
        <f>IF(Table3[[#This Row],[Type Received]]=2,"CC",(IF(Table3[[#This Row],[Type Received]]=3,"BILL","ACH")))</f>
        <v>ACH</v>
      </c>
    </row>
    <row r="2291" spans="1:11" x14ac:dyDescent="0.25">
      <c r="A2291">
        <v>212063</v>
      </c>
      <c r="B2291" s="3">
        <v>46145</v>
      </c>
      <c r="C2291">
        <v>1</v>
      </c>
      <c r="D2291">
        <v>64.150000000000006</v>
      </c>
      <c r="G2291" t="s">
        <v>113</v>
      </c>
      <c r="H2291">
        <v>546441389</v>
      </c>
      <c r="I2291" t="s">
        <v>29</v>
      </c>
      <c r="J2291" t="s">
        <v>29</v>
      </c>
      <c r="K2291" t="str">
        <f>IF(Table3[[#This Row],[Type Received]]=2,"CC",(IF(Table3[[#This Row],[Type Received]]=3,"BILL","ACH")))</f>
        <v>ACH</v>
      </c>
    </row>
    <row r="2292" spans="1:11" x14ac:dyDescent="0.25">
      <c r="A2292">
        <v>212243</v>
      </c>
      <c r="B2292" s="3">
        <v>46162</v>
      </c>
      <c r="C2292">
        <v>2</v>
      </c>
      <c r="D2292">
        <v>61.14</v>
      </c>
      <c r="F2292">
        <v>633299</v>
      </c>
      <c r="G2292" t="s">
        <v>28</v>
      </c>
      <c r="H2292">
        <v>757932613</v>
      </c>
      <c r="I2292" t="s">
        <v>29</v>
      </c>
      <c r="J2292" t="s">
        <v>29</v>
      </c>
      <c r="K2292" t="str">
        <f>IF(Table3[[#This Row],[Type Received]]=2,"CC",(IF(Table3[[#This Row],[Type Received]]=3,"BILL","ACH")))</f>
        <v>CC</v>
      </c>
    </row>
    <row r="2293" spans="1:11" x14ac:dyDescent="0.25">
      <c r="A2293">
        <v>212261</v>
      </c>
      <c r="B2293" s="3">
        <v>46147</v>
      </c>
      <c r="C2293">
        <v>3</v>
      </c>
      <c r="D2293">
        <v>54.25</v>
      </c>
      <c r="E2293">
        <v>2053</v>
      </c>
      <c r="J2293" t="s">
        <v>29</v>
      </c>
      <c r="K2293" t="str">
        <f>IF(Table3[[#This Row],[Type Received]]=2,"CC",(IF(Table3[[#This Row],[Type Received]]=3,"BILL","ACH")))</f>
        <v>BILL</v>
      </c>
    </row>
    <row r="2294" spans="1:11" x14ac:dyDescent="0.25">
      <c r="A2294">
        <v>212332</v>
      </c>
      <c r="B2294" s="3">
        <v>46157</v>
      </c>
      <c r="C2294">
        <v>1</v>
      </c>
      <c r="D2294">
        <v>20.39</v>
      </c>
      <c r="G2294" t="s">
        <v>87</v>
      </c>
      <c r="H2294">
        <v>696751651</v>
      </c>
      <c r="I2294" t="s">
        <v>29</v>
      </c>
      <c r="J2294" t="s">
        <v>29</v>
      </c>
      <c r="K2294" t="str">
        <f>IF(Table3[[#This Row],[Type Received]]=2,"CC",(IF(Table3[[#This Row],[Type Received]]=3,"BILL","ACH")))</f>
        <v>ACH</v>
      </c>
    </row>
    <row r="2295" spans="1:11" x14ac:dyDescent="0.25">
      <c r="A2295">
        <v>212337</v>
      </c>
      <c r="B2295" s="3">
        <v>46167</v>
      </c>
      <c r="C2295">
        <v>1</v>
      </c>
      <c r="D2295">
        <v>44.37</v>
      </c>
      <c r="G2295" t="s">
        <v>85</v>
      </c>
      <c r="H2295">
        <v>818312533</v>
      </c>
      <c r="I2295" t="s">
        <v>29</v>
      </c>
      <c r="J2295" t="s">
        <v>29</v>
      </c>
      <c r="K2295" t="str">
        <f>IF(Table3[[#This Row],[Type Received]]=2,"CC",(IF(Table3[[#This Row],[Type Received]]=3,"BILL","ACH")))</f>
        <v>ACH</v>
      </c>
    </row>
    <row r="2296" spans="1:11" x14ac:dyDescent="0.25">
      <c r="A2296">
        <v>212344</v>
      </c>
      <c r="B2296" s="3">
        <v>46144</v>
      </c>
      <c r="C2296">
        <v>1</v>
      </c>
      <c r="D2296">
        <v>58.45</v>
      </c>
      <c r="G2296" t="s">
        <v>89</v>
      </c>
      <c r="H2296">
        <v>535408249</v>
      </c>
      <c r="I2296" t="s">
        <v>29</v>
      </c>
      <c r="J2296" t="s">
        <v>29</v>
      </c>
      <c r="K2296" t="str">
        <f>IF(Table3[[#This Row],[Type Received]]=2,"CC",(IF(Table3[[#This Row],[Type Received]]=3,"BILL","ACH")))</f>
        <v>ACH</v>
      </c>
    </row>
    <row r="2297" spans="1:11" x14ac:dyDescent="0.25">
      <c r="A2297">
        <v>212684</v>
      </c>
      <c r="B2297" s="3">
        <v>46169</v>
      </c>
      <c r="C2297">
        <v>1</v>
      </c>
      <c r="D2297">
        <v>44.15</v>
      </c>
      <c r="G2297" t="s">
        <v>117</v>
      </c>
      <c r="H2297">
        <v>840834610</v>
      </c>
      <c r="I2297" t="s">
        <v>29</v>
      </c>
      <c r="J2297" t="s">
        <v>29</v>
      </c>
      <c r="K2297" t="str">
        <f>IF(Table3[[#This Row],[Type Received]]=2,"CC",(IF(Table3[[#This Row],[Type Received]]=3,"BILL","ACH")))</f>
        <v>ACH</v>
      </c>
    </row>
    <row r="2298" spans="1:11" x14ac:dyDescent="0.25">
      <c r="A2298">
        <v>212751</v>
      </c>
      <c r="B2298" s="3">
        <v>46157</v>
      </c>
      <c r="C2298">
        <v>1</v>
      </c>
      <c r="D2298">
        <v>26.44</v>
      </c>
      <c r="G2298" t="s">
        <v>87</v>
      </c>
      <c r="H2298">
        <v>696764262</v>
      </c>
      <c r="I2298" t="s">
        <v>29</v>
      </c>
      <c r="J2298" t="s">
        <v>29</v>
      </c>
      <c r="K2298" t="str">
        <f>IF(Table3[[#This Row],[Type Received]]=2,"CC",(IF(Table3[[#This Row],[Type Received]]=3,"BILL","ACH")))</f>
        <v>ACH</v>
      </c>
    </row>
    <row r="2299" spans="1:11" x14ac:dyDescent="0.25">
      <c r="A2299">
        <v>212784</v>
      </c>
      <c r="B2299" s="3">
        <v>46157</v>
      </c>
      <c r="C2299">
        <v>1</v>
      </c>
      <c r="D2299">
        <v>15.55</v>
      </c>
      <c r="G2299" t="s">
        <v>87</v>
      </c>
      <c r="H2299">
        <v>696742030</v>
      </c>
      <c r="I2299" t="s">
        <v>29</v>
      </c>
      <c r="J2299" t="s">
        <v>29</v>
      </c>
      <c r="K2299" t="str">
        <f>IF(Table3[[#This Row],[Type Received]]=2,"CC",(IF(Table3[[#This Row],[Type Received]]=3,"BILL","ACH")))</f>
        <v>ACH</v>
      </c>
    </row>
    <row r="2300" spans="1:11" x14ac:dyDescent="0.25">
      <c r="A2300">
        <v>212469</v>
      </c>
      <c r="B2300" s="3">
        <v>46147</v>
      </c>
      <c r="C2300">
        <v>3</v>
      </c>
      <c r="D2300">
        <v>77.349999999999994</v>
      </c>
      <c r="E2300">
        <v>9630</v>
      </c>
      <c r="J2300" t="s">
        <v>29</v>
      </c>
      <c r="K2300" t="str">
        <f>IF(Table3[[#This Row],[Type Received]]=2,"CC",(IF(Table3[[#This Row],[Type Received]]=3,"BILL","ACH")))</f>
        <v>BILL</v>
      </c>
    </row>
    <row r="2301" spans="1:11" x14ac:dyDescent="0.25">
      <c r="A2301">
        <v>212518</v>
      </c>
      <c r="B2301" s="3">
        <v>46155</v>
      </c>
      <c r="C2301">
        <v>2</v>
      </c>
      <c r="D2301">
        <v>58.78</v>
      </c>
      <c r="F2301">
        <v>191793</v>
      </c>
      <c r="G2301" t="s">
        <v>28</v>
      </c>
      <c r="H2301">
        <v>669495558</v>
      </c>
      <c r="I2301" t="s">
        <v>29</v>
      </c>
      <c r="J2301" t="s">
        <v>29</v>
      </c>
      <c r="K2301" t="str">
        <f>IF(Table3[[#This Row],[Type Received]]=2,"CC",(IF(Table3[[#This Row],[Type Received]]=3,"BILL","ACH")))</f>
        <v>CC</v>
      </c>
    </row>
    <row r="2302" spans="1:11" x14ac:dyDescent="0.25">
      <c r="A2302">
        <v>212563</v>
      </c>
      <c r="B2302" s="3">
        <v>46157</v>
      </c>
      <c r="C2302">
        <v>1</v>
      </c>
      <c r="D2302">
        <v>48.22</v>
      </c>
      <c r="G2302" s="4" t="s">
        <v>87</v>
      </c>
      <c r="H2302">
        <v>696759365</v>
      </c>
      <c r="I2302" t="s">
        <v>29</v>
      </c>
      <c r="K2302" t="str">
        <f>IF(Table3[[#This Row],[Type Received]]=2,"CC",(IF(Table3[[#This Row],[Type Received]]=3,"BILL","ACH")))</f>
        <v>ACH</v>
      </c>
    </row>
    <row r="2303" spans="1:11" x14ac:dyDescent="0.25">
      <c r="A2303">
        <v>213106</v>
      </c>
      <c r="B2303" s="3">
        <v>46163</v>
      </c>
      <c r="C2303">
        <v>3</v>
      </c>
      <c r="D2303">
        <v>21.06</v>
      </c>
      <c r="E2303">
        <v>78601467</v>
      </c>
      <c r="J2303" t="s">
        <v>29</v>
      </c>
      <c r="K2303" t="str">
        <f>IF(Table3[[#This Row],[Type Received]]=2,"CC",(IF(Table3[[#This Row],[Type Received]]=3,"BILL","ACH")))</f>
        <v>BILL</v>
      </c>
    </row>
    <row r="2304" spans="1:11" x14ac:dyDescent="0.25">
      <c r="A2304">
        <v>213189</v>
      </c>
      <c r="B2304" s="3">
        <v>46155</v>
      </c>
      <c r="C2304">
        <v>1</v>
      </c>
      <c r="D2304">
        <v>45.25</v>
      </c>
      <c r="G2304" t="s">
        <v>90</v>
      </c>
      <c r="H2304">
        <v>669439633</v>
      </c>
      <c r="I2304" t="s">
        <v>29</v>
      </c>
      <c r="K2304" t="str">
        <f>IF(Table3[[#This Row],[Type Received]]=2,"CC",(IF(Table3[[#This Row],[Type Received]]=3,"BILL","ACH")))</f>
        <v>ACH</v>
      </c>
    </row>
    <row r="2305" spans="1:11" x14ac:dyDescent="0.25">
      <c r="A2305">
        <v>212801</v>
      </c>
      <c r="B2305" s="3">
        <v>46157</v>
      </c>
      <c r="C2305">
        <v>1</v>
      </c>
      <c r="D2305">
        <v>28.75</v>
      </c>
      <c r="G2305" t="s">
        <v>87</v>
      </c>
      <c r="H2305">
        <v>696759399</v>
      </c>
      <c r="I2305" t="s">
        <v>29</v>
      </c>
      <c r="K2305" t="str">
        <f>IF(Table3[[#This Row],[Type Received]]=2,"CC",(IF(Table3[[#This Row],[Type Received]]=3,"BILL","ACH")))</f>
        <v>ACH</v>
      </c>
    </row>
    <row r="2306" spans="1:11" x14ac:dyDescent="0.25">
      <c r="A2306">
        <v>212844</v>
      </c>
      <c r="B2306" s="3">
        <v>46143</v>
      </c>
      <c r="C2306">
        <v>2</v>
      </c>
      <c r="D2306">
        <v>73.39</v>
      </c>
      <c r="F2306">
        <v>25108</v>
      </c>
      <c r="G2306" t="s">
        <v>28</v>
      </c>
      <c r="H2306">
        <v>525037462</v>
      </c>
      <c r="I2306" t="s">
        <v>29</v>
      </c>
      <c r="J2306" t="s">
        <v>29</v>
      </c>
      <c r="K2306" t="str">
        <f>IF(Table3[[#This Row],[Type Received]]=2,"CC",(IF(Table3[[#This Row],[Type Received]]=3,"BILL","ACH")))</f>
        <v>CC</v>
      </c>
    </row>
    <row r="2307" spans="1:11" x14ac:dyDescent="0.25">
      <c r="A2307">
        <v>212877</v>
      </c>
      <c r="B2307" s="3">
        <v>46155</v>
      </c>
      <c r="C2307">
        <v>2</v>
      </c>
      <c r="D2307">
        <v>114.22</v>
      </c>
      <c r="F2307">
        <v>143495</v>
      </c>
      <c r="G2307" s="4" t="s">
        <v>28</v>
      </c>
      <c r="H2307">
        <v>669498475</v>
      </c>
      <c r="I2307" t="s">
        <v>29</v>
      </c>
      <c r="J2307" t="s">
        <v>29</v>
      </c>
      <c r="K2307" t="str">
        <f>IF(Table3[[#This Row],[Type Received]]=2,"CC",(IF(Table3[[#This Row],[Type Received]]=3,"BILL","ACH")))</f>
        <v>CC</v>
      </c>
    </row>
    <row r="2308" spans="1:11" x14ac:dyDescent="0.25">
      <c r="A2308">
        <v>212915</v>
      </c>
      <c r="B2308" s="3">
        <v>46160</v>
      </c>
      <c r="C2308">
        <v>3</v>
      </c>
      <c r="D2308">
        <v>22.49</v>
      </c>
      <c r="E2308">
        <v>19981</v>
      </c>
      <c r="K2308" t="str">
        <f>IF(Table3[[#This Row],[Type Received]]=2,"CC",(IF(Table3[[#This Row],[Type Received]]=3,"BILL","ACH")))</f>
        <v>BILL</v>
      </c>
    </row>
    <row r="2309" spans="1:11" x14ac:dyDescent="0.25">
      <c r="A2309">
        <v>212991</v>
      </c>
      <c r="B2309" s="3">
        <v>46150</v>
      </c>
      <c r="C2309">
        <v>3</v>
      </c>
      <c r="D2309">
        <v>21</v>
      </c>
      <c r="E2309">
        <v>19835841290</v>
      </c>
      <c r="K2309" t="str">
        <f>IF(Table3[[#This Row],[Type Received]]=2,"CC",(IF(Table3[[#This Row],[Type Received]]=3,"BILL","ACH")))</f>
        <v>BILL</v>
      </c>
    </row>
    <row r="2310" spans="1:11" x14ac:dyDescent="0.25">
      <c r="A2310">
        <v>212996</v>
      </c>
      <c r="B2310" s="3">
        <v>46170</v>
      </c>
      <c r="C2310">
        <v>3</v>
      </c>
      <c r="D2310">
        <v>99.13</v>
      </c>
      <c r="E2310">
        <v>405</v>
      </c>
      <c r="J2310" t="s">
        <v>29</v>
      </c>
      <c r="K2310" t="str">
        <f>IF(Table3[[#This Row],[Type Received]]=2,"CC",(IF(Table3[[#This Row],[Type Received]]=3,"BILL","ACH")))</f>
        <v>BILL</v>
      </c>
    </row>
    <row r="2311" spans="1:11" x14ac:dyDescent="0.25">
      <c r="A2311">
        <v>213260</v>
      </c>
      <c r="B2311" s="3">
        <v>46167</v>
      </c>
      <c r="C2311">
        <v>1</v>
      </c>
      <c r="D2311">
        <v>23.25</v>
      </c>
      <c r="G2311" t="s">
        <v>85</v>
      </c>
      <c r="H2311">
        <v>818373368</v>
      </c>
      <c r="I2311" t="s">
        <v>29</v>
      </c>
      <c r="J2311" t="s">
        <v>29</v>
      </c>
      <c r="K2311" t="str">
        <f>IF(Table3[[#This Row],[Type Received]]=2,"CC",(IF(Table3[[#This Row],[Type Received]]=3,"BILL","ACH")))</f>
        <v>ACH</v>
      </c>
    </row>
    <row r="2312" spans="1:11" x14ac:dyDescent="0.25">
      <c r="A2312">
        <v>213298</v>
      </c>
      <c r="B2312" s="3">
        <v>46157</v>
      </c>
      <c r="C2312">
        <v>2</v>
      </c>
      <c r="D2312">
        <v>11.89</v>
      </c>
      <c r="F2312">
        <v>48587</v>
      </c>
      <c r="G2312" t="s">
        <v>28</v>
      </c>
      <c r="H2312">
        <v>696634036</v>
      </c>
      <c r="I2312" t="s">
        <v>29</v>
      </c>
      <c r="J2312" t="s">
        <v>29</v>
      </c>
      <c r="K2312" t="str">
        <f>IF(Table3[[#This Row],[Type Received]]=2,"CC",(IF(Table3[[#This Row],[Type Received]]=3,"BILL","ACH")))</f>
        <v>CC</v>
      </c>
    </row>
    <row r="2313" spans="1:11" x14ac:dyDescent="0.25">
      <c r="A2313">
        <v>213356</v>
      </c>
      <c r="B2313" s="3">
        <v>46170</v>
      </c>
      <c r="C2313">
        <v>3</v>
      </c>
      <c r="D2313">
        <v>27.44</v>
      </c>
      <c r="E2313">
        <v>923942649</v>
      </c>
      <c r="J2313" t="s">
        <v>29</v>
      </c>
      <c r="K2313" t="str">
        <f>IF(Table3[[#This Row],[Type Received]]=2,"CC",(IF(Table3[[#This Row],[Type Received]]=3,"BILL","ACH")))</f>
        <v>BILL</v>
      </c>
    </row>
    <row r="2314" spans="1:11" x14ac:dyDescent="0.25">
      <c r="A2314">
        <v>213362</v>
      </c>
      <c r="B2314" s="3">
        <v>46147</v>
      </c>
      <c r="C2314">
        <v>3</v>
      </c>
      <c r="D2314">
        <v>44.86</v>
      </c>
      <c r="E2314">
        <v>1359</v>
      </c>
      <c r="K2314" t="str">
        <f>IF(Table3[[#This Row],[Type Received]]=2,"CC",(IF(Table3[[#This Row],[Type Received]]=3,"BILL","ACH")))</f>
        <v>BILL</v>
      </c>
    </row>
    <row r="2315" spans="1:11" x14ac:dyDescent="0.25">
      <c r="A2315">
        <v>213429</v>
      </c>
      <c r="B2315" s="3">
        <v>46157</v>
      </c>
      <c r="C2315">
        <v>1</v>
      </c>
      <c r="D2315">
        <v>18.96</v>
      </c>
      <c r="G2315" t="s">
        <v>87</v>
      </c>
      <c r="H2315">
        <v>696764297</v>
      </c>
      <c r="I2315" t="s">
        <v>29</v>
      </c>
      <c r="J2315" t="s">
        <v>29</v>
      </c>
      <c r="K2315" t="str">
        <f>IF(Table3[[#This Row],[Type Received]]=2,"CC",(IF(Table3[[#This Row],[Type Received]]=3,"BILL","ACH")))</f>
        <v>ACH</v>
      </c>
    </row>
    <row r="2316" spans="1:11" x14ac:dyDescent="0.25">
      <c r="A2316">
        <v>213453</v>
      </c>
      <c r="B2316" s="3">
        <v>46155</v>
      </c>
      <c r="C2316">
        <v>2</v>
      </c>
      <c r="D2316">
        <v>16.09</v>
      </c>
      <c r="F2316">
        <v>178454</v>
      </c>
      <c r="G2316" t="s">
        <v>28</v>
      </c>
      <c r="H2316">
        <v>669483858</v>
      </c>
      <c r="I2316" t="s">
        <v>29</v>
      </c>
      <c r="J2316" t="s">
        <v>29</v>
      </c>
      <c r="K2316" t="str">
        <f>IF(Table3[[#This Row],[Type Received]]=2,"CC",(IF(Table3[[#This Row],[Type Received]]=3,"BILL","ACH")))</f>
        <v>CC</v>
      </c>
    </row>
    <row r="2317" spans="1:11" x14ac:dyDescent="0.25">
      <c r="A2317">
        <v>213490</v>
      </c>
      <c r="B2317" s="3">
        <v>46144</v>
      </c>
      <c r="C2317">
        <v>1</v>
      </c>
      <c r="D2317">
        <v>37.22</v>
      </c>
      <c r="G2317" t="s">
        <v>89</v>
      </c>
      <c r="H2317">
        <v>535395754</v>
      </c>
      <c r="I2317" t="s">
        <v>29</v>
      </c>
      <c r="J2317" t="s">
        <v>29</v>
      </c>
      <c r="K2317" t="str">
        <f>IF(Table3[[#This Row],[Type Received]]=2,"CC",(IF(Table3[[#This Row],[Type Received]]=3,"BILL","ACH")))</f>
        <v>ACH</v>
      </c>
    </row>
    <row r="2318" spans="1:11" x14ac:dyDescent="0.25">
      <c r="A2318">
        <v>213559</v>
      </c>
      <c r="B2318" s="3">
        <v>46167</v>
      </c>
      <c r="C2318">
        <v>1</v>
      </c>
      <c r="D2318">
        <v>31.28</v>
      </c>
      <c r="G2318" t="s">
        <v>85</v>
      </c>
      <c r="H2318">
        <v>818328610</v>
      </c>
      <c r="I2318" t="s">
        <v>29</v>
      </c>
      <c r="J2318" t="s">
        <v>29</v>
      </c>
      <c r="K2318" t="str">
        <f>IF(Table3[[#This Row],[Type Received]]=2,"CC",(IF(Table3[[#This Row],[Type Received]]=3,"BILL","ACH")))</f>
        <v>ACH</v>
      </c>
    </row>
    <row r="2319" spans="1:11" x14ac:dyDescent="0.25">
      <c r="A2319">
        <v>213562</v>
      </c>
      <c r="B2319" s="3">
        <v>46157</v>
      </c>
      <c r="C2319">
        <v>2</v>
      </c>
      <c r="D2319">
        <v>11.75</v>
      </c>
      <c r="F2319">
        <v>43094</v>
      </c>
      <c r="G2319" t="s">
        <v>28</v>
      </c>
      <c r="H2319">
        <v>696704438</v>
      </c>
      <c r="I2319" t="s">
        <v>29</v>
      </c>
      <c r="J2319" t="s">
        <v>29</v>
      </c>
      <c r="K2319" t="str">
        <f>IF(Table3[[#This Row],[Type Received]]=2,"CC",(IF(Table3[[#This Row],[Type Received]]=3,"BILL","ACH")))</f>
        <v>CC</v>
      </c>
    </row>
    <row r="2320" spans="1:11" x14ac:dyDescent="0.25">
      <c r="A2320">
        <v>213625</v>
      </c>
      <c r="B2320" s="3">
        <v>46169</v>
      </c>
      <c r="C2320">
        <v>3</v>
      </c>
      <c r="D2320">
        <v>56.48</v>
      </c>
      <c r="E2320">
        <v>3000</v>
      </c>
      <c r="J2320" t="s">
        <v>29</v>
      </c>
      <c r="K2320" t="str">
        <f>IF(Table3[[#This Row],[Type Received]]=2,"CC",(IF(Table3[[#This Row],[Type Received]]=3,"BILL","ACH")))</f>
        <v>BILL</v>
      </c>
    </row>
    <row r="2321" spans="1:11" x14ac:dyDescent="0.25">
      <c r="A2321">
        <v>213673</v>
      </c>
      <c r="B2321" s="3">
        <v>46146</v>
      </c>
      <c r="C2321">
        <v>3</v>
      </c>
      <c r="D2321">
        <v>42.29</v>
      </c>
      <c r="E2321">
        <v>105</v>
      </c>
      <c r="J2321" t="s">
        <v>29</v>
      </c>
      <c r="K2321" t="str">
        <f>IF(Table3[[#This Row],[Type Received]]=2,"CC",(IF(Table3[[#This Row],[Type Received]]=3,"BILL","ACH")))</f>
        <v>BILL</v>
      </c>
    </row>
    <row r="2322" spans="1:11" x14ac:dyDescent="0.25">
      <c r="A2322">
        <v>213699</v>
      </c>
      <c r="B2322" s="3">
        <v>46167</v>
      </c>
      <c r="C2322">
        <v>1</v>
      </c>
      <c r="D2322">
        <v>22.81</v>
      </c>
      <c r="G2322" t="s">
        <v>85</v>
      </c>
      <c r="H2322">
        <v>818359767</v>
      </c>
      <c r="I2322" t="s">
        <v>29</v>
      </c>
      <c r="J2322" t="s">
        <v>29</v>
      </c>
      <c r="K2322" t="str">
        <f>IF(Table3[[#This Row],[Type Received]]=2,"CC",(IF(Table3[[#This Row],[Type Received]]=3,"BILL","ACH")))</f>
        <v>ACH</v>
      </c>
    </row>
    <row r="2323" spans="1:11" x14ac:dyDescent="0.25">
      <c r="A2323">
        <v>213711</v>
      </c>
      <c r="B2323" s="3">
        <v>46144</v>
      </c>
      <c r="C2323">
        <v>2</v>
      </c>
      <c r="D2323">
        <v>27.54</v>
      </c>
      <c r="F2323">
        <v>140339</v>
      </c>
      <c r="G2323" t="s">
        <v>28</v>
      </c>
      <c r="H2323">
        <v>535407346</v>
      </c>
      <c r="I2323" t="s">
        <v>29</v>
      </c>
      <c r="J2323" t="s">
        <v>29</v>
      </c>
      <c r="K2323" t="str">
        <f>IF(Table3[[#This Row],[Type Received]]=2,"CC",(IF(Table3[[#This Row],[Type Received]]=3,"BILL","ACH")))</f>
        <v>CC</v>
      </c>
    </row>
    <row r="2324" spans="1:11" x14ac:dyDescent="0.25">
      <c r="A2324">
        <v>213862</v>
      </c>
      <c r="B2324" s="3">
        <v>46145</v>
      </c>
      <c r="C2324">
        <v>2</v>
      </c>
      <c r="D2324">
        <v>166.74</v>
      </c>
      <c r="F2324">
        <v>122368</v>
      </c>
      <c r="G2324">
        <v>742039970</v>
      </c>
      <c r="H2324">
        <v>353334100</v>
      </c>
      <c r="J2324" t="s">
        <v>29</v>
      </c>
      <c r="K2324" t="str">
        <f>IF(Table3[[#This Row],[Type Received]]=2,"CC",(IF(Table3[[#This Row],[Type Received]]=3,"BILL","ACH")))</f>
        <v>CC</v>
      </c>
    </row>
    <row r="2325" spans="1:11" x14ac:dyDescent="0.25">
      <c r="A2325">
        <v>213916</v>
      </c>
      <c r="B2325" s="3">
        <v>46144</v>
      </c>
      <c r="C2325">
        <v>1</v>
      </c>
      <c r="D2325">
        <v>14.69</v>
      </c>
      <c r="G2325" t="s">
        <v>89</v>
      </c>
      <c r="H2325">
        <v>535390035</v>
      </c>
      <c r="I2325" t="s">
        <v>29</v>
      </c>
      <c r="J2325" t="s">
        <v>29</v>
      </c>
      <c r="K2325" t="str">
        <f>IF(Table3[[#This Row],[Type Received]]=2,"CC",(IF(Table3[[#This Row],[Type Received]]=3,"BILL","ACH")))</f>
        <v>ACH</v>
      </c>
    </row>
    <row r="2326" spans="1:11" x14ac:dyDescent="0.25">
      <c r="A2326">
        <v>213923</v>
      </c>
      <c r="B2326" s="3">
        <v>46155</v>
      </c>
      <c r="C2326">
        <v>2</v>
      </c>
      <c r="D2326">
        <v>37.770000000000003</v>
      </c>
      <c r="F2326">
        <v>130197</v>
      </c>
      <c r="G2326" t="s">
        <v>28</v>
      </c>
      <c r="H2326">
        <v>669482890</v>
      </c>
      <c r="I2326" t="s">
        <v>29</v>
      </c>
      <c r="J2326" t="s">
        <v>29</v>
      </c>
      <c r="K2326" t="str">
        <f>IF(Table3[[#This Row],[Type Received]]=2,"CC",(IF(Table3[[#This Row],[Type Received]]=3,"BILL","ACH")))</f>
        <v>CC</v>
      </c>
    </row>
    <row r="2327" spans="1:11" x14ac:dyDescent="0.25">
      <c r="A2327">
        <v>213948</v>
      </c>
      <c r="B2327" s="3">
        <v>46144</v>
      </c>
      <c r="C2327">
        <v>1</v>
      </c>
      <c r="D2327">
        <v>13.01</v>
      </c>
      <c r="G2327" s="4" t="s">
        <v>89</v>
      </c>
      <c r="H2327">
        <v>535390949</v>
      </c>
      <c r="I2327" t="s">
        <v>29</v>
      </c>
      <c r="J2327" t="s">
        <v>29</v>
      </c>
      <c r="K2327" t="str">
        <f>IF(Table3[[#This Row],[Type Received]]=2,"CC",(IF(Table3[[#This Row],[Type Received]]=3,"BILL","ACH")))</f>
        <v>ACH</v>
      </c>
    </row>
    <row r="2328" spans="1:11" x14ac:dyDescent="0.25">
      <c r="A2328">
        <v>213998</v>
      </c>
      <c r="B2328" s="3">
        <v>46157</v>
      </c>
      <c r="C2328">
        <v>1</v>
      </c>
      <c r="D2328">
        <v>41.73</v>
      </c>
      <c r="G2328" t="s">
        <v>87</v>
      </c>
      <c r="H2328">
        <v>696757572</v>
      </c>
      <c r="I2328" t="s">
        <v>29</v>
      </c>
      <c r="J2328" t="s">
        <v>29</v>
      </c>
      <c r="K2328" t="str">
        <f>IF(Table3[[#This Row],[Type Received]]=2,"CC",(IF(Table3[[#This Row],[Type Received]]=3,"BILL","ACH")))</f>
        <v>ACH</v>
      </c>
    </row>
    <row r="2329" spans="1:11" x14ac:dyDescent="0.25">
      <c r="A2329">
        <v>214056</v>
      </c>
      <c r="B2329" s="3">
        <v>46167</v>
      </c>
      <c r="C2329">
        <v>1</v>
      </c>
      <c r="D2329">
        <v>39.54</v>
      </c>
      <c r="G2329" t="s">
        <v>85</v>
      </c>
      <c r="H2329">
        <v>818407510</v>
      </c>
      <c r="I2329" t="s">
        <v>29</v>
      </c>
      <c r="J2329" t="s">
        <v>29</v>
      </c>
      <c r="K2329" t="str">
        <f>IF(Table3[[#This Row],[Type Received]]=2,"CC",(IF(Table3[[#This Row],[Type Received]]=3,"BILL","ACH")))</f>
        <v>ACH</v>
      </c>
    </row>
    <row r="2330" spans="1:11" x14ac:dyDescent="0.25">
      <c r="A2330">
        <v>214087</v>
      </c>
      <c r="B2330" s="3">
        <v>46170</v>
      </c>
      <c r="C2330">
        <v>3</v>
      </c>
      <c r="D2330">
        <v>49.3</v>
      </c>
      <c r="E2330">
        <v>1379</v>
      </c>
      <c r="J2330" t="s">
        <v>29</v>
      </c>
      <c r="K2330" t="str">
        <f>IF(Table3[[#This Row],[Type Received]]=2,"CC",(IF(Table3[[#This Row],[Type Received]]=3,"BILL","ACH")))</f>
        <v>BILL</v>
      </c>
    </row>
    <row r="2331" spans="1:11" x14ac:dyDescent="0.25">
      <c r="A2331">
        <v>214101</v>
      </c>
      <c r="B2331" s="3">
        <v>46144</v>
      </c>
      <c r="C2331">
        <v>1</v>
      </c>
      <c r="D2331">
        <v>10.91</v>
      </c>
      <c r="G2331" t="s">
        <v>89</v>
      </c>
      <c r="H2331">
        <v>535416109</v>
      </c>
      <c r="I2331" t="s">
        <v>29</v>
      </c>
      <c r="K2331" t="str">
        <f>IF(Table3[[#This Row],[Type Received]]=2,"CC",(IF(Table3[[#This Row],[Type Received]]=3,"BILL","ACH")))</f>
        <v>ACH</v>
      </c>
    </row>
    <row r="2332" spans="1:11" x14ac:dyDescent="0.25">
      <c r="A2332">
        <v>214112</v>
      </c>
      <c r="B2332" s="3">
        <v>46155</v>
      </c>
      <c r="C2332">
        <v>2</v>
      </c>
      <c r="D2332">
        <v>67.25</v>
      </c>
      <c r="F2332">
        <v>163400</v>
      </c>
      <c r="G2332" t="s">
        <v>28</v>
      </c>
      <c r="H2332">
        <v>669485784</v>
      </c>
      <c r="I2332" t="s">
        <v>29</v>
      </c>
      <c r="J2332" t="s">
        <v>29</v>
      </c>
      <c r="K2332" t="str">
        <f>IF(Table3[[#This Row],[Type Received]]=2,"CC",(IF(Table3[[#This Row],[Type Received]]=3,"BILL","ACH")))</f>
        <v>CC</v>
      </c>
    </row>
    <row r="2333" spans="1:11" x14ac:dyDescent="0.25">
      <c r="A2333">
        <v>214168</v>
      </c>
      <c r="B2333" s="3">
        <v>46168</v>
      </c>
      <c r="C2333">
        <v>3</v>
      </c>
      <c r="D2333">
        <v>118.19</v>
      </c>
      <c r="E2333">
        <v>4773</v>
      </c>
      <c r="J2333" t="s">
        <v>29</v>
      </c>
      <c r="K2333" t="str">
        <f>IF(Table3[[#This Row],[Type Received]]=2,"CC",(IF(Table3[[#This Row],[Type Received]]=3,"BILL","ACH")))</f>
        <v>BILL</v>
      </c>
    </row>
    <row r="2334" spans="1:11" x14ac:dyDescent="0.25">
      <c r="A2334">
        <v>214523</v>
      </c>
      <c r="B2334" s="3">
        <v>46167</v>
      </c>
      <c r="C2334">
        <v>1</v>
      </c>
      <c r="D2334">
        <v>80.23</v>
      </c>
      <c r="G2334" t="s">
        <v>85</v>
      </c>
      <c r="H2334">
        <v>818375303</v>
      </c>
      <c r="I2334" t="s">
        <v>29</v>
      </c>
      <c r="J2334" t="s">
        <v>29</v>
      </c>
      <c r="K2334" t="str">
        <f>IF(Table3[[#This Row],[Type Received]]=2,"CC",(IF(Table3[[#This Row],[Type Received]]=3,"BILL","ACH")))</f>
        <v>ACH</v>
      </c>
    </row>
    <row r="2335" spans="1:11" x14ac:dyDescent="0.25">
      <c r="A2335">
        <v>214528</v>
      </c>
      <c r="B2335" s="3">
        <v>46167</v>
      </c>
      <c r="C2335">
        <v>1</v>
      </c>
      <c r="D2335">
        <v>18.63</v>
      </c>
      <c r="G2335" t="s">
        <v>85</v>
      </c>
      <c r="H2335">
        <v>818353067</v>
      </c>
      <c r="I2335" t="s">
        <v>29</v>
      </c>
      <c r="K2335" t="str">
        <f>IF(Table3[[#This Row],[Type Received]]=2,"CC",(IF(Table3[[#This Row],[Type Received]]=3,"BILL","ACH")))</f>
        <v>ACH</v>
      </c>
    </row>
    <row r="2336" spans="1:11" x14ac:dyDescent="0.25">
      <c r="A2336">
        <v>214732</v>
      </c>
      <c r="B2336" s="3">
        <v>46153</v>
      </c>
      <c r="C2336">
        <v>3</v>
      </c>
      <c r="D2336">
        <v>41.98</v>
      </c>
      <c r="E2336">
        <v>201</v>
      </c>
      <c r="G2336" s="4"/>
      <c r="J2336" t="s">
        <v>29</v>
      </c>
      <c r="K2336" t="str">
        <f>IF(Table3[[#This Row],[Type Received]]=2,"CC",(IF(Table3[[#This Row],[Type Received]]=3,"BILL","ACH")))</f>
        <v>BILL</v>
      </c>
    </row>
    <row r="2337" spans="1:11" x14ac:dyDescent="0.25">
      <c r="A2337">
        <v>214742</v>
      </c>
      <c r="B2337" s="3">
        <v>46169</v>
      </c>
      <c r="C2337">
        <v>3</v>
      </c>
      <c r="D2337">
        <v>50</v>
      </c>
      <c r="E2337">
        <v>4123</v>
      </c>
      <c r="J2337" t="s">
        <v>29</v>
      </c>
      <c r="K2337" t="str">
        <f>IF(Table3[[#This Row],[Type Received]]=2,"CC",(IF(Table3[[#This Row],[Type Received]]=3,"BILL","ACH")))</f>
        <v>BILL</v>
      </c>
    </row>
    <row r="2338" spans="1:11" x14ac:dyDescent="0.25">
      <c r="A2338">
        <v>214823</v>
      </c>
      <c r="B2338" s="3">
        <v>46157</v>
      </c>
      <c r="C2338">
        <v>1</v>
      </c>
      <c r="D2338">
        <v>43.27</v>
      </c>
      <c r="G2338" t="s">
        <v>87</v>
      </c>
      <c r="H2338">
        <v>696755621</v>
      </c>
      <c r="I2338" t="s">
        <v>29</v>
      </c>
      <c r="J2338" t="s">
        <v>29</v>
      </c>
      <c r="K2338" t="str">
        <f>IF(Table3[[#This Row],[Type Received]]=2,"CC",(IF(Table3[[#This Row],[Type Received]]=3,"BILL","ACH")))</f>
        <v>ACH</v>
      </c>
    </row>
    <row r="2339" spans="1:11" x14ac:dyDescent="0.25">
      <c r="A2339">
        <v>214844</v>
      </c>
      <c r="B2339" s="3">
        <v>46158</v>
      </c>
      <c r="C2339">
        <v>1</v>
      </c>
      <c r="D2339">
        <v>36.229999999999997</v>
      </c>
      <c r="G2339" t="s">
        <v>106</v>
      </c>
      <c r="H2339">
        <v>710028079</v>
      </c>
      <c r="I2339" t="s">
        <v>29</v>
      </c>
      <c r="J2339" t="s">
        <v>29</v>
      </c>
      <c r="K2339" t="str">
        <f>IF(Table3[[#This Row],[Type Received]]=2,"CC",(IF(Table3[[#This Row],[Type Received]]=3,"BILL","ACH")))</f>
        <v>ACH</v>
      </c>
    </row>
    <row r="2340" spans="1:11" x14ac:dyDescent="0.25">
      <c r="A2340">
        <v>214909</v>
      </c>
      <c r="B2340" s="3">
        <v>46157</v>
      </c>
      <c r="C2340">
        <v>1</v>
      </c>
      <c r="D2340">
        <v>19.62</v>
      </c>
      <c r="G2340" s="4" t="s">
        <v>87</v>
      </c>
      <c r="H2340">
        <v>696746913</v>
      </c>
      <c r="I2340" t="s">
        <v>29</v>
      </c>
      <c r="K2340" t="str">
        <f>IF(Table3[[#This Row],[Type Received]]=2,"CC",(IF(Table3[[#This Row],[Type Received]]=3,"BILL","ACH")))</f>
        <v>ACH</v>
      </c>
    </row>
    <row r="2341" spans="1:11" x14ac:dyDescent="0.25">
      <c r="A2341">
        <v>215112</v>
      </c>
      <c r="B2341" s="3">
        <v>46143</v>
      </c>
      <c r="C2341">
        <v>1</v>
      </c>
      <c r="D2341">
        <v>66.7</v>
      </c>
      <c r="G2341" s="4" t="s">
        <v>84</v>
      </c>
      <c r="H2341">
        <v>522319059</v>
      </c>
      <c r="I2341" t="s">
        <v>29</v>
      </c>
      <c r="J2341" t="s">
        <v>29</v>
      </c>
      <c r="K2341" t="str">
        <f>IF(Table3[[#This Row],[Type Received]]=2,"CC",(IF(Table3[[#This Row],[Type Received]]=3,"BILL","ACH")))</f>
        <v>ACH</v>
      </c>
    </row>
    <row r="2342" spans="1:11" x14ac:dyDescent="0.25">
      <c r="A2342">
        <v>215140</v>
      </c>
      <c r="B2342" s="3">
        <v>46146</v>
      </c>
      <c r="C2342">
        <v>3</v>
      </c>
      <c r="D2342">
        <v>18.559999999999999</v>
      </c>
      <c r="E2342">
        <v>5332</v>
      </c>
      <c r="G2342" s="4"/>
      <c r="K2342" t="str">
        <f>IF(Table3[[#This Row],[Type Received]]=2,"CC",(IF(Table3[[#This Row],[Type Received]]=3,"BILL","ACH")))</f>
        <v>BILL</v>
      </c>
    </row>
    <row r="2343" spans="1:11" x14ac:dyDescent="0.25">
      <c r="A2343">
        <v>215295</v>
      </c>
      <c r="B2343" s="3">
        <v>46155</v>
      </c>
      <c r="C2343">
        <v>2</v>
      </c>
      <c r="D2343">
        <v>22.15</v>
      </c>
      <c r="F2343">
        <v>124982</v>
      </c>
      <c r="G2343" t="s">
        <v>28</v>
      </c>
      <c r="H2343">
        <v>669503361</v>
      </c>
      <c r="I2343" t="s">
        <v>29</v>
      </c>
      <c r="J2343" t="s">
        <v>29</v>
      </c>
      <c r="K2343" t="str">
        <f>IF(Table3[[#This Row],[Type Received]]=2,"CC",(IF(Table3[[#This Row],[Type Received]]=3,"BILL","ACH")))</f>
        <v>CC</v>
      </c>
    </row>
    <row r="2344" spans="1:11" x14ac:dyDescent="0.25">
      <c r="A2344">
        <v>215363</v>
      </c>
      <c r="B2344" s="3">
        <v>46157</v>
      </c>
      <c r="C2344">
        <v>1</v>
      </c>
      <c r="D2344">
        <v>12.59</v>
      </c>
      <c r="G2344" t="s">
        <v>87</v>
      </c>
      <c r="H2344">
        <v>696754726</v>
      </c>
      <c r="I2344" t="s">
        <v>29</v>
      </c>
      <c r="J2344" t="s">
        <v>29</v>
      </c>
      <c r="K2344" t="str">
        <f>IF(Table3[[#This Row],[Type Received]]=2,"CC",(IF(Table3[[#This Row],[Type Received]]=3,"BILL","ACH")))</f>
        <v>ACH</v>
      </c>
    </row>
    <row r="2345" spans="1:11" x14ac:dyDescent="0.25">
      <c r="A2345">
        <v>215440</v>
      </c>
      <c r="B2345" s="3">
        <v>46148</v>
      </c>
      <c r="C2345">
        <v>3</v>
      </c>
      <c r="D2345">
        <v>20.84</v>
      </c>
      <c r="E2345">
        <v>7038</v>
      </c>
      <c r="J2345" t="s">
        <v>29</v>
      </c>
      <c r="K2345" t="str">
        <f>IF(Table3[[#This Row],[Type Received]]=2,"CC",(IF(Table3[[#This Row],[Type Received]]=3,"BILL","ACH")))</f>
        <v>BILL</v>
      </c>
    </row>
    <row r="2346" spans="1:11" x14ac:dyDescent="0.25">
      <c r="A2346">
        <v>215506</v>
      </c>
      <c r="B2346" s="3">
        <v>46143</v>
      </c>
      <c r="C2346">
        <v>1</v>
      </c>
      <c r="D2346">
        <v>53.83</v>
      </c>
      <c r="G2346" t="s">
        <v>84</v>
      </c>
      <c r="H2346">
        <v>522324860</v>
      </c>
      <c r="I2346" t="s">
        <v>29</v>
      </c>
      <c r="J2346" t="s">
        <v>29</v>
      </c>
      <c r="K2346" t="str">
        <f>IF(Table3[[#This Row],[Type Received]]=2,"CC",(IF(Table3[[#This Row],[Type Received]]=3,"BILL","ACH")))</f>
        <v>ACH</v>
      </c>
    </row>
    <row r="2347" spans="1:11" x14ac:dyDescent="0.25">
      <c r="A2347">
        <v>215550</v>
      </c>
      <c r="B2347" s="3">
        <v>46143</v>
      </c>
      <c r="C2347">
        <v>1</v>
      </c>
      <c r="D2347">
        <v>21.49</v>
      </c>
      <c r="G2347" t="s">
        <v>84</v>
      </c>
      <c r="H2347">
        <v>522331619</v>
      </c>
      <c r="I2347" t="s">
        <v>29</v>
      </c>
      <c r="J2347" t="s">
        <v>29</v>
      </c>
      <c r="K2347" t="str">
        <f>IF(Table3[[#This Row],[Type Received]]=2,"CC",(IF(Table3[[#This Row],[Type Received]]=3,"BILL","ACH")))</f>
        <v>ACH</v>
      </c>
    </row>
    <row r="2348" spans="1:11" x14ac:dyDescent="0.25">
      <c r="A2348">
        <v>215555</v>
      </c>
      <c r="B2348" s="3">
        <v>46157</v>
      </c>
      <c r="C2348">
        <v>1</v>
      </c>
      <c r="D2348">
        <v>32.71</v>
      </c>
      <c r="G2348" t="s">
        <v>87</v>
      </c>
      <c r="H2348">
        <v>696766299</v>
      </c>
      <c r="I2348" t="s">
        <v>29</v>
      </c>
      <c r="K2348" t="str">
        <f>IF(Table3[[#This Row],[Type Received]]=2,"CC",(IF(Table3[[#This Row],[Type Received]]=3,"BILL","ACH")))</f>
        <v>ACH</v>
      </c>
    </row>
    <row r="2349" spans="1:11" x14ac:dyDescent="0.25">
      <c r="A2349">
        <v>215722</v>
      </c>
      <c r="B2349" s="3">
        <v>46155</v>
      </c>
      <c r="C2349">
        <v>2</v>
      </c>
      <c r="D2349">
        <v>30.73</v>
      </c>
      <c r="F2349" t="s">
        <v>248</v>
      </c>
      <c r="G2349" t="s">
        <v>28</v>
      </c>
      <c r="H2349">
        <v>669486768</v>
      </c>
      <c r="I2349" t="s">
        <v>29</v>
      </c>
      <c r="J2349" t="s">
        <v>29</v>
      </c>
      <c r="K2349" t="str">
        <f>IF(Table3[[#This Row],[Type Received]]=2,"CC",(IF(Table3[[#This Row],[Type Received]]=3,"BILL","ACH")))</f>
        <v>CC</v>
      </c>
    </row>
    <row r="2350" spans="1:11" x14ac:dyDescent="0.25">
      <c r="A2350">
        <v>215956</v>
      </c>
      <c r="B2350" s="3">
        <v>46143</v>
      </c>
      <c r="C2350">
        <v>3</v>
      </c>
      <c r="D2350">
        <v>22.93</v>
      </c>
      <c r="E2350">
        <v>19836400572</v>
      </c>
      <c r="K2350" t="str">
        <f>IF(Table3[[#This Row],[Type Received]]=2,"CC",(IF(Table3[[#This Row],[Type Received]]=3,"BILL","ACH")))</f>
        <v>BILL</v>
      </c>
    </row>
    <row r="2351" spans="1:11" x14ac:dyDescent="0.25">
      <c r="A2351">
        <v>215977</v>
      </c>
      <c r="B2351" s="3">
        <v>46143</v>
      </c>
      <c r="C2351">
        <v>1</v>
      </c>
      <c r="D2351">
        <v>25.45</v>
      </c>
      <c r="G2351" t="s">
        <v>84</v>
      </c>
      <c r="H2351">
        <v>522339405</v>
      </c>
      <c r="I2351" t="s">
        <v>29</v>
      </c>
      <c r="J2351" t="s">
        <v>29</v>
      </c>
      <c r="K2351" t="str">
        <f>IF(Table3[[#This Row],[Type Received]]=2,"CC",(IF(Table3[[#This Row],[Type Received]]=3,"BILL","ACH")))</f>
        <v>ACH</v>
      </c>
    </row>
    <row r="2352" spans="1:11" x14ac:dyDescent="0.25">
      <c r="A2352">
        <v>216017</v>
      </c>
      <c r="B2352" s="3">
        <v>46157</v>
      </c>
      <c r="C2352">
        <v>1</v>
      </c>
      <c r="D2352">
        <v>106.96</v>
      </c>
      <c r="G2352" t="s">
        <v>87</v>
      </c>
      <c r="H2352">
        <v>696596736</v>
      </c>
      <c r="I2352" t="s">
        <v>29</v>
      </c>
      <c r="K2352" t="str">
        <f>IF(Table3[[#This Row],[Type Received]]=2,"CC",(IF(Table3[[#This Row],[Type Received]]=3,"BILL","ACH")))</f>
        <v>ACH</v>
      </c>
    </row>
    <row r="2353" spans="1:11" x14ac:dyDescent="0.25">
      <c r="A2353">
        <v>216030</v>
      </c>
      <c r="B2353" s="3">
        <v>46143</v>
      </c>
      <c r="C2353">
        <v>1</v>
      </c>
      <c r="D2353">
        <v>14.12</v>
      </c>
      <c r="G2353" t="s">
        <v>84</v>
      </c>
      <c r="H2353">
        <v>522328784</v>
      </c>
      <c r="I2353" t="s">
        <v>29</v>
      </c>
      <c r="J2353" t="s">
        <v>29</v>
      </c>
      <c r="K2353" t="str">
        <f>IF(Table3[[#This Row],[Type Received]]=2,"CC",(IF(Table3[[#This Row],[Type Received]]=3,"BILL","ACH")))</f>
        <v>ACH</v>
      </c>
    </row>
    <row r="2354" spans="1:11" x14ac:dyDescent="0.25">
      <c r="A2354">
        <v>216039</v>
      </c>
      <c r="B2354" s="3">
        <v>46157</v>
      </c>
      <c r="C2354">
        <v>1</v>
      </c>
      <c r="D2354">
        <v>44.92</v>
      </c>
      <c r="G2354" t="s">
        <v>87</v>
      </c>
      <c r="H2354">
        <v>696748976</v>
      </c>
      <c r="I2354" t="s">
        <v>29</v>
      </c>
      <c r="J2354" t="s">
        <v>29</v>
      </c>
      <c r="K2354" t="str">
        <f>IF(Table3[[#This Row],[Type Received]]=2,"CC",(IF(Table3[[#This Row],[Type Received]]=3,"BILL","ACH")))</f>
        <v>ACH</v>
      </c>
    </row>
    <row r="2355" spans="1:11" x14ac:dyDescent="0.25">
      <c r="A2355">
        <v>216088</v>
      </c>
      <c r="B2355" s="3">
        <v>46168</v>
      </c>
      <c r="C2355">
        <v>3</v>
      </c>
      <c r="D2355">
        <v>30.78</v>
      </c>
      <c r="E2355">
        <v>537</v>
      </c>
      <c r="J2355" t="s">
        <v>29</v>
      </c>
      <c r="K2355" t="str">
        <f>IF(Table3[[#This Row],[Type Received]]=2,"CC",(IF(Table3[[#This Row],[Type Received]]=3,"BILL","ACH")))</f>
        <v>BILL</v>
      </c>
    </row>
    <row r="2356" spans="1:11" x14ac:dyDescent="0.25">
      <c r="A2356">
        <v>216215</v>
      </c>
      <c r="B2356" s="3">
        <v>46143</v>
      </c>
      <c r="C2356">
        <v>1</v>
      </c>
      <c r="D2356">
        <v>35.020000000000003</v>
      </c>
      <c r="G2356" t="s">
        <v>84</v>
      </c>
      <c r="H2356">
        <v>522328812</v>
      </c>
      <c r="I2356" t="s">
        <v>29</v>
      </c>
      <c r="J2356" t="s">
        <v>29</v>
      </c>
      <c r="K2356" t="str">
        <f>IF(Table3[[#This Row],[Type Received]]=2,"CC",(IF(Table3[[#This Row],[Type Received]]=3,"BILL","ACH")))</f>
        <v>ACH</v>
      </c>
    </row>
    <row r="2357" spans="1:11" x14ac:dyDescent="0.25">
      <c r="A2357">
        <v>216244</v>
      </c>
      <c r="B2357" s="3">
        <v>46162</v>
      </c>
      <c r="C2357">
        <v>2</v>
      </c>
      <c r="D2357">
        <v>181.3</v>
      </c>
      <c r="F2357">
        <v>934571</v>
      </c>
      <c r="G2357" t="s">
        <v>28</v>
      </c>
      <c r="H2357">
        <v>761341157</v>
      </c>
      <c r="I2357" t="s">
        <v>29</v>
      </c>
      <c r="J2357" t="s">
        <v>29</v>
      </c>
      <c r="K2357" t="str">
        <f>IF(Table3[[#This Row],[Type Received]]=2,"CC",(IF(Table3[[#This Row],[Type Received]]=3,"BILL","ACH")))</f>
        <v>CC</v>
      </c>
    </row>
    <row r="2358" spans="1:11" x14ac:dyDescent="0.25">
      <c r="A2358">
        <v>216650</v>
      </c>
      <c r="B2358" s="3">
        <v>46167</v>
      </c>
      <c r="C2358">
        <v>1</v>
      </c>
      <c r="D2358">
        <v>18.850000000000001</v>
      </c>
      <c r="G2358" s="4" t="s">
        <v>85</v>
      </c>
      <c r="H2358">
        <v>818355962</v>
      </c>
      <c r="I2358" t="s">
        <v>29</v>
      </c>
      <c r="J2358" t="s">
        <v>29</v>
      </c>
      <c r="K2358" t="str">
        <f>IF(Table3[[#This Row],[Type Received]]=2,"CC",(IF(Table3[[#This Row],[Type Received]]=3,"BILL","ACH")))</f>
        <v>ACH</v>
      </c>
    </row>
    <row r="2359" spans="1:11" x14ac:dyDescent="0.25">
      <c r="A2359">
        <v>216698</v>
      </c>
      <c r="B2359" s="3">
        <v>46168</v>
      </c>
      <c r="C2359">
        <v>3</v>
      </c>
      <c r="D2359">
        <v>24.03</v>
      </c>
      <c r="E2359">
        <v>55101421669</v>
      </c>
      <c r="K2359" t="str">
        <f>IF(Table3[[#This Row],[Type Received]]=2,"CC",(IF(Table3[[#This Row],[Type Received]]=3,"BILL","ACH")))</f>
        <v>BILL</v>
      </c>
    </row>
    <row r="2360" spans="1:11" x14ac:dyDescent="0.25">
      <c r="A2360">
        <v>216737</v>
      </c>
      <c r="B2360" s="3">
        <v>46155</v>
      </c>
      <c r="C2360">
        <v>1</v>
      </c>
      <c r="D2360">
        <v>118.29</v>
      </c>
      <c r="G2360" t="s">
        <v>90</v>
      </c>
      <c r="H2360">
        <v>669466164</v>
      </c>
      <c r="I2360" t="s">
        <v>29</v>
      </c>
      <c r="J2360" t="s">
        <v>29</v>
      </c>
      <c r="K2360" t="str">
        <f>IF(Table3[[#This Row],[Type Received]]=2,"CC",(IF(Table3[[#This Row],[Type Received]]=3,"BILL","ACH")))</f>
        <v>ACH</v>
      </c>
    </row>
    <row r="2361" spans="1:11" x14ac:dyDescent="0.25">
      <c r="A2361">
        <v>216746</v>
      </c>
      <c r="B2361" s="3">
        <v>46143</v>
      </c>
      <c r="C2361">
        <v>2</v>
      </c>
      <c r="D2361">
        <v>104.33</v>
      </c>
      <c r="F2361" t="s">
        <v>249</v>
      </c>
      <c r="G2361" t="s">
        <v>28</v>
      </c>
      <c r="H2361">
        <v>527247418</v>
      </c>
      <c r="I2361" t="s">
        <v>29</v>
      </c>
      <c r="J2361" t="s">
        <v>29</v>
      </c>
      <c r="K2361" t="str">
        <f>IF(Table3[[#This Row],[Type Received]]=2,"CC",(IF(Table3[[#This Row],[Type Received]]=3,"BILL","ACH")))</f>
        <v>CC</v>
      </c>
    </row>
    <row r="2362" spans="1:11" x14ac:dyDescent="0.25">
      <c r="A2362">
        <v>216780</v>
      </c>
      <c r="B2362" s="3">
        <v>46167</v>
      </c>
      <c r="C2362">
        <v>1</v>
      </c>
      <c r="D2362">
        <v>21.34</v>
      </c>
      <c r="G2362" s="4" t="s">
        <v>85</v>
      </c>
      <c r="H2362">
        <v>818356893</v>
      </c>
      <c r="I2362" t="s">
        <v>29</v>
      </c>
      <c r="J2362" t="s">
        <v>29</v>
      </c>
      <c r="K2362" t="str">
        <f>IF(Table3[[#This Row],[Type Received]]=2,"CC",(IF(Table3[[#This Row],[Type Received]]=3,"BILL","ACH")))</f>
        <v>ACH</v>
      </c>
    </row>
    <row r="2363" spans="1:11" x14ac:dyDescent="0.25">
      <c r="A2363">
        <v>216800</v>
      </c>
      <c r="B2363" s="3">
        <v>46143</v>
      </c>
      <c r="C2363">
        <v>1</v>
      </c>
      <c r="D2363">
        <v>34.69</v>
      </c>
      <c r="G2363" t="s">
        <v>84</v>
      </c>
      <c r="H2363">
        <v>522335563</v>
      </c>
      <c r="I2363" t="s">
        <v>29</v>
      </c>
      <c r="K2363" t="str">
        <f>IF(Table3[[#This Row],[Type Received]]=2,"CC",(IF(Table3[[#This Row],[Type Received]]=3,"BILL","ACH")))</f>
        <v>ACH</v>
      </c>
    </row>
    <row r="2364" spans="1:11" x14ac:dyDescent="0.25">
      <c r="A2364">
        <v>216445</v>
      </c>
      <c r="B2364" s="3">
        <v>46167</v>
      </c>
      <c r="C2364">
        <v>1</v>
      </c>
      <c r="D2364">
        <v>23.25</v>
      </c>
      <c r="G2364" t="s">
        <v>85</v>
      </c>
      <c r="H2364">
        <v>818353957</v>
      </c>
      <c r="I2364" t="s">
        <v>29</v>
      </c>
      <c r="J2364" t="s">
        <v>29</v>
      </c>
      <c r="K2364" t="str">
        <f>IF(Table3[[#This Row],[Type Received]]=2,"CC",(IF(Table3[[#This Row],[Type Received]]=3,"BILL","ACH")))</f>
        <v>ACH</v>
      </c>
    </row>
    <row r="2365" spans="1:11" x14ac:dyDescent="0.25">
      <c r="A2365">
        <v>216541</v>
      </c>
      <c r="B2365" s="3">
        <v>46168</v>
      </c>
      <c r="C2365">
        <v>3</v>
      </c>
      <c r="D2365">
        <v>96.08</v>
      </c>
      <c r="E2365">
        <v>50307</v>
      </c>
      <c r="J2365" t="s">
        <v>29</v>
      </c>
      <c r="K2365" t="str">
        <f>IF(Table3[[#This Row],[Type Received]]=2,"CC",(IF(Table3[[#This Row],[Type Received]]=3,"BILL","ACH")))</f>
        <v>BILL</v>
      </c>
    </row>
    <row r="2366" spans="1:11" x14ac:dyDescent="0.25">
      <c r="A2366">
        <v>216883</v>
      </c>
      <c r="B2366" s="3">
        <v>46155</v>
      </c>
      <c r="C2366">
        <v>1</v>
      </c>
      <c r="D2366">
        <v>45.58</v>
      </c>
      <c r="G2366" s="4" t="s">
        <v>90</v>
      </c>
      <c r="H2366">
        <v>669448379</v>
      </c>
      <c r="I2366" t="s">
        <v>29</v>
      </c>
      <c r="J2366" t="s">
        <v>29</v>
      </c>
      <c r="K2366" t="str">
        <f>IF(Table3[[#This Row],[Type Received]]=2,"CC",(IF(Table3[[#This Row],[Type Received]]=3,"BILL","ACH")))</f>
        <v>ACH</v>
      </c>
    </row>
    <row r="2367" spans="1:11" x14ac:dyDescent="0.25">
      <c r="A2367">
        <v>216925</v>
      </c>
      <c r="B2367" s="3">
        <v>46167</v>
      </c>
      <c r="C2367">
        <v>1</v>
      </c>
      <c r="D2367">
        <v>46.57</v>
      </c>
      <c r="G2367" t="s">
        <v>85</v>
      </c>
      <c r="H2367">
        <v>818369464</v>
      </c>
      <c r="I2367" t="s">
        <v>29</v>
      </c>
      <c r="J2367" t="s">
        <v>29</v>
      </c>
      <c r="K2367" t="str">
        <f>IF(Table3[[#This Row],[Type Received]]=2,"CC",(IF(Table3[[#This Row],[Type Received]]=3,"BILL","ACH")))</f>
        <v>ACH</v>
      </c>
    </row>
    <row r="2368" spans="1:11" x14ac:dyDescent="0.25">
      <c r="A2368">
        <v>216954</v>
      </c>
      <c r="B2368" s="3">
        <v>46146</v>
      </c>
      <c r="C2368">
        <v>3</v>
      </c>
      <c r="D2368">
        <v>40.450000000000003</v>
      </c>
      <c r="E2368">
        <v>19822767140</v>
      </c>
      <c r="J2368" t="s">
        <v>29</v>
      </c>
      <c r="K2368" t="str">
        <f>IF(Table3[[#This Row],[Type Received]]=2,"CC",(IF(Table3[[#This Row],[Type Received]]=3,"BILL","ACH")))</f>
        <v>BILL</v>
      </c>
    </row>
    <row r="2369" spans="1:11" x14ac:dyDescent="0.25">
      <c r="A2369">
        <v>216985</v>
      </c>
      <c r="B2369" s="3">
        <v>46157</v>
      </c>
      <c r="C2369">
        <v>1</v>
      </c>
      <c r="D2369">
        <v>17.420000000000002</v>
      </c>
      <c r="G2369" t="s">
        <v>87</v>
      </c>
      <c r="H2369">
        <v>696759484</v>
      </c>
      <c r="I2369" t="s">
        <v>29</v>
      </c>
      <c r="J2369" t="s">
        <v>29</v>
      </c>
      <c r="K2369" t="str">
        <f>IF(Table3[[#This Row],[Type Received]]=2,"CC",(IF(Table3[[#This Row],[Type Received]]=3,"BILL","ACH")))</f>
        <v>ACH</v>
      </c>
    </row>
    <row r="2370" spans="1:11" x14ac:dyDescent="0.25">
      <c r="A2370">
        <v>216986</v>
      </c>
      <c r="B2370" s="3">
        <v>46157</v>
      </c>
      <c r="C2370">
        <v>1</v>
      </c>
      <c r="D2370">
        <v>35.35</v>
      </c>
      <c r="G2370" s="4" t="s">
        <v>87</v>
      </c>
      <c r="H2370">
        <v>696772138</v>
      </c>
      <c r="I2370" t="s">
        <v>29</v>
      </c>
      <c r="J2370" t="s">
        <v>29</v>
      </c>
      <c r="K2370" t="str">
        <f>IF(Table3[[#This Row],[Type Received]]=2,"CC",(IF(Table3[[#This Row],[Type Received]]=3,"BILL","ACH")))</f>
        <v>ACH</v>
      </c>
    </row>
    <row r="2371" spans="1:11" x14ac:dyDescent="0.25">
      <c r="A2371">
        <v>217101</v>
      </c>
      <c r="B2371" s="3">
        <v>46147</v>
      </c>
      <c r="C2371">
        <v>3</v>
      </c>
      <c r="D2371">
        <v>15</v>
      </c>
      <c r="E2371">
        <v>996225</v>
      </c>
      <c r="G2371" s="4"/>
      <c r="K2371" t="str">
        <f>IF(Table3[[#This Row],[Type Received]]=2,"CC",(IF(Table3[[#This Row],[Type Received]]=3,"BILL","ACH")))</f>
        <v>BILL</v>
      </c>
    </row>
    <row r="2372" spans="1:11" x14ac:dyDescent="0.25">
      <c r="A2372">
        <v>217282</v>
      </c>
      <c r="B2372" s="3">
        <v>46143</v>
      </c>
      <c r="C2372">
        <v>1</v>
      </c>
      <c r="D2372">
        <v>41.51</v>
      </c>
      <c r="G2372" t="s">
        <v>84</v>
      </c>
      <c r="H2372">
        <v>522339529</v>
      </c>
      <c r="I2372" t="s">
        <v>29</v>
      </c>
      <c r="J2372" t="s">
        <v>29</v>
      </c>
      <c r="K2372" t="str">
        <f>IF(Table3[[#This Row],[Type Received]]=2,"CC",(IF(Table3[[#This Row],[Type Received]]=3,"BILL","ACH")))</f>
        <v>ACH</v>
      </c>
    </row>
    <row r="2373" spans="1:11" x14ac:dyDescent="0.25">
      <c r="A2373">
        <v>217315</v>
      </c>
      <c r="B2373" s="3">
        <v>46143</v>
      </c>
      <c r="C2373">
        <v>3</v>
      </c>
      <c r="D2373">
        <v>53.88</v>
      </c>
      <c r="E2373">
        <v>2614</v>
      </c>
      <c r="J2373" t="s">
        <v>29</v>
      </c>
      <c r="K2373" t="str">
        <f>IF(Table3[[#This Row],[Type Received]]=2,"CC",(IF(Table3[[#This Row],[Type Received]]=3,"BILL","ACH")))</f>
        <v>BILL</v>
      </c>
    </row>
    <row r="2374" spans="1:11" x14ac:dyDescent="0.25">
      <c r="A2374">
        <v>217390</v>
      </c>
      <c r="B2374" s="3">
        <v>46171</v>
      </c>
      <c r="C2374">
        <v>2</v>
      </c>
      <c r="D2374">
        <v>42.29</v>
      </c>
      <c r="F2374">
        <v>29557</v>
      </c>
      <c r="G2374" t="s">
        <v>28</v>
      </c>
      <c r="H2374">
        <v>867473991</v>
      </c>
      <c r="I2374" t="s">
        <v>29</v>
      </c>
      <c r="J2374" t="s">
        <v>29</v>
      </c>
      <c r="K2374" t="str">
        <f>IF(Table3[[#This Row],[Type Received]]=2,"CC",(IF(Table3[[#This Row],[Type Received]]=3,"BILL","ACH")))</f>
        <v>CC</v>
      </c>
    </row>
    <row r="2375" spans="1:11" x14ac:dyDescent="0.25">
      <c r="A2375">
        <v>217395</v>
      </c>
      <c r="B2375" s="3">
        <v>46156</v>
      </c>
      <c r="C2375">
        <v>3</v>
      </c>
      <c r="D2375">
        <v>39.21</v>
      </c>
      <c r="E2375">
        <v>58349317</v>
      </c>
      <c r="J2375" t="s">
        <v>29</v>
      </c>
      <c r="K2375" t="str">
        <f>IF(Table3[[#This Row],[Type Received]]=2,"CC",(IF(Table3[[#This Row],[Type Received]]=3,"BILL","ACH")))</f>
        <v>BILL</v>
      </c>
    </row>
    <row r="2376" spans="1:11" x14ac:dyDescent="0.25">
      <c r="A2376">
        <v>217473</v>
      </c>
      <c r="B2376" s="3">
        <v>46147</v>
      </c>
      <c r="C2376">
        <v>3</v>
      </c>
      <c r="D2376">
        <v>33.71</v>
      </c>
      <c r="E2376">
        <v>57618911</v>
      </c>
      <c r="J2376" t="s">
        <v>29</v>
      </c>
      <c r="K2376" t="str">
        <f>IF(Table3[[#This Row],[Type Received]]=2,"CC",(IF(Table3[[#This Row],[Type Received]]=3,"BILL","ACH")))</f>
        <v>BILL</v>
      </c>
    </row>
    <row r="2377" spans="1:11" x14ac:dyDescent="0.25">
      <c r="A2377">
        <v>217565</v>
      </c>
      <c r="B2377" s="3">
        <v>46143</v>
      </c>
      <c r="C2377">
        <v>1</v>
      </c>
      <c r="D2377">
        <v>21.16</v>
      </c>
      <c r="G2377" t="s">
        <v>84</v>
      </c>
      <c r="H2377">
        <v>522343289</v>
      </c>
      <c r="I2377" t="s">
        <v>29</v>
      </c>
      <c r="J2377" t="s">
        <v>29</v>
      </c>
      <c r="K2377" t="str">
        <f>IF(Table3[[#This Row],[Type Received]]=2,"CC",(IF(Table3[[#This Row],[Type Received]]=3,"BILL","ACH")))</f>
        <v>ACH</v>
      </c>
    </row>
    <row r="2378" spans="1:11" x14ac:dyDescent="0.25">
      <c r="A2378">
        <v>217588</v>
      </c>
      <c r="B2378" s="3">
        <v>46167</v>
      </c>
      <c r="C2378">
        <v>1</v>
      </c>
      <c r="D2378">
        <v>33.369999999999997</v>
      </c>
      <c r="G2378" t="s">
        <v>85</v>
      </c>
      <c r="H2378">
        <v>818355989</v>
      </c>
      <c r="I2378" t="s">
        <v>29</v>
      </c>
      <c r="J2378" t="s">
        <v>29</v>
      </c>
      <c r="K2378" t="str">
        <f>IF(Table3[[#This Row],[Type Received]]=2,"CC",(IF(Table3[[#This Row],[Type Received]]=3,"BILL","ACH")))</f>
        <v>ACH</v>
      </c>
    </row>
    <row r="2379" spans="1:11" x14ac:dyDescent="0.25">
      <c r="A2379">
        <v>217650</v>
      </c>
      <c r="B2379" s="3">
        <v>46153</v>
      </c>
      <c r="C2379">
        <v>3</v>
      </c>
      <c r="D2379">
        <v>71.12</v>
      </c>
      <c r="E2379">
        <v>5667</v>
      </c>
      <c r="J2379" t="s">
        <v>29</v>
      </c>
      <c r="K2379" t="str">
        <f>IF(Table3[[#This Row],[Type Received]]=2,"CC",(IF(Table3[[#This Row],[Type Received]]=3,"BILL","ACH")))</f>
        <v>BILL</v>
      </c>
    </row>
    <row r="2380" spans="1:11" x14ac:dyDescent="0.25">
      <c r="A2380">
        <v>217718</v>
      </c>
      <c r="B2380" s="3">
        <v>46143</v>
      </c>
      <c r="C2380">
        <v>2</v>
      </c>
      <c r="D2380">
        <v>130.44</v>
      </c>
      <c r="F2380">
        <v>469309</v>
      </c>
      <c r="G2380" t="s">
        <v>28</v>
      </c>
      <c r="H2380">
        <v>527438506</v>
      </c>
      <c r="I2380" t="s">
        <v>29</v>
      </c>
      <c r="J2380" t="s">
        <v>29</v>
      </c>
      <c r="K2380" t="str">
        <f>IF(Table3[[#This Row],[Type Received]]=2,"CC",(IF(Table3[[#This Row],[Type Received]]=3,"BILL","ACH")))</f>
        <v>CC</v>
      </c>
    </row>
    <row r="2381" spans="1:11" x14ac:dyDescent="0.25">
      <c r="A2381">
        <v>217737</v>
      </c>
      <c r="B2381" s="3">
        <v>46167</v>
      </c>
      <c r="C2381">
        <v>1</v>
      </c>
      <c r="D2381">
        <v>16.98</v>
      </c>
      <c r="G2381" t="s">
        <v>85</v>
      </c>
      <c r="H2381">
        <v>818353993</v>
      </c>
      <c r="I2381" t="s">
        <v>29</v>
      </c>
      <c r="J2381" t="s">
        <v>29</v>
      </c>
      <c r="K2381" t="str">
        <f>IF(Table3[[#This Row],[Type Received]]=2,"CC",(IF(Table3[[#This Row],[Type Received]]=3,"BILL","ACH")))</f>
        <v>ACH</v>
      </c>
    </row>
    <row r="2382" spans="1:11" x14ac:dyDescent="0.25">
      <c r="A2382">
        <v>217781</v>
      </c>
      <c r="B2382" s="3">
        <v>46143</v>
      </c>
      <c r="C2382">
        <v>2</v>
      </c>
      <c r="D2382">
        <v>187.24</v>
      </c>
      <c r="F2382" t="s">
        <v>250</v>
      </c>
      <c r="G2382">
        <v>741374152</v>
      </c>
      <c r="H2382">
        <v>353127755</v>
      </c>
      <c r="J2382" t="s">
        <v>29</v>
      </c>
      <c r="K2382" t="str">
        <f>IF(Table3[[#This Row],[Type Received]]=2,"CC",(IF(Table3[[#This Row],[Type Received]]=3,"BILL","ACH")))</f>
        <v>CC</v>
      </c>
    </row>
    <row r="2383" spans="1:11" x14ac:dyDescent="0.25">
      <c r="A2383">
        <v>218079</v>
      </c>
      <c r="B2383" s="3">
        <v>46147</v>
      </c>
      <c r="C2383">
        <v>2</v>
      </c>
      <c r="D2383">
        <v>54.1</v>
      </c>
      <c r="F2383">
        <v>90328</v>
      </c>
      <c r="G2383" t="s">
        <v>28</v>
      </c>
      <c r="H2383">
        <v>568973595</v>
      </c>
      <c r="I2383" t="s">
        <v>29</v>
      </c>
      <c r="K2383" t="str">
        <f>IF(Table3[[#This Row],[Type Received]]=2,"CC",(IF(Table3[[#This Row],[Type Received]]=3,"BILL","ACH")))</f>
        <v>CC</v>
      </c>
    </row>
    <row r="2384" spans="1:11" x14ac:dyDescent="0.25">
      <c r="A2384">
        <v>218091</v>
      </c>
      <c r="B2384" s="3">
        <v>46157</v>
      </c>
      <c r="C2384">
        <v>1</v>
      </c>
      <c r="D2384">
        <v>26.33</v>
      </c>
      <c r="G2384" t="s">
        <v>87</v>
      </c>
      <c r="H2384">
        <v>696748032</v>
      </c>
      <c r="I2384" t="s">
        <v>29</v>
      </c>
      <c r="J2384" t="s">
        <v>29</v>
      </c>
      <c r="K2384" t="str">
        <f>IF(Table3[[#This Row],[Type Received]]=2,"CC",(IF(Table3[[#This Row],[Type Received]]=3,"BILL","ACH")))</f>
        <v>ACH</v>
      </c>
    </row>
    <row r="2385" spans="1:11" x14ac:dyDescent="0.25">
      <c r="A2385">
        <v>218103</v>
      </c>
      <c r="B2385" s="3">
        <v>46168</v>
      </c>
      <c r="C2385">
        <v>3</v>
      </c>
      <c r="D2385">
        <v>57.62</v>
      </c>
      <c r="E2385">
        <v>19829498010</v>
      </c>
      <c r="J2385" t="s">
        <v>29</v>
      </c>
      <c r="K2385" t="str">
        <f>IF(Table3[[#This Row],[Type Received]]=2,"CC",(IF(Table3[[#This Row],[Type Received]]=3,"BILL","ACH")))</f>
        <v>BILL</v>
      </c>
    </row>
    <row r="2386" spans="1:11" x14ac:dyDescent="0.25">
      <c r="A2386">
        <v>218148</v>
      </c>
      <c r="B2386" s="3">
        <v>46153</v>
      </c>
      <c r="C2386">
        <v>3</v>
      </c>
      <c r="D2386">
        <v>42.88</v>
      </c>
      <c r="E2386">
        <v>2630</v>
      </c>
      <c r="J2386" t="s">
        <v>29</v>
      </c>
      <c r="K2386" t="str">
        <f>IF(Table3[[#This Row],[Type Received]]=2,"CC",(IF(Table3[[#This Row],[Type Received]]=3,"BILL","ACH")))</f>
        <v>BILL</v>
      </c>
    </row>
    <row r="2387" spans="1:11" x14ac:dyDescent="0.25">
      <c r="A2387">
        <v>217846</v>
      </c>
      <c r="B2387" s="3">
        <v>46143</v>
      </c>
      <c r="C2387">
        <v>2</v>
      </c>
      <c r="D2387">
        <v>68.77</v>
      </c>
      <c r="F2387">
        <v>384876</v>
      </c>
      <c r="G2387">
        <v>741374152</v>
      </c>
      <c r="H2387">
        <v>353132285</v>
      </c>
      <c r="J2387" t="s">
        <v>29</v>
      </c>
      <c r="K2387" t="str">
        <f>IF(Table3[[#This Row],[Type Received]]=2,"CC",(IF(Table3[[#This Row],[Type Received]]=3,"BILL","ACH")))</f>
        <v>CC</v>
      </c>
    </row>
    <row r="2388" spans="1:11" x14ac:dyDescent="0.25">
      <c r="A2388">
        <v>217881</v>
      </c>
      <c r="B2388" s="3">
        <v>46157</v>
      </c>
      <c r="C2388">
        <v>1</v>
      </c>
      <c r="D2388">
        <v>25.34</v>
      </c>
      <c r="G2388" t="s">
        <v>87</v>
      </c>
      <c r="H2388">
        <v>696762403</v>
      </c>
      <c r="I2388" t="s">
        <v>29</v>
      </c>
      <c r="J2388" t="s">
        <v>29</v>
      </c>
      <c r="K2388" t="str">
        <f>IF(Table3[[#This Row],[Type Received]]=2,"CC",(IF(Table3[[#This Row],[Type Received]]=3,"BILL","ACH")))</f>
        <v>ACH</v>
      </c>
    </row>
    <row r="2389" spans="1:11" x14ac:dyDescent="0.25">
      <c r="A2389">
        <v>217884</v>
      </c>
      <c r="B2389" s="3">
        <v>46158</v>
      </c>
      <c r="C2389">
        <v>2</v>
      </c>
      <c r="D2389">
        <v>52.62</v>
      </c>
      <c r="F2389">
        <v>166848</v>
      </c>
      <c r="G2389" t="s">
        <v>28</v>
      </c>
      <c r="H2389">
        <v>710066671</v>
      </c>
      <c r="I2389" t="s">
        <v>29</v>
      </c>
      <c r="J2389" t="s">
        <v>29</v>
      </c>
      <c r="K2389" t="str">
        <f>IF(Table3[[#This Row],[Type Received]]=2,"CC",(IF(Table3[[#This Row],[Type Received]]=3,"BILL","ACH")))</f>
        <v>CC</v>
      </c>
    </row>
    <row r="2390" spans="1:11" x14ac:dyDescent="0.25">
      <c r="A2390">
        <v>217897</v>
      </c>
      <c r="B2390" s="3">
        <v>46146</v>
      </c>
      <c r="C2390">
        <v>2</v>
      </c>
      <c r="D2390">
        <v>125.82</v>
      </c>
      <c r="F2390">
        <v>27270</v>
      </c>
      <c r="G2390" t="s">
        <v>28</v>
      </c>
      <c r="H2390">
        <v>556748773</v>
      </c>
      <c r="I2390" t="s">
        <v>29</v>
      </c>
      <c r="J2390" t="s">
        <v>29</v>
      </c>
      <c r="K2390" t="str">
        <f>IF(Table3[[#This Row],[Type Received]]=2,"CC",(IF(Table3[[#This Row],[Type Received]]=3,"BILL","ACH")))</f>
        <v>CC</v>
      </c>
    </row>
    <row r="2391" spans="1:11" x14ac:dyDescent="0.25">
      <c r="A2391">
        <v>217900</v>
      </c>
      <c r="B2391" s="3">
        <v>46167</v>
      </c>
      <c r="C2391">
        <v>1</v>
      </c>
      <c r="D2391">
        <v>33.79</v>
      </c>
      <c r="G2391" t="s">
        <v>85</v>
      </c>
      <c r="H2391">
        <v>818354006</v>
      </c>
      <c r="I2391" t="s">
        <v>29</v>
      </c>
      <c r="J2391" t="s">
        <v>29</v>
      </c>
      <c r="K2391" t="str">
        <f>IF(Table3[[#This Row],[Type Received]]=2,"CC",(IF(Table3[[#This Row],[Type Received]]=3,"BILL","ACH")))</f>
        <v>ACH</v>
      </c>
    </row>
    <row r="2392" spans="1:11" x14ac:dyDescent="0.25">
      <c r="A2392">
        <v>217904</v>
      </c>
      <c r="B2392" s="3">
        <v>46147</v>
      </c>
      <c r="C2392">
        <v>3</v>
      </c>
      <c r="D2392">
        <v>72.650000000000006</v>
      </c>
      <c r="E2392">
        <v>4465750055</v>
      </c>
      <c r="K2392" t="str">
        <f>IF(Table3[[#This Row],[Type Received]]=2,"CC",(IF(Table3[[#This Row],[Type Received]]=3,"BILL","ACH")))</f>
        <v>BILL</v>
      </c>
    </row>
    <row r="2393" spans="1:11" x14ac:dyDescent="0.25">
      <c r="A2393">
        <v>217947</v>
      </c>
      <c r="B2393" s="3">
        <v>46157</v>
      </c>
      <c r="C2393">
        <v>1</v>
      </c>
      <c r="D2393">
        <v>18.41</v>
      </c>
      <c r="G2393" t="s">
        <v>87</v>
      </c>
      <c r="H2393">
        <v>696752801</v>
      </c>
      <c r="I2393" t="s">
        <v>29</v>
      </c>
      <c r="J2393" t="s">
        <v>29</v>
      </c>
      <c r="K2393" t="str">
        <f>IF(Table3[[#This Row],[Type Received]]=2,"CC",(IF(Table3[[#This Row],[Type Received]]=3,"BILL","ACH")))</f>
        <v>ACH</v>
      </c>
    </row>
    <row r="2394" spans="1:11" x14ac:dyDescent="0.25">
      <c r="A2394">
        <v>218328</v>
      </c>
      <c r="B2394" s="3">
        <v>46157</v>
      </c>
      <c r="C2394">
        <v>1</v>
      </c>
      <c r="D2394">
        <v>16.23</v>
      </c>
      <c r="G2394" s="4" t="s">
        <v>87</v>
      </c>
      <c r="H2394">
        <v>696765408</v>
      </c>
      <c r="I2394" t="s">
        <v>29</v>
      </c>
      <c r="J2394" t="s">
        <v>29</v>
      </c>
      <c r="K2394" t="str">
        <f>IF(Table3[[#This Row],[Type Received]]=2,"CC",(IF(Table3[[#This Row],[Type Received]]=3,"BILL","ACH")))</f>
        <v>ACH</v>
      </c>
    </row>
    <row r="2395" spans="1:11" x14ac:dyDescent="0.25">
      <c r="A2395">
        <v>218332</v>
      </c>
      <c r="B2395" s="3">
        <v>46167</v>
      </c>
      <c r="C2395">
        <v>1</v>
      </c>
      <c r="D2395">
        <v>16.579999999999998</v>
      </c>
      <c r="G2395" t="s">
        <v>85</v>
      </c>
      <c r="H2395">
        <v>818356920</v>
      </c>
      <c r="I2395" t="s">
        <v>29</v>
      </c>
      <c r="J2395" t="s">
        <v>29</v>
      </c>
      <c r="K2395" t="str">
        <f>IF(Table3[[#This Row],[Type Received]]=2,"CC",(IF(Table3[[#This Row],[Type Received]]=3,"BILL","ACH")))</f>
        <v>ACH</v>
      </c>
    </row>
    <row r="2396" spans="1:11" x14ac:dyDescent="0.25">
      <c r="A2396">
        <v>218610</v>
      </c>
      <c r="B2396" s="3">
        <v>46143</v>
      </c>
      <c r="C2396">
        <v>3</v>
      </c>
      <c r="D2396">
        <v>37.67</v>
      </c>
      <c r="E2396">
        <v>8035</v>
      </c>
      <c r="J2396" t="s">
        <v>29</v>
      </c>
      <c r="K2396" t="str">
        <f>IF(Table3[[#This Row],[Type Received]]=2,"CC",(IF(Table3[[#This Row],[Type Received]]=3,"BILL","ACH")))</f>
        <v>BILL</v>
      </c>
    </row>
    <row r="2397" spans="1:11" x14ac:dyDescent="0.25">
      <c r="A2397">
        <v>218666</v>
      </c>
      <c r="B2397" s="3">
        <v>46146</v>
      </c>
      <c r="C2397">
        <v>3</v>
      </c>
      <c r="D2397">
        <v>26.23</v>
      </c>
      <c r="E2397">
        <v>3091</v>
      </c>
      <c r="J2397" t="s">
        <v>29</v>
      </c>
      <c r="K2397" t="str">
        <f>IF(Table3[[#This Row],[Type Received]]=2,"CC",(IF(Table3[[#This Row],[Type Received]]=3,"BILL","ACH")))</f>
        <v>BILL</v>
      </c>
    </row>
    <row r="2398" spans="1:11" x14ac:dyDescent="0.25">
      <c r="A2398">
        <v>218776</v>
      </c>
      <c r="B2398" s="3">
        <v>46157</v>
      </c>
      <c r="C2398">
        <v>1</v>
      </c>
      <c r="D2398">
        <v>41.62</v>
      </c>
      <c r="G2398" t="s">
        <v>87</v>
      </c>
      <c r="H2398">
        <v>696766393</v>
      </c>
      <c r="I2398" t="s">
        <v>29</v>
      </c>
      <c r="J2398" t="s">
        <v>29</v>
      </c>
      <c r="K2398" t="str">
        <f>IF(Table3[[#This Row],[Type Received]]=2,"CC",(IF(Table3[[#This Row],[Type Received]]=3,"BILL","ACH")))</f>
        <v>ACH</v>
      </c>
    </row>
    <row r="2399" spans="1:11" x14ac:dyDescent="0.25">
      <c r="A2399">
        <v>218792</v>
      </c>
      <c r="B2399" s="3">
        <v>46158</v>
      </c>
      <c r="C2399">
        <v>1</v>
      </c>
      <c r="D2399">
        <v>39.31</v>
      </c>
      <c r="G2399" t="s">
        <v>106</v>
      </c>
      <c r="H2399">
        <v>710025014</v>
      </c>
      <c r="I2399" t="s">
        <v>29</v>
      </c>
      <c r="J2399" t="s">
        <v>29</v>
      </c>
      <c r="K2399" t="str">
        <f>IF(Table3[[#This Row],[Type Received]]=2,"CC",(IF(Table3[[#This Row],[Type Received]]=3,"BILL","ACH")))</f>
        <v>ACH</v>
      </c>
    </row>
    <row r="2400" spans="1:11" x14ac:dyDescent="0.25">
      <c r="A2400">
        <v>218873</v>
      </c>
      <c r="B2400" s="3">
        <v>46157</v>
      </c>
      <c r="C2400">
        <v>1</v>
      </c>
      <c r="D2400">
        <v>18.63</v>
      </c>
      <c r="G2400" t="s">
        <v>87</v>
      </c>
      <c r="H2400">
        <v>696753824</v>
      </c>
      <c r="I2400" t="s">
        <v>29</v>
      </c>
      <c r="J2400" t="s">
        <v>29</v>
      </c>
      <c r="K2400" t="str">
        <f>IF(Table3[[#This Row],[Type Received]]=2,"CC",(IF(Table3[[#This Row],[Type Received]]=3,"BILL","ACH")))</f>
        <v>ACH</v>
      </c>
    </row>
    <row r="2401" spans="1:11" x14ac:dyDescent="0.25">
      <c r="A2401">
        <v>218891</v>
      </c>
      <c r="B2401" s="3">
        <v>46147</v>
      </c>
      <c r="C2401">
        <v>3</v>
      </c>
      <c r="D2401">
        <v>58.06</v>
      </c>
      <c r="E2401">
        <v>2852</v>
      </c>
      <c r="J2401" t="s">
        <v>29</v>
      </c>
      <c r="K2401" t="str">
        <f>IF(Table3[[#This Row],[Type Received]]=2,"CC",(IF(Table3[[#This Row],[Type Received]]=3,"BILL","ACH")))</f>
        <v>BILL</v>
      </c>
    </row>
    <row r="2402" spans="1:11" x14ac:dyDescent="0.25">
      <c r="A2402">
        <v>218910</v>
      </c>
      <c r="B2402" s="3">
        <v>46146</v>
      </c>
      <c r="C2402">
        <v>3</v>
      </c>
      <c r="D2402">
        <v>98.54</v>
      </c>
      <c r="E2402">
        <v>1904</v>
      </c>
      <c r="K2402" t="str">
        <f>IF(Table3[[#This Row],[Type Received]]=2,"CC",(IF(Table3[[#This Row],[Type Received]]=3,"BILL","ACH")))</f>
        <v>BILL</v>
      </c>
    </row>
    <row r="2403" spans="1:11" x14ac:dyDescent="0.25">
      <c r="A2403">
        <v>218933</v>
      </c>
      <c r="B2403" s="3">
        <v>46167</v>
      </c>
      <c r="C2403">
        <v>1</v>
      </c>
      <c r="D2403">
        <v>74.290000000000006</v>
      </c>
      <c r="G2403" t="s">
        <v>85</v>
      </c>
      <c r="H2403">
        <v>818356928</v>
      </c>
      <c r="I2403" t="s">
        <v>29</v>
      </c>
      <c r="J2403" t="s">
        <v>29</v>
      </c>
      <c r="K2403" t="str">
        <f>IF(Table3[[#This Row],[Type Received]]=2,"CC",(IF(Table3[[#This Row],[Type Received]]=3,"BILL","ACH")))</f>
        <v>ACH</v>
      </c>
    </row>
    <row r="2404" spans="1:11" x14ac:dyDescent="0.25">
      <c r="A2404">
        <v>218935</v>
      </c>
      <c r="B2404" s="3">
        <v>46167</v>
      </c>
      <c r="C2404">
        <v>1</v>
      </c>
      <c r="D2404">
        <v>20.39</v>
      </c>
      <c r="G2404" t="s">
        <v>85</v>
      </c>
      <c r="H2404">
        <v>818368604</v>
      </c>
      <c r="I2404" t="s">
        <v>29</v>
      </c>
      <c r="J2404" t="s">
        <v>29</v>
      </c>
      <c r="K2404" t="str">
        <f>IF(Table3[[#This Row],[Type Received]]=2,"CC",(IF(Table3[[#This Row],[Type Received]]=3,"BILL","ACH")))</f>
        <v>ACH</v>
      </c>
    </row>
    <row r="2405" spans="1:11" x14ac:dyDescent="0.25">
      <c r="A2405">
        <v>218985</v>
      </c>
      <c r="B2405" s="3">
        <v>46143</v>
      </c>
      <c r="C2405">
        <v>1</v>
      </c>
      <c r="D2405">
        <v>70</v>
      </c>
      <c r="G2405" t="s">
        <v>84</v>
      </c>
      <c r="H2405">
        <v>522349188</v>
      </c>
      <c r="I2405" t="s">
        <v>29</v>
      </c>
      <c r="K2405" t="str">
        <f>IF(Table3[[#This Row],[Type Received]]=2,"CC",(IF(Table3[[#This Row],[Type Received]]=3,"BILL","ACH")))</f>
        <v>ACH</v>
      </c>
    </row>
    <row r="2406" spans="1:11" x14ac:dyDescent="0.25">
      <c r="A2406">
        <v>219000</v>
      </c>
      <c r="B2406" s="3">
        <v>46146</v>
      </c>
      <c r="C2406">
        <v>3</v>
      </c>
      <c r="D2406">
        <v>19.96</v>
      </c>
      <c r="E2406">
        <v>5898</v>
      </c>
      <c r="J2406" t="s">
        <v>29</v>
      </c>
      <c r="K2406" t="str">
        <f>IF(Table3[[#This Row],[Type Received]]=2,"CC",(IF(Table3[[#This Row],[Type Received]]=3,"BILL","ACH")))</f>
        <v>BILL</v>
      </c>
    </row>
    <row r="2407" spans="1:11" x14ac:dyDescent="0.25">
      <c r="A2407">
        <v>219052</v>
      </c>
      <c r="B2407" s="3">
        <v>46143</v>
      </c>
      <c r="C2407">
        <v>1</v>
      </c>
      <c r="D2407">
        <v>55.15</v>
      </c>
      <c r="G2407" t="s">
        <v>84</v>
      </c>
      <c r="H2407">
        <v>522325079</v>
      </c>
      <c r="I2407" t="s">
        <v>29</v>
      </c>
      <c r="K2407" t="str">
        <f>IF(Table3[[#This Row],[Type Received]]=2,"CC",(IF(Table3[[#This Row],[Type Received]]=3,"BILL","ACH")))</f>
        <v>ACH</v>
      </c>
    </row>
    <row r="2408" spans="1:11" x14ac:dyDescent="0.25">
      <c r="A2408">
        <v>219093</v>
      </c>
      <c r="B2408" s="3">
        <v>46149</v>
      </c>
      <c r="C2408">
        <v>2</v>
      </c>
      <c r="D2408">
        <v>51.85</v>
      </c>
      <c r="F2408">
        <v>21642</v>
      </c>
      <c r="G2408" t="s">
        <v>28</v>
      </c>
      <c r="H2408">
        <v>594886048</v>
      </c>
      <c r="I2408" t="s">
        <v>29</v>
      </c>
      <c r="J2408" t="s">
        <v>29</v>
      </c>
      <c r="K2408" t="str">
        <f>IF(Table3[[#This Row],[Type Received]]=2,"CC",(IF(Table3[[#This Row],[Type Received]]=3,"BILL","ACH")))</f>
        <v>CC</v>
      </c>
    </row>
    <row r="2409" spans="1:11" x14ac:dyDescent="0.25">
      <c r="A2409">
        <v>219283</v>
      </c>
      <c r="B2409" s="3">
        <v>46167</v>
      </c>
      <c r="C2409">
        <v>1</v>
      </c>
      <c r="D2409">
        <v>95.41</v>
      </c>
      <c r="G2409" s="4" t="s">
        <v>85</v>
      </c>
      <c r="H2409">
        <v>818378333</v>
      </c>
      <c r="I2409" t="s">
        <v>29</v>
      </c>
      <c r="J2409" t="s">
        <v>29</v>
      </c>
      <c r="K2409" t="str">
        <f>IF(Table3[[#This Row],[Type Received]]=2,"CC",(IF(Table3[[#This Row],[Type Received]]=3,"BILL","ACH")))</f>
        <v>ACH</v>
      </c>
    </row>
    <row r="2410" spans="1:11" x14ac:dyDescent="0.25">
      <c r="A2410">
        <v>219357</v>
      </c>
      <c r="B2410" s="3">
        <v>46167</v>
      </c>
      <c r="C2410">
        <v>1</v>
      </c>
      <c r="D2410">
        <v>14.34</v>
      </c>
      <c r="G2410" t="s">
        <v>85</v>
      </c>
      <c r="H2410">
        <v>818377333</v>
      </c>
      <c r="I2410" t="s">
        <v>29</v>
      </c>
      <c r="J2410" t="s">
        <v>29</v>
      </c>
      <c r="K2410" t="str">
        <f>IF(Table3[[#This Row],[Type Received]]=2,"CC",(IF(Table3[[#This Row],[Type Received]]=3,"BILL","ACH")))</f>
        <v>ACH</v>
      </c>
    </row>
    <row r="2411" spans="1:11" x14ac:dyDescent="0.25">
      <c r="A2411">
        <v>219366</v>
      </c>
      <c r="B2411" s="3">
        <v>46157</v>
      </c>
      <c r="C2411">
        <v>1</v>
      </c>
      <c r="D2411">
        <v>35.79</v>
      </c>
      <c r="G2411" t="s">
        <v>87</v>
      </c>
      <c r="H2411">
        <v>696758688</v>
      </c>
      <c r="I2411" t="s">
        <v>29</v>
      </c>
      <c r="J2411" t="s">
        <v>29</v>
      </c>
      <c r="K2411" t="str">
        <f>IF(Table3[[#This Row],[Type Received]]=2,"CC",(IF(Table3[[#This Row],[Type Received]]=3,"BILL","ACH")))</f>
        <v>ACH</v>
      </c>
    </row>
    <row r="2412" spans="1:11" x14ac:dyDescent="0.25">
      <c r="A2412">
        <v>219387</v>
      </c>
      <c r="B2412" s="3">
        <v>46158</v>
      </c>
      <c r="C2412">
        <v>1</v>
      </c>
      <c r="D2412">
        <v>47.12</v>
      </c>
      <c r="G2412" t="s">
        <v>106</v>
      </c>
      <c r="H2412">
        <v>710042665</v>
      </c>
      <c r="I2412" t="s">
        <v>29</v>
      </c>
      <c r="K2412" t="str">
        <f>IF(Table3[[#This Row],[Type Received]]=2,"CC",(IF(Table3[[#This Row],[Type Received]]=3,"BILL","ACH")))</f>
        <v>ACH</v>
      </c>
    </row>
    <row r="2413" spans="1:11" x14ac:dyDescent="0.25">
      <c r="A2413">
        <v>219454</v>
      </c>
      <c r="B2413" s="3">
        <v>46157</v>
      </c>
      <c r="C2413">
        <v>1</v>
      </c>
      <c r="D2413">
        <v>48.55</v>
      </c>
      <c r="G2413" t="s">
        <v>87</v>
      </c>
      <c r="H2413">
        <v>696772214</v>
      </c>
      <c r="I2413" t="s">
        <v>29</v>
      </c>
      <c r="J2413" t="s">
        <v>29</v>
      </c>
      <c r="K2413" t="str">
        <f>IF(Table3[[#This Row],[Type Received]]=2,"CC",(IF(Table3[[#This Row],[Type Received]]=3,"BILL","ACH")))</f>
        <v>ACH</v>
      </c>
    </row>
    <row r="2414" spans="1:11" x14ac:dyDescent="0.25">
      <c r="A2414">
        <v>219457</v>
      </c>
      <c r="B2414" s="3">
        <v>46145</v>
      </c>
      <c r="C2414">
        <v>1</v>
      </c>
      <c r="D2414">
        <v>17.309999999999999</v>
      </c>
      <c r="G2414" t="s">
        <v>113</v>
      </c>
      <c r="H2414">
        <v>546432654</v>
      </c>
      <c r="I2414" t="s">
        <v>29</v>
      </c>
      <c r="J2414" t="s">
        <v>29</v>
      </c>
      <c r="K2414" t="str">
        <f>IF(Table3[[#This Row],[Type Received]]=2,"CC",(IF(Table3[[#This Row],[Type Received]]=3,"BILL","ACH")))</f>
        <v>ACH</v>
      </c>
    </row>
    <row r="2415" spans="1:11" x14ac:dyDescent="0.25">
      <c r="A2415">
        <v>219517</v>
      </c>
      <c r="B2415" s="3">
        <v>46161</v>
      </c>
      <c r="C2415">
        <v>2</v>
      </c>
      <c r="D2415">
        <v>69.430000000000007</v>
      </c>
      <c r="F2415">
        <v>313836</v>
      </c>
      <c r="G2415" s="4" t="s">
        <v>28</v>
      </c>
      <c r="H2415">
        <v>744574540</v>
      </c>
      <c r="I2415" t="s">
        <v>29</v>
      </c>
      <c r="J2415" t="s">
        <v>29</v>
      </c>
      <c r="K2415" t="str">
        <f>IF(Table3[[#This Row],[Type Received]]=2,"CC",(IF(Table3[[#This Row],[Type Received]]=3,"BILL","ACH")))</f>
        <v>CC</v>
      </c>
    </row>
    <row r="2416" spans="1:11" x14ac:dyDescent="0.25">
      <c r="A2416">
        <v>219521</v>
      </c>
      <c r="B2416" s="3">
        <v>46169</v>
      </c>
      <c r="C2416">
        <v>2</v>
      </c>
      <c r="D2416">
        <v>96.16</v>
      </c>
      <c r="F2416">
        <v>342475</v>
      </c>
      <c r="G2416" t="s">
        <v>28</v>
      </c>
      <c r="H2416">
        <v>845372442</v>
      </c>
      <c r="I2416" t="s">
        <v>29</v>
      </c>
      <c r="J2416" t="s">
        <v>29</v>
      </c>
      <c r="K2416" t="str">
        <f>IF(Table3[[#This Row],[Type Received]]=2,"CC",(IF(Table3[[#This Row],[Type Received]]=3,"BILL","ACH")))</f>
        <v>CC</v>
      </c>
    </row>
    <row r="2417" spans="1:11" x14ac:dyDescent="0.25">
      <c r="A2417">
        <v>219632</v>
      </c>
      <c r="B2417" s="3">
        <v>46157</v>
      </c>
      <c r="C2417">
        <v>1</v>
      </c>
      <c r="D2417">
        <v>70.989999999999995</v>
      </c>
      <c r="G2417" t="s">
        <v>87</v>
      </c>
      <c r="H2417">
        <v>696769379</v>
      </c>
      <c r="I2417" t="s">
        <v>29</v>
      </c>
      <c r="J2417" t="s">
        <v>29</v>
      </c>
      <c r="K2417" t="str">
        <f>IF(Table3[[#This Row],[Type Received]]=2,"CC",(IF(Table3[[#This Row],[Type Received]]=3,"BILL","ACH")))</f>
        <v>ACH</v>
      </c>
    </row>
    <row r="2418" spans="1:11" x14ac:dyDescent="0.25">
      <c r="A2418">
        <v>219833</v>
      </c>
      <c r="B2418" s="3">
        <v>46169</v>
      </c>
      <c r="C2418">
        <v>3</v>
      </c>
      <c r="D2418">
        <v>108</v>
      </c>
      <c r="E2418">
        <v>1312</v>
      </c>
      <c r="J2418" t="s">
        <v>29</v>
      </c>
      <c r="K2418" t="str">
        <f>IF(Table3[[#This Row],[Type Received]]=2,"CC",(IF(Table3[[#This Row],[Type Received]]=3,"BILL","ACH")))</f>
        <v>BILL</v>
      </c>
    </row>
    <row r="2419" spans="1:11" x14ac:dyDescent="0.25">
      <c r="A2419">
        <v>219876</v>
      </c>
      <c r="B2419" s="3">
        <v>46143</v>
      </c>
      <c r="C2419">
        <v>2</v>
      </c>
      <c r="D2419">
        <v>76.98</v>
      </c>
      <c r="F2419">
        <v>161906</v>
      </c>
      <c r="G2419">
        <v>741374152</v>
      </c>
      <c r="H2419">
        <v>353100824</v>
      </c>
      <c r="J2419" t="s">
        <v>29</v>
      </c>
      <c r="K2419" t="str">
        <f>IF(Table3[[#This Row],[Type Received]]=2,"CC",(IF(Table3[[#This Row],[Type Received]]=3,"BILL","ACH")))</f>
        <v>CC</v>
      </c>
    </row>
    <row r="2420" spans="1:11" x14ac:dyDescent="0.25">
      <c r="A2420">
        <v>219902</v>
      </c>
      <c r="B2420" s="3">
        <v>46170</v>
      </c>
      <c r="C2420">
        <v>1</v>
      </c>
      <c r="D2420">
        <v>54.54</v>
      </c>
      <c r="G2420" t="s">
        <v>91</v>
      </c>
      <c r="H2420">
        <v>860373737</v>
      </c>
      <c r="I2420" t="s">
        <v>29</v>
      </c>
      <c r="J2420" t="s">
        <v>29</v>
      </c>
      <c r="K2420" t="str">
        <f>IF(Table3[[#This Row],[Type Received]]=2,"CC",(IF(Table3[[#This Row],[Type Received]]=3,"BILL","ACH")))</f>
        <v>ACH</v>
      </c>
    </row>
    <row r="2421" spans="1:11" x14ac:dyDescent="0.25">
      <c r="A2421">
        <v>219925</v>
      </c>
      <c r="B2421" s="3">
        <v>46157</v>
      </c>
      <c r="C2421">
        <v>1</v>
      </c>
      <c r="D2421">
        <v>14.45</v>
      </c>
      <c r="G2421" t="s">
        <v>87</v>
      </c>
      <c r="H2421">
        <v>696775117</v>
      </c>
      <c r="I2421" t="s">
        <v>29</v>
      </c>
      <c r="J2421" t="s">
        <v>29</v>
      </c>
      <c r="K2421" t="str">
        <f>IF(Table3[[#This Row],[Type Received]]=2,"CC",(IF(Table3[[#This Row],[Type Received]]=3,"BILL","ACH")))</f>
        <v>ACH</v>
      </c>
    </row>
    <row r="2422" spans="1:11" x14ac:dyDescent="0.25">
      <c r="A2422">
        <v>219931</v>
      </c>
      <c r="B2422" s="3">
        <v>46157</v>
      </c>
      <c r="C2422">
        <v>1</v>
      </c>
      <c r="D2422">
        <v>40.409999999999997</v>
      </c>
      <c r="G2422" t="s">
        <v>87</v>
      </c>
      <c r="H2422">
        <v>696770352</v>
      </c>
      <c r="I2422" t="s">
        <v>29</v>
      </c>
      <c r="J2422" t="s">
        <v>29</v>
      </c>
      <c r="K2422" t="str">
        <f>IF(Table3[[#This Row],[Type Received]]=2,"CC",(IF(Table3[[#This Row],[Type Received]]=3,"BILL","ACH")))</f>
        <v>ACH</v>
      </c>
    </row>
    <row r="2423" spans="1:11" x14ac:dyDescent="0.25">
      <c r="A2423">
        <v>220092</v>
      </c>
      <c r="B2423" s="3">
        <v>46143</v>
      </c>
      <c r="C2423">
        <v>1</v>
      </c>
      <c r="D2423">
        <v>25.61</v>
      </c>
      <c r="G2423" t="s">
        <v>84</v>
      </c>
      <c r="H2423">
        <v>522340473</v>
      </c>
      <c r="I2423" t="s">
        <v>29</v>
      </c>
      <c r="J2423" t="s">
        <v>29</v>
      </c>
      <c r="K2423" t="str">
        <f>IF(Table3[[#This Row],[Type Received]]=2,"CC",(IF(Table3[[#This Row],[Type Received]]=3,"BILL","ACH")))</f>
        <v>ACH</v>
      </c>
    </row>
    <row r="2424" spans="1:11" x14ac:dyDescent="0.25">
      <c r="A2424">
        <v>220204</v>
      </c>
      <c r="B2424" s="3">
        <v>46143</v>
      </c>
      <c r="C2424">
        <v>3</v>
      </c>
      <c r="D2424">
        <v>214.92</v>
      </c>
      <c r="E2424">
        <v>9115</v>
      </c>
      <c r="K2424" t="str">
        <f>IF(Table3[[#This Row],[Type Received]]=2,"CC",(IF(Table3[[#This Row],[Type Received]]=3,"BILL","ACH")))</f>
        <v>BILL</v>
      </c>
    </row>
    <row r="2425" spans="1:11" x14ac:dyDescent="0.25">
      <c r="A2425">
        <v>220210</v>
      </c>
      <c r="B2425" s="3">
        <v>46146</v>
      </c>
      <c r="C2425">
        <v>2</v>
      </c>
      <c r="D2425">
        <v>48.56</v>
      </c>
      <c r="F2425">
        <v>387893</v>
      </c>
      <c r="G2425">
        <v>742259380</v>
      </c>
      <c r="H2425">
        <v>353448881</v>
      </c>
      <c r="J2425" t="s">
        <v>29</v>
      </c>
      <c r="K2425" t="str">
        <f>IF(Table3[[#This Row],[Type Received]]=2,"CC",(IF(Table3[[#This Row],[Type Received]]=3,"BILL","ACH")))</f>
        <v>CC</v>
      </c>
    </row>
    <row r="2426" spans="1:11" x14ac:dyDescent="0.25">
      <c r="A2426">
        <v>220273</v>
      </c>
      <c r="B2426" s="3">
        <v>46167</v>
      </c>
      <c r="C2426">
        <v>1</v>
      </c>
      <c r="D2426">
        <v>56.14</v>
      </c>
      <c r="G2426" t="s">
        <v>85</v>
      </c>
      <c r="H2426">
        <v>818373476</v>
      </c>
      <c r="I2426" t="s">
        <v>29</v>
      </c>
      <c r="K2426" t="str">
        <f>IF(Table3[[#This Row],[Type Received]]=2,"CC",(IF(Table3[[#This Row],[Type Received]]=3,"BILL","ACH")))</f>
        <v>ACH</v>
      </c>
    </row>
    <row r="2427" spans="1:11" x14ac:dyDescent="0.25">
      <c r="A2427">
        <v>220274</v>
      </c>
      <c r="B2427" s="3">
        <v>46167</v>
      </c>
      <c r="C2427">
        <v>1</v>
      </c>
      <c r="D2427">
        <v>18.12</v>
      </c>
      <c r="G2427" t="s">
        <v>85</v>
      </c>
      <c r="H2427">
        <v>818379306</v>
      </c>
      <c r="I2427" t="s">
        <v>29</v>
      </c>
      <c r="J2427" t="s">
        <v>29</v>
      </c>
      <c r="K2427" t="str">
        <f>IF(Table3[[#This Row],[Type Received]]=2,"CC",(IF(Table3[[#This Row],[Type Received]]=3,"BILL","ACH")))</f>
        <v>ACH</v>
      </c>
    </row>
    <row r="2428" spans="1:11" x14ac:dyDescent="0.25">
      <c r="A2428">
        <v>220312</v>
      </c>
      <c r="B2428" s="3">
        <v>46157</v>
      </c>
      <c r="C2428">
        <v>1</v>
      </c>
      <c r="D2428">
        <v>40.31</v>
      </c>
      <c r="G2428" t="s">
        <v>87</v>
      </c>
      <c r="H2428">
        <v>696751921</v>
      </c>
      <c r="I2428" t="s">
        <v>29</v>
      </c>
      <c r="J2428" t="s">
        <v>29</v>
      </c>
      <c r="K2428" t="str">
        <f>IF(Table3[[#This Row],[Type Received]]=2,"CC",(IF(Table3[[#This Row],[Type Received]]=3,"BILL","ACH")))</f>
        <v>ACH</v>
      </c>
    </row>
    <row r="2429" spans="1:11" x14ac:dyDescent="0.25">
      <c r="A2429">
        <v>220379</v>
      </c>
      <c r="B2429" s="3">
        <v>46157</v>
      </c>
      <c r="C2429">
        <v>1</v>
      </c>
      <c r="D2429">
        <v>59.44</v>
      </c>
      <c r="G2429" t="s">
        <v>87</v>
      </c>
      <c r="H2429">
        <v>696762524</v>
      </c>
      <c r="I2429" t="s">
        <v>29</v>
      </c>
      <c r="J2429" t="s">
        <v>29</v>
      </c>
      <c r="K2429" t="str">
        <f>IF(Table3[[#This Row],[Type Received]]=2,"CC",(IF(Table3[[#This Row],[Type Received]]=3,"BILL","ACH")))</f>
        <v>ACH</v>
      </c>
    </row>
    <row r="2430" spans="1:11" x14ac:dyDescent="0.25">
      <c r="A2430">
        <v>220439</v>
      </c>
      <c r="B2430" s="3">
        <v>46155</v>
      </c>
      <c r="C2430">
        <v>2</v>
      </c>
      <c r="D2430">
        <v>37.33</v>
      </c>
      <c r="F2430">
        <v>836636</v>
      </c>
      <c r="G2430" t="s">
        <v>28</v>
      </c>
      <c r="H2430">
        <v>669482908</v>
      </c>
      <c r="I2430" t="s">
        <v>29</v>
      </c>
      <c r="K2430" t="str">
        <f>IF(Table3[[#This Row],[Type Received]]=2,"CC",(IF(Table3[[#This Row],[Type Received]]=3,"BILL","ACH")))</f>
        <v>CC</v>
      </c>
    </row>
    <row r="2431" spans="1:11" x14ac:dyDescent="0.25">
      <c r="A2431">
        <v>220470</v>
      </c>
      <c r="B2431" s="3">
        <v>46168</v>
      </c>
      <c r="C2431">
        <v>1</v>
      </c>
      <c r="D2431">
        <v>36.67</v>
      </c>
      <c r="G2431" s="4" t="s">
        <v>110</v>
      </c>
      <c r="H2431">
        <v>828242653</v>
      </c>
      <c r="I2431" t="s">
        <v>29</v>
      </c>
      <c r="K2431" t="str">
        <f>IF(Table3[[#This Row],[Type Received]]=2,"CC",(IF(Table3[[#This Row],[Type Received]]=3,"BILL","ACH")))</f>
        <v>ACH</v>
      </c>
    </row>
    <row r="2432" spans="1:11" x14ac:dyDescent="0.25">
      <c r="A2432">
        <v>220489</v>
      </c>
      <c r="B2432" s="3">
        <v>46168</v>
      </c>
      <c r="C2432">
        <v>3</v>
      </c>
      <c r="D2432">
        <v>99.22</v>
      </c>
      <c r="E2432">
        <v>1128</v>
      </c>
      <c r="J2432" t="s">
        <v>29</v>
      </c>
      <c r="K2432" t="str">
        <f>IF(Table3[[#This Row],[Type Received]]=2,"CC",(IF(Table3[[#This Row],[Type Received]]=3,"BILL","ACH")))</f>
        <v>BILL</v>
      </c>
    </row>
    <row r="2433" spans="1:11" x14ac:dyDescent="0.25">
      <c r="A2433">
        <v>220516</v>
      </c>
      <c r="B2433" s="3">
        <v>46167</v>
      </c>
      <c r="C2433">
        <v>1</v>
      </c>
      <c r="D2433">
        <v>17.86</v>
      </c>
      <c r="G2433" s="4" t="s">
        <v>85</v>
      </c>
      <c r="H2433">
        <v>818359875</v>
      </c>
      <c r="I2433" t="s">
        <v>29</v>
      </c>
      <c r="J2433" t="s">
        <v>29</v>
      </c>
      <c r="K2433" t="str">
        <f>IF(Table3[[#This Row],[Type Received]]=2,"CC",(IF(Table3[[#This Row],[Type Received]]=3,"BILL","ACH")))</f>
        <v>ACH</v>
      </c>
    </row>
    <row r="2434" spans="1:11" x14ac:dyDescent="0.25">
      <c r="A2434">
        <v>220526</v>
      </c>
      <c r="B2434" s="3">
        <v>46143</v>
      </c>
      <c r="C2434">
        <v>1</v>
      </c>
      <c r="D2434">
        <v>12.58</v>
      </c>
      <c r="G2434" t="s">
        <v>84</v>
      </c>
      <c r="H2434">
        <v>522350187</v>
      </c>
      <c r="I2434" t="s">
        <v>29</v>
      </c>
      <c r="J2434" t="s">
        <v>29</v>
      </c>
      <c r="K2434" t="str">
        <f>IF(Table3[[#This Row],[Type Received]]=2,"CC",(IF(Table3[[#This Row],[Type Received]]=3,"BILL","ACH")))</f>
        <v>ACH</v>
      </c>
    </row>
    <row r="2435" spans="1:11" x14ac:dyDescent="0.25">
      <c r="A2435">
        <v>220590</v>
      </c>
      <c r="B2435" s="3">
        <v>46157</v>
      </c>
      <c r="C2435">
        <v>1</v>
      </c>
      <c r="D2435">
        <v>34.69</v>
      </c>
      <c r="G2435" t="s">
        <v>87</v>
      </c>
      <c r="H2435">
        <v>696762532</v>
      </c>
      <c r="I2435" t="s">
        <v>29</v>
      </c>
      <c r="J2435" t="s">
        <v>29</v>
      </c>
      <c r="K2435" t="str">
        <f>IF(Table3[[#This Row],[Type Received]]=2,"CC",(IF(Table3[[#This Row],[Type Received]]=3,"BILL","ACH")))</f>
        <v>ACH</v>
      </c>
    </row>
    <row r="2436" spans="1:11" x14ac:dyDescent="0.25">
      <c r="A2436">
        <v>220654</v>
      </c>
      <c r="B2436" s="3">
        <v>46171</v>
      </c>
      <c r="C2436">
        <v>3</v>
      </c>
      <c r="D2436">
        <v>62.75</v>
      </c>
      <c r="E2436">
        <v>6366</v>
      </c>
      <c r="J2436" t="s">
        <v>29</v>
      </c>
      <c r="K2436" t="str">
        <f>IF(Table3[[#This Row],[Type Received]]=2,"CC",(IF(Table3[[#This Row],[Type Received]]=3,"BILL","ACH")))</f>
        <v>BILL</v>
      </c>
    </row>
    <row r="2437" spans="1:11" x14ac:dyDescent="0.25">
      <c r="A2437">
        <v>220763</v>
      </c>
      <c r="B2437" s="3">
        <v>46162</v>
      </c>
      <c r="C2437">
        <v>2</v>
      </c>
      <c r="D2437">
        <v>31.07</v>
      </c>
      <c r="F2437">
        <v>12790</v>
      </c>
      <c r="G2437" t="s">
        <v>28</v>
      </c>
      <c r="H2437">
        <v>758300097</v>
      </c>
      <c r="I2437" t="s">
        <v>29</v>
      </c>
      <c r="J2437" t="s">
        <v>29</v>
      </c>
      <c r="K2437" t="str">
        <f>IF(Table3[[#This Row],[Type Received]]=2,"CC",(IF(Table3[[#This Row],[Type Received]]=3,"BILL","ACH")))</f>
        <v>CC</v>
      </c>
    </row>
    <row r="2438" spans="1:11" x14ac:dyDescent="0.25">
      <c r="A2438">
        <v>220828</v>
      </c>
      <c r="B2438" s="3">
        <v>46167</v>
      </c>
      <c r="C2438">
        <v>1</v>
      </c>
      <c r="D2438">
        <v>23.58</v>
      </c>
      <c r="G2438" t="s">
        <v>85</v>
      </c>
      <c r="H2438">
        <v>818366779</v>
      </c>
      <c r="I2438" t="s">
        <v>29</v>
      </c>
      <c r="J2438" t="s">
        <v>29</v>
      </c>
      <c r="K2438" t="str">
        <f>IF(Table3[[#This Row],[Type Received]]=2,"CC",(IF(Table3[[#This Row],[Type Received]]=3,"BILL","ACH")))</f>
        <v>ACH</v>
      </c>
    </row>
    <row r="2439" spans="1:11" x14ac:dyDescent="0.25">
      <c r="A2439">
        <v>220839</v>
      </c>
      <c r="B2439" s="3">
        <v>46143</v>
      </c>
      <c r="C2439">
        <v>1</v>
      </c>
      <c r="D2439">
        <v>27.65</v>
      </c>
      <c r="G2439" t="s">
        <v>84</v>
      </c>
      <c r="H2439">
        <v>522352206</v>
      </c>
      <c r="I2439" t="s">
        <v>29</v>
      </c>
      <c r="J2439" t="s">
        <v>29</v>
      </c>
      <c r="K2439" t="str">
        <f>IF(Table3[[#This Row],[Type Received]]=2,"CC",(IF(Table3[[#This Row],[Type Received]]=3,"BILL","ACH")))</f>
        <v>ACH</v>
      </c>
    </row>
    <row r="2440" spans="1:11" x14ac:dyDescent="0.25">
      <c r="A2440">
        <v>220980</v>
      </c>
      <c r="B2440" s="3">
        <v>46167</v>
      </c>
      <c r="C2440">
        <v>1</v>
      </c>
      <c r="D2440">
        <v>37</v>
      </c>
      <c r="G2440" t="s">
        <v>85</v>
      </c>
      <c r="H2440">
        <v>818365844</v>
      </c>
      <c r="I2440" t="s">
        <v>29</v>
      </c>
      <c r="J2440" t="s">
        <v>29</v>
      </c>
      <c r="K2440" t="str">
        <f>IF(Table3[[#This Row],[Type Received]]=2,"CC",(IF(Table3[[#This Row],[Type Received]]=3,"BILL","ACH")))</f>
        <v>ACH</v>
      </c>
    </row>
    <row r="2441" spans="1:11" x14ac:dyDescent="0.25">
      <c r="A2441">
        <v>221021</v>
      </c>
      <c r="B2441" s="3">
        <v>46144</v>
      </c>
      <c r="C2441">
        <v>1</v>
      </c>
      <c r="D2441">
        <v>46.56</v>
      </c>
      <c r="G2441" t="s">
        <v>89</v>
      </c>
      <c r="H2441">
        <v>535417097</v>
      </c>
      <c r="I2441" t="s">
        <v>29</v>
      </c>
      <c r="J2441" t="s">
        <v>29</v>
      </c>
      <c r="K2441" t="str">
        <f>IF(Table3[[#This Row],[Type Received]]=2,"CC",(IF(Table3[[#This Row],[Type Received]]=3,"BILL","ACH")))</f>
        <v>ACH</v>
      </c>
    </row>
    <row r="2442" spans="1:11" x14ac:dyDescent="0.25">
      <c r="A2442">
        <v>221097</v>
      </c>
      <c r="B2442" s="3">
        <v>46167</v>
      </c>
      <c r="C2442">
        <v>1</v>
      </c>
      <c r="D2442">
        <v>34.03</v>
      </c>
      <c r="G2442" s="4" t="s">
        <v>85</v>
      </c>
      <c r="H2442">
        <v>818369564</v>
      </c>
      <c r="I2442" t="s">
        <v>29</v>
      </c>
      <c r="J2442" t="s">
        <v>29</v>
      </c>
      <c r="K2442" t="str">
        <f>IF(Table3[[#This Row],[Type Received]]=2,"CC",(IF(Table3[[#This Row],[Type Received]]=3,"BILL","ACH")))</f>
        <v>ACH</v>
      </c>
    </row>
    <row r="2443" spans="1:11" x14ac:dyDescent="0.25">
      <c r="A2443">
        <v>221197</v>
      </c>
      <c r="B2443" s="3">
        <v>46158</v>
      </c>
      <c r="C2443">
        <v>1</v>
      </c>
      <c r="D2443">
        <v>14.69</v>
      </c>
      <c r="G2443" t="s">
        <v>106</v>
      </c>
      <c r="H2443">
        <v>710028534</v>
      </c>
      <c r="I2443" t="s">
        <v>29</v>
      </c>
      <c r="J2443" t="s">
        <v>29</v>
      </c>
      <c r="K2443" t="str">
        <f>IF(Table3[[#This Row],[Type Received]]=2,"CC",(IF(Table3[[#This Row],[Type Received]]=3,"BILL","ACH")))</f>
        <v>ACH</v>
      </c>
    </row>
    <row r="2444" spans="1:11" x14ac:dyDescent="0.25">
      <c r="A2444">
        <v>221230</v>
      </c>
      <c r="B2444" s="3">
        <v>46143</v>
      </c>
      <c r="C2444">
        <v>1</v>
      </c>
      <c r="D2444">
        <v>32.93</v>
      </c>
      <c r="G2444" s="4" t="s">
        <v>84</v>
      </c>
      <c r="H2444">
        <v>522331909</v>
      </c>
      <c r="I2444" t="s">
        <v>29</v>
      </c>
      <c r="J2444" t="s">
        <v>29</v>
      </c>
      <c r="K2444" t="str">
        <f>IF(Table3[[#This Row],[Type Received]]=2,"CC",(IF(Table3[[#This Row],[Type Received]]=3,"BILL","ACH")))</f>
        <v>ACH</v>
      </c>
    </row>
    <row r="2445" spans="1:11" x14ac:dyDescent="0.25">
      <c r="A2445">
        <v>221311</v>
      </c>
      <c r="B2445" s="3">
        <v>46161</v>
      </c>
      <c r="C2445">
        <v>3</v>
      </c>
      <c r="D2445">
        <v>42</v>
      </c>
      <c r="E2445">
        <v>989307</v>
      </c>
      <c r="J2445" t="s">
        <v>29</v>
      </c>
      <c r="K2445" t="str">
        <f>IF(Table3[[#This Row],[Type Received]]=2,"CC",(IF(Table3[[#This Row],[Type Received]]=3,"BILL","ACH")))</f>
        <v>BILL</v>
      </c>
    </row>
    <row r="2446" spans="1:11" x14ac:dyDescent="0.25">
      <c r="A2446">
        <v>221317</v>
      </c>
      <c r="B2446" s="3">
        <v>46149</v>
      </c>
      <c r="C2446">
        <v>1</v>
      </c>
      <c r="D2446">
        <v>46.58</v>
      </c>
      <c r="G2446" t="s">
        <v>109</v>
      </c>
      <c r="H2446">
        <v>595232709</v>
      </c>
      <c r="I2446" t="s">
        <v>29</v>
      </c>
      <c r="J2446" t="s">
        <v>29</v>
      </c>
      <c r="K2446" t="str">
        <f>IF(Table3[[#This Row],[Type Received]]=2,"CC",(IF(Table3[[#This Row],[Type Received]]=3,"BILL","ACH")))</f>
        <v>ACH</v>
      </c>
    </row>
    <row r="2447" spans="1:11" x14ac:dyDescent="0.25">
      <c r="A2447">
        <v>221368</v>
      </c>
      <c r="B2447" s="3">
        <v>46167</v>
      </c>
      <c r="C2447">
        <v>1</v>
      </c>
      <c r="D2447">
        <v>15.6</v>
      </c>
      <c r="G2447" t="s">
        <v>85</v>
      </c>
      <c r="H2447">
        <v>818358912</v>
      </c>
      <c r="I2447" t="s">
        <v>29</v>
      </c>
      <c r="J2447" t="s">
        <v>29</v>
      </c>
      <c r="K2447" t="str">
        <f>IF(Table3[[#This Row],[Type Received]]=2,"CC",(IF(Table3[[#This Row],[Type Received]]=3,"BILL","ACH")))</f>
        <v>ACH</v>
      </c>
    </row>
    <row r="2448" spans="1:11" x14ac:dyDescent="0.25">
      <c r="A2448">
        <v>221373</v>
      </c>
      <c r="B2448" s="3">
        <v>46167</v>
      </c>
      <c r="C2448">
        <v>1</v>
      </c>
      <c r="D2448">
        <v>65.709999999999994</v>
      </c>
      <c r="G2448" t="s">
        <v>85</v>
      </c>
      <c r="H2448">
        <v>818366809</v>
      </c>
      <c r="I2448" t="s">
        <v>29</v>
      </c>
      <c r="K2448" t="str">
        <f>IF(Table3[[#This Row],[Type Received]]=2,"CC",(IF(Table3[[#This Row],[Type Received]]=3,"BILL","ACH")))</f>
        <v>ACH</v>
      </c>
    </row>
    <row r="2449" spans="1:11" x14ac:dyDescent="0.25">
      <c r="A2449">
        <v>221445</v>
      </c>
      <c r="B2449" s="3">
        <v>46149</v>
      </c>
      <c r="C2449">
        <v>3</v>
      </c>
      <c r="D2449">
        <v>49.55</v>
      </c>
      <c r="E2449">
        <v>139367</v>
      </c>
      <c r="J2449" t="s">
        <v>29</v>
      </c>
      <c r="K2449" t="str">
        <f>IF(Table3[[#This Row],[Type Received]]=2,"CC",(IF(Table3[[#This Row],[Type Received]]=3,"BILL","ACH")))</f>
        <v>BILL</v>
      </c>
    </row>
    <row r="2450" spans="1:11" x14ac:dyDescent="0.25">
      <c r="A2450">
        <v>221543</v>
      </c>
      <c r="B2450" s="3">
        <v>46157</v>
      </c>
      <c r="C2450">
        <v>1</v>
      </c>
      <c r="D2450">
        <v>34.69</v>
      </c>
      <c r="G2450" t="s">
        <v>87</v>
      </c>
      <c r="H2450">
        <v>696766501</v>
      </c>
      <c r="I2450" t="s">
        <v>29</v>
      </c>
      <c r="J2450" t="s">
        <v>29</v>
      </c>
      <c r="K2450" t="str">
        <f>IF(Table3[[#This Row],[Type Received]]=2,"CC",(IF(Table3[[#This Row],[Type Received]]=3,"BILL","ACH")))</f>
        <v>ACH</v>
      </c>
    </row>
    <row r="2451" spans="1:11" x14ac:dyDescent="0.25">
      <c r="A2451">
        <v>221585</v>
      </c>
      <c r="B2451" s="3">
        <v>46149</v>
      </c>
      <c r="C2451">
        <v>2</v>
      </c>
      <c r="D2451">
        <v>17.93</v>
      </c>
      <c r="F2451">
        <v>610278</v>
      </c>
      <c r="G2451">
        <v>743273545</v>
      </c>
      <c r="H2451">
        <v>353836001</v>
      </c>
      <c r="K2451" t="str">
        <f>IF(Table3[[#This Row],[Type Received]]=2,"CC",(IF(Table3[[#This Row],[Type Received]]=3,"BILL","ACH")))</f>
        <v>CC</v>
      </c>
    </row>
    <row r="2452" spans="1:11" x14ac:dyDescent="0.25">
      <c r="A2452">
        <v>221798</v>
      </c>
      <c r="B2452" s="3">
        <v>46143</v>
      </c>
      <c r="C2452">
        <v>1</v>
      </c>
      <c r="D2452">
        <v>108.28</v>
      </c>
      <c r="G2452" t="s">
        <v>84</v>
      </c>
      <c r="H2452">
        <v>522347469</v>
      </c>
      <c r="I2452" t="s">
        <v>29</v>
      </c>
      <c r="J2452" t="s">
        <v>29</v>
      </c>
      <c r="K2452" t="str">
        <f>IF(Table3[[#This Row],[Type Received]]=2,"CC",(IF(Table3[[#This Row],[Type Received]]=3,"BILL","ACH")))</f>
        <v>ACH</v>
      </c>
    </row>
    <row r="2453" spans="1:11" x14ac:dyDescent="0.25">
      <c r="A2453">
        <v>221800</v>
      </c>
      <c r="B2453" s="3">
        <v>46157</v>
      </c>
      <c r="C2453">
        <v>1</v>
      </c>
      <c r="D2453">
        <v>15.81</v>
      </c>
      <c r="G2453" t="s">
        <v>87</v>
      </c>
      <c r="H2453">
        <v>696772310</v>
      </c>
      <c r="I2453" t="s">
        <v>29</v>
      </c>
      <c r="J2453" t="s">
        <v>29</v>
      </c>
      <c r="K2453" t="str">
        <f>IF(Table3[[#This Row],[Type Received]]=2,"CC",(IF(Table3[[#This Row],[Type Received]]=3,"BILL","ACH")))</f>
        <v>ACH</v>
      </c>
    </row>
    <row r="2454" spans="1:11" x14ac:dyDescent="0.25">
      <c r="A2454">
        <v>221913</v>
      </c>
      <c r="B2454" s="3">
        <v>46168</v>
      </c>
      <c r="C2454">
        <v>1</v>
      </c>
      <c r="D2454">
        <v>15.11</v>
      </c>
      <c r="G2454" t="s">
        <v>110</v>
      </c>
      <c r="H2454">
        <v>828308331</v>
      </c>
      <c r="I2454" t="s">
        <v>29</v>
      </c>
      <c r="K2454" t="str">
        <f>IF(Table3[[#This Row],[Type Received]]=2,"CC",(IF(Table3[[#This Row],[Type Received]]=3,"BILL","ACH")))</f>
        <v>ACH</v>
      </c>
    </row>
    <row r="2455" spans="1:11" x14ac:dyDescent="0.25">
      <c r="A2455">
        <v>221914</v>
      </c>
      <c r="B2455" s="3">
        <v>46167</v>
      </c>
      <c r="C2455">
        <v>1</v>
      </c>
      <c r="D2455">
        <v>33.369999999999997</v>
      </c>
      <c r="G2455" t="s">
        <v>85</v>
      </c>
      <c r="H2455">
        <v>818380319</v>
      </c>
      <c r="I2455" t="s">
        <v>29</v>
      </c>
      <c r="J2455" t="s">
        <v>29</v>
      </c>
      <c r="K2455" t="str">
        <f>IF(Table3[[#This Row],[Type Received]]=2,"CC",(IF(Table3[[#This Row],[Type Received]]=3,"BILL","ACH")))</f>
        <v>ACH</v>
      </c>
    </row>
    <row r="2456" spans="1:11" x14ac:dyDescent="0.25">
      <c r="A2456">
        <v>221915</v>
      </c>
      <c r="B2456" s="3">
        <v>46167</v>
      </c>
      <c r="C2456">
        <v>1</v>
      </c>
      <c r="D2456">
        <v>19.95</v>
      </c>
      <c r="G2456" t="s">
        <v>85</v>
      </c>
      <c r="H2456">
        <v>818368691</v>
      </c>
      <c r="I2456" t="s">
        <v>29</v>
      </c>
      <c r="K2456" t="str">
        <f>IF(Table3[[#This Row],[Type Received]]=2,"CC",(IF(Table3[[#This Row],[Type Received]]=3,"BILL","ACH")))</f>
        <v>ACH</v>
      </c>
    </row>
    <row r="2457" spans="1:11" x14ac:dyDescent="0.25">
      <c r="A2457">
        <v>221921</v>
      </c>
      <c r="B2457" s="3">
        <v>46157</v>
      </c>
      <c r="C2457">
        <v>2</v>
      </c>
      <c r="D2457">
        <v>18.68</v>
      </c>
      <c r="F2457" t="s">
        <v>251</v>
      </c>
      <c r="G2457" t="s">
        <v>28</v>
      </c>
      <c r="H2457">
        <v>696764556</v>
      </c>
      <c r="I2457" t="s">
        <v>29</v>
      </c>
      <c r="J2457" t="s">
        <v>29</v>
      </c>
      <c r="K2457" t="str">
        <f>IF(Table3[[#This Row],[Type Received]]=2,"CC",(IF(Table3[[#This Row],[Type Received]]=3,"BILL","ACH")))</f>
        <v>CC</v>
      </c>
    </row>
    <row r="2458" spans="1:11" x14ac:dyDescent="0.25">
      <c r="A2458">
        <v>221927</v>
      </c>
      <c r="B2458" s="3">
        <v>46167</v>
      </c>
      <c r="C2458">
        <v>1</v>
      </c>
      <c r="D2458">
        <v>74.95</v>
      </c>
      <c r="G2458" t="s">
        <v>85</v>
      </c>
      <c r="H2458">
        <v>818374527</v>
      </c>
      <c r="I2458" t="s">
        <v>29</v>
      </c>
      <c r="J2458" t="s">
        <v>29</v>
      </c>
      <c r="K2458" t="str">
        <f>IF(Table3[[#This Row],[Type Received]]=2,"CC",(IF(Table3[[#This Row],[Type Received]]=3,"BILL","ACH")))</f>
        <v>ACH</v>
      </c>
    </row>
    <row r="2459" spans="1:11" x14ac:dyDescent="0.25">
      <c r="A2459">
        <v>222046</v>
      </c>
      <c r="B2459" s="3">
        <v>46143</v>
      </c>
      <c r="C2459">
        <v>1</v>
      </c>
      <c r="D2459">
        <v>47.34</v>
      </c>
      <c r="G2459" t="s">
        <v>84</v>
      </c>
      <c r="H2459">
        <v>522356148</v>
      </c>
      <c r="I2459" t="s">
        <v>29</v>
      </c>
      <c r="J2459" t="s">
        <v>29</v>
      </c>
      <c r="K2459" t="str">
        <f>IF(Table3[[#This Row],[Type Received]]=2,"CC",(IF(Table3[[#This Row],[Type Received]]=3,"BILL","ACH")))</f>
        <v>ACH</v>
      </c>
    </row>
    <row r="2460" spans="1:11" x14ac:dyDescent="0.25">
      <c r="A2460">
        <v>222077</v>
      </c>
      <c r="B2460" s="3">
        <v>46143</v>
      </c>
      <c r="C2460">
        <v>1</v>
      </c>
      <c r="D2460">
        <v>60.43</v>
      </c>
      <c r="G2460" t="s">
        <v>84</v>
      </c>
      <c r="H2460">
        <v>522347522</v>
      </c>
      <c r="I2460" t="s">
        <v>29</v>
      </c>
      <c r="J2460" t="s">
        <v>29</v>
      </c>
      <c r="K2460" t="str">
        <f>IF(Table3[[#This Row],[Type Received]]=2,"CC",(IF(Table3[[#This Row],[Type Received]]=3,"BILL","ACH")))</f>
        <v>ACH</v>
      </c>
    </row>
    <row r="2461" spans="1:11" x14ac:dyDescent="0.25">
      <c r="A2461">
        <v>222123</v>
      </c>
      <c r="B2461" s="3">
        <v>46167</v>
      </c>
      <c r="C2461">
        <v>1</v>
      </c>
      <c r="D2461">
        <v>31.61</v>
      </c>
      <c r="G2461" t="s">
        <v>85</v>
      </c>
      <c r="H2461">
        <v>818383133</v>
      </c>
      <c r="I2461" t="s">
        <v>29</v>
      </c>
      <c r="J2461" t="s">
        <v>29</v>
      </c>
      <c r="K2461" t="str">
        <f>IF(Table3[[#This Row],[Type Received]]=2,"CC",(IF(Table3[[#This Row],[Type Received]]=3,"BILL","ACH")))</f>
        <v>ACH</v>
      </c>
    </row>
    <row r="2462" spans="1:11" x14ac:dyDescent="0.25">
      <c r="A2462">
        <v>222136</v>
      </c>
      <c r="B2462" s="3">
        <v>46171</v>
      </c>
      <c r="C2462">
        <v>3</v>
      </c>
      <c r="D2462">
        <v>30.41</v>
      </c>
      <c r="E2462">
        <v>208088</v>
      </c>
      <c r="K2462" t="str">
        <f>IF(Table3[[#This Row],[Type Received]]=2,"CC",(IF(Table3[[#This Row],[Type Received]]=3,"BILL","ACH")))</f>
        <v>BILL</v>
      </c>
    </row>
    <row r="2463" spans="1:11" x14ac:dyDescent="0.25">
      <c r="A2463">
        <v>222249</v>
      </c>
      <c r="B2463" s="3">
        <v>46157</v>
      </c>
      <c r="C2463">
        <v>1</v>
      </c>
      <c r="D2463">
        <v>43.6</v>
      </c>
      <c r="G2463" t="s">
        <v>87</v>
      </c>
      <c r="H2463">
        <v>696770407</v>
      </c>
      <c r="I2463" t="s">
        <v>29</v>
      </c>
      <c r="J2463" t="s">
        <v>29</v>
      </c>
      <c r="K2463" t="str">
        <f>IF(Table3[[#This Row],[Type Received]]=2,"CC",(IF(Table3[[#This Row],[Type Received]]=3,"BILL","ACH")))</f>
        <v>ACH</v>
      </c>
    </row>
    <row r="2464" spans="1:11" x14ac:dyDescent="0.25">
      <c r="A2464">
        <v>222259</v>
      </c>
      <c r="B2464" s="3">
        <v>46157</v>
      </c>
      <c r="C2464">
        <v>1</v>
      </c>
      <c r="D2464">
        <v>45.03</v>
      </c>
      <c r="G2464" t="s">
        <v>87</v>
      </c>
      <c r="H2464">
        <v>696758804</v>
      </c>
      <c r="I2464" t="s">
        <v>29</v>
      </c>
      <c r="J2464" t="s">
        <v>29</v>
      </c>
      <c r="K2464" t="str">
        <f>IF(Table3[[#This Row],[Type Received]]=2,"CC",(IF(Table3[[#This Row],[Type Received]]=3,"BILL","ACH")))</f>
        <v>ACH</v>
      </c>
    </row>
    <row r="2465" spans="1:11" x14ac:dyDescent="0.25">
      <c r="A2465">
        <v>222263</v>
      </c>
      <c r="B2465" s="3">
        <v>46157</v>
      </c>
      <c r="C2465">
        <v>1</v>
      </c>
      <c r="D2465">
        <v>20.22</v>
      </c>
      <c r="G2465" t="s">
        <v>87</v>
      </c>
      <c r="H2465">
        <v>696755874</v>
      </c>
      <c r="I2465" t="s">
        <v>29</v>
      </c>
      <c r="J2465" t="s">
        <v>29</v>
      </c>
      <c r="K2465" t="str">
        <f>IF(Table3[[#This Row],[Type Received]]=2,"CC",(IF(Table3[[#This Row],[Type Received]]=3,"BILL","ACH")))</f>
        <v>ACH</v>
      </c>
    </row>
    <row r="2466" spans="1:11" x14ac:dyDescent="0.25">
      <c r="A2466">
        <v>222282</v>
      </c>
      <c r="B2466" s="3">
        <v>46157</v>
      </c>
      <c r="C2466">
        <v>1</v>
      </c>
      <c r="D2466">
        <v>47.45</v>
      </c>
      <c r="G2466" s="4" t="s">
        <v>87</v>
      </c>
      <c r="H2466">
        <v>696759703</v>
      </c>
      <c r="I2466" t="s">
        <v>29</v>
      </c>
      <c r="J2466" t="s">
        <v>29</v>
      </c>
      <c r="K2466" t="str">
        <f>IF(Table3[[#This Row],[Type Received]]=2,"CC",(IF(Table3[[#This Row],[Type Received]]=3,"BILL","ACH")))</f>
        <v>ACH</v>
      </c>
    </row>
    <row r="2467" spans="1:11" x14ac:dyDescent="0.25">
      <c r="A2467">
        <v>222326</v>
      </c>
      <c r="B2467" s="3">
        <v>46167</v>
      </c>
      <c r="C2467">
        <v>1</v>
      </c>
      <c r="D2467">
        <v>23.8</v>
      </c>
      <c r="G2467" t="s">
        <v>85</v>
      </c>
      <c r="H2467">
        <v>818380350</v>
      </c>
      <c r="I2467" t="s">
        <v>29</v>
      </c>
      <c r="J2467" t="s">
        <v>29</v>
      </c>
      <c r="K2467" t="str">
        <f>IF(Table3[[#This Row],[Type Received]]=2,"CC",(IF(Table3[[#This Row],[Type Received]]=3,"BILL","ACH")))</f>
        <v>ACH</v>
      </c>
    </row>
    <row r="2468" spans="1:11" x14ac:dyDescent="0.25">
      <c r="A2468">
        <v>222332</v>
      </c>
      <c r="B2468" s="3">
        <v>46167</v>
      </c>
      <c r="C2468">
        <v>1</v>
      </c>
      <c r="D2468">
        <v>58.45</v>
      </c>
      <c r="G2468" t="s">
        <v>85</v>
      </c>
      <c r="H2468">
        <v>818366851</v>
      </c>
      <c r="I2468" t="s">
        <v>29</v>
      </c>
      <c r="K2468" t="str">
        <f>IF(Table3[[#This Row],[Type Received]]=2,"CC",(IF(Table3[[#This Row],[Type Received]]=3,"BILL","ACH")))</f>
        <v>ACH</v>
      </c>
    </row>
    <row r="2469" spans="1:11" x14ac:dyDescent="0.25">
      <c r="A2469">
        <v>222345</v>
      </c>
      <c r="B2469" s="3">
        <v>46143</v>
      </c>
      <c r="C2469">
        <v>1</v>
      </c>
      <c r="D2469">
        <v>18.260000000000002</v>
      </c>
      <c r="G2469" t="s">
        <v>84</v>
      </c>
      <c r="H2469">
        <v>522336810</v>
      </c>
      <c r="I2469" t="s">
        <v>29</v>
      </c>
      <c r="J2469" t="s">
        <v>29</v>
      </c>
      <c r="K2469" t="str">
        <f>IF(Table3[[#This Row],[Type Received]]=2,"CC",(IF(Table3[[#This Row],[Type Received]]=3,"BILL","ACH")))</f>
        <v>ACH</v>
      </c>
    </row>
    <row r="2470" spans="1:11" x14ac:dyDescent="0.25">
      <c r="A2470">
        <v>222349</v>
      </c>
      <c r="B2470" s="3">
        <v>46143</v>
      </c>
      <c r="C2470">
        <v>1</v>
      </c>
      <c r="D2470">
        <v>17.63</v>
      </c>
      <c r="G2470" t="s">
        <v>84</v>
      </c>
      <c r="H2470">
        <v>522335898</v>
      </c>
      <c r="I2470" t="s">
        <v>29</v>
      </c>
      <c r="J2470" t="s">
        <v>29</v>
      </c>
      <c r="K2470" t="str">
        <f>IF(Table3[[#This Row],[Type Received]]=2,"CC",(IF(Table3[[#This Row],[Type Received]]=3,"BILL","ACH")))</f>
        <v>ACH</v>
      </c>
    </row>
    <row r="2471" spans="1:11" x14ac:dyDescent="0.25">
      <c r="A2471">
        <v>222387</v>
      </c>
      <c r="B2471" s="3">
        <v>46150</v>
      </c>
      <c r="C2471">
        <v>3</v>
      </c>
      <c r="D2471">
        <v>23.2</v>
      </c>
      <c r="E2471">
        <v>76214589</v>
      </c>
      <c r="J2471" t="s">
        <v>29</v>
      </c>
      <c r="K2471" t="str">
        <f>IF(Table3[[#This Row],[Type Received]]=2,"CC",(IF(Table3[[#This Row],[Type Received]]=3,"BILL","ACH")))</f>
        <v>BILL</v>
      </c>
    </row>
    <row r="2472" spans="1:11" x14ac:dyDescent="0.25">
      <c r="A2472">
        <v>222401</v>
      </c>
      <c r="B2472" s="3">
        <v>46155</v>
      </c>
      <c r="C2472">
        <v>2</v>
      </c>
      <c r="D2472">
        <v>30.18</v>
      </c>
      <c r="F2472">
        <v>124564</v>
      </c>
      <c r="G2472" s="4" t="s">
        <v>28</v>
      </c>
      <c r="H2472">
        <v>669493651</v>
      </c>
      <c r="I2472" t="s">
        <v>29</v>
      </c>
      <c r="K2472" t="str">
        <f>IF(Table3[[#This Row],[Type Received]]=2,"CC",(IF(Table3[[#This Row],[Type Received]]=3,"BILL","ACH")))</f>
        <v>CC</v>
      </c>
    </row>
    <row r="2473" spans="1:11" x14ac:dyDescent="0.25">
      <c r="A2473">
        <v>222406</v>
      </c>
      <c r="B2473" s="3">
        <v>46143</v>
      </c>
      <c r="C2473">
        <v>1</v>
      </c>
      <c r="D2473">
        <v>17.75</v>
      </c>
      <c r="G2473" t="s">
        <v>84</v>
      </c>
      <c r="H2473">
        <v>522355271</v>
      </c>
      <c r="I2473" t="s">
        <v>29</v>
      </c>
      <c r="J2473" t="s">
        <v>29</v>
      </c>
      <c r="K2473" t="str">
        <f>IF(Table3[[#This Row],[Type Received]]=2,"CC",(IF(Table3[[#This Row],[Type Received]]=3,"BILL","ACH")))</f>
        <v>ACH</v>
      </c>
    </row>
    <row r="2474" spans="1:11" x14ac:dyDescent="0.25">
      <c r="A2474">
        <v>222460</v>
      </c>
      <c r="B2474" s="3">
        <v>46157</v>
      </c>
      <c r="C2474">
        <v>1</v>
      </c>
      <c r="D2474">
        <v>63.95</v>
      </c>
      <c r="G2474" t="s">
        <v>87</v>
      </c>
      <c r="H2474">
        <v>696757850</v>
      </c>
      <c r="I2474" t="s">
        <v>29</v>
      </c>
      <c r="J2474" t="s">
        <v>29</v>
      </c>
      <c r="K2474" t="str">
        <f>IF(Table3[[#This Row],[Type Received]]=2,"CC",(IF(Table3[[#This Row],[Type Received]]=3,"BILL","ACH")))</f>
        <v>ACH</v>
      </c>
    </row>
    <row r="2475" spans="1:11" x14ac:dyDescent="0.25">
      <c r="A2475">
        <v>222494</v>
      </c>
      <c r="B2475" s="3">
        <v>46157</v>
      </c>
      <c r="C2475">
        <v>1</v>
      </c>
      <c r="D2475">
        <v>172.96</v>
      </c>
      <c r="G2475" t="s">
        <v>87</v>
      </c>
      <c r="H2475">
        <v>696774239</v>
      </c>
      <c r="I2475" t="s">
        <v>29</v>
      </c>
      <c r="J2475" t="s">
        <v>29</v>
      </c>
      <c r="K2475" t="str">
        <f>IF(Table3[[#This Row],[Type Received]]=2,"CC",(IF(Table3[[#This Row],[Type Received]]=3,"BILL","ACH")))</f>
        <v>ACH</v>
      </c>
    </row>
    <row r="2476" spans="1:11" x14ac:dyDescent="0.25">
      <c r="A2476">
        <v>222515</v>
      </c>
      <c r="B2476" s="3">
        <v>46143</v>
      </c>
      <c r="C2476">
        <v>1</v>
      </c>
      <c r="D2476">
        <v>14.83</v>
      </c>
      <c r="G2476" t="s">
        <v>84</v>
      </c>
      <c r="H2476">
        <v>522360158</v>
      </c>
      <c r="I2476" t="s">
        <v>29</v>
      </c>
      <c r="K2476" t="str">
        <f>IF(Table3[[#This Row],[Type Received]]=2,"CC",(IF(Table3[[#This Row],[Type Received]]=3,"BILL","ACH")))</f>
        <v>ACH</v>
      </c>
    </row>
    <row r="2477" spans="1:11" x14ac:dyDescent="0.25">
      <c r="A2477">
        <v>222536</v>
      </c>
      <c r="B2477" s="3">
        <v>46167</v>
      </c>
      <c r="C2477">
        <v>1</v>
      </c>
      <c r="D2477">
        <v>64.06</v>
      </c>
      <c r="G2477" t="s">
        <v>85</v>
      </c>
      <c r="H2477">
        <v>818384140</v>
      </c>
      <c r="I2477" t="s">
        <v>29</v>
      </c>
      <c r="J2477" t="s">
        <v>29</v>
      </c>
      <c r="K2477" t="str">
        <f>IF(Table3[[#This Row],[Type Received]]=2,"CC",(IF(Table3[[#This Row],[Type Received]]=3,"BILL","ACH")))</f>
        <v>ACH</v>
      </c>
    </row>
    <row r="2478" spans="1:11" x14ac:dyDescent="0.25">
      <c r="A2478">
        <v>222582</v>
      </c>
      <c r="B2478" s="3">
        <v>46170</v>
      </c>
      <c r="C2478">
        <v>3</v>
      </c>
      <c r="D2478">
        <v>48.89</v>
      </c>
      <c r="E2478">
        <v>923583745</v>
      </c>
      <c r="K2478" t="str">
        <f>IF(Table3[[#This Row],[Type Received]]=2,"CC",(IF(Table3[[#This Row],[Type Received]]=3,"BILL","ACH")))</f>
        <v>BILL</v>
      </c>
    </row>
    <row r="2479" spans="1:11" x14ac:dyDescent="0.25">
      <c r="A2479">
        <v>222683</v>
      </c>
      <c r="B2479" s="3">
        <v>46146</v>
      </c>
      <c r="C2479">
        <v>3</v>
      </c>
      <c r="D2479">
        <v>86</v>
      </c>
      <c r="E2479">
        <v>6615</v>
      </c>
      <c r="G2479" s="4"/>
      <c r="J2479" t="s">
        <v>29</v>
      </c>
      <c r="K2479" t="str">
        <f>IF(Table3[[#This Row],[Type Received]]=2,"CC",(IF(Table3[[#This Row],[Type Received]]=3,"BILL","ACH")))</f>
        <v>BILL</v>
      </c>
    </row>
    <row r="2480" spans="1:11" x14ac:dyDescent="0.25">
      <c r="A2480">
        <v>222764</v>
      </c>
      <c r="B2480" s="3">
        <v>46143</v>
      </c>
      <c r="C2480">
        <v>2</v>
      </c>
      <c r="D2480">
        <v>26.78</v>
      </c>
      <c r="F2480">
        <v>60848</v>
      </c>
      <c r="G2480" s="4">
        <v>741374152</v>
      </c>
      <c r="H2480">
        <v>353073593</v>
      </c>
      <c r="J2480" t="s">
        <v>29</v>
      </c>
      <c r="K2480" t="str">
        <f>IF(Table3[[#This Row],[Type Received]]=2,"CC",(IF(Table3[[#This Row],[Type Received]]=3,"BILL","ACH")))</f>
        <v>CC</v>
      </c>
    </row>
    <row r="2481" spans="1:11" x14ac:dyDescent="0.25">
      <c r="A2481">
        <v>222807</v>
      </c>
      <c r="B2481" s="3">
        <v>46157</v>
      </c>
      <c r="C2481">
        <v>1</v>
      </c>
      <c r="D2481">
        <v>41.29</v>
      </c>
      <c r="G2481" t="s">
        <v>87</v>
      </c>
      <c r="H2481">
        <v>696840877</v>
      </c>
      <c r="I2481" t="s">
        <v>29</v>
      </c>
      <c r="J2481" t="s">
        <v>29</v>
      </c>
      <c r="K2481" t="str">
        <f>IF(Table3[[#This Row],[Type Received]]=2,"CC",(IF(Table3[[#This Row],[Type Received]]=3,"BILL","ACH")))</f>
        <v>ACH</v>
      </c>
    </row>
    <row r="2482" spans="1:11" x14ac:dyDescent="0.25">
      <c r="A2482">
        <v>230612</v>
      </c>
      <c r="B2482" s="3">
        <v>46168</v>
      </c>
      <c r="C2482">
        <v>3</v>
      </c>
      <c r="D2482">
        <v>152.35</v>
      </c>
      <c r="E2482">
        <v>3591</v>
      </c>
      <c r="J2482" t="s">
        <v>29</v>
      </c>
      <c r="K2482" t="str">
        <f>IF(Table3[[#This Row],[Type Received]]=2,"CC",(IF(Table3[[#This Row],[Type Received]]=3,"BILL","ACH")))</f>
        <v>BILL</v>
      </c>
    </row>
    <row r="2483" spans="1:11" x14ac:dyDescent="0.25">
      <c r="A2483">
        <v>222810</v>
      </c>
      <c r="B2483" s="3">
        <v>46157</v>
      </c>
      <c r="C2483">
        <v>1</v>
      </c>
      <c r="D2483">
        <v>57.79</v>
      </c>
      <c r="G2483" t="s">
        <v>87</v>
      </c>
      <c r="H2483">
        <v>696768528</v>
      </c>
      <c r="I2483" t="s">
        <v>29</v>
      </c>
      <c r="K2483" t="str">
        <f>IF(Table3[[#This Row],[Type Received]]=2,"CC",(IF(Table3[[#This Row],[Type Received]]=3,"BILL","ACH")))</f>
        <v>ACH</v>
      </c>
    </row>
    <row r="2484" spans="1:11" x14ac:dyDescent="0.25">
      <c r="A2484">
        <v>222893</v>
      </c>
      <c r="B2484" s="3">
        <v>46167</v>
      </c>
      <c r="C2484">
        <v>2</v>
      </c>
      <c r="D2484">
        <v>17.28</v>
      </c>
      <c r="F2484" t="s">
        <v>252</v>
      </c>
      <c r="G2484" t="s">
        <v>28</v>
      </c>
      <c r="H2484">
        <v>818369631</v>
      </c>
      <c r="I2484" t="s">
        <v>29</v>
      </c>
      <c r="J2484" t="s">
        <v>29</v>
      </c>
      <c r="K2484" t="str">
        <f>IF(Table3[[#This Row],[Type Received]]=2,"CC",(IF(Table3[[#This Row],[Type Received]]=3,"BILL","ACH")))</f>
        <v>CC</v>
      </c>
    </row>
    <row r="2485" spans="1:11" x14ac:dyDescent="0.25">
      <c r="A2485">
        <v>222924</v>
      </c>
      <c r="B2485" s="3">
        <v>46153</v>
      </c>
      <c r="C2485">
        <v>3</v>
      </c>
      <c r="D2485">
        <v>26.34</v>
      </c>
      <c r="E2485">
        <v>5093</v>
      </c>
      <c r="J2485" t="s">
        <v>29</v>
      </c>
      <c r="K2485" t="str">
        <f>IF(Table3[[#This Row],[Type Received]]=2,"CC",(IF(Table3[[#This Row],[Type Received]]=3,"BILL","ACH")))</f>
        <v>BILL</v>
      </c>
    </row>
    <row r="2486" spans="1:11" x14ac:dyDescent="0.25">
      <c r="A2486">
        <v>222930</v>
      </c>
      <c r="B2486" s="3">
        <v>46156</v>
      </c>
      <c r="C2486">
        <v>1</v>
      </c>
      <c r="D2486">
        <v>21.93</v>
      </c>
      <c r="G2486" t="s">
        <v>93</v>
      </c>
      <c r="H2486">
        <v>682540226</v>
      </c>
      <c r="I2486" t="s">
        <v>29</v>
      </c>
      <c r="J2486" t="s">
        <v>29</v>
      </c>
      <c r="K2486" t="str">
        <f>IF(Table3[[#This Row],[Type Received]]=2,"CC",(IF(Table3[[#This Row],[Type Received]]=3,"BILL","ACH")))</f>
        <v>ACH</v>
      </c>
    </row>
    <row r="2487" spans="1:11" x14ac:dyDescent="0.25">
      <c r="A2487">
        <v>223110</v>
      </c>
      <c r="B2487" s="3">
        <v>46143</v>
      </c>
      <c r="C2487">
        <v>1</v>
      </c>
      <c r="D2487">
        <v>48.87</v>
      </c>
      <c r="G2487" t="s">
        <v>84</v>
      </c>
      <c r="H2487">
        <v>522349537</v>
      </c>
      <c r="I2487" t="s">
        <v>29</v>
      </c>
      <c r="J2487" t="s">
        <v>29</v>
      </c>
      <c r="K2487" t="str">
        <f>IF(Table3[[#This Row],[Type Received]]=2,"CC",(IF(Table3[[#This Row],[Type Received]]=3,"BILL","ACH")))</f>
        <v>ACH</v>
      </c>
    </row>
    <row r="2488" spans="1:11" x14ac:dyDescent="0.25">
      <c r="A2488">
        <v>223116</v>
      </c>
      <c r="B2488" s="3">
        <v>46155</v>
      </c>
      <c r="C2488">
        <v>1</v>
      </c>
      <c r="D2488">
        <v>121.15</v>
      </c>
      <c r="G2488" t="s">
        <v>90</v>
      </c>
      <c r="H2488">
        <v>669496520</v>
      </c>
      <c r="I2488" t="s">
        <v>29</v>
      </c>
      <c r="J2488" t="s">
        <v>29</v>
      </c>
      <c r="K2488" t="str">
        <f>IF(Table3[[#This Row],[Type Received]]=2,"CC",(IF(Table3[[#This Row],[Type Received]]=3,"BILL","ACH")))</f>
        <v>ACH</v>
      </c>
    </row>
    <row r="2489" spans="1:11" x14ac:dyDescent="0.25">
      <c r="A2489">
        <v>223212</v>
      </c>
      <c r="B2489" s="3">
        <v>46146</v>
      </c>
      <c r="C2489">
        <v>3</v>
      </c>
      <c r="D2489">
        <v>34.81</v>
      </c>
      <c r="E2489">
        <v>4945</v>
      </c>
      <c r="G2489" s="4"/>
      <c r="J2489" t="s">
        <v>29</v>
      </c>
      <c r="K2489" t="str">
        <f>IF(Table3[[#This Row],[Type Received]]=2,"CC",(IF(Table3[[#This Row],[Type Received]]=3,"BILL","ACH")))</f>
        <v>BILL</v>
      </c>
    </row>
    <row r="2490" spans="1:11" x14ac:dyDescent="0.25">
      <c r="A2490">
        <v>223245</v>
      </c>
      <c r="B2490" s="3">
        <v>46157</v>
      </c>
      <c r="C2490">
        <v>1</v>
      </c>
      <c r="D2490">
        <v>54.16</v>
      </c>
      <c r="G2490" t="s">
        <v>87</v>
      </c>
      <c r="H2490">
        <v>696764635</v>
      </c>
      <c r="I2490" t="s">
        <v>29</v>
      </c>
      <c r="K2490" t="str">
        <f>IF(Table3[[#This Row],[Type Received]]=2,"CC",(IF(Table3[[#This Row],[Type Received]]=3,"BILL","ACH")))</f>
        <v>ACH</v>
      </c>
    </row>
    <row r="2491" spans="1:11" x14ac:dyDescent="0.25">
      <c r="A2491">
        <v>223403</v>
      </c>
      <c r="B2491" s="3">
        <v>46157</v>
      </c>
      <c r="C2491">
        <v>1</v>
      </c>
      <c r="D2491">
        <v>18.89</v>
      </c>
      <c r="G2491" t="s">
        <v>87</v>
      </c>
      <c r="H2491">
        <v>696756889</v>
      </c>
      <c r="I2491" t="s">
        <v>29</v>
      </c>
      <c r="J2491" t="s">
        <v>29</v>
      </c>
      <c r="K2491" t="str">
        <f>IF(Table3[[#This Row],[Type Received]]=2,"CC",(IF(Table3[[#This Row],[Type Received]]=3,"BILL","ACH")))</f>
        <v>ACH</v>
      </c>
    </row>
    <row r="2492" spans="1:11" x14ac:dyDescent="0.25">
      <c r="A2492">
        <v>223408</v>
      </c>
      <c r="B2492" s="3">
        <v>46167</v>
      </c>
      <c r="C2492">
        <v>1</v>
      </c>
      <c r="D2492">
        <v>88.81</v>
      </c>
      <c r="G2492" t="s">
        <v>85</v>
      </c>
      <c r="H2492">
        <v>818373583</v>
      </c>
      <c r="I2492" t="s">
        <v>29</v>
      </c>
      <c r="K2492" t="str">
        <f>IF(Table3[[#This Row],[Type Received]]=2,"CC",(IF(Table3[[#This Row],[Type Received]]=3,"BILL","ACH")))</f>
        <v>ACH</v>
      </c>
    </row>
    <row r="2493" spans="1:11" x14ac:dyDescent="0.25">
      <c r="A2493">
        <v>223476</v>
      </c>
      <c r="B2493" s="3">
        <v>46170</v>
      </c>
      <c r="C2493">
        <v>2</v>
      </c>
      <c r="D2493">
        <v>348.58</v>
      </c>
      <c r="F2493">
        <v>110502</v>
      </c>
      <c r="G2493">
        <v>749514569</v>
      </c>
      <c r="H2493">
        <v>356113345</v>
      </c>
      <c r="J2493" t="s">
        <v>29</v>
      </c>
      <c r="K2493" t="str">
        <f>IF(Table3[[#This Row],[Type Received]]=2,"CC",(IF(Table3[[#This Row],[Type Received]]=3,"BILL","ACH")))</f>
        <v>CC</v>
      </c>
    </row>
    <row r="2494" spans="1:11" x14ac:dyDescent="0.25">
      <c r="A2494">
        <v>223508</v>
      </c>
      <c r="B2494" s="3">
        <v>46167</v>
      </c>
      <c r="C2494">
        <v>1</v>
      </c>
      <c r="D2494">
        <v>19.07</v>
      </c>
      <c r="G2494" t="s">
        <v>85</v>
      </c>
      <c r="H2494">
        <v>818367742</v>
      </c>
      <c r="I2494" t="s">
        <v>29</v>
      </c>
      <c r="J2494" t="s">
        <v>29</v>
      </c>
      <c r="K2494" t="str">
        <f>IF(Table3[[#This Row],[Type Received]]=2,"CC",(IF(Table3[[#This Row],[Type Received]]=3,"BILL","ACH")))</f>
        <v>ACH</v>
      </c>
    </row>
    <row r="2495" spans="1:11" x14ac:dyDescent="0.25">
      <c r="A2495">
        <v>223536</v>
      </c>
      <c r="B2495" s="3">
        <v>46143</v>
      </c>
      <c r="C2495">
        <v>3</v>
      </c>
      <c r="D2495">
        <v>318.7</v>
      </c>
      <c r="E2495">
        <v>12560</v>
      </c>
      <c r="J2495" t="s">
        <v>29</v>
      </c>
      <c r="K2495" t="str">
        <f>IF(Table3[[#This Row],[Type Received]]=2,"CC",(IF(Table3[[#This Row],[Type Received]]=3,"BILL","ACH")))</f>
        <v>BILL</v>
      </c>
    </row>
    <row r="2496" spans="1:11" x14ac:dyDescent="0.25">
      <c r="A2496">
        <v>223659</v>
      </c>
      <c r="B2496" s="3">
        <v>46150</v>
      </c>
      <c r="C2496">
        <v>2</v>
      </c>
      <c r="D2496">
        <v>32.840000000000003</v>
      </c>
      <c r="F2496">
        <v>33900</v>
      </c>
      <c r="G2496">
        <v>743671591</v>
      </c>
      <c r="H2496">
        <v>353949069</v>
      </c>
      <c r="J2496" t="s">
        <v>29</v>
      </c>
      <c r="K2496" t="str">
        <f>IF(Table3[[#This Row],[Type Received]]=2,"CC",(IF(Table3[[#This Row],[Type Received]]=3,"BILL","ACH")))</f>
        <v>CC</v>
      </c>
    </row>
    <row r="2497" spans="1:11" x14ac:dyDescent="0.25">
      <c r="A2497">
        <v>223691</v>
      </c>
      <c r="B2497" s="3">
        <v>46167</v>
      </c>
      <c r="C2497">
        <v>1</v>
      </c>
      <c r="D2497">
        <v>13.85</v>
      </c>
      <c r="G2497" t="s">
        <v>85</v>
      </c>
      <c r="H2497">
        <v>818383178</v>
      </c>
      <c r="I2497" t="s">
        <v>29</v>
      </c>
      <c r="J2497" t="s">
        <v>29</v>
      </c>
      <c r="K2497" t="str">
        <f>IF(Table3[[#This Row],[Type Received]]=2,"CC",(IF(Table3[[#This Row],[Type Received]]=3,"BILL","ACH")))</f>
        <v>ACH</v>
      </c>
    </row>
    <row r="2498" spans="1:11" x14ac:dyDescent="0.25">
      <c r="A2498">
        <v>223694</v>
      </c>
      <c r="B2498" s="3">
        <v>46157</v>
      </c>
      <c r="C2498">
        <v>1</v>
      </c>
      <c r="D2498">
        <v>17.63</v>
      </c>
      <c r="G2498" t="s">
        <v>87</v>
      </c>
      <c r="H2498">
        <v>696757909</v>
      </c>
      <c r="I2498" t="s">
        <v>29</v>
      </c>
      <c r="J2498" t="s">
        <v>29</v>
      </c>
      <c r="K2498" t="str">
        <f>IF(Table3[[#This Row],[Type Received]]=2,"CC",(IF(Table3[[#This Row],[Type Received]]=3,"BILL","ACH")))</f>
        <v>ACH</v>
      </c>
    </row>
    <row r="2499" spans="1:11" x14ac:dyDescent="0.25">
      <c r="A2499">
        <v>223696</v>
      </c>
      <c r="B2499" s="3">
        <v>46167</v>
      </c>
      <c r="C2499">
        <v>1</v>
      </c>
      <c r="D2499">
        <v>15.67</v>
      </c>
      <c r="G2499" t="s">
        <v>85</v>
      </c>
      <c r="H2499">
        <v>818358990</v>
      </c>
      <c r="I2499" t="s">
        <v>29</v>
      </c>
      <c r="J2499" t="s">
        <v>29</v>
      </c>
      <c r="K2499" t="str">
        <f>IF(Table3[[#This Row],[Type Received]]=2,"CC",(IF(Table3[[#This Row],[Type Received]]=3,"BILL","ACH")))</f>
        <v>ACH</v>
      </c>
    </row>
    <row r="2500" spans="1:11" x14ac:dyDescent="0.25">
      <c r="A2500">
        <v>223772</v>
      </c>
      <c r="B2500" s="3">
        <v>46171</v>
      </c>
      <c r="C2500">
        <v>2</v>
      </c>
      <c r="D2500">
        <v>98.39</v>
      </c>
      <c r="F2500">
        <v>73115</v>
      </c>
      <c r="G2500" t="s">
        <v>28</v>
      </c>
      <c r="H2500">
        <v>869842888</v>
      </c>
      <c r="I2500" t="s">
        <v>29</v>
      </c>
      <c r="J2500" t="s">
        <v>29</v>
      </c>
      <c r="K2500" t="str">
        <f>IF(Table3[[#This Row],[Type Received]]=2,"CC",(IF(Table3[[#This Row],[Type Received]]=3,"BILL","ACH")))</f>
        <v>CC</v>
      </c>
    </row>
    <row r="2501" spans="1:11" x14ac:dyDescent="0.25">
      <c r="A2501">
        <v>223788</v>
      </c>
      <c r="B2501" s="3">
        <v>46167</v>
      </c>
      <c r="C2501">
        <v>1</v>
      </c>
      <c r="D2501">
        <v>26.55</v>
      </c>
      <c r="G2501" t="s">
        <v>85</v>
      </c>
      <c r="H2501">
        <v>818382319</v>
      </c>
      <c r="I2501" t="s">
        <v>29</v>
      </c>
      <c r="J2501" t="s">
        <v>29</v>
      </c>
      <c r="K2501" t="str">
        <f>IF(Table3[[#This Row],[Type Received]]=2,"CC",(IF(Table3[[#This Row],[Type Received]]=3,"BILL","ACH")))</f>
        <v>ACH</v>
      </c>
    </row>
    <row r="2502" spans="1:11" x14ac:dyDescent="0.25">
      <c r="A2502">
        <v>224011</v>
      </c>
      <c r="B2502" s="3">
        <v>46143</v>
      </c>
      <c r="C2502">
        <v>1</v>
      </c>
      <c r="D2502">
        <v>16.649999999999999</v>
      </c>
      <c r="G2502" t="s">
        <v>84</v>
      </c>
      <c r="H2502">
        <v>522357297</v>
      </c>
      <c r="I2502" t="s">
        <v>29</v>
      </c>
      <c r="J2502" t="s">
        <v>29</v>
      </c>
      <c r="K2502" t="str">
        <f>IF(Table3[[#This Row],[Type Received]]=2,"CC",(IF(Table3[[#This Row],[Type Received]]=3,"BILL","ACH")))</f>
        <v>ACH</v>
      </c>
    </row>
    <row r="2503" spans="1:11" x14ac:dyDescent="0.25">
      <c r="A2503">
        <v>224013</v>
      </c>
      <c r="B2503" s="3">
        <v>46143</v>
      </c>
      <c r="C2503">
        <v>1</v>
      </c>
      <c r="D2503">
        <v>23.91</v>
      </c>
      <c r="G2503" t="s">
        <v>84</v>
      </c>
      <c r="H2503">
        <v>522352495</v>
      </c>
      <c r="I2503" t="s">
        <v>29</v>
      </c>
      <c r="J2503" t="s">
        <v>29</v>
      </c>
      <c r="K2503" t="str">
        <f>IF(Table3[[#This Row],[Type Received]]=2,"CC",(IF(Table3[[#This Row],[Type Received]]=3,"BILL","ACH")))</f>
        <v>ACH</v>
      </c>
    </row>
    <row r="2504" spans="1:11" x14ac:dyDescent="0.25">
      <c r="A2504">
        <v>224018</v>
      </c>
      <c r="B2504" s="3">
        <v>46143</v>
      </c>
      <c r="C2504">
        <v>3</v>
      </c>
      <c r="D2504">
        <v>104.7</v>
      </c>
      <c r="E2504">
        <v>5243</v>
      </c>
      <c r="J2504" t="s">
        <v>29</v>
      </c>
      <c r="K2504" t="str">
        <f>IF(Table3[[#This Row],[Type Received]]=2,"CC",(IF(Table3[[#This Row],[Type Received]]=3,"BILL","ACH")))</f>
        <v>BILL</v>
      </c>
    </row>
    <row r="2505" spans="1:11" x14ac:dyDescent="0.25">
      <c r="A2505">
        <v>224054</v>
      </c>
      <c r="B2505" s="3">
        <v>46144</v>
      </c>
      <c r="C2505">
        <v>2</v>
      </c>
      <c r="D2505">
        <v>21.06</v>
      </c>
      <c r="F2505">
        <v>112183</v>
      </c>
      <c r="G2505">
        <v>741651752</v>
      </c>
      <c r="H2505">
        <v>353282329</v>
      </c>
      <c r="J2505" t="s">
        <v>29</v>
      </c>
      <c r="K2505" t="str">
        <f>IF(Table3[[#This Row],[Type Received]]=2,"CC",(IF(Table3[[#This Row],[Type Received]]=3,"BILL","ACH")))</f>
        <v>CC</v>
      </c>
    </row>
    <row r="2506" spans="1:11" x14ac:dyDescent="0.25">
      <c r="A2506">
        <v>224069</v>
      </c>
      <c r="B2506" s="3">
        <v>46157</v>
      </c>
      <c r="C2506">
        <v>1</v>
      </c>
      <c r="D2506">
        <v>31.94</v>
      </c>
      <c r="G2506" t="s">
        <v>87</v>
      </c>
      <c r="H2506">
        <v>696777280</v>
      </c>
      <c r="I2506" t="s">
        <v>29</v>
      </c>
      <c r="J2506" t="s">
        <v>29</v>
      </c>
      <c r="K2506" t="str">
        <f>IF(Table3[[#This Row],[Type Received]]=2,"CC",(IF(Table3[[#This Row],[Type Received]]=3,"BILL","ACH")))</f>
        <v>ACH</v>
      </c>
    </row>
    <row r="2507" spans="1:11" x14ac:dyDescent="0.25">
      <c r="A2507">
        <v>224078</v>
      </c>
      <c r="B2507" s="3">
        <v>46143</v>
      </c>
      <c r="C2507">
        <v>1</v>
      </c>
      <c r="D2507">
        <v>22.04</v>
      </c>
      <c r="G2507" t="s">
        <v>84</v>
      </c>
      <c r="H2507">
        <v>522340856</v>
      </c>
      <c r="I2507" t="s">
        <v>29</v>
      </c>
      <c r="K2507" t="str">
        <f>IF(Table3[[#This Row],[Type Received]]=2,"CC",(IF(Table3[[#This Row],[Type Received]]=3,"BILL","ACH")))</f>
        <v>ACH</v>
      </c>
    </row>
    <row r="2508" spans="1:11" x14ac:dyDescent="0.25">
      <c r="A2508">
        <v>224170</v>
      </c>
      <c r="B2508" s="3">
        <v>46143</v>
      </c>
      <c r="C2508">
        <v>3</v>
      </c>
      <c r="D2508">
        <v>55.57</v>
      </c>
      <c r="E2508">
        <v>985436</v>
      </c>
      <c r="J2508" t="s">
        <v>29</v>
      </c>
      <c r="K2508" t="str">
        <f>IF(Table3[[#This Row],[Type Received]]=2,"CC",(IF(Table3[[#This Row],[Type Received]]=3,"BILL","ACH")))</f>
        <v>BILL</v>
      </c>
    </row>
    <row r="2509" spans="1:11" x14ac:dyDescent="0.25">
      <c r="A2509">
        <v>224191</v>
      </c>
      <c r="B2509" s="3">
        <v>46157</v>
      </c>
      <c r="C2509">
        <v>1</v>
      </c>
      <c r="D2509">
        <v>76.489999999999995</v>
      </c>
      <c r="G2509" t="s">
        <v>87</v>
      </c>
      <c r="H2509">
        <v>696704355</v>
      </c>
      <c r="I2509" t="s">
        <v>29</v>
      </c>
      <c r="J2509" t="s">
        <v>29</v>
      </c>
      <c r="K2509" t="str">
        <f>IF(Table3[[#This Row],[Type Received]]=2,"CC",(IF(Table3[[#This Row],[Type Received]]=3,"BILL","ACH")))</f>
        <v>ACH</v>
      </c>
    </row>
    <row r="2510" spans="1:11" x14ac:dyDescent="0.25">
      <c r="A2510">
        <v>223828</v>
      </c>
      <c r="B2510" s="3">
        <v>46157</v>
      </c>
      <c r="C2510">
        <v>1</v>
      </c>
      <c r="D2510">
        <v>13.85</v>
      </c>
      <c r="G2510" t="s">
        <v>87</v>
      </c>
      <c r="H2510">
        <v>696770491</v>
      </c>
      <c r="I2510" t="s">
        <v>29</v>
      </c>
      <c r="K2510" t="str">
        <f>IF(Table3[[#This Row],[Type Received]]=2,"CC",(IF(Table3[[#This Row],[Type Received]]=3,"BILL","ACH")))</f>
        <v>ACH</v>
      </c>
    </row>
    <row r="2511" spans="1:11" x14ac:dyDescent="0.25">
      <c r="A2511">
        <v>223847</v>
      </c>
      <c r="B2511" s="3">
        <v>46149</v>
      </c>
      <c r="C2511">
        <v>3</v>
      </c>
      <c r="D2511">
        <v>74.959999999999994</v>
      </c>
      <c r="E2511">
        <v>1233</v>
      </c>
      <c r="G2511" s="4"/>
      <c r="J2511" t="s">
        <v>29</v>
      </c>
      <c r="K2511" t="str">
        <f>IF(Table3[[#This Row],[Type Received]]=2,"CC",(IF(Table3[[#This Row],[Type Received]]=3,"BILL","ACH")))</f>
        <v>BILL</v>
      </c>
    </row>
    <row r="2512" spans="1:11" x14ac:dyDescent="0.25">
      <c r="A2512">
        <v>223876</v>
      </c>
      <c r="B2512" s="3">
        <v>46146</v>
      </c>
      <c r="C2512">
        <v>1</v>
      </c>
      <c r="D2512">
        <v>77.599999999999994</v>
      </c>
      <c r="G2512" t="s">
        <v>92</v>
      </c>
      <c r="H2512">
        <v>561942437</v>
      </c>
      <c r="I2512" t="s">
        <v>29</v>
      </c>
      <c r="J2512" t="s">
        <v>29</v>
      </c>
      <c r="K2512" t="str">
        <f>IF(Table3[[#This Row],[Type Received]]=2,"CC",(IF(Table3[[#This Row],[Type Received]]=3,"BILL","ACH")))</f>
        <v>ACH</v>
      </c>
    </row>
    <row r="2513" spans="1:11" x14ac:dyDescent="0.25">
      <c r="A2513">
        <v>223881</v>
      </c>
      <c r="B2513" s="3">
        <v>46143</v>
      </c>
      <c r="C2513">
        <v>1</v>
      </c>
      <c r="D2513">
        <v>43.27</v>
      </c>
      <c r="G2513" t="s">
        <v>84</v>
      </c>
      <c r="H2513">
        <v>522352452</v>
      </c>
      <c r="I2513" t="s">
        <v>29</v>
      </c>
      <c r="J2513" t="s">
        <v>29</v>
      </c>
      <c r="K2513" t="str">
        <f>IF(Table3[[#This Row],[Type Received]]=2,"CC",(IF(Table3[[#This Row],[Type Received]]=3,"BILL","ACH")))</f>
        <v>ACH</v>
      </c>
    </row>
    <row r="2514" spans="1:11" x14ac:dyDescent="0.25">
      <c r="A2514">
        <v>223995</v>
      </c>
      <c r="B2514" s="3">
        <v>46169</v>
      </c>
      <c r="C2514">
        <v>3</v>
      </c>
      <c r="D2514">
        <v>732.15</v>
      </c>
      <c r="E2514">
        <v>3772</v>
      </c>
      <c r="J2514" t="s">
        <v>29</v>
      </c>
      <c r="K2514" t="str">
        <f>IF(Table3[[#This Row],[Type Received]]=2,"CC",(IF(Table3[[#This Row],[Type Received]]=3,"BILL","ACH")))</f>
        <v>BILL</v>
      </c>
    </row>
    <row r="2515" spans="1:11" x14ac:dyDescent="0.25">
      <c r="A2515">
        <v>224006</v>
      </c>
      <c r="B2515" s="3">
        <v>46167</v>
      </c>
      <c r="C2515">
        <v>1</v>
      </c>
      <c r="D2515">
        <v>74.62</v>
      </c>
      <c r="G2515" t="s">
        <v>85</v>
      </c>
      <c r="H2515">
        <v>818381355</v>
      </c>
      <c r="I2515" t="s">
        <v>29</v>
      </c>
      <c r="K2515" t="str">
        <f>IF(Table3[[#This Row],[Type Received]]=2,"CC",(IF(Table3[[#This Row],[Type Received]]=3,"BILL","ACH")))</f>
        <v>ACH</v>
      </c>
    </row>
    <row r="2516" spans="1:11" x14ac:dyDescent="0.25">
      <c r="A2516">
        <v>224226</v>
      </c>
      <c r="B2516" s="3">
        <v>46169</v>
      </c>
      <c r="C2516">
        <v>3</v>
      </c>
      <c r="D2516">
        <v>405.16</v>
      </c>
      <c r="E2516">
        <v>5109</v>
      </c>
      <c r="K2516" t="str">
        <f>IF(Table3[[#This Row],[Type Received]]=2,"CC",(IF(Table3[[#This Row],[Type Received]]=3,"BILL","ACH")))</f>
        <v>BILL</v>
      </c>
    </row>
    <row r="2517" spans="1:11" x14ac:dyDescent="0.25">
      <c r="A2517">
        <v>224227</v>
      </c>
      <c r="B2517" s="3">
        <v>46143</v>
      </c>
      <c r="C2517">
        <v>1</v>
      </c>
      <c r="D2517">
        <v>46.57</v>
      </c>
      <c r="G2517" t="s">
        <v>84</v>
      </c>
      <c r="H2517">
        <v>522360300</v>
      </c>
      <c r="I2517" t="s">
        <v>29</v>
      </c>
      <c r="J2517" t="s">
        <v>29</v>
      </c>
      <c r="K2517" t="str">
        <f>IF(Table3[[#This Row],[Type Received]]=2,"CC",(IF(Table3[[#This Row],[Type Received]]=3,"BILL","ACH")))</f>
        <v>ACH</v>
      </c>
    </row>
    <row r="2518" spans="1:11" x14ac:dyDescent="0.25">
      <c r="A2518">
        <v>224394</v>
      </c>
      <c r="B2518" s="3">
        <v>46167</v>
      </c>
      <c r="C2518">
        <v>1</v>
      </c>
      <c r="D2518">
        <v>57.46</v>
      </c>
      <c r="G2518" t="s">
        <v>85</v>
      </c>
      <c r="H2518">
        <v>818364955</v>
      </c>
      <c r="I2518" t="s">
        <v>29</v>
      </c>
      <c r="K2518" t="str">
        <f>IF(Table3[[#This Row],[Type Received]]=2,"CC",(IF(Table3[[#This Row],[Type Received]]=3,"BILL","ACH")))</f>
        <v>ACH</v>
      </c>
    </row>
    <row r="2519" spans="1:11" x14ac:dyDescent="0.25">
      <c r="A2519">
        <v>224396</v>
      </c>
      <c r="B2519" s="3">
        <v>46167</v>
      </c>
      <c r="C2519">
        <v>1</v>
      </c>
      <c r="D2519">
        <v>49.54</v>
      </c>
      <c r="G2519" t="s">
        <v>85</v>
      </c>
      <c r="H2519">
        <v>818302988</v>
      </c>
      <c r="I2519" t="s">
        <v>29</v>
      </c>
      <c r="J2519" t="s">
        <v>29</v>
      </c>
      <c r="K2519" t="str">
        <f>IF(Table3[[#This Row],[Type Received]]=2,"CC",(IF(Table3[[#This Row],[Type Received]]=3,"BILL","ACH")))</f>
        <v>ACH</v>
      </c>
    </row>
    <row r="2520" spans="1:11" x14ac:dyDescent="0.25">
      <c r="A2520">
        <v>224397</v>
      </c>
      <c r="B2520" s="3">
        <v>46167</v>
      </c>
      <c r="C2520">
        <v>1</v>
      </c>
      <c r="D2520">
        <v>19.73</v>
      </c>
      <c r="G2520" t="s">
        <v>85</v>
      </c>
      <c r="H2520">
        <v>818358099</v>
      </c>
      <c r="I2520" t="s">
        <v>29</v>
      </c>
      <c r="K2520" t="str">
        <f>IF(Table3[[#This Row],[Type Received]]=2,"CC",(IF(Table3[[#This Row],[Type Received]]=3,"BILL","ACH")))</f>
        <v>ACH</v>
      </c>
    </row>
    <row r="2521" spans="1:11" x14ac:dyDescent="0.25">
      <c r="A2521">
        <v>224449</v>
      </c>
      <c r="B2521" s="3">
        <v>46147</v>
      </c>
      <c r="C2521">
        <v>3</v>
      </c>
      <c r="D2521">
        <v>27.22</v>
      </c>
      <c r="E2521">
        <v>57674759</v>
      </c>
      <c r="J2521" t="s">
        <v>29</v>
      </c>
      <c r="K2521" t="str">
        <f>IF(Table3[[#This Row],[Type Received]]=2,"CC",(IF(Table3[[#This Row],[Type Received]]=3,"BILL","ACH")))</f>
        <v>BILL</v>
      </c>
    </row>
    <row r="2522" spans="1:11" x14ac:dyDescent="0.25">
      <c r="A2522">
        <v>224480</v>
      </c>
      <c r="B2522" s="3">
        <v>46167</v>
      </c>
      <c r="C2522">
        <v>1</v>
      </c>
      <c r="D2522">
        <v>45.25</v>
      </c>
      <c r="G2522" t="s">
        <v>85</v>
      </c>
      <c r="H2522">
        <v>818365959</v>
      </c>
      <c r="I2522" t="s">
        <v>29</v>
      </c>
      <c r="J2522" t="s">
        <v>29</v>
      </c>
      <c r="K2522" t="str">
        <f>IF(Table3[[#This Row],[Type Received]]=2,"CC",(IF(Table3[[#This Row],[Type Received]]=3,"BILL","ACH")))</f>
        <v>ACH</v>
      </c>
    </row>
    <row r="2523" spans="1:11" x14ac:dyDescent="0.25">
      <c r="A2523">
        <v>224482</v>
      </c>
      <c r="B2523" s="3">
        <v>46167</v>
      </c>
      <c r="C2523">
        <v>1</v>
      </c>
      <c r="D2523">
        <v>12.94</v>
      </c>
      <c r="G2523" s="4" t="s">
        <v>85</v>
      </c>
      <c r="H2523">
        <v>818376506</v>
      </c>
      <c r="I2523" t="s">
        <v>29</v>
      </c>
      <c r="K2523" t="str">
        <f>IF(Table3[[#This Row],[Type Received]]=2,"CC",(IF(Table3[[#This Row],[Type Received]]=3,"BILL","ACH")))</f>
        <v>ACH</v>
      </c>
    </row>
    <row r="2524" spans="1:11" x14ac:dyDescent="0.25">
      <c r="A2524">
        <v>224525</v>
      </c>
      <c r="B2524" s="3">
        <v>46147</v>
      </c>
      <c r="C2524">
        <v>2</v>
      </c>
      <c r="D2524">
        <v>16.989999999999998</v>
      </c>
      <c r="F2524">
        <v>55828</v>
      </c>
      <c r="G2524" s="4" t="s">
        <v>28</v>
      </c>
      <c r="H2524">
        <v>572991270</v>
      </c>
      <c r="I2524" t="s">
        <v>29</v>
      </c>
      <c r="K2524" t="str">
        <f>IF(Table3[[#This Row],[Type Received]]=2,"CC",(IF(Table3[[#This Row],[Type Received]]=3,"BILL","ACH")))</f>
        <v>CC</v>
      </c>
    </row>
    <row r="2525" spans="1:11" x14ac:dyDescent="0.25">
      <c r="A2525">
        <v>224529</v>
      </c>
      <c r="B2525" s="3">
        <v>46158</v>
      </c>
      <c r="C2525">
        <v>1</v>
      </c>
      <c r="D2525">
        <v>82.87</v>
      </c>
      <c r="G2525" t="s">
        <v>106</v>
      </c>
      <c r="H2525">
        <v>710059370</v>
      </c>
      <c r="I2525" t="s">
        <v>29</v>
      </c>
      <c r="K2525" t="str">
        <f>IF(Table3[[#This Row],[Type Received]]=2,"CC",(IF(Table3[[#This Row],[Type Received]]=3,"BILL","ACH")))</f>
        <v>ACH</v>
      </c>
    </row>
    <row r="2526" spans="1:11" x14ac:dyDescent="0.25">
      <c r="A2526">
        <v>224535</v>
      </c>
      <c r="B2526" s="3">
        <v>46155</v>
      </c>
      <c r="C2526">
        <v>2</v>
      </c>
      <c r="D2526">
        <v>57.47</v>
      </c>
      <c r="F2526">
        <v>140154</v>
      </c>
      <c r="G2526" t="s">
        <v>28</v>
      </c>
      <c r="H2526">
        <v>674015249</v>
      </c>
      <c r="I2526" t="s">
        <v>29</v>
      </c>
      <c r="J2526" t="s">
        <v>29</v>
      </c>
      <c r="K2526" t="str">
        <f>IF(Table3[[#This Row],[Type Received]]=2,"CC",(IF(Table3[[#This Row],[Type Received]]=3,"BILL","ACH")))</f>
        <v>CC</v>
      </c>
    </row>
    <row r="2527" spans="1:11" x14ac:dyDescent="0.25">
      <c r="A2527">
        <v>224573</v>
      </c>
      <c r="B2527" s="3">
        <v>46143</v>
      </c>
      <c r="C2527">
        <v>1</v>
      </c>
      <c r="D2527">
        <v>19.95</v>
      </c>
      <c r="G2527" s="4" t="s">
        <v>84</v>
      </c>
      <c r="H2527">
        <v>522356440</v>
      </c>
      <c r="I2527" t="s">
        <v>29</v>
      </c>
      <c r="J2527" t="s">
        <v>29</v>
      </c>
      <c r="K2527" t="str">
        <f>IF(Table3[[#This Row],[Type Received]]=2,"CC",(IF(Table3[[#This Row],[Type Received]]=3,"BILL","ACH")))</f>
        <v>ACH</v>
      </c>
    </row>
    <row r="2528" spans="1:11" x14ac:dyDescent="0.25">
      <c r="A2528">
        <v>224577</v>
      </c>
      <c r="B2528" s="3">
        <v>46158</v>
      </c>
      <c r="C2528">
        <v>1</v>
      </c>
      <c r="D2528">
        <v>31.83</v>
      </c>
      <c r="G2528" t="s">
        <v>106</v>
      </c>
      <c r="H2528">
        <v>710050760</v>
      </c>
      <c r="I2528" t="s">
        <v>29</v>
      </c>
      <c r="J2528" t="s">
        <v>29</v>
      </c>
      <c r="K2528" t="str">
        <f>IF(Table3[[#This Row],[Type Received]]=2,"CC",(IF(Table3[[#This Row],[Type Received]]=3,"BILL","ACH")))</f>
        <v>ACH</v>
      </c>
    </row>
    <row r="2529" spans="1:11" x14ac:dyDescent="0.25">
      <c r="A2529">
        <v>224584</v>
      </c>
      <c r="B2529" s="3">
        <v>46143</v>
      </c>
      <c r="C2529">
        <v>2</v>
      </c>
      <c r="D2529">
        <v>46.57</v>
      </c>
      <c r="F2529">
        <v>1846</v>
      </c>
      <c r="G2529" t="s">
        <v>28</v>
      </c>
      <c r="H2529">
        <v>522344855</v>
      </c>
      <c r="I2529" t="s">
        <v>29</v>
      </c>
      <c r="J2529" t="s">
        <v>29</v>
      </c>
      <c r="K2529" t="str">
        <f>IF(Table3[[#This Row],[Type Received]]=2,"CC",(IF(Table3[[#This Row],[Type Received]]=3,"BILL","ACH")))</f>
        <v>CC</v>
      </c>
    </row>
    <row r="2530" spans="1:11" x14ac:dyDescent="0.25">
      <c r="A2530">
        <v>224627</v>
      </c>
      <c r="B2530" s="3">
        <v>46158</v>
      </c>
      <c r="C2530">
        <v>1</v>
      </c>
      <c r="D2530">
        <v>25.45</v>
      </c>
      <c r="G2530" s="4" t="s">
        <v>106</v>
      </c>
      <c r="H2530">
        <v>710055579</v>
      </c>
      <c r="I2530" t="s">
        <v>29</v>
      </c>
      <c r="J2530" t="s">
        <v>29</v>
      </c>
      <c r="K2530" t="str">
        <f>IF(Table3[[#This Row],[Type Received]]=2,"CC",(IF(Table3[[#This Row],[Type Received]]=3,"BILL","ACH")))</f>
        <v>ACH</v>
      </c>
    </row>
    <row r="2531" spans="1:11" x14ac:dyDescent="0.25">
      <c r="A2531">
        <v>224632</v>
      </c>
      <c r="B2531" s="3">
        <v>46158</v>
      </c>
      <c r="C2531">
        <v>1</v>
      </c>
      <c r="D2531">
        <v>26.99</v>
      </c>
      <c r="G2531" t="s">
        <v>106</v>
      </c>
      <c r="H2531">
        <v>710058436</v>
      </c>
      <c r="I2531" t="s">
        <v>29</v>
      </c>
      <c r="J2531" t="s">
        <v>29</v>
      </c>
      <c r="K2531" t="str">
        <f>IF(Table3[[#This Row],[Type Received]]=2,"CC",(IF(Table3[[#This Row],[Type Received]]=3,"BILL","ACH")))</f>
        <v>ACH</v>
      </c>
    </row>
    <row r="2532" spans="1:11" x14ac:dyDescent="0.25">
      <c r="A2532">
        <v>224684</v>
      </c>
      <c r="B2532" s="3">
        <v>46143</v>
      </c>
      <c r="C2532">
        <v>1</v>
      </c>
      <c r="D2532">
        <v>30.18</v>
      </c>
      <c r="G2532" s="4" t="s">
        <v>84</v>
      </c>
      <c r="H2532">
        <v>522352594</v>
      </c>
      <c r="I2532" t="s">
        <v>29</v>
      </c>
      <c r="J2532" t="s">
        <v>29</v>
      </c>
      <c r="K2532" t="str">
        <f>IF(Table3[[#This Row],[Type Received]]=2,"CC",(IF(Table3[[#This Row],[Type Received]]=3,"BILL","ACH")))</f>
        <v>ACH</v>
      </c>
    </row>
    <row r="2533" spans="1:11" x14ac:dyDescent="0.25">
      <c r="A2533">
        <v>224687</v>
      </c>
      <c r="B2533" s="3">
        <v>46158</v>
      </c>
      <c r="C2533">
        <v>1</v>
      </c>
      <c r="D2533">
        <v>47.89</v>
      </c>
      <c r="G2533" t="s">
        <v>106</v>
      </c>
      <c r="H2533">
        <v>710055607</v>
      </c>
      <c r="I2533" t="s">
        <v>29</v>
      </c>
      <c r="J2533" t="s">
        <v>29</v>
      </c>
      <c r="K2533" t="str">
        <f>IF(Table3[[#This Row],[Type Received]]=2,"CC",(IF(Table3[[#This Row],[Type Received]]=3,"BILL","ACH")))</f>
        <v>ACH</v>
      </c>
    </row>
    <row r="2534" spans="1:11" x14ac:dyDescent="0.25">
      <c r="A2534">
        <v>224952</v>
      </c>
      <c r="B2534" s="3">
        <v>46143</v>
      </c>
      <c r="C2534">
        <v>1</v>
      </c>
      <c r="D2534">
        <v>46.35</v>
      </c>
      <c r="G2534" s="4" t="s">
        <v>84</v>
      </c>
      <c r="H2534">
        <v>522357435</v>
      </c>
      <c r="I2534" t="s">
        <v>29</v>
      </c>
      <c r="J2534" t="s">
        <v>29</v>
      </c>
      <c r="K2534" t="str">
        <f>IF(Table3[[#This Row],[Type Received]]=2,"CC",(IF(Table3[[#This Row],[Type Received]]=3,"BILL","ACH")))</f>
        <v>ACH</v>
      </c>
    </row>
    <row r="2535" spans="1:11" x14ac:dyDescent="0.25">
      <c r="A2535">
        <v>224964</v>
      </c>
      <c r="B2535" s="3">
        <v>46143</v>
      </c>
      <c r="C2535">
        <v>1</v>
      </c>
      <c r="D2535">
        <v>75.27</v>
      </c>
      <c r="G2535" t="s">
        <v>84</v>
      </c>
      <c r="H2535">
        <v>522352626</v>
      </c>
      <c r="I2535" t="s">
        <v>29</v>
      </c>
      <c r="J2535" t="s">
        <v>29</v>
      </c>
      <c r="K2535" t="str">
        <f>IF(Table3[[#This Row],[Type Received]]=2,"CC",(IF(Table3[[#This Row],[Type Received]]=3,"BILL","ACH")))</f>
        <v>ACH</v>
      </c>
    </row>
    <row r="2536" spans="1:11" x14ac:dyDescent="0.25">
      <c r="A2536">
        <v>224978</v>
      </c>
      <c r="B2536" s="3">
        <v>46158</v>
      </c>
      <c r="C2536">
        <v>1</v>
      </c>
      <c r="D2536">
        <v>21.55</v>
      </c>
      <c r="G2536" t="s">
        <v>106</v>
      </c>
      <c r="H2536">
        <v>710073220</v>
      </c>
      <c r="I2536" t="s">
        <v>29</v>
      </c>
      <c r="J2536" t="s">
        <v>29</v>
      </c>
      <c r="K2536" t="str">
        <f>IF(Table3[[#This Row],[Type Received]]=2,"CC",(IF(Table3[[#This Row],[Type Received]]=3,"BILL","ACH")))</f>
        <v>ACH</v>
      </c>
    </row>
    <row r="2537" spans="1:11" x14ac:dyDescent="0.25">
      <c r="A2537">
        <v>224980</v>
      </c>
      <c r="B2537" s="3">
        <v>46158</v>
      </c>
      <c r="C2537">
        <v>1</v>
      </c>
      <c r="D2537">
        <v>24.24</v>
      </c>
      <c r="G2537" t="s">
        <v>106</v>
      </c>
      <c r="H2537">
        <v>710051773</v>
      </c>
      <c r="I2537" t="s">
        <v>29</v>
      </c>
      <c r="J2537" t="s">
        <v>29</v>
      </c>
      <c r="K2537" t="str">
        <f>IF(Table3[[#This Row],[Type Received]]=2,"CC",(IF(Table3[[#This Row],[Type Received]]=3,"BILL","ACH")))</f>
        <v>ACH</v>
      </c>
    </row>
    <row r="2538" spans="1:11" x14ac:dyDescent="0.25">
      <c r="A2538">
        <v>225053</v>
      </c>
      <c r="B2538" s="3">
        <v>46143</v>
      </c>
      <c r="C2538">
        <v>1</v>
      </c>
      <c r="D2538">
        <v>36.119999999999997</v>
      </c>
      <c r="G2538" t="s">
        <v>84</v>
      </c>
      <c r="H2538">
        <v>522347895</v>
      </c>
      <c r="I2538" t="s">
        <v>29</v>
      </c>
      <c r="J2538" t="s">
        <v>29</v>
      </c>
      <c r="K2538" t="str">
        <f>IF(Table3[[#This Row],[Type Received]]=2,"CC",(IF(Table3[[#This Row],[Type Received]]=3,"BILL","ACH")))</f>
        <v>ACH</v>
      </c>
    </row>
    <row r="2539" spans="1:11" x14ac:dyDescent="0.25">
      <c r="A2539">
        <v>225104</v>
      </c>
      <c r="B2539" s="3">
        <v>46167</v>
      </c>
      <c r="C2539">
        <v>1</v>
      </c>
      <c r="D2539">
        <v>28.2</v>
      </c>
      <c r="G2539" s="4" t="s">
        <v>85</v>
      </c>
      <c r="H2539">
        <v>818359037</v>
      </c>
      <c r="I2539" t="s">
        <v>29</v>
      </c>
      <c r="K2539" t="str">
        <f>IF(Table3[[#This Row],[Type Received]]=2,"CC",(IF(Table3[[#This Row],[Type Received]]=3,"BILL","ACH")))</f>
        <v>ACH</v>
      </c>
    </row>
    <row r="2540" spans="1:11" x14ac:dyDescent="0.25">
      <c r="A2540">
        <v>225108</v>
      </c>
      <c r="B2540" s="3">
        <v>46170</v>
      </c>
      <c r="C2540">
        <v>3</v>
      </c>
      <c r="D2540">
        <v>54.83</v>
      </c>
      <c r="E2540">
        <v>923650062</v>
      </c>
      <c r="G2540" s="4"/>
      <c r="J2540" t="s">
        <v>29</v>
      </c>
      <c r="K2540" t="str">
        <f>IF(Table3[[#This Row],[Type Received]]=2,"CC",(IF(Table3[[#This Row],[Type Received]]=3,"BILL","ACH")))</f>
        <v>BILL</v>
      </c>
    </row>
    <row r="2541" spans="1:11" x14ac:dyDescent="0.25">
      <c r="A2541">
        <v>225108</v>
      </c>
      <c r="B2541" s="3">
        <v>46146</v>
      </c>
      <c r="C2541">
        <v>3</v>
      </c>
      <c r="D2541">
        <v>54.83</v>
      </c>
      <c r="E2541">
        <v>920712927</v>
      </c>
      <c r="J2541" t="s">
        <v>29</v>
      </c>
      <c r="K2541" t="str">
        <f>IF(Table3[[#This Row],[Type Received]]=2,"CC",(IF(Table3[[#This Row],[Type Received]]=3,"BILL","ACH")))</f>
        <v>BILL</v>
      </c>
    </row>
    <row r="2542" spans="1:11" x14ac:dyDescent="0.25">
      <c r="A2542">
        <v>225137</v>
      </c>
      <c r="B2542" s="3">
        <v>46158</v>
      </c>
      <c r="C2542">
        <v>1</v>
      </c>
      <c r="D2542">
        <v>16.3</v>
      </c>
      <c r="G2542" s="4" t="s">
        <v>106</v>
      </c>
      <c r="H2542">
        <v>710054629</v>
      </c>
      <c r="I2542" t="s">
        <v>29</v>
      </c>
      <c r="J2542" t="s">
        <v>29</v>
      </c>
      <c r="K2542" t="str">
        <f>IF(Table3[[#This Row],[Type Received]]=2,"CC",(IF(Table3[[#This Row],[Type Received]]=3,"BILL","ACH")))</f>
        <v>ACH</v>
      </c>
    </row>
    <row r="2543" spans="1:11" x14ac:dyDescent="0.25">
      <c r="A2543">
        <v>225203</v>
      </c>
      <c r="B2543" s="3">
        <v>46167</v>
      </c>
      <c r="C2543">
        <v>1</v>
      </c>
      <c r="D2543">
        <v>15.39</v>
      </c>
      <c r="G2543" t="s">
        <v>85</v>
      </c>
      <c r="H2543">
        <v>818381408</v>
      </c>
      <c r="I2543" t="s">
        <v>29</v>
      </c>
      <c r="J2543" t="s">
        <v>29</v>
      </c>
      <c r="K2543" t="str">
        <f>IF(Table3[[#This Row],[Type Received]]=2,"CC",(IF(Table3[[#This Row],[Type Received]]=3,"BILL","ACH")))</f>
        <v>ACH</v>
      </c>
    </row>
    <row r="2544" spans="1:11" x14ac:dyDescent="0.25">
      <c r="A2544">
        <v>225264</v>
      </c>
      <c r="B2544" s="3">
        <v>46167</v>
      </c>
      <c r="C2544">
        <v>1</v>
      </c>
      <c r="D2544">
        <v>22.81</v>
      </c>
      <c r="G2544" t="s">
        <v>85</v>
      </c>
      <c r="H2544">
        <v>818377529</v>
      </c>
      <c r="I2544" t="s">
        <v>29</v>
      </c>
      <c r="J2544" t="s">
        <v>29</v>
      </c>
      <c r="K2544" t="str">
        <f>IF(Table3[[#This Row],[Type Received]]=2,"CC",(IF(Table3[[#This Row],[Type Received]]=3,"BILL","ACH")))</f>
        <v>ACH</v>
      </c>
    </row>
    <row r="2545" spans="1:11" x14ac:dyDescent="0.25">
      <c r="A2545">
        <v>225278</v>
      </c>
      <c r="B2545" s="3">
        <v>46170</v>
      </c>
      <c r="C2545">
        <v>3</v>
      </c>
      <c r="D2545">
        <v>63.82</v>
      </c>
      <c r="E2545">
        <v>371</v>
      </c>
      <c r="J2545" t="s">
        <v>29</v>
      </c>
      <c r="K2545" t="str">
        <f>IF(Table3[[#This Row],[Type Received]]=2,"CC",(IF(Table3[[#This Row],[Type Received]]=3,"BILL","ACH")))</f>
        <v>BILL</v>
      </c>
    </row>
    <row r="2546" spans="1:11" x14ac:dyDescent="0.25">
      <c r="A2546">
        <v>225283</v>
      </c>
      <c r="B2546" s="3">
        <v>46167</v>
      </c>
      <c r="C2546">
        <v>1</v>
      </c>
      <c r="D2546">
        <v>42.17</v>
      </c>
      <c r="G2546" t="s">
        <v>85</v>
      </c>
      <c r="H2546">
        <v>818364013</v>
      </c>
      <c r="I2546" t="s">
        <v>29</v>
      </c>
      <c r="J2546" t="s">
        <v>29</v>
      </c>
      <c r="K2546" t="str">
        <f>IF(Table3[[#This Row],[Type Received]]=2,"CC",(IF(Table3[[#This Row],[Type Received]]=3,"BILL","ACH")))</f>
        <v>ACH</v>
      </c>
    </row>
    <row r="2547" spans="1:11" x14ac:dyDescent="0.25">
      <c r="A2547">
        <v>225319</v>
      </c>
      <c r="B2547" s="3">
        <v>46167</v>
      </c>
      <c r="C2547">
        <v>1</v>
      </c>
      <c r="D2547">
        <v>24.79</v>
      </c>
      <c r="G2547" t="s">
        <v>85</v>
      </c>
      <c r="H2547">
        <v>818368835</v>
      </c>
      <c r="I2547" t="s">
        <v>29</v>
      </c>
      <c r="J2547" t="s">
        <v>29</v>
      </c>
      <c r="K2547" t="str">
        <f>IF(Table3[[#This Row],[Type Received]]=2,"CC",(IF(Table3[[#This Row],[Type Received]]=3,"BILL","ACH")))</f>
        <v>ACH</v>
      </c>
    </row>
    <row r="2548" spans="1:11" x14ac:dyDescent="0.25">
      <c r="A2548">
        <v>225372</v>
      </c>
      <c r="B2548" s="3">
        <v>46169</v>
      </c>
      <c r="C2548">
        <v>2</v>
      </c>
      <c r="D2548">
        <v>18.96</v>
      </c>
      <c r="F2548" t="s">
        <v>253</v>
      </c>
      <c r="G2548" t="s">
        <v>28</v>
      </c>
      <c r="H2548">
        <v>840859620</v>
      </c>
      <c r="I2548" t="s">
        <v>29</v>
      </c>
      <c r="K2548" t="str">
        <f>IF(Table3[[#This Row],[Type Received]]=2,"CC",(IF(Table3[[#This Row],[Type Received]]=3,"BILL","ACH")))</f>
        <v>CC</v>
      </c>
    </row>
    <row r="2549" spans="1:11" x14ac:dyDescent="0.25">
      <c r="A2549">
        <v>225392</v>
      </c>
      <c r="B2549" s="3">
        <v>46158</v>
      </c>
      <c r="C2549">
        <v>1</v>
      </c>
      <c r="D2549">
        <v>43.93</v>
      </c>
      <c r="G2549" t="s">
        <v>106</v>
      </c>
      <c r="H2549">
        <v>710059449</v>
      </c>
      <c r="I2549" t="s">
        <v>29</v>
      </c>
      <c r="J2549" t="s">
        <v>29</v>
      </c>
      <c r="K2549" t="str">
        <f>IF(Table3[[#This Row],[Type Received]]=2,"CC",(IF(Table3[[#This Row],[Type Received]]=3,"BILL","ACH")))</f>
        <v>ACH</v>
      </c>
    </row>
    <row r="2550" spans="1:11" x14ac:dyDescent="0.25">
      <c r="A2550">
        <v>225400</v>
      </c>
      <c r="B2550" s="3">
        <v>46163</v>
      </c>
      <c r="C2550">
        <v>3</v>
      </c>
      <c r="D2550">
        <v>124</v>
      </c>
      <c r="E2550">
        <v>1579</v>
      </c>
      <c r="K2550" t="str">
        <f>IF(Table3[[#This Row],[Type Received]]=2,"CC",(IF(Table3[[#This Row],[Type Received]]=3,"BILL","ACH")))</f>
        <v>BILL</v>
      </c>
    </row>
    <row r="2551" spans="1:11" x14ac:dyDescent="0.25">
      <c r="A2551">
        <v>225560</v>
      </c>
      <c r="B2551" s="3">
        <v>46143</v>
      </c>
      <c r="C2551">
        <v>1</v>
      </c>
      <c r="D2551">
        <v>85.95</v>
      </c>
      <c r="G2551" t="s">
        <v>84</v>
      </c>
      <c r="H2551">
        <v>522364350</v>
      </c>
      <c r="I2551" t="s">
        <v>29</v>
      </c>
      <c r="K2551" t="str">
        <f>IF(Table3[[#This Row],[Type Received]]=2,"CC",(IF(Table3[[#This Row],[Type Received]]=3,"BILL","ACH")))</f>
        <v>ACH</v>
      </c>
    </row>
    <row r="2552" spans="1:11" x14ac:dyDescent="0.25">
      <c r="A2552">
        <v>225638</v>
      </c>
      <c r="B2552" s="3">
        <v>46169</v>
      </c>
      <c r="C2552">
        <v>1</v>
      </c>
      <c r="D2552">
        <v>20.28</v>
      </c>
      <c r="G2552" t="s">
        <v>117</v>
      </c>
      <c r="H2552">
        <v>840854777</v>
      </c>
      <c r="I2552" t="s">
        <v>29</v>
      </c>
      <c r="J2552" t="s">
        <v>29</v>
      </c>
      <c r="K2552" t="str">
        <f>IF(Table3[[#This Row],[Type Received]]=2,"CC",(IF(Table3[[#This Row],[Type Received]]=3,"BILL","ACH")))</f>
        <v>ACH</v>
      </c>
    </row>
    <row r="2553" spans="1:11" x14ac:dyDescent="0.25">
      <c r="A2553">
        <v>225642</v>
      </c>
      <c r="B2553" s="3">
        <v>46143</v>
      </c>
      <c r="C2553">
        <v>1</v>
      </c>
      <c r="D2553">
        <v>18.850000000000001</v>
      </c>
      <c r="G2553" t="s">
        <v>84</v>
      </c>
      <c r="H2553">
        <v>522352671</v>
      </c>
      <c r="I2553" t="s">
        <v>29</v>
      </c>
      <c r="J2553" t="s">
        <v>29</v>
      </c>
      <c r="K2553" t="str">
        <f>IF(Table3[[#This Row],[Type Received]]=2,"CC",(IF(Table3[[#This Row],[Type Received]]=3,"BILL","ACH")))</f>
        <v>ACH</v>
      </c>
    </row>
    <row r="2554" spans="1:11" x14ac:dyDescent="0.25">
      <c r="A2554">
        <v>225648</v>
      </c>
      <c r="B2554" s="3">
        <v>46158</v>
      </c>
      <c r="C2554">
        <v>1</v>
      </c>
      <c r="D2554">
        <v>56.03</v>
      </c>
      <c r="G2554" t="s">
        <v>106</v>
      </c>
      <c r="H2554">
        <v>710072288</v>
      </c>
      <c r="I2554" t="s">
        <v>29</v>
      </c>
      <c r="J2554" t="s">
        <v>29</v>
      </c>
      <c r="K2554" t="str">
        <f>IF(Table3[[#This Row],[Type Received]]=2,"CC",(IF(Table3[[#This Row],[Type Received]]=3,"BILL","ACH")))</f>
        <v>ACH</v>
      </c>
    </row>
    <row r="2555" spans="1:11" x14ac:dyDescent="0.25">
      <c r="A2555">
        <v>225720</v>
      </c>
      <c r="B2555" s="3">
        <v>46155</v>
      </c>
      <c r="C2555">
        <v>2</v>
      </c>
      <c r="D2555">
        <v>50.53</v>
      </c>
      <c r="F2555" t="s">
        <v>254</v>
      </c>
      <c r="G2555" t="s">
        <v>28</v>
      </c>
      <c r="H2555">
        <v>669484892</v>
      </c>
      <c r="I2555" t="s">
        <v>29</v>
      </c>
      <c r="J2555" t="s">
        <v>29</v>
      </c>
      <c r="K2555" t="str">
        <f>IF(Table3[[#This Row],[Type Received]]=2,"CC",(IF(Table3[[#This Row],[Type Received]]=3,"BILL","ACH")))</f>
        <v>CC</v>
      </c>
    </row>
    <row r="2556" spans="1:11" x14ac:dyDescent="0.25">
      <c r="A2556">
        <v>225733</v>
      </c>
      <c r="B2556" s="3">
        <v>46155</v>
      </c>
      <c r="C2556">
        <v>2</v>
      </c>
      <c r="D2556">
        <v>94.09</v>
      </c>
      <c r="F2556">
        <v>191998</v>
      </c>
      <c r="G2556" t="s">
        <v>28</v>
      </c>
      <c r="H2556">
        <v>669506204</v>
      </c>
      <c r="I2556" t="s">
        <v>29</v>
      </c>
      <c r="J2556" t="s">
        <v>29</v>
      </c>
      <c r="K2556" t="str">
        <f>IF(Table3[[#This Row],[Type Received]]=2,"CC",(IF(Table3[[#This Row],[Type Received]]=3,"BILL","ACH")))</f>
        <v>CC</v>
      </c>
    </row>
    <row r="2557" spans="1:11" x14ac:dyDescent="0.25">
      <c r="A2557">
        <v>225734</v>
      </c>
      <c r="B2557" s="3">
        <v>46171</v>
      </c>
      <c r="C2557">
        <v>3</v>
      </c>
      <c r="D2557">
        <v>50.87</v>
      </c>
      <c r="E2557">
        <v>1257</v>
      </c>
      <c r="K2557" t="str">
        <f>IF(Table3[[#This Row],[Type Received]]=2,"CC",(IF(Table3[[#This Row],[Type Received]]=3,"BILL","ACH")))</f>
        <v>BILL</v>
      </c>
    </row>
    <row r="2558" spans="1:11" x14ac:dyDescent="0.25">
      <c r="A2558">
        <v>225734</v>
      </c>
      <c r="B2558" s="3">
        <v>46146</v>
      </c>
      <c r="C2558">
        <v>3</v>
      </c>
      <c r="D2558">
        <v>50.87</v>
      </c>
      <c r="E2558">
        <v>1248</v>
      </c>
      <c r="K2558" t="str">
        <f>IF(Table3[[#This Row],[Type Received]]=2,"CC",(IF(Table3[[#This Row],[Type Received]]=3,"BILL","ACH")))</f>
        <v>BILL</v>
      </c>
    </row>
    <row r="2559" spans="1:11" x14ac:dyDescent="0.25">
      <c r="A2559">
        <v>225759</v>
      </c>
      <c r="B2559" s="3">
        <v>46155</v>
      </c>
      <c r="C2559">
        <v>2</v>
      </c>
      <c r="D2559">
        <v>115.54</v>
      </c>
      <c r="F2559">
        <v>625</v>
      </c>
      <c r="G2559" t="s">
        <v>28</v>
      </c>
      <c r="H2559">
        <v>669508690</v>
      </c>
      <c r="I2559" t="s">
        <v>29</v>
      </c>
      <c r="J2559" t="s">
        <v>29</v>
      </c>
      <c r="K2559" t="str">
        <f>IF(Table3[[#This Row],[Type Received]]=2,"CC",(IF(Table3[[#This Row],[Type Received]]=3,"BILL","ACH")))</f>
        <v>CC</v>
      </c>
    </row>
    <row r="2560" spans="1:11" x14ac:dyDescent="0.25">
      <c r="A2560">
        <v>225878</v>
      </c>
      <c r="B2560" s="3">
        <v>46158</v>
      </c>
      <c r="C2560">
        <v>1</v>
      </c>
      <c r="D2560">
        <v>18.68</v>
      </c>
      <c r="G2560" t="s">
        <v>106</v>
      </c>
      <c r="H2560">
        <v>710070318</v>
      </c>
      <c r="I2560" t="s">
        <v>29</v>
      </c>
      <c r="J2560" t="s">
        <v>29</v>
      </c>
      <c r="K2560" t="str">
        <f>IF(Table3[[#This Row],[Type Received]]=2,"CC",(IF(Table3[[#This Row],[Type Received]]=3,"BILL","ACH")))</f>
        <v>ACH</v>
      </c>
    </row>
    <row r="2561" spans="1:11" x14ac:dyDescent="0.25">
      <c r="A2561">
        <v>225881</v>
      </c>
      <c r="B2561" s="3">
        <v>46144</v>
      </c>
      <c r="C2561">
        <v>1</v>
      </c>
      <c r="D2561">
        <v>127.42</v>
      </c>
      <c r="G2561" t="s">
        <v>89</v>
      </c>
      <c r="H2561">
        <v>535388375</v>
      </c>
      <c r="I2561" t="s">
        <v>29</v>
      </c>
      <c r="K2561" t="str">
        <f>IF(Table3[[#This Row],[Type Received]]=2,"CC",(IF(Table3[[#This Row],[Type Received]]=3,"BILL","ACH")))</f>
        <v>ACH</v>
      </c>
    </row>
    <row r="2562" spans="1:11" x14ac:dyDescent="0.25">
      <c r="A2562">
        <v>225952</v>
      </c>
      <c r="B2562" s="3">
        <v>46169</v>
      </c>
      <c r="C2562">
        <v>3</v>
      </c>
      <c r="D2562">
        <v>47.65</v>
      </c>
      <c r="E2562">
        <v>1057</v>
      </c>
      <c r="K2562" t="str">
        <f>IF(Table3[[#This Row],[Type Received]]=2,"CC",(IF(Table3[[#This Row],[Type Received]]=3,"BILL","ACH")))</f>
        <v>BILL</v>
      </c>
    </row>
    <row r="2563" spans="1:11" x14ac:dyDescent="0.25">
      <c r="A2563">
        <v>225954</v>
      </c>
      <c r="B2563" s="3">
        <v>46158</v>
      </c>
      <c r="C2563">
        <v>1</v>
      </c>
      <c r="D2563">
        <v>19.510000000000002</v>
      </c>
      <c r="G2563" t="s">
        <v>106</v>
      </c>
      <c r="H2563">
        <v>710076143</v>
      </c>
      <c r="I2563" t="s">
        <v>29</v>
      </c>
      <c r="J2563" t="s">
        <v>29</v>
      </c>
      <c r="K2563" t="str">
        <f>IF(Table3[[#This Row],[Type Received]]=2,"CC",(IF(Table3[[#This Row],[Type Received]]=3,"BILL","ACH")))</f>
        <v>ACH</v>
      </c>
    </row>
    <row r="2564" spans="1:11" x14ac:dyDescent="0.25">
      <c r="A2564">
        <v>225967</v>
      </c>
      <c r="B2564" s="3">
        <v>46158</v>
      </c>
      <c r="C2564">
        <v>1</v>
      </c>
      <c r="D2564">
        <v>59.11</v>
      </c>
      <c r="G2564" t="s">
        <v>106</v>
      </c>
      <c r="H2564">
        <v>710062426</v>
      </c>
      <c r="I2564" t="s">
        <v>29</v>
      </c>
      <c r="J2564" t="s">
        <v>29</v>
      </c>
      <c r="K2564" t="str">
        <f>IF(Table3[[#This Row],[Type Received]]=2,"CC",(IF(Table3[[#This Row],[Type Received]]=3,"BILL","ACH")))</f>
        <v>ACH</v>
      </c>
    </row>
    <row r="2565" spans="1:11" x14ac:dyDescent="0.25">
      <c r="A2565">
        <v>226032</v>
      </c>
      <c r="B2565" s="3">
        <v>46155</v>
      </c>
      <c r="C2565">
        <v>2</v>
      </c>
      <c r="D2565">
        <v>114.11</v>
      </c>
      <c r="F2565">
        <v>104288</v>
      </c>
      <c r="G2565" t="s">
        <v>28</v>
      </c>
      <c r="H2565">
        <v>669458383</v>
      </c>
      <c r="I2565" t="s">
        <v>29</v>
      </c>
      <c r="J2565" t="s">
        <v>29</v>
      </c>
      <c r="K2565" t="str">
        <f>IF(Table3[[#This Row],[Type Received]]=2,"CC",(IF(Table3[[#This Row],[Type Received]]=3,"BILL","ACH")))</f>
        <v>CC</v>
      </c>
    </row>
    <row r="2566" spans="1:11" x14ac:dyDescent="0.25">
      <c r="A2566">
        <v>226040</v>
      </c>
      <c r="B2566" s="3">
        <v>46147</v>
      </c>
      <c r="C2566">
        <v>3</v>
      </c>
      <c r="D2566">
        <v>88.82</v>
      </c>
      <c r="E2566">
        <v>75327360</v>
      </c>
      <c r="J2566" t="s">
        <v>29</v>
      </c>
      <c r="K2566" t="str">
        <f>IF(Table3[[#This Row],[Type Received]]=2,"CC",(IF(Table3[[#This Row],[Type Received]]=3,"BILL","ACH")))</f>
        <v>BILL</v>
      </c>
    </row>
    <row r="2567" spans="1:11" x14ac:dyDescent="0.25">
      <c r="A2567">
        <v>226133</v>
      </c>
      <c r="B2567" s="3">
        <v>46143</v>
      </c>
      <c r="C2567">
        <v>1</v>
      </c>
      <c r="D2567">
        <v>36.229999999999997</v>
      </c>
      <c r="G2567" t="s">
        <v>84</v>
      </c>
      <c r="H2567">
        <v>522368218</v>
      </c>
      <c r="I2567" t="s">
        <v>29</v>
      </c>
      <c r="J2567" t="s">
        <v>29</v>
      </c>
      <c r="K2567" t="str">
        <f>IF(Table3[[#This Row],[Type Received]]=2,"CC",(IF(Table3[[#This Row],[Type Received]]=3,"BILL","ACH")))</f>
        <v>ACH</v>
      </c>
    </row>
    <row r="2568" spans="1:11" x14ac:dyDescent="0.25">
      <c r="A2568">
        <v>226142</v>
      </c>
      <c r="B2568" s="3">
        <v>46145</v>
      </c>
      <c r="C2568">
        <v>1</v>
      </c>
      <c r="D2568">
        <v>55.14</v>
      </c>
      <c r="G2568" t="s">
        <v>113</v>
      </c>
      <c r="H2568">
        <v>546445278</v>
      </c>
      <c r="I2568" t="s">
        <v>29</v>
      </c>
      <c r="K2568" t="str">
        <f>IF(Table3[[#This Row],[Type Received]]=2,"CC",(IF(Table3[[#This Row],[Type Received]]=3,"BILL","ACH")))</f>
        <v>ACH</v>
      </c>
    </row>
    <row r="2569" spans="1:11" x14ac:dyDescent="0.25">
      <c r="A2569">
        <v>226153</v>
      </c>
      <c r="B2569" s="3">
        <v>46153</v>
      </c>
      <c r="C2569">
        <v>3</v>
      </c>
      <c r="D2569">
        <v>49.9</v>
      </c>
      <c r="E2569">
        <v>5586</v>
      </c>
      <c r="J2569" t="s">
        <v>29</v>
      </c>
      <c r="K2569" t="str">
        <f>IF(Table3[[#This Row],[Type Received]]=2,"CC",(IF(Table3[[#This Row],[Type Received]]=3,"BILL","ACH")))</f>
        <v>BILL</v>
      </c>
    </row>
    <row r="2570" spans="1:11" x14ac:dyDescent="0.25">
      <c r="A2570">
        <v>226164</v>
      </c>
      <c r="B2570" s="3">
        <v>46158</v>
      </c>
      <c r="C2570">
        <v>1</v>
      </c>
      <c r="D2570">
        <v>76.27</v>
      </c>
      <c r="G2570" t="s">
        <v>106</v>
      </c>
      <c r="H2570">
        <v>710067388</v>
      </c>
      <c r="I2570" t="s">
        <v>29</v>
      </c>
      <c r="K2570" t="str">
        <f>IF(Table3[[#This Row],[Type Received]]=2,"CC",(IF(Table3[[#This Row],[Type Received]]=3,"BILL","ACH")))</f>
        <v>ACH</v>
      </c>
    </row>
    <row r="2571" spans="1:11" x14ac:dyDescent="0.25">
      <c r="A2571">
        <v>226226</v>
      </c>
      <c r="B2571" s="3">
        <v>46155</v>
      </c>
      <c r="C2571">
        <v>2</v>
      </c>
      <c r="D2571">
        <v>26.44</v>
      </c>
      <c r="F2571" t="s">
        <v>255</v>
      </c>
      <c r="G2571" t="s">
        <v>28</v>
      </c>
      <c r="H2571">
        <v>669502397</v>
      </c>
      <c r="I2571" t="s">
        <v>29</v>
      </c>
      <c r="J2571" t="s">
        <v>29</v>
      </c>
      <c r="K2571" t="str">
        <f>IF(Table3[[#This Row],[Type Received]]=2,"CC",(IF(Table3[[#This Row],[Type Received]]=3,"BILL","ACH")))</f>
        <v>CC</v>
      </c>
    </row>
    <row r="2572" spans="1:11" x14ac:dyDescent="0.25">
      <c r="A2572">
        <v>226252</v>
      </c>
      <c r="B2572" s="3">
        <v>46145</v>
      </c>
      <c r="C2572">
        <v>1</v>
      </c>
      <c r="D2572">
        <v>34.58</v>
      </c>
      <c r="G2572" t="s">
        <v>113</v>
      </c>
      <c r="H2572">
        <v>546445283</v>
      </c>
      <c r="I2572" t="s">
        <v>29</v>
      </c>
      <c r="J2572" t="s">
        <v>29</v>
      </c>
      <c r="K2572" t="str">
        <f>IF(Table3[[#This Row],[Type Received]]=2,"CC",(IF(Table3[[#This Row],[Type Received]]=3,"BILL","ACH")))</f>
        <v>ACH</v>
      </c>
    </row>
    <row r="2573" spans="1:11" x14ac:dyDescent="0.25">
      <c r="A2573">
        <v>226257</v>
      </c>
      <c r="B2573" s="3">
        <v>46169</v>
      </c>
      <c r="C2573">
        <v>1</v>
      </c>
      <c r="D2573">
        <v>31.17</v>
      </c>
      <c r="G2573" t="s">
        <v>117</v>
      </c>
      <c r="H2573">
        <v>840846089</v>
      </c>
      <c r="I2573" t="s">
        <v>29</v>
      </c>
      <c r="J2573" t="s">
        <v>29</v>
      </c>
      <c r="K2573" t="str">
        <f>IF(Table3[[#This Row],[Type Received]]=2,"CC",(IF(Table3[[#This Row],[Type Received]]=3,"BILL","ACH")))</f>
        <v>ACH</v>
      </c>
    </row>
    <row r="2574" spans="1:11" x14ac:dyDescent="0.25">
      <c r="A2574">
        <v>226259</v>
      </c>
      <c r="B2574" s="3">
        <v>46169</v>
      </c>
      <c r="C2574">
        <v>1</v>
      </c>
      <c r="D2574">
        <v>62.08</v>
      </c>
      <c r="G2574" t="s">
        <v>117</v>
      </c>
      <c r="H2574">
        <v>840853798</v>
      </c>
      <c r="I2574" t="s">
        <v>29</v>
      </c>
      <c r="J2574" t="s">
        <v>29</v>
      </c>
      <c r="K2574" t="str">
        <f>IF(Table3[[#This Row],[Type Received]]=2,"CC",(IF(Table3[[#This Row],[Type Received]]=3,"BILL","ACH")))</f>
        <v>ACH</v>
      </c>
    </row>
    <row r="2575" spans="1:11" x14ac:dyDescent="0.25">
      <c r="A2575">
        <v>226276</v>
      </c>
      <c r="B2575" s="3">
        <v>46143</v>
      </c>
      <c r="C2575">
        <v>1</v>
      </c>
      <c r="D2575">
        <v>70.55</v>
      </c>
      <c r="G2575" t="s">
        <v>84</v>
      </c>
      <c r="H2575">
        <v>522342071</v>
      </c>
      <c r="I2575" t="s">
        <v>29</v>
      </c>
      <c r="J2575" t="s">
        <v>29</v>
      </c>
      <c r="K2575" t="str">
        <f>IF(Table3[[#This Row],[Type Received]]=2,"CC",(IF(Table3[[#This Row],[Type Received]]=3,"BILL","ACH")))</f>
        <v>ACH</v>
      </c>
    </row>
    <row r="2576" spans="1:11" x14ac:dyDescent="0.25">
      <c r="A2576">
        <v>226284</v>
      </c>
      <c r="B2576" s="3">
        <v>46155</v>
      </c>
      <c r="C2576">
        <v>2</v>
      </c>
      <c r="D2576">
        <v>63.95</v>
      </c>
      <c r="F2576">
        <v>347013</v>
      </c>
      <c r="G2576" t="s">
        <v>28</v>
      </c>
      <c r="H2576">
        <v>669498530</v>
      </c>
      <c r="I2576" t="s">
        <v>29</v>
      </c>
      <c r="J2576" t="s">
        <v>29</v>
      </c>
      <c r="K2576" t="str">
        <f>IF(Table3[[#This Row],[Type Received]]=2,"CC",(IF(Table3[[#This Row],[Type Received]]=3,"BILL","ACH")))</f>
        <v>CC</v>
      </c>
    </row>
    <row r="2577" spans="1:11" x14ac:dyDescent="0.25">
      <c r="A2577">
        <v>226379</v>
      </c>
      <c r="B2577" s="3">
        <v>46157</v>
      </c>
      <c r="C2577">
        <v>1</v>
      </c>
      <c r="D2577">
        <v>27.32</v>
      </c>
      <c r="G2577" t="s">
        <v>87</v>
      </c>
      <c r="H2577">
        <v>696764719</v>
      </c>
      <c r="I2577" t="s">
        <v>29</v>
      </c>
      <c r="J2577" t="s">
        <v>29</v>
      </c>
      <c r="K2577" t="str">
        <f>IF(Table3[[#This Row],[Type Received]]=2,"CC",(IF(Table3[[#This Row],[Type Received]]=3,"BILL","ACH")))</f>
        <v>ACH</v>
      </c>
    </row>
    <row r="2578" spans="1:11" x14ac:dyDescent="0.25">
      <c r="A2578">
        <v>226419</v>
      </c>
      <c r="B2578" s="3">
        <v>46158</v>
      </c>
      <c r="C2578">
        <v>2</v>
      </c>
      <c r="D2578">
        <v>22.59</v>
      </c>
      <c r="F2578">
        <v>684393</v>
      </c>
      <c r="G2578" t="s">
        <v>28</v>
      </c>
      <c r="H2578">
        <v>710033638</v>
      </c>
      <c r="I2578" t="s">
        <v>29</v>
      </c>
      <c r="J2578" t="s">
        <v>29</v>
      </c>
      <c r="K2578" t="str">
        <f>IF(Table3[[#This Row],[Type Received]]=2,"CC",(IF(Table3[[#This Row],[Type Received]]=3,"BILL","ACH")))</f>
        <v>CC</v>
      </c>
    </row>
    <row r="2579" spans="1:11" x14ac:dyDescent="0.25">
      <c r="A2579">
        <v>226422</v>
      </c>
      <c r="B2579" s="3">
        <v>46157</v>
      </c>
      <c r="C2579">
        <v>1</v>
      </c>
      <c r="D2579">
        <v>21.71</v>
      </c>
      <c r="G2579" t="s">
        <v>87</v>
      </c>
      <c r="H2579">
        <v>696757001</v>
      </c>
      <c r="I2579" t="s">
        <v>29</v>
      </c>
      <c r="J2579" t="s">
        <v>29</v>
      </c>
      <c r="K2579" t="str">
        <f>IF(Table3[[#This Row],[Type Received]]=2,"CC",(IF(Table3[[#This Row],[Type Received]]=3,"BILL","ACH")))</f>
        <v>ACH</v>
      </c>
    </row>
    <row r="2580" spans="1:11" x14ac:dyDescent="0.25">
      <c r="A2580">
        <v>226429</v>
      </c>
      <c r="B2580" s="3">
        <v>46171</v>
      </c>
      <c r="C2580">
        <v>3</v>
      </c>
      <c r="D2580">
        <v>49.11</v>
      </c>
      <c r="E2580">
        <v>158046798</v>
      </c>
      <c r="G2580" s="4"/>
      <c r="J2580" t="s">
        <v>29</v>
      </c>
      <c r="K2580" t="str">
        <f>IF(Table3[[#This Row],[Type Received]]=2,"CC",(IF(Table3[[#This Row],[Type Received]]=3,"BILL","ACH")))</f>
        <v>BILL</v>
      </c>
    </row>
    <row r="2581" spans="1:11" x14ac:dyDescent="0.25">
      <c r="A2581">
        <v>226429</v>
      </c>
      <c r="B2581" s="3">
        <v>46146</v>
      </c>
      <c r="C2581">
        <v>3</v>
      </c>
      <c r="D2581">
        <v>49.11</v>
      </c>
      <c r="E2581">
        <v>157775304</v>
      </c>
      <c r="J2581" t="s">
        <v>29</v>
      </c>
      <c r="K2581" t="str">
        <f>IF(Table3[[#This Row],[Type Received]]=2,"CC",(IF(Table3[[#This Row],[Type Received]]=3,"BILL","ACH")))</f>
        <v>BILL</v>
      </c>
    </row>
    <row r="2582" spans="1:11" x14ac:dyDescent="0.25">
      <c r="A2582">
        <v>226477</v>
      </c>
      <c r="B2582" s="3">
        <v>46143</v>
      </c>
      <c r="C2582">
        <v>1</v>
      </c>
      <c r="D2582">
        <v>50.53</v>
      </c>
      <c r="G2582" t="s">
        <v>84</v>
      </c>
      <c r="H2582">
        <v>522352757</v>
      </c>
      <c r="I2582" t="s">
        <v>29</v>
      </c>
      <c r="K2582" t="str">
        <f>IF(Table3[[#This Row],[Type Received]]=2,"CC",(IF(Table3[[#This Row],[Type Received]]=3,"BILL","ACH")))</f>
        <v>ACH</v>
      </c>
    </row>
    <row r="2583" spans="1:11" x14ac:dyDescent="0.25">
      <c r="A2583">
        <v>226512</v>
      </c>
      <c r="B2583" s="3">
        <v>46169</v>
      </c>
      <c r="C2583">
        <v>2</v>
      </c>
      <c r="D2583">
        <v>56.81</v>
      </c>
      <c r="F2583">
        <v>73918</v>
      </c>
      <c r="G2583" s="4">
        <v>749271671</v>
      </c>
      <c r="H2583">
        <v>355974315</v>
      </c>
      <c r="J2583" t="s">
        <v>29</v>
      </c>
      <c r="K2583" t="str">
        <f>IF(Table3[[#This Row],[Type Received]]=2,"CC",(IF(Table3[[#This Row],[Type Received]]=3,"BILL","ACH")))</f>
        <v>CC</v>
      </c>
    </row>
    <row r="2584" spans="1:11" x14ac:dyDescent="0.25">
      <c r="A2584">
        <v>226514</v>
      </c>
      <c r="B2584" s="3">
        <v>46160</v>
      </c>
      <c r="C2584">
        <v>3</v>
      </c>
      <c r="D2584">
        <v>81.89</v>
      </c>
      <c r="E2584">
        <v>1491</v>
      </c>
      <c r="J2584" t="s">
        <v>29</v>
      </c>
      <c r="K2584" t="str">
        <f>IF(Table3[[#This Row],[Type Received]]=2,"CC",(IF(Table3[[#This Row],[Type Received]]=3,"BILL","ACH")))</f>
        <v>BILL</v>
      </c>
    </row>
    <row r="2585" spans="1:11" x14ac:dyDescent="0.25">
      <c r="A2585">
        <v>226538</v>
      </c>
      <c r="B2585" s="3">
        <v>46157</v>
      </c>
      <c r="C2585">
        <v>1</v>
      </c>
      <c r="D2585">
        <v>39.75</v>
      </c>
      <c r="G2585" t="s">
        <v>87</v>
      </c>
      <c r="H2585">
        <v>696772503</v>
      </c>
      <c r="I2585" t="s">
        <v>29</v>
      </c>
      <c r="J2585" t="s">
        <v>29</v>
      </c>
      <c r="K2585" t="str">
        <f>IF(Table3[[#This Row],[Type Received]]=2,"CC",(IF(Table3[[#This Row],[Type Received]]=3,"BILL","ACH")))</f>
        <v>ACH</v>
      </c>
    </row>
    <row r="2586" spans="1:11" x14ac:dyDescent="0.25">
      <c r="A2586">
        <v>226555</v>
      </c>
      <c r="B2586" s="3">
        <v>46143</v>
      </c>
      <c r="C2586">
        <v>3</v>
      </c>
      <c r="D2586">
        <v>33.82</v>
      </c>
      <c r="E2586">
        <v>1813</v>
      </c>
      <c r="K2586" t="str">
        <f>IF(Table3[[#This Row],[Type Received]]=2,"CC",(IF(Table3[[#This Row],[Type Received]]=3,"BILL","ACH")))</f>
        <v>BILL</v>
      </c>
    </row>
    <row r="2587" spans="1:11" x14ac:dyDescent="0.25">
      <c r="A2587">
        <v>226557</v>
      </c>
      <c r="B2587" s="3">
        <v>46143</v>
      </c>
      <c r="C2587">
        <v>1</v>
      </c>
      <c r="D2587">
        <v>18.850000000000001</v>
      </c>
      <c r="G2587" t="s">
        <v>84</v>
      </c>
      <c r="H2587">
        <v>522361475</v>
      </c>
      <c r="I2587" t="s">
        <v>29</v>
      </c>
      <c r="J2587" t="s">
        <v>29</v>
      </c>
      <c r="K2587" t="str">
        <f>IF(Table3[[#This Row],[Type Received]]=2,"CC",(IF(Table3[[#This Row],[Type Received]]=3,"BILL","ACH")))</f>
        <v>ACH</v>
      </c>
    </row>
    <row r="2588" spans="1:11" x14ac:dyDescent="0.25">
      <c r="A2588">
        <v>226560</v>
      </c>
      <c r="B2588" s="3">
        <v>46154</v>
      </c>
      <c r="C2588">
        <v>2</v>
      </c>
      <c r="D2588">
        <v>75.62</v>
      </c>
      <c r="F2588" t="s">
        <v>256</v>
      </c>
      <c r="G2588">
        <v>744853534</v>
      </c>
      <c r="H2588">
        <v>354345584</v>
      </c>
      <c r="J2588" t="s">
        <v>29</v>
      </c>
      <c r="K2588" t="str">
        <f>IF(Table3[[#This Row],[Type Received]]=2,"CC",(IF(Table3[[#This Row],[Type Received]]=3,"BILL","ACH")))</f>
        <v>CC</v>
      </c>
    </row>
    <row r="2589" spans="1:11" x14ac:dyDescent="0.25">
      <c r="A2589">
        <v>226569</v>
      </c>
      <c r="B2589" s="3">
        <v>46171</v>
      </c>
      <c r="C2589">
        <v>1</v>
      </c>
      <c r="D2589">
        <v>45.15</v>
      </c>
      <c r="G2589" t="s">
        <v>226</v>
      </c>
      <c r="H2589">
        <v>869625852</v>
      </c>
      <c r="I2589" t="s">
        <v>29</v>
      </c>
      <c r="K2589" t="str">
        <f>IF(Table3[[#This Row],[Type Received]]=2,"CC",(IF(Table3[[#This Row],[Type Received]]=3,"BILL","ACH")))</f>
        <v>ACH</v>
      </c>
    </row>
    <row r="2590" spans="1:11" x14ac:dyDescent="0.25">
      <c r="A2590">
        <v>226655</v>
      </c>
      <c r="B2590" s="3">
        <v>46143</v>
      </c>
      <c r="C2590">
        <v>3</v>
      </c>
      <c r="D2590">
        <v>66.709999999999994</v>
      </c>
      <c r="E2590">
        <v>5609</v>
      </c>
      <c r="J2590" t="s">
        <v>29</v>
      </c>
      <c r="K2590" t="str">
        <f>IF(Table3[[#This Row],[Type Received]]=2,"CC",(IF(Table3[[#This Row],[Type Received]]=3,"BILL","ACH")))</f>
        <v>BILL</v>
      </c>
    </row>
    <row r="2591" spans="1:11" x14ac:dyDescent="0.25">
      <c r="A2591">
        <v>226678</v>
      </c>
      <c r="B2591" s="3">
        <v>46146</v>
      </c>
      <c r="C2591">
        <v>3</v>
      </c>
      <c r="D2591">
        <v>58.87</v>
      </c>
      <c r="E2591">
        <v>22119724175</v>
      </c>
      <c r="K2591" t="str">
        <f>IF(Table3[[#This Row],[Type Received]]=2,"CC",(IF(Table3[[#This Row],[Type Received]]=3,"BILL","ACH")))</f>
        <v>BILL</v>
      </c>
    </row>
    <row r="2592" spans="1:11" x14ac:dyDescent="0.25">
      <c r="A2592">
        <v>226707</v>
      </c>
      <c r="B2592" s="3">
        <v>46162</v>
      </c>
      <c r="C2592">
        <v>2</v>
      </c>
      <c r="D2592">
        <v>72.31</v>
      </c>
      <c r="F2592">
        <v>229864</v>
      </c>
      <c r="G2592" s="4" t="s">
        <v>28</v>
      </c>
      <c r="H2592">
        <v>757828608</v>
      </c>
      <c r="I2592" t="s">
        <v>29</v>
      </c>
      <c r="K2592" t="str">
        <f>IF(Table3[[#This Row],[Type Received]]=2,"CC",(IF(Table3[[#This Row],[Type Received]]=3,"BILL","ACH")))</f>
        <v>CC</v>
      </c>
    </row>
    <row r="2593" spans="1:11" x14ac:dyDescent="0.25">
      <c r="A2593">
        <v>226780</v>
      </c>
      <c r="B2593" s="3">
        <v>46157</v>
      </c>
      <c r="C2593">
        <v>1</v>
      </c>
      <c r="D2593">
        <v>29.52</v>
      </c>
      <c r="G2593" t="s">
        <v>87</v>
      </c>
      <c r="H2593">
        <v>696775394</v>
      </c>
      <c r="I2593" t="s">
        <v>29</v>
      </c>
      <c r="J2593" t="s">
        <v>29</v>
      </c>
      <c r="K2593" t="str">
        <f>IF(Table3[[#This Row],[Type Received]]=2,"CC",(IF(Table3[[#This Row],[Type Received]]=3,"BILL","ACH")))</f>
        <v>ACH</v>
      </c>
    </row>
    <row r="2594" spans="1:11" x14ac:dyDescent="0.25">
      <c r="A2594">
        <v>226789</v>
      </c>
      <c r="B2594" s="3">
        <v>46169</v>
      </c>
      <c r="C2594">
        <v>1</v>
      </c>
      <c r="D2594">
        <v>26.8</v>
      </c>
      <c r="G2594" t="s">
        <v>117</v>
      </c>
      <c r="H2594">
        <v>840875127</v>
      </c>
      <c r="I2594" t="s">
        <v>29</v>
      </c>
      <c r="K2594" t="str">
        <f>IF(Table3[[#This Row],[Type Received]]=2,"CC",(IF(Table3[[#This Row],[Type Received]]=3,"BILL","ACH")))</f>
        <v>ACH</v>
      </c>
    </row>
    <row r="2595" spans="1:11" x14ac:dyDescent="0.25">
      <c r="A2595">
        <v>226813</v>
      </c>
      <c r="B2595" s="3">
        <v>46169</v>
      </c>
      <c r="C2595">
        <v>1</v>
      </c>
      <c r="D2595">
        <v>14.41</v>
      </c>
      <c r="G2595" t="s">
        <v>117</v>
      </c>
      <c r="H2595">
        <v>840867480</v>
      </c>
      <c r="I2595" t="s">
        <v>29</v>
      </c>
      <c r="J2595" t="s">
        <v>29</v>
      </c>
      <c r="K2595" t="str">
        <f>IF(Table3[[#This Row],[Type Received]]=2,"CC",(IF(Table3[[#This Row],[Type Received]]=3,"BILL","ACH")))</f>
        <v>ACH</v>
      </c>
    </row>
    <row r="2596" spans="1:11" x14ac:dyDescent="0.25">
      <c r="A2596">
        <v>226882</v>
      </c>
      <c r="B2596" s="3">
        <v>46162</v>
      </c>
      <c r="C2596">
        <v>2</v>
      </c>
      <c r="D2596">
        <v>91.54</v>
      </c>
      <c r="F2596">
        <v>574989</v>
      </c>
      <c r="G2596" t="s">
        <v>28</v>
      </c>
      <c r="H2596">
        <v>757276489</v>
      </c>
      <c r="I2596" t="s">
        <v>29</v>
      </c>
      <c r="J2596" t="s">
        <v>29</v>
      </c>
      <c r="K2596" t="str">
        <f>IF(Table3[[#This Row],[Type Received]]=2,"CC",(IF(Table3[[#This Row],[Type Received]]=3,"BILL","ACH")))</f>
        <v>CC</v>
      </c>
    </row>
    <row r="2597" spans="1:11" x14ac:dyDescent="0.25">
      <c r="A2597">
        <v>226944</v>
      </c>
      <c r="B2597" s="3">
        <v>46169</v>
      </c>
      <c r="C2597">
        <v>1</v>
      </c>
      <c r="D2597">
        <v>74.95</v>
      </c>
      <c r="G2597" t="s">
        <v>117</v>
      </c>
      <c r="H2597">
        <v>840847971</v>
      </c>
      <c r="I2597" t="s">
        <v>29</v>
      </c>
      <c r="J2597" t="s">
        <v>29</v>
      </c>
      <c r="K2597" t="str">
        <f>IF(Table3[[#This Row],[Type Received]]=2,"CC",(IF(Table3[[#This Row],[Type Received]]=3,"BILL","ACH")))</f>
        <v>ACH</v>
      </c>
    </row>
    <row r="2598" spans="1:11" x14ac:dyDescent="0.25">
      <c r="A2598">
        <v>226991</v>
      </c>
      <c r="B2598" s="3">
        <v>46143</v>
      </c>
      <c r="C2598">
        <v>2</v>
      </c>
      <c r="D2598">
        <v>102.52</v>
      </c>
      <c r="F2598">
        <v>881575</v>
      </c>
      <c r="G2598">
        <v>741374152</v>
      </c>
      <c r="H2598">
        <v>353136572</v>
      </c>
      <c r="K2598" t="str">
        <f>IF(Table3[[#This Row],[Type Received]]=2,"CC",(IF(Table3[[#This Row],[Type Received]]=3,"BILL","ACH")))</f>
        <v>CC</v>
      </c>
    </row>
    <row r="2599" spans="1:11" x14ac:dyDescent="0.25">
      <c r="A2599">
        <v>227019</v>
      </c>
      <c r="B2599" s="3">
        <v>46157</v>
      </c>
      <c r="C2599">
        <v>1</v>
      </c>
      <c r="D2599">
        <v>44.59</v>
      </c>
      <c r="G2599" s="4" t="s">
        <v>87</v>
      </c>
      <c r="H2599">
        <v>696777381</v>
      </c>
      <c r="I2599" t="s">
        <v>29</v>
      </c>
      <c r="J2599" t="s">
        <v>29</v>
      </c>
      <c r="K2599" t="str">
        <f>IF(Table3[[#This Row],[Type Received]]=2,"CC",(IF(Table3[[#This Row],[Type Received]]=3,"BILL","ACH")))</f>
        <v>ACH</v>
      </c>
    </row>
    <row r="2600" spans="1:11" x14ac:dyDescent="0.25">
      <c r="A2600">
        <v>227029</v>
      </c>
      <c r="B2600" s="3">
        <v>46147</v>
      </c>
      <c r="C2600">
        <v>2</v>
      </c>
      <c r="D2600">
        <v>92.86</v>
      </c>
      <c r="F2600">
        <v>191261</v>
      </c>
      <c r="G2600">
        <v>742576419</v>
      </c>
      <c r="H2600">
        <v>353594085</v>
      </c>
      <c r="J2600" t="s">
        <v>29</v>
      </c>
      <c r="K2600" t="str">
        <f>IF(Table3[[#This Row],[Type Received]]=2,"CC",(IF(Table3[[#This Row],[Type Received]]=3,"BILL","ACH")))</f>
        <v>CC</v>
      </c>
    </row>
    <row r="2601" spans="1:11" x14ac:dyDescent="0.25">
      <c r="A2601">
        <v>227034</v>
      </c>
      <c r="B2601" s="3">
        <v>46144</v>
      </c>
      <c r="C2601">
        <v>1</v>
      </c>
      <c r="D2601">
        <v>33.950000000000003</v>
      </c>
      <c r="G2601" t="s">
        <v>89</v>
      </c>
      <c r="H2601">
        <v>535392970</v>
      </c>
      <c r="I2601" t="s">
        <v>29</v>
      </c>
      <c r="J2601" t="s">
        <v>29</v>
      </c>
      <c r="K2601" t="str">
        <f>IF(Table3[[#This Row],[Type Received]]=2,"CC",(IF(Table3[[#This Row],[Type Received]]=3,"BILL","ACH")))</f>
        <v>ACH</v>
      </c>
    </row>
    <row r="2602" spans="1:11" x14ac:dyDescent="0.25">
      <c r="A2602">
        <v>227105</v>
      </c>
      <c r="B2602" s="3">
        <v>46157</v>
      </c>
      <c r="C2602">
        <v>1</v>
      </c>
      <c r="D2602">
        <v>23.83</v>
      </c>
      <c r="G2602" t="s">
        <v>87</v>
      </c>
      <c r="H2602">
        <v>696759877</v>
      </c>
      <c r="I2602" t="s">
        <v>29</v>
      </c>
      <c r="J2602" t="s">
        <v>29</v>
      </c>
      <c r="K2602" t="str">
        <f>IF(Table3[[#This Row],[Type Received]]=2,"CC",(IF(Table3[[#This Row],[Type Received]]=3,"BILL","ACH")))</f>
        <v>ACH</v>
      </c>
    </row>
    <row r="2603" spans="1:11" x14ac:dyDescent="0.25">
      <c r="A2603">
        <v>227221</v>
      </c>
      <c r="B2603" s="3">
        <v>46155</v>
      </c>
      <c r="C2603">
        <v>2</v>
      </c>
      <c r="D2603">
        <v>36.450000000000003</v>
      </c>
      <c r="F2603">
        <v>109913</v>
      </c>
      <c r="G2603" t="s">
        <v>28</v>
      </c>
      <c r="H2603">
        <v>669488787</v>
      </c>
      <c r="I2603" t="s">
        <v>29</v>
      </c>
      <c r="J2603" t="s">
        <v>29</v>
      </c>
      <c r="K2603" t="str">
        <f>IF(Table3[[#This Row],[Type Received]]=2,"CC",(IF(Table3[[#This Row],[Type Received]]=3,"BILL","ACH")))</f>
        <v>CC</v>
      </c>
    </row>
    <row r="2604" spans="1:11" x14ac:dyDescent="0.25">
      <c r="A2604">
        <v>227339</v>
      </c>
      <c r="B2604" s="3">
        <v>46169</v>
      </c>
      <c r="C2604">
        <v>3</v>
      </c>
      <c r="D2604">
        <v>43.53</v>
      </c>
      <c r="E2604">
        <v>9001</v>
      </c>
      <c r="G2604" s="4"/>
      <c r="J2604" t="s">
        <v>29</v>
      </c>
      <c r="K2604" t="str">
        <f>IF(Table3[[#This Row],[Type Received]]=2,"CC",(IF(Table3[[#This Row],[Type Received]]=3,"BILL","ACH")))</f>
        <v>BILL</v>
      </c>
    </row>
    <row r="2605" spans="1:11" x14ac:dyDescent="0.25">
      <c r="A2605">
        <v>227339</v>
      </c>
      <c r="B2605" s="3">
        <v>46143</v>
      </c>
      <c r="C2605">
        <v>3</v>
      </c>
      <c r="D2605">
        <v>43.53</v>
      </c>
      <c r="E2605">
        <v>9000</v>
      </c>
      <c r="J2605" t="s">
        <v>29</v>
      </c>
      <c r="K2605" t="str">
        <f>IF(Table3[[#This Row],[Type Received]]=2,"CC",(IF(Table3[[#This Row],[Type Received]]=3,"BILL","ACH")))</f>
        <v>BILL</v>
      </c>
    </row>
    <row r="2606" spans="1:11" x14ac:dyDescent="0.25">
      <c r="A2606">
        <v>227363</v>
      </c>
      <c r="B2606" s="3">
        <v>46144</v>
      </c>
      <c r="C2606">
        <v>1</v>
      </c>
      <c r="D2606">
        <v>36.340000000000003</v>
      </c>
      <c r="G2606" t="s">
        <v>89</v>
      </c>
      <c r="H2606">
        <v>535413268</v>
      </c>
      <c r="I2606" t="s">
        <v>29</v>
      </c>
      <c r="J2606" t="s">
        <v>29</v>
      </c>
      <c r="K2606" t="str">
        <f>IF(Table3[[#This Row],[Type Received]]=2,"CC",(IF(Table3[[#This Row],[Type Received]]=3,"BILL","ACH")))</f>
        <v>ACH</v>
      </c>
    </row>
    <row r="2607" spans="1:11" x14ac:dyDescent="0.25">
      <c r="A2607">
        <v>227420</v>
      </c>
      <c r="B2607" s="3">
        <v>46144</v>
      </c>
      <c r="C2607">
        <v>1</v>
      </c>
      <c r="D2607">
        <v>72.23</v>
      </c>
      <c r="G2607" t="s">
        <v>89</v>
      </c>
      <c r="H2607">
        <v>535403532</v>
      </c>
      <c r="I2607" t="s">
        <v>29</v>
      </c>
      <c r="J2607" t="s">
        <v>29</v>
      </c>
      <c r="K2607" t="str">
        <f>IF(Table3[[#This Row],[Type Received]]=2,"CC",(IF(Table3[[#This Row],[Type Received]]=3,"BILL","ACH")))</f>
        <v>ACH</v>
      </c>
    </row>
    <row r="2608" spans="1:11" x14ac:dyDescent="0.25">
      <c r="A2608">
        <v>227431</v>
      </c>
      <c r="B2608" s="3">
        <v>46146</v>
      </c>
      <c r="C2608">
        <v>3</v>
      </c>
      <c r="D2608">
        <v>37.590000000000003</v>
      </c>
      <c r="E2608">
        <v>5325</v>
      </c>
      <c r="K2608" t="str">
        <f>IF(Table3[[#This Row],[Type Received]]=2,"CC",(IF(Table3[[#This Row],[Type Received]]=3,"BILL","ACH")))</f>
        <v>BILL</v>
      </c>
    </row>
    <row r="2609" spans="1:11" x14ac:dyDescent="0.25">
      <c r="A2609">
        <v>227432</v>
      </c>
      <c r="B2609" s="3">
        <v>46155</v>
      </c>
      <c r="C2609">
        <v>2</v>
      </c>
      <c r="D2609">
        <v>32.31</v>
      </c>
      <c r="F2609">
        <v>3599</v>
      </c>
      <c r="G2609" t="s">
        <v>28</v>
      </c>
      <c r="H2609">
        <v>669096161</v>
      </c>
      <c r="I2609" t="s">
        <v>29</v>
      </c>
      <c r="J2609" t="s">
        <v>29</v>
      </c>
      <c r="K2609" t="str">
        <f>IF(Table3[[#This Row],[Type Received]]=2,"CC",(IF(Table3[[#This Row],[Type Received]]=3,"BILL","ACH")))</f>
        <v>CC</v>
      </c>
    </row>
    <row r="2610" spans="1:11" x14ac:dyDescent="0.25">
      <c r="A2610">
        <v>227545</v>
      </c>
      <c r="B2610" s="3">
        <v>46155</v>
      </c>
      <c r="C2610">
        <v>2</v>
      </c>
      <c r="D2610">
        <v>34.47</v>
      </c>
      <c r="F2610">
        <v>13981</v>
      </c>
      <c r="G2610" s="4" t="s">
        <v>28</v>
      </c>
      <c r="H2610">
        <v>669498539</v>
      </c>
      <c r="I2610" t="s">
        <v>29</v>
      </c>
      <c r="J2610" t="s">
        <v>29</v>
      </c>
      <c r="K2610" t="str">
        <f>IF(Table3[[#This Row],[Type Received]]=2,"CC",(IF(Table3[[#This Row],[Type Received]]=3,"BILL","ACH")))</f>
        <v>CC</v>
      </c>
    </row>
    <row r="2611" spans="1:11" x14ac:dyDescent="0.25">
      <c r="A2611">
        <v>227557</v>
      </c>
      <c r="B2611" s="3">
        <v>46144</v>
      </c>
      <c r="C2611">
        <v>1</v>
      </c>
      <c r="D2611">
        <v>20.420000000000002</v>
      </c>
      <c r="G2611" t="s">
        <v>89</v>
      </c>
      <c r="H2611">
        <v>535416163</v>
      </c>
      <c r="I2611" t="s">
        <v>29</v>
      </c>
      <c r="J2611" t="s">
        <v>29</v>
      </c>
      <c r="K2611" t="str">
        <f>IF(Table3[[#This Row],[Type Received]]=2,"CC",(IF(Table3[[#This Row],[Type Received]]=3,"BILL","ACH")))</f>
        <v>ACH</v>
      </c>
    </row>
    <row r="2612" spans="1:11" x14ac:dyDescent="0.25">
      <c r="A2612">
        <v>227593</v>
      </c>
      <c r="B2612" s="3">
        <v>46164</v>
      </c>
      <c r="C2612">
        <v>3</v>
      </c>
      <c r="D2612">
        <v>264.10000000000002</v>
      </c>
      <c r="E2612">
        <v>7270</v>
      </c>
      <c r="K2612" t="str">
        <f>IF(Table3[[#This Row],[Type Received]]=2,"CC",(IF(Table3[[#This Row],[Type Received]]=3,"BILL","ACH")))</f>
        <v>BILL</v>
      </c>
    </row>
    <row r="2613" spans="1:11" x14ac:dyDescent="0.25">
      <c r="A2613">
        <v>227619</v>
      </c>
      <c r="B2613" s="3">
        <v>46169</v>
      </c>
      <c r="C2613">
        <v>1</v>
      </c>
      <c r="D2613">
        <v>36.15</v>
      </c>
      <c r="G2613" t="s">
        <v>117</v>
      </c>
      <c r="H2613">
        <v>840874182</v>
      </c>
      <c r="I2613" t="s">
        <v>29</v>
      </c>
      <c r="K2613" t="str">
        <f>IF(Table3[[#This Row],[Type Received]]=2,"CC",(IF(Table3[[#This Row],[Type Received]]=3,"BILL","ACH")))</f>
        <v>ACH</v>
      </c>
    </row>
    <row r="2614" spans="1:11" x14ac:dyDescent="0.25">
      <c r="A2614">
        <v>227639</v>
      </c>
      <c r="B2614" s="3">
        <v>46156</v>
      </c>
      <c r="C2614">
        <v>3</v>
      </c>
      <c r="D2614">
        <v>36</v>
      </c>
      <c r="E2614">
        <v>58161413</v>
      </c>
      <c r="J2614" t="s">
        <v>29</v>
      </c>
      <c r="K2614" t="str">
        <f>IF(Table3[[#This Row],[Type Received]]=2,"CC",(IF(Table3[[#This Row],[Type Received]]=3,"BILL","ACH")))</f>
        <v>BILL</v>
      </c>
    </row>
    <row r="2615" spans="1:11" x14ac:dyDescent="0.25">
      <c r="A2615">
        <v>227677</v>
      </c>
      <c r="B2615" s="3">
        <v>46157</v>
      </c>
      <c r="C2615">
        <v>1</v>
      </c>
      <c r="D2615">
        <v>21.27</v>
      </c>
      <c r="G2615" t="s">
        <v>87</v>
      </c>
      <c r="H2615">
        <v>696764780</v>
      </c>
      <c r="I2615" t="s">
        <v>29</v>
      </c>
      <c r="J2615" t="s">
        <v>29</v>
      </c>
      <c r="K2615" t="str">
        <f>IF(Table3[[#This Row],[Type Received]]=2,"CC",(IF(Table3[[#This Row],[Type Received]]=3,"BILL","ACH")))</f>
        <v>ACH</v>
      </c>
    </row>
    <row r="2616" spans="1:11" x14ac:dyDescent="0.25">
      <c r="A2616">
        <v>227694</v>
      </c>
      <c r="B2616" s="3">
        <v>46147</v>
      </c>
      <c r="C2616">
        <v>3</v>
      </c>
      <c r="D2616">
        <v>37.369999999999997</v>
      </c>
      <c r="E2616">
        <v>19818891306</v>
      </c>
      <c r="J2616" t="s">
        <v>29</v>
      </c>
      <c r="K2616" t="str">
        <f>IF(Table3[[#This Row],[Type Received]]=2,"CC",(IF(Table3[[#This Row],[Type Received]]=3,"BILL","ACH")))</f>
        <v>BILL</v>
      </c>
    </row>
    <row r="2617" spans="1:11" x14ac:dyDescent="0.25">
      <c r="A2617">
        <v>227695</v>
      </c>
      <c r="B2617" s="3">
        <v>46143</v>
      </c>
      <c r="C2617">
        <v>3</v>
      </c>
      <c r="D2617">
        <v>19.739999999999998</v>
      </c>
      <c r="E2617">
        <v>989070</v>
      </c>
      <c r="K2617" t="str">
        <f>IF(Table3[[#This Row],[Type Received]]=2,"CC",(IF(Table3[[#This Row],[Type Received]]=3,"BILL","ACH")))</f>
        <v>BILL</v>
      </c>
    </row>
    <row r="2618" spans="1:11" x14ac:dyDescent="0.25">
      <c r="A2618">
        <v>227739</v>
      </c>
      <c r="B2618" s="3">
        <v>46143</v>
      </c>
      <c r="C2618">
        <v>3</v>
      </c>
      <c r="D2618">
        <v>115.55</v>
      </c>
      <c r="E2618">
        <v>57453646</v>
      </c>
      <c r="J2618" t="s">
        <v>29</v>
      </c>
      <c r="K2618" t="str">
        <f>IF(Table3[[#This Row],[Type Received]]=2,"CC",(IF(Table3[[#This Row],[Type Received]]=3,"BILL","ACH")))</f>
        <v>BILL</v>
      </c>
    </row>
    <row r="2619" spans="1:11" x14ac:dyDescent="0.25">
      <c r="A2619">
        <v>227794</v>
      </c>
      <c r="B2619" s="3">
        <v>46157</v>
      </c>
      <c r="C2619">
        <v>1</v>
      </c>
      <c r="D2619">
        <v>21.27</v>
      </c>
      <c r="G2619" t="s">
        <v>87</v>
      </c>
      <c r="H2619">
        <v>696760894</v>
      </c>
      <c r="I2619" t="s">
        <v>29</v>
      </c>
      <c r="J2619" t="s">
        <v>29</v>
      </c>
      <c r="K2619" t="str">
        <f>IF(Table3[[#This Row],[Type Received]]=2,"CC",(IF(Table3[[#This Row],[Type Received]]=3,"BILL","ACH")))</f>
        <v>ACH</v>
      </c>
    </row>
    <row r="2620" spans="1:11" x14ac:dyDescent="0.25">
      <c r="A2620">
        <v>227799</v>
      </c>
      <c r="B2620" s="3">
        <v>46146</v>
      </c>
      <c r="C2620">
        <v>1</v>
      </c>
      <c r="D2620">
        <v>121.95</v>
      </c>
      <c r="G2620" t="s">
        <v>92</v>
      </c>
      <c r="H2620">
        <v>557107314</v>
      </c>
      <c r="I2620" t="s">
        <v>29</v>
      </c>
      <c r="K2620" t="str">
        <f>IF(Table3[[#This Row],[Type Received]]=2,"CC",(IF(Table3[[#This Row],[Type Received]]=3,"BILL","ACH")))</f>
        <v>ACH</v>
      </c>
    </row>
    <row r="2621" spans="1:11" x14ac:dyDescent="0.25">
      <c r="A2621">
        <v>227808</v>
      </c>
      <c r="B2621" s="3">
        <v>46147</v>
      </c>
      <c r="C2621">
        <v>3</v>
      </c>
      <c r="D2621">
        <v>44.08</v>
      </c>
      <c r="E2621">
        <v>987791</v>
      </c>
      <c r="J2621" t="s">
        <v>29</v>
      </c>
      <c r="K2621" t="str">
        <f>IF(Table3[[#This Row],[Type Received]]=2,"CC",(IF(Table3[[#This Row],[Type Received]]=3,"BILL","ACH")))</f>
        <v>BILL</v>
      </c>
    </row>
    <row r="2622" spans="1:11" x14ac:dyDescent="0.25">
      <c r="A2622">
        <v>227812</v>
      </c>
      <c r="B2622" s="3">
        <v>46157</v>
      </c>
      <c r="C2622">
        <v>2</v>
      </c>
      <c r="D2622">
        <v>57.5</v>
      </c>
      <c r="F2622">
        <v>998692</v>
      </c>
      <c r="G2622">
        <v>745623440</v>
      </c>
      <c r="H2622">
        <v>354763222</v>
      </c>
      <c r="J2622" t="s">
        <v>29</v>
      </c>
      <c r="K2622" t="str">
        <f>IF(Table3[[#This Row],[Type Received]]=2,"CC",(IF(Table3[[#This Row],[Type Received]]=3,"BILL","ACH")))</f>
        <v>CC</v>
      </c>
    </row>
    <row r="2623" spans="1:11" x14ac:dyDescent="0.25">
      <c r="A2623">
        <v>227864</v>
      </c>
      <c r="B2623" s="3">
        <v>46147</v>
      </c>
      <c r="C2623">
        <v>1</v>
      </c>
      <c r="D2623">
        <v>75.64</v>
      </c>
      <c r="G2623" t="s">
        <v>86</v>
      </c>
      <c r="H2623">
        <v>569470945</v>
      </c>
      <c r="I2623" t="s">
        <v>29</v>
      </c>
      <c r="K2623" t="str">
        <f>IF(Table3[[#This Row],[Type Received]]=2,"CC",(IF(Table3[[#This Row],[Type Received]]=3,"BILL","ACH")))</f>
        <v>ACH</v>
      </c>
    </row>
    <row r="2624" spans="1:11" x14ac:dyDescent="0.25">
      <c r="A2624">
        <v>227878</v>
      </c>
      <c r="B2624" s="3">
        <v>46157</v>
      </c>
      <c r="C2624">
        <v>1</v>
      </c>
      <c r="D2624">
        <v>66.73</v>
      </c>
      <c r="G2624" t="s">
        <v>87</v>
      </c>
      <c r="H2624">
        <v>696770648</v>
      </c>
      <c r="I2624" t="s">
        <v>29</v>
      </c>
      <c r="K2624" t="str">
        <f>IF(Table3[[#This Row],[Type Received]]=2,"CC",(IF(Table3[[#This Row],[Type Received]]=3,"BILL","ACH")))</f>
        <v>ACH</v>
      </c>
    </row>
    <row r="2625" spans="1:11" x14ac:dyDescent="0.25">
      <c r="A2625">
        <v>227880</v>
      </c>
      <c r="B2625" s="3">
        <v>46157</v>
      </c>
      <c r="C2625">
        <v>1</v>
      </c>
      <c r="D2625">
        <v>95.77</v>
      </c>
      <c r="G2625" t="s">
        <v>87</v>
      </c>
      <c r="H2625">
        <v>696785115</v>
      </c>
      <c r="I2625" t="s">
        <v>29</v>
      </c>
      <c r="J2625" t="s">
        <v>29</v>
      </c>
      <c r="K2625" t="str">
        <f>IF(Table3[[#This Row],[Type Received]]=2,"CC",(IF(Table3[[#This Row],[Type Received]]=3,"BILL","ACH")))</f>
        <v>ACH</v>
      </c>
    </row>
    <row r="2626" spans="1:11" x14ac:dyDescent="0.25">
      <c r="A2626">
        <v>227904</v>
      </c>
      <c r="B2626" s="3">
        <v>46155</v>
      </c>
      <c r="C2626">
        <v>2</v>
      </c>
      <c r="D2626">
        <v>20.350000000000001</v>
      </c>
      <c r="F2626" t="s">
        <v>257</v>
      </c>
      <c r="G2626" s="4" t="s">
        <v>28</v>
      </c>
      <c r="H2626">
        <v>669457886</v>
      </c>
      <c r="I2626" t="s">
        <v>29</v>
      </c>
      <c r="J2626" t="s">
        <v>29</v>
      </c>
      <c r="K2626" t="str">
        <f>IF(Table3[[#This Row],[Type Received]]=2,"CC",(IF(Table3[[#This Row],[Type Received]]=3,"BILL","ACH")))</f>
        <v>CC</v>
      </c>
    </row>
    <row r="2627" spans="1:11" x14ac:dyDescent="0.25">
      <c r="A2627">
        <v>227972</v>
      </c>
      <c r="B2627" s="3">
        <v>46157</v>
      </c>
      <c r="C2627">
        <v>1</v>
      </c>
      <c r="D2627">
        <v>76.599999999999994</v>
      </c>
      <c r="G2627" s="4" t="s">
        <v>87</v>
      </c>
      <c r="H2627">
        <v>696775466</v>
      </c>
      <c r="I2627" t="s">
        <v>29</v>
      </c>
      <c r="J2627" t="s">
        <v>29</v>
      </c>
      <c r="K2627" t="str">
        <f>IF(Table3[[#This Row],[Type Received]]=2,"CC",(IF(Table3[[#This Row],[Type Received]]=3,"BILL","ACH")))</f>
        <v>ACH</v>
      </c>
    </row>
    <row r="2628" spans="1:11" x14ac:dyDescent="0.25">
      <c r="A2628">
        <v>228291</v>
      </c>
      <c r="B2628" s="3">
        <v>46157</v>
      </c>
      <c r="C2628">
        <v>1</v>
      </c>
      <c r="D2628">
        <v>19.93</v>
      </c>
      <c r="G2628" t="s">
        <v>87</v>
      </c>
      <c r="H2628">
        <v>696766830</v>
      </c>
      <c r="I2628" t="s">
        <v>29</v>
      </c>
      <c r="J2628" t="s">
        <v>29</v>
      </c>
      <c r="K2628" t="str">
        <f>IF(Table3[[#This Row],[Type Received]]=2,"CC",(IF(Table3[[#This Row],[Type Received]]=3,"BILL","ACH")))</f>
        <v>ACH</v>
      </c>
    </row>
    <row r="2629" spans="1:11" x14ac:dyDescent="0.25">
      <c r="A2629">
        <v>228294</v>
      </c>
      <c r="B2629" s="3">
        <v>46168</v>
      </c>
      <c r="C2629">
        <v>1</v>
      </c>
      <c r="D2629">
        <v>101.05</v>
      </c>
      <c r="G2629" t="s">
        <v>110</v>
      </c>
      <c r="H2629">
        <v>828259084</v>
      </c>
      <c r="I2629" t="s">
        <v>29</v>
      </c>
      <c r="J2629" t="s">
        <v>29</v>
      </c>
      <c r="K2629" t="str">
        <f>IF(Table3[[#This Row],[Type Received]]=2,"CC",(IF(Table3[[#This Row],[Type Received]]=3,"BILL","ACH")))</f>
        <v>ACH</v>
      </c>
    </row>
    <row r="2630" spans="1:11" x14ac:dyDescent="0.25">
      <c r="A2630">
        <v>228300</v>
      </c>
      <c r="B2630" s="3">
        <v>46163</v>
      </c>
      <c r="C2630">
        <v>1</v>
      </c>
      <c r="D2630">
        <v>270.7</v>
      </c>
      <c r="G2630" t="s">
        <v>214</v>
      </c>
      <c r="H2630">
        <v>775817597</v>
      </c>
      <c r="I2630" t="s">
        <v>29</v>
      </c>
      <c r="J2630" t="s">
        <v>29</v>
      </c>
      <c r="K2630" t="str">
        <f>IF(Table3[[#This Row],[Type Received]]=2,"CC",(IF(Table3[[#This Row],[Type Received]]=3,"BILL","ACH")))</f>
        <v>ACH</v>
      </c>
    </row>
    <row r="2631" spans="1:11" x14ac:dyDescent="0.25">
      <c r="A2631">
        <v>228312</v>
      </c>
      <c r="B2631" s="3">
        <v>46146</v>
      </c>
      <c r="C2631">
        <v>3</v>
      </c>
      <c r="D2631">
        <v>26.7</v>
      </c>
      <c r="E2631">
        <v>921473545</v>
      </c>
      <c r="J2631" t="s">
        <v>29</v>
      </c>
      <c r="K2631" t="str">
        <f>IF(Table3[[#This Row],[Type Received]]=2,"CC",(IF(Table3[[#This Row],[Type Received]]=3,"BILL","ACH")))</f>
        <v>BILL</v>
      </c>
    </row>
    <row r="2632" spans="1:11" x14ac:dyDescent="0.25">
      <c r="A2632">
        <v>228347</v>
      </c>
      <c r="B2632" s="3">
        <v>46157</v>
      </c>
      <c r="C2632">
        <v>1</v>
      </c>
      <c r="D2632">
        <v>35.49</v>
      </c>
      <c r="G2632" t="s">
        <v>87</v>
      </c>
      <c r="H2632">
        <v>696785146</v>
      </c>
      <c r="I2632" t="s">
        <v>29</v>
      </c>
      <c r="J2632" t="s">
        <v>29</v>
      </c>
      <c r="K2632" t="str">
        <f>IF(Table3[[#This Row],[Type Received]]=2,"CC",(IF(Table3[[#This Row],[Type Received]]=3,"BILL","ACH")))</f>
        <v>ACH</v>
      </c>
    </row>
    <row r="2633" spans="1:11" x14ac:dyDescent="0.25">
      <c r="A2633">
        <v>228369</v>
      </c>
      <c r="B2633" s="3">
        <v>46168</v>
      </c>
      <c r="C2633">
        <v>1</v>
      </c>
      <c r="D2633">
        <v>119.53</v>
      </c>
      <c r="G2633" t="s">
        <v>110</v>
      </c>
      <c r="H2633">
        <v>828266901</v>
      </c>
      <c r="I2633" t="s">
        <v>29</v>
      </c>
      <c r="J2633" t="s">
        <v>29</v>
      </c>
      <c r="K2633" t="str">
        <f>IF(Table3[[#This Row],[Type Received]]=2,"CC",(IF(Table3[[#This Row],[Type Received]]=3,"BILL","ACH")))</f>
        <v>ACH</v>
      </c>
    </row>
    <row r="2634" spans="1:11" x14ac:dyDescent="0.25">
      <c r="A2634">
        <v>228378</v>
      </c>
      <c r="B2634" s="3">
        <v>46157</v>
      </c>
      <c r="C2634">
        <v>1</v>
      </c>
      <c r="D2634">
        <v>71.349999999999994</v>
      </c>
      <c r="G2634" s="4" t="s">
        <v>87</v>
      </c>
      <c r="H2634">
        <v>696787120</v>
      </c>
      <c r="I2634" t="s">
        <v>29</v>
      </c>
      <c r="J2634" t="s">
        <v>29</v>
      </c>
      <c r="K2634" t="str">
        <f>IF(Table3[[#This Row],[Type Received]]=2,"CC",(IF(Table3[[#This Row],[Type Received]]=3,"BILL","ACH")))</f>
        <v>ACH</v>
      </c>
    </row>
    <row r="2635" spans="1:11" x14ac:dyDescent="0.25">
      <c r="A2635">
        <v>228399</v>
      </c>
      <c r="B2635" s="3">
        <v>46144</v>
      </c>
      <c r="C2635">
        <v>1</v>
      </c>
      <c r="D2635">
        <v>48.88</v>
      </c>
      <c r="G2635" t="s">
        <v>89</v>
      </c>
      <c r="H2635">
        <v>535391032</v>
      </c>
      <c r="I2635" t="s">
        <v>29</v>
      </c>
      <c r="J2635" t="s">
        <v>29</v>
      </c>
      <c r="K2635" t="str">
        <f>IF(Table3[[#This Row],[Type Received]]=2,"CC",(IF(Table3[[#This Row],[Type Received]]=3,"BILL","ACH")))</f>
        <v>ACH</v>
      </c>
    </row>
    <row r="2636" spans="1:11" x14ac:dyDescent="0.25">
      <c r="A2636">
        <v>228020</v>
      </c>
      <c r="B2636" s="3">
        <v>46168</v>
      </c>
      <c r="C2636">
        <v>1</v>
      </c>
      <c r="D2636">
        <v>30.98</v>
      </c>
      <c r="G2636" s="4" t="s">
        <v>110</v>
      </c>
      <c r="H2636">
        <v>828260877</v>
      </c>
      <c r="I2636" t="s">
        <v>29</v>
      </c>
      <c r="J2636" t="s">
        <v>29</v>
      </c>
      <c r="K2636" t="str">
        <f>IF(Table3[[#This Row],[Type Received]]=2,"CC",(IF(Table3[[#This Row],[Type Received]]=3,"BILL","ACH")))</f>
        <v>ACH</v>
      </c>
    </row>
    <row r="2637" spans="1:11" x14ac:dyDescent="0.25">
      <c r="A2637">
        <v>228045</v>
      </c>
      <c r="B2637" s="3">
        <v>46146</v>
      </c>
      <c r="C2637">
        <v>3</v>
      </c>
      <c r="D2637">
        <v>225.82</v>
      </c>
      <c r="E2637">
        <v>1461</v>
      </c>
      <c r="J2637" t="s">
        <v>29</v>
      </c>
      <c r="K2637" t="str">
        <f>IF(Table3[[#This Row],[Type Received]]=2,"CC",(IF(Table3[[#This Row],[Type Received]]=3,"BILL","ACH")))</f>
        <v>BILL</v>
      </c>
    </row>
    <row r="2638" spans="1:11" x14ac:dyDescent="0.25">
      <c r="A2638">
        <v>228063</v>
      </c>
      <c r="B2638" s="3">
        <v>46168</v>
      </c>
      <c r="C2638">
        <v>1</v>
      </c>
      <c r="D2638">
        <v>75.28</v>
      </c>
      <c r="G2638" t="s">
        <v>110</v>
      </c>
      <c r="H2638">
        <v>828223145</v>
      </c>
      <c r="I2638" t="s">
        <v>29</v>
      </c>
      <c r="J2638" t="s">
        <v>29</v>
      </c>
      <c r="K2638" t="str">
        <f>IF(Table3[[#This Row],[Type Received]]=2,"CC",(IF(Table3[[#This Row],[Type Received]]=3,"BILL","ACH")))</f>
        <v>ACH</v>
      </c>
    </row>
    <row r="2639" spans="1:11" x14ac:dyDescent="0.25">
      <c r="A2639">
        <v>228106</v>
      </c>
      <c r="B2639" s="3">
        <v>46168</v>
      </c>
      <c r="C2639">
        <v>1</v>
      </c>
      <c r="D2639">
        <v>33.79</v>
      </c>
      <c r="G2639" t="s">
        <v>110</v>
      </c>
      <c r="H2639">
        <v>828260013</v>
      </c>
      <c r="I2639" t="s">
        <v>29</v>
      </c>
      <c r="J2639" t="s">
        <v>29</v>
      </c>
      <c r="K2639" t="str">
        <f>IF(Table3[[#This Row],[Type Received]]=2,"CC",(IF(Table3[[#This Row],[Type Received]]=3,"BILL","ACH")))</f>
        <v>ACH</v>
      </c>
    </row>
    <row r="2640" spans="1:11" x14ac:dyDescent="0.25">
      <c r="A2640">
        <v>228135</v>
      </c>
      <c r="B2640" s="3">
        <v>46144</v>
      </c>
      <c r="C2640">
        <v>2</v>
      </c>
      <c r="D2640">
        <v>33.81</v>
      </c>
      <c r="F2640" t="s">
        <v>258</v>
      </c>
      <c r="G2640" t="s">
        <v>28</v>
      </c>
      <c r="H2640">
        <v>535418160</v>
      </c>
      <c r="I2640" t="s">
        <v>29</v>
      </c>
      <c r="J2640" t="s">
        <v>29</v>
      </c>
      <c r="K2640" t="str">
        <f>IF(Table3[[#This Row],[Type Received]]=2,"CC",(IF(Table3[[#This Row],[Type Received]]=3,"BILL","ACH")))</f>
        <v>CC</v>
      </c>
    </row>
    <row r="2641" spans="1:11" x14ac:dyDescent="0.25">
      <c r="A2641">
        <v>228176</v>
      </c>
      <c r="B2641" s="3">
        <v>46168</v>
      </c>
      <c r="C2641">
        <v>1</v>
      </c>
      <c r="D2641">
        <v>20.64</v>
      </c>
      <c r="G2641" t="s">
        <v>110</v>
      </c>
      <c r="H2641">
        <v>828260034</v>
      </c>
      <c r="I2641" t="s">
        <v>29</v>
      </c>
      <c r="J2641" t="s">
        <v>29</v>
      </c>
      <c r="K2641" t="str">
        <f>IF(Table3[[#This Row],[Type Received]]=2,"CC",(IF(Table3[[#This Row],[Type Received]]=3,"BILL","ACH")))</f>
        <v>ACH</v>
      </c>
    </row>
    <row r="2642" spans="1:11" x14ac:dyDescent="0.25">
      <c r="A2642">
        <v>228198</v>
      </c>
      <c r="B2642" s="3">
        <v>46168</v>
      </c>
      <c r="C2642">
        <v>2</v>
      </c>
      <c r="D2642">
        <v>24.11</v>
      </c>
      <c r="F2642">
        <v>90716</v>
      </c>
      <c r="G2642" t="s">
        <v>28</v>
      </c>
      <c r="H2642">
        <v>828301543</v>
      </c>
      <c r="I2642" t="s">
        <v>29</v>
      </c>
      <c r="J2642" t="s">
        <v>29</v>
      </c>
      <c r="K2642" t="str">
        <f>IF(Table3[[#This Row],[Type Received]]=2,"CC",(IF(Table3[[#This Row],[Type Received]]=3,"BILL","ACH")))</f>
        <v>CC</v>
      </c>
    </row>
    <row r="2643" spans="1:11" x14ac:dyDescent="0.25">
      <c r="A2643">
        <v>228618</v>
      </c>
      <c r="B2643" s="3">
        <v>46144</v>
      </c>
      <c r="C2643">
        <v>1</v>
      </c>
      <c r="D2643">
        <v>32.74</v>
      </c>
      <c r="G2643" s="4" t="s">
        <v>89</v>
      </c>
      <c r="H2643">
        <v>535416185</v>
      </c>
      <c r="I2643" t="s">
        <v>29</v>
      </c>
      <c r="J2643" t="s">
        <v>29</v>
      </c>
      <c r="K2643" t="str">
        <f>IF(Table3[[#This Row],[Type Received]]=2,"CC",(IF(Table3[[#This Row],[Type Received]]=3,"BILL","ACH")))</f>
        <v>ACH</v>
      </c>
    </row>
    <row r="2644" spans="1:11" x14ac:dyDescent="0.25">
      <c r="A2644">
        <v>228619</v>
      </c>
      <c r="B2644" s="3">
        <v>46168</v>
      </c>
      <c r="C2644">
        <v>3</v>
      </c>
      <c r="D2644">
        <v>50.24</v>
      </c>
      <c r="E2644">
        <v>55052420827</v>
      </c>
      <c r="G2644" s="4"/>
      <c r="J2644" t="s">
        <v>29</v>
      </c>
      <c r="K2644" t="str">
        <f>IF(Table3[[#This Row],[Type Received]]=2,"CC",(IF(Table3[[#This Row],[Type Received]]=3,"BILL","ACH")))</f>
        <v>BILL</v>
      </c>
    </row>
    <row r="2645" spans="1:11" x14ac:dyDescent="0.25">
      <c r="A2645">
        <v>228701</v>
      </c>
      <c r="B2645" s="3">
        <v>46157</v>
      </c>
      <c r="C2645">
        <v>1</v>
      </c>
      <c r="D2645">
        <v>33.950000000000003</v>
      </c>
      <c r="G2645" s="4" t="s">
        <v>87</v>
      </c>
      <c r="H2645">
        <v>696760005</v>
      </c>
      <c r="I2645" t="s">
        <v>29</v>
      </c>
      <c r="J2645" t="s">
        <v>29</v>
      </c>
      <c r="K2645" t="str">
        <f>IF(Table3[[#This Row],[Type Received]]=2,"CC",(IF(Table3[[#This Row],[Type Received]]=3,"BILL","ACH")))</f>
        <v>ACH</v>
      </c>
    </row>
    <row r="2646" spans="1:11" x14ac:dyDescent="0.25">
      <c r="A2646">
        <v>228728</v>
      </c>
      <c r="B2646" s="3">
        <v>46170</v>
      </c>
      <c r="C2646">
        <v>2</v>
      </c>
      <c r="D2646">
        <v>71.03</v>
      </c>
      <c r="F2646">
        <v>101156</v>
      </c>
      <c r="G2646" t="s">
        <v>28</v>
      </c>
      <c r="H2646">
        <v>853301202</v>
      </c>
      <c r="I2646" t="s">
        <v>29</v>
      </c>
      <c r="J2646" t="s">
        <v>29</v>
      </c>
      <c r="K2646" t="str">
        <f>IF(Table3[[#This Row],[Type Received]]=2,"CC",(IF(Table3[[#This Row],[Type Received]]=3,"BILL","ACH")))</f>
        <v>CC</v>
      </c>
    </row>
    <row r="2647" spans="1:11" x14ac:dyDescent="0.25">
      <c r="A2647">
        <v>228756</v>
      </c>
      <c r="B2647" s="3">
        <v>46147</v>
      </c>
      <c r="C2647">
        <v>1</v>
      </c>
      <c r="D2647">
        <v>104.36</v>
      </c>
      <c r="G2647" t="s">
        <v>86</v>
      </c>
      <c r="H2647">
        <v>570412961</v>
      </c>
      <c r="I2647" t="s">
        <v>29</v>
      </c>
      <c r="J2647" t="s">
        <v>29</v>
      </c>
      <c r="K2647" t="str">
        <f>IF(Table3[[#This Row],[Type Received]]=2,"CC",(IF(Table3[[#This Row],[Type Received]]=3,"BILL","ACH")))</f>
        <v>ACH</v>
      </c>
    </row>
    <row r="2648" spans="1:11" x14ac:dyDescent="0.25">
      <c r="A2648">
        <v>228778</v>
      </c>
      <c r="B2648" s="3">
        <v>46146</v>
      </c>
      <c r="C2648">
        <v>1</v>
      </c>
      <c r="D2648">
        <v>21.75</v>
      </c>
      <c r="G2648" t="s">
        <v>92</v>
      </c>
      <c r="H2648">
        <v>557086455</v>
      </c>
      <c r="I2648" t="s">
        <v>29</v>
      </c>
      <c r="J2648" t="s">
        <v>29</v>
      </c>
      <c r="K2648" t="str">
        <f>IF(Table3[[#This Row],[Type Received]]=2,"CC",(IF(Table3[[#This Row],[Type Received]]=3,"BILL","ACH")))</f>
        <v>ACH</v>
      </c>
    </row>
    <row r="2649" spans="1:11" x14ac:dyDescent="0.25">
      <c r="A2649">
        <v>228799</v>
      </c>
      <c r="B2649" s="3">
        <v>46144</v>
      </c>
      <c r="C2649">
        <v>1</v>
      </c>
      <c r="D2649">
        <v>100.06</v>
      </c>
      <c r="G2649" t="s">
        <v>89</v>
      </c>
      <c r="H2649">
        <v>535407475</v>
      </c>
      <c r="I2649" t="s">
        <v>29</v>
      </c>
      <c r="J2649" t="s">
        <v>29</v>
      </c>
      <c r="K2649" t="str">
        <f>IF(Table3[[#This Row],[Type Received]]=2,"CC",(IF(Table3[[#This Row],[Type Received]]=3,"BILL","ACH")))</f>
        <v>ACH</v>
      </c>
    </row>
    <row r="2650" spans="1:11" x14ac:dyDescent="0.25">
      <c r="A2650">
        <v>228443</v>
      </c>
      <c r="B2650" s="3">
        <v>46157</v>
      </c>
      <c r="C2650">
        <v>1</v>
      </c>
      <c r="D2650">
        <v>52.87</v>
      </c>
      <c r="G2650" t="s">
        <v>87</v>
      </c>
      <c r="H2650">
        <v>696783260</v>
      </c>
      <c r="I2650" t="s">
        <v>29</v>
      </c>
      <c r="J2650" t="s">
        <v>29</v>
      </c>
      <c r="K2650" t="str">
        <f>IF(Table3[[#This Row],[Type Received]]=2,"CC",(IF(Table3[[#This Row],[Type Received]]=3,"BILL","ACH")))</f>
        <v>ACH</v>
      </c>
    </row>
    <row r="2651" spans="1:11" x14ac:dyDescent="0.25">
      <c r="A2651">
        <v>228461</v>
      </c>
      <c r="B2651" s="3">
        <v>46168</v>
      </c>
      <c r="C2651">
        <v>1</v>
      </c>
      <c r="D2651">
        <v>13.01</v>
      </c>
      <c r="G2651" t="s">
        <v>110</v>
      </c>
      <c r="H2651">
        <v>828283346</v>
      </c>
      <c r="I2651" t="s">
        <v>29</v>
      </c>
      <c r="J2651" t="s">
        <v>29</v>
      </c>
      <c r="K2651" t="str">
        <f>IF(Table3[[#This Row],[Type Received]]=2,"CC",(IF(Table3[[#This Row],[Type Received]]=3,"BILL","ACH")))</f>
        <v>ACH</v>
      </c>
    </row>
    <row r="2652" spans="1:11" x14ac:dyDescent="0.25">
      <c r="A2652">
        <v>228474</v>
      </c>
      <c r="B2652" s="3">
        <v>46153</v>
      </c>
      <c r="C2652">
        <v>3</v>
      </c>
      <c r="D2652">
        <v>89.51</v>
      </c>
      <c r="E2652">
        <v>8906</v>
      </c>
      <c r="G2652" s="4"/>
      <c r="J2652" t="s">
        <v>29</v>
      </c>
      <c r="K2652" t="str">
        <f>IF(Table3[[#This Row],[Type Received]]=2,"CC",(IF(Table3[[#This Row],[Type Received]]=3,"BILL","ACH")))</f>
        <v>BILL</v>
      </c>
    </row>
    <row r="2653" spans="1:11" x14ac:dyDescent="0.25">
      <c r="A2653">
        <v>228478</v>
      </c>
      <c r="B2653" s="3">
        <v>46168</v>
      </c>
      <c r="C2653">
        <v>1</v>
      </c>
      <c r="D2653">
        <v>22.07</v>
      </c>
      <c r="G2653" t="s">
        <v>110</v>
      </c>
      <c r="H2653">
        <v>828280535</v>
      </c>
      <c r="I2653" t="s">
        <v>29</v>
      </c>
      <c r="J2653" t="s">
        <v>29</v>
      </c>
      <c r="K2653" t="str">
        <f>IF(Table3[[#This Row],[Type Received]]=2,"CC",(IF(Table3[[#This Row],[Type Received]]=3,"BILL","ACH")))</f>
        <v>ACH</v>
      </c>
    </row>
    <row r="2654" spans="1:11" x14ac:dyDescent="0.25">
      <c r="A2654">
        <v>228552</v>
      </c>
      <c r="B2654" s="3">
        <v>46146</v>
      </c>
      <c r="C2654">
        <v>3</v>
      </c>
      <c r="D2654">
        <v>65.75</v>
      </c>
      <c r="E2654">
        <v>2531</v>
      </c>
      <c r="J2654" t="s">
        <v>29</v>
      </c>
      <c r="K2654" t="str">
        <f>IF(Table3[[#This Row],[Type Received]]=2,"CC",(IF(Table3[[#This Row],[Type Received]]=3,"BILL","ACH")))</f>
        <v>BILL</v>
      </c>
    </row>
    <row r="2655" spans="1:11" x14ac:dyDescent="0.25">
      <c r="A2655">
        <v>228606</v>
      </c>
      <c r="B2655" s="3">
        <v>46157</v>
      </c>
      <c r="C2655">
        <v>1</v>
      </c>
      <c r="D2655">
        <v>132.07</v>
      </c>
      <c r="G2655" t="s">
        <v>87</v>
      </c>
      <c r="H2655">
        <v>696778503</v>
      </c>
      <c r="I2655" t="s">
        <v>29</v>
      </c>
      <c r="J2655" t="s">
        <v>29</v>
      </c>
      <c r="K2655" t="str">
        <f>IF(Table3[[#This Row],[Type Received]]=2,"CC",(IF(Table3[[#This Row],[Type Received]]=3,"BILL","ACH")))</f>
        <v>ACH</v>
      </c>
    </row>
    <row r="2656" spans="1:11" x14ac:dyDescent="0.25">
      <c r="A2656">
        <v>228907</v>
      </c>
      <c r="B2656" s="3">
        <v>46146</v>
      </c>
      <c r="C2656">
        <v>2</v>
      </c>
      <c r="D2656">
        <v>70.66</v>
      </c>
      <c r="F2656">
        <v>2095</v>
      </c>
      <c r="G2656" t="s">
        <v>28</v>
      </c>
      <c r="H2656">
        <v>561241443</v>
      </c>
      <c r="I2656" t="s">
        <v>29</v>
      </c>
      <c r="J2656" t="s">
        <v>29</v>
      </c>
      <c r="K2656" t="str">
        <f>IF(Table3[[#This Row],[Type Received]]=2,"CC",(IF(Table3[[#This Row],[Type Received]]=3,"BILL","ACH")))</f>
        <v>CC</v>
      </c>
    </row>
    <row r="2657" spans="1:11" x14ac:dyDescent="0.25">
      <c r="A2657">
        <v>228955</v>
      </c>
      <c r="B2657" s="3">
        <v>46157</v>
      </c>
      <c r="C2657">
        <v>1</v>
      </c>
      <c r="D2657">
        <v>55.95</v>
      </c>
      <c r="G2657" t="s">
        <v>87</v>
      </c>
      <c r="H2657">
        <v>696629022</v>
      </c>
      <c r="I2657" t="s">
        <v>29</v>
      </c>
      <c r="J2657" t="s">
        <v>29</v>
      </c>
      <c r="K2657" t="str">
        <f>IF(Table3[[#This Row],[Type Received]]=2,"CC",(IF(Table3[[#This Row],[Type Received]]=3,"BILL","ACH")))</f>
        <v>ACH</v>
      </c>
    </row>
    <row r="2658" spans="1:11" x14ac:dyDescent="0.25">
      <c r="A2658">
        <v>228961</v>
      </c>
      <c r="B2658" s="3">
        <v>46157</v>
      </c>
      <c r="C2658">
        <v>1</v>
      </c>
      <c r="D2658">
        <v>36.15</v>
      </c>
      <c r="G2658" t="s">
        <v>87</v>
      </c>
      <c r="H2658">
        <v>696781321</v>
      </c>
      <c r="I2658" t="s">
        <v>29</v>
      </c>
      <c r="K2658" t="str">
        <f>IF(Table3[[#This Row],[Type Received]]=2,"CC",(IF(Table3[[#This Row],[Type Received]]=3,"BILL","ACH")))</f>
        <v>ACH</v>
      </c>
    </row>
    <row r="2659" spans="1:11" x14ac:dyDescent="0.25">
      <c r="A2659">
        <v>228968</v>
      </c>
      <c r="B2659" s="3">
        <v>46168</v>
      </c>
      <c r="C2659">
        <v>1</v>
      </c>
      <c r="D2659">
        <v>74.87</v>
      </c>
      <c r="G2659" t="s">
        <v>110</v>
      </c>
      <c r="H2659">
        <v>828261019</v>
      </c>
      <c r="I2659" t="s">
        <v>29</v>
      </c>
      <c r="K2659" t="str">
        <f>IF(Table3[[#This Row],[Type Received]]=2,"CC",(IF(Table3[[#This Row],[Type Received]]=3,"BILL","ACH")))</f>
        <v>ACH</v>
      </c>
    </row>
    <row r="2660" spans="1:11" x14ac:dyDescent="0.25">
      <c r="A2660">
        <v>229225</v>
      </c>
      <c r="B2660" s="3">
        <v>46170</v>
      </c>
      <c r="C2660">
        <v>2</v>
      </c>
      <c r="D2660">
        <v>133.72999999999999</v>
      </c>
      <c r="F2660" t="s">
        <v>259</v>
      </c>
      <c r="G2660">
        <v>749514569</v>
      </c>
      <c r="H2660">
        <v>356131661</v>
      </c>
      <c r="K2660" t="str">
        <f>IF(Table3[[#This Row],[Type Received]]=2,"CC",(IF(Table3[[#This Row],[Type Received]]=3,"BILL","ACH")))</f>
        <v>CC</v>
      </c>
    </row>
    <row r="2661" spans="1:11" x14ac:dyDescent="0.25">
      <c r="A2661">
        <v>229225</v>
      </c>
      <c r="B2661" s="3">
        <v>46143</v>
      </c>
      <c r="C2661">
        <v>2</v>
      </c>
      <c r="D2661">
        <v>133.72999999999999</v>
      </c>
      <c r="F2661" t="s">
        <v>260</v>
      </c>
      <c r="G2661">
        <v>741374152</v>
      </c>
      <c r="H2661">
        <v>353195187</v>
      </c>
      <c r="K2661" t="str">
        <f>IF(Table3[[#This Row],[Type Received]]=2,"CC",(IF(Table3[[#This Row],[Type Received]]=3,"BILL","ACH")))</f>
        <v>CC</v>
      </c>
    </row>
    <row r="2662" spans="1:11" x14ac:dyDescent="0.25">
      <c r="A2662">
        <v>229249</v>
      </c>
      <c r="B2662" s="3">
        <v>46155</v>
      </c>
      <c r="C2662">
        <v>2</v>
      </c>
      <c r="D2662">
        <v>29.11</v>
      </c>
      <c r="F2662">
        <v>3581</v>
      </c>
      <c r="G2662" t="s">
        <v>28</v>
      </c>
      <c r="H2662">
        <v>669496563</v>
      </c>
      <c r="I2662" t="s">
        <v>29</v>
      </c>
      <c r="J2662" t="s">
        <v>29</v>
      </c>
      <c r="K2662" t="str">
        <f>IF(Table3[[#This Row],[Type Received]]=2,"CC",(IF(Table3[[#This Row],[Type Received]]=3,"BILL","ACH")))</f>
        <v>CC</v>
      </c>
    </row>
    <row r="2663" spans="1:11" x14ac:dyDescent="0.25">
      <c r="A2663">
        <v>229254</v>
      </c>
      <c r="B2663" s="3">
        <v>46161</v>
      </c>
      <c r="C2663">
        <v>3</v>
      </c>
      <c r="D2663">
        <v>74.180000000000007</v>
      </c>
      <c r="E2663">
        <v>6126</v>
      </c>
      <c r="K2663" t="str">
        <f>IF(Table3[[#This Row],[Type Received]]=2,"CC",(IF(Table3[[#This Row],[Type Received]]=3,"BILL","ACH")))</f>
        <v>BILL</v>
      </c>
    </row>
    <row r="2664" spans="1:11" x14ac:dyDescent="0.25">
      <c r="A2664">
        <v>229255</v>
      </c>
      <c r="B2664" s="3">
        <v>46169</v>
      </c>
      <c r="C2664">
        <v>1</v>
      </c>
      <c r="D2664">
        <v>107.29</v>
      </c>
      <c r="G2664" t="s">
        <v>117</v>
      </c>
      <c r="H2664">
        <v>840874568</v>
      </c>
      <c r="I2664" t="s">
        <v>29</v>
      </c>
      <c r="J2664" t="s">
        <v>29</v>
      </c>
      <c r="K2664" t="str">
        <f>IF(Table3[[#This Row],[Type Received]]=2,"CC",(IF(Table3[[#This Row],[Type Received]]=3,"BILL","ACH")))</f>
        <v>ACH</v>
      </c>
    </row>
    <row r="2665" spans="1:11" x14ac:dyDescent="0.25">
      <c r="A2665">
        <v>229261</v>
      </c>
      <c r="B2665" s="3">
        <v>46143</v>
      </c>
      <c r="C2665">
        <v>1</v>
      </c>
      <c r="D2665">
        <v>33.29</v>
      </c>
      <c r="G2665" t="s">
        <v>84</v>
      </c>
      <c r="H2665">
        <v>522211714</v>
      </c>
      <c r="I2665" t="s">
        <v>29</v>
      </c>
      <c r="J2665" t="s">
        <v>29</v>
      </c>
      <c r="K2665" t="str">
        <f>IF(Table3[[#This Row],[Type Received]]=2,"CC",(IF(Table3[[#This Row],[Type Received]]=3,"BILL","ACH")))</f>
        <v>ACH</v>
      </c>
    </row>
    <row r="2666" spans="1:11" x14ac:dyDescent="0.25">
      <c r="A2666">
        <v>229300</v>
      </c>
      <c r="B2666" s="3">
        <v>46168</v>
      </c>
      <c r="C2666">
        <v>1</v>
      </c>
      <c r="D2666">
        <v>39.229999999999997</v>
      </c>
      <c r="G2666" t="s">
        <v>110</v>
      </c>
      <c r="H2666">
        <v>828273915</v>
      </c>
      <c r="I2666" t="s">
        <v>29</v>
      </c>
      <c r="J2666" t="s">
        <v>29</v>
      </c>
      <c r="K2666" t="str">
        <f>IF(Table3[[#This Row],[Type Received]]=2,"CC",(IF(Table3[[#This Row],[Type Received]]=3,"BILL","ACH")))</f>
        <v>ACH</v>
      </c>
    </row>
    <row r="2667" spans="1:11" x14ac:dyDescent="0.25">
      <c r="A2667">
        <v>229062</v>
      </c>
      <c r="B2667" s="3">
        <v>46144</v>
      </c>
      <c r="C2667">
        <v>1</v>
      </c>
      <c r="D2667">
        <v>94.45</v>
      </c>
      <c r="G2667" s="4" t="s">
        <v>89</v>
      </c>
      <c r="H2667">
        <v>535408416</v>
      </c>
      <c r="I2667" t="s">
        <v>29</v>
      </c>
      <c r="J2667" t="s">
        <v>29</v>
      </c>
      <c r="K2667" t="str">
        <f>IF(Table3[[#This Row],[Type Received]]=2,"CC",(IF(Table3[[#This Row],[Type Received]]=3,"BILL","ACH")))</f>
        <v>ACH</v>
      </c>
    </row>
    <row r="2668" spans="1:11" x14ac:dyDescent="0.25">
      <c r="A2668">
        <v>229069</v>
      </c>
      <c r="B2668" s="3">
        <v>46157</v>
      </c>
      <c r="C2668">
        <v>1</v>
      </c>
      <c r="D2668">
        <v>47.15</v>
      </c>
      <c r="G2668" t="s">
        <v>87</v>
      </c>
      <c r="H2668">
        <v>696768842</v>
      </c>
      <c r="I2668" t="s">
        <v>29</v>
      </c>
      <c r="J2668" t="s">
        <v>29</v>
      </c>
      <c r="K2668" t="str">
        <f>IF(Table3[[#This Row],[Type Received]]=2,"CC",(IF(Table3[[#This Row],[Type Received]]=3,"BILL","ACH")))</f>
        <v>ACH</v>
      </c>
    </row>
    <row r="2669" spans="1:11" x14ac:dyDescent="0.25">
      <c r="A2669">
        <v>229071</v>
      </c>
      <c r="B2669" s="3">
        <v>46157</v>
      </c>
      <c r="C2669">
        <v>1</v>
      </c>
      <c r="D2669">
        <v>29.44</v>
      </c>
      <c r="G2669" t="s">
        <v>87</v>
      </c>
      <c r="H2669">
        <v>696777533</v>
      </c>
      <c r="I2669" t="s">
        <v>29</v>
      </c>
      <c r="J2669" t="s">
        <v>29</v>
      </c>
      <c r="K2669" t="str">
        <f>IF(Table3[[#This Row],[Type Received]]=2,"CC",(IF(Table3[[#This Row],[Type Received]]=3,"BILL","ACH")))</f>
        <v>ACH</v>
      </c>
    </row>
    <row r="2670" spans="1:11" x14ac:dyDescent="0.25">
      <c r="A2670">
        <v>229147</v>
      </c>
      <c r="B2670" s="3">
        <v>46143</v>
      </c>
      <c r="C2670">
        <v>3</v>
      </c>
      <c r="D2670">
        <v>35.39</v>
      </c>
      <c r="E2670">
        <v>2596</v>
      </c>
      <c r="J2670" t="s">
        <v>29</v>
      </c>
      <c r="K2670" t="str">
        <f>IF(Table3[[#This Row],[Type Received]]=2,"CC",(IF(Table3[[#This Row],[Type Received]]=3,"BILL","ACH")))</f>
        <v>BILL</v>
      </c>
    </row>
    <row r="2671" spans="1:11" x14ac:dyDescent="0.25">
      <c r="A2671">
        <v>229161</v>
      </c>
      <c r="B2671" s="3">
        <v>46155</v>
      </c>
      <c r="C2671">
        <v>2</v>
      </c>
      <c r="D2671">
        <v>59.8</v>
      </c>
      <c r="F2671">
        <v>90453</v>
      </c>
      <c r="G2671" t="s">
        <v>28</v>
      </c>
      <c r="H2671">
        <v>669501435</v>
      </c>
      <c r="I2671" t="s">
        <v>29</v>
      </c>
      <c r="K2671" t="str">
        <f>IF(Table3[[#This Row],[Type Received]]=2,"CC",(IF(Table3[[#This Row],[Type Received]]=3,"BILL","ACH")))</f>
        <v>CC</v>
      </c>
    </row>
    <row r="2672" spans="1:11" x14ac:dyDescent="0.25">
      <c r="A2672">
        <v>229165</v>
      </c>
      <c r="B2672" s="3">
        <v>46157</v>
      </c>
      <c r="C2672">
        <v>1</v>
      </c>
      <c r="D2672">
        <v>76.959999999999994</v>
      </c>
      <c r="G2672" t="s">
        <v>87</v>
      </c>
      <c r="H2672">
        <v>696767889</v>
      </c>
      <c r="I2672" t="s">
        <v>29</v>
      </c>
      <c r="J2672" t="s">
        <v>29</v>
      </c>
      <c r="K2672" t="str">
        <f>IF(Table3[[#This Row],[Type Received]]=2,"CC",(IF(Table3[[#This Row],[Type Received]]=3,"BILL","ACH")))</f>
        <v>ACH</v>
      </c>
    </row>
    <row r="2673" spans="1:11" x14ac:dyDescent="0.25">
      <c r="A2673">
        <v>229167</v>
      </c>
      <c r="B2673" s="3">
        <v>46168</v>
      </c>
      <c r="C2673">
        <v>1</v>
      </c>
      <c r="D2673">
        <v>52.21</v>
      </c>
      <c r="G2673" t="s">
        <v>110</v>
      </c>
      <c r="H2673">
        <v>828279614</v>
      </c>
      <c r="I2673" t="s">
        <v>29</v>
      </c>
      <c r="J2673" t="s">
        <v>29</v>
      </c>
      <c r="K2673" t="str">
        <f>IF(Table3[[#This Row],[Type Received]]=2,"CC",(IF(Table3[[#This Row],[Type Received]]=3,"BILL","ACH")))</f>
        <v>ACH</v>
      </c>
    </row>
    <row r="2674" spans="1:11" x14ac:dyDescent="0.25">
      <c r="A2674">
        <v>229204</v>
      </c>
      <c r="B2674" s="3">
        <v>46168</v>
      </c>
      <c r="C2674">
        <v>3</v>
      </c>
      <c r="D2674">
        <v>125.22</v>
      </c>
      <c r="E2674">
        <v>749</v>
      </c>
      <c r="G2674" s="4"/>
      <c r="J2674" t="s">
        <v>29</v>
      </c>
      <c r="K2674" t="str">
        <f>IF(Table3[[#This Row],[Type Received]]=2,"CC",(IF(Table3[[#This Row],[Type Received]]=3,"BILL","ACH")))</f>
        <v>BILL</v>
      </c>
    </row>
    <row r="2675" spans="1:11" x14ac:dyDescent="0.25">
      <c r="A2675">
        <v>229519</v>
      </c>
      <c r="B2675" s="3">
        <v>46144</v>
      </c>
      <c r="C2675">
        <v>1</v>
      </c>
      <c r="D2675">
        <v>55.51</v>
      </c>
      <c r="G2675" t="s">
        <v>89</v>
      </c>
      <c r="H2675">
        <v>535416216</v>
      </c>
      <c r="I2675" t="s">
        <v>29</v>
      </c>
      <c r="J2675" t="s">
        <v>29</v>
      </c>
      <c r="K2675" t="str">
        <f>IF(Table3[[#This Row],[Type Received]]=2,"CC",(IF(Table3[[#This Row],[Type Received]]=3,"BILL","ACH")))</f>
        <v>ACH</v>
      </c>
    </row>
    <row r="2676" spans="1:11" x14ac:dyDescent="0.25">
      <c r="A2676">
        <v>229589</v>
      </c>
      <c r="B2676" s="3">
        <v>46168</v>
      </c>
      <c r="C2676">
        <v>3</v>
      </c>
      <c r="D2676">
        <v>25.27</v>
      </c>
      <c r="E2676">
        <v>5512</v>
      </c>
      <c r="J2676" t="s">
        <v>29</v>
      </c>
      <c r="K2676" t="str">
        <f>IF(Table3[[#This Row],[Type Received]]=2,"CC",(IF(Table3[[#This Row],[Type Received]]=3,"BILL","ACH")))</f>
        <v>BILL</v>
      </c>
    </row>
    <row r="2677" spans="1:11" x14ac:dyDescent="0.25">
      <c r="A2677">
        <v>229589</v>
      </c>
      <c r="B2677" s="3">
        <v>46143</v>
      </c>
      <c r="C2677">
        <v>3</v>
      </c>
      <c r="D2677">
        <v>25.27</v>
      </c>
      <c r="E2677">
        <v>5501</v>
      </c>
      <c r="J2677" t="s">
        <v>29</v>
      </c>
      <c r="K2677" t="str">
        <f>IF(Table3[[#This Row],[Type Received]]=2,"CC",(IF(Table3[[#This Row],[Type Received]]=3,"BILL","ACH")))</f>
        <v>BILL</v>
      </c>
    </row>
    <row r="2678" spans="1:11" x14ac:dyDescent="0.25">
      <c r="A2678">
        <v>229599</v>
      </c>
      <c r="B2678" s="3">
        <v>46143</v>
      </c>
      <c r="C2678">
        <v>3</v>
      </c>
      <c r="D2678">
        <v>119.28</v>
      </c>
      <c r="E2678">
        <v>6951</v>
      </c>
      <c r="J2678" t="s">
        <v>29</v>
      </c>
      <c r="K2678" t="str">
        <f>IF(Table3[[#This Row],[Type Received]]=2,"CC",(IF(Table3[[#This Row],[Type Received]]=3,"BILL","ACH")))</f>
        <v>BILL</v>
      </c>
    </row>
    <row r="2679" spans="1:11" x14ac:dyDescent="0.25">
      <c r="A2679">
        <v>229664</v>
      </c>
      <c r="B2679" s="3">
        <v>46143</v>
      </c>
      <c r="C2679">
        <v>2</v>
      </c>
      <c r="D2679">
        <v>61.8</v>
      </c>
      <c r="F2679">
        <v>125005</v>
      </c>
      <c r="G2679" t="s">
        <v>28</v>
      </c>
      <c r="H2679">
        <v>524473797</v>
      </c>
      <c r="I2679" t="s">
        <v>29</v>
      </c>
      <c r="J2679" t="s">
        <v>29</v>
      </c>
      <c r="K2679" t="str">
        <f>IF(Table3[[#This Row],[Type Received]]=2,"CC",(IF(Table3[[#This Row],[Type Received]]=3,"BILL","ACH")))</f>
        <v>CC</v>
      </c>
    </row>
    <row r="2680" spans="1:11" x14ac:dyDescent="0.25">
      <c r="A2680">
        <v>229695</v>
      </c>
      <c r="B2680" s="3">
        <v>46149</v>
      </c>
      <c r="C2680">
        <v>3</v>
      </c>
      <c r="D2680">
        <v>57.61</v>
      </c>
      <c r="E2680">
        <v>5120</v>
      </c>
      <c r="J2680" t="s">
        <v>29</v>
      </c>
      <c r="K2680" t="str">
        <f>IF(Table3[[#This Row],[Type Received]]=2,"CC",(IF(Table3[[#This Row],[Type Received]]=3,"BILL","ACH")))</f>
        <v>BILL</v>
      </c>
    </row>
    <row r="2681" spans="1:11" x14ac:dyDescent="0.25">
      <c r="A2681">
        <v>229848</v>
      </c>
      <c r="B2681" s="3">
        <v>46157</v>
      </c>
      <c r="C2681">
        <v>1</v>
      </c>
      <c r="D2681">
        <v>43.19</v>
      </c>
      <c r="G2681" t="s">
        <v>87</v>
      </c>
      <c r="H2681">
        <v>696769866</v>
      </c>
      <c r="I2681" t="s">
        <v>29</v>
      </c>
      <c r="J2681" t="s">
        <v>29</v>
      </c>
      <c r="K2681" t="str">
        <f>IF(Table3[[#This Row],[Type Received]]=2,"CC",(IF(Table3[[#This Row],[Type Received]]=3,"BILL","ACH")))</f>
        <v>ACH</v>
      </c>
    </row>
    <row r="2682" spans="1:11" x14ac:dyDescent="0.25">
      <c r="A2682">
        <v>229858</v>
      </c>
      <c r="B2682" s="3">
        <v>46157</v>
      </c>
      <c r="C2682">
        <v>1</v>
      </c>
      <c r="D2682">
        <v>56.83</v>
      </c>
      <c r="G2682" t="s">
        <v>87</v>
      </c>
      <c r="H2682">
        <v>696774569</v>
      </c>
      <c r="I2682" t="s">
        <v>29</v>
      </c>
      <c r="J2682" t="s">
        <v>29</v>
      </c>
      <c r="K2682" t="str">
        <f>IF(Table3[[#This Row],[Type Received]]=2,"CC",(IF(Table3[[#This Row],[Type Received]]=3,"BILL","ACH")))</f>
        <v>ACH</v>
      </c>
    </row>
    <row r="2683" spans="1:11" x14ac:dyDescent="0.25">
      <c r="A2683">
        <v>229859</v>
      </c>
      <c r="B2683" s="3">
        <v>46157</v>
      </c>
      <c r="C2683">
        <v>1</v>
      </c>
      <c r="D2683">
        <v>42.75</v>
      </c>
      <c r="G2683" s="4" t="s">
        <v>87</v>
      </c>
      <c r="H2683">
        <v>696786248</v>
      </c>
      <c r="I2683" t="s">
        <v>29</v>
      </c>
      <c r="J2683" t="s">
        <v>29</v>
      </c>
      <c r="K2683" t="str">
        <f>IF(Table3[[#This Row],[Type Received]]=2,"CC",(IF(Table3[[#This Row],[Type Received]]=3,"BILL","ACH")))</f>
        <v>ACH</v>
      </c>
    </row>
    <row r="2684" spans="1:11" x14ac:dyDescent="0.25">
      <c r="A2684">
        <v>229914</v>
      </c>
      <c r="B2684" s="3">
        <v>46143</v>
      </c>
      <c r="C2684">
        <v>3</v>
      </c>
      <c r="D2684">
        <v>172.81</v>
      </c>
      <c r="E2684">
        <v>4454557931</v>
      </c>
      <c r="J2684" t="s">
        <v>29</v>
      </c>
      <c r="K2684" t="str">
        <f>IF(Table3[[#This Row],[Type Received]]=2,"CC",(IF(Table3[[#This Row],[Type Received]]=3,"BILL","ACH")))</f>
        <v>BILL</v>
      </c>
    </row>
    <row r="2685" spans="1:11" x14ac:dyDescent="0.25">
      <c r="A2685">
        <v>230007</v>
      </c>
      <c r="B2685" s="3">
        <v>46168</v>
      </c>
      <c r="C2685">
        <v>1</v>
      </c>
      <c r="D2685">
        <v>176.29</v>
      </c>
      <c r="G2685" s="4" t="s">
        <v>110</v>
      </c>
      <c r="H2685">
        <v>828272908</v>
      </c>
      <c r="I2685" t="s">
        <v>29</v>
      </c>
      <c r="J2685" t="s">
        <v>29</v>
      </c>
      <c r="K2685" t="str">
        <f>IF(Table3[[#This Row],[Type Received]]=2,"CC",(IF(Table3[[#This Row],[Type Received]]=3,"BILL","ACH")))</f>
        <v>ACH</v>
      </c>
    </row>
    <row r="2686" spans="1:11" x14ac:dyDescent="0.25">
      <c r="A2686">
        <v>230112</v>
      </c>
      <c r="B2686" s="3">
        <v>46143</v>
      </c>
      <c r="C2686">
        <v>3</v>
      </c>
      <c r="D2686">
        <v>67.400000000000006</v>
      </c>
      <c r="E2686">
        <v>5160</v>
      </c>
      <c r="J2686" t="s">
        <v>29</v>
      </c>
      <c r="K2686" t="str">
        <f>IF(Table3[[#This Row],[Type Received]]=2,"CC",(IF(Table3[[#This Row],[Type Received]]=3,"BILL","ACH")))</f>
        <v>BILL</v>
      </c>
    </row>
    <row r="2687" spans="1:11" x14ac:dyDescent="0.25">
      <c r="A2687">
        <v>230146</v>
      </c>
      <c r="B2687" s="3">
        <v>46143</v>
      </c>
      <c r="C2687">
        <v>1</v>
      </c>
      <c r="D2687">
        <v>34.83</v>
      </c>
      <c r="G2687" s="4" t="s">
        <v>84</v>
      </c>
      <c r="H2687">
        <v>522221343</v>
      </c>
      <c r="I2687" t="s">
        <v>29</v>
      </c>
      <c r="J2687" t="s">
        <v>29</v>
      </c>
      <c r="K2687" t="str">
        <f>IF(Table3[[#This Row],[Type Received]]=2,"CC",(IF(Table3[[#This Row],[Type Received]]=3,"BILL","ACH")))</f>
        <v>ACH</v>
      </c>
    </row>
    <row r="2688" spans="1:11" x14ac:dyDescent="0.25">
      <c r="A2688">
        <v>230164</v>
      </c>
      <c r="B2688" s="3">
        <v>46157</v>
      </c>
      <c r="C2688">
        <v>1</v>
      </c>
      <c r="D2688">
        <v>55.95</v>
      </c>
      <c r="G2688" t="s">
        <v>87</v>
      </c>
      <c r="H2688">
        <v>696764971</v>
      </c>
      <c r="I2688" t="s">
        <v>29</v>
      </c>
      <c r="J2688" t="s">
        <v>29</v>
      </c>
      <c r="K2688" t="str">
        <f>IF(Table3[[#This Row],[Type Received]]=2,"CC",(IF(Table3[[#This Row],[Type Received]]=3,"BILL","ACH")))</f>
        <v>ACH</v>
      </c>
    </row>
    <row r="2689" spans="1:11" x14ac:dyDescent="0.25">
      <c r="A2689">
        <v>230172</v>
      </c>
      <c r="B2689" s="3">
        <v>46143</v>
      </c>
      <c r="C2689">
        <v>3</v>
      </c>
      <c r="D2689">
        <v>119.21</v>
      </c>
      <c r="E2689">
        <v>57326233</v>
      </c>
      <c r="J2689" t="s">
        <v>29</v>
      </c>
      <c r="K2689" t="str">
        <f>IF(Table3[[#This Row],[Type Received]]=2,"CC",(IF(Table3[[#This Row],[Type Received]]=3,"BILL","ACH")))</f>
        <v>BILL</v>
      </c>
    </row>
    <row r="2690" spans="1:11" x14ac:dyDescent="0.25">
      <c r="A2690">
        <v>230469</v>
      </c>
      <c r="B2690" s="3">
        <v>46166</v>
      </c>
      <c r="C2690">
        <v>2</v>
      </c>
      <c r="D2690">
        <v>52.43</v>
      </c>
      <c r="F2690" t="s">
        <v>261</v>
      </c>
      <c r="G2690" t="s">
        <v>28</v>
      </c>
      <c r="H2690">
        <v>808457088</v>
      </c>
      <c r="I2690" t="s">
        <v>29</v>
      </c>
      <c r="J2690" t="s">
        <v>29</v>
      </c>
      <c r="K2690" t="str">
        <f>IF(Table3[[#This Row],[Type Received]]=2,"CC",(IF(Table3[[#This Row],[Type Received]]=3,"BILL","ACH")))</f>
        <v>CC</v>
      </c>
    </row>
    <row r="2691" spans="1:11" x14ac:dyDescent="0.25">
      <c r="A2691">
        <v>230492</v>
      </c>
      <c r="B2691" s="3">
        <v>46157</v>
      </c>
      <c r="C2691">
        <v>1</v>
      </c>
      <c r="D2691">
        <v>33.07</v>
      </c>
      <c r="G2691" t="s">
        <v>87</v>
      </c>
      <c r="H2691">
        <v>696788239</v>
      </c>
      <c r="I2691" t="s">
        <v>29</v>
      </c>
      <c r="K2691" t="str">
        <f>IF(Table3[[#This Row],[Type Received]]=2,"CC",(IF(Table3[[#This Row],[Type Received]]=3,"BILL","ACH")))</f>
        <v>ACH</v>
      </c>
    </row>
    <row r="2692" spans="1:11" x14ac:dyDescent="0.25">
      <c r="A2692">
        <v>230545</v>
      </c>
      <c r="B2692" s="3">
        <v>46144</v>
      </c>
      <c r="C2692">
        <v>1</v>
      </c>
      <c r="D2692">
        <v>36.590000000000003</v>
      </c>
      <c r="G2692" t="s">
        <v>89</v>
      </c>
      <c r="H2692">
        <v>535336863</v>
      </c>
      <c r="I2692" t="s">
        <v>29</v>
      </c>
      <c r="J2692" t="s">
        <v>29</v>
      </c>
      <c r="K2692" t="str">
        <f>IF(Table3[[#This Row],[Type Received]]=2,"CC",(IF(Table3[[#This Row],[Type Received]]=3,"BILL","ACH")))</f>
        <v>ACH</v>
      </c>
    </row>
    <row r="2693" spans="1:11" x14ac:dyDescent="0.25">
      <c r="A2693">
        <v>230225</v>
      </c>
      <c r="B2693" s="3">
        <v>46171</v>
      </c>
      <c r="C2693">
        <v>1</v>
      </c>
      <c r="D2693">
        <v>64.760000000000005</v>
      </c>
      <c r="G2693" t="s">
        <v>226</v>
      </c>
      <c r="H2693">
        <v>868015380</v>
      </c>
      <c r="I2693" t="s">
        <v>29</v>
      </c>
      <c r="K2693" t="str">
        <f>IF(Table3[[#This Row],[Type Received]]=2,"CC",(IF(Table3[[#This Row],[Type Received]]=3,"BILL","ACH")))</f>
        <v>ACH</v>
      </c>
    </row>
    <row r="2694" spans="1:11" x14ac:dyDescent="0.25">
      <c r="A2694">
        <v>230231</v>
      </c>
      <c r="B2694" s="3">
        <v>46144</v>
      </c>
      <c r="C2694">
        <v>1</v>
      </c>
      <c r="D2694">
        <v>111.94</v>
      </c>
      <c r="G2694" s="4" t="s">
        <v>89</v>
      </c>
      <c r="H2694">
        <v>535398902</v>
      </c>
      <c r="I2694" t="s">
        <v>29</v>
      </c>
      <c r="K2694" t="str">
        <f>IF(Table3[[#This Row],[Type Received]]=2,"CC",(IF(Table3[[#This Row],[Type Received]]=3,"BILL","ACH")))</f>
        <v>ACH</v>
      </c>
    </row>
    <row r="2695" spans="1:11" x14ac:dyDescent="0.25">
      <c r="A2695">
        <v>230303</v>
      </c>
      <c r="B2695" s="3">
        <v>46150</v>
      </c>
      <c r="C2695">
        <v>3</v>
      </c>
      <c r="D2695">
        <v>89</v>
      </c>
      <c r="E2695">
        <v>921926210</v>
      </c>
      <c r="K2695" t="str">
        <f>IF(Table3[[#This Row],[Type Received]]=2,"CC",(IF(Table3[[#This Row],[Type Received]]=3,"BILL","ACH")))</f>
        <v>BILL</v>
      </c>
    </row>
    <row r="2696" spans="1:11" x14ac:dyDescent="0.25">
      <c r="A2696">
        <v>230313</v>
      </c>
      <c r="B2696" s="3">
        <v>46168</v>
      </c>
      <c r="C2696">
        <v>1</v>
      </c>
      <c r="D2696">
        <v>77.62</v>
      </c>
      <c r="G2696" s="4" t="s">
        <v>110</v>
      </c>
      <c r="H2696">
        <v>828265052</v>
      </c>
      <c r="I2696" t="s">
        <v>29</v>
      </c>
      <c r="J2696" t="s">
        <v>29</v>
      </c>
      <c r="K2696" t="str">
        <f>IF(Table3[[#This Row],[Type Received]]=2,"CC",(IF(Table3[[#This Row],[Type Received]]=3,"BILL","ACH")))</f>
        <v>ACH</v>
      </c>
    </row>
    <row r="2697" spans="1:11" x14ac:dyDescent="0.25">
      <c r="A2697">
        <v>230326</v>
      </c>
      <c r="B2697" s="3">
        <v>46161</v>
      </c>
      <c r="C2697">
        <v>2</v>
      </c>
      <c r="D2697">
        <v>110.7</v>
      </c>
      <c r="F2697" t="s">
        <v>262</v>
      </c>
      <c r="G2697">
        <v>746805329</v>
      </c>
      <c r="H2697">
        <v>355145904</v>
      </c>
      <c r="J2697" t="s">
        <v>29</v>
      </c>
      <c r="K2697" t="str">
        <f>IF(Table3[[#This Row],[Type Received]]=2,"CC",(IF(Table3[[#This Row],[Type Received]]=3,"BILL","ACH")))</f>
        <v>CC</v>
      </c>
    </row>
    <row r="2698" spans="1:11" x14ac:dyDescent="0.25">
      <c r="A2698">
        <v>230381</v>
      </c>
      <c r="B2698" s="3">
        <v>46168</v>
      </c>
      <c r="C2698">
        <v>1</v>
      </c>
      <c r="D2698">
        <v>121.84</v>
      </c>
      <c r="G2698" t="s">
        <v>110</v>
      </c>
      <c r="H2698">
        <v>828284362</v>
      </c>
      <c r="I2698" t="s">
        <v>29</v>
      </c>
      <c r="K2698" t="str">
        <f>IF(Table3[[#This Row],[Type Received]]=2,"CC",(IF(Table3[[#This Row],[Type Received]]=3,"BILL","ACH")))</f>
        <v>ACH</v>
      </c>
    </row>
    <row r="2699" spans="1:11" x14ac:dyDescent="0.25">
      <c r="A2699">
        <v>230628</v>
      </c>
      <c r="B2699" s="3">
        <v>46157</v>
      </c>
      <c r="C2699">
        <v>1</v>
      </c>
      <c r="D2699">
        <v>87.85</v>
      </c>
      <c r="G2699" t="s">
        <v>87</v>
      </c>
      <c r="H2699">
        <v>696787267</v>
      </c>
      <c r="I2699" t="s">
        <v>29</v>
      </c>
      <c r="J2699" t="s">
        <v>29</v>
      </c>
      <c r="K2699" t="str">
        <f>IF(Table3[[#This Row],[Type Received]]=2,"CC",(IF(Table3[[#This Row],[Type Received]]=3,"BILL","ACH")))</f>
        <v>ACH</v>
      </c>
    </row>
    <row r="2700" spans="1:11" x14ac:dyDescent="0.25">
      <c r="A2700">
        <v>230630</v>
      </c>
      <c r="B2700" s="3">
        <v>46157</v>
      </c>
      <c r="C2700">
        <v>1</v>
      </c>
      <c r="D2700">
        <v>42.53</v>
      </c>
      <c r="G2700" t="s">
        <v>87</v>
      </c>
      <c r="H2700">
        <v>696783404</v>
      </c>
      <c r="I2700" t="s">
        <v>29</v>
      </c>
      <c r="K2700" t="str">
        <f>IF(Table3[[#This Row],[Type Received]]=2,"CC",(IF(Table3[[#This Row],[Type Received]]=3,"BILL","ACH")))</f>
        <v>ACH</v>
      </c>
    </row>
    <row r="2701" spans="1:11" x14ac:dyDescent="0.25">
      <c r="A2701">
        <v>230631</v>
      </c>
      <c r="B2701" s="3">
        <v>46144</v>
      </c>
      <c r="C2701">
        <v>1</v>
      </c>
      <c r="D2701">
        <v>22.73</v>
      </c>
      <c r="G2701" t="s">
        <v>89</v>
      </c>
      <c r="H2701">
        <v>535407517</v>
      </c>
      <c r="I2701" t="s">
        <v>29</v>
      </c>
      <c r="J2701" t="s">
        <v>29</v>
      </c>
      <c r="K2701" t="str">
        <f>IF(Table3[[#This Row],[Type Received]]=2,"CC",(IF(Table3[[#This Row],[Type Received]]=3,"BILL","ACH")))</f>
        <v>ACH</v>
      </c>
    </row>
    <row r="2702" spans="1:11" x14ac:dyDescent="0.25">
      <c r="A2702">
        <v>230634</v>
      </c>
      <c r="B2702" s="3">
        <v>46168</v>
      </c>
      <c r="C2702">
        <v>3</v>
      </c>
      <c r="D2702">
        <v>463.42</v>
      </c>
      <c r="E2702">
        <v>7079</v>
      </c>
      <c r="J2702" t="s">
        <v>29</v>
      </c>
      <c r="K2702" t="str">
        <f>IF(Table3[[#This Row],[Type Received]]=2,"CC",(IF(Table3[[#This Row],[Type Received]]=3,"BILL","ACH")))</f>
        <v>BILL</v>
      </c>
    </row>
    <row r="2703" spans="1:11" x14ac:dyDescent="0.25">
      <c r="A2703">
        <v>230721</v>
      </c>
      <c r="B2703" s="3">
        <v>46168</v>
      </c>
      <c r="C2703">
        <v>1</v>
      </c>
      <c r="D2703">
        <v>39.67</v>
      </c>
      <c r="G2703" t="s">
        <v>110</v>
      </c>
      <c r="H2703">
        <v>828266056</v>
      </c>
      <c r="I2703" t="s">
        <v>29</v>
      </c>
      <c r="J2703" t="s">
        <v>29</v>
      </c>
      <c r="K2703" t="str">
        <f>IF(Table3[[#This Row],[Type Received]]=2,"CC",(IF(Table3[[#This Row],[Type Received]]=3,"BILL","ACH")))</f>
        <v>ACH</v>
      </c>
    </row>
    <row r="2704" spans="1:11" x14ac:dyDescent="0.25">
      <c r="A2704">
        <v>230724</v>
      </c>
      <c r="B2704" s="3">
        <v>46168</v>
      </c>
      <c r="C2704">
        <v>3</v>
      </c>
      <c r="D2704">
        <v>79.02</v>
      </c>
      <c r="E2704">
        <v>1500</v>
      </c>
      <c r="J2704" t="s">
        <v>29</v>
      </c>
      <c r="K2704" t="str">
        <f>IF(Table3[[#This Row],[Type Received]]=2,"CC",(IF(Table3[[#This Row],[Type Received]]=3,"BILL","ACH")))</f>
        <v>BILL</v>
      </c>
    </row>
    <row r="2705" spans="1:11" x14ac:dyDescent="0.25">
      <c r="A2705">
        <v>230729</v>
      </c>
      <c r="B2705" s="3">
        <v>46143</v>
      </c>
      <c r="C2705">
        <v>1</v>
      </c>
      <c r="D2705">
        <v>51.55</v>
      </c>
      <c r="G2705" t="s">
        <v>84</v>
      </c>
      <c r="H2705">
        <v>522440123</v>
      </c>
      <c r="I2705" t="s">
        <v>29</v>
      </c>
      <c r="J2705" t="s">
        <v>29</v>
      </c>
      <c r="K2705" t="str">
        <f>IF(Table3[[#This Row],[Type Received]]=2,"CC",(IF(Table3[[#This Row],[Type Received]]=3,"BILL","ACH")))</f>
        <v>ACH</v>
      </c>
    </row>
    <row r="2706" spans="1:11" x14ac:dyDescent="0.25">
      <c r="A2706">
        <v>230744</v>
      </c>
      <c r="B2706" s="3">
        <v>46143</v>
      </c>
      <c r="C2706">
        <v>3</v>
      </c>
      <c r="D2706">
        <v>57.83</v>
      </c>
      <c r="E2706">
        <v>998251</v>
      </c>
      <c r="J2706" t="s">
        <v>29</v>
      </c>
      <c r="K2706" t="str">
        <f>IF(Table3[[#This Row],[Type Received]]=2,"CC",(IF(Table3[[#This Row],[Type Received]]=3,"BILL","ACH")))</f>
        <v>BILL</v>
      </c>
    </row>
    <row r="2707" spans="1:11" x14ac:dyDescent="0.25">
      <c r="A2707">
        <v>230898</v>
      </c>
      <c r="B2707" s="3">
        <v>46155</v>
      </c>
      <c r="C2707">
        <v>2</v>
      </c>
      <c r="D2707">
        <v>22.73</v>
      </c>
      <c r="F2707">
        <v>28795</v>
      </c>
      <c r="G2707" t="s">
        <v>28</v>
      </c>
      <c r="H2707">
        <v>669488813</v>
      </c>
      <c r="I2707" t="s">
        <v>29</v>
      </c>
      <c r="J2707" t="s">
        <v>29</v>
      </c>
      <c r="K2707" t="str">
        <f>IF(Table3[[#This Row],[Type Received]]=2,"CC",(IF(Table3[[#This Row],[Type Received]]=3,"BILL","ACH")))</f>
        <v>CC</v>
      </c>
    </row>
    <row r="2708" spans="1:11" x14ac:dyDescent="0.25">
      <c r="A2708">
        <v>230959</v>
      </c>
      <c r="B2708" s="3">
        <v>46157</v>
      </c>
      <c r="C2708">
        <v>1</v>
      </c>
      <c r="D2708">
        <v>77.95</v>
      </c>
      <c r="G2708" t="s">
        <v>87</v>
      </c>
      <c r="H2708">
        <v>696775632</v>
      </c>
      <c r="I2708" t="s">
        <v>29</v>
      </c>
      <c r="J2708" t="s">
        <v>29</v>
      </c>
      <c r="K2708" t="str">
        <f>IF(Table3[[#This Row],[Type Received]]=2,"CC",(IF(Table3[[#This Row],[Type Received]]=3,"BILL","ACH")))</f>
        <v>ACH</v>
      </c>
    </row>
    <row r="2709" spans="1:11" x14ac:dyDescent="0.25">
      <c r="A2709">
        <v>230987</v>
      </c>
      <c r="B2709" s="3">
        <v>46143</v>
      </c>
      <c r="C2709">
        <v>3</v>
      </c>
      <c r="D2709">
        <v>77</v>
      </c>
      <c r="E2709">
        <v>4454566135</v>
      </c>
      <c r="K2709" t="str">
        <f>IF(Table3[[#This Row],[Type Received]]=2,"CC",(IF(Table3[[#This Row],[Type Received]]=3,"BILL","ACH")))</f>
        <v>BILL</v>
      </c>
    </row>
    <row r="2710" spans="1:11" x14ac:dyDescent="0.25">
      <c r="A2710">
        <v>230993</v>
      </c>
      <c r="B2710" s="3">
        <v>46144</v>
      </c>
      <c r="C2710">
        <v>1</v>
      </c>
      <c r="D2710">
        <v>70.03</v>
      </c>
      <c r="G2710" t="s">
        <v>89</v>
      </c>
      <c r="H2710">
        <v>535417240</v>
      </c>
      <c r="I2710" t="s">
        <v>29</v>
      </c>
      <c r="J2710" t="s">
        <v>29</v>
      </c>
      <c r="K2710" t="str">
        <f>IF(Table3[[#This Row],[Type Received]]=2,"CC",(IF(Table3[[#This Row],[Type Received]]=3,"BILL","ACH")))</f>
        <v>ACH</v>
      </c>
    </row>
    <row r="2711" spans="1:11" x14ac:dyDescent="0.25">
      <c r="A2711">
        <v>231007</v>
      </c>
      <c r="B2711" s="3">
        <v>46147</v>
      </c>
      <c r="C2711">
        <v>3</v>
      </c>
      <c r="D2711">
        <v>115.47</v>
      </c>
      <c r="E2711">
        <v>7375</v>
      </c>
      <c r="K2711" t="str">
        <f>IF(Table3[[#This Row],[Type Received]]=2,"CC",(IF(Table3[[#This Row],[Type Received]]=3,"BILL","ACH")))</f>
        <v>BILL</v>
      </c>
    </row>
    <row r="2712" spans="1:11" x14ac:dyDescent="0.25">
      <c r="A2712">
        <v>231148</v>
      </c>
      <c r="B2712" s="3">
        <v>46153</v>
      </c>
      <c r="C2712">
        <v>3</v>
      </c>
      <c r="D2712">
        <v>37.89</v>
      </c>
      <c r="E2712">
        <v>38150259030</v>
      </c>
      <c r="K2712" t="str">
        <f>IF(Table3[[#This Row],[Type Received]]=2,"CC",(IF(Table3[[#This Row],[Type Received]]=3,"BILL","ACH")))</f>
        <v>BILL</v>
      </c>
    </row>
    <row r="2713" spans="1:11" x14ac:dyDescent="0.25">
      <c r="A2713">
        <v>231177</v>
      </c>
      <c r="B2713" s="3">
        <v>46157</v>
      </c>
      <c r="C2713">
        <v>1</v>
      </c>
      <c r="D2713">
        <v>46.27</v>
      </c>
      <c r="G2713" t="s">
        <v>87</v>
      </c>
      <c r="H2713">
        <v>696777648</v>
      </c>
      <c r="I2713" t="s">
        <v>29</v>
      </c>
      <c r="J2713" t="s">
        <v>29</v>
      </c>
      <c r="K2713" t="str">
        <f>IF(Table3[[#This Row],[Type Received]]=2,"CC",(IF(Table3[[#This Row],[Type Received]]=3,"BILL","ACH")))</f>
        <v>ACH</v>
      </c>
    </row>
    <row r="2714" spans="1:11" x14ac:dyDescent="0.25">
      <c r="A2714">
        <v>231179</v>
      </c>
      <c r="B2714" s="3">
        <v>46144</v>
      </c>
      <c r="C2714">
        <v>2</v>
      </c>
      <c r="D2714">
        <v>85.87</v>
      </c>
      <c r="F2714">
        <v>2208</v>
      </c>
      <c r="G2714" t="s">
        <v>28</v>
      </c>
      <c r="H2714">
        <v>535372444</v>
      </c>
      <c r="I2714" t="s">
        <v>29</v>
      </c>
      <c r="J2714" t="s">
        <v>29</v>
      </c>
      <c r="K2714" t="str">
        <f>IF(Table3[[#This Row],[Type Received]]=2,"CC",(IF(Table3[[#This Row],[Type Received]]=3,"BILL","ACH")))</f>
        <v>CC</v>
      </c>
    </row>
    <row r="2715" spans="1:11" x14ac:dyDescent="0.25">
      <c r="A2715">
        <v>231196</v>
      </c>
      <c r="B2715" s="3">
        <v>46149</v>
      </c>
      <c r="C2715">
        <v>2</v>
      </c>
      <c r="D2715">
        <v>183.3</v>
      </c>
      <c r="F2715">
        <v>3</v>
      </c>
      <c r="G2715" t="s">
        <v>28</v>
      </c>
      <c r="H2715">
        <v>599973198</v>
      </c>
      <c r="I2715" t="s">
        <v>29</v>
      </c>
      <c r="K2715" t="str">
        <f>IF(Table3[[#This Row],[Type Received]]=2,"CC",(IF(Table3[[#This Row],[Type Received]]=3,"BILL","ACH")))</f>
        <v>CC</v>
      </c>
    </row>
    <row r="2716" spans="1:11" x14ac:dyDescent="0.25">
      <c r="A2716">
        <v>231232</v>
      </c>
      <c r="B2716" s="3">
        <v>46168</v>
      </c>
      <c r="C2716">
        <v>1</v>
      </c>
      <c r="D2716">
        <v>87.85</v>
      </c>
      <c r="G2716" t="s">
        <v>110</v>
      </c>
      <c r="H2716">
        <v>828268053</v>
      </c>
      <c r="I2716" t="s">
        <v>29</v>
      </c>
      <c r="K2716" t="str">
        <f>IF(Table3[[#This Row],[Type Received]]=2,"CC",(IF(Table3[[#This Row],[Type Received]]=3,"BILL","ACH")))</f>
        <v>ACH</v>
      </c>
    </row>
    <row r="2717" spans="1:11" x14ac:dyDescent="0.25">
      <c r="A2717">
        <v>231277</v>
      </c>
      <c r="B2717" s="3">
        <v>46157</v>
      </c>
      <c r="C2717">
        <v>1</v>
      </c>
      <c r="D2717">
        <v>38.130000000000003</v>
      </c>
      <c r="G2717" t="s">
        <v>87</v>
      </c>
      <c r="H2717">
        <v>696783434</v>
      </c>
      <c r="I2717" t="s">
        <v>29</v>
      </c>
      <c r="J2717" t="s">
        <v>29</v>
      </c>
      <c r="K2717" t="str">
        <f>IF(Table3[[#This Row],[Type Received]]=2,"CC",(IF(Table3[[#This Row],[Type Received]]=3,"BILL","ACH")))</f>
        <v>ACH</v>
      </c>
    </row>
    <row r="2718" spans="1:11" x14ac:dyDescent="0.25">
      <c r="A2718">
        <v>231342</v>
      </c>
      <c r="B2718" s="3">
        <v>46155</v>
      </c>
      <c r="C2718">
        <v>2</v>
      </c>
      <c r="D2718">
        <v>103.69</v>
      </c>
      <c r="F2718" t="s">
        <v>263</v>
      </c>
      <c r="G2718" t="s">
        <v>28</v>
      </c>
      <c r="H2718">
        <v>669437024</v>
      </c>
      <c r="I2718" t="s">
        <v>29</v>
      </c>
      <c r="J2718" t="s">
        <v>29</v>
      </c>
      <c r="K2718" t="str">
        <f>IF(Table3[[#This Row],[Type Received]]=2,"CC",(IF(Table3[[#This Row],[Type Received]]=3,"BILL","ACH")))</f>
        <v>CC</v>
      </c>
    </row>
    <row r="2719" spans="1:11" x14ac:dyDescent="0.25">
      <c r="A2719">
        <v>231388</v>
      </c>
      <c r="B2719" s="3">
        <v>46164</v>
      </c>
      <c r="C2719">
        <v>3</v>
      </c>
      <c r="D2719">
        <v>165.55</v>
      </c>
      <c r="E2719">
        <v>3248</v>
      </c>
      <c r="J2719" t="s">
        <v>29</v>
      </c>
      <c r="K2719" t="str">
        <f>IF(Table3[[#This Row],[Type Received]]=2,"CC",(IF(Table3[[#This Row],[Type Received]]=3,"BILL","ACH")))</f>
        <v>BILL</v>
      </c>
    </row>
    <row r="2720" spans="1:11" x14ac:dyDescent="0.25">
      <c r="A2720">
        <v>231407</v>
      </c>
      <c r="B2720" s="3">
        <v>46168</v>
      </c>
      <c r="C2720">
        <v>1</v>
      </c>
      <c r="D2720">
        <v>37.11</v>
      </c>
      <c r="G2720" t="s">
        <v>110</v>
      </c>
      <c r="H2720">
        <v>828284404</v>
      </c>
      <c r="I2720" t="s">
        <v>29</v>
      </c>
      <c r="J2720" t="s">
        <v>29</v>
      </c>
      <c r="K2720" t="str">
        <f>IF(Table3[[#This Row],[Type Received]]=2,"CC",(IF(Table3[[#This Row],[Type Received]]=3,"BILL","ACH")))</f>
        <v>ACH</v>
      </c>
    </row>
    <row r="2721" spans="1:11" x14ac:dyDescent="0.25">
      <c r="A2721">
        <v>231409</v>
      </c>
      <c r="B2721" s="3">
        <v>46152</v>
      </c>
      <c r="C2721">
        <v>2</v>
      </c>
      <c r="D2721">
        <v>64.75</v>
      </c>
      <c r="F2721" t="s">
        <v>264</v>
      </c>
      <c r="G2721" t="s">
        <v>28</v>
      </c>
      <c r="H2721">
        <v>632886624</v>
      </c>
      <c r="I2721" t="s">
        <v>29</v>
      </c>
      <c r="K2721" t="str">
        <f>IF(Table3[[#This Row],[Type Received]]=2,"CC",(IF(Table3[[#This Row],[Type Received]]=3,"BILL","ACH")))</f>
        <v>CC</v>
      </c>
    </row>
    <row r="2722" spans="1:11" x14ac:dyDescent="0.25">
      <c r="A2722">
        <v>231429</v>
      </c>
      <c r="B2722" s="3">
        <v>46168</v>
      </c>
      <c r="C2722">
        <v>1</v>
      </c>
      <c r="D2722">
        <v>55.95</v>
      </c>
      <c r="G2722" t="s">
        <v>110</v>
      </c>
      <c r="H2722">
        <v>828268080</v>
      </c>
      <c r="I2722" t="s">
        <v>29</v>
      </c>
      <c r="J2722" t="s">
        <v>29</v>
      </c>
      <c r="K2722" t="str">
        <f>IF(Table3[[#This Row],[Type Received]]=2,"CC",(IF(Table3[[#This Row],[Type Received]]=3,"BILL","ACH")))</f>
        <v>ACH</v>
      </c>
    </row>
    <row r="2723" spans="1:11" x14ac:dyDescent="0.25">
      <c r="A2723">
        <v>231473</v>
      </c>
      <c r="B2723" s="3">
        <v>46157</v>
      </c>
      <c r="C2723">
        <v>1</v>
      </c>
      <c r="D2723">
        <v>65.849999999999994</v>
      </c>
      <c r="G2723" t="s">
        <v>87</v>
      </c>
      <c r="H2723">
        <v>696771892</v>
      </c>
      <c r="I2723" t="s">
        <v>29</v>
      </c>
      <c r="J2723" t="s">
        <v>29</v>
      </c>
      <c r="K2723" t="str">
        <f>IF(Table3[[#This Row],[Type Received]]=2,"CC",(IF(Table3[[#This Row],[Type Received]]=3,"BILL","ACH")))</f>
        <v>ACH</v>
      </c>
    </row>
    <row r="2724" spans="1:11" x14ac:dyDescent="0.25">
      <c r="A2724">
        <v>231483</v>
      </c>
      <c r="B2724" s="3">
        <v>46156</v>
      </c>
      <c r="C2724">
        <v>1</v>
      </c>
      <c r="D2724">
        <v>56.61</v>
      </c>
      <c r="G2724" t="s">
        <v>93</v>
      </c>
      <c r="H2724">
        <v>682537479</v>
      </c>
      <c r="I2724" t="s">
        <v>29</v>
      </c>
      <c r="K2724" t="str">
        <f>IF(Table3[[#This Row],[Type Received]]=2,"CC",(IF(Table3[[#This Row],[Type Received]]=3,"BILL","ACH")))</f>
        <v>ACH</v>
      </c>
    </row>
    <row r="2725" spans="1:11" x14ac:dyDescent="0.25">
      <c r="A2725">
        <v>231494</v>
      </c>
      <c r="B2725" s="3">
        <v>46155</v>
      </c>
      <c r="C2725">
        <v>2</v>
      </c>
      <c r="D2725">
        <v>51.55</v>
      </c>
      <c r="F2725" t="s">
        <v>265</v>
      </c>
      <c r="G2725" t="s">
        <v>28</v>
      </c>
      <c r="H2725">
        <v>669483937</v>
      </c>
      <c r="I2725" t="s">
        <v>29</v>
      </c>
      <c r="J2725" t="s">
        <v>29</v>
      </c>
      <c r="K2725" t="str">
        <f>IF(Table3[[#This Row],[Type Received]]=2,"CC",(IF(Table3[[#This Row],[Type Received]]=3,"BILL","ACH")))</f>
        <v>CC</v>
      </c>
    </row>
    <row r="2726" spans="1:11" x14ac:dyDescent="0.25">
      <c r="A2726">
        <v>231561</v>
      </c>
      <c r="B2726" s="3">
        <v>46143</v>
      </c>
      <c r="C2726">
        <v>3</v>
      </c>
      <c r="D2726">
        <v>24.78</v>
      </c>
      <c r="E2726">
        <v>9895</v>
      </c>
      <c r="K2726" t="str">
        <f>IF(Table3[[#This Row],[Type Received]]=2,"CC",(IF(Table3[[#This Row],[Type Received]]=3,"BILL","ACH")))</f>
        <v>BILL</v>
      </c>
    </row>
    <row r="2727" spans="1:11" x14ac:dyDescent="0.25">
      <c r="A2727">
        <v>231573</v>
      </c>
      <c r="B2727" s="3">
        <v>46145</v>
      </c>
      <c r="C2727">
        <v>1</v>
      </c>
      <c r="D2727">
        <v>135.37</v>
      </c>
      <c r="G2727" t="s">
        <v>113</v>
      </c>
      <c r="H2727">
        <v>546418414</v>
      </c>
      <c r="I2727" t="s">
        <v>29</v>
      </c>
      <c r="K2727" t="str">
        <f>IF(Table3[[#This Row],[Type Received]]=2,"CC",(IF(Table3[[#This Row],[Type Received]]=3,"BILL","ACH")))</f>
        <v>ACH</v>
      </c>
    </row>
    <row r="2728" spans="1:11" x14ac:dyDescent="0.25">
      <c r="A2728">
        <v>231583</v>
      </c>
      <c r="B2728" s="3">
        <v>46157</v>
      </c>
      <c r="C2728">
        <v>1</v>
      </c>
      <c r="D2728">
        <v>82.35</v>
      </c>
      <c r="G2728" t="s">
        <v>87</v>
      </c>
      <c r="H2728">
        <v>696774681</v>
      </c>
      <c r="I2728" t="s">
        <v>29</v>
      </c>
      <c r="J2728" t="s">
        <v>29</v>
      </c>
      <c r="K2728" t="str">
        <f>IF(Table3[[#This Row],[Type Received]]=2,"CC",(IF(Table3[[#This Row],[Type Received]]=3,"BILL","ACH")))</f>
        <v>ACH</v>
      </c>
    </row>
    <row r="2729" spans="1:11" x14ac:dyDescent="0.25">
      <c r="A2729">
        <v>231584</v>
      </c>
      <c r="B2729" s="3">
        <v>46157</v>
      </c>
      <c r="C2729">
        <v>1</v>
      </c>
      <c r="D2729">
        <v>56.39</v>
      </c>
      <c r="G2729" t="s">
        <v>87</v>
      </c>
      <c r="H2729">
        <v>696772857</v>
      </c>
      <c r="I2729" t="s">
        <v>29</v>
      </c>
      <c r="J2729" t="s">
        <v>29</v>
      </c>
      <c r="K2729" t="str">
        <f>IF(Table3[[#This Row],[Type Received]]=2,"CC",(IF(Table3[[#This Row],[Type Received]]=3,"BILL","ACH")))</f>
        <v>ACH</v>
      </c>
    </row>
    <row r="2730" spans="1:11" x14ac:dyDescent="0.25">
      <c r="A2730">
        <v>231621</v>
      </c>
      <c r="B2730" s="3">
        <v>46144</v>
      </c>
      <c r="C2730">
        <v>2</v>
      </c>
      <c r="D2730">
        <v>40.549999999999997</v>
      </c>
      <c r="F2730">
        <v>2478</v>
      </c>
      <c r="G2730" t="s">
        <v>28</v>
      </c>
      <c r="H2730">
        <v>535420138</v>
      </c>
      <c r="I2730" t="s">
        <v>29</v>
      </c>
      <c r="J2730" t="s">
        <v>29</v>
      </c>
      <c r="K2730" t="str">
        <f>IF(Table3[[#This Row],[Type Received]]=2,"CC",(IF(Table3[[#This Row],[Type Received]]=3,"BILL","ACH")))</f>
        <v>CC</v>
      </c>
    </row>
    <row r="2731" spans="1:11" x14ac:dyDescent="0.25">
      <c r="A2731">
        <v>231635</v>
      </c>
      <c r="B2731" s="3">
        <v>46164</v>
      </c>
      <c r="C2731">
        <v>2</v>
      </c>
      <c r="D2731">
        <v>54.82</v>
      </c>
      <c r="F2731">
        <v>89655</v>
      </c>
      <c r="G2731" t="s">
        <v>28</v>
      </c>
      <c r="H2731">
        <v>785108397</v>
      </c>
      <c r="I2731" t="s">
        <v>29</v>
      </c>
      <c r="K2731" t="str">
        <f>IF(Table3[[#This Row],[Type Received]]=2,"CC",(IF(Table3[[#This Row],[Type Received]]=3,"BILL","ACH")))</f>
        <v>CC</v>
      </c>
    </row>
    <row r="2732" spans="1:11" x14ac:dyDescent="0.25">
      <c r="A2732">
        <v>231663</v>
      </c>
      <c r="B2732" s="3">
        <v>46168</v>
      </c>
      <c r="C2732">
        <v>1</v>
      </c>
      <c r="D2732">
        <v>37.03</v>
      </c>
      <c r="G2732" t="s">
        <v>110</v>
      </c>
      <c r="H2732">
        <v>828280720</v>
      </c>
      <c r="I2732" t="s">
        <v>29</v>
      </c>
      <c r="J2732" t="s">
        <v>29</v>
      </c>
      <c r="K2732" t="str">
        <f>IF(Table3[[#This Row],[Type Received]]=2,"CC",(IF(Table3[[#This Row],[Type Received]]=3,"BILL","ACH")))</f>
        <v>ACH</v>
      </c>
    </row>
    <row r="2733" spans="1:11" x14ac:dyDescent="0.25">
      <c r="A2733">
        <v>231722</v>
      </c>
      <c r="B2733" s="3">
        <v>46160</v>
      </c>
      <c r="C2733">
        <v>2</v>
      </c>
      <c r="D2733">
        <v>86.54</v>
      </c>
      <c r="F2733">
        <v>942679</v>
      </c>
      <c r="G2733">
        <v>746573029</v>
      </c>
      <c r="H2733">
        <v>355044809</v>
      </c>
      <c r="J2733" t="s">
        <v>29</v>
      </c>
      <c r="K2733" t="str">
        <f>IF(Table3[[#This Row],[Type Received]]=2,"CC",(IF(Table3[[#This Row],[Type Received]]=3,"BILL","ACH")))</f>
        <v>CC</v>
      </c>
    </row>
    <row r="2734" spans="1:11" x14ac:dyDescent="0.25">
      <c r="A2734">
        <v>231773</v>
      </c>
      <c r="B2734" s="3">
        <v>46168</v>
      </c>
      <c r="C2734">
        <v>1</v>
      </c>
      <c r="D2734">
        <v>93.79</v>
      </c>
      <c r="G2734" t="s">
        <v>110</v>
      </c>
      <c r="H2734">
        <v>828294169</v>
      </c>
      <c r="I2734" t="s">
        <v>29</v>
      </c>
      <c r="K2734" t="str">
        <f>IF(Table3[[#This Row],[Type Received]]=2,"CC",(IF(Table3[[#This Row],[Type Received]]=3,"BILL","ACH")))</f>
        <v>ACH</v>
      </c>
    </row>
    <row r="2735" spans="1:11" x14ac:dyDescent="0.25">
      <c r="A2735">
        <v>231817</v>
      </c>
      <c r="B2735" s="3">
        <v>46169</v>
      </c>
      <c r="C2735">
        <v>2</v>
      </c>
      <c r="D2735">
        <v>122.51</v>
      </c>
      <c r="F2735">
        <v>173782</v>
      </c>
      <c r="G2735">
        <v>749271671</v>
      </c>
      <c r="H2735">
        <v>356001991</v>
      </c>
      <c r="J2735" t="s">
        <v>29</v>
      </c>
      <c r="K2735" t="str">
        <f>IF(Table3[[#This Row],[Type Received]]=2,"CC",(IF(Table3[[#This Row],[Type Received]]=3,"BILL","ACH")))</f>
        <v>CC</v>
      </c>
    </row>
    <row r="2736" spans="1:11" x14ac:dyDescent="0.25">
      <c r="A2736">
        <v>231837</v>
      </c>
      <c r="B2736" s="3">
        <v>46168</v>
      </c>
      <c r="C2736">
        <v>1</v>
      </c>
      <c r="D2736">
        <v>65.63</v>
      </c>
      <c r="G2736" t="s">
        <v>110</v>
      </c>
      <c r="H2736">
        <v>828290150</v>
      </c>
      <c r="I2736" t="s">
        <v>29</v>
      </c>
      <c r="K2736" t="str">
        <f>IF(Table3[[#This Row],[Type Received]]=2,"CC",(IF(Table3[[#This Row],[Type Received]]=3,"BILL","ACH")))</f>
        <v>ACH</v>
      </c>
    </row>
    <row r="2737" spans="1:11" x14ac:dyDescent="0.25">
      <c r="A2737">
        <v>231870</v>
      </c>
      <c r="B2737" s="3">
        <v>46168</v>
      </c>
      <c r="C2737">
        <v>1</v>
      </c>
      <c r="D2737">
        <v>66.069999999999993</v>
      </c>
      <c r="G2737" t="s">
        <v>110</v>
      </c>
      <c r="H2737">
        <v>828270089</v>
      </c>
      <c r="I2737" t="s">
        <v>29</v>
      </c>
      <c r="J2737" t="s">
        <v>29</v>
      </c>
      <c r="K2737" t="str">
        <f>IF(Table3[[#This Row],[Type Received]]=2,"CC",(IF(Table3[[#This Row],[Type Received]]=3,"BILL","ACH")))</f>
        <v>ACH</v>
      </c>
    </row>
    <row r="2738" spans="1:11" x14ac:dyDescent="0.25">
      <c r="A2738">
        <v>231926</v>
      </c>
      <c r="B2738" s="3">
        <v>46155</v>
      </c>
      <c r="C2738">
        <v>2</v>
      </c>
      <c r="D2738">
        <v>76.41</v>
      </c>
      <c r="F2738" t="s">
        <v>266</v>
      </c>
      <c r="G2738" t="s">
        <v>28</v>
      </c>
      <c r="H2738">
        <v>669495647</v>
      </c>
      <c r="I2738" t="s">
        <v>29</v>
      </c>
      <c r="J2738" t="s">
        <v>29</v>
      </c>
      <c r="K2738" t="str">
        <f>IF(Table3[[#This Row],[Type Received]]=2,"CC",(IF(Table3[[#This Row],[Type Received]]=3,"BILL","ACH")))</f>
        <v>CC</v>
      </c>
    </row>
    <row r="2739" spans="1:11" x14ac:dyDescent="0.25">
      <c r="A2739">
        <v>231956</v>
      </c>
      <c r="B2739" s="3">
        <v>46168</v>
      </c>
      <c r="C2739">
        <v>1</v>
      </c>
      <c r="D2739">
        <v>104.35</v>
      </c>
      <c r="G2739" t="s">
        <v>110</v>
      </c>
      <c r="H2739">
        <v>828291173</v>
      </c>
      <c r="I2739" t="s">
        <v>29</v>
      </c>
      <c r="J2739" t="s">
        <v>29</v>
      </c>
      <c r="K2739" t="str">
        <f>IF(Table3[[#This Row],[Type Received]]=2,"CC",(IF(Table3[[#This Row],[Type Received]]=3,"BILL","ACH")))</f>
        <v>ACH</v>
      </c>
    </row>
    <row r="2740" spans="1:11" x14ac:dyDescent="0.25">
      <c r="A2740">
        <v>231981</v>
      </c>
      <c r="B2740" s="3">
        <v>46168</v>
      </c>
      <c r="C2740">
        <v>3</v>
      </c>
      <c r="D2740">
        <v>178</v>
      </c>
      <c r="E2740">
        <v>2930</v>
      </c>
      <c r="J2740" t="s">
        <v>29</v>
      </c>
      <c r="K2740" t="str">
        <f>IF(Table3[[#This Row],[Type Received]]=2,"CC",(IF(Table3[[#This Row],[Type Received]]=3,"BILL","ACH")))</f>
        <v>BILL</v>
      </c>
    </row>
    <row r="2741" spans="1:11" x14ac:dyDescent="0.25">
      <c r="A2741">
        <v>232008</v>
      </c>
      <c r="B2741" s="3">
        <v>46157</v>
      </c>
      <c r="C2741">
        <v>1</v>
      </c>
      <c r="D2741">
        <v>36.15</v>
      </c>
      <c r="G2741" s="4" t="s">
        <v>87</v>
      </c>
      <c r="H2741">
        <v>696772868</v>
      </c>
      <c r="I2741" t="s">
        <v>29</v>
      </c>
      <c r="K2741" t="str">
        <f>IF(Table3[[#This Row],[Type Received]]=2,"CC",(IF(Table3[[#This Row],[Type Received]]=3,"BILL","ACH")))</f>
        <v>ACH</v>
      </c>
    </row>
    <row r="2742" spans="1:11" x14ac:dyDescent="0.25">
      <c r="A2742">
        <v>232084</v>
      </c>
      <c r="B2742" s="3">
        <v>46167</v>
      </c>
      <c r="C2742">
        <v>1</v>
      </c>
      <c r="D2742">
        <v>40.549999999999997</v>
      </c>
      <c r="G2742" t="s">
        <v>85</v>
      </c>
      <c r="H2742">
        <v>818340805</v>
      </c>
      <c r="I2742" t="s">
        <v>29</v>
      </c>
      <c r="K2742" t="str">
        <f>IF(Table3[[#This Row],[Type Received]]=2,"CC",(IF(Table3[[#This Row],[Type Received]]=3,"BILL","ACH")))</f>
        <v>ACH</v>
      </c>
    </row>
    <row r="2743" spans="1:11" x14ac:dyDescent="0.25">
      <c r="A2743">
        <v>232085</v>
      </c>
      <c r="B2743" s="3">
        <v>46146</v>
      </c>
      <c r="C2743">
        <v>3</v>
      </c>
      <c r="D2743">
        <v>111.07</v>
      </c>
      <c r="E2743">
        <v>1543</v>
      </c>
      <c r="K2743" t="str">
        <f>IF(Table3[[#This Row],[Type Received]]=2,"CC",(IF(Table3[[#This Row],[Type Received]]=3,"BILL","ACH")))</f>
        <v>BILL</v>
      </c>
    </row>
    <row r="2744" spans="1:11" x14ac:dyDescent="0.25">
      <c r="A2744">
        <v>232092</v>
      </c>
      <c r="B2744" s="3">
        <v>46143</v>
      </c>
      <c r="C2744">
        <v>2</v>
      </c>
      <c r="D2744">
        <v>94.79</v>
      </c>
      <c r="F2744">
        <v>1237</v>
      </c>
      <c r="G2744">
        <v>741374152</v>
      </c>
      <c r="H2744">
        <v>353090731</v>
      </c>
      <c r="J2744" t="s">
        <v>29</v>
      </c>
      <c r="K2744" t="str">
        <f>IF(Table3[[#This Row],[Type Received]]=2,"CC",(IF(Table3[[#This Row],[Type Received]]=3,"BILL","ACH")))</f>
        <v>CC</v>
      </c>
    </row>
    <row r="2745" spans="1:11" x14ac:dyDescent="0.25">
      <c r="A2745">
        <v>232099</v>
      </c>
      <c r="B2745" s="3">
        <v>46144</v>
      </c>
      <c r="C2745">
        <v>1</v>
      </c>
      <c r="D2745">
        <v>109.96</v>
      </c>
      <c r="G2745" t="s">
        <v>89</v>
      </c>
      <c r="H2745">
        <v>535418255</v>
      </c>
      <c r="I2745" t="s">
        <v>29</v>
      </c>
      <c r="J2745" t="s">
        <v>29</v>
      </c>
      <c r="K2745" t="str">
        <f>IF(Table3[[#This Row],[Type Received]]=2,"CC",(IF(Table3[[#This Row],[Type Received]]=3,"BILL","ACH")))</f>
        <v>ACH</v>
      </c>
    </row>
    <row r="2746" spans="1:11" x14ac:dyDescent="0.25">
      <c r="A2746">
        <v>232113</v>
      </c>
      <c r="B2746" s="3">
        <v>46157</v>
      </c>
      <c r="C2746">
        <v>1</v>
      </c>
      <c r="D2746">
        <v>44.29</v>
      </c>
      <c r="G2746" t="s">
        <v>87</v>
      </c>
      <c r="H2746">
        <v>696789209</v>
      </c>
      <c r="I2746" t="s">
        <v>29</v>
      </c>
      <c r="J2746" t="s">
        <v>29</v>
      </c>
      <c r="K2746" t="str">
        <f>IF(Table3[[#This Row],[Type Received]]=2,"CC",(IF(Table3[[#This Row],[Type Received]]=3,"BILL","ACH")))</f>
        <v>ACH</v>
      </c>
    </row>
    <row r="2747" spans="1:11" x14ac:dyDescent="0.25">
      <c r="A2747">
        <v>232120</v>
      </c>
      <c r="B2747" s="3">
        <v>46146</v>
      </c>
      <c r="C2747">
        <v>3</v>
      </c>
      <c r="D2747">
        <v>75.650000000000006</v>
      </c>
      <c r="E2747">
        <v>5381</v>
      </c>
      <c r="K2747" t="str">
        <f>IF(Table3[[#This Row],[Type Received]]=2,"CC",(IF(Table3[[#This Row],[Type Received]]=3,"BILL","ACH")))</f>
        <v>BILL</v>
      </c>
    </row>
    <row r="2748" spans="1:11" x14ac:dyDescent="0.25">
      <c r="A2748">
        <v>232196</v>
      </c>
      <c r="B2748" s="3">
        <v>46143</v>
      </c>
      <c r="C2748">
        <v>3</v>
      </c>
      <c r="D2748">
        <v>73.3</v>
      </c>
      <c r="E2748">
        <v>612</v>
      </c>
      <c r="K2748" t="str">
        <f>IF(Table3[[#This Row],[Type Received]]=2,"CC",(IF(Table3[[#This Row],[Type Received]]=3,"BILL","ACH")))</f>
        <v>BILL</v>
      </c>
    </row>
    <row r="2749" spans="1:11" x14ac:dyDescent="0.25">
      <c r="A2749">
        <v>232217</v>
      </c>
      <c r="B2749" s="3">
        <v>46143</v>
      </c>
      <c r="C2749">
        <v>3</v>
      </c>
      <c r="D2749">
        <v>143.69999999999999</v>
      </c>
      <c r="E2749">
        <v>2828</v>
      </c>
      <c r="J2749" t="s">
        <v>29</v>
      </c>
      <c r="K2749" t="str">
        <f>IF(Table3[[#This Row],[Type Received]]=2,"CC",(IF(Table3[[#This Row],[Type Received]]=3,"BILL","ACH")))</f>
        <v>BILL</v>
      </c>
    </row>
    <row r="2750" spans="1:11" x14ac:dyDescent="0.25">
      <c r="A2750">
        <v>232255</v>
      </c>
      <c r="B2750" s="3">
        <v>46157</v>
      </c>
      <c r="C2750">
        <v>1</v>
      </c>
      <c r="D2750">
        <v>129.43</v>
      </c>
      <c r="G2750" t="s">
        <v>87</v>
      </c>
      <c r="H2750">
        <v>696783494</v>
      </c>
      <c r="I2750" t="s">
        <v>29</v>
      </c>
      <c r="J2750" t="s">
        <v>29</v>
      </c>
      <c r="K2750" t="str">
        <f>IF(Table3[[#This Row],[Type Received]]=2,"CC",(IF(Table3[[#This Row],[Type Received]]=3,"BILL","ACH")))</f>
        <v>ACH</v>
      </c>
    </row>
    <row r="2751" spans="1:11" x14ac:dyDescent="0.25">
      <c r="A2751">
        <v>232263</v>
      </c>
      <c r="B2751" s="3">
        <v>46146</v>
      </c>
      <c r="C2751">
        <v>2</v>
      </c>
      <c r="D2751">
        <v>60.1</v>
      </c>
      <c r="F2751">
        <v>500392</v>
      </c>
      <c r="G2751" t="s">
        <v>28</v>
      </c>
      <c r="H2751">
        <v>558150183</v>
      </c>
      <c r="I2751" t="s">
        <v>29</v>
      </c>
      <c r="K2751" t="str">
        <f>IF(Table3[[#This Row],[Type Received]]=2,"CC",(IF(Table3[[#This Row],[Type Received]]=3,"BILL","ACH")))</f>
        <v>CC</v>
      </c>
    </row>
    <row r="2752" spans="1:11" x14ac:dyDescent="0.25">
      <c r="A2752">
        <v>232289</v>
      </c>
      <c r="B2752" s="3">
        <v>46168</v>
      </c>
      <c r="C2752">
        <v>1</v>
      </c>
      <c r="D2752">
        <v>66.95</v>
      </c>
      <c r="G2752" t="s">
        <v>110</v>
      </c>
      <c r="H2752">
        <v>828298177</v>
      </c>
      <c r="I2752" t="s">
        <v>29</v>
      </c>
      <c r="J2752" t="s">
        <v>29</v>
      </c>
      <c r="K2752" t="str">
        <f>IF(Table3[[#This Row],[Type Received]]=2,"CC",(IF(Table3[[#This Row],[Type Received]]=3,"BILL","ACH")))</f>
        <v>ACH</v>
      </c>
    </row>
    <row r="2753" spans="1:11" x14ac:dyDescent="0.25">
      <c r="A2753">
        <v>232340</v>
      </c>
      <c r="B2753" s="3">
        <v>46144</v>
      </c>
      <c r="C2753">
        <v>1</v>
      </c>
      <c r="D2753">
        <v>39.450000000000003</v>
      </c>
      <c r="G2753" t="s">
        <v>89</v>
      </c>
      <c r="H2753">
        <v>535357682</v>
      </c>
      <c r="I2753" t="s">
        <v>29</v>
      </c>
      <c r="J2753" t="s">
        <v>29</v>
      </c>
      <c r="K2753" t="str">
        <f>IF(Table3[[#This Row],[Type Received]]=2,"CC",(IF(Table3[[#This Row],[Type Received]]=3,"BILL","ACH")))</f>
        <v>ACH</v>
      </c>
    </row>
    <row r="2754" spans="1:11" x14ac:dyDescent="0.25">
      <c r="A2754">
        <v>232369</v>
      </c>
      <c r="B2754" s="3">
        <v>46168</v>
      </c>
      <c r="C2754">
        <v>1</v>
      </c>
      <c r="D2754">
        <v>30.65</v>
      </c>
      <c r="G2754" t="s">
        <v>110</v>
      </c>
      <c r="H2754">
        <v>828291228</v>
      </c>
      <c r="I2754" t="s">
        <v>29</v>
      </c>
      <c r="K2754" t="str">
        <f>IF(Table3[[#This Row],[Type Received]]=2,"CC",(IF(Table3[[#This Row],[Type Received]]=3,"BILL","ACH")))</f>
        <v>ACH</v>
      </c>
    </row>
    <row r="2755" spans="1:11" x14ac:dyDescent="0.25">
      <c r="A2755">
        <v>232410</v>
      </c>
      <c r="B2755" s="3">
        <v>46157</v>
      </c>
      <c r="C2755">
        <v>1</v>
      </c>
      <c r="D2755">
        <v>67.61</v>
      </c>
      <c r="G2755" t="s">
        <v>87</v>
      </c>
      <c r="H2755">
        <v>696850140</v>
      </c>
      <c r="I2755" t="s">
        <v>29</v>
      </c>
      <c r="J2755" t="s">
        <v>29</v>
      </c>
      <c r="K2755" t="str">
        <f>IF(Table3[[#This Row],[Type Received]]=2,"CC",(IF(Table3[[#This Row],[Type Received]]=3,"BILL","ACH")))</f>
        <v>ACH</v>
      </c>
    </row>
    <row r="2756" spans="1:11" x14ac:dyDescent="0.25">
      <c r="A2756">
        <v>232411</v>
      </c>
      <c r="B2756" s="3">
        <v>46168</v>
      </c>
      <c r="C2756">
        <v>1</v>
      </c>
      <c r="D2756">
        <v>45.94</v>
      </c>
      <c r="G2756" t="s">
        <v>110</v>
      </c>
      <c r="H2756">
        <v>828301132</v>
      </c>
      <c r="I2756" t="s">
        <v>29</v>
      </c>
      <c r="J2756" t="s">
        <v>29</v>
      </c>
      <c r="K2756" t="str">
        <f>IF(Table3[[#This Row],[Type Received]]=2,"CC",(IF(Table3[[#This Row],[Type Received]]=3,"BILL","ACH")))</f>
        <v>ACH</v>
      </c>
    </row>
    <row r="2757" spans="1:11" x14ac:dyDescent="0.25">
      <c r="A2757">
        <v>232440</v>
      </c>
      <c r="B2757" s="3">
        <v>46143</v>
      </c>
      <c r="C2757">
        <v>1</v>
      </c>
      <c r="D2757">
        <v>52.21</v>
      </c>
      <c r="G2757" t="s">
        <v>84</v>
      </c>
      <c r="H2757">
        <v>522192358</v>
      </c>
      <c r="I2757" t="s">
        <v>29</v>
      </c>
      <c r="J2757" t="s">
        <v>29</v>
      </c>
      <c r="K2757" t="str">
        <f>IF(Table3[[#This Row],[Type Received]]=2,"CC",(IF(Table3[[#This Row],[Type Received]]=3,"BILL","ACH")))</f>
        <v>ACH</v>
      </c>
    </row>
    <row r="2758" spans="1:11" x14ac:dyDescent="0.25">
      <c r="A2758">
        <v>232468</v>
      </c>
      <c r="B2758" s="3">
        <v>46143</v>
      </c>
      <c r="C2758">
        <v>2</v>
      </c>
      <c r="D2758">
        <v>160.44999999999999</v>
      </c>
      <c r="F2758" t="s">
        <v>267</v>
      </c>
      <c r="G2758" t="s">
        <v>28</v>
      </c>
      <c r="H2758">
        <v>522160724</v>
      </c>
      <c r="I2758" t="s">
        <v>29</v>
      </c>
      <c r="J2758" t="s">
        <v>29</v>
      </c>
      <c r="K2758" t="str">
        <f>IF(Table3[[#This Row],[Type Received]]=2,"CC",(IF(Table3[[#This Row],[Type Received]]=3,"BILL","ACH")))</f>
        <v>CC</v>
      </c>
    </row>
    <row r="2759" spans="1:11" x14ac:dyDescent="0.25">
      <c r="A2759">
        <v>232475</v>
      </c>
      <c r="B2759" s="3">
        <v>46169</v>
      </c>
      <c r="C2759">
        <v>3</v>
      </c>
      <c r="D2759">
        <v>193.2</v>
      </c>
      <c r="E2759">
        <v>378</v>
      </c>
      <c r="J2759" t="s">
        <v>29</v>
      </c>
      <c r="K2759" t="str">
        <f>IF(Table3[[#This Row],[Type Received]]=2,"CC",(IF(Table3[[#This Row],[Type Received]]=3,"BILL","ACH")))</f>
        <v>BILL</v>
      </c>
    </row>
    <row r="2760" spans="1:11" x14ac:dyDescent="0.25">
      <c r="A2760">
        <v>232515</v>
      </c>
      <c r="B2760" s="3">
        <v>46168</v>
      </c>
      <c r="C2760">
        <v>1</v>
      </c>
      <c r="D2760">
        <v>72.67</v>
      </c>
      <c r="G2760" t="s">
        <v>110</v>
      </c>
      <c r="H2760">
        <v>828299205</v>
      </c>
      <c r="I2760" t="s">
        <v>29</v>
      </c>
      <c r="K2760" t="str">
        <f>IF(Table3[[#This Row],[Type Received]]=2,"CC",(IF(Table3[[#This Row],[Type Received]]=3,"BILL","ACH")))</f>
        <v>ACH</v>
      </c>
    </row>
    <row r="2761" spans="1:11" x14ac:dyDescent="0.25">
      <c r="A2761">
        <v>232545</v>
      </c>
      <c r="B2761" s="3">
        <v>46155</v>
      </c>
      <c r="C2761">
        <v>3</v>
      </c>
      <c r="D2761">
        <v>33.85</v>
      </c>
      <c r="E2761">
        <v>2709</v>
      </c>
      <c r="K2761" t="str">
        <f>IF(Table3[[#This Row],[Type Received]]=2,"CC",(IF(Table3[[#This Row],[Type Received]]=3,"BILL","ACH")))</f>
        <v>BILL</v>
      </c>
    </row>
    <row r="2762" spans="1:11" x14ac:dyDescent="0.25">
      <c r="A2762">
        <v>232582</v>
      </c>
      <c r="B2762" s="3">
        <v>46144</v>
      </c>
      <c r="C2762">
        <v>1</v>
      </c>
      <c r="D2762">
        <v>56.17</v>
      </c>
      <c r="G2762" t="s">
        <v>89</v>
      </c>
      <c r="H2762">
        <v>535401700</v>
      </c>
      <c r="I2762" t="s">
        <v>29</v>
      </c>
      <c r="K2762" t="str">
        <f>IF(Table3[[#This Row],[Type Received]]=2,"CC",(IF(Table3[[#This Row],[Type Received]]=3,"BILL","ACH")))</f>
        <v>ACH</v>
      </c>
    </row>
    <row r="2763" spans="1:11" x14ac:dyDescent="0.25">
      <c r="A2763">
        <v>232731</v>
      </c>
      <c r="B2763" s="3">
        <v>46157</v>
      </c>
      <c r="C2763">
        <v>1</v>
      </c>
      <c r="D2763">
        <v>47.15</v>
      </c>
      <c r="G2763" t="s">
        <v>87</v>
      </c>
      <c r="H2763">
        <v>696783505</v>
      </c>
      <c r="I2763" t="s">
        <v>29</v>
      </c>
      <c r="J2763" t="s">
        <v>29</v>
      </c>
      <c r="K2763" t="str">
        <f>IF(Table3[[#This Row],[Type Received]]=2,"CC",(IF(Table3[[#This Row],[Type Received]]=3,"BILL","ACH")))</f>
        <v>ACH</v>
      </c>
    </row>
    <row r="2764" spans="1:11" x14ac:dyDescent="0.25">
      <c r="A2764">
        <v>232772</v>
      </c>
      <c r="B2764" s="3">
        <v>46157</v>
      </c>
      <c r="C2764">
        <v>2</v>
      </c>
      <c r="D2764">
        <v>62.23</v>
      </c>
      <c r="F2764">
        <v>130654</v>
      </c>
      <c r="G2764" t="s">
        <v>28</v>
      </c>
      <c r="H2764">
        <v>698900547</v>
      </c>
      <c r="I2764" t="s">
        <v>29</v>
      </c>
      <c r="J2764" t="s">
        <v>29</v>
      </c>
      <c r="K2764" t="str">
        <f>IF(Table3[[#This Row],[Type Received]]=2,"CC",(IF(Table3[[#This Row],[Type Received]]=3,"BILL","ACH")))</f>
        <v>CC</v>
      </c>
    </row>
    <row r="2765" spans="1:11" x14ac:dyDescent="0.25">
      <c r="A2765">
        <v>232805</v>
      </c>
      <c r="B2765" s="3">
        <v>46144</v>
      </c>
      <c r="C2765">
        <v>1</v>
      </c>
      <c r="D2765">
        <v>56.83</v>
      </c>
      <c r="G2765" t="s">
        <v>89</v>
      </c>
      <c r="H2765">
        <v>535413431</v>
      </c>
      <c r="I2765" t="s">
        <v>29</v>
      </c>
      <c r="J2765" t="s">
        <v>29</v>
      </c>
      <c r="K2765" t="str">
        <f>IF(Table3[[#This Row],[Type Received]]=2,"CC",(IF(Table3[[#This Row],[Type Received]]=3,"BILL","ACH")))</f>
        <v>ACH</v>
      </c>
    </row>
    <row r="2766" spans="1:11" x14ac:dyDescent="0.25">
      <c r="A2766">
        <v>232870</v>
      </c>
      <c r="B2766" s="3">
        <v>46170</v>
      </c>
      <c r="C2766">
        <v>2</v>
      </c>
      <c r="D2766">
        <v>798.14</v>
      </c>
      <c r="F2766">
        <v>2083</v>
      </c>
      <c r="G2766" t="s">
        <v>28</v>
      </c>
      <c r="H2766">
        <v>854640334</v>
      </c>
      <c r="I2766" t="s">
        <v>29</v>
      </c>
      <c r="J2766" t="s">
        <v>29</v>
      </c>
      <c r="K2766" t="str">
        <f>IF(Table3[[#This Row],[Type Received]]=2,"CC",(IF(Table3[[#This Row],[Type Received]]=3,"BILL","ACH")))</f>
        <v>CC</v>
      </c>
    </row>
    <row r="2767" spans="1:11" x14ac:dyDescent="0.25">
      <c r="A2767">
        <v>232970</v>
      </c>
      <c r="B2767" s="3">
        <v>46168</v>
      </c>
      <c r="C2767">
        <v>1</v>
      </c>
      <c r="D2767">
        <v>134.05000000000001</v>
      </c>
      <c r="G2767" t="s">
        <v>110</v>
      </c>
      <c r="H2767">
        <v>828293245</v>
      </c>
      <c r="I2767" t="s">
        <v>29</v>
      </c>
      <c r="J2767" t="s">
        <v>29</v>
      </c>
      <c r="K2767" t="str">
        <f>IF(Table3[[#This Row],[Type Received]]=2,"CC",(IF(Table3[[#This Row],[Type Received]]=3,"BILL","ACH")))</f>
        <v>ACH</v>
      </c>
    </row>
    <row r="2768" spans="1:11" x14ac:dyDescent="0.25">
      <c r="A2768">
        <v>232982</v>
      </c>
      <c r="B2768" s="3">
        <v>46164</v>
      </c>
      <c r="C2768">
        <v>3</v>
      </c>
      <c r="D2768">
        <v>57.5</v>
      </c>
      <c r="E2768">
        <v>923128471</v>
      </c>
      <c r="G2768" s="4"/>
      <c r="J2768" t="s">
        <v>29</v>
      </c>
      <c r="K2768" t="str">
        <f>IF(Table3[[#This Row],[Type Received]]=2,"CC",(IF(Table3[[#This Row],[Type Received]]=3,"BILL","ACH")))</f>
        <v>BILL</v>
      </c>
    </row>
    <row r="2769" spans="1:11" x14ac:dyDescent="0.25">
      <c r="A2769">
        <v>233007</v>
      </c>
      <c r="B2769" s="3">
        <v>46147</v>
      </c>
      <c r="C2769">
        <v>3</v>
      </c>
      <c r="D2769">
        <v>84.3</v>
      </c>
      <c r="E2769">
        <v>3422</v>
      </c>
      <c r="J2769" t="s">
        <v>29</v>
      </c>
      <c r="K2769" t="str">
        <f>IF(Table3[[#This Row],[Type Received]]=2,"CC",(IF(Table3[[#This Row],[Type Received]]=3,"BILL","ACH")))</f>
        <v>BILL</v>
      </c>
    </row>
    <row r="2770" spans="1:11" x14ac:dyDescent="0.25">
      <c r="A2770">
        <v>233009</v>
      </c>
      <c r="B2770" s="3">
        <v>46153</v>
      </c>
      <c r="C2770">
        <v>2</v>
      </c>
      <c r="D2770">
        <v>119.54</v>
      </c>
      <c r="F2770">
        <v>171783</v>
      </c>
      <c r="G2770">
        <v>744352488</v>
      </c>
      <c r="H2770">
        <v>354237081</v>
      </c>
      <c r="K2770" t="str">
        <f>IF(Table3[[#This Row],[Type Received]]=2,"CC",(IF(Table3[[#This Row],[Type Received]]=3,"BILL","ACH")))</f>
        <v>CC</v>
      </c>
    </row>
    <row r="2771" spans="1:11" x14ac:dyDescent="0.25">
      <c r="A2771">
        <v>233081</v>
      </c>
      <c r="B2771" s="3">
        <v>46157</v>
      </c>
      <c r="C2771">
        <v>1</v>
      </c>
      <c r="D2771">
        <v>89.17</v>
      </c>
      <c r="G2771" t="s">
        <v>87</v>
      </c>
      <c r="H2771">
        <v>696772905</v>
      </c>
      <c r="I2771" t="s">
        <v>29</v>
      </c>
      <c r="J2771" t="s">
        <v>29</v>
      </c>
      <c r="K2771" t="str">
        <f>IF(Table3[[#This Row],[Type Received]]=2,"CC",(IF(Table3[[#This Row],[Type Received]]=3,"BILL","ACH")))</f>
        <v>ACH</v>
      </c>
    </row>
    <row r="2772" spans="1:11" x14ac:dyDescent="0.25">
      <c r="A2772">
        <v>233206</v>
      </c>
      <c r="B2772" s="3">
        <v>46147</v>
      </c>
      <c r="C2772">
        <v>3</v>
      </c>
      <c r="D2772">
        <v>69.709999999999994</v>
      </c>
      <c r="E2772">
        <v>19823742171</v>
      </c>
      <c r="J2772" t="s">
        <v>29</v>
      </c>
      <c r="K2772" t="str">
        <f>IF(Table3[[#This Row],[Type Received]]=2,"CC",(IF(Table3[[#This Row],[Type Received]]=3,"BILL","ACH")))</f>
        <v>BILL</v>
      </c>
    </row>
    <row r="2773" spans="1:11" x14ac:dyDescent="0.25">
      <c r="A2773">
        <v>233241</v>
      </c>
      <c r="B2773" s="3">
        <v>46144</v>
      </c>
      <c r="C2773">
        <v>2</v>
      </c>
      <c r="D2773">
        <v>30.1</v>
      </c>
      <c r="F2773">
        <v>902011</v>
      </c>
      <c r="G2773" s="4" t="s">
        <v>28</v>
      </c>
      <c r="H2773">
        <v>535395021</v>
      </c>
      <c r="I2773" t="s">
        <v>29</v>
      </c>
      <c r="K2773" t="str">
        <f>IF(Table3[[#This Row],[Type Received]]=2,"CC",(IF(Table3[[#This Row],[Type Received]]=3,"BILL","ACH")))</f>
        <v>CC</v>
      </c>
    </row>
    <row r="2774" spans="1:11" x14ac:dyDescent="0.25">
      <c r="A2774">
        <v>233259</v>
      </c>
      <c r="B2774" s="3">
        <v>46156</v>
      </c>
      <c r="C2774">
        <v>3</v>
      </c>
      <c r="D2774">
        <v>35.17</v>
      </c>
      <c r="E2774">
        <v>58099264</v>
      </c>
      <c r="K2774" t="str">
        <f>IF(Table3[[#This Row],[Type Received]]=2,"CC",(IF(Table3[[#This Row],[Type Received]]=3,"BILL","ACH")))</f>
        <v>BILL</v>
      </c>
    </row>
    <row r="2775" spans="1:11" x14ac:dyDescent="0.25">
      <c r="A2775">
        <v>233271</v>
      </c>
      <c r="B2775" s="3">
        <v>46149</v>
      </c>
      <c r="C2775">
        <v>3</v>
      </c>
      <c r="D2775">
        <v>25.05</v>
      </c>
      <c r="E2775">
        <v>1435</v>
      </c>
      <c r="J2775" t="s">
        <v>29</v>
      </c>
      <c r="K2775" t="str">
        <f>IF(Table3[[#This Row],[Type Received]]=2,"CC",(IF(Table3[[#This Row],[Type Received]]=3,"BILL","ACH")))</f>
        <v>BILL</v>
      </c>
    </row>
    <row r="2776" spans="1:11" x14ac:dyDescent="0.25">
      <c r="A2776">
        <v>233291</v>
      </c>
      <c r="B2776" s="3">
        <v>46149</v>
      </c>
      <c r="C2776">
        <v>3</v>
      </c>
      <c r="D2776">
        <v>110</v>
      </c>
      <c r="E2776">
        <v>200062</v>
      </c>
      <c r="J2776" t="s">
        <v>29</v>
      </c>
      <c r="K2776" t="str">
        <f>IF(Table3[[#This Row],[Type Received]]=2,"CC",(IF(Table3[[#This Row],[Type Received]]=3,"BILL","ACH")))</f>
        <v>BILL</v>
      </c>
    </row>
    <row r="2777" spans="1:11" x14ac:dyDescent="0.25">
      <c r="A2777">
        <v>233298</v>
      </c>
      <c r="B2777" s="3">
        <v>46144</v>
      </c>
      <c r="C2777">
        <v>1</v>
      </c>
      <c r="D2777">
        <v>88.95</v>
      </c>
      <c r="G2777" t="s">
        <v>89</v>
      </c>
      <c r="H2777">
        <v>535415416</v>
      </c>
      <c r="I2777" t="s">
        <v>29</v>
      </c>
      <c r="J2777" t="s">
        <v>29</v>
      </c>
      <c r="K2777" t="str">
        <f>IF(Table3[[#This Row],[Type Received]]=2,"CC",(IF(Table3[[#This Row],[Type Received]]=3,"BILL","ACH")))</f>
        <v>ACH</v>
      </c>
    </row>
    <row r="2778" spans="1:11" x14ac:dyDescent="0.25">
      <c r="A2778">
        <v>233340</v>
      </c>
      <c r="B2778" s="3">
        <v>46157</v>
      </c>
      <c r="C2778">
        <v>1</v>
      </c>
      <c r="D2778">
        <v>82.79</v>
      </c>
      <c r="G2778" s="4" t="s">
        <v>87</v>
      </c>
      <c r="H2778">
        <v>696693686</v>
      </c>
      <c r="I2778" t="s">
        <v>29</v>
      </c>
      <c r="J2778" t="s">
        <v>29</v>
      </c>
      <c r="K2778" t="str">
        <f>IF(Table3[[#This Row],[Type Received]]=2,"CC",(IF(Table3[[#This Row],[Type Received]]=3,"BILL","ACH")))</f>
        <v>ACH</v>
      </c>
    </row>
    <row r="2779" spans="1:11" x14ac:dyDescent="0.25">
      <c r="A2779">
        <v>233357</v>
      </c>
      <c r="B2779" s="3">
        <v>46166</v>
      </c>
      <c r="C2779">
        <v>2</v>
      </c>
      <c r="D2779">
        <v>17.13</v>
      </c>
      <c r="F2779">
        <v>121107</v>
      </c>
      <c r="G2779">
        <v>748427872</v>
      </c>
      <c r="H2779">
        <v>355674011</v>
      </c>
      <c r="K2779" t="str">
        <f>IF(Table3[[#This Row],[Type Received]]=2,"CC",(IF(Table3[[#This Row],[Type Received]]=3,"BILL","ACH")))</f>
        <v>CC</v>
      </c>
    </row>
    <row r="2780" spans="1:11" x14ac:dyDescent="0.25">
      <c r="A2780">
        <v>233367</v>
      </c>
      <c r="B2780" s="3">
        <v>46148</v>
      </c>
      <c r="C2780">
        <v>3</v>
      </c>
      <c r="D2780">
        <v>43.94</v>
      </c>
      <c r="E2780">
        <v>1327</v>
      </c>
      <c r="J2780" t="s">
        <v>29</v>
      </c>
      <c r="K2780" t="str">
        <f>IF(Table3[[#This Row],[Type Received]]=2,"CC",(IF(Table3[[#This Row],[Type Received]]=3,"BILL","ACH")))</f>
        <v>BILL</v>
      </c>
    </row>
    <row r="2781" spans="1:11" x14ac:dyDescent="0.25">
      <c r="A2781">
        <v>233378</v>
      </c>
      <c r="B2781" s="3">
        <v>46160</v>
      </c>
      <c r="C2781">
        <v>3</v>
      </c>
      <c r="D2781">
        <v>137.76</v>
      </c>
      <c r="E2781">
        <v>3636</v>
      </c>
      <c r="K2781" t="str">
        <f>IF(Table3[[#This Row],[Type Received]]=2,"CC",(IF(Table3[[#This Row],[Type Received]]=3,"BILL","ACH")))</f>
        <v>BILL</v>
      </c>
    </row>
    <row r="2782" spans="1:11" x14ac:dyDescent="0.25">
      <c r="A2782">
        <v>233407</v>
      </c>
      <c r="B2782" s="3">
        <v>46155</v>
      </c>
      <c r="C2782">
        <v>1</v>
      </c>
      <c r="D2782">
        <v>44.95</v>
      </c>
      <c r="G2782" t="s">
        <v>90</v>
      </c>
      <c r="H2782">
        <v>669502043</v>
      </c>
      <c r="I2782" t="s">
        <v>29</v>
      </c>
      <c r="J2782" t="s">
        <v>29</v>
      </c>
      <c r="K2782" t="str">
        <f>IF(Table3[[#This Row],[Type Received]]=2,"CC",(IF(Table3[[#This Row],[Type Received]]=3,"BILL","ACH")))</f>
        <v>ACH</v>
      </c>
    </row>
    <row r="2783" spans="1:11" x14ac:dyDescent="0.25">
      <c r="A2783">
        <v>233423</v>
      </c>
      <c r="B2783" s="3">
        <v>46146</v>
      </c>
      <c r="C2783">
        <v>1</v>
      </c>
      <c r="D2783">
        <v>47.49</v>
      </c>
      <c r="G2783" t="s">
        <v>92</v>
      </c>
      <c r="H2783">
        <v>561512704</v>
      </c>
      <c r="I2783" t="s">
        <v>29</v>
      </c>
      <c r="K2783" t="str">
        <f>IF(Table3[[#This Row],[Type Received]]=2,"CC",(IF(Table3[[#This Row],[Type Received]]=3,"BILL","ACH")))</f>
        <v>ACH</v>
      </c>
    </row>
    <row r="2784" spans="1:11" x14ac:dyDescent="0.25">
      <c r="A2784">
        <v>233425</v>
      </c>
      <c r="B2784" s="3">
        <v>46144</v>
      </c>
      <c r="C2784">
        <v>1</v>
      </c>
      <c r="D2784">
        <v>127.78</v>
      </c>
      <c r="G2784" t="s">
        <v>89</v>
      </c>
      <c r="H2784">
        <v>535402761</v>
      </c>
      <c r="I2784" t="s">
        <v>29</v>
      </c>
      <c r="J2784" t="s">
        <v>29</v>
      </c>
      <c r="K2784" t="str">
        <f>IF(Table3[[#This Row],[Type Received]]=2,"CC",(IF(Table3[[#This Row],[Type Received]]=3,"BILL","ACH")))</f>
        <v>ACH</v>
      </c>
    </row>
    <row r="2785" spans="1:11" x14ac:dyDescent="0.25">
      <c r="A2785">
        <v>233468</v>
      </c>
      <c r="B2785" s="3">
        <v>46168</v>
      </c>
      <c r="C2785">
        <v>3</v>
      </c>
      <c r="D2785">
        <v>38.909999999999997</v>
      </c>
      <c r="E2785">
        <v>2745</v>
      </c>
      <c r="J2785" t="s">
        <v>29</v>
      </c>
      <c r="K2785" t="str">
        <f>IF(Table3[[#This Row],[Type Received]]=2,"CC",(IF(Table3[[#This Row],[Type Received]]=3,"BILL","ACH")))</f>
        <v>BILL</v>
      </c>
    </row>
    <row r="2786" spans="1:11" x14ac:dyDescent="0.25">
      <c r="A2786">
        <v>233536</v>
      </c>
      <c r="B2786" s="3">
        <v>46163</v>
      </c>
      <c r="C2786">
        <v>3</v>
      </c>
      <c r="D2786">
        <v>102.05</v>
      </c>
      <c r="E2786">
        <v>2374</v>
      </c>
      <c r="J2786" t="s">
        <v>29</v>
      </c>
      <c r="K2786" t="str">
        <f>IF(Table3[[#This Row],[Type Received]]=2,"CC",(IF(Table3[[#This Row],[Type Received]]=3,"BILL","ACH")))</f>
        <v>BILL</v>
      </c>
    </row>
    <row r="2787" spans="1:11" x14ac:dyDescent="0.25">
      <c r="A2787">
        <v>233580</v>
      </c>
      <c r="B2787" s="3">
        <v>46157</v>
      </c>
      <c r="C2787">
        <v>1</v>
      </c>
      <c r="D2787">
        <v>25.15</v>
      </c>
      <c r="G2787" t="s">
        <v>87</v>
      </c>
      <c r="H2787">
        <v>696788396</v>
      </c>
      <c r="I2787" t="s">
        <v>29</v>
      </c>
      <c r="K2787" t="str">
        <f>IF(Table3[[#This Row],[Type Received]]=2,"CC",(IF(Table3[[#This Row],[Type Received]]=3,"BILL","ACH")))</f>
        <v>ACH</v>
      </c>
    </row>
    <row r="2788" spans="1:11" x14ac:dyDescent="0.25">
      <c r="A2788">
        <v>233584</v>
      </c>
      <c r="B2788" s="3">
        <v>46168</v>
      </c>
      <c r="C2788">
        <v>1</v>
      </c>
      <c r="D2788">
        <v>47.15</v>
      </c>
      <c r="G2788" t="s">
        <v>110</v>
      </c>
      <c r="H2788">
        <v>828295251</v>
      </c>
      <c r="I2788" t="s">
        <v>29</v>
      </c>
      <c r="K2788" t="str">
        <f>IF(Table3[[#This Row],[Type Received]]=2,"CC",(IF(Table3[[#This Row],[Type Received]]=3,"BILL","ACH")))</f>
        <v>ACH</v>
      </c>
    </row>
    <row r="2789" spans="1:11" x14ac:dyDescent="0.25">
      <c r="A2789">
        <v>233589</v>
      </c>
      <c r="B2789" s="3">
        <v>46149</v>
      </c>
      <c r="C2789">
        <v>2</v>
      </c>
      <c r="D2789">
        <v>61.42</v>
      </c>
      <c r="F2789">
        <v>42396</v>
      </c>
      <c r="G2789" t="s">
        <v>28</v>
      </c>
      <c r="H2789">
        <v>600797320</v>
      </c>
      <c r="I2789" t="s">
        <v>29</v>
      </c>
      <c r="J2789" t="s">
        <v>29</v>
      </c>
      <c r="K2789" t="str">
        <f>IF(Table3[[#This Row],[Type Received]]=2,"CC",(IF(Table3[[#This Row],[Type Received]]=3,"BILL","ACH")))</f>
        <v>CC</v>
      </c>
    </row>
    <row r="2790" spans="1:11" x14ac:dyDescent="0.25">
      <c r="A2790">
        <v>233611</v>
      </c>
      <c r="B2790" s="3">
        <v>46162</v>
      </c>
      <c r="C2790">
        <v>2</v>
      </c>
      <c r="D2790">
        <v>54.86</v>
      </c>
      <c r="F2790">
        <v>50407</v>
      </c>
      <c r="G2790" t="s">
        <v>28</v>
      </c>
      <c r="H2790">
        <v>764012369</v>
      </c>
      <c r="I2790" t="s">
        <v>29</v>
      </c>
      <c r="K2790" t="str">
        <f>IF(Table3[[#This Row],[Type Received]]=2,"CC",(IF(Table3[[#This Row],[Type Received]]=3,"BILL","ACH")))</f>
        <v>CC</v>
      </c>
    </row>
    <row r="2791" spans="1:11" x14ac:dyDescent="0.25">
      <c r="A2791">
        <v>233613</v>
      </c>
      <c r="B2791" s="3">
        <v>46155</v>
      </c>
      <c r="C2791">
        <v>2</v>
      </c>
      <c r="D2791">
        <v>176.95</v>
      </c>
      <c r="F2791" t="s">
        <v>268</v>
      </c>
      <c r="G2791" t="s">
        <v>28</v>
      </c>
      <c r="H2791">
        <v>669507129</v>
      </c>
      <c r="I2791" t="s">
        <v>29</v>
      </c>
      <c r="K2791" t="str">
        <f>IF(Table3[[#This Row],[Type Received]]=2,"CC",(IF(Table3[[#This Row],[Type Received]]=3,"BILL","ACH")))</f>
        <v>CC</v>
      </c>
    </row>
    <row r="2792" spans="1:11" x14ac:dyDescent="0.25">
      <c r="A2792">
        <v>233653</v>
      </c>
      <c r="B2792" s="3">
        <v>46147</v>
      </c>
      <c r="C2792">
        <v>3</v>
      </c>
      <c r="D2792">
        <v>56.07</v>
      </c>
      <c r="E2792">
        <v>19797760191</v>
      </c>
      <c r="K2792" t="str">
        <f>IF(Table3[[#This Row],[Type Received]]=2,"CC",(IF(Table3[[#This Row],[Type Received]]=3,"BILL","ACH")))</f>
        <v>BILL</v>
      </c>
    </row>
    <row r="2793" spans="1:11" x14ac:dyDescent="0.25">
      <c r="A2793">
        <v>233761</v>
      </c>
      <c r="B2793" s="3">
        <v>46168</v>
      </c>
      <c r="C2793">
        <v>1</v>
      </c>
      <c r="D2793">
        <v>44.95</v>
      </c>
      <c r="G2793" t="s">
        <v>110</v>
      </c>
      <c r="H2793">
        <v>828298248</v>
      </c>
      <c r="I2793" t="s">
        <v>29</v>
      </c>
      <c r="J2793" t="s">
        <v>29</v>
      </c>
      <c r="K2793" t="str">
        <f>IF(Table3[[#This Row],[Type Received]]=2,"CC",(IF(Table3[[#This Row],[Type Received]]=3,"BILL","ACH")))</f>
        <v>ACH</v>
      </c>
    </row>
    <row r="2794" spans="1:11" x14ac:dyDescent="0.25">
      <c r="A2794">
        <v>233790</v>
      </c>
      <c r="B2794" s="3">
        <v>46156</v>
      </c>
      <c r="C2794">
        <v>2</v>
      </c>
      <c r="D2794">
        <v>186.34</v>
      </c>
      <c r="F2794">
        <v>7794</v>
      </c>
      <c r="G2794" t="s">
        <v>28</v>
      </c>
      <c r="H2794">
        <v>684306123</v>
      </c>
      <c r="I2794" t="s">
        <v>29</v>
      </c>
      <c r="J2794" t="s">
        <v>29</v>
      </c>
      <c r="K2794" t="str">
        <f>IF(Table3[[#This Row],[Type Received]]=2,"CC",(IF(Table3[[#This Row],[Type Received]]=3,"BILL","ACH")))</f>
        <v>CC</v>
      </c>
    </row>
    <row r="2795" spans="1:11" x14ac:dyDescent="0.25">
      <c r="A2795">
        <v>233889</v>
      </c>
      <c r="B2795" s="3">
        <v>46143</v>
      </c>
      <c r="C2795">
        <v>2</v>
      </c>
      <c r="D2795">
        <v>170.5</v>
      </c>
      <c r="F2795">
        <v>94438</v>
      </c>
      <c r="G2795" t="s">
        <v>28</v>
      </c>
      <c r="H2795">
        <v>524944721</v>
      </c>
      <c r="I2795" t="s">
        <v>29</v>
      </c>
      <c r="J2795" t="s">
        <v>29</v>
      </c>
      <c r="K2795" t="str">
        <f>IF(Table3[[#This Row],[Type Received]]=2,"CC",(IF(Table3[[#This Row],[Type Received]]=3,"BILL","ACH")))</f>
        <v>CC</v>
      </c>
    </row>
    <row r="2796" spans="1:11" x14ac:dyDescent="0.25">
      <c r="A2796">
        <v>233893</v>
      </c>
      <c r="B2796" s="3">
        <v>46168</v>
      </c>
      <c r="C2796">
        <v>1</v>
      </c>
      <c r="D2796">
        <v>91.15</v>
      </c>
      <c r="G2796" t="s">
        <v>110</v>
      </c>
      <c r="H2796">
        <v>828282749</v>
      </c>
      <c r="I2796" t="s">
        <v>29</v>
      </c>
      <c r="K2796" t="str">
        <f>IF(Table3[[#This Row],[Type Received]]=2,"CC",(IF(Table3[[#This Row],[Type Received]]=3,"BILL","ACH")))</f>
        <v>ACH</v>
      </c>
    </row>
    <row r="2797" spans="1:11" x14ac:dyDescent="0.25">
      <c r="A2797">
        <v>233912</v>
      </c>
      <c r="B2797" s="3">
        <v>46144</v>
      </c>
      <c r="C2797">
        <v>1</v>
      </c>
      <c r="D2797">
        <v>70.91</v>
      </c>
      <c r="G2797" t="s">
        <v>89</v>
      </c>
      <c r="H2797">
        <v>535414458</v>
      </c>
      <c r="I2797" t="s">
        <v>29</v>
      </c>
      <c r="K2797" t="str">
        <f>IF(Table3[[#This Row],[Type Received]]=2,"CC",(IF(Table3[[#This Row],[Type Received]]=3,"BILL","ACH")))</f>
        <v>ACH</v>
      </c>
    </row>
    <row r="2798" spans="1:11" x14ac:dyDescent="0.25">
      <c r="A2798">
        <v>233986</v>
      </c>
      <c r="B2798" s="3">
        <v>46157</v>
      </c>
      <c r="C2798">
        <v>3</v>
      </c>
      <c r="D2798">
        <v>55</v>
      </c>
      <c r="E2798">
        <v>4479803013</v>
      </c>
      <c r="K2798" t="str">
        <f>IF(Table3[[#This Row],[Type Received]]=2,"CC",(IF(Table3[[#This Row],[Type Received]]=3,"BILL","ACH")))</f>
        <v>BILL</v>
      </c>
    </row>
    <row r="2799" spans="1:11" x14ac:dyDescent="0.25">
      <c r="A2799">
        <v>234046</v>
      </c>
      <c r="B2799" s="3">
        <v>46168</v>
      </c>
      <c r="C2799">
        <v>3</v>
      </c>
      <c r="D2799">
        <v>51.45</v>
      </c>
      <c r="E2799">
        <v>1475</v>
      </c>
      <c r="J2799" t="s">
        <v>29</v>
      </c>
      <c r="K2799" t="str">
        <f>IF(Table3[[#This Row],[Type Received]]=2,"CC",(IF(Table3[[#This Row],[Type Received]]=3,"BILL","ACH")))</f>
        <v>BILL</v>
      </c>
    </row>
    <row r="2800" spans="1:11" x14ac:dyDescent="0.25">
      <c r="A2800">
        <v>234085</v>
      </c>
      <c r="B2800" s="3">
        <v>46167</v>
      </c>
      <c r="C2800">
        <v>1</v>
      </c>
      <c r="D2800">
        <v>93.79</v>
      </c>
      <c r="G2800" t="s">
        <v>85</v>
      </c>
      <c r="H2800">
        <v>818367884</v>
      </c>
      <c r="I2800" t="s">
        <v>29</v>
      </c>
      <c r="J2800" t="s">
        <v>29</v>
      </c>
      <c r="K2800" t="str">
        <f>IF(Table3[[#This Row],[Type Received]]=2,"CC",(IF(Table3[[#This Row],[Type Received]]=3,"BILL","ACH")))</f>
        <v>ACH</v>
      </c>
    </row>
    <row r="2801" spans="1:11" x14ac:dyDescent="0.25">
      <c r="A2801">
        <v>234087</v>
      </c>
      <c r="B2801" s="3">
        <v>46157</v>
      </c>
      <c r="C2801">
        <v>1</v>
      </c>
      <c r="D2801">
        <v>38.950000000000003</v>
      </c>
      <c r="G2801" t="s">
        <v>87</v>
      </c>
      <c r="H2801">
        <v>696796126</v>
      </c>
      <c r="I2801" t="s">
        <v>29</v>
      </c>
      <c r="J2801" t="s">
        <v>29</v>
      </c>
      <c r="K2801" t="str">
        <f>IF(Table3[[#This Row],[Type Received]]=2,"CC",(IF(Table3[[#This Row],[Type Received]]=3,"BILL","ACH")))</f>
        <v>ACH</v>
      </c>
    </row>
    <row r="2802" spans="1:11" x14ac:dyDescent="0.25">
      <c r="A2802">
        <v>234112</v>
      </c>
      <c r="B2802" s="3">
        <v>46168</v>
      </c>
      <c r="C2802">
        <v>1</v>
      </c>
      <c r="D2802">
        <v>95.44</v>
      </c>
      <c r="G2802" t="s">
        <v>110</v>
      </c>
      <c r="H2802">
        <v>828288721</v>
      </c>
      <c r="I2802" t="s">
        <v>29</v>
      </c>
      <c r="J2802" t="s">
        <v>29</v>
      </c>
      <c r="K2802" t="str">
        <f>IF(Table3[[#This Row],[Type Received]]=2,"CC",(IF(Table3[[#This Row],[Type Received]]=3,"BILL","ACH")))</f>
        <v>ACH</v>
      </c>
    </row>
    <row r="2803" spans="1:11" x14ac:dyDescent="0.25">
      <c r="A2803">
        <v>234154</v>
      </c>
      <c r="B2803" s="3">
        <v>46157</v>
      </c>
      <c r="C2803">
        <v>1</v>
      </c>
      <c r="D2803">
        <v>75.97</v>
      </c>
      <c r="G2803" t="s">
        <v>87</v>
      </c>
      <c r="H2803">
        <v>696787422</v>
      </c>
      <c r="I2803" t="s">
        <v>29</v>
      </c>
      <c r="J2803" t="s">
        <v>29</v>
      </c>
      <c r="K2803" t="str">
        <f>IF(Table3[[#This Row],[Type Received]]=2,"CC",(IF(Table3[[#This Row],[Type Received]]=3,"BILL","ACH")))</f>
        <v>ACH</v>
      </c>
    </row>
    <row r="2804" spans="1:11" x14ac:dyDescent="0.25">
      <c r="A2804">
        <v>234234</v>
      </c>
      <c r="B2804" s="3">
        <v>46171</v>
      </c>
      <c r="C2804">
        <v>3</v>
      </c>
      <c r="D2804">
        <v>86.65</v>
      </c>
      <c r="E2804">
        <v>7836</v>
      </c>
      <c r="J2804" t="s">
        <v>29</v>
      </c>
      <c r="K2804" t="str">
        <f>IF(Table3[[#This Row],[Type Received]]=2,"CC",(IF(Table3[[#This Row],[Type Received]]=3,"BILL","ACH")))</f>
        <v>BILL</v>
      </c>
    </row>
    <row r="2805" spans="1:11" x14ac:dyDescent="0.25">
      <c r="A2805">
        <v>234234</v>
      </c>
      <c r="B2805" s="3">
        <v>46143</v>
      </c>
      <c r="C2805">
        <v>3</v>
      </c>
      <c r="D2805">
        <v>86.65</v>
      </c>
      <c r="E2805">
        <v>7828</v>
      </c>
      <c r="J2805" t="s">
        <v>29</v>
      </c>
      <c r="K2805" t="str">
        <f>IF(Table3[[#This Row],[Type Received]]=2,"CC",(IF(Table3[[#This Row],[Type Received]]=3,"BILL","ACH")))</f>
        <v>BILL</v>
      </c>
    </row>
    <row r="2806" spans="1:11" x14ac:dyDescent="0.25">
      <c r="A2806">
        <v>234255</v>
      </c>
      <c r="B2806" s="3">
        <v>46167</v>
      </c>
      <c r="C2806">
        <v>1</v>
      </c>
      <c r="D2806">
        <v>102.15</v>
      </c>
      <c r="G2806" t="s">
        <v>85</v>
      </c>
      <c r="H2806">
        <v>818377608</v>
      </c>
      <c r="I2806" t="s">
        <v>29</v>
      </c>
      <c r="J2806" t="s">
        <v>29</v>
      </c>
      <c r="K2806" t="str">
        <f>IF(Table3[[#This Row],[Type Received]]=2,"CC",(IF(Table3[[#This Row],[Type Received]]=3,"BILL","ACH")))</f>
        <v>ACH</v>
      </c>
    </row>
    <row r="2807" spans="1:11" x14ac:dyDescent="0.25">
      <c r="A2807">
        <v>234289</v>
      </c>
      <c r="B2807" s="3">
        <v>46168</v>
      </c>
      <c r="C2807">
        <v>3</v>
      </c>
      <c r="D2807">
        <v>34.950000000000003</v>
      </c>
      <c r="E2807">
        <v>3878</v>
      </c>
      <c r="G2807" s="4"/>
      <c r="J2807" t="s">
        <v>29</v>
      </c>
      <c r="K2807" t="str">
        <f>IF(Table3[[#This Row],[Type Received]]=2,"CC",(IF(Table3[[#This Row],[Type Received]]=3,"BILL","ACH")))</f>
        <v>BILL</v>
      </c>
    </row>
    <row r="2808" spans="1:11" x14ac:dyDescent="0.25">
      <c r="A2808">
        <v>234289</v>
      </c>
      <c r="B2808" s="3">
        <v>46149</v>
      </c>
      <c r="C2808">
        <v>3</v>
      </c>
      <c r="D2808">
        <v>34.950000000000003</v>
      </c>
      <c r="E2808">
        <v>3911</v>
      </c>
      <c r="J2808" t="s">
        <v>29</v>
      </c>
      <c r="K2808" t="str">
        <f>IF(Table3[[#This Row],[Type Received]]=2,"CC",(IF(Table3[[#This Row],[Type Received]]=3,"BILL","ACH")))</f>
        <v>BILL</v>
      </c>
    </row>
    <row r="2809" spans="1:11" x14ac:dyDescent="0.25">
      <c r="A2809">
        <v>234293</v>
      </c>
      <c r="B2809" s="3">
        <v>46157</v>
      </c>
      <c r="C2809">
        <v>1</v>
      </c>
      <c r="D2809">
        <v>19.649999999999999</v>
      </c>
      <c r="G2809" t="s">
        <v>87</v>
      </c>
      <c r="H2809">
        <v>696793172</v>
      </c>
      <c r="I2809" t="s">
        <v>29</v>
      </c>
      <c r="J2809" t="s">
        <v>29</v>
      </c>
      <c r="K2809" t="str">
        <f>IF(Table3[[#This Row],[Type Received]]=2,"CC",(IF(Table3[[#This Row],[Type Received]]=3,"BILL","ACH")))</f>
        <v>ACH</v>
      </c>
    </row>
    <row r="2810" spans="1:11" x14ac:dyDescent="0.25">
      <c r="A2810">
        <v>234318</v>
      </c>
      <c r="B2810" s="3">
        <v>46144</v>
      </c>
      <c r="C2810">
        <v>1</v>
      </c>
      <c r="D2810">
        <v>101.27</v>
      </c>
      <c r="G2810" t="s">
        <v>89</v>
      </c>
      <c r="H2810">
        <v>535411512</v>
      </c>
      <c r="I2810" t="s">
        <v>29</v>
      </c>
      <c r="K2810" t="str">
        <f>IF(Table3[[#This Row],[Type Received]]=2,"CC",(IF(Table3[[#This Row],[Type Received]]=3,"BILL","ACH")))</f>
        <v>ACH</v>
      </c>
    </row>
    <row r="2811" spans="1:11" x14ac:dyDescent="0.25">
      <c r="A2811">
        <v>234344</v>
      </c>
      <c r="B2811" s="3">
        <v>46167</v>
      </c>
      <c r="C2811">
        <v>1</v>
      </c>
      <c r="D2811">
        <v>70.25</v>
      </c>
      <c r="G2811" t="s">
        <v>85</v>
      </c>
      <c r="H2811">
        <v>818365096</v>
      </c>
      <c r="I2811" t="s">
        <v>29</v>
      </c>
      <c r="K2811" t="str">
        <f>IF(Table3[[#This Row],[Type Received]]=2,"CC",(IF(Table3[[#This Row],[Type Received]]=3,"BILL","ACH")))</f>
        <v>ACH</v>
      </c>
    </row>
    <row r="2812" spans="1:11" x14ac:dyDescent="0.25">
      <c r="A2812">
        <v>234347</v>
      </c>
      <c r="B2812" s="3">
        <v>46167</v>
      </c>
      <c r="C2812">
        <v>1</v>
      </c>
      <c r="D2812">
        <v>62.33</v>
      </c>
      <c r="G2812" t="s">
        <v>85</v>
      </c>
      <c r="H2812">
        <v>818380561</v>
      </c>
      <c r="I2812" t="s">
        <v>29</v>
      </c>
      <c r="K2812" t="str">
        <f>IF(Table3[[#This Row],[Type Received]]=2,"CC",(IF(Table3[[#This Row],[Type Received]]=3,"BILL","ACH")))</f>
        <v>ACH</v>
      </c>
    </row>
    <row r="2813" spans="1:11" x14ac:dyDescent="0.25">
      <c r="A2813">
        <v>234383</v>
      </c>
      <c r="B2813" s="3">
        <v>46157</v>
      </c>
      <c r="C2813">
        <v>1</v>
      </c>
      <c r="D2813">
        <v>33.950000000000003</v>
      </c>
      <c r="G2813" t="s">
        <v>87</v>
      </c>
      <c r="H2813">
        <v>696795180</v>
      </c>
      <c r="I2813" t="s">
        <v>29</v>
      </c>
      <c r="K2813" t="str">
        <f>IF(Table3[[#This Row],[Type Received]]=2,"CC",(IF(Table3[[#This Row],[Type Received]]=3,"BILL","ACH")))</f>
        <v>ACH</v>
      </c>
    </row>
    <row r="2814" spans="1:11" x14ac:dyDescent="0.25">
      <c r="A2814">
        <v>234403</v>
      </c>
      <c r="B2814" s="3">
        <v>46144</v>
      </c>
      <c r="C2814">
        <v>1</v>
      </c>
      <c r="D2814">
        <v>81.25</v>
      </c>
      <c r="G2814" t="s">
        <v>89</v>
      </c>
      <c r="H2814">
        <v>535420234</v>
      </c>
      <c r="I2814" t="s">
        <v>29</v>
      </c>
      <c r="K2814" t="str">
        <f>IF(Table3[[#This Row],[Type Received]]=2,"CC",(IF(Table3[[#This Row],[Type Received]]=3,"BILL","ACH")))</f>
        <v>ACH</v>
      </c>
    </row>
    <row r="2815" spans="1:11" x14ac:dyDescent="0.25">
      <c r="A2815">
        <v>234423</v>
      </c>
      <c r="B2815" s="3">
        <v>46144</v>
      </c>
      <c r="C2815">
        <v>1</v>
      </c>
      <c r="D2815">
        <v>142.96</v>
      </c>
      <c r="G2815" t="s">
        <v>89</v>
      </c>
      <c r="H2815">
        <v>535414480</v>
      </c>
      <c r="I2815" t="s">
        <v>29</v>
      </c>
      <c r="K2815" t="str">
        <f>IF(Table3[[#This Row],[Type Received]]=2,"CC",(IF(Table3[[#This Row],[Type Received]]=3,"BILL","ACH")))</f>
        <v>ACH</v>
      </c>
    </row>
    <row r="2816" spans="1:11" x14ac:dyDescent="0.25">
      <c r="A2816">
        <v>234490</v>
      </c>
      <c r="B2816" s="3">
        <v>46167</v>
      </c>
      <c r="C2816">
        <v>1</v>
      </c>
      <c r="D2816">
        <v>89.39</v>
      </c>
      <c r="G2816" t="s">
        <v>85</v>
      </c>
      <c r="H2816">
        <v>818365059</v>
      </c>
      <c r="I2816" t="s">
        <v>29</v>
      </c>
      <c r="K2816" t="str">
        <f>IF(Table3[[#This Row],[Type Received]]=2,"CC",(IF(Table3[[#This Row],[Type Received]]=3,"BILL","ACH")))</f>
        <v>ACH</v>
      </c>
    </row>
    <row r="2817" spans="1:11" x14ac:dyDescent="0.25">
      <c r="A2817">
        <v>234520</v>
      </c>
      <c r="B2817" s="3">
        <v>46167</v>
      </c>
      <c r="C2817">
        <v>1</v>
      </c>
      <c r="D2817">
        <v>95.99</v>
      </c>
      <c r="G2817" t="s">
        <v>85</v>
      </c>
      <c r="H2817">
        <v>818388176</v>
      </c>
      <c r="I2817" t="s">
        <v>29</v>
      </c>
      <c r="K2817" t="str">
        <f>IF(Table3[[#This Row],[Type Received]]=2,"CC",(IF(Table3[[#This Row],[Type Received]]=3,"BILL","ACH")))</f>
        <v>ACH</v>
      </c>
    </row>
    <row r="2818" spans="1:11" x14ac:dyDescent="0.25">
      <c r="A2818">
        <v>234529</v>
      </c>
      <c r="B2818" s="3">
        <v>46171</v>
      </c>
      <c r="C2818">
        <v>3</v>
      </c>
      <c r="D2818">
        <v>110.63</v>
      </c>
      <c r="E2818">
        <v>8180</v>
      </c>
      <c r="K2818" t="str">
        <f>IF(Table3[[#This Row],[Type Received]]=2,"CC",(IF(Table3[[#This Row],[Type Received]]=3,"BILL","ACH")))</f>
        <v>BILL</v>
      </c>
    </row>
    <row r="2819" spans="1:11" x14ac:dyDescent="0.25">
      <c r="A2819">
        <v>234566</v>
      </c>
      <c r="B2819" s="3">
        <v>46143</v>
      </c>
      <c r="C2819">
        <v>2</v>
      </c>
      <c r="D2819">
        <v>100.21</v>
      </c>
      <c r="F2819">
        <v>26175</v>
      </c>
      <c r="G2819" t="s">
        <v>28</v>
      </c>
      <c r="H2819">
        <v>525539935</v>
      </c>
      <c r="I2819" t="s">
        <v>29</v>
      </c>
      <c r="K2819" t="str">
        <f>IF(Table3[[#This Row],[Type Received]]=2,"CC",(IF(Table3[[#This Row],[Type Received]]=3,"BILL","ACH")))</f>
        <v>CC</v>
      </c>
    </row>
    <row r="2820" spans="1:11" x14ac:dyDescent="0.25">
      <c r="A2820">
        <v>234573</v>
      </c>
      <c r="B2820" s="3">
        <v>46167</v>
      </c>
      <c r="C2820">
        <v>1</v>
      </c>
      <c r="D2820">
        <v>101.05</v>
      </c>
      <c r="G2820" t="s">
        <v>85</v>
      </c>
      <c r="H2820">
        <v>818371777</v>
      </c>
      <c r="I2820" t="s">
        <v>29</v>
      </c>
      <c r="K2820" t="str">
        <f>IF(Table3[[#This Row],[Type Received]]=2,"CC",(IF(Table3[[#This Row],[Type Received]]=3,"BILL","ACH")))</f>
        <v>ACH</v>
      </c>
    </row>
    <row r="2821" spans="1:11" x14ac:dyDescent="0.25">
      <c r="A2821">
        <v>234576</v>
      </c>
      <c r="B2821" s="3">
        <v>46155</v>
      </c>
      <c r="C2821">
        <v>1</v>
      </c>
      <c r="D2821">
        <v>90.49</v>
      </c>
      <c r="G2821" t="s">
        <v>90</v>
      </c>
      <c r="H2821">
        <v>669506255</v>
      </c>
      <c r="I2821" t="s">
        <v>29</v>
      </c>
      <c r="K2821" t="str">
        <f>IF(Table3[[#This Row],[Type Received]]=2,"CC",(IF(Table3[[#This Row],[Type Received]]=3,"BILL","ACH")))</f>
        <v>ACH</v>
      </c>
    </row>
    <row r="2822" spans="1:11" x14ac:dyDescent="0.25">
      <c r="A2822">
        <v>234599</v>
      </c>
      <c r="B2822" s="3">
        <v>46157</v>
      </c>
      <c r="C2822">
        <v>1</v>
      </c>
      <c r="D2822">
        <v>38.35</v>
      </c>
      <c r="G2822" t="s">
        <v>87</v>
      </c>
      <c r="H2822">
        <v>696777812</v>
      </c>
      <c r="I2822" t="s">
        <v>29</v>
      </c>
      <c r="K2822" t="str">
        <f>IF(Table3[[#This Row],[Type Received]]=2,"CC",(IF(Table3[[#This Row],[Type Received]]=3,"BILL","ACH")))</f>
        <v>ACH</v>
      </c>
    </row>
    <row r="2823" spans="1:11" x14ac:dyDescent="0.25">
      <c r="A2823">
        <v>234692</v>
      </c>
      <c r="B2823" s="3">
        <v>46150</v>
      </c>
      <c r="C2823">
        <v>3</v>
      </c>
      <c r="D2823">
        <v>286.26</v>
      </c>
      <c r="E2823">
        <v>76231963</v>
      </c>
      <c r="K2823" t="str">
        <f>IF(Table3[[#This Row],[Type Received]]=2,"CC",(IF(Table3[[#This Row],[Type Received]]=3,"BILL","ACH")))</f>
        <v>BILL</v>
      </c>
    </row>
    <row r="2824" spans="1:11" x14ac:dyDescent="0.25">
      <c r="A2824">
        <v>234733</v>
      </c>
      <c r="B2824" s="3">
        <v>46167</v>
      </c>
      <c r="C2824">
        <v>1</v>
      </c>
      <c r="D2824">
        <v>48.58</v>
      </c>
      <c r="G2824" t="s">
        <v>85</v>
      </c>
      <c r="H2824">
        <v>818392155</v>
      </c>
      <c r="I2824" t="s">
        <v>29</v>
      </c>
      <c r="K2824" t="str">
        <f>IF(Table3[[#This Row],[Type Received]]=2,"CC",(IF(Table3[[#This Row],[Type Received]]=3,"BILL","ACH")))</f>
        <v>ACH</v>
      </c>
    </row>
    <row r="2825" spans="1:11" x14ac:dyDescent="0.25">
      <c r="A2825">
        <v>234738</v>
      </c>
      <c r="B2825" s="3">
        <v>46143</v>
      </c>
      <c r="C2825">
        <v>2</v>
      </c>
      <c r="D2825">
        <v>77.95</v>
      </c>
      <c r="F2825">
        <v>110860</v>
      </c>
      <c r="G2825" t="s">
        <v>28</v>
      </c>
      <c r="H2825">
        <v>525236804</v>
      </c>
      <c r="I2825" t="s">
        <v>29</v>
      </c>
      <c r="K2825" t="str">
        <f>IF(Table3[[#This Row],[Type Received]]=2,"CC",(IF(Table3[[#This Row],[Type Received]]=3,"BILL","ACH")))</f>
        <v>CC</v>
      </c>
    </row>
    <row r="2826" spans="1:11" x14ac:dyDescent="0.25">
      <c r="A2826">
        <v>234751</v>
      </c>
      <c r="B2826" s="3">
        <v>46157</v>
      </c>
      <c r="C2826">
        <v>1</v>
      </c>
      <c r="D2826">
        <v>56.39</v>
      </c>
      <c r="G2826" t="s">
        <v>87</v>
      </c>
      <c r="H2826">
        <v>696793197</v>
      </c>
      <c r="I2826" t="s">
        <v>29</v>
      </c>
      <c r="K2826" t="str">
        <f>IF(Table3[[#This Row],[Type Received]]=2,"CC",(IF(Table3[[#This Row],[Type Received]]=3,"BILL","ACH")))</f>
        <v>ACH</v>
      </c>
    </row>
    <row r="2827" spans="1:11" x14ac:dyDescent="0.25">
      <c r="A2827">
        <v>234768</v>
      </c>
      <c r="B2827" s="3">
        <v>46157</v>
      </c>
      <c r="C2827">
        <v>1</v>
      </c>
      <c r="D2827">
        <v>44.95</v>
      </c>
      <c r="G2827" t="s">
        <v>87</v>
      </c>
      <c r="H2827">
        <v>696785498</v>
      </c>
      <c r="I2827" t="s">
        <v>29</v>
      </c>
      <c r="K2827" t="str">
        <f>IF(Table3[[#This Row],[Type Received]]=2,"CC",(IF(Table3[[#This Row],[Type Received]]=3,"BILL","ACH")))</f>
        <v>ACH</v>
      </c>
    </row>
    <row r="2828" spans="1:11" x14ac:dyDescent="0.25">
      <c r="A2828">
        <v>234777</v>
      </c>
      <c r="B2828" s="3">
        <v>46144</v>
      </c>
      <c r="C2828">
        <v>1</v>
      </c>
      <c r="D2828">
        <v>110.29</v>
      </c>
      <c r="G2828" t="s">
        <v>89</v>
      </c>
      <c r="H2828">
        <v>535371674</v>
      </c>
      <c r="I2828" t="s">
        <v>29</v>
      </c>
      <c r="K2828" t="str">
        <f>IF(Table3[[#This Row],[Type Received]]=2,"CC",(IF(Table3[[#This Row],[Type Received]]=3,"BILL","ACH")))</f>
        <v>ACH</v>
      </c>
    </row>
    <row r="2829" spans="1:11" x14ac:dyDescent="0.25">
      <c r="A2829">
        <v>234806</v>
      </c>
      <c r="B2829" s="3">
        <v>46167</v>
      </c>
      <c r="C2829">
        <v>1</v>
      </c>
      <c r="D2829">
        <v>55.95</v>
      </c>
      <c r="G2829" t="s">
        <v>85</v>
      </c>
      <c r="H2829">
        <v>818381534</v>
      </c>
      <c r="I2829" t="s">
        <v>29</v>
      </c>
      <c r="K2829" t="str">
        <f>IF(Table3[[#This Row],[Type Received]]=2,"CC",(IF(Table3[[#This Row],[Type Received]]=3,"BILL","ACH")))</f>
        <v>ACH</v>
      </c>
    </row>
    <row r="2830" spans="1:11" x14ac:dyDescent="0.25">
      <c r="A2830">
        <v>234814</v>
      </c>
      <c r="B2830" s="3">
        <v>46168</v>
      </c>
      <c r="C2830">
        <v>3</v>
      </c>
      <c r="D2830">
        <v>56.95</v>
      </c>
      <c r="E2830">
        <v>2268</v>
      </c>
      <c r="K2830" t="str">
        <f>IF(Table3[[#This Row],[Type Received]]=2,"CC",(IF(Table3[[#This Row],[Type Received]]=3,"BILL","ACH")))</f>
        <v>BILL</v>
      </c>
    </row>
    <row r="2831" spans="1:11" x14ac:dyDescent="0.25">
      <c r="A2831">
        <v>234820</v>
      </c>
      <c r="B2831" s="3">
        <v>46144</v>
      </c>
      <c r="C2831">
        <v>1</v>
      </c>
      <c r="D2831">
        <v>34.39</v>
      </c>
      <c r="G2831" t="s">
        <v>89</v>
      </c>
      <c r="H2831">
        <v>535407668</v>
      </c>
      <c r="I2831" t="s">
        <v>29</v>
      </c>
      <c r="K2831" t="str">
        <f>IF(Table3[[#This Row],[Type Received]]=2,"CC",(IF(Table3[[#This Row],[Type Received]]=3,"BILL","ACH")))</f>
        <v>ACH</v>
      </c>
    </row>
    <row r="2832" spans="1:11" x14ac:dyDescent="0.25">
      <c r="A2832">
        <v>234938</v>
      </c>
      <c r="B2832" s="3">
        <v>46171</v>
      </c>
      <c r="C2832">
        <v>3</v>
      </c>
      <c r="D2832">
        <v>73.34</v>
      </c>
      <c r="E2832">
        <v>672</v>
      </c>
      <c r="K2832" t="str">
        <f>IF(Table3[[#This Row],[Type Received]]=2,"CC",(IF(Table3[[#This Row],[Type Received]]=3,"BILL","ACH")))</f>
        <v>BILL</v>
      </c>
    </row>
    <row r="2833" spans="1:11" x14ac:dyDescent="0.25">
      <c r="A2833">
        <v>235003</v>
      </c>
      <c r="B2833" s="3">
        <v>46157</v>
      </c>
      <c r="C2833">
        <v>1</v>
      </c>
      <c r="D2833">
        <v>32.409999999999997</v>
      </c>
      <c r="G2833" t="s">
        <v>87</v>
      </c>
      <c r="H2833">
        <v>696795225</v>
      </c>
      <c r="I2833" t="s">
        <v>29</v>
      </c>
      <c r="K2833" t="str">
        <f>IF(Table3[[#This Row],[Type Received]]=2,"CC",(IF(Table3[[#This Row],[Type Received]]=3,"BILL","ACH")))</f>
        <v>ACH</v>
      </c>
    </row>
    <row r="2834" spans="1:11" x14ac:dyDescent="0.25">
      <c r="A2834">
        <v>235004</v>
      </c>
      <c r="B2834" s="3">
        <v>46144</v>
      </c>
      <c r="C2834">
        <v>1</v>
      </c>
      <c r="D2834">
        <v>88.73</v>
      </c>
      <c r="G2834" t="s">
        <v>89</v>
      </c>
      <c r="H2834">
        <v>535424127</v>
      </c>
      <c r="I2834" t="s">
        <v>29</v>
      </c>
      <c r="K2834" t="str">
        <f>IF(Table3[[#This Row],[Type Received]]=2,"CC",(IF(Table3[[#This Row],[Type Received]]=3,"BILL","ACH")))</f>
        <v>ACH</v>
      </c>
    </row>
    <row r="2835" spans="1:11" x14ac:dyDescent="0.25">
      <c r="A2835">
        <v>235023</v>
      </c>
      <c r="B2835" s="3">
        <v>46169</v>
      </c>
      <c r="C2835">
        <v>3</v>
      </c>
      <c r="D2835">
        <v>201.4</v>
      </c>
      <c r="E2835">
        <v>5379</v>
      </c>
      <c r="K2835" t="str">
        <f>IF(Table3[[#This Row],[Type Received]]=2,"CC",(IF(Table3[[#This Row],[Type Received]]=3,"BILL","ACH")))</f>
        <v>BILL</v>
      </c>
    </row>
    <row r="2836" spans="1:11" x14ac:dyDescent="0.25">
      <c r="A2836">
        <v>235054</v>
      </c>
      <c r="B2836" s="3">
        <v>46157</v>
      </c>
      <c r="C2836">
        <v>1</v>
      </c>
      <c r="D2836">
        <v>75.64</v>
      </c>
      <c r="G2836" t="s">
        <v>87</v>
      </c>
      <c r="H2836">
        <v>696786515</v>
      </c>
      <c r="I2836" t="s">
        <v>29</v>
      </c>
      <c r="K2836" t="str">
        <f>IF(Table3[[#This Row],[Type Received]]=2,"CC",(IF(Table3[[#This Row],[Type Received]]=3,"BILL","ACH")))</f>
        <v>ACH</v>
      </c>
    </row>
    <row r="2837" spans="1:11" x14ac:dyDescent="0.25">
      <c r="A2837">
        <v>235080</v>
      </c>
      <c r="B2837" s="3">
        <v>46144</v>
      </c>
      <c r="C2837">
        <v>2</v>
      </c>
      <c r="D2837">
        <v>56.95</v>
      </c>
      <c r="F2837" t="s">
        <v>269</v>
      </c>
      <c r="G2837" t="s">
        <v>28</v>
      </c>
      <c r="H2837">
        <v>535397099</v>
      </c>
      <c r="I2837" t="s">
        <v>29</v>
      </c>
      <c r="K2837" t="str">
        <f>IF(Table3[[#This Row],[Type Received]]=2,"CC",(IF(Table3[[#This Row],[Type Received]]=3,"BILL","ACH")))</f>
        <v>CC</v>
      </c>
    </row>
    <row r="2838" spans="1:11" x14ac:dyDescent="0.25">
      <c r="A2838">
        <v>235134</v>
      </c>
      <c r="B2838" s="3">
        <v>46153</v>
      </c>
      <c r="C2838">
        <v>3</v>
      </c>
      <c r="D2838">
        <v>70.150000000000006</v>
      </c>
      <c r="E2838">
        <v>1003</v>
      </c>
      <c r="K2838" t="str">
        <f>IF(Table3[[#This Row],[Type Received]]=2,"CC",(IF(Table3[[#This Row],[Type Received]]=3,"BILL","ACH")))</f>
        <v>BILL</v>
      </c>
    </row>
    <row r="2839" spans="1:11" x14ac:dyDescent="0.25">
      <c r="A2839">
        <v>235155</v>
      </c>
      <c r="B2839" s="3">
        <v>46165</v>
      </c>
      <c r="C2839">
        <v>2</v>
      </c>
      <c r="D2839">
        <v>201.19</v>
      </c>
      <c r="F2839">
        <v>635952</v>
      </c>
      <c r="G2839">
        <v>748047895</v>
      </c>
      <c r="H2839">
        <v>355605908</v>
      </c>
      <c r="K2839" t="str">
        <f>IF(Table3[[#This Row],[Type Received]]=2,"CC",(IF(Table3[[#This Row],[Type Received]]=3,"BILL","ACH")))</f>
        <v>CC</v>
      </c>
    </row>
    <row r="2840" spans="1:11" x14ac:dyDescent="0.25">
      <c r="A2840">
        <v>235258</v>
      </c>
      <c r="B2840" s="3">
        <v>46164</v>
      </c>
      <c r="C2840">
        <v>3</v>
      </c>
      <c r="D2840">
        <v>131.41999999999999</v>
      </c>
      <c r="E2840">
        <v>10009</v>
      </c>
      <c r="K2840" t="str">
        <f>IF(Table3[[#This Row],[Type Received]]=2,"CC",(IF(Table3[[#This Row],[Type Received]]=3,"BILL","ACH")))</f>
        <v>BILL</v>
      </c>
    </row>
    <row r="2841" spans="1:11" x14ac:dyDescent="0.25">
      <c r="A2841">
        <v>235384</v>
      </c>
      <c r="B2841" s="3">
        <v>46149</v>
      </c>
      <c r="C2841">
        <v>2</v>
      </c>
      <c r="D2841">
        <v>128.49</v>
      </c>
      <c r="F2841">
        <v>85552</v>
      </c>
      <c r="G2841" t="s">
        <v>28</v>
      </c>
      <c r="H2841">
        <v>596167810</v>
      </c>
      <c r="I2841" t="s">
        <v>29</v>
      </c>
      <c r="K2841" t="str">
        <f>IF(Table3[[#This Row],[Type Received]]=2,"CC",(IF(Table3[[#This Row],[Type Received]]=3,"BILL","ACH")))</f>
        <v>CC</v>
      </c>
    </row>
    <row r="2842" spans="1:11" x14ac:dyDescent="0.25">
      <c r="A2842">
        <v>235397</v>
      </c>
      <c r="B2842" s="3">
        <v>46149</v>
      </c>
      <c r="C2842">
        <v>1</v>
      </c>
      <c r="D2842">
        <v>76.95</v>
      </c>
      <c r="G2842" t="s">
        <v>109</v>
      </c>
      <c r="H2842">
        <v>594895655</v>
      </c>
      <c r="I2842" t="s">
        <v>29</v>
      </c>
      <c r="K2842" t="str">
        <f>IF(Table3[[#This Row],[Type Received]]=2,"CC",(IF(Table3[[#This Row],[Type Received]]=3,"BILL","ACH")))</f>
        <v>ACH</v>
      </c>
    </row>
    <row r="2843" spans="1:11" x14ac:dyDescent="0.25">
      <c r="A2843">
        <v>235425</v>
      </c>
      <c r="B2843" s="3">
        <v>46144</v>
      </c>
      <c r="C2843">
        <v>1</v>
      </c>
      <c r="D2843">
        <v>80.59</v>
      </c>
      <c r="G2843" t="s">
        <v>89</v>
      </c>
      <c r="H2843">
        <v>535406742</v>
      </c>
      <c r="I2843" t="s">
        <v>29</v>
      </c>
      <c r="K2843" t="str">
        <f>IF(Table3[[#This Row],[Type Received]]=2,"CC",(IF(Table3[[#This Row],[Type Received]]=3,"BILL","ACH")))</f>
        <v>ACH</v>
      </c>
    </row>
    <row r="2844" spans="1:11" x14ac:dyDescent="0.25">
      <c r="A2844">
        <v>235466</v>
      </c>
      <c r="B2844" s="3">
        <v>46149</v>
      </c>
      <c r="C2844">
        <v>1</v>
      </c>
      <c r="D2844">
        <v>135.71</v>
      </c>
      <c r="G2844" t="s">
        <v>109</v>
      </c>
      <c r="H2844">
        <v>598106872</v>
      </c>
      <c r="I2844" t="s">
        <v>29</v>
      </c>
      <c r="K2844" t="str">
        <f>IF(Table3[[#This Row],[Type Received]]=2,"CC",(IF(Table3[[#This Row],[Type Received]]=3,"BILL","ACH")))</f>
        <v>ACH</v>
      </c>
    </row>
    <row r="2845" spans="1:11" x14ac:dyDescent="0.25">
      <c r="A2845">
        <v>235498</v>
      </c>
      <c r="B2845" s="3">
        <v>46144</v>
      </c>
      <c r="C2845">
        <v>2</v>
      </c>
      <c r="D2845">
        <v>73</v>
      </c>
      <c r="F2845">
        <v>171610</v>
      </c>
      <c r="G2845" t="s">
        <v>28</v>
      </c>
      <c r="H2845">
        <v>535424184</v>
      </c>
      <c r="I2845" t="s">
        <v>29</v>
      </c>
      <c r="K2845" t="str">
        <f>IF(Table3[[#This Row],[Type Received]]=2,"CC",(IF(Table3[[#This Row],[Type Received]]=3,"BILL","ACH")))</f>
        <v>CC</v>
      </c>
    </row>
    <row r="2846" spans="1:11" x14ac:dyDescent="0.25">
      <c r="A2846">
        <v>235524</v>
      </c>
      <c r="B2846" s="3">
        <v>46157</v>
      </c>
      <c r="C2846">
        <v>1</v>
      </c>
      <c r="D2846">
        <v>106</v>
      </c>
      <c r="G2846" t="s">
        <v>87</v>
      </c>
      <c r="H2846">
        <v>696785550</v>
      </c>
      <c r="I2846" t="s">
        <v>29</v>
      </c>
      <c r="K2846" t="str">
        <f>IF(Table3[[#This Row],[Type Received]]=2,"CC",(IF(Table3[[#This Row],[Type Received]]=3,"BILL","ACH")))</f>
        <v>ACH</v>
      </c>
    </row>
    <row r="2847" spans="1:11" x14ac:dyDescent="0.25">
      <c r="A2847">
        <v>235539</v>
      </c>
      <c r="B2847" s="3">
        <v>46157</v>
      </c>
      <c r="C2847">
        <v>1</v>
      </c>
      <c r="D2847">
        <v>61.45</v>
      </c>
      <c r="G2847" t="s">
        <v>87</v>
      </c>
      <c r="H2847">
        <v>696791342</v>
      </c>
      <c r="I2847" t="s">
        <v>29</v>
      </c>
      <c r="K2847" t="str">
        <f>IF(Table3[[#This Row],[Type Received]]=2,"CC",(IF(Table3[[#This Row],[Type Received]]=3,"BILL","ACH")))</f>
        <v>ACH</v>
      </c>
    </row>
    <row r="2848" spans="1:11" x14ac:dyDescent="0.25">
      <c r="A2848">
        <v>235592</v>
      </c>
      <c r="B2848" s="3">
        <v>46149</v>
      </c>
      <c r="C2848">
        <v>3</v>
      </c>
      <c r="D2848">
        <v>40.67</v>
      </c>
      <c r="E2848">
        <v>1054</v>
      </c>
      <c r="K2848" t="str">
        <f>IF(Table3[[#This Row],[Type Received]]=2,"CC",(IF(Table3[[#This Row],[Type Received]]=3,"BILL","ACH")))</f>
        <v>BILL</v>
      </c>
    </row>
    <row r="2849" spans="1:11" x14ac:dyDescent="0.25">
      <c r="A2849">
        <v>235635</v>
      </c>
      <c r="B2849" s="3">
        <v>46156</v>
      </c>
      <c r="C2849">
        <v>2</v>
      </c>
      <c r="D2849">
        <v>57.49</v>
      </c>
      <c r="F2849">
        <v>117875</v>
      </c>
      <c r="G2849" t="s">
        <v>28</v>
      </c>
      <c r="H2849">
        <v>682533638</v>
      </c>
      <c r="I2849" t="s">
        <v>29</v>
      </c>
      <c r="K2849" t="str">
        <f>IF(Table3[[#This Row],[Type Received]]=2,"CC",(IF(Table3[[#This Row],[Type Received]]=3,"BILL","ACH")))</f>
        <v>CC</v>
      </c>
    </row>
    <row r="2850" spans="1:11" x14ac:dyDescent="0.25">
      <c r="A2850">
        <v>235650</v>
      </c>
      <c r="B2850" s="3">
        <v>46146</v>
      </c>
      <c r="C2850">
        <v>2</v>
      </c>
      <c r="D2850">
        <v>77.95</v>
      </c>
      <c r="F2850" t="s">
        <v>270</v>
      </c>
      <c r="G2850">
        <v>742259380</v>
      </c>
      <c r="H2850">
        <v>353462088</v>
      </c>
      <c r="K2850" t="str">
        <f>IF(Table3[[#This Row],[Type Received]]=2,"CC",(IF(Table3[[#This Row],[Type Received]]=3,"BILL","ACH")))</f>
        <v>CC</v>
      </c>
    </row>
    <row r="2851" spans="1:11" x14ac:dyDescent="0.25">
      <c r="A2851">
        <v>235659</v>
      </c>
      <c r="B2851" s="3">
        <v>46157</v>
      </c>
      <c r="C2851">
        <v>1</v>
      </c>
      <c r="D2851">
        <v>59.47</v>
      </c>
      <c r="G2851" t="s">
        <v>87</v>
      </c>
      <c r="H2851">
        <v>696798177</v>
      </c>
      <c r="I2851" t="s">
        <v>29</v>
      </c>
      <c r="K2851" t="str">
        <f>IF(Table3[[#This Row],[Type Received]]=2,"CC",(IF(Table3[[#This Row],[Type Received]]=3,"BILL","ACH")))</f>
        <v>ACH</v>
      </c>
    </row>
    <row r="2852" spans="1:11" x14ac:dyDescent="0.25">
      <c r="A2852">
        <v>235694</v>
      </c>
      <c r="B2852" s="3">
        <v>46144</v>
      </c>
      <c r="C2852">
        <v>1</v>
      </c>
      <c r="D2852">
        <v>77.95</v>
      </c>
      <c r="G2852" t="s">
        <v>89</v>
      </c>
      <c r="H2852">
        <v>535417416</v>
      </c>
      <c r="I2852" t="s">
        <v>29</v>
      </c>
      <c r="K2852" t="str">
        <f>IF(Table3[[#This Row],[Type Received]]=2,"CC",(IF(Table3[[#This Row],[Type Received]]=3,"BILL","ACH")))</f>
        <v>ACH</v>
      </c>
    </row>
    <row r="2853" spans="1:11" x14ac:dyDescent="0.25">
      <c r="A2853">
        <v>235713</v>
      </c>
      <c r="B2853" s="3">
        <v>46154</v>
      </c>
      <c r="C2853">
        <v>3</v>
      </c>
      <c r="D2853">
        <v>69.27</v>
      </c>
      <c r="E2853">
        <v>9052</v>
      </c>
      <c r="K2853" t="str">
        <f>IF(Table3[[#This Row],[Type Received]]=2,"CC",(IF(Table3[[#This Row],[Type Received]]=3,"BILL","ACH")))</f>
        <v>BILL</v>
      </c>
    </row>
    <row r="2854" spans="1:11" x14ac:dyDescent="0.25">
      <c r="A2854">
        <v>235722</v>
      </c>
      <c r="B2854" s="3">
        <v>46144</v>
      </c>
      <c r="C2854">
        <v>1</v>
      </c>
      <c r="D2854">
        <v>23.17</v>
      </c>
      <c r="G2854" t="s">
        <v>89</v>
      </c>
      <c r="H2854">
        <v>535403807</v>
      </c>
      <c r="I2854" t="s">
        <v>29</v>
      </c>
      <c r="K2854" t="str">
        <f>IF(Table3[[#This Row],[Type Received]]=2,"CC",(IF(Table3[[#This Row],[Type Received]]=3,"BILL","ACH")))</f>
        <v>ACH</v>
      </c>
    </row>
    <row r="2855" spans="1:11" x14ac:dyDescent="0.25">
      <c r="A2855">
        <v>235752</v>
      </c>
      <c r="B2855" s="3">
        <v>46167</v>
      </c>
      <c r="C2855">
        <v>1</v>
      </c>
      <c r="D2855">
        <v>55.51</v>
      </c>
      <c r="G2855" t="s">
        <v>85</v>
      </c>
      <c r="H2855">
        <v>818377645</v>
      </c>
      <c r="I2855" t="s">
        <v>29</v>
      </c>
      <c r="K2855" t="str">
        <f>IF(Table3[[#This Row],[Type Received]]=2,"CC",(IF(Table3[[#This Row],[Type Received]]=3,"BILL","ACH")))</f>
        <v>ACH</v>
      </c>
    </row>
    <row r="2856" spans="1:11" x14ac:dyDescent="0.25">
      <c r="A2856">
        <v>235753</v>
      </c>
      <c r="B2856" s="3">
        <v>46167</v>
      </c>
      <c r="C2856">
        <v>1</v>
      </c>
      <c r="D2856">
        <v>61.45</v>
      </c>
      <c r="G2856" t="s">
        <v>85</v>
      </c>
      <c r="H2856">
        <v>818381547</v>
      </c>
      <c r="I2856" t="s">
        <v>29</v>
      </c>
      <c r="K2856" t="str">
        <f>IF(Table3[[#This Row],[Type Received]]=2,"CC",(IF(Table3[[#This Row],[Type Received]]=3,"BILL","ACH")))</f>
        <v>ACH</v>
      </c>
    </row>
    <row r="2857" spans="1:11" x14ac:dyDescent="0.25">
      <c r="A2857">
        <v>235799</v>
      </c>
      <c r="B2857" s="3">
        <v>46143</v>
      </c>
      <c r="C2857">
        <v>3</v>
      </c>
      <c r="D2857">
        <v>52.22</v>
      </c>
      <c r="E2857">
        <v>996582</v>
      </c>
      <c r="K2857" t="str">
        <f>IF(Table3[[#This Row],[Type Received]]=2,"CC",(IF(Table3[[#This Row],[Type Received]]=3,"BILL","ACH")))</f>
        <v>BILL</v>
      </c>
    </row>
    <row r="2858" spans="1:11" x14ac:dyDescent="0.25">
      <c r="A2858">
        <v>235838</v>
      </c>
      <c r="B2858" s="3">
        <v>46148</v>
      </c>
      <c r="C2858">
        <v>2</v>
      </c>
      <c r="D2858">
        <v>96.77</v>
      </c>
      <c r="F2858">
        <v>342871</v>
      </c>
      <c r="G2858" t="s">
        <v>28</v>
      </c>
      <c r="H2858">
        <v>586197840</v>
      </c>
      <c r="I2858" t="s">
        <v>29</v>
      </c>
      <c r="K2858" t="str">
        <f>IF(Table3[[#This Row],[Type Received]]=2,"CC",(IF(Table3[[#This Row],[Type Received]]=3,"BILL","ACH")))</f>
        <v>CC</v>
      </c>
    </row>
    <row r="2859" spans="1:11" x14ac:dyDescent="0.25">
      <c r="A2859">
        <v>235841</v>
      </c>
      <c r="B2859" s="3">
        <v>46150</v>
      </c>
      <c r="C2859">
        <v>3</v>
      </c>
      <c r="D2859">
        <v>99.41</v>
      </c>
      <c r="E2859">
        <v>218</v>
      </c>
      <c r="K2859" t="str">
        <f>IF(Table3[[#This Row],[Type Received]]=2,"CC",(IF(Table3[[#This Row],[Type Received]]=3,"BILL","ACH")))</f>
        <v>BILL</v>
      </c>
    </row>
    <row r="2860" spans="1:11" x14ac:dyDescent="0.25">
      <c r="A2860">
        <v>235958</v>
      </c>
      <c r="B2860" s="3">
        <v>46144</v>
      </c>
      <c r="C2860">
        <v>1</v>
      </c>
      <c r="D2860">
        <v>32.409999999999997</v>
      </c>
      <c r="G2860" t="s">
        <v>89</v>
      </c>
      <c r="H2860">
        <v>535424186</v>
      </c>
      <c r="I2860" t="s">
        <v>29</v>
      </c>
      <c r="K2860" t="str">
        <f>IF(Table3[[#This Row],[Type Received]]=2,"CC",(IF(Table3[[#This Row],[Type Received]]=3,"BILL","ACH")))</f>
        <v>ACH</v>
      </c>
    </row>
    <row r="2861" spans="1:11" x14ac:dyDescent="0.25">
      <c r="A2861">
        <v>235992</v>
      </c>
      <c r="B2861" s="3">
        <v>46157</v>
      </c>
      <c r="C2861">
        <v>1</v>
      </c>
      <c r="D2861">
        <v>69.7</v>
      </c>
      <c r="G2861" t="s">
        <v>87</v>
      </c>
      <c r="H2861">
        <v>696791350</v>
      </c>
      <c r="I2861" t="s">
        <v>29</v>
      </c>
      <c r="K2861" t="str">
        <f>IF(Table3[[#This Row],[Type Received]]=2,"CC",(IF(Table3[[#This Row],[Type Received]]=3,"BILL","ACH")))</f>
        <v>ACH</v>
      </c>
    </row>
    <row r="2862" spans="1:11" x14ac:dyDescent="0.25">
      <c r="A2862">
        <v>236037</v>
      </c>
      <c r="B2862" s="3">
        <v>46144</v>
      </c>
      <c r="C2862">
        <v>1</v>
      </c>
      <c r="D2862">
        <v>76.95</v>
      </c>
      <c r="G2862" t="s">
        <v>89</v>
      </c>
      <c r="H2862">
        <v>535428146</v>
      </c>
      <c r="I2862" t="s">
        <v>29</v>
      </c>
      <c r="K2862" t="str">
        <f>IF(Table3[[#This Row],[Type Received]]=2,"CC",(IF(Table3[[#This Row],[Type Received]]=3,"BILL","ACH")))</f>
        <v>ACH</v>
      </c>
    </row>
    <row r="2863" spans="1:11" x14ac:dyDescent="0.25">
      <c r="A2863">
        <v>236047</v>
      </c>
      <c r="B2863" s="3">
        <v>46148</v>
      </c>
      <c r="C2863">
        <v>2</v>
      </c>
      <c r="D2863">
        <v>84.89</v>
      </c>
      <c r="F2863">
        <v>171255</v>
      </c>
      <c r="G2863" t="s">
        <v>28</v>
      </c>
      <c r="H2863">
        <v>584455460</v>
      </c>
      <c r="I2863" t="s">
        <v>29</v>
      </c>
      <c r="K2863" t="str">
        <f>IF(Table3[[#This Row],[Type Received]]=2,"CC",(IF(Table3[[#This Row],[Type Received]]=3,"BILL","ACH")))</f>
        <v>CC</v>
      </c>
    </row>
    <row r="2864" spans="1:11" x14ac:dyDescent="0.25">
      <c r="A2864">
        <v>236122</v>
      </c>
      <c r="B2864" s="3">
        <v>46146</v>
      </c>
      <c r="C2864">
        <v>3</v>
      </c>
      <c r="D2864">
        <v>31.43</v>
      </c>
      <c r="E2864">
        <v>2645</v>
      </c>
      <c r="K2864" t="str">
        <f>IF(Table3[[#This Row],[Type Received]]=2,"CC",(IF(Table3[[#This Row],[Type Received]]=3,"BILL","ACH")))</f>
        <v>BILL</v>
      </c>
    </row>
    <row r="2865" spans="1:11" x14ac:dyDescent="0.25">
      <c r="A2865">
        <v>236219</v>
      </c>
      <c r="B2865" s="3">
        <v>46144</v>
      </c>
      <c r="C2865">
        <v>1</v>
      </c>
      <c r="D2865">
        <v>76.95</v>
      </c>
      <c r="G2865" t="s">
        <v>89</v>
      </c>
      <c r="H2865">
        <v>535411637</v>
      </c>
      <c r="I2865" t="s">
        <v>29</v>
      </c>
      <c r="K2865" t="str">
        <f>IF(Table3[[#This Row],[Type Received]]=2,"CC",(IF(Table3[[#This Row],[Type Received]]=3,"BILL","ACH")))</f>
        <v>ACH</v>
      </c>
    </row>
    <row r="2866" spans="1:11" x14ac:dyDescent="0.25">
      <c r="A2866">
        <v>236274</v>
      </c>
      <c r="B2866" s="3">
        <v>46152</v>
      </c>
      <c r="C2866">
        <v>1</v>
      </c>
      <c r="D2866">
        <v>88.95</v>
      </c>
      <c r="G2866" t="s">
        <v>115</v>
      </c>
      <c r="H2866">
        <v>632898448</v>
      </c>
      <c r="I2866" t="s">
        <v>29</v>
      </c>
      <c r="K2866" t="str">
        <f>IF(Table3[[#This Row],[Type Received]]=2,"CC",(IF(Table3[[#This Row],[Type Received]]=3,"BILL","ACH")))</f>
        <v>ACH</v>
      </c>
    </row>
    <row r="2867" spans="1:11" x14ac:dyDescent="0.25">
      <c r="A2867">
        <v>236330</v>
      </c>
      <c r="B2867" s="3">
        <v>46147</v>
      </c>
      <c r="C2867">
        <v>2</v>
      </c>
      <c r="D2867">
        <v>78.95</v>
      </c>
      <c r="F2867">
        <v>73134</v>
      </c>
      <c r="G2867">
        <v>742576419</v>
      </c>
      <c r="H2867">
        <v>353590477</v>
      </c>
      <c r="K2867" t="str">
        <f>IF(Table3[[#This Row],[Type Received]]=2,"CC",(IF(Table3[[#This Row],[Type Received]]=3,"BILL","ACH")))</f>
        <v>CC</v>
      </c>
    </row>
    <row r="2868" spans="1:11" x14ac:dyDescent="0.25">
      <c r="A2868">
        <v>236341</v>
      </c>
      <c r="B2868" s="3">
        <v>46145</v>
      </c>
      <c r="C2868">
        <v>1</v>
      </c>
      <c r="D2868">
        <v>121.95</v>
      </c>
      <c r="G2868" t="s">
        <v>113</v>
      </c>
      <c r="H2868">
        <v>546428824</v>
      </c>
      <c r="I2868" t="s">
        <v>29</v>
      </c>
      <c r="K2868" t="str">
        <f>IF(Table3[[#This Row],[Type Received]]=2,"CC",(IF(Table3[[#This Row],[Type Received]]=3,"BILL","ACH")))</f>
        <v>ACH</v>
      </c>
    </row>
    <row r="2869" spans="1:11" x14ac:dyDescent="0.25">
      <c r="A2869">
        <v>236391</v>
      </c>
      <c r="B2869" s="3">
        <v>46145</v>
      </c>
      <c r="C2869">
        <v>1</v>
      </c>
      <c r="D2869">
        <v>53.09</v>
      </c>
      <c r="G2869" t="s">
        <v>113</v>
      </c>
      <c r="H2869">
        <v>546423070</v>
      </c>
      <c r="I2869" t="s">
        <v>29</v>
      </c>
      <c r="K2869" t="str">
        <f>IF(Table3[[#This Row],[Type Received]]=2,"CC",(IF(Table3[[#This Row],[Type Received]]=3,"BILL","ACH")))</f>
        <v>ACH</v>
      </c>
    </row>
    <row r="2870" spans="1:11" x14ac:dyDescent="0.25">
      <c r="A2870">
        <v>236518</v>
      </c>
      <c r="B2870" s="3">
        <v>46157</v>
      </c>
      <c r="C2870">
        <v>1</v>
      </c>
      <c r="D2870">
        <v>43.19</v>
      </c>
      <c r="G2870" t="s">
        <v>87</v>
      </c>
      <c r="H2870">
        <v>696773995</v>
      </c>
      <c r="I2870" t="s">
        <v>29</v>
      </c>
      <c r="K2870" t="str">
        <f>IF(Table3[[#This Row],[Type Received]]=2,"CC",(IF(Table3[[#This Row],[Type Received]]=3,"BILL","ACH")))</f>
        <v>ACH</v>
      </c>
    </row>
    <row r="2871" spans="1:11" x14ac:dyDescent="0.25">
      <c r="A2871">
        <v>236520</v>
      </c>
      <c r="B2871" s="3">
        <v>46157</v>
      </c>
      <c r="C2871">
        <v>1</v>
      </c>
      <c r="D2871">
        <v>56.17</v>
      </c>
      <c r="G2871" t="s">
        <v>87</v>
      </c>
      <c r="H2871">
        <v>696787575</v>
      </c>
      <c r="I2871" t="s">
        <v>29</v>
      </c>
      <c r="K2871" t="str">
        <f>IF(Table3[[#This Row],[Type Received]]=2,"CC",(IF(Table3[[#This Row],[Type Received]]=3,"BILL","ACH")))</f>
        <v>ACH</v>
      </c>
    </row>
    <row r="2872" spans="1:11" x14ac:dyDescent="0.25">
      <c r="A2872">
        <v>236714</v>
      </c>
      <c r="B2872" s="3">
        <v>46167</v>
      </c>
      <c r="C2872">
        <v>1</v>
      </c>
      <c r="D2872">
        <v>160.44999999999999</v>
      </c>
      <c r="G2872" t="s">
        <v>85</v>
      </c>
      <c r="H2872">
        <v>818369859</v>
      </c>
      <c r="I2872" t="s">
        <v>29</v>
      </c>
      <c r="K2872" t="str">
        <f>IF(Table3[[#This Row],[Type Received]]=2,"CC",(IF(Table3[[#This Row],[Type Received]]=3,"BILL","ACH")))</f>
        <v>ACH</v>
      </c>
    </row>
    <row r="2873" spans="1:11" x14ac:dyDescent="0.25">
      <c r="A2873">
        <v>236717</v>
      </c>
      <c r="B2873" s="3">
        <v>46161</v>
      </c>
      <c r="C2873">
        <v>1</v>
      </c>
      <c r="D2873">
        <v>154.9</v>
      </c>
      <c r="G2873" t="s">
        <v>220</v>
      </c>
      <c r="H2873">
        <v>750825936</v>
      </c>
      <c r="I2873" t="s">
        <v>29</v>
      </c>
      <c r="K2873" t="str">
        <f>IF(Table3[[#This Row],[Type Received]]=2,"CC",(IF(Table3[[#This Row],[Type Received]]=3,"BILL","ACH")))</f>
        <v>ACH</v>
      </c>
    </row>
    <row r="2874" spans="1:11" x14ac:dyDescent="0.25">
      <c r="A2874">
        <v>236801</v>
      </c>
      <c r="B2874" s="3">
        <v>46157</v>
      </c>
      <c r="C2874">
        <v>1</v>
      </c>
      <c r="D2874">
        <v>27.57</v>
      </c>
      <c r="G2874" t="s">
        <v>87</v>
      </c>
      <c r="H2874">
        <v>696800161</v>
      </c>
      <c r="I2874" t="s">
        <v>29</v>
      </c>
      <c r="K2874" t="str">
        <f>IF(Table3[[#This Row],[Type Received]]=2,"CC",(IF(Table3[[#This Row],[Type Received]]=3,"BILL","ACH")))</f>
        <v>ACH</v>
      </c>
    </row>
    <row r="2875" spans="1:11" x14ac:dyDescent="0.25">
      <c r="A2875">
        <v>236819</v>
      </c>
      <c r="B2875" s="3">
        <v>46145</v>
      </c>
      <c r="C2875">
        <v>1</v>
      </c>
      <c r="D2875">
        <v>121.95</v>
      </c>
      <c r="G2875" t="s">
        <v>113</v>
      </c>
      <c r="H2875">
        <v>546441424</v>
      </c>
      <c r="I2875" t="s">
        <v>29</v>
      </c>
      <c r="K2875" t="str">
        <f>IF(Table3[[#This Row],[Type Received]]=2,"CC",(IF(Table3[[#This Row],[Type Received]]=3,"BILL","ACH")))</f>
        <v>ACH</v>
      </c>
    </row>
    <row r="2876" spans="1:11" x14ac:dyDescent="0.25">
      <c r="A2876">
        <v>236843</v>
      </c>
      <c r="B2876" s="3">
        <v>46144</v>
      </c>
      <c r="C2876">
        <v>1</v>
      </c>
      <c r="D2876">
        <v>66.95</v>
      </c>
      <c r="G2876" t="s">
        <v>89</v>
      </c>
      <c r="H2876">
        <v>535355741</v>
      </c>
      <c r="I2876" t="s">
        <v>29</v>
      </c>
      <c r="K2876" t="str">
        <f>IF(Table3[[#This Row],[Type Received]]=2,"CC",(IF(Table3[[#This Row],[Type Received]]=3,"BILL","ACH")))</f>
        <v>ACH</v>
      </c>
    </row>
    <row r="2877" spans="1:11" x14ac:dyDescent="0.25">
      <c r="A2877">
        <v>236845</v>
      </c>
      <c r="B2877" s="3">
        <v>46157</v>
      </c>
      <c r="C2877">
        <v>2</v>
      </c>
      <c r="D2877">
        <v>58.15</v>
      </c>
      <c r="F2877">
        <v>3884</v>
      </c>
      <c r="G2877" t="s">
        <v>28</v>
      </c>
      <c r="H2877">
        <v>696634083</v>
      </c>
      <c r="I2877" t="s">
        <v>29</v>
      </c>
      <c r="K2877" t="str">
        <f>IF(Table3[[#This Row],[Type Received]]=2,"CC",(IF(Table3[[#This Row],[Type Received]]=3,"BILL","ACH")))</f>
        <v>CC</v>
      </c>
    </row>
    <row r="2878" spans="1:11" x14ac:dyDescent="0.25">
      <c r="A2878">
        <v>236848</v>
      </c>
      <c r="B2878" s="3">
        <v>46167</v>
      </c>
      <c r="C2878">
        <v>1</v>
      </c>
      <c r="D2878">
        <v>56.95</v>
      </c>
      <c r="G2878" t="s">
        <v>85</v>
      </c>
      <c r="H2878">
        <v>818368942</v>
      </c>
      <c r="I2878" t="s">
        <v>29</v>
      </c>
      <c r="K2878" t="str">
        <f>IF(Table3[[#This Row],[Type Received]]=2,"CC",(IF(Table3[[#This Row],[Type Received]]=3,"BILL","ACH")))</f>
        <v>ACH</v>
      </c>
    </row>
    <row r="2879" spans="1:11" x14ac:dyDescent="0.25">
      <c r="A2879">
        <v>236856</v>
      </c>
      <c r="B2879" s="3">
        <v>46143</v>
      </c>
      <c r="C2879">
        <v>3</v>
      </c>
      <c r="D2879">
        <v>121.19</v>
      </c>
      <c r="E2879">
        <v>74873607</v>
      </c>
      <c r="K2879" t="str">
        <f>IF(Table3[[#This Row],[Type Received]]=2,"CC",(IF(Table3[[#This Row],[Type Received]]=3,"BILL","ACH")))</f>
        <v>BILL</v>
      </c>
    </row>
    <row r="2880" spans="1:11" x14ac:dyDescent="0.25">
      <c r="A2880">
        <v>236862</v>
      </c>
      <c r="B2880" s="3">
        <v>46171</v>
      </c>
      <c r="C2880">
        <v>3</v>
      </c>
      <c r="D2880">
        <v>95.45</v>
      </c>
      <c r="E2880">
        <v>228</v>
      </c>
      <c r="K2880" t="str">
        <f>IF(Table3[[#This Row],[Type Received]]=2,"CC",(IF(Table3[[#This Row],[Type Received]]=3,"BILL","ACH")))</f>
        <v>BILL</v>
      </c>
    </row>
    <row r="2881" spans="1:11" x14ac:dyDescent="0.25">
      <c r="A2881">
        <v>236881</v>
      </c>
      <c r="B2881" s="3">
        <v>46157</v>
      </c>
      <c r="C2881">
        <v>1</v>
      </c>
      <c r="D2881">
        <v>76.95</v>
      </c>
      <c r="G2881" t="s">
        <v>87</v>
      </c>
      <c r="H2881">
        <v>696784709</v>
      </c>
      <c r="I2881" t="s">
        <v>29</v>
      </c>
      <c r="K2881" t="str">
        <f>IF(Table3[[#This Row],[Type Received]]=2,"CC",(IF(Table3[[#This Row],[Type Received]]=3,"BILL","ACH")))</f>
        <v>ACH</v>
      </c>
    </row>
    <row r="2882" spans="1:11" x14ac:dyDescent="0.25">
      <c r="A2882">
        <v>236900</v>
      </c>
      <c r="B2882" s="3">
        <v>46146</v>
      </c>
      <c r="C2882">
        <v>3</v>
      </c>
      <c r="D2882">
        <v>65.75</v>
      </c>
      <c r="E2882">
        <v>55132303228</v>
      </c>
      <c r="K2882" t="str">
        <f>IF(Table3[[#This Row],[Type Received]]=2,"CC",(IF(Table3[[#This Row],[Type Received]]=3,"BILL","ACH")))</f>
        <v>BILL</v>
      </c>
    </row>
    <row r="2883" spans="1:11" x14ac:dyDescent="0.25">
      <c r="A2883">
        <v>236904</v>
      </c>
      <c r="B2883" s="3">
        <v>46157</v>
      </c>
      <c r="C2883">
        <v>1</v>
      </c>
      <c r="D2883">
        <v>160.44999999999999</v>
      </c>
      <c r="G2883" t="s">
        <v>87</v>
      </c>
      <c r="H2883">
        <v>696774037</v>
      </c>
      <c r="I2883" t="s">
        <v>29</v>
      </c>
      <c r="K2883" t="str">
        <f>IF(Table3[[#This Row],[Type Received]]=2,"CC",(IF(Table3[[#This Row],[Type Received]]=3,"BILL","ACH")))</f>
        <v>ACH</v>
      </c>
    </row>
    <row r="2884" spans="1:11" x14ac:dyDescent="0.25">
      <c r="A2884">
        <v>236932</v>
      </c>
      <c r="B2884" s="3">
        <v>46146</v>
      </c>
      <c r="C2884">
        <v>2</v>
      </c>
      <c r="D2884">
        <v>161.44999999999999</v>
      </c>
      <c r="F2884">
        <v>773582</v>
      </c>
      <c r="G2884" t="s">
        <v>28</v>
      </c>
      <c r="H2884">
        <v>560236836</v>
      </c>
      <c r="I2884" t="s">
        <v>29</v>
      </c>
      <c r="K2884" t="str">
        <f>IF(Table3[[#This Row],[Type Received]]=2,"CC",(IF(Table3[[#This Row],[Type Received]]=3,"BILL","ACH")))</f>
        <v>CC</v>
      </c>
    </row>
    <row r="2885" spans="1:11" x14ac:dyDescent="0.25">
      <c r="A2885">
        <v>236948</v>
      </c>
      <c r="B2885" s="3">
        <v>46146</v>
      </c>
      <c r="C2885">
        <v>3</v>
      </c>
      <c r="D2885">
        <v>135.71</v>
      </c>
      <c r="E2885">
        <v>756</v>
      </c>
      <c r="K2885" t="str">
        <f>IF(Table3[[#This Row],[Type Received]]=2,"CC",(IF(Table3[[#This Row],[Type Received]]=3,"BILL","ACH")))</f>
        <v>BILL</v>
      </c>
    </row>
    <row r="2886" spans="1:11" x14ac:dyDescent="0.25">
      <c r="A2886">
        <v>236953</v>
      </c>
      <c r="B2886" s="3">
        <v>46161</v>
      </c>
      <c r="C2886">
        <v>1</v>
      </c>
      <c r="D2886">
        <v>50.89</v>
      </c>
      <c r="G2886" t="s">
        <v>220</v>
      </c>
      <c r="H2886">
        <v>745051938</v>
      </c>
      <c r="I2886" t="s">
        <v>29</v>
      </c>
      <c r="K2886" t="str">
        <f>IF(Table3[[#This Row],[Type Received]]=2,"CC",(IF(Table3[[#This Row],[Type Received]]=3,"BILL","ACH")))</f>
        <v>ACH</v>
      </c>
    </row>
    <row r="2887" spans="1:11" x14ac:dyDescent="0.25">
      <c r="A2887">
        <v>236974</v>
      </c>
      <c r="B2887" s="3">
        <v>46150</v>
      </c>
      <c r="C2887">
        <v>3</v>
      </c>
      <c r="D2887">
        <v>36.049999999999997</v>
      </c>
      <c r="E2887">
        <v>2830</v>
      </c>
      <c r="K2887" t="str">
        <f>IF(Table3[[#This Row],[Type Received]]=2,"CC",(IF(Table3[[#This Row],[Type Received]]=3,"BILL","ACH")))</f>
        <v>BILL</v>
      </c>
    </row>
    <row r="2888" spans="1:11" x14ac:dyDescent="0.25">
      <c r="A2888">
        <v>236988</v>
      </c>
      <c r="B2888" s="3">
        <v>46145</v>
      </c>
      <c r="C2888">
        <v>2</v>
      </c>
      <c r="D2888">
        <v>65.41</v>
      </c>
      <c r="F2888">
        <v>90503</v>
      </c>
      <c r="G2888" t="s">
        <v>28</v>
      </c>
      <c r="H2888">
        <v>546427841</v>
      </c>
      <c r="I2888" t="s">
        <v>29</v>
      </c>
      <c r="K2888" t="str">
        <f>IF(Table3[[#This Row],[Type Received]]=2,"CC",(IF(Table3[[#This Row],[Type Received]]=3,"BILL","ACH")))</f>
        <v>CC</v>
      </c>
    </row>
    <row r="2889" spans="1:11" x14ac:dyDescent="0.25">
      <c r="A2889">
        <v>236989</v>
      </c>
      <c r="B2889" s="3">
        <v>46157</v>
      </c>
      <c r="C2889">
        <v>1</v>
      </c>
      <c r="D2889">
        <v>76.95</v>
      </c>
      <c r="G2889" t="s">
        <v>87</v>
      </c>
      <c r="H2889">
        <v>696774969</v>
      </c>
      <c r="I2889" t="s">
        <v>29</v>
      </c>
      <c r="K2889" t="str">
        <f>IF(Table3[[#This Row],[Type Received]]=2,"CC",(IF(Table3[[#This Row],[Type Received]]=3,"BILL","ACH")))</f>
        <v>ACH</v>
      </c>
    </row>
    <row r="2890" spans="1:11" x14ac:dyDescent="0.25">
      <c r="A2890">
        <v>236990</v>
      </c>
      <c r="B2890" s="3">
        <v>46168</v>
      </c>
      <c r="C2890">
        <v>3</v>
      </c>
      <c r="D2890">
        <v>96.11</v>
      </c>
      <c r="E2890">
        <v>2740</v>
      </c>
      <c r="K2890" t="str">
        <f>IF(Table3[[#This Row],[Type Received]]=2,"CC",(IF(Table3[[#This Row],[Type Received]]=3,"BILL","ACH")))</f>
        <v>BILL</v>
      </c>
    </row>
    <row r="2891" spans="1:11" x14ac:dyDescent="0.25">
      <c r="A2891">
        <v>237242</v>
      </c>
      <c r="B2891" s="3">
        <v>46156</v>
      </c>
      <c r="C2891">
        <v>2</v>
      </c>
      <c r="D2891">
        <v>372.34</v>
      </c>
      <c r="F2891">
        <v>141689</v>
      </c>
      <c r="G2891" t="s">
        <v>28</v>
      </c>
      <c r="H2891">
        <v>683309929</v>
      </c>
      <c r="I2891" t="s">
        <v>29</v>
      </c>
      <c r="K2891" t="str">
        <f>IF(Table3[[#This Row],[Type Received]]=2,"CC",(IF(Table3[[#This Row],[Type Received]]=3,"BILL","ACH")))</f>
        <v>CC</v>
      </c>
    </row>
    <row r="2892" spans="1:11" x14ac:dyDescent="0.25">
      <c r="A2892">
        <v>237263</v>
      </c>
      <c r="B2892" s="3">
        <v>46144</v>
      </c>
      <c r="C2892">
        <v>1</v>
      </c>
      <c r="D2892">
        <v>51.55</v>
      </c>
      <c r="G2892" t="s">
        <v>89</v>
      </c>
      <c r="H2892">
        <v>535343052</v>
      </c>
      <c r="I2892" t="s">
        <v>29</v>
      </c>
      <c r="K2892" t="str">
        <f>IF(Table3[[#This Row],[Type Received]]=2,"CC",(IF(Table3[[#This Row],[Type Received]]=3,"BILL","ACH")))</f>
        <v>ACH</v>
      </c>
    </row>
    <row r="2893" spans="1:11" x14ac:dyDescent="0.25">
      <c r="A2893">
        <v>237264</v>
      </c>
      <c r="B2893" s="3">
        <v>46143</v>
      </c>
      <c r="C2893">
        <v>3</v>
      </c>
      <c r="D2893">
        <v>88.26</v>
      </c>
      <c r="E2893">
        <v>225</v>
      </c>
      <c r="K2893" t="str">
        <f>IF(Table3[[#This Row],[Type Received]]=2,"CC",(IF(Table3[[#This Row],[Type Received]]=3,"BILL","ACH")))</f>
        <v>BILL</v>
      </c>
    </row>
    <row r="2894" spans="1:11" x14ac:dyDescent="0.25">
      <c r="A2894">
        <v>237278</v>
      </c>
      <c r="B2894" s="3">
        <v>46157</v>
      </c>
      <c r="C2894">
        <v>1</v>
      </c>
      <c r="D2894">
        <v>71.349999999999994</v>
      </c>
      <c r="G2894" t="s">
        <v>87</v>
      </c>
      <c r="H2894">
        <v>696802148</v>
      </c>
      <c r="I2894" t="s">
        <v>29</v>
      </c>
      <c r="K2894" t="str">
        <f>IF(Table3[[#This Row],[Type Received]]=2,"CC",(IF(Table3[[#This Row],[Type Received]]=3,"BILL","ACH")))</f>
        <v>ACH</v>
      </c>
    </row>
    <row r="2895" spans="1:11" x14ac:dyDescent="0.25">
      <c r="A2895">
        <v>237305</v>
      </c>
      <c r="B2895" s="3">
        <v>46167</v>
      </c>
      <c r="C2895">
        <v>1</v>
      </c>
      <c r="D2895">
        <v>52.87</v>
      </c>
      <c r="G2895" t="s">
        <v>85</v>
      </c>
      <c r="H2895">
        <v>818371850</v>
      </c>
      <c r="I2895" t="s">
        <v>29</v>
      </c>
      <c r="K2895" t="str">
        <f>IF(Table3[[#This Row],[Type Received]]=2,"CC",(IF(Table3[[#This Row],[Type Received]]=3,"BILL","ACH")))</f>
        <v>ACH</v>
      </c>
    </row>
    <row r="2896" spans="1:11" x14ac:dyDescent="0.25">
      <c r="A2896">
        <v>237316</v>
      </c>
      <c r="B2896" s="3">
        <v>46163</v>
      </c>
      <c r="C2896">
        <v>3</v>
      </c>
      <c r="D2896">
        <v>150.30000000000001</v>
      </c>
      <c r="E2896">
        <v>2089</v>
      </c>
      <c r="K2896" t="str">
        <f>IF(Table3[[#This Row],[Type Received]]=2,"CC",(IF(Table3[[#This Row],[Type Received]]=3,"BILL","ACH")))</f>
        <v>BILL</v>
      </c>
    </row>
    <row r="2897" spans="1:11" x14ac:dyDescent="0.25">
      <c r="A2897">
        <v>237319</v>
      </c>
      <c r="B2897" s="3">
        <v>46148</v>
      </c>
      <c r="C2897">
        <v>2</v>
      </c>
      <c r="D2897">
        <v>186.34</v>
      </c>
      <c r="F2897">
        <v>15303</v>
      </c>
      <c r="G2897" t="s">
        <v>28</v>
      </c>
      <c r="H2897">
        <v>585676127</v>
      </c>
      <c r="I2897" t="s">
        <v>29</v>
      </c>
      <c r="K2897" t="str">
        <f>IF(Table3[[#This Row],[Type Received]]=2,"CC",(IF(Table3[[#This Row],[Type Received]]=3,"BILL","ACH")))</f>
        <v>CC</v>
      </c>
    </row>
    <row r="2898" spans="1:11" x14ac:dyDescent="0.25">
      <c r="A2898">
        <v>237335</v>
      </c>
      <c r="B2898" s="3">
        <v>46143</v>
      </c>
      <c r="C2898">
        <v>1</v>
      </c>
      <c r="D2898">
        <v>185.35</v>
      </c>
      <c r="G2898" t="s">
        <v>84</v>
      </c>
      <c r="H2898">
        <v>524526610</v>
      </c>
      <c r="I2898" t="s">
        <v>29</v>
      </c>
      <c r="K2898" t="str">
        <f>IF(Table3[[#This Row],[Type Received]]=2,"CC",(IF(Table3[[#This Row],[Type Received]]=3,"BILL","ACH")))</f>
        <v>ACH</v>
      </c>
    </row>
    <row r="2899" spans="1:11" x14ac:dyDescent="0.25">
      <c r="A2899">
        <v>237342</v>
      </c>
      <c r="B2899" s="3">
        <v>46145</v>
      </c>
      <c r="C2899">
        <v>1</v>
      </c>
      <c r="D2899">
        <v>44.51</v>
      </c>
      <c r="G2899" t="s">
        <v>113</v>
      </c>
      <c r="H2899">
        <v>546428861</v>
      </c>
      <c r="I2899" t="s">
        <v>29</v>
      </c>
      <c r="K2899" t="str">
        <f>IF(Table3[[#This Row],[Type Received]]=2,"CC",(IF(Table3[[#This Row],[Type Received]]=3,"BILL","ACH")))</f>
        <v>ACH</v>
      </c>
    </row>
    <row r="2900" spans="1:11" x14ac:dyDescent="0.25">
      <c r="A2900">
        <v>237349</v>
      </c>
      <c r="B2900" s="3">
        <v>46145</v>
      </c>
      <c r="C2900">
        <v>1</v>
      </c>
      <c r="D2900">
        <v>30.65</v>
      </c>
      <c r="G2900" t="s">
        <v>113</v>
      </c>
      <c r="H2900">
        <v>546446297</v>
      </c>
      <c r="I2900" t="s">
        <v>29</v>
      </c>
      <c r="K2900" t="str">
        <f>IF(Table3[[#This Row],[Type Received]]=2,"CC",(IF(Table3[[#This Row],[Type Received]]=3,"BILL","ACH")))</f>
        <v>ACH</v>
      </c>
    </row>
    <row r="2901" spans="1:11" x14ac:dyDescent="0.25">
      <c r="A2901">
        <v>237350</v>
      </c>
      <c r="B2901" s="3">
        <v>46157</v>
      </c>
      <c r="C2901">
        <v>1</v>
      </c>
      <c r="D2901">
        <v>137.68</v>
      </c>
      <c r="G2901" t="s">
        <v>87</v>
      </c>
      <c r="H2901">
        <v>696783772</v>
      </c>
      <c r="I2901" t="s">
        <v>29</v>
      </c>
      <c r="K2901" t="str">
        <f>IF(Table3[[#This Row],[Type Received]]=2,"CC",(IF(Table3[[#This Row],[Type Received]]=3,"BILL","ACH")))</f>
        <v>ACH</v>
      </c>
    </row>
    <row r="2902" spans="1:11" x14ac:dyDescent="0.25">
      <c r="A2902">
        <v>237399</v>
      </c>
      <c r="B2902" s="3">
        <v>46164</v>
      </c>
      <c r="C2902">
        <v>3</v>
      </c>
      <c r="D2902">
        <v>128.44999999999999</v>
      </c>
      <c r="E2902">
        <v>1422</v>
      </c>
      <c r="K2902" t="str">
        <f>IF(Table3[[#This Row],[Type Received]]=2,"CC",(IF(Table3[[#This Row],[Type Received]]=3,"BILL","ACH")))</f>
        <v>BILL</v>
      </c>
    </row>
    <row r="2903" spans="1:11" x14ac:dyDescent="0.25">
      <c r="A2903">
        <v>237017</v>
      </c>
      <c r="B2903" s="3">
        <v>46145</v>
      </c>
      <c r="C2903">
        <v>1</v>
      </c>
      <c r="D2903">
        <v>31.97</v>
      </c>
      <c r="G2903" t="s">
        <v>113</v>
      </c>
      <c r="H2903">
        <v>546447286</v>
      </c>
      <c r="I2903" t="s">
        <v>29</v>
      </c>
      <c r="K2903" t="str">
        <f>IF(Table3[[#This Row],[Type Received]]=2,"CC",(IF(Table3[[#This Row],[Type Received]]=3,"BILL","ACH")))</f>
        <v>ACH</v>
      </c>
    </row>
    <row r="2904" spans="1:11" x14ac:dyDescent="0.25">
      <c r="A2904">
        <v>237029</v>
      </c>
      <c r="B2904" s="3">
        <v>46157</v>
      </c>
      <c r="C2904">
        <v>1</v>
      </c>
      <c r="D2904">
        <v>147.58000000000001</v>
      </c>
      <c r="G2904" t="s">
        <v>87</v>
      </c>
      <c r="H2904">
        <v>696800213</v>
      </c>
      <c r="I2904" t="s">
        <v>29</v>
      </c>
      <c r="K2904" t="str">
        <f>IF(Table3[[#This Row],[Type Received]]=2,"CC",(IF(Table3[[#This Row],[Type Received]]=3,"BILL","ACH")))</f>
        <v>ACH</v>
      </c>
    </row>
    <row r="2905" spans="1:11" x14ac:dyDescent="0.25">
      <c r="A2905">
        <v>237049</v>
      </c>
      <c r="B2905" s="3">
        <v>46157</v>
      </c>
      <c r="C2905">
        <v>1</v>
      </c>
      <c r="D2905">
        <v>26.47</v>
      </c>
      <c r="G2905" t="s">
        <v>87</v>
      </c>
      <c r="H2905">
        <v>696779002</v>
      </c>
      <c r="I2905" t="s">
        <v>29</v>
      </c>
      <c r="K2905" t="str">
        <f>IF(Table3[[#This Row],[Type Received]]=2,"CC",(IF(Table3[[#This Row],[Type Received]]=3,"BILL","ACH")))</f>
        <v>ACH</v>
      </c>
    </row>
    <row r="2906" spans="1:11" x14ac:dyDescent="0.25">
      <c r="A2906">
        <v>237059</v>
      </c>
      <c r="B2906" s="3">
        <v>46145</v>
      </c>
      <c r="C2906">
        <v>1</v>
      </c>
      <c r="D2906">
        <v>38.35</v>
      </c>
      <c r="G2906" t="s">
        <v>113</v>
      </c>
      <c r="H2906">
        <v>546451149</v>
      </c>
      <c r="I2906" t="s">
        <v>29</v>
      </c>
      <c r="K2906" t="str">
        <f>IF(Table3[[#This Row],[Type Received]]=2,"CC",(IF(Table3[[#This Row],[Type Received]]=3,"BILL","ACH")))</f>
        <v>ACH</v>
      </c>
    </row>
    <row r="2907" spans="1:11" x14ac:dyDescent="0.25">
      <c r="A2907">
        <v>237127</v>
      </c>
      <c r="B2907" s="3">
        <v>46157</v>
      </c>
      <c r="C2907">
        <v>1</v>
      </c>
      <c r="D2907">
        <v>85.87</v>
      </c>
      <c r="G2907" t="s">
        <v>87</v>
      </c>
      <c r="H2907">
        <v>696797326</v>
      </c>
      <c r="I2907" t="s">
        <v>29</v>
      </c>
      <c r="K2907" t="str">
        <f>IF(Table3[[#This Row],[Type Received]]=2,"CC",(IF(Table3[[#This Row],[Type Received]]=3,"BILL","ACH")))</f>
        <v>ACH</v>
      </c>
    </row>
    <row r="2908" spans="1:11" x14ac:dyDescent="0.25">
      <c r="A2908">
        <v>237526</v>
      </c>
      <c r="B2908" s="3">
        <v>46145</v>
      </c>
      <c r="C2908">
        <v>2</v>
      </c>
      <c r="D2908">
        <v>58.15</v>
      </c>
      <c r="F2908">
        <v>48986</v>
      </c>
      <c r="G2908" t="s">
        <v>28</v>
      </c>
      <c r="H2908">
        <v>546451166</v>
      </c>
      <c r="I2908" t="s">
        <v>29</v>
      </c>
      <c r="K2908" t="str">
        <f>IF(Table3[[#This Row],[Type Received]]=2,"CC",(IF(Table3[[#This Row],[Type Received]]=3,"BILL","ACH")))</f>
        <v>CC</v>
      </c>
    </row>
    <row r="2909" spans="1:11" x14ac:dyDescent="0.25">
      <c r="A2909">
        <v>237565</v>
      </c>
      <c r="B2909" s="3">
        <v>46167</v>
      </c>
      <c r="C2909">
        <v>1</v>
      </c>
      <c r="D2909">
        <v>55.95</v>
      </c>
      <c r="G2909" t="s">
        <v>85</v>
      </c>
      <c r="H2909">
        <v>818390234</v>
      </c>
      <c r="I2909" t="s">
        <v>29</v>
      </c>
      <c r="K2909" t="str">
        <f>IF(Table3[[#This Row],[Type Received]]=2,"CC",(IF(Table3[[#This Row],[Type Received]]=3,"BILL","ACH")))</f>
        <v>ACH</v>
      </c>
    </row>
    <row r="2910" spans="1:11" x14ac:dyDescent="0.25">
      <c r="A2910">
        <v>237566</v>
      </c>
      <c r="B2910" s="3">
        <v>46162</v>
      </c>
      <c r="C2910">
        <v>3</v>
      </c>
      <c r="D2910">
        <v>65.09</v>
      </c>
      <c r="E2910">
        <v>55257305872</v>
      </c>
      <c r="K2910" t="str">
        <f>IF(Table3[[#This Row],[Type Received]]=2,"CC",(IF(Table3[[#This Row],[Type Received]]=3,"BILL","ACH")))</f>
        <v>BILL</v>
      </c>
    </row>
    <row r="2911" spans="1:11" x14ac:dyDescent="0.25">
      <c r="A2911">
        <v>237597</v>
      </c>
      <c r="B2911" s="3">
        <v>46169</v>
      </c>
      <c r="C2911">
        <v>2</v>
      </c>
      <c r="D2911">
        <v>130.1</v>
      </c>
      <c r="F2911">
        <v>141928</v>
      </c>
      <c r="G2911" t="s">
        <v>28</v>
      </c>
      <c r="H2911">
        <v>843732952</v>
      </c>
      <c r="I2911" t="s">
        <v>29</v>
      </c>
      <c r="K2911" t="str">
        <f>IF(Table3[[#This Row],[Type Received]]=2,"CC",(IF(Table3[[#This Row],[Type Received]]=3,"BILL","ACH")))</f>
        <v>CC</v>
      </c>
    </row>
    <row r="2912" spans="1:11" x14ac:dyDescent="0.25">
      <c r="A2912">
        <v>237657</v>
      </c>
      <c r="B2912" s="3">
        <v>46157</v>
      </c>
      <c r="C2912">
        <v>1</v>
      </c>
      <c r="D2912">
        <v>56.95</v>
      </c>
      <c r="G2912" t="s">
        <v>87</v>
      </c>
      <c r="H2912">
        <v>696797358</v>
      </c>
      <c r="I2912" t="s">
        <v>29</v>
      </c>
      <c r="K2912" t="str">
        <f>IF(Table3[[#This Row],[Type Received]]=2,"CC",(IF(Table3[[#This Row],[Type Received]]=3,"BILL","ACH")))</f>
        <v>ACH</v>
      </c>
    </row>
    <row r="2913" spans="1:11" x14ac:dyDescent="0.25">
      <c r="A2913">
        <v>237668</v>
      </c>
      <c r="B2913" s="3">
        <v>46167</v>
      </c>
      <c r="C2913">
        <v>1</v>
      </c>
      <c r="D2913">
        <v>50.89</v>
      </c>
      <c r="G2913" t="s">
        <v>85</v>
      </c>
      <c r="H2913">
        <v>818379657</v>
      </c>
      <c r="I2913" t="s">
        <v>29</v>
      </c>
      <c r="K2913" t="str">
        <f>IF(Table3[[#This Row],[Type Received]]=2,"CC",(IF(Table3[[#This Row],[Type Received]]=3,"BILL","ACH")))</f>
        <v>ACH</v>
      </c>
    </row>
    <row r="2914" spans="1:11" x14ac:dyDescent="0.25">
      <c r="A2914">
        <v>237712</v>
      </c>
      <c r="B2914" s="3">
        <v>46157</v>
      </c>
      <c r="C2914">
        <v>1</v>
      </c>
      <c r="D2914">
        <v>47.15</v>
      </c>
      <c r="G2914" t="s">
        <v>87</v>
      </c>
      <c r="H2914">
        <v>696775040</v>
      </c>
      <c r="I2914" t="s">
        <v>29</v>
      </c>
      <c r="K2914" t="str">
        <f>IF(Table3[[#This Row],[Type Received]]=2,"CC",(IF(Table3[[#This Row],[Type Received]]=3,"BILL","ACH")))</f>
        <v>ACH</v>
      </c>
    </row>
    <row r="2915" spans="1:11" x14ac:dyDescent="0.25">
      <c r="A2915">
        <v>237764</v>
      </c>
      <c r="B2915" s="3">
        <v>46157</v>
      </c>
      <c r="C2915">
        <v>1</v>
      </c>
      <c r="D2915">
        <v>76.95</v>
      </c>
      <c r="G2915" t="s">
        <v>87</v>
      </c>
      <c r="H2915">
        <v>696778077</v>
      </c>
      <c r="I2915" t="s">
        <v>29</v>
      </c>
      <c r="K2915" t="str">
        <f>IF(Table3[[#This Row],[Type Received]]=2,"CC",(IF(Table3[[#This Row],[Type Received]]=3,"BILL","ACH")))</f>
        <v>ACH</v>
      </c>
    </row>
    <row r="2916" spans="1:11" x14ac:dyDescent="0.25">
      <c r="A2916">
        <v>237770</v>
      </c>
      <c r="B2916" s="3">
        <v>46155</v>
      </c>
      <c r="C2916">
        <v>2</v>
      </c>
      <c r="D2916">
        <v>99.4</v>
      </c>
      <c r="F2916" t="s">
        <v>83</v>
      </c>
      <c r="G2916" t="s">
        <v>28</v>
      </c>
      <c r="H2916">
        <v>669507157</v>
      </c>
      <c r="I2916" t="s">
        <v>29</v>
      </c>
      <c r="K2916" t="str">
        <f>IF(Table3[[#This Row],[Type Received]]=2,"CC",(IF(Table3[[#This Row],[Type Received]]=3,"BILL","ACH")))</f>
        <v>CC</v>
      </c>
    </row>
    <row r="2917" spans="1:11" x14ac:dyDescent="0.25">
      <c r="A2917">
        <v>238032</v>
      </c>
      <c r="B2917" s="3">
        <v>46145</v>
      </c>
      <c r="C2917">
        <v>1</v>
      </c>
      <c r="D2917">
        <v>167.38</v>
      </c>
      <c r="G2917" t="s">
        <v>113</v>
      </c>
      <c r="H2917">
        <v>546446635</v>
      </c>
      <c r="I2917" t="s">
        <v>29</v>
      </c>
      <c r="K2917" t="str">
        <f>IF(Table3[[#This Row],[Type Received]]=2,"CC",(IF(Table3[[#This Row],[Type Received]]=3,"BILL","ACH")))</f>
        <v>ACH</v>
      </c>
    </row>
    <row r="2918" spans="1:11" x14ac:dyDescent="0.25">
      <c r="A2918">
        <v>238045</v>
      </c>
      <c r="B2918" s="3">
        <v>46167</v>
      </c>
      <c r="C2918">
        <v>1</v>
      </c>
      <c r="D2918">
        <v>28.01</v>
      </c>
      <c r="G2918" t="s">
        <v>85</v>
      </c>
      <c r="H2918">
        <v>818392234</v>
      </c>
      <c r="I2918" t="s">
        <v>29</v>
      </c>
      <c r="K2918" t="str">
        <f>IF(Table3[[#This Row],[Type Received]]=2,"CC",(IF(Table3[[#This Row],[Type Received]]=3,"BILL","ACH")))</f>
        <v>ACH</v>
      </c>
    </row>
    <row r="2919" spans="1:11" x14ac:dyDescent="0.25">
      <c r="A2919">
        <v>238046</v>
      </c>
      <c r="B2919" s="3">
        <v>46145</v>
      </c>
      <c r="C2919">
        <v>1</v>
      </c>
      <c r="D2919">
        <v>53.2</v>
      </c>
      <c r="G2919" t="s">
        <v>113</v>
      </c>
      <c r="H2919">
        <v>546442466</v>
      </c>
      <c r="I2919" t="s">
        <v>29</v>
      </c>
      <c r="K2919" t="str">
        <f>IF(Table3[[#This Row],[Type Received]]=2,"CC",(IF(Table3[[#This Row],[Type Received]]=3,"BILL","ACH")))</f>
        <v>ACH</v>
      </c>
    </row>
    <row r="2920" spans="1:11" x14ac:dyDescent="0.25">
      <c r="A2920">
        <v>238091</v>
      </c>
      <c r="B2920" s="3">
        <v>46146</v>
      </c>
      <c r="C2920">
        <v>3</v>
      </c>
      <c r="D2920">
        <v>61.57</v>
      </c>
      <c r="E2920">
        <v>1101</v>
      </c>
      <c r="K2920" t="str">
        <f>IF(Table3[[#This Row],[Type Received]]=2,"CC",(IF(Table3[[#This Row],[Type Received]]=3,"BILL","ACH")))</f>
        <v>BILL</v>
      </c>
    </row>
    <row r="2921" spans="1:11" x14ac:dyDescent="0.25">
      <c r="A2921">
        <v>238122</v>
      </c>
      <c r="B2921" s="3">
        <v>46167</v>
      </c>
      <c r="C2921">
        <v>1</v>
      </c>
      <c r="D2921">
        <v>77.290000000000006</v>
      </c>
      <c r="G2921" t="s">
        <v>85</v>
      </c>
      <c r="H2921">
        <v>818396106</v>
      </c>
      <c r="I2921" t="s">
        <v>29</v>
      </c>
      <c r="K2921" t="str">
        <f>IF(Table3[[#This Row],[Type Received]]=2,"CC",(IF(Table3[[#This Row],[Type Received]]=3,"BILL","ACH")))</f>
        <v>ACH</v>
      </c>
    </row>
    <row r="2922" spans="1:11" x14ac:dyDescent="0.25">
      <c r="A2922">
        <v>238129</v>
      </c>
      <c r="B2922" s="3">
        <v>46143</v>
      </c>
      <c r="C2922">
        <v>1</v>
      </c>
      <c r="D2922">
        <v>84.23</v>
      </c>
      <c r="G2922" t="s">
        <v>84</v>
      </c>
      <c r="H2922">
        <v>526764159</v>
      </c>
      <c r="I2922" t="s">
        <v>29</v>
      </c>
      <c r="K2922" t="str">
        <f>IF(Table3[[#This Row],[Type Received]]=2,"CC",(IF(Table3[[#This Row],[Type Received]]=3,"BILL","ACH")))</f>
        <v>ACH</v>
      </c>
    </row>
    <row r="2923" spans="1:11" x14ac:dyDescent="0.25">
      <c r="A2923">
        <v>238150</v>
      </c>
      <c r="B2923" s="3">
        <v>46143</v>
      </c>
      <c r="C2923">
        <v>2</v>
      </c>
      <c r="D2923">
        <v>189.46</v>
      </c>
      <c r="F2923">
        <v>173594</v>
      </c>
      <c r="G2923" t="s">
        <v>28</v>
      </c>
      <c r="H2923">
        <v>526469891</v>
      </c>
      <c r="I2923" t="s">
        <v>29</v>
      </c>
      <c r="K2923" t="str">
        <f>IF(Table3[[#This Row],[Type Received]]=2,"CC",(IF(Table3[[#This Row],[Type Received]]=3,"BILL","ACH")))</f>
        <v>CC</v>
      </c>
    </row>
    <row r="2924" spans="1:11" x14ac:dyDescent="0.25">
      <c r="A2924">
        <v>238160</v>
      </c>
      <c r="B2924" s="3">
        <v>46168</v>
      </c>
      <c r="C2924">
        <v>3</v>
      </c>
      <c r="D2924">
        <v>122.95</v>
      </c>
      <c r="E2924">
        <v>2841</v>
      </c>
      <c r="K2924" t="str">
        <f>IF(Table3[[#This Row],[Type Received]]=2,"CC",(IF(Table3[[#This Row],[Type Received]]=3,"BILL","ACH")))</f>
        <v>BILL</v>
      </c>
    </row>
    <row r="2925" spans="1:11" x14ac:dyDescent="0.25">
      <c r="A2925">
        <v>238185</v>
      </c>
      <c r="B2925" s="3">
        <v>46145</v>
      </c>
      <c r="C2925">
        <v>1</v>
      </c>
      <c r="D2925">
        <v>76.95</v>
      </c>
      <c r="G2925" t="s">
        <v>113</v>
      </c>
      <c r="H2925">
        <v>546450266</v>
      </c>
      <c r="I2925" t="s">
        <v>29</v>
      </c>
      <c r="K2925" t="str">
        <f>IF(Table3[[#This Row],[Type Received]]=2,"CC",(IF(Table3[[#This Row],[Type Received]]=3,"BILL","ACH")))</f>
        <v>ACH</v>
      </c>
    </row>
    <row r="2926" spans="1:11" x14ac:dyDescent="0.25">
      <c r="A2926">
        <v>237829</v>
      </c>
      <c r="B2926" s="3">
        <v>46146</v>
      </c>
      <c r="C2926">
        <v>3</v>
      </c>
      <c r="D2926">
        <v>42.65</v>
      </c>
      <c r="E2926">
        <v>682</v>
      </c>
      <c r="K2926" t="str">
        <f>IF(Table3[[#This Row],[Type Received]]=2,"CC",(IF(Table3[[#This Row],[Type Received]]=3,"BILL","ACH")))</f>
        <v>BILL</v>
      </c>
    </row>
    <row r="2927" spans="1:11" x14ac:dyDescent="0.25">
      <c r="A2927">
        <v>237843</v>
      </c>
      <c r="B2927" s="3">
        <v>46145</v>
      </c>
      <c r="C2927">
        <v>1</v>
      </c>
      <c r="D2927">
        <v>57.27</v>
      </c>
      <c r="G2927" t="s">
        <v>113</v>
      </c>
      <c r="H2927">
        <v>546446303</v>
      </c>
      <c r="I2927" t="s">
        <v>29</v>
      </c>
      <c r="K2927" t="str">
        <f>IF(Table3[[#This Row],[Type Received]]=2,"CC",(IF(Table3[[#This Row],[Type Received]]=3,"BILL","ACH")))</f>
        <v>ACH</v>
      </c>
    </row>
    <row r="2928" spans="1:11" x14ac:dyDescent="0.25">
      <c r="A2928">
        <v>237873</v>
      </c>
      <c r="B2928" s="3">
        <v>46167</v>
      </c>
      <c r="C2928">
        <v>1</v>
      </c>
      <c r="D2928">
        <v>40.11</v>
      </c>
      <c r="G2928" t="s">
        <v>85</v>
      </c>
      <c r="H2928">
        <v>818382522</v>
      </c>
      <c r="I2928" t="s">
        <v>29</v>
      </c>
      <c r="K2928" t="str">
        <f>IF(Table3[[#This Row],[Type Received]]=2,"CC",(IF(Table3[[#This Row],[Type Received]]=3,"BILL","ACH")))</f>
        <v>ACH</v>
      </c>
    </row>
    <row r="2929" spans="1:11" x14ac:dyDescent="0.25">
      <c r="A2929">
        <v>237906</v>
      </c>
      <c r="B2929" s="3">
        <v>46164</v>
      </c>
      <c r="C2929">
        <v>2</v>
      </c>
      <c r="D2929">
        <v>343.75</v>
      </c>
      <c r="F2929">
        <v>248550</v>
      </c>
      <c r="G2929">
        <v>747909705</v>
      </c>
      <c r="H2929">
        <v>355499434</v>
      </c>
      <c r="K2929" t="str">
        <f>IF(Table3[[#This Row],[Type Received]]=2,"CC",(IF(Table3[[#This Row],[Type Received]]=3,"BILL","ACH")))</f>
        <v>CC</v>
      </c>
    </row>
    <row r="2930" spans="1:11" x14ac:dyDescent="0.25">
      <c r="A2930">
        <v>237919</v>
      </c>
      <c r="B2930" s="3">
        <v>46143</v>
      </c>
      <c r="C2930">
        <v>2</v>
      </c>
      <c r="D2930">
        <v>105.02</v>
      </c>
      <c r="F2930">
        <v>135862</v>
      </c>
      <c r="G2930" t="s">
        <v>28</v>
      </c>
      <c r="H2930">
        <v>525117384</v>
      </c>
      <c r="I2930" t="s">
        <v>29</v>
      </c>
      <c r="K2930" t="str">
        <f>IF(Table3[[#This Row],[Type Received]]=2,"CC",(IF(Table3[[#This Row],[Type Received]]=3,"BILL","ACH")))</f>
        <v>CC</v>
      </c>
    </row>
    <row r="2931" spans="1:11" x14ac:dyDescent="0.25">
      <c r="A2931">
        <v>237921</v>
      </c>
      <c r="B2931" s="3">
        <v>46149</v>
      </c>
      <c r="C2931">
        <v>1</v>
      </c>
      <c r="D2931">
        <v>88.41</v>
      </c>
      <c r="G2931" t="s">
        <v>109</v>
      </c>
      <c r="H2931">
        <v>598857150</v>
      </c>
      <c r="I2931" t="s">
        <v>29</v>
      </c>
      <c r="K2931" t="str">
        <f>IF(Table3[[#This Row],[Type Received]]=2,"CC",(IF(Table3[[#This Row],[Type Received]]=3,"BILL","ACH")))</f>
        <v>ACH</v>
      </c>
    </row>
    <row r="2932" spans="1:11" x14ac:dyDescent="0.25">
      <c r="A2932">
        <v>237961</v>
      </c>
      <c r="B2932" s="3">
        <v>46169</v>
      </c>
      <c r="C2932">
        <v>3</v>
      </c>
      <c r="D2932">
        <v>49.25</v>
      </c>
      <c r="E2932">
        <v>943</v>
      </c>
      <c r="K2932" t="str">
        <f>IF(Table3[[#This Row],[Type Received]]=2,"CC",(IF(Table3[[#This Row],[Type Received]]=3,"BILL","ACH")))</f>
        <v>BILL</v>
      </c>
    </row>
    <row r="2933" spans="1:11" x14ac:dyDescent="0.25">
      <c r="A2933">
        <v>237969</v>
      </c>
      <c r="B2933" s="3">
        <v>46161</v>
      </c>
      <c r="C2933">
        <v>2</v>
      </c>
      <c r="D2933">
        <v>37.369999999999997</v>
      </c>
      <c r="F2933">
        <v>19452</v>
      </c>
      <c r="G2933" t="s">
        <v>28</v>
      </c>
      <c r="H2933">
        <v>745160793</v>
      </c>
      <c r="I2933" t="s">
        <v>29</v>
      </c>
      <c r="K2933" t="str">
        <f>IF(Table3[[#This Row],[Type Received]]=2,"CC",(IF(Table3[[#This Row],[Type Received]]=3,"BILL","ACH")))</f>
        <v>CC</v>
      </c>
    </row>
    <row r="2934" spans="1:11" x14ac:dyDescent="0.25">
      <c r="A2934">
        <v>238000</v>
      </c>
      <c r="B2934" s="3">
        <v>46145</v>
      </c>
      <c r="C2934">
        <v>1</v>
      </c>
      <c r="D2934">
        <v>76.19</v>
      </c>
      <c r="G2934" t="s">
        <v>113</v>
      </c>
      <c r="H2934">
        <v>546443413</v>
      </c>
      <c r="I2934" t="s">
        <v>29</v>
      </c>
      <c r="K2934" t="str">
        <f>IF(Table3[[#This Row],[Type Received]]=2,"CC",(IF(Table3[[#This Row],[Type Received]]=3,"BILL","ACH")))</f>
        <v>ACH</v>
      </c>
    </row>
    <row r="2935" spans="1:11" x14ac:dyDescent="0.25">
      <c r="A2935">
        <v>238466</v>
      </c>
      <c r="B2935" s="3">
        <v>46145</v>
      </c>
      <c r="C2935">
        <v>1</v>
      </c>
      <c r="D2935">
        <v>33.07</v>
      </c>
      <c r="G2935" t="s">
        <v>113</v>
      </c>
      <c r="H2935">
        <v>546446349</v>
      </c>
      <c r="I2935" t="s">
        <v>29</v>
      </c>
      <c r="K2935" t="str">
        <f>IF(Table3[[#This Row],[Type Received]]=2,"CC",(IF(Table3[[#This Row],[Type Received]]=3,"BILL","ACH")))</f>
        <v>ACH</v>
      </c>
    </row>
    <row r="2936" spans="1:11" x14ac:dyDescent="0.25">
      <c r="A2936">
        <v>238491</v>
      </c>
      <c r="B2936" s="3">
        <v>46167</v>
      </c>
      <c r="C2936">
        <v>1</v>
      </c>
      <c r="D2936">
        <v>115.24</v>
      </c>
      <c r="G2936" t="s">
        <v>85</v>
      </c>
      <c r="H2936">
        <v>818383426</v>
      </c>
      <c r="I2936" t="s">
        <v>29</v>
      </c>
      <c r="K2936" t="str">
        <f>IF(Table3[[#This Row],[Type Received]]=2,"CC",(IF(Table3[[#This Row],[Type Received]]=3,"BILL","ACH")))</f>
        <v>ACH</v>
      </c>
    </row>
    <row r="2937" spans="1:11" x14ac:dyDescent="0.25">
      <c r="A2937">
        <v>238523</v>
      </c>
      <c r="B2937" s="3">
        <v>46157</v>
      </c>
      <c r="C2937">
        <v>1</v>
      </c>
      <c r="D2937">
        <v>30.1</v>
      </c>
      <c r="G2937" t="s">
        <v>87</v>
      </c>
      <c r="H2937">
        <v>696782868</v>
      </c>
      <c r="I2937" t="s">
        <v>29</v>
      </c>
      <c r="K2937" t="str">
        <f>IF(Table3[[#This Row],[Type Received]]=2,"CC",(IF(Table3[[#This Row],[Type Received]]=3,"BILL","ACH")))</f>
        <v>ACH</v>
      </c>
    </row>
    <row r="2938" spans="1:11" x14ac:dyDescent="0.25">
      <c r="A2938">
        <v>238526</v>
      </c>
      <c r="B2938" s="3">
        <v>46145</v>
      </c>
      <c r="C2938">
        <v>1</v>
      </c>
      <c r="D2938">
        <v>58.15</v>
      </c>
      <c r="G2938" t="s">
        <v>113</v>
      </c>
      <c r="H2938">
        <v>546451215</v>
      </c>
      <c r="I2938" t="s">
        <v>29</v>
      </c>
      <c r="K2938" t="str">
        <f>IF(Table3[[#This Row],[Type Received]]=2,"CC",(IF(Table3[[#This Row],[Type Received]]=3,"BILL","ACH")))</f>
        <v>ACH</v>
      </c>
    </row>
    <row r="2939" spans="1:11" x14ac:dyDescent="0.25">
      <c r="A2939">
        <v>238529</v>
      </c>
      <c r="B2939" s="3">
        <v>46167</v>
      </c>
      <c r="C2939">
        <v>1</v>
      </c>
      <c r="D2939">
        <v>28.67</v>
      </c>
      <c r="G2939" t="s">
        <v>85</v>
      </c>
      <c r="H2939">
        <v>818374856</v>
      </c>
      <c r="I2939" t="s">
        <v>29</v>
      </c>
      <c r="K2939" t="str">
        <f>IF(Table3[[#This Row],[Type Received]]=2,"CC",(IF(Table3[[#This Row],[Type Received]]=3,"BILL","ACH")))</f>
        <v>ACH</v>
      </c>
    </row>
    <row r="2940" spans="1:11" x14ac:dyDescent="0.25">
      <c r="A2940">
        <v>238564</v>
      </c>
      <c r="B2940" s="3">
        <v>46167</v>
      </c>
      <c r="C2940">
        <v>1</v>
      </c>
      <c r="D2940">
        <v>76.95</v>
      </c>
      <c r="G2940" t="s">
        <v>85</v>
      </c>
      <c r="H2940">
        <v>818375842</v>
      </c>
      <c r="I2940" t="s">
        <v>29</v>
      </c>
      <c r="K2940" t="str">
        <f>IF(Table3[[#This Row],[Type Received]]=2,"CC",(IF(Table3[[#This Row],[Type Received]]=3,"BILL","ACH")))</f>
        <v>ACH</v>
      </c>
    </row>
    <row r="2941" spans="1:11" x14ac:dyDescent="0.25">
      <c r="A2941">
        <v>238595</v>
      </c>
      <c r="B2941" s="3">
        <v>46157</v>
      </c>
      <c r="C2941">
        <v>1</v>
      </c>
      <c r="D2941">
        <v>49.57</v>
      </c>
      <c r="G2941" t="s">
        <v>87</v>
      </c>
      <c r="H2941">
        <v>696805138</v>
      </c>
      <c r="I2941" t="s">
        <v>29</v>
      </c>
      <c r="K2941" t="str">
        <f>IF(Table3[[#This Row],[Type Received]]=2,"CC",(IF(Table3[[#This Row],[Type Received]]=3,"BILL","ACH")))</f>
        <v>ACH</v>
      </c>
    </row>
    <row r="2942" spans="1:11" x14ac:dyDescent="0.25">
      <c r="A2942">
        <v>238629</v>
      </c>
      <c r="B2942" s="3">
        <v>46167</v>
      </c>
      <c r="C2942">
        <v>1</v>
      </c>
      <c r="D2942">
        <v>105.34</v>
      </c>
      <c r="G2942" t="s">
        <v>85</v>
      </c>
      <c r="H2942">
        <v>818396133</v>
      </c>
      <c r="I2942" t="s">
        <v>29</v>
      </c>
      <c r="K2942" t="str">
        <f>IF(Table3[[#This Row],[Type Received]]=2,"CC",(IF(Table3[[#This Row],[Type Received]]=3,"BILL","ACH")))</f>
        <v>ACH</v>
      </c>
    </row>
    <row r="2943" spans="1:11" x14ac:dyDescent="0.25">
      <c r="A2943">
        <v>238647</v>
      </c>
      <c r="B2943" s="3">
        <v>46157</v>
      </c>
      <c r="C2943">
        <v>1</v>
      </c>
      <c r="D2943">
        <v>45.39</v>
      </c>
      <c r="G2943" t="s">
        <v>87</v>
      </c>
      <c r="H2943">
        <v>696793515</v>
      </c>
      <c r="I2943" t="s">
        <v>29</v>
      </c>
      <c r="K2943" t="str">
        <f>IF(Table3[[#This Row],[Type Received]]=2,"CC",(IF(Table3[[#This Row],[Type Received]]=3,"BILL","ACH")))</f>
        <v>ACH</v>
      </c>
    </row>
    <row r="2944" spans="1:11" x14ac:dyDescent="0.25">
      <c r="A2944">
        <v>238686</v>
      </c>
      <c r="B2944" s="3">
        <v>46143</v>
      </c>
      <c r="C2944">
        <v>3</v>
      </c>
      <c r="D2944">
        <v>72.42</v>
      </c>
      <c r="E2944">
        <v>3117</v>
      </c>
      <c r="K2944" t="str">
        <f>IF(Table3[[#This Row],[Type Received]]=2,"CC",(IF(Table3[[#This Row],[Type Received]]=3,"BILL","ACH")))</f>
        <v>BILL</v>
      </c>
    </row>
    <row r="2945" spans="1:11" x14ac:dyDescent="0.25">
      <c r="A2945">
        <v>238702</v>
      </c>
      <c r="B2945" s="3">
        <v>46157</v>
      </c>
      <c r="C2945">
        <v>1</v>
      </c>
      <c r="D2945">
        <v>23.17</v>
      </c>
      <c r="G2945" t="s">
        <v>87</v>
      </c>
      <c r="H2945">
        <v>696790635</v>
      </c>
      <c r="I2945" t="s">
        <v>29</v>
      </c>
      <c r="K2945" t="str">
        <f>IF(Table3[[#This Row],[Type Received]]=2,"CC",(IF(Table3[[#This Row],[Type Received]]=3,"BILL","ACH")))</f>
        <v>ACH</v>
      </c>
    </row>
    <row r="2946" spans="1:11" x14ac:dyDescent="0.25">
      <c r="A2946">
        <v>238761</v>
      </c>
      <c r="B2946" s="3">
        <v>46145</v>
      </c>
      <c r="C2946">
        <v>1</v>
      </c>
      <c r="D2946">
        <v>76.95</v>
      </c>
      <c r="G2946" t="s">
        <v>113</v>
      </c>
      <c r="H2946">
        <v>546444482</v>
      </c>
      <c r="I2946" t="s">
        <v>29</v>
      </c>
      <c r="K2946" t="str">
        <f>IF(Table3[[#This Row],[Type Received]]=2,"CC",(IF(Table3[[#This Row],[Type Received]]=3,"BILL","ACH")))</f>
        <v>ACH</v>
      </c>
    </row>
    <row r="2947" spans="1:11" x14ac:dyDescent="0.25">
      <c r="A2947">
        <v>238766</v>
      </c>
      <c r="B2947" s="3">
        <v>46155</v>
      </c>
      <c r="C2947">
        <v>2</v>
      </c>
      <c r="D2947">
        <v>82.9</v>
      </c>
      <c r="F2947">
        <v>181811</v>
      </c>
      <c r="G2947" t="s">
        <v>28</v>
      </c>
      <c r="H2947">
        <v>669500543</v>
      </c>
      <c r="I2947" t="s">
        <v>29</v>
      </c>
      <c r="K2947" t="str">
        <f>IF(Table3[[#This Row],[Type Received]]=2,"CC",(IF(Table3[[#This Row],[Type Received]]=3,"BILL","ACH")))</f>
        <v>CC</v>
      </c>
    </row>
    <row r="2948" spans="1:11" x14ac:dyDescent="0.25">
      <c r="A2948">
        <v>238796</v>
      </c>
      <c r="B2948" s="3">
        <v>46157</v>
      </c>
      <c r="C2948">
        <v>1</v>
      </c>
      <c r="D2948">
        <v>44.95</v>
      </c>
      <c r="G2948" t="s">
        <v>87</v>
      </c>
      <c r="H2948">
        <v>696781916</v>
      </c>
      <c r="I2948" t="s">
        <v>29</v>
      </c>
      <c r="K2948" t="str">
        <f>IF(Table3[[#This Row],[Type Received]]=2,"CC",(IF(Table3[[#This Row],[Type Received]]=3,"BILL","ACH")))</f>
        <v>ACH</v>
      </c>
    </row>
    <row r="2949" spans="1:11" x14ac:dyDescent="0.25">
      <c r="A2949">
        <v>238839</v>
      </c>
      <c r="B2949" s="3">
        <v>46157</v>
      </c>
      <c r="C2949">
        <v>1</v>
      </c>
      <c r="D2949">
        <v>41.65</v>
      </c>
      <c r="G2949" t="s">
        <v>87</v>
      </c>
      <c r="H2949">
        <v>696827061</v>
      </c>
      <c r="I2949" t="s">
        <v>29</v>
      </c>
      <c r="K2949" t="str">
        <f>IF(Table3[[#This Row],[Type Received]]=2,"CC",(IF(Table3[[#This Row],[Type Received]]=3,"BILL","ACH")))</f>
        <v>ACH</v>
      </c>
    </row>
    <row r="2950" spans="1:11" x14ac:dyDescent="0.25">
      <c r="A2950">
        <v>238853</v>
      </c>
      <c r="B2950" s="3">
        <v>46145</v>
      </c>
      <c r="C2950">
        <v>1</v>
      </c>
      <c r="D2950">
        <v>39.229999999999997</v>
      </c>
      <c r="G2950" t="s">
        <v>113</v>
      </c>
      <c r="H2950">
        <v>546450305</v>
      </c>
      <c r="I2950" t="s">
        <v>29</v>
      </c>
      <c r="K2950" t="str">
        <f>IF(Table3[[#This Row],[Type Received]]=2,"CC",(IF(Table3[[#This Row],[Type Received]]=3,"BILL","ACH")))</f>
        <v>ACH</v>
      </c>
    </row>
    <row r="2951" spans="1:11" x14ac:dyDescent="0.25">
      <c r="A2951">
        <v>238911</v>
      </c>
      <c r="B2951" s="3">
        <v>46160</v>
      </c>
      <c r="C2951">
        <v>2</v>
      </c>
      <c r="D2951">
        <v>144.29</v>
      </c>
      <c r="F2951" t="s">
        <v>271</v>
      </c>
      <c r="G2951" t="s">
        <v>28</v>
      </c>
      <c r="H2951">
        <v>738761031</v>
      </c>
      <c r="I2951" t="s">
        <v>29</v>
      </c>
      <c r="K2951" t="str">
        <f>IF(Table3[[#This Row],[Type Received]]=2,"CC",(IF(Table3[[#This Row],[Type Received]]=3,"BILL","ACH")))</f>
        <v>CC</v>
      </c>
    </row>
    <row r="2952" spans="1:11" x14ac:dyDescent="0.25">
      <c r="A2952">
        <v>238947</v>
      </c>
      <c r="B2952" s="3">
        <v>46169</v>
      </c>
      <c r="C2952">
        <v>3</v>
      </c>
      <c r="D2952">
        <v>745</v>
      </c>
      <c r="E2952">
        <v>7617</v>
      </c>
      <c r="K2952" t="str">
        <f>IF(Table3[[#This Row],[Type Received]]=2,"CC",(IF(Table3[[#This Row],[Type Received]]=3,"BILL","ACH")))</f>
        <v>BILL</v>
      </c>
    </row>
    <row r="2953" spans="1:11" x14ac:dyDescent="0.25">
      <c r="A2953">
        <v>238998</v>
      </c>
      <c r="B2953" s="3">
        <v>46164</v>
      </c>
      <c r="C2953">
        <v>3</v>
      </c>
      <c r="D2953">
        <v>67.400000000000006</v>
      </c>
      <c r="E2953">
        <v>1461</v>
      </c>
      <c r="K2953" t="str">
        <f>IF(Table3[[#This Row],[Type Received]]=2,"CC",(IF(Table3[[#This Row],[Type Received]]=3,"BILL","ACH")))</f>
        <v>BILL</v>
      </c>
    </row>
    <row r="2954" spans="1:11" x14ac:dyDescent="0.25">
      <c r="A2954">
        <v>238216</v>
      </c>
      <c r="B2954" s="3">
        <v>46157</v>
      </c>
      <c r="C2954">
        <v>1</v>
      </c>
      <c r="D2954">
        <v>171.67</v>
      </c>
      <c r="G2954" t="s">
        <v>87</v>
      </c>
      <c r="H2954">
        <v>696796412</v>
      </c>
      <c r="I2954" t="s">
        <v>29</v>
      </c>
      <c r="K2954" t="str">
        <f>IF(Table3[[#This Row],[Type Received]]=2,"CC",(IF(Table3[[#This Row],[Type Received]]=3,"BILL","ACH")))</f>
        <v>ACH</v>
      </c>
    </row>
    <row r="2955" spans="1:11" x14ac:dyDescent="0.25">
      <c r="A2955">
        <v>238229</v>
      </c>
      <c r="B2955" s="3">
        <v>46157</v>
      </c>
      <c r="C2955">
        <v>1</v>
      </c>
      <c r="D2955">
        <v>76.95</v>
      </c>
      <c r="G2955" t="s">
        <v>87</v>
      </c>
      <c r="H2955">
        <v>696805102</v>
      </c>
      <c r="I2955" t="s">
        <v>29</v>
      </c>
      <c r="K2955" t="str">
        <f>IF(Table3[[#This Row],[Type Received]]=2,"CC",(IF(Table3[[#This Row],[Type Received]]=3,"BILL","ACH")))</f>
        <v>ACH</v>
      </c>
    </row>
    <row r="2956" spans="1:11" x14ac:dyDescent="0.25">
      <c r="A2956">
        <v>238231</v>
      </c>
      <c r="B2956" s="3">
        <v>46157</v>
      </c>
      <c r="C2956">
        <v>1</v>
      </c>
      <c r="D2956">
        <v>23.39</v>
      </c>
      <c r="G2956" t="s">
        <v>87</v>
      </c>
      <c r="H2956">
        <v>696790581</v>
      </c>
      <c r="I2956" t="s">
        <v>29</v>
      </c>
      <c r="K2956" t="str">
        <f>IF(Table3[[#This Row],[Type Received]]=2,"CC",(IF(Table3[[#This Row],[Type Received]]=3,"BILL","ACH")))</f>
        <v>ACH</v>
      </c>
    </row>
    <row r="2957" spans="1:11" x14ac:dyDescent="0.25">
      <c r="A2957">
        <v>238236</v>
      </c>
      <c r="B2957" s="3">
        <v>46145</v>
      </c>
      <c r="C2957">
        <v>1</v>
      </c>
      <c r="D2957">
        <v>71.349999999999994</v>
      </c>
      <c r="G2957" t="s">
        <v>113</v>
      </c>
      <c r="H2957">
        <v>546429884</v>
      </c>
      <c r="I2957" t="s">
        <v>29</v>
      </c>
      <c r="K2957" t="str">
        <f>IF(Table3[[#This Row],[Type Received]]=2,"CC",(IF(Table3[[#This Row],[Type Received]]=3,"BILL","ACH")))</f>
        <v>ACH</v>
      </c>
    </row>
    <row r="2958" spans="1:11" x14ac:dyDescent="0.25">
      <c r="A2958">
        <v>238242</v>
      </c>
      <c r="B2958" s="3">
        <v>46147</v>
      </c>
      <c r="C2958">
        <v>3</v>
      </c>
      <c r="D2958">
        <v>122.95</v>
      </c>
      <c r="E2958">
        <v>989192</v>
      </c>
      <c r="K2958" t="str">
        <f>IF(Table3[[#This Row],[Type Received]]=2,"CC",(IF(Table3[[#This Row],[Type Received]]=3,"BILL","ACH")))</f>
        <v>BILL</v>
      </c>
    </row>
    <row r="2959" spans="1:11" x14ac:dyDescent="0.25">
      <c r="A2959">
        <v>238245</v>
      </c>
      <c r="B2959" s="3">
        <v>46147</v>
      </c>
      <c r="C2959">
        <v>2</v>
      </c>
      <c r="D2959">
        <v>186.34</v>
      </c>
      <c r="F2959">
        <v>46663</v>
      </c>
      <c r="G2959" t="s">
        <v>28</v>
      </c>
      <c r="H2959">
        <v>570169998</v>
      </c>
      <c r="I2959" t="s">
        <v>29</v>
      </c>
      <c r="K2959" t="str">
        <f>IF(Table3[[#This Row],[Type Received]]=2,"CC",(IF(Table3[[#This Row],[Type Received]]=3,"BILL","ACH")))</f>
        <v>CC</v>
      </c>
    </row>
    <row r="2960" spans="1:11" x14ac:dyDescent="0.25">
      <c r="A2960">
        <v>238251</v>
      </c>
      <c r="B2960" s="3">
        <v>46156</v>
      </c>
      <c r="C2960">
        <v>3</v>
      </c>
      <c r="D2960">
        <v>60.69</v>
      </c>
      <c r="E2960">
        <v>996842</v>
      </c>
      <c r="K2960" t="str">
        <f>IF(Table3[[#This Row],[Type Received]]=2,"CC",(IF(Table3[[#This Row],[Type Received]]=3,"BILL","ACH")))</f>
        <v>BILL</v>
      </c>
    </row>
    <row r="2961" spans="1:11" x14ac:dyDescent="0.25">
      <c r="A2961">
        <v>238273</v>
      </c>
      <c r="B2961" s="3">
        <v>46143</v>
      </c>
      <c r="C2961">
        <v>3</v>
      </c>
      <c r="D2961">
        <v>45.29</v>
      </c>
      <c r="E2961">
        <v>921402601</v>
      </c>
      <c r="K2961" t="str">
        <f>IF(Table3[[#This Row],[Type Received]]=2,"CC",(IF(Table3[[#This Row],[Type Received]]=3,"BILL","ACH")))</f>
        <v>BILL</v>
      </c>
    </row>
    <row r="2962" spans="1:11" x14ac:dyDescent="0.25">
      <c r="A2962">
        <v>238403</v>
      </c>
      <c r="B2962" s="3">
        <v>46145</v>
      </c>
      <c r="C2962">
        <v>1</v>
      </c>
      <c r="D2962">
        <v>76.95</v>
      </c>
      <c r="G2962" t="s">
        <v>113</v>
      </c>
      <c r="H2962">
        <v>546430879</v>
      </c>
      <c r="I2962" t="s">
        <v>29</v>
      </c>
      <c r="K2962" t="str">
        <f>IF(Table3[[#This Row],[Type Received]]=2,"CC",(IF(Table3[[#This Row],[Type Received]]=3,"BILL","ACH")))</f>
        <v>ACH</v>
      </c>
    </row>
    <row r="2963" spans="1:11" x14ac:dyDescent="0.25">
      <c r="A2963">
        <v>239219</v>
      </c>
      <c r="B2963" s="3">
        <v>46145</v>
      </c>
      <c r="C2963">
        <v>1</v>
      </c>
      <c r="D2963">
        <v>76.95</v>
      </c>
      <c r="G2963" t="s">
        <v>113</v>
      </c>
      <c r="H2963">
        <v>546432782</v>
      </c>
      <c r="I2963" t="s">
        <v>29</v>
      </c>
      <c r="K2963" t="str">
        <f>IF(Table3[[#This Row],[Type Received]]=2,"CC",(IF(Table3[[#This Row],[Type Received]]=3,"BILL","ACH")))</f>
        <v>ACH</v>
      </c>
    </row>
    <row r="2964" spans="1:11" x14ac:dyDescent="0.25">
      <c r="A2964">
        <v>239221</v>
      </c>
      <c r="B2964" s="3">
        <v>46164</v>
      </c>
      <c r="C2964">
        <v>1</v>
      </c>
      <c r="D2964">
        <v>230.85</v>
      </c>
      <c r="G2964" t="s">
        <v>118</v>
      </c>
      <c r="H2964">
        <v>784586930</v>
      </c>
      <c r="I2964" t="s">
        <v>29</v>
      </c>
      <c r="K2964" t="str">
        <f>IF(Table3[[#This Row],[Type Received]]=2,"CC",(IF(Table3[[#This Row],[Type Received]]=3,"BILL","ACH")))</f>
        <v>ACH</v>
      </c>
    </row>
    <row r="2965" spans="1:11" x14ac:dyDescent="0.25">
      <c r="A2965">
        <v>239221</v>
      </c>
      <c r="B2965" s="3">
        <v>46158</v>
      </c>
      <c r="C2965">
        <v>1</v>
      </c>
      <c r="D2965">
        <v>76.95</v>
      </c>
      <c r="G2965" t="s">
        <v>106</v>
      </c>
      <c r="H2965">
        <v>710054729</v>
      </c>
      <c r="I2965" t="s">
        <v>29</v>
      </c>
      <c r="K2965" t="str">
        <f>IF(Table3[[#This Row],[Type Received]]=2,"CC",(IF(Table3[[#This Row],[Type Received]]=3,"BILL","ACH")))</f>
        <v>ACH</v>
      </c>
    </row>
    <row r="2966" spans="1:11" x14ac:dyDescent="0.25">
      <c r="A2966">
        <v>239232</v>
      </c>
      <c r="B2966" s="3">
        <v>46143</v>
      </c>
      <c r="C2966">
        <v>2</v>
      </c>
      <c r="D2966">
        <v>71.349999999999994</v>
      </c>
      <c r="F2966">
        <v>45</v>
      </c>
      <c r="G2966" t="s">
        <v>28</v>
      </c>
      <c r="H2966">
        <v>522178357</v>
      </c>
      <c r="I2966" t="s">
        <v>29</v>
      </c>
      <c r="K2966" t="str">
        <f>IF(Table3[[#This Row],[Type Received]]=2,"CC",(IF(Table3[[#This Row],[Type Received]]=3,"BILL","ACH")))</f>
        <v>CC</v>
      </c>
    </row>
    <row r="2967" spans="1:11" x14ac:dyDescent="0.25">
      <c r="A2967">
        <v>239283</v>
      </c>
      <c r="B2967" s="3">
        <v>46146</v>
      </c>
      <c r="C2967">
        <v>3</v>
      </c>
      <c r="D2967">
        <v>98.97</v>
      </c>
      <c r="E2967">
        <v>594</v>
      </c>
      <c r="K2967" t="str">
        <f>IF(Table3[[#This Row],[Type Received]]=2,"CC",(IF(Table3[[#This Row],[Type Received]]=3,"BILL","ACH")))</f>
        <v>BILL</v>
      </c>
    </row>
    <row r="2968" spans="1:11" x14ac:dyDescent="0.25">
      <c r="A2968">
        <v>239296</v>
      </c>
      <c r="B2968" s="3">
        <v>46167</v>
      </c>
      <c r="C2968">
        <v>1</v>
      </c>
      <c r="D2968">
        <v>71.349999999999994</v>
      </c>
      <c r="G2968" t="s">
        <v>85</v>
      </c>
      <c r="H2968">
        <v>818389331</v>
      </c>
      <c r="I2968" t="s">
        <v>29</v>
      </c>
      <c r="K2968" t="str">
        <f>IF(Table3[[#This Row],[Type Received]]=2,"CC",(IF(Table3[[#This Row],[Type Received]]=3,"BILL","ACH")))</f>
        <v>ACH</v>
      </c>
    </row>
    <row r="2969" spans="1:11" x14ac:dyDescent="0.25">
      <c r="A2969">
        <v>239327</v>
      </c>
      <c r="B2969" s="3">
        <v>46149</v>
      </c>
      <c r="C2969">
        <v>2</v>
      </c>
      <c r="D2969">
        <v>163.41999999999999</v>
      </c>
      <c r="F2969">
        <v>86501</v>
      </c>
      <c r="G2969" t="s">
        <v>28</v>
      </c>
      <c r="H2969">
        <v>594881056</v>
      </c>
      <c r="I2969" t="s">
        <v>29</v>
      </c>
      <c r="K2969" t="str">
        <f>IF(Table3[[#This Row],[Type Received]]=2,"CC",(IF(Table3[[#This Row],[Type Received]]=3,"BILL","ACH")))</f>
        <v>CC</v>
      </c>
    </row>
    <row r="2970" spans="1:11" x14ac:dyDescent="0.25">
      <c r="A2970">
        <v>239356</v>
      </c>
      <c r="B2970" s="3">
        <v>46156</v>
      </c>
      <c r="C2970">
        <v>1</v>
      </c>
      <c r="D2970">
        <v>122.5</v>
      </c>
      <c r="G2970" t="s">
        <v>93</v>
      </c>
      <c r="H2970">
        <v>682532667</v>
      </c>
      <c r="I2970" t="s">
        <v>29</v>
      </c>
      <c r="K2970" t="str">
        <f>IF(Table3[[#This Row],[Type Received]]=2,"CC",(IF(Table3[[#This Row],[Type Received]]=3,"BILL","ACH")))</f>
        <v>ACH</v>
      </c>
    </row>
    <row r="2971" spans="1:11" x14ac:dyDescent="0.25">
      <c r="A2971">
        <v>239363</v>
      </c>
      <c r="B2971" s="3">
        <v>46167</v>
      </c>
      <c r="C2971">
        <v>1</v>
      </c>
      <c r="D2971">
        <v>56.95</v>
      </c>
      <c r="G2971" t="s">
        <v>85</v>
      </c>
      <c r="H2971">
        <v>818389340</v>
      </c>
      <c r="I2971" t="s">
        <v>29</v>
      </c>
      <c r="K2971" t="str">
        <f>IF(Table3[[#This Row],[Type Received]]=2,"CC",(IF(Table3[[#This Row],[Type Received]]=3,"BILL","ACH")))</f>
        <v>ACH</v>
      </c>
    </row>
    <row r="2972" spans="1:11" x14ac:dyDescent="0.25">
      <c r="A2972">
        <v>239017</v>
      </c>
      <c r="B2972" s="3">
        <v>46145</v>
      </c>
      <c r="C2972">
        <v>1</v>
      </c>
      <c r="D2972">
        <v>25.15</v>
      </c>
      <c r="G2972" t="s">
        <v>113</v>
      </c>
      <c r="H2972">
        <v>546425451</v>
      </c>
      <c r="I2972" t="s">
        <v>29</v>
      </c>
      <c r="K2972" t="str">
        <f>IF(Table3[[#This Row],[Type Received]]=2,"CC",(IF(Table3[[#This Row],[Type Received]]=3,"BILL","ACH")))</f>
        <v>ACH</v>
      </c>
    </row>
    <row r="2973" spans="1:11" x14ac:dyDescent="0.25">
      <c r="A2973">
        <v>239057</v>
      </c>
      <c r="B2973" s="3">
        <v>46170</v>
      </c>
      <c r="C2973">
        <v>2</v>
      </c>
      <c r="D2973">
        <v>123.83</v>
      </c>
      <c r="F2973">
        <v>271410</v>
      </c>
      <c r="G2973" t="s">
        <v>28</v>
      </c>
      <c r="H2973">
        <v>857608073</v>
      </c>
      <c r="I2973" t="s">
        <v>29</v>
      </c>
      <c r="K2973" t="str">
        <f>IF(Table3[[#This Row],[Type Received]]=2,"CC",(IF(Table3[[#This Row],[Type Received]]=3,"BILL","ACH")))</f>
        <v>CC</v>
      </c>
    </row>
    <row r="2974" spans="1:11" x14ac:dyDescent="0.25">
      <c r="A2974">
        <v>239121</v>
      </c>
      <c r="B2974" s="3">
        <v>46167</v>
      </c>
      <c r="C2974">
        <v>1</v>
      </c>
      <c r="D2974">
        <v>76.95</v>
      </c>
      <c r="G2974" t="s">
        <v>85</v>
      </c>
      <c r="H2974">
        <v>818388322</v>
      </c>
      <c r="I2974" t="s">
        <v>29</v>
      </c>
      <c r="K2974" t="str">
        <f>IF(Table3[[#This Row],[Type Received]]=2,"CC",(IF(Table3[[#This Row],[Type Received]]=3,"BILL","ACH")))</f>
        <v>ACH</v>
      </c>
    </row>
    <row r="2975" spans="1:11" x14ac:dyDescent="0.25">
      <c r="A2975">
        <v>239144</v>
      </c>
      <c r="B2975" s="3">
        <v>46158</v>
      </c>
      <c r="C2975">
        <v>1</v>
      </c>
      <c r="D2975">
        <v>56.95</v>
      </c>
      <c r="G2975" t="s">
        <v>106</v>
      </c>
      <c r="H2975">
        <v>710059508</v>
      </c>
      <c r="I2975" t="s">
        <v>29</v>
      </c>
      <c r="K2975" t="str">
        <f>IF(Table3[[#This Row],[Type Received]]=2,"CC",(IF(Table3[[#This Row],[Type Received]]=3,"BILL","ACH")))</f>
        <v>ACH</v>
      </c>
    </row>
    <row r="2976" spans="1:11" x14ac:dyDescent="0.25">
      <c r="A2976">
        <v>239204</v>
      </c>
      <c r="B2976" s="3">
        <v>46143</v>
      </c>
      <c r="C2976">
        <v>1</v>
      </c>
      <c r="D2976">
        <v>121.95</v>
      </c>
      <c r="G2976" t="s">
        <v>84</v>
      </c>
      <c r="H2976">
        <v>522214468</v>
      </c>
      <c r="I2976" t="s">
        <v>29</v>
      </c>
      <c r="K2976" t="str">
        <f>IF(Table3[[#This Row],[Type Received]]=2,"CC",(IF(Table3[[#This Row],[Type Received]]=3,"BILL","ACH")))</f>
        <v>ACH</v>
      </c>
    </row>
    <row r="2977" spans="1:11" x14ac:dyDescent="0.25">
      <c r="A2977">
        <v>239456</v>
      </c>
      <c r="B2977" s="3">
        <v>46164</v>
      </c>
      <c r="C2977">
        <v>2</v>
      </c>
      <c r="D2977">
        <v>137.74</v>
      </c>
      <c r="F2977">
        <v>83086</v>
      </c>
      <c r="G2977" t="s">
        <v>28</v>
      </c>
      <c r="H2977">
        <v>786104015</v>
      </c>
      <c r="I2977" t="s">
        <v>29</v>
      </c>
      <c r="K2977" t="str">
        <f>IF(Table3[[#This Row],[Type Received]]=2,"CC",(IF(Table3[[#This Row],[Type Received]]=3,"BILL","ACH")))</f>
        <v>CC</v>
      </c>
    </row>
    <row r="2978" spans="1:11" x14ac:dyDescent="0.25">
      <c r="A2978">
        <v>239481</v>
      </c>
      <c r="B2978" s="3">
        <v>46158</v>
      </c>
      <c r="C2978">
        <v>1</v>
      </c>
      <c r="D2978">
        <v>36.700000000000003</v>
      </c>
      <c r="G2978" t="s">
        <v>106</v>
      </c>
      <c r="H2978">
        <v>710074294</v>
      </c>
      <c r="I2978" t="s">
        <v>29</v>
      </c>
      <c r="K2978" t="str">
        <f>IF(Table3[[#This Row],[Type Received]]=2,"CC",(IF(Table3[[#This Row],[Type Received]]=3,"BILL","ACH")))</f>
        <v>ACH</v>
      </c>
    </row>
    <row r="2979" spans="1:11" x14ac:dyDescent="0.25">
      <c r="A2979">
        <v>239528</v>
      </c>
      <c r="B2979" s="3">
        <v>46167</v>
      </c>
      <c r="C2979">
        <v>1</v>
      </c>
      <c r="D2979">
        <v>81.47</v>
      </c>
      <c r="G2979" t="s">
        <v>85</v>
      </c>
      <c r="H2979">
        <v>818376783</v>
      </c>
      <c r="I2979" t="s">
        <v>29</v>
      </c>
      <c r="K2979" t="str">
        <f>IF(Table3[[#This Row],[Type Received]]=2,"CC",(IF(Table3[[#This Row],[Type Received]]=3,"BILL","ACH")))</f>
        <v>ACH</v>
      </c>
    </row>
    <row r="2980" spans="1:11" x14ac:dyDescent="0.25">
      <c r="A2980">
        <v>239567</v>
      </c>
      <c r="B2980" s="3">
        <v>46168</v>
      </c>
      <c r="C2980">
        <v>3</v>
      </c>
      <c r="D2980">
        <v>82.1</v>
      </c>
      <c r="E2980">
        <v>9432724529</v>
      </c>
      <c r="K2980" t="str">
        <f>IF(Table3[[#This Row],[Type Received]]=2,"CC",(IF(Table3[[#This Row],[Type Received]]=3,"BILL","ACH")))</f>
        <v>BILL</v>
      </c>
    </row>
    <row r="2981" spans="1:11" x14ac:dyDescent="0.25">
      <c r="A2981">
        <v>239621</v>
      </c>
      <c r="B2981" s="3">
        <v>46167</v>
      </c>
      <c r="C2981">
        <v>1</v>
      </c>
      <c r="D2981">
        <v>71.680000000000007</v>
      </c>
      <c r="G2981" t="s">
        <v>85</v>
      </c>
      <c r="H2981">
        <v>818379756</v>
      </c>
      <c r="I2981" t="s">
        <v>29</v>
      </c>
      <c r="K2981" t="str">
        <f>IF(Table3[[#This Row],[Type Received]]=2,"CC",(IF(Table3[[#This Row],[Type Received]]=3,"BILL","ACH")))</f>
        <v>ACH</v>
      </c>
    </row>
    <row r="2982" spans="1:11" x14ac:dyDescent="0.25">
      <c r="A2982">
        <v>239647</v>
      </c>
      <c r="B2982" s="3">
        <v>46145</v>
      </c>
      <c r="C2982">
        <v>1</v>
      </c>
      <c r="D2982">
        <v>62.11</v>
      </c>
      <c r="G2982" t="s">
        <v>113</v>
      </c>
      <c r="H2982">
        <v>546446373</v>
      </c>
      <c r="I2982" t="s">
        <v>29</v>
      </c>
      <c r="K2982" t="str">
        <f>IF(Table3[[#This Row],[Type Received]]=2,"CC",(IF(Table3[[#This Row],[Type Received]]=3,"BILL","ACH")))</f>
        <v>ACH</v>
      </c>
    </row>
    <row r="2983" spans="1:11" x14ac:dyDescent="0.25">
      <c r="A2983">
        <v>239650</v>
      </c>
      <c r="B2983" s="3">
        <v>46161</v>
      </c>
      <c r="C2983">
        <v>2</v>
      </c>
      <c r="D2983">
        <v>83.13</v>
      </c>
      <c r="F2983" t="s">
        <v>272</v>
      </c>
      <c r="G2983">
        <v>746805329</v>
      </c>
      <c r="H2983">
        <v>355091368</v>
      </c>
      <c r="K2983" t="str">
        <f>IF(Table3[[#This Row],[Type Received]]=2,"CC",(IF(Table3[[#This Row],[Type Received]]=3,"BILL","ACH")))</f>
        <v>CC</v>
      </c>
    </row>
    <row r="2984" spans="1:11" x14ac:dyDescent="0.25">
      <c r="A2984">
        <v>239660</v>
      </c>
      <c r="B2984" s="3">
        <v>46167</v>
      </c>
      <c r="C2984">
        <v>1</v>
      </c>
      <c r="D2984">
        <v>72.34</v>
      </c>
      <c r="G2984" t="s">
        <v>85</v>
      </c>
      <c r="H2984">
        <v>818376793</v>
      </c>
      <c r="I2984" t="s">
        <v>29</v>
      </c>
      <c r="K2984" t="str">
        <f>IF(Table3[[#This Row],[Type Received]]=2,"CC",(IF(Table3[[#This Row],[Type Received]]=3,"BILL","ACH")))</f>
        <v>ACH</v>
      </c>
    </row>
    <row r="2985" spans="1:11" x14ac:dyDescent="0.25">
      <c r="A2985">
        <v>239693</v>
      </c>
      <c r="B2985" s="3">
        <v>46167</v>
      </c>
      <c r="C2985">
        <v>1</v>
      </c>
      <c r="D2985">
        <v>95.77</v>
      </c>
      <c r="G2985" t="s">
        <v>85</v>
      </c>
      <c r="H2985">
        <v>818371053</v>
      </c>
      <c r="I2985" t="s">
        <v>29</v>
      </c>
      <c r="K2985" t="str">
        <f>IF(Table3[[#This Row],[Type Received]]=2,"CC",(IF(Table3[[#This Row],[Type Received]]=3,"BILL","ACH")))</f>
        <v>ACH</v>
      </c>
    </row>
    <row r="2986" spans="1:11" x14ac:dyDescent="0.25">
      <c r="A2986">
        <v>239766</v>
      </c>
      <c r="B2986" s="3">
        <v>46150</v>
      </c>
      <c r="C2986">
        <v>3</v>
      </c>
      <c r="D2986">
        <v>336.7</v>
      </c>
      <c r="E2986">
        <v>986907</v>
      </c>
      <c r="K2986" t="str">
        <f>IF(Table3[[#This Row],[Type Received]]=2,"CC",(IF(Table3[[#This Row],[Type Received]]=3,"BILL","ACH")))</f>
        <v>BILL</v>
      </c>
    </row>
    <row r="2987" spans="1:11" x14ac:dyDescent="0.25">
      <c r="A2987">
        <v>240028</v>
      </c>
      <c r="B2987" s="3">
        <v>46167</v>
      </c>
      <c r="C2987">
        <v>1</v>
      </c>
      <c r="D2987">
        <v>63.65</v>
      </c>
      <c r="G2987" t="s">
        <v>85</v>
      </c>
      <c r="H2987">
        <v>818392336</v>
      </c>
      <c r="I2987" t="s">
        <v>29</v>
      </c>
      <c r="K2987" t="str">
        <f>IF(Table3[[#This Row],[Type Received]]=2,"CC",(IF(Table3[[#This Row],[Type Received]]=3,"BILL","ACH")))</f>
        <v>ACH</v>
      </c>
    </row>
    <row r="2988" spans="1:11" x14ac:dyDescent="0.25">
      <c r="A2988">
        <v>240108</v>
      </c>
      <c r="B2988" s="3">
        <v>46153</v>
      </c>
      <c r="C2988">
        <v>3</v>
      </c>
      <c r="D2988">
        <v>74.77</v>
      </c>
      <c r="E2988">
        <v>6156</v>
      </c>
      <c r="K2988" t="str">
        <f>IF(Table3[[#This Row],[Type Received]]=2,"CC",(IF(Table3[[#This Row],[Type Received]]=3,"BILL","ACH")))</f>
        <v>BILL</v>
      </c>
    </row>
    <row r="2989" spans="1:11" x14ac:dyDescent="0.25">
      <c r="A2989">
        <v>240113</v>
      </c>
      <c r="B2989" s="3">
        <v>46143</v>
      </c>
      <c r="C2989">
        <v>2</v>
      </c>
      <c r="D2989">
        <v>62.55</v>
      </c>
      <c r="F2989" t="s">
        <v>273</v>
      </c>
      <c r="G2989" t="s">
        <v>28</v>
      </c>
      <c r="H2989">
        <v>522367417</v>
      </c>
      <c r="I2989" t="s">
        <v>29</v>
      </c>
      <c r="K2989" t="str">
        <f>IF(Table3[[#This Row],[Type Received]]=2,"CC",(IF(Table3[[#This Row],[Type Received]]=3,"BILL","ACH")))</f>
        <v>CC</v>
      </c>
    </row>
    <row r="2990" spans="1:11" x14ac:dyDescent="0.25">
      <c r="A2990">
        <v>240148</v>
      </c>
      <c r="B2990" s="3">
        <v>46143</v>
      </c>
      <c r="C2990">
        <v>1</v>
      </c>
      <c r="D2990">
        <v>120.85</v>
      </c>
      <c r="G2990" t="s">
        <v>84</v>
      </c>
      <c r="H2990">
        <v>522368392</v>
      </c>
      <c r="I2990" t="s">
        <v>29</v>
      </c>
      <c r="K2990" t="str">
        <f>IF(Table3[[#This Row],[Type Received]]=2,"CC",(IF(Table3[[#This Row],[Type Received]]=3,"BILL","ACH")))</f>
        <v>ACH</v>
      </c>
    </row>
    <row r="2991" spans="1:11" x14ac:dyDescent="0.25">
      <c r="A2991">
        <v>240151</v>
      </c>
      <c r="B2991" s="3">
        <v>46143</v>
      </c>
      <c r="C2991">
        <v>1</v>
      </c>
      <c r="D2991">
        <v>55.29</v>
      </c>
      <c r="G2991" t="s">
        <v>84</v>
      </c>
      <c r="H2991">
        <v>522363624</v>
      </c>
      <c r="I2991" t="s">
        <v>29</v>
      </c>
      <c r="K2991" t="str">
        <f>IF(Table3[[#This Row],[Type Received]]=2,"CC",(IF(Table3[[#This Row],[Type Received]]=3,"BILL","ACH")))</f>
        <v>ACH</v>
      </c>
    </row>
    <row r="2992" spans="1:11" x14ac:dyDescent="0.25">
      <c r="A2992">
        <v>240176</v>
      </c>
      <c r="B2992" s="3">
        <v>46146</v>
      </c>
      <c r="C2992">
        <v>3</v>
      </c>
      <c r="D2992">
        <v>89.95</v>
      </c>
      <c r="E2992">
        <v>17652</v>
      </c>
      <c r="K2992" t="str">
        <f>IF(Table3[[#This Row],[Type Received]]=2,"CC",(IF(Table3[[#This Row],[Type Received]]=3,"BILL","ACH")))</f>
        <v>BILL</v>
      </c>
    </row>
    <row r="2993" spans="1:11" x14ac:dyDescent="0.25">
      <c r="A2993">
        <v>239848</v>
      </c>
      <c r="B2993" s="3">
        <v>46145</v>
      </c>
      <c r="C2993">
        <v>1</v>
      </c>
      <c r="D2993">
        <v>31.09</v>
      </c>
      <c r="G2993" t="s">
        <v>113</v>
      </c>
      <c r="H2993">
        <v>546439587</v>
      </c>
      <c r="I2993" t="s">
        <v>29</v>
      </c>
      <c r="K2993" t="str">
        <f>IF(Table3[[#This Row],[Type Received]]=2,"CC",(IF(Table3[[#This Row],[Type Received]]=3,"BILL","ACH")))</f>
        <v>ACH</v>
      </c>
    </row>
    <row r="2994" spans="1:11" x14ac:dyDescent="0.25">
      <c r="A2994">
        <v>239851</v>
      </c>
      <c r="B2994" s="3">
        <v>46145</v>
      </c>
      <c r="C2994">
        <v>1</v>
      </c>
      <c r="D2994">
        <v>58.15</v>
      </c>
      <c r="G2994" t="s">
        <v>113</v>
      </c>
      <c r="H2994">
        <v>546446384</v>
      </c>
      <c r="I2994" t="s">
        <v>29</v>
      </c>
      <c r="K2994" t="str">
        <f>IF(Table3[[#This Row],[Type Received]]=2,"CC",(IF(Table3[[#This Row],[Type Received]]=3,"BILL","ACH")))</f>
        <v>ACH</v>
      </c>
    </row>
    <row r="2995" spans="1:11" x14ac:dyDescent="0.25">
      <c r="A2995">
        <v>239896</v>
      </c>
      <c r="B2995" s="3">
        <v>46167</v>
      </c>
      <c r="C2995">
        <v>1</v>
      </c>
      <c r="D2995">
        <v>32.74</v>
      </c>
      <c r="G2995" t="s">
        <v>85</v>
      </c>
      <c r="H2995">
        <v>818368094</v>
      </c>
      <c r="I2995" t="s">
        <v>29</v>
      </c>
      <c r="K2995" t="str">
        <f>IF(Table3[[#This Row],[Type Received]]=2,"CC",(IF(Table3[[#This Row],[Type Received]]=3,"BILL","ACH")))</f>
        <v>ACH</v>
      </c>
    </row>
    <row r="2996" spans="1:11" x14ac:dyDescent="0.25">
      <c r="A2996">
        <v>239902</v>
      </c>
      <c r="B2996" s="3">
        <v>46145</v>
      </c>
      <c r="C2996">
        <v>1</v>
      </c>
      <c r="D2996">
        <v>56.95</v>
      </c>
      <c r="G2996" t="s">
        <v>113</v>
      </c>
      <c r="H2996">
        <v>546432807</v>
      </c>
      <c r="I2996" t="s">
        <v>29</v>
      </c>
      <c r="K2996" t="str">
        <f>IF(Table3[[#This Row],[Type Received]]=2,"CC",(IF(Table3[[#This Row],[Type Received]]=3,"BILL","ACH")))</f>
        <v>ACH</v>
      </c>
    </row>
    <row r="2997" spans="1:11" x14ac:dyDescent="0.25">
      <c r="A2997">
        <v>239925</v>
      </c>
      <c r="B2997" s="3">
        <v>46145</v>
      </c>
      <c r="C2997">
        <v>1</v>
      </c>
      <c r="D2997">
        <v>82.13</v>
      </c>
      <c r="G2997" t="s">
        <v>113</v>
      </c>
      <c r="H2997">
        <v>546430931</v>
      </c>
      <c r="I2997" t="s">
        <v>29</v>
      </c>
      <c r="K2997" t="str">
        <f>IF(Table3[[#This Row],[Type Received]]=2,"CC",(IF(Table3[[#This Row],[Type Received]]=3,"BILL","ACH")))</f>
        <v>ACH</v>
      </c>
    </row>
    <row r="2998" spans="1:11" x14ac:dyDescent="0.25">
      <c r="A2998">
        <v>239980</v>
      </c>
      <c r="B2998" s="3">
        <v>46155</v>
      </c>
      <c r="C2998">
        <v>2</v>
      </c>
      <c r="D2998">
        <v>126.79</v>
      </c>
      <c r="F2998">
        <v>217313</v>
      </c>
      <c r="G2998" t="s">
        <v>28</v>
      </c>
      <c r="H2998">
        <v>669487898</v>
      </c>
      <c r="I2998" t="s">
        <v>29</v>
      </c>
      <c r="K2998" t="str">
        <f>IF(Table3[[#This Row],[Type Received]]=2,"CC",(IF(Table3[[#This Row],[Type Received]]=3,"BILL","ACH")))</f>
        <v>CC</v>
      </c>
    </row>
    <row r="2999" spans="1:11" x14ac:dyDescent="0.25">
      <c r="A2999">
        <v>239988</v>
      </c>
      <c r="B2999" s="3">
        <v>46144</v>
      </c>
      <c r="C2999">
        <v>2</v>
      </c>
      <c r="D2999">
        <v>176.95</v>
      </c>
      <c r="F2999">
        <v>40320</v>
      </c>
      <c r="G2999" t="s">
        <v>28</v>
      </c>
      <c r="H2999">
        <v>535356492</v>
      </c>
      <c r="I2999" t="s">
        <v>29</v>
      </c>
      <c r="K2999" t="str">
        <f>IF(Table3[[#This Row],[Type Received]]=2,"CC",(IF(Table3[[#This Row],[Type Received]]=3,"BILL","ACH")))</f>
        <v>CC</v>
      </c>
    </row>
    <row r="3000" spans="1:11" x14ac:dyDescent="0.25">
      <c r="A3000">
        <v>239995</v>
      </c>
      <c r="B3000" s="3">
        <v>46167</v>
      </c>
      <c r="C3000">
        <v>1</v>
      </c>
      <c r="D3000">
        <v>171.67</v>
      </c>
      <c r="G3000" t="s">
        <v>85</v>
      </c>
      <c r="H3000">
        <v>818383514</v>
      </c>
      <c r="I3000" t="s">
        <v>29</v>
      </c>
      <c r="K3000" t="str">
        <f>IF(Table3[[#This Row],[Type Received]]=2,"CC",(IF(Table3[[#This Row],[Type Received]]=3,"BILL","ACH")))</f>
        <v>ACH</v>
      </c>
    </row>
    <row r="3001" spans="1:11" x14ac:dyDescent="0.25">
      <c r="A3001">
        <v>240231</v>
      </c>
      <c r="B3001" s="3">
        <v>46143</v>
      </c>
      <c r="C3001">
        <v>2</v>
      </c>
      <c r="D3001">
        <v>53.21</v>
      </c>
      <c r="F3001">
        <v>94121</v>
      </c>
      <c r="G3001" t="s">
        <v>28</v>
      </c>
      <c r="H3001">
        <v>522606343</v>
      </c>
      <c r="I3001" t="s">
        <v>29</v>
      </c>
      <c r="K3001" t="str">
        <f>IF(Table3[[#This Row],[Type Received]]=2,"CC",(IF(Table3[[#This Row],[Type Received]]=3,"BILL","ACH")))</f>
        <v>CC</v>
      </c>
    </row>
    <row r="3002" spans="1:11" x14ac:dyDescent="0.25">
      <c r="A3002">
        <v>240238</v>
      </c>
      <c r="B3002" s="3">
        <v>46167</v>
      </c>
      <c r="C3002">
        <v>1</v>
      </c>
      <c r="D3002">
        <v>26.8</v>
      </c>
      <c r="G3002" t="s">
        <v>85</v>
      </c>
      <c r="H3002">
        <v>818395280</v>
      </c>
      <c r="I3002" t="s">
        <v>29</v>
      </c>
      <c r="K3002" t="str">
        <f>IF(Table3[[#This Row],[Type Received]]=2,"CC",(IF(Table3[[#This Row],[Type Received]]=3,"BILL","ACH")))</f>
        <v>ACH</v>
      </c>
    </row>
    <row r="3003" spans="1:11" x14ac:dyDescent="0.25">
      <c r="A3003">
        <v>240253</v>
      </c>
      <c r="B3003" s="3">
        <v>46145</v>
      </c>
      <c r="C3003">
        <v>1</v>
      </c>
      <c r="D3003">
        <v>96.87</v>
      </c>
      <c r="G3003" t="s">
        <v>113</v>
      </c>
      <c r="H3003">
        <v>546445424</v>
      </c>
      <c r="I3003" t="s">
        <v>29</v>
      </c>
      <c r="K3003" t="str">
        <f>IF(Table3[[#This Row],[Type Received]]=2,"CC",(IF(Table3[[#This Row],[Type Received]]=3,"BILL","ACH")))</f>
        <v>ACH</v>
      </c>
    </row>
    <row r="3004" spans="1:11" x14ac:dyDescent="0.25">
      <c r="A3004">
        <v>240276</v>
      </c>
      <c r="B3004" s="3">
        <v>46161</v>
      </c>
      <c r="C3004">
        <v>2</v>
      </c>
      <c r="D3004">
        <v>273.72000000000003</v>
      </c>
      <c r="F3004">
        <v>19450</v>
      </c>
      <c r="G3004">
        <v>746805329</v>
      </c>
      <c r="H3004">
        <v>355142413</v>
      </c>
      <c r="K3004" t="str">
        <f>IF(Table3[[#This Row],[Type Received]]=2,"CC",(IF(Table3[[#This Row],[Type Received]]=3,"BILL","ACH")))</f>
        <v>CC</v>
      </c>
    </row>
    <row r="3005" spans="1:11" x14ac:dyDescent="0.25">
      <c r="A3005">
        <v>240308</v>
      </c>
      <c r="B3005" s="3">
        <v>46143</v>
      </c>
      <c r="C3005">
        <v>1</v>
      </c>
      <c r="D3005">
        <v>55.95</v>
      </c>
      <c r="G3005" t="s">
        <v>84</v>
      </c>
      <c r="H3005">
        <v>522376102</v>
      </c>
      <c r="I3005" t="s">
        <v>29</v>
      </c>
      <c r="K3005" t="str">
        <f>IF(Table3[[#This Row],[Type Received]]=2,"CC",(IF(Table3[[#This Row],[Type Received]]=3,"BILL","ACH")))</f>
        <v>ACH</v>
      </c>
    </row>
    <row r="3006" spans="1:11" x14ac:dyDescent="0.25">
      <c r="A3006">
        <v>240374</v>
      </c>
      <c r="B3006" s="3">
        <v>46143</v>
      </c>
      <c r="C3006">
        <v>2</v>
      </c>
      <c r="D3006">
        <v>101</v>
      </c>
      <c r="F3006">
        <v>27767</v>
      </c>
      <c r="G3006">
        <v>741374152</v>
      </c>
      <c r="H3006">
        <v>353222333</v>
      </c>
      <c r="K3006" t="str">
        <f>IF(Table3[[#This Row],[Type Received]]=2,"CC",(IF(Table3[[#This Row],[Type Received]]=3,"BILL","ACH")))</f>
        <v>CC</v>
      </c>
    </row>
    <row r="3007" spans="1:11" x14ac:dyDescent="0.25">
      <c r="A3007">
        <v>240429</v>
      </c>
      <c r="B3007" s="3">
        <v>46143</v>
      </c>
      <c r="C3007">
        <v>2</v>
      </c>
      <c r="D3007">
        <v>77.95</v>
      </c>
      <c r="F3007">
        <v>678054</v>
      </c>
      <c r="G3007" t="s">
        <v>28</v>
      </c>
      <c r="H3007">
        <v>523347063</v>
      </c>
      <c r="I3007" t="s">
        <v>29</v>
      </c>
      <c r="K3007" t="str">
        <f>IF(Table3[[#This Row],[Type Received]]=2,"CC",(IF(Table3[[#This Row],[Type Received]]=3,"BILL","ACH")))</f>
        <v>CC</v>
      </c>
    </row>
    <row r="3008" spans="1:11" x14ac:dyDescent="0.25">
      <c r="A3008">
        <v>240441</v>
      </c>
      <c r="B3008" s="3">
        <v>46158</v>
      </c>
      <c r="C3008">
        <v>1</v>
      </c>
      <c r="D3008">
        <v>103.69</v>
      </c>
      <c r="G3008" t="s">
        <v>106</v>
      </c>
      <c r="H3008">
        <v>710076204</v>
      </c>
      <c r="I3008" t="s">
        <v>29</v>
      </c>
      <c r="K3008" t="str">
        <f>IF(Table3[[#This Row],[Type Received]]=2,"CC",(IF(Table3[[#This Row],[Type Received]]=3,"BILL","ACH")))</f>
        <v>ACH</v>
      </c>
    </row>
    <row r="3009" spans="1:11" x14ac:dyDescent="0.25">
      <c r="A3009">
        <v>240463</v>
      </c>
      <c r="B3009" s="3">
        <v>46158</v>
      </c>
      <c r="C3009">
        <v>1</v>
      </c>
      <c r="D3009">
        <v>63.1</v>
      </c>
      <c r="G3009" t="s">
        <v>106</v>
      </c>
      <c r="H3009">
        <v>710074305</v>
      </c>
      <c r="I3009" t="s">
        <v>29</v>
      </c>
      <c r="K3009" t="str">
        <f>IF(Table3[[#This Row],[Type Received]]=2,"CC",(IF(Table3[[#This Row],[Type Received]]=3,"BILL","ACH")))</f>
        <v>ACH</v>
      </c>
    </row>
    <row r="3010" spans="1:11" x14ac:dyDescent="0.25">
      <c r="A3010">
        <v>240567</v>
      </c>
      <c r="B3010" s="3">
        <v>46160</v>
      </c>
      <c r="C3010">
        <v>2</v>
      </c>
      <c r="D3010">
        <v>62.78</v>
      </c>
      <c r="F3010">
        <v>94193</v>
      </c>
      <c r="G3010" s="4" t="s">
        <v>28</v>
      </c>
      <c r="H3010">
        <v>732574324</v>
      </c>
      <c r="I3010" t="s">
        <v>29</v>
      </c>
      <c r="K3010" t="str">
        <f>IF(Table3[[#This Row],[Type Received]]=2,"CC",(IF(Table3[[#This Row],[Type Received]]=3,"BILL","ACH")))</f>
        <v>CC</v>
      </c>
    </row>
    <row r="3011" spans="1:11" x14ac:dyDescent="0.25">
      <c r="A3011">
        <v>240574</v>
      </c>
      <c r="B3011" s="3">
        <v>46146</v>
      </c>
      <c r="C3011">
        <v>3</v>
      </c>
      <c r="D3011">
        <v>148.1</v>
      </c>
      <c r="E3011">
        <v>329</v>
      </c>
      <c r="K3011" t="str">
        <f>IF(Table3[[#This Row],[Type Received]]=2,"CC",(IF(Table3[[#This Row],[Type Received]]=3,"BILL","ACH")))</f>
        <v>BILL</v>
      </c>
    </row>
    <row r="3012" spans="1:11" x14ac:dyDescent="0.25">
      <c r="A3012">
        <v>240577</v>
      </c>
      <c r="B3012" s="3">
        <v>46150</v>
      </c>
      <c r="C3012">
        <v>3</v>
      </c>
      <c r="D3012">
        <v>76.31</v>
      </c>
      <c r="E3012">
        <v>922036038</v>
      </c>
      <c r="K3012" t="str">
        <f>IF(Table3[[#This Row],[Type Received]]=2,"CC",(IF(Table3[[#This Row],[Type Received]]=3,"BILL","ACH")))</f>
        <v>BILL</v>
      </c>
    </row>
    <row r="3013" spans="1:11" x14ac:dyDescent="0.25">
      <c r="A3013">
        <v>240580</v>
      </c>
      <c r="B3013" s="3">
        <v>46158</v>
      </c>
      <c r="C3013">
        <v>1</v>
      </c>
      <c r="D3013">
        <v>97.97</v>
      </c>
      <c r="G3013" t="s">
        <v>106</v>
      </c>
      <c r="H3013">
        <v>710057640</v>
      </c>
      <c r="I3013" t="s">
        <v>29</v>
      </c>
      <c r="K3013" t="str">
        <f>IF(Table3[[#This Row],[Type Received]]=2,"CC",(IF(Table3[[#This Row],[Type Received]]=3,"BILL","ACH")))</f>
        <v>ACH</v>
      </c>
    </row>
    <row r="3014" spans="1:11" x14ac:dyDescent="0.25">
      <c r="A3014">
        <v>240582</v>
      </c>
      <c r="B3014" s="3">
        <v>46146</v>
      </c>
      <c r="C3014">
        <v>3</v>
      </c>
      <c r="D3014">
        <v>30.44</v>
      </c>
      <c r="E3014">
        <v>4980</v>
      </c>
      <c r="K3014" t="str">
        <f>IF(Table3[[#This Row],[Type Received]]=2,"CC",(IF(Table3[[#This Row],[Type Received]]=3,"BILL","ACH")))</f>
        <v>BILL</v>
      </c>
    </row>
    <row r="3015" spans="1:11" x14ac:dyDescent="0.25">
      <c r="A3015">
        <v>240585</v>
      </c>
      <c r="B3015" s="3">
        <v>46158</v>
      </c>
      <c r="C3015">
        <v>1</v>
      </c>
      <c r="D3015">
        <v>87.19</v>
      </c>
      <c r="G3015" t="s">
        <v>106</v>
      </c>
      <c r="H3015">
        <v>710049028</v>
      </c>
      <c r="I3015" t="s">
        <v>29</v>
      </c>
      <c r="K3015" t="str">
        <f>IF(Table3[[#This Row],[Type Received]]=2,"CC",(IF(Table3[[#This Row],[Type Received]]=3,"BILL","ACH")))</f>
        <v>ACH</v>
      </c>
    </row>
    <row r="3016" spans="1:11" x14ac:dyDescent="0.25">
      <c r="A3016">
        <v>240594</v>
      </c>
      <c r="B3016" s="3">
        <v>46150</v>
      </c>
      <c r="C3016">
        <v>2</v>
      </c>
      <c r="D3016">
        <v>107</v>
      </c>
      <c r="F3016">
        <v>404204</v>
      </c>
      <c r="G3016" t="s">
        <v>28</v>
      </c>
      <c r="H3016">
        <v>611020125</v>
      </c>
      <c r="I3016" t="s">
        <v>29</v>
      </c>
      <c r="K3016" t="str">
        <f>IF(Table3[[#This Row],[Type Received]]=2,"CC",(IF(Table3[[#This Row],[Type Received]]=3,"BILL","ACH")))</f>
        <v>CC</v>
      </c>
    </row>
    <row r="3017" spans="1:11" x14ac:dyDescent="0.25">
      <c r="A3017">
        <v>240601</v>
      </c>
      <c r="B3017" s="3">
        <v>46158</v>
      </c>
      <c r="C3017">
        <v>1</v>
      </c>
      <c r="D3017">
        <v>82.9</v>
      </c>
      <c r="G3017" t="s">
        <v>106</v>
      </c>
      <c r="H3017">
        <v>710065476</v>
      </c>
      <c r="I3017" t="s">
        <v>29</v>
      </c>
      <c r="K3017" t="str">
        <f>IF(Table3[[#This Row],[Type Received]]=2,"CC",(IF(Table3[[#This Row],[Type Received]]=3,"BILL","ACH")))</f>
        <v>ACH</v>
      </c>
    </row>
    <row r="3018" spans="1:11" x14ac:dyDescent="0.25">
      <c r="A3018">
        <v>240604</v>
      </c>
      <c r="B3018" s="3">
        <v>46148</v>
      </c>
      <c r="C3018">
        <v>2</v>
      </c>
      <c r="D3018">
        <v>114.58</v>
      </c>
      <c r="F3018" t="s">
        <v>274</v>
      </c>
      <c r="G3018" t="s">
        <v>28</v>
      </c>
      <c r="H3018">
        <v>582144288</v>
      </c>
      <c r="I3018" t="s">
        <v>29</v>
      </c>
      <c r="K3018" t="str">
        <f>IF(Table3[[#This Row],[Type Received]]=2,"CC",(IF(Table3[[#This Row],[Type Received]]=3,"BILL","ACH")))</f>
        <v>CC</v>
      </c>
    </row>
    <row r="3019" spans="1:11" x14ac:dyDescent="0.25">
      <c r="A3019">
        <v>240855</v>
      </c>
      <c r="B3019" s="3">
        <v>46167</v>
      </c>
      <c r="C3019">
        <v>1</v>
      </c>
      <c r="D3019">
        <v>76.95</v>
      </c>
      <c r="G3019" t="s">
        <v>85</v>
      </c>
      <c r="H3019">
        <v>818384551</v>
      </c>
      <c r="I3019" t="s">
        <v>29</v>
      </c>
      <c r="K3019" t="str">
        <f>IF(Table3[[#This Row],[Type Received]]=2,"CC",(IF(Table3[[#This Row],[Type Received]]=3,"BILL","ACH")))</f>
        <v>ACH</v>
      </c>
    </row>
    <row r="3020" spans="1:11" x14ac:dyDescent="0.25">
      <c r="A3020">
        <v>240890</v>
      </c>
      <c r="B3020" s="3">
        <v>46143</v>
      </c>
      <c r="C3020">
        <v>2</v>
      </c>
      <c r="D3020">
        <v>205.36</v>
      </c>
      <c r="F3020">
        <v>863582</v>
      </c>
      <c r="G3020">
        <v>741374152</v>
      </c>
      <c r="H3020">
        <v>353220552</v>
      </c>
      <c r="K3020" t="str">
        <f>IF(Table3[[#This Row],[Type Received]]=2,"CC",(IF(Table3[[#This Row],[Type Received]]=3,"BILL","ACH")))</f>
        <v>CC</v>
      </c>
    </row>
    <row r="3021" spans="1:11" x14ac:dyDescent="0.25">
      <c r="A3021">
        <v>240920</v>
      </c>
      <c r="B3021" s="3">
        <v>46143</v>
      </c>
      <c r="C3021">
        <v>1</v>
      </c>
      <c r="D3021">
        <v>83.89</v>
      </c>
      <c r="G3021" t="s">
        <v>84</v>
      </c>
      <c r="H3021">
        <v>522368475</v>
      </c>
      <c r="I3021" t="s">
        <v>29</v>
      </c>
      <c r="K3021" t="str">
        <f>IF(Table3[[#This Row],[Type Received]]=2,"CC",(IF(Table3[[#This Row],[Type Received]]=3,"BILL","ACH")))</f>
        <v>ACH</v>
      </c>
    </row>
    <row r="3022" spans="1:11" x14ac:dyDescent="0.25">
      <c r="A3022">
        <v>240930</v>
      </c>
      <c r="B3022" s="3">
        <v>46143</v>
      </c>
      <c r="C3022">
        <v>1</v>
      </c>
      <c r="D3022">
        <v>81.03</v>
      </c>
      <c r="G3022" t="s">
        <v>84</v>
      </c>
      <c r="H3022">
        <v>522369471</v>
      </c>
      <c r="I3022" t="s">
        <v>29</v>
      </c>
      <c r="K3022" t="str">
        <f>IF(Table3[[#This Row],[Type Received]]=2,"CC",(IF(Table3[[#This Row],[Type Received]]=3,"BILL","ACH")))</f>
        <v>ACH</v>
      </c>
    </row>
    <row r="3023" spans="1:11" x14ac:dyDescent="0.25">
      <c r="A3023">
        <v>240931</v>
      </c>
      <c r="B3023" s="3">
        <v>46143</v>
      </c>
      <c r="C3023">
        <v>1</v>
      </c>
      <c r="D3023">
        <v>61.78</v>
      </c>
      <c r="G3023" t="s">
        <v>84</v>
      </c>
      <c r="H3023">
        <v>522360742</v>
      </c>
      <c r="I3023" t="s">
        <v>29</v>
      </c>
      <c r="K3023" t="str">
        <f>IF(Table3[[#This Row],[Type Received]]=2,"CC",(IF(Table3[[#This Row],[Type Received]]=3,"BILL","ACH")))</f>
        <v>ACH</v>
      </c>
    </row>
    <row r="3024" spans="1:11" x14ac:dyDescent="0.25">
      <c r="A3024">
        <v>240932</v>
      </c>
      <c r="B3024" s="3">
        <v>46143</v>
      </c>
      <c r="C3024">
        <v>1</v>
      </c>
      <c r="D3024">
        <v>92.8</v>
      </c>
      <c r="G3024" t="s">
        <v>84</v>
      </c>
      <c r="H3024">
        <v>522369522</v>
      </c>
      <c r="I3024" t="s">
        <v>29</v>
      </c>
      <c r="K3024" t="str">
        <f>IF(Table3[[#This Row],[Type Received]]=2,"CC",(IF(Table3[[#This Row],[Type Received]]=3,"BILL","ACH")))</f>
        <v>ACH</v>
      </c>
    </row>
    <row r="3025" spans="1:11" x14ac:dyDescent="0.25">
      <c r="A3025">
        <v>240942</v>
      </c>
      <c r="B3025" s="3">
        <v>46158</v>
      </c>
      <c r="C3025">
        <v>1</v>
      </c>
      <c r="D3025">
        <v>124.48</v>
      </c>
      <c r="G3025" t="s">
        <v>106</v>
      </c>
      <c r="H3025">
        <v>710065502</v>
      </c>
      <c r="I3025" t="s">
        <v>29</v>
      </c>
      <c r="K3025" t="str">
        <f>IF(Table3[[#This Row],[Type Received]]=2,"CC",(IF(Table3[[#This Row],[Type Received]]=3,"BILL","ACH")))</f>
        <v>ACH</v>
      </c>
    </row>
    <row r="3026" spans="1:11" x14ac:dyDescent="0.25">
      <c r="A3026">
        <v>240950</v>
      </c>
      <c r="B3026" s="3">
        <v>46168</v>
      </c>
      <c r="C3026">
        <v>3</v>
      </c>
      <c r="D3026">
        <v>42.32</v>
      </c>
      <c r="E3026">
        <v>1811</v>
      </c>
      <c r="K3026" t="str">
        <f>IF(Table3[[#This Row],[Type Received]]=2,"CC",(IF(Table3[[#This Row],[Type Received]]=3,"BILL","ACH")))</f>
        <v>BILL</v>
      </c>
    </row>
    <row r="3027" spans="1:11" x14ac:dyDescent="0.25">
      <c r="A3027">
        <v>240983</v>
      </c>
      <c r="B3027" s="3">
        <v>46163</v>
      </c>
      <c r="C3027">
        <v>2</v>
      </c>
      <c r="D3027">
        <v>648.84</v>
      </c>
      <c r="F3027">
        <v>2454</v>
      </c>
      <c r="G3027" s="4" t="s">
        <v>28</v>
      </c>
      <c r="H3027">
        <v>771068231</v>
      </c>
      <c r="I3027" t="s">
        <v>29</v>
      </c>
      <c r="K3027" t="str">
        <f>IF(Table3[[#This Row],[Type Received]]=2,"CC",(IF(Table3[[#This Row],[Type Received]]=3,"BILL","ACH")))</f>
        <v>CC</v>
      </c>
    </row>
    <row r="3028" spans="1:11" x14ac:dyDescent="0.25">
      <c r="A3028">
        <v>240629</v>
      </c>
      <c r="B3028" s="3">
        <v>46143</v>
      </c>
      <c r="C3028">
        <v>3</v>
      </c>
      <c r="D3028">
        <v>121.85</v>
      </c>
      <c r="E3028">
        <v>1635</v>
      </c>
      <c r="K3028" t="str">
        <f>IF(Table3[[#This Row],[Type Received]]=2,"CC",(IF(Table3[[#This Row],[Type Received]]=3,"BILL","ACH")))</f>
        <v>BILL</v>
      </c>
    </row>
    <row r="3029" spans="1:11" x14ac:dyDescent="0.25">
      <c r="A3029">
        <v>240679</v>
      </c>
      <c r="B3029" s="3">
        <v>46158</v>
      </c>
      <c r="C3029">
        <v>1</v>
      </c>
      <c r="D3029">
        <v>90.05</v>
      </c>
      <c r="G3029" t="s">
        <v>106</v>
      </c>
      <c r="H3029">
        <v>710060606</v>
      </c>
      <c r="I3029" t="s">
        <v>29</v>
      </c>
      <c r="K3029" t="str">
        <f>IF(Table3[[#This Row],[Type Received]]=2,"CC",(IF(Table3[[#This Row],[Type Received]]=3,"BILL","ACH")))</f>
        <v>ACH</v>
      </c>
    </row>
    <row r="3030" spans="1:11" x14ac:dyDescent="0.25">
      <c r="A3030">
        <v>240682</v>
      </c>
      <c r="B3030" s="3">
        <v>46167</v>
      </c>
      <c r="C3030">
        <v>1</v>
      </c>
      <c r="D3030">
        <v>33.51</v>
      </c>
      <c r="G3030" t="s">
        <v>85</v>
      </c>
      <c r="H3030">
        <v>818386420</v>
      </c>
      <c r="I3030" t="s">
        <v>29</v>
      </c>
      <c r="K3030" t="str">
        <f>IF(Table3[[#This Row],[Type Received]]=2,"CC",(IF(Table3[[#This Row],[Type Received]]=3,"BILL","ACH")))</f>
        <v>ACH</v>
      </c>
    </row>
    <row r="3031" spans="1:11" x14ac:dyDescent="0.25">
      <c r="A3031">
        <v>240785</v>
      </c>
      <c r="B3031" s="3">
        <v>46155</v>
      </c>
      <c r="C3031">
        <v>2</v>
      </c>
      <c r="D3031">
        <v>72.010000000000005</v>
      </c>
      <c r="F3031">
        <v>115693</v>
      </c>
      <c r="G3031" t="s">
        <v>28</v>
      </c>
      <c r="H3031">
        <v>669498606</v>
      </c>
      <c r="I3031" t="s">
        <v>29</v>
      </c>
      <c r="K3031" t="str">
        <f>IF(Table3[[#This Row],[Type Received]]=2,"CC",(IF(Table3[[#This Row],[Type Received]]=3,"BILL","ACH")))</f>
        <v>CC</v>
      </c>
    </row>
    <row r="3032" spans="1:11" x14ac:dyDescent="0.25">
      <c r="A3032">
        <v>241226</v>
      </c>
      <c r="B3032" s="3">
        <v>46160</v>
      </c>
      <c r="C3032">
        <v>3</v>
      </c>
      <c r="D3032">
        <v>666.7</v>
      </c>
      <c r="E3032">
        <v>26006</v>
      </c>
      <c r="K3032" t="str">
        <f>IF(Table3[[#This Row],[Type Received]]=2,"CC",(IF(Table3[[#This Row],[Type Received]]=3,"BILL","ACH")))</f>
        <v>BILL</v>
      </c>
    </row>
    <row r="3033" spans="1:11" x14ac:dyDescent="0.25">
      <c r="A3033">
        <v>241240</v>
      </c>
      <c r="B3033" s="3">
        <v>46158</v>
      </c>
      <c r="C3033">
        <v>1</v>
      </c>
      <c r="D3033">
        <v>72.010000000000005</v>
      </c>
      <c r="G3033" t="s">
        <v>106</v>
      </c>
      <c r="H3033">
        <v>710066514</v>
      </c>
      <c r="I3033" t="s">
        <v>29</v>
      </c>
      <c r="K3033" t="str">
        <f>IF(Table3[[#This Row],[Type Received]]=2,"CC",(IF(Table3[[#This Row],[Type Received]]=3,"BILL","ACH")))</f>
        <v>ACH</v>
      </c>
    </row>
    <row r="3034" spans="1:11" x14ac:dyDescent="0.25">
      <c r="A3034">
        <v>241241</v>
      </c>
      <c r="B3034" s="3">
        <v>46143</v>
      </c>
      <c r="C3034">
        <v>1</v>
      </c>
      <c r="D3034">
        <v>167.38</v>
      </c>
      <c r="G3034" t="s">
        <v>84</v>
      </c>
      <c r="H3034">
        <v>522373339</v>
      </c>
      <c r="I3034" t="s">
        <v>29</v>
      </c>
      <c r="K3034" t="str">
        <f>IF(Table3[[#This Row],[Type Received]]=2,"CC",(IF(Table3[[#This Row],[Type Received]]=3,"BILL","ACH")))</f>
        <v>ACH</v>
      </c>
    </row>
    <row r="3035" spans="1:11" x14ac:dyDescent="0.25">
      <c r="A3035">
        <v>241251</v>
      </c>
      <c r="B3035" s="3">
        <v>46143</v>
      </c>
      <c r="C3035">
        <v>1</v>
      </c>
      <c r="D3035">
        <v>29.33</v>
      </c>
      <c r="G3035" t="s">
        <v>84</v>
      </c>
      <c r="H3035">
        <v>522352060</v>
      </c>
      <c r="I3035" t="s">
        <v>29</v>
      </c>
      <c r="K3035" t="str">
        <f>IF(Table3[[#This Row],[Type Received]]=2,"CC",(IF(Table3[[#This Row],[Type Received]]=3,"BILL","ACH")))</f>
        <v>ACH</v>
      </c>
    </row>
    <row r="3036" spans="1:11" x14ac:dyDescent="0.25">
      <c r="A3036">
        <v>241303</v>
      </c>
      <c r="B3036" s="3">
        <v>46169</v>
      </c>
      <c r="C3036">
        <v>1</v>
      </c>
      <c r="D3036">
        <v>57.95</v>
      </c>
      <c r="G3036" t="s">
        <v>117</v>
      </c>
      <c r="H3036">
        <v>844389366</v>
      </c>
      <c r="I3036" t="s">
        <v>29</v>
      </c>
      <c r="K3036" t="str">
        <f>IF(Table3[[#This Row],[Type Received]]=2,"CC",(IF(Table3[[#This Row],[Type Received]]=3,"BILL","ACH")))</f>
        <v>ACH</v>
      </c>
    </row>
    <row r="3037" spans="1:11" x14ac:dyDescent="0.25">
      <c r="A3037">
        <v>241323</v>
      </c>
      <c r="B3037" s="3">
        <v>46150</v>
      </c>
      <c r="C3037">
        <v>3</v>
      </c>
      <c r="D3037">
        <v>232.21</v>
      </c>
      <c r="E3037">
        <v>3478</v>
      </c>
      <c r="K3037" t="str">
        <f>IF(Table3[[#This Row],[Type Received]]=2,"CC",(IF(Table3[[#This Row],[Type Received]]=3,"BILL","ACH")))</f>
        <v>BILL</v>
      </c>
    </row>
    <row r="3038" spans="1:11" x14ac:dyDescent="0.25">
      <c r="A3038">
        <v>241339</v>
      </c>
      <c r="B3038" s="3">
        <v>46158</v>
      </c>
      <c r="C3038">
        <v>1</v>
      </c>
      <c r="D3038">
        <v>52.54</v>
      </c>
      <c r="G3038" t="s">
        <v>106</v>
      </c>
      <c r="H3038">
        <v>710051027</v>
      </c>
      <c r="I3038" t="s">
        <v>29</v>
      </c>
      <c r="K3038" t="str">
        <f>IF(Table3[[#This Row],[Type Received]]=2,"CC",(IF(Table3[[#This Row],[Type Received]]=3,"BILL","ACH")))</f>
        <v>ACH</v>
      </c>
    </row>
    <row r="3039" spans="1:11" x14ac:dyDescent="0.25">
      <c r="A3039">
        <v>241362</v>
      </c>
      <c r="B3039" s="3">
        <v>46164</v>
      </c>
      <c r="C3039">
        <v>3</v>
      </c>
      <c r="D3039">
        <v>109.31</v>
      </c>
      <c r="E3039">
        <v>78030526080</v>
      </c>
      <c r="K3039" t="str">
        <f>IF(Table3[[#This Row],[Type Received]]=2,"CC",(IF(Table3[[#This Row],[Type Received]]=3,"BILL","ACH")))</f>
        <v>BILL</v>
      </c>
    </row>
    <row r="3040" spans="1:11" x14ac:dyDescent="0.25">
      <c r="A3040">
        <v>241394</v>
      </c>
      <c r="B3040" s="3">
        <v>46167</v>
      </c>
      <c r="C3040">
        <v>1</v>
      </c>
      <c r="D3040">
        <v>149.56</v>
      </c>
      <c r="G3040" t="s">
        <v>85</v>
      </c>
      <c r="H3040">
        <v>818379835</v>
      </c>
      <c r="I3040" t="s">
        <v>29</v>
      </c>
      <c r="K3040" t="str">
        <f>IF(Table3[[#This Row],[Type Received]]=2,"CC",(IF(Table3[[#This Row],[Type Received]]=3,"BILL","ACH")))</f>
        <v>ACH</v>
      </c>
    </row>
    <row r="3041" spans="1:11" x14ac:dyDescent="0.25">
      <c r="A3041">
        <v>241031</v>
      </c>
      <c r="B3041" s="3">
        <v>46168</v>
      </c>
      <c r="C3041">
        <v>3</v>
      </c>
      <c r="D3041">
        <v>98.09</v>
      </c>
      <c r="E3041">
        <v>6849</v>
      </c>
      <c r="K3041" t="str">
        <f>IF(Table3[[#This Row],[Type Received]]=2,"CC",(IF(Table3[[#This Row],[Type Received]]=3,"BILL","ACH")))</f>
        <v>BILL</v>
      </c>
    </row>
    <row r="3042" spans="1:11" x14ac:dyDescent="0.25">
      <c r="A3042">
        <v>241038</v>
      </c>
      <c r="B3042" s="3">
        <v>46158</v>
      </c>
      <c r="C3042">
        <v>1</v>
      </c>
      <c r="D3042">
        <v>39.450000000000003</v>
      </c>
      <c r="G3042" t="s">
        <v>106</v>
      </c>
      <c r="H3042">
        <v>710072439</v>
      </c>
      <c r="I3042" t="s">
        <v>29</v>
      </c>
      <c r="K3042" t="str">
        <f>IF(Table3[[#This Row],[Type Received]]=2,"CC",(IF(Table3[[#This Row],[Type Received]]=3,"BILL","ACH")))</f>
        <v>ACH</v>
      </c>
    </row>
    <row r="3043" spans="1:11" x14ac:dyDescent="0.25">
      <c r="A3043">
        <v>241089</v>
      </c>
      <c r="B3043" s="3">
        <v>46155</v>
      </c>
      <c r="C3043">
        <v>2</v>
      </c>
      <c r="D3043">
        <v>135.69999999999999</v>
      </c>
      <c r="F3043">
        <v>502</v>
      </c>
      <c r="G3043" t="s">
        <v>28</v>
      </c>
      <c r="H3043">
        <v>669507184</v>
      </c>
      <c r="I3043" t="s">
        <v>29</v>
      </c>
      <c r="K3043" t="str">
        <f>IF(Table3[[#This Row],[Type Received]]=2,"CC",(IF(Table3[[#This Row],[Type Received]]=3,"BILL","ACH")))</f>
        <v>CC</v>
      </c>
    </row>
    <row r="3044" spans="1:11" x14ac:dyDescent="0.25">
      <c r="A3044">
        <v>241099</v>
      </c>
      <c r="B3044" s="3">
        <v>46146</v>
      </c>
      <c r="C3044">
        <v>3</v>
      </c>
      <c r="D3044">
        <v>114.9</v>
      </c>
      <c r="E3044">
        <v>19819866753</v>
      </c>
      <c r="K3044" t="str">
        <f>IF(Table3[[#This Row],[Type Received]]=2,"CC",(IF(Table3[[#This Row],[Type Received]]=3,"BILL","ACH")))</f>
        <v>BILL</v>
      </c>
    </row>
    <row r="3045" spans="1:11" x14ac:dyDescent="0.25">
      <c r="A3045">
        <v>241126</v>
      </c>
      <c r="B3045" s="3">
        <v>46167</v>
      </c>
      <c r="C3045">
        <v>1</v>
      </c>
      <c r="D3045">
        <v>137.35</v>
      </c>
      <c r="G3045" t="s">
        <v>85</v>
      </c>
      <c r="H3045">
        <v>818373990</v>
      </c>
      <c r="I3045" t="s">
        <v>29</v>
      </c>
      <c r="K3045" t="str">
        <f>IF(Table3[[#This Row],[Type Received]]=2,"CC",(IF(Table3[[#This Row],[Type Received]]=3,"BILL","ACH")))</f>
        <v>ACH</v>
      </c>
    </row>
    <row r="3046" spans="1:11" x14ac:dyDescent="0.25">
      <c r="A3046">
        <v>241152</v>
      </c>
      <c r="B3046" s="3">
        <v>46169</v>
      </c>
      <c r="C3046">
        <v>3</v>
      </c>
      <c r="D3046">
        <v>114.59</v>
      </c>
      <c r="E3046">
        <v>1878</v>
      </c>
      <c r="K3046" t="str">
        <f>IF(Table3[[#This Row],[Type Received]]=2,"CC",(IF(Table3[[#This Row],[Type Received]]=3,"BILL","ACH")))</f>
        <v>BILL</v>
      </c>
    </row>
    <row r="3047" spans="1:11" x14ac:dyDescent="0.25">
      <c r="A3047">
        <v>241152</v>
      </c>
      <c r="B3047" s="3">
        <v>46143</v>
      </c>
      <c r="C3047">
        <v>3</v>
      </c>
      <c r="D3047">
        <v>114.59</v>
      </c>
      <c r="E3047">
        <v>373</v>
      </c>
      <c r="K3047" t="str">
        <f>IF(Table3[[#This Row],[Type Received]]=2,"CC",(IF(Table3[[#This Row],[Type Received]]=3,"BILL","ACH")))</f>
        <v>BILL</v>
      </c>
    </row>
    <row r="3048" spans="1:11" x14ac:dyDescent="0.25">
      <c r="A3048">
        <v>241176</v>
      </c>
      <c r="B3048" s="3">
        <v>46143</v>
      </c>
      <c r="C3048">
        <v>3</v>
      </c>
      <c r="D3048">
        <v>135.05000000000001</v>
      </c>
      <c r="E3048">
        <v>2058</v>
      </c>
      <c r="G3048" s="4"/>
      <c r="K3048" t="str">
        <f>IF(Table3[[#This Row],[Type Received]]=2,"CC",(IF(Table3[[#This Row],[Type Received]]=3,"BILL","ACH")))</f>
        <v>BILL</v>
      </c>
    </row>
    <row r="3049" spans="1:11" x14ac:dyDescent="0.25">
      <c r="A3049">
        <v>241187</v>
      </c>
      <c r="B3049" s="3">
        <v>46167</v>
      </c>
      <c r="C3049">
        <v>1</v>
      </c>
      <c r="D3049">
        <v>76.95</v>
      </c>
      <c r="G3049" t="s">
        <v>85</v>
      </c>
      <c r="H3049">
        <v>818381735</v>
      </c>
      <c r="I3049" t="s">
        <v>29</v>
      </c>
      <c r="K3049" t="str">
        <f>IF(Table3[[#This Row],[Type Received]]=2,"CC",(IF(Table3[[#This Row],[Type Received]]=3,"BILL","ACH")))</f>
        <v>ACH</v>
      </c>
    </row>
    <row r="3050" spans="1:11" x14ac:dyDescent="0.25">
      <c r="A3050">
        <v>241193</v>
      </c>
      <c r="B3050" s="3">
        <v>46155</v>
      </c>
      <c r="C3050">
        <v>2</v>
      </c>
      <c r="D3050">
        <v>127.45</v>
      </c>
      <c r="F3050">
        <v>268931</v>
      </c>
      <c r="G3050" t="s">
        <v>28</v>
      </c>
      <c r="H3050">
        <v>669509102</v>
      </c>
      <c r="I3050" t="s">
        <v>29</v>
      </c>
      <c r="K3050" t="str">
        <f>IF(Table3[[#This Row],[Type Received]]=2,"CC",(IF(Table3[[#This Row],[Type Received]]=3,"BILL","ACH")))</f>
        <v>CC</v>
      </c>
    </row>
    <row r="3051" spans="1:11" x14ac:dyDescent="0.25">
      <c r="A3051">
        <v>241447</v>
      </c>
      <c r="B3051" s="3">
        <v>46168</v>
      </c>
      <c r="C3051">
        <v>3</v>
      </c>
      <c r="D3051">
        <v>176.96</v>
      </c>
      <c r="E3051">
        <v>1619</v>
      </c>
      <c r="K3051" t="str">
        <f>IF(Table3[[#This Row],[Type Received]]=2,"CC",(IF(Table3[[#This Row],[Type Received]]=3,"BILL","ACH")))</f>
        <v>BILL</v>
      </c>
    </row>
    <row r="3052" spans="1:11" x14ac:dyDescent="0.25">
      <c r="A3052">
        <v>241456</v>
      </c>
      <c r="B3052" s="3">
        <v>46158</v>
      </c>
      <c r="C3052">
        <v>2</v>
      </c>
      <c r="D3052">
        <v>125.8</v>
      </c>
      <c r="F3052">
        <v>188905</v>
      </c>
      <c r="G3052" t="s">
        <v>28</v>
      </c>
      <c r="H3052">
        <v>710068533</v>
      </c>
      <c r="I3052" t="s">
        <v>29</v>
      </c>
      <c r="K3052" t="str">
        <f>IF(Table3[[#This Row],[Type Received]]=2,"CC",(IF(Table3[[#This Row],[Type Received]]=3,"BILL","ACH")))</f>
        <v>CC</v>
      </c>
    </row>
    <row r="3053" spans="1:11" x14ac:dyDescent="0.25">
      <c r="A3053">
        <v>241499</v>
      </c>
      <c r="B3053" s="3">
        <v>46145</v>
      </c>
      <c r="C3053">
        <v>1</v>
      </c>
      <c r="D3053">
        <v>137.35</v>
      </c>
      <c r="G3053" t="s">
        <v>113</v>
      </c>
      <c r="H3053">
        <v>546410412</v>
      </c>
      <c r="I3053" t="s">
        <v>29</v>
      </c>
      <c r="K3053" t="str">
        <f>IF(Table3[[#This Row],[Type Received]]=2,"CC",(IF(Table3[[#This Row],[Type Received]]=3,"BILL","ACH")))</f>
        <v>ACH</v>
      </c>
    </row>
    <row r="3054" spans="1:11" x14ac:dyDescent="0.25">
      <c r="A3054">
        <v>241539</v>
      </c>
      <c r="B3054" s="3">
        <v>46166</v>
      </c>
      <c r="C3054">
        <v>2</v>
      </c>
      <c r="D3054">
        <v>103.7</v>
      </c>
      <c r="F3054" t="s">
        <v>275</v>
      </c>
      <c r="G3054">
        <v>748427872</v>
      </c>
      <c r="H3054">
        <v>355666245</v>
      </c>
      <c r="K3054" t="str">
        <f>IF(Table3[[#This Row],[Type Received]]=2,"CC",(IF(Table3[[#This Row],[Type Received]]=3,"BILL","ACH")))</f>
        <v>CC</v>
      </c>
    </row>
    <row r="3055" spans="1:11" x14ac:dyDescent="0.25">
      <c r="A3055">
        <v>241616</v>
      </c>
      <c r="B3055" s="3">
        <v>46143</v>
      </c>
      <c r="C3055">
        <v>1</v>
      </c>
      <c r="D3055">
        <v>76.95</v>
      </c>
      <c r="G3055" t="s">
        <v>84</v>
      </c>
      <c r="H3055">
        <v>522377300</v>
      </c>
      <c r="I3055" t="s">
        <v>29</v>
      </c>
      <c r="K3055" t="str">
        <f>IF(Table3[[#This Row],[Type Received]]=2,"CC",(IF(Table3[[#This Row],[Type Received]]=3,"BILL","ACH")))</f>
        <v>ACH</v>
      </c>
    </row>
    <row r="3056" spans="1:11" x14ac:dyDescent="0.25">
      <c r="A3056">
        <v>241620</v>
      </c>
      <c r="B3056" s="3">
        <v>46143</v>
      </c>
      <c r="C3056">
        <v>3</v>
      </c>
      <c r="D3056">
        <v>57.95</v>
      </c>
      <c r="E3056">
        <v>921398459</v>
      </c>
      <c r="K3056" t="str">
        <f>IF(Table3[[#This Row],[Type Received]]=2,"CC",(IF(Table3[[#This Row],[Type Received]]=3,"BILL","ACH")))</f>
        <v>BILL</v>
      </c>
    </row>
    <row r="3057" spans="1:11" x14ac:dyDescent="0.25">
      <c r="A3057">
        <v>241641</v>
      </c>
      <c r="B3057" s="3">
        <v>46168</v>
      </c>
      <c r="C3057">
        <v>3</v>
      </c>
      <c r="D3057">
        <v>56.84</v>
      </c>
      <c r="E3057">
        <v>107</v>
      </c>
      <c r="K3057" t="str">
        <f>IF(Table3[[#This Row],[Type Received]]=2,"CC",(IF(Table3[[#This Row],[Type Received]]=3,"BILL","ACH")))</f>
        <v>BILL</v>
      </c>
    </row>
    <row r="3058" spans="1:11" x14ac:dyDescent="0.25">
      <c r="A3058">
        <v>241664</v>
      </c>
      <c r="B3058" s="3">
        <v>46143</v>
      </c>
      <c r="C3058">
        <v>1</v>
      </c>
      <c r="D3058">
        <v>27.79</v>
      </c>
      <c r="G3058" t="s">
        <v>84</v>
      </c>
      <c r="H3058">
        <v>522153946</v>
      </c>
      <c r="I3058" t="s">
        <v>29</v>
      </c>
      <c r="K3058" t="str">
        <f>IF(Table3[[#This Row],[Type Received]]=2,"CC",(IF(Table3[[#This Row],[Type Received]]=3,"BILL","ACH")))</f>
        <v>ACH</v>
      </c>
    </row>
    <row r="3059" spans="1:11" x14ac:dyDescent="0.25">
      <c r="A3059">
        <v>241665</v>
      </c>
      <c r="B3059" s="3">
        <v>46143</v>
      </c>
      <c r="C3059">
        <v>1</v>
      </c>
      <c r="D3059">
        <v>85.54</v>
      </c>
      <c r="G3059" t="s">
        <v>84</v>
      </c>
      <c r="H3059">
        <v>522380135</v>
      </c>
      <c r="I3059" t="s">
        <v>29</v>
      </c>
      <c r="K3059" t="str">
        <f>IF(Table3[[#This Row],[Type Received]]=2,"CC",(IF(Table3[[#This Row],[Type Received]]=3,"BILL","ACH")))</f>
        <v>ACH</v>
      </c>
    </row>
    <row r="3060" spans="1:11" x14ac:dyDescent="0.25">
      <c r="A3060">
        <v>241672</v>
      </c>
      <c r="B3060" s="3">
        <v>46158</v>
      </c>
      <c r="C3060">
        <v>1</v>
      </c>
      <c r="D3060">
        <v>99.95</v>
      </c>
      <c r="G3060" s="4" t="s">
        <v>106</v>
      </c>
      <c r="H3060">
        <v>710063606</v>
      </c>
      <c r="I3060" t="s">
        <v>29</v>
      </c>
      <c r="K3060" t="str">
        <f>IF(Table3[[#This Row],[Type Received]]=2,"CC",(IF(Table3[[#This Row],[Type Received]]=3,"BILL","ACH")))</f>
        <v>ACH</v>
      </c>
    </row>
    <row r="3061" spans="1:11" x14ac:dyDescent="0.25">
      <c r="A3061">
        <v>241685</v>
      </c>
      <c r="B3061" s="3">
        <v>46170</v>
      </c>
      <c r="C3061">
        <v>2</v>
      </c>
      <c r="D3061">
        <v>35.93</v>
      </c>
      <c r="F3061">
        <v>40114</v>
      </c>
      <c r="G3061" t="s">
        <v>28</v>
      </c>
      <c r="H3061">
        <v>853914925</v>
      </c>
      <c r="I3061" t="s">
        <v>29</v>
      </c>
      <c r="K3061" t="str">
        <f>IF(Table3[[#This Row],[Type Received]]=2,"CC",(IF(Table3[[#This Row],[Type Received]]=3,"BILL","ACH")))</f>
        <v>CC</v>
      </c>
    </row>
    <row r="3062" spans="1:11" x14ac:dyDescent="0.25">
      <c r="A3062">
        <v>241721</v>
      </c>
      <c r="B3062" s="3">
        <v>46171</v>
      </c>
      <c r="C3062">
        <v>3</v>
      </c>
      <c r="D3062">
        <v>149.71</v>
      </c>
      <c r="E3062">
        <v>9425</v>
      </c>
      <c r="K3062" t="str">
        <f>IF(Table3[[#This Row],[Type Received]]=2,"CC",(IF(Table3[[#This Row],[Type Received]]=3,"BILL","ACH")))</f>
        <v>BILL</v>
      </c>
    </row>
    <row r="3063" spans="1:11" x14ac:dyDescent="0.25">
      <c r="A3063">
        <v>241758</v>
      </c>
      <c r="B3063" s="3">
        <v>46143</v>
      </c>
      <c r="C3063">
        <v>3</v>
      </c>
      <c r="D3063">
        <v>76.64</v>
      </c>
      <c r="E3063">
        <v>57445296</v>
      </c>
      <c r="K3063" t="str">
        <f>IF(Table3[[#This Row],[Type Received]]=2,"CC",(IF(Table3[[#This Row],[Type Received]]=3,"BILL","ACH")))</f>
        <v>BILL</v>
      </c>
    </row>
    <row r="3064" spans="1:11" x14ac:dyDescent="0.25">
      <c r="A3064">
        <v>242026</v>
      </c>
      <c r="B3064" s="3">
        <v>46155</v>
      </c>
      <c r="C3064">
        <v>2</v>
      </c>
      <c r="D3064">
        <v>78.94</v>
      </c>
      <c r="F3064">
        <v>100854</v>
      </c>
      <c r="G3064" t="s">
        <v>28</v>
      </c>
      <c r="H3064">
        <v>669503528</v>
      </c>
      <c r="I3064" t="s">
        <v>29</v>
      </c>
      <c r="K3064" t="str">
        <f>IF(Table3[[#This Row],[Type Received]]=2,"CC",(IF(Table3[[#This Row],[Type Received]]=3,"BILL","ACH")))</f>
        <v>CC</v>
      </c>
    </row>
    <row r="3065" spans="1:11" x14ac:dyDescent="0.25">
      <c r="A3065">
        <v>242074</v>
      </c>
      <c r="B3065" s="3">
        <v>46165</v>
      </c>
      <c r="C3065">
        <v>2</v>
      </c>
      <c r="D3065">
        <v>58.82</v>
      </c>
      <c r="F3065">
        <v>455963</v>
      </c>
      <c r="G3065">
        <v>748047895</v>
      </c>
      <c r="H3065">
        <v>355625356</v>
      </c>
      <c r="K3065" t="str">
        <f>IF(Table3[[#This Row],[Type Received]]=2,"CC",(IF(Table3[[#This Row],[Type Received]]=3,"BILL","ACH")))</f>
        <v>CC</v>
      </c>
    </row>
    <row r="3066" spans="1:11" x14ac:dyDescent="0.25">
      <c r="A3066">
        <v>242090</v>
      </c>
      <c r="B3066" s="3">
        <v>46143</v>
      </c>
      <c r="C3066">
        <v>1</v>
      </c>
      <c r="D3066">
        <v>88.84</v>
      </c>
      <c r="G3066" s="4" t="s">
        <v>84</v>
      </c>
      <c r="H3066">
        <v>522363885</v>
      </c>
      <c r="I3066" t="s">
        <v>29</v>
      </c>
      <c r="K3066" t="str">
        <f>IF(Table3[[#This Row],[Type Received]]=2,"CC",(IF(Table3[[#This Row],[Type Received]]=3,"BILL","ACH")))</f>
        <v>ACH</v>
      </c>
    </row>
    <row r="3067" spans="1:11" x14ac:dyDescent="0.25">
      <c r="A3067">
        <v>242093</v>
      </c>
      <c r="B3067" s="3">
        <v>46157</v>
      </c>
      <c r="C3067">
        <v>1</v>
      </c>
      <c r="D3067">
        <v>116.89</v>
      </c>
      <c r="G3067" t="s">
        <v>87</v>
      </c>
      <c r="H3067">
        <v>696801336</v>
      </c>
      <c r="I3067" t="s">
        <v>29</v>
      </c>
      <c r="K3067" t="str">
        <f>IF(Table3[[#This Row],[Type Received]]=2,"CC",(IF(Table3[[#This Row],[Type Received]]=3,"BILL","ACH")))</f>
        <v>ACH</v>
      </c>
    </row>
    <row r="3068" spans="1:11" x14ac:dyDescent="0.25">
      <c r="A3068">
        <v>242112</v>
      </c>
      <c r="B3068" s="3">
        <v>46157</v>
      </c>
      <c r="C3068">
        <v>1</v>
      </c>
      <c r="D3068">
        <v>143.94999999999999</v>
      </c>
      <c r="G3068" t="s">
        <v>87</v>
      </c>
      <c r="H3068">
        <v>696808214</v>
      </c>
      <c r="I3068" t="s">
        <v>29</v>
      </c>
      <c r="K3068" t="str">
        <f>IF(Table3[[#This Row],[Type Received]]=2,"CC",(IF(Table3[[#This Row],[Type Received]]=3,"BILL","ACH")))</f>
        <v>ACH</v>
      </c>
    </row>
    <row r="3069" spans="1:11" x14ac:dyDescent="0.25">
      <c r="A3069">
        <v>242167</v>
      </c>
      <c r="B3069" s="3">
        <v>46167</v>
      </c>
      <c r="C3069">
        <v>1</v>
      </c>
      <c r="D3069">
        <v>111.61</v>
      </c>
      <c r="G3069" s="4" t="s">
        <v>85</v>
      </c>
      <c r="H3069">
        <v>818397161</v>
      </c>
      <c r="I3069" t="s">
        <v>29</v>
      </c>
      <c r="K3069" t="str">
        <f>IF(Table3[[#This Row],[Type Received]]=2,"CC",(IF(Table3[[#This Row],[Type Received]]=3,"BILL","ACH")))</f>
        <v>ACH</v>
      </c>
    </row>
    <row r="3070" spans="1:11" x14ac:dyDescent="0.25">
      <c r="A3070">
        <v>242194</v>
      </c>
      <c r="B3070" s="3">
        <v>46167</v>
      </c>
      <c r="C3070">
        <v>1</v>
      </c>
      <c r="D3070">
        <v>110.29</v>
      </c>
      <c r="G3070" t="s">
        <v>85</v>
      </c>
      <c r="H3070">
        <v>818370092</v>
      </c>
      <c r="I3070" t="s">
        <v>29</v>
      </c>
      <c r="K3070" t="str">
        <f>IF(Table3[[#This Row],[Type Received]]=2,"CC",(IF(Table3[[#This Row],[Type Received]]=3,"BILL","ACH")))</f>
        <v>ACH</v>
      </c>
    </row>
    <row r="3071" spans="1:11" x14ac:dyDescent="0.25">
      <c r="A3071">
        <v>241861</v>
      </c>
      <c r="B3071" s="3">
        <v>46167</v>
      </c>
      <c r="C3071">
        <v>1</v>
      </c>
      <c r="D3071">
        <v>24.05</v>
      </c>
      <c r="G3071" t="s">
        <v>85</v>
      </c>
      <c r="H3071">
        <v>818382722</v>
      </c>
      <c r="I3071" t="s">
        <v>29</v>
      </c>
      <c r="K3071" t="str">
        <f>IF(Table3[[#This Row],[Type Received]]=2,"CC",(IF(Table3[[#This Row],[Type Received]]=3,"BILL","ACH")))</f>
        <v>ACH</v>
      </c>
    </row>
    <row r="3072" spans="1:11" x14ac:dyDescent="0.25">
      <c r="A3072">
        <v>241865</v>
      </c>
      <c r="B3072" s="3">
        <v>46164</v>
      </c>
      <c r="C3072">
        <v>2</v>
      </c>
      <c r="D3072">
        <v>66.41</v>
      </c>
      <c r="F3072" t="s">
        <v>276</v>
      </c>
      <c r="G3072" t="s">
        <v>28</v>
      </c>
      <c r="H3072">
        <v>789859822</v>
      </c>
      <c r="I3072" t="s">
        <v>29</v>
      </c>
      <c r="K3072" t="str">
        <f>IF(Table3[[#This Row],[Type Received]]=2,"CC",(IF(Table3[[#This Row],[Type Received]]=3,"BILL","ACH")))</f>
        <v>CC</v>
      </c>
    </row>
    <row r="3073" spans="1:11" x14ac:dyDescent="0.25">
      <c r="A3073">
        <v>241883</v>
      </c>
      <c r="B3073" s="3">
        <v>46143</v>
      </c>
      <c r="C3073">
        <v>1</v>
      </c>
      <c r="D3073">
        <v>36.15</v>
      </c>
      <c r="G3073" t="s">
        <v>84</v>
      </c>
      <c r="H3073">
        <v>522384106</v>
      </c>
      <c r="I3073" t="s">
        <v>29</v>
      </c>
      <c r="K3073" t="str">
        <f>IF(Table3[[#This Row],[Type Received]]=2,"CC",(IF(Table3[[#This Row],[Type Received]]=3,"BILL","ACH")))</f>
        <v>ACH</v>
      </c>
    </row>
    <row r="3074" spans="1:11" x14ac:dyDescent="0.25">
      <c r="A3074">
        <v>241951</v>
      </c>
      <c r="B3074" s="3">
        <v>46155</v>
      </c>
      <c r="C3074">
        <v>1</v>
      </c>
      <c r="D3074">
        <v>56.95</v>
      </c>
      <c r="G3074" t="s">
        <v>90</v>
      </c>
      <c r="H3074">
        <v>669495709</v>
      </c>
      <c r="I3074" t="s">
        <v>29</v>
      </c>
      <c r="K3074" t="str">
        <f>IF(Table3[[#This Row],[Type Received]]=2,"CC",(IF(Table3[[#This Row],[Type Received]]=3,"BILL","ACH")))</f>
        <v>ACH</v>
      </c>
    </row>
    <row r="3075" spans="1:11" x14ac:dyDescent="0.25">
      <c r="A3075">
        <v>241981</v>
      </c>
      <c r="B3075" s="3">
        <v>46157</v>
      </c>
      <c r="C3075">
        <v>1</v>
      </c>
      <c r="D3075">
        <v>50.89</v>
      </c>
      <c r="G3075" t="s">
        <v>87</v>
      </c>
      <c r="H3075">
        <v>696782961</v>
      </c>
      <c r="I3075" t="s">
        <v>29</v>
      </c>
      <c r="K3075" t="str">
        <f>IF(Table3[[#This Row],[Type Received]]=2,"CC",(IF(Table3[[#This Row],[Type Received]]=3,"BILL","ACH")))</f>
        <v>ACH</v>
      </c>
    </row>
    <row r="3076" spans="1:11" x14ac:dyDescent="0.25">
      <c r="A3076">
        <v>241992</v>
      </c>
      <c r="B3076" s="3">
        <v>46143</v>
      </c>
      <c r="C3076">
        <v>1</v>
      </c>
      <c r="D3076">
        <v>77.62</v>
      </c>
      <c r="G3076" t="s">
        <v>84</v>
      </c>
      <c r="H3076">
        <v>522366670</v>
      </c>
      <c r="I3076" t="s">
        <v>29</v>
      </c>
      <c r="K3076" t="str">
        <f>IF(Table3[[#This Row],[Type Received]]=2,"CC",(IF(Table3[[#This Row],[Type Received]]=3,"BILL","ACH")))</f>
        <v>ACH</v>
      </c>
    </row>
    <row r="3077" spans="1:11" x14ac:dyDescent="0.25">
      <c r="A3077">
        <v>242218</v>
      </c>
      <c r="B3077" s="3">
        <v>46148</v>
      </c>
      <c r="C3077">
        <v>2</v>
      </c>
      <c r="D3077">
        <v>138.35</v>
      </c>
      <c r="F3077">
        <v>934355</v>
      </c>
      <c r="G3077">
        <v>743046280</v>
      </c>
      <c r="H3077">
        <v>353684975</v>
      </c>
      <c r="K3077" t="str">
        <f>IF(Table3[[#This Row],[Type Received]]=2,"CC",(IF(Table3[[#This Row],[Type Received]]=3,"BILL","ACH")))</f>
        <v>CC</v>
      </c>
    </row>
    <row r="3078" spans="1:11" x14ac:dyDescent="0.25">
      <c r="A3078">
        <v>242296</v>
      </c>
      <c r="B3078" s="3">
        <v>46155</v>
      </c>
      <c r="C3078">
        <v>2</v>
      </c>
      <c r="D3078">
        <v>65.08</v>
      </c>
      <c r="F3078">
        <v>132182</v>
      </c>
      <c r="G3078" t="s">
        <v>28</v>
      </c>
      <c r="H3078">
        <v>669490836</v>
      </c>
      <c r="I3078" t="s">
        <v>29</v>
      </c>
      <c r="K3078" t="str">
        <f>IF(Table3[[#This Row],[Type Received]]=2,"CC",(IF(Table3[[#This Row],[Type Received]]=3,"BILL","ACH")))</f>
        <v>CC</v>
      </c>
    </row>
    <row r="3079" spans="1:11" x14ac:dyDescent="0.25">
      <c r="A3079">
        <v>242330</v>
      </c>
      <c r="B3079" s="3">
        <v>46143</v>
      </c>
      <c r="C3079">
        <v>1</v>
      </c>
      <c r="D3079">
        <v>77.95</v>
      </c>
      <c r="G3079" t="s">
        <v>84</v>
      </c>
      <c r="H3079">
        <v>522384175</v>
      </c>
      <c r="I3079" t="s">
        <v>29</v>
      </c>
      <c r="K3079" t="str">
        <f>IF(Table3[[#This Row],[Type Received]]=2,"CC",(IF(Table3[[#This Row],[Type Received]]=3,"BILL","ACH")))</f>
        <v>ACH</v>
      </c>
    </row>
    <row r="3080" spans="1:11" x14ac:dyDescent="0.25">
      <c r="A3080">
        <v>242346</v>
      </c>
      <c r="B3080" s="3">
        <v>46169</v>
      </c>
      <c r="C3080">
        <v>3</v>
      </c>
      <c r="D3080">
        <v>52</v>
      </c>
      <c r="E3080">
        <v>9447</v>
      </c>
      <c r="K3080" t="str">
        <f>IF(Table3[[#This Row],[Type Received]]=2,"CC",(IF(Table3[[#This Row],[Type Received]]=3,"BILL","ACH")))</f>
        <v>BILL</v>
      </c>
    </row>
    <row r="3081" spans="1:11" x14ac:dyDescent="0.25">
      <c r="A3081">
        <v>242355</v>
      </c>
      <c r="B3081" s="3">
        <v>46143</v>
      </c>
      <c r="C3081">
        <v>3</v>
      </c>
      <c r="D3081">
        <v>143.63</v>
      </c>
      <c r="E3081">
        <v>5203</v>
      </c>
      <c r="K3081" t="str">
        <f>IF(Table3[[#This Row],[Type Received]]=2,"CC",(IF(Table3[[#This Row],[Type Received]]=3,"BILL","ACH")))</f>
        <v>BILL</v>
      </c>
    </row>
    <row r="3082" spans="1:11" x14ac:dyDescent="0.25">
      <c r="A3082">
        <v>242388</v>
      </c>
      <c r="B3082" s="3">
        <v>46147</v>
      </c>
      <c r="C3082">
        <v>1</v>
      </c>
      <c r="D3082">
        <v>88.29</v>
      </c>
      <c r="G3082" t="s">
        <v>86</v>
      </c>
      <c r="H3082">
        <v>569479334</v>
      </c>
      <c r="I3082" t="s">
        <v>29</v>
      </c>
      <c r="K3082" t="str">
        <f>IF(Table3[[#This Row],[Type Received]]=2,"CC",(IF(Table3[[#This Row],[Type Received]]=3,"BILL","ACH")))</f>
        <v>ACH</v>
      </c>
    </row>
    <row r="3083" spans="1:11" x14ac:dyDescent="0.25">
      <c r="A3083">
        <v>242437</v>
      </c>
      <c r="B3083" s="3">
        <v>46144</v>
      </c>
      <c r="C3083">
        <v>1</v>
      </c>
      <c r="D3083">
        <v>116.45</v>
      </c>
      <c r="G3083" t="s">
        <v>89</v>
      </c>
      <c r="H3083">
        <v>535365253</v>
      </c>
      <c r="I3083" t="s">
        <v>29</v>
      </c>
      <c r="K3083" t="str">
        <f>IF(Table3[[#This Row],[Type Received]]=2,"CC",(IF(Table3[[#This Row],[Type Received]]=3,"BILL","ACH")))</f>
        <v>ACH</v>
      </c>
    </row>
    <row r="3084" spans="1:11" x14ac:dyDescent="0.25">
      <c r="A3084">
        <v>242500</v>
      </c>
      <c r="B3084" s="3">
        <v>46143</v>
      </c>
      <c r="C3084">
        <v>1</v>
      </c>
      <c r="D3084">
        <v>80.59</v>
      </c>
      <c r="G3084" t="s">
        <v>84</v>
      </c>
      <c r="H3084">
        <v>522374521</v>
      </c>
      <c r="I3084" t="s">
        <v>29</v>
      </c>
      <c r="K3084" t="str">
        <f>IF(Table3[[#This Row],[Type Received]]=2,"CC",(IF(Table3[[#This Row],[Type Received]]=3,"BILL","ACH")))</f>
        <v>ACH</v>
      </c>
    </row>
    <row r="3085" spans="1:11" x14ac:dyDescent="0.25">
      <c r="A3085">
        <v>242526</v>
      </c>
      <c r="B3085" s="3">
        <v>46143</v>
      </c>
      <c r="C3085">
        <v>3</v>
      </c>
      <c r="D3085">
        <v>25.05</v>
      </c>
      <c r="E3085">
        <v>78055388235</v>
      </c>
      <c r="K3085" t="str">
        <f>IF(Table3[[#This Row],[Type Received]]=2,"CC",(IF(Table3[[#This Row],[Type Received]]=3,"BILL","ACH")))</f>
        <v>BILL</v>
      </c>
    </row>
    <row r="3086" spans="1:11" x14ac:dyDescent="0.25">
      <c r="A3086">
        <v>242559</v>
      </c>
      <c r="B3086" s="3">
        <v>46157</v>
      </c>
      <c r="C3086">
        <v>1</v>
      </c>
      <c r="D3086">
        <v>99.95</v>
      </c>
      <c r="G3086" s="4" t="s">
        <v>87</v>
      </c>
      <c r="H3086">
        <v>696794610</v>
      </c>
      <c r="I3086" t="s">
        <v>29</v>
      </c>
      <c r="K3086" t="str">
        <f>IF(Table3[[#This Row],[Type Received]]=2,"CC",(IF(Table3[[#This Row],[Type Received]]=3,"BILL","ACH")))</f>
        <v>ACH</v>
      </c>
    </row>
    <row r="3087" spans="1:11" x14ac:dyDescent="0.25">
      <c r="A3087">
        <v>242566</v>
      </c>
      <c r="B3087" s="3">
        <v>46168</v>
      </c>
      <c r="C3087">
        <v>3</v>
      </c>
      <c r="D3087">
        <v>23.95</v>
      </c>
      <c r="E3087">
        <v>2116</v>
      </c>
      <c r="K3087" t="str">
        <f>IF(Table3[[#This Row],[Type Received]]=2,"CC",(IF(Table3[[#This Row],[Type Received]]=3,"BILL","ACH")))</f>
        <v>BILL</v>
      </c>
    </row>
    <row r="3088" spans="1:11" x14ac:dyDescent="0.25">
      <c r="A3088">
        <v>242567</v>
      </c>
      <c r="B3088" s="3">
        <v>46167</v>
      </c>
      <c r="C3088">
        <v>1</v>
      </c>
      <c r="D3088">
        <v>58.37</v>
      </c>
      <c r="G3088" t="s">
        <v>85</v>
      </c>
      <c r="H3088">
        <v>818395353</v>
      </c>
      <c r="I3088" t="s">
        <v>29</v>
      </c>
      <c r="K3088" t="str">
        <f>IF(Table3[[#This Row],[Type Received]]=2,"CC",(IF(Table3[[#This Row],[Type Received]]=3,"BILL","ACH")))</f>
        <v>ACH</v>
      </c>
    </row>
    <row r="3089" spans="1:11" x14ac:dyDescent="0.25">
      <c r="A3089">
        <v>242570</v>
      </c>
      <c r="B3089" s="3">
        <v>46143</v>
      </c>
      <c r="C3089">
        <v>1</v>
      </c>
      <c r="D3089">
        <v>66.95</v>
      </c>
      <c r="G3089" t="s">
        <v>84</v>
      </c>
      <c r="H3089">
        <v>522373565</v>
      </c>
      <c r="I3089" t="s">
        <v>29</v>
      </c>
      <c r="K3089" t="str">
        <f>IF(Table3[[#This Row],[Type Received]]=2,"CC",(IF(Table3[[#This Row],[Type Received]]=3,"BILL","ACH")))</f>
        <v>ACH</v>
      </c>
    </row>
    <row r="3090" spans="1:11" x14ac:dyDescent="0.25">
      <c r="A3090">
        <v>242895</v>
      </c>
      <c r="B3090" s="3">
        <v>46155</v>
      </c>
      <c r="C3090">
        <v>2</v>
      </c>
      <c r="D3090">
        <v>115.24</v>
      </c>
      <c r="F3090">
        <v>80507</v>
      </c>
      <c r="G3090" t="s">
        <v>28</v>
      </c>
      <c r="H3090">
        <v>669505444</v>
      </c>
      <c r="I3090" t="s">
        <v>29</v>
      </c>
      <c r="K3090" t="str">
        <f>IF(Table3[[#This Row],[Type Received]]=2,"CC",(IF(Table3[[#This Row],[Type Received]]=3,"BILL","ACH")))</f>
        <v>CC</v>
      </c>
    </row>
    <row r="3091" spans="1:11" x14ac:dyDescent="0.25">
      <c r="A3091">
        <v>242933</v>
      </c>
      <c r="B3091" s="3">
        <v>46149</v>
      </c>
      <c r="C3091">
        <v>3</v>
      </c>
      <c r="D3091">
        <v>464.74</v>
      </c>
      <c r="E3091">
        <v>287</v>
      </c>
      <c r="K3091" t="str">
        <f>IF(Table3[[#This Row],[Type Received]]=2,"CC",(IF(Table3[[#This Row],[Type Received]]=3,"BILL","ACH")))</f>
        <v>BILL</v>
      </c>
    </row>
    <row r="3092" spans="1:11" x14ac:dyDescent="0.25">
      <c r="A3092">
        <v>243001</v>
      </c>
      <c r="B3092" s="3">
        <v>46170</v>
      </c>
      <c r="C3092">
        <v>2</v>
      </c>
      <c r="D3092">
        <v>145.02000000000001</v>
      </c>
      <c r="F3092">
        <v>861871</v>
      </c>
      <c r="G3092" t="s">
        <v>28</v>
      </c>
      <c r="H3092">
        <v>854458677</v>
      </c>
      <c r="I3092" t="s">
        <v>29</v>
      </c>
      <c r="K3092" t="str">
        <f>IF(Table3[[#This Row],[Type Received]]=2,"CC",(IF(Table3[[#This Row],[Type Received]]=3,"BILL","ACH")))</f>
        <v>CC</v>
      </c>
    </row>
    <row r="3093" spans="1:11" x14ac:dyDescent="0.25">
      <c r="A3093">
        <v>242619</v>
      </c>
      <c r="B3093" s="3">
        <v>46167</v>
      </c>
      <c r="C3093">
        <v>1</v>
      </c>
      <c r="D3093">
        <v>86.2</v>
      </c>
      <c r="G3093" t="s">
        <v>85</v>
      </c>
      <c r="H3093">
        <v>818397182</v>
      </c>
      <c r="I3093" t="s">
        <v>29</v>
      </c>
      <c r="K3093" t="str">
        <f>IF(Table3[[#This Row],[Type Received]]=2,"CC",(IF(Table3[[#This Row],[Type Received]]=3,"BILL","ACH")))</f>
        <v>ACH</v>
      </c>
    </row>
    <row r="3094" spans="1:11" x14ac:dyDescent="0.25">
      <c r="A3094">
        <v>242625</v>
      </c>
      <c r="B3094" s="3">
        <v>46150</v>
      </c>
      <c r="C3094">
        <v>3</v>
      </c>
      <c r="D3094">
        <v>114.59</v>
      </c>
      <c r="E3094">
        <v>921952483</v>
      </c>
      <c r="K3094" t="str">
        <f>IF(Table3[[#This Row],[Type Received]]=2,"CC",(IF(Table3[[#This Row],[Type Received]]=3,"BILL","ACH")))</f>
        <v>BILL</v>
      </c>
    </row>
    <row r="3095" spans="1:11" x14ac:dyDescent="0.25">
      <c r="A3095">
        <v>242630</v>
      </c>
      <c r="B3095" s="3">
        <v>46161</v>
      </c>
      <c r="C3095">
        <v>1</v>
      </c>
      <c r="D3095">
        <v>87.2</v>
      </c>
      <c r="G3095" t="s">
        <v>220</v>
      </c>
      <c r="H3095">
        <v>748414741</v>
      </c>
      <c r="I3095" t="s">
        <v>29</v>
      </c>
      <c r="K3095" t="str">
        <f>IF(Table3[[#This Row],[Type Received]]=2,"CC",(IF(Table3[[#This Row],[Type Received]]=3,"BILL","ACH")))</f>
        <v>ACH</v>
      </c>
    </row>
    <row r="3096" spans="1:11" x14ac:dyDescent="0.25">
      <c r="A3096">
        <v>242631</v>
      </c>
      <c r="B3096" s="3">
        <v>46169</v>
      </c>
      <c r="C3096">
        <v>3</v>
      </c>
      <c r="D3096">
        <v>87.2</v>
      </c>
      <c r="E3096">
        <v>606</v>
      </c>
      <c r="K3096" t="str">
        <f>IF(Table3[[#This Row],[Type Received]]=2,"CC",(IF(Table3[[#This Row],[Type Received]]=3,"BILL","ACH")))</f>
        <v>BILL</v>
      </c>
    </row>
    <row r="3097" spans="1:11" x14ac:dyDescent="0.25">
      <c r="A3097">
        <v>242665</v>
      </c>
      <c r="B3097" s="3">
        <v>46149</v>
      </c>
      <c r="C3097">
        <v>2</v>
      </c>
      <c r="D3097">
        <v>96.77</v>
      </c>
      <c r="F3097">
        <v>50972</v>
      </c>
      <c r="G3097" t="s">
        <v>28</v>
      </c>
      <c r="H3097">
        <v>598338825</v>
      </c>
      <c r="I3097" t="s">
        <v>29</v>
      </c>
      <c r="K3097" t="str">
        <f>IF(Table3[[#This Row],[Type Received]]=2,"CC",(IF(Table3[[#This Row],[Type Received]]=3,"BILL","ACH")))</f>
        <v>CC</v>
      </c>
    </row>
    <row r="3098" spans="1:11" x14ac:dyDescent="0.25">
      <c r="A3098">
        <v>242675</v>
      </c>
      <c r="B3098" s="3">
        <v>46149</v>
      </c>
      <c r="C3098">
        <v>3</v>
      </c>
      <c r="D3098">
        <v>64.209999999999994</v>
      </c>
      <c r="E3098">
        <v>1261</v>
      </c>
      <c r="K3098" t="str">
        <f>IF(Table3[[#This Row],[Type Received]]=2,"CC",(IF(Table3[[#This Row],[Type Received]]=3,"BILL","ACH")))</f>
        <v>BILL</v>
      </c>
    </row>
    <row r="3099" spans="1:11" x14ac:dyDescent="0.25">
      <c r="A3099">
        <v>242705</v>
      </c>
      <c r="B3099" s="3">
        <v>46144</v>
      </c>
      <c r="C3099">
        <v>1</v>
      </c>
      <c r="D3099">
        <v>60.46</v>
      </c>
      <c r="G3099" t="s">
        <v>89</v>
      </c>
      <c r="H3099">
        <v>535351144</v>
      </c>
      <c r="I3099" t="s">
        <v>29</v>
      </c>
      <c r="K3099" t="str">
        <f>IF(Table3[[#This Row],[Type Received]]=2,"CC",(IF(Table3[[#This Row],[Type Received]]=3,"BILL","ACH")))</f>
        <v>ACH</v>
      </c>
    </row>
    <row r="3100" spans="1:11" x14ac:dyDescent="0.25">
      <c r="A3100">
        <v>242728</v>
      </c>
      <c r="B3100" s="3">
        <v>46170</v>
      </c>
      <c r="C3100">
        <v>3</v>
      </c>
      <c r="D3100">
        <v>63</v>
      </c>
      <c r="E3100">
        <v>923739219</v>
      </c>
      <c r="K3100" t="str">
        <f>IF(Table3[[#This Row],[Type Received]]=2,"CC",(IF(Table3[[#This Row],[Type Received]]=3,"BILL","ACH")))</f>
        <v>BILL</v>
      </c>
    </row>
    <row r="3101" spans="1:11" x14ac:dyDescent="0.25">
      <c r="A3101">
        <v>242728</v>
      </c>
      <c r="B3101" s="3">
        <v>46146</v>
      </c>
      <c r="C3101">
        <v>3</v>
      </c>
      <c r="D3101">
        <v>63</v>
      </c>
      <c r="E3101">
        <v>920792050</v>
      </c>
      <c r="K3101" t="str">
        <f>IF(Table3[[#This Row],[Type Received]]=2,"CC",(IF(Table3[[#This Row],[Type Received]]=3,"BILL","ACH")))</f>
        <v>BILL</v>
      </c>
    </row>
    <row r="3102" spans="1:11" x14ac:dyDescent="0.25">
      <c r="A3102">
        <v>242754</v>
      </c>
      <c r="B3102" s="3">
        <v>46144</v>
      </c>
      <c r="C3102">
        <v>1</v>
      </c>
      <c r="D3102">
        <v>47.15</v>
      </c>
      <c r="G3102" s="4" t="s">
        <v>89</v>
      </c>
      <c r="H3102">
        <v>535349329</v>
      </c>
      <c r="I3102" t="s">
        <v>29</v>
      </c>
      <c r="K3102" t="str">
        <f>IF(Table3[[#This Row],[Type Received]]=2,"CC",(IF(Table3[[#This Row],[Type Received]]=3,"BILL","ACH")))</f>
        <v>ACH</v>
      </c>
    </row>
    <row r="3103" spans="1:11" x14ac:dyDescent="0.25">
      <c r="A3103">
        <v>242786</v>
      </c>
      <c r="B3103" s="3">
        <v>46161</v>
      </c>
      <c r="C3103">
        <v>2</v>
      </c>
      <c r="D3103">
        <v>103.44</v>
      </c>
      <c r="F3103">
        <v>97216</v>
      </c>
      <c r="G3103" t="s">
        <v>28</v>
      </c>
      <c r="H3103">
        <v>747375312</v>
      </c>
      <c r="I3103" t="s">
        <v>29</v>
      </c>
      <c r="K3103" t="str">
        <f>IF(Table3[[#This Row],[Type Received]]=2,"CC",(IF(Table3[[#This Row],[Type Received]]=3,"BILL","ACH")))</f>
        <v>CC</v>
      </c>
    </row>
    <row r="3104" spans="1:11" x14ac:dyDescent="0.25">
      <c r="A3104">
        <v>243011</v>
      </c>
      <c r="B3104" s="3">
        <v>46167</v>
      </c>
      <c r="C3104">
        <v>1</v>
      </c>
      <c r="D3104">
        <v>134.38</v>
      </c>
      <c r="G3104" t="s">
        <v>85</v>
      </c>
      <c r="H3104">
        <v>818394373</v>
      </c>
      <c r="I3104" t="s">
        <v>29</v>
      </c>
      <c r="K3104" t="str">
        <f>IF(Table3[[#This Row],[Type Received]]=2,"CC",(IF(Table3[[#This Row],[Type Received]]=3,"BILL","ACH")))</f>
        <v>ACH</v>
      </c>
    </row>
    <row r="3105" spans="1:11" x14ac:dyDescent="0.25">
      <c r="A3105">
        <v>243033</v>
      </c>
      <c r="B3105" s="3">
        <v>46143</v>
      </c>
      <c r="C3105">
        <v>2</v>
      </c>
      <c r="D3105">
        <v>68.17</v>
      </c>
      <c r="F3105">
        <v>144050</v>
      </c>
      <c r="G3105" s="4">
        <v>741374152</v>
      </c>
      <c r="H3105">
        <v>353189485</v>
      </c>
      <c r="K3105" t="str">
        <f>IF(Table3[[#This Row],[Type Received]]=2,"CC",(IF(Table3[[#This Row],[Type Received]]=3,"BILL","ACH")))</f>
        <v>CC</v>
      </c>
    </row>
    <row r="3106" spans="1:11" x14ac:dyDescent="0.25">
      <c r="A3106">
        <v>243052</v>
      </c>
      <c r="B3106" s="3">
        <v>46163</v>
      </c>
      <c r="C3106">
        <v>3</v>
      </c>
      <c r="D3106">
        <v>69.489999999999995</v>
      </c>
      <c r="E3106">
        <v>6306</v>
      </c>
      <c r="K3106" t="str">
        <f>IF(Table3[[#This Row],[Type Received]]=2,"CC",(IF(Table3[[#This Row],[Type Received]]=3,"BILL","ACH")))</f>
        <v>BILL</v>
      </c>
    </row>
    <row r="3107" spans="1:11" x14ac:dyDescent="0.25">
      <c r="A3107">
        <v>243062</v>
      </c>
      <c r="B3107" s="3">
        <v>46147</v>
      </c>
      <c r="C3107">
        <v>2</v>
      </c>
      <c r="D3107">
        <v>56.95</v>
      </c>
      <c r="F3107">
        <v>224457</v>
      </c>
      <c r="G3107" t="s">
        <v>28</v>
      </c>
      <c r="H3107">
        <v>569495158</v>
      </c>
      <c r="I3107" t="s">
        <v>29</v>
      </c>
      <c r="K3107" t="str">
        <f>IF(Table3[[#This Row],[Type Received]]=2,"CC",(IF(Table3[[#This Row],[Type Received]]=3,"BILL","ACH")))</f>
        <v>CC</v>
      </c>
    </row>
    <row r="3108" spans="1:11" x14ac:dyDescent="0.25">
      <c r="A3108">
        <v>243080</v>
      </c>
      <c r="B3108" s="3">
        <v>46157</v>
      </c>
      <c r="C3108">
        <v>1</v>
      </c>
      <c r="D3108">
        <v>40.11</v>
      </c>
      <c r="G3108" t="s">
        <v>87</v>
      </c>
      <c r="H3108">
        <v>696783000</v>
      </c>
      <c r="I3108" t="s">
        <v>29</v>
      </c>
      <c r="J3108" t="s">
        <v>29</v>
      </c>
      <c r="K3108" t="str">
        <f>IF(Table3[[#This Row],[Type Received]]=2,"CC",(IF(Table3[[#This Row],[Type Received]]=3,"BILL","ACH")))</f>
        <v>ACH</v>
      </c>
    </row>
    <row r="3109" spans="1:11" x14ac:dyDescent="0.25">
      <c r="A3109">
        <v>243135</v>
      </c>
      <c r="B3109" s="3">
        <v>46167</v>
      </c>
      <c r="C3109">
        <v>1</v>
      </c>
      <c r="D3109">
        <v>93.35</v>
      </c>
      <c r="G3109" t="s">
        <v>85</v>
      </c>
      <c r="H3109">
        <v>818381798</v>
      </c>
      <c r="I3109" t="s">
        <v>29</v>
      </c>
      <c r="J3109" t="s">
        <v>29</v>
      </c>
      <c r="K3109" t="str">
        <f>IF(Table3[[#This Row],[Type Received]]=2,"CC",(IF(Table3[[#This Row],[Type Received]]=3,"BILL","ACH")))</f>
        <v>ACH</v>
      </c>
    </row>
    <row r="3110" spans="1:11" x14ac:dyDescent="0.25">
      <c r="A3110">
        <v>243142</v>
      </c>
      <c r="B3110" s="3">
        <v>46146</v>
      </c>
      <c r="C3110">
        <v>2</v>
      </c>
      <c r="D3110">
        <v>201.78</v>
      </c>
      <c r="F3110">
        <v>172894</v>
      </c>
      <c r="G3110" t="s">
        <v>28</v>
      </c>
      <c r="H3110">
        <v>560678543</v>
      </c>
      <c r="I3110" t="s">
        <v>29</v>
      </c>
      <c r="K3110" t="str">
        <f>IF(Table3[[#This Row],[Type Received]]=2,"CC",(IF(Table3[[#This Row],[Type Received]]=3,"BILL","ACH")))</f>
        <v>CC</v>
      </c>
    </row>
    <row r="3111" spans="1:11" x14ac:dyDescent="0.25">
      <c r="A3111">
        <v>243170</v>
      </c>
      <c r="B3111" s="3">
        <v>46147</v>
      </c>
      <c r="C3111">
        <v>2</v>
      </c>
      <c r="D3111">
        <v>73.739999999999995</v>
      </c>
      <c r="F3111">
        <v>568094</v>
      </c>
      <c r="G3111">
        <v>742576419</v>
      </c>
      <c r="H3111">
        <v>353612840</v>
      </c>
      <c r="K3111" t="str">
        <f>IF(Table3[[#This Row],[Type Received]]=2,"CC",(IF(Table3[[#This Row],[Type Received]]=3,"BILL","ACH")))</f>
        <v>CC</v>
      </c>
    </row>
    <row r="3112" spans="1:11" x14ac:dyDescent="0.25">
      <c r="A3112">
        <v>243176</v>
      </c>
      <c r="B3112" s="3">
        <v>46143</v>
      </c>
      <c r="C3112">
        <v>2</v>
      </c>
      <c r="D3112">
        <v>195.18</v>
      </c>
      <c r="F3112" t="s">
        <v>277</v>
      </c>
      <c r="G3112">
        <v>741374152</v>
      </c>
      <c r="H3112">
        <v>353124013</v>
      </c>
      <c r="J3112" t="s">
        <v>29</v>
      </c>
      <c r="K3112" t="str">
        <f>IF(Table3[[#This Row],[Type Received]]=2,"CC",(IF(Table3[[#This Row],[Type Received]]=3,"BILL","ACH")))</f>
        <v>CC</v>
      </c>
    </row>
    <row r="3113" spans="1:11" x14ac:dyDescent="0.25">
      <c r="A3113">
        <v>243223</v>
      </c>
      <c r="B3113" s="3">
        <v>46143</v>
      </c>
      <c r="C3113">
        <v>3</v>
      </c>
      <c r="D3113">
        <v>40.26</v>
      </c>
      <c r="E3113">
        <v>74474723</v>
      </c>
      <c r="J3113" t="s">
        <v>29</v>
      </c>
      <c r="K3113" t="str">
        <f>IF(Table3[[#This Row],[Type Received]]=2,"CC",(IF(Table3[[#This Row],[Type Received]]=3,"BILL","ACH")))</f>
        <v>BILL</v>
      </c>
    </row>
    <row r="3114" spans="1:11" x14ac:dyDescent="0.25">
      <c r="A3114">
        <v>243263</v>
      </c>
      <c r="B3114" s="3">
        <v>46168</v>
      </c>
      <c r="C3114">
        <v>3</v>
      </c>
      <c r="D3114">
        <v>37.700000000000003</v>
      </c>
      <c r="E3114">
        <v>79024170</v>
      </c>
      <c r="G3114" s="4"/>
      <c r="J3114" t="s">
        <v>29</v>
      </c>
      <c r="K3114" t="str">
        <f>IF(Table3[[#This Row],[Type Received]]=2,"CC",(IF(Table3[[#This Row],[Type Received]]=3,"BILL","ACH")))</f>
        <v>BILL</v>
      </c>
    </row>
    <row r="3115" spans="1:11" x14ac:dyDescent="0.25">
      <c r="A3115">
        <v>243273</v>
      </c>
      <c r="B3115" s="3">
        <v>46143</v>
      </c>
      <c r="C3115">
        <v>2</v>
      </c>
      <c r="D3115">
        <v>45.62</v>
      </c>
      <c r="F3115">
        <v>91636</v>
      </c>
      <c r="G3115" t="s">
        <v>28</v>
      </c>
      <c r="H3115">
        <v>526823144</v>
      </c>
      <c r="I3115" t="s">
        <v>29</v>
      </c>
      <c r="J3115" t="s">
        <v>29</v>
      </c>
      <c r="K3115" t="str">
        <f>IF(Table3[[#This Row],[Type Received]]=2,"CC",(IF(Table3[[#This Row],[Type Received]]=3,"BILL","ACH")))</f>
        <v>CC</v>
      </c>
    </row>
    <row r="3116" spans="1:11" x14ac:dyDescent="0.25">
      <c r="A3116">
        <v>243282</v>
      </c>
      <c r="B3116" s="3">
        <v>46167</v>
      </c>
      <c r="C3116">
        <v>1</v>
      </c>
      <c r="D3116">
        <v>176.95</v>
      </c>
      <c r="G3116" s="4" t="s">
        <v>85</v>
      </c>
      <c r="H3116">
        <v>818378954</v>
      </c>
      <c r="I3116" t="s">
        <v>29</v>
      </c>
      <c r="K3116" t="str">
        <f>IF(Table3[[#This Row],[Type Received]]=2,"CC",(IF(Table3[[#This Row],[Type Received]]=3,"BILL","ACH")))</f>
        <v>ACH</v>
      </c>
    </row>
    <row r="3117" spans="1:11" x14ac:dyDescent="0.25">
      <c r="A3117">
        <v>243313</v>
      </c>
      <c r="B3117" s="3">
        <v>46148</v>
      </c>
      <c r="C3117">
        <v>3</v>
      </c>
      <c r="D3117">
        <v>462.23</v>
      </c>
      <c r="E3117">
        <v>55217057167</v>
      </c>
      <c r="K3117" t="str">
        <f>IF(Table3[[#This Row],[Type Received]]=2,"CC",(IF(Table3[[#This Row],[Type Received]]=3,"BILL","ACH")))</f>
        <v>BILL</v>
      </c>
    </row>
    <row r="3118" spans="1:11" x14ac:dyDescent="0.25">
      <c r="A3118">
        <v>243317</v>
      </c>
      <c r="B3118" s="3">
        <v>46157</v>
      </c>
      <c r="C3118">
        <v>1</v>
      </c>
      <c r="D3118">
        <v>24.05</v>
      </c>
      <c r="G3118" t="s">
        <v>87</v>
      </c>
      <c r="H3118">
        <v>696788887</v>
      </c>
      <c r="I3118" t="s">
        <v>29</v>
      </c>
      <c r="J3118" t="s">
        <v>29</v>
      </c>
      <c r="K3118" t="str">
        <f>IF(Table3[[#This Row],[Type Received]]=2,"CC",(IF(Table3[[#This Row],[Type Received]]=3,"BILL","ACH")))</f>
        <v>ACH</v>
      </c>
    </row>
    <row r="3119" spans="1:11" x14ac:dyDescent="0.25">
      <c r="A3119">
        <v>243365</v>
      </c>
      <c r="B3119" s="3">
        <v>46168</v>
      </c>
      <c r="C3119">
        <v>1</v>
      </c>
      <c r="D3119">
        <v>121.73</v>
      </c>
      <c r="G3119" t="s">
        <v>110</v>
      </c>
      <c r="H3119">
        <v>828203067</v>
      </c>
      <c r="I3119" t="s">
        <v>29</v>
      </c>
      <c r="J3119" t="s">
        <v>29</v>
      </c>
      <c r="K3119" t="str">
        <f>IF(Table3[[#This Row],[Type Received]]=2,"CC",(IF(Table3[[#This Row],[Type Received]]=3,"BILL","ACH")))</f>
        <v>ACH</v>
      </c>
    </row>
    <row r="3120" spans="1:11" x14ac:dyDescent="0.25">
      <c r="A3120">
        <v>243373</v>
      </c>
      <c r="B3120" s="3">
        <v>46169</v>
      </c>
      <c r="C3120">
        <v>3</v>
      </c>
      <c r="D3120">
        <v>41.99</v>
      </c>
      <c r="E3120">
        <v>2288</v>
      </c>
      <c r="K3120" t="str">
        <f>IF(Table3[[#This Row],[Type Received]]=2,"CC",(IF(Table3[[#This Row],[Type Received]]=3,"BILL","ACH")))</f>
        <v>BILL</v>
      </c>
    </row>
    <row r="3121" spans="1:11" x14ac:dyDescent="0.25">
      <c r="A3121">
        <v>243418</v>
      </c>
      <c r="B3121" s="3">
        <v>46170</v>
      </c>
      <c r="C3121">
        <v>3</v>
      </c>
      <c r="D3121">
        <v>44.41</v>
      </c>
      <c r="E3121">
        <v>900165</v>
      </c>
      <c r="J3121" t="s">
        <v>29</v>
      </c>
      <c r="K3121" t="str">
        <f>IF(Table3[[#This Row],[Type Received]]=2,"CC",(IF(Table3[[#This Row],[Type Received]]=3,"BILL","ACH")))</f>
        <v>BILL</v>
      </c>
    </row>
    <row r="3122" spans="1:11" x14ac:dyDescent="0.25">
      <c r="A3122">
        <v>243449</v>
      </c>
      <c r="B3122" s="3">
        <v>46155</v>
      </c>
      <c r="C3122">
        <v>2</v>
      </c>
      <c r="D3122">
        <v>33.950000000000003</v>
      </c>
      <c r="F3122">
        <v>100422</v>
      </c>
      <c r="G3122" t="s">
        <v>28</v>
      </c>
      <c r="H3122">
        <v>669505450</v>
      </c>
      <c r="I3122" t="s">
        <v>29</v>
      </c>
      <c r="J3122" t="s">
        <v>29</v>
      </c>
      <c r="K3122" t="str">
        <f>IF(Table3[[#This Row],[Type Received]]=2,"CC",(IF(Table3[[#This Row],[Type Received]]=3,"BILL","ACH")))</f>
        <v>CC</v>
      </c>
    </row>
    <row r="3123" spans="1:11" x14ac:dyDescent="0.25">
      <c r="A3123">
        <v>243460</v>
      </c>
      <c r="B3123" s="3">
        <v>46157</v>
      </c>
      <c r="C3123">
        <v>1</v>
      </c>
      <c r="D3123">
        <v>113.59</v>
      </c>
      <c r="G3123" t="s">
        <v>87</v>
      </c>
      <c r="H3123">
        <v>696785930</v>
      </c>
      <c r="I3123" t="s">
        <v>29</v>
      </c>
      <c r="K3123" t="str">
        <f>IF(Table3[[#This Row],[Type Received]]=2,"CC",(IF(Table3[[#This Row],[Type Received]]=3,"BILL","ACH")))</f>
        <v>ACH</v>
      </c>
    </row>
    <row r="3124" spans="1:11" x14ac:dyDescent="0.25">
      <c r="A3124">
        <v>243473</v>
      </c>
      <c r="B3124" s="3">
        <v>46143</v>
      </c>
      <c r="C3124">
        <v>2</v>
      </c>
      <c r="D3124">
        <v>53.54</v>
      </c>
      <c r="F3124">
        <v>71046</v>
      </c>
      <c r="G3124" s="4" t="s">
        <v>28</v>
      </c>
      <c r="H3124">
        <v>528368180</v>
      </c>
      <c r="I3124" t="s">
        <v>29</v>
      </c>
      <c r="J3124" t="s">
        <v>29</v>
      </c>
      <c r="K3124" t="str">
        <f>IF(Table3[[#This Row],[Type Received]]=2,"CC",(IF(Table3[[#This Row],[Type Received]]=3,"BILL","ACH")))</f>
        <v>CC</v>
      </c>
    </row>
    <row r="3125" spans="1:11" x14ac:dyDescent="0.25">
      <c r="A3125">
        <v>243489</v>
      </c>
      <c r="B3125" s="3">
        <v>46155</v>
      </c>
      <c r="C3125">
        <v>1</v>
      </c>
      <c r="D3125">
        <v>92.91</v>
      </c>
      <c r="G3125" t="s">
        <v>90</v>
      </c>
      <c r="H3125">
        <v>669443868</v>
      </c>
      <c r="I3125" t="s">
        <v>29</v>
      </c>
      <c r="J3125" t="s">
        <v>29</v>
      </c>
      <c r="K3125" t="str">
        <f>IF(Table3[[#This Row],[Type Received]]=2,"CC",(IF(Table3[[#This Row],[Type Received]]=3,"BILL","ACH")))</f>
        <v>ACH</v>
      </c>
    </row>
    <row r="3126" spans="1:11" x14ac:dyDescent="0.25">
      <c r="A3126">
        <v>243544</v>
      </c>
      <c r="B3126" s="3">
        <v>46171</v>
      </c>
      <c r="C3126">
        <v>3</v>
      </c>
      <c r="D3126">
        <v>222.24</v>
      </c>
      <c r="E3126">
        <v>1498</v>
      </c>
      <c r="G3126" s="4"/>
      <c r="J3126" t="s">
        <v>29</v>
      </c>
      <c r="K3126" t="str">
        <f>IF(Table3[[#This Row],[Type Received]]=2,"CC",(IF(Table3[[#This Row],[Type Received]]=3,"BILL","ACH")))</f>
        <v>BILL</v>
      </c>
    </row>
    <row r="3127" spans="1:11" x14ac:dyDescent="0.25">
      <c r="A3127">
        <v>243559</v>
      </c>
      <c r="B3127" s="3">
        <v>46157</v>
      </c>
      <c r="C3127">
        <v>1</v>
      </c>
      <c r="D3127">
        <v>63.76</v>
      </c>
      <c r="G3127" t="s">
        <v>87</v>
      </c>
      <c r="H3127">
        <v>696784035</v>
      </c>
      <c r="I3127" t="s">
        <v>29</v>
      </c>
      <c r="K3127" t="str">
        <f>IF(Table3[[#This Row],[Type Received]]=2,"CC",(IF(Table3[[#This Row],[Type Received]]=3,"BILL","ACH")))</f>
        <v>ACH</v>
      </c>
    </row>
    <row r="3128" spans="1:11" x14ac:dyDescent="0.25">
      <c r="A3128">
        <v>243565</v>
      </c>
      <c r="B3128" s="3">
        <v>46155</v>
      </c>
      <c r="C3128">
        <v>2</v>
      </c>
      <c r="D3128">
        <v>56.95</v>
      </c>
      <c r="F3128">
        <v>429034</v>
      </c>
      <c r="G3128" t="s">
        <v>28</v>
      </c>
      <c r="H3128">
        <v>669491858</v>
      </c>
      <c r="I3128" t="s">
        <v>29</v>
      </c>
      <c r="K3128" t="str">
        <f>IF(Table3[[#This Row],[Type Received]]=2,"CC",(IF(Table3[[#This Row],[Type Received]]=3,"BILL","ACH")))</f>
        <v>CC</v>
      </c>
    </row>
    <row r="3129" spans="1:11" x14ac:dyDescent="0.25">
      <c r="A3129">
        <v>243567</v>
      </c>
      <c r="B3129" s="3">
        <v>46167</v>
      </c>
      <c r="C3129">
        <v>1</v>
      </c>
      <c r="D3129">
        <v>43.3</v>
      </c>
      <c r="G3129" t="s">
        <v>85</v>
      </c>
      <c r="H3129">
        <v>818388502</v>
      </c>
      <c r="I3129" t="s">
        <v>29</v>
      </c>
      <c r="J3129" t="s">
        <v>29</v>
      </c>
      <c r="K3129" t="str">
        <f>IF(Table3[[#This Row],[Type Received]]=2,"CC",(IF(Table3[[#This Row],[Type Received]]=3,"BILL","ACH")))</f>
        <v>ACH</v>
      </c>
    </row>
    <row r="3130" spans="1:11" x14ac:dyDescent="0.25">
      <c r="A3130">
        <v>243603</v>
      </c>
      <c r="B3130" s="3">
        <v>46143</v>
      </c>
      <c r="C3130">
        <v>1</v>
      </c>
      <c r="D3130">
        <v>35.380000000000003</v>
      </c>
      <c r="G3130" s="4" t="s">
        <v>84</v>
      </c>
      <c r="H3130">
        <v>522373592</v>
      </c>
      <c r="I3130" t="s">
        <v>29</v>
      </c>
      <c r="J3130" t="s">
        <v>29</v>
      </c>
      <c r="K3130" t="str">
        <f>IF(Table3[[#This Row],[Type Received]]=2,"CC",(IF(Table3[[#This Row],[Type Received]]=3,"BILL","ACH")))</f>
        <v>ACH</v>
      </c>
    </row>
    <row r="3131" spans="1:11" x14ac:dyDescent="0.25">
      <c r="A3131">
        <v>243614</v>
      </c>
      <c r="B3131" s="3">
        <v>46169</v>
      </c>
      <c r="C3131">
        <v>3</v>
      </c>
      <c r="D3131">
        <v>176.96</v>
      </c>
      <c r="E3131">
        <v>9303</v>
      </c>
      <c r="J3131" t="s">
        <v>29</v>
      </c>
      <c r="K3131" t="str">
        <f>IF(Table3[[#This Row],[Type Received]]=2,"CC",(IF(Table3[[#This Row],[Type Received]]=3,"BILL","ACH")))</f>
        <v>BILL</v>
      </c>
    </row>
    <row r="3132" spans="1:11" x14ac:dyDescent="0.25">
      <c r="A3132">
        <v>243670</v>
      </c>
      <c r="B3132" s="3">
        <v>46167</v>
      </c>
      <c r="C3132">
        <v>1</v>
      </c>
      <c r="D3132">
        <v>56.95</v>
      </c>
      <c r="G3132" t="s">
        <v>85</v>
      </c>
      <c r="H3132">
        <v>818393402</v>
      </c>
      <c r="I3132" t="s">
        <v>29</v>
      </c>
      <c r="K3132" t="str">
        <f>IF(Table3[[#This Row],[Type Received]]=2,"CC",(IF(Table3[[#This Row],[Type Received]]=3,"BILL","ACH")))</f>
        <v>ACH</v>
      </c>
    </row>
    <row r="3133" spans="1:11" x14ac:dyDescent="0.25">
      <c r="A3133">
        <v>243677</v>
      </c>
      <c r="B3133" s="3">
        <v>46170</v>
      </c>
      <c r="C3133">
        <v>3</v>
      </c>
      <c r="D3133">
        <v>131</v>
      </c>
      <c r="E3133">
        <v>923793466</v>
      </c>
      <c r="J3133" t="s">
        <v>29</v>
      </c>
      <c r="K3133" t="str">
        <f>IF(Table3[[#This Row],[Type Received]]=2,"CC",(IF(Table3[[#This Row],[Type Received]]=3,"BILL","ACH")))</f>
        <v>BILL</v>
      </c>
    </row>
    <row r="3134" spans="1:11" x14ac:dyDescent="0.25">
      <c r="A3134">
        <v>243715</v>
      </c>
      <c r="B3134" s="3">
        <v>46157</v>
      </c>
      <c r="C3134">
        <v>1</v>
      </c>
      <c r="D3134">
        <v>83.45</v>
      </c>
      <c r="G3134" t="s">
        <v>87</v>
      </c>
      <c r="H3134">
        <v>696790790</v>
      </c>
      <c r="I3134" t="s">
        <v>29</v>
      </c>
      <c r="J3134" t="s">
        <v>29</v>
      </c>
      <c r="K3134" t="str">
        <f>IF(Table3[[#This Row],[Type Received]]=2,"CC",(IF(Table3[[#This Row],[Type Received]]=3,"BILL","ACH")))</f>
        <v>ACH</v>
      </c>
    </row>
    <row r="3135" spans="1:11" x14ac:dyDescent="0.25">
      <c r="A3135">
        <v>243779</v>
      </c>
      <c r="B3135" s="3">
        <v>46157</v>
      </c>
      <c r="C3135">
        <v>1</v>
      </c>
      <c r="D3135">
        <v>40.99</v>
      </c>
      <c r="G3135" t="s">
        <v>87</v>
      </c>
      <c r="H3135">
        <v>696794679</v>
      </c>
      <c r="I3135" t="s">
        <v>29</v>
      </c>
      <c r="J3135" t="s">
        <v>29</v>
      </c>
      <c r="K3135" t="str">
        <f>IF(Table3[[#This Row],[Type Received]]=2,"CC",(IF(Table3[[#This Row],[Type Received]]=3,"BILL","ACH")))</f>
        <v>ACH</v>
      </c>
    </row>
    <row r="3136" spans="1:11" x14ac:dyDescent="0.25">
      <c r="A3136">
        <v>243798</v>
      </c>
      <c r="B3136" s="3">
        <v>46163</v>
      </c>
      <c r="C3136">
        <v>2</v>
      </c>
      <c r="D3136">
        <v>45.39</v>
      </c>
      <c r="F3136">
        <v>523423</v>
      </c>
      <c r="G3136" t="s">
        <v>28</v>
      </c>
      <c r="H3136">
        <v>773378291</v>
      </c>
      <c r="I3136" t="s">
        <v>29</v>
      </c>
      <c r="J3136" t="s">
        <v>29</v>
      </c>
      <c r="K3136" t="str">
        <f>IF(Table3[[#This Row],[Type Received]]=2,"CC",(IF(Table3[[#This Row],[Type Received]]=3,"BILL","ACH")))</f>
        <v>CC</v>
      </c>
    </row>
    <row r="3137" spans="1:11" x14ac:dyDescent="0.25">
      <c r="A3137">
        <v>243844</v>
      </c>
      <c r="B3137" s="3">
        <v>46143</v>
      </c>
      <c r="C3137">
        <v>2</v>
      </c>
      <c r="D3137">
        <v>105.79</v>
      </c>
      <c r="F3137">
        <v>15655</v>
      </c>
      <c r="G3137" t="s">
        <v>28</v>
      </c>
      <c r="H3137">
        <v>525121271</v>
      </c>
      <c r="I3137" t="s">
        <v>29</v>
      </c>
      <c r="J3137" t="s">
        <v>29</v>
      </c>
      <c r="K3137" t="str">
        <f>IF(Table3[[#This Row],[Type Received]]=2,"CC",(IF(Table3[[#This Row],[Type Received]]=3,"BILL","ACH")))</f>
        <v>CC</v>
      </c>
    </row>
    <row r="3138" spans="1:11" x14ac:dyDescent="0.25">
      <c r="A3138">
        <v>243874</v>
      </c>
      <c r="B3138" s="3">
        <v>46143</v>
      </c>
      <c r="C3138">
        <v>1</v>
      </c>
      <c r="D3138">
        <v>29.33</v>
      </c>
      <c r="G3138" s="4" t="s">
        <v>84</v>
      </c>
      <c r="H3138">
        <v>522379414</v>
      </c>
      <c r="I3138" t="s">
        <v>29</v>
      </c>
      <c r="J3138" t="s">
        <v>29</v>
      </c>
      <c r="K3138" t="str">
        <f>IF(Table3[[#This Row],[Type Received]]=2,"CC",(IF(Table3[[#This Row],[Type Received]]=3,"BILL","ACH")))</f>
        <v>ACH</v>
      </c>
    </row>
    <row r="3139" spans="1:11" x14ac:dyDescent="0.25">
      <c r="A3139">
        <v>243875</v>
      </c>
      <c r="B3139" s="3">
        <v>46157</v>
      </c>
      <c r="C3139">
        <v>1</v>
      </c>
      <c r="D3139">
        <v>61.78</v>
      </c>
      <c r="G3139" t="s">
        <v>87</v>
      </c>
      <c r="H3139">
        <v>696795675</v>
      </c>
      <c r="I3139" t="s">
        <v>29</v>
      </c>
      <c r="J3139" t="s">
        <v>29</v>
      </c>
      <c r="K3139" t="str">
        <f>IF(Table3[[#This Row],[Type Received]]=2,"CC",(IF(Table3[[#This Row],[Type Received]]=3,"BILL","ACH")))</f>
        <v>ACH</v>
      </c>
    </row>
    <row r="3140" spans="1:11" x14ac:dyDescent="0.25">
      <c r="A3140">
        <v>243930</v>
      </c>
      <c r="B3140" s="3">
        <v>46167</v>
      </c>
      <c r="C3140">
        <v>1</v>
      </c>
      <c r="D3140">
        <v>77.069999999999993</v>
      </c>
      <c r="G3140" t="s">
        <v>85</v>
      </c>
      <c r="H3140">
        <v>818386550</v>
      </c>
      <c r="I3140" t="s">
        <v>29</v>
      </c>
      <c r="K3140" t="str">
        <f>IF(Table3[[#This Row],[Type Received]]=2,"CC",(IF(Table3[[#This Row],[Type Received]]=3,"BILL","ACH")))</f>
        <v>ACH</v>
      </c>
    </row>
    <row r="3141" spans="1:11" x14ac:dyDescent="0.25">
      <c r="A3141">
        <v>243974</v>
      </c>
      <c r="B3141" s="3">
        <v>46156</v>
      </c>
      <c r="C3141">
        <v>3</v>
      </c>
      <c r="D3141">
        <v>94.13</v>
      </c>
      <c r="E3141">
        <v>3549</v>
      </c>
      <c r="K3141" t="str">
        <f>IF(Table3[[#This Row],[Type Received]]=2,"CC",(IF(Table3[[#This Row],[Type Received]]=3,"BILL","ACH")))</f>
        <v>BILL</v>
      </c>
    </row>
    <row r="3142" spans="1:11" x14ac:dyDescent="0.25">
      <c r="A3142">
        <v>244025</v>
      </c>
      <c r="B3142" s="3">
        <v>46167</v>
      </c>
      <c r="C3142">
        <v>1</v>
      </c>
      <c r="D3142">
        <v>31.53</v>
      </c>
      <c r="G3142" t="s">
        <v>85</v>
      </c>
      <c r="H3142">
        <v>818393420</v>
      </c>
      <c r="I3142" t="s">
        <v>29</v>
      </c>
      <c r="J3142" t="s">
        <v>29</v>
      </c>
      <c r="K3142" t="str">
        <f>IF(Table3[[#This Row],[Type Received]]=2,"CC",(IF(Table3[[#This Row],[Type Received]]=3,"BILL","ACH")))</f>
        <v>ACH</v>
      </c>
    </row>
    <row r="3143" spans="1:11" x14ac:dyDescent="0.25">
      <c r="A3143">
        <v>244026</v>
      </c>
      <c r="B3143" s="3">
        <v>46157</v>
      </c>
      <c r="C3143">
        <v>1</v>
      </c>
      <c r="D3143">
        <v>106</v>
      </c>
      <c r="G3143" t="s">
        <v>87</v>
      </c>
      <c r="H3143">
        <v>696797648</v>
      </c>
      <c r="I3143" t="s">
        <v>29</v>
      </c>
      <c r="K3143" t="str">
        <f>IF(Table3[[#This Row],[Type Received]]=2,"CC",(IF(Table3[[#This Row],[Type Received]]=3,"BILL","ACH")))</f>
        <v>ACH</v>
      </c>
    </row>
    <row r="3144" spans="1:11" x14ac:dyDescent="0.25">
      <c r="A3144">
        <v>244105</v>
      </c>
      <c r="B3144" s="3">
        <v>46157</v>
      </c>
      <c r="C3144">
        <v>1</v>
      </c>
      <c r="D3144">
        <v>76.95</v>
      </c>
      <c r="G3144" t="s">
        <v>87</v>
      </c>
      <c r="H3144">
        <v>696783093</v>
      </c>
      <c r="I3144" t="s">
        <v>29</v>
      </c>
      <c r="K3144" t="str">
        <f>IF(Table3[[#This Row],[Type Received]]=2,"CC",(IF(Table3[[#This Row],[Type Received]]=3,"BILL","ACH")))</f>
        <v>ACH</v>
      </c>
    </row>
    <row r="3145" spans="1:11" x14ac:dyDescent="0.25">
      <c r="A3145">
        <v>244136</v>
      </c>
      <c r="B3145" s="3">
        <v>46161</v>
      </c>
      <c r="C3145">
        <v>3</v>
      </c>
      <c r="D3145">
        <v>98.82</v>
      </c>
      <c r="E3145">
        <v>5693</v>
      </c>
      <c r="K3145" t="str">
        <f>IF(Table3[[#This Row],[Type Received]]=2,"CC",(IF(Table3[[#This Row],[Type Received]]=3,"BILL","ACH")))</f>
        <v>BILL</v>
      </c>
    </row>
    <row r="3146" spans="1:11" x14ac:dyDescent="0.25">
      <c r="A3146">
        <v>244141</v>
      </c>
      <c r="B3146" s="3">
        <v>46157</v>
      </c>
      <c r="C3146">
        <v>1</v>
      </c>
      <c r="D3146">
        <v>55.84</v>
      </c>
      <c r="G3146" t="s">
        <v>87</v>
      </c>
      <c r="H3146">
        <v>696790848</v>
      </c>
      <c r="I3146" t="s">
        <v>29</v>
      </c>
      <c r="J3146" t="s">
        <v>29</v>
      </c>
      <c r="K3146" t="str">
        <f>IF(Table3[[#This Row],[Type Received]]=2,"CC",(IF(Table3[[#This Row],[Type Received]]=3,"BILL","ACH")))</f>
        <v>ACH</v>
      </c>
    </row>
    <row r="3147" spans="1:11" x14ac:dyDescent="0.25">
      <c r="A3147">
        <v>244153</v>
      </c>
      <c r="B3147" s="3">
        <v>46143</v>
      </c>
      <c r="C3147">
        <v>2</v>
      </c>
      <c r="D3147">
        <v>131.41</v>
      </c>
      <c r="F3147">
        <v>1239</v>
      </c>
      <c r="G3147" t="s">
        <v>28</v>
      </c>
      <c r="H3147">
        <v>522367874</v>
      </c>
      <c r="I3147" t="s">
        <v>29</v>
      </c>
      <c r="K3147" t="str">
        <f>IF(Table3[[#This Row],[Type Received]]=2,"CC",(IF(Table3[[#This Row],[Type Received]]=3,"BILL","ACH")))</f>
        <v>CC</v>
      </c>
    </row>
    <row r="3148" spans="1:11" x14ac:dyDescent="0.25">
      <c r="A3148">
        <v>244191</v>
      </c>
      <c r="B3148" s="3">
        <v>46167</v>
      </c>
      <c r="C3148">
        <v>1</v>
      </c>
      <c r="D3148">
        <v>70.25</v>
      </c>
      <c r="G3148" t="s">
        <v>85</v>
      </c>
      <c r="H3148">
        <v>818399201</v>
      </c>
      <c r="I3148" t="s">
        <v>29</v>
      </c>
      <c r="J3148" t="s">
        <v>29</v>
      </c>
      <c r="K3148" t="str">
        <f>IF(Table3[[#This Row],[Type Received]]=2,"CC",(IF(Table3[[#This Row],[Type Received]]=3,"BILL","ACH")))</f>
        <v>ACH</v>
      </c>
    </row>
    <row r="3149" spans="1:11" x14ac:dyDescent="0.25">
      <c r="A3149">
        <v>249013</v>
      </c>
      <c r="B3149" s="3">
        <v>46169</v>
      </c>
      <c r="C3149">
        <v>1</v>
      </c>
      <c r="D3149">
        <v>56.56</v>
      </c>
      <c r="G3149" t="s">
        <v>117</v>
      </c>
      <c r="H3149">
        <v>840875439</v>
      </c>
      <c r="I3149" t="s">
        <v>29</v>
      </c>
      <c r="K3149" t="str">
        <f>IF(Table3[[#This Row],[Type Received]]=2,"CC",(IF(Table3[[#This Row],[Type Received]]=3,"BILL","ACH")))</f>
        <v>ACH</v>
      </c>
    </row>
    <row r="3150" spans="1:11" x14ac:dyDescent="0.25">
      <c r="A3150">
        <v>244418</v>
      </c>
      <c r="B3150" s="3">
        <v>46143</v>
      </c>
      <c r="C3150">
        <v>1</v>
      </c>
      <c r="D3150">
        <v>120.52</v>
      </c>
      <c r="G3150" t="s">
        <v>84</v>
      </c>
      <c r="H3150">
        <v>522365888</v>
      </c>
      <c r="I3150" t="s">
        <v>29</v>
      </c>
      <c r="J3150" t="s">
        <v>29</v>
      </c>
      <c r="K3150" t="str">
        <f>IF(Table3[[#This Row],[Type Received]]=2,"CC",(IF(Table3[[#This Row],[Type Received]]=3,"BILL","ACH")))</f>
        <v>ACH</v>
      </c>
    </row>
    <row r="3151" spans="1:11" x14ac:dyDescent="0.25">
      <c r="A3151">
        <v>244430</v>
      </c>
      <c r="B3151" s="3">
        <v>46157</v>
      </c>
      <c r="C3151">
        <v>1</v>
      </c>
      <c r="D3151">
        <v>90.27</v>
      </c>
      <c r="G3151" t="s">
        <v>87</v>
      </c>
      <c r="H3151">
        <v>696792790</v>
      </c>
      <c r="I3151" t="s">
        <v>29</v>
      </c>
      <c r="J3151" t="s">
        <v>29</v>
      </c>
      <c r="K3151" t="str">
        <f>IF(Table3[[#This Row],[Type Received]]=2,"CC",(IF(Table3[[#This Row],[Type Received]]=3,"BILL","ACH")))</f>
        <v>ACH</v>
      </c>
    </row>
    <row r="3152" spans="1:11" x14ac:dyDescent="0.25">
      <c r="A3152">
        <v>244457</v>
      </c>
      <c r="B3152" s="3">
        <v>46167</v>
      </c>
      <c r="C3152">
        <v>1</v>
      </c>
      <c r="D3152">
        <v>40.479999999999997</v>
      </c>
      <c r="G3152" t="s">
        <v>85</v>
      </c>
      <c r="H3152">
        <v>818404105</v>
      </c>
      <c r="I3152" t="s">
        <v>29</v>
      </c>
      <c r="J3152" t="s">
        <v>29</v>
      </c>
      <c r="K3152" t="str">
        <f>IF(Table3[[#This Row],[Type Received]]=2,"CC",(IF(Table3[[#This Row],[Type Received]]=3,"BILL","ACH")))</f>
        <v>ACH</v>
      </c>
    </row>
    <row r="3153" spans="1:11" x14ac:dyDescent="0.25">
      <c r="A3153">
        <v>244459</v>
      </c>
      <c r="B3153" s="3">
        <v>46157</v>
      </c>
      <c r="C3153">
        <v>1</v>
      </c>
      <c r="D3153">
        <v>91.81</v>
      </c>
      <c r="G3153" t="s">
        <v>87</v>
      </c>
      <c r="H3153">
        <v>696804419</v>
      </c>
      <c r="I3153" t="s">
        <v>29</v>
      </c>
      <c r="K3153" t="str">
        <f>IF(Table3[[#This Row],[Type Received]]=2,"CC",(IF(Table3[[#This Row],[Type Received]]=3,"BILL","ACH")))</f>
        <v>ACH</v>
      </c>
    </row>
    <row r="3154" spans="1:11" x14ac:dyDescent="0.25">
      <c r="A3154">
        <v>244471</v>
      </c>
      <c r="B3154" s="3">
        <v>46167</v>
      </c>
      <c r="C3154">
        <v>1</v>
      </c>
      <c r="D3154">
        <v>59.14</v>
      </c>
      <c r="G3154" t="s">
        <v>85</v>
      </c>
      <c r="H3154">
        <v>818403123</v>
      </c>
      <c r="I3154" t="s">
        <v>29</v>
      </c>
      <c r="J3154" t="s">
        <v>29</v>
      </c>
      <c r="K3154" t="str">
        <f>IF(Table3[[#This Row],[Type Received]]=2,"CC",(IF(Table3[[#This Row],[Type Received]]=3,"BILL","ACH")))</f>
        <v>ACH</v>
      </c>
    </row>
    <row r="3155" spans="1:11" x14ac:dyDescent="0.25">
      <c r="A3155">
        <v>244472</v>
      </c>
      <c r="B3155" s="3">
        <v>46167</v>
      </c>
      <c r="C3155">
        <v>1</v>
      </c>
      <c r="D3155">
        <v>94.45</v>
      </c>
      <c r="G3155" t="s">
        <v>85</v>
      </c>
      <c r="H3155">
        <v>818404125</v>
      </c>
      <c r="I3155" t="s">
        <v>29</v>
      </c>
      <c r="J3155" t="s">
        <v>29</v>
      </c>
      <c r="K3155" t="str">
        <f>IF(Table3[[#This Row],[Type Received]]=2,"CC",(IF(Table3[[#This Row],[Type Received]]=3,"BILL","ACH")))</f>
        <v>ACH</v>
      </c>
    </row>
    <row r="3156" spans="1:11" x14ac:dyDescent="0.25">
      <c r="A3156">
        <v>244503</v>
      </c>
      <c r="B3156" s="3">
        <v>46143</v>
      </c>
      <c r="C3156">
        <v>1</v>
      </c>
      <c r="D3156">
        <v>51.55</v>
      </c>
      <c r="G3156" t="s">
        <v>84</v>
      </c>
      <c r="H3156">
        <v>522378575</v>
      </c>
      <c r="I3156" t="s">
        <v>29</v>
      </c>
      <c r="K3156" t="str">
        <f>IF(Table3[[#This Row],[Type Received]]=2,"CC",(IF(Table3[[#This Row],[Type Received]]=3,"BILL","ACH")))</f>
        <v>ACH</v>
      </c>
    </row>
    <row r="3157" spans="1:11" x14ac:dyDescent="0.25">
      <c r="A3157">
        <v>244514</v>
      </c>
      <c r="B3157" s="3">
        <v>46167</v>
      </c>
      <c r="C3157">
        <v>1</v>
      </c>
      <c r="D3157">
        <v>88.07</v>
      </c>
      <c r="G3157" s="4" t="s">
        <v>85</v>
      </c>
      <c r="H3157">
        <v>818387603</v>
      </c>
      <c r="I3157" t="s">
        <v>29</v>
      </c>
      <c r="J3157" t="s">
        <v>29</v>
      </c>
      <c r="K3157" t="str">
        <f>IF(Table3[[#This Row],[Type Received]]=2,"CC",(IF(Table3[[#This Row],[Type Received]]=3,"BILL","ACH")))</f>
        <v>ACH</v>
      </c>
    </row>
    <row r="3158" spans="1:11" x14ac:dyDescent="0.25">
      <c r="A3158">
        <v>244540</v>
      </c>
      <c r="B3158" s="3">
        <v>46168</v>
      </c>
      <c r="C3158">
        <v>3</v>
      </c>
      <c r="D3158">
        <v>55.41</v>
      </c>
      <c r="E3158">
        <v>675</v>
      </c>
      <c r="J3158" t="s">
        <v>29</v>
      </c>
      <c r="K3158" t="str">
        <f>IF(Table3[[#This Row],[Type Received]]=2,"CC",(IF(Table3[[#This Row],[Type Received]]=3,"BILL","ACH")))</f>
        <v>BILL</v>
      </c>
    </row>
    <row r="3159" spans="1:11" x14ac:dyDescent="0.25">
      <c r="A3159">
        <v>244540</v>
      </c>
      <c r="B3159" s="3">
        <v>46146</v>
      </c>
      <c r="C3159">
        <v>3</v>
      </c>
      <c r="D3159">
        <v>55.41</v>
      </c>
      <c r="E3159">
        <v>664</v>
      </c>
      <c r="J3159" t="s">
        <v>29</v>
      </c>
      <c r="K3159" t="str">
        <f>IF(Table3[[#This Row],[Type Received]]=2,"CC",(IF(Table3[[#This Row],[Type Received]]=3,"BILL","ACH")))</f>
        <v>BILL</v>
      </c>
    </row>
    <row r="3160" spans="1:11" x14ac:dyDescent="0.25">
      <c r="A3160">
        <v>244550</v>
      </c>
      <c r="B3160" s="3">
        <v>46157</v>
      </c>
      <c r="C3160">
        <v>1</v>
      </c>
      <c r="D3160">
        <v>106</v>
      </c>
      <c r="G3160" t="s">
        <v>87</v>
      </c>
      <c r="H3160">
        <v>696809326</v>
      </c>
      <c r="I3160" t="s">
        <v>29</v>
      </c>
      <c r="K3160" t="str">
        <f>IF(Table3[[#This Row],[Type Received]]=2,"CC",(IF(Table3[[#This Row],[Type Received]]=3,"BILL","ACH")))</f>
        <v>ACH</v>
      </c>
    </row>
    <row r="3161" spans="1:11" x14ac:dyDescent="0.25">
      <c r="A3161">
        <v>244577</v>
      </c>
      <c r="B3161" s="3">
        <v>46143</v>
      </c>
      <c r="C3161">
        <v>1</v>
      </c>
      <c r="D3161">
        <v>76.95</v>
      </c>
      <c r="G3161" t="s">
        <v>84</v>
      </c>
      <c r="H3161">
        <v>522386291</v>
      </c>
      <c r="I3161" t="s">
        <v>29</v>
      </c>
      <c r="J3161" t="s">
        <v>29</v>
      </c>
      <c r="K3161" t="str">
        <f>IF(Table3[[#This Row],[Type Received]]=2,"CC",(IF(Table3[[#This Row],[Type Received]]=3,"BILL","ACH")))</f>
        <v>ACH</v>
      </c>
    </row>
    <row r="3162" spans="1:11" x14ac:dyDescent="0.25">
      <c r="A3162">
        <v>244609</v>
      </c>
      <c r="B3162" s="3">
        <v>46146</v>
      </c>
      <c r="C3162">
        <v>3</v>
      </c>
      <c r="D3162">
        <v>141.97999999999999</v>
      </c>
      <c r="E3162">
        <v>7243</v>
      </c>
      <c r="J3162" t="s">
        <v>29</v>
      </c>
      <c r="K3162" t="str">
        <f>IF(Table3[[#This Row],[Type Received]]=2,"CC",(IF(Table3[[#This Row],[Type Received]]=3,"BILL","ACH")))</f>
        <v>BILL</v>
      </c>
    </row>
    <row r="3163" spans="1:11" x14ac:dyDescent="0.25">
      <c r="A3163">
        <v>244217</v>
      </c>
      <c r="B3163" s="3">
        <v>46148</v>
      </c>
      <c r="C3163">
        <v>2</v>
      </c>
      <c r="D3163">
        <v>98.16</v>
      </c>
      <c r="F3163">
        <v>2958</v>
      </c>
      <c r="G3163" t="s">
        <v>28</v>
      </c>
      <c r="H3163">
        <v>585873528</v>
      </c>
      <c r="I3163" t="s">
        <v>29</v>
      </c>
      <c r="J3163" t="s">
        <v>29</v>
      </c>
      <c r="K3163" t="str">
        <f>IF(Table3[[#This Row],[Type Received]]=2,"CC",(IF(Table3[[#This Row],[Type Received]]=3,"BILL","ACH")))</f>
        <v>CC</v>
      </c>
    </row>
    <row r="3164" spans="1:11" x14ac:dyDescent="0.25">
      <c r="A3164">
        <v>244234</v>
      </c>
      <c r="B3164" s="3">
        <v>46157</v>
      </c>
      <c r="C3164">
        <v>1</v>
      </c>
      <c r="D3164">
        <v>88.95</v>
      </c>
      <c r="G3164" t="s">
        <v>87</v>
      </c>
      <c r="H3164">
        <v>696786021</v>
      </c>
      <c r="I3164" t="s">
        <v>29</v>
      </c>
      <c r="J3164" t="s">
        <v>29</v>
      </c>
      <c r="K3164" t="str">
        <f>IF(Table3[[#This Row],[Type Received]]=2,"CC",(IF(Table3[[#This Row],[Type Received]]=3,"BILL","ACH")))</f>
        <v>ACH</v>
      </c>
    </row>
    <row r="3165" spans="1:11" x14ac:dyDescent="0.25">
      <c r="A3165">
        <v>244260</v>
      </c>
      <c r="B3165" s="3">
        <v>46167</v>
      </c>
      <c r="C3165">
        <v>1</v>
      </c>
      <c r="D3165">
        <v>51.22</v>
      </c>
      <c r="G3165" s="4" t="s">
        <v>85</v>
      </c>
      <c r="H3165">
        <v>818377951</v>
      </c>
      <c r="I3165" t="s">
        <v>29</v>
      </c>
      <c r="J3165" t="s">
        <v>29</v>
      </c>
      <c r="K3165" t="str">
        <f>IF(Table3[[#This Row],[Type Received]]=2,"CC",(IF(Table3[[#This Row],[Type Received]]=3,"BILL","ACH")))</f>
        <v>ACH</v>
      </c>
    </row>
    <row r="3166" spans="1:11" x14ac:dyDescent="0.25">
      <c r="A3166">
        <v>244288</v>
      </c>
      <c r="B3166" s="3">
        <v>46157</v>
      </c>
      <c r="C3166">
        <v>1</v>
      </c>
      <c r="D3166">
        <v>74.87</v>
      </c>
      <c r="G3166" t="s">
        <v>87</v>
      </c>
      <c r="H3166">
        <v>696808365</v>
      </c>
      <c r="I3166" t="s">
        <v>29</v>
      </c>
      <c r="J3166" t="s">
        <v>29</v>
      </c>
      <c r="K3166" t="str">
        <f>IF(Table3[[#This Row],[Type Received]]=2,"CC",(IF(Table3[[#This Row],[Type Received]]=3,"BILL","ACH")))</f>
        <v>ACH</v>
      </c>
    </row>
    <row r="3167" spans="1:11" x14ac:dyDescent="0.25">
      <c r="A3167">
        <v>244327</v>
      </c>
      <c r="B3167" s="3">
        <v>46167</v>
      </c>
      <c r="C3167">
        <v>1</v>
      </c>
      <c r="D3167">
        <v>52.54</v>
      </c>
      <c r="G3167" t="s">
        <v>85</v>
      </c>
      <c r="H3167">
        <v>818386578</v>
      </c>
      <c r="I3167" t="s">
        <v>29</v>
      </c>
      <c r="J3167" t="s">
        <v>29</v>
      </c>
      <c r="K3167" t="str">
        <f>IF(Table3[[#This Row],[Type Received]]=2,"CC",(IF(Table3[[#This Row],[Type Received]]=3,"BILL","ACH")))</f>
        <v>ACH</v>
      </c>
    </row>
    <row r="3168" spans="1:11" x14ac:dyDescent="0.25">
      <c r="A3168">
        <v>244343</v>
      </c>
      <c r="B3168" s="3">
        <v>46168</v>
      </c>
      <c r="C3168">
        <v>3</v>
      </c>
      <c r="D3168">
        <v>57.95</v>
      </c>
      <c r="E3168">
        <v>2247474655</v>
      </c>
      <c r="G3168" s="4"/>
      <c r="J3168" t="s">
        <v>29</v>
      </c>
      <c r="K3168" t="str">
        <f>IF(Table3[[#This Row],[Type Received]]=2,"CC",(IF(Table3[[#This Row],[Type Received]]=3,"BILL","ACH")))</f>
        <v>BILL</v>
      </c>
    </row>
    <row r="3169" spans="1:11" x14ac:dyDescent="0.25">
      <c r="A3169">
        <v>244396</v>
      </c>
      <c r="B3169" s="3">
        <v>46143</v>
      </c>
      <c r="C3169">
        <v>1</v>
      </c>
      <c r="D3169">
        <v>139.99</v>
      </c>
      <c r="G3169" t="s">
        <v>84</v>
      </c>
      <c r="H3169">
        <v>522383321</v>
      </c>
      <c r="I3169" t="s">
        <v>29</v>
      </c>
      <c r="J3169" t="s">
        <v>29</v>
      </c>
      <c r="K3169" t="str">
        <f>IF(Table3[[#This Row],[Type Received]]=2,"CC",(IF(Table3[[#This Row],[Type Received]]=3,"BILL","ACH")))</f>
        <v>ACH</v>
      </c>
    </row>
    <row r="3170" spans="1:11" x14ac:dyDescent="0.25">
      <c r="A3170">
        <v>244632</v>
      </c>
      <c r="B3170" s="3">
        <v>46157</v>
      </c>
      <c r="C3170">
        <v>2</v>
      </c>
      <c r="D3170">
        <v>30.87</v>
      </c>
      <c r="F3170">
        <v>893483</v>
      </c>
      <c r="G3170" t="s">
        <v>28</v>
      </c>
      <c r="H3170">
        <v>696634677</v>
      </c>
      <c r="I3170" t="s">
        <v>29</v>
      </c>
      <c r="K3170" t="str">
        <f>IF(Table3[[#This Row],[Type Received]]=2,"CC",(IF(Table3[[#This Row],[Type Received]]=3,"BILL","ACH")))</f>
        <v>CC</v>
      </c>
    </row>
    <row r="3171" spans="1:11" x14ac:dyDescent="0.25">
      <c r="A3171">
        <v>244634</v>
      </c>
      <c r="B3171" s="3">
        <v>46156</v>
      </c>
      <c r="C3171">
        <v>3</v>
      </c>
      <c r="D3171">
        <v>57.95</v>
      </c>
      <c r="E3171">
        <v>58142157</v>
      </c>
      <c r="K3171" t="str">
        <f>IF(Table3[[#This Row],[Type Received]]=2,"CC",(IF(Table3[[#This Row],[Type Received]]=3,"BILL","ACH")))</f>
        <v>BILL</v>
      </c>
    </row>
    <row r="3172" spans="1:11" x14ac:dyDescent="0.25">
      <c r="A3172">
        <v>244651</v>
      </c>
      <c r="B3172" s="3">
        <v>46157</v>
      </c>
      <c r="C3172">
        <v>2</v>
      </c>
      <c r="D3172">
        <v>68.05</v>
      </c>
      <c r="F3172" t="s">
        <v>278</v>
      </c>
      <c r="G3172" t="s">
        <v>28</v>
      </c>
      <c r="H3172">
        <v>696799724</v>
      </c>
      <c r="I3172" t="s">
        <v>29</v>
      </c>
      <c r="J3172" t="s">
        <v>29</v>
      </c>
      <c r="K3172" t="str">
        <f>IF(Table3[[#This Row],[Type Received]]=2,"CC",(IF(Table3[[#This Row],[Type Received]]=3,"BILL","ACH")))</f>
        <v>CC</v>
      </c>
    </row>
    <row r="3173" spans="1:11" x14ac:dyDescent="0.25">
      <c r="A3173">
        <v>244657</v>
      </c>
      <c r="B3173" s="3">
        <v>46155</v>
      </c>
      <c r="C3173">
        <v>2</v>
      </c>
      <c r="D3173">
        <v>56.95</v>
      </c>
      <c r="F3173" t="s">
        <v>279</v>
      </c>
      <c r="G3173" t="s">
        <v>28</v>
      </c>
      <c r="H3173">
        <v>669503558</v>
      </c>
      <c r="I3173" t="s">
        <v>29</v>
      </c>
      <c r="K3173" t="str">
        <f>IF(Table3[[#This Row],[Type Received]]=2,"CC",(IF(Table3[[#This Row],[Type Received]]=3,"BILL","ACH")))</f>
        <v>CC</v>
      </c>
    </row>
    <row r="3174" spans="1:11" x14ac:dyDescent="0.25">
      <c r="A3174">
        <v>244667</v>
      </c>
      <c r="B3174" s="3">
        <v>46157</v>
      </c>
      <c r="C3174">
        <v>1</v>
      </c>
      <c r="D3174">
        <v>40.659999999999997</v>
      </c>
      <c r="G3174" s="4" t="s">
        <v>87</v>
      </c>
      <c r="H3174">
        <v>696787054</v>
      </c>
      <c r="I3174" t="s">
        <v>29</v>
      </c>
      <c r="K3174" t="str">
        <f>IF(Table3[[#This Row],[Type Received]]=2,"CC",(IF(Table3[[#This Row],[Type Received]]=3,"BILL","ACH")))</f>
        <v>ACH</v>
      </c>
    </row>
    <row r="3175" spans="1:11" x14ac:dyDescent="0.25">
      <c r="A3175">
        <v>244669</v>
      </c>
      <c r="B3175" s="3">
        <v>46167</v>
      </c>
      <c r="C3175">
        <v>1</v>
      </c>
      <c r="D3175">
        <v>117.22</v>
      </c>
      <c r="G3175" s="4" t="s">
        <v>85</v>
      </c>
      <c r="H3175">
        <v>818404139</v>
      </c>
      <c r="I3175" t="s">
        <v>29</v>
      </c>
      <c r="J3175" t="s">
        <v>29</v>
      </c>
      <c r="K3175" t="str">
        <f>IF(Table3[[#This Row],[Type Received]]=2,"CC",(IF(Table3[[#This Row],[Type Received]]=3,"BILL","ACH")))</f>
        <v>ACH</v>
      </c>
    </row>
    <row r="3176" spans="1:11" x14ac:dyDescent="0.25">
      <c r="A3176">
        <v>244704</v>
      </c>
      <c r="B3176" s="3">
        <v>46143</v>
      </c>
      <c r="C3176">
        <v>1</v>
      </c>
      <c r="D3176">
        <v>145.93</v>
      </c>
      <c r="G3176" t="s">
        <v>84</v>
      </c>
      <c r="H3176">
        <v>522365948</v>
      </c>
      <c r="I3176" t="s">
        <v>29</v>
      </c>
      <c r="J3176" t="s">
        <v>29</v>
      </c>
      <c r="K3176" t="str">
        <f>IF(Table3[[#This Row],[Type Received]]=2,"CC",(IF(Table3[[#This Row],[Type Received]]=3,"BILL","ACH")))</f>
        <v>ACH</v>
      </c>
    </row>
    <row r="3177" spans="1:11" x14ac:dyDescent="0.25">
      <c r="A3177">
        <v>244711</v>
      </c>
      <c r="B3177" s="3">
        <v>46157</v>
      </c>
      <c r="C3177">
        <v>1</v>
      </c>
      <c r="D3177">
        <v>38.57</v>
      </c>
      <c r="G3177" t="s">
        <v>87</v>
      </c>
      <c r="H3177">
        <v>696792833</v>
      </c>
      <c r="I3177" t="s">
        <v>29</v>
      </c>
      <c r="J3177" t="s">
        <v>29</v>
      </c>
      <c r="K3177" t="str">
        <f>IF(Table3[[#This Row],[Type Received]]=2,"CC",(IF(Table3[[#This Row],[Type Received]]=3,"BILL","ACH")))</f>
        <v>ACH</v>
      </c>
    </row>
    <row r="3178" spans="1:11" x14ac:dyDescent="0.25">
      <c r="A3178">
        <v>244788</v>
      </c>
      <c r="B3178" s="3">
        <v>46167</v>
      </c>
      <c r="C3178">
        <v>1</v>
      </c>
      <c r="D3178">
        <v>19.649999999999999</v>
      </c>
      <c r="G3178" t="s">
        <v>85</v>
      </c>
      <c r="H3178">
        <v>818383727</v>
      </c>
      <c r="I3178" t="s">
        <v>29</v>
      </c>
      <c r="J3178" t="s">
        <v>29</v>
      </c>
      <c r="K3178" t="str">
        <f>IF(Table3[[#This Row],[Type Received]]=2,"CC",(IF(Table3[[#This Row],[Type Received]]=3,"BILL","ACH")))</f>
        <v>ACH</v>
      </c>
    </row>
    <row r="3179" spans="1:11" x14ac:dyDescent="0.25">
      <c r="A3179">
        <v>244792</v>
      </c>
      <c r="B3179" s="3">
        <v>46157</v>
      </c>
      <c r="C3179">
        <v>1</v>
      </c>
      <c r="D3179">
        <v>43.85</v>
      </c>
      <c r="G3179" t="s">
        <v>87</v>
      </c>
      <c r="H3179">
        <v>696800710</v>
      </c>
      <c r="I3179" t="s">
        <v>29</v>
      </c>
      <c r="K3179" t="str">
        <f>IF(Table3[[#This Row],[Type Received]]=2,"CC",(IF(Table3[[#This Row],[Type Received]]=3,"BILL","ACH")))</f>
        <v>ACH</v>
      </c>
    </row>
    <row r="3180" spans="1:11" x14ac:dyDescent="0.25">
      <c r="A3180">
        <v>244800</v>
      </c>
      <c r="B3180" s="3">
        <v>46168</v>
      </c>
      <c r="C3180">
        <v>3</v>
      </c>
      <c r="D3180">
        <v>153.66999999999999</v>
      </c>
      <c r="E3180">
        <v>485</v>
      </c>
      <c r="K3180" t="str">
        <f>IF(Table3[[#This Row],[Type Received]]=2,"CC",(IF(Table3[[#This Row],[Type Received]]=3,"BILL","ACH")))</f>
        <v>BILL</v>
      </c>
    </row>
    <row r="3181" spans="1:11" x14ac:dyDescent="0.25">
      <c r="A3181">
        <v>244813</v>
      </c>
      <c r="B3181" s="3">
        <v>46146</v>
      </c>
      <c r="C3181">
        <v>2</v>
      </c>
      <c r="D3181">
        <v>46.39</v>
      </c>
      <c r="F3181">
        <v>806568</v>
      </c>
      <c r="G3181" t="s">
        <v>28</v>
      </c>
      <c r="H3181">
        <v>561508195</v>
      </c>
      <c r="I3181" t="s">
        <v>29</v>
      </c>
      <c r="J3181" t="s">
        <v>29</v>
      </c>
      <c r="K3181" t="str">
        <f>IF(Table3[[#This Row],[Type Received]]=2,"CC",(IF(Table3[[#This Row],[Type Received]]=3,"BILL","ACH")))</f>
        <v>CC</v>
      </c>
    </row>
    <row r="3182" spans="1:11" x14ac:dyDescent="0.25">
      <c r="A3182">
        <v>244838</v>
      </c>
      <c r="B3182" s="3">
        <v>46155</v>
      </c>
      <c r="C3182">
        <v>2</v>
      </c>
      <c r="D3182">
        <v>77.959999999999994</v>
      </c>
      <c r="F3182">
        <v>1924</v>
      </c>
      <c r="G3182">
        <v>744917848</v>
      </c>
      <c r="H3182">
        <v>354511236</v>
      </c>
      <c r="J3182" t="s">
        <v>29</v>
      </c>
      <c r="K3182" t="str">
        <f>IF(Table3[[#This Row],[Type Received]]=2,"CC",(IF(Table3[[#This Row],[Type Received]]=3,"BILL","ACH")))</f>
        <v>CC</v>
      </c>
    </row>
    <row r="3183" spans="1:11" x14ac:dyDescent="0.25">
      <c r="A3183">
        <v>244854</v>
      </c>
      <c r="B3183" s="3">
        <v>46148</v>
      </c>
      <c r="C3183">
        <v>2</v>
      </c>
      <c r="D3183">
        <v>78.61</v>
      </c>
      <c r="F3183" t="s">
        <v>82</v>
      </c>
      <c r="G3183" t="s">
        <v>28</v>
      </c>
      <c r="H3183">
        <v>582145292</v>
      </c>
      <c r="I3183" t="s">
        <v>29</v>
      </c>
      <c r="K3183" t="str">
        <f>IF(Table3[[#This Row],[Type Received]]=2,"CC",(IF(Table3[[#This Row],[Type Received]]=3,"BILL","ACH")))</f>
        <v>CC</v>
      </c>
    </row>
    <row r="3184" spans="1:11" x14ac:dyDescent="0.25">
      <c r="A3184">
        <v>244858</v>
      </c>
      <c r="B3184" s="3">
        <v>46167</v>
      </c>
      <c r="C3184">
        <v>1</v>
      </c>
      <c r="D3184">
        <v>81.25</v>
      </c>
      <c r="G3184" t="s">
        <v>85</v>
      </c>
      <c r="H3184">
        <v>818380949</v>
      </c>
      <c r="I3184" t="s">
        <v>29</v>
      </c>
      <c r="K3184" t="str">
        <f>IF(Table3[[#This Row],[Type Received]]=2,"CC",(IF(Table3[[#This Row],[Type Received]]=3,"BILL","ACH")))</f>
        <v>ACH</v>
      </c>
    </row>
    <row r="3185" spans="1:11" x14ac:dyDescent="0.25">
      <c r="A3185">
        <v>244870</v>
      </c>
      <c r="B3185" s="3">
        <v>46168</v>
      </c>
      <c r="C3185">
        <v>1</v>
      </c>
      <c r="D3185">
        <v>59.47</v>
      </c>
      <c r="G3185" t="s">
        <v>110</v>
      </c>
      <c r="H3185">
        <v>828286564</v>
      </c>
      <c r="I3185" t="s">
        <v>29</v>
      </c>
      <c r="J3185" t="s">
        <v>29</v>
      </c>
      <c r="K3185" t="str">
        <f>IF(Table3[[#This Row],[Type Received]]=2,"CC",(IF(Table3[[#This Row],[Type Received]]=3,"BILL","ACH")))</f>
        <v>ACH</v>
      </c>
    </row>
    <row r="3186" spans="1:11" x14ac:dyDescent="0.25">
      <c r="A3186">
        <v>244900</v>
      </c>
      <c r="B3186" s="3">
        <v>46168</v>
      </c>
      <c r="C3186">
        <v>3</v>
      </c>
      <c r="D3186">
        <v>108.21</v>
      </c>
      <c r="E3186">
        <v>5316</v>
      </c>
      <c r="K3186" t="str">
        <f>IF(Table3[[#This Row],[Type Received]]=2,"CC",(IF(Table3[[#This Row],[Type Received]]=3,"BILL","ACH")))</f>
        <v>BILL</v>
      </c>
    </row>
    <row r="3187" spans="1:11" x14ac:dyDescent="0.25">
      <c r="A3187">
        <v>244909</v>
      </c>
      <c r="B3187" s="3">
        <v>46157</v>
      </c>
      <c r="C3187">
        <v>1</v>
      </c>
      <c r="D3187">
        <v>61.45</v>
      </c>
      <c r="G3187" t="s">
        <v>87</v>
      </c>
      <c r="H3187">
        <v>696792856</v>
      </c>
      <c r="I3187" t="s">
        <v>29</v>
      </c>
      <c r="J3187" t="s">
        <v>29</v>
      </c>
      <c r="K3187" t="str">
        <f>IF(Table3[[#This Row],[Type Received]]=2,"CC",(IF(Table3[[#This Row],[Type Received]]=3,"BILL","ACH")))</f>
        <v>ACH</v>
      </c>
    </row>
    <row r="3188" spans="1:11" x14ac:dyDescent="0.25">
      <c r="A3188">
        <v>245009</v>
      </c>
      <c r="B3188" s="3">
        <v>46168</v>
      </c>
      <c r="C3188">
        <v>1</v>
      </c>
      <c r="D3188">
        <v>53.2</v>
      </c>
      <c r="G3188" t="s">
        <v>110</v>
      </c>
      <c r="H3188">
        <v>828304166</v>
      </c>
      <c r="I3188" t="s">
        <v>29</v>
      </c>
      <c r="J3188" t="s">
        <v>29</v>
      </c>
      <c r="K3188" t="str">
        <f>IF(Table3[[#This Row],[Type Received]]=2,"CC",(IF(Table3[[#This Row],[Type Received]]=3,"BILL","ACH")))</f>
        <v>ACH</v>
      </c>
    </row>
    <row r="3189" spans="1:11" x14ac:dyDescent="0.25">
      <c r="A3189">
        <v>245276</v>
      </c>
      <c r="B3189" s="3">
        <v>46155</v>
      </c>
      <c r="C3189">
        <v>2</v>
      </c>
      <c r="D3189">
        <v>55.51</v>
      </c>
      <c r="F3189" t="s">
        <v>280</v>
      </c>
      <c r="G3189" t="s">
        <v>28</v>
      </c>
      <c r="H3189">
        <v>669503597</v>
      </c>
      <c r="I3189" t="s">
        <v>29</v>
      </c>
      <c r="J3189" t="s">
        <v>29</v>
      </c>
      <c r="K3189" t="str">
        <f>IF(Table3[[#This Row],[Type Received]]=2,"CC",(IF(Table3[[#This Row],[Type Received]]=3,"BILL","ACH")))</f>
        <v>CC</v>
      </c>
    </row>
    <row r="3190" spans="1:11" x14ac:dyDescent="0.25">
      <c r="A3190">
        <v>245299</v>
      </c>
      <c r="B3190" s="3">
        <v>46143</v>
      </c>
      <c r="C3190">
        <v>1</v>
      </c>
      <c r="D3190">
        <v>43.85</v>
      </c>
      <c r="G3190" t="s">
        <v>84</v>
      </c>
      <c r="H3190">
        <v>522387325</v>
      </c>
      <c r="I3190" t="s">
        <v>29</v>
      </c>
      <c r="K3190" t="str">
        <f>IF(Table3[[#This Row],[Type Received]]=2,"CC",(IF(Table3[[#This Row],[Type Received]]=3,"BILL","ACH")))</f>
        <v>ACH</v>
      </c>
    </row>
    <row r="3191" spans="1:11" x14ac:dyDescent="0.25">
      <c r="A3191">
        <v>245320</v>
      </c>
      <c r="B3191" s="3">
        <v>46143</v>
      </c>
      <c r="C3191">
        <v>1</v>
      </c>
      <c r="D3191">
        <v>108.75</v>
      </c>
      <c r="G3191" t="s">
        <v>84</v>
      </c>
      <c r="H3191">
        <v>522392230</v>
      </c>
      <c r="I3191" t="s">
        <v>29</v>
      </c>
      <c r="J3191" t="s">
        <v>29</v>
      </c>
      <c r="K3191" t="str">
        <f>IF(Table3[[#This Row],[Type Received]]=2,"CC",(IF(Table3[[#This Row],[Type Received]]=3,"BILL","ACH")))</f>
        <v>ACH</v>
      </c>
    </row>
    <row r="3192" spans="1:11" x14ac:dyDescent="0.25">
      <c r="A3192">
        <v>245338</v>
      </c>
      <c r="B3192" s="3">
        <v>46168</v>
      </c>
      <c r="C3192">
        <v>1</v>
      </c>
      <c r="D3192">
        <v>112.6</v>
      </c>
      <c r="G3192" t="s">
        <v>110</v>
      </c>
      <c r="H3192">
        <v>828301249</v>
      </c>
      <c r="I3192" t="s">
        <v>29</v>
      </c>
      <c r="J3192" t="s">
        <v>29</v>
      </c>
      <c r="K3192" t="str">
        <f>IF(Table3[[#This Row],[Type Received]]=2,"CC",(IF(Table3[[#This Row],[Type Received]]=3,"BILL","ACH")))</f>
        <v>ACH</v>
      </c>
    </row>
    <row r="3193" spans="1:11" x14ac:dyDescent="0.25">
      <c r="A3193">
        <v>245339</v>
      </c>
      <c r="B3193" s="3">
        <v>46157</v>
      </c>
      <c r="C3193">
        <v>1</v>
      </c>
      <c r="D3193">
        <v>75.64</v>
      </c>
      <c r="G3193" t="s">
        <v>87</v>
      </c>
      <c r="H3193">
        <v>696806546</v>
      </c>
      <c r="I3193" t="s">
        <v>29</v>
      </c>
      <c r="J3193" t="s">
        <v>29</v>
      </c>
      <c r="K3193" t="str">
        <f>IF(Table3[[#This Row],[Type Received]]=2,"CC",(IF(Table3[[#This Row],[Type Received]]=3,"BILL","ACH")))</f>
        <v>ACH</v>
      </c>
    </row>
    <row r="3194" spans="1:11" x14ac:dyDescent="0.25">
      <c r="A3194">
        <v>245352</v>
      </c>
      <c r="B3194" s="3">
        <v>46161</v>
      </c>
      <c r="C3194">
        <v>2</v>
      </c>
      <c r="D3194">
        <v>139.74</v>
      </c>
      <c r="F3194">
        <v>13233</v>
      </c>
      <c r="G3194" s="4" t="s">
        <v>28</v>
      </c>
      <c r="H3194">
        <v>746838419</v>
      </c>
      <c r="I3194" t="s">
        <v>29</v>
      </c>
      <c r="J3194" t="s">
        <v>29</v>
      </c>
      <c r="K3194" t="str">
        <f>IF(Table3[[#This Row],[Type Received]]=2,"CC",(IF(Table3[[#This Row],[Type Received]]=3,"BILL","ACH")))</f>
        <v>CC</v>
      </c>
    </row>
    <row r="3195" spans="1:11" x14ac:dyDescent="0.25">
      <c r="A3195">
        <v>245367</v>
      </c>
      <c r="B3195" s="3">
        <v>46147</v>
      </c>
      <c r="C3195">
        <v>3</v>
      </c>
      <c r="D3195">
        <v>61</v>
      </c>
      <c r="E3195">
        <v>310</v>
      </c>
      <c r="J3195" t="s">
        <v>29</v>
      </c>
      <c r="K3195" t="str">
        <f>IF(Table3[[#This Row],[Type Received]]=2,"CC",(IF(Table3[[#This Row],[Type Received]]=3,"BILL","ACH")))</f>
        <v>BILL</v>
      </c>
    </row>
    <row r="3196" spans="1:11" x14ac:dyDescent="0.25">
      <c r="A3196">
        <v>245372</v>
      </c>
      <c r="B3196" s="3">
        <v>46168</v>
      </c>
      <c r="C3196">
        <v>3</v>
      </c>
      <c r="D3196">
        <v>47.05</v>
      </c>
      <c r="E3196">
        <v>13858</v>
      </c>
      <c r="G3196" s="4"/>
      <c r="J3196" t="s">
        <v>29</v>
      </c>
      <c r="K3196" t="str">
        <f>IF(Table3[[#This Row],[Type Received]]=2,"CC",(IF(Table3[[#This Row],[Type Received]]=3,"BILL","ACH")))</f>
        <v>BILL</v>
      </c>
    </row>
    <row r="3197" spans="1:11" x14ac:dyDescent="0.25">
      <c r="A3197">
        <v>245388</v>
      </c>
      <c r="B3197" s="3">
        <v>46157</v>
      </c>
      <c r="C3197">
        <v>1</v>
      </c>
      <c r="D3197">
        <v>34.72</v>
      </c>
      <c r="G3197" t="s">
        <v>87</v>
      </c>
      <c r="H3197">
        <v>696806557</v>
      </c>
      <c r="I3197" t="s">
        <v>29</v>
      </c>
      <c r="J3197" t="s">
        <v>29</v>
      </c>
      <c r="K3197" t="str">
        <f>IF(Table3[[#This Row],[Type Received]]=2,"CC",(IF(Table3[[#This Row],[Type Received]]=3,"BILL","ACH")))</f>
        <v>ACH</v>
      </c>
    </row>
    <row r="3198" spans="1:11" x14ac:dyDescent="0.25">
      <c r="A3198">
        <v>245026</v>
      </c>
      <c r="B3198" s="3">
        <v>46143</v>
      </c>
      <c r="C3198">
        <v>3</v>
      </c>
      <c r="D3198">
        <v>150.56</v>
      </c>
      <c r="E3198">
        <v>5291</v>
      </c>
      <c r="J3198" t="s">
        <v>29</v>
      </c>
      <c r="K3198" t="str">
        <f>IF(Table3[[#This Row],[Type Received]]=2,"CC",(IF(Table3[[#This Row],[Type Received]]=3,"BILL","ACH")))</f>
        <v>BILL</v>
      </c>
    </row>
    <row r="3199" spans="1:11" x14ac:dyDescent="0.25">
      <c r="A3199">
        <v>245030</v>
      </c>
      <c r="B3199" s="3">
        <v>46157</v>
      </c>
      <c r="C3199">
        <v>1</v>
      </c>
      <c r="D3199">
        <v>56.95</v>
      </c>
      <c r="G3199" t="s">
        <v>87</v>
      </c>
      <c r="H3199">
        <v>696808471</v>
      </c>
      <c r="I3199" t="s">
        <v>29</v>
      </c>
      <c r="J3199" t="s">
        <v>29</v>
      </c>
      <c r="K3199" t="str">
        <f>IF(Table3[[#This Row],[Type Received]]=2,"CC",(IF(Table3[[#This Row],[Type Received]]=3,"BILL","ACH")))</f>
        <v>ACH</v>
      </c>
    </row>
    <row r="3200" spans="1:11" x14ac:dyDescent="0.25">
      <c r="A3200">
        <v>245036</v>
      </c>
      <c r="B3200" s="3">
        <v>46143</v>
      </c>
      <c r="C3200">
        <v>1</v>
      </c>
      <c r="D3200">
        <v>66.069999999999993</v>
      </c>
      <c r="G3200" t="s">
        <v>84</v>
      </c>
      <c r="H3200">
        <v>522237127</v>
      </c>
      <c r="I3200" t="s">
        <v>29</v>
      </c>
      <c r="J3200" t="s">
        <v>29</v>
      </c>
      <c r="K3200" t="str">
        <f>IF(Table3[[#This Row],[Type Received]]=2,"CC",(IF(Table3[[#This Row],[Type Received]]=3,"BILL","ACH")))</f>
        <v>ACH</v>
      </c>
    </row>
    <row r="3201" spans="1:11" x14ac:dyDescent="0.25">
      <c r="A3201">
        <v>245047</v>
      </c>
      <c r="B3201" s="3">
        <v>46143</v>
      </c>
      <c r="C3201">
        <v>1</v>
      </c>
      <c r="D3201">
        <v>103.69</v>
      </c>
      <c r="G3201" t="s">
        <v>84</v>
      </c>
      <c r="H3201">
        <v>522387282</v>
      </c>
      <c r="I3201" t="s">
        <v>29</v>
      </c>
      <c r="J3201" t="s">
        <v>29</v>
      </c>
      <c r="K3201" t="str">
        <f>IF(Table3[[#This Row],[Type Received]]=2,"CC",(IF(Table3[[#This Row],[Type Received]]=3,"BILL","ACH")))</f>
        <v>ACH</v>
      </c>
    </row>
    <row r="3202" spans="1:11" x14ac:dyDescent="0.25">
      <c r="A3202">
        <v>245120</v>
      </c>
      <c r="B3202" s="3">
        <v>46155</v>
      </c>
      <c r="C3202">
        <v>2</v>
      </c>
      <c r="D3202">
        <v>115.9</v>
      </c>
      <c r="F3202">
        <v>115661</v>
      </c>
      <c r="G3202" t="s">
        <v>28</v>
      </c>
      <c r="H3202">
        <v>669496682</v>
      </c>
      <c r="I3202" t="s">
        <v>29</v>
      </c>
      <c r="J3202" t="s">
        <v>29</v>
      </c>
      <c r="K3202" t="str">
        <f>IF(Table3[[#This Row],[Type Received]]=2,"CC",(IF(Table3[[#This Row],[Type Received]]=3,"BILL","ACH")))</f>
        <v>CC</v>
      </c>
    </row>
    <row r="3203" spans="1:11" x14ac:dyDescent="0.25">
      <c r="A3203">
        <v>245123</v>
      </c>
      <c r="B3203" s="3">
        <v>46170</v>
      </c>
      <c r="C3203">
        <v>2</v>
      </c>
      <c r="D3203">
        <v>106</v>
      </c>
      <c r="F3203" t="s">
        <v>281</v>
      </c>
      <c r="G3203" t="s">
        <v>28</v>
      </c>
      <c r="H3203">
        <v>853939330</v>
      </c>
      <c r="I3203" t="s">
        <v>29</v>
      </c>
      <c r="J3203" t="s">
        <v>29</v>
      </c>
      <c r="K3203" t="str">
        <f>IF(Table3[[#This Row],[Type Received]]=2,"CC",(IF(Table3[[#This Row],[Type Received]]=3,"BILL","ACH")))</f>
        <v>CC</v>
      </c>
    </row>
    <row r="3204" spans="1:11" x14ac:dyDescent="0.25">
      <c r="A3204">
        <v>245131</v>
      </c>
      <c r="B3204" s="3">
        <v>46143</v>
      </c>
      <c r="C3204">
        <v>1</v>
      </c>
      <c r="D3204">
        <v>28.23</v>
      </c>
      <c r="G3204" s="4" t="s">
        <v>84</v>
      </c>
      <c r="H3204">
        <v>522370829</v>
      </c>
      <c r="I3204" t="s">
        <v>29</v>
      </c>
      <c r="J3204" t="s">
        <v>29</v>
      </c>
      <c r="K3204" t="str">
        <f>IF(Table3[[#This Row],[Type Received]]=2,"CC",(IF(Table3[[#This Row],[Type Received]]=3,"BILL","ACH")))</f>
        <v>ACH</v>
      </c>
    </row>
    <row r="3205" spans="1:11" x14ac:dyDescent="0.25">
      <c r="A3205">
        <v>245135</v>
      </c>
      <c r="B3205" s="3">
        <v>46157</v>
      </c>
      <c r="C3205">
        <v>1</v>
      </c>
      <c r="D3205">
        <v>28.45</v>
      </c>
      <c r="G3205" t="s">
        <v>87</v>
      </c>
      <c r="H3205">
        <v>696803536</v>
      </c>
      <c r="I3205" t="s">
        <v>29</v>
      </c>
      <c r="J3205" t="s">
        <v>29</v>
      </c>
      <c r="K3205" t="str">
        <f>IF(Table3[[#This Row],[Type Received]]=2,"CC",(IF(Table3[[#This Row],[Type Received]]=3,"BILL","ACH")))</f>
        <v>ACH</v>
      </c>
    </row>
    <row r="3206" spans="1:11" x14ac:dyDescent="0.25">
      <c r="A3206">
        <v>245139</v>
      </c>
      <c r="B3206" s="3">
        <v>46157</v>
      </c>
      <c r="C3206">
        <v>1</v>
      </c>
      <c r="D3206">
        <v>41.2</v>
      </c>
      <c r="G3206" t="s">
        <v>87</v>
      </c>
      <c r="H3206">
        <v>696796797</v>
      </c>
      <c r="I3206" t="s">
        <v>29</v>
      </c>
      <c r="K3206" t="str">
        <f>IF(Table3[[#This Row],[Type Received]]=2,"CC",(IF(Table3[[#This Row],[Type Received]]=3,"BILL","ACH")))</f>
        <v>ACH</v>
      </c>
    </row>
    <row r="3207" spans="1:11" x14ac:dyDescent="0.25">
      <c r="A3207">
        <v>245152</v>
      </c>
      <c r="B3207" s="3">
        <v>46155</v>
      </c>
      <c r="C3207">
        <v>1</v>
      </c>
      <c r="D3207">
        <v>41.98</v>
      </c>
      <c r="G3207" t="s">
        <v>90</v>
      </c>
      <c r="H3207">
        <v>669488934</v>
      </c>
      <c r="I3207" t="s">
        <v>29</v>
      </c>
      <c r="J3207" t="s">
        <v>29</v>
      </c>
      <c r="K3207" t="str">
        <f>IF(Table3[[#This Row],[Type Received]]=2,"CC",(IF(Table3[[#This Row],[Type Received]]=3,"BILL","ACH")))</f>
        <v>ACH</v>
      </c>
    </row>
    <row r="3208" spans="1:11" x14ac:dyDescent="0.25">
      <c r="A3208">
        <v>245173</v>
      </c>
      <c r="B3208" s="3">
        <v>46164</v>
      </c>
      <c r="C3208">
        <v>3</v>
      </c>
      <c r="D3208">
        <v>77.95</v>
      </c>
      <c r="E3208">
        <v>5490</v>
      </c>
      <c r="J3208" t="s">
        <v>29</v>
      </c>
      <c r="K3208" t="str">
        <f>IF(Table3[[#This Row],[Type Received]]=2,"CC",(IF(Table3[[#This Row],[Type Received]]=3,"BILL","ACH")))</f>
        <v>BILL</v>
      </c>
    </row>
    <row r="3209" spans="1:11" x14ac:dyDescent="0.25">
      <c r="A3209">
        <v>245184</v>
      </c>
      <c r="B3209" s="3">
        <v>46168</v>
      </c>
      <c r="C3209">
        <v>1</v>
      </c>
      <c r="D3209">
        <v>35.49</v>
      </c>
      <c r="G3209" t="s">
        <v>110</v>
      </c>
      <c r="H3209">
        <v>828288488</v>
      </c>
      <c r="I3209" t="s">
        <v>29</v>
      </c>
      <c r="J3209" t="s">
        <v>29</v>
      </c>
      <c r="K3209" t="str">
        <f>IF(Table3[[#This Row],[Type Received]]=2,"CC",(IF(Table3[[#This Row],[Type Received]]=3,"BILL","ACH")))</f>
        <v>ACH</v>
      </c>
    </row>
    <row r="3210" spans="1:11" x14ac:dyDescent="0.25">
      <c r="A3210">
        <v>245194</v>
      </c>
      <c r="B3210" s="3">
        <v>46155</v>
      </c>
      <c r="C3210">
        <v>1</v>
      </c>
      <c r="D3210">
        <v>23.39</v>
      </c>
      <c r="G3210" t="s">
        <v>90</v>
      </c>
      <c r="H3210">
        <v>669505492</v>
      </c>
      <c r="I3210" t="s">
        <v>29</v>
      </c>
      <c r="J3210" t="s">
        <v>29</v>
      </c>
      <c r="K3210" t="str">
        <f>IF(Table3[[#This Row],[Type Received]]=2,"CC",(IF(Table3[[#This Row],[Type Received]]=3,"BILL","ACH")))</f>
        <v>ACH</v>
      </c>
    </row>
    <row r="3211" spans="1:11" x14ac:dyDescent="0.25">
      <c r="A3211">
        <v>245200</v>
      </c>
      <c r="B3211" s="3">
        <v>46155</v>
      </c>
      <c r="C3211">
        <v>1</v>
      </c>
      <c r="D3211">
        <v>53.2</v>
      </c>
      <c r="G3211" t="s">
        <v>90</v>
      </c>
      <c r="H3211">
        <v>669498696</v>
      </c>
      <c r="I3211" t="s">
        <v>29</v>
      </c>
      <c r="J3211" t="s">
        <v>29</v>
      </c>
      <c r="K3211" t="str">
        <f>IF(Table3[[#This Row],[Type Received]]=2,"CC",(IF(Table3[[#This Row],[Type Received]]=3,"BILL","ACH")))</f>
        <v>ACH</v>
      </c>
    </row>
    <row r="3212" spans="1:11" x14ac:dyDescent="0.25">
      <c r="A3212">
        <v>245411</v>
      </c>
      <c r="B3212" s="3">
        <v>46146</v>
      </c>
      <c r="C3212">
        <v>2</v>
      </c>
      <c r="D3212">
        <v>137.54</v>
      </c>
      <c r="F3212">
        <v>12251</v>
      </c>
      <c r="G3212">
        <v>742259380</v>
      </c>
      <c r="H3212">
        <v>353485601</v>
      </c>
      <c r="K3212" t="str">
        <f>IF(Table3[[#This Row],[Type Received]]=2,"CC",(IF(Table3[[#This Row],[Type Received]]=3,"BILL","ACH")))</f>
        <v>CC</v>
      </c>
    </row>
    <row r="3213" spans="1:11" x14ac:dyDescent="0.25">
      <c r="A3213">
        <v>245443</v>
      </c>
      <c r="B3213" s="3">
        <v>46168</v>
      </c>
      <c r="C3213">
        <v>3</v>
      </c>
      <c r="D3213">
        <v>149.9</v>
      </c>
      <c r="E3213">
        <v>6977</v>
      </c>
      <c r="K3213" t="str">
        <f>IF(Table3[[#This Row],[Type Received]]=2,"CC",(IF(Table3[[#This Row],[Type Received]]=3,"BILL","ACH")))</f>
        <v>BILL</v>
      </c>
    </row>
    <row r="3214" spans="1:11" x14ac:dyDescent="0.25">
      <c r="A3214">
        <v>245449</v>
      </c>
      <c r="B3214" s="3">
        <v>46157</v>
      </c>
      <c r="C3214">
        <v>2</v>
      </c>
      <c r="D3214">
        <v>46.05</v>
      </c>
      <c r="F3214">
        <v>181968</v>
      </c>
      <c r="G3214" s="4" t="s">
        <v>28</v>
      </c>
      <c r="H3214">
        <v>696811284</v>
      </c>
      <c r="I3214" t="s">
        <v>29</v>
      </c>
      <c r="J3214" t="s">
        <v>29</v>
      </c>
      <c r="K3214" t="str">
        <f>IF(Table3[[#This Row],[Type Received]]=2,"CC",(IF(Table3[[#This Row],[Type Received]]=3,"BILL","ACH")))</f>
        <v>CC</v>
      </c>
    </row>
    <row r="3215" spans="1:11" x14ac:dyDescent="0.25">
      <c r="A3215">
        <v>245511</v>
      </c>
      <c r="B3215" s="3">
        <v>46168</v>
      </c>
      <c r="C3215">
        <v>1</v>
      </c>
      <c r="D3215">
        <v>84.33</v>
      </c>
      <c r="G3215" t="s">
        <v>110</v>
      </c>
      <c r="H3215">
        <v>828304203</v>
      </c>
      <c r="I3215" t="s">
        <v>29</v>
      </c>
      <c r="J3215" t="s">
        <v>29</v>
      </c>
      <c r="K3215" t="str">
        <f>IF(Table3[[#This Row],[Type Received]]=2,"CC",(IF(Table3[[#This Row],[Type Received]]=3,"BILL","ACH")))</f>
        <v>ACH</v>
      </c>
    </row>
    <row r="3216" spans="1:11" x14ac:dyDescent="0.25">
      <c r="A3216">
        <v>245518</v>
      </c>
      <c r="B3216" s="3">
        <v>46171</v>
      </c>
      <c r="C3216">
        <v>3</v>
      </c>
      <c r="D3216">
        <v>65.38</v>
      </c>
      <c r="E3216">
        <v>2148</v>
      </c>
      <c r="J3216" t="s">
        <v>29</v>
      </c>
      <c r="K3216" t="str">
        <f>IF(Table3[[#This Row],[Type Received]]=2,"CC",(IF(Table3[[#This Row],[Type Received]]=3,"BILL","ACH")))</f>
        <v>BILL</v>
      </c>
    </row>
    <row r="3217" spans="1:11" x14ac:dyDescent="0.25">
      <c r="A3217">
        <v>245599</v>
      </c>
      <c r="B3217" s="3">
        <v>46145</v>
      </c>
      <c r="C3217">
        <v>1</v>
      </c>
      <c r="D3217">
        <v>63.43</v>
      </c>
      <c r="G3217" t="s">
        <v>113</v>
      </c>
      <c r="H3217">
        <v>546442562</v>
      </c>
      <c r="I3217" t="s">
        <v>29</v>
      </c>
      <c r="K3217" t="str">
        <f>IF(Table3[[#This Row],[Type Received]]=2,"CC",(IF(Table3[[#This Row],[Type Received]]=3,"BILL","ACH")))</f>
        <v>ACH</v>
      </c>
    </row>
    <row r="3218" spans="1:11" x14ac:dyDescent="0.25">
      <c r="A3218">
        <v>245608</v>
      </c>
      <c r="B3218" s="3">
        <v>46146</v>
      </c>
      <c r="C3218">
        <v>2</v>
      </c>
      <c r="D3218">
        <v>64.819999999999993</v>
      </c>
      <c r="F3218">
        <v>90053</v>
      </c>
      <c r="G3218" s="4" t="s">
        <v>28</v>
      </c>
      <c r="H3218">
        <v>557100223</v>
      </c>
      <c r="I3218" t="s">
        <v>29</v>
      </c>
      <c r="J3218" t="s">
        <v>29</v>
      </c>
      <c r="K3218" t="str">
        <f>IF(Table3[[#This Row],[Type Received]]=2,"CC",(IF(Table3[[#This Row],[Type Received]]=3,"BILL","ACH")))</f>
        <v>CC</v>
      </c>
    </row>
    <row r="3219" spans="1:11" x14ac:dyDescent="0.25">
      <c r="A3219">
        <v>245614</v>
      </c>
      <c r="B3219" s="3">
        <v>46145</v>
      </c>
      <c r="C3219">
        <v>1</v>
      </c>
      <c r="D3219">
        <v>68.709999999999994</v>
      </c>
      <c r="G3219" t="s">
        <v>113</v>
      </c>
      <c r="H3219">
        <v>546445438</v>
      </c>
      <c r="I3219" t="s">
        <v>29</v>
      </c>
      <c r="J3219" t="s">
        <v>29</v>
      </c>
      <c r="K3219" t="str">
        <f>IF(Table3[[#This Row],[Type Received]]=2,"CC",(IF(Table3[[#This Row],[Type Received]]=3,"BILL","ACH")))</f>
        <v>ACH</v>
      </c>
    </row>
    <row r="3220" spans="1:11" x14ac:dyDescent="0.25">
      <c r="A3220">
        <v>245619</v>
      </c>
      <c r="B3220" s="3">
        <v>46155</v>
      </c>
      <c r="C3220">
        <v>2</v>
      </c>
      <c r="D3220">
        <v>17.89</v>
      </c>
      <c r="F3220" t="s">
        <v>282</v>
      </c>
      <c r="G3220" t="s">
        <v>28</v>
      </c>
      <c r="H3220">
        <v>669484084</v>
      </c>
      <c r="I3220" t="s">
        <v>29</v>
      </c>
      <c r="J3220" t="s">
        <v>29</v>
      </c>
      <c r="K3220" t="str">
        <f>IF(Table3[[#This Row],[Type Received]]=2,"CC",(IF(Table3[[#This Row],[Type Received]]=3,"BILL","ACH")))</f>
        <v>CC</v>
      </c>
    </row>
    <row r="3221" spans="1:11" x14ac:dyDescent="0.25">
      <c r="A3221">
        <v>245640</v>
      </c>
      <c r="B3221" s="3">
        <v>46157</v>
      </c>
      <c r="C3221">
        <v>1</v>
      </c>
      <c r="D3221">
        <v>46.27</v>
      </c>
      <c r="G3221" s="4" t="s">
        <v>87</v>
      </c>
      <c r="H3221">
        <v>696801611</v>
      </c>
      <c r="I3221" t="s">
        <v>29</v>
      </c>
      <c r="J3221" t="s">
        <v>29</v>
      </c>
      <c r="K3221" t="str">
        <f>IF(Table3[[#This Row],[Type Received]]=2,"CC",(IF(Table3[[#This Row],[Type Received]]=3,"BILL","ACH")))</f>
        <v>ACH</v>
      </c>
    </row>
    <row r="3222" spans="1:11" x14ac:dyDescent="0.25">
      <c r="A3222">
        <v>245677</v>
      </c>
      <c r="B3222" s="3">
        <v>46168</v>
      </c>
      <c r="C3222">
        <v>1</v>
      </c>
      <c r="D3222">
        <v>112.6</v>
      </c>
      <c r="G3222" t="s">
        <v>110</v>
      </c>
      <c r="H3222">
        <v>828292368</v>
      </c>
      <c r="I3222" t="s">
        <v>29</v>
      </c>
      <c r="J3222" t="s">
        <v>29</v>
      </c>
      <c r="K3222" t="str">
        <f>IF(Table3[[#This Row],[Type Received]]=2,"CC",(IF(Table3[[#This Row],[Type Received]]=3,"BILL","ACH")))</f>
        <v>ACH</v>
      </c>
    </row>
    <row r="3223" spans="1:11" x14ac:dyDescent="0.25">
      <c r="A3223">
        <v>245681</v>
      </c>
      <c r="B3223" s="3">
        <v>46157</v>
      </c>
      <c r="C3223">
        <v>1</v>
      </c>
      <c r="D3223">
        <v>48.58</v>
      </c>
      <c r="G3223" t="s">
        <v>87</v>
      </c>
      <c r="H3223">
        <v>696815186</v>
      </c>
      <c r="I3223" t="s">
        <v>29</v>
      </c>
      <c r="J3223" t="s">
        <v>29</v>
      </c>
      <c r="K3223" t="str">
        <f>IF(Table3[[#This Row],[Type Received]]=2,"CC",(IF(Table3[[#This Row],[Type Received]]=3,"BILL","ACH")))</f>
        <v>ACH</v>
      </c>
    </row>
    <row r="3224" spans="1:11" x14ac:dyDescent="0.25">
      <c r="A3224">
        <v>245683</v>
      </c>
      <c r="B3224" s="3">
        <v>46168</v>
      </c>
      <c r="C3224">
        <v>1</v>
      </c>
      <c r="D3224">
        <v>44.95</v>
      </c>
      <c r="G3224" t="s">
        <v>110</v>
      </c>
      <c r="H3224">
        <v>828281851</v>
      </c>
      <c r="I3224" t="s">
        <v>29</v>
      </c>
      <c r="J3224" t="s">
        <v>29</v>
      </c>
      <c r="K3224" t="str">
        <f>IF(Table3[[#This Row],[Type Received]]=2,"CC",(IF(Table3[[#This Row],[Type Received]]=3,"BILL","ACH")))</f>
        <v>ACH</v>
      </c>
    </row>
    <row r="3225" spans="1:11" x14ac:dyDescent="0.25">
      <c r="A3225">
        <v>245762</v>
      </c>
      <c r="B3225" s="3">
        <v>46145</v>
      </c>
      <c r="C3225">
        <v>2</v>
      </c>
      <c r="D3225">
        <v>72.010000000000005</v>
      </c>
      <c r="F3225">
        <v>86403</v>
      </c>
      <c r="G3225" s="4" t="s">
        <v>28</v>
      </c>
      <c r="H3225">
        <v>546447432</v>
      </c>
      <c r="I3225" t="s">
        <v>29</v>
      </c>
      <c r="J3225" t="s">
        <v>29</v>
      </c>
      <c r="K3225" t="str">
        <f>IF(Table3[[#This Row],[Type Received]]=2,"CC",(IF(Table3[[#This Row],[Type Received]]=3,"BILL","ACH")))</f>
        <v>CC</v>
      </c>
    </row>
    <row r="3226" spans="1:11" x14ac:dyDescent="0.25">
      <c r="A3226">
        <v>245786</v>
      </c>
      <c r="B3226" s="3">
        <v>46157</v>
      </c>
      <c r="C3226">
        <v>1</v>
      </c>
      <c r="D3226">
        <v>106</v>
      </c>
      <c r="G3226" t="s">
        <v>87</v>
      </c>
      <c r="H3226">
        <v>696806594</v>
      </c>
      <c r="I3226" t="s">
        <v>29</v>
      </c>
      <c r="J3226" t="s">
        <v>29</v>
      </c>
      <c r="K3226" t="str">
        <f>IF(Table3[[#This Row],[Type Received]]=2,"CC",(IF(Table3[[#This Row],[Type Received]]=3,"BILL","ACH")))</f>
        <v>ACH</v>
      </c>
    </row>
    <row r="3227" spans="1:11" x14ac:dyDescent="0.25">
      <c r="A3227">
        <v>245791</v>
      </c>
      <c r="B3227" s="3">
        <v>46145</v>
      </c>
      <c r="C3227">
        <v>1</v>
      </c>
      <c r="D3227">
        <v>66.510000000000005</v>
      </c>
      <c r="G3227" t="s">
        <v>113</v>
      </c>
      <c r="H3227">
        <v>546452230</v>
      </c>
      <c r="I3227" t="s">
        <v>29</v>
      </c>
      <c r="K3227" t="str">
        <f>IF(Table3[[#This Row],[Type Received]]=2,"CC",(IF(Table3[[#This Row],[Type Received]]=3,"BILL","ACH")))</f>
        <v>ACH</v>
      </c>
    </row>
    <row r="3228" spans="1:11" x14ac:dyDescent="0.25">
      <c r="A3228">
        <v>245797</v>
      </c>
      <c r="B3228" s="3">
        <v>46143</v>
      </c>
      <c r="C3228">
        <v>1</v>
      </c>
      <c r="D3228">
        <v>22.39</v>
      </c>
      <c r="G3228" t="s">
        <v>84</v>
      </c>
      <c r="H3228">
        <v>522282637</v>
      </c>
      <c r="I3228" t="s">
        <v>29</v>
      </c>
      <c r="K3228" t="str">
        <f>IF(Table3[[#This Row],[Type Received]]=2,"CC",(IF(Table3[[#This Row],[Type Received]]=3,"BILL","ACH")))</f>
        <v>ACH</v>
      </c>
    </row>
    <row r="3229" spans="1:11" x14ac:dyDescent="0.25">
      <c r="A3229">
        <v>245800</v>
      </c>
      <c r="B3229" s="3">
        <v>46146</v>
      </c>
      <c r="C3229">
        <v>3</v>
      </c>
      <c r="D3229">
        <v>93.47</v>
      </c>
      <c r="E3229">
        <v>2596</v>
      </c>
      <c r="K3229" t="str">
        <f>IF(Table3[[#This Row],[Type Received]]=2,"CC",(IF(Table3[[#This Row],[Type Received]]=3,"BILL","ACH")))</f>
        <v>BILL</v>
      </c>
    </row>
    <row r="3230" spans="1:11" x14ac:dyDescent="0.25">
      <c r="A3230">
        <v>245816</v>
      </c>
      <c r="B3230" s="3">
        <v>46171</v>
      </c>
      <c r="C3230">
        <v>2</v>
      </c>
      <c r="D3230">
        <v>61.79</v>
      </c>
      <c r="F3230">
        <v>4805</v>
      </c>
      <c r="G3230" t="s">
        <v>28</v>
      </c>
      <c r="H3230">
        <v>868674059</v>
      </c>
      <c r="I3230" t="s">
        <v>29</v>
      </c>
      <c r="J3230" t="s">
        <v>29</v>
      </c>
      <c r="K3230" t="str">
        <f>IF(Table3[[#This Row],[Type Received]]=2,"CC",(IF(Table3[[#This Row],[Type Received]]=3,"BILL","ACH")))</f>
        <v>CC</v>
      </c>
    </row>
    <row r="3231" spans="1:11" x14ac:dyDescent="0.25">
      <c r="A3231">
        <v>245817</v>
      </c>
      <c r="B3231" s="3">
        <v>46143</v>
      </c>
      <c r="C3231">
        <v>3</v>
      </c>
      <c r="D3231">
        <v>127.46</v>
      </c>
      <c r="E3231">
        <v>74911279</v>
      </c>
      <c r="K3231" t="str">
        <f>IF(Table3[[#This Row],[Type Received]]=2,"CC",(IF(Table3[[#This Row],[Type Received]]=3,"BILL","ACH")))</f>
        <v>BILL</v>
      </c>
    </row>
    <row r="3232" spans="1:11" x14ac:dyDescent="0.25">
      <c r="A3232">
        <v>245822</v>
      </c>
      <c r="B3232" s="3">
        <v>46150</v>
      </c>
      <c r="C3232">
        <v>3</v>
      </c>
      <c r="D3232">
        <v>105.85</v>
      </c>
      <c r="E3232">
        <v>3040</v>
      </c>
      <c r="K3232" t="str">
        <f>IF(Table3[[#This Row],[Type Received]]=2,"CC",(IF(Table3[[#This Row],[Type Received]]=3,"BILL","ACH")))</f>
        <v>BILL</v>
      </c>
    </row>
    <row r="3233" spans="1:11" x14ac:dyDescent="0.25">
      <c r="A3233">
        <v>245844</v>
      </c>
      <c r="B3233" s="3">
        <v>46145</v>
      </c>
      <c r="C3233">
        <v>1</v>
      </c>
      <c r="D3233">
        <v>104.35</v>
      </c>
      <c r="G3233" t="s">
        <v>113</v>
      </c>
      <c r="H3233">
        <v>546428990</v>
      </c>
      <c r="I3233" t="s">
        <v>29</v>
      </c>
      <c r="K3233" t="str">
        <f>IF(Table3[[#This Row],[Type Received]]=2,"CC",(IF(Table3[[#This Row],[Type Received]]=3,"BILL","ACH")))</f>
        <v>ACH</v>
      </c>
    </row>
    <row r="3234" spans="1:11" x14ac:dyDescent="0.25">
      <c r="A3234">
        <v>245861</v>
      </c>
      <c r="B3234" s="3">
        <v>46148</v>
      </c>
      <c r="C3234">
        <v>3</v>
      </c>
      <c r="D3234">
        <v>258.82</v>
      </c>
      <c r="E3234">
        <v>5834</v>
      </c>
      <c r="K3234" t="str">
        <f>IF(Table3[[#This Row],[Type Received]]=2,"CC",(IF(Table3[[#This Row],[Type Received]]=3,"BILL","ACH")))</f>
        <v>BILL</v>
      </c>
    </row>
    <row r="3235" spans="1:11" x14ac:dyDescent="0.25">
      <c r="A3235">
        <v>245895</v>
      </c>
      <c r="B3235" s="3">
        <v>46143</v>
      </c>
      <c r="C3235">
        <v>3</v>
      </c>
      <c r="D3235">
        <v>148</v>
      </c>
      <c r="E3235">
        <v>988023</v>
      </c>
      <c r="J3235" t="s">
        <v>29</v>
      </c>
      <c r="K3235" t="str">
        <f>IF(Table3[[#This Row],[Type Received]]=2,"CC",(IF(Table3[[#This Row],[Type Received]]=3,"BILL","ACH")))</f>
        <v>BILL</v>
      </c>
    </row>
    <row r="3236" spans="1:11" x14ac:dyDescent="0.25">
      <c r="A3236">
        <v>245901</v>
      </c>
      <c r="B3236" s="3">
        <v>46157</v>
      </c>
      <c r="C3236">
        <v>1</v>
      </c>
      <c r="D3236">
        <v>33.950000000000003</v>
      </c>
      <c r="G3236" t="s">
        <v>87</v>
      </c>
      <c r="H3236">
        <v>696815202</v>
      </c>
      <c r="I3236" t="s">
        <v>29</v>
      </c>
      <c r="K3236" t="str">
        <f>IF(Table3[[#This Row],[Type Received]]=2,"CC",(IF(Table3[[#This Row],[Type Received]]=3,"BILL","ACH")))</f>
        <v>ACH</v>
      </c>
    </row>
    <row r="3237" spans="1:11" x14ac:dyDescent="0.25">
      <c r="A3237">
        <v>245905</v>
      </c>
      <c r="B3237" s="3">
        <v>46157</v>
      </c>
      <c r="C3237">
        <v>1</v>
      </c>
      <c r="D3237">
        <v>43.63</v>
      </c>
      <c r="G3237" t="s">
        <v>87</v>
      </c>
      <c r="H3237">
        <v>696634277</v>
      </c>
      <c r="I3237" t="s">
        <v>29</v>
      </c>
      <c r="K3237" t="str">
        <f>IF(Table3[[#This Row],[Type Received]]=2,"CC",(IF(Table3[[#This Row],[Type Received]]=3,"BILL","ACH")))</f>
        <v>ACH</v>
      </c>
    </row>
    <row r="3238" spans="1:11" x14ac:dyDescent="0.25">
      <c r="A3238">
        <v>245931</v>
      </c>
      <c r="B3238" s="3">
        <v>46145</v>
      </c>
      <c r="C3238">
        <v>1</v>
      </c>
      <c r="D3238">
        <v>94.12</v>
      </c>
      <c r="G3238" t="s">
        <v>113</v>
      </c>
      <c r="H3238">
        <v>546452241</v>
      </c>
      <c r="I3238" t="s">
        <v>29</v>
      </c>
      <c r="J3238" t="s">
        <v>29</v>
      </c>
      <c r="K3238" t="str">
        <f>IF(Table3[[#This Row],[Type Received]]=2,"CC",(IF(Table3[[#This Row],[Type Received]]=3,"BILL","ACH")))</f>
        <v>ACH</v>
      </c>
    </row>
    <row r="3239" spans="1:11" x14ac:dyDescent="0.25">
      <c r="A3239">
        <v>245955</v>
      </c>
      <c r="B3239" s="3">
        <v>46143</v>
      </c>
      <c r="C3239">
        <v>2</v>
      </c>
      <c r="D3239">
        <v>84.3</v>
      </c>
      <c r="F3239">
        <v>652551</v>
      </c>
      <c r="G3239" t="s">
        <v>28</v>
      </c>
      <c r="H3239">
        <v>527208229</v>
      </c>
      <c r="I3239" t="s">
        <v>29</v>
      </c>
      <c r="J3239" t="s">
        <v>29</v>
      </c>
      <c r="K3239" t="str">
        <f>IF(Table3[[#This Row],[Type Received]]=2,"CC",(IF(Table3[[#This Row],[Type Received]]=3,"BILL","ACH")))</f>
        <v>CC</v>
      </c>
    </row>
    <row r="3240" spans="1:11" x14ac:dyDescent="0.25">
      <c r="A3240">
        <v>245962</v>
      </c>
      <c r="B3240" s="3">
        <v>46168</v>
      </c>
      <c r="C3240">
        <v>1</v>
      </c>
      <c r="D3240">
        <v>97.09</v>
      </c>
      <c r="G3240" t="s">
        <v>110</v>
      </c>
      <c r="H3240">
        <v>828288544</v>
      </c>
      <c r="I3240" t="s">
        <v>29</v>
      </c>
      <c r="K3240" t="str">
        <f>IF(Table3[[#This Row],[Type Received]]=2,"CC",(IF(Table3[[#This Row],[Type Received]]=3,"BILL","ACH")))</f>
        <v>ACH</v>
      </c>
    </row>
    <row r="3241" spans="1:11" x14ac:dyDescent="0.25">
      <c r="A3241">
        <v>245972</v>
      </c>
      <c r="B3241" s="3">
        <v>46168</v>
      </c>
      <c r="C3241">
        <v>1</v>
      </c>
      <c r="D3241">
        <v>76.849999999999994</v>
      </c>
      <c r="G3241" s="4" t="s">
        <v>110</v>
      </c>
      <c r="H3241">
        <v>828290449</v>
      </c>
      <c r="I3241" t="s">
        <v>29</v>
      </c>
      <c r="J3241" t="s">
        <v>29</v>
      </c>
      <c r="K3241" t="str">
        <f>IF(Table3[[#This Row],[Type Received]]=2,"CC",(IF(Table3[[#This Row],[Type Received]]=3,"BILL","ACH")))</f>
        <v>ACH</v>
      </c>
    </row>
    <row r="3242" spans="1:11" x14ac:dyDescent="0.25">
      <c r="A3242">
        <v>245985</v>
      </c>
      <c r="B3242" s="3">
        <v>46169</v>
      </c>
      <c r="C3242">
        <v>3</v>
      </c>
      <c r="D3242">
        <v>90.46</v>
      </c>
      <c r="E3242">
        <v>3979</v>
      </c>
      <c r="K3242" t="str">
        <f>IF(Table3[[#This Row],[Type Received]]=2,"CC",(IF(Table3[[#This Row],[Type Received]]=3,"BILL","ACH")))</f>
        <v>BILL</v>
      </c>
    </row>
    <row r="3243" spans="1:11" x14ac:dyDescent="0.25">
      <c r="A3243">
        <v>245997</v>
      </c>
      <c r="B3243" s="3">
        <v>46143</v>
      </c>
      <c r="C3243">
        <v>2</v>
      </c>
      <c r="D3243">
        <v>65.75</v>
      </c>
      <c r="F3243">
        <v>130041</v>
      </c>
      <c r="G3243" t="s">
        <v>28</v>
      </c>
      <c r="H3243">
        <v>522240273</v>
      </c>
      <c r="I3243" t="s">
        <v>29</v>
      </c>
      <c r="J3243" t="s">
        <v>29</v>
      </c>
      <c r="K3243" t="str">
        <f>IF(Table3[[#This Row],[Type Received]]=2,"CC",(IF(Table3[[#This Row],[Type Received]]=3,"BILL","ACH")))</f>
        <v>CC</v>
      </c>
    </row>
    <row r="3244" spans="1:11" x14ac:dyDescent="0.25">
      <c r="A3244">
        <v>245998</v>
      </c>
      <c r="B3244" s="3">
        <v>46146</v>
      </c>
      <c r="C3244">
        <v>3</v>
      </c>
      <c r="D3244">
        <v>87.86</v>
      </c>
      <c r="E3244">
        <v>2791</v>
      </c>
      <c r="G3244" s="4"/>
      <c r="J3244" t="s">
        <v>29</v>
      </c>
      <c r="K3244" t="str">
        <f>IF(Table3[[#This Row],[Type Received]]=2,"CC",(IF(Table3[[#This Row],[Type Received]]=3,"BILL","ACH")))</f>
        <v>BILL</v>
      </c>
    </row>
    <row r="3245" spans="1:11" x14ac:dyDescent="0.25">
      <c r="A3245">
        <v>246006</v>
      </c>
      <c r="B3245" s="3">
        <v>46157</v>
      </c>
      <c r="C3245">
        <v>1</v>
      </c>
      <c r="D3245">
        <v>99.73</v>
      </c>
      <c r="G3245" t="s">
        <v>87</v>
      </c>
      <c r="H3245">
        <v>696666778</v>
      </c>
      <c r="I3245" t="s">
        <v>29</v>
      </c>
      <c r="J3245" t="s">
        <v>29</v>
      </c>
      <c r="K3245" t="str">
        <f>IF(Table3[[#This Row],[Type Received]]=2,"CC",(IF(Table3[[#This Row],[Type Received]]=3,"BILL","ACH")))</f>
        <v>ACH</v>
      </c>
    </row>
    <row r="3246" spans="1:11" x14ac:dyDescent="0.25">
      <c r="A3246">
        <v>246056</v>
      </c>
      <c r="B3246" s="3">
        <v>46155</v>
      </c>
      <c r="C3246">
        <v>2</v>
      </c>
      <c r="D3246">
        <v>76.95</v>
      </c>
      <c r="F3246">
        <v>184707</v>
      </c>
      <c r="G3246" t="s">
        <v>28</v>
      </c>
      <c r="H3246">
        <v>669507265</v>
      </c>
      <c r="I3246" t="s">
        <v>29</v>
      </c>
      <c r="J3246" t="s">
        <v>29</v>
      </c>
      <c r="K3246" t="str">
        <f>IF(Table3[[#This Row],[Type Received]]=2,"CC",(IF(Table3[[#This Row],[Type Received]]=3,"BILL","ACH")))</f>
        <v>CC</v>
      </c>
    </row>
    <row r="3247" spans="1:11" x14ac:dyDescent="0.25">
      <c r="A3247">
        <v>246058</v>
      </c>
      <c r="B3247" s="3">
        <v>46145</v>
      </c>
      <c r="C3247">
        <v>1</v>
      </c>
      <c r="D3247">
        <v>50.89</v>
      </c>
      <c r="G3247" s="4" t="s">
        <v>113</v>
      </c>
      <c r="H3247">
        <v>546438624</v>
      </c>
      <c r="I3247" t="s">
        <v>29</v>
      </c>
      <c r="J3247" t="s">
        <v>29</v>
      </c>
      <c r="K3247" t="str">
        <f>IF(Table3[[#This Row],[Type Received]]=2,"CC",(IF(Table3[[#This Row],[Type Received]]=3,"BILL","ACH")))</f>
        <v>ACH</v>
      </c>
    </row>
    <row r="3248" spans="1:11" x14ac:dyDescent="0.25">
      <c r="A3248">
        <v>246104</v>
      </c>
      <c r="B3248" s="3">
        <v>46145</v>
      </c>
      <c r="C3248">
        <v>1</v>
      </c>
      <c r="D3248">
        <v>77.290000000000006</v>
      </c>
      <c r="G3248" t="s">
        <v>113</v>
      </c>
      <c r="H3248">
        <v>546442613</v>
      </c>
      <c r="I3248" t="s">
        <v>29</v>
      </c>
      <c r="J3248" t="s">
        <v>29</v>
      </c>
      <c r="K3248" t="str">
        <f>IF(Table3[[#This Row],[Type Received]]=2,"CC",(IF(Table3[[#This Row],[Type Received]]=3,"BILL","ACH")))</f>
        <v>ACH</v>
      </c>
    </row>
    <row r="3249" spans="1:11" x14ac:dyDescent="0.25">
      <c r="A3249">
        <v>246105</v>
      </c>
      <c r="B3249" s="3">
        <v>46157</v>
      </c>
      <c r="C3249">
        <v>1</v>
      </c>
      <c r="D3249">
        <v>78.39</v>
      </c>
      <c r="G3249" t="s">
        <v>87</v>
      </c>
      <c r="H3249">
        <v>696807637</v>
      </c>
      <c r="I3249" t="s">
        <v>29</v>
      </c>
      <c r="J3249" t="s">
        <v>29</v>
      </c>
      <c r="K3249" t="str">
        <f>IF(Table3[[#This Row],[Type Received]]=2,"CC",(IF(Table3[[#This Row],[Type Received]]=3,"BILL","ACH")))</f>
        <v>ACH</v>
      </c>
    </row>
    <row r="3250" spans="1:11" x14ac:dyDescent="0.25">
      <c r="A3250">
        <v>246135</v>
      </c>
      <c r="B3250" s="3">
        <v>46145</v>
      </c>
      <c r="C3250">
        <v>1</v>
      </c>
      <c r="D3250">
        <v>51.33</v>
      </c>
      <c r="G3250" t="s">
        <v>113</v>
      </c>
      <c r="H3250">
        <v>546454155</v>
      </c>
      <c r="I3250" t="s">
        <v>29</v>
      </c>
      <c r="J3250" t="s">
        <v>29</v>
      </c>
      <c r="K3250" t="str">
        <f>IF(Table3[[#This Row],[Type Received]]=2,"CC",(IF(Table3[[#This Row],[Type Received]]=3,"BILL","ACH")))</f>
        <v>ACH</v>
      </c>
    </row>
    <row r="3251" spans="1:11" x14ac:dyDescent="0.25">
      <c r="A3251">
        <v>246203</v>
      </c>
      <c r="B3251" s="3">
        <v>46169</v>
      </c>
      <c r="C3251">
        <v>3</v>
      </c>
      <c r="D3251">
        <v>341.98</v>
      </c>
      <c r="E3251">
        <v>6435</v>
      </c>
      <c r="G3251" s="4"/>
      <c r="K3251" t="str">
        <f>IF(Table3[[#This Row],[Type Received]]=2,"CC",(IF(Table3[[#This Row],[Type Received]]=3,"BILL","ACH")))</f>
        <v>BILL</v>
      </c>
    </row>
    <row r="3252" spans="1:11" x14ac:dyDescent="0.25">
      <c r="A3252">
        <v>246233</v>
      </c>
      <c r="B3252" s="3">
        <v>46160</v>
      </c>
      <c r="C3252">
        <v>2</v>
      </c>
      <c r="D3252">
        <v>143.94999999999999</v>
      </c>
      <c r="F3252">
        <v>209524</v>
      </c>
      <c r="G3252" t="s">
        <v>28</v>
      </c>
      <c r="H3252">
        <v>735398249</v>
      </c>
      <c r="I3252" t="s">
        <v>29</v>
      </c>
      <c r="K3252" t="str">
        <f>IF(Table3[[#This Row],[Type Received]]=2,"CC",(IF(Table3[[#This Row],[Type Received]]=3,"BILL","ACH")))</f>
        <v>CC</v>
      </c>
    </row>
    <row r="3253" spans="1:11" x14ac:dyDescent="0.25">
      <c r="A3253">
        <v>246257</v>
      </c>
      <c r="B3253" s="3">
        <v>46161</v>
      </c>
      <c r="C3253">
        <v>3</v>
      </c>
      <c r="D3253">
        <v>77.95</v>
      </c>
      <c r="E3253">
        <v>5614</v>
      </c>
      <c r="G3253" s="4"/>
      <c r="K3253" t="str">
        <f>IF(Table3[[#This Row],[Type Received]]=2,"CC",(IF(Table3[[#This Row],[Type Received]]=3,"BILL","ACH")))</f>
        <v>BILL</v>
      </c>
    </row>
    <row r="3254" spans="1:11" x14ac:dyDescent="0.25">
      <c r="A3254">
        <v>246257</v>
      </c>
      <c r="B3254" s="3">
        <v>46160</v>
      </c>
      <c r="C3254">
        <v>2</v>
      </c>
      <c r="D3254">
        <v>154.9</v>
      </c>
      <c r="F3254" t="s">
        <v>283</v>
      </c>
      <c r="G3254">
        <v>746573029</v>
      </c>
      <c r="H3254">
        <v>355058415</v>
      </c>
      <c r="J3254" t="s">
        <v>29</v>
      </c>
      <c r="K3254" t="str">
        <f>IF(Table3[[#This Row],[Type Received]]=2,"CC",(IF(Table3[[#This Row],[Type Received]]=3,"BILL","ACH")))</f>
        <v>CC</v>
      </c>
    </row>
    <row r="3255" spans="1:11" x14ac:dyDescent="0.25">
      <c r="A3255">
        <v>246265</v>
      </c>
      <c r="B3255" s="3">
        <v>46145</v>
      </c>
      <c r="C3255">
        <v>1</v>
      </c>
      <c r="D3255">
        <v>56.95</v>
      </c>
      <c r="G3255" t="s">
        <v>113</v>
      </c>
      <c r="H3255">
        <v>546450386</v>
      </c>
      <c r="I3255" t="s">
        <v>29</v>
      </c>
      <c r="J3255" t="s">
        <v>29</v>
      </c>
      <c r="K3255" t="str">
        <f>IF(Table3[[#This Row],[Type Received]]=2,"CC",(IF(Table3[[#This Row],[Type Received]]=3,"BILL","ACH")))</f>
        <v>ACH</v>
      </c>
    </row>
    <row r="3256" spans="1:11" x14ac:dyDescent="0.25">
      <c r="A3256">
        <v>246291</v>
      </c>
      <c r="B3256" s="3">
        <v>46157</v>
      </c>
      <c r="C3256">
        <v>1</v>
      </c>
      <c r="D3256">
        <v>129.76</v>
      </c>
      <c r="G3256" s="4" t="s">
        <v>87</v>
      </c>
      <c r="H3256">
        <v>696790048</v>
      </c>
      <c r="I3256" t="s">
        <v>29</v>
      </c>
      <c r="J3256" t="s">
        <v>29</v>
      </c>
      <c r="K3256" t="str">
        <f>IF(Table3[[#This Row],[Type Received]]=2,"CC",(IF(Table3[[#This Row],[Type Received]]=3,"BILL","ACH")))</f>
        <v>ACH</v>
      </c>
    </row>
    <row r="3257" spans="1:11" x14ac:dyDescent="0.25">
      <c r="A3257">
        <v>246322</v>
      </c>
      <c r="B3257" s="3">
        <v>46168</v>
      </c>
      <c r="C3257">
        <v>1</v>
      </c>
      <c r="D3257">
        <v>39.67</v>
      </c>
      <c r="G3257" t="s">
        <v>110</v>
      </c>
      <c r="H3257">
        <v>828305224</v>
      </c>
      <c r="I3257" t="s">
        <v>29</v>
      </c>
      <c r="K3257" t="str">
        <f>IF(Table3[[#This Row],[Type Received]]=2,"CC",(IF(Table3[[#This Row],[Type Received]]=3,"BILL","ACH")))</f>
        <v>ACH</v>
      </c>
    </row>
    <row r="3258" spans="1:11" x14ac:dyDescent="0.25">
      <c r="A3258">
        <v>246353</v>
      </c>
      <c r="B3258" s="3">
        <v>46168</v>
      </c>
      <c r="C3258">
        <v>1</v>
      </c>
      <c r="D3258">
        <v>33.51</v>
      </c>
      <c r="G3258" t="s">
        <v>110</v>
      </c>
      <c r="H3258">
        <v>828280990</v>
      </c>
      <c r="I3258" t="s">
        <v>29</v>
      </c>
      <c r="J3258" t="s">
        <v>29</v>
      </c>
      <c r="K3258" t="str">
        <f>IF(Table3[[#This Row],[Type Received]]=2,"CC",(IF(Table3[[#This Row],[Type Received]]=3,"BILL","ACH")))</f>
        <v>ACH</v>
      </c>
    </row>
    <row r="3259" spans="1:11" x14ac:dyDescent="0.25">
      <c r="A3259">
        <v>246370</v>
      </c>
      <c r="B3259" s="3">
        <v>46157</v>
      </c>
      <c r="C3259">
        <v>1</v>
      </c>
      <c r="D3259">
        <v>109.3</v>
      </c>
      <c r="G3259" t="s">
        <v>87</v>
      </c>
      <c r="H3259">
        <v>696792979</v>
      </c>
      <c r="I3259" t="s">
        <v>29</v>
      </c>
      <c r="J3259" t="s">
        <v>29</v>
      </c>
      <c r="K3259" t="str">
        <f>IF(Table3[[#This Row],[Type Received]]=2,"CC",(IF(Table3[[#This Row],[Type Received]]=3,"BILL","ACH")))</f>
        <v>ACH</v>
      </c>
    </row>
    <row r="3260" spans="1:11" x14ac:dyDescent="0.25">
      <c r="A3260">
        <v>246371</v>
      </c>
      <c r="B3260" s="3">
        <v>46168</v>
      </c>
      <c r="C3260">
        <v>1</v>
      </c>
      <c r="D3260">
        <v>61.45</v>
      </c>
      <c r="G3260" s="4" t="s">
        <v>110</v>
      </c>
      <c r="H3260">
        <v>828279095</v>
      </c>
      <c r="I3260" t="s">
        <v>29</v>
      </c>
      <c r="J3260" t="s">
        <v>29</v>
      </c>
      <c r="K3260" t="str">
        <f>IF(Table3[[#This Row],[Type Received]]=2,"CC",(IF(Table3[[#This Row],[Type Received]]=3,"BILL","ACH")))</f>
        <v>ACH</v>
      </c>
    </row>
    <row r="3261" spans="1:11" x14ac:dyDescent="0.25">
      <c r="A3261">
        <v>246373</v>
      </c>
      <c r="B3261" s="3">
        <v>46157</v>
      </c>
      <c r="C3261">
        <v>1</v>
      </c>
      <c r="D3261">
        <v>42.31</v>
      </c>
      <c r="G3261" s="4" t="s">
        <v>87</v>
      </c>
      <c r="H3261">
        <v>696815233</v>
      </c>
      <c r="I3261" t="s">
        <v>29</v>
      </c>
      <c r="K3261" t="str">
        <f>IF(Table3[[#This Row],[Type Received]]=2,"CC",(IF(Table3[[#This Row],[Type Received]]=3,"BILL","ACH")))</f>
        <v>ACH</v>
      </c>
    </row>
    <row r="3262" spans="1:11" x14ac:dyDescent="0.25">
      <c r="A3262">
        <v>246374</v>
      </c>
      <c r="B3262" s="3">
        <v>46157</v>
      </c>
      <c r="C3262">
        <v>1</v>
      </c>
      <c r="D3262">
        <v>77.95</v>
      </c>
      <c r="G3262" t="s">
        <v>87</v>
      </c>
      <c r="H3262">
        <v>696802730</v>
      </c>
      <c r="I3262" t="s">
        <v>29</v>
      </c>
      <c r="J3262" t="s">
        <v>29</v>
      </c>
      <c r="K3262" t="str">
        <f>IF(Table3[[#This Row],[Type Received]]=2,"CC",(IF(Table3[[#This Row],[Type Received]]=3,"BILL","ACH")))</f>
        <v>ACH</v>
      </c>
    </row>
    <row r="3263" spans="1:11" x14ac:dyDescent="0.25">
      <c r="A3263">
        <v>246381</v>
      </c>
      <c r="B3263" s="3">
        <v>46145</v>
      </c>
      <c r="C3263">
        <v>2</v>
      </c>
      <c r="D3263">
        <v>49.9</v>
      </c>
      <c r="F3263">
        <v>70549</v>
      </c>
      <c r="G3263" t="s">
        <v>28</v>
      </c>
      <c r="H3263">
        <v>546436744</v>
      </c>
      <c r="I3263" t="s">
        <v>29</v>
      </c>
      <c r="K3263" t="str">
        <f>IF(Table3[[#This Row],[Type Received]]=2,"CC",(IF(Table3[[#This Row],[Type Received]]=3,"BILL","ACH")))</f>
        <v>CC</v>
      </c>
    </row>
    <row r="3264" spans="1:11" x14ac:dyDescent="0.25">
      <c r="A3264">
        <v>246387</v>
      </c>
      <c r="B3264" s="3">
        <v>46157</v>
      </c>
      <c r="C3264">
        <v>1</v>
      </c>
      <c r="D3264">
        <v>123.82</v>
      </c>
      <c r="G3264" s="4" t="s">
        <v>87</v>
      </c>
      <c r="H3264">
        <v>696792033</v>
      </c>
      <c r="I3264" t="s">
        <v>29</v>
      </c>
      <c r="K3264" t="str">
        <f>IF(Table3[[#This Row],[Type Received]]=2,"CC",(IF(Table3[[#This Row],[Type Received]]=3,"BILL","ACH")))</f>
        <v>ACH</v>
      </c>
    </row>
    <row r="3265" spans="1:11" x14ac:dyDescent="0.25">
      <c r="A3265">
        <v>246398</v>
      </c>
      <c r="B3265" s="3">
        <v>46157</v>
      </c>
      <c r="C3265">
        <v>1</v>
      </c>
      <c r="D3265">
        <v>114.25</v>
      </c>
      <c r="G3265" t="s">
        <v>87</v>
      </c>
      <c r="H3265">
        <v>696807620</v>
      </c>
      <c r="I3265" t="s">
        <v>29</v>
      </c>
      <c r="J3265" t="s">
        <v>29</v>
      </c>
      <c r="K3265" t="str">
        <f>IF(Table3[[#This Row],[Type Received]]=2,"CC",(IF(Table3[[#This Row],[Type Received]]=3,"BILL","ACH")))</f>
        <v>ACH</v>
      </c>
    </row>
    <row r="3266" spans="1:11" x14ac:dyDescent="0.25">
      <c r="A3266">
        <v>246406</v>
      </c>
      <c r="B3266" s="3">
        <v>46145</v>
      </c>
      <c r="C3266">
        <v>1</v>
      </c>
      <c r="D3266">
        <v>77.069999999999993</v>
      </c>
      <c r="G3266" t="s">
        <v>113</v>
      </c>
      <c r="H3266">
        <v>546435807</v>
      </c>
      <c r="I3266" t="s">
        <v>29</v>
      </c>
      <c r="K3266" t="str">
        <f>IF(Table3[[#This Row],[Type Received]]=2,"CC",(IF(Table3[[#This Row],[Type Received]]=3,"BILL","ACH")))</f>
        <v>ACH</v>
      </c>
    </row>
    <row r="3267" spans="1:11" x14ac:dyDescent="0.25">
      <c r="A3267">
        <v>246435</v>
      </c>
      <c r="B3267" s="3">
        <v>46157</v>
      </c>
      <c r="C3267">
        <v>1</v>
      </c>
      <c r="D3267">
        <v>54.95</v>
      </c>
      <c r="G3267" t="s">
        <v>87</v>
      </c>
      <c r="H3267">
        <v>696815289</v>
      </c>
      <c r="I3267" t="s">
        <v>29</v>
      </c>
      <c r="J3267" t="s">
        <v>29</v>
      </c>
      <c r="K3267" t="str">
        <f>IF(Table3[[#This Row],[Type Received]]=2,"CC",(IF(Table3[[#This Row],[Type Received]]=3,"BILL","ACH")))</f>
        <v>ACH</v>
      </c>
    </row>
    <row r="3268" spans="1:11" x14ac:dyDescent="0.25">
      <c r="A3268">
        <v>246436</v>
      </c>
      <c r="B3268" s="3">
        <v>46168</v>
      </c>
      <c r="C3268">
        <v>1</v>
      </c>
      <c r="D3268">
        <v>56.95</v>
      </c>
      <c r="G3268" t="s">
        <v>110</v>
      </c>
      <c r="H3268">
        <v>828286736</v>
      </c>
      <c r="I3268" t="s">
        <v>29</v>
      </c>
      <c r="J3268" t="s">
        <v>29</v>
      </c>
      <c r="K3268" t="str">
        <f>IF(Table3[[#This Row],[Type Received]]=2,"CC",(IF(Table3[[#This Row],[Type Received]]=3,"BILL","ACH")))</f>
        <v>ACH</v>
      </c>
    </row>
    <row r="3269" spans="1:11" x14ac:dyDescent="0.25">
      <c r="A3269">
        <v>246447</v>
      </c>
      <c r="B3269" s="3">
        <v>46145</v>
      </c>
      <c r="C3269">
        <v>1</v>
      </c>
      <c r="D3269">
        <v>58.81</v>
      </c>
      <c r="G3269" t="s">
        <v>113</v>
      </c>
      <c r="H3269">
        <v>546445497</v>
      </c>
      <c r="I3269" t="s">
        <v>29</v>
      </c>
      <c r="J3269" t="s">
        <v>29</v>
      </c>
      <c r="K3269" t="str">
        <f>IF(Table3[[#This Row],[Type Received]]=2,"CC",(IF(Table3[[#This Row],[Type Received]]=3,"BILL","ACH")))</f>
        <v>ACH</v>
      </c>
    </row>
    <row r="3270" spans="1:11" x14ac:dyDescent="0.25">
      <c r="A3270">
        <v>246459</v>
      </c>
      <c r="B3270" s="3">
        <v>46145</v>
      </c>
      <c r="C3270">
        <v>1</v>
      </c>
      <c r="D3270">
        <v>103.69</v>
      </c>
      <c r="G3270" t="s">
        <v>113</v>
      </c>
      <c r="H3270">
        <v>546439679</v>
      </c>
      <c r="I3270" t="s">
        <v>29</v>
      </c>
      <c r="K3270" t="str">
        <f>IF(Table3[[#This Row],[Type Received]]=2,"CC",(IF(Table3[[#This Row],[Type Received]]=3,"BILL","ACH")))</f>
        <v>ACH</v>
      </c>
    </row>
    <row r="3271" spans="1:11" x14ac:dyDescent="0.25">
      <c r="A3271">
        <v>246487</v>
      </c>
      <c r="B3271" s="3">
        <v>46166</v>
      </c>
      <c r="C3271">
        <v>2</v>
      </c>
      <c r="D3271">
        <v>109.3</v>
      </c>
      <c r="F3271">
        <v>666089</v>
      </c>
      <c r="G3271">
        <v>748427872</v>
      </c>
      <c r="H3271">
        <v>355661345</v>
      </c>
      <c r="K3271" t="str">
        <f>IF(Table3[[#This Row],[Type Received]]=2,"CC",(IF(Table3[[#This Row],[Type Received]]=3,"BILL","ACH")))</f>
        <v>CC</v>
      </c>
    </row>
    <row r="3272" spans="1:11" x14ac:dyDescent="0.25">
      <c r="A3272">
        <v>246496</v>
      </c>
      <c r="B3272" s="3">
        <v>46162</v>
      </c>
      <c r="C3272">
        <v>2</v>
      </c>
      <c r="D3272">
        <v>33.479999999999997</v>
      </c>
      <c r="F3272">
        <v>146030</v>
      </c>
      <c r="G3272">
        <v>747121142</v>
      </c>
      <c r="H3272">
        <v>355207861</v>
      </c>
      <c r="J3272" t="s">
        <v>29</v>
      </c>
      <c r="K3272" t="str">
        <f>IF(Table3[[#This Row],[Type Received]]=2,"CC",(IF(Table3[[#This Row],[Type Received]]=3,"BILL","ACH")))</f>
        <v>CC</v>
      </c>
    </row>
    <row r="3273" spans="1:11" x14ac:dyDescent="0.25">
      <c r="A3273">
        <v>246499</v>
      </c>
      <c r="B3273" s="3">
        <v>46145</v>
      </c>
      <c r="C3273">
        <v>1</v>
      </c>
      <c r="D3273">
        <v>54.91</v>
      </c>
      <c r="G3273" t="s">
        <v>113</v>
      </c>
      <c r="H3273">
        <v>546440800</v>
      </c>
      <c r="I3273" t="s">
        <v>29</v>
      </c>
      <c r="J3273" t="s">
        <v>29</v>
      </c>
      <c r="K3273" t="str">
        <f>IF(Table3[[#This Row],[Type Received]]=2,"CC",(IF(Table3[[#This Row],[Type Received]]=3,"BILL","ACH")))</f>
        <v>ACH</v>
      </c>
    </row>
    <row r="3274" spans="1:11" x14ac:dyDescent="0.25">
      <c r="A3274">
        <v>246547</v>
      </c>
      <c r="B3274" s="3">
        <v>46168</v>
      </c>
      <c r="C3274">
        <v>1</v>
      </c>
      <c r="D3274">
        <v>68.11</v>
      </c>
      <c r="G3274" t="s">
        <v>110</v>
      </c>
      <c r="H3274">
        <v>828292494</v>
      </c>
      <c r="I3274" t="s">
        <v>29</v>
      </c>
      <c r="K3274" t="str">
        <f>IF(Table3[[#This Row],[Type Received]]=2,"CC",(IF(Table3[[#This Row],[Type Received]]=3,"BILL","ACH")))</f>
        <v>ACH</v>
      </c>
    </row>
    <row r="3275" spans="1:11" x14ac:dyDescent="0.25">
      <c r="A3275">
        <v>246552</v>
      </c>
      <c r="B3275" s="3">
        <v>46145</v>
      </c>
      <c r="C3275">
        <v>1</v>
      </c>
      <c r="D3275">
        <v>63.71</v>
      </c>
      <c r="G3275" s="4" t="s">
        <v>113</v>
      </c>
      <c r="H3275">
        <v>546429049</v>
      </c>
      <c r="I3275" t="s">
        <v>29</v>
      </c>
      <c r="K3275" t="str">
        <f>IF(Table3[[#This Row],[Type Received]]=2,"CC",(IF(Table3[[#This Row],[Type Received]]=3,"BILL","ACH")))</f>
        <v>ACH</v>
      </c>
    </row>
    <row r="3276" spans="1:11" x14ac:dyDescent="0.25">
      <c r="A3276">
        <v>246560</v>
      </c>
      <c r="B3276" s="3">
        <v>46157</v>
      </c>
      <c r="C3276">
        <v>1</v>
      </c>
      <c r="D3276">
        <v>154.26</v>
      </c>
      <c r="G3276" t="s">
        <v>87</v>
      </c>
      <c r="H3276">
        <v>698190488</v>
      </c>
      <c r="I3276" t="s">
        <v>29</v>
      </c>
      <c r="J3276" t="s">
        <v>29</v>
      </c>
      <c r="K3276" t="str">
        <f>IF(Table3[[#This Row],[Type Received]]=2,"CC",(IF(Table3[[#This Row],[Type Received]]=3,"BILL","ACH")))</f>
        <v>ACH</v>
      </c>
    </row>
    <row r="3277" spans="1:11" x14ac:dyDescent="0.25">
      <c r="A3277">
        <v>246619</v>
      </c>
      <c r="B3277" s="3">
        <v>46157</v>
      </c>
      <c r="C3277">
        <v>1</v>
      </c>
      <c r="D3277">
        <v>82.3</v>
      </c>
      <c r="G3277" t="s">
        <v>87</v>
      </c>
      <c r="H3277">
        <v>696820132</v>
      </c>
      <c r="I3277" t="s">
        <v>29</v>
      </c>
      <c r="K3277" t="str">
        <f>IF(Table3[[#This Row],[Type Received]]=2,"CC",(IF(Table3[[#This Row],[Type Received]]=3,"BILL","ACH")))</f>
        <v>ACH</v>
      </c>
    </row>
    <row r="3278" spans="1:11" x14ac:dyDescent="0.25">
      <c r="A3278">
        <v>246637</v>
      </c>
      <c r="B3278" s="3">
        <v>46146</v>
      </c>
      <c r="C3278">
        <v>3</v>
      </c>
      <c r="D3278">
        <v>69.010000000000005</v>
      </c>
      <c r="E3278">
        <v>5354</v>
      </c>
      <c r="J3278" t="s">
        <v>29</v>
      </c>
      <c r="K3278" t="str">
        <f>IF(Table3[[#This Row],[Type Received]]=2,"CC",(IF(Table3[[#This Row],[Type Received]]=3,"BILL","ACH")))</f>
        <v>BILL</v>
      </c>
    </row>
    <row r="3279" spans="1:11" x14ac:dyDescent="0.25">
      <c r="A3279">
        <v>246653</v>
      </c>
      <c r="B3279" s="3">
        <v>46155</v>
      </c>
      <c r="C3279">
        <v>2</v>
      </c>
      <c r="D3279">
        <v>59.55</v>
      </c>
      <c r="F3279">
        <v>284163</v>
      </c>
      <c r="G3279" s="4">
        <v>744917848</v>
      </c>
      <c r="H3279">
        <v>354442503</v>
      </c>
      <c r="K3279" t="str">
        <f>IF(Table3[[#This Row],[Type Received]]=2,"CC",(IF(Table3[[#This Row],[Type Received]]=3,"BILL","ACH")))</f>
        <v>CC</v>
      </c>
    </row>
    <row r="3280" spans="1:11" x14ac:dyDescent="0.25">
      <c r="A3280">
        <v>246681</v>
      </c>
      <c r="B3280" s="3">
        <v>46145</v>
      </c>
      <c r="C3280">
        <v>1</v>
      </c>
      <c r="D3280">
        <v>41.05</v>
      </c>
      <c r="G3280" t="s">
        <v>113</v>
      </c>
      <c r="H3280">
        <v>546455173</v>
      </c>
      <c r="I3280" t="s">
        <v>29</v>
      </c>
      <c r="J3280" t="s">
        <v>29</v>
      </c>
      <c r="K3280" t="str">
        <f>IF(Table3[[#This Row],[Type Received]]=2,"CC",(IF(Table3[[#This Row],[Type Received]]=3,"BILL","ACH")))</f>
        <v>ACH</v>
      </c>
    </row>
    <row r="3281" spans="1:11" x14ac:dyDescent="0.25">
      <c r="A3281">
        <v>246686</v>
      </c>
      <c r="B3281" s="3">
        <v>46148</v>
      </c>
      <c r="C3281">
        <v>2</v>
      </c>
      <c r="D3281">
        <v>72.290000000000006</v>
      </c>
      <c r="F3281">
        <v>90004</v>
      </c>
      <c r="G3281" t="s">
        <v>28</v>
      </c>
      <c r="H3281">
        <v>582126792</v>
      </c>
      <c r="I3281" t="s">
        <v>29</v>
      </c>
      <c r="J3281" t="s">
        <v>29</v>
      </c>
      <c r="K3281" t="str">
        <f>IF(Table3[[#This Row],[Type Received]]=2,"CC",(IF(Table3[[#This Row],[Type Received]]=3,"BILL","ACH")))</f>
        <v>CC</v>
      </c>
    </row>
    <row r="3282" spans="1:11" x14ac:dyDescent="0.25">
      <c r="A3282">
        <v>246689</v>
      </c>
      <c r="B3282" s="3">
        <v>46156</v>
      </c>
      <c r="C3282">
        <v>3</v>
      </c>
      <c r="D3282">
        <v>133.94</v>
      </c>
      <c r="E3282">
        <v>7817</v>
      </c>
      <c r="K3282" t="str">
        <f>IF(Table3[[#This Row],[Type Received]]=2,"CC",(IF(Table3[[#This Row],[Type Received]]=3,"BILL","ACH")))</f>
        <v>BILL</v>
      </c>
    </row>
    <row r="3283" spans="1:11" x14ac:dyDescent="0.25">
      <c r="A3283">
        <v>246719</v>
      </c>
      <c r="B3283" s="3">
        <v>46155</v>
      </c>
      <c r="C3283">
        <v>2</v>
      </c>
      <c r="D3283">
        <v>128.77000000000001</v>
      </c>
      <c r="F3283">
        <v>101270</v>
      </c>
      <c r="G3283" s="4" t="s">
        <v>28</v>
      </c>
      <c r="H3283">
        <v>669486988</v>
      </c>
      <c r="I3283" t="s">
        <v>29</v>
      </c>
      <c r="J3283" t="s">
        <v>29</v>
      </c>
      <c r="K3283" t="str">
        <f>IF(Table3[[#This Row],[Type Received]]=2,"CC",(IF(Table3[[#This Row],[Type Received]]=3,"BILL","ACH")))</f>
        <v>CC</v>
      </c>
    </row>
    <row r="3284" spans="1:11" x14ac:dyDescent="0.25">
      <c r="A3284">
        <v>246735</v>
      </c>
      <c r="B3284" s="3">
        <v>46155</v>
      </c>
      <c r="C3284">
        <v>1</v>
      </c>
      <c r="D3284">
        <v>181.96</v>
      </c>
      <c r="G3284" t="s">
        <v>90</v>
      </c>
      <c r="H3284">
        <v>669509794</v>
      </c>
      <c r="I3284" t="s">
        <v>29</v>
      </c>
      <c r="J3284" t="s">
        <v>29</v>
      </c>
      <c r="K3284" t="str">
        <f>IF(Table3[[#This Row],[Type Received]]=2,"CC",(IF(Table3[[#This Row],[Type Received]]=3,"BILL","ACH")))</f>
        <v>ACH</v>
      </c>
    </row>
    <row r="3285" spans="1:11" x14ac:dyDescent="0.25">
      <c r="A3285">
        <v>246773</v>
      </c>
      <c r="B3285" s="3">
        <v>46163</v>
      </c>
      <c r="C3285">
        <v>2</v>
      </c>
      <c r="D3285">
        <v>118.27</v>
      </c>
      <c r="F3285">
        <v>21255</v>
      </c>
      <c r="G3285" s="4" t="s">
        <v>28</v>
      </c>
      <c r="H3285">
        <v>773244391</v>
      </c>
      <c r="I3285" t="s">
        <v>29</v>
      </c>
      <c r="K3285" t="str">
        <f>IF(Table3[[#This Row],[Type Received]]=2,"CC",(IF(Table3[[#This Row],[Type Received]]=3,"BILL","ACH")))</f>
        <v>CC</v>
      </c>
    </row>
    <row r="3286" spans="1:11" x14ac:dyDescent="0.25">
      <c r="A3286">
        <v>246782</v>
      </c>
      <c r="B3286" s="3">
        <v>46170</v>
      </c>
      <c r="C3286">
        <v>3</v>
      </c>
      <c r="D3286">
        <v>184.1</v>
      </c>
      <c r="E3286">
        <v>2811</v>
      </c>
      <c r="J3286" t="s">
        <v>29</v>
      </c>
      <c r="K3286" t="str">
        <f>IF(Table3[[#This Row],[Type Received]]=2,"CC",(IF(Table3[[#This Row],[Type Received]]=3,"BILL","ACH")))</f>
        <v>BILL</v>
      </c>
    </row>
    <row r="3287" spans="1:11" x14ac:dyDescent="0.25">
      <c r="A3287">
        <v>246784</v>
      </c>
      <c r="B3287" s="3">
        <v>46157</v>
      </c>
      <c r="C3287">
        <v>1</v>
      </c>
      <c r="D3287">
        <v>35.33</v>
      </c>
      <c r="G3287" t="s">
        <v>87</v>
      </c>
      <c r="H3287">
        <v>696792087</v>
      </c>
      <c r="I3287" t="s">
        <v>29</v>
      </c>
      <c r="J3287" t="s">
        <v>29</v>
      </c>
      <c r="K3287" t="str">
        <f>IF(Table3[[#This Row],[Type Received]]=2,"CC",(IF(Table3[[#This Row],[Type Received]]=3,"BILL","ACH")))</f>
        <v>ACH</v>
      </c>
    </row>
    <row r="3288" spans="1:11" x14ac:dyDescent="0.25">
      <c r="A3288">
        <v>246830</v>
      </c>
      <c r="B3288" s="3">
        <v>46145</v>
      </c>
      <c r="C3288">
        <v>2</v>
      </c>
      <c r="D3288">
        <v>62.95</v>
      </c>
      <c r="F3288" t="s">
        <v>284</v>
      </c>
      <c r="G3288" s="4" t="s">
        <v>28</v>
      </c>
      <c r="H3288">
        <v>546454193</v>
      </c>
      <c r="I3288" t="s">
        <v>29</v>
      </c>
      <c r="J3288" t="s">
        <v>29</v>
      </c>
      <c r="K3288" t="str">
        <f>IF(Table3[[#This Row],[Type Received]]=2,"CC",(IF(Table3[[#This Row],[Type Received]]=3,"BILL","ACH")))</f>
        <v>CC</v>
      </c>
    </row>
    <row r="3289" spans="1:11" x14ac:dyDescent="0.25">
      <c r="A3289">
        <v>246846</v>
      </c>
      <c r="B3289" s="3">
        <v>46168</v>
      </c>
      <c r="C3289">
        <v>1</v>
      </c>
      <c r="D3289">
        <v>35.549999999999997</v>
      </c>
      <c r="G3289" s="4" t="s">
        <v>110</v>
      </c>
      <c r="H3289">
        <v>828298491</v>
      </c>
      <c r="I3289" t="s">
        <v>29</v>
      </c>
      <c r="J3289" t="s">
        <v>29</v>
      </c>
      <c r="K3289" t="str">
        <f>IF(Table3[[#This Row],[Type Received]]=2,"CC",(IF(Table3[[#This Row],[Type Received]]=3,"BILL","ACH")))</f>
        <v>ACH</v>
      </c>
    </row>
    <row r="3290" spans="1:11" x14ac:dyDescent="0.25">
      <c r="A3290">
        <v>246894</v>
      </c>
      <c r="B3290" s="3">
        <v>46157</v>
      </c>
      <c r="C3290">
        <v>2</v>
      </c>
      <c r="D3290">
        <v>68.37</v>
      </c>
      <c r="F3290">
        <v>15738</v>
      </c>
      <c r="G3290" t="s">
        <v>28</v>
      </c>
      <c r="H3290">
        <v>696793074</v>
      </c>
      <c r="I3290" t="s">
        <v>29</v>
      </c>
      <c r="J3290" t="s">
        <v>29</v>
      </c>
      <c r="K3290" t="str">
        <f>IF(Table3[[#This Row],[Type Received]]=2,"CC",(IF(Table3[[#This Row],[Type Received]]=3,"BILL","ACH")))</f>
        <v>CC</v>
      </c>
    </row>
    <row r="3291" spans="1:11" x14ac:dyDescent="0.25">
      <c r="A3291">
        <v>246931</v>
      </c>
      <c r="B3291" s="3">
        <v>46145</v>
      </c>
      <c r="C3291">
        <v>1</v>
      </c>
      <c r="D3291">
        <v>39.950000000000003</v>
      </c>
      <c r="G3291" t="s">
        <v>113</v>
      </c>
      <c r="H3291">
        <v>546450443</v>
      </c>
      <c r="I3291" t="s">
        <v>29</v>
      </c>
      <c r="J3291" t="s">
        <v>29</v>
      </c>
      <c r="K3291" t="str">
        <f>IF(Table3[[#This Row],[Type Received]]=2,"CC",(IF(Table3[[#This Row],[Type Received]]=3,"BILL","ACH")))</f>
        <v>ACH</v>
      </c>
    </row>
    <row r="3292" spans="1:11" x14ac:dyDescent="0.25">
      <c r="A3292">
        <v>246949</v>
      </c>
      <c r="B3292" s="3">
        <v>46147</v>
      </c>
      <c r="C3292">
        <v>2</v>
      </c>
      <c r="D3292">
        <v>84.95</v>
      </c>
      <c r="F3292">
        <v>822729</v>
      </c>
      <c r="G3292" t="s">
        <v>28</v>
      </c>
      <c r="H3292">
        <v>569079480</v>
      </c>
      <c r="I3292" t="s">
        <v>29</v>
      </c>
      <c r="J3292" t="s">
        <v>29</v>
      </c>
      <c r="K3292" t="str">
        <f>IF(Table3[[#This Row],[Type Received]]=2,"CC",(IF(Table3[[#This Row],[Type Received]]=3,"BILL","ACH")))</f>
        <v>CC</v>
      </c>
    </row>
    <row r="3293" spans="1:11" x14ac:dyDescent="0.25">
      <c r="A3293">
        <v>246950</v>
      </c>
      <c r="B3293" s="3">
        <v>46145</v>
      </c>
      <c r="C3293">
        <v>2</v>
      </c>
      <c r="D3293">
        <v>157.87</v>
      </c>
      <c r="F3293" t="s">
        <v>285</v>
      </c>
      <c r="G3293" t="s">
        <v>28</v>
      </c>
      <c r="H3293">
        <v>546455185</v>
      </c>
      <c r="I3293" t="s">
        <v>29</v>
      </c>
      <c r="K3293" t="str">
        <f>IF(Table3[[#This Row],[Type Received]]=2,"CC",(IF(Table3[[#This Row],[Type Received]]=3,"BILL","ACH")))</f>
        <v>CC</v>
      </c>
    </row>
    <row r="3294" spans="1:11" x14ac:dyDescent="0.25">
      <c r="A3294">
        <v>246956</v>
      </c>
      <c r="B3294" s="3">
        <v>46155</v>
      </c>
      <c r="C3294">
        <v>2</v>
      </c>
      <c r="D3294">
        <v>87.58</v>
      </c>
      <c r="F3294" t="s">
        <v>286</v>
      </c>
      <c r="G3294" t="s">
        <v>28</v>
      </c>
      <c r="H3294">
        <v>669506410</v>
      </c>
      <c r="I3294" t="s">
        <v>29</v>
      </c>
      <c r="K3294" t="str">
        <f>IF(Table3[[#This Row],[Type Received]]=2,"CC",(IF(Table3[[#This Row],[Type Received]]=3,"BILL","ACH")))</f>
        <v>CC</v>
      </c>
    </row>
    <row r="3295" spans="1:11" x14ac:dyDescent="0.25">
      <c r="A3295">
        <v>247006</v>
      </c>
      <c r="B3295" s="3">
        <v>46167</v>
      </c>
      <c r="C3295">
        <v>1</v>
      </c>
      <c r="D3295">
        <v>62.95</v>
      </c>
      <c r="G3295" t="s">
        <v>85</v>
      </c>
      <c r="H3295">
        <v>818395310</v>
      </c>
      <c r="I3295" t="s">
        <v>29</v>
      </c>
      <c r="J3295" t="s">
        <v>29</v>
      </c>
      <c r="K3295" t="str">
        <f>IF(Table3[[#This Row],[Type Received]]=2,"CC",(IF(Table3[[#This Row],[Type Received]]=3,"BILL","ACH")))</f>
        <v>ACH</v>
      </c>
    </row>
    <row r="3296" spans="1:11" x14ac:dyDescent="0.25">
      <c r="A3296">
        <v>247035</v>
      </c>
      <c r="B3296" s="3">
        <v>46168</v>
      </c>
      <c r="C3296">
        <v>3</v>
      </c>
      <c r="D3296">
        <v>64.95</v>
      </c>
      <c r="E3296">
        <v>2941</v>
      </c>
      <c r="J3296" t="s">
        <v>29</v>
      </c>
      <c r="K3296" t="str">
        <f>IF(Table3[[#This Row],[Type Received]]=2,"CC",(IF(Table3[[#This Row],[Type Received]]=3,"BILL","ACH")))</f>
        <v>BILL</v>
      </c>
    </row>
    <row r="3297" spans="1:11" x14ac:dyDescent="0.25">
      <c r="A3297">
        <v>247054</v>
      </c>
      <c r="B3297" s="3">
        <v>46145</v>
      </c>
      <c r="C3297">
        <v>1</v>
      </c>
      <c r="D3297">
        <v>109.36</v>
      </c>
      <c r="G3297" t="s">
        <v>113</v>
      </c>
      <c r="H3297">
        <v>546432916</v>
      </c>
      <c r="I3297" t="s">
        <v>29</v>
      </c>
      <c r="J3297" t="s">
        <v>29</v>
      </c>
      <c r="K3297" t="str">
        <f>IF(Table3[[#This Row],[Type Received]]=2,"CC",(IF(Table3[[#This Row],[Type Received]]=3,"BILL","ACH")))</f>
        <v>ACH</v>
      </c>
    </row>
    <row r="3298" spans="1:11" x14ac:dyDescent="0.25">
      <c r="A3298">
        <v>247058</v>
      </c>
      <c r="B3298" s="3">
        <v>46145</v>
      </c>
      <c r="C3298">
        <v>1</v>
      </c>
      <c r="D3298">
        <v>39.4</v>
      </c>
      <c r="G3298" t="s">
        <v>113</v>
      </c>
      <c r="H3298">
        <v>546453310</v>
      </c>
      <c r="I3298" t="s">
        <v>29</v>
      </c>
      <c r="J3298" t="s">
        <v>29</v>
      </c>
      <c r="K3298" t="str">
        <f>IF(Table3[[#This Row],[Type Received]]=2,"CC",(IF(Table3[[#This Row],[Type Received]]=3,"BILL","ACH")))</f>
        <v>ACH</v>
      </c>
    </row>
    <row r="3299" spans="1:11" x14ac:dyDescent="0.25">
      <c r="A3299">
        <v>247107</v>
      </c>
      <c r="B3299" s="3">
        <v>46155</v>
      </c>
      <c r="C3299">
        <v>2</v>
      </c>
      <c r="D3299">
        <v>109.69</v>
      </c>
      <c r="F3299" t="s">
        <v>287</v>
      </c>
      <c r="G3299" t="s">
        <v>28</v>
      </c>
      <c r="H3299">
        <v>669486997</v>
      </c>
      <c r="I3299" t="s">
        <v>29</v>
      </c>
      <c r="K3299" t="str">
        <f>IF(Table3[[#This Row],[Type Received]]=2,"CC",(IF(Table3[[#This Row],[Type Received]]=3,"BILL","ACH")))</f>
        <v>CC</v>
      </c>
    </row>
    <row r="3300" spans="1:11" x14ac:dyDescent="0.25">
      <c r="A3300">
        <v>247130</v>
      </c>
      <c r="B3300" s="3">
        <v>46143</v>
      </c>
      <c r="C3300">
        <v>1</v>
      </c>
      <c r="D3300">
        <v>46.33</v>
      </c>
      <c r="G3300" s="4" t="s">
        <v>84</v>
      </c>
      <c r="H3300">
        <v>522180258</v>
      </c>
      <c r="I3300" t="s">
        <v>29</v>
      </c>
      <c r="J3300" t="s">
        <v>29</v>
      </c>
      <c r="K3300" t="str">
        <f>IF(Table3[[#This Row],[Type Received]]=2,"CC",(IF(Table3[[#This Row],[Type Received]]=3,"BILL","ACH")))</f>
        <v>ACH</v>
      </c>
    </row>
    <row r="3301" spans="1:11" x14ac:dyDescent="0.25">
      <c r="A3301">
        <v>247145</v>
      </c>
      <c r="B3301" s="3">
        <v>46157</v>
      </c>
      <c r="C3301">
        <v>1</v>
      </c>
      <c r="D3301">
        <v>155.56</v>
      </c>
      <c r="G3301" s="4" t="s">
        <v>87</v>
      </c>
      <c r="H3301">
        <v>696674237</v>
      </c>
      <c r="I3301" t="s">
        <v>29</v>
      </c>
      <c r="J3301" t="s">
        <v>29</v>
      </c>
      <c r="K3301" t="str">
        <f>IF(Table3[[#This Row],[Type Received]]=2,"CC",(IF(Table3[[#This Row],[Type Received]]=3,"BILL","ACH")))</f>
        <v>ACH</v>
      </c>
    </row>
    <row r="3302" spans="1:11" x14ac:dyDescent="0.25">
      <c r="A3302">
        <v>247206</v>
      </c>
      <c r="B3302" s="3">
        <v>46145</v>
      </c>
      <c r="C3302">
        <v>1</v>
      </c>
      <c r="D3302">
        <v>82.95</v>
      </c>
      <c r="G3302" t="s">
        <v>113</v>
      </c>
      <c r="H3302">
        <v>546454217</v>
      </c>
      <c r="I3302" t="s">
        <v>29</v>
      </c>
      <c r="J3302" t="s">
        <v>29</v>
      </c>
      <c r="K3302" t="str">
        <f>IF(Table3[[#This Row],[Type Received]]=2,"CC",(IF(Table3[[#This Row],[Type Received]]=3,"BILL","ACH")))</f>
        <v>ACH</v>
      </c>
    </row>
    <row r="3303" spans="1:11" x14ac:dyDescent="0.25">
      <c r="A3303">
        <v>247230</v>
      </c>
      <c r="B3303" s="3">
        <v>46150</v>
      </c>
      <c r="C3303">
        <v>3</v>
      </c>
      <c r="D3303">
        <v>183.31</v>
      </c>
      <c r="E3303">
        <v>75651379</v>
      </c>
      <c r="J3303" t="s">
        <v>29</v>
      </c>
      <c r="K3303" t="str">
        <f>IF(Table3[[#This Row],[Type Received]]=2,"CC",(IF(Table3[[#This Row],[Type Received]]=3,"BILL","ACH")))</f>
        <v>BILL</v>
      </c>
    </row>
    <row r="3304" spans="1:11" x14ac:dyDescent="0.25">
      <c r="A3304">
        <v>247256</v>
      </c>
      <c r="B3304" s="3">
        <v>46157</v>
      </c>
      <c r="C3304">
        <v>1</v>
      </c>
      <c r="D3304">
        <v>42.15</v>
      </c>
      <c r="G3304" t="s">
        <v>87</v>
      </c>
      <c r="H3304">
        <v>696815319</v>
      </c>
      <c r="I3304" t="s">
        <v>29</v>
      </c>
      <c r="J3304" t="s">
        <v>29</v>
      </c>
      <c r="K3304" t="str">
        <f>IF(Table3[[#This Row],[Type Received]]=2,"CC",(IF(Table3[[#This Row],[Type Received]]=3,"BILL","ACH")))</f>
        <v>ACH</v>
      </c>
    </row>
    <row r="3305" spans="1:11" x14ac:dyDescent="0.25">
      <c r="A3305">
        <v>247275</v>
      </c>
      <c r="B3305" s="3">
        <v>46147</v>
      </c>
      <c r="C3305">
        <v>1</v>
      </c>
      <c r="D3305">
        <v>44.13</v>
      </c>
      <c r="G3305" t="s">
        <v>86</v>
      </c>
      <c r="H3305">
        <v>569476797</v>
      </c>
      <c r="I3305" t="s">
        <v>29</v>
      </c>
      <c r="K3305" t="str">
        <f>IF(Table3[[#This Row],[Type Received]]=2,"CC",(IF(Table3[[#This Row],[Type Received]]=3,"BILL","ACH")))</f>
        <v>ACH</v>
      </c>
    </row>
    <row r="3306" spans="1:11" x14ac:dyDescent="0.25">
      <c r="A3306">
        <v>247284</v>
      </c>
      <c r="B3306" s="3">
        <v>46145</v>
      </c>
      <c r="C3306">
        <v>1</v>
      </c>
      <c r="D3306">
        <v>116.07</v>
      </c>
      <c r="G3306" t="s">
        <v>113</v>
      </c>
      <c r="H3306">
        <v>546431051</v>
      </c>
      <c r="I3306" t="s">
        <v>29</v>
      </c>
      <c r="K3306" t="str">
        <f>IF(Table3[[#This Row],[Type Received]]=2,"CC",(IF(Table3[[#This Row],[Type Received]]=3,"BILL","ACH")))</f>
        <v>ACH</v>
      </c>
    </row>
    <row r="3307" spans="1:11" x14ac:dyDescent="0.25">
      <c r="A3307">
        <v>247293</v>
      </c>
      <c r="B3307" s="3">
        <v>46168</v>
      </c>
      <c r="C3307">
        <v>3</v>
      </c>
      <c r="D3307">
        <v>329.86</v>
      </c>
      <c r="E3307">
        <v>1540</v>
      </c>
      <c r="J3307" t="s">
        <v>29</v>
      </c>
      <c r="K3307" t="str">
        <f>IF(Table3[[#This Row],[Type Received]]=2,"CC",(IF(Table3[[#This Row],[Type Received]]=3,"BILL","ACH")))</f>
        <v>BILL</v>
      </c>
    </row>
    <row r="3308" spans="1:11" x14ac:dyDescent="0.25">
      <c r="A3308">
        <v>247318</v>
      </c>
      <c r="B3308" s="3">
        <v>46164</v>
      </c>
      <c r="C3308">
        <v>1</v>
      </c>
      <c r="D3308">
        <v>168.76</v>
      </c>
      <c r="G3308" t="s">
        <v>118</v>
      </c>
      <c r="H3308">
        <v>784597837</v>
      </c>
      <c r="I3308" t="s">
        <v>29</v>
      </c>
      <c r="J3308" t="s">
        <v>29</v>
      </c>
      <c r="K3308" t="str">
        <f>IF(Table3[[#This Row],[Type Received]]=2,"CC",(IF(Table3[[#This Row],[Type Received]]=3,"BILL","ACH")))</f>
        <v>ACH</v>
      </c>
    </row>
    <row r="3309" spans="1:11" x14ac:dyDescent="0.25">
      <c r="A3309">
        <v>247318</v>
      </c>
      <c r="B3309" s="3">
        <v>46157</v>
      </c>
      <c r="C3309">
        <v>1</v>
      </c>
      <c r="D3309">
        <v>168.76</v>
      </c>
      <c r="G3309" t="s">
        <v>87</v>
      </c>
      <c r="H3309">
        <v>696812428</v>
      </c>
      <c r="I3309" t="s">
        <v>29</v>
      </c>
      <c r="K3309" t="str">
        <f>IF(Table3[[#This Row],[Type Received]]=2,"CC",(IF(Table3[[#This Row],[Type Received]]=3,"BILL","ACH")))</f>
        <v>ACH</v>
      </c>
    </row>
    <row r="3310" spans="1:11" x14ac:dyDescent="0.25">
      <c r="A3310">
        <v>247351</v>
      </c>
      <c r="B3310" s="3">
        <v>46168</v>
      </c>
      <c r="C3310">
        <v>3</v>
      </c>
      <c r="D3310">
        <v>155.72</v>
      </c>
      <c r="E3310">
        <v>4309</v>
      </c>
      <c r="K3310" t="str">
        <f>IF(Table3[[#This Row],[Type Received]]=2,"CC",(IF(Table3[[#This Row],[Type Received]]=3,"BILL","ACH")))</f>
        <v>BILL</v>
      </c>
    </row>
    <row r="3311" spans="1:11" x14ac:dyDescent="0.25">
      <c r="A3311">
        <v>247377</v>
      </c>
      <c r="B3311" s="3">
        <v>46145</v>
      </c>
      <c r="C3311">
        <v>1</v>
      </c>
      <c r="D3311">
        <v>107.93</v>
      </c>
      <c r="G3311" t="s">
        <v>113</v>
      </c>
      <c r="H3311">
        <v>546447586</v>
      </c>
      <c r="I3311" t="s">
        <v>29</v>
      </c>
      <c r="J3311" t="s">
        <v>29</v>
      </c>
      <c r="K3311" t="str">
        <f>IF(Table3[[#This Row],[Type Received]]=2,"CC",(IF(Table3[[#This Row],[Type Received]]=3,"BILL","ACH")))</f>
        <v>ACH</v>
      </c>
    </row>
    <row r="3312" spans="1:11" x14ac:dyDescent="0.25">
      <c r="A3312">
        <v>247394</v>
      </c>
      <c r="B3312" s="3">
        <v>46168</v>
      </c>
      <c r="C3312">
        <v>1</v>
      </c>
      <c r="D3312">
        <v>52.27</v>
      </c>
      <c r="G3312" s="4" t="s">
        <v>110</v>
      </c>
      <c r="H3312">
        <v>828309122</v>
      </c>
      <c r="I3312" t="s">
        <v>29</v>
      </c>
      <c r="K3312" t="str">
        <f>IF(Table3[[#This Row],[Type Received]]=2,"CC",(IF(Table3[[#This Row],[Type Received]]=3,"BILL","ACH")))</f>
        <v>ACH</v>
      </c>
    </row>
    <row r="3313" spans="1:11" x14ac:dyDescent="0.25">
      <c r="A3313">
        <v>247412</v>
      </c>
      <c r="B3313" s="3">
        <v>46147</v>
      </c>
      <c r="C3313">
        <v>3</v>
      </c>
      <c r="D3313">
        <v>128.19</v>
      </c>
      <c r="E3313">
        <v>75485857</v>
      </c>
      <c r="J3313" t="s">
        <v>29</v>
      </c>
      <c r="K3313" t="str">
        <f>IF(Table3[[#This Row],[Type Received]]=2,"CC",(IF(Table3[[#This Row],[Type Received]]=3,"BILL","ACH")))</f>
        <v>BILL</v>
      </c>
    </row>
    <row r="3314" spans="1:11" x14ac:dyDescent="0.25">
      <c r="A3314">
        <v>247443</v>
      </c>
      <c r="B3314" s="3">
        <v>46157</v>
      </c>
      <c r="C3314">
        <v>1</v>
      </c>
      <c r="D3314">
        <v>50.95</v>
      </c>
      <c r="G3314" t="s">
        <v>87</v>
      </c>
      <c r="H3314">
        <v>696810557</v>
      </c>
      <c r="I3314" t="s">
        <v>29</v>
      </c>
      <c r="K3314" t="str">
        <f>IF(Table3[[#This Row],[Type Received]]=2,"CC",(IF(Table3[[#This Row],[Type Received]]=3,"BILL","ACH")))</f>
        <v>ACH</v>
      </c>
    </row>
    <row r="3315" spans="1:11" x14ac:dyDescent="0.25">
      <c r="A3315">
        <v>247450</v>
      </c>
      <c r="B3315" s="3">
        <v>46168</v>
      </c>
      <c r="C3315">
        <v>2</v>
      </c>
      <c r="D3315">
        <v>79.680000000000007</v>
      </c>
      <c r="F3315" t="s">
        <v>288</v>
      </c>
      <c r="G3315" t="s">
        <v>28</v>
      </c>
      <c r="H3315">
        <v>828698066</v>
      </c>
      <c r="I3315" t="s">
        <v>29</v>
      </c>
      <c r="J3315" t="s">
        <v>29</v>
      </c>
      <c r="K3315" t="str">
        <f>IF(Table3[[#This Row],[Type Received]]=2,"CC",(IF(Table3[[#This Row],[Type Received]]=3,"BILL","ACH")))</f>
        <v>CC</v>
      </c>
    </row>
    <row r="3316" spans="1:11" x14ac:dyDescent="0.25">
      <c r="A3316">
        <v>247451</v>
      </c>
      <c r="B3316" s="3">
        <v>46155</v>
      </c>
      <c r="C3316">
        <v>1</v>
      </c>
      <c r="D3316">
        <v>71.41</v>
      </c>
      <c r="G3316" t="s">
        <v>90</v>
      </c>
      <c r="H3316">
        <v>670076862</v>
      </c>
      <c r="I3316" t="s">
        <v>29</v>
      </c>
      <c r="K3316" t="str">
        <f>IF(Table3[[#This Row],[Type Received]]=2,"CC",(IF(Table3[[#This Row],[Type Received]]=3,"BILL","ACH")))</f>
        <v>ACH</v>
      </c>
    </row>
    <row r="3317" spans="1:11" x14ac:dyDescent="0.25">
      <c r="A3317">
        <v>247452</v>
      </c>
      <c r="B3317" s="3">
        <v>46163</v>
      </c>
      <c r="C3317">
        <v>2</v>
      </c>
      <c r="D3317">
        <v>169.77</v>
      </c>
      <c r="F3317">
        <v>237356</v>
      </c>
      <c r="G3317" t="s">
        <v>28</v>
      </c>
      <c r="H3317">
        <v>775405988</v>
      </c>
      <c r="I3317" t="s">
        <v>29</v>
      </c>
      <c r="K3317" t="str">
        <f>IF(Table3[[#This Row],[Type Received]]=2,"CC",(IF(Table3[[#This Row],[Type Received]]=3,"BILL","ACH")))</f>
        <v>CC</v>
      </c>
    </row>
    <row r="3318" spans="1:11" x14ac:dyDescent="0.25">
      <c r="A3318">
        <v>247488</v>
      </c>
      <c r="B3318" s="3">
        <v>46163</v>
      </c>
      <c r="C3318">
        <v>2</v>
      </c>
      <c r="D3318">
        <v>144.36000000000001</v>
      </c>
      <c r="F3318" t="s">
        <v>289</v>
      </c>
      <c r="G3318" t="s">
        <v>28</v>
      </c>
      <c r="H3318">
        <v>772593201</v>
      </c>
      <c r="I3318" t="s">
        <v>29</v>
      </c>
      <c r="K3318" t="str">
        <f>IF(Table3[[#This Row],[Type Received]]=2,"CC",(IF(Table3[[#This Row],[Type Received]]=3,"BILL","ACH")))</f>
        <v>CC</v>
      </c>
    </row>
    <row r="3319" spans="1:11" x14ac:dyDescent="0.25">
      <c r="A3319">
        <v>247522</v>
      </c>
      <c r="B3319" s="3">
        <v>46169</v>
      </c>
      <c r="C3319">
        <v>3</v>
      </c>
      <c r="D3319">
        <v>96.95</v>
      </c>
      <c r="E3319">
        <v>1318</v>
      </c>
      <c r="K3319" t="str">
        <f>IF(Table3[[#This Row],[Type Received]]=2,"CC",(IF(Table3[[#This Row],[Type Received]]=3,"BILL","ACH")))</f>
        <v>BILL</v>
      </c>
    </row>
    <row r="3320" spans="1:11" x14ac:dyDescent="0.25">
      <c r="A3320">
        <v>247531</v>
      </c>
      <c r="B3320" s="3">
        <v>46171</v>
      </c>
      <c r="C3320">
        <v>2</v>
      </c>
      <c r="D3320">
        <v>229.64</v>
      </c>
      <c r="F3320">
        <v>4963</v>
      </c>
      <c r="G3320" t="s">
        <v>28</v>
      </c>
      <c r="H3320">
        <v>869977072</v>
      </c>
      <c r="I3320" t="s">
        <v>29</v>
      </c>
      <c r="J3320" t="s">
        <v>29</v>
      </c>
      <c r="K3320" t="str">
        <f>IF(Table3[[#This Row],[Type Received]]=2,"CC",(IF(Table3[[#This Row],[Type Received]]=3,"BILL","ACH")))</f>
        <v>CC</v>
      </c>
    </row>
    <row r="3321" spans="1:11" x14ac:dyDescent="0.25">
      <c r="A3321">
        <v>247560</v>
      </c>
      <c r="B3321" s="3">
        <v>46169</v>
      </c>
      <c r="C3321">
        <v>3</v>
      </c>
      <c r="D3321">
        <v>93.65</v>
      </c>
      <c r="E3321">
        <v>2267</v>
      </c>
      <c r="K3321" t="str">
        <f>IF(Table3[[#This Row],[Type Received]]=2,"CC",(IF(Table3[[#This Row],[Type Received]]=3,"BILL","ACH")))</f>
        <v>BILL</v>
      </c>
    </row>
    <row r="3322" spans="1:11" x14ac:dyDescent="0.25">
      <c r="A3322">
        <v>247576</v>
      </c>
      <c r="B3322" s="3">
        <v>46145</v>
      </c>
      <c r="C3322">
        <v>1</v>
      </c>
      <c r="D3322">
        <v>43.25</v>
      </c>
      <c r="G3322" t="s">
        <v>113</v>
      </c>
      <c r="H3322">
        <v>546438705</v>
      </c>
      <c r="I3322" t="s">
        <v>29</v>
      </c>
      <c r="K3322" t="str">
        <f>IF(Table3[[#This Row],[Type Received]]=2,"CC",(IF(Table3[[#This Row],[Type Received]]=3,"BILL","ACH")))</f>
        <v>ACH</v>
      </c>
    </row>
    <row r="3323" spans="1:11" x14ac:dyDescent="0.25">
      <c r="A3323">
        <v>247642</v>
      </c>
      <c r="B3323" s="3">
        <v>46160</v>
      </c>
      <c r="C3323">
        <v>3</v>
      </c>
      <c r="D3323">
        <v>134.6</v>
      </c>
      <c r="E3323">
        <v>1246</v>
      </c>
      <c r="J3323" t="s">
        <v>29</v>
      </c>
      <c r="K3323" t="str">
        <f>IF(Table3[[#This Row],[Type Received]]=2,"CC",(IF(Table3[[#This Row],[Type Received]]=3,"BILL","ACH")))</f>
        <v>BILL</v>
      </c>
    </row>
    <row r="3324" spans="1:11" x14ac:dyDescent="0.25">
      <c r="A3324">
        <v>247655</v>
      </c>
      <c r="B3324" s="3">
        <v>46157</v>
      </c>
      <c r="C3324">
        <v>1</v>
      </c>
      <c r="D3324">
        <v>54.91</v>
      </c>
      <c r="G3324" t="s">
        <v>87</v>
      </c>
      <c r="H3324">
        <v>696820229</v>
      </c>
      <c r="I3324" t="s">
        <v>29</v>
      </c>
      <c r="K3324" t="str">
        <f>IF(Table3[[#This Row],[Type Received]]=2,"CC",(IF(Table3[[#This Row],[Type Received]]=3,"BILL","ACH")))</f>
        <v>ACH</v>
      </c>
    </row>
    <row r="3325" spans="1:11" x14ac:dyDescent="0.25">
      <c r="A3325">
        <v>247671</v>
      </c>
      <c r="B3325" s="3">
        <v>46143</v>
      </c>
      <c r="C3325">
        <v>2</v>
      </c>
      <c r="D3325">
        <v>100.45</v>
      </c>
      <c r="F3325" t="s">
        <v>290</v>
      </c>
      <c r="G3325" t="s">
        <v>28</v>
      </c>
      <c r="H3325">
        <v>522265956</v>
      </c>
      <c r="I3325" t="s">
        <v>29</v>
      </c>
      <c r="K3325" t="str">
        <f>IF(Table3[[#This Row],[Type Received]]=2,"CC",(IF(Table3[[#This Row],[Type Received]]=3,"BILL","ACH")))</f>
        <v>CC</v>
      </c>
    </row>
    <row r="3326" spans="1:11" x14ac:dyDescent="0.25">
      <c r="A3326">
        <v>247674</v>
      </c>
      <c r="B3326" s="3">
        <v>46144</v>
      </c>
      <c r="C3326">
        <v>1</v>
      </c>
      <c r="D3326">
        <v>67.45</v>
      </c>
      <c r="G3326" t="s">
        <v>89</v>
      </c>
      <c r="H3326">
        <v>535427241</v>
      </c>
      <c r="I3326" t="s">
        <v>29</v>
      </c>
      <c r="J3326" t="s">
        <v>29</v>
      </c>
      <c r="K3326" t="str">
        <f>IF(Table3[[#This Row],[Type Received]]=2,"CC",(IF(Table3[[#This Row],[Type Received]]=3,"BILL","ACH")))</f>
        <v>ACH</v>
      </c>
    </row>
    <row r="3327" spans="1:11" x14ac:dyDescent="0.25">
      <c r="A3327">
        <v>247675</v>
      </c>
      <c r="B3327" s="3">
        <v>46144</v>
      </c>
      <c r="C3327">
        <v>1</v>
      </c>
      <c r="D3327">
        <v>98.47</v>
      </c>
      <c r="G3327" t="s">
        <v>89</v>
      </c>
      <c r="H3327">
        <v>535410758</v>
      </c>
      <c r="I3327" t="s">
        <v>29</v>
      </c>
      <c r="J3327" t="s">
        <v>29</v>
      </c>
      <c r="K3327" t="str">
        <f>IF(Table3[[#This Row],[Type Received]]=2,"CC",(IF(Table3[[#This Row],[Type Received]]=3,"BILL","ACH")))</f>
        <v>ACH</v>
      </c>
    </row>
    <row r="3328" spans="1:11" x14ac:dyDescent="0.25">
      <c r="A3328">
        <v>247679</v>
      </c>
      <c r="B3328" s="3">
        <v>46143</v>
      </c>
      <c r="C3328">
        <v>1</v>
      </c>
      <c r="D3328">
        <v>19.489999999999998</v>
      </c>
      <c r="G3328" t="s">
        <v>84</v>
      </c>
      <c r="H3328">
        <v>522205527</v>
      </c>
      <c r="I3328" t="s">
        <v>29</v>
      </c>
      <c r="J3328" t="s">
        <v>29</v>
      </c>
      <c r="K3328" t="str">
        <f>IF(Table3[[#This Row],[Type Received]]=2,"CC",(IF(Table3[[#This Row],[Type Received]]=3,"BILL","ACH")))</f>
        <v>ACH</v>
      </c>
    </row>
    <row r="3329" spans="1:11" x14ac:dyDescent="0.25">
      <c r="A3329">
        <v>247692</v>
      </c>
      <c r="B3329" s="3">
        <v>46143</v>
      </c>
      <c r="C3329">
        <v>2</v>
      </c>
      <c r="D3329">
        <v>84.95</v>
      </c>
      <c r="F3329">
        <v>20430</v>
      </c>
      <c r="G3329">
        <v>741374152</v>
      </c>
      <c r="H3329">
        <v>353140518</v>
      </c>
      <c r="J3329" t="s">
        <v>29</v>
      </c>
      <c r="K3329" t="str">
        <f>IF(Table3[[#This Row],[Type Received]]=2,"CC",(IF(Table3[[#This Row],[Type Received]]=3,"BILL","ACH")))</f>
        <v>CC</v>
      </c>
    </row>
    <row r="3330" spans="1:11" x14ac:dyDescent="0.25">
      <c r="A3330">
        <v>247724</v>
      </c>
      <c r="B3330" s="3">
        <v>46155</v>
      </c>
      <c r="C3330">
        <v>2</v>
      </c>
      <c r="D3330">
        <v>154.24</v>
      </c>
      <c r="F3330" t="s">
        <v>291</v>
      </c>
      <c r="G3330" t="s">
        <v>28</v>
      </c>
      <c r="H3330">
        <v>669492922</v>
      </c>
      <c r="I3330" t="s">
        <v>29</v>
      </c>
      <c r="K3330" t="str">
        <f>IF(Table3[[#This Row],[Type Received]]=2,"CC",(IF(Table3[[#This Row],[Type Received]]=3,"BILL","ACH")))</f>
        <v>CC</v>
      </c>
    </row>
    <row r="3331" spans="1:11" x14ac:dyDescent="0.25">
      <c r="A3331">
        <v>247747</v>
      </c>
      <c r="B3331" s="3">
        <v>46157</v>
      </c>
      <c r="C3331">
        <v>1</v>
      </c>
      <c r="D3331">
        <v>28.18</v>
      </c>
      <c r="G3331" t="s">
        <v>87</v>
      </c>
      <c r="H3331">
        <v>696805812</v>
      </c>
      <c r="I3331" t="s">
        <v>29</v>
      </c>
      <c r="J3331" t="s">
        <v>29</v>
      </c>
      <c r="K3331" t="str">
        <f>IF(Table3[[#This Row],[Type Received]]=2,"CC",(IF(Table3[[#This Row],[Type Received]]=3,"BILL","ACH")))</f>
        <v>ACH</v>
      </c>
    </row>
    <row r="3332" spans="1:11" x14ac:dyDescent="0.25">
      <c r="A3332">
        <v>247748</v>
      </c>
      <c r="B3332" s="3">
        <v>46147</v>
      </c>
      <c r="C3332">
        <v>3</v>
      </c>
      <c r="D3332">
        <v>59.55</v>
      </c>
      <c r="E3332">
        <v>8194</v>
      </c>
      <c r="J3332" t="s">
        <v>29</v>
      </c>
      <c r="K3332" t="str">
        <f>IF(Table3[[#This Row],[Type Received]]=2,"CC",(IF(Table3[[#This Row],[Type Received]]=3,"BILL","ACH")))</f>
        <v>BILL</v>
      </c>
    </row>
    <row r="3333" spans="1:11" x14ac:dyDescent="0.25">
      <c r="A3333">
        <v>247792</v>
      </c>
      <c r="B3333" s="3">
        <v>46144</v>
      </c>
      <c r="C3333">
        <v>1</v>
      </c>
      <c r="D3333">
        <v>53.15</v>
      </c>
      <c r="G3333" t="s">
        <v>89</v>
      </c>
      <c r="H3333">
        <v>535424314</v>
      </c>
      <c r="I3333" t="s">
        <v>29</v>
      </c>
      <c r="K3333" t="str">
        <f>IF(Table3[[#This Row],[Type Received]]=2,"CC",(IF(Table3[[#This Row],[Type Received]]=3,"BILL","ACH")))</f>
        <v>ACH</v>
      </c>
    </row>
    <row r="3334" spans="1:11" x14ac:dyDescent="0.25">
      <c r="A3334">
        <v>247796</v>
      </c>
      <c r="B3334" s="3">
        <v>46169</v>
      </c>
      <c r="C3334">
        <v>1</v>
      </c>
      <c r="D3334">
        <v>82.95</v>
      </c>
      <c r="G3334" t="s">
        <v>117</v>
      </c>
      <c r="H3334">
        <v>840862719</v>
      </c>
      <c r="I3334" t="s">
        <v>29</v>
      </c>
      <c r="K3334" t="str">
        <f>IF(Table3[[#This Row],[Type Received]]=2,"CC",(IF(Table3[[#This Row],[Type Received]]=3,"BILL","ACH")))</f>
        <v>ACH</v>
      </c>
    </row>
    <row r="3335" spans="1:11" x14ac:dyDescent="0.25">
      <c r="A3335">
        <v>247819</v>
      </c>
      <c r="B3335" s="3">
        <v>46157</v>
      </c>
      <c r="C3335">
        <v>1</v>
      </c>
      <c r="D3335">
        <v>52.49</v>
      </c>
      <c r="G3335" t="s">
        <v>87</v>
      </c>
      <c r="H3335">
        <v>696810571</v>
      </c>
      <c r="I3335" t="s">
        <v>29</v>
      </c>
      <c r="J3335" t="s">
        <v>29</v>
      </c>
      <c r="K3335" t="str">
        <f>IF(Table3[[#This Row],[Type Received]]=2,"CC",(IF(Table3[[#This Row],[Type Received]]=3,"BILL","ACH")))</f>
        <v>ACH</v>
      </c>
    </row>
    <row r="3336" spans="1:11" x14ac:dyDescent="0.25">
      <c r="A3336">
        <v>247834</v>
      </c>
      <c r="B3336" s="3">
        <v>46157</v>
      </c>
      <c r="C3336">
        <v>1</v>
      </c>
      <c r="D3336">
        <v>90.11</v>
      </c>
      <c r="G3336" t="s">
        <v>87</v>
      </c>
      <c r="H3336">
        <v>696819197</v>
      </c>
      <c r="I3336" t="s">
        <v>29</v>
      </c>
      <c r="K3336" t="str">
        <f>IF(Table3[[#This Row],[Type Received]]=2,"CC",(IF(Table3[[#This Row],[Type Received]]=3,"BILL","ACH")))</f>
        <v>ACH</v>
      </c>
    </row>
    <row r="3337" spans="1:11" x14ac:dyDescent="0.25">
      <c r="A3337">
        <v>247847</v>
      </c>
      <c r="B3337" s="3">
        <v>46155</v>
      </c>
      <c r="C3337">
        <v>2</v>
      </c>
      <c r="D3337">
        <v>126.19</v>
      </c>
      <c r="F3337">
        <v>25197</v>
      </c>
      <c r="G3337" t="s">
        <v>28</v>
      </c>
      <c r="H3337">
        <v>669513135</v>
      </c>
      <c r="I3337" t="s">
        <v>29</v>
      </c>
      <c r="J3337" t="s">
        <v>29</v>
      </c>
      <c r="K3337" t="str">
        <f>IF(Table3[[#This Row],[Type Received]]=2,"CC",(IF(Table3[[#This Row],[Type Received]]=3,"BILL","ACH")))</f>
        <v>CC</v>
      </c>
    </row>
    <row r="3338" spans="1:11" x14ac:dyDescent="0.25">
      <c r="A3338">
        <v>247918</v>
      </c>
      <c r="B3338" s="3">
        <v>46155</v>
      </c>
      <c r="C3338">
        <v>2</v>
      </c>
      <c r="D3338">
        <v>151.27000000000001</v>
      </c>
      <c r="F3338">
        <v>148239</v>
      </c>
      <c r="G3338" t="s">
        <v>28</v>
      </c>
      <c r="H3338">
        <v>669498748</v>
      </c>
      <c r="I3338" t="s">
        <v>29</v>
      </c>
      <c r="J3338" t="s">
        <v>29</v>
      </c>
      <c r="K3338" t="str">
        <f>IF(Table3[[#This Row],[Type Received]]=2,"CC",(IF(Table3[[#This Row],[Type Received]]=3,"BILL","ACH")))</f>
        <v>CC</v>
      </c>
    </row>
    <row r="3339" spans="1:11" x14ac:dyDescent="0.25">
      <c r="A3339">
        <v>247934</v>
      </c>
      <c r="B3339" s="3">
        <v>46170</v>
      </c>
      <c r="C3339">
        <v>3</v>
      </c>
      <c r="D3339">
        <v>75.39</v>
      </c>
      <c r="E3339">
        <v>414</v>
      </c>
      <c r="J3339" t="s">
        <v>29</v>
      </c>
      <c r="K3339" t="str">
        <f>IF(Table3[[#This Row],[Type Received]]=2,"CC",(IF(Table3[[#This Row],[Type Received]]=3,"BILL","ACH")))</f>
        <v>BILL</v>
      </c>
    </row>
    <row r="3340" spans="1:11" x14ac:dyDescent="0.25">
      <c r="A3340">
        <v>247942</v>
      </c>
      <c r="B3340" s="3">
        <v>46146</v>
      </c>
      <c r="C3340">
        <v>2</v>
      </c>
      <c r="D3340">
        <v>162.51</v>
      </c>
      <c r="F3340">
        <v>710110</v>
      </c>
      <c r="G3340" t="s">
        <v>28</v>
      </c>
      <c r="H3340">
        <v>561246478</v>
      </c>
      <c r="I3340" t="s">
        <v>29</v>
      </c>
      <c r="J3340" t="s">
        <v>29</v>
      </c>
      <c r="K3340" t="str">
        <f>IF(Table3[[#This Row],[Type Received]]=2,"CC",(IF(Table3[[#This Row],[Type Received]]=3,"BILL","ACH")))</f>
        <v>CC</v>
      </c>
    </row>
    <row r="3341" spans="1:11" x14ac:dyDescent="0.25">
      <c r="A3341">
        <v>247957</v>
      </c>
      <c r="B3341" s="3">
        <v>46157</v>
      </c>
      <c r="C3341">
        <v>1</v>
      </c>
      <c r="D3341">
        <v>36.869999999999997</v>
      </c>
      <c r="G3341" t="s">
        <v>87</v>
      </c>
      <c r="H3341">
        <v>696803776</v>
      </c>
      <c r="I3341" t="s">
        <v>29</v>
      </c>
      <c r="J3341" t="s">
        <v>29</v>
      </c>
      <c r="K3341" t="str">
        <f>IF(Table3[[#This Row],[Type Received]]=2,"CC",(IF(Table3[[#This Row],[Type Received]]=3,"BILL","ACH")))</f>
        <v>ACH</v>
      </c>
    </row>
    <row r="3342" spans="1:11" x14ac:dyDescent="0.25">
      <c r="A3342">
        <v>247962</v>
      </c>
      <c r="B3342" s="3">
        <v>46168</v>
      </c>
      <c r="C3342">
        <v>1</v>
      </c>
      <c r="D3342">
        <v>54.58</v>
      </c>
      <c r="G3342" t="s">
        <v>110</v>
      </c>
      <c r="H3342">
        <v>828306283</v>
      </c>
      <c r="I3342" t="s">
        <v>29</v>
      </c>
      <c r="J3342" t="s">
        <v>29</v>
      </c>
      <c r="K3342" t="str">
        <f>IF(Table3[[#This Row],[Type Received]]=2,"CC",(IF(Table3[[#This Row],[Type Received]]=3,"BILL","ACH")))</f>
        <v>ACH</v>
      </c>
    </row>
    <row r="3343" spans="1:11" x14ac:dyDescent="0.25">
      <c r="A3343">
        <v>247996</v>
      </c>
      <c r="B3343" s="3">
        <v>46155</v>
      </c>
      <c r="C3343">
        <v>2</v>
      </c>
      <c r="D3343">
        <v>69.760000000000005</v>
      </c>
      <c r="F3343" t="s">
        <v>81</v>
      </c>
      <c r="G3343" t="s">
        <v>28</v>
      </c>
      <c r="H3343">
        <v>669490945</v>
      </c>
      <c r="I3343" t="s">
        <v>29</v>
      </c>
      <c r="J3343" t="s">
        <v>29</v>
      </c>
      <c r="K3343" t="str">
        <f>IF(Table3[[#This Row],[Type Received]]=2,"CC",(IF(Table3[[#This Row],[Type Received]]=3,"BILL","ACH")))</f>
        <v>CC</v>
      </c>
    </row>
    <row r="3344" spans="1:11" x14ac:dyDescent="0.25">
      <c r="A3344">
        <v>247999</v>
      </c>
      <c r="B3344" s="3">
        <v>46157</v>
      </c>
      <c r="C3344">
        <v>1</v>
      </c>
      <c r="D3344">
        <v>82.95</v>
      </c>
      <c r="G3344" t="s">
        <v>87</v>
      </c>
      <c r="H3344">
        <v>696807742</v>
      </c>
      <c r="I3344" t="s">
        <v>29</v>
      </c>
      <c r="J3344" t="s">
        <v>29</v>
      </c>
      <c r="K3344" t="str">
        <f>IF(Table3[[#This Row],[Type Received]]=2,"CC",(IF(Table3[[#This Row],[Type Received]]=3,"BILL","ACH")))</f>
        <v>ACH</v>
      </c>
    </row>
    <row r="3345" spans="1:11" x14ac:dyDescent="0.25">
      <c r="A3345">
        <v>248008</v>
      </c>
      <c r="B3345" s="3">
        <v>46170</v>
      </c>
      <c r="C3345">
        <v>2</v>
      </c>
      <c r="D3345">
        <v>504.23</v>
      </c>
      <c r="F3345">
        <v>150849</v>
      </c>
      <c r="G3345" s="4">
        <v>749514569</v>
      </c>
      <c r="H3345">
        <v>356140117</v>
      </c>
      <c r="K3345" t="str">
        <f>IF(Table3[[#This Row],[Type Received]]=2,"CC",(IF(Table3[[#This Row],[Type Received]]=3,"BILL","ACH")))</f>
        <v>CC</v>
      </c>
    </row>
    <row r="3346" spans="1:11" x14ac:dyDescent="0.25">
      <c r="A3346">
        <v>248013</v>
      </c>
      <c r="B3346" s="3">
        <v>46163</v>
      </c>
      <c r="C3346">
        <v>1</v>
      </c>
      <c r="D3346">
        <v>82.95</v>
      </c>
      <c r="G3346" t="s">
        <v>214</v>
      </c>
      <c r="H3346">
        <v>771594820</v>
      </c>
      <c r="I3346" t="s">
        <v>29</v>
      </c>
      <c r="K3346" t="str">
        <f>IF(Table3[[#This Row],[Type Received]]=2,"CC",(IF(Table3[[#This Row],[Type Received]]=3,"BILL","ACH")))</f>
        <v>ACH</v>
      </c>
    </row>
    <row r="3347" spans="1:11" x14ac:dyDescent="0.25">
      <c r="A3347">
        <v>248027</v>
      </c>
      <c r="B3347" s="3">
        <v>46169</v>
      </c>
      <c r="C3347">
        <v>3</v>
      </c>
      <c r="D3347">
        <v>57.57</v>
      </c>
      <c r="E3347">
        <v>5745</v>
      </c>
      <c r="J3347" t="s">
        <v>29</v>
      </c>
      <c r="K3347" t="str">
        <f>IF(Table3[[#This Row],[Type Received]]=2,"CC",(IF(Table3[[#This Row],[Type Received]]=3,"BILL","ACH")))</f>
        <v>BILL</v>
      </c>
    </row>
    <row r="3348" spans="1:11" x14ac:dyDescent="0.25">
      <c r="A3348">
        <v>248067</v>
      </c>
      <c r="B3348" s="3">
        <v>46169</v>
      </c>
      <c r="C3348">
        <v>1</v>
      </c>
      <c r="D3348">
        <v>109.36</v>
      </c>
      <c r="G3348" s="4" t="s">
        <v>117</v>
      </c>
      <c r="H3348">
        <v>840876149</v>
      </c>
      <c r="I3348" t="s">
        <v>29</v>
      </c>
      <c r="K3348" t="str">
        <f>IF(Table3[[#This Row],[Type Received]]=2,"CC",(IF(Table3[[#This Row],[Type Received]]=3,"BILL","ACH")))</f>
        <v>ACH</v>
      </c>
    </row>
    <row r="3349" spans="1:11" x14ac:dyDescent="0.25">
      <c r="A3349">
        <v>248070</v>
      </c>
      <c r="B3349" s="3">
        <v>46169</v>
      </c>
      <c r="C3349">
        <v>1</v>
      </c>
      <c r="D3349">
        <v>80.98</v>
      </c>
      <c r="G3349" t="s">
        <v>117</v>
      </c>
      <c r="H3349">
        <v>840861726</v>
      </c>
      <c r="I3349" t="s">
        <v>29</v>
      </c>
      <c r="J3349" t="s">
        <v>29</v>
      </c>
      <c r="K3349" t="str">
        <f>IF(Table3[[#This Row],[Type Received]]=2,"CC",(IF(Table3[[#This Row],[Type Received]]=3,"BILL","ACH")))</f>
        <v>ACH</v>
      </c>
    </row>
    <row r="3350" spans="1:11" x14ac:dyDescent="0.25">
      <c r="A3350">
        <v>248071</v>
      </c>
      <c r="B3350" s="3">
        <v>46144</v>
      </c>
      <c r="C3350">
        <v>1</v>
      </c>
      <c r="D3350">
        <v>123.88</v>
      </c>
      <c r="G3350" t="s">
        <v>89</v>
      </c>
      <c r="H3350">
        <v>535415695</v>
      </c>
      <c r="I3350" t="s">
        <v>29</v>
      </c>
      <c r="J3350" t="s">
        <v>29</v>
      </c>
      <c r="K3350" t="str">
        <f>IF(Table3[[#This Row],[Type Received]]=2,"CC",(IF(Table3[[#This Row],[Type Received]]=3,"BILL","ACH")))</f>
        <v>ACH</v>
      </c>
    </row>
    <row r="3351" spans="1:11" x14ac:dyDescent="0.25">
      <c r="A3351">
        <v>248090</v>
      </c>
      <c r="B3351" s="3">
        <v>46157</v>
      </c>
      <c r="C3351">
        <v>1</v>
      </c>
      <c r="D3351">
        <v>105.73</v>
      </c>
      <c r="G3351" t="s">
        <v>87</v>
      </c>
      <c r="H3351">
        <v>696801838</v>
      </c>
      <c r="I3351" t="s">
        <v>29</v>
      </c>
      <c r="J3351" t="s">
        <v>29</v>
      </c>
      <c r="K3351" t="str">
        <f>IF(Table3[[#This Row],[Type Received]]=2,"CC",(IF(Table3[[#This Row],[Type Received]]=3,"BILL","ACH")))</f>
        <v>ACH</v>
      </c>
    </row>
    <row r="3352" spans="1:11" x14ac:dyDescent="0.25">
      <c r="A3352">
        <v>248157</v>
      </c>
      <c r="B3352" s="3">
        <v>46169</v>
      </c>
      <c r="C3352">
        <v>1</v>
      </c>
      <c r="D3352">
        <v>32.03</v>
      </c>
      <c r="G3352" t="s">
        <v>117</v>
      </c>
      <c r="H3352">
        <v>840875232</v>
      </c>
      <c r="I3352" t="s">
        <v>29</v>
      </c>
      <c r="J3352" t="s">
        <v>29</v>
      </c>
      <c r="K3352" t="str">
        <f>IF(Table3[[#This Row],[Type Received]]=2,"CC",(IF(Table3[[#This Row],[Type Received]]=3,"BILL","ACH")))</f>
        <v>ACH</v>
      </c>
    </row>
    <row r="3353" spans="1:11" x14ac:dyDescent="0.25">
      <c r="A3353">
        <v>248166</v>
      </c>
      <c r="B3353" s="3">
        <v>46149</v>
      </c>
      <c r="C3353">
        <v>2</v>
      </c>
      <c r="D3353">
        <v>108.39</v>
      </c>
      <c r="F3353">
        <v>488996</v>
      </c>
      <c r="G3353">
        <v>743273545</v>
      </c>
      <c r="H3353">
        <v>353777491</v>
      </c>
      <c r="J3353" t="s">
        <v>29</v>
      </c>
      <c r="K3353" t="str">
        <f>IF(Table3[[#This Row],[Type Received]]=2,"CC",(IF(Table3[[#This Row],[Type Received]]=3,"BILL","ACH")))</f>
        <v>CC</v>
      </c>
    </row>
    <row r="3354" spans="1:11" x14ac:dyDescent="0.25">
      <c r="A3354">
        <v>248171</v>
      </c>
      <c r="B3354" s="3">
        <v>46170</v>
      </c>
      <c r="C3354">
        <v>3</v>
      </c>
      <c r="D3354">
        <v>185</v>
      </c>
      <c r="E3354">
        <v>923452019</v>
      </c>
      <c r="K3354" t="str">
        <f>IF(Table3[[#This Row],[Type Received]]=2,"CC",(IF(Table3[[#This Row],[Type Received]]=3,"BILL","ACH")))</f>
        <v>BILL</v>
      </c>
    </row>
    <row r="3355" spans="1:11" x14ac:dyDescent="0.25">
      <c r="A3355">
        <v>248202</v>
      </c>
      <c r="B3355" s="3">
        <v>46169</v>
      </c>
      <c r="C3355">
        <v>1</v>
      </c>
      <c r="D3355">
        <v>112</v>
      </c>
      <c r="G3355" t="s">
        <v>117</v>
      </c>
      <c r="H3355">
        <v>840858837</v>
      </c>
      <c r="I3355" t="s">
        <v>29</v>
      </c>
      <c r="K3355" t="str">
        <f>IF(Table3[[#This Row],[Type Received]]=2,"CC",(IF(Table3[[#This Row],[Type Received]]=3,"BILL","ACH")))</f>
        <v>ACH</v>
      </c>
    </row>
    <row r="3356" spans="1:11" x14ac:dyDescent="0.25">
      <c r="A3356">
        <v>248208</v>
      </c>
      <c r="B3356" s="3">
        <v>46144</v>
      </c>
      <c r="C3356">
        <v>1</v>
      </c>
      <c r="D3356">
        <v>43.03</v>
      </c>
      <c r="G3356" t="s">
        <v>89</v>
      </c>
      <c r="H3356">
        <v>535408803</v>
      </c>
      <c r="I3356" t="s">
        <v>29</v>
      </c>
      <c r="J3356" t="s">
        <v>29</v>
      </c>
      <c r="K3356" t="str">
        <f>IF(Table3[[#This Row],[Type Received]]=2,"CC",(IF(Table3[[#This Row],[Type Received]]=3,"BILL","ACH")))</f>
        <v>ACH</v>
      </c>
    </row>
    <row r="3357" spans="1:11" x14ac:dyDescent="0.25">
      <c r="A3357">
        <v>248225</v>
      </c>
      <c r="B3357" s="3">
        <v>46169</v>
      </c>
      <c r="C3357">
        <v>1</v>
      </c>
      <c r="D3357">
        <v>35.33</v>
      </c>
      <c r="G3357" t="s">
        <v>117</v>
      </c>
      <c r="H3357">
        <v>840863701</v>
      </c>
      <c r="I3357" t="s">
        <v>29</v>
      </c>
      <c r="J3357" t="s">
        <v>29</v>
      </c>
      <c r="K3357" t="str">
        <f>IF(Table3[[#This Row],[Type Received]]=2,"CC",(IF(Table3[[#This Row],[Type Received]]=3,"BILL","ACH")))</f>
        <v>ACH</v>
      </c>
    </row>
    <row r="3358" spans="1:11" x14ac:dyDescent="0.25">
      <c r="A3358">
        <v>248233</v>
      </c>
      <c r="B3358" s="3">
        <v>46171</v>
      </c>
      <c r="C3358">
        <v>3</v>
      </c>
      <c r="D3358">
        <v>66.48</v>
      </c>
      <c r="E3358">
        <v>8721</v>
      </c>
      <c r="G3358" s="4"/>
      <c r="J3358" t="s">
        <v>29</v>
      </c>
      <c r="K3358" t="str">
        <f>IF(Table3[[#This Row],[Type Received]]=2,"CC",(IF(Table3[[#This Row],[Type Received]]=3,"BILL","ACH")))</f>
        <v>BILL</v>
      </c>
    </row>
    <row r="3359" spans="1:11" x14ac:dyDescent="0.25">
      <c r="A3359">
        <v>248261</v>
      </c>
      <c r="B3359" s="3">
        <v>46155</v>
      </c>
      <c r="C3359">
        <v>2</v>
      </c>
      <c r="D3359">
        <v>181.96</v>
      </c>
      <c r="F3359">
        <v>136720</v>
      </c>
      <c r="G3359" t="s">
        <v>28</v>
      </c>
      <c r="H3359">
        <v>669484418</v>
      </c>
      <c r="I3359" t="s">
        <v>29</v>
      </c>
      <c r="J3359" t="s">
        <v>29</v>
      </c>
      <c r="K3359" t="str">
        <f>IF(Table3[[#This Row],[Type Received]]=2,"CC",(IF(Table3[[#This Row],[Type Received]]=3,"BILL","ACH")))</f>
        <v>CC</v>
      </c>
    </row>
    <row r="3360" spans="1:11" x14ac:dyDescent="0.25">
      <c r="A3360">
        <v>248263</v>
      </c>
      <c r="B3360" s="3">
        <v>46157</v>
      </c>
      <c r="C3360">
        <v>1</v>
      </c>
      <c r="D3360">
        <v>64.150000000000006</v>
      </c>
      <c r="G3360" t="s">
        <v>87</v>
      </c>
      <c r="H3360">
        <v>696825107</v>
      </c>
      <c r="I3360" t="s">
        <v>29</v>
      </c>
      <c r="K3360" t="str">
        <f>IF(Table3[[#This Row],[Type Received]]=2,"CC",(IF(Table3[[#This Row],[Type Received]]=3,"BILL","ACH")))</f>
        <v>ACH</v>
      </c>
    </row>
    <row r="3361" spans="1:11" x14ac:dyDescent="0.25">
      <c r="A3361">
        <v>248296</v>
      </c>
      <c r="B3361" s="3">
        <v>46157</v>
      </c>
      <c r="C3361">
        <v>1</v>
      </c>
      <c r="D3361">
        <v>82.95</v>
      </c>
      <c r="G3361" t="s">
        <v>87</v>
      </c>
      <c r="H3361">
        <v>696826105</v>
      </c>
      <c r="I3361" t="s">
        <v>29</v>
      </c>
      <c r="K3361" t="str">
        <f>IF(Table3[[#This Row],[Type Received]]=2,"CC",(IF(Table3[[#This Row],[Type Received]]=3,"BILL","ACH")))</f>
        <v>ACH</v>
      </c>
    </row>
    <row r="3362" spans="1:11" x14ac:dyDescent="0.25">
      <c r="A3362">
        <v>248299</v>
      </c>
      <c r="B3362" s="3">
        <v>46157</v>
      </c>
      <c r="C3362">
        <v>1</v>
      </c>
      <c r="D3362">
        <v>72.510000000000005</v>
      </c>
      <c r="G3362" t="s">
        <v>87</v>
      </c>
      <c r="H3362">
        <v>696808828</v>
      </c>
      <c r="I3362" t="s">
        <v>29</v>
      </c>
      <c r="J3362" t="s">
        <v>29</v>
      </c>
      <c r="K3362" t="str">
        <f>IF(Table3[[#This Row],[Type Received]]=2,"CC",(IF(Table3[[#This Row],[Type Received]]=3,"BILL","ACH")))</f>
        <v>ACH</v>
      </c>
    </row>
    <row r="3363" spans="1:11" x14ac:dyDescent="0.25">
      <c r="A3363">
        <v>248311</v>
      </c>
      <c r="B3363" s="3">
        <v>46157</v>
      </c>
      <c r="C3363">
        <v>1</v>
      </c>
      <c r="D3363">
        <v>55.9</v>
      </c>
      <c r="G3363" t="s">
        <v>87</v>
      </c>
      <c r="H3363">
        <v>696812549</v>
      </c>
      <c r="I3363" t="s">
        <v>29</v>
      </c>
      <c r="J3363" t="s">
        <v>29</v>
      </c>
      <c r="K3363" t="str">
        <f>IF(Table3[[#This Row],[Type Received]]=2,"CC",(IF(Table3[[#This Row],[Type Received]]=3,"BILL","ACH")))</f>
        <v>ACH</v>
      </c>
    </row>
    <row r="3364" spans="1:11" x14ac:dyDescent="0.25">
      <c r="A3364">
        <v>248320</v>
      </c>
      <c r="B3364" s="3">
        <v>46169</v>
      </c>
      <c r="C3364">
        <v>1</v>
      </c>
      <c r="D3364">
        <v>88.13</v>
      </c>
      <c r="G3364" s="4" t="s">
        <v>117</v>
      </c>
      <c r="H3364">
        <v>840853951</v>
      </c>
      <c r="I3364" t="s">
        <v>29</v>
      </c>
      <c r="J3364" t="s">
        <v>29</v>
      </c>
      <c r="K3364" t="str">
        <f>IF(Table3[[#This Row],[Type Received]]=2,"CC",(IF(Table3[[#This Row],[Type Received]]=3,"BILL","ACH")))</f>
        <v>ACH</v>
      </c>
    </row>
    <row r="3365" spans="1:11" x14ac:dyDescent="0.25">
      <c r="A3365">
        <v>248321</v>
      </c>
      <c r="B3365" s="3">
        <v>46157</v>
      </c>
      <c r="C3365">
        <v>1</v>
      </c>
      <c r="D3365">
        <v>52.49</v>
      </c>
      <c r="G3365" s="4" t="s">
        <v>87</v>
      </c>
      <c r="H3365">
        <v>696829103</v>
      </c>
      <c r="I3365" t="s">
        <v>29</v>
      </c>
      <c r="K3365" t="str">
        <f>IF(Table3[[#This Row],[Type Received]]=2,"CC",(IF(Table3[[#This Row],[Type Received]]=3,"BILL","ACH")))</f>
        <v>ACH</v>
      </c>
    </row>
    <row r="3366" spans="1:11" x14ac:dyDescent="0.25">
      <c r="A3366">
        <v>248342</v>
      </c>
      <c r="B3366" s="3">
        <v>46169</v>
      </c>
      <c r="C3366">
        <v>1</v>
      </c>
      <c r="D3366">
        <v>30.05</v>
      </c>
      <c r="G3366" t="s">
        <v>117</v>
      </c>
      <c r="H3366">
        <v>840856926</v>
      </c>
      <c r="I3366" t="s">
        <v>29</v>
      </c>
      <c r="K3366" t="str">
        <f>IF(Table3[[#This Row],[Type Received]]=2,"CC",(IF(Table3[[#This Row],[Type Received]]=3,"BILL","ACH")))</f>
        <v>ACH</v>
      </c>
    </row>
    <row r="3367" spans="1:11" x14ac:dyDescent="0.25">
      <c r="A3367">
        <v>248377</v>
      </c>
      <c r="B3367" s="3">
        <v>46144</v>
      </c>
      <c r="C3367">
        <v>1</v>
      </c>
      <c r="D3367">
        <v>33.79</v>
      </c>
      <c r="G3367" t="s">
        <v>89</v>
      </c>
      <c r="H3367">
        <v>535409815</v>
      </c>
      <c r="I3367" t="s">
        <v>29</v>
      </c>
      <c r="J3367" t="s">
        <v>29</v>
      </c>
      <c r="K3367" t="str">
        <f>IF(Table3[[#This Row],[Type Received]]=2,"CC",(IF(Table3[[#This Row],[Type Received]]=3,"BILL","ACH")))</f>
        <v>ACH</v>
      </c>
    </row>
    <row r="3368" spans="1:11" x14ac:dyDescent="0.25">
      <c r="A3368">
        <v>248429</v>
      </c>
      <c r="B3368" s="3">
        <v>46163</v>
      </c>
      <c r="C3368">
        <v>3</v>
      </c>
      <c r="D3368">
        <v>133</v>
      </c>
      <c r="E3368">
        <v>6000054</v>
      </c>
      <c r="K3368" t="str">
        <f>IF(Table3[[#This Row],[Type Received]]=2,"CC",(IF(Table3[[#This Row],[Type Received]]=3,"BILL","ACH")))</f>
        <v>BILL</v>
      </c>
    </row>
    <row r="3369" spans="1:11" x14ac:dyDescent="0.25">
      <c r="A3369">
        <v>248439</v>
      </c>
      <c r="B3369" s="3">
        <v>46169</v>
      </c>
      <c r="C3369">
        <v>1</v>
      </c>
      <c r="D3369">
        <v>100.45</v>
      </c>
      <c r="G3369" t="s">
        <v>117</v>
      </c>
      <c r="H3369">
        <v>840875307</v>
      </c>
      <c r="I3369" t="s">
        <v>29</v>
      </c>
      <c r="J3369" t="s">
        <v>29</v>
      </c>
      <c r="K3369" t="str">
        <f>IF(Table3[[#This Row],[Type Received]]=2,"CC",(IF(Table3[[#This Row],[Type Received]]=3,"BILL","ACH")))</f>
        <v>ACH</v>
      </c>
    </row>
    <row r="3370" spans="1:11" x14ac:dyDescent="0.25">
      <c r="A3370">
        <v>248461</v>
      </c>
      <c r="B3370" s="3">
        <v>46155</v>
      </c>
      <c r="C3370">
        <v>2</v>
      </c>
      <c r="D3370">
        <v>94.73</v>
      </c>
      <c r="F3370" t="s">
        <v>292</v>
      </c>
      <c r="G3370" t="s">
        <v>28</v>
      </c>
      <c r="H3370">
        <v>669497764</v>
      </c>
      <c r="I3370" t="s">
        <v>29</v>
      </c>
      <c r="J3370" t="s">
        <v>29</v>
      </c>
      <c r="K3370" t="str">
        <f>IF(Table3[[#This Row],[Type Received]]=2,"CC",(IF(Table3[[#This Row],[Type Received]]=3,"BILL","ACH")))</f>
        <v>CC</v>
      </c>
    </row>
    <row r="3371" spans="1:11" x14ac:dyDescent="0.25">
      <c r="A3371">
        <v>248471</v>
      </c>
      <c r="B3371" s="3">
        <v>46157</v>
      </c>
      <c r="C3371">
        <v>1</v>
      </c>
      <c r="D3371">
        <v>44.35</v>
      </c>
      <c r="G3371" t="s">
        <v>87</v>
      </c>
      <c r="H3371">
        <v>696828119</v>
      </c>
      <c r="I3371" t="s">
        <v>29</v>
      </c>
      <c r="K3371" t="str">
        <f>IF(Table3[[#This Row],[Type Received]]=2,"CC",(IF(Table3[[#This Row],[Type Received]]=3,"BILL","ACH")))</f>
        <v>ACH</v>
      </c>
    </row>
    <row r="3372" spans="1:11" x14ac:dyDescent="0.25">
      <c r="A3372">
        <v>248477</v>
      </c>
      <c r="B3372" s="3">
        <v>46155</v>
      </c>
      <c r="C3372">
        <v>2</v>
      </c>
      <c r="D3372">
        <v>31.37</v>
      </c>
      <c r="F3372">
        <v>887706</v>
      </c>
      <c r="G3372" s="4" t="s">
        <v>28</v>
      </c>
      <c r="H3372">
        <v>669509765</v>
      </c>
      <c r="I3372" t="s">
        <v>29</v>
      </c>
      <c r="J3372" t="s">
        <v>29</v>
      </c>
      <c r="K3372" t="str">
        <f>IF(Table3[[#This Row],[Type Received]]=2,"CC",(IF(Table3[[#This Row],[Type Received]]=3,"BILL","ACH")))</f>
        <v>CC</v>
      </c>
    </row>
    <row r="3373" spans="1:11" x14ac:dyDescent="0.25">
      <c r="A3373">
        <v>248488</v>
      </c>
      <c r="B3373" s="3">
        <v>46169</v>
      </c>
      <c r="C3373">
        <v>1</v>
      </c>
      <c r="D3373">
        <v>126.19</v>
      </c>
      <c r="G3373" t="s">
        <v>117</v>
      </c>
      <c r="H3373">
        <v>840867651</v>
      </c>
      <c r="I3373" t="s">
        <v>29</v>
      </c>
      <c r="J3373" t="s">
        <v>29</v>
      </c>
      <c r="K3373" t="str">
        <f>IF(Table3[[#This Row],[Type Received]]=2,"CC",(IF(Table3[[#This Row],[Type Received]]=3,"BILL","ACH")))</f>
        <v>ACH</v>
      </c>
    </row>
    <row r="3374" spans="1:11" x14ac:dyDescent="0.25">
      <c r="A3374">
        <v>248493</v>
      </c>
      <c r="B3374" s="3">
        <v>46144</v>
      </c>
      <c r="C3374">
        <v>1</v>
      </c>
      <c r="D3374">
        <v>49.96</v>
      </c>
      <c r="G3374" t="s">
        <v>89</v>
      </c>
      <c r="H3374">
        <v>535422493</v>
      </c>
      <c r="I3374" t="s">
        <v>29</v>
      </c>
      <c r="J3374" t="s">
        <v>29</v>
      </c>
      <c r="K3374" t="str">
        <f>IF(Table3[[#This Row],[Type Received]]=2,"CC",(IF(Table3[[#This Row],[Type Received]]=3,"BILL","ACH")))</f>
        <v>ACH</v>
      </c>
    </row>
    <row r="3375" spans="1:11" x14ac:dyDescent="0.25">
      <c r="A3375">
        <v>248494</v>
      </c>
      <c r="B3375" s="3">
        <v>46157</v>
      </c>
      <c r="C3375">
        <v>1</v>
      </c>
      <c r="D3375">
        <v>70.09</v>
      </c>
      <c r="G3375" t="s">
        <v>87</v>
      </c>
      <c r="H3375">
        <v>696824222</v>
      </c>
      <c r="I3375" t="s">
        <v>29</v>
      </c>
      <c r="J3375" t="s">
        <v>29</v>
      </c>
      <c r="K3375" t="str">
        <f>IF(Table3[[#This Row],[Type Received]]=2,"CC",(IF(Table3[[#This Row],[Type Received]]=3,"BILL","ACH")))</f>
        <v>ACH</v>
      </c>
    </row>
    <row r="3376" spans="1:11" x14ac:dyDescent="0.25">
      <c r="A3376">
        <v>248518</v>
      </c>
      <c r="B3376" s="3">
        <v>46169</v>
      </c>
      <c r="C3376">
        <v>1</v>
      </c>
      <c r="D3376">
        <v>90.11</v>
      </c>
      <c r="G3376" t="s">
        <v>117</v>
      </c>
      <c r="H3376">
        <v>840879126</v>
      </c>
      <c r="I3376" t="s">
        <v>29</v>
      </c>
      <c r="K3376" t="str">
        <f>IF(Table3[[#This Row],[Type Received]]=2,"CC",(IF(Table3[[#This Row],[Type Received]]=3,"BILL","ACH")))</f>
        <v>ACH</v>
      </c>
    </row>
    <row r="3377" spans="1:11" x14ac:dyDescent="0.25">
      <c r="A3377">
        <v>248531</v>
      </c>
      <c r="B3377" s="3">
        <v>46157</v>
      </c>
      <c r="C3377">
        <v>1</v>
      </c>
      <c r="D3377">
        <v>170.41</v>
      </c>
      <c r="G3377" t="s">
        <v>87</v>
      </c>
      <c r="H3377">
        <v>696810712</v>
      </c>
      <c r="I3377" t="s">
        <v>29</v>
      </c>
      <c r="K3377" t="str">
        <f>IF(Table3[[#This Row],[Type Received]]=2,"CC",(IF(Table3[[#This Row],[Type Received]]=3,"BILL","ACH")))</f>
        <v>ACH</v>
      </c>
    </row>
    <row r="3378" spans="1:11" x14ac:dyDescent="0.25">
      <c r="A3378">
        <v>248544</v>
      </c>
      <c r="B3378" s="3">
        <v>46169</v>
      </c>
      <c r="C3378">
        <v>1</v>
      </c>
      <c r="D3378">
        <v>72.95</v>
      </c>
      <c r="G3378" t="s">
        <v>117</v>
      </c>
      <c r="H3378">
        <v>840865721</v>
      </c>
      <c r="I3378" t="s">
        <v>29</v>
      </c>
      <c r="J3378" t="s">
        <v>29</v>
      </c>
      <c r="K3378" t="str">
        <f>IF(Table3[[#This Row],[Type Received]]=2,"CC",(IF(Table3[[#This Row],[Type Received]]=3,"BILL","ACH")))</f>
        <v>ACH</v>
      </c>
    </row>
    <row r="3379" spans="1:11" x14ac:dyDescent="0.25">
      <c r="A3379">
        <v>248553</v>
      </c>
      <c r="B3379" s="3">
        <v>46163</v>
      </c>
      <c r="C3379">
        <v>3</v>
      </c>
      <c r="D3379">
        <v>59.22</v>
      </c>
      <c r="E3379">
        <v>987474</v>
      </c>
      <c r="G3379" s="4"/>
      <c r="J3379" t="s">
        <v>29</v>
      </c>
      <c r="K3379" t="str">
        <f>IF(Table3[[#This Row],[Type Received]]=2,"CC",(IF(Table3[[#This Row],[Type Received]]=3,"BILL","ACH")))</f>
        <v>BILL</v>
      </c>
    </row>
    <row r="3380" spans="1:11" x14ac:dyDescent="0.25">
      <c r="A3380">
        <v>248559</v>
      </c>
      <c r="B3380" s="3">
        <v>46169</v>
      </c>
      <c r="C3380">
        <v>1</v>
      </c>
      <c r="D3380">
        <v>97.15</v>
      </c>
      <c r="G3380" s="4" t="s">
        <v>117</v>
      </c>
      <c r="H3380">
        <v>840864720</v>
      </c>
      <c r="I3380" t="s">
        <v>29</v>
      </c>
      <c r="J3380" t="s">
        <v>29</v>
      </c>
      <c r="K3380" t="str">
        <f>IF(Table3[[#This Row],[Type Received]]=2,"CC",(IF(Table3[[#This Row],[Type Received]]=3,"BILL","ACH")))</f>
        <v>ACH</v>
      </c>
    </row>
    <row r="3381" spans="1:11" x14ac:dyDescent="0.25">
      <c r="A3381">
        <v>248577</v>
      </c>
      <c r="B3381" s="3">
        <v>46144</v>
      </c>
      <c r="C3381">
        <v>1</v>
      </c>
      <c r="D3381">
        <v>53.59</v>
      </c>
      <c r="G3381" t="s">
        <v>89</v>
      </c>
      <c r="H3381">
        <v>535411769</v>
      </c>
      <c r="I3381" t="s">
        <v>29</v>
      </c>
      <c r="J3381" t="s">
        <v>29</v>
      </c>
      <c r="K3381" t="str">
        <f>IF(Table3[[#This Row],[Type Received]]=2,"CC",(IF(Table3[[#This Row],[Type Received]]=3,"BILL","ACH")))</f>
        <v>ACH</v>
      </c>
    </row>
    <row r="3382" spans="1:11" x14ac:dyDescent="0.25">
      <c r="A3382">
        <v>248594</v>
      </c>
      <c r="B3382" s="3">
        <v>46155</v>
      </c>
      <c r="C3382">
        <v>1</v>
      </c>
      <c r="D3382">
        <v>82.95</v>
      </c>
      <c r="G3382" t="s">
        <v>90</v>
      </c>
      <c r="H3382">
        <v>669500708</v>
      </c>
      <c r="I3382" t="s">
        <v>29</v>
      </c>
      <c r="K3382" t="str">
        <f>IF(Table3[[#This Row],[Type Received]]=2,"CC",(IF(Table3[[#This Row],[Type Received]]=3,"BILL","ACH")))</f>
        <v>ACH</v>
      </c>
    </row>
    <row r="3383" spans="1:11" x14ac:dyDescent="0.25">
      <c r="A3383">
        <v>248614</v>
      </c>
      <c r="B3383" s="3">
        <v>46170</v>
      </c>
      <c r="C3383">
        <v>2</v>
      </c>
      <c r="D3383">
        <v>54.27</v>
      </c>
      <c r="F3383">
        <v>1421</v>
      </c>
      <c r="G3383" t="s">
        <v>28</v>
      </c>
      <c r="H3383">
        <v>858449042</v>
      </c>
      <c r="I3383" t="s">
        <v>29</v>
      </c>
      <c r="K3383" t="str">
        <f>IF(Table3[[#This Row],[Type Received]]=2,"CC",(IF(Table3[[#This Row],[Type Received]]=3,"BILL","ACH")))</f>
        <v>CC</v>
      </c>
    </row>
    <row r="3384" spans="1:11" x14ac:dyDescent="0.25">
      <c r="A3384">
        <v>248645</v>
      </c>
      <c r="B3384" s="3">
        <v>46157</v>
      </c>
      <c r="C3384">
        <v>1</v>
      </c>
      <c r="D3384">
        <v>48.97</v>
      </c>
      <c r="G3384" t="s">
        <v>87</v>
      </c>
      <c r="H3384">
        <v>696816508</v>
      </c>
      <c r="I3384" t="s">
        <v>29</v>
      </c>
      <c r="K3384" t="str">
        <f>IF(Table3[[#This Row],[Type Received]]=2,"CC",(IF(Table3[[#This Row],[Type Received]]=3,"BILL","ACH")))</f>
        <v>ACH</v>
      </c>
    </row>
    <row r="3385" spans="1:11" x14ac:dyDescent="0.25">
      <c r="A3385">
        <v>248671</v>
      </c>
      <c r="B3385" s="3">
        <v>46143</v>
      </c>
      <c r="C3385">
        <v>3</v>
      </c>
      <c r="D3385">
        <v>65.489999999999995</v>
      </c>
      <c r="E3385">
        <v>995170</v>
      </c>
      <c r="J3385" t="s">
        <v>29</v>
      </c>
      <c r="K3385" t="str">
        <f>IF(Table3[[#This Row],[Type Received]]=2,"CC",(IF(Table3[[#This Row],[Type Received]]=3,"BILL","ACH")))</f>
        <v>BILL</v>
      </c>
    </row>
    <row r="3386" spans="1:11" x14ac:dyDescent="0.25">
      <c r="A3386">
        <v>248679</v>
      </c>
      <c r="B3386" s="3">
        <v>46144</v>
      </c>
      <c r="C3386">
        <v>1</v>
      </c>
      <c r="D3386">
        <v>43.81</v>
      </c>
      <c r="G3386" t="s">
        <v>89</v>
      </c>
      <c r="H3386">
        <v>535423387</v>
      </c>
      <c r="I3386" t="s">
        <v>29</v>
      </c>
      <c r="J3386" t="s">
        <v>29</v>
      </c>
      <c r="K3386" t="str">
        <f>IF(Table3[[#This Row],[Type Received]]=2,"CC",(IF(Table3[[#This Row],[Type Received]]=3,"BILL","ACH")))</f>
        <v>ACH</v>
      </c>
    </row>
    <row r="3387" spans="1:11" x14ac:dyDescent="0.25">
      <c r="A3387">
        <v>248681</v>
      </c>
      <c r="B3387" s="3">
        <v>46160</v>
      </c>
      <c r="C3387">
        <v>1</v>
      </c>
      <c r="D3387">
        <v>168.92</v>
      </c>
      <c r="G3387" t="s">
        <v>192</v>
      </c>
      <c r="H3387">
        <v>735105307</v>
      </c>
      <c r="I3387" t="s">
        <v>29</v>
      </c>
      <c r="J3387" t="s">
        <v>29</v>
      </c>
      <c r="K3387" t="str">
        <f>IF(Table3[[#This Row],[Type Received]]=2,"CC",(IF(Table3[[#This Row],[Type Received]]=3,"BILL","ACH")))</f>
        <v>ACH</v>
      </c>
    </row>
    <row r="3388" spans="1:11" x14ac:dyDescent="0.25">
      <c r="A3388">
        <v>248728</v>
      </c>
      <c r="B3388" s="3">
        <v>46164</v>
      </c>
      <c r="C3388">
        <v>2</v>
      </c>
      <c r="D3388">
        <v>59.88</v>
      </c>
      <c r="F3388">
        <v>5981</v>
      </c>
      <c r="G3388">
        <v>747909705</v>
      </c>
      <c r="H3388">
        <v>355553564</v>
      </c>
      <c r="J3388" t="s">
        <v>29</v>
      </c>
      <c r="K3388" t="str">
        <f>IF(Table3[[#This Row],[Type Received]]=2,"CC",(IF(Table3[[#This Row],[Type Received]]=3,"BILL","ACH")))</f>
        <v>CC</v>
      </c>
    </row>
    <row r="3389" spans="1:11" x14ac:dyDescent="0.25">
      <c r="A3389">
        <v>248736</v>
      </c>
      <c r="B3389" s="3">
        <v>46153</v>
      </c>
      <c r="C3389">
        <v>3</v>
      </c>
      <c r="D3389">
        <v>128.9</v>
      </c>
      <c r="E3389">
        <v>131</v>
      </c>
      <c r="J3389" t="s">
        <v>29</v>
      </c>
      <c r="K3389" t="str">
        <f>IF(Table3[[#This Row],[Type Received]]=2,"CC",(IF(Table3[[#This Row],[Type Received]]=3,"BILL","ACH")))</f>
        <v>BILL</v>
      </c>
    </row>
    <row r="3390" spans="1:11" x14ac:dyDescent="0.25">
      <c r="A3390">
        <v>248737</v>
      </c>
      <c r="B3390" s="3">
        <v>46144</v>
      </c>
      <c r="C3390">
        <v>1</v>
      </c>
      <c r="D3390">
        <v>82.95</v>
      </c>
      <c r="G3390" t="s">
        <v>89</v>
      </c>
      <c r="H3390">
        <v>535403064</v>
      </c>
      <c r="I3390" t="s">
        <v>29</v>
      </c>
      <c r="K3390" t="str">
        <f>IF(Table3[[#This Row],[Type Received]]=2,"CC",(IF(Table3[[#This Row],[Type Received]]=3,"BILL","ACH")))</f>
        <v>ACH</v>
      </c>
    </row>
    <row r="3391" spans="1:11" x14ac:dyDescent="0.25">
      <c r="A3391">
        <v>248738</v>
      </c>
      <c r="B3391" s="3">
        <v>46157</v>
      </c>
      <c r="C3391">
        <v>1</v>
      </c>
      <c r="D3391">
        <v>35.32</v>
      </c>
      <c r="G3391" t="s">
        <v>87</v>
      </c>
      <c r="H3391">
        <v>696815510</v>
      </c>
      <c r="I3391" t="s">
        <v>29</v>
      </c>
      <c r="J3391" t="s">
        <v>29</v>
      </c>
      <c r="K3391" t="str">
        <f>IF(Table3[[#This Row],[Type Received]]=2,"CC",(IF(Table3[[#This Row],[Type Received]]=3,"BILL","ACH")))</f>
        <v>ACH</v>
      </c>
    </row>
    <row r="3392" spans="1:11" x14ac:dyDescent="0.25">
      <c r="A3392">
        <v>248743</v>
      </c>
      <c r="B3392" s="3">
        <v>46157</v>
      </c>
      <c r="C3392">
        <v>1</v>
      </c>
      <c r="D3392">
        <v>104.74</v>
      </c>
      <c r="G3392" t="s">
        <v>87</v>
      </c>
      <c r="H3392">
        <v>696812622</v>
      </c>
      <c r="I3392" t="s">
        <v>29</v>
      </c>
      <c r="J3392" t="s">
        <v>29</v>
      </c>
      <c r="K3392" t="str">
        <f>IF(Table3[[#This Row],[Type Received]]=2,"CC",(IF(Table3[[#This Row],[Type Received]]=3,"BILL","ACH")))</f>
        <v>ACH</v>
      </c>
    </row>
    <row r="3393" spans="1:11" x14ac:dyDescent="0.25">
      <c r="A3393">
        <v>248755</v>
      </c>
      <c r="B3393" s="3">
        <v>46143</v>
      </c>
      <c r="C3393">
        <v>3</v>
      </c>
      <c r="D3393">
        <v>71.430000000000007</v>
      </c>
      <c r="E3393">
        <v>7265</v>
      </c>
      <c r="K3393" t="str">
        <f>IF(Table3[[#This Row],[Type Received]]=2,"CC",(IF(Table3[[#This Row],[Type Received]]=3,"BILL","ACH")))</f>
        <v>BILL</v>
      </c>
    </row>
    <row r="3394" spans="1:11" x14ac:dyDescent="0.25">
      <c r="A3394">
        <v>248764</v>
      </c>
      <c r="B3394" s="3">
        <v>46169</v>
      </c>
      <c r="C3394">
        <v>1</v>
      </c>
      <c r="D3394">
        <v>58.21</v>
      </c>
      <c r="G3394" t="s">
        <v>117</v>
      </c>
      <c r="H3394">
        <v>840860939</v>
      </c>
      <c r="I3394" t="s">
        <v>29</v>
      </c>
      <c r="J3394" t="s">
        <v>29</v>
      </c>
      <c r="K3394" t="str">
        <f>IF(Table3[[#This Row],[Type Received]]=2,"CC",(IF(Table3[[#This Row],[Type Received]]=3,"BILL","ACH")))</f>
        <v>ACH</v>
      </c>
    </row>
    <row r="3395" spans="1:11" x14ac:dyDescent="0.25">
      <c r="A3395">
        <v>248774</v>
      </c>
      <c r="B3395" s="3">
        <v>46144</v>
      </c>
      <c r="C3395">
        <v>1</v>
      </c>
      <c r="D3395">
        <v>76.47</v>
      </c>
      <c r="G3395" t="s">
        <v>89</v>
      </c>
      <c r="H3395">
        <v>535403082</v>
      </c>
      <c r="I3395" t="s">
        <v>29</v>
      </c>
      <c r="J3395" t="s">
        <v>29</v>
      </c>
      <c r="K3395" t="str">
        <f>IF(Table3[[#This Row],[Type Received]]=2,"CC",(IF(Table3[[#This Row],[Type Received]]=3,"BILL","ACH")))</f>
        <v>ACH</v>
      </c>
    </row>
    <row r="3396" spans="1:11" x14ac:dyDescent="0.25">
      <c r="A3396">
        <v>248775</v>
      </c>
      <c r="B3396" s="3">
        <v>46144</v>
      </c>
      <c r="C3396">
        <v>1</v>
      </c>
      <c r="D3396">
        <v>58.21</v>
      </c>
      <c r="G3396" t="s">
        <v>89</v>
      </c>
      <c r="H3396">
        <v>535420568</v>
      </c>
      <c r="I3396" t="s">
        <v>29</v>
      </c>
      <c r="K3396" t="str">
        <f>IF(Table3[[#This Row],[Type Received]]=2,"CC",(IF(Table3[[#This Row],[Type Received]]=3,"BILL","ACH")))</f>
        <v>ACH</v>
      </c>
    </row>
    <row r="3397" spans="1:11" x14ac:dyDescent="0.25">
      <c r="A3397">
        <v>248787</v>
      </c>
      <c r="B3397" s="3">
        <v>46155</v>
      </c>
      <c r="C3397">
        <v>2</v>
      </c>
      <c r="D3397">
        <v>61.29</v>
      </c>
      <c r="F3397" t="s">
        <v>293</v>
      </c>
      <c r="G3397" t="s">
        <v>28</v>
      </c>
      <c r="H3397">
        <v>669495871</v>
      </c>
      <c r="I3397" t="s">
        <v>29</v>
      </c>
      <c r="K3397" t="str">
        <f>IF(Table3[[#This Row],[Type Received]]=2,"CC",(IF(Table3[[#This Row],[Type Received]]=3,"BILL","ACH")))</f>
        <v>CC</v>
      </c>
    </row>
    <row r="3398" spans="1:11" x14ac:dyDescent="0.25">
      <c r="A3398">
        <v>248793</v>
      </c>
      <c r="B3398" s="3">
        <v>46162</v>
      </c>
      <c r="C3398">
        <v>1</v>
      </c>
      <c r="D3398">
        <v>43.71</v>
      </c>
      <c r="G3398" t="s">
        <v>107</v>
      </c>
      <c r="H3398">
        <v>760844932</v>
      </c>
      <c r="I3398" t="s">
        <v>29</v>
      </c>
      <c r="J3398" t="s">
        <v>29</v>
      </c>
      <c r="K3398" t="str">
        <f>IF(Table3[[#This Row],[Type Received]]=2,"CC",(IF(Table3[[#This Row],[Type Received]]=3,"BILL","ACH")))</f>
        <v>ACH</v>
      </c>
    </row>
    <row r="3399" spans="1:11" x14ac:dyDescent="0.25">
      <c r="A3399">
        <v>248804</v>
      </c>
      <c r="B3399" s="3">
        <v>46144</v>
      </c>
      <c r="C3399">
        <v>1</v>
      </c>
      <c r="D3399">
        <v>60.19</v>
      </c>
      <c r="G3399" t="s">
        <v>89</v>
      </c>
      <c r="H3399">
        <v>535424420</v>
      </c>
      <c r="I3399" t="s">
        <v>29</v>
      </c>
      <c r="K3399" t="str">
        <f>IF(Table3[[#This Row],[Type Received]]=2,"CC",(IF(Table3[[#This Row],[Type Received]]=3,"BILL","ACH")))</f>
        <v>ACH</v>
      </c>
    </row>
    <row r="3400" spans="1:11" x14ac:dyDescent="0.25">
      <c r="A3400">
        <v>248805</v>
      </c>
      <c r="B3400" s="3">
        <v>46169</v>
      </c>
      <c r="C3400">
        <v>1</v>
      </c>
      <c r="D3400">
        <v>28.95</v>
      </c>
      <c r="G3400" t="s">
        <v>117</v>
      </c>
      <c r="H3400">
        <v>840865770</v>
      </c>
      <c r="I3400" t="s">
        <v>29</v>
      </c>
      <c r="K3400" t="str">
        <f>IF(Table3[[#This Row],[Type Received]]=2,"CC",(IF(Table3[[#This Row],[Type Received]]=3,"BILL","ACH")))</f>
        <v>ACH</v>
      </c>
    </row>
    <row r="3401" spans="1:11" x14ac:dyDescent="0.25">
      <c r="A3401">
        <v>248806</v>
      </c>
      <c r="B3401" s="3">
        <v>46169</v>
      </c>
      <c r="C3401">
        <v>1</v>
      </c>
      <c r="D3401">
        <v>62.61</v>
      </c>
      <c r="G3401" t="s">
        <v>117</v>
      </c>
      <c r="H3401">
        <v>840875412</v>
      </c>
      <c r="I3401" t="s">
        <v>29</v>
      </c>
      <c r="K3401" t="str">
        <f>IF(Table3[[#This Row],[Type Received]]=2,"CC",(IF(Table3[[#This Row],[Type Received]]=3,"BILL","ACH")))</f>
        <v>ACH</v>
      </c>
    </row>
    <row r="3402" spans="1:11" x14ac:dyDescent="0.25">
      <c r="A3402">
        <v>249047</v>
      </c>
      <c r="B3402" s="3">
        <v>46157</v>
      </c>
      <c r="C3402">
        <v>1</v>
      </c>
      <c r="D3402">
        <v>67.89</v>
      </c>
      <c r="G3402" t="s">
        <v>87</v>
      </c>
      <c r="H3402">
        <v>696639019</v>
      </c>
      <c r="I3402" t="s">
        <v>29</v>
      </c>
      <c r="J3402" t="s">
        <v>29</v>
      </c>
      <c r="K3402" t="str">
        <f>IF(Table3[[#This Row],[Type Received]]=2,"CC",(IF(Table3[[#This Row],[Type Received]]=3,"BILL","ACH")))</f>
        <v>ACH</v>
      </c>
    </row>
    <row r="3403" spans="1:11" x14ac:dyDescent="0.25">
      <c r="A3403">
        <v>249049</v>
      </c>
      <c r="B3403" s="3">
        <v>46169</v>
      </c>
      <c r="C3403">
        <v>1</v>
      </c>
      <c r="D3403">
        <v>53.86</v>
      </c>
      <c r="G3403" t="s">
        <v>117</v>
      </c>
      <c r="H3403">
        <v>840878230</v>
      </c>
      <c r="I3403" t="s">
        <v>29</v>
      </c>
      <c r="J3403" t="s">
        <v>29</v>
      </c>
      <c r="K3403" t="str">
        <f>IF(Table3[[#This Row],[Type Received]]=2,"CC",(IF(Table3[[#This Row],[Type Received]]=3,"BILL","ACH")))</f>
        <v>ACH</v>
      </c>
    </row>
    <row r="3404" spans="1:11" x14ac:dyDescent="0.25">
      <c r="A3404">
        <v>249066</v>
      </c>
      <c r="B3404" s="3">
        <v>46144</v>
      </c>
      <c r="C3404">
        <v>1</v>
      </c>
      <c r="D3404">
        <v>41.93</v>
      </c>
      <c r="G3404" t="s">
        <v>89</v>
      </c>
      <c r="H3404">
        <v>535411859</v>
      </c>
      <c r="I3404" t="s">
        <v>29</v>
      </c>
      <c r="J3404" t="s">
        <v>29</v>
      </c>
      <c r="K3404" t="str">
        <f>IF(Table3[[#This Row],[Type Received]]=2,"CC",(IF(Table3[[#This Row],[Type Received]]=3,"BILL","ACH")))</f>
        <v>ACH</v>
      </c>
    </row>
    <row r="3405" spans="1:11" x14ac:dyDescent="0.25">
      <c r="A3405">
        <v>249098</v>
      </c>
      <c r="B3405" s="3">
        <v>46170</v>
      </c>
      <c r="C3405">
        <v>3</v>
      </c>
      <c r="D3405">
        <v>36.119999999999997</v>
      </c>
      <c r="E3405">
        <v>1120</v>
      </c>
      <c r="J3405" t="s">
        <v>29</v>
      </c>
      <c r="K3405" t="str">
        <f>IF(Table3[[#This Row],[Type Received]]=2,"CC",(IF(Table3[[#This Row],[Type Received]]=3,"BILL","ACH")))</f>
        <v>BILL</v>
      </c>
    </row>
    <row r="3406" spans="1:11" x14ac:dyDescent="0.25">
      <c r="A3406">
        <v>249117</v>
      </c>
      <c r="B3406" s="3">
        <v>46169</v>
      </c>
      <c r="C3406">
        <v>1</v>
      </c>
      <c r="D3406">
        <v>81.13</v>
      </c>
      <c r="G3406" s="4" t="s">
        <v>117</v>
      </c>
      <c r="H3406">
        <v>840858041</v>
      </c>
      <c r="I3406" t="s">
        <v>29</v>
      </c>
      <c r="K3406" t="str">
        <f>IF(Table3[[#This Row],[Type Received]]=2,"CC",(IF(Table3[[#This Row],[Type Received]]=3,"BILL","ACH")))</f>
        <v>ACH</v>
      </c>
    </row>
    <row r="3407" spans="1:11" x14ac:dyDescent="0.25">
      <c r="A3407">
        <v>249119</v>
      </c>
      <c r="B3407" s="3">
        <v>46169</v>
      </c>
      <c r="C3407">
        <v>3</v>
      </c>
      <c r="D3407">
        <v>51.63</v>
      </c>
      <c r="E3407">
        <v>3247</v>
      </c>
      <c r="J3407" t="s">
        <v>29</v>
      </c>
      <c r="K3407" t="str">
        <f>IF(Table3[[#This Row],[Type Received]]=2,"CC",(IF(Table3[[#This Row],[Type Received]]=3,"BILL","ACH")))</f>
        <v>BILL</v>
      </c>
    </row>
    <row r="3408" spans="1:11" x14ac:dyDescent="0.25">
      <c r="A3408">
        <v>249134</v>
      </c>
      <c r="B3408" s="3">
        <v>46157</v>
      </c>
      <c r="C3408">
        <v>1</v>
      </c>
      <c r="D3408">
        <v>67.45</v>
      </c>
      <c r="G3408" s="4" t="s">
        <v>87</v>
      </c>
      <c r="H3408">
        <v>696846721</v>
      </c>
      <c r="I3408" t="s">
        <v>29</v>
      </c>
      <c r="J3408" t="s">
        <v>29</v>
      </c>
      <c r="K3408" t="str">
        <f>IF(Table3[[#This Row],[Type Received]]=2,"CC",(IF(Table3[[#This Row],[Type Received]]=3,"BILL","ACH")))</f>
        <v>ACH</v>
      </c>
    </row>
    <row r="3409" spans="1:11" x14ac:dyDescent="0.25">
      <c r="A3409">
        <v>249184</v>
      </c>
      <c r="B3409" s="3">
        <v>46169</v>
      </c>
      <c r="C3409">
        <v>1</v>
      </c>
      <c r="D3409">
        <v>50.95</v>
      </c>
      <c r="G3409" s="4" t="s">
        <v>117</v>
      </c>
      <c r="H3409">
        <v>840874477</v>
      </c>
      <c r="I3409" t="s">
        <v>29</v>
      </c>
      <c r="J3409" t="s">
        <v>29</v>
      </c>
      <c r="K3409" t="str">
        <f>IF(Table3[[#This Row],[Type Received]]=2,"CC",(IF(Table3[[#This Row],[Type Received]]=3,"BILL","ACH")))</f>
        <v>ACH</v>
      </c>
    </row>
    <row r="3410" spans="1:11" x14ac:dyDescent="0.25">
      <c r="A3410">
        <v>249200</v>
      </c>
      <c r="B3410" s="3">
        <v>46167</v>
      </c>
      <c r="C3410">
        <v>1</v>
      </c>
      <c r="D3410">
        <v>31.81</v>
      </c>
      <c r="G3410" t="s">
        <v>85</v>
      </c>
      <c r="H3410">
        <v>818398287</v>
      </c>
      <c r="I3410" t="s">
        <v>29</v>
      </c>
      <c r="J3410" t="s">
        <v>29</v>
      </c>
      <c r="K3410" t="str">
        <f>IF(Table3[[#This Row],[Type Received]]=2,"CC",(IF(Table3[[#This Row],[Type Received]]=3,"BILL","ACH")))</f>
        <v>ACH</v>
      </c>
    </row>
    <row r="3411" spans="1:11" x14ac:dyDescent="0.25">
      <c r="A3411">
        <v>248819</v>
      </c>
      <c r="B3411" s="3">
        <v>46157</v>
      </c>
      <c r="C3411">
        <v>1</v>
      </c>
      <c r="D3411">
        <v>126.85</v>
      </c>
      <c r="G3411" t="s">
        <v>87</v>
      </c>
      <c r="H3411">
        <v>696807913</v>
      </c>
      <c r="I3411" t="s">
        <v>29</v>
      </c>
      <c r="J3411" t="s">
        <v>29</v>
      </c>
      <c r="K3411" t="str">
        <f>IF(Table3[[#This Row],[Type Received]]=2,"CC",(IF(Table3[[#This Row],[Type Received]]=3,"BILL","ACH")))</f>
        <v>ACH</v>
      </c>
    </row>
    <row r="3412" spans="1:11" x14ac:dyDescent="0.25">
      <c r="A3412">
        <v>248860</v>
      </c>
      <c r="B3412" s="3">
        <v>46155</v>
      </c>
      <c r="C3412">
        <v>2</v>
      </c>
      <c r="D3412">
        <v>71.63</v>
      </c>
      <c r="F3412">
        <v>122100</v>
      </c>
      <c r="G3412" t="s">
        <v>28</v>
      </c>
      <c r="H3412">
        <v>669491980</v>
      </c>
      <c r="I3412" t="s">
        <v>29</v>
      </c>
      <c r="J3412" t="s">
        <v>29</v>
      </c>
      <c r="K3412" t="str">
        <f>IF(Table3[[#This Row],[Type Received]]=2,"CC",(IF(Table3[[#This Row],[Type Received]]=3,"BILL","ACH")))</f>
        <v>CC</v>
      </c>
    </row>
    <row r="3413" spans="1:11" x14ac:dyDescent="0.25">
      <c r="A3413">
        <v>248870</v>
      </c>
      <c r="B3413" s="3">
        <v>46169</v>
      </c>
      <c r="C3413">
        <v>1</v>
      </c>
      <c r="D3413">
        <v>56.23</v>
      </c>
      <c r="G3413" t="s">
        <v>117</v>
      </c>
      <c r="H3413">
        <v>840870677</v>
      </c>
      <c r="I3413" t="s">
        <v>29</v>
      </c>
      <c r="J3413" t="s">
        <v>29</v>
      </c>
      <c r="K3413" t="str">
        <f>IF(Table3[[#This Row],[Type Received]]=2,"CC",(IF(Table3[[#This Row],[Type Received]]=3,"BILL","ACH")))</f>
        <v>ACH</v>
      </c>
    </row>
    <row r="3414" spans="1:11" x14ac:dyDescent="0.25">
      <c r="A3414">
        <v>248877</v>
      </c>
      <c r="B3414" s="3">
        <v>46144</v>
      </c>
      <c r="C3414">
        <v>2</v>
      </c>
      <c r="D3414">
        <v>107.71</v>
      </c>
      <c r="F3414">
        <v>2962</v>
      </c>
      <c r="G3414" t="s">
        <v>28</v>
      </c>
      <c r="H3414">
        <v>535414812</v>
      </c>
      <c r="I3414" t="s">
        <v>29</v>
      </c>
      <c r="K3414" t="str">
        <f>IF(Table3[[#This Row],[Type Received]]=2,"CC",(IF(Table3[[#This Row],[Type Received]]=3,"BILL","ACH")))</f>
        <v>CC</v>
      </c>
    </row>
    <row r="3415" spans="1:11" x14ac:dyDescent="0.25">
      <c r="A3415">
        <v>248889</v>
      </c>
      <c r="B3415" s="3">
        <v>46150</v>
      </c>
      <c r="C3415">
        <v>3</v>
      </c>
      <c r="D3415">
        <v>157.22999999999999</v>
      </c>
      <c r="E3415">
        <v>5706</v>
      </c>
      <c r="G3415" s="4"/>
      <c r="K3415" t="str">
        <f>IF(Table3[[#This Row],[Type Received]]=2,"CC",(IF(Table3[[#This Row],[Type Received]]=3,"BILL","ACH")))</f>
        <v>BILL</v>
      </c>
    </row>
    <row r="3416" spans="1:11" x14ac:dyDescent="0.25">
      <c r="A3416">
        <v>248890</v>
      </c>
      <c r="B3416" s="3">
        <v>46155</v>
      </c>
      <c r="C3416">
        <v>2</v>
      </c>
      <c r="D3416">
        <v>165.46</v>
      </c>
      <c r="F3416">
        <v>12152</v>
      </c>
      <c r="G3416" t="s">
        <v>28</v>
      </c>
      <c r="H3416">
        <v>669452262</v>
      </c>
      <c r="I3416" t="s">
        <v>29</v>
      </c>
      <c r="J3416" t="s">
        <v>29</v>
      </c>
      <c r="K3416" t="str">
        <f>IF(Table3[[#This Row],[Type Received]]=2,"CC",(IF(Table3[[#This Row],[Type Received]]=3,"BILL","ACH")))</f>
        <v>CC</v>
      </c>
    </row>
    <row r="3417" spans="1:11" x14ac:dyDescent="0.25">
      <c r="A3417">
        <v>248897</v>
      </c>
      <c r="B3417" s="3">
        <v>46169</v>
      </c>
      <c r="C3417">
        <v>3</v>
      </c>
      <c r="D3417">
        <v>109.93</v>
      </c>
      <c r="E3417">
        <v>9658</v>
      </c>
      <c r="K3417" t="str">
        <f>IF(Table3[[#This Row],[Type Received]]=2,"CC",(IF(Table3[[#This Row],[Type Received]]=3,"BILL","ACH")))</f>
        <v>BILL</v>
      </c>
    </row>
    <row r="3418" spans="1:11" x14ac:dyDescent="0.25">
      <c r="A3418">
        <v>248897</v>
      </c>
      <c r="B3418" s="3">
        <v>46146</v>
      </c>
      <c r="C3418">
        <v>3</v>
      </c>
      <c r="D3418">
        <v>109.93</v>
      </c>
      <c r="E3418">
        <v>9652</v>
      </c>
      <c r="K3418" t="str">
        <f>IF(Table3[[#This Row],[Type Received]]=2,"CC",(IF(Table3[[#This Row],[Type Received]]=3,"BILL","ACH")))</f>
        <v>BILL</v>
      </c>
    </row>
    <row r="3419" spans="1:11" x14ac:dyDescent="0.25">
      <c r="A3419">
        <v>248905</v>
      </c>
      <c r="B3419" s="3">
        <v>46144</v>
      </c>
      <c r="C3419">
        <v>1</v>
      </c>
      <c r="D3419">
        <v>50.95</v>
      </c>
      <c r="G3419" t="s">
        <v>89</v>
      </c>
      <c r="H3419">
        <v>535417694</v>
      </c>
      <c r="I3419" t="s">
        <v>29</v>
      </c>
      <c r="K3419" t="str">
        <f>IF(Table3[[#This Row],[Type Received]]=2,"CC",(IF(Table3[[#This Row],[Type Received]]=3,"BILL","ACH")))</f>
        <v>ACH</v>
      </c>
    </row>
    <row r="3420" spans="1:11" x14ac:dyDescent="0.25">
      <c r="A3420">
        <v>248919</v>
      </c>
      <c r="B3420" s="3">
        <v>46144</v>
      </c>
      <c r="C3420">
        <v>1</v>
      </c>
      <c r="D3420">
        <v>109.03</v>
      </c>
      <c r="G3420" t="s">
        <v>89</v>
      </c>
      <c r="H3420">
        <v>535410906</v>
      </c>
      <c r="I3420" t="s">
        <v>29</v>
      </c>
      <c r="K3420" t="str">
        <f>IF(Table3[[#This Row],[Type Received]]=2,"CC",(IF(Table3[[#This Row],[Type Received]]=3,"BILL","ACH")))</f>
        <v>ACH</v>
      </c>
    </row>
    <row r="3421" spans="1:11" x14ac:dyDescent="0.25">
      <c r="A3421">
        <v>248922</v>
      </c>
      <c r="B3421" s="3">
        <v>46156</v>
      </c>
      <c r="C3421">
        <v>2</v>
      </c>
      <c r="D3421">
        <v>51.23</v>
      </c>
      <c r="F3421">
        <v>67862</v>
      </c>
      <c r="G3421" t="s">
        <v>28</v>
      </c>
      <c r="H3421">
        <v>682536659</v>
      </c>
      <c r="I3421" t="s">
        <v>29</v>
      </c>
      <c r="J3421" t="s">
        <v>29</v>
      </c>
      <c r="K3421" t="str">
        <f>IF(Table3[[#This Row],[Type Received]]=2,"CC",(IF(Table3[[#This Row],[Type Received]]=3,"BILL","ACH")))</f>
        <v>CC</v>
      </c>
    </row>
    <row r="3422" spans="1:11" x14ac:dyDescent="0.25">
      <c r="A3422">
        <v>248930</v>
      </c>
      <c r="B3422" s="3">
        <v>46143</v>
      </c>
      <c r="C3422">
        <v>3</v>
      </c>
      <c r="D3422">
        <v>163.16999999999999</v>
      </c>
      <c r="E3422">
        <v>74526203</v>
      </c>
      <c r="J3422" t="s">
        <v>29</v>
      </c>
      <c r="K3422" t="str">
        <f>IF(Table3[[#This Row],[Type Received]]=2,"CC",(IF(Table3[[#This Row],[Type Received]]=3,"BILL","ACH")))</f>
        <v>BILL</v>
      </c>
    </row>
    <row r="3423" spans="1:11" x14ac:dyDescent="0.25">
      <c r="A3423">
        <v>248944</v>
      </c>
      <c r="B3423" s="3">
        <v>46149</v>
      </c>
      <c r="C3423">
        <v>3</v>
      </c>
      <c r="D3423">
        <v>62</v>
      </c>
      <c r="E3423">
        <v>7301</v>
      </c>
      <c r="G3423" s="4"/>
      <c r="J3423" t="s">
        <v>29</v>
      </c>
      <c r="K3423" t="str">
        <f>IF(Table3[[#This Row],[Type Received]]=2,"CC",(IF(Table3[[#This Row],[Type Received]]=3,"BILL","ACH")))</f>
        <v>BILL</v>
      </c>
    </row>
    <row r="3424" spans="1:11" x14ac:dyDescent="0.25">
      <c r="A3424">
        <v>248975</v>
      </c>
      <c r="B3424" s="3">
        <v>46157</v>
      </c>
      <c r="C3424">
        <v>1</v>
      </c>
      <c r="D3424">
        <v>101.44</v>
      </c>
      <c r="G3424" t="s">
        <v>87</v>
      </c>
      <c r="H3424">
        <v>696817526</v>
      </c>
      <c r="I3424" t="s">
        <v>29</v>
      </c>
      <c r="J3424" t="s">
        <v>29</v>
      </c>
      <c r="K3424" t="str">
        <f>IF(Table3[[#This Row],[Type Received]]=2,"CC",(IF(Table3[[#This Row],[Type Received]]=3,"BILL","ACH")))</f>
        <v>ACH</v>
      </c>
    </row>
    <row r="3425" spans="1:11" x14ac:dyDescent="0.25">
      <c r="A3425">
        <v>248977</v>
      </c>
      <c r="B3425" s="3">
        <v>46146</v>
      </c>
      <c r="C3425">
        <v>3</v>
      </c>
      <c r="D3425">
        <v>41.73</v>
      </c>
      <c r="E3425">
        <v>3884</v>
      </c>
      <c r="J3425" t="s">
        <v>29</v>
      </c>
      <c r="K3425" t="str">
        <f>IF(Table3[[#This Row],[Type Received]]=2,"CC",(IF(Table3[[#This Row],[Type Received]]=3,"BILL","ACH")))</f>
        <v>BILL</v>
      </c>
    </row>
    <row r="3426" spans="1:11" x14ac:dyDescent="0.25">
      <c r="A3426">
        <v>248978</v>
      </c>
      <c r="B3426" s="3">
        <v>46150</v>
      </c>
      <c r="C3426">
        <v>3</v>
      </c>
      <c r="D3426">
        <v>124.56</v>
      </c>
      <c r="E3426">
        <v>922063641</v>
      </c>
      <c r="G3426" s="4"/>
      <c r="J3426" t="s">
        <v>29</v>
      </c>
      <c r="K3426" t="str">
        <f>IF(Table3[[#This Row],[Type Received]]=2,"CC",(IF(Table3[[#This Row],[Type Received]]=3,"BILL","ACH")))</f>
        <v>BILL</v>
      </c>
    </row>
    <row r="3427" spans="1:11" x14ac:dyDescent="0.25">
      <c r="A3427">
        <v>249000</v>
      </c>
      <c r="B3427" s="3">
        <v>46157</v>
      </c>
      <c r="C3427">
        <v>1</v>
      </c>
      <c r="D3427">
        <v>63.71</v>
      </c>
      <c r="G3427" s="4" t="s">
        <v>87</v>
      </c>
      <c r="H3427">
        <v>696816571</v>
      </c>
      <c r="I3427" t="s">
        <v>29</v>
      </c>
      <c r="K3427" t="str">
        <f>IF(Table3[[#This Row],[Type Received]]=2,"CC",(IF(Table3[[#This Row],[Type Received]]=3,"BILL","ACH")))</f>
        <v>ACH</v>
      </c>
    </row>
    <row r="3428" spans="1:11" x14ac:dyDescent="0.25">
      <c r="A3428">
        <v>249007</v>
      </c>
      <c r="B3428" s="3">
        <v>46146</v>
      </c>
      <c r="C3428">
        <v>1</v>
      </c>
      <c r="D3428">
        <v>56.25</v>
      </c>
      <c r="G3428" t="s">
        <v>92</v>
      </c>
      <c r="H3428">
        <v>556887277</v>
      </c>
      <c r="I3428" t="s">
        <v>29</v>
      </c>
      <c r="K3428" t="str">
        <f>IF(Table3[[#This Row],[Type Received]]=2,"CC",(IF(Table3[[#This Row],[Type Received]]=3,"BILL","ACH")))</f>
        <v>ACH</v>
      </c>
    </row>
    <row r="3429" spans="1:11" x14ac:dyDescent="0.25">
      <c r="A3429">
        <v>249229</v>
      </c>
      <c r="B3429" s="3">
        <v>46153</v>
      </c>
      <c r="C3429">
        <v>3</v>
      </c>
      <c r="D3429">
        <v>157.56</v>
      </c>
      <c r="E3429">
        <v>2495</v>
      </c>
      <c r="K3429" t="str">
        <f>IF(Table3[[#This Row],[Type Received]]=2,"CC",(IF(Table3[[#This Row],[Type Received]]=3,"BILL","ACH")))</f>
        <v>BILL</v>
      </c>
    </row>
    <row r="3430" spans="1:11" x14ac:dyDescent="0.25">
      <c r="A3430">
        <v>249251</v>
      </c>
      <c r="B3430" s="3">
        <v>46144</v>
      </c>
      <c r="C3430">
        <v>1</v>
      </c>
      <c r="D3430">
        <v>65.14</v>
      </c>
      <c r="G3430" t="s">
        <v>89</v>
      </c>
      <c r="H3430">
        <v>535430251</v>
      </c>
      <c r="I3430" t="s">
        <v>29</v>
      </c>
      <c r="K3430" t="str">
        <f>IF(Table3[[#This Row],[Type Received]]=2,"CC",(IF(Table3[[#This Row],[Type Received]]=3,"BILL","ACH")))</f>
        <v>ACH</v>
      </c>
    </row>
    <row r="3431" spans="1:11" x14ac:dyDescent="0.25">
      <c r="A3431">
        <v>249253</v>
      </c>
      <c r="B3431" s="3">
        <v>46157</v>
      </c>
      <c r="C3431">
        <v>1</v>
      </c>
      <c r="D3431">
        <v>38.19</v>
      </c>
      <c r="G3431" s="4" t="s">
        <v>87</v>
      </c>
      <c r="H3431">
        <v>696814683</v>
      </c>
      <c r="I3431" t="s">
        <v>29</v>
      </c>
      <c r="J3431" t="s">
        <v>29</v>
      </c>
      <c r="K3431" t="str">
        <f>IF(Table3[[#This Row],[Type Received]]=2,"CC",(IF(Table3[[#This Row],[Type Received]]=3,"BILL","ACH")))</f>
        <v>ACH</v>
      </c>
    </row>
    <row r="3432" spans="1:11" x14ac:dyDescent="0.25">
      <c r="A3432">
        <v>249260</v>
      </c>
      <c r="B3432" s="3">
        <v>46167</v>
      </c>
      <c r="C3432">
        <v>1</v>
      </c>
      <c r="D3432">
        <v>56.23</v>
      </c>
      <c r="G3432" t="s">
        <v>85</v>
      </c>
      <c r="H3432">
        <v>818404185</v>
      </c>
      <c r="I3432" t="s">
        <v>29</v>
      </c>
      <c r="K3432" t="str">
        <f>IF(Table3[[#This Row],[Type Received]]=2,"CC",(IF(Table3[[#This Row],[Type Received]]=3,"BILL","ACH")))</f>
        <v>ACH</v>
      </c>
    </row>
    <row r="3433" spans="1:11" x14ac:dyDescent="0.25">
      <c r="A3433">
        <v>249263</v>
      </c>
      <c r="B3433" s="3">
        <v>46144</v>
      </c>
      <c r="C3433">
        <v>1</v>
      </c>
      <c r="D3433">
        <v>146.97999999999999</v>
      </c>
      <c r="G3433" t="s">
        <v>89</v>
      </c>
      <c r="H3433">
        <v>535422614</v>
      </c>
      <c r="I3433" t="s">
        <v>29</v>
      </c>
      <c r="K3433" t="str">
        <f>IF(Table3[[#This Row],[Type Received]]=2,"CC",(IF(Table3[[#This Row],[Type Received]]=3,"BILL","ACH")))</f>
        <v>ACH</v>
      </c>
    </row>
    <row r="3434" spans="1:11" x14ac:dyDescent="0.25">
      <c r="A3434">
        <v>249270</v>
      </c>
      <c r="B3434" s="3">
        <v>46155</v>
      </c>
      <c r="C3434">
        <v>2</v>
      </c>
      <c r="D3434">
        <v>53.95</v>
      </c>
      <c r="F3434">
        <v>165340</v>
      </c>
      <c r="G3434" t="s">
        <v>28</v>
      </c>
      <c r="H3434">
        <v>669507342</v>
      </c>
      <c r="I3434" t="s">
        <v>29</v>
      </c>
      <c r="J3434" t="s">
        <v>29</v>
      </c>
      <c r="K3434" t="str">
        <f>IF(Table3[[#This Row],[Type Received]]=2,"CC",(IF(Table3[[#This Row],[Type Received]]=3,"BILL","ACH")))</f>
        <v>CC</v>
      </c>
    </row>
    <row r="3435" spans="1:11" x14ac:dyDescent="0.25">
      <c r="A3435">
        <v>249272</v>
      </c>
      <c r="B3435" s="3">
        <v>46171</v>
      </c>
      <c r="C3435">
        <v>3</v>
      </c>
      <c r="D3435">
        <v>142.38</v>
      </c>
      <c r="E3435">
        <v>9324</v>
      </c>
      <c r="K3435" t="str">
        <f>IF(Table3[[#This Row],[Type Received]]=2,"CC",(IF(Table3[[#This Row],[Type Received]]=3,"BILL","ACH")))</f>
        <v>BILL</v>
      </c>
    </row>
    <row r="3436" spans="1:11" x14ac:dyDescent="0.25">
      <c r="A3436">
        <v>249272</v>
      </c>
      <c r="B3436" s="3">
        <v>46146</v>
      </c>
      <c r="C3436">
        <v>3</v>
      </c>
      <c r="D3436">
        <v>142.38</v>
      </c>
      <c r="E3436">
        <v>9286</v>
      </c>
      <c r="K3436" t="str">
        <f>IF(Table3[[#This Row],[Type Received]]=2,"CC",(IF(Table3[[#This Row],[Type Received]]=3,"BILL","ACH")))</f>
        <v>BILL</v>
      </c>
    </row>
    <row r="3437" spans="1:11" x14ac:dyDescent="0.25">
      <c r="A3437">
        <v>249276</v>
      </c>
      <c r="B3437" s="3">
        <v>46146</v>
      </c>
      <c r="C3437">
        <v>2</v>
      </c>
      <c r="D3437">
        <v>78.25</v>
      </c>
      <c r="F3437">
        <v>215</v>
      </c>
      <c r="G3437" t="s">
        <v>28</v>
      </c>
      <c r="H3437">
        <v>561119939</v>
      </c>
      <c r="I3437" t="s">
        <v>29</v>
      </c>
      <c r="K3437" t="str">
        <f>IF(Table3[[#This Row],[Type Received]]=2,"CC",(IF(Table3[[#This Row],[Type Received]]=3,"BILL","ACH")))</f>
        <v>CC</v>
      </c>
    </row>
    <row r="3438" spans="1:11" x14ac:dyDescent="0.25">
      <c r="A3438">
        <v>249280</v>
      </c>
      <c r="B3438" s="3">
        <v>46167</v>
      </c>
      <c r="C3438">
        <v>1</v>
      </c>
      <c r="D3438">
        <v>92.09</v>
      </c>
      <c r="G3438" t="s">
        <v>85</v>
      </c>
      <c r="H3438">
        <v>818405163</v>
      </c>
      <c r="I3438" t="s">
        <v>29</v>
      </c>
      <c r="J3438" t="s">
        <v>29</v>
      </c>
      <c r="K3438" t="str">
        <f>IF(Table3[[#This Row],[Type Received]]=2,"CC",(IF(Table3[[#This Row],[Type Received]]=3,"BILL","ACH")))</f>
        <v>ACH</v>
      </c>
    </row>
    <row r="3439" spans="1:11" x14ac:dyDescent="0.25">
      <c r="A3439">
        <v>249282</v>
      </c>
      <c r="B3439" s="3">
        <v>46157</v>
      </c>
      <c r="C3439">
        <v>1</v>
      </c>
      <c r="D3439">
        <v>42.7</v>
      </c>
      <c r="G3439" s="4" t="s">
        <v>87</v>
      </c>
      <c r="H3439">
        <v>696814690</v>
      </c>
      <c r="I3439" t="s">
        <v>29</v>
      </c>
      <c r="J3439" t="s">
        <v>29</v>
      </c>
      <c r="K3439" t="str">
        <f>IF(Table3[[#This Row],[Type Received]]=2,"CC",(IF(Table3[[#This Row],[Type Received]]=3,"BILL","ACH")))</f>
        <v>ACH</v>
      </c>
    </row>
    <row r="3440" spans="1:11" x14ac:dyDescent="0.25">
      <c r="A3440">
        <v>249289</v>
      </c>
      <c r="B3440" s="3">
        <v>46144</v>
      </c>
      <c r="C3440">
        <v>1</v>
      </c>
      <c r="D3440">
        <v>105.07</v>
      </c>
      <c r="G3440" t="s">
        <v>89</v>
      </c>
      <c r="H3440">
        <v>535414862</v>
      </c>
      <c r="I3440" t="s">
        <v>29</v>
      </c>
      <c r="J3440" t="s">
        <v>29</v>
      </c>
      <c r="K3440" t="str">
        <f>IF(Table3[[#This Row],[Type Received]]=2,"CC",(IF(Table3[[#This Row],[Type Received]]=3,"BILL","ACH")))</f>
        <v>ACH</v>
      </c>
    </row>
    <row r="3441" spans="1:11" x14ac:dyDescent="0.25">
      <c r="A3441">
        <v>249314</v>
      </c>
      <c r="B3441" s="3">
        <v>46155</v>
      </c>
      <c r="C3441">
        <v>2</v>
      </c>
      <c r="D3441">
        <v>30.04</v>
      </c>
      <c r="F3441">
        <v>189049</v>
      </c>
      <c r="G3441" t="s">
        <v>28</v>
      </c>
      <c r="H3441">
        <v>669494954</v>
      </c>
      <c r="I3441" t="s">
        <v>29</v>
      </c>
      <c r="J3441" t="s">
        <v>29</v>
      </c>
      <c r="K3441" t="str">
        <f>IF(Table3[[#This Row],[Type Received]]=2,"CC",(IF(Table3[[#This Row],[Type Received]]=3,"BILL","ACH")))</f>
        <v>CC</v>
      </c>
    </row>
    <row r="3442" spans="1:11" x14ac:dyDescent="0.25">
      <c r="A3442">
        <v>249351</v>
      </c>
      <c r="B3442" s="3">
        <v>46144</v>
      </c>
      <c r="C3442">
        <v>1</v>
      </c>
      <c r="D3442">
        <v>83.51</v>
      </c>
      <c r="G3442" t="s">
        <v>89</v>
      </c>
      <c r="H3442">
        <v>535413885</v>
      </c>
      <c r="I3442" t="s">
        <v>29</v>
      </c>
      <c r="J3442" t="s">
        <v>29</v>
      </c>
      <c r="K3442" t="str">
        <f>IF(Table3[[#This Row],[Type Received]]=2,"CC",(IF(Table3[[#This Row],[Type Received]]=3,"BILL","ACH")))</f>
        <v>ACH</v>
      </c>
    </row>
    <row r="3443" spans="1:11" x14ac:dyDescent="0.25">
      <c r="A3443">
        <v>249357</v>
      </c>
      <c r="B3443" s="3">
        <v>46167</v>
      </c>
      <c r="C3443">
        <v>1</v>
      </c>
      <c r="D3443">
        <v>71.38</v>
      </c>
      <c r="G3443" t="s">
        <v>85</v>
      </c>
      <c r="H3443">
        <v>818402219</v>
      </c>
      <c r="I3443" t="s">
        <v>29</v>
      </c>
      <c r="J3443" t="s">
        <v>29</v>
      </c>
      <c r="K3443" t="str">
        <f>IF(Table3[[#This Row],[Type Received]]=2,"CC",(IF(Table3[[#This Row],[Type Received]]=3,"BILL","ACH")))</f>
        <v>ACH</v>
      </c>
    </row>
    <row r="3444" spans="1:11" x14ac:dyDescent="0.25">
      <c r="A3444">
        <v>249374</v>
      </c>
      <c r="B3444" s="3">
        <v>46169</v>
      </c>
      <c r="C3444">
        <v>3</v>
      </c>
      <c r="D3444">
        <v>59.22</v>
      </c>
      <c r="E3444">
        <v>4167</v>
      </c>
      <c r="K3444" t="str">
        <f>IF(Table3[[#This Row],[Type Received]]=2,"CC",(IF(Table3[[#This Row],[Type Received]]=3,"BILL","ACH")))</f>
        <v>BILL</v>
      </c>
    </row>
    <row r="3445" spans="1:11" x14ac:dyDescent="0.25">
      <c r="A3445">
        <v>249398</v>
      </c>
      <c r="B3445" s="3">
        <v>46150</v>
      </c>
      <c r="C3445">
        <v>3</v>
      </c>
      <c r="D3445">
        <v>42</v>
      </c>
      <c r="E3445">
        <v>996073</v>
      </c>
      <c r="J3445" t="s">
        <v>29</v>
      </c>
      <c r="K3445" t="str">
        <f>IF(Table3[[#This Row],[Type Received]]=2,"CC",(IF(Table3[[#This Row],[Type Received]]=3,"BILL","ACH")))</f>
        <v>BILL</v>
      </c>
    </row>
    <row r="3446" spans="1:11" x14ac:dyDescent="0.25">
      <c r="A3446">
        <v>249416</v>
      </c>
      <c r="B3446" s="3">
        <v>46171</v>
      </c>
      <c r="C3446">
        <v>3</v>
      </c>
      <c r="D3446">
        <v>183.96</v>
      </c>
      <c r="E3446">
        <v>3030</v>
      </c>
      <c r="J3446" t="s">
        <v>29</v>
      </c>
      <c r="K3446" t="str">
        <f>IF(Table3[[#This Row],[Type Received]]=2,"CC",(IF(Table3[[#This Row],[Type Received]]=3,"BILL","ACH")))</f>
        <v>BILL</v>
      </c>
    </row>
    <row r="3447" spans="1:11" x14ac:dyDescent="0.25">
      <c r="A3447">
        <v>249428</v>
      </c>
      <c r="B3447" s="3">
        <v>46150</v>
      </c>
      <c r="C3447">
        <v>2</v>
      </c>
      <c r="D3447">
        <v>37.11</v>
      </c>
      <c r="F3447">
        <v>54910</v>
      </c>
      <c r="G3447" t="s">
        <v>28</v>
      </c>
      <c r="H3447">
        <v>613275341</v>
      </c>
      <c r="I3447" t="s">
        <v>29</v>
      </c>
      <c r="J3447" t="s">
        <v>29</v>
      </c>
      <c r="K3447" t="str">
        <f>IF(Table3[[#This Row],[Type Received]]=2,"CC",(IF(Table3[[#This Row],[Type Received]]=3,"BILL","ACH")))</f>
        <v>CC</v>
      </c>
    </row>
    <row r="3448" spans="1:11" x14ac:dyDescent="0.25">
      <c r="A3448">
        <v>249437</v>
      </c>
      <c r="B3448" s="3">
        <v>46157</v>
      </c>
      <c r="C3448">
        <v>2</v>
      </c>
      <c r="D3448">
        <v>39.79</v>
      </c>
      <c r="F3448">
        <v>405247</v>
      </c>
      <c r="G3448" t="s">
        <v>28</v>
      </c>
      <c r="H3448">
        <v>696804019</v>
      </c>
      <c r="I3448" t="s">
        <v>29</v>
      </c>
      <c r="K3448" t="str">
        <f>IF(Table3[[#This Row],[Type Received]]=2,"CC",(IF(Table3[[#This Row],[Type Received]]=3,"BILL","ACH")))</f>
        <v>CC</v>
      </c>
    </row>
    <row r="3449" spans="1:11" x14ac:dyDescent="0.25">
      <c r="A3449">
        <v>249450</v>
      </c>
      <c r="B3449" s="3">
        <v>46143</v>
      </c>
      <c r="C3449">
        <v>3</v>
      </c>
      <c r="D3449">
        <v>76.489999999999995</v>
      </c>
      <c r="E3449">
        <v>927</v>
      </c>
      <c r="K3449" t="str">
        <f>IF(Table3[[#This Row],[Type Received]]=2,"CC",(IF(Table3[[#This Row],[Type Received]]=3,"BILL","ACH")))</f>
        <v>BILL</v>
      </c>
    </row>
    <row r="3450" spans="1:11" x14ac:dyDescent="0.25">
      <c r="A3450">
        <v>249479</v>
      </c>
      <c r="B3450" s="3">
        <v>46144</v>
      </c>
      <c r="C3450">
        <v>1</v>
      </c>
      <c r="D3450">
        <v>37.53</v>
      </c>
      <c r="G3450" t="s">
        <v>89</v>
      </c>
      <c r="H3450">
        <v>535426430</v>
      </c>
      <c r="I3450" t="s">
        <v>29</v>
      </c>
      <c r="J3450" t="s">
        <v>29</v>
      </c>
      <c r="K3450" t="str">
        <f>IF(Table3[[#This Row],[Type Received]]=2,"CC",(IF(Table3[[#This Row],[Type Received]]=3,"BILL","ACH")))</f>
        <v>ACH</v>
      </c>
    </row>
    <row r="3451" spans="1:11" x14ac:dyDescent="0.25">
      <c r="A3451">
        <v>249494</v>
      </c>
      <c r="B3451" s="3">
        <v>46144</v>
      </c>
      <c r="C3451">
        <v>1</v>
      </c>
      <c r="D3451">
        <v>58.21</v>
      </c>
      <c r="G3451" t="s">
        <v>89</v>
      </c>
      <c r="H3451">
        <v>535412916</v>
      </c>
      <c r="I3451" t="s">
        <v>29</v>
      </c>
      <c r="K3451" t="str">
        <f>IF(Table3[[#This Row],[Type Received]]=2,"CC",(IF(Table3[[#This Row],[Type Received]]=3,"BILL","ACH")))</f>
        <v>ACH</v>
      </c>
    </row>
    <row r="3452" spans="1:11" x14ac:dyDescent="0.25">
      <c r="A3452">
        <v>249504</v>
      </c>
      <c r="B3452" s="3">
        <v>46157</v>
      </c>
      <c r="C3452">
        <v>1</v>
      </c>
      <c r="D3452">
        <v>39.01</v>
      </c>
      <c r="G3452" t="s">
        <v>87</v>
      </c>
      <c r="H3452">
        <v>696813689</v>
      </c>
      <c r="I3452" t="s">
        <v>29</v>
      </c>
      <c r="J3452" t="s">
        <v>29</v>
      </c>
      <c r="K3452" t="str">
        <f>IF(Table3[[#This Row],[Type Received]]=2,"CC",(IF(Table3[[#This Row],[Type Received]]=3,"BILL","ACH")))</f>
        <v>ACH</v>
      </c>
    </row>
    <row r="3453" spans="1:11" x14ac:dyDescent="0.25">
      <c r="A3453">
        <v>249518</v>
      </c>
      <c r="B3453" s="3">
        <v>46167</v>
      </c>
      <c r="C3453">
        <v>1</v>
      </c>
      <c r="D3453">
        <v>50.45</v>
      </c>
      <c r="G3453" t="s">
        <v>85</v>
      </c>
      <c r="H3453">
        <v>818388660</v>
      </c>
      <c r="I3453" t="s">
        <v>29</v>
      </c>
      <c r="J3453" t="s">
        <v>29</v>
      </c>
      <c r="K3453" t="str">
        <f>IF(Table3[[#This Row],[Type Received]]=2,"CC",(IF(Table3[[#This Row],[Type Received]]=3,"BILL","ACH")))</f>
        <v>ACH</v>
      </c>
    </row>
    <row r="3454" spans="1:11" x14ac:dyDescent="0.25">
      <c r="A3454">
        <v>249524</v>
      </c>
      <c r="B3454" s="3">
        <v>46168</v>
      </c>
      <c r="C3454">
        <v>3</v>
      </c>
      <c r="D3454">
        <v>41.73</v>
      </c>
      <c r="E3454">
        <v>7381</v>
      </c>
      <c r="J3454" t="s">
        <v>29</v>
      </c>
      <c r="K3454" t="str">
        <f>IF(Table3[[#This Row],[Type Received]]=2,"CC",(IF(Table3[[#This Row],[Type Received]]=3,"BILL","ACH")))</f>
        <v>BILL</v>
      </c>
    </row>
    <row r="3455" spans="1:11" x14ac:dyDescent="0.25">
      <c r="A3455">
        <v>249560</v>
      </c>
      <c r="B3455" s="3">
        <v>46171</v>
      </c>
      <c r="C3455">
        <v>1</v>
      </c>
      <c r="D3455">
        <v>63.29</v>
      </c>
      <c r="G3455" t="s">
        <v>226</v>
      </c>
      <c r="H3455">
        <v>869249791</v>
      </c>
      <c r="I3455" t="s">
        <v>29</v>
      </c>
      <c r="J3455" t="s">
        <v>29</v>
      </c>
      <c r="K3455" t="str">
        <f>IF(Table3[[#This Row],[Type Received]]=2,"CC",(IF(Table3[[#This Row],[Type Received]]=3,"BILL","ACH")))</f>
        <v>ACH</v>
      </c>
    </row>
    <row r="3456" spans="1:11" x14ac:dyDescent="0.25">
      <c r="A3456">
        <v>249571</v>
      </c>
      <c r="B3456" s="3">
        <v>46146</v>
      </c>
      <c r="C3456">
        <v>2</v>
      </c>
      <c r="D3456">
        <v>42.61</v>
      </c>
      <c r="F3456">
        <v>170453</v>
      </c>
      <c r="G3456" t="s">
        <v>28</v>
      </c>
      <c r="H3456">
        <v>556622343</v>
      </c>
      <c r="I3456" t="s">
        <v>29</v>
      </c>
      <c r="J3456" t="s">
        <v>29</v>
      </c>
      <c r="K3456" t="str">
        <f>IF(Table3[[#This Row],[Type Received]]=2,"CC",(IF(Table3[[#This Row],[Type Received]]=3,"BILL","ACH")))</f>
        <v>CC</v>
      </c>
    </row>
    <row r="3457" spans="1:11" x14ac:dyDescent="0.25">
      <c r="A3457">
        <v>249572</v>
      </c>
      <c r="B3457" s="3">
        <v>46144</v>
      </c>
      <c r="C3457">
        <v>1</v>
      </c>
      <c r="D3457">
        <v>42.78</v>
      </c>
      <c r="G3457" s="4" t="s">
        <v>89</v>
      </c>
      <c r="H3457">
        <v>535431224</v>
      </c>
      <c r="I3457" t="s">
        <v>29</v>
      </c>
      <c r="J3457" t="s">
        <v>29</v>
      </c>
      <c r="K3457" t="str">
        <f>IF(Table3[[#This Row],[Type Received]]=2,"CC",(IF(Table3[[#This Row],[Type Received]]=3,"BILL","ACH")))</f>
        <v>ACH</v>
      </c>
    </row>
    <row r="3458" spans="1:11" x14ac:dyDescent="0.25">
      <c r="A3458">
        <v>249593</v>
      </c>
      <c r="B3458" s="3">
        <v>46144</v>
      </c>
      <c r="C3458">
        <v>1</v>
      </c>
      <c r="D3458">
        <v>42.7</v>
      </c>
      <c r="G3458" t="s">
        <v>89</v>
      </c>
      <c r="H3458">
        <v>535415887</v>
      </c>
      <c r="I3458" t="s">
        <v>29</v>
      </c>
      <c r="K3458" t="str">
        <f>IF(Table3[[#This Row],[Type Received]]=2,"CC",(IF(Table3[[#This Row],[Type Received]]=3,"BILL","ACH")))</f>
        <v>ACH</v>
      </c>
    </row>
    <row r="3459" spans="1:11" x14ac:dyDescent="0.25">
      <c r="A3459">
        <v>249597</v>
      </c>
      <c r="B3459" s="3">
        <v>46144</v>
      </c>
      <c r="C3459">
        <v>1</v>
      </c>
      <c r="D3459">
        <v>127.51</v>
      </c>
      <c r="G3459" t="s">
        <v>89</v>
      </c>
      <c r="H3459">
        <v>535343789</v>
      </c>
      <c r="I3459" t="s">
        <v>29</v>
      </c>
      <c r="J3459" t="s">
        <v>29</v>
      </c>
      <c r="K3459" t="str">
        <f>IF(Table3[[#This Row],[Type Received]]=2,"CC",(IF(Table3[[#This Row],[Type Received]]=3,"BILL","ACH")))</f>
        <v>ACH</v>
      </c>
    </row>
    <row r="3460" spans="1:11" x14ac:dyDescent="0.25">
      <c r="A3460">
        <v>249626</v>
      </c>
      <c r="B3460" s="3">
        <v>46169</v>
      </c>
      <c r="C3460">
        <v>3</v>
      </c>
      <c r="D3460">
        <v>64.17</v>
      </c>
      <c r="E3460">
        <v>1362</v>
      </c>
      <c r="J3460" t="s">
        <v>29</v>
      </c>
      <c r="K3460" t="str">
        <f>IF(Table3[[#This Row],[Type Received]]=2,"CC",(IF(Table3[[#This Row],[Type Received]]=3,"BILL","ACH")))</f>
        <v>BILL</v>
      </c>
    </row>
    <row r="3461" spans="1:11" x14ac:dyDescent="0.25">
      <c r="A3461">
        <v>249653</v>
      </c>
      <c r="B3461" s="3">
        <v>46155</v>
      </c>
      <c r="C3461">
        <v>1</v>
      </c>
      <c r="D3461">
        <v>62.5</v>
      </c>
      <c r="G3461" t="s">
        <v>90</v>
      </c>
      <c r="H3461">
        <v>669445293</v>
      </c>
      <c r="I3461" t="s">
        <v>29</v>
      </c>
      <c r="K3461" t="str">
        <f>IF(Table3[[#This Row],[Type Received]]=2,"CC",(IF(Table3[[#This Row],[Type Received]]=3,"BILL","ACH")))</f>
        <v>ACH</v>
      </c>
    </row>
    <row r="3462" spans="1:11" x14ac:dyDescent="0.25">
      <c r="A3462">
        <v>249658</v>
      </c>
      <c r="B3462" s="3">
        <v>46161</v>
      </c>
      <c r="C3462">
        <v>3</v>
      </c>
      <c r="D3462">
        <v>46.02</v>
      </c>
      <c r="E3462">
        <v>921854939</v>
      </c>
      <c r="K3462" t="str">
        <f>IF(Table3[[#This Row],[Type Received]]=2,"CC",(IF(Table3[[#This Row],[Type Received]]=3,"BILL","ACH")))</f>
        <v>BILL</v>
      </c>
    </row>
    <row r="3463" spans="1:11" x14ac:dyDescent="0.25">
      <c r="A3463">
        <v>249662</v>
      </c>
      <c r="B3463" s="3">
        <v>46169</v>
      </c>
      <c r="C3463">
        <v>1</v>
      </c>
      <c r="D3463">
        <v>64.81</v>
      </c>
      <c r="G3463" t="s">
        <v>117</v>
      </c>
      <c r="H3463">
        <v>840834281</v>
      </c>
      <c r="I3463" t="s">
        <v>29</v>
      </c>
      <c r="K3463" t="str">
        <f>IF(Table3[[#This Row],[Type Received]]=2,"CC",(IF(Table3[[#This Row],[Type Received]]=3,"BILL","ACH")))</f>
        <v>ACH</v>
      </c>
    </row>
    <row r="3464" spans="1:11" x14ac:dyDescent="0.25">
      <c r="A3464">
        <v>249681</v>
      </c>
      <c r="B3464" s="3">
        <v>46155</v>
      </c>
      <c r="C3464">
        <v>2</v>
      </c>
      <c r="D3464">
        <v>54.25</v>
      </c>
      <c r="F3464" t="s">
        <v>294</v>
      </c>
      <c r="G3464" t="s">
        <v>28</v>
      </c>
      <c r="H3464">
        <v>669496803</v>
      </c>
      <c r="I3464" t="s">
        <v>29</v>
      </c>
      <c r="J3464" t="s">
        <v>29</v>
      </c>
      <c r="K3464" t="str">
        <f>IF(Table3[[#This Row],[Type Received]]=2,"CC",(IF(Table3[[#This Row],[Type Received]]=3,"BILL","ACH")))</f>
        <v>CC</v>
      </c>
    </row>
    <row r="3465" spans="1:11" x14ac:dyDescent="0.25">
      <c r="A3465">
        <v>249686</v>
      </c>
      <c r="B3465" s="3">
        <v>46167</v>
      </c>
      <c r="C3465">
        <v>1</v>
      </c>
      <c r="D3465">
        <v>62.5</v>
      </c>
      <c r="G3465" t="s">
        <v>85</v>
      </c>
      <c r="H3465">
        <v>818381001</v>
      </c>
      <c r="I3465" t="s">
        <v>29</v>
      </c>
      <c r="J3465" t="s">
        <v>29</v>
      </c>
      <c r="K3465" t="str">
        <f>IF(Table3[[#This Row],[Type Received]]=2,"CC",(IF(Table3[[#This Row],[Type Received]]=3,"BILL","ACH")))</f>
        <v>ACH</v>
      </c>
    </row>
    <row r="3466" spans="1:11" x14ac:dyDescent="0.25">
      <c r="A3466">
        <v>249700</v>
      </c>
      <c r="B3466" s="3">
        <v>46157</v>
      </c>
      <c r="C3466">
        <v>1</v>
      </c>
      <c r="D3466">
        <v>51.39</v>
      </c>
      <c r="G3466" s="4" t="s">
        <v>87</v>
      </c>
      <c r="H3466">
        <v>696822370</v>
      </c>
      <c r="I3466" t="s">
        <v>29</v>
      </c>
      <c r="K3466" t="str">
        <f>IF(Table3[[#This Row],[Type Received]]=2,"CC",(IF(Table3[[#This Row],[Type Received]]=3,"BILL","ACH")))</f>
        <v>ACH</v>
      </c>
    </row>
    <row r="3467" spans="1:11" x14ac:dyDescent="0.25">
      <c r="A3467">
        <v>249709</v>
      </c>
      <c r="B3467" s="3">
        <v>46171</v>
      </c>
      <c r="C3467">
        <v>3</v>
      </c>
      <c r="D3467">
        <v>178.35</v>
      </c>
      <c r="E3467">
        <v>158031965</v>
      </c>
      <c r="G3467" s="4"/>
      <c r="K3467" t="str">
        <f>IF(Table3[[#This Row],[Type Received]]=2,"CC",(IF(Table3[[#This Row],[Type Received]]=3,"BILL","ACH")))</f>
        <v>BILL</v>
      </c>
    </row>
    <row r="3468" spans="1:11" x14ac:dyDescent="0.25">
      <c r="A3468">
        <v>249734</v>
      </c>
      <c r="B3468" s="3">
        <v>46155</v>
      </c>
      <c r="C3468">
        <v>1</v>
      </c>
      <c r="D3468">
        <v>115.96</v>
      </c>
      <c r="G3468" s="4" t="s">
        <v>90</v>
      </c>
      <c r="H3468">
        <v>669444981</v>
      </c>
      <c r="I3468" t="s">
        <v>29</v>
      </c>
      <c r="J3468" t="s">
        <v>29</v>
      </c>
      <c r="K3468" t="str">
        <f>IF(Table3[[#This Row],[Type Received]]=2,"CC",(IF(Table3[[#This Row],[Type Received]]=3,"BILL","ACH")))</f>
        <v>ACH</v>
      </c>
    </row>
    <row r="3469" spans="1:11" x14ac:dyDescent="0.25">
      <c r="A3469">
        <v>249771</v>
      </c>
      <c r="B3469" s="3">
        <v>46143</v>
      </c>
      <c r="C3469">
        <v>1</v>
      </c>
      <c r="D3469">
        <v>53.26</v>
      </c>
      <c r="G3469" s="4" t="s">
        <v>84</v>
      </c>
      <c r="H3469">
        <v>522238445</v>
      </c>
      <c r="I3469" t="s">
        <v>29</v>
      </c>
      <c r="J3469" t="s">
        <v>29</v>
      </c>
      <c r="K3469" t="str">
        <f>IF(Table3[[#This Row],[Type Received]]=2,"CC",(IF(Table3[[#This Row],[Type Received]]=3,"BILL","ACH")))</f>
        <v>ACH</v>
      </c>
    </row>
    <row r="3470" spans="1:11" x14ac:dyDescent="0.25">
      <c r="A3470">
        <v>249784</v>
      </c>
      <c r="B3470" s="3">
        <v>46164</v>
      </c>
      <c r="C3470">
        <v>3</v>
      </c>
      <c r="D3470">
        <v>99.62</v>
      </c>
      <c r="E3470">
        <v>1562</v>
      </c>
      <c r="J3470" t="s">
        <v>29</v>
      </c>
      <c r="K3470" t="str">
        <f>IF(Table3[[#This Row],[Type Received]]=2,"CC",(IF(Table3[[#This Row],[Type Received]]=3,"BILL","ACH")))</f>
        <v>BILL</v>
      </c>
    </row>
    <row r="3471" spans="1:11" x14ac:dyDescent="0.25">
      <c r="A3471">
        <v>249789</v>
      </c>
      <c r="B3471" s="3">
        <v>46144</v>
      </c>
      <c r="C3471">
        <v>2</v>
      </c>
      <c r="D3471">
        <v>57.55</v>
      </c>
      <c r="F3471">
        <v>53359</v>
      </c>
      <c r="G3471" t="s">
        <v>28</v>
      </c>
      <c r="H3471">
        <v>535410016</v>
      </c>
      <c r="I3471" t="s">
        <v>29</v>
      </c>
      <c r="J3471" t="s">
        <v>29</v>
      </c>
      <c r="K3471" t="str">
        <f>IF(Table3[[#This Row],[Type Received]]=2,"CC",(IF(Table3[[#This Row],[Type Received]]=3,"BILL","ACH")))</f>
        <v>CC</v>
      </c>
    </row>
    <row r="3472" spans="1:11" x14ac:dyDescent="0.25">
      <c r="A3472">
        <v>249790</v>
      </c>
      <c r="B3472" s="3">
        <v>46171</v>
      </c>
      <c r="C3472">
        <v>1</v>
      </c>
      <c r="D3472">
        <v>51.63</v>
      </c>
      <c r="G3472" t="s">
        <v>226</v>
      </c>
      <c r="H3472">
        <v>868138834</v>
      </c>
      <c r="I3472" t="s">
        <v>29</v>
      </c>
      <c r="J3472" t="s">
        <v>29</v>
      </c>
      <c r="K3472" t="str">
        <f>IF(Table3[[#This Row],[Type Received]]=2,"CC",(IF(Table3[[#This Row],[Type Received]]=3,"BILL","ACH")))</f>
        <v>ACH</v>
      </c>
    </row>
    <row r="3473" spans="1:11" x14ac:dyDescent="0.25">
      <c r="A3473">
        <v>249806</v>
      </c>
      <c r="B3473" s="3">
        <v>46167</v>
      </c>
      <c r="C3473">
        <v>1</v>
      </c>
      <c r="D3473">
        <v>76.47</v>
      </c>
      <c r="G3473" t="s">
        <v>85</v>
      </c>
      <c r="H3473">
        <v>818389666</v>
      </c>
      <c r="I3473" t="s">
        <v>29</v>
      </c>
      <c r="K3473" t="str">
        <f>IF(Table3[[#This Row],[Type Received]]=2,"CC",(IF(Table3[[#This Row],[Type Received]]=3,"BILL","ACH")))</f>
        <v>ACH</v>
      </c>
    </row>
    <row r="3474" spans="1:11" x14ac:dyDescent="0.25">
      <c r="A3474">
        <v>249812</v>
      </c>
      <c r="B3474" s="3">
        <v>46160</v>
      </c>
      <c r="C3474">
        <v>1</v>
      </c>
      <c r="D3474">
        <v>148.30000000000001</v>
      </c>
      <c r="G3474" t="s">
        <v>192</v>
      </c>
      <c r="H3474">
        <v>732345809</v>
      </c>
      <c r="I3474" t="s">
        <v>29</v>
      </c>
      <c r="J3474" t="s">
        <v>29</v>
      </c>
      <c r="K3474" t="str">
        <f>IF(Table3[[#This Row],[Type Received]]=2,"CC",(IF(Table3[[#This Row],[Type Received]]=3,"BILL","ACH")))</f>
        <v>ACH</v>
      </c>
    </row>
    <row r="3475" spans="1:11" x14ac:dyDescent="0.25">
      <c r="A3475">
        <v>249829</v>
      </c>
      <c r="B3475" s="3">
        <v>46144</v>
      </c>
      <c r="C3475">
        <v>1</v>
      </c>
      <c r="D3475">
        <v>50.95</v>
      </c>
      <c r="G3475" t="s">
        <v>89</v>
      </c>
      <c r="H3475">
        <v>535433199</v>
      </c>
      <c r="I3475" t="s">
        <v>29</v>
      </c>
      <c r="J3475" t="s">
        <v>29</v>
      </c>
      <c r="K3475" t="str">
        <f>IF(Table3[[#This Row],[Type Received]]=2,"CC",(IF(Table3[[#This Row],[Type Received]]=3,"BILL","ACH")))</f>
        <v>ACH</v>
      </c>
    </row>
    <row r="3476" spans="1:11" x14ac:dyDescent="0.25">
      <c r="A3476">
        <v>249835</v>
      </c>
      <c r="B3476" s="3">
        <v>46163</v>
      </c>
      <c r="C3476">
        <v>3</v>
      </c>
      <c r="D3476">
        <v>47.01</v>
      </c>
      <c r="E3476">
        <v>2747</v>
      </c>
      <c r="G3476" s="4"/>
      <c r="J3476" t="s">
        <v>29</v>
      </c>
      <c r="K3476" t="str">
        <f>IF(Table3[[#This Row],[Type Received]]=2,"CC",(IF(Table3[[#This Row],[Type Received]]=3,"BILL","ACH")))</f>
        <v>BILL</v>
      </c>
    </row>
    <row r="3477" spans="1:11" x14ac:dyDescent="0.25">
      <c r="A3477">
        <v>249835</v>
      </c>
      <c r="B3477" s="3">
        <v>46143</v>
      </c>
      <c r="C3477">
        <v>3</v>
      </c>
      <c r="D3477">
        <v>47.01</v>
      </c>
      <c r="E3477">
        <v>2746</v>
      </c>
      <c r="J3477" t="s">
        <v>29</v>
      </c>
      <c r="K3477" t="str">
        <f>IF(Table3[[#This Row],[Type Received]]=2,"CC",(IF(Table3[[#This Row],[Type Received]]=3,"BILL","ACH")))</f>
        <v>BILL</v>
      </c>
    </row>
    <row r="3478" spans="1:11" x14ac:dyDescent="0.25">
      <c r="A3478">
        <v>249873</v>
      </c>
      <c r="B3478" s="3">
        <v>46144</v>
      </c>
      <c r="C3478">
        <v>1</v>
      </c>
      <c r="D3478">
        <v>124.87</v>
      </c>
      <c r="G3478" t="s">
        <v>89</v>
      </c>
      <c r="H3478">
        <v>535435128</v>
      </c>
      <c r="I3478" t="s">
        <v>29</v>
      </c>
      <c r="J3478" t="s">
        <v>29</v>
      </c>
      <c r="K3478" t="str">
        <f>IF(Table3[[#This Row],[Type Received]]=2,"CC",(IF(Table3[[#This Row],[Type Received]]=3,"BILL","ACH")))</f>
        <v>ACH</v>
      </c>
    </row>
    <row r="3479" spans="1:11" x14ac:dyDescent="0.25">
      <c r="A3479">
        <v>249897</v>
      </c>
      <c r="B3479" s="3">
        <v>46148</v>
      </c>
      <c r="C3479">
        <v>3</v>
      </c>
      <c r="D3479">
        <v>125.83</v>
      </c>
      <c r="E3479">
        <v>3312</v>
      </c>
      <c r="G3479" s="4"/>
      <c r="K3479" t="str">
        <f>IF(Table3[[#This Row],[Type Received]]=2,"CC",(IF(Table3[[#This Row],[Type Received]]=3,"BILL","ACH")))</f>
        <v>BILL</v>
      </c>
    </row>
    <row r="3480" spans="1:11" x14ac:dyDescent="0.25">
      <c r="A3480">
        <v>249918</v>
      </c>
      <c r="B3480" s="3">
        <v>46157</v>
      </c>
      <c r="C3480">
        <v>1</v>
      </c>
      <c r="D3480">
        <v>48.53</v>
      </c>
      <c r="G3480" t="s">
        <v>87</v>
      </c>
      <c r="H3480">
        <v>696812722</v>
      </c>
      <c r="I3480" t="s">
        <v>29</v>
      </c>
      <c r="K3480" t="str">
        <f>IF(Table3[[#This Row],[Type Received]]=2,"CC",(IF(Table3[[#This Row],[Type Received]]=3,"BILL","ACH")))</f>
        <v>ACH</v>
      </c>
    </row>
    <row r="3481" spans="1:11" x14ac:dyDescent="0.25">
      <c r="A3481">
        <v>249927</v>
      </c>
      <c r="B3481" s="3">
        <v>46157</v>
      </c>
      <c r="C3481">
        <v>1</v>
      </c>
      <c r="D3481">
        <v>126.52</v>
      </c>
      <c r="G3481" s="4" t="s">
        <v>87</v>
      </c>
      <c r="H3481">
        <v>696802023</v>
      </c>
      <c r="I3481" t="s">
        <v>29</v>
      </c>
      <c r="J3481" t="s">
        <v>29</v>
      </c>
      <c r="K3481" t="str">
        <f>IF(Table3[[#This Row],[Type Received]]=2,"CC",(IF(Table3[[#This Row],[Type Received]]=3,"BILL","ACH")))</f>
        <v>ACH</v>
      </c>
    </row>
    <row r="3482" spans="1:11" x14ac:dyDescent="0.25">
      <c r="A3482">
        <v>249945</v>
      </c>
      <c r="B3482" s="3">
        <v>46157</v>
      </c>
      <c r="C3482">
        <v>1</v>
      </c>
      <c r="D3482">
        <v>101.77</v>
      </c>
      <c r="G3482" t="s">
        <v>87</v>
      </c>
      <c r="H3482">
        <v>696824375</v>
      </c>
      <c r="I3482" t="s">
        <v>29</v>
      </c>
      <c r="J3482" t="s">
        <v>29</v>
      </c>
      <c r="K3482" t="str">
        <f>IF(Table3[[#This Row],[Type Received]]=2,"CC",(IF(Table3[[#This Row],[Type Received]]=3,"BILL","ACH")))</f>
        <v>ACH</v>
      </c>
    </row>
    <row r="3483" spans="1:11" x14ac:dyDescent="0.25">
      <c r="A3483">
        <v>249978</v>
      </c>
      <c r="B3483" s="3">
        <v>46167</v>
      </c>
      <c r="C3483">
        <v>1</v>
      </c>
      <c r="D3483">
        <v>84.83</v>
      </c>
      <c r="G3483" t="s">
        <v>85</v>
      </c>
      <c r="H3483">
        <v>818394540</v>
      </c>
      <c r="I3483" t="s">
        <v>29</v>
      </c>
      <c r="J3483" t="s">
        <v>29</v>
      </c>
      <c r="K3483" t="str">
        <f>IF(Table3[[#This Row],[Type Received]]=2,"CC",(IF(Table3[[#This Row],[Type Received]]=3,"BILL","ACH")))</f>
        <v>ACH</v>
      </c>
    </row>
    <row r="3484" spans="1:11" x14ac:dyDescent="0.25">
      <c r="A3484">
        <v>249982</v>
      </c>
      <c r="B3484" s="3">
        <v>46167</v>
      </c>
      <c r="C3484">
        <v>1</v>
      </c>
      <c r="D3484">
        <v>33.130000000000003</v>
      </c>
      <c r="G3484" t="s">
        <v>85</v>
      </c>
      <c r="H3484">
        <v>818401273</v>
      </c>
      <c r="I3484" t="s">
        <v>29</v>
      </c>
      <c r="J3484" t="s">
        <v>29</v>
      </c>
      <c r="K3484" t="str">
        <f>IF(Table3[[#This Row],[Type Received]]=2,"CC",(IF(Table3[[#This Row],[Type Received]]=3,"BILL","ACH")))</f>
        <v>ACH</v>
      </c>
    </row>
    <row r="3485" spans="1:11" x14ac:dyDescent="0.25">
      <c r="A3485">
        <v>249983</v>
      </c>
      <c r="B3485" s="3">
        <v>46144</v>
      </c>
      <c r="C3485">
        <v>2</v>
      </c>
      <c r="D3485">
        <v>43.76</v>
      </c>
      <c r="F3485">
        <v>460252</v>
      </c>
      <c r="G3485" t="s">
        <v>28</v>
      </c>
      <c r="H3485">
        <v>535436116</v>
      </c>
      <c r="I3485" t="s">
        <v>29</v>
      </c>
      <c r="J3485" t="s">
        <v>29</v>
      </c>
      <c r="K3485" t="str">
        <f>IF(Table3[[#This Row],[Type Received]]=2,"CC",(IF(Table3[[#This Row],[Type Received]]=3,"BILL","ACH")))</f>
        <v>CC</v>
      </c>
    </row>
    <row r="3486" spans="1:11" x14ac:dyDescent="0.25">
      <c r="A3486">
        <v>249996</v>
      </c>
      <c r="B3486" s="3">
        <v>46164</v>
      </c>
      <c r="C3486">
        <v>3</v>
      </c>
      <c r="D3486">
        <v>91.23</v>
      </c>
      <c r="E3486">
        <v>3485</v>
      </c>
      <c r="J3486" t="s">
        <v>29</v>
      </c>
      <c r="K3486" t="str">
        <f>IF(Table3[[#This Row],[Type Received]]=2,"CC",(IF(Table3[[#This Row],[Type Received]]=3,"BILL","ACH")))</f>
        <v>BILL</v>
      </c>
    </row>
    <row r="3487" spans="1:11" x14ac:dyDescent="0.25">
      <c r="A3487">
        <v>249999</v>
      </c>
      <c r="B3487" s="3">
        <v>46144</v>
      </c>
      <c r="C3487">
        <v>1</v>
      </c>
      <c r="D3487">
        <v>59.97</v>
      </c>
      <c r="G3487" t="s">
        <v>89</v>
      </c>
      <c r="H3487">
        <v>535423579</v>
      </c>
      <c r="I3487" t="s">
        <v>29</v>
      </c>
      <c r="J3487" t="s">
        <v>29</v>
      </c>
      <c r="K3487" t="str">
        <f>IF(Table3[[#This Row],[Type Received]]=2,"CC",(IF(Table3[[#This Row],[Type Received]]=3,"BILL","ACH")))</f>
        <v>ACH</v>
      </c>
    </row>
    <row r="3488" spans="1:11" x14ac:dyDescent="0.25">
      <c r="A3488">
        <v>250005</v>
      </c>
      <c r="B3488" s="3">
        <v>46144</v>
      </c>
      <c r="C3488">
        <v>1</v>
      </c>
      <c r="D3488">
        <v>96.27</v>
      </c>
      <c r="G3488" t="s">
        <v>89</v>
      </c>
      <c r="H3488">
        <v>535433233</v>
      </c>
      <c r="I3488" t="s">
        <v>29</v>
      </c>
      <c r="J3488" t="s">
        <v>29</v>
      </c>
      <c r="K3488" t="str">
        <f>IF(Table3[[#This Row],[Type Received]]=2,"CC",(IF(Table3[[#This Row],[Type Received]]=3,"BILL","ACH")))</f>
        <v>ACH</v>
      </c>
    </row>
    <row r="3489" spans="1:11" x14ac:dyDescent="0.25">
      <c r="A3489">
        <v>250017</v>
      </c>
      <c r="B3489" s="3">
        <v>46144</v>
      </c>
      <c r="C3489">
        <v>1</v>
      </c>
      <c r="D3489">
        <v>41.93</v>
      </c>
      <c r="G3489" t="s">
        <v>89</v>
      </c>
      <c r="H3489">
        <v>535412980</v>
      </c>
      <c r="I3489" t="s">
        <v>29</v>
      </c>
      <c r="J3489" t="s">
        <v>29</v>
      </c>
      <c r="K3489" t="str">
        <f>IF(Table3[[#This Row],[Type Received]]=2,"CC",(IF(Table3[[#This Row],[Type Received]]=3,"BILL","ACH")))</f>
        <v>ACH</v>
      </c>
    </row>
    <row r="3490" spans="1:11" x14ac:dyDescent="0.25">
      <c r="A3490">
        <v>250030</v>
      </c>
      <c r="B3490" s="3">
        <v>46146</v>
      </c>
      <c r="C3490">
        <v>3</v>
      </c>
      <c r="D3490">
        <v>61.2</v>
      </c>
      <c r="E3490">
        <v>202</v>
      </c>
      <c r="K3490" t="str">
        <f>IF(Table3[[#This Row],[Type Received]]=2,"CC",(IF(Table3[[#This Row],[Type Received]]=3,"BILL","ACH")))</f>
        <v>BILL</v>
      </c>
    </row>
    <row r="3491" spans="1:11" x14ac:dyDescent="0.25">
      <c r="A3491">
        <v>250065</v>
      </c>
      <c r="B3491" s="3">
        <v>46167</v>
      </c>
      <c r="C3491">
        <v>1</v>
      </c>
      <c r="D3491">
        <v>54.25</v>
      </c>
      <c r="G3491" s="4" t="s">
        <v>85</v>
      </c>
      <c r="H3491">
        <v>818400296</v>
      </c>
      <c r="I3491" t="s">
        <v>29</v>
      </c>
      <c r="K3491" t="str">
        <f>IF(Table3[[#This Row],[Type Received]]=2,"CC",(IF(Table3[[#This Row],[Type Received]]=3,"BILL","ACH")))</f>
        <v>ACH</v>
      </c>
    </row>
    <row r="3492" spans="1:11" x14ac:dyDescent="0.25">
      <c r="A3492">
        <v>250069</v>
      </c>
      <c r="B3492" s="3">
        <v>46146</v>
      </c>
      <c r="C3492">
        <v>3</v>
      </c>
      <c r="D3492">
        <v>55.15</v>
      </c>
      <c r="E3492">
        <v>10093</v>
      </c>
      <c r="J3492" t="s">
        <v>29</v>
      </c>
      <c r="K3492" t="str">
        <f>IF(Table3[[#This Row],[Type Received]]=2,"CC",(IF(Table3[[#This Row],[Type Received]]=3,"BILL","ACH")))</f>
        <v>BILL</v>
      </c>
    </row>
    <row r="3493" spans="1:11" x14ac:dyDescent="0.25">
      <c r="A3493">
        <v>250080</v>
      </c>
      <c r="B3493" s="3">
        <v>46167</v>
      </c>
      <c r="C3493">
        <v>1</v>
      </c>
      <c r="D3493">
        <v>66.349999999999994</v>
      </c>
      <c r="G3493" t="s">
        <v>85</v>
      </c>
      <c r="H3493">
        <v>818381031</v>
      </c>
      <c r="I3493" t="s">
        <v>29</v>
      </c>
      <c r="J3493" t="s">
        <v>29</v>
      </c>
      <c r="K3493" t="str">
        <f>IF(Table3[[#This Row],[Type Received]]=2,"CC",(IF(Table3[[#This Row],[Type Received]]=3,"BILL","ACH")))</f>
        <v>ACH</v>
      </c>
    </row>
    <row r="3494" spans="1:11" x14ac:dyDescent="0.25">
      <c r="A3494">
        <v>250102</v>
      </c>
      <c r="B3494" s="3">
        <v>46157</v>
      </c>
      <c r="C3494">
        <v>1</v>
      </c>
      <c r="D3494">
        <v>161.83000000000001</v>
      </c>
      <c r="G3494" t="s">
        <v>87</v>
      </c>
      <c r="H3494">
        <v>696831127</v>
      </c>
      <c r="I3494" t="s">
        <v>29</v>
      </c>
      <c r="J3494" t="s">
        <v>29</v>
      </c>
      <c r="K3494" t="str">
        <f>IF(Table3[[#This Row],[Type Received]]=2,"CC",(IF(Table3[[#This Row],[Type Received]]=3,"BILL","ACH")))</f>
        <v>ACH</v>
      </c>
    </row>
    <row r="3495" spans="1:11" x14ac:dyDescent="0.25">
      <c r="A3495">
        <v>250111</v>
      </c>
      <c r="B3495" s="3">
        <v>46154</v>
      </c>
      <c r="C3495">
        <v>3</v>
      </c>
      <c r="D3495">
        <v>39.53</v>
      </c>
      <c r="E3495">
        <v>9114</v>
      </c>
      <c r="J3495" t="s">
        <v>29</v>
      </c>
      <c r="K3495" t="str">
        <f>IF(Table3[[#This Row],[Type Received]]=2,"CC",(IF(Table3[[#This Row],[Type Received]]=3,"BILL","ACH")))</f>
        <v>BILL</v>
      </c>
    </row>
    <row r="3496" spans="1:11" x14ac:dyDescent="0.25">
      <c r="A3496">
        <v>250112</v>
      </c>
      <c r="B3496" s="3">
        <v>46143</v>
      </c>
      <c r="C3496">
        <v>2</v>
      </c>
      <c r="D3496">
        <v>111.69</v>
      </c>
      <c r="F3496">
        <v>32072</v>
      </c>
      <c r="G3496" t="s">
        <v>28</v>
      </c>
      <c r="H3496">
        <v>522507870</v>
      </c>
      <c r="I3496" t="s">
        <v>29</v>
      </c>
      <c r="K3496" t="str">
        <f>IF(Table3[[#This Row],[Type Received]]=2,"CC",(IF(Table3[[#This Row],[Type Received]]=3,"BILL","ACH")))</f>
        <v>CC</v>
      </c>
    </row>
    <row r="3497" spans="1:11" x14ac:dyDescent="0.25">
      <c r="A3497">
        <v>250123</v>
      </c>
      <c r="B3497" s="3">
        <v>46157</v>
      </c>
      <c r="C3497">
        <v>1</v>
      </c>
      <c r="D3497">
        <v>122.89</v>
      </c>
      <c r="G3497" t="s">
        <v>87</v>
      </c>
      <c r="H3497">
        <v>696829304</v>
      </c>
      <c r="I3497" t="s">
        <v>29</v>
      </c>
      <c r="J3497" t="s">
        <v>29</v>
      </c>
      <c r="K3497" t="str">
        <f>IF(Table3[[#This Row],[Type Received]]=2,"CC",(IF(Table3[[#This Row],[Type Received]]=3,"BILL","ACH")))</f>
        <v>ACH</v>
      </c>
    </row>
    <row r="3498" spans="1:11" x14ac:dyDescent="0.25">
      <c r="A3498">
        <v>250151</v>
      </c>
      <c r="B3498" s="3">
        <v>46144</v>
      </c>
      <c r="C3498">
        <v>1</v>
      </c>
      <c r="D3498">
        <v>33.549999999999997</v>
      </c>
      <c r="G3498" t="s">
        <v>89</v>
      </c>
      <c r="H3498">
        <v>535426518</v>
      </c>
      <c r="I3498" t="s">
        <v>29</v>
      </c>
      <c r="J3498" t="s">
        <v>29</v>
      </c>
      <c r="K3498" t="str">
        <f>IF(Table3[[#This Row],[Type Received]]=2,"CC",(IF(Table3[[#This Row],[Type Received]]=3,"BILL","ACH")))</f>
        <v>ACH</v>
      </c>
    </row>
    <row r="3499" spans="1:11" x14ac:dyDescent="0.25">
      <c r="A3499">
        <v>250161</v>
      </c>
      <c r="B3499" s="3">
        <v>46144</v>
      </c>
      <c r="C3499">
        <v>1</v>
      </c>
      <c r="D3499">
        <v>36.76</v>
      </c>
      <c r="G3499" s="4" t="s">
        <v>89</v>
      </c>
      <c r="H3499">
        <v>535428512</v>
      </c>
      <c r="I3499" t="s">
        <v>29</v>
      </c>
      <c r="J3499" t="s">
        <v>29</v>
      </c>
      <c r="K3499" t="str">
        <f>IF(Table3[[#This Row],[Type Received]]=2,"CC",(IF(Table3[[#This Row],[Type Received]]=3,"BILL","ACH")))</f>
        <v>ACH</v>
      </c>
    </row>
    <row r="3500" spans="1:11" x14ac:dyDescent="0.25">
      <c r="A3500">
        <v>250179</v>
      </c>
      <c r="B3500" s="3">
        <v>46157</v>
      </c>
      <c r="C3500">
        <v>1</v>
      </c>
      <c r="D3500">
        <v>132.13</v>
      </c>
      <c r="G3500" t="s">
        <v>87</v>
      </c>
      <c r="H3500">
        <v>696807084</v>
      </c>
      <c r="I3500" t="s">
        <v>29</v>
      </c>
      <c r="K3500" t="str">
        <f>IF(Table3[[#This Row],[Type Received]]=2,"CC",(IF(Table3[[#This Row],[Type Received]]=3,"BILL","ACH")))</f>
        <v>ACH</v>
      </c>
    </row>
    <row r="3501" spans="1:11" x14ac:dyDescent="0.25">
      <c r="A3501">
        <v>250183</v>
      </c>
      <c r="B3501" s="3">
        <v>46164</v>
      </c>
      <c r="C3501">
        <v>3</v>
      </c>
      <c r="D3501">
        <v>268.72000000000003</v>
      </c>
      <c r="E3501">
        <v>6547</v>
      </c>
      <c r="K3501" t="str">
        <f>IF(Table3[[#This Row],[Type Received]]=2,"CC",(IF(Table3[[#This Row],[Type Received]]=3,"BILL","ACH")))</f>
        <v>BILL</v>
      </c>
    </row>
    <row r="3502" spans="1:11" x14ac:dyDescent="0.25">
      <c r="A3502">
        <v>250185</v>
      </c>
      <c r="B3502" s="3">
        <v>46144</v>
      </c>
      <c r="C3502">
        <v>2</v>
      </c>
      <c r="D3502">
        <v>40.39</v>
      </c>
      <c r="F3502" t="s">
        <v>295</v>
      </c>
      <c r="G3502" t="s">
        <v>28</v>
      </c>
      <c r="H3502">
        <v>535421735</v>
      </c>
      <c r="I3502" t="s">
        <v>29</v>
      </c>
      <c r="J3502" t="s">
        <v>29</v>
      </c>
      <c r="K3502" t="str">
        <f>IF(Table3[[#This Row],[Type Received]]=2,"CC",(IF(Table3[[#This Row],[Type Received]]=3,"BILL","ACH")))</f>
        <v>CC</v>
      </c>
    </row>
    <row r="3503" spans="1:11" x14ac:dyDescent="0.25">
      <c r="A3503">
        <v>250193</v>
      </c>
      <c r="B3503" s="3">
        <v>46157</v>
      </c>
      <c r="C3503">
        <v>1</v>
      </c>
      <c r="D3503">
        <v>65.14</v>
      </c>
      <c r="G3503" t="s">
        <v>87</v>
      </c>
      <c r="H3503">
        <v>696832104</v>
      </c>
      <c r="I3503" t="s">
        <v>29</v>
      </c>
      <c r="J3503" t="s">
        <v>29</v>
      </c>
      <c r="K3503" t="str">
        <f>IF(Table3[[#This Row],[Type Received]]=2,"CC",(IF(Table3[[#This Row],[Type Received]]=3,"BILL","ACH")))</f>
        <v>ACH</v>
      </c>
    </row>
    <row r="3504" spans="1:11" x14ac:dyDescent="0.25">
      <c r="A3504">
        <v>250207</v>
      </c>
      <c r="B3504" s="3">
        <v>46171</v>
      </c>
      <c r="C3504">
        <v>3</v>
      </c>
      <c r="D3504">
        <v>70.11</v>
      </c>
      <c r="E3504">
        <v>4878</v>
      </c>
      <c r="K3504" t="str">
        <f>IF(Table3[[#This Row],[Type Received]]=2,"CC",(IF(Table3[[#This Row],[Type Received]]=3,"BILL","ACH")))</f>
        <v>BILL</v>
      </c>
    </row>
    <row r="3505" spans="1:11" x14ac:dyDescent="0.25">
      <c r="A3505">
        <v>250207</v>
      </c>
      <c r="B3505" s="3">
        <v>46150</v>
      </c>
      <c r="C3505">
        <v>3</v>
      </c>
      <c r="D3505">
        <v>70.11</v>
      </c>
      <c r="E3505">
        <v>4870</v>
      </c>
      <c r="J3505" t="s">
        <v>29</v>
      </c>
      <c r="K3505" t="str">
        <f>IF(Table3[[#This Row],[Type Received]]=2,"CC",(IF(Table3[[#This Row],[Type Received]]=3,"BILL","ACH")))</f>
        <v>BILL</v>
      </c>
    </row>
    <row r="3506" spans="1:11" x14ac:dyDescent="0.25">
      <c r="A3506">
        <v>250218</v>
      </c>
      <c r="B3506" s="3">
        <v>46167</v>
      </c>
      <c r="C3506">
        <v>1</v>
      </c>
      <c r="D3506">
        <v>96.82</v>
      </c>
      <c r="G3506" t="s">
        <v>85</v>
      </c>
      <c r="H3506">
        <v>818404253</v>
      </c>
      <c r="I3506" t="s">
        <v>29</v>
      </c>
      <c r="K3506" t="str">
        <f>IF(Table3[[#This Row],[Type Received]]=2,"CC",(IF(Table3[[#This Row],[Type Received]]=3,"BILL","ACH")))</f>
        <v>ACH</v>
      </c>
    </row>
    <row r="3507" spans="1:11" x14ac:dyDescent="0.25">
      <c r="A3507">
        <v>250232</v>
      </c>
      <c r="B3507" s="3">
        <v>46143</v>
      </c>
      <c r="C3507">
        <v>1</v>
      </c>
      <c r="D3507">
        <v>120.58</v>
      </c>
      <c r="G3507" t="s">
        <v>84</v>
      </c>
      <c r="H3507">
        <v>522395119</v>
      </c>
      <c r="I3507" t="s">
        <v>29</v>
      </c>
      <c r="J3507" t="s">
        <v>29</v>
      </c>
      <c r="K3507" t="str">
        <f>IF(Table3[[#This Row],[Type Received]]=2,"CC",(IF(Table3[[#This Row],[Type Received]]=3,"BILL","ACH")))</f>
        <v>ACH</v>
      </c>
    </row>
    <row r="3508" spans="1:11" x14ac:dyDescent="0.25">
      <c r="A3508">
        <v>250248</v>
      </c>
      <c r="B3508" s="3">
        <v>46143</v>
      </c>
      <c r="C3508">
        <v>1</v>
      </c>
      <c r="D3508">
        <v>68.11</v>
      </c>
      <c r="G3508" t="s">
        <v>84</v>
      </c>
      <c r="H3508">
        <v>522396122</v>
      </c>
      <c r="I3508" t="s">
        <v>29</v>
      </c>
      <c r="J3508" t="s">
        <v>29</v>
      </c>
      <c r="K3508" t="str">
        <f>IF(Table3[[#This Row],[Type Received]]=2,"CC",(IF(Table3[[#This Row],[Type Received]]=3,"BILL","ACH")))</f>
        <v>ACH</v>
      </c>
    </row>
    <row r="3509" spans="1:11" x14ac:dyDescent="0.25">
      <c r="A3509">
        <v>250262</v>
      </c>
      <c r="B3509" s="3">
        <v>46145</v>
      </c>
      <c r="C3509">
        <v>2</v>
      </c>
      <c r="D3509">
        <v>48.81</v>
      </c>
      <c r="F3509" t="s">
        <v>296</v>
      </c>
      <c r="G3509">
        <v>742039970</v>
      </c>
      <c r="H3509">
        <v>353342408</v>
      </c>
      <c r="K3509" t="str">
        <f>IF(Table3[[#This Row],[Type Received]]=2,"CC",(IF(Table3[[#This Row],[Type Received]]=3,"BILL","ACH")))</f>
        <v>CC</v>
      </c>
    </row>
    <row r="3510" spans="1:11" x14ac:dyDescent="0.25">
      <c r="A3510">
        <v>250313</v>
      </c>
      <c r="B3510" s="3">
        <v>46155</v>
      </c>
      <c r="C3510">
        <v>2</v>
      </c>
      <c r="D3510">
        <v>54.25</v>
      </c>
      <c r="F3510">
        <v>180153</v>
      </c>
      <c r="G3510" t="s">
        <v>28</v>
      </c>
      <c r="H3510">
        <v>669508347</v>
      </c>
      <c r="I3510" t="s">
        <v>29</v>
      </c>
      <c r="K3510" t="str">
        <f>IF(Table3[[#This Row],[Type Received]]=2,"CC",(IF(Table3[[#This Row],[Type Received]]=3,"BILL","ACH")))</f>
        <v>CC</v>
      </c>
    </row>
    <row r="3511" spans="1:11" x14ac:dyDescent="0.25">
      <c r="A3511">
        <v>250321</v>
      </c>
      <c r="B3511" s="3">
        <v>46157</v>
      </c>
      <c r="C3511">
        <v>1</v>
      </c>
      <c r="D3511">
        <v>61.84</v>
      </c>
      <c r="G3511" t="s">
        <v>87</v>
      </c>
      <c r="H3511">
        <v>696820516</v>
      </c>
      <c r="I3511" t="s">
        <v>29</v>
      </c>
      <c r="J3511" t="s">
        <v>29</v>
      </c>
      <c r="K3511" t="str">
        <f>IF(Table3[[#This Row],[Type Received]]=2,"CC",(IF(Table3[[#This Row],[Type Received]]=3,"BILL","ACH")))</f>
        <v>ACH</v>
      </c>
    </row>
    <row r="3512" spans="1:11" x14ac:dyDescent="0.25">
      <c r="A3512">
        <v>250322</v>
      </c>
      <c r="B3512" s="3">
        <v>46155</v>
      </c>
      <c r="C3512">
        <v>1</v>
      </c>
      <c r="D3512">
        <v>101.11</v>
      </c>
      <c r="G3512" t="s">
        <v>90</v>
      </c>
      <c r="H3512">
        <v>669507815</v>
      </c>
      <c r="I3512" t="s">
        <v>29</v>
      </c>
      <c r="J3512" t="s">
        <v>29</v>
      </c>
      <c r="K3512" t="str">
        <f>IF(Table3[[#This Row],[Type Received]]=2,"CC",(IF(Table3[[#This Row],[Type Received]]=3,"BILL","ACH")))</f>
        <v>ACH</v>
      </c>
    </row>
    <row r="3513" spans="1:11" x14ac:dyDescent="0.25">
      <c r="A3513">
        <v>250340</v>
      </c>
      <c r="B3513" s="3">
        <v>46143</v>
      </c>
      <c r="C3513">
        <v>1</v>
      </c>
      <c r="D3513">
        <v>58.65</v>
      </c>
      <c r="G3513" s="4" t="s">
        <v>84</v>
      </c>
      <c r="H3513">
        <v>522377829</v>
      </c>
      <c r="I3513" t="s">
        <v>29</v>
      </c>
      <c r="J3513" t="s">
        <v>29</v>
      </c>
      <c r="K3513" t="str">
        <f>IF(Table3[[#This Row],[Type Received]]=2,"CC",(IF(Table3[[#This Row],[Type Received]]=3,"BILL","ACH")))</f>
        <v>ACH</v>
      </c>
    </row>
    <row r="3514" spans="1:11" x14ac:dyDescent="0.25">
      <c r="A3514">
        <v>250357</v>
      </c>
      <c r="B3514" s="3">
        <v>46143</v>
      </c>
      <c r="C3514">
        <v>1</v>
      </c>
      <c r="D3514">
        <v>53.26</v>
      </c>
      <c r="G3514" t="s">
        <v>84</v>
      </c>
      <c r="H3514">
        <v>522421796</v>
      </c>
      <c r="I3514" t="s">
        <v>29</v>
      </c>
      <c r="J3514" t="s">
        <v>29</v>
      </c>
      <c r="K3514" t="str">
        <f>IF(Table3[[#This Row],[Type Received]]=2,"CC",(IF(Table3[[#This Row],[Type Received]]=3,"BILL","ACH")))</f>
        <v>ACH</v>
      </c>
    </row>
    <row r="3515" spans="1:11" x14ac:dyDescent="0.25">
      <c r="A3515">
        <v>250358</v>
      </c>
      <c r="B3515" s="3">
        <v>46143</v>
      </c>
      <c r="C3515">
        <v>1</v>
      </c>
      <c r="D3515">
        <v>109.69</v>
      </c>
      <c r="G3515" t="s">
        <v>84</v>
      </c>
      <c r="H3515">
        <v>522385586</v>
      </c>
      <c r="I3515" t="s">
        <v>29</v>
      </c>
      <c r="K3515" t="str">
        <f>IF(Table3[[#This Row],[Type Received]]=2,"CC",(IF(Table3[[#This Row],[Type Received]]=3,"BILL","ACH")))</f>
        <v>ACH</v>
      </c>
    </row>
    <row r="3516" spans="1:11" x14ac:dyDescent="0.25">
      <c r="A3516">
        <v>250376</v>
      </c>
      <c r="B3516" s="3">
        <v>46143</v>
      </c>
      <c r="C3516">
        <v>1</v>
      </c>
      <c r="D3516">
        <v>43.25</v>
      </c>
      <c r="G3516" t="s">
        <v>84</v>
      </c>
      <c r="H3516">
        <v>522377867</v>
      </c>
      <c r="I3516" t="s">
        <v>29</v>
      </c>
      <c r="K3516" t="str">
        <f>IF(Table3[[#This Row],[Type Received]]=2,"CC",(IF(Table3[[#This Row],[Type Received]]=3,"BILL","ACH")))</f>
        <v>ACH</v>
      </c>
    </row>
    <row r="3517" spans="1:11" x14ac:dyDescent="0.25">
      <c r="A3517">
        <v>250388</v>
      </c>
      <c r="B3517" s="3">
        <v>46162</v>
      </c>
      <c r="C3517">
        <v>2</v>
      </c>
      <c r="D3517">
        <v>127.95</v>
      </c>
      <c r="F3517">
        <v>220727</v>
      </c>
      <c r="G3517" t="s">
        <v>28</v>
      </c>
      <c r="H3517">
        <v>762616747</v>
      </c>
      <c r="I3517" t="s">
        <v>29</v>
      </c>
      <c r="J3517" t="s">
        <v>29</v>
      </c>
      <c r="K3517" t="str">
        <f>IF(Table3[[#This Row],[Type Received]]=2,"CC",(IF(Table3[[#This Row],[Type Received]]=3,"BILL","ACH")))</f>
        <v>CC</v>
      </c>
    </row>
    <row r="3518" spans="1:11" x14ac:dyDescent="0.25">
      <c r="A3518">
        <v>250392</v>
      </c>
      <c r="B3518" s="3">
        <v>46147</v>
      </c>
      <c r="C3518">
        <v>3</v>
      </c>
      <c r="D3518">
        <v>90.38</v>
      </c>
      <c r="E3518">
        <v>7940</v>
      </c>
      <c r="J3518" t="s">
        <v>29</v>
      </c>
      <c r="K3518" t="str">
        <f>IF(Table3[[#This Row],[Type Received]]=2,"CC",(IF(Table3[[#This Row],[Type Received]]=3,"BILL","ACH")))</f>
        <v>BILL</v>
      </c>
    </row>
    <row r="3519" spans="1:11" x14ac:dyDescent="0.25">
      <c r="A3519">
        <v>250394</v>
      </c>
      <c r="B3519" s="3">
        <v>46155</v>
      </c>
      <c r="C3519">
        <v>2</v>
      </c>
      <c r="D3519">
        <v>45.34</v>
      </c>
      <c r="F3519">
        <v>203101</v>
      </c>
      <c r="G3519" t="s">
        <v>28</v>
      </c>
      <c r="H3519">
        <v>669501691</v>
      </c>
      <c r="I3519" t="s">
        <v>29</v>
      </c>
      <c r="J3519" t="s">
        <v>29</v>
      </c>
      <c r="K3519" t="str">
        <f>IF(Table3[[#This Row],[Type Received]]=2,"CC",(IF(Table3[[#This Row],[Type Received]]=3,"BILL","ACH")))</f>
        <v>CC</v>
      </c>
    </row>
    <row r="3520" spans="1:11" x14ac:dyDescent="0.25">
      <c r="A3520">
        <v>250405</v>
      </c>
      <c r="B3520" s="3">
        <v>46157</v>
      </c>
      <c r="C3520">
        <v>1</v>
      </c>
      <c r="D3520">
        <v>37.75</v>
      </c>
      <c r="G3520" t="s">
        <v>87</v>
      </c>
      <c r="H3520">
        <v>696815701</v>
      </c>
      <c r="I3520" t="s">
        <v>29</v>
      </c>
      <c r="K3520" t="str">
        <f>IF(Table3[[#This Row],[Type Received]]=2,"CC",(IF(Table3[[#This Row],[Type Received]]=3,"BILL","ACH")))</f>
        <v>ACH</v>
      </c>
    </row>
    <row r="3521" spans="1:11" x14ac:dyDescent="0.25">
      <c r="A3521">
        <v>250419</v>
      </c>
      <c r="B3521" s="3">
        <v>46157</v>
      </c>
      <c r="C3521">
        <v>1</v>
      </c>
      <c r="D3521">
        <v>29.5</v>
      </c>
      <c r="G3521" t="s">
        <v>87</v>
      </c>
      <c r="H3521">
        <v>696834127</v>
      </c>
      <c r="I3521" t="s">
        <v>29</v>
      </c>
      <c r="J3521" t="s">
        <v>29</v>
      </c>
      <c r="K3521" t="str">
        <f>IF(Table3[[#This Row],[Type Received]]=2,"CC",(IF(Table3[[#This Row],[Type Received]]=3,"BILL","ACH")))</f>
        <v>ACH</v>
      </c>
    </row>
    <row r="3522" spans="1:11" x14ac:dyDescent="0.25">
      <c r="A3522">
        <v>250431</v>
      </c>
      <c r="B3522" s="3">
        <v>46143</v>
      </c>
      <c r="C3522">
        <v>1</v>
      </c>
      <c r="D3522">
        <v>121.24</v>
      </c>
      <c r="G3522" t="s">
        <v>84</v>
      </c>
      <c r="H3522">
        <v>522379842</v>
      </c>
      <c r="I3522" t="s">
        <v>29</v>
      </c>
      <c r="J3522" t="s">
        <v>29</v>
      </c>
      <c r="K3522" t="str">
        <f>IF(Table3[[#This Row],[Type Received]]=2,"CC",(IF(Table3[[#This Row],[Type Received]]=3,"BILL","ACH")))</f>
        <v>ACH</v>
      </c>
    </row>
    <row r="3523" spans="1:11" x14ac:dyDescent="0.25">
      <c r="A3523">
        <v>250447</v>
      </c>
      <c r="B3523" s="3">
        <v>46147</v>
      </c>
      <c r="C3523">
        <v>3</v>
      </c>
      <c r="D3523">
        <v>49.87</v>
      </c>
      <c r="E3523">
        <v>985527</v>
      </c>
      <c r="G3523" s="4"/>
      <c r="J3523" t="s">
        <v>29</v>
      </c>
      <c r="K3523" t="str">
        <f>IF(Table3[[#This Row],[Type Received]]=2,"CC",(IF(Table3[[#This Row],[Type Received]]=3,"BILL","ACH")))</f>
        <v>BILL</v>
      </c>
    </row>
    <row r="3524" spans="1:11" x14ac:dyDescent="0.25">
      <c r="A3524">
        <v>250473</v>
      </c>
      <c r="B3524" s="3">
        <v>46157</v>
      </c>
      <c r="C3524">
        <v>1</v>
      </c>
      <c r="D3524">
        <v>61.45</v>
      </c>
      <c r="G3524" s="4" t="s">
        <v>87</v>
      </c>
      <c r="H3524">
        <v>696819532</v>
      </c>
      <c r="I3524" t="s">
        <v>29</v>
      </c>
      <c r="J3524" t="s">
        <v>29</v>
      </c>
      <c r="K3524" t="str">
        <f>IF(Table3[[#This Row],[Type Received]]=2,"CC",(IF(Table3[[#This Row],[Type Received]]=3,"BILL","ACH")))</f>
        <v>ACH</v>
      </c>
    </row>
    <row r="3525" spans="1:11" x14ac:dyDescent="0.25">
      <c r="A3525">
        <v>250483</v>
      </c>
      <c r="B3525" s="3">
        <v>46143</v>
      </c>
      <c r="C3525">
        <v>1</v>
      </c>
      <c r="D3525">
        <v>54.35</v>
      </c>
      <c r="G3525" t="s">
        <v>84</v>
      </c>
      <c r="H3525">
        <v>522378930</v>
      </c>
      <c r="I3525" t="s">
        <v>29</v>
      </c>
      <c r="J3525" t="s">
        <v>29</v>
      </c>
      <c r="K3525" t="str">
        <f>IF(Table3[[#This Row],[Type Received]]=2,"CC",(IF(Table3[[#This Row],[Type Received]]=3,"BILL","ACH")))</f>
        <v>ACH</v>
      </c>
    </row>
    <row r="3526" spans="1:11" x14ac:dyDescent="0.25">
      <c r="A3526">
        <v>250495</v>
      </c>
      <c r="B3526" s="3">
        <v>46156</v>
      </c>
      <c r="C3526">
        <v>1</v>
      </c>
      <c r="D3526">
        <v>88.9</v>
      </c>
      <c r="G3526" t="s">
        <v>93</v>
      </c>
      <c r="H3526">
        <v>682534653</v>
      </c>
      <c r="I3526" t="s">
        <v>29</v>
      </c>
      <c r="K3526" t="str">
        <f>IF(Table3[[#This Row],[Type Received]]=2,"CC",(IF(Table3[[#This Row],[Type Received]]=3,"BILL","ACH")))</f>
        <v>ACH</v>
      </c>
    </row>
    <row r="3527" spans="1:11" x14ac:dyDescent="0.25">
      <c r="A3527">
        <v>250518</v>
      </c>
      <c r="B3527" s="3">
        <v>46144</v>
      </c>
      <c r="C3527">
        <v>1</v>
      </c>
      <c r="D3527">
        <v>49.85</v>
      </c>
      <c r="G3527" t="s">
        <v>89</v>
      </c>
      <c r="H3527">
        <v>535354130</v>
      </c>
      <c r="I3527" t="s">
        <v>29</v>
      </c>
      <c r="J3527" t="s">
        <v>29</v>
      </c>
      <c r="K3527" t="str">
        <f>IF(Table3[[#This Row],[Type Received]]=2,"CC",(IF(Table3[[#This Row],[Type Received]]=3,"BILL","ACH")))</f>
        <v>ACH</v>
      </c>
    </row>
    <row r="3528" spans="1:11" x14ac:dyDescent="0.25">
      <c r="A3528">
        <v>250530</v>
      </c>
      <c r="B3528" s="3">
        <v>46143</v>
      </c>
      <c r="C3528">
        <v>1</v>
      </c>
      <c r="D3528">
        <v>49.85</v>
      </c>
      <c r="G3528" t="s">
        <v>84</v>
      </c>
      <c r="H3528">
        <v>522399258</v>
      </c>
      <c r="I3528" t="s">
        <v>29</v>
      </c>
      <c r="J3528" t="s">
        <v>29</v>
      </c>
      <c r="K3528" t="str">
        <f>IF(Table3[[#This Row],[Type Received]]=2,"CC",(IF(Table3[[#This Row],[Type Received]]=3,"BILL","ACH")))</f>
        <v>ACH</v>
      </c>
    </row>
    <row r="3529" spans="1:11" x14ac:dyDescent="0.25">
      <c r="A3529">
        <v>250533</v>
      </c>
      <c r="B3529" s="3">
        <v>46155</v>
      </c>
      <c r="C3529">
        <v>2</v>
      </c>
      <c r="D3529">
        <v>100.67</v>
      </c>
      <c r="F3529" t="s">
        <v>297</v>
      </c>
      <c r="G3529" t="s">
        <v>28</v>
      </c>
      <c r="H3529">
        <v>669497812</v>
      </c>
      <c r="I3529" t="s">
        <v>29</v>
      </c>
      <c r="J3529" t="s">
        <v>29</v>
      </c>
      <c r="K3529" t="str">
        <f>IF(Table3[[#This Row],[Type Received]]=2,"CC",(IF(Table3[[#This Row],[Type Received]]=3,"BILL","ACH")))</f>
        <v>CC</v>
      </c>
    </row>
    <row r="3530" spans="1:11" x14ac:dyDescent="0.25">
      <c r="A3530">
        <v>250540</v>
      </c>
      <c r="B3530" s="3">
        <v>46144</v>
      </c>
      <c r="C3530">
        <v>1</v>
      </c>
      <c r="D3530">
        <v>36.65</v>
      </c>
      <c r="G3530" t="s">
        <v>89</v>
      </c>
      <c r="H3530">
        <v>535339566</v>
      </c>
      <c r="I3530" t="s">
        <v>29</v>
      </c>
      <c r="K3530" t="str">
        <f>IF(Table3[[#This Row],[Type Received]]=2,"CC",(IF(Table3[[#This Row],[Type Received]]=3,"BILL","ACH")))</f>
        <v>ACH</v>
      </c>
    </row>
    <row r="3531" spans="1:11" x14ac:dyDescent="0.25">
      <c r="A3531">
        <v>250541</v>
      </c>
      <c r="B3531" s="3">
        <v>46147</v>
      </c>
      <c r="C3531">
        <v>1</v>
      </c>
      <c r="D3531">
        <v>39.51</v>
      </c>
      <c r="G3531" t="s">
        <v>86</v>
      </c>
      <c r="H3531">
        <v>569472448</v>
      </c>
      <c r="I3531" t="s">
        <v>29</v>
      </c>
      <c r="J3531" t="s">
        <v>29</v>
      </c>
      <c r="K3531" t="str">
        <f>IF(Table3[[#This Row],[Type Received]]=2,"CC",(IF(Table3[[#This Row],[Type Received]]=3,"BILL","ACH")))</f>
        <v>ACH</v>
      </c>
    </row>
    <row r="3532" spans="1:11" x14ac:dyDescent="0.25">
      <c r="A3532">
        <v>250559</v>
      </c>
      <c r="B3532" s="3">
        <v>46148</v>
      </c>
      <c r="C3532">
        <v>3</v>
      </c>
      <c r="D3532">
        <v>44.15</v>
      </c>
      <c r="E3532">
        <v>19790912405</v>
      </c>
      <c r="J3532" t="s">
        <v>29</v>
      </c>
      <c r="K3532" t="str">
        <f>IF(Table3[[#This Row],[Type Received]]=2,"CC",(IF(Table3[[#This Row],[Type Received]]=3,"BILL","ACH")))</f>
        <v>BILL</v>
      </c>
    </row>
    <row r="3533" spans="1:11" x14ac:dyDescent="0.25">
      <c r="A3533">
        <v>250561</v>
      </c>
      <c r="B3533" s="3">
        <v>46143</v>
      </c>
      <c r="C3533">
        <v>1</v>
      </c>
      <c r="D3533">
        <v>51.17</v>
      </c>
      <c r="G3533" t="s">
        <v>84</v>
      </c>
      <c r="H3533">
        <v>522385724</v>
      </c>
      <c r="I3533" t="s">
        <v>29</v>
      </c>
      <c r="J3533" t="s">
        <v>29</v>
      </c>
      <c r="K3533" t="str">
        <f>IF(Table3[[#This Row],[Type Received]]=2,"CC",(IF(Table3[[#This Row],[Type Received]]=3,"BILL","ACH")))</f>
        <v>ACH</v>
      </c>
    </row>
    <row r="3534" spans="1:11" x14ac:dyDescent="0.25">
      <c r="A3534">
        <v>250563</v>
      </c>
      <c r="B3534" s="3">
        <v>46157</v>
      </c>
      <c r="C3534">
        <v>1</v>
      </c>
      <c r="D3534">
        <v>43.3</v>
      </c>
      <c r="G3534" t="s">
        <v>87</v>
      </c>
      <c r="H3534">
        <v>696829379</v>
      </c>
      <c r="I3534" t="s">
        <v>29</v>
      </c>
      <c r="J3534" t="s">
        <v>29</v>
      </c>
      <c r="K3534" t="str">
        <f>IF(Table3[[#This Row],[Type Received]]=2,"CC",(IF(Table3[[#This Row],[Type Received]]=3,"BILL","ACH")))</f>
        <v>ACH</v>
      </c>
    </row>
    <row r="3535" spans="1:11" x14ac:dyDescent="0.25">
      <c r="A3535">
        <v>250573</v>
      </c>
      <c r="B3535" s="3">
        <v>46167</v>
      </c>
      <c r="C3535">
        <v>1</v>
      </c>
      <c r="D3535">
        <v>49.3</v>
      </c>
      <c r="G3535" t="s">
        <v>85</v>
      </c>
      <c r="H3535">
        <v>818387728</v>
      </c>
      <c r="I3535" t="s">
        <v>29</v>
      </c>
      <c r="J3535" t="s">
        <v>29</v>
      </c>
      <c r="K3535" t="str">
        <f>IF(Table3[[#This Row],[Type Received]]=2,"CC",(IF(Table3[[#This Row],[Type Received]]=3,"BILL","ACH")))</f>
        <v>ACH</v>
      </c>
    </row>
    <row r="3536" spans="1:11" x14ac:dyDescent="0.25">
      <c r="A3536">
        <v>250576</v>
      </c>
      <c r="B3536" s="3">
        <v>46143</v>
      </c>
      <c r="C3536">
        <v>1</v>
      </c>
      <c r="D3536">
        <v>66.459999999999994</v>
      </c>
      <c r="G3536" t="s">
        <v>84</v>
      </c>
      <c r="H3536">
        <v>522375094</v>
      </c>
      <c r="I3536" t="s">
        <v>29</v>
      </c>
      <c r="K3536" t="str">
        <f>IF(Table3[[#This Row],[Type Received]]=2,"CC",(IF(Table3[[#This Row],[Type Received]]=3,"BILL","ACH")))</f>
        <v>ACH</v>
      </c>
    </row>
    <row r="3537" spans="1:11" x14ac:dyDescent="0.25">
      <c r="A3537">
        <v>250600</v>
      </c>
      <c r="B3537" s="3">
        <v>46157</v>
      </c>
      <c r="C3537">
        <v>1</v>
      </c>
      <c r="D3537">
        <v>63.93</v>
      </c>
      <c r="G3537" t="s">
        <v>87</v>
      </c>
      <c r="H3537">
        <v>696812840</v>
      </c>
      <c r="I3537" t="s">
        <v>29</v>
      </c>
      <c r="J3537" t="s">
        <v>29</v>
      </c>
      <c r="K3537" t="str">
        <f>IF(Table3[[#This Row],[Type Received]]=2,"CC",(IF(Table3[[#This Row],[Type Received]]=3,"BILL","ACH")))</f>
        <v>ACH</v>
      </c>
    </row>
    <row r="3538" spans="1:11" x14ac:dyDescent="0.25">
      <c r="A3538">
        <v>250620</v>
      </c>
      <c r="B3538" s="3">
        <v>46143</v>
      </c>
      <c r="C3538">
        <v>1</v>
      </c>
      <c r="D3538">
        <v>60</v>
      </c>
      <c r="G3538" t="s">
        <v>84</v>
      </c>
      <c r="H3538">
        <v>522217477</v>
      </c>
      <c r="I3538" t="s">
        <v>29</v>
      </c>
      <c r="J3538" t="s">
        <v>29</v>
      </c>
      <c r="K3538" t="str">
        <f>IF(Table3[[#This Row],[Type Received]]=2,"CC",(IF(Table3[[#This Row],[Type Received]]=3,"BILL","ACH")))</f>
        <v>ACH</v>
      </c>
    </row>
    <row r="3539" spans="1:11" x14ac:dyDescent="0.25">
      <c r="A3539">
        <v>250624</v>
      </c>
      <c r="B3539" s="3">
        <v>46160</v>
      </c>
      <c r="C3539">
        <v>3</v>
      </c>
      <c r="D3539">
        <v>32.81</v>
      </c>
      <c r="E3539">
        <v>19822409884</v>
      </c>
      <c r="J3539" t="s">
        <v>29</v>
      </c>
      <c r="K3539" t="str">
        <f>IF(Table3[[#This Row],[Type Received]]=2,"CC",(IF(Table3[[#This Row],[Type Received]]=3,"BILL","ACH")))</f>
        <v>BILL</v>
      </c>
    </row>
    <row r="3540" spans="1:11" x14ac:dyDescent="0.25">
      <c r="A3540">
        <v>250638</v>
      </c>
      <c r="B3540" s="3">
        <v>46167</v>
      </c>
      <c r="C3540">
        <v>1</v>
      </c>
      <c r="D3540">
        <v>31.54</v>
      </c>
      <c r="G3540" t="s">
        <v>85</v>
      </c>
      <c r="H3540">
        <v>818406177</v>
      </c>
      <c r="I3540" t="s">
        <v>29</v>
      </c>
      <c r="K3540" t="str">
        <f>IF(Table3[[#This Row],[Type Received]]=2,"CC",(IF(Table3[[#This Row],[Type Received]]=3,"BILL","ACH")))</f>
        <v>ACH</v>
      </c>
    </row>
    <row r="3541" spans="1:11" x14ac:dyDescent="0.25">
      <c r="A3541">
        <v>250641</v>
      </c>
      <c r="B3541" s="3">
        <v>46167</v>
      </c>
      <c r="C3541">
        <v>1</v>
      </c>
      <c r="D3541">
        <v>80.98</v>
      </c>
      <c r="G3541" t="s">
        <v>85</v>
      </c>
      <c r="H3541">
        <v>818407155</v>
      </c>
      <c r="I3541" t="s">
        <v>29</v>
      </c>
      <c r="J3541" t="s">
        <v>29</v>
      </c>
      <c r="K3541" t="str">
        <f>IF(Table3[[#This Row],[Type Received]]=2,"CC",(IF(Table3[[#This Row],[Type Received]]=3,"BILL","ACH")))</f>
        <v>ACH</v>
      </c>
    </row>
    <row r="3542" spans="1:11" x14ac:dyDescent="0.25">
      <c r="A3542">
        <v>250647</v>
      </c>
      <c r="B3542" s="3">
        <v>46158</v>
      </c>
      <c r="C3542">
        <v>1</v>
      </c>
      <c r="D3542">
        <v>78.010000000000005</v>
      </c>
      <c r="G3542" t="s">
        <v>106</v>
      </c>
      <c r="H3542">
        <v>710077321</v>
      </c>
      <c r="I3542" t="s">
        <v>29</v>
      </c>
      <c r="J3542" t="s">
        <v>29</v>
      </c>
      <c r="K3542" t="str">
        <f>IF(Table3[[#This Row],[Type Received]]=2,"CC",(IF(Table3[[#This Row],[Type Received]]=3,"BILL","ACH")))</f>
        <v>ACH</v>
      </c>
    </row>
    <row r="3543" spans="1:11" x14ac:dyDescent="0.25">
      <c r="A3543">
        <v>250657</v>
      </c>
      <c r="B3543" s="3">
        <v>46160</v>
      </c>
      <c r="C3543">
        <v>3</v>
      </c>
      <c r="D3543">
        <v>57.9</v>
      </c>
      <c r="E3543">
        <v>1297</v>
      </c>
      <c r="J3543" t="s">
        <v>29</v>
      </c>
      <c r="K3543" t="str">
        <f>IF(Table3[[#This Row],[Type Received]]=2,"CC",(IF(Table3[[#This Row],[Type Received]]=3,"BILL","ACH")))</f>
        <v>BILL</v>
      </c>
    </row>
    <row r="3544" spans="1:11" x14ac:dyDescent="0.25">
      <c r="A3544">
        <v>250658</v>
      </c>
      <c r="B3544" s="3">
        <v>46164</v>
      </c>
      <c r="C3544">
        <v>2</v>
      </c>
      <c r="D3544">
        <v>102.4</v>
      </c>
      <c r="F3544">
        <v>584814</v>
      </c>
      <c r="G3544">
        <v>747909705</v>
      </c>
      <c r="H3544">
        <v>355566738</v>
      </c>
      <c r="K3544" t="str">
        <f>IF(Table3[[#This Row],[Type Received]]=2,"CC",(IF(Table3[[#This Row],[Type Received]]=3,"BILL","ACH")))</f>
        <v>CC</v>
      </c>
    </row>
    <row r="3545" spans="1:11" x14ac:dyDescent="0.25">
      <c r="A3545">
        <v>250679</v>
      </c>
      <c r="B3545" s="3">
        <v>46158</v>
      </c>
      <c r="C3545">
        <v>1</v>
      </c>
      <c r="D3545">
        <v>43.69</v>
      </c>
      <c r="G3545" t="s">
        <v>106</v>
      </c>
      <c r="H3545">
        <v>710059648</v>
      </c>
      <c r="I3545" t="s">
        <v>29</v>
      </c>
      <c r="J3545" t="s">
        <v>29</v>
      </c>
      <c r="K3545" t="str">
        <f>IF(Table3[[#This Row],[Type Received]]=2,"CC",(IF(Table3[[#This Row],[Type Received]]=3,"BILL","ACH")))</f>
        <v>ACH</v>
      </c>
    </row>
    <row r="3546" spans="1:11" x14ac:dyDescent="0.25">
      <c r="A3546">
        <v>250689</v>
      </c>
      <c r="B3546" s="3">
        <v>46143</v>
      </c>
      <c r="C3546">
        <v>1</v>
      </c>
      <c r="D3546">
        <v>91.21</v>
      </c>
      <c r="G3546" t="s">
        <v>84</v>
      </c>
      <c r="H3546">
        <v>522384845</v>
      </c>
      <c r="I3546" t="s">
        <v>29</v>
      </c>
      <c r="J3546" t="s">
        <v>29</v>
      </c>
      <c r="K3546" t="str">
        <f>IF(Table3[[#This Row],[Type Received]]=2,"CC",(IF(Table3[[#This Row],[Type Received]]=3,"BILL","ACH")))</f>
        <v>ACH</v>
      </c>
    </row>
    <row r="3547" spans="1:11" x14ac:dyDescent="0.25">
      <c r="A3547">
        <v>250711</v>
      </c>
      <c r="B3547" s="3">
        <v>46146</v>
      </c>
      <c r="C3547">
        <v>2</v>
      </c>
      <c r="D3547">
        <v>43.69</v>
      </c>
      <c r="F3547">
        <v>4530</v>
      </c>
      <c r="G3547" t="s">
        <v>28</v>
      </c>
      <c r="H3547">
        <v>557085548</v>
      </c>
      <c r="I3547" t="s">
        <v>29</v>
      </c>
      <c r="J3547" t="s">
        <v>29</v>
      </c>
      <c r="K3547" t="str">
        <f>IF(Table3[[#This Row],[Type Received]]=2,"CC",(IF(Table3[[#This Row],[Type Received]]=3,"BILL","ACH")))</f>
        <v>CC</v>
      </c>
    </row>
    <row r="3548" spans="1:11" x14ac:dyDescent="0.25">
      <c r="A3548">
        <v>250714</v>
      </c>
      <c r="B3548" s="3">
        <v>46158</v>
      </c>
      <c r="C3548">
        <v>1</v>
      </c>
      <c r="D3548">
        <v>41.27</v>
      </c>
      <c r="G3548" t="s">
        <v>106</v>
      </c>
      <c r="H3548">
        <v>710063644</v>
      </c>
      <c r="I3548" t="s">
        <v>29</v>
      </c>
      <c r="K3548" t="str">
        <f>IF(Table3[[#This Row],[Type Received]]=2,"CC",(IF(Table3[[#This Row],[Type Received]]=3,"BILL","ACH")))</f>
        <v>ACH</v>
      </c>
    </row>
    <row r="3549" spans="1:11" x14ac:dyDescent="0.25">
      <c r="A3549">
        <v>250715</v>
      </c>
      <c r="B3549" s="3">
        <v>46158</v>
      </c>
      <c r="C3549">
        <v>1</v>
      </c>
      <c r="D3549">
        <v>73.39</v>
      </c>
      <c r="G3549" t="s">
        <v>106</v>
      </c>
      <c r="H3549">
        <v>710076335</v>
      </c>
      <c r="I3549" t="s">
        <v>29</v>
      </c>
      <c r="J3549" t="s">
        <v>29</v>
      </c>
      <c r="K3549" t="str">
        <f>IF(Table3[[#This Row],[Type Received]]=2,"CC",(IF(Table3[[#This Row],[Type Received]]=3,"BILL","ACH")))</f>
        <v>ACH</v>
      </c>
    </row>
    <row r="3550" spans="1:11" x14ac:dyDescent="0.25">
      <c r="A3550">
        <v>250733</v>
      </c>
      <c r="B3550" s="3">
        <v>46146</v>
      </c>
      <c r="C3550">
        <v>1</v>
      </c>
      <c r="D3550">
        <v>27.85</v>
      </c>
      <c r="G3550" s="4" t="s">
        <v>92</v>
      </c>
      <c r="H3550">
        <v>557099731</v>
      </c>
      <c r="I3550" t="s">
        <v>29</v>
      </c>
      <c r="K3550" t="str">
        <f>IF(Table3[[#This Row],[Type Received]]=2,"CC",(IF(Table3[[#This Row],[Type Received]]=3,"BILL","ACH")))</f>
        <v>ACH</v>
      </c>
    </row>
    <row r="3551" spans="1:11" x14ac:dyDescent="0.25">
      <c r="A3551">
        <v>250744</v>
      </c>
      <c r="B3551" s="3">
        <v>46167</v>
      </c>
      <c r="C3551">
        <v>1</v>
      </c>
      <c r="D3551">
        <v>59.86</v>
      </c>
      <c r="G3551" t="s">
        <v>85</v>
      </c>
      <c r="H3551">
        <v>818383866</v>
      </c>
      <c r="I3551" t="s">
        <v>29</v>
      </c>
      <c r="K3551" t="str">
        <f>IF(Table3[[#This Row],[Type Received]]=2,"CC",(IF(Table3[[#This Row],[Type Received]]=3,"BILL","ACH")))</f>
        <v>ACH</v>
      </c>
    </row>
    <row r="3552" spans="1:11" x14ac:dyDescent="0.25">
      <c r="A3552">
        <v>250753</v>
      </c>
      <c r="B3552" s="3">
        <v>46168</v>
      </c>
      <c r="C3552">
        <v>3</v>
      </c>
      <c r="D3552">
        <v>111.94</v>
      </c>
      <c r="E3552">
        <v>302</v>
      </c>
      <c r="J3552" t="s">
        <v>29</v>
      </c>
      <c r="K3552" t="str">
        <f>IF(Table3[[#This Row],[Type Received]]=2,"CC",(IF(Table3[[#This Row],[Type Received]]=3,"BILL","ACH")))</f>
        <v>BILL</v>
      </c>
    </row>
    <row r="3553" spans="1:11" x14ac:dyDescent="0.25">
      <c r="A3553">
        <v>250758</v>
      </c>
      <c r="B3553" s="3">
        <v>46143</v>
      </c>
      <c r="C3553">
        <v>2</v>
      </c>
      <c r="D3553">
        <v>71.459999999999994</v>
      </c>
      <c r="F3553">
        <v>346243</v>
      </c>
      <c r="G3553">
        <v>741374152</v>
      </c>
      <c r="H3553">
        <v>353091838</v>
      </c>
      <c r="K3553" t="str">
        <f>IF(Table3[[#This Row],[Type Received]]=2,"CC",(IF(Table3[[#This Row],[Type Received]]=3,"BILL","ACH")))</f>
        <v>CC</v>
      </c>
    </row>
    <row r="3554" spans="1:11" x14ac:dyDescent="0.25">
      <c r="A3554">
        <v>250788</v>
      </c>
      <c r="B3554" s="3">
        <v>46167</v>
      </c>
      <c r="C3554">
        <v>1</v>
      </c>
      <c r="D3554">
        <v>42.7</v>
      </c>
      <c r="G3554" t="s">
        <v>85</v>
      </c>
      <c r="H3554">
        <v>818395619</v>
      </c>
      <c r="I3554" t="s">
        <v>29</v>
      </c>
      <c r="K3554" t="str">
        <f>IF(Table3[[#This Row],[Type Received]]=2,"CC",(IF(Table3[[#This Row],[Type Received]]=3,"BILL","ACH")))</f>
        <v>ACH</v>
      </c>
    </row>
    <row r="3555" spans="1:11" x14ac:dyDescent="0.25">
      <c r="A3555">
        <v>251028</v>
      </c>
      <c r="B3555" s="3">
        <v>46150</v>
      </c>
      <c r="C3555">
        <v>3</v>
      </c>
      <c r="D3555">
        <v>48.66</v>
      </c>
      <c r="E3555">
        <v>75979145</v>
      </c>
      <c r="J3555" t="s">
        <v>29</v>
      </c>
      <c r="K3555" t="str">
        <f>IF(Table3[[#This Row],[Type Received]]=2,"CC",(IF(Table3[[#This Row],[Type Received]]=3,"BILL","ACH")))</f>
        <v>BILL</v>
      </c>
    </row>
    <row r="3556" spans="1:11" x14ac:dyDescent="0.25">
      <c r="A3556">
        <v>251039</v>
      </c>
      <c r="B3556" s="3">
        <v>46149</v>
      </c>
      <c r="C3556">
        <v>3</v>
      </c>
      <c r="D3556">
        <v>183.3</v>
      </c>
      <c r="E3556">
        <v>2985</v>
      </c>
      <c r="J3556" t="s">
        <v>29</v>
      </c>
      <c r="K3556" t="str">
        <f>IF(Table3[[#This Row],[Type Received]]=2,"CC",(IF(Table3[[#This Row],[Type Received]]=3,"BILL","ACH")))</f>
        <v>BILL</v>
      </c>
    </row>
    <row r="3557" spans="1:11" x14ac:dyDescent="0.25">
      <c r="A3557">
        <v>251049</v>
      </c>
      <c r="B3557" s="3">
        <v>46157</v>
      </c>
      <c r="C3557">
        <v>1</v>
      </c>
      <c r="D3557">
        <v>72.42</v>
      </c>
      <c r="G3557" t="s">
        <v>87</v>
      </c>
      <c r="H3557">
        <v>700614447</v>
      </c>
      <c r="I3557" t="s">
        <v>29</v>
      </c>
      <c r="K3557" t="str">
        <f>IF(Table3[[#This Row],[Type Received]]=2,"CC",(IF(Table3[[#This Row],[Type Received]]=3,"BILL","ACH")))</f>
        <v>ACH</v>
      </c>
    </row>
    <row r="3558" spans="1:11" x14ac:dyDescent="0.25">
      <c r="A3558">
        <v>251054</v>
      </c>
      <c r="B3558" s="3">
        <v>46143</v>
      </c>
      <c r="C3558">
        <v>1</v>
      </c>
      <c r="D3558">
        <v>34.450000000000003</v>
      </c>
      <c r="G3558" s="4" t="s">
        <v>84</v>
      </c>
      <c r="H3558">
        <v>522395467</v>
      </c>
      <c r="I3558" t="s">
        <v>29</v>
      </c>
      <c r="J3558" t="s">
        <v>29</v>
      </c>
      <c r="K3558" t="str">
        <f>IF(Table3[[#This Row],[Type Received]]=2,"CC",(IF(Table3[[#This Row],[Type Received]]=3,"BILL","ACH")))</f>
        <v>ACH</v>
      </c>
    </row>
    <row r="3559" spans="1:11" x14ac:dyDescent="0.25">
      <c r="A3559">
        <v>251058</v>
      </c>
      <c r="B3559" s="3">
        <v>46155</v>
      </c>
      <c r="C3559">
        <v>2</v>
      </c>
      <c r="D3559">
        <v>141.37</v>
      </c>
      <c r="F3559">
        <v>119874</v>
      </c>
      <c r="G3559" t="s">
        <v>28</v>
      </c>
      <c r="H3559">
        <v>669501725</v>
      </c>
      <c r="I3559" t="s">
        <v>29</v>
      </c>
      <c r="J3559" t="s">
        <v>29</v>
      </c>
      <c r="K3559" t="str">
        <f>IF(Table3[[#This Row],[Type Received]]=2,"CC",(IF(Table3[[#This Row],[Type Received]]=3,"BILL","ACH")))</f>
        <v>CC</v>
      </c>
    </row>
    <row r="3560" spans="1:11" x14ac:dyDescent="0.25">
      <c r="A3560">
        <v>251064</v>
      </c>
      <c r="B3560" s="3">
        <v>46171</v>
      </c>
      <c r="C3560">
        <v>3</v>
      </c>
      <c r="D3560">
        <v>57.9</v>
      </c>
      <c r="E3560">
        <v>3521</v>
      </c>
      <c r="J3560" t="s">
        <v>29</v>
      </c>
      <c r="K3560" t="str">
        <f>IF(Table3[[#This Row],[Type Received]]=2,"CC",(IF(Table3[[#This Row],[Type Received]]=3,"BILL","ACH")))</f>
        <v>BILL</v>
      </c>
    </row>
    <row r="3561" spans="1:11" x14ac:dyDescent="0.25">
      <c r="A3561">
        <v>251064</v>
      </c>
      <c r="B3561" s="3">
        <v>46171</v>
      </c>
      <c r="C3561">
        <v>3</v>
      </c>
      <c r="D3561">
        <v>57.9</v>
      </c>
      <c r="E3561">
        <v>3517</v>
      </c>
      <c r="K3561" t="str">
        <f>IF(Table3[[#This Row],[Type Received]]=2,"CC",(IF(Table3[[#This Row],[Type Received]]=3,"BILL","ACH")))</f>
        <v>BILL</v>
      </c>
    </row>
    <row r="3562" spans="1:11" x14ac:dyDescent="0.25">
      <c r="A3562">
        <v>251081</v>
      </c>
      <c r="B3562" s="3">
        <v>46146</v>
      </c>
      <c r="C3562">
        <v>3</v>
      </c>
      <c r="D3562">
        <v>58.45</v>
      </c>
      <c r="E3562">
        <v>100105</v>
      </c>
      <c r="K3562" t="str">
        <f>IF(Table3[[#This Row],[Type Received]]=2,"CC",(IF(Table3[[#This Row],[Type Received]]=3,"BILL","ACH")))</f>
        <v>BILL</v>
      </c>
    </row>
    <row r="3563" spans="1:11" x14ac:dyDescent="0.25">
      <c r="A3563">
        <v>251094</v>
      </c>
      <c r="B3563" s="3">
        <v>46167</v>
      </c>
      <c r="C3563">
        <v>1</v>
      </c>
      <c r="D3563">
        <v>43.95</v>
      </c>
      <c r="G3563" t="s">
        <v>85</v>
      </c>
      <c r="H3563">
        <v>818383048</v>
      </c>
      <c r="I3563" t="s">
        <v>29</v>
      </c>
      <c r="J3563" t="s">
        <v>29</v>
      </c>
      <c r="K3563" t="str">
        <f>IF(Table3[[#This Row],[Type Received]]=2,"CC",(IF(Table3[[#This Row],[Type Received]]=3,"BILL","ACH")))</f>
        <v>ACH</v>
      </c>
    </row>
    <row r="3564" spans="1:11" x14ac:dyDescent="0.25">
      <c r="A3564">
        <v>251106</v>
      </c>
      <c r="B3564" s="3">
        <v>46148</v>
      </c>
      <c r="C3564">
        <v>3</v>
      </c>
      <c r="D3564">
        <v>43.71</v>
      </c>
      <c r="E3564">
        <v>299</v>
      </c>
      <c r="J3564" t="s">
        <v>29</v>
      </c>
      <c r="K3564" t="str">
        <f>IF(Table3[[#This Row],[Type Received]]=2,"CC",(IF(Table3[[#This Row],[Type Received]]=3,"BILL","ACH")))</f>
        <v>BILL</v>
      </c>
    </row>
    <row r="3565" spans="1:11" x14ac:dyDescent="0.25">
      <c r="A3565">
        <v>251115</v>
      </c>
      <c r="B3565" s="3">
        <v>46143</v>
      </c>
      <c r="C3565">
        <v>1</v>
      </c>
      <c r="D3565">
        <v>52.49</v>
      </c>
      <c r="G3565" t="s">
        <v>84</v>
      </c>
      <c r="H3565">
        <v>522394593</v>
      </c>
      <c r="I3565" t="s">
        <v>29</v>
      </c>
      <c r="J3565" t="s">
        <v>29</v>
      </c>
      <c r="K3565" t="str">
        <f>IF(Table3[[#This Row],[Type Received]]=2,"CC",(IF(Table3[[#This Row],[Type Received]]=3,"BILL","ACH")))</f>
        <v>ACH</v>
      </c>
    </row>
    <row r="3566" spans="1:11" x14ac:dyDescent="0.25">
      <c r="A3566">
        <v>251120</v>
      </c>
      <c r="B3566" s="3">
        <v>46167</v>
      </c>
      <c r="C3566">
        <v>1</v>
      </c>
      <c r="D3566">
        <v>52.27</v>
      </c>
      <c r="G3566" t="s">
        <v>85</v>
      </c>
      <c r="H3566">
        <v>818395671</v>
      </c>
      <c r="I3566" t="s">
        <v>29</v>
      </c>
      <c r="K3566" t="str">
        <f>IF(Table3[[#This Row],[Type Received]]=2,"CC",(IF(Table3[[#This Row],[Type Received]]=3,"BILL","ACH")))</f>
        <v>ACH</v>
      </c>
    </row>
    <row r="3567" spans="1:11" x14ac:dyDescent="0.25">
      <c r="A3567">
        <v>251138</v>
      </c>
      <c r="B3567" s="3">
        <v>46168</v>
      </c>
      <c r="C3567">
        <v>1</v>
      </c>
      <c r="D3567">
        <v>96.16</v>
      </c>
      <c r="G3567" t="s">
        <v>110</v>
      </c>
      <c r="H3567">
        <v>828232614</v>
      </c>
      <c r="I3567" t="s">
        <v>29</v>
      </c>
      <c r="K3567" t="str">
        <f>IF(Table3[[#This Row],[Type Received]]=2,"CC",(IF(Table3[[#This Row],[Type Received]]=3,"BILL","ACH")))</f>
        <v>ACH</v>
      </c>
    </row>
    <row r="3568" spans="1:11" x14ac:dyDescent="0.25">
      <c r="A3568">
        <v>251140</v>
      </c>
      <c r="B3568" s="3">
        <v>46158</v>
      </c>
      <c r="C3568">
        <v>1</v>
      </c>
      <c r="D3568">
        <v>48.97</v>
      </c>
      <c r="G3568" t="s">
        <v>106</v>
      </c>
      <c r="H3568">
        <v>710074437</v>
      </c>
      <c r="I3568" t="s">
        <v>29</v>
      </c>
      <c r="K3568" t="str">
        <f>IF(Table3[[#This Row],[Type Received]]=2,"CC",(IF(Table3[[#This Row],[Type Received]]=3,"BILL","ACH")))</f>
        <v>ACH</v>
      </c>
    </row>
    <row r="3569" spans="1:11" x14ac:dyDescent="0.25">
      <c r="A3569">
        <v>251146</v>
      </c>
      <c r="B3569" s="3">
        <v>46155</v>
      </c>
      <c r="C3569">
        <v>2</v>
      </c>
      <c r="D3569">
        <v>127.29</v>
      </c>
      <c r="F3569">
        <v>132174</v>
      </c>
      <c r="G3569" t="s">
        <v>28</v>
      </c>
      <c r="H3569">
        <v>669523357</v>
      </c>
      <c r="I3569" t="s">
        <v>29</v>
      </c>
      <c r="J3569" t="s">
        <v>29</v>
      </c>
      <c r="K3569" t="str">
        <f>IF(Table3[[#This Row],[Type Received]]=2,"CC",(IF(Table3[[#This Row],[Type Received]]=3,"BILL","ACH")))</f>
        <v>CC</v>
      </c>
    </row>
    <row r="3570" spans="1:11" x14ac:dyDescent="0.25">
      <c r="A3570">
        <v>251147</v>
      </c>
      <c r="B3570" s="3">
        <v>46155</v>
      </c>
      <c r="C3570">
        <v>2</v>
      </c>
      <c r="D3570">
        <v>33.130000000000003</v>
      </c>
      <c r="F3570" t="s">
        <v>298</v>
      </c>
      <c r="G3570" t="s">
        <v>28</v>
      </c>
      <c r="H3570">
        <v>669492037</v>
      </c>
      <c r="I3570" t="s">
        <v>29</v>
      </c>
      <c r="K3570" t="str">
        <f>IF(Table3[[#This Row],[Type Received]]=2,"CC",(IF(Table3[[#This Row],[Type Received]]=3,"BILL","ACH")))</f>
        <v>CC</v>
      </c>
    </row>
    <row r="3571" spans="1:11" x14ac:dyDescent="0.25">
      <c r="A3571">
        <v>251156</v>
      </c>
      <c r="B3571" s="3">
        <v>46143</v>
      </c>
      <c r="C3571">
        <v>1</v>
      </c>
      <c r="D3571">
        <v>28.93</v>
      </c>
      <c r="G3571" t="s">
        <v>84</v>
      </c>
      <c r="H3571">
        <v>522383941</v>
      </c>
      <c r="I3571" t="s">
        <v>29</v>
      </c>
      <c r="K3571" t="str">
        <f>IF(Table3[[#This Row],[Type Received]]=2,"CC",(IF(Table3[[#This Row],[Type Received]]=3,"BILL","ACH")))</f>
        <v>ACH</v>
      </c>
    </row>
    <row r="3572" spans="1:11" x14ac:dyDescent="0.25">
      <c r="A3572">
        <v>251174</v>
      </c>
      <c r="B3572" s="3">
        <v>46167</v>
      </c>
      <c r="C3572">
        <v>1</v>
      </c>
      <c r="D3572">
        <v>33.79</v>
      </c>
      <c r="G3572" t="s">
        <v>85</v>
      </c>
      <c r="H3572">
        <v>818383924</v>
      </c>
      <c r="I3572" t="s">
        <v>29</v>
      </c>
      <c r="J3572" t="s">
        <v>29</v>
      </c>
      <c r="K3572" t="str">
        <f>IF(Table3[[#This Row],[Type Received]]=2,"CC",(IF(Table3[[#This Row],[Type Received]]=3,"BILL","ACH")))</f>
        <v>ACH</v>
      </c>
    </row>
    <row r="3573" spans="1:11" x14ac:dyDescent="0.25">
      <c r="A3573">
        <v>251175</v>
      </c>
      <c r="B3573" s="3">
        <v>46143</v>
      </c>
      <c r="C3573">
        <v>1</v>
      </c>
      <c r="D3573">
        <v>104.9</v>
      </c>
      <c r="G3573" t="s">
        <v>84</v>
      </c>
      <c r="H3573">
        <v>528079363</v>
      </c>
      <c r="I3573" t="s">
        <v>29</v>
      </c>
      <c r="J3573" t="s">
        <v>29</v>
      </c>
      <c r="K3573" t="str">
        <f>IF(Table3[[#This Row],[Type Received]]=2,"CC",(IF(Table3[[#This Row],[Type Received]]=3,"BILL","ACH")))</f>
        <v>ACH</v>
      </c>
    </row>
    <row r="3574" spans="1:11" x14ac:dyDescent="0.25">
      <c r="A3574">
        <v>251185</v>
      </c>
      <c r="B3574" s="3">
        <v>46158</v>
      </c>
      <c r="C3574">
        <v>1</v>
      </c>
      <c r="D3574">
        <v>44.35</v>
      </c>
      <c r="G3574" t="s">
        <v>106</v>
      </c>
      <c r="H3574">
        <v>710053059</v>
      </c>
      <c r="I3574" t="s">
        <v>29</v>
      </c>
      <c r="K3574" t="str">
        <f>IF(Table3[[#This Row],[Type Received]]=2,"CC",(IF(Table3[[#This Row],[Type Received]]=3,"BILL","ACH")))</f>
        <v>ACH</v>
      </c>
    </row>
    <row r="3575" spans="1:11" x14ac:dyDescent="0.25">
      <c r="A3575">
        <v>251209</v>
      </c>
      <c r="B3575" s="3">
        <v>46144</v>
      </c>
      <c r="C3575">
        <v>1</v>
      </c>
      <c r="D3575">
        <v>30.95</v>
      </c>
      <c r="G3575" t="s">
        <v>89</v>
      </c>
      <c r="H3575">
        <v>535330798</v>
      </c>
      <c r="I3575" t="s">
        <v>29</v>
      </c>
      <c r="J3575" t="s">
        <v>29</v>
      </c>
      <c r="K3575" t="str">
        <f>IF(Table3[[#This Row],[Type Received]]=2,"CC",(IF(Table3[[#This Row],[Type Received]]=3,"BILL","ACH")))</f>
        <v>ACH</v>
      </c>
    </row>
    <row r="3576" spans="1:11" x14ac:dyDescent="0.25">
      <c r="A3576">
        <v>250827</v>
      </c>
      <c r="B3576" s="3">
        <v>46143</v>
      </c>
      <c r="C3576">
        <v>1</v>
      </c>
      <c r="D3576">
        <v>136.75</v>
      </c>
      <c r="G3576" t="s">
        <v>84</v>
      </c>
      <c r="H3576">
        <v>522406120</v>
      </c>
      <c r="I3576" t="s">
        <v>29</v>
      </c>
      <c r="J3576" t="s">
        <v>29</v>
      </c>
      <c r="K3576" t="str">
        <f>IF(Table3[[#This Row],[Type Received]]=2,"CC",(IF(Table3[[#This Row],[Type Received]]=3,"BILL","ACH")))</f>
        <v>ACH</v>
      </c>
    </row>
    <row r="3577" spans="1:11" x14ac:dyDescent="0.25">
      <c r="A3577">
        <v>250828</v>
      </c>
      <c r="B3577" s="3">
        <v>46167</v>
      </c>
      <c r="C3577">
        <v>1</v>
      </c>
      <c r="D3577">
        <v>58.87</v>
      </c>
      <c r="G3577" t="s">
        <v>85</v>
      </c>
      <c r="H3577">
        <v>818392650</v>
      </c>
      <c r="I3577" t="s">
        <v>29</v>
      </c>
      <c r="K3577" t="str">
        <f>IF(Table3[[#This Row],[Type Received]]=2,"CC",(IF(Table3[[#This Row],[Type Received]]=3,"BILL","ACH")))</f>
        <v>ACH</v>
      </c>
    </row>
    <row r="3578" spans="1:11" x14ac:dyDescent="0.25">
      <c r="A3578">
        <v>250839</v>
      </c>
      <c r="B3578" s="3">
        <v>46155</v>
      </c>
      <c r="C3578">
        <v>1</v>
      </c>
      <c r="D3578">
        <v>47.21</v>
      </c>
      <c r="G3578" t="s">
        <v>90</v>
      </c>
      <c r="H3578">
        <v>669531155</v>
      </c>
      <c r="I3578" t="s">
        <v>29</v>
      </c>
      <c r="K3578" t="str">
        <f>IF(Table3[[#This Row],[Type Received]]=2,"CC",(IF(Table3[[#This Row],[Type Received]]=3,"BILL","ACH")))</f>
        <v>ACH</v>
      </c>
    </row>
    <row r="3579" spans="1:11" x14ac:dyDescent="0.25">
      <c r="A3579">
        <v>250840</v>
      </c>
      <c r="B3579" s="3">
        <v>46143</v>
      </c>
      <c r="C3579">
        <v>1</v>
      </c>
      <c r="D3579">
        <v>53.15</v>
      </c>
      <c r="G3579" t="s">
        <v>84</v>
      </c>
      <c r="H3579">
        <v>522395452</v>
      </c>
      <c r="I3579" t="s">
        <v>29</v>
      </c>
      <c r="J3579" t="s">
        <v>29</v>
      </c>
      <c r="K3579" t="str">
        <f>IF(Table3[[#This Row],[Type Received]]=2,"CC",(IF(Table3[[#This Row],[Type Received]]=3,"BILL","ACH")))</f>
        <v>ACH</v>
      </c>
    </row>
    <row r="3580" spans="1:11" x14ac:dyDescent="0.25">
      <c r="A3580">
        <v>250858</v>
      </c>
      <c r="B3580" s="3">
        <v>46154</v>
      </c>
      <c r="C3580">
        <v>2</v>
      </c>
      <c r="D3580">
        <v>114.66</v>
      </c>
      <c r="F3580" t="s">
        <v>299</v>
      </c>
      <c r="G3580">
        <v>744853534</v>
      </c>
      <c r="H3580">
        <v>354387764</v>
      </c>
      <c r="J3580" t="s">
        <v>29</v>
      </c>
      <c r="K3580" t="str">
        <f>IF(Table3[[#This Row],[Type Received]]=2,"CC",(IF(Table3[[#This Row],[Type Received]]=3,"BILL","ACH")))</f>
        <v>CC</v>
      </c>
    </row>
    <row r="3581" spans="1:11" x14ac:dyDescent="0.25">
      <c r="A3581">
        <v>250869</v>
      </c>
      <c r="B3581" s="3">
        <v>46167</v>
      </c>
      <c r="C3581">
        <v>1</v>
      </c>
      <c r="D3581">
        <v>38.75</v>
      </c>
      <c r="G3581" t="s">
        <v>85</v>
      </c>
      <c r="H3581">
        <v>818392657</v>
      </c>
      <c r="I3581" t="s">
        <v>29</v>
      </c>
      <c r="J3581" t="s">
        <v>29</v>
      </c>
      <c r="K3581" t="str">
        <f>IF(Table3[[#This Row],[Type Received]]=2,"CC",(IF(Table3[[#This Row],[Type Received]]=3,"BILL","ACH")))</f>
        <v>ACH</v>
      </c>
    </row>
    <row r="3582" spans="1:11" x14ac:dyDescent="0.25">
      <c r="A3582">
        <v>250892</v>
      </c>
      <c r="B3582" s="3">
        <v>46143</v>
      </c>
      <c r="C3582">
        <v>1</v>
      </c>
      <c r="D3582">
        <v>50.97</v>
      </c>
      <c r="G3582" t="s">
        <v>84</v>
      </c>
      <c r="H3582">
        <v>523101533</v>
      </c>
      <c r="I3582" t="s">
        <v>29</v>
      </c>
      <c r="J3582" t="s">
        <v>29</v>
      </c>
      <c r="K3582" t="str">
        <f>IF(Table3[[#This Row],[Type Received]]=2,"CC",(IF(Table3[[#This Row],[Type Received]]=3,"BILL","ACH")))</f>
        <v>ACH</v>
      </c>
    </row>
    <row r="3583" spans="1:11" x14ac:dyDescent="0.25">
      <c r="A3583">
        <v>250897</v>
      </c>
      <c r="B3583" s="3">
        <v>46147</v>
      </c>
      <c r="C3583">
        <v>3</v>
      </c>
      <c r="D3583">
        <v>58.23</v>
      </c>
      <c r="E3583">
        <v>996480</v>
      </c>
      <c r="J3583" t="s">
        <v>29</v>
      </c>
      <c r="K3583" t="str">
        <f>IF(Table3[[#This Row],[Type Received]]=2,"CC",(IF(Table3[[#This Row],[Type Received]]=3,"BILL","ACH")))</f>
        <v>BILL</v>
      </c>
    </row>
    <row r="3584" spans="1:11" x14ac:dyDescent="0.25">
      <c r="A3584">
        <v>250904</v>
      </c>
      <c r="B3584" s="3">
        <v>46155</v>
      </c>
      <c r="C3584">
        <v>1</v>
      </c>
      <c r="D3584">
        <v>89.23</v>
      </c>
      <c r="G3584" t="s">
        <v>90</v>
      </c>
      <c r="H3584">
        <v>669510260</v>
      </c>
      <c r="I3584" t="s">
        <v>29</v>
      </c>
      <c r="J3584" t="s">
        <v>29</v>
      </c>
      <c r="K3584" t="str">
        <f>IF(Table3[[#This Row],[Type Received]]=2,"CC",(IF(Table3[[#This Row],[Type Received]]=3,"BILL","ACH")))</f>
        <v>ACH</v>
      </c>
    </row>
    <row r="3585" spans="1:11" x14ac:dyDescent="0.25">
      <c r="A3585">
        <v>250915</v>
      </c>
      <c r="B3585" s="3">
        <v>46167</v>
      </c>
      <c r="C3585">
        <v>1</v>
      </c>
      <c r="D3585">
        <v>87.91</v>
      </c>
      <c r="G3585" t="s">
        <v>85</v>
      </c>
      <c r="H3585">
        <v>818384908</v>
      </c>
      <c r="I3585" t="s">
        <v>29</v>
      </c>
      <c r="J3585" t="s">
        <v>29</v>
      </c>
      <c r="K3585" t="str">
        <f>IF(Table3[[#This Row],[Type Received]]=2,"CC",(IF(Table3[[#This Row],[Type Received]]=3,"BILL","ACH")))</f>
        <v>ACH</v>
      </c>
    </row>
    <row r="3586" spans="1:11" x14ac:dyDescent="0.25">
      <c r="A3586">
        <v>250931</v>
      </c>
      <c r="B3586" s="3">
        <v>46171</v>
      </c>
      <c r="C3586">
        <v>3</v>
      </c>
      <c r="D3586">
        <v>41.95</v>
      </c>
      <c r="E3586">
        <v>5304</v>
      </c>
      <c r="J3586" t="s">
        <v>29</v>
      </c>
      <c r="K3586" t="str">
        <f>IF(Table3[[#This Row],[Type Received]]=2,"CC",(IF(Table3[[#This Row],[Type Received]]=3,"BILL","ACH")))</f>
        <v>BILL</v>
      </c>
    </row>
    <row r="3587" spans="1:11" x14ac:dyDescent="0.25">
      <c r="A3587">
        <v>250964</v>
      </c>
      <c r="B3587" s="3">
        <v>46167</v>
      </c>
      <c r="C3587">
        <v>1</v>
      </c>
      <c r="D3587">
        <v>68.44</v>
      </c>
      <c r="G3587" t="s">
        <v>85</v>
      </c>
      <c r="H3587">
        <v>818395650</v>
      </c>
      <c r="I3587" t="s">
        <v>29</v>
      </c>
      <c r="J3587" t="s">
        <v>29</v>
      </c>
      <c r="K3587" t="str">
        <f>IF(Table3[[#This Row],[Type Received]]=2,"CC",(IF(Table3[[#This Row],[Type Received]]=3,"BILL","ACH")))</f>
        <v>ACH</v>
      </c>
    </row>
    <row r="3588" spans="1:11" x14ac:dyDescent="0.25">
      <c r="A3588">
        <v>250968</v>
      </c>
      <c r="B3588" s="3">
        <v>46163</v>
      </c>
      <c r="C3588">
        <v>2</v>
      </c>
      <c r="D3588">
        <v>284.56</v>
      </c>
      <c r="F3588">
        <v>215460</v>
      </c>
      <c r="G3588" t="s">
        <v>28</v>
      </c>
      <c r="H3588">
        <v>772713740</v>
      </c>
      <c r="I3588" t="s">
        <v>29</v>
      </c>
      <c r="J3588" t="s">
        <v>29</v>
      </c>
      <c r="K3588" t="str">
        <f>IF(Table3[[#This Row],[Type Received]]=2,"CC",(IF(Table3[[#This Row],[Type Received]]=3,"BILL","ACH")))</f>
        <v>CC</v>
      </c>
    </row>
    <row r="3589" spans="1:11" x14ac:dyDescent="0.25">
      <c r="A3589">
        <v>251007</v>
      </c>
      <c r="B3589" s="3">
        <v>46155</v>
      </c>
      <c r="C3589">
        <v>2</v>
      </c>
      <c r="D3589">
        <v>113.65</v>
      </c>
      <c r="F3589" t="s">
        <v>300</v>
      </c>
      <c r="G3589" t="s">
        <v>28</v>
      </c>
      <c r="H3589">
        <v>669500772</v>
      </c>
      <c r="I3589" t="s">
        <v>29</v>
      </c>
      <c r="J3589" t="s">
        <v>29</v>
      </c>
      <c r="K3589" t="str">
        <f>IF(Table3[[#This Row],[Type Received]]=2,"CC",(IF(Table3[[#This Row],[Type Received]]=3,"BILL","ACH")))</f>
        <v>CC</v>
      </c>
    </row>
    <row r="3590" spans="1:11" x14ac:dyDescent="0.25">
      <c r="A3590">
        <v>251418</v>
      </c>
      <c r="B3590" s="3">
        <v>46143</v>
      </c>
      <c r="C3590">
        <v>1</v>
      </c>
      <c r="D3590">
        <v>57.22</v>
      </c>
      <c r="G3590" s="4" t="s">
        <v>84</v>
      </c>
      <c r="H3590">
        <v>522400446</v>
      </c>
      <c r="I3590" t="s">
        <v>29</v>
      </c>
      <c r="K3590" t="str">
        <f>IF(Table3[[#This Row],[Type Received]]=2,"CC",(IF(Table3[[#This Row],[Type Received]]=3,"BILL","ACH")))</f>
        <v>ACH</v>
      </c>
    </row>
    <row r="3591" spans="1:11" x14ac:dyDescent="0.25">
      <c r="A3591">
        <v>251432</v>
      </c>
      <c r="B3591" s="3">
        <v>46143</v>
      </c>
      <c r="C3591">
        <v>1</v>
      </c>
      <c r="D3591">
        <v>125.86</v>
      </c>
      <c r="G3591" t="s">
        <v>84</v>
      </c>
      <c r="H3591">
        <v>522403387</v>
      </c>
      <c r="I3591" t="s">
        <v>29</v>
      </c>
      <c r="J3591" t="s">
        <v>29</v>
      </c>
      <c r="K3591" t="str">
        <f>IF(Table3[[#This Row],[Type Received]]=2,"CC",(IF(Table3[[#This Row],[Type Received]]=3,"BILL","ACH")))</f>
        <v>ACH</v>
      </c>
    </row>
    <row r="3592" spans="1:11" x14ac:dyDescent="0.25">
      <c r="A3592">
        <v>251436</v>
      </c>
      <c r="B3592" s="3">
        <v>46167</v>
      </c>
      <c r="C3592">
        <v>1</v>
      </c>
      <c r="D3592">
        <v>52.27</v>
      </c>
      <c r="G3592" s="4" t="s">
        <v>85</v>
      </c>
      <c r="H3592">
        <v>818383947</v>
      </c>
      <c r="I3592" t="s">
        <v>29</v>
      </c>
      <c r="J3592" t="s">
        <v>29</v>
      </c>
      <c r="K3592" t="str">
        <f>IF(Table3[[#This Row],[Type Received]]=2,"CC",(IF(Table3[[#This Row],[Type Received]]=3,"BILL","ACH")))</f>
        <v>ACH</v>
      </c>
    </row>
    <row r="3593" spans="1:11" x14ac:dyDescent="0.25">
      <c r="A3593">
        <v>251438</v>
      </c>
      <c r="B3593" s="3">
        <v>46143</v>
      </c>
      <c r="C3593">
        <v>3</v>
      </c>
      <c r="D3593">
        <v>84.3</v>
      </c>
      <c r="E3593">
        <v>74465336</v>
      </c>
      <c r="G3593" s="4"/>
      <c r="J3593" t="s">
        <v>29</v>
      </c>
      <c r="K3593" t="str">
        <f>IF(Table3[[#This Row],[Type Received]]=2,"CC",(IF(Table3[[#This Row],[Type Received]]=3,"BILL","ACH")))</f>
        <v>BILL</v>
      </c>
    </row>
    <row r="3594" spans="1:11" x14ac:dyDescent="0.25">
      <c r="A3594">
        <v>251479</v>
      </c>
      <c r="B3594" s="3">
        <v>46158</v>
      </c>
      <c r="C3594">
        <v>1</v>
      </c>
      <c r="D3594">
        <v>94.18</v>
      </c>
      <c r="G3594" t="s">
        <v>106</v>
      </c>
      <c r="H3594">
        <v>710050065</v>
      </c>
      <c r="I3594" t="s">
        <v>29</v>
      </c>
      <c r="J3594" t="s">
        <v>29</v>
      </c>
      <c r="K3594" t="str">
        <f>IF(Table3[[#This Row],[Type Received]]=2,"CC",(IF(Table3[[#This Row],[Type Received]]=3,"BILL","ACH")))</f>
        <v>ACH</v>
      </c>
    </row>
    <row r="3595" spans="1:11" x14ac:dyDescent="0.25">
      <c r="A3595">
        <v>251496</v>
      </c>
      <c r="B3595" s="3">
        <v>46167</v>
      </c>
      <c r="C3595">
        <v>1</v>
      </c>
      <c r="D3595">
        <v>149.94999999999999</v>
      </c>
      <c r="G3595" t="s">
        <v>85</v>
      </c>
      <c r="H3595">
        <v>818391717</v>
      </c>
      <c r="I3595" t="s">
        <v>29</v>
      </c>
      <c r="K3595" t="str">
        <f>IF(Table3[[#This Row],[Type Received]]=2,"CC",(IF(Table3[[#This Row],[Type Received]]=3,"BILL","ACH")))</f>
        <v>ACH</v>
      </c>
    </row>
    <row r="3596" spans="1:11" x14ac:dyDescent="0.25">
      <c r="A3596">
        <v>251502</v>
      </c>
      <c r="B3596" s="3">
        <v>46157</v>
      </c>
      <c r="C3596">
        <v>1</v>
      </c>
      <c r="D3596">
        <v>82.63</v>
      </c>
      <c r="G3596" t="s">
        <v>87</v>
      </c>
      <c r="H3596">
        <v>696816799</v>
      </c>
      <c r="I3596" t="s">
        <v>29</v>
      </c>
      <c r="J3596" t="s">
        <v>29</v>
      </c>
      <c r="K3596" t="str">
        <f>IF(Table3[[#This Row],[Type Received]]=2,"CC",(IF(Table3[[#This Row],[Type Received]]=3,"BILL","ACH")))</f>
        <v>ACH</v>
      </c>
    </row>
    <row r="3597" spans="1:11" x14ac:dyDescent="0.25">
      <c r="A3597">
        <v>251548</v>
      </c>
      <c r="B3597" s="3">
        <v>46167</v>
      </c>
      <c r="C3597">
        <v>1</v>
      </c>
      <c r="D3597">
        <v>30.93</v>
      </c>
      <c r="G3597" t="s">
        <v>85</v>
      </c>
      <c r="H3597">
        <v>818386867</v>
      </c>
      <c r="I3597" t="s">
        <v>29</v>
      </c>
      <c r="J3597" t="s">
        <v>29</v>
      </c>
      <c r="K3597" t="str">
        <f>IF(Table3[[#This Row],[Type Received]]=2,"CC",(IF(Table3[[#This Row],[Type Received]]=3,"BILL","ACH")))</f>
        <v>ACH</v>
      </c>
    </row>
    <row r="3598" spans="1:11" x14ac:dyDescent="0.25">
      <c r="A3598">
        <v>251582</v>
      </c>
      <c r="B3598" s="3">
        <v>46167</v>
      </c>
      <c r="C3598">
        <v>1</v>
      </c>
      <c r="D3598">
        <v>83.95</v>
      </c>
      <c r="G3598" t="s">
        <v>85</v>
      </c>
      <c r="H3598">
        <v>818383972</v>
      </c>
      <c r="I3598" t="s">
        <v>29</v>
      </c>
      <c r="K3598" t="str">
        <f>IF(Table3[[#This Row],[Type Received]]=2,"CC",(IF(Table3[[#This Row],[Type Received]]=3,"BILL","ACH")))</f>
        <v>ACH</v>
      </c>
    </row>
    <row r="3599" spans="1:11" x14ac:dyDescent="0.25">
      <c r="A3599">
        <v>251583</v>
      </c>
      <c r="B3599" s="3">
        <v>46143</v>
      </c>
      <c r="C3599">
        <v>1</v>
      </c>
      <c r="D3599">
        <v>50.35</v>
      </c>
      <c r="G3599" t="s">
        <v>84</v>
      </c>
      <c r="H3599">
        <v>522397609</v>
      </c>
      <c r="I3599" t="s">
        <v>29</v>
      </c>
      <c r="K3599" t="str">
        <f>IF(Table3[[#This Row],[Type Received]]=2,"CC",(IF(Table3[[#This Row],[Type Received]]=3,"BILL","ACH")))</f>
        <v>ACH</v>
      </c>
    </row>
    <row r="3600" spans="1:11" x14ac:dyDescent="0.25">
      <c r="A3600">
        <v>251593</v>
      </c>
      <c r="B3600" s="3">
        <v>46143</v>
      </c>
      <c r="C3600">
        <v>1</v>
      </c>
      <c r="D3600">
        <v>50.71</v>
      </c>
      <c r="G3600" t="s">
        <v>84</v>
      </c>
      <c r="H3600">
        <v>522385097</v>
      </c>
      <c r="I3600" t="s">
        <v>29</v>
      </c>
      <c r="J3600" t="s">
        <v>29</v>
      </c>
      <c r="K3600" t="str">
        <f>IF(Table3[[#This Row],[Type Received]]=2,"CC",(IF(Table3[[#This Row],[Type Received]]=3,"BILL","ACH")))</f>
        <v>ACH</v>
      </c>
    </row>
    <row r="3601" spans="1:11" x14ac:dyDescent="0.25">
      <c r="A3601">
        <v>251601</v>
      </c>
      <c r="B3601" s="3">
        <v>46157</v>
      </c>
      <c r="C3601">
        <v>1</v>
      </c>
      <c r="D3601">
        <v>181.96</v>
      </c>
      <c r="G3601" t="s">
        <v>87</v>
      </c>
      <c r="H3601">
        <v>696813872</v>
      </c>
      <c r="I3601" t="s">
        <v>29</v>
      </c>
      <c r="K3601" t="str">
        <f>IF(Table3[[#This Row],[Type Received]]=2,"CC",(IF(Table3[[#This Row],[Type Received]]=3,"BILL","ACH")))</f>
        <v>ACH</v>
      </c>
    </row>
    <row r="3602" spans="1:11" x14ac:dyDescent="0.25">
      <c r="A3602">
        <v>251240</v>
      </c>
      <c r="B3602" s="3">
        <v>46158</v>
      </c>
      <c r="C3602">
        <v>1</v>
      </c>
      <c r="D3602">
        <v>67.78</v>
      </c>
      <c r="G3602" t="s">
        <v>106</v>
      </c>
      <c r="H3602">
        <v>710062642</v>
      </c>
      <c r="I3602" t="s">
        <v>29</v>
      </c>
      <c r="J3602" t="s">
        <v>29</v>
      </c>
      <c r="K3602" t="str">
        <f>IF(Table3[[#This Row],[Type Received]]=2,"CC",(IF(Table3[[#This Row],[Type Received]]=3,"BILL","ACH")))</f>
        <v>ACH</v>
      </c>
    </row>
    <row r="3603" spans="1:11" x14ac:dyDescent="0.25">
      <c r="A3603">
        <v>251267</v>
      </c>
      <c r="B3603" s="3">
        <v>46167</v>
      </c>
      <c r="C3603">
        <v>1</v>
      </c>
      <c r="D3603">
        <v>74.709999999999994</v>
      </c>
      <c r="G3603" t="s">
        <v>85</v>
      </c>
      <c r="H3603">
        <v>818406274</v>
      </c>
      <c r="I3603" t="s">
        <v>29</v>
      </c>
      <c r="J3603" t="s">
        <v>29</v>
      </c>
      <c r="K3603" t="str">
        <f>IF(Table3[[#This Row],[Type Received]]=2,"CC",(IF(Table3[[#This Row],[Type Received]]=3,"BILL","ACH")))</f>
        <v>ACH</v>
      </c>
    </row>
    <row r="3604" spans="1:11" x14ac:dyDescent="0.25">
      <c r="A3604">
        <v>251288</v>
      </c>
      <c r="B3604" s="3">
        <v>46149</v>
      </c>
      <c r="C3604">
        <v>2</v>
      </c>
      <c r="D3604">
        <v>62.66</v>
      </c>
      <c r="F3604">
        <v>517451</v>
      </c>
      <c r="G3604" t="s">
        <v>28</v>
      </c>
      <c r="H3604">
        <v>601146491</v>
      </c>
      <c r="I3604" t="s">
        <v>29</v>
      </c>
      <c r="K3604" t="str">
        <f>IF(Table3[[#This Row],[Type Received]]=2,"CC",(IF(Table3[[#This Row],[Type Received]]=3,"BILL","ACH")))</f>
        <v>CC</v>
      </c>
    </row>
    <row r="3605" spans="1:11" x14ac:dyDescent="0.25">
      <c r="A3605">
        <v>251289</v>
      </c>
      <c r="B3605" s="3">
        <v>46158</v>
      </c>
      <c r="C3605">
        <v>1</v>
      </c>
      <c r="D3605">
        <v>45.89</v>
      </c>
      <c r="G3605" t="s">
        <v>106</v>
      </c>
      <c r="H3605">
        <v>710075364</v>
      </c>
      <c r="I3605" t="s">
        <v>29</v>
      </c>
      <c r="J3605" t="s">
        <v>29</v>
      </c>
      <c r="K3605" t="str">
        <f>IF(Table3[[#This Row],[Type Received]]=2,"CC",(IF(Table3[[#This Row],[Type Received]]=3,"BILL","ACH")))</f>
        <v>ACH</v>
      </c>
    </row>
    <row r="3606" spans="1:11" x14ac:dyDescent="0.25">
      <c r="A3606">
        <v>251290</v>
      </c>
      <c r="B3606" s="3">
        <v>46167</v>
      </c>
      <c r="C3606">
        <v>1</v>
      </c>
      <c r="D3606">
        <v>37.42</v>
      </c>
      <c r="G3606" t="s">
        <v>85</v>
      </c>
      <c r="H3606">
        <v>818406284</v>
      </c>
      <c r="I3606" t="s">
        <v>29</v>
      </c>
      <c r="J3606" t="s">
        <v>29</v>
      </c>
      <c r="K3606" t="str">
        <f>IF(Table3[[#This Row],[Type Received]]=2,"CC",(IF(Table3[[#This Row],[Type Received]]=3,"BILL","ACH")))</f>
        <v>ACH</v>
      </c>
    </row>
    <row r="3607" spans="1:11" x14ac:dyDescent="0.25">
      <c r="A3607">
        <v>251292</v>
      </c>
      <c r="B3607" s="3">
        <v>46153</v>
      </c>
      <c r="C3607">
        <v>2</v>
      </c>
      <c r="D3607">
        <v>116.64</v>
      </c>
      <c r="F3607">
        <v>65125</v>
      </c>
      <c r="G3607" t="s">
        <v>28</v>
      </c>
      <c r="H3607">
        <v>649382760</v>
      </c>
      <c r="I3607" t="s">
        <v>29</v>
      </c>
      <c r="K3607" t="str">
        <f>IF(Table3[[#This Row],[Type Received]]=2,"CC",(IF(Table3[[#This Row],[Type Received]]=3,"BILL","ACH")))</f>
        <v>CC</v>
      </c>
    </row>
    <row r="3608" spans="1:11" x14ac:dyDescent="0.25">
      <c r="A3608">
        <v>251297</v>
      </c>
      <c r="B3608" s="3">
        <v>46158</v>
      </c>
      <c r="C3608">
        <v>1</v>
      </c>
      <c r="D3608">
        <v>80.48</v>
      </c>
      <c r="G3608" t="s">
        <v>106</v>
      </c>
      <c r="H3608">
        <v>710056886</v>
      </c>
      <c r="I3608" t="s">
        <v>29</v>
      </c>
      <c r="J3608" t="s">
        <v>29</v>
      </c>
      <c r="K3608" t="str">
        <f>IF(Table3[[#This Row],[Type Received]]=2,"CC",(IF(Table3[[#This Row],[Type Received]]=3,"BILL","ACH")))</f>
        <v>ACH</v>
      </c>
    </row>
    <row r="3609" spans="1:11" x14ac:dyDescent="0.25">
      <c r="A3609">
        <v>251298</v>
      </c>
      <c r="B3609" s="3">
        <v>46158</v>
      </c>
      <c r="C3609">
        <v>1</v>
      </c>
      <c r="D3609">
        <v>50.89</v>
      </c>
      <c r="G3609" t="s">
        <v>106</v>
      </c>
      <c r="H3609">
        <v>710078185</v>
      </c>
      <c r="I3609" t="s">
        <v>29</v>
      </c>
      <c r="J3609" t="s">
        <v>29</v>
      </c>
      <c r="K3609" t="str">
        <f>IF(Table3[[#This Row],[Type Received]]=2,"CC",(IF(Table3[[#This Row],[Type Received]]=3,"BILL","ACH")))</f>
        <v>ACH</v>
      </c>
    </row>
    <row r="3610" spans="1:11" x14ac:dyDescent="0.25">
      <c r="A3610">
        <v>251299</v>
      </c>
      <c r="B3610" s="3">
        <v>46143</v>
      </c>
      <c r="C3610">
        <v>1</v>
      </c>
      <c r="D3610">
        <v>73.069999999999993</v>
      </c>
      <c r="G3610" t="s">
        <v>84</v>
      </c>
      <c r="H3610">
        <v>522399462</v>
      </c>
      <c r="I3610" t="s">
        <v>29</v>
      </c>
      <c r="J3610" t="s">
        <v>29</v>
      </c>
      <c r="K3610" t="str">
        <f>IF(Table3[[#This Row],[Type Received]]=2,"CC",(IF(Table3[[#This Row],[Type Received]]=3,"BILL","ACH")))</f>
        <v>ACH</v>
      </c>
    </row>
    <row r="3611" spans="1:11" x14ac:dyDescent="0.25">
      <c r="A3611">
        <v>251304</v>
      </c>
      <c r="B3611" s="3">
        <v>46146</v>
      </c>
      <c r="C3611">
        <v>3</v>
      </c>
      <c r="D3611">
        <v>71.760000000000005</v>
      </c>
      <c r="E3611">
        <v>234120754</v>
      </c>
      <c r="G3611" s="4"/>
      <c r="J3611" t="s">
        <v>29</v>
      </c>
      <c r="K3611" t="str">
        <f>IF(Table3[[#This Row],[Type Received]]=2,"CC",(IF(Table3[[#This Row],[Type Received]]=3,"BILL","ACH")))</f>
        <v>BILL</v>
      </c>
    </row>
    <row r="3612" spans="1:11" x14ac:dyDescent="0.25">
      <c r="A3612">
        <v>251366</v>
      </c>
      <c r="B3612" s="3">
        <v>46143</v>
      </c>
      <c r="C3612">
        <v>2</v>
      </c>
      <c r="D3612">
        <v>30.93</v>
      </c>
      <c r="F3612">
        <v>1735</v>
      </c>
      <c r="G3612" t="s">
        <v>28</v>
      </c>
      <c r="H3612">
        <v>522408164</v>
      </c>
      <c r="I3612" t="s">
        <v>29</v>
      </c>
      <c r="K3612" t="str">
        <f>IF(Table3[[#This Row],[Type Received]]=2,"CC",(IF(Table3[[#This Row],[Type Received]]=3,"BILL","ACH")))</f>
        <v>CC</v>
      </c>
    </row>
    <row r="3613" spans="1:11" x14ac:dyDescent="0.25">
      <c r="A3613">
        <v>251370</v>
      </c>
      <c r="B3613" s="3">
        <v>46143</v>
      </c>
      <c r="C3613">
        <v>1</v>
      </c>
      <c r="D3613">
        <v>36.49</v>
      </c>
      <c r="G3613" t="s">
        <v>84</v>
      </c>
      <c r="H3613">
        <v>522408169</v>
      </c>
      <c r="I3613" t="s">
        <v>29</v>
      </c>
      <c r="J3613" t="s">
        <v>29</v>
      </c>
      <c r="K3613" t="str">
        <f>IF(Table3[[#This Row],[Type Received]]=2,"CC",(IF(Table3[[#This Row],[Type Received]]=3,"BILL","ACH")))</f>
        <v>ACH</v>
      </c>
    </row>
    <row r="3614" spans="1:11" x14ac:dyDescent="0.25">
      <c r="A3614">
        <v>251381</v>
      </c>
      <c r="B3614" s="3">
        <v>46143</v>
      </c>
      <c r="C3614">
        <v>1</v>
      </c>
      <c r="D3614">
        <v>42.91</v>
      </c>
      <c r="G3614" t="s">
        <v>84</v>
      </c>
      <c r="H3614">
        <v>522386908</v>
      </c>
      <c r="I3614" t="s">
        <v>29</v>
      </c>
      <c r="K3614" t="str">
        <f>IF(Table3[[#This Row],[Type Received]]=2,"CC",(IF(Table3[[#This Row],[Type Received]]=3,"BILL","ACH")))</f>
        <v>ACH</v>
      </c>
    </row>
    <row r="3615" spans="1:11" x14ac:dyDescent="0.25">
      <c r="A3615">
        <v>251393</v>
      </c>
      <c r="B3615" s="3">
        <v>46143</v>
      </c>
      <c r="C3615">
        <v>1</v>
      </c>
      <c r="D3615">
        <v>81.650000000000006</v>
      </c>
      <c r="G3615" t="s">
        <v>84</v>
      </c>
      <c r="H3615">
        <v>522398554</v>
      </c>
      <c r="I3615" t="s">
        <v>29</v>
      </c>
      <c r="J3615" t="s">
        <v>29</v>
      </c>
      <c r="K3615" t="str">
        <f>IF(Table3[[#This Row],[Type Received]]=2,"CC",(IF(Table3[[#This Row],[Type Received]]=3,"BILL","ACH")))</f>
        <v>ACH</v>
      </c>
    </row>
    <row r="3616" spans="1:11" x14ac:dyDescent="0.25">
      <c r="A3616">
        <v>251824</v>
      </c>
      <c r="B3616" s="3">
        <v>46143</v>
      </c>
      <c r="C3616">
        <v>1</v>
      </c>
      <c r="D3616">
        <v>24.11</v>
      </c>
      <c r="G3616" t="s">
        <v>84</v>
      </c>
      <c r="H3616">
        <v>522396730</v>
      </c>
      <c r="I3616" t="s">
        <v>29</v>
      </c>
      <c r="J3616" t="s">
        <v>29</v>
      </c>
      <c r="K3616" t="str">
        <f>IF(Table3[[#This Row],[Type Received]]=2,"CC",(IF(Table3[[#This Row],[Type Received]]=3,"BILL","ACH")))</f>
        <v>ACH</v>
      </c>
    </row>
    <row r="3617" spans="1:11" x14ac:dyDescent="0.25">
      <c r="A3617">
        <v>251843</v>
      </c>
      <c r="B3617" s="3">
        <v>46150</v>
      </c>
      <c r="C3617">
        <v>3</v>
      </c>
      <c r="D3617">
        <v>174.67</v>
      </c>
      <c r="E3617">
        <v>107</v>
      </c>
      <c r="J3617" t="s">
        <v>29</v>
      </c>
      <c r="K3617" t="str">
        <f>IF(Table3[[#This Row],[Type Received]]=2,"CC",(IF(Table3[[#This Row],[Type Received]]=3,"BILL","ACH")))</f>
        <v>BILL</v>
      </c>
    </row>
    <row r="3618" spans="1:11" x14ac:dyDescent="0.25">
      <c r="A3618">
        <v>251845</v>
      </c>
      <c r="B3618" s="3">
        <v>46157</v>
      </c>
      <c r="C3618">
        <v>1</v>
      </c>
      <c r="D3618">
        <v>60.85</v>
      </c>
      <c r="G3618" t="s">
        <v>87</v>
      </c>
      <c r="H3618">
        <v>696814959</v>
      </c>
      <c r="I3618" t="s">
        <v>29</v>
      </c>
      <c r="J3618" t="s">
        <v>29</v>
      </c>
      <c r="K3618" t="str">
        <f>IF(Table3[[#This Row],[Type Received]]=2,"CC",(IF(Table3[[#This Row],[Type Received]]=3,"BILL","ACH")))</f>
        <v>ACH</v>
      </c>
    </row>
    <row r="3619" spans="1:11" x14ac:dyDescent="0.25">
      <c r="A3619">
        <v>251876</v>
      </c>
      <c r="B3619" s="3">
        <v>46143</v>
      </c>
      <c r="C3619">
        <v>3</v>
      </c>
      <c r="D3619">
        <v>64.17</v>
      </c>
      <c r="E3619">
        <v>74375514</v>
      </c>
      <c r="J3619" t="s">
        <v>29</v>
      </c>
      <c r="K3619" t="str">
        <f>IF(Table3[[#This Row],[Type Received]]=2,"CC",(IF(Table3[[#This Row],[Type Received]]=3,"BILL","ACH")))</f>
        <v>BILL</v>
      </c>
    </row>
    <row r="3620" spans="1:11" x14ac:dyDescent="0.25">
      <c r="A3620">
        <v>251883</v>
      </c>
      <c r="B3620" s="3">
        <v>46157</v>
      </c>
      <c r="C3620">
        <v>1</v>
      </c>
      <c r="D3620">
        <v>53.59</v>
      </c>
      <c r="G3620" t="s">
        <v>87</v>
      </c>
      <c r="H3620">
        <v>696814969</v>
      </c>
      <c r="I3620" t="s">
        <v>29</v>
      </c>
      <c r="K3620" t="str">
        <f>IF(Table3[[#This Row],[Type Received]]=2,"CC",(IF(Table3[[#This Row],[Type Received]]=3,"BILL","ACH")))</f>
        <v>ACH</v>
      </c>
    </row>
    <row r="3621" spans="1:11" x14ac:dyDescent="0.25">
      <c r="A3621">
        <v>251901</v>
      </c>
      <c r="B3621" s="3">
        <v>46155</v>
      </c>
      <c r="C3621">
        <v>2</v>
      </c>
      <c r="D3621">
        <v>100.45</v>
      </c>
      <c r="F3621" t="s">
        <v>301</v>
      </c>
      <c r="G3621" t="s">
        <v>28</v>
      </c>
      <c r="H3621">
        <v>669505659</v>
      </c>
      <c r="I3621" t="s">
        <v>29</v>
      </c>
      <c r="J3621" t="s">
        <v>29</v>
      </c>
      <c r="K3621" t="str">
        <f>IF(Table3[[#This Row],[Type Received]]=2,"CC",(IF(Table3[[#This Row],[Type Received]]=3,"BILL","ACH")))</f>
        <v>CC</v>
      </c>
    </row>
    <row r="3622" spans="1:11" x14ac:dyDescent="0.25">
      <c r="A3622">
        <v>251927</v>
      </c>
      <c r="B3622" s="3">
        <v>46154</v>
      </c>
      <c r="C3622">
        <v>3</v>
      </c>
      <c r="D3622">
        <v>43.38</v>
      </c>
      <c r="E3622">
        <v>19817471944</v>
      </c>
      <c r="J3622" t="s">
        <v>29</v>
      </c>
      <c r="K3622" t="str">
        <f>IF(Table3[[#This Row],[Type Received]]=2,"CC",(IF(Table3[[#This Row],[Type Received]]=3,"BILL","ACH")))</f>
        <v>BILL</v>
      </c>
    </row>
    <row r="3623" spans="1:11" x14ac:dyDescent="0.25">
      <c r="A3623">
        <v>251933</v>
      </c>
      <c r="B3623" s="3">
        <v>46143</v>
      </c>
      <c r="C3623">
        <v>1</v>
      </c>
      <c r="D3623">
        <v>51.83</v>
      </c>
      <c r="G3623" t="s">
        <v>84</v>
      </c>
      <c r="H3623">
        <v>522388052</v>
      </c>
      <c r="I3623" t="s">
        <v>29</v>
      </c>
      <c r="J3623" t="s">
        <v>29</v>
      </c>
      <c r="K3623" t="str">
        <f>IF(Table3[[#This Row],[Type Received]]=2,"CC",(IF(Table3[[#This Row],[Type Received]]=3,"BILL","ACH")))</f>
        <v>ACH</v>
      </c>
    </row>
    <row r="3624" spans="1:11" x14ac:dyDescent="0.25">
      <c r="A3624">
        <v>251945</v>
      </c>
      <c r="B3624" s="3">
        <v>46167</v>
      </c>
      <c r="C3624">
        <v>1</v>
      </c>
      <c r="D3624">
        <v>140.38</v>
      </c>
      <c r="G3624" t="s">
        <v>85</v>
      </c>
      <c r="H3624">
        <v>818388895</v>
      </c>
      <c r="I3624" t="s">
        <v>29</v>
      </c>
      <c r="J3624" t="s">
        <v>29</v>
      </c>
      <c r="K3624" t="str">
        <f>IF(Table3[[#This Row],[Type Received]]=2,"CC",(IF(Table3[[#This Row],[Type Received]]=3,"BILL","ACH")))</f>
        <v>ACH</v>
      </c>
    </row>
    <row r="3625" spans="1:11" x14ac:dyDescent="0.25">
      <c r="A3625">
        <v>251947</v>
      </c>
      <c r="B3625" s="3">
        <v>46157</v>
      </c>
      <c r="C3625">
        <v>1</v>
      </c>
      <c r="D3625">
        <v>59.2</v>
      </c>
      <c r="G3625" s="4" t="s">
        <v>87</v>
      </c>
      <c r="H3625">
        <v>696815907</v>
      </c>
      <c r="I3625" t="s">
        <v>29</v>
      </c>
      <c r="J3625" t="s">
        <v>29</v>
      </c>
      <c r="K3625" t="str">
        <f>IF(Table3[[#This Row],[Type Received]]=2,"CC",(IF(Table3[[#This Row],[Type Received]]=3,"BILL","ACH")))</f>
        <v>ACH</v>
      </c>
    </row>
    <row r="3626" spans="1:11" x14ac:dyDescent="0.25">
      <c r="A3626">
        <v>251953</v>
      </c>
      <c r="B3626" s="3">
        <v>46157</v>
      </c>
      <c r="C3626">
        <v>1</v>
      </c>
      <c r="D3626">
        <v>55.24</v>
      </c>
      <c r="G3626" t="s">
        <v>87</v>
      </c>
      <c r="H3626">
        <v>696827579</v>
      </c>
      <c r="I3626" t="s">
        <v>29</v>
      </c>
      <c r="J3626" t="s">
        <v>29</v>
      </c>
      <c r="K3626" t="str">
        <f>IF(Table3[[#This Row],[Type Received]]=2,"CC",(IF(Table3[[#This Row],[Type Received]]=3,"BILL","ACH")))</f>
        <v>ACH</v>
      </c>
    </row>
    <row r="3627" spans="1:11" x14ac:dyDescent="0.25">
      <c r="A3627">
        <v>251954</v>
      </c>
      <c r="B3627" s="3">
        <v>46157</v>
      </c>
      <c r="C3627">
        <v>1</v>
      </c>
      <c r="D3627">
        <v>46.81</v>
      </c>
      <c r="G3627" t="s">
        <v>87</v>
      </c>
      <c r="H3627">
        <v>696823655</v>
      </c>
      <c r="I3627" t="s">
        <v>29</v>
      </c>
      <c r="J3627" t="s">
        <v>29</v>
      </c>
      <c r="K3627" t="str">
        <f>IF(Table3[[#This Row],[Type Received]]=2,"CC",(IF(Table3[[#This Row],[Type Received]]=3,"BILL","ACH")))</f>
        <v>ACH</v>
      </c>
    </row>
    <row r="3628" spans="1:11" x14ac:dyDescent="0.25">
      <c r="A3628">
        <v>251955</v>
      </c>
      <c r="B3628" s="3">
        <v>46167</v>
      </c>
      <c r="C3628">
        <v>1</v>
      </c>
      <c r="D3628">
        <v>98.8</v>
      </c>
      <c r="G3628" t="s">
        <v>85</v>
      </c>
      <c r="H3628">
        <v>818388902</v>
      </c>
      <c r="I3628" t="s">
        <v>29</v>
      </c>
      <c r="J3628" t="s">
        <v>29</v>
      </c>
      <c r="K3628" t="str">
        <f>IF(Table3[[#This Row],[Type Received]]=2,"CC",(IF(Table3[[#This Row],[Type Received]]=3,"BILL","ACH")))</f>
        <v>ACH</v>
      </c>
    </row>
    <row r="3629" spans="1:11" x14ac:dyDescent="0.25">
      <c r="A3629">
        <v>251970</v>
      </c>
      <c r="B3629" s="3">
        <v>46157</v>
      </c>
      <c r="C3629">
        <v>1</v>
      </c>
      <c r="D3629">
        <v>182.95</v>
      </c>
      <c r="G3629" s="4" t="s">
        <v>87</v>
      </c>
      <c r="H3629">
        <v>696836279</v>
      </c>
      <c r="I3629" t="s">
        <v>29</v>
      </c>
      <c r="J3629" t="s">
        <v>29</v>
      </c>
      <c r="K3629" t="str">
        <f>IF(Table3[[#This Row],[Type Received]]=2,"CC",(IF(Table3[[#This Row],[Type Received]]=3,"BILL","ACH")))</f>
        <v>ACH</v>
      </c>
    </row>
    <row r="3630" spans="1:11" x14ac:dyDescent="0.25">
      <c r="A3630">
        <v>251977</v>
      </c>
      <c r="B3630" s="3">
        <v>46167</v>
      </c>
      <c r="C3630">
        <v>1</v>
      </c>
      <c r="D3630">
        <v>99.57</v>
      </c>
      <c r="G3630" s="4" t="s">
        <v>85</v>
      </c>
      <c r="H3630">
        <v>818404460</v>
      </c>
      <c r="I3630" t="s">
        <v>29</v>
      </c>
      <c r="K3630" t="str">
        <f>IF(Table3[[#This Row],[Type Received]]=2,"CC",(IF(Table3[[#This Row],[Type Received]]=3,"BILL","ACH")))</f>
        <v>ACH</v>
      </c>
    </row>
    <row r="3631" spans="1:11" x14ac:dyDescent="0.25">
      <c r="A3631">
        <v>251985</v>
      </c>
      <c r="B3631" s="3">
        <v>46143</v>
      </c>
      <c r="C3631">
        <v>1</v>
      </c>
      <c r="D3631">
        <v>58.54</v>
      </c>
      <c r="G3631" t="s">
        <v>84</v>
      </c>
      <c r="H3631">
        <v>522412230</v>
      </c>
      <c r="I3631" t="s">
        <v>29</v>
      </c>
      <c r="J3631" t="s">
        <v>29</v>
      </c>
      <c r="K3631" t="str">
        <f>IF(Table3[[#This Row],[Type Received]]=2,"CC",(IF(Table3[[#This Row],[Type Received]]=3,"BILL","ACH")))</f>
        <v>ACH</v>
      </c>
    </row>
    <row r="3632" spans="1:11" x14ac:dyDescent="0.25">
      <c r="A3632">
        <v>251995</v>
      </c>
      <c r="B3632" s="3">
        <v>46144</v>
      </c>
      <c r="C3632">
        <v>2</v>
      </c>
      <c r="D3632">
        <v>87.58</v>
      </c>
      <c r="F3632">
        <v>785729</v>
      </c>
      <c r="G3632" t="s">
        <v>28</v>
      </c>
      <c r="H3632">
        <v>535373536</v>
      </c>
      <c r="I3632" t="s">
        <v>29</v>
      </c>
      <c r="K3632" t="str">
        <f>IF(Table3[[#This Row],[Type Received]]=2,"CC",(IF(Table3[[#This Row],[Type Received]]=3,"BILL","ACH")))</f>
        <v>CC</v>
      </c>
    </row>
    <row r="3633" spans="1:11" x14ac:dyDescent="0.25">
      <c r="A3633">
        <v>251996</v>
      </c>
      <c r="B3633" s="3">
        <v>46155</v>
      </c>
      <c r="C3633">
        <v>2</v>
      </c>
      <c r="D3633">
        <v>48.64</v>
      </c>
      <c r="F3633" t="s">
        <v>302</v>
      </c>
      <c r="G3633" t="s">
        <v>28</v>
      </c>
      <c r="H3633">
        <v>669459815</v>
      </c>
      <c r="I3633" t="s">
        <v>29</v>
      </c>
      <c r="J3633" t="s">
        <v>29</v>
      </c>
      <c r="K3633" t="str">
        <f>IF(Table3[[#This Row],[Type Received]]=2,"CC",(IF(Table3[[#This Row],[Type Received]]=3,"BILL","ACH")))</f>
        <v>CC</v>
      </c>
    </row>
    <row r="3634" spans="1:11" x14ac:dyDescent="0.25">
      <c r="A3634">
        <v>251999</v>
      </c>
      <c r="B3634" s="3">
        <v>46143</v>
      </c>
      <c r="C3634">
        <v>1</v>
      </c>
      <c r="D3634">
        <v>144.01</v>
      </c>
      <c r="G3634" t="s">
        <v>84</v>
      </c>
      <c r="H3634">
        <v>522400645</v>
      </c>
      <c r="I3634" t="s">
        <v>29</v>
      </c>
      <c r="K3634" t="str">
        <f>IF(Table3[[#This Row],[Type Received]]=2,"CC",(IF(Table3[[#This Row],[Type Received]]=3,"BILL","ACH")))</f>
        <v>ACH</v>
      </c>
    </row>
    <row r="3635" spans="1:11" x14ac:dyDescent="0.25">
      <c r="A3635">
        <v>251610</v>
      </c>
      <c r="B3635" s="3">
        <v>46149</v>
      </c>
      <c r="C3635">
        <v>3</v>
      </c>
      <c r="D3635">
        <v>195.54</v>
      </c>
      <c r="E3635">
        <v>5203</v>
      </c>
      <c r="J3635" t="s">
        <v>29</v>
      </c>
      <c r="K3635" t="str">
        <f>IF(Table3[[#This Row],[Type Received]]=2,"CC",(IF(Table3[[#This Row],[Type Received]]=3,"BILL","ACH")))</f>
        <v>BILL</v>
      </c>
    </row>
    <row r="3636" spans="1:11" x14ac:dyDescent="0.25">
      <c r="A3636">
        <v>251635</v>
      </c>
      <c r="B3636" s="3">
        <v>46157</v>
      </c>
      <c r="C3636">
        <v>1</v>
      </c>
      <c r="D3636">
        <v>45.67</v>
      </c>
      <c r="G3636" t="s">
        <v>87</v>
      </c>
      <c r="H3636">
        <v>696833237</v>
      </c>
      <c r="I3636" t="s">
        <v>29</v>
      </c>
      <c r="J3636" t="s">
        <v>29</v>
      </c>
      <c r="K3636" t="str">
        <f>IF(Table3[[#This Row],[Type Received]]=2,"CC",(IF(Table3[[#This Row],[Type Received]]=3,"BILL","ACH")))</f>
        <v>ACH</v>
      </c>
    </row>
    <row r="3637" spans="1:11" x14ac:dyDescent="0.25">
      <c r="A3637">
        <v>251637</v>
      </c>
      <c r="B3637" s="3">
        <v>46155</v>
      </c>
      <c r="C3637">
        <v>3</v>
      </c>
      <c r="D3637">
        <v>33.479999999999997</v>
      </c>
      <c r="E3637">
        <v>22117777159</v>
      </c>
      <c r="J3637" t="s">
        <v>29</v>
      </c>
      <c r="K3637" t="str">
        <f>IF(Table3[[#This Row],[Type Received]]=2,"CC",(IF(Table3[[#This Row],[Type Received]]=3,"BILL","ACH")))</f>
        <v>BILL</v>
      </c>
    </row>
    <row r="3638" spans="1:11" x14ac:dyDescent="0.25">
      <c r="A3638">
        <v>251647</v>
      </c>
      <c r="B3638" s="3">
        <v>46157</v>
      </c>
      <c r="C3638">
        <v>1</v>
      </c>
      <c r="D3638">
        <v>155.56</v>
      </c>
      <c r="G3638" s="4" t="s">
        <v>87</v>
      </c>
      <c r="H3638">
        <v>696826502</v>
      </c>
      <c r="I3638" t="s">
        <v>29</v>
      </c>
      <c r="K3638" t="str">
        <f>IF(Table3[[#This Row],[Type Received]]=2,"CC",(IF(Table3[[#This Row],[Type Received]]=3,"BILL","ACH")))</f>
        <v>ACH</v>
      </c>
    </row>
    <row r="3639" spans="1:11" x14ac:dyDescent="0.25">
      <c r="A3639">
        <v>251650</v>
      </c>
      <c r="B3639" s="3">
        <v>46167</v>
      </c>
      <c r="C3639">
        <v>1</v>
      </c>
      <c r="D3639">
        <v>111.45</v>
      </c>
      <c r="G3639" t="s">
        <v>85</v>
      </c>
      <c r="H3639">
        <v>818392767</v>
      </c>
      <c r="I3639" t="s">
        <v>29</v>
      </c>
      <c r="K3639" t="str">
        <f>IF(Table3[[#This Row],[Type Received]]=2,"CC",(IF(Table3[[#This Row],[Type Received]]=3,"BILL","ACH")))</f>
        <v>ACH</v>
      </c>
    </row>
    <row r="3640" spans="1:11" x14ac:dyDescent="0.25">
      <c r="A3640">
        <v>251662</v>
      </c>
      <c r="B3640" s="3">
        <v>46157</v>
      </c>
      <c r="C3640">
        <v>1</v>
      </c>
      <c r="D3640">
        <v>102.76</v>
      </c>
      <c r="G3640" s="4" t="s">
        <v>87</v>
      </c>
      <c r="H3640">
        <v>696834248</v>
      </c>
      <c r="I3640" t="s">
        <v>29</v>
      </c>
      <c r="K3640" t="str">
        <f>IF(Table3[[#This Row],[Type Received]]=2,"CC",(IF(Table3[[#This Row],[Type Received]]=3,"BILL","ACH")))</f>
        <v>ACH</v>
      </c>
    </row>
    <row r="3641" spans="1:11" x14ac:dyDescent="0.25">
      <c r="A3641">
        <v>251681</v>
      </c>
      <c r="B3641" s="3">
        <v>46157</v>
      </c>
      <c r="C3641">
        <v>1</v>
      </c>
      <c r="D3641">
        <v>178.99</v>
      </c>
      <c r="G3641" t="s">
        <v>87</v>
      </c>
      <c r="H3641">
        <v>696826519</v>
      </c>
      <c r="I3641" t="s">
        <v>29</v>
      </c>
      <c r="K3641" t="str">
        <f>IF(Table3[[#This Row],[Type Received]]=2,"CC",(IF(Table3[[#This Row],[Type Received]]=3,"BILL","ACH")))</f>
        <v>ACH</v>
      </c>
    </row>
    <row r="3642" spans="1:11" x14ac:dyDescent="0.25">
      <c r="A3642">
        <v>251755</v>
      </c>
      <c r="B3642" s="3">
        <v>46167</v>
      </c>
      <c r="C3642">
        <v>1</v>
      </c>
      <c r="D3642">
        <v>27.63</v>
      </c>
      <c r="G3642" t="s">
        <v>85</v>
      </c>
      <c r="H3642">
        <v>818409247</v>
      </c>
      <c r="I3642" t="s">
        <v>29</v>
      </c>
      <c r="J3642" t="s">
        <v>29</v>
      </c>
      <c r="K3642" t="str">
        <f>IF(Table3[[#This Row],[Type Received]]=2,"CC",(IF(Table3[[#This Row],[Type Received]]=3,"BILL","ACH")))</f>
        <v>ACH</v>
      </c>
    </row>
    <row r="3643" spans="1:11" x14ac:dyDescent="0.25">
      <c r="A3643">
        <v>251758</v>
      </c>
      <c r="B3643" s="3">
        <v>46143</v>
      </c>
      <c r="C3643">
        <v>1</v>
      </c>
      <c r="D3643">
        <v>56.23</v>
      </c>
      <c r="G3643" t="s">
        <v>84</v>
      </c>
      <c r="H3643">
        <v>522411122</v>
      </c>
      <c r="I3643" t="s">
        <v>29</v>
      </c>
      <c r="J3643" t="s">
        <v>29</v>
      </c>
      <c r="K3643" t="str">
        <f>IF(Table3[[#This Row],[Type Received]]=2,"CC",(IF(Table3[[#This Row],[Type Received]]=3,"BILL","ACH")))</f>
        <v>ACH</v>
      </c>
    </row>
    <row r="3644" spans="1:11" x14ac:dyDescent="0.25">
      <c r="A3644">
        <v>251759</v>
      </c>
      <c r="B3644" s="3">
        <v>46143</v>
      </c>
      <c r="C3644">
        <v>1</v>
      </c>
      <c r="D3644">
        <v>49.63</v>
      </c>
      <c r="G3644" s="4" t="s">
        <v>84</v>
      </c>
      <c r="H3644">
        <v>522401526</v>
      </c>
      <c r="I3644" t="s">
        <v>29</v>
      </c>
      <c r="K3644" t="str">
        <f>IF(Table3[[#This Row],[Type Received]]=2,"CC",(IF(Table3[[#This Row],[Type Received]]=3,"BILL","ACH")))</f>
        <v>ACH</v>
      </c>
    </row>
    <row r="3645" spans="1:11" x14ac:dyDescent="0.25">
      <c r="A3645">
        <v>251783</v>
      </c>
      <c r="B3645" s="3">
        <v>46143</v>
      </c>
      <c r="C3645">
        <v>1</v>
      </c>
      <c r="D3645">
        <v>72.73</v>
      </c>
      <c r="G3645" t="s">
        <v>84</v>
      </c>
      <c r="H3645">
        <v>522395736</v>
      </c>
      <c r="I3645" t="s">
        <v>29</v>
      </c>
      <c r="J3645" t="s">
        <v>29</v>
      </c>
      <c r="K3645" t="str">
        <f>IF(Table3[[#This Row],[Type Received]]=2,"CC",(IF(Table3[[#This Row],[Type Received]]=3,"BILL","ACH")))</f>
        <v>ACH</v>
      </c>
    </row>
    <row r="3646" spans="1:11" x14ac:dyDescent="0.25">
      <c r="A3646">
        <v>251785</v>
      </c>
      <c r="B3646" s="3">
        <v>46157</v>
      </c>
      <c r="C3646">
        <v>1</v>
      </c>
      <c r="D3646">
        <v>130.47999999999999</v>
      </c>
      <c r="G3646" t="s">
        <v>87</v>
      </c>
      <c r="H3646">
        <v>696812934</v>
      </c>
      <c r="I3646" t="s">
        <v>29</v>
      </c>
      <c r="K3646" t="str">
        <f>IF(Table3[[#This Row],[Type Received]]=2,"CC",(IF(Table3[[#This Row],[Type Received]]=3,"BILL","ACH")))</f>
        <v>ACH</v>
      </c>
    </row>
    <row r="3647" spans="1:11" x14ac:dyDescent="0.25">
      <c r="A3647">
        <v>251792</v>
      </c>
      <c r="B3647" s="3">
        <v>46167</v>
      </c>
      <c r="C3647">
        <v>1</v>
      </c>
      <c r="D3647">
        <v>59.35</v>
      </c>
      <c r="G3647" s="4" t="s">
        <v>85</v>
      </c>
      <c r="H3647">
        <v>818393748</v>
      </c>
      <c r="I3647" t="s">
        <v>29</v>
      </c>
      <c r="J3647" t="s">
        <v>29</v>
      </c>
      <c r="K3647" t="str">
        <f>IF(Table3[[#This Row],[Type Received]]=2,"CC",(IF(Table3[[#This Row],[Type Received]]=3,"BILL","ACH")))</f>
        <v>ACH</v>
      </c>
    </row>
    <row r="3648" spans="1:11" x14ac:dyDescent="0.25">
      <c r="A3648">
        <v>252011</v>
      </c>
      <c r="B3648" s="3">
        <v>46146</v>
      </c>
      <c r="C3648">
        <v>3</v>
      </c>
      <c r="D3648">
        <v>150.96</v>
      </c>
      <c r="E3648">
        <v>5265</v>
      </c>
      <c r="K3648" t="str">
        <f>IF(Table3[[#This Row],[Type Received]]=2,"CC",(IF(Table3[[#This Row],[Type Received]]=3,"BILL","ACH")))</f>
        <v>BILL</v>
      </c>
    </row>
    <row r="3649" spans="1:11" x14ac:dyDescent="0.25">
      <c r="A3649">
        <v>252016</v>
      </c>
      <c r="B3649" s="3">
        <v>46167</v>
      </c>
      <c r="C3649">
        <v>1</v>
      </c>
      <c r="D3649">
        <v>32.909999999999997</v>
      </c>
      <c r="G3649" t="s">
        <v>85</v>
      </c>
      <c r="H3649">
        <v>818398551</v>
      </c>
      <c r="I3649" t="s">
        <v>29</v>
      </c>
      <c r="K3649" t="str">
        <f>IF(Table3[[#This Row],[Type Received]]=2,"CC",(IF(Table3[[#This Row],[Type Received]]=3,"BILL","ACH")))</f>
        <v>ACH</v>
      </c>
    </row>
    <row r="3650" spans="1:11" x14ac:dyDescent="0.25">
      <c r="A3650">
        <v>252042</v>
      </c>
      <c r="B3650" s="3">
        <v>46157</v>
      </c>
      <c r="C3650">
        <v>1</v>
      </c>
      <c r="D3650">
        <v>30.71</v>
      </c>
      <c r="G3650" t="s">
        <v>87</v>
      </c>
      <c r="H3650">
        <v>696822689</v>
      </c>
      <c r="I3650" t="s">
        <v>29</v>
      </c>
      <c r="J3650" t="s">
        <v>29</v>
      </c>
      <c r="K3650" t="str">
        <f>IF(Table3[[#This Row],[Type Received]]=2,"CC",(IF(Table3[[#This Row],[Type Received]]=3,"BILL","ACH")))</f>
        <v>ACH</v>
      </c>
    </row>
    <row r="3651" spans="1:11" x14ac:dyDescent="0.25">
      <c r="A3651">
        <v>252046</v>
      </c>
      <c r="B3651" s="3">
        <v>46149</v>
      </c>
      <c r="C3651">
        <v>3</v>
      </c>
      <c r="D3651">
        <v>60.21</v>
      </c>
      <c r="E3651">
        <v>2374</v>
      </c>
      <c r="J3651" t="s">
        <v>29</v>
      </c>
      <c r="K3651" t="str">
        <f>IF(Table3[[#This Row],[Type Received]]=2,"CC",(IF(Table3[[#This Row],[Type Received]]=3,"BILL","ACH")))</f>
        <v>BILL</v>
      </c>
    </row>
    <row r="3652" spans="1:11" x14ac:dyDescent="0.25">
      <c r="A3652">
        <v>252047</v>
      </c>
      <c r="B3652" s="3">
        <v>46150</v>
      </c>
      <c r="C3652">
        <v>1</v>
      </c>
      <c r="D3652">
        <v>143.04</v>
      </c>
      <c r="G3652" t="s">
        <v>104</v>
      </c>
      <c r="H3652">
        <v>608109634</v>
      </c>
      <c r="I3652" t="s">
        <v>29</v>
      </c>
      <c r="K3652" t="str">
        <f>IF(Table3[[#This Row],[Type Received]]=2,"CC",(IF(Table3[[#This Row],[Type Received]]=3,"BILL","ACH")))</f>
        <v>ACH</v>
      </c>
    </row>
    <row r="3653" spans="1:11" x14ac:dyDescent="0.25">
      <c r="A3653">
        <v>252069</v>
      </c>
      <c r="B3653" s="3">
        <v>46171</v>
      </c>
      <c r="C3653">
        <v>3</v>
      </c>
      <c r="D3653">
        <v>131.82</v>
      </c>
      <c r="E3653">
        <v>6313</v>
      </c>
      <c r="K3653" t="str">
        <f>IF(Table3[[#This Row],[Type Received]]=2,"CC",(IF(Table3[[#This Row],[Type Received]]=3,"BILL","ACH")))</f>
        <v>BILL</v>
      </c>
    </row>
    <row r="3654" spans="1:11" x14ac:dyDescent="0.25">
      <c r="A3654">
        <v>252069</v>
      </c>
      <c r="B3654" s="3">
        <v>46168</v>
      </c>
      <c r="C3654">
        <v>3</v>
      </c>
      <c r="D3654">
        <v>131.82</v>
      </c>
      <c r="E3654">
        <v>6311</v>
      </c>
      <c r="G3654" s="4"/>
      <c r="K3654" t="str">
        <f>IF(Table3[[#This Row],[Type Received]]=2,"CC",(IF(Table3[[#This Row],[Type Received]]=3,"BILL","ACH")))</f>
        <v>BILL</v>
      </c>
    </row>
    <row r="3655" spans="1:11" x14ac:dyDescent="0.25">
      <c r="A3655">
        <v>252075</v>
      </c>
      <c r="B3655" s="3">
        <v>46150</v>
      </c>
      <c r="C3655">
        <v>3</v>
      </c>
      <c r="D3655">
        <v>94.86</v>
      </c>
      <c r="E3655">
        <v>3577</v>
      </c>
      <c r="J3655" t="s">
        <v>29</v>
      </c>
      <c r="K3655" t="str">
        <f>IF(Table3[[#This Row],[Type Received]]=2,"CC",(IF(Table3[[#This Row],[Type Received]]=3,"BILL","ACH")))</f>
        <v>BILL</v>
      </c>
    </row>
    <row r="3656" spans="1:11" x14ac:dyDescent="0.25">
      <c r="A3656">
        <v>252079</v>
      </c>
      <c r="B3656" s="3">
        <v>46143</v>
      </c>
      <c r="C3656">
        <v>1</v>
      </c>
      <c r="D3656">
        <v>75.81</v>
      </c>
      <c r="G3656" t="s">
        <v>84</v>
      </c>
      <c r="H3656">
        <v>522415213</v>
      </c>
      <c r="I3656" t="s">
        <v>29</v>
      </c>
      <c r="K3656" t="str">
        <f>IF(Table3[[#This Row],[Type Received]]=2,"CC",(IF(Table3[[#This Row],[Type Received]]=3,"BILL","ACH")))</f>
        <v>ACH</v>
      </c>
    </row>
    <row r="3657" spans="1:11" x14ac:dyDescent="0.25">
      <c r="A3657">
        <v>252105</v>
      </c>
      <c r="B3657" s="3">
        <v>46167</v>
      </c>
      <c r="C3657">
        <v>1</v>
      </c>
      <c r="D3657">
        <v>55.13</v>
      </c>
      <c r="G3657" t="s">
        <v>85</v>
      </c>
      <c r="H3657">
        <v>818409298</v>
      </c>
      <c r="I3657" t="s">
        <v>29</v>
      </c>
      <c r="J3657" t="s">
        <v>29</v>
      </c>
      <c r="K3657" t="str">
        <f>IF(Table3[[#This Row],[Type Received]]=2,"CC",(IF(Table3[[#This Row],[Type Received]]=3,"BILL","ACH")))</f>
        <v>ACH</v>
      </c>
    </row>
    <row r="3658" spans="1:11" x14ac:dyDescent="0.25">
      <c r="A3658">
        <v>252122</v>
      </c>
      <c r="B3658" s="3">
        <v>46143</v>
      </c>
      <c r="C3658">
        <v>3</v>
      </c>
      <c r="D3658">
        <v>102.78</v>
      </c>
      <c r="E3658">
        <v>1068</v>
      </c>
      <c r="J3658" t="s">
        <v>29</v>
      </c>
      <c r="K3658" t="str">
        <f>IF(Table3[[#This Row],[Type Received]]=2,"CC",(IF(Table3[[#This Row],[Type Received]]=3,"BILL","ACH")))</f>
        <v>BILL</v>
      </c>
    </row>
    <row r="3659" spans="1:11" x14ac:dyDescent="0.25">
      <c r="A3659">
        <v>252129</v>
      </c>
      <c r="B3659" s="3">
        <v>46157</v>
      </c>
      <c r="C3659">
        <v>1</v>
      </c>
      <c r="D3659">
        <v>108.37</v>
      </c>
      <c r="G3659" t="s">
        <v>87</v>
      </c>
      <c r="H3659">
        <v>696822705</v>
      </c>
      <c r="I3659" t="s">
        <v>29</v>
      </c>
      <c r="J3659" t="s">
        <v>29</v>
      </c>
      <c r="K3659" t="str">
        <f>IF(Table3[[#This Row],[Type Received]]=2,"CC",(IF(Table3[[#This Row],[Type Received]]=3,"BILL","ACH")))</f>
        <v>ACH</v>
      </c>
    </row>
    <row r="3660" spans="1:11" x14ac:dyDescent="0.25">
      <c r="A3660">
        <v>252145</v>
      </c>
      <c r="B3660" s="3">
        <v>46167</v>
      </c>
      <c r="C3660">
        <v>1</v>
      </c>
      <c r="D3660">
        <v>53.26</v>
      </c>
      <c r="G3660" t="s">
        <v>85</v>
      </c>
      <c r="H3660">
        <v>818403468</v>
      </c>
      <c r="I3660" t="s">
        <v>29</v>
      </c>
      <c r="K3660" t="str">
        <f>IF(Table3[[#This Row],[Type Received]]=2,"CC",(IF(Table3[[#This Row],[Type Received]]=3,"BILL","ACH")))</f>
        <v>ACH</v>
      </c>
    </row>
    <row r="3661" spans="1:11" x14ac:dyDescent="0.25">
      <c r="A3661">
        <v>252155</v>
      </c>
      <c r="B3661" s="3">
        <v>46157</v>
      </c>
      <c r="C3661">
        <v>1</v>
      </c>
      <c r="D3661">
        <v>39.950000000000003</v>
      </c>
      <c r="G3661" s="4" t="s">
        <v>87</v>
      </c>
      <c r="H3661">
        <v>696836312</v>
      </c>
      <c r="I3661" t="s">
        <v>29</v>
      </c>
      <c r="J3661" t="s">
        <v>29</v>
      </c>
      <c r="K3661" t="str">
        <f>IF(Table3[[#This Row],[Type Received]]=2,"CC",(IF(Table3[[#This Row],[Type Received]]=3,"BILL","ACH")))</f>
        <v>ACH</v>
      </c>
    </row>
    <row r="3662" spans="1:11" x14ac:dyDescent="0.25">
      <c r="A3662">
        <v>252160</v>
      </c>
      <c r="B3662" s="3">
        <v>46155</v>
      </c>
      <c r="C3662">
        <v>2</v>
      </c>
      <c r="D3662">
        <v>59.2</v>
      </c>
      <c r="F3662">
        <v>598924</v>
      </c>
      <c r="G3662" t="s">
        <v>28</v>
      </c>
      <c r="H3662">
        <v>669492051</v>
      </c>
      <c r="I3662" t="s">
        <v>29</v>
      </c>
      <c r="J3662" t="s">
        <v>29</v>
      </c>
      <c r="K3662" t="str">
        <f>IF(Table3[[#This Row],[Type Received]]=2,"CC",(IF(Table3[[#This Row],[Type Received]]=3,"BILL","ACH")))</f>
        <v>CC</v>
      </c>
    </row>
    <row r="3663" spans="1:11" x14ac:dyDescent="0.25">
      <c r="A3663">
        <v>252169</v>
      </c>
      <c r="B3663" s="3">
        <v>46150</v>
      </c>
      <c r="C3663">
        <v>2</v>
      </c>
      <c r="D3663">
        <v>41.07</v>
      </c>
      <c r="F3663">
        <v>151411</v>
      </c>
      <c r="G3663" t="s">
        <v>28</v>
      </c>
      <c r="H3663">
        <v>611229938</v>
      </c>
      <c r="I3663" t="s">
        <v>29</v>
      </c>
      <c r="J3663" t="s">
        <v>29</v>
      </c>
      <c r="K3663" t="str">
        <f>IF(Table3[[#This Row],[Type Received]]=2,"CC",(IF(Table3[[#This Row],[Type Received]]=3,"BILL","ACH")))</f>
        <v>CC</v>
      </c>
    </row>
    <row r="3664" spans="1:11" x14ac:dyDescent="0.25">
      <c r="A3664">
        <v>252174</v>
      </c>
      <c r="B3664" s="3">
        <v>46157</v>
      </c>
      <c r="C3664">
        <v>1</v>
      </c>
      <c r="D3664">
        <v>30.01</v>
      </c>
      <c r="G3664" t="s">
        <v>87</v>
      </c>
      <c r="H3664">
        <v>696829594</v>
      </c>
      <c r="I3664" t="s">
        <v>29</v>
      </c>
      <c r="J3664" t="s">
        <v>29</v>
      </c>
      <c r="K3664" t="str">
        <f>IF(Table3[[#This Row],[Type Received]]=2,"CC",(IF(Table3[[#This Row],[Type Received]]=3,"BILL","ACH")))</f>
        <v>ACH</v>
      </c>
    </row>
    <row r="3665" spans="1:11" x14ac:dyDescent="0.25">
      <c r="A3665">
        <v>252200</v>
      </c>
      <c r="B3665" s="3">
        <v>46143</v>
      </c>
      <c r="C3665">
        <v>1</v>
      </c>
      <c r="D3665">
        <v>44.68</v>
      </c>
      <c r="G3665" t="s">
        <v>84</v>
      </c>
      <c r="H3665">
        <v>522392031</v>
      </c>
      <c r="I3665" t="s">
        <v>29</v>
      </c>
      <c r="J3665" t="s">
        <v>29</v>
      </c>
      <c r="K3665" t="str">
        <f>IF(Table3[[#This Row],[Type Received]]=2,"CC",(IF(Table3[[#This Row],[Type Received]]=3,"BILL","ACH")))</f>
        <v>ACH</v>
      </c>
    </row>
    <row r="3666" spans="1:11" x14ac:dyDescent="0.25">
      <c r="A3666">
        <v>252207</v>
      </c>
      <c r="B3666" s="3">
        <v>46157</v>
      </c>
      <c r="C3666">
        <v>1</v>
      </c>
      <c r="D3666">
        <v>49.41</v>
      </c>
      <c r="G3666" t="s">
        <v>87</v>
      </c>
      <c r="H3666">
        <v>696830651</v>
      </c>
      <c r="I3666" t="s">
        <v>29</v>
      </c>
      <c r="K3666" t="str">
        <f>IF(Table3[[#This Row],[Type Received]]=2,"CC",(IF(Table3[[#This Row],[Type Received]]=3,"BILL","ACH")))</f>
        <v>ACH</v>
      </c>
    </row>
    <row r="3667" spans="1:11" x14ac:dyDescent="0.25">
      <c r="A3667">
        <v>252212</v>
      </c>
      <c r="B3667" s="3">
        <v>46143</v>
      </c>
      <c r="C3667">
        <v>1</v>
      </c>
      <c r="D3667">
        <v>39.729999999999997</v>
      </c>
      <c r="G3667" t="s">
        <v>84</v>
      </c>
      <c r="H3667">
        <v>522415323</v>
      </c>
      <c r="I3667" t="s">
        <v>29</v>
      </c>
      <c r="J3667" t="s">
        <v>29</v>
      </c>
      <c r="K3667" t="str">
        <f>IF(Table3[[#This Row],[Type Received]]=2,"CC",(IF(Table3[[#This Row],[Type Received]]=3,"BILL","ACH")))</f>
        <v>ACH</v>
      </c>
    </row>
    <row r="3668" spans="1:11" x14ac:dyDescent="0.25">
      <c r="A3668">
        <v>252217</v>
      </c>
      <c r="B3668" s="3">
        <v>46148</v>
      </c>
      <c r="C3668">
        <v>3</v>
      </c>
      <c r="D3668">
        <v>32.93</v>
      </c>
      <c r="E3668">
        <v>206</v>
      </c>
      <c r="J3668" t="s">
        <v>29</v>
      </c>
      <c r="K3668" t="str">
        <f>IF(Table3[[#This Row],[Type Received]]=2,"CC",(IF(Table3[[#This Row],[Type Received]]=3,"BILL","ACH")))</f>
        <v>BILL</v>
      </c>
    </row>
    <row r="3669" spans="1:11" x14ac:dyDescent="0.25">
      <c r="A3669">
        <v>252224</v>
      </c>
      <c r="B3669" s="3">
        <v>46157</v>
      </c>
      <c r="C3669">
        <v>1</v>
      </c>
      <c r="D3669">
        <v>38.630000000000003</v>
      </c>
      <c r="G3669" t="s">
        <v>87</v>
      </c>
      <c r="H3669">
        <v>696652584</v>
      </c>
      <c r="I3669" t="s">
        <v>29</v>
      </c>
      <c r="J3669" t="s">
        <v>29</v>
      </c>
      <c r="K3669" t="str">
        <f>IF(Table3[[#This Row],[Type Received]]=2,"CC",(IF(Table3[[#This Row],[Type Received]]=3,"BILL","ACH")))</f>
        <v>ACH</v>
      </c>
    </row>
    <row r="3670" spans="1:11" x14ac:dyDescent="0.25">
      <c r="A3670">
        <v>252228</v>
      </c>
      <c r="B3670" s="3">
        <v>46171</v>
      </c>
      <c r="C3670">
        <v>3</v>
      </c>
      <c r="D3670">
        <v>58.56</v>
      </c>
      <c r="E3670">
        <v>610</v>
      </c>
      <c r="K3670" t="str">
        <f>IF(Table3[[#This Row],[Type Received]]=2,"CC",(IF(Table3[[#This Row],[Type Received]]=3,"BILL","ACH")))</f>
        <v>BILL</v>
      </c>
    </row>
    <row r="3671" spans="1:11" x14ac:dyDescent="0.25">
      <c r="A3671">
        <v>252236</v>
      </c>
      <c r="B3671" s="3">
        <v>46158</v>
      </c>
      <c r="C3671">
        <v>1</v>
      </c>
      <c r="D3671">
        <v>31.59</v>
      </c>
      <c r="G3671" s="4" t="s">
        <v>106</v>
      </c>
      <c r="H3671">
        <v>710024035</v>
      </c>
      <c r="I3671" t="s">
        <v>29</v>
      </c>
      <c r="J3671" t="s">
        <v>29</v>
      </c>
      <c r="K3671" t="str">
        <f>IF(Table3[[#This Row],[Type Received]]=2,"CC",(IF(Table3[[#This Row],[Type Received]]=3,"BILL","ACH")))</f>
        <v>ACH</v>
      </c>
    </row>
    <row r="3672" spans="1:11" x14ac:dyDescent="0.25">
      <c r="A3672">
        <v>252247</v>
      </c>
      <c r="B3672" s="3">
        <v>46157</v>
      </c>
      <c r="C3672">
        <v>1</v>
      </c>
      <c r="D3672">
        <v>49.85</v>
      </c>
      <c r="G3672" t="s">
        <v>87</v>
      </c>
      <c r="H3672">
        <v>696834421</v>
      </c>
      <c r="I3672" t="s">
        <v>29</v>
      </c>
      <c r="K3672" t="str">
        <f>IF(Table3[[#This Row],[Type Received]]=2,"CC",(IF(Table3[[#This Row],[Type Received]]=3,"BILL","ACH")))</f>
        <v>ACH</v>
      </c>
    </row>
    <row r="3673" spans="1:11" x14ac:dyDescent="0.25">
      <c r="A3673">
        <v>252249</v>
      </c>
      <c r="B3673" s="3">
        <v>46143</v>
      </c>
      <c r="C3673">
        <v>1</v>
      </c>
      <c r="D3673">
        <v>47.74</v>
      </c>
      <c r="G3673" t="s">
        <v>84</v>
      </c>
      <c r="H3673">
        <v>522404703</v>
      </c>
      <c r="I3673" t="s">
        <v>29</v>
      </c>
      <c r="K3673" t="str">
        <f>IF(Table3[[#This Row],[Type Received]]=2,"CC",(IF(Table3[[#This Row],[Type Received]]=3,"BILL","ACH")))</f>
        <v>ACH</v>
      </c>
    </row>
    <row r="3674" spans="1:11" x14ac:dyDescent="0.25">
      <c r="A3674">
        <v>252250</v>
      </c>
      <c r="B3674" s="3">
        <v>46167</v>
      </c>
      <c r="C3674">
        <v>1</v>
      </c>
      <c r="D3674">
        <v>76.03</v>
      </c>
      <c r="G3674" t="s">
        <v>85</v>
      </c>
      <c r="H3674">
        <v>818413113</v>
      </c>
      <c r="I3674" t="s">
        <v>29</v>
      </c>
      <c r="J3674" t="s">
        <v>29</v>
      </c>
      <c r="K3674" t="str">
        <f>IF(Table3[[#This Row],[Type Received]]=2,"CC",(IF(Table3[[#This Row],[Type Received]]=3,"BILL","ACH")))</f>
        <v>ACH</v>
      </c>
    </row>
    <row r="3675" spans="1:11" x14ac:dyDescent="0.25">
      <c r="A3675">
        <v>252272</v>
      </c>
      <c r="B3675" s="3">
        <v>46147</v>
      </c>
      <c r="C3675">
        <v>3</v>
      </c>
      <c r="D3675">
        <v>103.44</v>
      </c>
      <c r="E3675">
        <v>75402288</v>
      </c>
      <c r="K3675" t="str">
        <f>IF(Table3[[#This Row],[Type Received]]=2,"CC",(IF(Table3[[#This Row],[Type Received]]=3,"BILL","ACH")))</f>
        <v>BILL</v>
      </c>
    </row>
    <row r="3676" spans="1:11" x14ac:dyDescent="0.25">
      <c r="A3676">
        <v>252284</v>
      </c>
      <c r="B3676" s="3">
        <v>46148</v>
      </c>
      <c r="C3676">
        <v>3</v>
      </c>
      <c r="D3676">
        <v>67.8</v>
      </c>
      <c r="E3676">
        <v>2242692671</v>
      </c>
      <c r="J3676" t="s">
        <v>29</v>
      </c>
      <c r="K3676" t="str">
        <f>IF(Table3[[#This Row],[Type Received]]=2,"CC",(IF(Table3[[#This Row],[Type Received]]=3,"BILL","ACH")))</f>
        <v>BILL</v>
      </c>
    </row>
    <row r="3677" spans="1:11" x14ac:dyDescent="0.25">
      <c r="A3677">
        <v>252288</v>
      </c>
      <c r="B3677" s="3">
        <v>46146</v>
      </c>
      <c r="C3677">
        <v>2</v>
      </c>
      <c r="D3677">
        <v>46</v>
      </c>
      <c r="F3677">
        <v>2179</v>
      </c>
      <c r="G3677" t="s">
        <v>28</v>
      </c>
      <c r="H3677">
        <v>557091189</v>
      </c>
      <c r="I3677" t="s">
        <v>29</v>
      </c>
      <c r="K3677" t="str">
        <f>IF(Table3[[#This Row],[Type Received]]=2,"CC",(IF(Table3[[#This Row],[Type Received]]=3,"BILL","ACH")))</f>
        <v>CC</v>
      </c>
    </row>
    <row r="3678" spans="1:11" x14ac:dyDescent="0.25">
      <c r="A3678">
        <v>252289</v>
      </c>
      <c r="B3678" s="3">
        <v>46146</v>
      </c>
      <c r="C3678">
        <v>2</v>
      </c>
      <c r="D3678">
        <v>171.2</v>
      </c>
      <c r="F3678">
        <v>57114</v>
      </c>
      <c r="G3678" t="s">
        <v>28</v>
      </c>
      <c r="H3678">
        <v>558519229</v>
      </c>
      <c r="I3678" t="s">
        <v>29</v>
      </c>
      <c r="J3678" t="s">
        <v>29</v>
      </c>
      <c r="K3678" t="str">
        <f>IF(Table3[[#This Row],[Type Received]]=2,"CC",(IF(Table3[[#This Row],[Type Received]]=3,"BILL","ACH")))</f>
        <v>CC</v>
      </c>
    </row>
    <row r="3679" spans="1:11" x14ac:dyDescent="0.25">
      <c r="A3679">
        <v>252304</v>
      </c>
      <c r="B3679" s="3">
        <v>46157</v>
      </c>
      <c r="C3679">
        <v>1</v>
      </c>
      <c r="D3679">
        <v>72.290000000000006</v>
      </c>
      <c r="G3679" t="s">
        <v>87</v>
      </c>
      <c r="H3679">
        <v>696829666</v>
      </c>
      <c r="I3679" t="s">
        <v>29</v>
      </c>
      <c r="J3679" t="s">
        <v>29</v>
      </c>
      <c r="K3679" t="str">
        <f>IF(Table3[[#This Row],[Type Received]]=2,"CC",(IF(Table3[[#This Row],[Type Received]]=3,"BILL","ACH")))</f>
        <v>ACH</v>
      </c>
    </row>
    <row r="3680" spans="1:11" x14ac:dyDescent="0.25">
      <c r="A3680">
        <v>252306</v>
      </c>
      <c r="B3680" s="3">
        <v>46144</v>
      </c>
      <c r="C3680">
        <v>1</v>
      </c>
      <c r="D3680">
        <v>53.05</v>
      </c>
      <c r="G3680" t="s">
        <v>89</v>
      </c>
      <c r="H3680">
        <v>535434232</v>
      </c>
      <c r="I3680" t="s">
        <v>29</v>
      </c>
      <c r="K3680" t="str">
        <f>IF(Table3[[#This Row],[Type Received]]=2,"CC",(IF(Table3[[#This Row],[Type Received]]=3,"BILL","ACH")))</f>
        <v>ACH</v>
      </c>
    </row>
    <row r="3681" spans="1:11" x14ac:dyDescent="0.25">
      <c r="A3681">
        <v>252309</v>
      </c>
      <c r="B3681" s="3">
        <v>46167</v>
      </c>
      <c r="C3681">
        <v>1</v>
      </c>
      <c r="D3681">
        <v>31.6</v>
      </c>
      <c r="G3681" s="4" t="s">
        <v>85</v>
      </c>
      <c r="H3681">
        <v>818387004</v>
      </c>
      <c r="I3681" t="s">
        <v>29</v>
      </c>
      <c r="K3681" t="str">
        <f>IF(Table3[[#This Row],[Type Received]]=2,"CC",(IF(Table3[[#This Row],[Type Received]]=3,"BILL","ACH")))</f>
        <v>ACH</v>
      </c>
    </row>
    <row r="3682" spans="1:11" x14ac:dyDescent="0.25">
      <c r="A3682">
        <v>252311</v>
      </c>
      <c r="B3682" s="3">
        <v>46143</v>
      </c>
      <c r="C3682">
        <v>1</v>
      </c>
      <c r="D3682">
        <v>721.73</v>
      </c>
      <c r="G3682" t="s">
        <v>84</v>
      </c>
      <c r="H3682">
        <v>522759428</v>
      </c>
      <c r="I3682" t="s">
        <v>29</v>
      </c>
      <c r="J3682" t="s">
        <v>29</v>
      </c>
      <c r="K3682" t="str">
        <f>IF(Table3[[#This Row],[Type Received]]=2,"CC",(IF(Table3[[#This Row],[Type Received]]=3,"BILL","ACH")))</f>
        <v>ACH</v>
      </c>
    </row>
    <row r="3683" spans="1:11" x14ac:dyDescent="0.25">
      <c r="A3683">
        <v>252334</v>
      </c>
      <c r="B3683" s="3">
        <v>46143</v>
      </c>
      <c r="C3683">
        <v>3</v>
      </c>
      <c r="D3683">
        <v>46.79</v>
      </c>
      <c r="E3683">
        <v>7744</v>
      </c>
      <c r="J3683" t="s">
        <v>29</v>
      </c>
      <c r="K3683" t="str">
        <f>IF(Table3[[#This Row],[Type Received]]=2,"CC",(IF(Table3[[#This Row],[Type Received]]=3,"BILL","ACH")))</f>
        <v>BILL</v>
      </c>
    </row>
    <row r="3684" spans="1:11" x14ac:dyDescent="0.25">
      <c r="A3684">
        <v>252365</v>
      </c>
      <c r="B3684" s="3">
        <v>46143</v>
      </c>
      <c r="C3684">
        <v>1</v>
      </c>
      <c r="D3684">
        <v>45.67</v>
      </c>
      <c r="G3684" t="s">
        <v>84</v>
      </c>
      <c r="H3684">
        <v>522416344</v>
      </c>
      <c r="I3684" t="s">
        <v>29</v>
      </c>
      <c r="J3684" t="s">
        <v>29</v>
      </c>
      <c r="K3684" t="str">
        <f>IF(Table3[[#This Row],[Type Received]]=2,"CC",(IF(Table3[[#This Row],[Type Received]]=3,"BILL","ACH")))</f>
        <v>ACH</v>
      </c>
    </row>
    <row r="3685" spans="1:11" x14ac:dyDescent="0.25">
      <c r="A3685">
        <v>252371</v>
      </c>
      <c r="B3685" s="3">
        <v>46157</v>
      </c>
      <c r="C3685">
        <v>1</v>
      </c>
      <c r="D3685">
        <v>29.61</v>
      </c>
      <c r="G3685" t="s">
        <v>87</v>
      </c>
      <c r="H3685">
        <v>696824770</v>
      </c>
      <c r="I3685" t="s">
        <v>29</v>
      </c>
      <c r="J3685" t="s">
        <v>29</v>
      </c>
      <c r="K3685" t="str">
        <f>IF(Table3[[#This Row],[Type Received]]=2,"CC",(IF(Table3[[#This Row],[Type Received]]=3,"BILL","ACH")))</f>
        <v>ACH</v>
      </c>
    </row>
    <row r="3686" spans="1:11" x14ac:dyDescent="0.25">
      <c r="A3686">
        <v>252380</v>
      </c>
      <c r="B3686" s="3">
        <v>46147</v>
      </c>
      <c r="C3686">
        <v>3</v>
      </c>
      <c r="D3686">
        <v>98.82</v>
      </c>
      <c r="E3686">
        <v>75375870</v>
      </c>
      <c r="K3686" t="str">
        <f>IF(Table3[[#This Row],[Type Received]]=2,"CC",(IF(Table3[[#This Row],[Type Received]]=3,"BILL","ACH")))</f>
        <v>BILL</v>
      </c>
    </row>
    <row r="3687" spans="1:11" x14ac:dyDescent="0.25">
      <c r="A3687">
        <v>252386</v>
      </c>
      <c r="B3687" s="3">
        <v>46146</v>
      </c>
      <c r="C3687">
        <v>3</v>
      </c>
      <c r="D3687">
        <v>54.78</v>
      </c>
      <c r="E3687">
        <v>921872737</v>
      </c>
      <c r="G3687" s="4"/>
      <c r="K3687" t="str">
        <f>IF(Table3[[#This Row],[Type Received]]=2,"CC",(IF(Table3[[#This Row],[Type Received]]=3,"BILL","ACH")))</f>
        <v>BILL</v>
      </c>
    </row>
    <row r="3688" spans="1:11" x14ac:dyDescent="0.25">
      <c r="A3688">
        <v>252388</v>
      </c>
      <c r="B3688" s="3">
        <v>46146</v>
      </c>
      <c r="C3688">
        <v>3</v>
      </c>
      <c r="D3688">
        <v>121.4</v>
      </c>
      <c r="E3688">
        <v>592</v>
      </c>
      <c r="K3688" t="str">
        <f>IF(Table3[[#This Row],[Type Received]]=2,"CC",(IF(Table3[[#This Row],[Type Received]]=3,"BILL","ACH")))</f>
        <v>BILL</v>
      </c>
    </row>
    <row r="3689" spans="1:11" x14ac:dyDescent="0.25">
      <c r="A3689">
        <v>252399</v>
      </c>
      <c r="B3689" s="3">
        <v>46143</v>
      </c>
      <c r="C3689">
        <v>2</v>
      </c>
      <c r="D3689">
        <v>72.73</v>
      </c>
      <c r="F3689">
        <v>21907</v>
      </c>
      <c r="G3689" t="s">
        <v>28</v>
      </c>
      <c r="H3689">
        <v>522417291</v>
      </c>
      <c r="I3689" t="s">
        <v>29</v>
      </c>
      <c r="K3689" t="str">
        <f>IF(Table3[[#This Row],[Type Received]]=2,"CC",(IF(Table3[[#This Row],[Type Received]]=3,"BILL","ACH")))</f>
        <v>CC</v>
      </c>
    </row>
    <row r="3690" spans="1:11" x14ac:dyDescent="0.25">
      <c r="A3690">
        <v>252400</v>
      </c>
      <c r="B3690" s="3">
        <v>46143</v>
      </c>
      <c r="C3690">
        <v>1</v>
      </c>
      <c r="D3690">
        <v>41.38</v>
      </c>
      <c r="G3690" t="s">
        <v>84</v>
      </c>
      <c r="H3690">
        <v>522408636</v>
      </c>
      <c r="I3690" t="s">
        <v>29</v>
      </c>
      <c r="J3690" t="s">
        <v>29</v>
      </c>
      <c r="K3690" t="str">
        <f>IF(Table3[[#This Row],[Type Received]]=2,"CC",(IF(Table3[[#This Row],[Type Received]]=3,"BILL","ACH")))</f>
        <v>ACH</v>
      </c>
    </row>
    <row r="3691" spans="1:11" x14ac:dyDescent="0.25">
      <c r="A3691">
        <v>252408</v>
      </c>
      <c r="B3691" s="3">
        <v>46146</v>
      </c>
      <c r="C3691">
        <v>3</v>
      </c>
      <c r="D3691">
        <v>44.59</v>
      </c>
      <c r="E3691">
        <v>50485126</v>
      </c>
      <c r="J3691" t="s">
        <v>29</v>
      </c>
      <c r="K3691" t="str">
        <f>IF(Table3[[#This Row],[Type Received]]=2,"CC",(IF(Table3[[#This Row],[Type Received]]=3,"BILL","ACH")))</f>
        <v>BILL</v>
      </c>
    </row>
    <row r="3692" spans="1:11" x14ac:dyDescent="0.25">
      <c r="A3692">
        <v>252410</v>
      </c>
      <c r="B3692" s="3">
        <v>46143</v>
      </c>
      <c r="C3692">
        <v>2</v>
      </c>
      <c r="D3692">
        <v>54.69</v>
      </c>
      <c r="F3692" t="s">
        <v>303</v>
      </c>
      <c r="G3692" t="s">
        <v>28</v>
      </c>
      <c r="H3692">
        <v>522244702</v>
      </c>
      <c r="I3692" t="s">
        <v>29</v>
      </c>
      <c r="J3692" t="s">
        <v>29</v>
      </c>
      <c r="K3692" t="str">
        <f>IF(Table3[[#This Row],[Type Received]]=2,"CC",(IF(Table3[[#This Row],[Type Received]]=3,"BILL","ACH")))</f>
        <v>CC</v>
      </c>
    </row>
    <row r="3693" spans="1:11" x14ac:dyDescent="0.25">
      <c r="A3693">
        <v>252412</v>
      </c>
      <c r="B3693" s="3">
        <v>46157</v>
      </c>
      <c r="C3693">
        <v>1</v>
      </c>
      <c r="D3693">
        <v>99.79</v>
      </c>
      <c r="G3693" t="s">
        <v>87</v>
      </c>
      <c r="H3693">
        <v>696834386</v>
      </c>
      <c r="I3693" t="s">
        <v>29</v>
      </c>
      <c r="J3693" t="s">
        <v>29</v>
      </c>
      <c r="K3693" t="str">
        <f>IF(Table3[[#This Row],[Type Received]]=2,"CC",(IF(Table3[[#This Row],[Type Received]]=3,"BILL","ACH")))</f>
        <v>ACH</v>
      </c>
    </row>
    <row r="3694" spans="1:11" x14ac:dyDescent="0.25">
      <c r="A3694">
        <v>252422</v>
      </c>
      <c r="B3694" s="3">
        <v>46167</v>
      </c>
      <c r="C3694">
        <v>1</v>
      </c>
      <c r="D3694">
        <v>36.76</v>
      </c>
      <c r="G3694" t="s">
        <v>85</v>
      </c>
      <c r="H3694">
        <v>818408325</v>
      </c>
      <c r="I3694" t="s">
        <v>29</v>
      </c>
      <c r="K3694" t="str">
        <f>IF(Table3[[#This Row],[Type Received]]=2,"CC",(IF(Table3[[#This Row],[Type Received]]=3,"BILL","ACH")))</f>
        <v>ACH</v>
      </c>
    </row>
    <row r="3695" spans="1:11" x14ac:dyDescent="0.25">
      <c r="A3695">
        <v>252426</v>
      </c>
      <c r="B3695" s="3">
        <v>46165</v>
      </c>
      <c r="C3695">
        <v>2</v>
      </c>
      <c r="D3695">
        <v>37.11</v>
      </c>
      <c r="F3695">
        <v>761315</v>
      </c>
      <c r="G3695">
        <v>748047895</v>
      </c>
      <c r="H3695">
        <v>355568428</v>
      </c>
      <c r="J3695" t="s">
        <v>29</v>
      </c>
      <c r="K3695" t="str">
        <f>IF(Table3[[#This Row],[Type Received]]=2,"CC",(IF(Table3[[#This Row],[Type Received]]=3,"BILL","ACH")))</f>
        <v>CC</v>
      </c>
    </row>
    <row r="3696" spans="1:11" x14ac:dyDescent="0.25">
      <c r="A3696">
        <v>252427</v>
      </c>
      <c r="B3696" s="3">
        <v>46167</v>
      </c>
      <c r="C3696">
        <v>1</v>
      </c>
      <c r="D3696">
        <v>50.45</v>
      </c>
      <c r="G3696" t="s">
        <v>85</v>
      </c>
      <c r="H3696">
        <v>818390887</v>
      </c>
      <c r="I3696" t="s">
        <v>29</v>
      </c>
      <c r="J3696" t="s">
        <v>29</v>
      </c>
      <c r="K3696" t="str">
        <f>IF(Table3[[#This Row],[Type Received]]=2,"CC",(IF(Table3[[#This Row],[Type Received]]=3,"BILL","ACH")))</f>
        <v>ACH</v>
      </c>
    </row>
    <row r="3697" spans="1:11" x14ac:dyDescent="0.25">
      <c r="A3697">
        <v>252440</v>
      </c>
      <c r="B3697" s="3">
        <v>46168</v>
      </c>
      <c r="C3697">
        <v>3</v>
      </c>
      <c r="D3697">
        <v>43.05</v>
      </c>
      <c r="E3697">
        <v>320</v>
      </c>
      <c r="K3697" t="str">
        <f>IF(Table3[[#This Row],[Type Received]]=2,"CC",(IF(Table3[[#This Row],[Type Received]]=3,"BILL","ACH")))</f>
        <v>BILL</v>
      </c>
    </row>
    <row r="3698" spans="1:11" x14ac:dyDescent="0.25">
      <c r="A3698">
        <v>252444</v>
      </c>
      <c r="B3698" s="3">
        <v>46155</v>
      </c>
      <c r="C3698">
        <v>2</v>
      </c>
      <c r="D3698">
        <v>114.31</v>
      </c>
      <c r="F3698">
        <v>135155</v>
      </c>
      <c r="G3698" t="s">
        <v>28</v>
      </c>
      <c r="H3698">
        <v>669508390</v>
      </c>
      <c r="I3698" t="s">
        <v>29</v>
      </c>
      <c r="J3698" t="s">
        <v>29</v>
      </c>
      <c r="K3698" t="str">
        <f>IF(Table3[[#This Row],[Type Received]]=2,"CC",(IF(Table3[[#This Row],[Type Received]]=3,"BILL","ACH")))</f>
        <v>CC</v>
      </c>
    </row>
    <row r="3699" spans="1:11" x14ac:dyDescent="0.25">
      <c r="A3699">
        <v>252448</v>
      </c>
      <c r="B3699" s="3">
        <v>46167</v>
      </c>
      <c r="C3699">
        <v>1</v>
      </c>
      <c r="D3699">
        <v>41.05</v>
      </c>
      <c r="G3699" t="s">
        <v>85</v>
      </c>
      <c r="H3699">
        <v>818406412</v>
      </c>
      <c r="I3699" t="s">
        <v>29</v>
      </c>
      <c r="J3699" t="s">
        <v>29</v>
      </c>
      <c r="K3699" t="str">
        <f>IF(Table3[[#This Row],[Type Received]]=2,"CC",(IF(Table3[[#This Row],[Type Received]]=3,"BILL","ACH")))</f>
        <v>ACH</v>
      </c>
    </row>
    <row r="3700" spans="1:11" x14ac:dyDescent="0.25">
      <c r="A3700">
        <v>252449</v>
      </c>
      <c r="B3700" s="3">
        <v>46143</v>
      </c>
      <c r="C3700">
        <v>1</v>
      </c>
      <c r="D3700">
        <v>82.96</v>
      </c>
      <c r="G3700" s="4" t="s">
        <v>84</v>
      </c>
      <c r="H3700">
        <v>522405598</v>
      </c>
      <c r="I3700" t="s">
        <v>29</v>
      </c>
      <c r="K3700" t="str">
        <f>IF(Table3[[#This Row],[Type Received]]=2,"CC",(IF(Table3[[#This Row],[Type Received]]=3,"BILL","ACH")))</f>
        <v>ACH</v>
      </c>
    </row>
    <row r="3701" spans="1:11" x14ac:dyDescent="0.25">
      <c r="A3701">
        <v>252452</v>
      </c>
      <c r="B3701" s="3">
        <v>46144</v>
      </c>
      <c r="C3701">
        <v>1</v>
      </c>
      <c r="D3701">
        <v>92.75</v>
      </c>
      <c r="G3701" s="4" t="s">
        <v>89</v>
      </c>
      <c r="H3701">
        <v>535370777</v>
      </c>
      <c r="I3701" t="s">
        <v>29</v>
      </c>
      <c r="K3701" t="str">
        <f>IF(Table3[[#This Row],[Type Received]]=2,"CC",(IF(Table3[[#This Row],[Type Received]]=3,"BILL","ACH")))</f>
        <v>ACH</v>
      </c>
    </row>
    <row r="3702" spans="1:11" x14ac:dyDescent="0.25">
      <c r="A3702">
        <v>252466</v>
      </c>
      <c r="B3702" s="3">
        <v>46157</v>
      </c>
      <c r="C3702">
        <v>1</v>
      </c>
      <c r="D3702">
        <v>54.03</v>
      </c>
      <c r="G3702" t="s">
        <v>87</v>
      </c>
      <c r="H3702">
        <v>696839190</v>
      </c>
      <c r="I3702" t="s">
        <v>29</v>
      </c>
      <c r="K3702" t="str">
        <f>IF(Table3[[#This Row],[Type Received]]=2,"CC",(IF(Table3[[#This Row],[Type Received]]=3,"BILL","ACH")))</f>
        <v>ACH</v>
      </c>
    </row>
    <row r="3703" spans="1:11" x14ac:dyDescent="0.25">
      <c r="A3703">
        <v>252478</v>
      </c>
      <c r="B3703" s="3">
        <v>46144</v>
      </c>
      <c r="C3703">
        <v>2</v>
      </c>
      <c r="D3703">
        <v>105.96</v>
      </c>
      <c r="F3703">
        <v>127</v>
      </c>
      <c r="G3703" t="s">
        <v>28</v>
      </c>
      <c r="H3703">
        <v>535352121</v>
      </c>
      <c r="I3703" t="s">
        <v>29</v>
      </c>
      <c r="J3703" t="s">
        <v>29</v>
      </c>
      <c r="K3703" t="str">
        <f>IF(Table3[[#This Row],[Type Received]]=2,"CC",(IF(Table3[[#This Row],[Type Received]]=3,"BILL","ACH")))</f>
        <v>CC</v>
      </c>
    </row>
    <row r="3704" spans="1:11" x14ac:dyDescent="0.25">
      <c r="A3704">
        <v>252519</v>
      </c>
      <c r="B3704" s="3">
        <v>46168</v>
      </c>
      <c r="C3704">
        <v>3</v>
      </c>
      <c r="D3704">
        <v>44.15</v>
      </c>
      <c r="E3704">
        <v>443</v>
      </c>
      <c r="K3704" t="str">
        <f>IF(Table3[[#This Row],[Type Received]]=2,"CC",(IF(Table3[[#This Row],[Type Received]]=3,"BILL","ACH")))</f>
        <v>BILL</v>
      </c>
    </row>
    <row r="3705" spans="1:11" x14ac:dyDescent="0.25">
      <c r="A3705">
        <v>252536</v>
      </c>
      <c r="B3705" s="3">
        <v>46170</v>
      </c>
      <c r="C3705">
        <v>1</v>
      </c>
      <c r="D3705">
        <v>82.96</v>
      </c>
      <c r="G3705" t="s">
        <v>91</v>
      </c>
      <c r="H3705">
        <v>853939150</v>
      </c>
      <c r="I3705" t="s">
        <v>29</v>
      </c>
      <c r="J3705" t="s">
        <v>29</v>
      </c>
      <c r="K3705" t="str">
        <f>IF(Table3[[#This Row],[Type Received]]=2,"CC",(IF(Table3[[#This Row],[Type Received]]=3,"BILL","ACH")))</f>
        <v>ACH</v>
      </c>
    </row>
    <row r="3706" spans="1:11" x14ac:dyDescent="0.25">
      <c r="A3706">
        <v>252566</v>
      </c>
      <c r="B3706" s="3">
        <v>46155</v>
      </c>
      <c r="C3706">
        <v>1</v>
      </c>
      <c r="D3706">
        <v>73.72</v>
      </c>
      <c r="G3706" t="s">
        <v>90</v>
      </c>
      <c r="H3706">
        <v>669510309</v>
      </c>
      <c r="I3706" t="s">
        <v>29</v>
      </c>
      <c r="J3706" t="s">
        <v>29</v>
      </c>
      <c r="K3706" t="str">
        <f>IF(Table3[[#This Row],[Type Received]]=2,"CC",(IF(Table3[[#This Row],[Type Received]]=3,"BILL","ACH")))</f>
        <v>ACH</v>
      </c>
    </row>
    <row r="3707" spans="1:11" x14ac:dyDescent="0.25">
      <c r="A3707">
        <v>252578</v>
      </c>
      <c r="B3707" s="3">
        <v>46143</v>
      </c>
      <c r="C3707">
        <v>1</v>
      </c>
      <c r="D3707">
        <v>68.77</v>
      </c>
      <c r="G3707" t="s">
        <v>84</v>
      </c>
      <c r="H3707">
        <v>522392072</v>
      </c>
      <c r="I3707" t="s">
        <v>29</v>
      </c>
      <c r="J3707" t="s">
        <v>29</v>
      </c>
      <c r="K3707" t="str">
        <f>IF(Table3[[#This Row],[Type Received]]=2,"CC",(IF(Table3[[#This Row],[Type Received]]=3,"BILL","ACH")))</f>
        <v>ACH</v>
      </c>
    </row>
    <row r="3708" spans="1:11" x14ac:dyDescent="0.25">
      <c r="A3708">
        <v>252582</v>
      </c>
      <c r="B3708" s="3">
        <v>46148</v>
      </c>
      <c r="C3708">
        <v>1</v>
      </c>
      <c r="D3708">
        <v>123.85</v>
      </c>
      <c r="G3708" t="s">
        <v>126</v>
      </c>
      <c r="H3708">
        <v>585175848</v>
      </c>
      <c r="I3708" t="s">
        <v>29</v>
      </c>
      <c r="J3708" t="s">
        <v>29</v>
      </c>
      <c r="K3708" t="str">
        <f>IF(Table3[[#This Row],[Type Received]]=2,"CC",(IF(Table3[[#This Row],[Type Received]]=3,"BILL","ACH")))</f>
        <v>ACH</v>
      </c>
    </row>
    <row r="3709" spans="1:11" x14ac:dyDescent="0.25">
      <c r="A3709">
        <v>252583</v>
      </c>
      <c r="B3709" s="3">
        <v>46143</v>
      </c>
      <c r="C3709">
        <v>1</v>
      </c>
      <c r="D3709">
        <v>59.97</v>
      </c>
      <c r="G3709" t="s">
        <v>84</v>
      </c>
      <c r="H3709">
        <v>522408548</v>
      </c>
      <c r="I3709" t="s">
        <v>29</v>
      </c>
      <c r="J3709" t="s">
        <v>29</v>
      </c>
      <c r="K3709" t="str">
        <f>IF(Table3[[#This Row],[Type Received]]=2,"CC",(IF(Table3[[#This Row],[Type Received]]=3,"BILL","ACH")))</f>
        <v>ACH</v>
      </c>
    </row>
    <row r="3710" spans="1:11" x14ac:dyDescent="0.25">
      <c r="A3710">
        <v>252584</v>
      </c>
      <c r="B3710" s="3">
        <v>46167</v>
      </c>
      <c r="C3710">
        <v>1</v>
      </c>
      <c r="D3710">
        <v>36.76</v>
      </c>
      <c r="G3710" t="s">
        <v>85</v>
      </c>
      <c r="H3710">
        <v>818387959</v>
      </c>
      <c r="I3710" t="s">
        <v>29</v>
      </c>
      <c r="J3710" t="s">
        <v>29</v>
      </c>
      <c r="K3710" t="str">
        <f>IF(Table3[[#This Row],[Type Received]]=2,"CC",(IF(Table3[[#This Row],[Type Received]]=3,"BILL","ACH")))</f>
        <v>ACH</v>
      </c>
    </row>
    <row r="3711" spans="1:11" x14ac:dyDescent="0.25">
      <c r="A3711">
        <v>252588</v>
      </c>
      <c r="B3711" s="3">
        <v>46143</v>
      </c>
      <c r="C3711">
        <v>1</v>
      </c>
      <c r="D3711">
        <v>66.7</v>
      </c>
      <c r="G3711" t="s">
        <v>84</v>
      </c>
      <c r="H3711">
        <v>522405653</v>
      </c>
      <c r="I3711" t="s">
        <v>29</v>
      </c>
      <c r="J3711" t="s">
        <v>29</v>
      </c>
      <c r="K3711" t="str">
        <f>IF(Table3[[#This Row],[Type Received]]=2,"CC",(IF(Table3[[#This Row],[Type Received]]=3,"BILL","ACH")))</f>
        <v>ACH</v>
      </c>
    </row>
    <row r="3712" spans="1:11" x14ac:dyDescent="0.25">
      <c r="A3712">
        <v>252592</v>
      </c>
      <c r="B3712" s="3">
        <v>46157</v>
      </c>
      <c r="C3712">
        <v>1</v>
      </c>
      <c r="D3712">
        <v>29.13</v>
      </c>
      <c r="G3712" t="s">
        <v>87</v>
      </c>
      <c r="H3712">
        <v>696815079</v>
      </c>
      <c r="I3712" t="s">
        <v>29</v>
      </c>
      <c r="K3712" t="str">
        <f>IF(Table3[[#This Row],[Type Received]]=2,"CC",(IF(Table3[[#This Row],[Type Received]]=3,"BILL","ACH")))</f>
        <v>ACH</v>
      </c>
    </row>
    <row r="3713" spans="1:11" x14ac:dyDescent="0.25">
      <c r="A3713">
        <v>252594</v>
      </c>
      <c r="B3713" s="3">
        <v>46155</v>
      </c>
      <c r="C3713">
        <v>2</v>
      </c>
      <c r="D3713">
        <v>131.80000000000001</v>
      </c>
      <c r="F3713" t="s">
        <v>304</v>
      </c>
      <c r="G3713" t="s">
        <v>28</v>
      </c>
      <c r="H3713">
        <v>669440362</v>
      </c>
      <c r="I3713" t="s">
        <v>29</v>
      </c>
      <c r="J3713" t="s">
        <v>29</v>
      </c>
      <c r="K3713" t="str">
        <f>IF(Table3[[#This Row],[Type Received]]=2,"CC",(IF(Table3[[#This Row],[Type Received]]=3,"BILL","ACH")))</f>
        <v>CC</v>
      </c>
    </row>
    <row r="3714" spans="1:11" x14ac:dyDescent="0.25">
      <c r="A3714">
        <v>252617</v>
      </c>
      <c r="B3714" s="3">
        <v>46157</v>
      </c>
      <c r="C3714">
        <v>1</v>
      </c>
      <c r="D3714">
        <v>32.25</v>
      </c>
      <c r="G3714" t="s">
        <v>87</v>
      </c>
      <c r="H3714">
        <v>696814095</v>
      </c>
      <c r="I3714" t="s">
        <v>29</v>
      </c>
      <c r="J3714" t="s">
        <v>29</v>
      </c>
      <c r="K3714" t="str">
        <f>IF(Table3[[#This Row],[Type Received]]=2,"CC",(IF(Table3[[#This Row],[Type Received]]=3,"BILL","ACH")))</f>
        <v>ACH</v>
      </c>
    </row>
    <row r="3715" spans="1:11" x14ac:dyDescent="0.25">
      <c r="A3715">
        <v>252642</v>
      </c>
      <c r="B3715" s="3">
        <v>46157</v>
      </c>
      <c r="C3715">
        <v>1</v>
      </c>
      <c r="D3715">
        <v>68.77</v>
      </c>
      <c r="G3715" t="s">
        <v>87</v>
      </c>
      <c r="H3715">
        <v>696828705</v>
      </c>
      <c r="I3715" t="s">
        <v>29</v>
      </c>
      <c r="J3715" t="s">
        <v>29</v>
      </c>
      <c r="K3715" t="str">
        <f>IF(Table3[[#This Row],[Type Received]]=2,"CC",(IF(Table3[[#This Row],[Type Received]]=3,"BILL","ACH")))</f>
        <v>ACH</v>
      </c>
    </row>
    <row r="3716" spans="1:11" x14ac:dyDescent="0.25">
      <c r="A3716">
        <v>252651</v>
      </c>
      <c r="B3716" s="3">
        <v>46157</v>
      </c>
      <c r="C3716">
        <v>1</v>
      </c>
      <c r="D3716">
        <v>84.83</v>
      </c>
      <c r="G3716" t="s">
        <v>87</v>
      </c>
      <c r="H3716">
        <v>696835496</v>
      </c>
      <c r="I3716" t="s">
        <v>29</v>
      </c>
      <c r="K3716" t="str">
        <f>IF(Table3[[#This Row],[Type Received]]=2,"CC",(IF(Table3[[#This Row],[Type Received]]=3,"BILL","ACH")))</f>
        <v>ACH</v>
      </c>
    </row>
    <row r="3717" spans="1:11" x14ac:dyDescent="0.25">
      <c r="A3717">
        <v>252660</v>
      </c>
      <c r="B3717" s="3">
        <v>46169</v>
      </c>
      <c r="C3717">
        <v>3</v>
      </c>
      <c r="D3717">
        <v>81.8</v>
      </c>
      <c r="E3717">
        <v>4117</v>
      </c>
      <c r="J3717" t="s">
        <v>29</v>
      </c>
      <c r="K3717" t="str">
        <f>IF(Table3[[#This Row],[Type Received]]=2,"CC",(IF(Table3[[#This Row],[Type Received]]=3,"BILL","ACH")))</f>
        <v>BILL</v>
      </c>
    </row>
    <row r="3718" spans="1:11" x14ac:dyDescent="0.25">
      <c r="A3718">
        <v>252667</v>
      </c>
      <c r="B3718" s="3">
        <v>46143</v>
      </c>
      <c r="C3718">
        <v>1</v>
      </c>
      <c r="D3718">
        <v>53.15</v>
      </c>
      <c r="G3718" t="s">
        <v>84</v>
      </c>
      <c r="H3718">
        <v>522398974</v>
      </c>
      <c r="I3718" t="s">
        <v>29</v>
      </c>
      <c r="J3718" t="s">
        <v>29</v>
      </c>
      <c r="K3718" t="str">
        <f>IF(Table3[[#This Row],[Type Received]]=2,"CC",(IF(Table3[[#This Row],[Type Received]]=3,"BILL","ACH")))</f>
        <v>ACH</v>
      </c>
    </row>
    <row r="3719" spans="1:11" x14ac:dyDescent="0.25">
      <c r="A3719">
        <v>252671</v>
      </c>
      <c r="B3719" s="3">
        <v>46157</v>
      </c>
      <c r="C3719">
        <v>1</v>
      </c>
      <c r="D3719">
        <v>57.88</v>
      </c>
      <c r="G3719" t="s">
        <v>87</v>
      </c>
      <c r="H3719">
        <v>696820904</v>
      </c>
      <c r="I3719" t="s">
        <v>29</v>
      </c>
      <c r="K3719" t="str">
        <f>IF(Table3[[#This Row],[Type Received]]=2,"CC",(IF(Table3[[#This Row],[Type Received]]=3,"BILL","ACH")))</f>
        <v>ACH</v>
      </c>
    </row>
    <row r="3720" spans="1:11" x14ac:dyDescent="0.25">
      <c r="A3720">
        <v>252674</v>
      </c>
      <c r="B3720" s="3">
        <v>46157</v>
      </c>
      <c r="C3720">
        <v>1</v>
      </c>
      <c r="D3720">
        <v>57.55</v>
      </c>
      <c r="G3720" t="s">
        <v>87</v>
      </c>
      <c r="H3720">
        <v>696817096</v>
      </c>
      <c r="I3720" t="s">
        <v>29</v>
      </c>
      <c r="J3720" t="s">
        <v>29</v>
      </c>
      <c r="K3720" t="str">
        <f>IF(Table3[[#This Row],[Type Received]]=2,"CC",(IF(Table3[[#This Row],[Type Received]]=3,"BILL","ACH")))</f>
        <v>ACH</v>
      </c>
    </row>
    <row r="3721" spans="1:11" x14ac:dyDescent="0.25">
      <c r="A3721">
        <v>252681</v>
      </c>
      <c r="B3721" s="3">
        <v>46157</v>
      </c>
      <c r="C3721">
        <v>1</v>
      </c>
      <c r="D3721">
        <v>92.2</v>
      </c>
      <c r="G3721" t="s">
        <v>87</v>
      </c>
      <c r="H3721">
        <v>696840290</v>
      </c>
      <c r="I3721" t="s">
        <v>29</v>
      </c>
      <c r="J3721" t="s">
        <v>29</v>
      </c>
      <c r="K3721" t="str">
        <f>IF(Table3[[#This Row],[Type Received]]=2,"CC",(IF(Table3[[#This Row],[Type Received]]=3,"BILL","ACH")))</f>
        <v>ACH</v>
      </c>
    </row>
    <row r="3722" spans="1:11" x14ac:dyDescent="0.25">
      <c r="A3722">
        <v>252685</v>
      </c>
      <c r="B3722" s="3">
        <v>46157</v>
      </c>
      <c r="C3722">
        <v>1</v>
      </c>
      <c r="D3722">
        <v>59.2</v>
      </c>
      <c r="G3722" s="4" t="s">
        <v>87</v>
      </c>
      <c r="H3722">
        <v>696834515</v>
      </c>
      <c r="I3722" t="s">
        <v>29</v>
      </c>
      <c r="J3722" t="s">
        <v>29</v>
      </c>
      <c r="K3722" t="str">
        <f>IF(Table3[[#This Row],[Type Received]]=2,"CC",(IF(Table3[[#This Row],[Type Received]]=3,"BILL","ACH")))</f>
        <v>ACH</v>
      </c>
    </row>
    <row r="3723" spans="1:11" x14ac:dyDescent="0.25">
      <c r="A3723">
        <v>252708</v>
      </c>
      <c r="B3723" s="3">
        <v>46144</v>
      </c>
      <c r="C3723">
        <v>1</v>
      </c>
      <c r="D3723">
        <v>83.29</v>
      </c>
      <c r="G3723" t="s">
        <v>89</v>
      </c>
      <c r="H3723">
        <v>535353670</v>
      </c>
      <c r="I3723" t="s">
        <v>29</v>
      </c>
      <c r="J3723" t="s">
        <v>29</v>
      </c>
      <c r="K3723" t="str">
        <f>IF(Table3[[#This Row],[Type Received]]=2,"CC",(IF(Table3[[#This Row],[Type Received]]=3,"BILL","ACH")))</f>
        <v>ACH</v>
      </c>
    </row>
    <row r="3724" spans="1:11" x14ac:dyDescent="0.25">
      <c r="A3724">
        <v>252715</v>
      </c>
      <c r="B3724" s="3">
        <v>46166</v>
      </c>
      <c r="C3724">
        <v>2</v>
      </c>
      <c r="D3724">
        <v>74.05</v>
      </c>
      <c r="F3724">
        <v>959618</v>
      </c>
      <c r="G3724" t="s">
        <v>28</v>
      </c>
      <c r="H3724">
        <v>808457092</v>
      </c>
      <c r="I3724" t="s">
        <v>29</v>
      </c>
      <c r="J3724" t="s">
        <v>29</v>
      </c>
      <c r="K3724" t="str">
        <f>IF(Table3[[#This Row],[Type Received]]=2,"CC",(IF(Table3[[#This Row],[Type Received]]=3,"BILL","ACH")))</f>
        <v>CC</v>
      </c>
    </row>
    <row r="3725" spans="1:11" x14ac:dyDescent="0.25">
      <c r="A3725">
        <v>252724</v>
      </c>
      <c r="B3725" s="3">
        <v>46145</v>
      </c>
      <c r="C3725">
        <v>1</v>
      </c>
      <c r="D3725">
        <v>96.82</v>
      </c>
      <c r="G3725" t="s">
        <v>113</v>
      </c>
      <c r="H3725">
        <v>546407780</v>
      </c>
      <c r="I3725" t="s">
        <v>29</v>
      </c>
      <c r="K3725" t="str">
        <f>IF(Table3[[#This Row],[Type Received]]=2,"CC",(IF(Table3[[#This Row],[Type Received]]=3,"BILL","ACH")))</f>
        <v>ACH</v>
      </c>
    </row>
    <row r="3726" spans="1:11" x14ac:dyDescent="0.25">
      <c r="A3726">
        <v>252726</v>
      </c>
      <c r="B3726" s="3">
        <v>46143</v>
      </c>
      <c r="C3726">
        <v>3</v>
      </c>
      <c r="D3726">
        <v>72.09</v>
      </c>
      <c r="E3726">
        <v>59458650647</v>
      </c>
      <c r="K3726" t="str">
        <f>IF(Table3[[#This Row],[Type Received]]=2,"CC",(IF(Table3[[#This Row],[Type Received]]=3,"BILL","ACH")))</f>
        <v>BILL</v>
      </c>
    </row>
    <row r="3727" spans="1:11" x14ac:dyDescent="0.25">
      <c r="A3727">
        <v>252728</v>
      </c>
      <c r="B3727" s="3">
        <v>46157</v>
      </c>
      <c r="C3727">
        <v>1</v>
      </c>
      <c r="D3727">
        <v>81.64</v>
      </c>
      <c r="G3727" t="s">
        <v>87</v>
      </c>
      <c r="H3727">
        <v>696838462</v>
      </c>
      <c r="I3727" t="s">
        <v>29</v>
      </c>
      <c r="K3727" t="str">
        <f>IF(Table3[[#This Row],[Type Received]]=2,"CC",(IF(Table3[[#This Row],[Type Received]]=3,"BILL","ACH")))</f>
        <v>ACH</v>
      </c>
    </row>
    <row r="3728" spans="1:11" x14ac:dyDescent="0.25">
      <c r="A3728">
        <v>252729</v>
      </c>
      <c r="B3728" s="3">
        <v>46155</v>
      </c>
      <c r="C3728">
        <v>1</v>
      </c>
      <c r="D3728">
        <v>46.99</v>
      </c>
      <c r="G3728" t="s">
        <v>90</v>
      </c>
      <c r="H3728">
        <v>669495965</v>
      </c>
      <c r="I3728" t="s">
        <v>29</v>
      </c>
      <c r="J3728" t="s">
        <v>29</v>
      </c>
      <c r="K3728" t="str">
        <f>IF(Table3[[#This Row],[Type Received]]=2,"CC",(IF(Table3[[#This Row],[Type Received]]=3,"BILL","ACH")))</f>
        <v>ACH</v>
      </c>
    </row>
    <row r="3729" spans="1:11" x14ac:dyDescent="0.25">
      <c r="A3729">
        <v>252736</v>
      </c>
      <c r="B3729" s="3">
        <v>46167</v>
      </c>
      <c r="C3729">
        <v>1</v>
      </c>
      <c r="D3729">
        <v>52.93</v>
      </c>
      <c r="G3729" t="s">
        <v>85</v>
      </c>
      <c r="H3729">
        <v>818387013</v>
      </c>
      <c r="I3729" t="s">
        <v>29</v>
      </c>
      <c r="J3729" t="s">
        <v>29</v>
      </c>
      <c r="K3729" t="str">
        <f>IF(Table3[[#This Row],[Type Received]]=2,"CC",(IF(Table3[[#This Row],[Type Received]]=3,"BILL","ACH")))</f>
        <v>ACH</v>
      </c>
    </row>
    <row r="3730" spans="1:11" x14ac:dyDescent="0.25">
      <c r="A3730">
        <v>252741</v>
      </c>
      <c r="B3730" s="3">
        <v>46157</v>
      </c>
      <c r="C3730">
        <v>1</v>
      </c>
      <c r="D3730">
        <v>52.49</v>
      </c>
      <c r="G3730" t="s">
        <v>87</v>
      </c>
      <c r="H3730">
        <v>696825809</v>
      </c>
      <c r="I3730" t="s">
        <v>29</v>
      </c>
      <c r="J3730" t="s">
        <v>29</v>
      </c>
      <c r="K3730" t="str">
        <f>IF(Table3[[#This Row],[Type Received]]=2,"CC",(IF(Table3[[#This Row],[Type Received]]=3,"BILL","ACH")))</f>
        <v>ACH</v>
      </c>
    </row>
    <row r="3731" spans="1:11" x14ac:dyDescent="0.25">
      <c r="A3731">
        <v>252745</v>
      </c>
      <c r="B3731" s="3">
        <v>46143</v>
      </c>
      <c r="C3731">
        <v>1</v>
      </c>
      <c r="D3731">
        <v>87.25</v>
      </c>
      <c r="G3731" t="s">
        <v>84</v>
      </c>
      <c r="H3731">
        <v>522405764</v>
      </c>
      <c r="I3731" t="s">
        <v>29</v>
      </c>
      <c r="K3731" t="str">
        <f>IF(Table3[[#This Row],[Type Received]]=2,"CC",(IF(Table3[[#This Row],[Type Received]]=3,"BILL","ACH")))</f>
        <v>ACH</v>
      </c>
    </row>
    <row r="3732" spans="1:11" x14ac:dyDescent="0.25">
      <c r="A3732">
        <v>252748</v>
      </c>
      <c r="B3732" s="3">
        <v>46150</v>
      </c>
      <c r="C3732">
        <v>1</v>
      </c>
      <c r="D3732">
        <v>58.54</v>
      </c>
      <c r="G3732" t="s">
        <v>104</v>
      </c>
      <c r="H3732">
        <v>608665246</v>
      </c>
      <c r="I3732" t="s">
        <v>29</v>
      </c>
      <c r="J3732" t="s">
        <v>29</v>
      </c>
      <c r="K3732" t="str">
        <f>IF(Table3[[#This Row],[Type Received]]=2,"CC",(IF(Table3[[#This Row],[Type Received]]=3,"BILL","ACH")))</f>
        <v>ACH</v>
      </c>
    </row>
    <row r="3733" spans="1:11" x14ac:dyDescent="0.25">
      <c r="A3733">
        <v>252748</v>
      </c>
      <c r="B3733" s="3">
        <v>46143</v>
      </c>
      <c r="C3733">
        <v>1</v>
      </c>
      <c r="D3733">
        <v>58.54</v>
      </c>
      <c r="G3733" t="s">
        <v>84</v>
      </c>
      <c r="H3733">
        <v>522419243</v>
      </c>
      <c r="I3733" t="s">
        <v>29</v>
      </c>
      <c r="J3733" t="s">
        <v>29</v>
      </c>
      <c r="K3733" t="str">
        <f>IF(Table3[[#This Row],[Type Received]]=2,"CC",(IF(Table3[[#This Row],[Type Received]]=3,"BILL","ACH")))</f>
        <v>ACH</v>
      </c>
    </row>
    <row r="3734" spans="1:11" x14ac:dyDescent="0.25">
      <c r="A3734">
        <v>252753</v>
      </c>
      <c r="B3734" s="3">
        <v>46157</v>
      </c>
      <c r="C3734">
        <v>1</v>
      </c>
      <c r="D3734">
        <v>56.95</v>
      </c>
      <c r="G3734" s="4" t="s">
        <v>87</v>
      </c>
      <c r="H3734">
        <v>696826786</v>
      </c>
      <c r="I3734" t="s">
        <v>29</v>
      </c>
      <c r="J3734" t="s">
        <v>29</v>
      </c>
      <c r="K3734" t="str">
        <f>IF(Table3[[#This Row],[Type Received]]=2,"CC",(IF(Table3[[#This Row],[Type Received]]=3,"BILL","ACH")))</f>
        <v>ACH</v>
      </c>
    </row>
    <row r="3735" spans="1:11" x14ac:dyDescent="0.25">
      <c r="A3735">
        <v>252761</v>
      </c>
      <c r="B3735" s="3">
        <v>46157</v>
      </c>
      <c r="C3735">
        <v>1</v>
      </c>
      <c r="D3735">
        <v>50.95</v>
      </c>
      <c r="G3735" t="s">
        <v>87</v>
      </c>
      <c r="H3735">
        <v>696843197</v>
      </c>
      <c r="I3735" t="s">
        <v>29</v>
      </c>
      <c r="K3735" t="str">
        <f>IF(Table3[[#This Row],[Type Received]]=2,"CC",(IF(Table3[[#This Row],[Type Received]]=3,"BILL","ACH")))</f>
        <v>ACH</v>
      </c>
    </row>
    <row r="3736" spans="1:11" x14ac:dyDescent="0.25">
      <c r="A3736">
        <v>252764</v>
      </c>
      <c r="B3736" s="3">
        <v>46167</v>
      </c>
      <c r="C3736">
        <v>1</v>
      </c>
      <c r="D3736">
        <v>43.95</v>
      </c>
      <c r="G3736" t="s">
        <v>85</v>
      </c>
      <c r="H3736">
        <v>818401576</v>
      </c>
      <c r="I3736" t="s">
        <v>29</v>
      </c>
      <c r="J3736" t="s">
        <v>29</v>
      </c>
      <c r="K3736" t="str">
        <f>IF(Table3[[#This Row],[Type Received]]=2,"CC",(IF(Table3[[#This Row],[Type Received]]=3,"BILL","ACH")))</f>
        <v>ACH</v>
      </c>
    </row>
    <row r="3737" spans="1:11" x14ac:dyDescent="0.25">
      <c r="A3737">
        <v>252777</v>
      </c>
      <c r="B3737" s="3">
        <v>46157</v>
      </c>
      <c r="C3737">
        <v>1</v>
      </c>
      <c r="D3737">
        <v>64.150000000000006</v>
      </c>
      <c r="G3737" t="s">
        <v>87</v>
      </c>
      <c r="H3737">
        <v>696837525</v>
      </c>
      <c r="I3737" t="s">
        <v>29</v>
      </c>
      <c r="J3737" t="s">
        <v>29</v>
      </c>
      <c r="K3737" t="str">
        <f>IF(Table3[[#This Row],[Type Received]]=2,"CC",(IF(Table3[[#This Row],[Type Received]]=3,"BILL","ACH")))</f>
        <v>ACH</v>
      </c>
    </row>
    <row r="3738" spans="1:11" x14ac:dyDescent="0.25">
      <c r="A3738">
        <v>252780</v>
      </c>
      <c r="B3738" s="3">
        <v>46155</v>
      </c>
      <c r="C3738">
        <v>2</v>
      </c>
      <c r="D3738">
        <v>182.95</v>
      </c>
      <c r="F3738">
        <v>110557</v>
      </c>
      <c r="G3738" t="s">
        <v>28</v>
      </c>
      <c r="H3738">
        <v>669514241</v>
      </c>
      <c r="I3738" t="s">
        <v>29</v>
      </c>
      <c r="J3738" t="s">
        <v>29</v>
      </c>
      <c r="K3738" t="str">
        <f>IF(Table3[[#This Row],[Type Received]]=2,"CC",(IF(Table3[[#This Row],[Type Received]]=3,"BILL","ACH")))</f>
        <v>CC</v>
      </c>
    </row>
    <row r="3739" spans="1:11" x14ac:dyDescent="0.25">
      <c r="A3739">
        <v>252796</v>
      </c>
      <c r="B3739" s="3">
        <v>46143</v>
      </c>
      <c r="C3739">
        <v>1</v>
      </c>
      <c r="D3739">
        <v>44.35</v>
      </c>
      <c r="G3739" t="s">
        <v>84</v>
      </c>
      <c r="H3739">
        <v>522415447</v>
      </c>
      <c r="I3739" t="s">
        <v>29</v>
      </c>
      <c r="J3739" t="s">
        <v>29</v>
      </c>
      <c r="K3739" t="str">
        <f>IF(Table3[[#This Row],[Type Received]]=2,"CC",(IF(Table3[[#This Row],[Type Received]]=3,"BILL","ACH")))</f>
        <v>ACH</v>
      </c>
    </row>
    <row r="3740" spans="1:11" x14ac:dyDescent="0.25">
      <c r="A3740">
        <v>252801</v>
      </c>
      <c r="B3740" s="3">
        <v>46157</v>
      </c>
      <c r="C3740">
        <v>1</v>
      </c>
      <c r="D3740">
        <v>83.73</v>
      </c>
      <c r="G3740" t="s">
        <v>87</v>
      </c>
      <c r="H3740">
        <v>696835601</v>
      </c>
      <c r="I3740" t="s">
        <v>29</v>
      </c>
      <c r="J3740" t="s">
        <v>29</v>
      </c>
      <c r="K3740" t="str">
        <f>IF(Table3[[#This Row],[Type Received]]=2,"CC",(IF(Table3[[#This Row],[Type Received]]=3,"BILL","ACH")))</f>
        <v>ACH</v>
      </c>
    </row>
    <row r="3741" spans="1:11" x14ac:dyDescent="0.25">
      <c r="A3741">
        <v>252803</v>
      </c>
      <c r="B3741" s="3">
        <v>46157</v>
      </c>
      <c r="C3741">
        <v>1</v>
      </c>
      <c r="D3741">
        <v>58.21</v>
      </c>
      <c r="G3741" t="s">
        <v>87</v>
      </c>
      <c r="H3741">
        <v>696829812</v>
      </c>
      <c r="I3741" t="s">
        <v>29</v>
      </c>
      <c r="J3741" t="s">
        <v>29</v>
      </c>
      <c r="K3741" t="str">
        <f>IF(Table3[[#This Row],[Type Received]]=2,"CC",(IF(Table3[[#This Row],[Type Received]]=3,"BILL","ACH")))</f>
        <v>ACH</v>
      </c>
    </row>
    <row r="3742" spans="1:11" x14ac:dyDescent="0.25">
      <c r="A3742">
        <v>252812</v>
      </c>
      <c r="B3742" s="3">
        <v>46144</v>
      </c>
      <c r="C3742">
        <v>1</v>
      </c>
      <c r="D3742">
        <v>78.010000000000005</v>
      </c>
      <c r="G3742" t="s">
        <v>89</v>
      </c>
      <c r="H3742">
        <v>535412023</v>
      </c>
      <c r="I3742" t="s">
        <v>29</v>
      </c>
      <c r="J3742" t="s">
        <v>29</v>
      </c>
      <c r="K3742" t="str">
        <f>IF(Table3[[#This Row],[Type Received]]=2,"CC",(IF(Table3[[#This Row],[Type Received]]=3,"BILL","ACH")))</f>
        <v>ACH</v>
      </c>
    </row>
    <row r="3743" spans="1:11" x14ac:dyDescent="0.25">
      <c r="A3743">
        <v>252813</v>
      </c>
      <c r="B3743" s="3">
        <v>46155</v>
      </c>
      <c r="C3743">
        <v>2</v>
      </c>
      <c r="D3743">
        <v>55.35</v>
      </c>
      <c r="F3743" t="s">
        <v>305</v>
      </c>
      <c r="G3743" t="s">
        <v>28</v>
      </c>
      <c r="H3743">
        <v>669451327</v>
      </c>
      <c r="I3743" t="s">
        <v>29</v>
      </c>
      <c r="K3743" t="str">
        <f>IF(Table3[[#This Row],[Type Received]]=2,"CC",(IF(Table3[[#This Row],[Type Received]]=3,"BILL","ACH")))</f>
        <v>CC</v>
      </c>
    </row>
    <row r="3744" spans="1:11" x14ac:dyDescent="0.25">
      <c r="A3744">
        <v>252814</v>
      </c>
      <c r="B3744" s="3">
        <v>46168</v>
      </c>
      <c r="C3744">
        <v>1</v>
      </c>
      <c r="D3744">
        <v>48.97</v>
      </c>
      <c r="G3744" t="s">
        <v>110</v>
      </c>
      <c r="H3744">
        <v>828236189</v>
      </c>
      <c r="I3744" t="s">
        <v>29</v>
      </c>
      <c r="K3744" t="str">
        <f>IF(Table3[[#This Row],[Type Received]]=2,"CC",(IF(Table3[[#This Row],[Type Received]]=3,"BILL","ACH")))</f>
        <v>ACH</v>
      </c>
    </row>
    <row r="3745" spans="1:11" x14ac:dyDescent="0.25">
      <c r="A3745">
        <v>252815</v>
      </c>
      <c r="B3745" s="3">
        <v>46144</v>
      </c>
      <c r="C3745">
        <v>1</v>
      </c>
      <c r="D3745">
        <v>149.62</v>
      </c>
      <c r="G3745" t="s">
        <v>89</v>
      </c>
      <c r="H3745">
        <v>535414037</v>
      </c>
      <c r="I3745" t="s">
        <v>29</v>
      </c>
      <c r="K3745" t="str">
        <f>IF(Table3[[#This Row],[Type Received]]=2,"CC",(IF(Table3[[#This Row],[Type Received]]=3,"BILL","ACH")))</f>
        <v>ACH</v>
      </c>
    </row>
    <row r="3746" spans="1:11" x14ac:dyDescent="0.25">
      <c r="A3746">
        <v>252824</v>
      </c>
      <c r="B3746" s="3">
        <v>46148</v>
      </c>
      <c r="C3746">
        <v>3</v>
      </c>
      <c r="D3746">
        <v>176.18</v>
      </c>
      <c r="E3746">
        <v>252900111</v>
      </c>
      <c r="J3746" t="s">
        <v>29</v>
      </c>
      <c r="K3746" t="str">
        <f>IF(Table3[[#This Row],[Type Received]]=2,"CC",(IF(Table3[[#This Row],[Type Received]]=3,"BILL","ACH")))</f>
        <v>BILL</v>
      </c>
    </row>
    <row r="3747" spans="1:11" x14ac:dyDescent="0.25">
      <c r="A3747">
        <v>252827</v>
      </c>
      <c r="B3747" s="3">
        <v>46144</v>
      </c>
      <c r="C3747">
        <v>1</v>
      </c>
      <c r="D3747">
        <v>61.73</v>
      </c>
      <c r="G3747" s="4" t="s">
        <v>89</v>
      </c>
      <c r="H3747">
        <v>535432338</v>
      </c>
      <c r="I3747" t="s">
        <v>29</v>
      </c>
      <c r="J3747" t="s">
        <v>29</v>
      </c>
      <c r="K3747" t="str">
        <f>IF(Table3[[#This Row],[Type Received]]=2,"CC",(IF(Table3[[#This Row],[Type Received]]=3,"BILL","ACH")))</f>
        <v>ACH</v>
      </c>
    </row>
    <row r="3748" spans="1:11" x14ac:dyDescent="0.25">
      <c r="A3748">
        <v>252853</v>
      </c>
      <c r="B3748" s="3">
        <v>46158</v>
      </c>
      <c r="C3748">
        <v>2</v>
      </c>
      <c r="D3748">
        <v>97.81</v>
      </c>
      <c r="F3748">
        <v>621905</v>
      </c>
      <c r="G3748" t="s">
        <v>28</v>
      </c>
      <c r="H3748">
        <v>710031711</v>
      </c>
      <c r="I3748" t="s">
        <v>29</v>
      </c>
      <c r="J3748" t="s">
        <v>29</v>
      </c>
      <c r="K3748" t="str">
        <f>IF(Table3[[#This Row],[Type Received]]=2,"CC",(IF(Table3[[#This Row],[Type Received]]=3,"BILL","ACH")))</f>
        <v>CC</v>
      </c>
    </row>
    <row r="3749" spans="1:11" x14ac:dyDescent="0.25">
      <c r="A3749">
        <v>252897</v>
      </c>
      <c r="B3749" s="3">
        <v>46170</v>
      </c>
      <c r="C3749">
        <v>1</v>
      </c>
      <c r="D3749">
        <v>77.349999999999994</v>
      </c>
      <c r="G3749" t="s">
        <v>91</v>
      </c>
      <c r="H3749">
        <v>853923857</v>
      </c>
      <c r="I3749" t="s">
        <v>29</v>
      </c>
      <c r="J3749" t="s">
        <v>29</v>
      </c>
      <c r="K3749" t="str">
        <f>IF(Table3[[#This Row],[Type Received]]=2,"CC",(IF(Table3[[#This Row],[Type Received]]=3,"BILL","ACH")))</f>
        <v>ACH</v>
      </c>
    </row>
    <row r="3750" spans="1:11" x14ac:dyDescent="0.25">
      <c r="A3750">
        <v>252903</v>
      </c>
      <c r="B3750" s="3">
        <v>46162</v>
      </c>
      <c r="C3750">
        <v>2</v>
      </c>
      <c r="D3750">
        <v>165.1</v>
      </c>
      <c r="F3750">
        <v>79405</v>
      </c>
      <c r="G3750">
        <v>747121142</v>
      </c>
      <c r="H3750">
        <v>355282273</v>
      </c>
      <c r="J3750" t="s">
        <v>29</v>
      </c>
      <c r="K3750" t="str">
        <f>IF(Table3[[#This Row],[Type Received]]=2,"CC",(IF(Table3[[#This Row],[Type Received]]=3,"BILL","ACH")))</f>
        <v>CC</v>
      </c>
    </row>
    <row r="3751" spans="1:11" x14ac:dyDescent="0.25">
      <c r="A3751">
        <v>252938</v>
      </c>
      <c r="B3751" s="3">
        <v>46168</v>
      </c>
      <c r="C3751">
        <v>3</v>
      </c>
      <c r="D3751">
        <v>169.44</v>
      </c>
      <c r="E3751">
        <v>7358</v>
      </c>
      <c r="J3751" t="s">
        <v>29</v>
      </c>
      <c r="K3751" t="str">
        <f>IF(Table3[[#This Row],[Type Received]]=2,"CC",(IF(Table3[[#This Row],[Type Received]]=3,"BILL","ACH")))</f>
        <v>BILL</v>
      </c>
    </row>
    <row r="3752" spans="1:11" x14ac:dyDescent="0.25">
      <c r="A3752">
        <v>252946</v>
      </c>
      <c r="B3752" s="3">
        <v>46144</v>
      </c>
      <c r="C3752">
        <v>1</v>
      </c>
      <c r="D3752">
        <v>26.09</v>
      </c>
      <c r="G3752" t="s">
        <v>89</v>
      </c>
      <c r="H3752">
        <v>535418936</v>
      </c>
      <c r="I3752" t="s">
        <v>29</v>
      </c>
      <c r="K3752" t="str">
        <f>IF(Table3[[#This Row],[Type Received]]=2,"CC",(IF(Table3[[#This Row],[Type Received]]=3,"BILL","ACH")))</f>
        <v>ACH</v>
      </c>
    </row>
    <row r="3753" spans="1:11" x14ac:dyDescent="0.25">
      <c r="A3753">
        <v>252953</v>
      </c>
      <c r="B3753" s="3">
        <v>46143</v>
      </c>
      <c r="C3753">
        <v>2</v>
      </c>
      <c r="D3753">
        <v>65.709999999999994</v>
      </c>
      <c r="F3753">
        <v>16476</v>
      </c>
      <c r="G3753" t="s">
        <v>28</v>
      </c>
      <c r="H3753">
        <v>523359078</v>
      </c>
      <c r="I3753" t="s">
        <v>29</v>
      </c>
      <c r="K3753" t="str">
        <f>IF(Table3[[#This Row],[Type Received]]=2,"CC",(IF(Table3[[#This Row],[Type Received]]=3,"BILL","ACH")))</f>
        <v>CC</v>
      </c>
    </row>
    <row r="3754" spans="1:11" x14ac:dyDescent="0.25">
      <c r="A3754">
        <v>252969</v>
      </c>
      <c r="B3754" s="3">
        <v>46144</v>
      </c>
      <c r="C3754">
        <v>2</v>
      </c>
      <c r="D3754">
        <v>35.770000000000003</v>
      </c>
      <c r="F3754">
        <v>846917</v>
      </c>
      <c r="G3754" t="s">
        <v>28</v>
      </c>
      <c r="H3754">
        <v>535346643</v>
      </c>
      <c r="I3754" t="s">
        <v>29</v>
      </c>
      <c r="K3754" t="str">
        <f>IF(Table3[[#This Row],[Type Received]]=2,"CC",(IF(Table3[[#This Row],[Type Received]]=3,"BILL","ACH")))</f>
        <v>CC</v>
      </c>
    </row>
    <row r="3755" spans="1:11" x14ac:dyDescent="0.25">
      <c r="A3755">
        <v>252978</v>
      </c>
      <c r="B3755" s="3">
        <v>46147</v>
      </c>
      <c r="C3755">
        <v>3</v>
      </c>
      <c r="D3755">
        <v>77.81</v>
      </c>
      <c r="E3755">
        <v>57727569</v>
      </c>
      <c r="J3755" t="s">
        <v>29</v>
      </c>
      <c r="K3755" t="str">
        <f>IF(Table3[[#This Row],[Type Received]]=2,"CC",(IF(Table3[[#This Row],[Type Received]]=3,"BILL","ACH")))</f>
        <v>BILL</v>
      </c>
    </row>
    <row r="3756" spans="1:11" x14ac:dyDescent="0.25">
      <c r="A3756">
        <v>253003</v>
      </c>
      <c r="B3756" s="3">
        <v>46144</v>
      </c>
      <c r="C3756">
        <v>1</v>
      </c>
      <c r="D3756">
        <v>53.15</v>
      </c>
      <c r="G3756" t="s">
        <v>89</v>
      </c>
      <c r="H3756">
        <v>535418942</v>
      </c>
      <c r="I3756" t="s">
        <v>29</v>
      </c>
      <c r="J3756" t="s">
        <v>29</v>
      </c>
      <c r="K3756" t="str">
        <f>IF(Table3[[#This Row],[Type Received]]=2,"CC",(IF(Table3[[#This Row],[Type Received]]=3,"BILL","ACH")))</f>
        <v>ACH</v>
      </c>
    </row>
    <row r="3757" spans="1:11" x14ac:dyDescent="0.25">
      <c r="A3757">
        <v>253030</v>
      </c>
      <c r="B3757" s="3">
        <v>46147</v>
      </c>
      <c r="C3757">
        <v>1</v>
      </c>
      <c r="D3757">
        <v>107.93</v>
      </c>
      <c r="G3757" t="s">
        <v>86</v>
      </c>
      <c r="H3757">
        <v>569474836</v>
      </c>
      <c r="I3757" t="s">
        <v>29</v>
      </c>
      <c r="J3757" t="s">
        <v>29</v>
      </c>
      <c r="K3757" t="str">
        <f>IF(Table3[[#This Row],[Type Received]]=2,"CC",(IF(Table3[[#This Row],[Type Received]]=3,"BILL","ACH")))</f>
        <v>ACH</v>
      </c>
    </row>
    <row r="3758" spans="1:11" x14ac:dyDescent="0.25">
      <c r="A3758">
        <v>253046</v>
      </c>
      <c r="B3758" s="3">
        <v>46157</v>
      </c>
      <c r="C3758">
        <v>1</v>
      </c>
      <c r="D3758">
        <v>115.3</v>
      </c>
      <c r="G3758" t="s">
        <v>87</v>
      </c>
      <c r="H3758">
        <v>696844228</v>
      </c>
      <c r="I3758" t="s">
        <v>29</v>
      </c>
      <c r="K3758" t="str">
        <f>IF(Table3[[#This Row],[Type Received]]=2,"CC",(IF(Table3[[#This Row],[Type Received]]=3,"BILL","ACH")))</f>
        <v>ACH</v>
      </c>
    </row>
    <row r="3759" spans="1:11" x14ac:dyDescent="0.25">
      <c r="A3759">
        <v>253048</v>
      </c>
      <c r="B3759" s="3">
        <v>46167</v>
      </c>
      <c r="C3759">
        <v>1</v>
      </c>
      <c r="D3759">
        <v>117.61</v>
      </c>
      <c r="G3759" t="s">
        <v>85</v>
      </c>
      <c r="H3759">
        <v>818393860</v>
      </c>
      <c r="I3759" t="s">
        <v>29</v>
      </c>
      <c r="K3759" t="str">
        <f>IF(Table3[[#This Row],[Type Received]]=2,"CC",(IF(Table3[[#This Row],[Type Received]]=3,"BILL","ACH")))</f>
        <v>ACH</v>
      </c>
    </row>
    <row r="3760" spans="1:11" x14ac:dyDescent="0.25">
      <c r="A3760">
        <v>253065</v>
      </c>
      <c r="B3760" s="3">
        <v>46156</v>
      </c>
      <c r="C3760">
        <v>2</v>
      </c>
      <c r="D3760">
        <v>85.29</v>
      </c>
      <c r="F3760">
        <v>796335</v>
      </c>
      <c r="G3760" t="s">
        <v>28</v>
      </c>
      <c r="H3760">
        <v>683534119</v>
      </c>
      <c r="I3760" t="s">
        <v>29</v>
      </c>
      <c r="J3760" t="s">
        <v>29</v>
      </c>
      <c r="K3760" t="str">
        <f>IF(Table3[[#This Row],[Type Received]]=2,"CC",(IF(Table3[[#This Row],[Type Received]]=3,"BILL","ACH")))</f>
        <v>CC</v>
      </c>
    </row>
    <row r="3761" spans="1:11" x14ac:dyDescent="0.25">
      <c r="A3761">
        <v>253097</v>
      </c>
      <c r="B3761" s="3">
        <v>46169</v>
      </c>
      <c r="C3761">
        <v>3</v>
      </c>
      <c r="D3761">
        <v>96.68</v>
      </c>
      <c r="E3761">
        <v>2070</v>
      </c>
      <c r="J3761" t="s">
        <v>29</v>
      </c>
      <c r="K3761" t="str">
        <f>IF(Table3[[#This Row],[Type Received]]=2,"CC",(IF(Table3[[#This Row],[Type Received]]=3,"BILL","ACH")))</f>
        <v>BILL</v>
      </c>
    </row>
    <row r="3762" spans="1:11" x14ac:dyDescent="0.25">
      <c r="A3762">
        <v>253109</v>
      </c>
      <c r="B3762" s="3">
        <v>46149</v>
      </c>
      <c r="C3762">
        <v>2</v>
      </c>
      <c r="D3762">
        <v>76.05</v>
      </c>
      <c r="F3762">
        <v>42845</v>
      </c>
      <c r="G3762">
        <v>743273545</v>
      </c>
      <c r="H3762">
        <v>353855897</v>
      </c>
      <c r="K3762" t="str">
        <f>IF(Table3[[#This Row],[Type Received]]=2,"CC",(IF(Table3[[#This Row],[Type Received]]=3,"BILL","ACH")))</f>
        <v>CC</v>
      </c>
    </row>
    <row r="3763" spans="1:11" x14ac:dyDescent="0.25">
      <c r="A3763">
        <v>253112</v>
      </c>
      <c r="B3763" s="3">
        <v>46163</v>
      </c>
      <c r="C3763">
        <v>3</v>
      </c>
      <c r="D3763">
        <v>63.95</v>
      </c>
      <c r="E3763">
        <v>163</v>
      </c>
      <c r="J3763" t="s">
        <v>29</v>
      </c>
      <c r="K3763" t="str">
        <f>IF(Table3[[#This Row],[Type Received]]=2,"CC",(IF(Table3[[#This Row],[Type Received]]=3,"BILL","ACH")))</f>
        <v>BILL</v>
      </c>
    </row>
    <row r="3764" spans="1:11" x14ac:dyDescent="0.25">
      <c r="A3764">
        <v>253114</v>
      </c>
      <c r="B3764" s="3">
        <v>46147</v>
      </c>
      <c r="C3764">
        <v>3</v>
      </c>
      <c r="D3764">
        <v>91.89</v>
      </c>
      <c r="E3764">
        <v>75189838</v>
      </c>
      <c r="K3764" t="str">
        <f>IF(Table3[[#This Row],[Type Received]]=2,"CC",(IF(Table3[[#This Row],[Type Received]]=3,"BILL","ACH")))</f>
        <v>BILL</v>
      </c>
    </row>
    <row r="3765" spans="1:11" x14ac:dyDescent="0.25">
      <c r="A3765">
        <v>253122</v>
      </c>
      <c r="B3765" s="3">
        <v>46153</v>
      </c>
      <c r="C3765">
        <v>3</v>
      </c>
      <c r="D3765">
        <v>54.71</v>
      </c>
      <c r="E3765">
        <v>19826612316</v>
      </c>
      <c r="K3765" t="str">
        <f>IF(Table3[[#This Row],[Type Received]]=2,"CC",(IF(Table3[[#This Row],[Type Received]]=3,"BILL","ACH")))</f>
        <v>BILL</v>
      </c>
    </row>
    <row r="3766" spans="1:11" x14ac:dyDescent="0.25">
      <c r="A3766">
        <v>253127</v>
      </c>
      <c r="B3766" s="3">
        <v>46159</v>
      </c>
      <c r="C3766">
        <v>2</v>
      </c>
      <c r="D3766">
        <v>39.950000000000003</v>
      </c>
      <c r="F3766" t="s">
        <v>306</v>
      </c>
      <c r="G3766" t="s">
        <v>28</v>
      </c>
      <c r="H3766">
        <v>721674871</v>
      </c>
      <c r="I3766" t="s">
        <v>29</v>
      </c>
      <c r="K3766" t="str">
        <f>IF(Table3[[#This Row],[Type Received]]=2,"CC",(IF(Table3[[#This Row],[Type Received]]=3,"BILL","ACH")))</f>
        <v>CC</v>
      </c>
    </row>
    <row r="3767" spans="1:11" x14ac:dyDescent="0.25">
      <c r="A3767">
        <v>253129</v>
      </c>
      <c r="B3767" s="3">
        <v>46157</v>
      </c>
      <c r="C3767">
        <v>1</v>
      </c>
      <c r="D3767">
        <v>52.93</v>
      </c>
      <c r="G3767" t="s">
        <v>87</v>
      </c>
      <c r="H3767">
        <v>696823924</v>
      </c>
      <c r="I3767" t="s">
        <v>29</v>
      </c>
      <c r="J3767" t="s">
        <v>29</v>
      </c>
      <c r="K3767" t="str">
        <f>IF(Table3[[#This Row],[Type Received]]=2,"CC",(IF(Table3[[#This Row],[Type Received]]=3,"BILL","ACH")))</f>
        <v>ACH</v>
      </c>
    </row>
    <row r="3768" spans="1:11" x14ac:dyDescent="0.25">
      <c r="A3768">
        <v>253159</v>
      </c>
      <c r="B3768" s="3">
        <v>46170</v>
      </c>
      <c r="C3768">
        <v>2</v>
      </c>
      <c r="D3768">
        <v>63.51</v>
      </c>
      <c r="F3768">
        <v>3829</v>
      </c>
      <c r="G3768" t="s">
        <v>28</v>
      </c>
      <c r="H3768">
        <v>855765910</v>
      </c>
      <c r="I3768" t="s">
        <v>29</v>
      </c>
      <c r="K3768" t="str">
        <f>IF(Table3[[#This Row],[Type Received]]=2,"CC",(IF(Table3[[#This Row],[Type Received]]=3,"BILL","ACH")))</f>
        <v>CC</v>
      </c>
    </row>
    <row r="3769" spans="1:11" x14ac:dyDescent="0.25">
      <c r="A3769">
        <v>253159</v>
      </c>
      <c r="B3769" s="3">
        <v>46155</v>
      </c>
      <c r="C3769">
        <v>2</v>
      </c>
      <c r="D3769">
        <v>63.51</v>
      </c>
      <c r="F3769">
        <v>23705</v>
      </c>
      <c r="G3769" t="s">
        <v>28</v>
      </c>
      <c r="H3769">
        <v>670003571</v>
      </c>
      <c r="I3769" t="s">
        <v>29</v>
      </c>
      <c r="J3769" t="s">
        <v>29</v>
      </c>
      <c r="K3769" t="str">
        <f>IF(Table3[[#This Row],[Type Received]]=2,"CC",(IF(Table3[[#This Row],[Type Received]]=3,"BILL","ACH")))</f>
        <v>CC</v>
      </c>
    </row>
    <row r="3770" spans="1:11" x14ac:dyDescent="0.25">
      <c r="A3770">
        <v>253160</v>
      </c>
      <c r="B3770" s="3">
        <v>46162</v>
      </c>
      <c r="C3770">
        <v>2</v>
      </c>
      <c r="D3770">
        <v>90.55</v>
      </c>
      <c r="F3770">
        <v>767069</v>
      </c>
      <c r="G3770" t="s">
        <v>28</v>
      </c>
      <c r="H3770">
        <v>762793298</v>
      </c>
      <c r="I3770" t="s">
        <v>29</v>
      </c>
      <c r="J3770" t="s">
        <v>29</v>
      </c>
      <c r="K3770" t="str">
        <f>IF(Table3[[#This Row],[Type Received]]=2,"CC",(IF(Table3[[#This Row],[Type Received]]=3,"BILL","ACH")))</f>
        <v>CC</v>
      </c>
    </row>
    <row r="3771" spans="1:11" x14ac:dyDescent="0.25">
      <c r="A3771">
        <v>253168</v>
      </c>
      <c r="B3771" s="3">
        <v>46167</v>
      </c>
      <c r="C3771">
        <v>1</v>
      </c>
      <c r="D3771">
        <v>108.81</v>
      </c>
      <c r="G3771" t="s">
        <v>85</v>
      </c>
      <c r="H3771">
        <v>818407432</v>
      </c>
      <c r="I3771" t="s">
        <v>29</v>
      </c>
      <c r="J3771" t="s">
        <v>29</v>
      </c>
      <c r="K3771" t="str">
        <f>IF(Table3[[#This Row],[Type Received]]=2,"CC",(IF(Table3[[#This Row],[Type Received]]=3,"BILL","ACH")))</f>
        <v>ACH</v>
      </c>
    </row>
    <row r="3772" spans="1:11" x14ac:dyDescent="0.25">
      <c r="A3772">
        <v>253170</v>
      </c>
      <c r="B3772" s="3">
        <v>46143</v>
      </c>
      <c r="C3772">
        <v>1</v>
      </c>
      <c r="D3772">
        <v>117.61</v>
      </c>
      <c r="G3772" t="s">
        <v>84</v>
      </c>
      <c r="H3772">
        <v>522271464</v>
      </c>
      <c r="I3772" t="s">
        <v>29</v>
      </c>
      <c r="J3772" t="s">
        <v>29</v>
      </c>
      <c r="K3772" t="str">
        <f>IF(Table3[[#This Row],[Type Received]]=2,"CC",(IF(Table3[[#This Row],[Type Received]]=3,"BILL","ACH")))</f>
        <v>ACH</v>
      </c>
    </row>
    <row r="3773" spans="1:11" x14ac:dyDescent="0.25">
      <c r="A3773">
        <v>253175</v>
      </c>
      <c r="B3773" s="3">
        <v>46144</v>
      </c>
      <c r="C3773">
        <v>1</v>
      </c>
      <c r="D3773">
        <v>50.73</v>
      </c>
      <c r="G3773" s="4" t="s">
        <v>89</v>
      </c>
      <c r="H3773">
        <v>535418952</v>
      </c>
      <c r="I3773" t="s">
        <v>29</v>
      </c>
      <c r="K3773" t="str">
        <f>IF(Table3[[#This Row],[Type Received]]=2,"CC",(IF(Table3[[#This Row],[Type Received]]=3,"BILL","ACH")))</f>
        <v>ACH</v>
      </c>
    </row>
    <row r="3774" spans="1:11" x14ac:dyDescent="0.25">
      <c r="A3774">
        <v>253181</v>
      </c>
      <c r="B3774" s="3">
        <v>46144</v>
      </c>
      <c r="C3774">
        <v>1</v>
      </c>
      <c r="D3774">
        <v>34.67</v>
      </c>
      <c r="G3774" t="s">
        <v>89</v>
      </c>
      <c r="H3774">
        <v>535440128</v>
      </c>
      <c r="I3774" t="s">
        <v>29</v>
      </c>
      <c r="J3774" t="s">
        <v>29</v>
      </c>
      <c r="K3774" t="str">
        <f>IF(Table3[[#This Row],[Type Received]]=2,"CC",(IF(Table3[[#This Row],[Type Received]]=3,"BILL","ACH")))</f>
        <v>ACH</v>
      </c>
    </row>
    <row r="3775" spans="1:11" x14ac:dyDescent="0.25">
      <c r="A3775">
        <v>253183</v>
      </c>
      <c r="B3775" s="3">
        <v>46143</v>
      </c>
      <c r="C3775">
        <v>1</v>
      </c>
      <c r="D3775">
        <v>66.150000000000006</v>
      </c>
      <c r="G3775" t="s">
        <v>84</v>
      </c>
      <c r="H3775">
        <v>524141482</v>
      </c>
      <c r="I3775" t="s">
        <v>29</v>
      </c>
      <c r="J3775" t="s">
        <v>29</v>
      </c>
      <c r="K3775" t="str">
        <f>IF(Table3[[#This Row],[Type Received]]=2,"CC",(IF(Table3[[#This Row],[Type Received]]=3,"BILL","ACH")))</f>
        <v>ACH</v>
      </c>
    </row>
    <row r="3776" spans="1:11" x14ac:dyDescent="0.25">
      <c r="A3776">
        <v>253212</v>
      </c>
      <c r="B3776" s="3">
        <v>46157</v>
      </c>
      <c r="C3776">
        <v>1</v>
      </c>
      <c r="D3776">
        <v>147.97</v>
      </c>
      <c r="G3776" s="4" t="s">
        <v>87</v>
      </c>
      <c r="H3776">
        <v>696820008</v>
      </c>
      <c r="I3776" t="s">
        <v>29</v>
      </c>
      <c r="J3776" t="s">
        <v>29</v>
      </c>
      <c r="K3776" t="str">
        <f>IF(Table3[[#This Row],[Type Received]]=2,"CC",(IF(Table3[[#This Row],[Type Received]]=3,"BILL","ACH")))</f>
        <v>ACH</v>
      </c>
    </row>
    <row r="3777" spans="1:11" x14ac:dyDescent="0.25">
      <c r="A3777">
        <v>253226</v>
      </c>
      <c r="B3777" s="3">
        <v>46144</v>
      </c>
      <c r="C3777">
        <v>1</v>
      </c>
      <c r="D3777">
        <v>41.93</v>
      </c>
      <c r="G3777" t="s">
        <v>89</v>
      </c>
      <c r="H3777">
        <v>535427608</v>
      </c>
      <c r="I3777" t="s">
        <v>29</v>
      </c>
      <c r="K3777" t="str">
        <f>IF(Table3[[#This Row],[Type Received]]=2,"CC",(IF(Table3[[#This Row],[Type Received]]=3,"BILL","ACH")))</f>
        <v>ACH</v>
      </c>
    </row>
    <row r="3778" spans="1:11" x14ac:dyDescent="0.25">
      <c r="A3778">
        <v>253230</v>
      </c>
      <c r="B3778" s="3">
        <v>46157</v>
      </c>
      <c r="C3778">
        <v>1</v>
      </c>
      <c r="D3778">
        <v>48.97</v>
      </c>
      <c r="G3778" t="s">
        <v>87</v>
      </c>
      <c r="H3778">
        <v>696833627</v>
      </c>
      <c r="I3778" t="s">
        <v>29</v>
      </c>
      <c r="K3778" t="str">
        <f>IF(Table3[[#This Row],[Type Received]]=2,"CC",(IF(Table3[[#This Row],[Type Received]]=3,"BILL","ACH")))</f>
        <v>ACH</v>
      </c>
    </row>
    <row r="3779" spans="1:11" x14ac:dyDescent="0.25">
      <c r="A3779">
        <v>253247</v>
      </c>
      <c r="B3779" s="3">
        <v>46164</v>
      </c>
      <c r="C3779">
        <v>3</v>
      </c>
      <c r="D3779">
        <v>55</v>
      </c>
      <c r="E3779">
        <v>2009</v>
      </c>
      <c r="J3779" t="s">
        <v>29</v>
      </c>
      <c r="K3779" t="str">
        <f>IF(Table3[[#This Row],[Type Received]]=2,"CC",(IF(Table3[[#This Row],[Type Received]]=3,"BILL","ACH")))</f>
        <v>BILL</v>
      </c>
    </row>
    <row r="3780" spans="1:11" x14ac:dyDescent="0.25">
      <c r="A3780">
        <v>253253</v>
      </c>
      <c r="B3780" s="3">
        <v>46155</v>
      </c>
      <c r="C3780">
        <v>2</v>
      </c>
      <c r="D3780">
        <v>127.84</v>
      </c>
      <c r="F3780" t="s">
        <v>307</v>
      </c>
      <c r="G3780" t="s">
        <v>28</v>
      </c>
      <c r="H3780">
        <v>669499818</v>
      </c>
      <c r="I3780" t="s">
        <v>29</v>
      </c>
      <c r="K3780" t="str">
        <f>IF(Table3[[#This Row],[Type Received]]=2,"CC",(IF(Table3[[#This Row],[Type Received]]=3,"BILL","ACH")))</f>
        <v>CC</v>
      </c>
    </row>
    <row r="3781" spans="1:11" x14ac:dyDescent="0.25">
      <c r="A3781">
        <v>253255</v>
      </c>
      <c r="B3781" s="3">
        <v>46157</v>
      </c>
      <c r="C3781">
        <v>1</v>
      </c>
      <c r="D3781">
        <v>56.23</v>
      </c>
      <c r="G3781" t="s">
        <v>87</v>
      </c>
      <c r="H3781">
        <v>696835666</v>
      </c>
      <c r="I3781" t="s">
        <v>29</v>
      </c>
      <c r="K3781" t="str">
        <f>IF(Table3[[#This Row],[Type Received]]=2,"CC",(IF(Table3[[#This Row],[Type Received]]=3,"BILL","ACH")))</f>
        <v>ACH</v>
      </c>
    </row>
    <row r="3782" spans="1:11" x14ac:dyDescent="0.25">
      <c r="A3782">
        <v>253256</v>
      </c>
      <c r="B3782" s="3">
        <v>46144</v>
      </c>
      <c r="C3782">
        <v>1</v>
      </c>
      <c r="D3782">
        <v>52.6</v>
      </c>
      <c r="G3782" t="s">
        <v>89</v>
      </c>
      <c r="H3782">
        <v>535422827</v>
      </c>
      <c r="I3782" t="s">
        <v>29</v>
      </c>
      <c r="J3782" t="s">
        <v>29</v>
      </c>
      <c r="K3782" t="str">
        <f>IF(Table3[[#This Row],[Type Received]]=2,"CC",(IF(Table3[[#This Row],[Type Received]]=3,"BILL","ACH")))</f>
        <v>ACH</v>
      </c>
    </row>
    <row r="3783" spans="1:11" x14ac:dyDescent="0.25">
      <c r="A3783">
        <v>253300</v>
      </c>
      <c r="B3783" s="3">
        <v>46144</v>
      </c>
      <c r="C3783">
        <v>1</v>
      </c>
      <c r="D3783">
        <v>95.5</v>
      </c>
      <c r="G3783" t="s">
        <v>89</v>
      </c>
      <c r="H3783">
        <v>535415071</v>
      </c>
      <c r="I3783" t="s">
        <v>29</v>
      </c>
      <c r="J3783" t="s">
        <v>29</v>
      </c>
      <c r="K3783" t="str">
        <f>IF(Table3[[#This Row],[Type Received]]=2,"CC",(IF(Table3[[#This Row],[Type Received]]=3,"BILL","ACH")))</f>
        <v>ACH</v>
      </c>
    </row>
    <row r="3784" spans="1:11" x14ac:dyDescent="0.25">
      <c r="A3784">
        <v>253307</v>
      </c>
      <c r="B3784" s="3">
        <v>46169</v>
      </c>
      <c r="C3784">
        <v>3</v>
      </c>
      <c r="D3784">
        <v>155</v>
      </c>
      <c r="E3784">
        <v>8726</v>
      </c>
      <c r="G3784" s="4"/>
      <c r="J3784" t="s">
        <v>29</v>
      </c>
      <c r="K3784" t="str">
        <f>IF(Table3[[#This Row],[Type Received]]=2,"CC",(IF(Table3[[#This Row],[Type Received]]=3,"BILL","ACH")))</f>
        <v>BILL</v>
      </c>
    </row>
    <row r="3785" spans="1:11" x14ac:dyDescent="0.25">
      <c r="A3785">
        <v>253315</v>
      </c>
      <c r="B3785" s="3">
        <v>46168</v>
      </c>
      <c r="C3785">
        <v>3</v>
      </c>
      <c r="D3785">
        <v>103.77</v>
      </c>
      <c r="E3785">
        <v>2788</v>
      </c>
      <c r="K3785" t="str">
        <f>IF(Table3[[#This Row],[Type Received]]=2,"CC",(IF(Table3[[#This Row],[Type Received]]=3,"BILL","ACH")))</f>
        <v>BILL</v>
      </c>
    </row>
    <row r="3786" spans="1:11" x14ac:dyDescent="0.25">
      <c r="A3786">
        <v>253329</v>
      </c>
      <c r="B3786" s="3">
        <v>46157</v>
      </c>
      <c r="C3786">
        <v>1</v>
      </c>
      <c r="D3786">
        <v>54.91</v>
      </c>
      <c r="G3786" t="s">
        <v>87</v>
      </c>
      <c r="H3786">
        <v>696841362</v>
      </c>
      <c r="I3786" t="s">
        <v>29</v>
      </c>
      <c r="K3786" t="str">
        <f>IF(Table3[[#This Row],[Type Received]]=2,"CC",(IF(Table3[[#This Row],[Type Received]]=3,"BILL","ACH")))</f>
        <v>ACH</v>
      </c>
    </row>
    <row r="3787" spans="1:11" x14ac:dyDescent="0.25">
      <c r="A3787">
        <v>253330</v>
      </c>
      <c r="B3787" s="3">
        <v>46167</v>
      </c>
      <c r="C3787">
        <v>1</v>
      </c>
      <c r="D3787">
        <v>96.49</v>
      </c>
      <c r="G3787" t="s">
        <v>85</v>
      </c>
      <c r="H3787">
        <v>818409401</v>
      </c>
      <c r="I3787" t="s">
        <v>29</v>
      </c>
      <c r="K3787" t="str">
        <f>IF(Table3[[#This Row],[Type Received]]=2,"CC",(IF(Table3[[#This Row],[Type Received]]=3,"BILL","ACH")))</f>
        <v>ACH</v>
      </c>
    </row>
    <row r="3788" spans="1:11" x14ac:dyDescent="0.25">
      <c r="A3788">
        <v>253334</v>
      </c>
      <c r="B3788" s="3">
        <v>46170</v>
      </c>
      <c r="C3788">
        <v>3</v>
      </c>
      <c r="D3788">
        <v>401.38</v>
      </c>
      <c r="E3788">
        <v>5057</v>
      </c>
      <c r="J3788" t="s">
        <v>29</v>
      </c>
      <c r="K3788" t="str">
        <f>IF(Table3[[#This Row],[Type Received]]=2,"CC",(IF(Table3[[#This Row],[Type Received]]=3,"BILL","ACH")))</f>
        <v>BILL</v>
      </c>
    </row>
    <row r="3789" spans="1:11" x14ac:dyDescent="0.25">
      <c r="A3789">
        <v>253341</v>
      </c>
      <c r="B3789" s="3">
        <v>46169</v>
      </c>
      <c r="C3789">
        <v>3</v>
      </c>
      <c r="D3789">
        <v>32.71</v>
      </c>
      <c r="E3789">
        <v>3599</v>
      </c>
      <c r="K3789" t="str">
        <f>IF(Table3[[#This Row],[Type Received]]=2,"CC",(IF(Table3[[#This Row],[Type Received]]=3,"BILL","ACH")))</f>
        <v>BILL</v>
      </c>
    </row>
    <row r="3790" spans="1:11" x14ac:dyDescent="0.25">
      <c r="A3790">
        <v>253342</v>
      </c>
      <c r="B3790" s="3">
        <v>46160</v>
      </c>
      <c r="C3790">
        <v>1</v>
      </c>
      <c r="D3790">
        <v>47.43</v>
      </c>
      <c r="G3790" t="s">
        <v>192</v>
      </c>
      <c r="H3790">
        <v>732348769</v>
      </c>
      <c r="I3790" t="s">
        <v>29</v>
      </c>
      <c r="J3790" t="s">
        <v>29</v>
      </c>
      <c r="K3790" t="str">
        <f>IF(Table3[[#This Row],[Type Received]]=2,"CC",(IF(Table3[[#This Row],[Type Received]]=3,"BILL","ACH")))</f>
        <v>ACH</v>
      </c>
    </row>
    <row r="3791" spans="1:11" x14ac:dyDescent="0.25">
      <c r="A3791">
        <v>253343</v>
      </c>
      <c r="B3791" s="3">
        <v>46144</v>
      </c>
      <c r="C3791">
        <v>1</v>
      </c>
      <c r="D3791">
        <v>105.07</v>
      </c>
      <c r="G3791" t="s">
        <v>89</v>
      </c>
      <c r="H3791">
        <v>535418992</v>
      </c>
      <c r="I3791" t="s">
        <v>29</v>
      </c>
      <c r="K3791" t="str">
        <f>IF(Table3[[#This Row],[Type Received]]=2,"CC",(IF(Table3[[#This Row],[Type Received]]=3,"BILL","ACH")))</f>
        <v>ACH</v>
      </c>
    </row>
    <row r="3792" spans="1:11" x14ac:dyDescent="0.25">
      <c r="A3792">
        <v>253347</v>
      </c>
      <c r="B3792" s="3">
        <v>46167</v>
      </c>
      <c r="C3792">
        <v>1</v>
      </c>
      <c r="D3792">
        <v>82.63</v>
      </c>
      <c r="G3792" t="s">
        <v>85</v>
      </c>
      <c r="H3792">
        <v>818389033</v>
      </c>
      <c r="I3792" t="s">
        <v>29</v>
      </c>
      <c r="K3792" t="str">
        <f>IF(Table3[[#This Row],[Type Received]]=2,"CC",(IF(Table3[[#This Row],[Type Received]]=3,"BILL","ACH")))</f>
        <v>ACH</v>
      </c>
    </row>
    <row r="3793" spans="1:11" x14ac:dyDescent="0.25">
      <c r="A3793">
        <v>253351</v>
      </c>
      <c r="B3793" s="3">
        <v>46150</v>
      </c>
      <c r="C3793">
        <v>3</v>
      </c>
      <c r="D3793">
        <v>112.02</v>
      </c>
      <c r="E3793">
        <v>57918821</v>
      </c>
      <c r="J3793" t="s">
        <v>29</v>
      </c>
      <c r="K3793" t="str">
        <f>IF(Table3[[#This Row],[Type Received]]=2,"CC",(IF(Table3[[#This Row],[Type Received]]=3,"BILL","ACH")))</f>
        <v>BILL</v>
      </c>
    </row>
    <row r="3794" spans="1:11" x14ac:dyDescent="0.25">
      <c r="A3794">
        <v>253363</v>
      </c>
      <c r="B3794" s="3">
        <v>46157</v>
      </c>
      <c r="C3794">
        <v>1</v>
      </c>
      <c r="D3794">
        <v>33.79</v>
      </c>
      <c r="G3794" t="s">
        <v>87</v>
      </c>
      <c r="H3794">
        <v>696837612</v>
      </c>
      <c r="I3794" t="s">
        <v>29</v>
      </c>
      <c r="J3794" t="s">
        <v>29</v>
      </c>
      <c r="K3794" t="str">
        <f>IF(Table3[[#This Row],[Type Received]]=2,"CC",(IF(Table3[[#This Row],[Type Received]]=3,"BILL","ACH")))</f>
        <v>ACH</v>
      </c>
    </row>
    <row r="3795" spans="1:11" x14ac:dyDescent="0.25">
      <c r="A3795">
        <v>253364</v>
      </c>
      <c r="B3795" s="3">
        <v>46168</v>
      </c>
      <c r="C3795">
        <v>1</v>
      </c>
      <c r="D3795">
        <v>98.8</v>
      </c>
      <c r="G3795" t="s">
        <v>110</v>
      </c>
      <c r="H3795">
        <v>828231305</v>
      </c>
      <c r="I3795" t="s">
        <v>29</v>
      </c>
      <c r="K3795" t="str">
        <f>IF(Table3[[#This Row],[Type Received]]=2,"CC",(IF(Table3[[#This Row],[Type Received]]=3,"BILL","ACH")))</f>
        <v>ACH</v>
      </c>
    </row>
    <row r="3796" spans="1:11" x14ac:dyDescent="0.25">
      <c r="A3796">
        <v>253365</v>
      </c>
      <c r="B3796" s="3">
        <v>46144</v>
      </c>
      <c r="C3796">
        <v>1</v>
      </c>
      <c r="D3796">
        <v>102.43</v>
      </c>
      <c r="G3796" t="s">
        <v>89</v>
      </c>
      <c r="H3796">
        <v>535440176</v>
      </c>
      <c r="I3796" t="s">
        <v>29</v>
      </c>
      <c r="K3796" t="str">
        <f>IF(Table3[[#This Row],[Type Received]]=2,"CC",(IF(Table3[[#This Row],[Type Received]]=3,"BILL","ACH")))</f>
        <v>ACH</v>
      </c>
    </row>
    <row r="3797" spans="1:11" x14ac:dyDescent="0.25">
      <c r="A3797">
        <v>253378</v>
      </c>
      <c r="B3797" s="3">
        <v>46144</v>
      </c>
      <c r="C3797">
        <v>1</v>
      </c>
      <c r="D3797">
        <v>80.650000000000006</v>
      </c>
      <c r="G3797" t="s">
        <v>89</v>
      </c>
      <c r="H3797">
        <v>535437258</v>
      </c>
      <c r="I3797" t="s">
        <v>29</v>
      </c>
      <c r="K3797" t="str">
        <f>IF(Table3[[#This Row],[Type Received]]=2,"CC",(IF(Table3[[#This Row],[Type Received]]=3,"BILL","ACH")))</f>
        <v>ACH</v>
      </c>
    </row>
    <row r="3798" spans="1:11" x14ac:dyDescent="0.25">
      <c r="A3798">
        <v>253383</v>
      </c>
      <c r="B3798" s="3">
        <v>46155</v>
      </c>
      <c r="C3798">
        <v>1</v>
      </c>
      <c r="D3798">
        <v>99.46</v>
      </c>
      <c r="G3798" t="s">
        <v>90</v>
      </c>
      <c r="H3798">
        <v>669443847</v>
      </c>
      <c r="I3798" t="s">
        <v>29</v>
      </c>
      <c r="K3798" t="str">
        <f>IF(Table3[[#This Row],[Type Received]]=2,"CC",(IF(Table3[[#This Row],[Type Received]]=3,"BILL","ACH")))</f>
        <v>ACH</v>
      </c>
    </row>
    <row r="3799" spans="1:11" x14ac:dyDescent="0.25">
      <c r="A3799">
        <v>253392</v>
      </c>
      <c r="B3799" s="3">
        <v>46143</v>
      </c>
      <c r="C3799">
        <v>2</v>
      </c>
      <c r="D3799">
        <v>164.16</v>
      </c>
      <c r="F3799" t="s">
        <v>308</v>
      </c>
      <c r="G3799" s="4">
        <v>741374152</v>
      </c>
      <c r="H3799">
        <v>353219141</v>
      </c>
      <c r="K3799" t="str">
        <f>IF(Table3[[#This Row],[Type Received]]=2,"CC",(IF(Table3[[#This Row],[Type Received]]=3,"BILL","ACH")))</f>
        <v>CC</v>
      </c>
    </row>
    <row r="3800" spans="1:11" x14ac:dyDescent="0.25">
      <c r="A3800">
        <v>253394</v>
      </c>
      <c r="B3800" s="3">
        <v>46149</v>
      </c>
      <c r="C3800">
        <v>3</v>
      </c>
      <c r="D3800">
        <v>172.69</v>
      </c>
      <c r="E3800">
        <v>175</v>
      </c>
      <c r="K3800" t="str">
        <f>IF(Table3[[#This Row],[Type Received]]=2,"CC",(IF(Table3[[#This Row],[Type Received]]=3,"BILL","ACH")))</f>
        <v>BILL</v>
      </c>
    </row>
    <row r="3801" spans="1:11" x14ac:dyDescent="0.25">
      <c r="A3801">
        <v>253406</v>
      </c>
      <c r="B3801" s="3">
        <v>46144</v>
      </c>
      <c r="C3801">
        <v>1</v>
      </c>
      <c r="D3801">
        <v>109.69</v>
      </c>
      <c r="G3801" t="s">
        <v>89</v>
      </c>
      <c r="H3801">
        <v>535427675</v>
      </c>
      <c r="I3801" t="s">
        <v>29</v>
      </c>
      <c r="J3801" t="s">
        <v>29</v>
      </c>
      <c r="K3801" t="str">
        <f>IF(Table3[[#This Row],[Type Received]]=2,"CC",(IF(Table3[[#This Row],[Type Received]]=3,"BILL","ACH")))</f>
        <v>ACH</v>
      </c>
    </row>
    <row r="3802" spans="1:11" x14ac:dyDescent="0.25">
      <c r="A3802">
        <v>253409</v>
      </c>
      <c r="B3802" s="3">
        <v>46144</v>
      </c>
      <c r="C3802">
        <v>1</v>
      </c>
      <c r="D3802">
        <v>167.44</v>
      </c>
      <c r="G3802" s="4" t="s">
        <v>89</v>
      </c>
      <c r="H3802">
        <v>535443133</v>
      </c>
      <c r="I3802" t="s">
        <v>29</v>
      </c>
      <c r="J3802" t="s">
        <v>29</v>
      </c>
      <c r="K3802" t="str">
        <f>IF(Table3[[#This Row],[Type Received]]=2,"CC",(IF(Table3[[#This Row],[Type Received]]=3,"BILL","ACH")))</f>
        <v>ACH</v>
      </c>
    </row>
    <row r="3803" spans="1:11" x14ac:dyDescent="0.25">
      <c r="A3803">
        <v>253415</v>
      </c>
      <c r="B3803" s="3">
        <v>46144</v>
      </c>
      <c r="C3803">
        <v>1</v>
      </c>
      <c r="D3803">
        <v>62.17</v>
      </c>
      <c r="G3803" t="s">
        <v>89</v>
      </c>
      <c r="H3803">
        <v>535429600</v>
      </c>
      <c r="I3803" t="s">
        <v>29</v>
      </c>
      <c r="J3803" t="s">
        <v>29</v>
      </c>
      <c r="K3803" t="str">
        <f>IF(Table3[[#This Row],[Type Received]]=2,"CC",(IF(Table3[[#This Row],[Type Received]]=3,"BILL","ACH")))</f>
        <v>ACH</v>
      </c>
    </row>
    <row r="3804" spans="1:11" x14ac:dyDescent="0.25">
      <c r="A3804">
        <v>253417</v>
      </c>
      <c r="B3804" s="3">
        <v>46171</v>
      </c>
      <c r="C3804">
        <v>3</v>
      </c>
      <c r="D3804">
        <v>63.51</v>
      </c>
      <c r="E3804">
        <v>5636</v>
      </c>
      <c r="J3804" t="s">
        <v>29</v>
      </c>
      <c r="K3804" t="str">
        <f>IF(Table3[[#This Row],[Type Received]]=2,"CC",(IF(Table3[[#This Row],[Type Received]]=3,"BILL","ACH")))</f>
        <v>BILL</v>
      </c>
    </row>
    <row r="3805" spans="1:11" x14ac:dyDescent="0.25">
      <c r="A3805">
        <v>253422</v>
      </c>
      <c r="B3805" s="3">
        <v>46162</v>
      </c>
      <c r="C3805">
        <v>1</v>
      </c>
      <c r="D3805">
        <v>100.67</v>
      </c>
      <c r="G3805" t="s">
        <v>107</v>
      </c>
      <c r="H3805">
        <v>762317964</v>
      </c>
      <c r="I3805" t="s">
        <v>29</v>
      </c>
      <c r="K3805" t="str">
        <f>IF(Table3[[#This Row],[Type Received]]=2,"CC",(IF(Table3[[#This Row],[Type Received]]=3,"BILL","ACH")))</f>
        <v>ACH</v>
      </c>
    </row>
    <row r="3806" spans="1:11" x14ac:dyDescent="0.25">
      <c r="A3806">
        <v>253427</v>
      </c>
      <c r="B3806" s="3">
        <v>46144</v>
      </c>
      <c r="C3806">
        <v>1</v>
      </c>
      <c r="D3806">
        <v>53.59</v>
      </c>
      <c r="G3806" t="s">
        <v>89</v>
      </c>
      <c r="H3806">
        <v>535427712</v>
      </c>
      <c r="I3806" t="s">
        <v>29</v>
      </c>
      <c r="J3806" t="s">
        <v>29</v>
      </c>
      <c r="K3806" t="str">
        <f>IF(Table3[[#This Row],[Type Received]]=2,"CC",(IF(Table3[[#This Row],[Type Received]]=3,"BILL","ACH")))</f>
        <v>ACH</v>
      </c>
    </row>
    <row r="3807" spans="1:11" x14ac:dyDescent="0.25">
      <c r="A3807">
        <v>253434</v>
      </c>
      <c r="B3807" s="3">
        <v>46169</v>
      </c>
      <c r="C3807">
        <v>1</v>
      </c>
      <c r="D3807">
        <v>108.7</v>
      </c>
      <c r="G3807" t="s">
        <v>117</v>
      </c>
      <c r="H3807">
        <v>840838240</v>
      </c>
      <c r="I3807" t="s">
        <v>29</v>
      </c>
      <c r="J3807" t="s">
        <v>29</v>
      </c>
      <c r="K3807" t="str">
        <f>IF(Table3[[#This Row],[Type Received]]=2,"CC",(IF(Table3[[#This Row],[Type Received]]=3,"BILL","ACH")))</f>
        <v>ACH</v>
      </c>
    </row>
    <row r="3808" spans="1:11" x14ac:dyDescent="0.25">
      <c r="A3808">
        <v>253441</v>
      </c>
      <c r="B3808" s="3">
        <v>46167</v>
      </c>
      <c r="C3808">
        <v>1</v>
      </c>
      <c r="D3808">
        <v>61.95</v>
      </c>
      <c r="G3808" t="s">
        <v>85</v>
      </c>
      <c r="H3808">
        <v>818406583</v>
      </c>
      <c r="I3808" t="s">
        <v>29</v>
      </c>
      <c r="K3808" t="str">
        <f>IF(Table3[[#This Row],[Type Received]]=2,"CC",(IF(Table3[[#This Row],[Type Received]]=3,"BILL","ACH")))</f>
        <v>ACH</v>
      </c>
    </row>
    <row r="3809" spans="1:11" x14ac:dyDescent="0.25">
      <c r="A3809">
        <v>253444</v>
      </c>
      <c r="B3809" s="3">
        <v>46169</v>
      </c>
      <c r="C3809">
        <v>1</v>
      </c>
      <c r="D3809">
        <v>103.75</v>
      </c>
      <c r="G3809" s="4" t="s">
        <v>117</v>
      </c>
      <c r="H3809">
        <v>842236684</v>
      </c>
      <c r="I3809" t="s">
        <v>29</v>
      </c>
      <c r="J3809" t="s">
        <v>29</v>
      </c>
      <c r="K3809" t="str">
        <f>IF(Table3[[#This Row],[Type Received]]=2,"CC",(IF(Table3[[#This Row],[Type Received]]=3,"BILL","ACH")))</f>
        <v>ACH</v>
      </c>
    </row>
    <row r="3810" spans="1:11" x14ac:dyDescent="0.25">
      <c r="A3810">
        <v>253451</v>
      </c>
      <c r="B3810" s="3">
        <v>46157</v>
      </c>
      <c r="C3810">
        <v>1</v>
      </c>
      <c r="D3810">
        <v>103.75</v>
      </c>
      <c r="G3810" t="s">
        <v>87</v>
      </c>
      <c r="H3810">
        <v>696826913</v>
      </c>
      <c r="I3810" t="s">
        <v>29</v>
      </c>
      <c r="J3810" t="s">
        <v>29</v>
      </c>
      <c r="K3810" t="str">
        <f>IF(Table3[[#This Row],[Type Received]]=2,"CC",(IF(Table3[[#This Row],[Type Received]]=3,"BILL","ACH")))</f>
        <v>ACH</v>
      </c>
    </row>
    <row r="3811" spans="1:11" x14ac:dyDescent="0.25">
      <c r="A3811">
        <v>253452</v>
      </c>
      <c r="B3811" s="3">
        <v>46144</v>
      </c>
      <c r="C3811">
        <v>1</v>
      </c>
      <c r="D3811">
        <v>113.65</v>
      </c>
      <c r="G3811" t="s">
        <v>89</v>
      </c>
      <c r="H3811">
        <v>535445139</v>
      </c>
      <c r="I3811" t="s">
        <v>29</v>
      </c>
      <c r="J3811" t="s">
        <v>29</v>
      </c>
      <c r="K3811" t="str">
        <f>IF(Table3[[#This Row],[Type Received]]=2,"CC",(IF(Table3[[#This Row],[Type Received]]=3,"BILL","ACH")))</f>
        <v>ACH</v>
      </c>
    </row>
    <row r="3812" spans="1:11" x14ac:dyDescent="0.25">
      <c r="A3812">
        <v>253458</v>
      </c>
      <c r="B3812" s="3">
        <v>46155</v>
      </c>
      <c r="C3812">
        <v>1</v>
      </c>
      <c r="D3812">
        <v>97.15</v>
      </c>
      <c r="G3812" t="s">
        <v>90</v>
      </c>
      <c r="H3812">
        <v>669495984</v>
      </c>
      <c r="I3812" t="s">
        <v>29</v>
      </c>
      <c r="J3812" t="s">
        <v>29</v>
      </c>
      <c r="K3812" t="str">
        <f>IF(Table3[[#This Row],[Type Received]]=2,"CC",(IF(Table3[[#This Row],[Type Received]]=3,"BILL","ACH")))</f>
        <v>ACH</v>
      </c>
    </row>
    <row r="3813" spans="1:11" x14ac:dyDescent="0.25">
      <c r="A3813">
        <v>253476</v>
      </c>
      <c r="B3813" s="3">
        <v>46155</v>
      </c>
      <c r="C3813">
        <v>2</v>
      </c>
      <c r="D3813">
        <v>96.82</v>
      </c>
      <c r="F3813">
        <v>810479</v>
      </c>
      <c r="G3813" s="4" t="s">
        <v>28</v>
      </c>
      <c r="H3813">
        <v>669510360</v>
      </c>
      <c r="I3813" t="s">
        <v>29</v>
      </c>
      <c r="K3813" t="str">
        <f>IF(Table3[[#This Row],[Type Received]]=2,"CC",(IF(Table3[[#This Row],[Type Received]]=3,"BILL","ACH")))</f>
        <v>CC</v>
      </c>
    </row>
    <row r="3814" spans="1:11" x14ac:dyDescent="0.25">
      <c r="A3814">
        <v>253487</v>
      </c>
      <c r="B3814" s="3">
        <v>46144</v>
      </c>
      <c r="C3814">
        <v>1</v>
      </c>
      <c r="D3814">
        <v>49.63</v>
      </c>
      <c r="G3814" t="s">
        <v>89</v>
      </c>
      <c r="H3814">
        <v>535434419</v>
      </c>
      <c r="I3814" t="s">
        <v>29</v>
      </c>
      <c r="J3814" t="s">
        <v>29</v>
      </c>
      <c r="K3814" t="str">
        <f>IF(Table3[[#This Row],[Type Received]]=2,"CC",(IF(Table3[[#This Row],[Type Received]]=3,"BILL","ACH")))</f>
        <v>ACH</v>
      </c>
    </row>
    <row r="3815" spans="1:11" x14ac:dyDescent="0.25">
      <c r="A3815">
        <v>253504</v>
      </c>
      <c r="B3815" s="3">
        <v>46157</v>
      </c>
      <c r="C3815">
        <v>1</v>
      </c>
      <c r="D3815">
        <v>98.47</v>
      </c>
      <c r="G3815" t="s">
        <v>87</v>
      </c>
      <c r="H3815">
        <v>696825007</v>
      </c>
      <c r="I3815" t="s">
        <v>29</v>
      </c>
      <c r="J3815" t="s">
        <v>29</v>
      </c>
      <c r="K3815" t="str">
        <f>IF(Table3[[#This Row],[Type Received]]=2,"CC",(IF(Table3[[#This Row],[Type Received]]=3,"BILL","ACH")))</f>
        <v>ACH</v>
      </c>
    </row>
    <row r="3816" spans="1:11" x14ac:dyDescent="0.25">
      <c r="A3816">
        <v>253505</v>
      </c>
      <c r="B3816" s="3">
        <v>46157</v>
      </c>
      <c r="C3816">
        <v>1</v>
      </c>
      <c r="D3816">
        <v>51.94</v>
      </c>
      <c r="G3816" t="s">
        <v>87</v>
      </c>
      <c r="H3816">
        <v>696824019</v>
      </c>
      <c r="I3816" t="s">
        <v>29</v>
      </c>
      <c r="J3816" t="s">
        <v>29</v>
      </c>
      <c r="K3816" t="str">
        <f>IF(Table3[[#This Row],[Type Received]]=2,"CC",(IF(Table3[[#This Row],[Type Received]]=3,"BILL","ACH")))</f>
        <v>ACH</v>
      </c>
    </row>
    <row r="3817" spans="1:11" x14ac:dyDescent="0.25">
      <c r="A3817">
        <v>253509</v>
      </c>
      <c r="B3817" s="3">
        <v>46170</v>
      </c>
      <c r="C3817">
        <v>3</v>
      </c>
      <c r="D3817">
        <v>113.34</v>
      </c>
      <c r="E3817">
        <v>234733158</v>
      </c>
      <c r="K3817" t="str">
        <f>IF(Table3[[#This Row],[Type Received]]=2,"CC",(IF(Table3[[#This Row],[Type Received]]=3,"BILL","ACH")))</f>
        <v>BILL</v>
      </c>
    </row>
    <row r="3818" spans="1:11" x14ac:dyDescent="0.25">
      <c r="A3818">
        <v>253540</v>
      </c>
      <c r="B3818" s="3">
        <v>46157</v>
      </c>
      <c r="C3818">
        <v>1</v>
      </c>
      <c r="D3818">
        <v>103.09</v>
      </c>
      <c r="G3818" t="s">
        <v>87</v>
      </c>
      <c r="H3818">
        <v>696833699</v>
      </c>
      <c r="I3818" t="s">
        <v>29</v>
      </c>
      <c r="K3818" t="str">
        <f>IF(Table3[[#This Row],[Type Received]]=2,"CC",(IF(Table3[[#This Row],[Type Received]]=3,"BILL","ACH")))</f>
        <v>ACH</v>
      </c>
    </row>
    <row r="3819" spans="1:11" x14ac:dyDescent="0.25">
      <c r="A3819">
        <v>253542</v>
      </c>
      <c r="B3819" s="3">
        <v>46157</v>
      </c>
      <c r="C3819">
        <v>1</v>
      </c>
      <c r="D3819">
        <v>51.17</v>
      </c>
      <c r="G3819" s="4" t="s">
        <v>87</v>
      </c>
      <c r="H3819">
        <v>696824036</v>
      </c>
      <c r="I3819" t="s">
        <v>29</v>
      </c>
      <c r="J3819" t="s">
        <v>29</v>
      </c>
      <c r="K3819" t="str">
        <f>IF(Table3[[#This Row],[Type Received]]=2,"CC",(IF(Table3[[#This Row],[Type Received]]=3,"BILL","ACH")))</f>
        <v>ACH</v>
      </c>
    </row>
    <row r="3820" spans="1:11" x14ac:dyDescent="0.25">
      <c r="A3820">
        <v>253543</v>
      </c>
      <c r="B3820" s="3">
        <v>46168</v>
      </c>
      <c r="C3820">
        <v>1</v>
      </c>
      <c r="D3820">
        <v>94.51</v>
      </c>
      <c r="G3820" t="s">
        <v>110</v>
      </c>
      <c r="H3820">
        <v>828225113</v>
      </c>
      <c r="I3820" t="s">
        <v>29</v>
      </c>
      <c r="J3820" t="s">
        <v>29</v>
      </c>
      <c r="K3820" t="str">
        <f>IF(Table3[[#This Row],[Type Received]]=2,"CC",(IF(Table3[[#This Row],[Type Received]]=3,"BILL","ACH")))</f>
        <v>ACH</v>
      </c>
    </row>
    <row r="3821" spans="1:11" x14ac:dyDescent="0.25">
      <c r="A3821">
        <v>253564</v>
      </c>
      <c r="B3821" s="3">
        <v>46168</v>
      </c>
      <c r="C3821">
        <v>3</v>
      </c>
      <c r="D3821">
        <v>74.069999999999993</v>
      </c>
      <c r="E3821">
        <v>7483</v>
      </c>
      <c r="J3821" t="s">
        <v>29</v>
      </c>
      <c r="K3821" t="str">
        <f>IF(Table3[[#This Row],[Type Received]]=2,"CC",(IF(Table3[[#This Row],[Type Received]]=3,"BILL","ACH")))</f>
        <v>BILL</v>
      </c>
    </row>
    <row r="3822" spans="1:11" x14ac:dyDescent="0.25">
      <c r="A3822">
        <v>253574</v>
      </c>
      <c r="B3822" s="3">
        <v>46155</v>
      </c>
      <c r="C3822">
        <v>2</v>
      </c>
      <c r="D3822">
        <v>70.75</v>
      </c>
      <c r="F3822" t="s">
        <v>309</v>
      </c>
      <c r="G3822" t="s">
        <v>28</v>
      </c>
      <c r="H3822">
        <v>669503881</v>
      </c>
      <c r="I3822" t="s">
        <v>29</v>
      </c>
      <c r="K3822" t="str">
        <f>IF(Table3[[#This Row],[Type Received]]=2,"CC",(IF(Table3[[#This Row],[Type Received]]=3,"BILL","ACH")))</f>
        <v>CC</v>
      </c>
    </row>
    <row r="3823" spans="1:11" x14ac:dyDescent="0.25">
      <c r="A3823">
        <v>253586</v>
      </c>
      <c r="B3823" s="3">
        <v>46169</v>
      </c>
      <c r="C3823">
        <v>1</v>
      </c>
      <c r="D3823">
        <v>93.52</v>
      </c>
      <c r="G3823" s="4" t="s">
        <v>117</v>
      </c>
      <c r="H3823">
        <v>840882188</v>
      </c>
      <c r="I3823" t="s">
        <v>29</v>
      </c>
      <c r="K3823" t="str">
        <f>IF(Table3[[#This Row],[Type Received]]=2,"CC",(IF(Table3[[#This Row],[Type Received]]=3,"BILL","ACH")))</f>
        <v>ACH</v>
      </c>
    </row>
    <row r="3824" spans="1:11" x14ac:dyDescent="0.25">
      <c r="A3824">
        <v>253601</v>
      </c>
      <c r="B3824" s="3">
        <v>46155</v>
      </c>
      <c r="C3824">
        <v>2</v>
      </c>
      <c r="D3824">
        <v>110.35</v>
      </c>
      <c r="F3824">
        <v>13071</v>
      </c>
      <c r="G3824" t="s">
        <v>28</v>
      </c>
      <c r="H3824">
        <v>669460436</v>
      </c>
      <c r="I3824" t="s">
        <v>29</v>
      </c>
      <c r="K3824" t="str">
        <f>IF(Table3[[#This Row],[Type Received]]=2,"CC",(IF(Table3[[#This Row],[Type Received]]=3,"BILL","ACH")))</f>
        <v>CC</v>
      </c>
    </row>
    <row r="3825" spans="1:11" x14ac:dyDescent="0.25">
      <c r="A3825">
        <v>253615</v>
      </c>
      <c r="B3825" s="3">
        <v>46146</v>
      </c>
      <c r="C3825">
        <v>3</v>
      </c>
      <c r="D3825">
        <v>177.94</v>
      </c>
      <c r="E3825">
        <v>7165</v>
      </c>
      <c r="J3825" t="s">
        <v>29</v>
      </c>
      <c r="K3825" t="str">
        <f>IF(Table3[[#This Row],[Type Received]]=2,"CC",(IF(Table3[[#This Row],[Type Received]]=3,"BILL","ACH")))</f>
        <v>BILL</v>
      </c>
    </row>
    <row r="3826" spans="1:11" x14ac:dyDescent="0.25">
      <c r="A3826">
        <v>253629</v>
      </c>
      <c r="B3826" s="3">
        <v>46157</v>
      </c>
      <c r="C3826">
        <v>1</v>
      </c>
      <c r="D3826">
        <v>50.95</v>
      </c>
      <c r="G3826" t="s">
        <v>87</v>
      </c>
      <c r="H3826">
        <v>696827972</v>
      </c>
      <c r="I3826" t="s">
        <v>29</v>
      </c>
      <c r="J3826" t="s">
        <v>29</v>
      </c>
      <c r="K3826" t="str">
        <f>IF(Table3[[#This Row],[Type Received]]=2,"CC",(IF(Table3[[#This Row],[Type Received]]=3,"BILL","ACH")))</f>
        <v>ACH</v>
      </c>
    </row>
    <row r="3827" spans="1:11" x14ac:dyDescent="0.25">
      <c r="A3827">
        <v>253633</v>
      </c>
      <c r="B3827" s="3">
        <v>46144</v>
      </c>
      <c r="C3827">
        <v>2</v>
      </c>
      <c r="D3827">
        <v>94.41</v>
      </c>
      <c r="F3827">
        <v>74424</v>
      </c>
      <c r="G3827">
        <v>741651752</v>
      </c>
      <c r="H3827">
        <v>353296277</v>
      </c>
      <c r="K3827" t="str">
        <f>IF(Table3[[#This Row],[Type Received]]=2,"CC",(IF(Table3[[#This Row],[Type Received]]=3,"BILL","ACH")))</f>
        <v>CC</v>
      </c>
    </row>
    <row r="3828" spans="1:11" x14ac:dyDescent="0.25">
      <c r="A3828">
        <v>253636</v>
      </c>
      <c r="B3828" s="3">
        <v>46156</v>
      </c>
      <c r="C3828">
        <v>1</v>
      </c>
      <c r="D3828">
        <v>65.14</v>
      </c>
      <c r="G3828" t="s">
        <v>93</v>
      </c>
      <c r="H3828">
        <v>682528771</v>
      </c>
      <c r="I3828" t="s">
        <v>29</v>
      </c>
      <c r="J3828" t="s">
        <v>29</v>
      </c>
      <c r="K3828" t="str">
        <f>IF(Table3[[#This Row],[Type Received]]=2,"CC",(IF(Table3[[#This Row],[Type Received]]=3,"BILL","ACH")))</f>
        <v>ACH</v>
      </c>
    </row>
    <row r="3829" spans="1:11" x14ac:dyDescent="0.25">
      <c r="A3829">
        <v>253640</v>
      </c>
      <c r="B3829" s="3">
        <v>46169</v>
      </c>
      <c r="C3829">
        <v>1</v>
      </c>
      <c r="D3829">
        <v>130.15</v>
      </c>
      <c r="G3829" t="s">
        <v>117</v>
      </c>
      <c r="H3829">
        <v>840885151</v>
      </c>
      <c r="I3829" t="s">
        <v>29</v>
      </c>
      <c r="J3829" t="s">
        <v>29</v>
      </c>
      <c r="K3829" t="str">
        <f>IF(Table3[[#This Row],[Type Received]]=2,"CC",(IF(Table3[[#This Row],[Type Received]]=3,"BILL","ACH")))</f>
        <v>ACH</v>
      </c>
    </row>
    <row r="3830" spans="1:11" x14ac:dyDescent="0.25">
      <c r="A3830">
        <v>253653</v>
      </c>
      <c r="B3830" s="3">
        <v>46144</v>
      </c>
      <c r="C3830">
        <v>1</v>
      </c>
      <c r="D3830">
        <v>97.81</v>
      </c>
      <c r="G3830" t="s">
        <v>89</v>
      </c>
      <c r="H3830">
        <v>535432485</v>
      </c>
      <c r="I3830" t="s">
        <v>29</v>
      </c>
      <c r="K3830" t="str">
        <f>IF(Table3[[#This Row],[Type Received]]=2,"CC",(IF(Table3[[#This Row],[Type Received]]=3,"BILL","ACH")))</f>
        <v>ACH</v>
      </c>
    </row>
    <row r="3831" spans="1:11" x14ac:dyDescent="0.25">
      <c r="A3831">
        <v>253655</v>
      </c>
      <c r="B3831" s="3">
        <v>46146</v>
      </c>
      <c r="C3831">
        <v>2</v>
      </c>
      <c r="D3831">
        <v>121.59</v>
      </c>
      <c r="F3831">
        <v>4103</v>
      </c>
      <c r="G3831" t="s">
        <v>28</v>
      </c>
      <c r="H3831">
        <v>556577455</v>
      </c>
      <c r="I3831" t="s">
        <v>29</v>
      </c>
      <c r="J3831" t="s">
        <v>29</v>
      </c>
      <c r="K3831" t="str">
        <f>IF(Table3[[#This Row],[Type Received]]=2,"CC",(IF(Table3[[#This Row],[Type Received]]=3,"BILL","ACH")))</f>
        <v>CC</v>
      </c>
    </row>
    <row r="3832" spans="1:11" x14ac:dyDescent="0.25">
      <c r="A3832">
        <v>253660</v>
      </c>
      <c r="B3832" s="3">
        <v>46163</v>
      </c>
      <c r="C3832">
        <v>3</v>
      </c>
      <c r="D3832">
        <v>170.05</v>
      </c>
      <c r="E3832">
        <v>1063</v>
      </c>
      <c r="K3832" t="str">
        <f>IF(Table3[[#This Row],[Type Received]]=2,"CC",(IF(Table3[[#This Row],[Type Received]]=3,"BILL","ACH")))</f>
        <v>BILL</v>
      </c>
    </row>
    <row r="3833" spans="1:11" x14ac:dyDescent="0.25">
      <c r="A3833">
        <v>253687</v>
      </c>
      <c r="B3833" s="3">
        <v>46170</v>
      </c>
      <c r="C3833">
        <v>1</v>
      </c>
      <c r="D3833">
        <v>121.15</v>
      </c>
      <c r="G3833" t="s">
        <v>91</v>
      </c>
      <c r="H3833">
        <v>858344097</v>
      </c>
      <c r="I3833" t="s">
        <v>29</v>
      </c>
      <c r="J3833" t="s">
        <v>29</v>
      </c>
      <c r="K3833" t="str">
        <f>IF(Table3[[#This Row],[Type Received]]=2,"CC",(IF(Table3[[#This Row],[Type Received]]=3,"BILL","ACH")))</f>
        <v>ACH</v>
      </c>
    </row>
    <row r="3834" spans="1:11" x14ac:dyDescent="0.25">
      <c r="A3834">
        <v>253699</v>
      </c>
      <c r="B3834" s="3">
        <v>46146</v>
      </c>
      <c r="C3834">
        <v>1</v>
      </c>
      <c r="D3834">
        <v>81.64</v>
      </c>
      <c r="G3834" t="s">
        <v>92</v>
      </c>
      <c r="H3834">
        <v>558747924</v>
      </c>
      <c r="I3834" t="s">
        <v>29</v>
      </c>
      <c r="J3834" t="s">
        <v>29</v>
      </c>
      <c r="K3834" t="str">
        <f>IF(Table3[[#This Row],[Type Received]]=2,"CC",(IF(Table3[[#This Row],[Type Received]]=3,"BILL","ACH")))</f>
        <v>ACH</v>
      </c>
    </row>
    <row r="3835" spans="1:11" x14ac:dyDescent="0.25">
      <c r="A3835">
        <v>253757</v>
      </c>
      <c r="B3835" s="3">
        <v>46169</v>
      </c>
      <c r="C3835">
        <v>1</v>
      </c>
      <c r="D3835">
        <v>39.950000000000003</v>
      </c>
      <c r="G3835" t="s">
        <v>117</v>
      </c>
      <c r="H3835">
        <v>840872573</v>
      </c>
      <c r="I3835" t="s">
        <v>29</v>
      </c>
      <c r="J3835" t="s">
        <v>29</v>
      </c>
      <c r="K3835" t="str">
        <f>IF(Table3[[#This Row],[Type Received]]=2,"CC",(IF(Table3[[#This Row],[Type Received]]=3,"BILL","ACH")))</f>
        <v>ACH</v>
      </c>
    </row>
    <row r="3836" spans="1:11" x14ac:dyDescent="0.25">
      <c r="A3836">
        <v>253762</v>
      </c>
      <c r="B3836" s="3">
        <v>46147</v>
      </c>
      <c r="C3836">
        <v>3</v>
      </c>
      <c r="D3836">
        <v>55.92</v>
      </c>
      <c r="E3836">
        <v>1020</v>
      </c>
      <c r="K3836" t="str">
        <f>IF(Table3[[#This Row],[Type Received]]=2,"CC",(IF(Table3[[#This Row],[Type Received]]=3,"BILL","ACH")))</f>
        <v>BILL</v>
      </c>
    </row>
    <row r="3837" spans="1:11" x14ac:dyDescent="0.25">
      <c r="A3837">
        <v>253763</v>
      </c>
      <c r="B3837" s="3">
        <v>46157</v>
      </c>
      <c r="C3837">
        <v>1</v>
      </c>
      <c r="D3837">
        <v>95.17</v>
      </c>
      <c r="G3837" t="s">
        <v>87</v>
      </c>
      <c r="H3837">
        <v>696611269</v>
      </c>
      <c r="I3837" t="s">
        <v>29</v>
      </c>
      <c r="K3837" t="str">
        <f>IF(Table3[[#This Row],[Type Received]]=2,"CC",(IF(Table3[[#This Row],[Type Received]]=3,"BILL","ACH")))</f>
        <v>ACH</v>
      </c>
    </row>
    <row r="3838" spans="1:11" x14ac:dyDescent="0.25">
      <c r="A3838">
        <v>253779</v>
      </c>
      <c r="B3838" s="3">
        <v>46155</v>
      </c>
      <c r="C3838">
        <v>2</v>
      </c>
      <c r="D3838">
        <v>72.400000000000006</v>
      </c>
      <c r="F3838">
        <v>903150</v>
      </c>
      <c r="G3838" t="s">
        <v>28</v>
      </c>
      <c r="H3838">
        <v>669499002</v>
      </c>
      <c r="I3838" t="s">
        <v>29</v>
      </c>
      <c r="K3838" t="str">
        <f>IF(Table3[[#This Row],[Type Received]]=2,"CC",(IF(Table3[[#This Row],[Type Received]]=3,"BILL","ACH")))</f>
        <v>CC</v>
      </c>
    </row>
    <row r="3839" spans="1:11" x14ac:dyDescent="0.25">
      <c r="A3839">
        <v>253784</v>
      </c>
      <c r="B3839" s="3">
        <v>46169</v>
      </c>
      <c r="C3839">
        <v>1</v>
      </c>
      <c r="D3839">
        <v>59.2</v>
      </c>
      <c r="G3839" t="s">
        <v>117</v>
      </c>
      <c r="H3839">
        <v>840888107</v>
      </c>
      <c r="I3839" t="s">
        <v>29</v>
      </c>
      <c r="J3839" t="s">
        <v>29</v>
      </c>
      <c r="K3839" t="str">
        <f>IF(Table3[[#This Row],[Type Received]]=2,"CC",(IF(Table3[[#This Row],[Type Received]]=3,"BILL","ACH")))</f>
        <v>ACH</v>
      </c>
    </row>
    <row r="3840" spans="1:11" x14ac:dyDescent="0.25">
      <c r="A3840">
        <v>253797</v>
      </c>
      <c r="B3840" s="3">
        <v>46157</v>
      </c>
      <c r="C3840">
        <v>1</v>
      </c>
      <c r="D3840">
        <v>35.770000000000003</v>
      </c>
      <c r="G3840" t="s">
        <v>87</v>
      </c>
      <c r="H3840">
        <v>696824055</v>
      </c>
      <c r="I3840" t="s">
        <v>29</v>
      </c>
      <c r="J3840" t="s">
        <v>29</v>
      </c>
      <c r="K3840" t="str">
        <f>IF(Table3[[#This Row],[Type Received]]=2,"CC",(IF(Table3[[#This Row],[Type Received]]=3,"BILL","ACH")))</f>
        <v>ACH</v>
      </c>
    </row>
    <row r="3841" spans="1:11" x14ac:dyDescent="0.25">
      <c r="A3841">
        <v>253815</v>
      </c>
      <c r="B3841" s="3">
        <v>46171</v>
      </c>
      <c r="C3841">
        <v>2</v>
      </c>
      <c r="D3841">
        <v>104.46</v>
      </c>
      <c r="F3841">
        <v>91311</v>
      </c>
      <c r="G3841" t="s">
        <v>28</v>
      </c>
      <c r="H3841">
        <v>866970540</v>
      </c>
      <c r="I3841" t="s">
        <v>29</v>
      </c>
      <c r="J3841" t="s">
        <v>29</v>
      </c>
      <c r="K3841" t="str">
        <f>IF(Table3[[#This Row],[Type Received]]=2,"CC",(IF(Table3[[#This Row],[Type Received]]=3,"BILL","ACH")))</f>
        <v>CC</v>
      </c>
    </row>
    <row r="3842" spans="1:11" x14ac:dyDescent="0.25">
      <c r="A3842">
        <v>253818</v>
      </c>
      <c r="B3842" s="3">
        <v>46169</v>
      </c>
      <c r="C3842">
        <v>1</v>
      </c>
      <c r="D3842">
        <v>92.86</v>
      </c>
      <c r="G3842" t="s">
        <v>117</v>
      </c>
      <c r="H3842">
        <v>840867883</v>
      </c>
      <c r="I3842" t="s">
        <v>29</v>
      </c>
      <c r="K3842" t="str">
        <f>IF(Table3[[#This Row],[Type Received]]=2,"CC",(IF(Table3[[#This Row],[Type Received]]=3,"BILL","ACH")))</f>
        <v>ACH</v>
      </c>
    </row>
    <row r="3843" spans="1:11" x14ac:dyDescent="0.25">
      <c r="A3843">
        <v>253835</v>
      </c>
      <c r="B3843" s="3">
        <v>46148</v>
      </c>
      <c r="C3843">
        <v>2</v>
      </c>
      <c r="D3843">
        <v>86.42</v>
      </c>
      <c r="F3843">
        <v>848379</v>
      </c>
      <c r="G3843" t="s">
        <v>28</v>
      </c>
      <c r="H3843">
        <v>587051363</v>
      </c>
      <c r="I3843" t="s">
        <v>29</v>
      </c>
      <c r="J3843" t="s">
        <v>29</v>
      </c>
      <c r="K3843" t="str">
        <f>IF(Table3[[#This Row],[Type Received]]=2,"CC",(IF(Table3[[#This Row],[Type Received]]=3,"BILL","ACH")))</f>
        <v>CC</v>
      </c>
    </row>
    <row r="3844" spans="1:11" x14ac:dyDescent="0.25">
      <c r="A3844">
        <v>253845</v>
      </c>
      <c r="B3844" s="3">
        <v>46157</v>
      </c>
      <c r="C3844">
        <v>1</v>
      </c>
      <c r="D3844">
        <v>117.94</v>
      </c>
      <c r="G3844" s="4" t="s">
        <v>87</v>
      </c>
      <c r="H3844">
        <v>696849150</v>
      </c>
      <c r="I3844" t="s">
        <v>29</v>
      </c>
      <c r="J3844" t="s">
        <v>29</v>
      </c>
      <c r="K3844" t="str">
        <f>IF(Table3[[#This Row],[Type Received]]=2,"CC",(IF(Table3[[#This Row],[Type Received]]=3,"BILL","ACH")))</f>
        <v>ACH</v>
      </c>
    </row>
    <row r="3845" spans="1:11" x14ac:dyDescent="0.25">
      <c r="A3845">
        <v>253846</v>
      </c>
      <c r="B3845" s="3">
        <v>46157</v>
      </c>
      <c r="C3845">
        <v>1</v>
      </c>
      <c r="D3845">
        <v>38.85</v>
      </c>
      <c r="G3845" t="s">
        <v>87</v>
      </c>
      <c r="H3845">
        <v>696833749</v>
      </c>
      <c r="I3845" t="s">
        <v>29</v>
      </c>
      <c r="K3845" t="str">
        <f>IF(Table3[[#This Row],[Type Received]]=2,"CC",(IF(Table3[[#This Row],[Type Received]]=3,"BILL","ACH")))</f>
        <v>ACH</v>
      </c>
    </row>
    <row r="3846" spans="1:11" x14ac:dyDescent="0.25">
      <c r="A3846">
        <v>253854</v>
      </c>
      <c r="B3846" s="3">
        <v>46147</v>
      </c>
      <c r="C3846">
        <v>2</v>
      </c>
      <c r="D3846">
        <v>107.98</v>
      </c>
      <c r="F3846">
        <v>657045</v>
      </c>
      <c r="G3846" t="s">
        <v>28</v>
      </c>
      <c r="H3846">
        <v>572071989</v>
      </c>
      <c r="I3846" t="s">
        <v>29</v>
      </c>
      <c r="J3846" t="s">
        <v>29</v>
      </c>
      <c r="K3846" t="str">
        <f>IF(Table3[[#This Row],[Type Received]]=2,"CC",(IF(Table3[[#This Row],[Type Received]]=3,"BILL","ACH")))</f>
        <v>CC</v>
      </c>
    </row>
    <row r="3847" spans="1:11" x14ac:dyDescent="0.25">
      <c r="A3847">
        <v>253864</v>
      </c>
      <c r="B3847" s="3">
        <v>46144</v>
      </c>
      <c r="C3847">
        <v>1</v>
      </c>
      <c r="D3847">
        <v>177.67</v>
      </c>
      <c r="G3847" t="s">
        <v>89</v>
      </c>
      <c r="H3847">
        <v>535420000</v>
      </c>
      <c r="I3847" t="s">
        <v>29</v>
      </c>
      <c r="J3847" t="s">
        <v>29</v>
      </c>
      <c r="K3847" t="str">
        <f>IF(Table3[[#This Row],[Type Received]]=2,"CC",(IF(Table3[[#This Row],[Type Received]]=3,"BILL","ACH")))</f>
        <v>ACH</v>
      </c>
    </row>
    <row r="3848" spans="1:11" x14ac:dyDescent="0.25">
      <c r="A3848">
        <v>253865</v>
      </c>
      <c r="B3848" s="3">
        <v>46155</v>
      </c>
      <c r="C3848">
        <v>1</v>
      </c>
      <c r="D3848">
        <v>92.53</v>
      </c>
      <c r="G3848" s="4" t="s">
        <v>90</v>
      </c>
      <c r="H3848">
        <v>669500985</v>
      </c>
      <c r="I3848" t="s">
        <v>29</v>
      </c>
      <c r="J3848" t="s">
        <v>29</v>
      </c>
      <c r="K3848" t="str">
        <f>IF(Table3[[#This Row],[Type Received]]=2,"CC",(IF(Table3[[#This Row],[Type Received]]=3,"BILL","ACH")))</f>
        <v>ACH</v>
      </c>
    </row>
    <row r="3849" spans="1:11" x14ac:dyDescent="0.25">
      <c r="A3849">
        <v>253866</v>
      </c>
      <c r="B3849" s="3">
        <v>46155</v>
      </c>
      <c r="C3849">
        <v>1</v>
      </c>
      <c r="D3849">
        <v>38.630000000000003</v>
      </c>
      <c r="G3849" s="4" t="s">
        <v>90</v>
      </c>
      <c r="H3849">
        <v>669505873</v>
      </c>
      <c r="I3849" t="s">
        <v>29</v>
      </c>
      <c r="J3849" t="s">
        <v>29</v>
      </c>
      <c r="K3849" t="str">
        <f>IF(Table3[[#This Row],[Type Received]]=2,"CC",(IF(Table3[[#This Row],[Type Received]]=3,"BILL","ACH")))</f>
        <v>ACH</v>
      </c>
    </row>
    <row r="3850" spans="1:11" x14ac:dyDescent="0.25">
      <c r="A3850">
        <v>253875</v>
      </c>
      <c r="B3850" s="3">
        <v>46168</v>
      </c>
      <c r="C3850">
        <v>3</v>
      </c>
      <c r="D3850">
        <v>126.87</v>
      </c>
      <c r="E3850">
        <v>1149738926</v>
      </c>
      <c r="K3850" t="str">
        <f>IF(Table3[[#This Row],[Type Received]]=2,"CC",(IF(Table3[[#This Row],[Type Received]]=3,"BILL","ACH")))</f>
        <v>BILL</v>
      </c>
    </row>
    <row r="3851" spans="1:11" x14ac:dyDescent="0.25">
      <c r="A3851">
        <v>253887</v>
      </c>
      <c r="B3851" s="3">
        <v>46155</v>
      </c>
      <c r="C3851">
        <v>1</v>
      </c>
      <c r="D3851">
        <v>53.37</v>
      </c>
      <c r="G3851" t="s">
        <v>90</v>
      </c>
      <c r="H3851">
        <v>669501012</v>
      </c>
      <c r="I3851" t="s">
        <v>29</v>
      </c>
      <c r="K3851" t="str">
        <f>IF(Table3[[#This Row],[Type Received]]=2,"CC",(IF(Table3[[#This Row],[Type Received]]=3,"BILL","ACH")))</f>
        <v>ACH</v>
      </c>
    </row>
    <row r="3852" spans="1:11" x14ac:dyDescent="0.25">
      <c r="A3852">
        <v>253902</v>
      </c>
      <c r="B3852" s="3">
        <v>46155</v>
      </c>
      <c r="C3852">
        <v>1</v>
      </c>
      <c r="D3852">
        <v>114.97</v>
      </c>
      <c r="G3852" t="s">
        <v>90</v>
      </c>
      <c r="H3852">
        <v>669503974</v>
      </c>
      <c r="I3852" t="s">
        <v>29</v>
      </c>
      <c r="J3852" t="s">
        <v>29</v>
      </c>
      <c r="K3852" t="str">
        <f>IF(Table3[[#This Row],[Type Received]]=2,"CC",(IF(Table3[[#This Row],[Type Received]]=3,"BILL","ACH")))</f>
        <v>ACH</v>
      </c>
    </row>
    <row r="3853" spans="1:11" x14ac:dyDescent="0.25">
      <c r="A3853">
        <v>253931</v>
      </c>
      <c r="B3853" s="3">
        <v>46144</v>
      </c>
      <c r="C3853">
        <v>1</v>
      </c>
      <c r="D3853">
        <v>92.97</v>
      </c>
      <c r="G3853" t="s">
        <v>89</v>
      </c>
      <c r="H3853">
        <v>535322084</v>
      </c>
      <c r="I3853" t="s">
        <v>29</v>
      </c>
      <c r="K3853" t="str">
        <f>IF(Table3[[#This Row],[Type Received]]=2,"CC",(IF(Table3[[#This Row],[Type Received]]=3,"BILL","ACH")))</f>
        <v>ACH</v>
      </c>
    </row>
    <row r="3854" spans="1:11" x14ac:dyDescent="0.25">
      <c r="A3854">
        <v>254145</v>
      </c>
      <c r="B3854" s="3">
        <v>46166</v>
      </c>
      <c r="C3854">
        <v>1</v>
      </c>
      <c r="D3854">
        <v>113.32</v>
      </c>
      <c r="G3854" t="s">
        <v>310</v>
      </c>
      <c r="H3854">
        <v>808472515</v>
      </c>
      <c r="I3854" t="s">
        <v>29</v>
      </c>
      <c r="K3854" t="str">
        <f>IF(Table3[[#This Row],[Type Received]]=2,"CC",(IF(Table3[[#This Row],[Type Received]]=3,"BILL","ACH")))</f>
        <v>ACH</v>
      </c>
    </row>
    <row r="3855" spans="1:11" x14ac:dyDescent="0.25">
      <c r="A3855">
        <v>254160</v>
      </c>
      <c r="B3855" s="3">
        <v>46166</v>
      </c>
      <c r="C3855">
        <v>1</v>
      </c>
      <c r="D3855">
        <v>102.43</v>
      </c>
      <c r="G3855" t="s">
        <v>310</v>
      </c>
      <c r="H3855">
        <v>808481275</v>
      </c>
      <c r="I3855" t="s">
        <v>29</v>
      </c>
      <c r="K3855" t="str">
        <f>IF(Table3[[#This Row],[Type Received]]=2,"CC",(IF(Table3[[#This Row],[Type Received]]=3,"BILL","ACH")))</f>
        <v>ACH</v>
      </c>
    </row>
    <row r="3856" spans="1:11" x14ac:dyDescent="0.25">
      <c r="A3856">
        <v>254161</v>
      </c>
      <c r="B3856" s="3">
        <v>46155</v>
      </c>
      <c r="C3856">
        <v>1</v>
      </c>
      <c r="D3856">
        <v>87.91</v>
      </c>
      <c r="G3856" s="4" t="s">
        <v>90</v>
      </c>
      <c r="H3856">
        <v>669458488</v>
      </c>
      <c r="I3856" t="s">
        <v>29</v>
      </c>
      <c r="J3856" t="s">
        <v>29</v>
      </c>
      <c r="K3856" t="str">
        <f>IF(Table3[[#This Row],[Type Received]]=2,"CC",(IF(Table3[[#This Row],[Type Received]]=3,"BILL","ACH")))</f>
        <v>ACH</v>
      </c>
    </row>
    <row r="3857" spans="1:11" x14ac:dyDescent="0.25">
      <c r="A3857">
        <v>254163</v>
      </c>
      <c r="B3857" s="3">
        <v>46166</v>
      </c>
      <c r="C3857">
        <v>1</v>
      </c>
      <c r="D3857">
        <v>62.17</v>
      </c>
      <c r="G3857" t="s">
        <v>310</v>
      </c>
      <c r="H3857">
        <v>808483249</v>
      </c>
      <c r="I3857" t="s">
        <v>29</v>
      </c>
      <c r="K3857" t="str">
        <f>IF(Table3[[#This Row],[Type Received]]=2,"CC",(IF(Table3[[#This Row],[Type Received]]=3,"BILL","ACH")))</f>
        <v>ACH</v>
      </c>
    </row>
    <row r="3858" spans="1:11" x14ac:dyDescent="0.25">
      <c r="A3858">
        <v>254186</v>
      </c>
      <c r="B3858" s="3">
        <v>46149</v>
      </c>
      <c r="C3858">
        <v>3</v>
      </c>
      <c r="D3858">
        <v>134.41</v>
      </c>
      <c r="E3858">
        <v>4051</v>
      </c>
      <c r="J3858" t="s">
        <v>29</v>
      </c>
      <c r="K3858" t="str">
        <f>IF(Table3[[#This Row],[Type Received]]=2,"CC",(IF(Table3[[#This Row],[Type Received]]=3,"BILL","ACH")))</f>
        <v>BILL</v>
      </c>
    </row>
    <row r="3859" spans="1:11" x14ac:dyDescent="0.25">
      <c r="A3859">
        <v>254200</v>
      </c>
      <c r="B3859" s="3">
        <v>46166</v>
      </c>
      <c r="C3859">
        <v>1</v>
      </c>
      <c r="D3859">
        <v>68.55</v>
      </c>
      <c r="G3859" t="s">
        <v>310</v>
      </c>
      <c r="H3859">
        <v>808478359</v>
      </c>
      <c r="I3859" t="s">
        <v>29</v>
      </c>
      <c r="J3859" t="s">
        <v>29</v>
      </c>
      <c r="K3859" t="str">
        <f>IF(Table3[[#This Row],[Type Received]]=2,"CC",(IF(Table3[[#This Row],[Type Received]]=3,"BILL","ACH")))</f>
        <v>ACH</v>
      </c>
    </row>
    <row r="3860" spans="1:11" x14ac:dyDescent="0.25">
      <c r="A3860">
        <v>254217</v>
      </c>
      <c r="B3860" s="3">
        <v>46166</v>
      </c>
      <c r="C3860">
        <v>1</v>
      </c>
      <c r="D3860">
        <v>51.94</v>
      </c>
      <c r="G3860" t="s">
        <v>310</v>
      </c>
      <c r="H3860">
        <v>808470568</v>
      </c>
      <c r="I3860" t="s">
        <v>29</v>
      </c>
      <c r="J3860" t="s">
        <v>29</v>
      </c>
      <c r="K3860" t="str">
        <f>IF(Table3[[#This Row],[Type Received]]=2,"CC",(IF(Table3[[#This Row],[Type Received]]=3,"BILL","ACH")))</f>
        <v>ACH</v>
      </c>
    </row>
    <row r="3861" spans="1:11" x14ac:dyDescent="0.25">
      <c r="A3861">
        <v>254221</v>
      </c>
      <c r="B3861" s="3">
        <v>46145</v>
      </c>
      <c r="C3861">
        <v>1</v>
      </c>
      <c r="D3861">
        <v>99.13</v>
      </c>
      <c r="G3861" t="s">
        <v>113</v>
      </c>
      <c r="H3861">
        <v>546397889</v>
      </c>
      <c r="I3861" t="s">
        <v>29</v>
      </c>
      <c r="K3861" t="str">
        <f>IF(Table3[[#This Row],[Type Received]]=2,"CC",(IF(Table3[[#This Row],[Type Received]]=3,"BILL","ACH")))</f>
        <v>ACH</v>
      </c>
    </row>
    <row r="3862" spans="1:11" x14ac:dyDescent="0.25">
      <c r="A3862">
        <v>254227</v>
      </c>
      <c r="B3862" s="3">
        <v>46169</v>
      </c>
      <c r="C3862">
        <v>1</v>
      </c>
      <c r="D3862">
        <v>54.03</v>
      </c>
      <c r="G3862" t="s">
        <v>117</v>
      </c>
      <c r="H3862">
        <v>840873616</v>
      </c>
      <c r="I3862" t="s">
        <v>29</v>
      </c>
      <c r="K3862" t="str">
        <f>IF(Table3[[#This Row],[Type Received]]=2,"CC",(IF(Table3[[#This Row],[Type Received]]=3,"BILL","ACH")))</f>
        <v>ACH</v>
      </c>
    </row>
    <row r="3863" spans="1:11" x14ac:dyDescent="0.25">
      <c r="A3863">
        <v>253947</v>
      </c>
      <c r="B3863" s="3">
        <v>46144</v>
      </c>
      <c r="C3863">
        <v>1</v>
      </c>
      <c r="D3863">
        <v>53.92</v>
      </c>
      <c r="G3863" s="4" t="s">
        <v>89</v>
      </c>
      <c r="H3863">
        <v>535433481</v>
      </c>
      <c r="I3863" t="s">
        <v>29</v>
      </c>
      <c r="J3863" t="s">
        <v>29</v>
      </c>
      <c r="K3863" t="str">
        <f>IF(Table3[[#This Row],[Type Received]]=2,"CC",(IF(Table3[[#This Row],[Type Received]]=3,"BILL","ACH")))</f>
        <v>ACH</v>
      </c>
    </row>
    <row r="3864" spans="1:11" x14ac:dyDescent="0.25">
      <c r="A3864">
        <v>253970</v>
      </c>
      <c r="B3864" s="3">
        <v>46155</v>
      </c>
      <c r="C3864">
        <v>1</v>
      </c>
      <c r="D3864">
        <v>108.04</v>
      </c>
      <c r="G3864" s="4" t="s">
        <v>90</v>
      </c>
      <c r="H3864">
        <v>669513391</v>
      </c>
      <c r="I3864" t="s">
        <v>29</v>
      </c>
      <c r="K3864" t="str">
        <f>IF(Table3[[#This Row],[Type Received]]=2,"CC",(IF(Table3[[#This Row],[Type Received]]=3,"BILL","ACH")))</f>
        <v>ACH</v>
      </c>
    </row>
    <row r="3865" spans="1:11" x14ac:dyDescent="0.25">
      <c r="A3865">
        <v>253973</v>
      </c>
      <c r="B3865" s="3">
        <v>46169</v>
      </c>
      <c r="C3865">
        <v>1</v>
      </c>
      <c r="D3865">
        <v>74.27</v>
      </c>
      <c r="G3865" t="s">
        <v>117</v>
      </c>
      <c r="H3865">
        <v>840874596</v>
      </c>
      <c r="I3865" t="s">
        <v>29</v>
      </c>
      <c r="K3865" t="str">
        <f>IF(Table3[[#This Row],[Type Received]]=2,"CC",(IF(Table3[[#This Row],[Type Received]]=3,"BILL","ACH")))</f>
        <v>ACH</v>
      </c>
    </row>
    <row r="3866" spans="1:11" x14ac:dyDescent="0.25">
      <c r="A3866">
        <v>253978</v>
      </c>
      <c r="B3866" s="3">
        <v>46157</v>
      </c>
      <c r="C3866">
        <v>2</v>
      </c>
      <c r="D3866">
        <v>46.55</v>
      </c>
      <c r="F3866">
        <v>15110</v>
      </c>
      <c r="G3866" t="s">
        <v>28</v>
      </c>
      <c r="H3866">
        <v>696833766</v>
      </c>
      <c r="I3866" t="s">
        <v>29</v>
      </c>
      <c r="K3866" t="str">
        <f>IF(Table3[[#This Row],[Type Received]]=2,"CC",(IF(Table3[[#This Row],[Type Received]]=3,"BILL","ACH")))</f>
        <v>CC</v>
      </c>
    </row>
    <row r="3867" spans="1:11" x14ac:dyDescent="0.25">
      <c r="A3867">
        <v>253990</v>
      </c>
      <c r="B3867" s="3">
        <v>46155</v>
      </c>
      <c r="C3867">
        <v>1</v>
      </c>
      <c r="D3867">
        <v>70.42</v>
      </c>
      <c r="G3867" t="s">
        <v>90</v>
      </c>
      <c r="H3867">
        <v>669504756</v>
      </c>
      <c r="I3867" t="s">
        <v>29</v>
      </c>
      <c r="J3867" t="s">
        <v>29</v>
      </c>
      <c r="K3867" t="str">
        <f>IF(Table3[[#This Row],[Type Received]]=2,"CC",(IF(Table3[[#This Row],[Type Received]]=3,"BILL","ACH")))</f>
        <v>ACH</v>
      </c>
    </row>
    <row r="3868" spans="1:11" x14ac:dyDescent="0.25">
      <c r="A3868">
        <v>253992</v>
      </c>
      <c r="B3868" s="3">
        <v>46155</v>
      </c>
      <c r="C3868">
        <v>1</v>
      </c>
      <c r="D3868">
        <v>59.86</v>
      </c>
      <c r="G3868" t="s">
        <v>90</v>
      </c>
      <c r="H3868">
        <v>669499948</v>
      </c>
      <c r="I3868" t="s">
        <v>29</v>
      </c>
      <c r="K3868" t="str">
        <f>IF(Table3[[#This Row],[Type Received]]=2,"CC",(IF(Table3[[#This Row],[Type Received]]=3,"BILL","ACH")))</f>
        <v>ACH</v>
      </c>
    </row>
    <row r="3869" spans="1:11" x14ac:dyDescent="0.25">
      <c r="A3869">
        <v>253996</v>
      </c>
      <c r="B3869" s="3">
        <v>46148</v>
      </c>
      <c r="C3869">
        <v>2</v>
      </c>
      <c r="D3869">
        <v>105.56</v>
      </c>
      <c r="F3869">
        <v>365874</v>
      </c>
      <c r="G3869" t="s">
        <v>28</v>
      </c>
      <c r="H3869">
        <v>585592409</v>
      </c>
      <c r="I3869" t="s">
        <v>29</v>
      </c>
      <c r="J3869" t="s">
        <v>29</v>
      </c>
      <c r="K3869" t="str">
        <f>IF(Table3[[#This Row],[Type Received]]=2,"CC",(IF(Table3[[#This Row],[Type Received]]=3,"BILL","ACH")))</f>
        <v>CC</v>
      </c>
    </row>
    <row r="3870" spans="1:11" x14ac:dyDescent="0.25">
      <c r="A3870">
        <v>254012</v>
      </c>
      <c r="B3870" s="3">
        <v>46161</v>
      </c>
      <c r="C3870">
        <v>1</v>
      </c>
      <c r="D3870">
        <v>61.95</v>
      </c>
      <c r="G3870" t="s">
        <v>220</v>
      </c>
      <c r="H3870">
        <v>745078118</v>
      </c>
      <c r="I3870" t="s">
        <v>29</v>
      </c>
      <c r="J3870" t="s">
        <v>29</v>
      </c>
      <c r="K3870" t="str">
        <f>IF(Table3[[#This Row],[Type Received]]=2,"CC",(IF(Table3[[#This Row],[Type Received]]=3,"BILL","ACH")))</f>
        <v>ACH</v>
      </c>
    </row>
    <row r="3871" spans="1:11" x14ac:dyDescent="0.25">
      <c r="A3871">
        <v>254019</v>
      </c>
      <c r="B3871" s="3">
        <v>46146</v>
      </c>
      <c r="C3871">
        <v>3</v>
      </c>
      <c r="D3871">
        <v>63.61</v>
      </c>
      <c r="E3871">
        <v>9079</v>
      </c>
      <c r="J3871" t="s">
        <v>29</v>
      </c>
      <c r="K3871" t="str">
        <f>IF(Table3[[#This Row],[Type Received]]=2,"CC",(IF(Table3[[#This Row],[Type Received]]=3,"BILL","ACH")))</f>
        <v>BILL</v>
      </c>
    </row>
    <row r="3872" spans="1:11" x14ac:dyDescent="0.25">
      <c r="A3872">
        <v>254022</v>
      </c>
      <c r="B3872" s="3">
        <v>46155</v>
      </c>
      <c r="C3872">
        <v>2</v>
      </c>
      <c r="D3872">
        <v>59.2</v>
      </c>
      <c r="F3872">
        <v>185302</v>
      </c>
      <c r="G3872" s="4" t="s">
        <v>28</v>
      </c>
      <c r="H3872">
        <v>669500967</v>
      </c>
      <c r="I3872" t="s">
        <v>29</v>
      </c>
      <c r="J3872" t="s">
        <v>29</v>
      </c>
      <c r="K3872" t="str">
        <f>IF(Table3[[#This Row],[Type Received]]=2,"CC",(IF(Table3[[#This Row],[Type Received]]=3,"BILL","ACH")))</f>
        <v>CC</v>
      </c>
    </row>
    <row r="3873" spans="1:11" x14ac:dyDescent="0.25">
      <c r="A3873">
        <v>254025</v>
      </c>
      <c r="B3873" s="3">
        <v>46169</v>
      </c>
      <c r="C3873">
        <v>1</v>
      </c>
      <c r="D3873">
        <v>48.75</v>
      </c>
      <c r="G3873" t="s">
        <v>117</v>
      </c>
      <c r="H3873">
        <v>840868824</v>
      </c>
      <c r="I3873" t="s">
        <v>29</v>
      </c>
      <c r="J3873" t="s">
        <v>29</v>
      </c>
      <c r="K3873" t="str">
        <f>IF(Table3[[#This Row],[Type Received]]=2,"CC",(IF(Table3[[#This Row],[Type Received]]=3,"BILL","ACH")))</f>
        <v>ACH</v>
      </c>
    </row>
    <row r="3874" spans="1:11" x14ac:dyDescent="0.25">
      <c r="A3874">
        <v>254028</v>
      </c>
      <c r="B3874" s="3">
        <v>46146</v>
      </c>
      <c r="C3874">
        <v>3</v>
      </c>
      <c r="D3874">
        <v>176.65</v>
      </c>
      <c r="E3874">
        <v>2501</v>
      </c>
      <c r="J3874" t="s">
        <v>29</v>
      </c>
      <c r="K3874" t="str">
        <f>IF(Table3[[#This Row],[Type Received]]=2,"CC",(IF(Table3[[#This Row],[Type Received]]=3,"BILL","ACH")))</f>
        <v>BILL</v>
      </c>
    </row>
    <row r="3875" spans="1:11" x14ac:dyDescent="0.25">
      <c r="A3875">
        <v>254039</v>
      </c>
      <c r="B3875" s="3">
        <v>46149</v>
      </c>
      <c r="C3875">
        <v>1</v>
      </c>
      <c r="D3875">
        <v>84.85</v>
      </c>
      <c r="G3875" t="s">
        <v>109</v>
      </c>
      <c r="H3875">
        <v>599938160</v>
      </c>
      <c r="I3875" t="s">
        <v>29</v>
      </c>
      <c r="K3875" t="str">
        <f>IF(Table3[[#This Row],[Type Received]]=2,"CC",(IF(Table3[[#This Row],[Type Received]]=3,"BILL","ACH")))</f>
        <v>ACH</v>
      </c>
    </row>
    <row r="3876" spans="1:11" x14ac:dyDescent="0.25">
      <c r="A3876">
        <v>254045</v>
      </c>
      <c r="B3876" s="3">
        <v>46144</v>
      </c>
      <c r="C3876">
        <v>1</v>
      </c>
      <c r="D3876">
        <v>79.11</v>
      </c>
      <c r="G3876" t="s">
        <v>89</v>
      </c>
      <c r="H3876">
        <v>535425757</v>
      </c>
      <c r="I3876" t="s">
        <v>29</v>
      </c>
      <c r="J3876" t="s">
        <v>29</v>
      </c>
      <c r="K3876" t="str">
        <f>IF(Table3[[#This Row],[Type Received]]=2,"CC",(IF(Table3[[#This Row],[Type Received]]=3,"BILL","ACH")))</f>
        <v>ACH</v>
      </c>
    </row>
    <row r="3877" spans="1:11" x14ac:dyDescent="0.25">
      <c r="A3877">
        <v>254082</v>
      </c>
      <c r="B3877" s="3">
        <v>46166</v>
      </c>
      <c r="C3877">
        <v>1</v>
      </c>
      <c r="D3877">
        <v>120.91</v>
      </c>
      <c r="G3877" t="s">
        <v>310</v>
      </c>
      <c r="H3877">
        <v>808467694</v>
      </c>
      <c r="I3877" t="s">
        <v>29</v>
      </c>
      <c r="K3877" t="str">
        <f>IF(Table3[[#This Row],[Type Received]]=2,"CC",(IF(Table3[[#This Row],[Type Received]]=3,"BILL","ACH")))</f>
        <v>ACH</v>
      </c>
    </row>
    <row r="3878" spans="1:11" x14ac:dyDescent="0.25">
      <c r="A3878">
        <v>254109</v>
      </c>
      <c r="B3878" s="3">
        <v>46143</v>
      </c>
      <c r="C3878">
        <v>1</v>
      </c>
      <c r="D3878">
        <v>85.07</v>
      </c>
      <c r="G3878" t="s">
        <v>84</v>
      </c>
      <c r="H3878">
        <v>525876369</v>
      </c>
      <c r="I3878" t="s">
        <v>29</v>
      </c>
      <c r="K3878" t="str">
        <f>IF(Table3[[#This Row],[Type Received]]=2,"CC",(IF(Table3[[#This Row],[Type Received]]=3,"BILL","ACH")))</f>
        <v>ACH</v>
      </c>
    </row>
    <row r="3879" spans="1:11" x14ac:dyDescent="0.25">
      <c r="A3879">
        <v>254117</v>
      </c>
      <c r="B3879" s="3">
        <v>46153</v>
      </c>
      <c r="C3879">
        <v>3</v>
      </c>
      <c r="D3879">
        <v>94.75</v>
      </c>
      <c r="E3879">
        <v>861</v>
      </c>
      <c r="K3879" t="str">
        <f>IF(Table3[[#This Row],[Type Received]]=2,"CC",(IF(Table3[[#This Row],[Type Received]]=3,"BILL","ACH")))</f>
        <v>BILL</v>
      </c>
    </row>
    <row r="3880" spans="1:11" x14ac:dyDescent="0.25">
      <c r="A3880">
        <v>254126</v>
      </c>
      <c r="B3880" s="3">
        <v>46166</v>
      </c>
      <c r="C3880">
        <v>1</v>
      </c>
      <c r="D3880">
        <v>98.8</v>
      </c>
      <c r="G3880" t="s">
        <v>310</v>
      </c>
      <c r="H3880">
        <v>808483281</v>
      </c>
      <c r="I3880" t="s">
        <v>29</v>
      </c>
      <c r="J3880" t="s">
        <v>29</v>
      </c>
      <c r="K3880" t="str">
        <f>IF(Table3[[#This Row],[Type Received]]=2,"CC",(IF(Table3[[#This Row],[Type Received]]=3,"BILL","ACH")))</f>
        <v>ACH</v>
      </c>
    </row>
    <row r="3881" spans="1:11" x14ac:dyDescent="0.25">
      <c r="A3881">
        <v>254128</v>
      </c>
      <c r="B3881" s="3">
        <v>46166</v>
      </c>
      <c r="C3881">
        <v>1</v>
      </c>
      <c r="D3881">
        <v>50.95</v>
      </c>
      <c r="G3881" t="s">
        <v>310</v>
      </c>
      <c r="H3881">
        <v>808477512</v>
      </c>
      <c r="I3881" t="s">
        <v>29</v>
      </c>
      <c r="J3881" t="s">
        <v>29</v>
      </c>
      <c r="K3881" t="str">
        <f>IF(Table3[[#This Row],[Type Received]]=2,"CC",(IF(Table3[[#This Row],[Type Received]]=3,"BILL","ACH")))</f>
        <v>ACH</v>
      </c>
    </row>
    <row r="3882" spans="1:11" x14ac:dyDescent="0.25">
      <c r="A3882">
        <v>254129</v>
      </c>
      <c r="B3882" s="3">
        <v>46166</v>
      </c>
      <c r="C3882">
        <v>1</v>
      </c>
      <c r="D3882">
        <v>52.71</v>
      </c>
      <c r="G3882" t="s">
        <v>310</v>
      </c>
      <c r="H3882">
        <v>808466797</v>
      </c>
      <c r="I3882" t="s">
        <v>29</v>
      </c>
      <c r="J3882" t="s">
        <v>29</v>
      </c>
      <c r="K3882" t="str">
        <f>IF(Table3[[#This Row],[Type Received]]=2,"CC",(IF(Table3[[#This Row],[Type Received]]=3,"BILL","ACH")))</f>
        <v>ACH</v>
      </c>
    </row>
    <row r="3883" spans="1:11" x14ac:dyDescent="0.25">
      <c r="A3883">
        <v>254257</v>
      </c>
      <c r="B3883" s="3">
        <v>46155</v>
      </c>
      <c r="C3883">
        <v>1</v>
      </c>
      <c r="D3883">
        <v>83.95</v>
      </c>
      <c r="G3883" t="s">
        <v>90</v>
      </c>
      <c r="H3883">
        <v>669510588</v>
      </c>
      <c r="I3883" t="s">
        <v>29</v>
      </c>
      <c r="J3883" t="s">
        <v>29</v>
      </c>
      <c r="K3883" t="str">
        <f>IF(Table3[[#This Row],[Type Received]]=2,"CC",(IF(Table3[[#This Row],[Type Received]]=3,"BILL","ACH")))</f>
        <v>ACH</v>
      </c>
    </row>
    <row r="3884" spans="1:11" x14ac:dyDescent="0.25">
      <c r="A3884">
        <v>254259</v>
      </c>
      <c r="B3884" s="3">
        <v>46155</v>
      </c>
      <c r="C3884">
        <v>1</v>
      </c>
      <c r="D3884">
        <v>101.99</v>
      </c>
      <c r="G3884" t="s">
        <v>90</v>
      </c>
      <c r="H3884">
        <v>669525239</v>
      </c>
      <c r="I3884" t="s">
        <v>29</v>
      </c>
      <c r="J3884" t="s">
        <v>29</v>
      </c>
      <c r="K3884" t="str">
        <f>IF(Table3[[#This Row],[Type Received]]=2,"CC",(IF(Table3[[#This Row],[Type Received]]=3,"BILL","ACH")))</f>
        <v>ACH</v>
      </c>
    </row>
    <row r="3885" spans="1:11" x14ac:dyDescent="0.25">
      <c r="A3885">
        <v>254260</v>
      </c>
      <c r="B3885" s="3">
        <v>46155</v>
      </c>
      <c r="C3885">
        <v>1</v>
      </c>
      <c r="D3885">
        <v>41.93</v>
      </c>
      <c r="G3885" t="s">
        <v>90</v>
      </c>
      <c r="H3885">
        <v>669522309</v>
      </c>
      <c r="I3885" t="s">
        <v>29</v>
      </c>
      <c r="J3885" t="s">
        <v>29</v>
      </c>
      <c r="K3885" t="str">
        <f>IF(Table3[[#This Row],[Type Received]]=2,"CC",(IF(Table3[[#This Row],[Type Received]]=3,"BILL","ACH")))</f>
        <v>ACH</v>
      </c>
    </row>
    <row r="3886" spans="1:11" x14ac:dyDescent="0.25">
      <c r="A3886">
        <v>254272</v>
      </c>
      <c r="B3886" s="3">
        <v>46146</v>
      </c>
      <c r="C3886">
        <v>3</v>
      </c>
      <c r="D3886">
        <v>44.37</v>
      </c>
      <c r="E3886">
        <v>2239585406</v>
      </c>
      <c r="J3886" t="s">
        <v>29</v>
      </c>
      <c r="K3886" t="str">
        <f>IF(Table3[[#This Row],[Type Received]]=2,"CC",(IF(Table3[[#This Row],[Type Received]]=3,"BILL","ACH")))</f>
        <v>BILL</v>
      </c>
    </row>
    <row r="3887" spans="1:11" x14ac:dyDescent="0.25">
      <c r="A3887">
        <v>254283</v>
      </c>
      <c r="B3887" s="3">
        <v>46144</v>
      </c>
      <c r="C3887">
        <v>1</v>
      </c>
      <c r="D3887">
        <v>50.51</v>
      </c>
      <c r="G3887" s="4" t="s">
        <v>89</v>
      </c>
      <c r="H3887">
        <v>535423856</v>
      </c>
      <c r="I3887" t="s">
        <v>29</v>
      </c>
      <c r="K3887" t="str">
        <f>IF(Table3[[#This Row],[Type Received]]=2,"CC",(IF(Table3[[#This Row],[Type Received]]=3,"BILL","ACH")))</f>
        <v>ACH</v>
      </c>
    </row>
    <row r="3888" spans="1:11" x14ac:dyDescent="0.25">
      <c r="A3888">
        <v>254298</v>
      </c>
      <c r="B3888" s="3">
        <v>46155</v>
      </c>
      <c r="C3888">
        <v>2</v>
      </c>
      <c r="D3888">
        <v>129.82</v>
      </c>
      <c r="F3888" t="s">
        <v>311</v>
      </c>
      <c r="G3888" t="s">
        <v>28</v>
      </c>
      <c r="H3888">
        <v>669518412</v>
      </c>
      <c r="I3888" t="s">
        <v>29</v>
      </c>
      <c r="J3888" t="s">
        <v>29</v>
      </c>
      <c r="K3888" t="str">
        <f>IF(Table3[[#This Row],[Type Received]]=2,"CC",(IF(Table3[[#This Row],[Type Received]]=3,"BILL","ACH")))</f>
        <v>CC</v>
      </c>
    </row>
    <row r="3889" spans="1:11" x14ac:dyDescent="0.25">
      <c r="A3889">
        <v>254303</v>
      </c>
      <c r="B3889" s="3">
        <v>46157</v>
      </c>
      <c r="C3889">
        <v>1</v>
      </c>
      <c r="D3889">
        <v>100.45</v>
      </c>
      <c r="G3889" t="s">
        <v>87</v>
      </c>
      <c r="H3889">
        <v>696842452</v>
      </c>
      <c r="I3889" t="s">
        <v>29</v>
      </c>
      <c r="J3889" t="s">
        <v>29</v>
      </c>
      <c r="K3889" t="str">
        <f>IF(Table3[[#This Row],[Type Received]]=2,"CC",(IF(Table3[[#This Row],[Type Received]]=3,"BILL","ACH")))</f>
        <v>ACH</v>
      </c>
    </row>
    <row r="3890" spans="1:11" x14ac:dyDescent="0.25">
      <c r="A3890">
        <v>254311</v>
      </c>
      <c r="B3890" s="3">
        <v>46146</v>
      </c>
      <c r="C3890">
        <v>3</v>
      </c>
      <c r="D3890">
        <v>140.4</v>
      </c>
      <c r="E3890">
        <v>19825016474</v>
      </c>
      <c r="G3890" s="4"/>
      <c r="K3890" t="str">
        <f>IF(Table3[[#This Row],[Type Received]]=2,"CC",(IF(Table3[[#This Row],[Type Received]]=3,"BILL","ACH")))</f>
        <v>BILL</v>
      </c>
    </row>
    <row r="3891" spans="1:11" x14ac:dyDescent="0.25">
      <c r="A3891">
        <v>254321</v>
      </c>
      <c r="B3891" s="3">
        <v>46155</v>
      </c>
      <c r="C3891">
        <v>2</v>
      </c>
      <c r="D3891">
        <v>90.88</v>
      </c>
      <c r="F3891">
        <v>25583</v>
      </c>
      <c r="G3891" t="s">
        <v>28</v>
      </c>
      <c r="H3891">
        <v>669521354</v>
      </c>
      <c r="I3891" t="s">
        <v>29</v>
      </c>
      <c r="K3891" t="str">
        <f>IF(Table3[[#This Row],[Type Received]]=2,"CC",(IF(Table3[[#This Row],[Type Received]]=3,"BILL","ACH")))</f>
        <v>CC</v>
      </c>
    </row>
    <row r="3892" spans="1:11" x14ac:dyDescent="0.25">
      <c r="A3892">
        <v>254333</v>
      </c>
      <c r="B3892" s="3">
        <v>46143</v>
      </c>
      <c r="C3892">
        <v>3</v>
      </c>
      <c r="D3892">
        <v>79.5</v>
      </c>
      <c r="E3892">
        <v>73906373</v>
      </c>
      <c r="J3892" t="s">
        <v>29</v>
      </c>
      <c r="K3892" t="str">
        <f>IF(Table3[[#This Row],[Type Received]]=2,"CC",(IF(Table3[[#This Row],[Type Received]]=3,"BILL","ACH")))</f>
        <v>BILL</v>
      </c>
    </row>
    <row r="3893" spans="1:11" x14ac:dyDescent="0.25">
      <c r="A3893">
        <v>254337</v>
      </c>
      <c r="B3893" s="3">
        <v>46155</v>
      </c>
      <c r="C3893">
        <v>1</v>
      </c>
      <c r="D3893">
        <v>126.85</v>
      </c>
      <c r="G3893" s="4" t="s">
        <v>90</v>
      </c>
      <c r="H3893">
        <v>669509753</v>
      </c>
      <c r="I3893" t="s">
        <v>29</v>
      </c>
      <c r="K3893" t="str">
        <f>IF(Table3[[#This Row],[Type Received]]=2,"CC",(IF(Table3[[#This Row],[Type Received]]=3,"BILL","ACH")))</f>
        <v>ACH</v>
      </c>
    </row>
    <row r="3894" spans="1:11" x14ac:dyDescent="0.25">
      <c r="A3894">
        <v>254346</v>
      </c>
      <c r="B3894" s="3">
        <v>46169</v>
      </c>
      <c r="C3894">
        <v>1</v>
      </c>
      <c r="D3894">
        <v>113.65</v>
      </c>
      <c r="G3894" t="s">
        <v>117</v>
      </c>
      <c r="H3894">
        <v>840869857</v>
      </c>
      <c r="I3894" t="s">
        <v>29</v>
      </c>
      <c r="J3894" t="s">
        <v>29</v>
      </c>
      <c r="K3894" t="str">
        <f>IF(Table3[[#This Row],[Type Received]]=2,"CC",(IF(Table3[[#This Row],[Type Received]]=3,"BILL","ACH")))</f>
        <v>ACH</v>
      </c>
    </row>
    <row r="3895" spans="1:11" x14ac:dyDescent="0.25">
      <c r="A3895">
        <v>254366</v>
      </c>
      <c r="B3895" s="3">
        <v>46155</v>
      </c>
      <c r="C3895">
        <v>1</v>
      </c>
      <c r="D3895">
        <v>69.099999999999994</v>
      </c>
      <c r="G3895" t="s">
        <v>90</v>
      </c>
      <c r="H3895">
        <v>669446823</v>
      </c>
      <c r="I3895" t="s">
        <v>29</v>
      </c>
      <c r="K3895" t="str">
        <f>IF(Table3[[#This Row],[Type Received]]=2,"CC",(IF(Table3[[#This Row],[Type Received]]=3,"BILL","ACH")))</f>
        <v>ACH</v>
      </c>
    </row>
    <row r="3896" spans="1:11" x14ac:dyDescent="0.25">
      <c r="A3896">
        <v>254370</v>
      </c>
      <c r="B3896" s="3">
        <v>46157</v>
      </c>
      <c r="C3896">
        <v>1</v>
      </c>
      <c r="D3896">
        <v>52.93</v>
      </c>
      <c r="G3896" t="s">
        <v>87</v>
      </c>
      <c r="H3896">
        <v>696835805</v>
      </c>
      <c r="I3896" t="s">
        <v>29</v>
      </c>
      <c r="J3896" t="s">
        <v>29</v>
      </c>
      <c r="K3896" t="str">
        <f>IF(Table3[[#This Row],[Type Received]]=2,"CC",(IF(Table3[[#This Row],[Type Received]]=3,"BILL","ACH")))</f>
        <v>ACH</v>
      </c>
    </row>
    <row r="3897" spans="1:11" x14ac:dyDescent="0.25">
      <c r="A3897">
        <v>254371</v>
      </c>
      <c r="B3897" s="3">
        <v>46157</v>
      </c>
      <c r="C3897">
        <v>1</v>
      </c>
      <c r="D3897">
        <v>67.89</v>
      </c>
      <c r="G3897" t="s">
        <v>87</v>
      </c>
      <c r="H3897">
        <v>696847316</v>
      </c>
      <c r="I3897" t="s">
        <v>29</v>
      </c>
      <c r="J3897" t="s">
        <v>29</v>
      </c>
      <c r="K3897" t="str">
        <f>IF(Table3[[#This Row],[Type Received]]=2,"CC",(IF(Table3[[#This Row],[Type Received]]=3,"BILL","ACH")))</f>
        <v>ACH</v>
      </c>
    </row>
    <row r="3898" spans="1:11" x14ac:dyDescent="0.25">
      <c r="A3898">
        <v>254388</v>
      </c>
      <c r="B3898" s="3">
        <v>46169</v>
      </c>
      <c r="C3898">
        <v>1</v>
      </c>
      <c r="D3898">
        <v>48.75</v>
      </c>
      <c r="G3898" t="s">
        <v>117</v>
      </c>
      <c r="H3898">
        <v>840889211</v>
      </c>
      <c r="I3898" t="s">
        <v>29</v>
      </c>
      <c r="K3898" t="str">
        <f>IF(Table3[[#This Row],[Type Received]]=2,"CC",(IF(Table3[[#This Row],[Type Received]]=3,"BILL","ACH")))</f>
        <v>ACH</v>
      </c>
    </row>
    <row r="3899" spans="1:11" x14ac:dyDescent="0.25">
      <c r="A3899">
        <v>254397</v>
      </c>
      <c r="B3899" s="3">
        <v>46164</v>
      </c>
      <c r="C3899">
        <v>3</v>
      </c>
      <c r="D3899">
        <v>50.75</v>
      </c>
      <c r="E3899">
        <v>4568</v>
      </c>
      <c r="J3899" t="s">
        <v>29</v>
      </c>
      <c r="K3899" t="str">
        <f>IF(Table3[[#This Row],[Type Received]]=2,"CC",(IF(Table3[[#This Row],[Type Received]]=3,"BILL","ACH")))</f>
        <v>BILL</v>
      </c>
    </row>
    <row r="3900" spans="1:11" x14ac:dyDescent="0.25">
      <c r="A3900">
        <v>254397</v>
      </c>
      <c r="B3900" s="3">
        <v>46146</v>
      </c>
      <c r="C3900">
        <v>3</v>
      </c>
      <c r="D3900">
        <v>50.75</v>
      </c>
      <c r="E3900">
        <v>4556</v>
      </c>
      <c r="J3900" t="s">
        <v>29</v>
      </c>
      <c r="K3900" t="str">
        <f>IF(Table3[[#This Row],[Type Received]]=2,"CC",(IF(Table3[[#This Row],[Type Received]]=3,"BILL","ACH")))</f>
        <v>BILL</v>
      </c>
    </row>
    <row r="3901" spans="1:11" x14ac:dyDescent="0.25">
      <c r="A3901">
        <v>254405</v>
      </c>
      <c r="B3901" s="3">
        <v>46169</v>
      </c>
      <c r="C3901">
        <v>1</v>
      </c>
      <c r="D3901">
        <v>50.95</v>
      </c>
      <c r="G3901" t="s">
        <v>117</v>
      </c>
      <c r="H3901">
        <v>840880400</v>
      </c>
      <c r="I3901" t="s">
        <v>29</v>
      </c>
      <c r="J3901" t="s">
        <v>29</v>
      </c>
      <c r="K3901" t="str">
        <f>IF(Table3[[#This Row],[Type Received]]=2,"CC",(IF(Table3[[#This Row],[Type Received]]=3,"BILL","ACH")))</f>
        <v>ACH</v>
      </c>
    </row>
    <row r="3902" spans="1:11" x14ac:dyDescent="0.25">
      <c r="A3902">
        <v>254407</v>
      </c>
      <c r="B3902" s="3">
        <v>46144</v>
      </c>
      <c r="C3902">
        <v>1</v>
      </c>
      <c r="D3902">
        <v>151.6</v>
      </c>
      <c r="G3902" t="s">
        <v>89</v>
      </c>
      <c r="H3902">
        <v>535436383</v>
      </c>
      <c r="I3902" t="s">
        <v>29</v>
      </c>
      <c r="K3902" t="str">
        <f>IF(Table3[[#This Row],[Type Received]]=2,"CC",(IF(Table3[[#This Row],[Type Received]]=3,"BILL","ACH")))</f>
        <v>ACH</v>
      </c>
    </row>
    <row r="3903" spans="1:11" x14ac:dyDescent="0.25">
      <c r="A3903">
        <v>254409</v>
      </c>
      <c r="B3903" s="3">
        <v>46145</v>
      </c>
      <c r="C3903">
        <v>1</v>
      </c>
      <c r="D3903">
        <v>145.33000000000001</v>
      </c>
      <c r="G3903" s="4" t="s">
        <v>113</v>
      </c>
      <c r="H3903">
        <v>546447540</v>
      </c>
      <c r="I3903" t="s">
        <v>29</v>
      </c>
      <c r="K3903" t="str">
        <f>IF(Table3[[#This Row],[Type Received]]=2,"CC",(IF(Table3[[#This Row],[Type Received]]=3,"BILL","ACH")))</f>
        <v>ACH</v>
      </c>
    </row>
    <row r="3904" spans="1:11" x14ac:dyDescent="0.25">
      <c r="A3904">
        <v>254411</v>
      </c>
      <c r="B3904" s="3">
        <v>46143</v>
      </c>
      <c r="C3904">
        <v>3</v>
      </c>
      <c r="D3904">
        <v>70.44</v>
      </c>
      <c r="E3904">
        <v>74776121</v>
      </c>
      <c r="J3904" t="s">
        <v>29</v>
      </c>
      <c r="K3904" t="str">
        <f>IF(Table3[[#This Row],[Type Received]]=2,"CC",(IF(Table3[[#This Row],[Type Received]]=3,"BILL","ACH")))</f>
        <v>BILL</v>
      </c>
    </row>
    <row r="3905" spans="1:11" x14ac:dyDescent="0.25">
      <c r="A3905">
        <v>254425</v>
      </c>
      <c r="B3905" s="3">
        <v>46157</v>
      </c>
      <c r="C3905">
        <v>1</v>
      </c>
      <c r="D3905">
        <v>47.43</v>
      </c>
      <c r="G3905" t="s">
        <v>87</v>
      </c>
      <c r="H3905">
        <v>696694136</v>
      </c>
      <c r="I3905" t="s">
        <v>29</v>
      </c>
      <c r="K3905" t="str">
        <f>IF(Table3[[#This Row],[Type Received]]=2,"CC",(IF(Table3[[#This Row],[Type Received]]=3,"BILL","ACH")))</f>
        <v>ACH</v>
      </c>
    </row>
    <row r="3906" spans="1:11" x14ac:dyDescent="0.25">
      <c r="A3906">
        <v>254427</v>
      </c>
      <c r="B3906" s="3">
        <v>46145</v>
      </c>
      <c r="C3906">
        <v>1</v>
      </c>
      <c r="D3906">
        <v>50.95</v>
      </c>
      <c r="G3906" t="s">
        <v>113</v>
      </c>
      <c r="H3906">
        <v>546445586</v>
      </c>
      <c r="I3906" t="s">
        <v>29</v>
      </c>
      <c r="K3906" t="str">
        <f>IF(Table3[[#This Row],[Type Received]]=2,"CC",(IF(Table3[[#This Row],[Type Received]]=3,"BILL","ACH")))</f>
        <v>ACH</v>
      </c>
    </row>
    <row r="3907" spans="1:11" x14ac:dyDescent="0.25">
      <c r="A3907">
        <v>254432</v>
      </c>
      <c r="B3907" s="3">
        <v>46171</v>
      </c>
      <c r="C3907">
        <v>3</v>
      </c>
      <c r="D3907">
        <v>481.07</v>
      </c>
      <c r="E3907">
        <v>55215920136</v>
      </c>
      <c r="J3907" t="s">
        <v>29</v>
      </c>
      <c r="K3907" t="str">
        <f>IF(Table3[[#This Row],[Type Received]]=2,"CC",(IF(Table3[[#This Row],[Type Received]]=3,"BILL","ACH")))</f>
        <v>BILL</v>
      </c>
    </row>
    <row r="3908" spans="1:11" x14ac:dyDescent="0.25">
      <c r="A3908">
        <v>254450</v>
      </c>
      <c r="B3908" s="3">
        <v>46146</v>
      </c>
      <c r="C3908">
        <v>3</v>
      </c>
      <c r="D3908">
        <v>48.33</v>
      </c>
      <c r="E3908">
        <v>4820</v>
      </c>
      <c r="J3908" t="s">
        <v>29</v>
      </c>
      <c r="K3908" t="str">
        <f>IF(Table3[[#This Row],[Type Received]]=2,"CC",(IF(Table3[[#This Row],[Type Received]]=3,"BILL","ACH")))</f>
        <v>BILL</v>
      </c>
    </row>
    <row r="3909" spans="1:11" x14ac:dyDescent="0.25">
      <c r="A3909">
        <v>254451</v>
      </c>
      <c r="B3909" s="3">
        <v>46168</v>
      </c>
      <c r="C3909">
        <v>3</v>
      </c>
      <c r="D3909">
        <v>61.86</v>
      </c>
      <c r="E3909">
        <v>1450</v>
      </c>
      <c r="K3909" t="str">
        <f>IF(Table3[[#This Row],[Type Received]]=2,"CC",(IF(Table3[[#This Row],[Type Received]]=3,"BILL","ACH")))</f>
        <v>BILL</v>
      </c>
    </row>
    <row r="3910" spans="1:11" x14ac:dyDescent="0.25">
      <c r="A3910">
        <v>254459</v>
      </c>
      <c r="B3910" s="3">
        <v>46155</v>
      </c>
      <c r="C3910">
        <v>2</v>
      </c>
      <c r="D3910">
        <v>50.95</v>
      </c>
      <c r="F3910" t="s">
        <v>312</v>
      </c>
      <c r="G3910" t="s">
        <v>28</v>
      </c>
      <c r="H3910">
        <v>669447185</v>
      </c>
      <c r="I3910" t="s">
        <v>29</v>
      </c>
      <c r="J3910" t="s">
        <v>29</v>
      </c>
      <c r="K3910" t="str">
        <f>IF(Table3[[#This Row],[Type Received]]=2,"CC",(IF(Table3[[#This Row],[Type Received]]=3,"BILL","ACH")))</f>
        <v>CC</v>
      </c>
    </row>
    <row r="3911" spans="1:11" x14ac:dyDescent="0.25">
      <c r="A3911">
        <v>254463</v>
      </c>
      <c r="B3911" s="3">
        <v>46169</v>
      </c>
      <c r="C3911">
        <v>2</v>
      </c>
      <c r="D3911">
        <v>141.97999999999999</v>
      </c>
      <c r="F3911">
        <v>161198</v>
      </c>
      <c r="G3911">
        <v>749271671</v>
      </c>
      <c r="H3911">
        <v>355987208</v>
      </c>
      <c r="J3911" t="s">
        <v>29</v>
      </c>
      <c r="K3911" t="str">
        <f>IF(Table3[[#This Row],[Type Received]]=2,"CC",(IF(Table3[[#This Row],[Type Received]]=3,"BILL","ACH")))</f>
        <v>CC</v>
      </c>
    </row>
    <row r="3912" spans="1:11" x14ac:dyDescent="0.25">
      <c r="A3912">
        <v>254479</v>
      </c>
      <c r="B3912" s="3">
        <v>46144</v>
      </c>
      <c r="C3912">
        <v>1</v>
      </c>
      <c r="D3912">
        <v>124.21</v>
      </c>
      <c r="G3912" t="s">
        <v>89</v>
      </c>
      <c r="H3912">
        <v>535341430</v>
      </c>
      <c r="I3912" t="s">
        <v>29</v>
      </c>
      <c r="J3912" t="s">
        <v>29</v>
      </c>
      <c r="K3912" t="str">
        <f>IF(Table3[[#This Row],[Type Received]]=2,"CC",(IF(Table3[[#This Row],[Type Received]]=3,"BILL","ACH")))</f>
        <v>ACH</v>
      </c>
    </row>
    <row r="3913" spans="1:11" x14ac:dyDescent="0.25">
      <c r="A3913">
        <v>254480</v>
      </c>
      <c r="B3913" s="3">
        <v>46145</v>
      </c>
      <c r="C3913">
        <v>1</v>
      </c>
      <c r="D3913">
        <v>43.91</v>
      </c>
      <c r="G3913" t="s">
        <v>113</v>
      </c>
      <c r="H3913">
        <v>546452356</v>
      </c>
      <c r="I3913" t="s">
        <v>29</v>
      </c>
      <c r="J3913" t="s">
        <v>29</v>
      </c>
      <c r="K3913" t="str">
        <f>IF(Table3[[#This Row],[Type Received]]=2,"CC",(IF(Table3[[#This Row],[Type Received]]=3,"BILL","ACH")))</f>
        <v>ACH</v>
      </c>
    </row>
    <row r="3914" spans="1:11" x14ac:dyDescent="0.25">
      <c r="A3914">
        <v>254491</v>
      </c>
      <c r="B3914" s="3">
        <v>46155</v>
      </c>
      <c r="C3914">
        <v>1</v>
      </c>
      <c r="D3914">
        <v>85.93</v>
      </c>
      <c r="G3914" t="s">
        <v>90</v>
      </c>
      <c r="H3914">
        <v>669524304</v>
      </c>
      <c r="I3914" t="s">
        <v>29</v>
      </c>
      <c r="J3914" t="s">
        <v>29</v>
      </c>
      <c r="K3914" t="str">
        <f>IF(Table3[[#This Row],[Type Received]]=2,"CC",(IF(Table3[[#This Row],[Type Received]]=3,"BILL","ACH")))</f>
        <v>ACH</v>
      </c>
    </row>
    <row r="3915" spans="1:11" x14ac:dyDescent="0.25">
      <c r="A3915">
        <v>254496</v>
      </c>
      <c r="B3915" s="3">
        <v>46157</v>
      </c>
      <c r="C3915">
        <v>1</v>
      </c>
      <c r="D3915">
        <v>106.06</v>
      </c>
      <c r="G3915" t="s">
        <v>87</v>
      </c>
      <c r="H3915">
        <v>696830003</v>
      </c>
      <c r="I3915" t="s">
        <v>29</v>
      </c>
      <c r="J3915" t="s">
        <v>29</v>
      </c>
      <c r="K3915" t="str">
        <f>IF(Table3[[#This Row],[Type Received]]=2,"CC",(IF(Table3[[#This Row],[Type Received]]=3,"BILL","ACH")))</f>
        <v>ACH</v>
      </c>
    </row>
    <row r="3916" spans="1:11" x14ac:dyDescent="0.25">
      <c r="A3916">
        <v>254514</v>
      </c>
      <c r="B3916" s="3">
        <v>46145</v>
      </c>
      <c r="C3916">
        <v>1</v>
      </c>
      <c r="D3916">
        <v>39.950000000000003</v>
      </c>
      <c r="G3916" t="s">
        <v>113</v>
      </c>
      <c r="H3916">
        <v>546444693</v>
      </c>
      <c r="I3916" t="s">
        <v>29</v>
      </c>
      <c r="J3916" t="s">
        <v>29</v>
      </c>
      <c r="K3916" t="str">
        <f>IF(Table3[[#This Row],[Type Received]]=2,"CC",(IF(Table3[[#This Row],[Type Received]]=3,"BILL","ACH")))</f>
        <v>ACH</v>
      </c>
    </row>
    <row r="3917" spans="1:11" x14ac:dyDescent="0.25">
      <c r="A3917">
        <v>254534</v>
      </c>
      <c r="B3917" s="3">
        <v>46169</v>
      </c>
      <c r="C3917">
        <v>1</v>
      </c>
      <c r="D3917">
        <v>64.150000000000006</v>
      </c>
      <c r="G3917" t="s">
        <v>117</v>
      </c>
      <c r="H3917">
        <v>840866021</v>
      </c>
      <c r="I3917" t="s">
        <v>29</v>
      </c>
      <c r="J3917" t="s">
        <v>29</v>
      </c>
      <c r="K3917" t="str">
        <f>IF(Table3[[#This Row],[Type Received]]=2,"CC",(IF(Table3[[#This Row],[Type Received]]=3,"BILL","ACH")))</f>
        <v>ACH</v>
      </c>
    </row>
    <row r="3918" spans="1:11" x14ac:dyDescent="0.25">
      <c r="A3918">
        <v>254539</v>
      </c>
      <c r="B3918" s="3">
        <v>46146</v>
      </c>
      <c r="C3918">
        <v>2</v>
      </c>
      <c r="D3918">
        <v>131.47</v>
      </c>
      <c r="F3918">
        <v>5460</v>
      </c>
      <c r="G3918" t="s">
        <v>28</v>
      </c>
      <c r="H3918">
        <v>557111117</v>
      </c>
      <c r="I3918" t="s">
        <v>29</v>
      </c>
      <c r="J3918" t="s">
        <v>29</v>
      </c>
      <c r="K3918" t="str">
        <f>IF(Table3[[#This Row],[Type Received]]=2,"CC",(IF(Table3[[#This Row],[Type Received]]=3,"BILL","ACH")))</f>
        <v>CC</v>
      </c>
    </row>
    <row r="3919" spans="1:11" x14ac:dyDescent="0.25">
      <c r="A3919">
        <v>254543</v>
      </c>
      <c r="B3919" s="3">
        <v>46170</v>
      </c>
      <c r="C3919">
        <v>3</v>
      </c>
      <c r="D3919">
        <v>54.93</v>
      </c>
      <c r="E3919">
        <v>178</v>
      </c>
      <c r="J3919" t="s">
        <v>29</v>
      </c>
      <c r="K3919" t="str">
        <f>IF(Table3[[#This Row],[Type Received]]=2,"CC",(IF(Table3[[#This Row],[Type Received]]=3,"BILL","ACH")))</f>
        <v>BILL</v>
      </c>
    </row>
    <row r="3920" spans="1:11" x14ac:dyDescent="0.25">
      <c r="A3920">
        <v>254544</v>
      </c>
      <c r="B3920" s="3">
        <v>46169</v>
      </c>
      <c r="C3920">
        <v>1</v>
      </c>
      <c r="D3920">
        <v>41.05</v>
      </c>
      <c r="G3920" t="s">
        <v>117</v>
      </c>
      <c r="H3920">
        <v>842224984</v>
      </c>
      <c r="I3920" t="s">
        <v>29</v>
      </c>
      <c r="J3920" t="s">
        <v>29</v>
      </c>
      <c r="K3920" t="str">
        <f>IF(Table3[[#This Row],[Type Received]]=2,"CC",(IF(Table3[[#This Row],[Type Received]]=3,"BILL","ACH")))</f>
        <v>ACH</v>
      </c>
    </row>
    <row r="3921" spans="1:11" x14ac:dyDescent="0.25">
      <c r="A3921">
        <v>254555</v>
      </c>
      <c r="B3921" s="3">
        <v>46145</v>
      </c>
      <c r="C3921">
        <v>1</v>
      </c>
      <c r="D3921">
        <v>125.86</v>
      </c>
      <c r="G3921" t="s">
        <v>113</v>
      </c>
      <c r="H3921">
        <v>546458122</v>
      </c>
      <c r="I3921" t="s">
        <v>29</v>
      </c>
      <c r="J3921" t="s">
        <v>29</v>
      </c>
      <c r="K3921" t="str">
        <f>IF(Table3[[#This Row],[Type Received]]=2,"CC",(IF(Table3[[#This Row],[Type Received]]=3,"BILL","ACH")))</f>
        <v>ACH</v>
      </c>
    </row>
    <row r="3922" spans="1:11" x14ac:dyDescent="0.25">
      <c r="A3922">
        <v>254579</v>
      </c>
      <c r="B3922" s="3">
        <v>46157</v>
      </c>
      <c r="C3922">
        <v>1</v>
      </c>
      <c r="D3922">
        <v>50.29</v>
      </c>
      <c r="G3922" t="s">
        <v>87</v>
      </c>
      <c r="H3922">
        <v>696840578</v>
      </c>
      <c r="I3922" t="s">
        <v>29</v>
      </c>
      <c r="J3922" t="s">
        <v>29</v>
      </c>
      <c r="K3922" t="str">
        <f>IF(Table3[[#This Row],[Type Received]]=2,"CC",(IF(Table3[[#This Row],[Type Received]]=3,"BILL","ACH")))</f>
        <v>ACH</v>
      </c>
    </row>
    <row r="3923" spans="1:11" x14ac:dyDescent="0.25">
      <c r="A3923">
        <v>254580</v>
      </c>
      <c r="B3923" s="3">
        <v>46145</v>
      </c>
      <c r="C3923">
        <v>2</v>
      </c>
      <c r="D3923">
        <v>54.03</v>
      </c>
      <c r="F3923" t="s">
        <v>313</v>
      </c>
      <c r="G3923" t="s">
        <v>28</v>
      </c>
      <c r="H3923">
        <v>546445611</v>
      </c>
      <c r="I3923" t="s">
        <v>29</v>
      </c>
      <c r="J3923" t="s">
        <v>29</v>
      </c>
      <c r="K3923" t="str">
        <f>IF(Table3[[#This Row],[Type Received]]=2,"CC",(IF(Table3[[#This Row],[Type Received]]=3,"BILL","ACH")))</f>
        <v>CC</v>
      </c>
    </row>
    <row r="3924" spans="1:11" x14ac:dyDescent="0.25">
      <c r="A3924">
        <v>254581</v>
      </c>
      <c r="B3924" s="3">
        <v>46169</v>
      </c>
      <c r="C3924">
        <v>1</v>
      </c>
      <c r="D3924">
        <v>77.13</v>
      </c>
      <c r="G3924" t="s">
        <v>117</v>
      </c>
      <c r="H3924">
        <v>842246481</v>
      </c>
      <c r="I3924" t="s">
        <v>29</v>
      </c>
      <c r="J3924" t="s">
        <v>29</v>
      </c>
      <c r="K3924" t="str">
        <f>IF(Table3[[#This Row],[Type Received]]=2,"CC",(IF(Table3[[#This Row],[Type Received]]=3,"BILL","ACH")))</f>
        <v>ACH</v>
      </c>
    </row>
    <row r="3925" spans="1:11" x14ac:dyDescent="0.25">
      <c r="A3925">
        <v>254594</v>
      </c>
      <c r="B3925" s="3">
        <v>46169</v>
      </c>
      <c r="C3925">
        <v>1</v>
      </c>
      <c r="D3925">
        <v>68.77</v>
      </c>
      <c r="G3925" t="s">
        <v>117</v>
      </c>
      <c r="H3925">
        <v>842249477</v>
      </c>
      <c r="I3925" t="s">
        <v>29</v>
      </c>
      <c r="K3925" t="str">
        <f>IF(Table3[[#This Row],[Type Received]]=2,"CC",(IF(Table3[[#This Row],[Type Received]]=3,"BILL","ACH")))</f>
        <v>ACH</v>
      </c>
    </row>
    <row r="3926" spans="1:11" x14ac:dyDescent="0.25">
      <c r="A3926">
        <v>254596</v>
      </c>
      <c r="B3926" s="3">
        <v>46145</v>
      </c>
      <c r="C3926">
        <v>1</v>
      </c>
      <c r="D3926">
        <v>63.49</v>
      </c>
      <c r="G3926" t="s">
        <v>113</v>
      </c>
      <c r="H3926">
        <v>546439785</v>
      </c>
      <c r="I3926" t="s">
        <v>29</v>
      </c>
      <c r="J3926" t="s">
        <v>29</v>
      </c>
      <c r="K3926" t="str">
        <f>IF(Table3[[#This Row],[Type Received]]=2,"CC",(IF(Table3[[#This Row],[Type Received]]=3,"BILL","ACH")))</f>
        <v>ACH</v>
      </c>
    </row>
    <row r="3927" spans="1:11" x14ac:dyDescent="0.25">
      <c r="A3927">
        <v>254624</v>
      </c>
      <c r="B3927" s="3">
        <v>46168</v>
      </c>
      <c r="C3927">
        <v>3</v>
      </c>
      <c r="D3927">
        <v>55.15</v>
      </c>
      <c r="E3927">
        <v>683</v>
      </c>
      <c r="K3927" t="str">
        <f>IF(Table3[[#This Row],[Type Received]]=2,"CC",(IF(Table3[[#This Row],[Type Received]]=3,"BILL","ACH")))</f>
        <v>BILL</v>
      </c>
    </row>
    <row r="3928" spans="1:11" x14ac:dyDescent="0.25">
      <c r="A3928">
        <v>254607</v>
      </c>
      <c r="B3928" s="3">
        <v>46157</v>
      </c>
      <c r="C3928">
        <v>1</v>
      </c>
      <c r="D3928">
        <v>123.88</v>
      </c>
      <c r="G3928" t="s">
        <v>87</v>
      </c>
      <c r="H3928">
        <v>696838758</v>
      </c>
      <c r="I3928" t="s">
        <v>29</v>
      </c>
      <c r="J3928" t="s">
        <v>29</v>
      </c>
      <c r="K3928" t="str">
        <f>IF(Table3[[#This Row],[Type Received]]=2,"CC",(IF(Table3[[#This Row],[Type Received]]=3,"BILL","ACH")))</f>
        <v>ACH</v>
      </c>
    </row>
    <row r="3929" spans="1:11" x14ac:dyDescent="0.25">
      <c r="A3929">
        <v>254608</v>
      </c>
      <c r="B3929" s="3">
        <v>46157</v>
      </c>
      <c r="C3929">
        <v>1</v>
      </c>
      <c r="D3929">
        <v>39.950000000000003</v>
      </c>
      <c r="G3929" t="s">
        <v>87</v>
      </c>
      <c r="H3929">
        <v>696832864</v>
      </c>
      <c r="I3929" t="s">
        <v>29</v>
      </c>
      <c r="K3929" t="str">
        <f>IF(Table3[[#This Row],[Type Received]]=2,"CC",(IF(Table3[[#This Row],[Type Received]]=3,"BILL","ACH")))</f>
        <v>ACH</v>
      </c>
    </row>
    <row r="3930" spans="1:11" x14ac:dyDescent="0.25">
      <c r="A3930">
        <v>254616</v>
      </c>
      <c r="B3930" s="3">
        <v>46149</v>
      </c>
      <c r="C3930">
        <v>2</v>
      </c>
      <c r="D3930">
        <v>68</v>
      </c>
      <c r="F3930" t="s">
        <v>314</v>
      </c>
      <c r="G3930">
        <v>743273545</v>
      </c>
      <c r="H3930">
        <v>353782227</v>
      </c>
      <c r="K3930" t="str">
        <f>IF(Table3[[#This Row],[Type Received]]=2,"CC",(IF(Table3[[#This Row],[Type Received]]=3,"BILL","ACH")))</f>
        <v>CC</v>
      </c>
    </row>
    <row r="3931" spans="1:11" x14ac:dyDescent="0.25">
      <c r="A3931">
        <v>254636</v>
      </c>
      <c r="B3931" s="3">
        <v>46169</v>
      </c>
      <c r="C3931">
        <v>1</v>
      </c>
      <c r="D3931">
        <v>51.61</v>
      </c>
      <c r="G3931" t="s">
        <v>117</v>
      </c>
      <c r="H3931">
        <v>842252285</v>
      </c>
      <c r="I3931" t="s">
        <v>29</v>
      </c>
      <c r="J3931" t="s">
        <v>29</v>
      </c>
      <c r="K3931" t="str">
        <f>IF(Table3[[#This Row],[Type Received]]=2,"CC",(IF(Table3[[#This Row],[Type Received]]=3,"BILL","ACH")))</f>
        <v>ACH</v>
      </c>
    </row>
    <row r="3932" spans="1:11" x14ac:dyDescent="0.25">
      <c r="A3932">
        <v>254637</v>
      </c>
      <c r="B3932" s="3">
        <v>46169</v>
      </c>
      <c r="C3932">
        <v>1</v>
      </c>
      <c r="D3932">
        <v>108.7</v>
      </c>
      <c r="G3932" t="s">
        <v>117</v>
      </c>
      <c r="H3932">
        <v>842251353</v>
      </c>
      <c r="I3932" t="s">
        <v>29</v>
      </c>
      <c r="J3932" t="s">
        <v>29</v>
      </c>
      <c r="K3932" t="str">
        <f>IF(Table3[[#This Row],[Type Received]]=2,"CC",(IF(Table3[[#This Row],[Type Received]]=3,"BILL","ACH")))</f>
        <v>ACH</v>
      </c>
    </row>
    <row r="3933" spans="1:11" x14ac:dyDescent="0.25">
      <c r="A3933">
        <v>254639</v>
      </c>
      <c r="B3933" s="3">
        <v>46169</v>
      </c>
      <c r="C3933">
        <v>1</v>
      </c>
      <c r="D3933">
        <v>77.349999999999994</v>
      </c>
      <c r="G3933" t="s">
        <v>117</v>
      </c>
      <c r="H3933">
        <v>842243816</v>
      </c>
      <c r="I3933" t="s">
        <v>29</v>
      </c>
      <c r="J3933" t="s">
        <v>29</v>
      </c>
      <c r="K3933" t="str">
        <f>IF(Table3[[#This Row],[Type Received]]=2,"CC",(IF(Table3[[#This Row],[Type Received]]=3,"BILL","ACH")))</f>
        <v>ACH</v>
      </c>
    </row>
    <row r="3934" spans="1:11" x14ac:dyDescent="0.25">
      <c r="A3934">
        <v>254641</v>
      </c>
      <c r="B3934" s="3">
        <v>46145</v>
      </c>
      <c r="C3934">
        <v>1</v>
      </c>
      <c r="D3934">
        <v>72.510000000000005</v>
      </c>
      <c r="G3934" t="s">
        <v>113</v>
      </c>
      <c r="H3934">
        <v>546436878</v>
      </c>
      <c r="I3934" t="s">
        <v>29</v>
      </c>
      <c r="K3934" t="str">
        <f>IF(Table3[[#This Row],[Type Received]]=2,"CC",(IF(Table3[[#This Row],[Type Received]]=3,"BILL","ACH")))</f>
        <v>ACH</v>
      </c>
    </row>
    <row r="3935" spans="1:11" x14ac:dyDescent="0.25">
      <c r="A3935">
        <v>254652</v>
      </c>
      <c r="B3935" s="3">
        <v>46143</v>
      </c>
      <c r="C3935">
        <v>1</v>
      </c>
      <c r="D3935">
        <v>126.85</v>
      </c>
      <c r="G3935" t="s">
        <v>84</v>
      </c>
      <c r="H3935">
        <v>522248248</v>
      </c>
      <c r="I3935" t="s">
        <v>29</v>
      </c>
      <c r="K3935" t="str">
        <f>IF(Table3[[#This Row],[Type Received]]=2,"CC",(IF(Table3[[#This Row],[Type Received]]=3,"BILL","ACH")))</f>
        <v>ACH</v>
      </c>
    </row>
    <row r="3936" spans="1:11" x14ac:dyDescent="0.25">
      <c r="A3936">
        <v>254673</v>
      </c>
      <c r="B3936" s="3">
        <v>46169</v>
      </c>
      <c r="C3936">
        <v>1</v>
      </c>
      <c r="D3936">
        <v>62.61</v>
      </c>
      <c r="G3936" s="4" t="s">
        <v>117</v>
      </c>
      <c r="H3936">
        <v>842256224</v>
      </c>
      <c r="I3936" t="s">
        <v>29</v>
      </c>
      <c r="K3936" t="str">
        <f>IF(Table3[[#This Row],[Type Received]]=2,"CC",(IF(Table3[[#This Row],[Type Received]]=3,"BILL","ACH")))</f>
        <v>ACH</v>
      </c>
    </row>
    <row r="3937" spans="1:11" x14ac:dyDescent="0.25">
      <c r="A3937">
        <v>254674</v>
      </c>
      <c r="B3937" s="3">
        <v>46145</v>
      </c>
      <c r="C3937">
        <v>1</v>
      </c>
      <c r="D3937">
        <v>125.53</v>
      </c>
      <c r="G3937" t="s">
        <v>113</v>
      </c>
      <c r="H3937">
        <v>546396046</v>
      </c>
      <c r="I3937" t="s">
        <v>29</v>
      </c>
      <c r="K3937" t="str">
        <f>IF(Table3[[#This Row],[Type Received]]=2,"CC",(IF(Table3[[#This Row],[Type Received]]=3,"BILL","ACH")))</f>
        <v>ACH</v>
      </c>
    </row>
    <row r="3938" spans="1:11" x14ac:dyDescent="0.25">
      <c r="A3938">
        <v>254680</v>
      </c>
      <c r="B3938" s="3">
        <v>46144</v>
      </c>
      <c r="C3938">
        <v>1</v>
      </c>
      <c r="D3938">
        <v>59.86</v>
      </c>
      <c r="G3938" t="s">
        <v>89</v>
      </c>
      <c r="H3938">
        <v>535317075</v>
      </c>
      <c r="I3938" t="s">
        <v>29</v>
      </c>
      <c r="J3938" t="s">
        <v>29</v>
      </c>
      <c r="K3938" t="str">
        <f>IF(Table3[[#This Row],[Type Received]]=2,"CC",(IF(Table3[[#This Row],[Type Received]]=3,"BILL","ACH")))</f>
        <v>ACH</v>
      </c>
    </row>
    <row r="3939" spans="1:11" x14ac:dyDescent="0.25">
      <c r="A3939">
        <v>254685</v>
      </c>
      <c r="B3939" s="3">
        <v>46143</v>
      </c>
      <c r="C3939">
        <v>2</v>
      </c>
      <c r="D3939">
        <v>69.45</v>
      </c>
      <c r="F3939">
        <v>876895</v>
      </c>
      <c r="G3939">
        <v>741374152</v>
      </c>
      <c r="H3939">
        <v>353212889</v>
      </c>
      <c r="J3939" t="s">
        <v>29</v>
      </c>
      <c r="K3939" t="str">
        <f>IF(Table3[[#This Row],[Type Received]]=2,"CC",(IF(Table3[[#This Row],[Type Received]]=3,"BILL","ACH")))</f>
        <v>CC</v>
      </c>
    </row>
    <row r="3940" spans="1:11" x14ac:dyDescent="0.25">
      <c r="A3940">
        <v>254690</v>
      </c>
      <c r="B3940" s="3">
        <v>46157</v>
      </c>
      <c r="C3940">
        <v>1</v>
      </c>
      <c r="D3940">
        <v>115.63</v>
      </c>
      <c r="G3940" s="4" t="s">
        <v>87</v>
      </c>
      <c r="H3940">
        <v>696842544</v>
      </c>
      <c r="I3940" t="s">
        <v>29</v>
      </c>
      <c r="J3940" t="s">
        <v>29</v>
      </c>
      <c r="K3940" t="str">
        <f>IF(Table3[[#This Row],[Type Received]]=2,"CC",(IF(Table3[[#This Row],[Type Received]]=3,"BILL","ACH")))</f>
        <v>ACH</v>
      </c>
    </row>
    <row r="3941" spans="1:11" x14ac:dyDescent="0.25">
      <c r="A3941">
        <v>254691</v>
      </c>
      <c r="B3941" s="3">
        <v>46157</v>
      </c>
      <c r="C3941">
        <v>1</v>
      </c>
      <c r="D3941">
        <v>120.91</v>
      </c>
      <c r="G3941" t="s">
        <v>87</v>
      </c>
      <c r="H3941">
        <v>696854221</v>
      </c>
      <c r="I3941" t="s">
        <v>29</v>
      </c>
      <c r="K3941" t="str">
        <f>IF(Table3[[#This Row],[Type Received]]=2,"CC",(IF(Table3[[#This Row],[Type Received]]=3,"BILL","ACH")))</f>
        <v>ACH</v>
      </c>
    </row>
    <row r="3942" spans="1:11" x14ac:dyDescent="0.25">
      <c r="A3942">
        <v>254697</v>
      </c>
      <c r="B3942" s="3">
        <v>46145</v>
      </c>
      <c r="C3942">
        <v>1</v>
      </c>
      <c r="D3942">
        <v>80.430000000000007</v>
      </c>
      <c r="G3942" s="4" t="s">
        <v>113</v>
      </c>
      <c r="H3942">
        <v>546448587</v>
      </c>
      <c r="I3942" t="s">
        <v>29</v>
      </c>
      <c r="J3942" t="s">
        <v>29</v>
      </c>
      <c r="K3942" t="str">
        <f>IF(Table3[[#This Row],[Type Received]]=2,"CC",(IF(Table3[[#This Row],[Type Received]]=3,"BILL","ACH")))</f>
        <v>ACH</v>
      </c>
    </row>
    <row r="3943" spans="1:11" x14ac:dyDescent="0.25">
      <c r="A3943">
        <v>254699</v>
      </c>
      <c r="B3943" s="3">
        <v>46163</v>
      </c>
      <c r="C3943">
        <v>2</v>
      </c>
      <c r="D3943">
        <v>125.58</v>
      </c>
      <c r="F3943">
        <v>110105</v>
      </c>
      <c r="G3943" t="s">
        <v>28</v>
      </c>
      <c r="H3943">
        <v>774753396</v>
      </c>
      <c r="I3943" t="s">
        <v>29</v>
      </c>
      <c r="J3943" t="s">
        <v>29</v>
      </c>
      <c r="K3943" t="str">
        <f>IF(Table3[[#This Row],[Type Received]]=2,"CC",(IF(Table3[[#This Row],[Type Received]]=3,"BILL","ACH")))</f>
        <v>CC</v>
      </c>
    </row>
    <row r="3944" spans="1:11" x14ac:dyDescent="0.25">
      <c r="A3944">
        <v>254699</v>
      </c>
      <c r="B3944" s="3">
        <v>46163</v>
      </c>
      <c r="C3944">
        <v>2</v>
      </c>
      <c r="D3944">
        <v>125.58</v>
      </c>
      <c r="F3944">
        <v>82144</v>
      </c>
      <c r="G3944" t="s">
        <v>28</v>
      </c>
      <c r="H3944">
        <v>774743795</v>
      </c>
      <c r="I3944" t="s">
        <v>29</v>
      </c>
      <c r="J3944" t="s">
        <v>29</v>
      </c>
      <c r="K3944" t="str">
        <f>IF(Table3[[#This Row],[Type Received]]=2,"CC",(IF(Table3[[#This Row],[Type Received]]=3,"BILL","ACH")))</f>
        <v>CC</v>
      </c>
    </row>
    <row r="3945" spans="1:11" x14ac:dyDescent="0.25">
      <c r="A3945">
        <v>254701</v>
      </c>
      <c r="B3945" s="3">
        <v>46144</v>
      </c>
      <c r="C3945">
        <v>1</v>
      </c>
      <c r="D3945">
        <v>104.41</v>
      </c>
      <c r="G3945" t="s">
        <v>89</v>
      </c>
      <c r="H3945">
        <v>535372205</v>
      </c>
      <c r="I3945" t="s">
        <v>29</v>
      </c>
      <c r="J3945" t="s">
        <v>29</v>
      </c>
      <c r="K3945" t="str">
        <f>IF(Table3[[#This Row],[Type Received]]=2,"CC",(IF(Table3[[#This Row],[Type Received]]=3,"BILL","ACH")))</f>
        <v>ACH</v>
      </c>
    </row>
    <row r="3946" spans="1:11" x14ac:dyDescent="0.25">
      <c r="A3946">
        <v>254702</v>
      </c>
      <c r="B3946" s="3">
        <v>46157</v>
      </c>
      <c r="C3946">
        <v>1</v>
      </c>
      <c r="D3946">
        <v>84.94</v>
      </c>
      <c r="G3946" t="s">
        <v>87</v>
      </c>
      <c r="H3946">
        <v>696852229</v>
      </c>
      <c r="I3946" t="s">
        <v>29</v>
      </c>
      <c r="K3946" t="str">
        <f>IF(Table3[[#This Row],[Type Received]]=2,"CC",(IF(Table3[[#This Row],[Type Received]]=3,"BILL","ACH")))</f>
        <v>ACH</v>
      </c>
    </row>
    <row r="3947" spans="1:11" x14ac:dyDescent="0.25">
      <c r="A3947">
        <v>254705</v>
      </c>
      <c r="B3947" s="3">
        <v>46155</v>
      </c>
      <c r="C3947">
        <v>3</v>
      </c>
      <c r="D3947">
        <v>38.1</v>
      </c>
      <c r="E3947">
        <v>3731</v>
      </c>
      <c r="G3947" s="4"/>
      <c r="J3947" t="s">
        <v>29</v>
      </c>
      <c r="K3947" t="str">
        <f>IF(Table3[[#This Row],[Type Received]]=2,"CC",(IF(Table3[[#This Row],[Type Received]]=3,"BILL","ACH")))</f>
        <v>BILL</v>
      </c>
    </row>
    <row r="3948" spans="1:11" x14ac:dyDescent="0.25">
      <c r="A3948">
        <v>254710</v>
      </c>
      <c r="B3948" s="3">
        <v>46155</v>
      </c>
      <c r="C3948">
        <v>2</v>
      </c>
      <c r="D3948">
        <v>54.91</v>
      </c>
      <c r="F3948">
        <v>903942</v>
      </c>
      <c r="G3948" t="s">
        <v>28</v>
      </c>
      <c r="H3948">
        <v>669506887</v>
      </c>
      <c r="I3948" t="s">
        <v>29</v>
      </c>
      <c r="J3948" t="s">
        <v>29</v>
      </c>
      <c r="K3948" t="str">
        <f>IF(Table3[[#This Row],[Type Received]]=2,"CC",(IF(Table3[[#This Row],[Type Received]]=3,"BILL","ACH")))</f>
        <v>CC</v>
      </c>
    </row>
    <row r="3949" spans="1:11" x14ac:dyDescent="0.25">
      <c r="A3949">
        <v>254717</v>
      </c>
      <c r="B3949" s="3">
        <v>46145</v>
      </c>
      <c r="C3949">
        <v>1</v>
      </c>
      <c r="D3949">
        <v>50.95</v>
      </c>
      <c r="G3949" t="s">
        <v>113</v>
      </c>
      <c r="H3949">
        <v>546450565</v>
      </c>
      <c r="I3949" t="s">
        <v>29</v>
      </c>
      <c r="J3949" t="s">
        <v>29</v>
      </c>
      <c r="K3949" t="str">
        <f>IF(Table3[[#This Row],[Type Received]]=2,"CC",(IF(Table3[[#This Row],[Type Received]]=3,"BILL","ACH")))</f>
        <v>ACH</v>
      </c>
    </row>
    <row r="3950" spans="1:11" x14ac:dyDescent="0.25">
      <c r="A3950">
        <v>254718</v>
      </c>
      <c r="B3950" s="3">
        <v>46145</v>
      </c>
      <c r="C3950">
        <v>1</v>
      </c>
      <c r="D3950">
        <v>50.29</v>
      </c>
      <c r="G3950" s="4" t="s">
        <v>113</v>
      </c>
      <c r="H3950">
        <v>546441798</v>
      </c>
      <c r="I3950" t="s">
        <v>29</v>
      </c>
      <c r="K3950" t="str">
        <f>IF(Table3[[#This Row],[Type Received]]=2,"CC",(IF(Table3[[#This Row],[Type Received]]=3,"BILL","ACH")))</f>
        <v>ACH</v>
      </c>
    </row>
    <row r="3951" spans="1:11" x14ac:dyDescent="0.25">
      <c r="A3951">
        <v>254721</v>
      </c>
      <c r="B3951" s="3">
        <v>46148</v>
      </c>
      <c r="C3951">
        <v>1</v>
      </c>
      <c r="D3951">
        <v>130.47999999999999</v>
      </c>
      <c r="G3951" t="s">
        <v>126</v>
      </c>
      <c r="H3951">
        <v>582133640</v>
      </c>
      <c r="I3951" t="s">
        <v>29</v>
      </c>
      <c r="J3951" t="s">
        <v>29</v>
      </c>
      <c r="K3951" t="str">
        <f>IF(Table3[[#This Row],[Type Received]]=2,"CC",(IF(Table3[[#This Row],[Type Received]]=3,"BILL","ACH")))</f>
        <v>ACH</v>
      </c>
    </row>
    <row r="3952" spans="1:11" x14ac:dyDescent="0.25">
      <c r="A3952">
        <v>254725</v>
      </c>
      <c r="B3952" s="3">
        <v>46155</v>
      </c>
      <c r="C3952">
        <v>2</v>
      </c>
      <c r="D3952">
        <v>122.23</v>
      </c>
      <c r="F3952">
        <v>186287</v>
      </c>
      <c r="G3952" t="s">
        <v>28</v>
      </c>
      <c r="H3952">
        <v>669519402</v>
      </c>
      <c r="I3952" t="s">
        <v>29</v>
      </c>
      <c r="K3952" t="str">
        <f>IF(Table3[[#This Row],[Type Received]]=2,"CC",(IF(Table3[[#This Row],[Type Received]]=3,"BILL","ACH")))</f>
        <v>CC</v>
      </c>
    </row>
    <row r="3953" spans="1:11" x14ac:dyDescent="0.25">
      <c r="A3953">
        <v>254728</v>
      </c>
      <c r="B3953" s="3">
        <v>46145</v>
      </c>
      <c r="C3953">
        <v>1</v>
      </c>
      <c r="D3953">
        <v>40.61</v>
      </c>
      <c r="G3953" t="s">
        <v>113</v>
      </c>
      <c r="H3953">
        <v>546460155</v>
      </c>
      <c r="I3953" t="s">
        <v>29</v>
      </c>
      <c r="J3953" t="s">
        <v>29</v>
      </c>
      <c r="K3953" t="str">
        <f>IF(Table3[[#This Row],[Type Received]]=2,"CC",(IF(Table3[[#This Row],[Type Received]]=3,"BILL","ACH")))</f>
        <v>ACH</v>
      </c>
    </row>
    <row r="3954" spans="1:11" x14ac:dyDescent="0.25">
      <c r="A3954">
        <v>254755</v>
      </c>
      <c r="B3954" s="3">
        <v>46155</v>
      </c>
      <c r="C3954">
        <v>1</v>
      </c>
      <c r="D3954">
        <v>50.29</v>
      </c>
      <c r="G3954" s="4" t="s">
        <v>90</v>
      </c>
      <c r="H3954">
        <v>669507747</v>
      </c>
      <c r="I3954" t="s">
        <v>29</v>
      </c>
      <c r="J3954" t="s">
        <v>29</v>
      </c>
      <c r="K3954" t="str">
        <f>IF(Table3[[#This Row],[Type Received]]=2,"CC",(IF(Table3[[#This Row],[Type Received]]=3,"BILL","ACH")))</f>
        <v>ACH</v>
      </c>
    </row>
    <row r="3955" spans="1:11" x14ac:dyDescent="0.25">
      <c r="A3955">
        <v>254765</v>
      </c>
      <c r="B3955" s="3">
        <v>46145</v>
      </c>
      <c r="C3955">
        <v>1</v>
      </c>
      <c r="D3955">
        <v>65.8</v>
      </c>
      <c r="G3955" t="s">
        <v>113</v>
      </c>
      <c r="H3955">
        <v>546455313</v>
      </c>
      <c r="I3955" t="s">
        <v>29</v>
      </c>
      <c r="K3955" t="str">
        <f>IF(Table3[[#This Row],[Type Received]]=2,"CC",(IF(Table3[[#This Row],[Type Received]]=3,"BILL","ACH")))</f>
        <v>ACH</v>
      </c>
    </row>
    <row r="3956" spans="1:11" x14ac:dyDescent="0.25">
      <c r="A3956">
        <v>254766</v>
      </c>
      <c r="B3956" s="3">
        <v>46145</v>
      </c>
      <c r="C3956">
        <v>1</v>
      </c>
      <c r="D3956">
        <v>63.71</v>
      </c>
      <c r="G3956" t="s">
        <v>113</v>
      </c>
      <c r="H3956">
        <v>546450602</v>
      </c>
      <c r="I3956" t="s">
        <v>29</v>
      </c>
      <c r="J3956" t="s">
        <v>29</v>
      </c>
      <c r="K3956" t="str">
        <f>IF(Table3[[#This Row],[Type Received]]=2,"CC",(IF(Table3[[#This Row],[Type Received]]=3,"BILL","ACH")))</f>
        <v>ACH</v>
      </c>
    </row>
    <row r="3957" spans="1:11" x14ac:dyDescent="0.25">
      <c r="A3957">
        <v>254769</v>
      </c>
      <c r="B3957" s="3">
        <v>46161</v>
      </c>
      <c r="C3957">
        <v>2</v>
      </c>
      <c r="D3957">
        <v>41.95</v>
      </c>
      <c r="F3957">
        <v>611503</v>
      </c>
      <c r="G3957" t="s">
        <v>28</v>
      </c>
      <c r="H3957">
        <v>744434557</v>
      </c>
      <c r="I3957" t="s">
        <v>29</v>
      </c>
      <c r="K3957" t="str">
        <f>IF(Table3[[#This Row],[Type Received]]=2,"CC",(IF(Table3[[#This Row],[Type Received]]=3,"BILL","ACH")))</f>
        <v>CC</v>
      </c>
    </row>
    <row r="3958" spans="1:11" x14ac:dyDescent="0.25">
      <c r="A3958">
        <v>254795</v>
      </c>
      <c r="B3958" s="3">
        <v>46157</v>
      </c>
      <c r="C3958">
        <v>1</v>
      </c>
      <c r="D3958">
        <v>134.11000000000001</v>
      </c>
      <c r="G3958" t="s">
        <v>87</v>
      </c>
      <c r="H3958">
        <v>696840644</v>
      </c>
      <c r="I3958" t="s">
        <v>29</v>
      </c>
      <c r="J3958" t="s">
        <v>29</v>
      </c>
      <c r="K3958" t="str">
        <f>IF(Table3[[#This Row],[Type Received]]=2,"CC",(IF(Table3[[#This Row],[Type Received]]=3,"BILL","ACH")))</f>
        <v>ACH</v>
      </c>
    </row>
    <row r="3959" spans="1:11" x14ac:dyDescent="0.25">
      <c r="A3959">
        <v>254796</v>
      </c>
      <c r="B3959" s="3">
        <v>46155</v>
      </c>
      <c r="C3959">
        <v>2</v>
      </c>
      <c r="D3959">
        <v>58.54</v>
      </c>
      <c r="F3959">
        <v>182485</v>
      </c>
      <c r="G3959" t="s">
        <v>28</v>
      </c>
      <c r="H3959">
        <v>669520382</v>
      </c>
      <c r="I3959" t="s">
        <v>29</v>
      </c>
      <c r="J3959" t="s">
        <v>29</v>
      </c>
      <c r="K3959" t="str">
        <f>IF(Table3[[#This Row],[Type Received]]=2,"CC",(IF(Table3[[#This Row],[Type Received]]=3,"BILL","ACH")))</f>
        <v>CC</v>
      </c>
    </row>
    <row r="3960" spans="1:11" x14ac:dyDescent="0.25">
      <c r="A3960">
        <v>254798</v>
      </c>
      <c r="B3960" s="3">
        <v>46145</v>
      </c>
      <c r="C3960">
        <v>1</v>
      </c>
      <c r="D3960">
        <v>33.79</v>
      </c>
      <c r="G3960" t="s">
        <v>113</v>
      </c>
      <c r="H3960">
        <v>546456305</v>
      </c>
      <c r="I3960" t="s">
        <v>29</v>
      </c>
      <c r="J3960" t="s">
        <v>29</v>
      </c>
      <c r="K3960" t="str">
        <f>IF(Table3[[#This Row],[Type Received]]=2,"CC",(IF(Table3[[#This Row],[Type Received]]=3,"BILL","ACH")))</f>
        <v>ACH</v>
      </c>
    </row>
    <row r="3961" spans="1:11" x14ac:dyDescent="0.25">
      <c r="A3961">
        <v>254803</v>
      </c>
      <c r="B3961" s="3">
        <v>46146</v>
      </c>
      <c r="C3961">
        <v>2</v>
      </c>
      <c r="D3961">
        <v>92.2</v>
      </c>
      <c r="F3961">
        <v>874030</v>
      </c>
      <c r="G3961" t="s">
        <v>28</v>
      </c>
      <c r="H3961">
        <v>557098179</v>
      </c>
      <c r="I3961" t="s">
        <v>29</v>
      </c>
      <c r="J3961" t="s">
        <v>29</v>
      </c>
      <c r="K3961" t="str">
        <f>IF(Table3[[#This Row],[Type Received]]=2,"CC",(IF(Table3[[#This Row],[Type Received]]=3,"BILL","ACH")))</f>
        <v>CC</v>
      </c>
    </row>
    <row r="3962" spans="1:11" x14ac:dyDescent="0.25">
      <c r="A3962">
        <v>254806</v>
      </c>
      <c r="B3962" s="3">
        <v>46157</v>
      </c>
      <c r="C3962">
        <v>1</v>
      </c>
      <c r="D3962">
        <v>39.29</v>
      </c>
      <c r="G3962" t="s">
        <v>87</v>
      </c>
      <c r="H3962">
        <v>696849311</v>
      </c>
      <c r="I3962" t="s">
        <v>29</v>
      </c>
      <c r="J3962" t="s">
        <v>29</v>
      </c>
      <c r="K3962" t="str">
        <f>IF(Table3[[#This Row],[Type Received]]=2,"CC",(IF(Table3[[#This Row],[Type Received]]=3,"BILL","ACH")))</f>
        <v>ACH</v>
      </c>
    </row>
    <row r="3963" spans="1:11" x14ac:dyDescent="0.25">
      <c r="A3963">
        <v>254809</v>
      </c>
      <c r="B3963" s="3">
        <v>46162</v>
      </c>
      <c r="C3963">
        <v>1</v>
      </c>
      <c r="D3963">
        <v>103.75</v>
      </c>
      <c r="G3963" t="s">
        <v>107</v>
      </c>
      <c r="H3963">
        <v>757834577</v>
      </c>
      <c r="I3963" t="s">
        <v>29</v>
      </c>
      <c r="J3963" t="s">
        <v>29</v>
      </c>
      <c r="K3963" t="str">
        <f>IF(Table3[[#This Row],[Type Received]]=2,"CC",(IF(Table3[[#This Row],[Type Received]]=3,"BILL","ACH")))</f>
        <v>ACH</v>
      </c>
    </row>
    <row r="3964" spans="1:11" x14ac:dyDescent="0.25">
      <c r="A3964">
        <v>254814</v>
      </c>
      <c r="B3964" s="3">
        <v>46168</v>
      </c>
      <c r="C3964">
        <v>1</v>
      </c>
      <c r="D3964">
        <v>39.950000000000003</v>
      </c>
      <c r="G3964" t="s">
        <v>110</v>
      </c>
      <c r="H3964">
        <v>828299567</v>
      </c>
      <c r="I3964" t="s">
        <v>29</v>
      </c>
      <c r="K3964" t="str">
        <f>IF(Table3[[#This Row],[Type Received]]=2,"CC",(IF(Table3[[#This Row],[Type Received]]=3,"BILL","ACH")))</f>
        <v>ACH</v>
      </c>
    </row>
    <row r="3965" spans="1:11" x14ac:dyDescent="0.25">
      <c r="A3965">
        <v>254821</v>
      </c>
      <c r="B3965" s="3">
        <v>46157</v>
      </c>
      <c r="C3965">
        <v>1</v>
      </c>
      <c r="D3965">
        <v>48.97</v>
      </c>
      <c r="G3965" t="s">
        <v>87</v>
      </c>
      <c r="H3965">
        <v>696845532</v>
      </c>
      <c r="I3965" t="s">
        <v>29</v>
      </c>
      <c r="K3965" t="str">
        <f>IF(Table3[[#This Row],[Type Received]]=2,"CC",(IF(Table3[[#This Row],[Type Received]]=3,"BILL","ACH")))</f>
        <v>ACH</v>
      </c>
    </row>
    <row r="3966" spans="1:11" x14ac:dyDescent="0.25">
      <c r="A3966">
        <v>254822</v>
      </c>
      <c r="B3966" s="3">
        <v>46168</v>
      </c>
      <c r="C3966">
        <v>1</v>
      </c>
      <c r="D3966">
        <v>66.790000000000006</v>
      </c>
      <c r="G3966" t="s">
        <v>110</v>
      </c>
      <c r="H3966">
        <v>828293606</v>
      </c>
      <c r="I3966" t="s">
        <v>29</v>
      </c>
      <c r="J3966" t="s">
        <v>29</v>
      </c>
      <c r="K3966" t="str">
        <f>IF(Table3[[#This Row],[Type Received]]=2,"CC",(IF(Table3[[#This Row],[Type Received]]=3,"BILL","ACH")))</f>
        <v>ACH</v>
      </c>
    </row>
    <row r="3967" spans="1:11" x14ac:dyDescent="0.25">
      <c r="A3967">
        <v>254827</v>
      </c>
      <c r="B3967" s="3">
        <v>46155</v>
      </c>
      <c r="C3967">
        <v>2</v>
      </c>
      <c r="D3967">
        <v>61.07</v>
      </c>
      <c r="F3967" t="s">
        <v>315</v>
      </c>
      <c r="G3967" t="s">
        <v>28</v>
      </c>
      <c r="H3967">
        <v>669527212</v>
      </c>
      <c r="I3967" t="s">
        <v>29</v>
      </c>
      <c r="J3967" t="s">
        <v>29</v>
      </c>
      <c r="K3967" t="str">
        <f>IF(Table3[[#This Row],[Type Received]]=2,"CC",(IF(Table3[[#This Row],[Type Received]]=3,"BILL","ACH")))</f>
        <v>CC</v>
      </c>
    </row>
    <row r="3968" spans="1:11" x14ac:dyDescent="0.25">
      <c r="A3968">
        <v>254836</v>
      </c>
      <c r="B3968" s="3">
        <v>46155</v>
      </c>
      <c r="C3968">
        <v>1</v>
      </c>
      <c r="D3968">
        <v>146.01</v>
      </c>
      <c r="G3968" t="s">
        <v>90</v>
      </c>
      <c r="H3968">
        <v>670977551</v>
      </c>
      <c r="I3968" t="s">
        <v>29</v>
      </c>
      <c r="J3968" t="s">
        <v>29</v>
      </c>
      <c r="K3968" t="str">
        <f>IF(Table3[[#This Row],[Type Received]]=2,"CC",(IF(Table3[[#This Row],[Type Received]]=3,"BILL","ACH")))</f>
        <v>ACH</v>
      </c>
    </row>
    <row r="3969" spans="1:11" x14ac:dyDescent="0.25">
      <c r="A3969">
        <v>254837</v>
      </c>
      <c r="B3969" s="3">
        <v>46156</v>
      </c>
      <c r="C3969">
        <v>1</v>
      </c>
      <c r="D3969">
        <v>173.71</v>
      </c>
      <c r="G3969" t="s">
        <v>93</v>
      </c>
      <c r="H3969">
        <v>682522571</v>
      </c>
      <c r="I3969" t="s">
        <v>29</v>
      </c>
      <c r="J3969" t="s">
        <v>29</v>
      </c>
      <c r="K3969" t="str">
        <f>IF(Table3[[#This Row],[Type Received]]=2,"CC",(IF(Table3[[#This Row],[Type Received]]=3,"BILL","ACH")))</f>
        <v>ACH</v>
      </c>
    </row>
    <row r="3970" spans="1:11" x14ac:dyDescent="0.25">
      <c r="A3970">
        <v>254846</v>
      </c>
      <c r="B3970" s="3">
        <v>46146</v>
      </c>
      <c r="C3970">
        <v>1</v>
      </c>
      <c r="D3970">
        <v>107.4</v>
      </c>
      <c r="G3970" t="s">
        <v>92</v>
      </c>
      <c r="H3970">
        <v>560212588</v>
      </c>
      <c r="I3970" t="s">
        <v>29</v>
      </c>
      <c r="J3970" t="s">
        <v>29</v>
      </c>
      <c r="K3970" t="str">
        <f>IF(Table3[[#This Row],[Type Received]]=2,"CC",(IF(Table3[[#This Row],[Type Received]]=3,"BILL","ACH")))</f>
        <v>ACH</v>
      </c>
    </row>
    <row r="3971" spans="1:11" x14ac:dyDescent="0.25">
      <c r="A3971">
        <v>254849</v>
      </c>
      <c r="B3971" s="3">
        <v>46157</v>
      </c>
      <c r="C3971">
        <v>1</v>
      </c>
      <c r="D3971">
        <v>43.47</v>
      </c>
      <c r="G3971" t="s">
        <v>87</v>
      </c>
      <c r="H3971">
        <v>696838842</v>
      </c>
      <c r="I3971" t="s">
        <v>29</v>
      </c>
      <c r="J3971" t="s">
        <v>29</v>
      </c>
      <c r="K3971" t="str">
        <f>IF(Table3[[#This Row],[Type Received]]=2,"CC",(IF(Table3[[#This Row],[Type Received]]=3,"BILL","ACH")))</f>
        <v>ACH</v>
      </c>
    </row>
    <row r="3972" spans="1:11" x14ac:dyDescent="0.25">
      <c r="A3972">
        <v>254851</v>
      </c>
      <c r="B3972" s="3">
        <v>46145</v>
      </c>
      <c r="C3972">
        <v>1</v>
      </c>
      <c r="D3972">
        <v>178.33</v>
      </c>
      <c r="G3972" t="s">
        <v>113</v>
      </c>
      <c r="H3972">
        <v>546435032</v>
      </c>
      <c r="I3972" t="s">
        <v>29</v>
      </c>
      <c r="K3972" t="str">
        <f>IF(Table3[[#This Row],[Type Received]]=2,"CC",(IF(Table3[[#This Row],[Type Received]]=3,"BILL","ACH")))</f>
        <v>ACH</v>
      </c>
    </row>
    <row r="3973" spans="1:11" x14ac:dyDescent="0.25">
      <c r="A3973">
        <v>254856</v>
      </c>
      <c r="B3973" s="3">
        <v>46168</v>
      </c>
      <c r="C3973">
        <v>1</v>
      </c>
      <c r="D3973">
        <v>63.16</v>
      </c>
      <c r="G3973" t="s">
        <v>110</v>
      </c>
      <c r="H3973">
        <v>828311143</v>
      </c>
      <c r="I3973" t="s">
        <v>29</v>
      </c>
      <c r="J3973" t="s">
        <v>29</v>
      </c>
      <c r="K3973" t="str">
        <f>IF(Table3[[#This Row],[Type Received]]=2,"CC",(IF(Table3[[#This Row],[Type Received]]=3,"BILL","ACH")))</f>
        <v>ACH</v>
      </c>
    </row>
    <row r="3974" spans="1:11" x14ac:dyDescent="0.25">
      <c r="A3974">
        <v>254906</v>
      </c>
      <c r="B3974" s="3">
        <v>46155</v>
      </c>
      <c r="C3974">
        <v>2</v>
      </c>
      <c r="D3974">
        <v>50.95</v>
      </c>
      <c r="F3974" t="s">
        <v>316</v>
      </c>
      <c r="G3974" s="4" t="s">
        <v>28</v>
      </c>
      <c r="H3974">
        <v>669530144</v>
      </c>
      <c r="I3974" t="s">
        <v>29</v>
      </c>
      <c r="J3974" t="s">
        <v>29</v>
      </c>
      <c r="K3974" t="str">
        <f>IF(Table3[[#This Row],[Type Received]]=2,"CC",(IF(Table3[[#This Row],[Type Received]]=3,"BILL","ACH")))</f>
        <v>CC</v>
      </c>
    </row>
    <row r="3975" spans="1:11" x14ac:dyDescent="0.25">
      <c r="A3975">
        <v>254916</v>
      </c>
      <c r="B3975" s="3">
        <v>46162</v>
      </c>
      <c r="C3975">
        <v>1</v>
      </c>
      <c r="D3975">
        <v>155.06</v>
      </c>
      <c r="G3975" t="s">
        <v>107</v>
      </c>
      <c r="H3975">
        <v>762654459</v>
      </c>
      <c r="I3975" t="s">
        <v>29</v>
      </c>
      <c r="J3975" t="s">
        <v>29</v>
      </c>
      <c r="K3975" t="str">
        <f>IF(Table3[[#This Row],[Type Received]]=2,"CC",(IF(Table3[[#This Row],[Type Received]]=3,"BILL","ACH")))</f>
        <v>ACH</v>
      </c>
    </row>
    <row r="3976" spans="1:11" x14ac:dyDescent="0.25">
      <c r="A3976">
        <v>254916</v>
      </c>
      <c r="B3976" s="3">
        <v>46148</v>
      </c>
      <c r="C3976">
        <v>1</v>
      </c>
      <c r="D3976">
        <v>155.06</v>
      </c>
      <c r="G3976" t="s">
        <v>126</v>
      </c>
      <c r="H3976">
        <v>581626633</v>
      </c>
      <c r="I3976" t="s">
        <v>29</v>
      </c>
      <c r="J3976" t="s">
        <v>29</v>
      </c>
      <c r="K3976" t="str">
        <f>IF(Table3[[#This Row],[Type Received]]=2,"CC",(IF(Table3[[#This Row],[Type Received]]=3,"BILL","ACH")))</f>
        <v>ACH</v>
      </c>
    </row>
    <row r="3977" spans="1:11" x14ac:dyDescent="0.25">
      <c r="A3977">
        <v>254919</v>
      </c>
      <c r="B3977" s="3">
        <v>46157</v>
      </c>
      <c r="C3977">
        <v>1</v>
      </c>
      <c r="D3977">
        <v>34.450000000000003</v>
      </c>
      <c r="G3977" t="s">
        <v>87</v>
      </c>
      <c r="H3977">
        <v>696834968</v>
      </c>
      <c r="I3977" t="s">
        <v>29</v>
      </c>
      <c r="J3977" t="s">
        <v>29</v>
      </c>
      <c r="K3977" t="str">
        <f>IF(Table3[[#This Row],[Type Received]]=2,"CC",(IF(Table3[[#This Row],[Type Received]]=3,"BILL","ACH")))</f>
        <v>ACH</v>
      </c>
    </row>
    <row r="3978" spans="1:11" x14ac:dyDescent="0.25">
      <c r="A3978">
        <v>254935</v>
      </c>
      <c r="B3978" s="3">
        <v>46155</v>
      </c>
      <c r="C3978">
        <v>2</v>
      </c>
      <c r="D3978">
        <v>111.34</v>
      </c>
      <c r="F3978">
        <v>101700</v>
      </c>
      <c r="G3978" t="s">
        <v>28</v>
      </c>
      <c r="H3978">
        <v>669508723</v>
      </c>
      <c r="I3978" t="s">
        <v>29</v>
      </c>
      <c r="J3978" t="s">
        <v>29</v>
      </c>
      <c r="K3978" t="str">
        <f>IF(Table3[[#This Row],[Type Received]]=2,"CC",(IF(Table3[[#This Row],[Type Received]]=3,"BILL","ACH")))</f>
        <v>CC</v>
      </c>
    </row>
    <row r="3979" spans="1:11" x14ac:dyDescent="0.25">
      <c r="A3979">
        <v>254942</v>
      </c>
      <c r="B3979" s="3">
        <v>46170</v>
      </c>
      <c r="C3979">
        <v>2</v>
      </c>
      <c r="D3979">
        <v>113.7</v>
      </c>
      <c r="F3979">
        <v>83222</v>
      </c>
      <c r="G3979" t="s">
        <v>28</v>
      </c>
      <c r="H3979">
        <v>853599820</v>
      </c>
      <c r="I3979" t="s">
        <v>29</v>
      </c>
      <c r="J3979" t="s">
        <v>29</v>
      </c>
      <c r="K3979" t="str">
        <f>IF(Table3[[#This Row],[Type Received]]=2,"CC",(IF(Table3[[#This Row],[Type Received]]=3,"BILL","ACH")))</f>
        <v>CC</v>
      </c>
    </row>
    <row r="3980" spans="1:11" x14ac:dyDescent="0.25">
      <c r="A3980">
        <v>254945</v>
      </c>
      <c r="B3980" s="3">
        <v>46168</v>
      </c>
      <c r="C3980">
        <v>1</v>
      </c>
      <c r="D3980">
        <v>130.15</v>
      </c>
      <c r="G3980" t="s">
        <v>110</v>
      </c>
      <c r="H3980">
        <v>828287823</v>
      </c>
      <c r="I3980" t="s">
        <v>29</v>
      </c>
      <c r="K3980" t="str">
        <f>IF(Table3[[#This Row],[Type Received]]=2,"CC",(IF(Table3[[#This Row],[Type Received]]=3,"BILL","ACH")))</f>
        <v>ACH</v>
      </c>
    </row>
    <row r="3981" spans="1:11" x14ac:dyDescent="0.25">
      <c r="A3981">
        <v>254949</v>
      </c>
      <c r="B3981" s="3">
        <v>46158</v>
      </c>
      <c r="C3981">
        <v>1</v>
      </c>
      <c r="D3981">
        <v>51.28</v>
      </c>
      <c r="G3981" t="s">
        <v>106</v>
      </c>
      <c r="H3981">
        <v>710078209</v>
      </c>
      <c r="I3981" t="s">
        <v>29</v>
      </c>
      <c r="K3981" t="str">
        <f>IF(Table3[[#This Row],[Type Received]]=2,"CC",(IF(Table3[[#This Row],[Type Received]]=3,"BILL","ACH")))</f>
        <v>ACH</v>
      </c>
    </row>
    <row r="3982" spans="1:11" x14ac:dyDescent="0.25">
      <c r="A3982">
        <v>254951</v>
      </c>
      <c r="B3982" s="3">
        <v>46158</v>
      </c>
      <c r="C3982">
        <v>1</v>
      </c>
      <c r="D3982">
        <v>28.51</v>
      </c>
      <c r="G3982" t="s">
        <v>106</v>
      </c>
      <c r="H3982">
        <v>710078218</v>
      </c>
      <c r="I3982" t="s">
        <v>29</v>
      </c>
      <c r="K3982" t="str">
        <f>IF(Table3[[#This Row],[Type Received]]=2,"CC",(IF(Table3[[#This Row],[Type Received]]=3,"BILL","ACH")))</f>
        <v>ACH</v>
      </c>
    </row>
    <row r="3983" spans="1:11" x14ac:dyDescent="0.25">
      <c r="A3983">
        <v>254955</v>
      </c>
      <c r="B3983" s="3">
        <v>46153</v>
      </c>
      <c r="C3983">
        <v>2</v>
      </c>
      <c r="D3983">
        <v>90.9</v>
      </c>
      <c r="F3983">
        <v>193160</v>
      </c>
      <c r="G3983">
        <v>744352488</v>
      </c>
      <c r="H3983">
        <v>354239621</v>
      </c>
      <c r="K3983" t="str">
        <f>IF(Table3[[#This Row],[Type Received]]=2,"CC",(IF(Table3[[#This Row],[Type Received]]=3,"BILL","ACH")))</f>
        <v>CC</v>
      </c>
    </row>
    <row r="3984" spans="1:11" x14ac:dyDescent="0.25">
      <c r="A3984">
        <v>254878</v>
      </c>
      <c r="B3984" s="3">
        <v>46146</v>
      </c>
      <c r="C3984">
        <v>1</v>
      </c>
      <c r="D3984">
        <v>53.15</v>
      </c>
      <c r="G3984" s="4" t="s">
        <v>92</v>
      </c>
      <c r="H3984">
        <v>557106455</v>
      </c>
      <c r="I3984" t="s">
        <v>29</v>
      </c>
      <c r="J3984" t="s">
        <v>29</v>
      </c>
      <c r="K3984" t="str">
        <f>IF(Table3[[#This Row],[Type Received]]=2,"CC",(IF(Table3[[#This Row],[Type Received]]=3,"BILL","ACH")))</f>
        <v>ACH</v>
      </c>
    </row>
    <row r="3985" spans="1:11" x14ac:dyDescent="0.25">
      <c r="A3985">
        <v>254883</v>
      </c>
      <c r="B3985" s="3">
        <v>46157</v>
      </c>
      <c r="C3985">
        <v>1</v>
      </c>
      <c r="D3985">
        <v>61.18</v>
      </c>
      <c r="G3985" t="s">
        <v>87</v>
      </c>
      <c r="H3985">
        <v>696858180</v>
      </c>
      <c r="I3985" t="s">
        <v>29</v>
      </c>
      <c r="J3985" t="s">
        <v>29</v>
      </c>
      <c r="K3985" t="str">
        <f>IF(Table3[[#This Row],[Type Received]]=2,"CC",(IF(Table3[[#This Row],[Type Received]]=3,"BILL","ACH")))</f>
        <v>ACH</v>
      </c>
    </row>
    <row r="3986" spans="1:11" x14ac:dyDescent="0.25">
      <c r="A3986">
        <v>254884</v>
      </c>
      <c r="B3986" s="3">
        <v>46157</v>
      </c>
      <c r="C3986">
        <v>1</v>
      </c>
      <c r="D3986">
        <v>87.47</v>
      </c>
      <c r="G3986" t="s">
        <v>87</v>
      </c>
      <c r="H3986">
        <v>696858186</v>
      </c>
      <c r="I3986" t="s">
        <v>29</v>
      </c>
      <c r="J3986" t="s">
        <v>29</v>
      </c>
      <c r="K3986" t="str">
        <f>IF(Table3[[#This Row],[Type Received]]=2,"CC",(IF(Table3[[#This Row],[Type Received]]=3,"BILL","ACH")))</f>
        <v>ACH</v>
      </c>
    </row>
    <row r="3987" spans="1:11" x14ac:dyDescent="0.25">
      <c r="A3987">
        <v>254886</v>
      </c>
      <c r="B3987" s="3">
        <v>46157</v>
      </c>
      <c r="C3987">
        <v>1</v>
      </c>
      <c r="D3987">
        <v>67.23</v>
      </c>
      <c r="G3987" t="s">
        <v>87</v>
      </c>
      <c r="H3987">
        <v>696851325</v>
      </c>
      <c r="I3987" t="s">
        <v>29</v>
      </c>
      <c r="K3987" t="str">
        <f>IF(Table3[[#This Row],[Type Received]]=2,"CC",(IF(Table3[[#This Row],[Type Received]]=3,"BILL","ACH")))</f>
        <v>ACH</v>
      </c>
    </row>
    <row r="3988" spans="1:11" x14ac:dyDescent="0.25">
      <c r="A3988">
        <v>254976</v>
      </c>
      <c r="B3988" s="3">
        <v>46155</v>
      </c>
      <c r="C3988">
        <v>1</v>
      </c>
      <c r="D3988">
        <v>43.25</v>
      </c>
      <c r="G3988" t="s">
        <v>90</v>
      </c>
      <c r="H3988">
        <v>669510711</v>
      </c>
      <c r="I3988" t="s">
        <v>29</v>
      </c>
      <c r="J3988" t="s">
        <v>29</v>
      </c>
      <c r="K3988" t="str">
        <f>IF(Table3[[#This Row],[Type Received]]=2,"CC",(IF(Table3[[#This Row],[Type Received]]=3,"BILL","ACH")))</f>
        <v>ACH</v>
      </c>
    </row>
    <row r="3989" spans="1:11" x14ac:dyDescent="0.25">
      <c r="A3989">
        <v>255002</v>
      </c>
      <c r="B3989" s="3">
        <v>46158</v>
      </c>
      <c r="C3989">
        <v>1</v>
      </c>
      <c r="D3989">
        <v>49.63</v>
      </c>
      <c r="G3989" s="4" t="s">
        <v>106</v>
      </c>
      <c r="H3989">
        <v>710063763</v>
      </c>
      <c r="I3989" t="s">
        <v>29</v>
      </c>
      <c r="K3989" t="str">
        <f>IF(Table3[[#This Row],[Type Received]]=2,"CC",(IF(Table3[[#This Row],[Type Received]]=3,"BILL","ACH")))</f>
        <v>ACH</v>
      </c>
    </row>
    <row r="3990" spans="1:11" x14ac:dyDescent="0.25">
      <c r="A3990">
        <v>255004</v>
      </c>
      <c r="B3990" s="3">
        <v>46154</v>
      </c>
      <c r="C3990">
        <v>3</v>
      </c>
      <c r="D3990">
        <v>67.03</v>
      </c>
      <c r="E3990">
        <v>377</v>
      </c>
      <c r="J3990" t="s">
        <v>29</v>
      </c>
      <c r="K3990" t="str">
        <f>IF(Table3[[#This Row],[Type Received]]=2,"CC",(IF(Table3[[#This Row],[Type Received]]=3,"BILL","ACH")))</f>
        <v>BILL</v>
      </c>
    </row>
    <row r="3991" spans="1:11" x14ac:dyDescent="0.25">
      <c r="A3991">
        <v>255006</v>
      </c>
      <c r="B3991" s="3">
        <v>46148</v>
      </c>
      <c r="C3991">
        <v>2</v>
      </c>
      <c r="D3991">
        <v>104.1</v>
      </c>
      <c r="F3991">
        <v>182621</v>
      </c>
      <c r="G3991" t="s">
        <v>28</v>
      </c>
      <c r="H3991">
        <v>581795621</v>
      </c>
      <c r="I3991" t="s">
        <v>29</v>
      </c>
      <c r="J3991" t="s">
        <v>29</v>
      </c>
      <c r="K3991" t="str">
        <f>IF(Table3[[#This Row],[Type Received]]=2,"CC",(IF(Table3[[#This Row],[Type Received]]=3,"BILL","ACH")))</f>
        <v>CC</v>
      </c>
    </row>
    <row r="3992" spans="1:11" x14ac:dyDescent="0.25">
      <c r="A3992">
        <v>255012</v>
      </c>
      <c r="B3992" s="3">
        <v>46168</v>
      </c>
      <c r="C3992">
        <v>1</v>
      </c>
      <c r="D3992">
        <v>96.16</v>
      </c>
      <c r="G3992" t="s">
        <v>110</v>
      </c>
      <c r="H3992">
        <v>828303552</v>
      </c>
      <c r="I3992" t="s">
        <v>29</v>
      </c>
      <c r="J3992" t="s">
        <v>29</v>
      </c>
      <c r="K3992" t="str">
        <f>IF(Table3[[#This Row],[Type Received]]=2,"CC",(IF(Table3[[#This Row],[Type Received]]=3,"BILL","ACH")))</f>
        <v>ACH</v>
      </c>
    </row>
    <row r="3993" spans="1:11" x14ac:dyDescent="0.25">
      <c r="A3993">
        <v>255015</v>
      </c>
      <c r="B3993" s="3">
        <v>46158</v>
      </c>
      <c r="C3993">
        <v>1</v>
      </c>
      <c r="D3993">
        <v>115.3</v>
      </c>
      <c r="G3993" t="s">
        <v>106</v>
      </c>
      <c r="H3993">
        <v>710069677</v>
      </c>
      <c r="I3993" t="s">
        <v>29</v>
      </c>
      <c r="J3993" t="s">
        <v>29</v>
      </c>
      <c r="K3993" t="str">
        <f>IF(Table3[[#This Row],[Type Received]]=2,"CC",(IF(Table3[[#This Row],[Type Received]]=3,"BILL","ACH")))</f>
        <v>ACH</v>
      </c>
    </row>
    <row r="3994" spans="1:11" x14ac:dyDescent="0.25">
      <c r="A3994">
        <v>255036</v>
      </c>
      <c r="B3994" s="3">
        <v>46146</v>
      </c>
      <c r="C3994">
        <v>1</v>
      </c>
      <c r="D3994">
        <v>119.92</v>
      </c>
      <c r="G3994" t="s">
        <v>92</v>
      </c>
      <c r="H3994">
        <v>558767635</v>
      </c>
      <c r="I3994" t="s">
        <v>29</v>
      </c>
      <c r="K3994" t="str">
        <f>IF(Table3[[#This Row],[Type Received]]=2,"CC",(IF(Table3[[#This Row],[Type Received]]=3,"BILL","ACH")))</f>
        <v>ACH</v>
      </c>
    </row>
    <row r="3995" spans="1:11" x14ac:dyDescent="0.25">
      <c r="A3995">
        <v>255049</v>
      </c>
      <c r="B3995" s="3">
        <v>46168</v>
      </c>
      <c r="C3995">
        <v>1</v>
      </c>
      <c r="D3995">
        <v>178.99</v>
      </c>
      <c r="G3995" t="s">
        <v>110</v>
      </c>
      <c r="H3995">
        <v>828305501</v>
      </c>
      <c r="I3995" t="s">
        <v>29</v>
      </c>
      <c r="J3995" t="s">
        <v>29</v>
      </c>
      <c r="K3995" t="str">
        <f>IF(Table3[[#This Row],[Type Received]]=2,"CC",(IF(Table3[[#This Row],[Type Received]]=3,"BILL","ACH")))</f>
        <v>ACH</v>
      </c>
    </row>
    <row r="3996" spans="1:11" x14ac:dyDescent="0.25">
      <c r="A3996">
        <v>255052</v>
      </c>
      <c r="B3996" s="3">
        <v>46155</v>
      </c>
      <c r="C3996">
        <v>2</v>
      </c>
      <c r="D3996">
        <v>91.87</v>
      </c>
      <c r="F3996" t="s">
        <v>317</v>
      </c>
      <c r="G3996" t="s">
        <v>28</v>
      </c>
      <c r="H3996">
        <v>669521428</v>
      </c>
      <c r="I3996" t="s">
        <v>29</v>
      </c>
      <c r="K3996" t="str">
        <f>IF(Table3[[#This Row],[Type Received]]=2,"CC",(IF(Table3[[#This Row],[Type Received]]=3,"BILL","ACH")))</f>
        <v>CC</v>
      </c>
    </row>
    <row r="3997" spans="1:11" x14ac:dyDescent="0.25">
      <c r="A3997">
        <v>255059</v>
      </c>
      <c r="B3997" s="3">
        <v>46158</v>
      </c>
      <c r="C3997">
        <v>1</v>
      </c>
      <c r="D3997">
        <v>141.37</v>
      </c>
      <c r="G3997" t="s">
        <v>106</v>
      </c>
      <c r="H3997">
        <v>710076464</v>
      </c>
      <c r="I3997" t="s">
        <v>29</v>
      </c>
      <c r="J3997" t="s">
        <v>29</v>
      </c>
      <c r="K3997" t="str">
        <f>IF(Table3[[#This Row],[Type Received]]=2,"CC",(IF(Table3[[#This Row],[Type Received]]=3,"BILL","ACH")))</f>
        <v>ACH</v>
      </c>
    </row>
    <row r="3998" spans="1:11" x14ac:dyDescent="0.25">
      <c r="A3998">
        <v>255061</v>
      </c>
      <c r="B3998" s="3">
        <v>46158</v>
      </c>
      <c r="C3998">
        <v>1</v>
      </c>
      <c r="D3998">
        <v>98.8</v>
      </c>
      <c r="G3998" t="s">
        <v>106</v>
      </c>
      <c r="H3998">
        <v>710060832</v>
      </c>
      <c r="I3998" t="s">
        <v>29</v>
      </c>
      <c r="K3998" t="str">
        <f>IF(Table3[[#This Row],[Type Received]]=2,"CC",(IF(Table3[[#This Row],[Type Received]]=3,"BILL","ACH")))</f>
        <v>ACH</v>
      </c>
    </row>
    <row r="3999" spans="1:11" x14ac:dyDescent="0.25">
      <c r="A3999">
        <v>255062</v>
      </c>
      <c r="B3999" s="3">
        <v>46168</v>
      </c>
      <c r="C3999">
        <v>2</v>
      </c>
      <c r="D3999">
        <v>111.01</v>
      </c>
      <c r="F3999" t="s">
        <v>318</v>
      </c>
      <c r="G3999" t="s">
        <v>28</v>
      </c>
      <c r="H3999">
        <v>828307356</v>
      </c>
      <c r="I3999" t="s">
        <v>29</v>
      </c>
      <c r="J3999" t="s">
        <v>29</v>
      </c>
      <c r="K3999" t="str">
        <f>IF(Table3[[#This Row],[Type Received]]=2,"CC",(IF(Table3[[#This Row],[Type Received]]=3,"BILL","ACH")))</f>
        <v>CC</v>
      </c>
    </row>
    <row r="4000" spans="1:11" x14ac:dyDescent="0.25">
      <c r="A4000">
        <v>255063</v>
      </c>
      <c r="B4000" s="3">
        <v>46143</v>
      </c>
      <c r="C4000">
        <v>1</v>
      </c>
      <c r="D4000">
        <v>78.89</v>
      </c>
      <c r="G4000" t="s">
        <v>84</v>
      </c>
      <c r="H4000">
        <v>522410594</v>
      </c>
      <c r="I4000" t="s">
        <v>29</v>
      </c>
      <c r="J4000" t="s">
        <v>29</v>
      </c>
      <c r="K4000" t="str">
        <f>IF(Table3[[#This Row],[Type Received]]=2,"CC",(IF(Table3[[#This Row],[Type Received]]=3,"BILL","ACH")))</f>
        <v>ACH</v>
      </c>
    </row>
    <row r="4001" spans="1:11" x14ac:dyDescent="0.25">
      <c r="A4001">
        <v>255065</v>
      </c>
      <c r="B4001" s="3">
        <v>46143</v>
      </c>
      <c r="C4001">
        <v>1</v>
      </c>
      <c r="D4001">
        <v>48.75</v>
      </c>
      <c r="G4001" t="s">
        <v>84</v>
      </c>
      <c r="H4001">
        <v>522404910</v>
      </c>
      <c r="I4001" t="s">
        <v>29</v>
      </c>
      <c r="J4001" t="s">
        <v>29</v>
      </c>
      <c r="K4001" t="str">
        <f>IF(Table3[[#This Row],[Type Received]]=2,"CC",(IF(Table3[[#This Row],[Type Received]]=3,"BILL","ACH")))</f>
        <v>ACH</v>
      </c>
    </row>
    <row r="4002" spans="1:11" x14ac:dyDescent="0.25">
      <c r="A4002">
        <v>255093</v>
      </c>
      <c r="B4002" s="3">
        <v>46162</v>
      </c>
      <c r="C4002">
        <v>2</v>
      </c>
      <c r="D4002">
        <v>50</v>
      </c>
      <c r="F4002">
        <v>20574</v>
      </c>
      <c r="G4002">
        <v>747121142</v>
      </c>
      <c r="H4002">
        <v>355275360</v>
      </c>
      <c r="J4002" t="s">
        <v>29</v>
      </c>
      <c r="K4002" t="str">
        <f>IF(Table3[[#This Row],[Type Received]]=2,"CC",(IF(Table3[[#This Row],[Type Received]]=3,"BILL","ACH")))</f>
        <v>CC</v>
      </c>
    </row>
    <row r="4003" spans="1:11" x14ac:dyDescent="0.25">
      <c r="A4003">
        <v>255093</v>
      </c>
      <c r="B4003" s="3">
        <v>46155</v>
      </c>
      <c r="C4003">
        <v>2</v>
      </c>
      <c r="D4003">
        <v>59</v>
      </c>
      <c r="F4003">
        <v>836011</v>
      </c>
      <c r="G4003">
        <v>744917848</v>
      </c>
      <c r="H4003">
        <v>354393778</v>
      </c>
      <c r="K4003" t="str">
        <f>IF(Table3[[#This Row],[Type Received]]=2,"CC",(IF(Table3[[#This Row],[Type Received]]=3,"BILL","ACH")))</f>
        <v>CC</v>
      </c>
    </row>
    <row r="4004" spans="1:11" x14ac:dyDescent="0.25">
      <c r="A4004">
        <v>255099</v>
      </c>
      <c r="B4004" s="3">
        <v>46157</v>
      </c>
      <c r="C4004">
        <v>1</v>
      </c>
      <c r="D4004">
        <v>53.81</v>
      </c>
      <c r="G4004" t="s">
        <v>87</v>
      </c>
      <c r="H4004">
        <v>696600962</v>
      </c>
      <c r="I4004" t="s">
        <v>29</v>
      </c>
      <c r="J4004" t="s">
        <v>29</v>
      </c>
      <c r="K4004" t="str">
        <f>IF(Table3[[#This Row],[Type Received]]=2,"CC",(IF(Table3[[#This Row],[Type Received]]=3,"BILL","ACH")))</f>
        <v>ACH</v>
      </c>
    </row>
    <row r="4005" spans="1:11" x14ac:dyDescent="0.25">
      <c r="A4005">
        <v>255100</v>
      </c>
      <c r="B4005" s="3">
        <v>46143</v>
      </c>
      <c r="C4005">
        <v>1</v>
      </c>
      <c r="D4005">
        <v>62.5</v>
      </c>
      <c r="G4005" t="s">
        <v>84</v>
      </c>
      <c r="H4005">
        <v>522428133</v>
      </c>
      <c r="I4005" t="s">
        <v>29</v>
      </c>
      <c r="J4005" t="s">
        <v>29</v>
      </c>
      <c r="K4005" t="str">
        <f>IF(Table3[[#This Row],[Type Received]]=2,"CC",(IF(Table3[[#This Row],[Type Received]]=3,"BILL","ACH")))</f>
        <v>ACH</v>
      </c>
    </row>
    <row r="4006" spans="1:11" x14ac:dyDescent="0.25">
      <c r="A4006">
        <v>255104</v>
      </c>
      <c r="B4006" s="3">
        <v>46143</v>
      </c>
      <c r="C4006">
        <v>1</v>
      </c>
      <c r="D4006">
        <v>69.099999999999994</v>
      </c>
      <c r="G4006" t="s">
        <v>84</v>
      </c>
      <c r="H4006">
        <v>522407832</v>
      </c>
      <c r="I4006" t="s">
        <v>29</v>
      </c>
      <c r="J4006" t="s">
        <v>29</v>
      </c>
      <c r="K4006" t="str">
        <f>IF(Table3[[#This Row],[Type Received]]=2,"CC",(IF(Table3[[#This Row],[Type Received]]=3,"BILL","ACH")))</f>
        <v>ACH</v>
      </c>
    </row>
    <row r="4007" spans="1:11" x14ac:dyDescent="0.25">
      <c r="A4007">
        <v>255108</v>
      </c>
      <c r="B4007" s="3">
        <v>46171</v>
      </c>
      <c r="C4007">
        <v>3</v>
      </c>
      <c r="D4007">
        <v>86.61</v>
      </c>
      <c r="E4007">
        <v>3525</v>
      </c>
      <c r="J4007" t="s">
        <v>29</v>
      </c>
      <c r="K4007" t="str">
        <f>IF(Table3[[#This Row],[Type Received]]=2,"CC",(IF(Table3[[#This Row],[Type Received]]=3,"BILL","ACH")))</f>
        <v>BILL</v>
      </c>
    </row>
    <row r="4008" spans="1:11" x14ac:dyDescent="0.25">
      <c r="A4008">
        <v>255108</v>
      </c>
      <c r="B4008" s="3">
        <v>46143</v>
      </c>
      <c r="C4008">
        <v>3</v>
      </c>
      <c r="D4008">
        <v>173.22</v>
      </c>
      <c r="E4008">
        <v>3515</v>
      </c>
      <c r="G4008" s="4"/>
      <c r="K4008" t="str">
        <f>IF(Table3[[#This Row],[Type Received]]=2,"CC",(IF(Table3[[#This Row],[Type Received]]=3,"BILL","ACH")))</f>
        <v>BILL</v>
      </c>
    </row>
    <row r="4009" spans="1:11" x14ac:dyDescent="0.25">
      <c r="A4009">
        <v>255114</v>
      </c>
      <c r="B4009" s="3">
        <v>46143</v>
      </c>
      <c r="C4009">
        <v>1</v>
      </c>
      <c r="D4009">
        <v>63.71</v>
      </c>
      <c r="G4009" t="s">
        <v>84</v>
      </c>
      <c r="H4009">
        <v>522416571</v>
      </c>
      <c r="I4009" t="s">
        <v>29</v>
      </c>
      <c r="K4009" t="str">
        <f>IF(Table3[[#This Row],[Type Received]]=2,"CC",(IF(Table3[[#This Row],[Type Received]]=3,"BILL","ACH")))</f>
        <v>ACH</v>
      </c>
    </row>
    <row r="4010" spans="1:11" x14ac:dyDescent="0.25">
      <c r="A4010">
        <v>255117</v>
      </c>
      <c r="B4010" s="3">
        <v>46168</v>
      </c>
      <c r="C4010">
        <v>1</v>
      </c>
      <c r="D4010">
        <v>65.8</v>
      </c>
      <c r="G4010" t="s">
        <v>110</v>
      </c>
      <c r="H4010">
        <v>828289908</v>
      </c>
      <c r="I4010" t="s">
        <v>29</v>
      </c>
      <c r="J4010" t="s">
        <v>29</v>
      </c>
      <c r="K4010" t="str">
        <f>IF(Table3[[#This Row],[Type Received]]=2,"CC",(IF(Table3[[#This Row],[Type Received]]=3,"BILL","ACH")))</f>
        <v>ACH</v>
      </c>
    </row>
    <row r="4011" spans="1:11" x14ac:dyDescent="0.25">
      <c r="A4011">
        <v>255124</v>
      </c>
      <c r="B4011" s="3">
        <v>46168</v>
      </c>
      <c r="C4011">
        <v>1</v>
      </c>
      <c r="D4011">
        <v>154.9</v>
      </c>
      <c r="G4011" s="4" t="s">
        <v>110</v>
      </c>
      <c r="H4011">
        <v>828297746</v>
      </c>
      <c r="I4011" t="s">
        <v>29</v>
      </c>
      <c r="K4011" t="str">
        <f>IF(Table3[[#This Row],[Type Received]]=2,"CC",(IF(Table3[[#This Row],[Type Received]]=3,"BILL","ACH")))</f>
        <v>ACH</v>
      </c>
    </row>
    <row r="4012" spans="1:11" x14ac:dyDescent="0.25">
      <c r="A4012">
        <v>255134</v>
      </c>
      <c r="B4012" s="3">
        <v>46143</v>
      </c>
      <c r="C4012">
        <v>1</v>
      </c>
      <c r="D4012">
        <v>25.65</v>
      </c>
      <c r="G4012" t="s">
        <v>84</v>
      </c>
      <c r="H4012">
        <v>522405980</v>
      </c>
      <c r="I4012" t="s">
        <v>29</v>
      </c>
      <c r="J4012" t="s">
        <v>29</v>
      </c>
      <c r="K4012" t="str">
        <f>IF(Table3[[#This Row],[Type Received]]=2,"CC",(IF(Table3[[#This Row],[Type Received]]=3,"BILL","ACH")))</f>
        <v>ACH</v>
      </c>
    </row>
    <row r="4013" spans="1:11" x14ac:dyDescent="0.25">
      <c r="A4013">
        <v>255137</v>
      </c>
      <c r="B4013" s="3">
        <v>46143</v>
      </c>
      <c r="C4013">
        <v>1</v>
      </c>
      <c r="D4013">
        <v>43.03</v>
      </c>
      <c r="G4013" t="s">
        <v>84</v>
      </c>
      <c r="H4013">
        <v>522422395</v>
      </c>
      <c r="I4013" t="s">
        <v>29</v>
      </c>
      <c r="J4013" t="s">
        <v>29</v>
      </c>
      <c r="K4013" t="str">
        <f>IF(Table3[[#This Row],[Type Received]]=2,"CC",(IF(Table3[[#This Row],[Type Received]]=3,"BILL","ACH")))</f>
        <v>ACH</v>
      </c>
    </row>
    <row r="4014" spans="1:11" x14ac:dyDescent="0.25">
      <c r="A4014">
        <v>255146</v>
      </c>
      <c r="B4014" s="3">
        <v>46158</v>
      </c>
      <c r="C4014">
        <v>1</v>
      </c>
      <c r="D4014">
        <v>60.85</v>
      </c>
      <c r="G4014" t="s">
        <v>106</v>
      </c>
      <c r="H4014">
        <v>710082137</v>
      </c>
      <c r="I4014" t="s">
        <v>29</v>
      </c>
      <c r="J4014" t="s">
        <v>29</v>
      </c>
      <c r="K4014" t="str">
        <f>IF(Table3[[#This Row],[Type Received]]=2,"CC",(IF(Table3[[#This Row],[Type Received]]=3,"BILL","ACH")))</f>
        <v>ACH</v>
      </c>
    </row>
    <row r="4015" spans="1:11" x14ac:dyDescent="0.25">
      <c r="A4015">
        <v>255148</v>
      </c>
      <c r="B4015" s="3">
        <v>46158</v>
      </c>
      <c r="C4015">
        <v>1</v>
      </c>
      <c r="D4015">
        <v>54.91</v>
      </c>
      <c r="G4015" t="s">
        <v>106</v>
      </c>
      <c r="H4015">
        <v>710072678</v>
      </c>
      <c r="I4015" t="s">
        <v>29</v>
      </c>
      <c r="J4015" t="s">
        <v>29</v>
      </c>
      <c r="K4015" t="str">
        <f>IF(Table3[[#This Row],[Type Received]]=2,"CC",(IF(Table3[[#This Row],[Type Received]]=3,"BILL","ACH")))</f>
        <v>ACH</v>
      </c>
    </row>
    <row r="4016" spans="1:11" x14ac:dyDescent="0.25">
      <c r="A4016">
        <v>255159</v>
      </c>
      <c r="B4016" s="3">
        <v>46158</v>
      </c>
      <c r="C4016">
        <v>1</v>
      </c>
      <c r="D4016">
        <v>60.85</v>
      </c>
      <c r="G4016" t="s">
        <v>106</v>
      </c>
      <c r="H4016">
        <v>710071686</v>
      </c>
      <c r="I4016" t="s">
        <v>29</v>
      </c>
      <c r="J4016" t="s">
        <v>29</v>
      </c>
      <c r="K4016" t="str">
        <f>IF(Table3[[#This Row],[Type Received]]=2,"CC",(IF(Table3[[#This Row],[Type Received]]=3,"BILL","ACH")))</f>
        <v>ACH</v>
      </c>
    </row>
    <row r="4017" spans="1:11" x14ac:dyDescent="0.25">
      <c r="A4017">
        <v>255161</v>
      </c>
      <c r="B4017" s="3">
        <v>46143</v>
      </c>
      <c r="C4017">
        <v>1</v>
      </c>
      <c r="D4017">
        <v>66.459999999999994</v>
      </c>
      <c r="G4017" t="s">
        <v>84</v>
      </c>
      <c r="H4017">
        <v>522427265</v>
      </c>
      <c r="I4017" t="s">
        <v>29</v>
      </c>
      <c r="J4017" t="s">
        <v>29</v>
      </c>
      <c r="K4017" t="str">
        <f>IF(Table3[[#This Row],[Type Received]]=2,"CC",(IF(Table3[[#This Row],[Type Received]]=3,"BILL","ACH")))</f>
        <v>ACH</v>
      </c>
    </row>
    <row r="4018" spans="1:11" x14ac:dyDescent="0.25">
      <c r="A4018">
        <v>255162</v>
      </c>
      <c r="B4018" s="3">
        <v>46143</v>
      </c>
      <c r="C4018">
        <v>1</v>
      </c>
      <c r="D4018">
        <v>86.26</v>
      </c>
      <c r="G4018" t="s">
        <v>84</v>
      </c>
      <c r="H4018">
        <v>522425318</v>
      </c>
      <c r="I4018" t="s">
        <v>29</v>
      </c>
      <c r="J4018" t="s">
        <v>29</v>
      </c>
      <c r="K4018" t="str">
        <f>IF(Table3[[#This Row],[Type Received]]=2,"CC",(IF(Table3[[#This Row],[Type Received]]=3,"BILL","ACH")))</f>
        <v>ACH</v>
      </c>
    </row>
    <row r="4019" spans="1:11" x14ac:dyDescent="0.25">
      <c r="A4019">
        <v>255163</v>
      </c>
      <c r="B4019" s="3">
        <v>46143</v>
      </c>
      <c r="C4019">
        <v>1</v>
      </c>
      <c r="D4019">
        <v>140.05000000000001</v>
      </c>
      <c r="G4019" t="s">
        <v>84</v>
      </c>
      <c r="H4019">
        <v>522419511</v>
      </c>
      <c r="I4019" t="s">
        <v>29</v>
      </c>
      <c r="J4019" t="s">
        <v>29</v>
      </c>
      <c r="K4019" t="str">
        <f>IF(Table3[[#This Row],[Type Received]]=2,"CC",(IF(Table3[[#This Row],[Type Received]]=3,"BILL","ACH")))</f>
        <v>ACH</v>
      </c>
    </row>
    <row r="4020" spans="1:11" x14ac:dyDescent="0.25">
      <c r="A4020">
        <v>255167</v>
      </c>
      <c r="B4020" s="3">
        <v>46146</v>
      </c>
      <c r="C4020">
        <v>1</v>
      </c>
      <c r="D4020">
        <v>55.35</v>
      </c>
      <c r="G4020" t="s">
        <v>92</v>
      </c>
      <c r="H4020">
        <v>558780331</v>
      </c>
      <c r="I4020" t="s">
        <v>29</v>
      </c>
      <c r="J4020" t="s">
        <v>29</v>
      </c>
      <c r="K4020" t="str">
        <f>IF(Table3[[#This Row],[Type Received]]=2,"CC",(IF(Table3[[#This Row],[Type Received]]=3,"BILL","ACH")))</f>
        <v>ACH</v>
      </c>
    </row>
    <row r="4021" spans="1:11" x14ac:dyDescent="0.25">
      <c r="A4021">
        <v>255169</v>
      </c>
      <c r="B4021" s="3">
        <v>46143</v>
      </c>
      <c r="C4021">
        <v>1</v>
      </c>
      <c r="D4021">
        <v>112</v>
      </c>
      <c r="G4021" t="s">
        <v>84</v>
      </c>
      <c r="H4021">
        <v>522410801</v>
      </c>
      <c r="I4021" t="s">
        <v>29</v>
      </c>
      <c r="J4021" t="s">
        <v>29</v>
      </c>
      <c r="K4021" t="str">
        <f>IF(Table3[[#This Row],[Type Received]]=2,"CC",(IF(Table3[[#This Row],[Type Received]]=3,"BILL","ACH")))</f>
        <v>ACH</v>
      </c>
    </row>
    <row r="4022" spans="1:11" x14ac:dyDescent="0.25">
      <c r="A4022">
        <v>255174</v>
      </c>
      <c r="B4022" s="3">
        <v>46157</v>
      </c>
      <c r="C4022">
        <v>2</v>
      </c>
      <c r="D4022">
        <v>84.63</v>
      </c>
      <c r="F4022">
        <v>32105</v>
      </c>
      <c r="G4022" s="4">
        <v>745623440</v>
      </c>
      <c r="H4022">
        <v>354706620</v>
      </c>
      <c r="J4022" t="s">
        <v>29</v>
      </c>
      <c r="K4022" t="str">
        <f>IF(Table3[[#This Row],[Type Received]]=2,"CC",(IF(Table3[[#This Row],[Type Received]]=3,"BILL","ACH")))</f>
        <v>CC</v>
      </c>
    </row>
    <row r="4023" spans="1:11" x14ac:dyDescent="0.25">
      <c r="A4023">
        <v>255177</v>
      </c>
      <c r="B4023" s="3">
        <v>46155</v>
      </c>
      <c r="C4023">
        <v>2</v>
      </c>
      <c r="D4023">
        <v>102.65</v>
      </c>
      <c r="F4023">
        <v>150303</v>
      </c>
      <c r="G4023" t="s">
        <v>28</v>
      </c>
      <c r="H4023">
        <v>669520413</v>
      </c>
      <c r="I4023" t="s">
        <v>29</v>
      </c>
      <c r="J4023" t="s">
        <v>29</v>
      </c>
      <c r="K4023" t="str">
        <f>IF(Table3[[#This Row],[Type Received]]=2,"CC",(IF(Table3[[#This Row],[Type Received]]=3,"BILL","ACH")))</f>
        <v>CC</v>
      </c>
    </row>
    <row r="4024" spans="1:11" x14ac:dyDescent="0.25">
      <c r="A4024">
        <v>255191</v>
      </c>
      <c r="B4024" s="3">
        <v>46158</v>
      </c>
      <c r="C4024">
        <v>1</v>
      </c>
      <c r="D4024">
        <v>82.96</v>
      </c>
      <c r="G4024" t="s">
        <v>106</v>
      </c>
      <c r="H4024">
        <v>710056993</v>
      </c>
      <c r="I4024" t="s">
        <v>29</v>
      </c>
      <c r="K4024" t="str">
        <f>IF(Table3[[#This Row],[Type Received]]=2,"CC",(IF(Table3[[#This Row],[Type Received]]=3,"BILL","ACH")))</f>
        <v>ACH</v>
      </c>
    </row>
    <row r="4025" spans="1:11" x14ac:dyDescent="0.25">
      <c r="A4025">
        <v>255193</v>
      </c>
      <c r="B4025" s="3">
        <v>46168</v>
      </c>
      <c r="C4025">
        <v>1</v>
      </c>
      <c r="D4025">
        <v>69.430000000000007</v>
      </c>
      <c r="G4025" t="s">
        <v>110</v>
      </c>
      <c r="H4025">
        <v>828311279</v>
      </c>
      <c r="I4025" t="s">
        <v>29</v>
      </c>
      <c r="J4025" t="s">
        <v>29</v>
      </c>
      <c r="K4025" t="str">
        <f>IF(Table3[[#This Row],[Type Received]]=2,"CC",(IF(Table3[[#This Row],[Type Received]]=3,"BILL","ACH")))</f>
        <v>ACH</v>
      </c>
    </row>
    <row r="4026" spans="1:11" x14ac:dyDescent="0.25">
      <c r="A4026">
        <v>255219</v>
      </c>
      <c r="B4026" s="3">
        <v>46168</v>
      </c>
      <c r="C4026">
        <v>1</v>
      </c>
      <c r="D4026">
        <v>53.15</v>
      </c>
      <c r="G4026" t="s">
        <v>110</v>
      </c>
      <c r="H4026">
        <v>828308450</v>
      </c>
      <c r="I4026" t="s">
        <v>29</v>
      </c>
      <c r="K4026" t="str">
        <f>IF(Table3[[#This Row],[Type Received]]=2,"CC",(IF(Table3[[#This Row],[Type Received]]=3,"BILL","ACH")))</f>
        <v>ACH</v>
      </c>
    </row>
    <row r="4027" spans="1:11" x14ac:dyDescent="0.25">
      <c r="A4027">
        <v>255222</v>
      </c>
      <c r="B4027" s="3">
        <v>46158</v>
      </c>
      <c r="C4027">
        <v>1</v>
      </c>
      <c r="D4027">
        <v>83.95</v>
      </c>
      <c r="G4027" s="4" t="s">
        <v>106</v>
      </c>
      <c r="H4027">
        <v>710057950</v>
      </c>
      <c r="I4027" t="s">
        <v>29</v>
      </c>
      <c r="J4027" t="s">
        <v>29</v>
      </c>
      <c r="K4027" t="str">
        <f>IF(Table3[[#This Row],[Type Received]]=2,"CC",(IF(Table3[[#This Row],[Type Received]]=3,"BILL","ACH")))</f>
        <v>ACH</v>
      </c>
    </row>
    <row r="4028" spans="1:11" x14ac:dyDescent="0.25">
      <c r="A4028">
        <v>255234</v>
      </c>
      <c r="B4028" s="3">
        <v>46146</v>
      </c>
      <c r="C4028">
        <v>2</v>
      </c>
      <c r="D4028">
        <v>52.05</v>
      </c>
      <c r="F4028">
        <v>31609</v>
      </c>
      <c r="G4028" t="s">
        <v>28</v>
      </c>
      <c r="H4028">
        <v>557086593</v>
      </c>
      <c r="I4028" t="s">
        <v>29</v>
      </c>
      <c r="J4028" t="s">
        <v>29</v>
      </c>
      <c r="K4028" t="str">
        <f>IF(Table3[[#This Row],[Type Received]]=2,"CC",(IF(Table3[[#This Row],[Type Received]]=3,"BILL","ACH")))</f>
        <v>CC</v>
      </c>
    </row>
    <row r="4029" spans="1:11" x14ac:dyDescent="0.25">
      <c r="A4029">
        <v>255236</v>
      </c>
      <c r="B4029" s="3">
        <v>46158</v>
      </c>
      <c r="C4029">
        <v>1</v>
      </c>
      <c r="D4029">
        <v>62.5</v>
      </c>
      <c r="G4029" t="s">
        <v>106</v>
      </c>
      <c r="H4029">
        <v>710065763</v>
      </c>
      <c r="I4029" t="s">
        <v>29</v>
      </c>
      <c r="J4029" t="s">
        <v>29</v>
      </c>
      <c r="K4029" t="str">
        <f>IF(Table3[[#This Row],[Type Received]]=2,"CC",(IF(Table3[[#This Row],[Type Received]]=3,"BILL","ACH")))</f>
        <v>ACH</v>
      </c>
    </row>
    <row r="4030" spans="1:11" x14ac:dyDescent="0.25">
      <c r="A4030">
        <v>255245</v>
      </c>
      <c r="B4030" s="3">
        <v>46148</v>
      </c>
      <c r="C4030">
        <v>1</v>
      </c>
      <c r="D4030">
        <v>41.71</v>
      </c>
      <c r="G4030" t="s">
        <v>126</v>
      </c>
      <c r="H4030">
        <v>582086471</v>
      </c>
      <c r="I4030" t="s">
        <v>29</v>
      </c>
      <c r="K4030" t="str">
        <f>IF(Table3[[#This Row],[Type Received]]=2,"CC",(IF(Table3[[#This Row],[Type Received]]=3,"BILL","ACH")))</f>
        <v>ACH</v>
      </c>
    </row>
    <row r="4031" spans="1:11" x14ac:dyDescent="0.25">
      <c r="A4031">
        <v>255245</v>
      </c>
      <c r="B4031" s="3">
        <v>46143</v>
      </c>
      <c r="C4031">
        <v>1</v>
      </c>
      <c r="D4031">
        <v>41.71</v>
      </c>
      <c r="G4031" t="s">
        <v>84</v>
      </c>
      <c r="H4031">
        <v>522428350</v>
      </c>
      <c r="I4031" t="s">
        <v>29</v>
      </c>
      <c r="J4031" t="s">
        <v>29</v>
      </c>
      <c r="K4031" t="str">
        <f>IF(Table3[[#This Row],[Type Received]]=2,"CC",(IF(Table3[[#This Row],[Type Received]]=3,"BILL","ACH")))</f>
        <v>ACH</v>
      </c>
    </row>
    <row r="4032" spans="1:11" x14ac:dyDescent="0.25">
      <c r="A4032">
        <v>255258</v>
      </c>
      <c r="B4032" s="3">
        <v>46157</v>
      </c>
      <c r="C4032">
        <v>1</v>
      </c>
      <c r="D4032">
        <v>26.09</v>
      </c>
      <c r="G4032" t="s">
        <v>87</v>
      </c>
      <c r="H4032">
        <v>696670140</v>
      </c>
      <c r="I4032" t="s">
        <v>29</v>
      </c>
      <c r="J4032" t="s">
        <v>29</v>
      </c>
      <c r="K4032" t="str">
        <f>IF(Table3[[#This Row],[Type Received]]=2,"CC",(IF(Table3[[#This Row],[Type Received]]=3,"BILL","ACH")))</f>
        <v>ACH</v>
      </c>
    </row>
    <row r="4033" spans="1:11" x14ac:dyDescent="0.25">
      <c r="A4033">
        <v>255261</v>
      </c>
      <c r="B4033" s="3">
        <v>46157</v>
      </c>
      <c r="C4033">
        <v>1</v>
      </c>
      <c r="D4033">
        <v>56.67</v>
      </c>
      <c r="G4033" t="s">
        <v>87</v>
      </c>
      <c r="H4033">
        <v>696854347</v>
      </c>
      <c r="I4033" t="s">
        <v>29</v>
      </c>
      <c r="K4033" t="str">
        <f>IF(Table3[[#This Row],[Type Received]]=2,"CC",(IF(Table3[[#This Row],[Type Received]]=3,"BILL","ACH")))</f>
        <v>ACH</v>
      </c>
    </row>
    <row r="4034" spans="1:11" x14ac:dyDescent="0.25">
      <c r="A4034">
        <v>255263</v>
      </c>
      <c r="B4034" s="3">
        <v>46168</v>
      </c>
      <c r="C4034">
        <v>1</v>
      </c>
      <c r="D4034">
        <v>33.57</v>
      </c>
      <c r="G4034" t="s">
        <v>110</v>
      </c>
      <c r="H4034">
        <v>828310359</v>
      </c>
      <c r="I4034" t="s">
        <v>29</v>
      </c>
      <c r="J4034" t="s">
        <v>29</v>
      </c>
      <c r="K4034" t="str">
        <f>IF(Table3[[#This Row],[Type Received]]=2,"CC",(IF(Table3[[#This Row],[Type Received]]=3,"BILL","ACH")))</f>
        <v>ACH</v>
      </c>
    </row>
    <row r="4035" spans="1:11" x14ac:dyDescent="0.25">
      <c r="A4035">
        <v>255267</v>
      </c>
      <c r="B4035" s="3">
        <v>46147</v>
      </c>
      <c r="C4035">
        <v>1</v>
      </c>
      <c r="D4035">
        <v>98.8</v>
      </c>
      <c r="G4035" s="4" t="s">
        <v>86</v>
      </c>
      <c r="H4035">
        <v>569493275</v>
      </c>
      <c r="I4035" t="s">
        <v>29</v>
      </c>
      <c r="K4035" t="str">
        <f>IF(Table3[[#This Row],[Type Received]]=2,"CC",(IF(Table3[[#This Row],[Type Received]]=3,"BILL","ACH")))</f>
        <v>ACH</v>
      </c>
    </row>
    <row r="4036" spans="1:11" x14ac:dyDescent="0.25">
      <c r="A4036">
        <v>255272</v>
      </c>
      <c r="B4036" s="3">
        <v>46155</v>
      </c>
      <c r="C4036">
        <v>2</v>
      </c>
      <c r="D4036">
        <v>128.5</v>
      </c>
      <c r="F4036">
        <v>18051</v>
      </c>
      <c r="G4036" t="s">
        <v>28</v>
      </c>
      <c r="H4036">
        <v>669520421</v>
      </c>
      <c r="I4036" t="s">
        <v>29</v>
      </c>
      <c r="K4036" t="str">
        <f>IF(Table3[[#This Row],[Type Received]]=2,"CC",(IF(Table3[[#This Row],[Type Received]]=3,"BILL","ACH")))</f>
        <v>CC</v>
      </c>
    </row>
    <row r="4037" spans="1:11" x14ac:dyDescent="0.25">
      <c r="A4037">
        <v>255279</v>
      </c>
      <c r="B4037" s="3">
        <v>46155</v>
      </c>
      <c r="C4037">
        <v>2</v>
      </c>
      <c r="D4037">
        <v>120.25</v>
      </c>
      <c r="F4037">
        <v>100319</v>
      </c>
      <c r="G4037" t="s">
        <v>28</v>
      </c>
      <c r="H4037">
        <v>669507798</v>
      </c>
      <c r="I4037" t="s">
        <v>29</v>
      </c>
      <c r="J4037" t="s">
        <v>29</v>
      </c>
      <c r="K4037" t="str">
        <f>IF(Table3[[#This Row],[Type Received]]=2,"CC",(IF(Table3[[#This Row],[Type Received]]=3,"BILL","ACH")))</f>
        <v>CC</v>
      </c>
    </row>
    <row r="4038" spans="1:11" x14ac:dyDescent="0.25">
      <c r="A4038">
        <v>255282</v>
      </c>
      <c r="B4038" s="3">
        <v>46157</v>
      </c>
      <c r="C4038">
        <v>1</v>
      </c>
      <c r="D4038">
        <v>55.79</v>
      </c>
      <c r="G4038" t="s">
        <v>87</v>
      </c>
      <c r="H4038">
        <v>696847554</v>
      </c>
      <c r="I4038" t="s">
        <v>29</v>
      </c>
      <c r="J4038" t="s">
        <v>29</v>
      </c>
      <c r="K4038" t="str">
        <f>IF(Table3[[#This Row],[Type Received]]=2,"CC",(IF(Table3[[#This Row],[Type Received]]=3,"BILL","ACH")))</f>
        <v>ACH</v>
      </c>
    </row>
    <row r="4039" spans="1:11" x14ac:dyDescent="0.25">
      <c r="A4039">
        <v>255284</v>
      </c>
      <c r="B4039" s="3">
        <v>46168</v>
      </c>
      <c r="C4039">
        <v>1</v>
      </c>
      <c r="D4039">
        <v>74.05</v>
      </c>
      <c r="G4039" t="s">
        <v>110</v>
      </c>
      <c r="H4039">
        <v>828288946</v>
      </c>
      <c r="I4039" t="s">
        <v>29</v>
      </c>
      <c r="K4039" t="str">
        <f>IF(Table3[[#This Row],[Type Received]]=2,"CC",(IF(Table3[[#This Row],[Type Received]]=3,"BILL","ACH")))</f>
        <v>ACH</v>
      </c>
    </row>
    <row r="4040" spans="1:11" x14ac:dyDescent="0.25">
      <c r="A4040">
        <v>255285</v>
      </c>
      <c r="B4040" s="3">
        <v>46145</v>
      </c>
      <c r="C4040">
        <v>2</v>
      </c>
      <c r="D4040">
        <v>104.41</v>
      </c>
      <c r="F4040">
        <v>281103</v>
      </c>
      <c r="G4040" t="s">
        <v>28</v>
      </c>
      <c r="H4040">
        <v>546420257</v>
      </c>
      <c r="I4040" t="s">
        <v>29</v>
      </c>
      <c r="K4040" t="str">
        <f>IF(Table3[[#This Row],[Type Received]]=2,"CC",(IF(Table3[[#This Row],[Type Received]]=3,"BILL","ACH")))</f>
        <v>CC</v>
      </c>
    </row>
    <row r="4041" spans="1:11" x14ac:dyDescent="0.25">
      <c r="A4041">
        <v>255287</v>
      </c>
      <c r="B4041" s="3">
        <v>46154</v>
      </c>
      <c r="C4041">
        <v>3</v>
      </c>
      <c r="D4041">
        <v>148.46</v>
      </c>
      <c r="E4041">
        <v>1467</v>
      </c>
      <c r="G4041" s="4"/>
      <c r="K4041" t="str">
        <f>IF(Table3[[#This Row],[Type Received]]=2,"CC",(IF(Table3[[#This Row],[Type Received]]=3,"BILL","ACH")))</f>
        <v>BILL</v>
      </c>
    </row>
    <row r="4042" spans="1:11" x14ac:dyDescent="0.25">
      <c r="A4042">
        <v>255298</v>
      </c>
      <c r="B4042" s="3">
        <v>46148</v>
      </c>
      <c r="C4042">
        <v>2</v>
      </c>
      <c r="D4042">
        <v>99.79</v>
      </c>
      <c r="F4042">
        <v>90030</v>
      </c>
      <c r="G4042" t="s">
        <v>28</v>
      </c>
      <c r="H4042">
        <v>582133670</v>
      </c>
      <c r="I4042" t="s">
        <v>29</v>
      </c>
      <c r="J4042" t="s">
        <v>29</v>
      </c>
      <c r="K4042" t="str">
        <f>IF(Table3[[#This Row],[Type Received]]=2,"CC",(IF(Table3[[#This Row],[Type Received]]=3,"BILL","ACH")))</f>
        <v>CC</v>
      </c>
    </row>
    <row r="4043" spans="1:11" x14ac:dyDescent="0.25">
      <c r="A4043">
        <v>255307</v>
      </c>
      <c r="B4043" s="3">
        <v>46157</v>
      </c>
      <c r="C4043">
        <v>1</v>
      </c>
      <c r="D4043">
        <v>39.950000000000003</v>
      </c>
      <c r="G4043" t="s">
        <v>87</v>
      </c>
      <c r="H4043">
        <v>696836082</v>
      </c>
      <c r="I4043" t="s">
        <v>29</v>
      </c>
      <c r="J4043" t="s">
        <v>29</v>
      </c>
      <c r="K4043" t="str">
        <f>IF(Table3[[#This Row],[Type Received]]=2,"CC",(IF(Table3[[#This Row],[Type Received]]=3,"BILL","ACH")))</f>
        <v>ACH</v>
      </c>
    </row>
    <row r="4044" spans="1:11" x14ac:dyDescent="0.25">
      <c r="A4044">
        <v>255308</v>
      </c>
      <c r="B4044" s="3">
        <v>46143</v>
      </c>
      <c r="C4044">
        <v>1</v>
      </c>
      <c r="D4044">
        <v>101.77</v>
      </c>
      <c r="G4044" t="s">
        <v>84</v>
      </c>
      <c r="H4044">
        <v>522425443</v>
      </c>
      <c r="I4044" t="s">
        <v>29</v>
      </c>
      <c r="J4044" t="s">
        <v>29</v>
      </c>
      <c r="K4044" t="str">
        <f>IF(Table3[[#This Row],[Type Received]]=2,"CC",(IF(Table3[[#This Row],[Type Received]]=3,"BILL","ACH")))</f>
        <v>ACH</v>
      </c>
    </row>
    <row r="4045" spans="1:11" x14ac:dyDescent="0.25">
      <c r="A4045">
        <v>255310</v>
      </c>
      <c r="B4045" s="3">
        <v>46157</v>
      </c>
      <c r="C4045">
        <v>1</v>
      </c>
      <c r="D4045">
        <v>99.13</v>
      </c>
      <c r="G4045" t="s">
        <v>87</v>
      </c>
      <c r="H4045">
        <v>696857314</v>
      </c>
      <c r="I4045" t="s">
        <v>29</v>
      </c>
      <c r="K4045" t="str">
        <f>IF(Table3[[#This Row],[Type Received]]=2,"CC",(IF(Table3[[#This Row],[Type Received]]=3,"BILL","ACH")))</f>
        <v>ACH</v>
      </c>
    </row>
    <row r="4046" spans="1:11" x14ac:dyDescent="0.25">
      <c r="A4046">
        <v>255316</v>
      </c>
      <c r="B4046" s="3">
        <v>46148</v>
      </c>
      <c r="C4046">
        <v>2</v>
      </c>
      <c r="D4046">
        <v>69.430000000000007</v>
      </c>
      <c r="F4046">
        <v>90013</v>
      </c>
      <c r="G4046" s="4" t="s">
        <v>28</v>
      </c>
      <c r="H4046">
        <v>582144223</v>
      </c>
      <c r="I4046" t="s">
        <v>29</v>
      </c>
      <c r="J4046" t="s">
        <v>29</v>
      </c>
      <c r="K4046" t="str">
        <f>IF(Table3[[#This Row],[Type Received]]=2,"CC",(IF(Table3[[#This Row],[Type Received]]=3,"BILL","ACH")))</f>
        <v>CC</v>
      </c>
    </row>
    <row r="4047" spans="1:11" x14ac:dyDescent="0.25">
      <c r="A4047">
        <v>255317</v>
      </c>
      <c r="B4047" s="3">
        <v>46155</v>
      </c>
      <c r="C4047">
        <v>2</v>
      </c>
      <c r="D4047">
        <v>65.69</v>
      </c>
      <c r="F4047">
        <v>13068</v>
      </c>
      <c r="G4047" t="s">
        <v>28</v>
      </c>
      <c r="H4047">
        <v>669442482</v>
      </c>
      <c r="I4047" t="s">
        <v>29</v>
      </c>
      <c r="J4047" t="s">
        <v>29</v>
      </c>
      <c r="K4047" t="str">
        <f>IF(Table3[[#This Row],[Type Received]]=2,"CC",(IF(Table3[[#This Row],[Type Received]]=3,"BILL","ACH")))</f>
        <v>CC</v>
      </c>
    </row>
    <row r="4048" spans="1:11" x14ac:dyDescent="0.25">
      <c r="A4048">
        <v>255334</v>
      </c>
      <c r="B4048" s="3">
        <v>46146</v>
      </c>
      <c r="C4048">
        <v>1</v>
      </c>
      <c r="D4048">
        <v>85.29</v>
      </c>
      <c r="G4048" t="s">
        <v>92</v>
      </c>
      <c r="H4048">
        <v>560597070</v>
      </c>
      <c r="I4048" t="s">
        <v>29</v>
      </c>
      <c r="J4048" t="s">
        <v>29</v>
      </c>
      <c r="K4048" t="str">
        <f>IF(Table3[[#This Row],[Type Received]]=2,"CC",(IF(Table3[[#This Row],[Type Received]]=3,"BILL","ACH")))</f>
        <v>ACH</v>
      </c>
    </row>
    <row r="4049" spans="1:11" x14ac:dyDescent="0.25">
      <c r="A4049">
        <v>255340</v>
      </c>
      <c r="B4049" s="3">
        <v>46170</v>
      </c>
      <c r="C4049">
        <v>2</v>
      </c>
      <c r="D4049">
        <v>55.9</v>
      </c>
      <c r="F4049">
        <v>7932</v>
      </c>
      <c r="G4049" t="s">
        <v>28</v>
      </c>
      <c r="H4049">
        <v>853914092</v>
      </c>
      <c r="I4049" t="s">
        <v>29</v>
      </c>
      <c r="K4049" t="str">
        <f>IF(Table3[[#This Row],[Type Received]]=2,"CC",(IF(Table3[[#This Row],[Type Received]]=3,"BILL","ACH")))</f>
        <v>CC</v>
      </c>
    </row>
    <row r="4050" spans="1:11" x14ac:dyDescent="0.25">
      <c r="A4050">
        <v>255343</v>
      </c>
      <c r="B4050" s="3">
        <v>46146</v>
      </c>
      <c r="C4050">
        <v>3</v>
      </c>
      <c r="D4050">
        <v>236.9</v>
      </c>
      <c r="E4050">
        <v>168</v>
      </c>
      <c r="J4050" t="s">
        <v>29</v>
      </c>
      <c r="K4050" t="str">
        <f>IF(Table3[[#This Row],[Type Received]]=2,"CC",(IF(Table3[[#This Row],[Type Received]]=3,"BILL","ACH")))</f>
        <v>BILL</v>
      </c>
    </row>
    <row r="4051" spans="1:11" x14ac:dyDescent="0.25">
      <c r="A4051">
        <v>255351</v>
      </c>
      <c r="B4051" s="3">
        <v>46156</v>
      </c>
      <c r="C4051">
        <v>3</v>
      </c>
      <c r="D4051">
        <v>105.42</v>
      </c>
      <c r="E4051">
        <v>76664906</v>
      </c>
      <c r="G4051" s="4"/>
      <c r="J4051" t="s">
        <v>29</v>
      </c>
      <c r="K4051" t="str">
        <f>IF(Table3[[#This Row],[Type Received]]=2,"CC",(IF(Table3[[#This Row],[Type Received]]=3,"BILL","ACH")))</f>
        <v>BILL</v>
      </c>
    </row>
    <row r="4052" spans="1:11" x14ac:dyDescent="0.25">
      <c r="A4052">
        <v>255356</v>
      </c>
      <c r="B4052" s="3">
        <v>46155</v>
      </c>
      <c r="C4052">
        <v>2</v>
      </c>
      <c r="D4052">
        <v>59.86</v>
      </c>
      <c r="F4052" t="s">
        <v>319</v>
      </c>
      <c r="G4052" t="s">
        <v>28</v>
      </c>
      <c r="H4052">
        <v>669532167</v>
      </c>
      <c r="I4052" t="s">
        <v>29</v>
      </c>
      <c r="J4052" t="s">
        <v>29</v>
      </c>
      <c r="K4052" t="str">
        <f>IF(Table3[[#This Row],[Type Received]]=2,"CC",(IF(Table3[[#This Row],[Type Received]]=3,"BILL","ACH")))</f>
        <v>CC</v>
      </c>
    </row>
    <row r="4053" spans="1:11" x14ac:dyDescent="0.25">
      <c r="A4053">
        <v>255367</v>
      </c>
      <c r="B4053" s="3">
        <v>46143</v>
      </c>
      <c r="C4053">
        <v>1</v>
      </c>
      <c r="D4053">
        <v>54.25</v>
      </c>
      <c r="G4053" s="4" t="s">
        <v>84</v>
      </c>
      <c r="H4053">
        <v>522412911</v>
      </c>
      <c r="I4053" t="s">
        <v>29</v>
      </c>
      <c r="K4053" t="str">
        <f>IF(Table3[[#This Row],[Type Received]]=2,"CC",(IF(Table3[[#This Row],[Type Received]]=3,"BILL","ACH")))</f>
        <v>ACH</v>
      </c>
    </row>
    <row r="4054" spans="1:11" x14ac:dyDescent="0.25">
      <c r="A4054">
        <v>255370</v>
      </c>
      <c r="B4054" s="3">
        <v>46157</v>
      </c>
      <c r="C4054">
        <v>1</v>
      </c>
      <c r="D4054">
        <v>45.01</v>
      </c>
      <c r="G4054" t="s">
        <v>87</v>
      </c>
      <c r="H4054">
        <v>696853406</v>
      </c>
      <c r="I4054" t="s">
        <v>29</v>
      </c>
      <c r="K4054" t="str">
        <f>IF(Table3[[#This Row],[Type Received]]=2,"CC",(IF(Table3[[#This Row],[Type Received]]=3,"BILL","ACH")))</f>
        <v>ACH</v>
      </c>
    </row>
    <row r="4055" spans="1:11" x14ac:dyDescent="0.25">
      <c r="A4055">
        <v>255373</v>
      </c>
      <c r="B4055" s="3">
        <v>46143</v>
      </c>
      <c r="C4055">
        <v>1</v>
      </c>
      <c r="D4055">
        <v>151.93</v>
      </c>
      <c r="G4055" t="s">
        <v>84</v>
      </c>
      <c r="H4055">
        <v>522412930</v>
      </c>
      <c r="I4055" t="s">
        <v>29</v>
      </c>
      <c r="K4055" t="str">
        <f>IF(Table3[[#This Row],[Type Received]]=2,"CC",(IF(Table3[[#This Row],[Type Received]]=3,"BILL","ACH")))</f>
        <v>ACH</v>
      </c>
    </row>
    <row r="4056" spans="1:11" x14ac:dyDescent="0.25">
      <c r="A4056">
        <v>255384</v>
      </c>
      <c r="B4056" s="3">
        <v>46167</v>
      </c>
      <c r="C4056">
        <v>1</v>
      </c>
      <c r="D4056">
        <v>101.77</v>
      </c>
      <c r="G4056" t="s">
        <v>85</v>
      </c>
      <c r="H4056">
        <v>818407461</v>
      </c>
      <c r="I4056" t="s">
        <v>29</v>
      </c>
      <c r="K4056" t="str">
        <f>IF(Table3[[#This Row],[Type Received]]=2,"CC",(IF(Table3[[#This Row],[Type Received]]=3,"BILL","ACH")))</f>
        <v>ACH</v>
      </c>
    </row>
    <row r="4057" spans="1:11" x14ac:dyDescent="0.25">
      <c r="A4057">
        <v>255387</v>
      </c>
      <c r="B4057" s="3">
        <v>46143</v>
      </c>
      <c r="C4057">
        <v>1</v>
      </c>
      <c r="D4057">
        <v>94.18</v>
      </c>
      <c r="G4057" t="s">
        <v>84</v>
      </c>
      <c r="H4057">
        <v>522420702</v>
      </c>
      <c r="I4057" t="s">
        <v>29</v>
      </c>
      <c r="K4057" t="str">
        <f>IF(Table3[[#This Row],[Type Received]]=2,"CC",(IF(Table3[[#This Row],[Type Received]]=3,"BILL","ACH")))</f>
        <v>ACH</v>
      </c>
    </row>
    <row r="4058" spans="1:11" x14ac:dyDescent="0.25">
      <c r="A4058">
        <v>255394</v>
      </c>
      <c r="B4058" s="3">
        <v>46169</v>
      </c>
      <c r="C4058">
        <v>3</v>
      </c>
      <c r="D4058">
        <v>76.27</v>
      </c>
      <c r="E4058">
        <v>13834</v>
      </c>
      <c r="J4058" t="s">
        <v>29</v>
      </c>
      <c r="K4058" t="str">
        <f>IF(Table3[[#This Row],[Type Received]]=2,"CC",(IF(Table3[[#This Row],[Type Received]]=3,"BILL","ACH")))</f>
        <v>BILL</v>
      </c>
    </row>
    <row r="4059" spans="1:11" x14ac:dyDescent="0.25">
      <c r="A4059">
        <v>255394</v>
      </c>
      <c r="B4059" s="3">
        <v>46146</v>
      </c>
      <c r="C4059">
        <v>3</v>
      </c>
      <c r="D4059">
        <v>76.27</v>
      </c>
      <c r="E4059">
        <v>13817</v>
      </c>
      <c r="K4059" t="str">
        <f>IF(Table3[[#This Row],[Type Received]]=2,"CC",(IF(Table3[[#This Row],[Type Received]]=3,"BILL","ACH")))</f>
        <v>BILL</v>
      </c>
    </row>
    <row r="4060" spans="1:11" x14ac:dyDescent="0.25">
      <c r="A4060">
        <v>255412</v>
      </c>
      <c r="B4060" s="3">
        <v>46157</v>
      </c>
      <c r="C4060">
        <v>1</v>
      </c>
      <c r="D4060">
        <v>72.069999999999993</v>
      </c>
      <c r="G4060" t="s">
        <v>87</v>
      </c>
      <c r="H4060">
        <v>696858304</v>
      </c>
      <c r="I4060" t="s">
        <v>29</v>
      </c>
      <c r="J4060" t="s">
        <v>29</v>
      </c>
      <c r="K4060" t="str">
        <f>IF(Table3[[#This Row],[Type Received]]=2,"CC",(IF(Table3[[#This Row],[Type Received]]=3,"BILL","ACH")))</f>
        <v>ACH</v>
      </c>
    </row>
    <row r="4061" spans="1:11" x14ac:dyDescent="0.25">
      <c r="A4061">
        <v>255413</v>
      </c>
      <c r="B4061" s="3">
        <v>46157</v>
      </c>
      <c r="C4061">
        <v>1</v>
      </c>
      <c r="D4061">
        <v>52.93</v>
      </c>
      <c r="G4061" t="s">
        <v>87</v>
      </c>
      <c r="H4061">
        <v>696863112</v>
      </c>
      <c r="I4061" t="s">
        <v>29</v>
      </c>
      <c r="J4061" t="s">
        <v>29</v>
      </c>
      <c r="K4061" t="str">
        <f>IF(Table3[[#This Row],[Type Received]]=2,"CC",(IF(Table3[[#This Row],[Type Received]]=3,"BILL","ACH")))</f>
        <v>ACH</v>
      </c>
    </row>
    <row r="4062" spans="1:11" x14ac:dyDescent="0.25">
      <c r="A4062">
        <v>255418</v>
      </c>
      <c r="B4062" s="3">
        <v>46167</v>
      </c>
      <c r="C4062">
        <v>1</v>
      </c>
      <c r="D4062">
        <v>103.42</v>
      </c>
      <c r="G4062" t="s">
        <v>85</v>
      </c>
      <c r="H4062">
        <v>818403586</v>
      </c>
      <c r="I4062" t="s">
        <v>29</v>
      </c>
      <c r="J4062" t="s">
        <v>29</v>
      </c>
      <c r="K4062" t="str">
        <f>IF(Table3[[#This Row],[Type Received]]=2,"CC",(IF(Table3[[#This Row],[Type Received]]=3,"BILL","ACH")))</f>
        <v>ACH</v>
      </c>
    </row>
    <row r="4063" spans="1:11" x14ac:dyDescent="0.25">
      <c r="A4063">
        <v>255419</v>
      </c>
      <c r="B4063" s="3">
        <v>46167</v>
      </c>
      <c r="C4063">
        <v>1</v>
      </c>
      <c r="D4063">
        <v>74.930000000000007</v>
      </c>
      <c r="G4063" t="s">
        <v>85</v>
      </c>
      <c r="H4063">
        <v>818398692</v>
      </c>
      <c r="I4063" t="s">
        <v>29</v>
      </c>
      <c r="K4063" t="str">
        <f>IF(Table3[[#This Row],[Type Received]]=2,"CC",(IF(Table3[[#This Row],[Type Received]]=3,"BILL","ACH")))</f>
        <v>ACH</v>
      </c>
    </row>
    <row r="4064" spans="1:11" x14ac:dyDescent="0.25">
      <c r="A4064">
        <v>255434</v>
      </c>
      <c r="B4064" s="3">
        <v>46143</v>
      </c>
      <c r="C4064">
        <v>2</v>
      </c>
      <c r="D4064">
        <v>45.25</v>
      </c>
      <c r="F4064">
        <v>437956</v>
      </c>
      <c r="G4064" t="s">
        <v>28</v>
      </c>
      <c r="H4064">
        <v>521707249</v>
      </c>
      <c r="I4064" t="s">
        <v>29</v>
      </c>
      <c r="J4064" t="s">
        <v>29</v>
      </c>
      <c r="K4064" t="str">
        <f>IF(Table3[[#This Row],[Type Received]]=2,"CC",(IF(Table3[[#This Row],[Type Received]]=3,"BILL","ACH")))</f>
        <v>CC</v>
      </c>
    </row>
    <row r="4065" spans="1:11" x14ac:dyDescent="0.25">
      <c r="A4065">
        <v>255441</v>
      </c>
      <c r="B4065" s="3">
        <v>46146</v>
      </c>
      <c r="C4065">
        <v>3</v>
      </c>
      <c r="D4065">
        <v>51.41</v>
      </c>
      <c r="E4065">
        <v>7922</v>
      </c>
      <c r="J4065" t="s">
        <v>29</v>
      </c>
      <c r="K4065" t="str">
        <f>IF(Table3[[#This Row],[Type Received]]=2,"CC",(IF(Table3[[#This Row],[Type Received]]=3,"BILL","ACH")))</f>
        <v>BILL</v>
      </c>
    </row>
    <row r="4066" spans="1:11" x14ac:dyDescent="0.25">
      <c r="A4066">
        <v>255445</v>
      </c>
      <c r="B4066" s="3">
        <v>46157</v>
      </c>
      <c r="C4066">
        <v>1</v>
      </c>
      <c r="D4066">
        <v>41.93</v>
      </c>
      <c r="G4066" t="s">
        <v>87</v>
      </c>
      <c r="H4066">
        <v>696838988</v>
      </c>
      <c r="I4066" t="s">
        <v>29</v>
      </c>
      <c r="J4066" t="s">
        <v>29</v>
      </c>
      <c r="K4066" t="str">
        <f>IF(Table3[[#This Row],[Type Received]]=2,"CC",(IF(Table3[[#This Row],[Type Received]]=3,"BILL","ACH")))</f>
        <v>ACH</v>
      </c>
    </row>
    <row r="4067" spans="1:11" x14ac:dyDescent="0.25">
      <c r="A4067">
        <v>255452</v>
      </c>
      <c r="B4067" s="3">
        <v>46157</v>
      </c>
      <c r="C4067">
        <v>1</v>
      </c>
      <c r="D4067">
        <v>85.27</v>
      </c>
      <c r="G4067" s="4" t="s">
        <v>87</v>
      </c>
      <c r="H4067">
        <v>696843735</v>
      </c>
      <c r="I4067" t="s">
        <v>29</v>
      </c>
      <c r="J4067" t="s">
        <v>29</v>
      </c>
      <c r="K4067" t="str">
        <f>IF(Table3[[#This Row],[Type Received]]=2,"CC",(IF(Table3[[#This Row],[Type Received]]=3,"BILL","ACH")))</f>
        <v>ACH</v>
      </c>
    </row>
    <row r="4068" spans="1:11" x14ac:dyDescent="0.25">
      <c r="A4068">
        <v>255460</v>
      </c>
      <c r="B4068" s="3">
        <v>46143</v>
      </c>
      <c r="C4068">
        <v>2</v>
      </c>
      <c r="D4068">
        <v>96.51</v>
      </c>
      <c r="F4068">
        <v>65252</v>
      </c>
      <c r="G4068">
        <v>741374152</v>
      </c>
      <c r="H4068">
        <v>353206247</v>
      </c>
      <c r="K4068" t="str">
        <f>IF(Table3[[#This Row],[Type Received]]=2,"CC",(IF(Table3[[#This Row],[Type Received]]=3,"BILL","ACH")))</f>
        <v>CC</v>
      </c>
    </row>
    <row r="4069" spans="1:11" x14ac:dyDescent="0.25">
      <c r="A4069">
        <v>255472</v>
      </c>
      <c r="B4069" s="3">
        <v>46157</v>
      </c>
      <c r="C4069">
        <v>1</v>
      </c>
      <c r="D4069">
        <v>120.25</v>
      </c>
      <c r="G4069" s="4" t="s">
        <v>87</v>
      </c>
      <c r="H4069">
        <v>696834080</v>
      </c>
      <c r="I4069" t="s">
        <v>29</v>
      </c>
      <c r="K4069" t="str">
        <f>IF(Table3[[#This Row],[Type Received]]=2,"CC",(IF(Table3[[#This Row],[Type Received]]=3,"BILL","ACH")))</f>
        <v>ACH</v>
      </c>
    </row>
    <row r="4070" spans="1:11" x14ac:dyDescent="0.25">
      <c r="A4070">
        <v>255474</v>
      </c>
      <c r="B4070" s="3">
        <v>46167</v>
      </c>
      <c r="C4070">
        <v>1</v>
      </c>
      <c r="D4070">
        <v>69.430000000000007</v>
      </c>
      <c r="G4070" s="4" t="s">
        <v>85</v>
      </c>
      <c r="H4070">
        <v>818414180</v>
      </c>
      <c r="I4070" t="s">
        <v>29</v>
      </c>
      <c r="J4070" t="s">
        <v>29</v>
      </c>
      <c r="K4070" t="str">
        <f>IF(Table3[[#This Row],[Type Received]]=2,"CC",(IF(Table3[[#This Row],[Type Received]]=3,"BILL","ACH")))</f>
        <v>ACH</v>
      </c>
    </row>
    <row r="4071" spans="1:11" x14ac:dyDescent="0.25">
      <c r="A4071">
        <v>255475</v>
      </c>
      <c r="B4071" s="3">
        <v>46143</v>
      </c>
      <c r="C4071">
        <v>1</v>
      </c>
      <c r="D4071">
        <v>73.72</v>
      </c>
      <c r="G4071" t="s">
        <v>84</v>
      </c>
      <c r="H4071">
        <v>522426533</v>
      </c>
      <c r="I4071" t="s">
        <v>29</v>
      </c>
      <c r="J4071" t="s">
        <v>29</v>
      </c>
      <c r="K4071" t="str">
        <f>IF(Table3[[#This Row],[Type Received]]=2,"CC",(IF(Table3[[#This Row],[Type Received]]=3,"BILL","ACH")))</f>
        <v>ACH</v>
      </c>
    </row>
    <row r="4072" spans="1:11" x14ac:dyDescent="0.25">
      <c r="A4072">
        <v>255485</v>
      </c>
      <c r="B4072" s="3">
        <v>46167</v>
      </c>
      <c r="C4072">
        <v>1</v>
      </c>
      <c r="D4072">
        <v>53.26</v>
      </c>
      <c r="G4072" t="s">
        <v>85</v>
      </c>
      <c r="H4072">
        <v>818391022</v>
      </c>
      <c r="I4072" t="s">
        <v>29</v>
      </c>
      <c r="J4072" t="s">
        <v>29</v>
      </c>
      <c r="K4072" t="str">
        <f>IF(Table3[[#This Row],[Type Received]]=2,"CC",(IF(Table3[[#This Row],[Type Received]]=3,"BILL","ACH")))</f>
        <v>ACH</v>
      </c>
    </row>
    <row r="4073" spans="1:11" x14ac:dyDescent="0.25">
      <c r="A4073">
        <v>255489</v>
      </c>
      <c r="B4073" s="3">
        <v>46143</v>
      </c>
      <c r="C4073">
        <v>1</v>
      </c>
      <c r="D4073">
        <v>38.85</v>
      </c>
      <c r="G4073" t="s">
        <v>84</v>
      </c>
      <c r="H4073">
        <v>522427520</v>
      </c>
      <c r="I4073" t="s">
        <v>29</v>
      </c>
      <c r="J4073" t="s">
        <v>29</v>
      </c>
      <c r="K4073" t="str">
        <f>IF(Table3[[#This Row],[Type Received]]=2,"CC",(IF(Table3[[#This Row],[Type Received]]=3,"BILL","ACH")))</f>
        <v>ACH</v>
      </c>
    </row>
    <row r="4074" spans="1:11" x14ac:dyDescent="0.25">
      <c r="A4074">
        <v>255507</v>
      </c>
      <c r="B4074" s="3">
        <v>46155</v>
      </c>
      <c r="C4074">
        <v>2</v>
      </c>
      <c r="D4074">
        <v>66.349999999999994</v>
      </c>
      <c r="F4074">
        <v>66974</v>
      </c>
      <c r="G4074" t="s">
        <v>28</v>
      </c>
      <c r="H4074">
        <v>669522453</v>
      </c>
      <c r="I4074" t="s">
        <v>29</v>
      </c>
      <c r="J4074" t="s">
        <v>29</v>
      </c>
      <c r="K4074" t="str">
        <f>IF(Table3[[#This Row],[Type Received]]=2,"CC",(IF(Table3[[#This Row],[Type Received]]=3,"BILL","ACH")))</f>
        <v>CC</v>
      </c>
    </row>
    <row r="4075" spans="1:11" x14ac:dyDescent="0.25">
      <c r="A4075">
        <v>255510</v>
      </c>
      <c r="B4075" s="3">
        <v>46157</v>
      </c>
      <c r="C4075">
        <v>1</v>
      </c>
      <c r="D4075">
        <v>157.21</v>
      </c>
      <c r="G4075" t="s">
        <v>87</v>
      </c>
      <c r="H4075">
        <v>696854478</v>
      </c>
      <c r="I4075" t="s">
        <v>29</v>
      </c>
      <c r="J4075" t="s">
        <v>29</v>
      </c>
      <c r="K4075" t="str">
        <f>IF(Table3[[#This Row],[Type Received]]=2,"CC",(IF(Table3[[#This Row],[Type Received]]=3,"BILL","ACH")))</f>
        <v>ACH</v>
      </c>
    </row>
    <row r="4076" spans="1:11" x14ac:dyDescent="0.25">
      <c r="A4076">
        <v>255511</v>
      </c>
      <c r="B4076" s="3">
        <v>46167</v>
      </c>
      <c r="C4076">
        <v>1</v>
      </c>
      <c r="D4076">
        <v>87.58</v>
      </c>
      <c r="G4076" t="s">
        <v>85</v>
      </c>
      <c r="H4076">
        <v>818391030</v>
      </c>
      <c r="I4076" t="s">
        <v>29</v>
      </c>
      <c r="J4076" t="s">
        <v>29</v>
      </c>
      <c r="K4076" t="str">
        <f>IF(Table3[[#This Row],[Type Received]]=2,"CC",(IF(Table3[[#This Row],[Type Received]]=3,"BILL","ACH")))</f>
        <v>ACH</v>
      </c>
    </row>
    <row r="4077" spans="1:11" x14ac:dyDescent="0.25">
      <c r="A4077">
        <v>255512</v>
      </c>
      <c r="B4077" s="3">
        <v>46145</v>
      </c>
      <c r="C4077">
        <v>2</v>
      </c>
      <c r="D4077">
        <v>87.25</v>
      </c>
      <c r="F4077">
        <v>73734</v>
      </c>
      <c r="G4077" t="s">
        <v>28</v>
      </c>
      <c r="H4077">
        <v>546412933</v>
      </c>
      <c r="I4077" t="s">
        <v>29</v>
      </c>
      <c r="J4077" t="s">
        <v>29</v>
      </c>
      <c r="K4077" t="str">
        <f>IF(Table3[[#This Row],[Type Received]]=2,"CC",(IF(Table3[[#This Row],[Type Received]]=3,"BILL","ACH")))</f>
        <v>CC</v>
      </c>
    </row>
    <row r="4078" spans="1:11" x14ac:dyDescent="0.25">
      <c r="A4078">
        <v>255513</v>
      </c>
      <c r="B4078" s="3">
        <v>46167</v>
      </c>
      <c r="C4078">
        <v>1</v>
      </c>
      <c r="D4078">
        <v>53.37</v>
      </c>
      <c r="G4078" t="s">
        <v>85</v>
      </c>
      <c r="H4078">
        <v>818399766</v>
      </c>
      <c r="I4078" t="s">
        <v>29</v>
      </c>
      <c r="J4078" t="s">
        <v>29</v>
      </c>
      <c r="K4078" t="str">
        <f>IF(Table3[[#This Row],[Type Received]]=2,"CC",(IF(Table3[[#This Row],[Type Received]]=3,"BILL","ACH")))</f>
        <v>ACH</v>
      </c>
    </row>
    <row r="4079" spans="1:11" x14ac:dyDescent="0.25">
      <c r="A4079">
        <v>255514</v>
      </c>
      <c r="B4079" s="3">
        <v>46143</v>
      </c>
      <c r="C4079">
        <v>1</v>
      </c>
      <c r="D4079">
        <v>58.21</v>
      </c>
      <c r="G4079" s="4" t="s">
        <v>84</v>
      </c>
      <c r="H4079">
        <v>522248653</v>
      </c>
      <c r="I4079" t="s">
        <v>29</v>
      </c>
      <c r="J4079" t="s">
        <v>29</v>
      </c>
      <c r="K4079" t="str">
        <f>IF(Table3[[#This Row],[Type Received]]=2,"CC",(IF(Table3[[#This Row],[Type Received]]=3,"BILL","ACH")))</f>
        <v>ACH</v>
      </c>
    </row>
    <row r="4080" spans="1:11" x14ac:dyDescent="0.25">
      <c r="A4080">
        <v>255529</v>
      </c>
      <c r="B4080" s="3">
        <v>46170</v>
      </c>
      <c r="C4080">
        <v>2</v>
      </c>
      <c r="D4080">
        <v>91.21</v>
      </c>
      <c r="F4080">
        <v>8988</v>
      </c>
      <c r="G4080" t="s">
        <v>28</v>
      </c>
      <c r="H4080">
        <v>853934361</v>
      </c>
      <c r="I4080" t="s">
        <v>29</v>
      </c>
      <c r="J4080" t="s">
        <v>29</v>
      </c>
      <c r="K4080" t="str">
        <f>IF(Table3[[#This Row],[Type Received]]=2,"CC",(IF(Table3[[#This Row],[Type Received]]=3,"BILL","ACH")))</f>
        <v>CC</v>
      </c>
    </row>
    <row r="4081" spans="1:11" x14ac:dyDescent="0.25">
      <c r="A4081">
        <v>255537</v>
      </c>
      <c r="B4081" s="3">
        <v>46143</v>
      </c>
      <c r="C4081">
        <v>1</v>
      </c>
      <c r="D4081">
        <v>55.57</v>
      </c>
      <c r="G4081" t="s">
        <v>84</v>
      </c>
      <c r="H4081">
        <v>522432386</v>
      </c>
      <c r="I4081" t="s">
        <v>29</v>
      </c>
      <c r="J4081" t="s">
        <v>29</v>
      </c>
      <c r="K4081" t="str">
        <f>IF(Table3[[#This Row],[Type Received]]=2,"CC",(IF(Table3[[#This Row],[Type Received]]=3,"BILL","ACH")))</f>
        <v>ACH</v>
      </c>
    </row>
    <row r="4082" spans="1:11" x14ac:dyDescent="0.25">
      <c r="A4082">
        <v>255538</v>
      </c>
      <c r="B4082" s="3">
        <v>46143</v>
      </c>
      <c r="C4082">
        <v>1</v>
      </c>
      <c r="D4082">
        <v>39.950000000000003</v>
      </c>
      <c r="G4082" t="s">
        <v>84</v>
      </c>
      <c r="H4082">
        <v>522423746</v>
      </c>
      <c r="I4082" t="s">
        <v>29</v>
      </c>
      <c r="J4082" t="s">
        <v>29</v>
      </c>
      <c r="K4082" t="str">
        <f>IF(Table3[[#This Row],[Type Received]]=2,"CC",(IF(Table3[[#This Row],[Type Received]]=3,"BILL","ACH")))</f>
        <v>ACH</v>
      </c>
    </row>
    <row r="4083" spans="1:11" x14ac:dyDescent="0.25">
      <c r="A4083">
        <v>255539</v>
      </c>
      <c r="B4083" s="3">
        <v>46157</v>
      </c>
      <c r="C4083">
        <v>1</v>
      </c>
      <c r="D4083">
        <v>120.25</v>
      </c>
      <c r="G4083" t="s">
        <v>87</v>
      </c>
      <c r="H4083">
        <v>696855410</v>
      </c>
      <c r="I4083" t="s">
        <v>29</v>
      </c>
      <c r="J4083" t="s">
        <v>29</v>
      </c>
      <c r="K4083" t="str">
        <f>IF(Table3[[#This Row],[Type Received]]=2,"CC",(IF(Table3[[#This Row],[Type Received]]=3,"BILL","ACH")))</f>
        <v>ACH</v>
      </c>
    </row>
    <row r="4084" spans="1:11" x14ac:dyDescent="0.25">
      <c r="A4084">
        <v>255541</v>
      </c>
      <c r="B4084" s="3">
        <v>46157</v>
      </c>
      <c r="C4084">
        <v>1</v>
      </c>
      <c r="D4084">
        <v>131.80000000000001</v>
      </c>
      <c r="G4084" t="s">
        <v>87</v>
      </c>
      <c r="H4084">
        <v>696855422</v>
      </c>
      <c r="I4084" t="s">
        <v>29</v>
      </c>
      <c r="J4084" t="s">
        <v>29</v>
      </c>
      <c r="K4084" t="str">
        <f>IF(Table3[[#This Row],[Type Received]]=2,"CC",(IF(Table3[[#This Row],[Type Received]]=3,"BILL","ACH")))</f>
        <v>ACH</v>
      </c>
    </row>
    <row r="4085" spans="1:11" x14ac:dyDescent="0.25">
      <c r="A4085">
        <v>255555</v>
      </c>
      <c r="B4085" s="3">
        <v>46159</v>
      </c>
      <c r="C4085">
        <v>2</v>
      </c>
      <c r="D4085">
        <v>93.85</v>
      </c>
      <c r="F4085">
        <v>90021</v>
      </c>
      <c r="G4085" t="s">
        <v>28</v>
      </c>
      <c r="H4085">
        <v>721666954</v>
      </c>
      <c r="I4085" t="s">
        <v>29</v>
      </c>
      <c r="J4085" t="s">
        <v>29</v>
      </c>
      <c r="K4085" t="str">
        <f>IF(Table3[[#This Row],[Type Received]]=2,"CC",(IF(Table3[[#This Row],[Type Received]]=3,"BILL","ACH")))</f>
        <v>CC</v>
      </c>
    </row>
    <row r="4086" spans="1:11" x14ac:dyDescent="0.25">
      <c r="A4086">
        <v>255556</v>
      </c>
      <c r="B4086" s="3">
        <v>46155</v>
      </c>
      <c r="C4086">
        <v>2</v>
      </c>
      <c r="D4086">
        <v>46.55</v>
      </c>
      <c r="F4086" t="s">
        <v>320</v>
      </c>
      <c r="G4086" t="s">
        <v>28</v>
      </c>
      <c r="H4086">
        <v>669474844</v>
      </c>
      <c r="I4086" t="s">
        <v>29</v>
      </c>
      <c r="J4086" t="s">
        <v>29</v>
      </c>
      <c r="K4086" t="str">
        <f>IF(Table3[[#This Row],[Type Received]]=2,"CC",(IF(Table3[[#This Row],[Type Received]]=3,"BILL","ACH")))</f>
        <v>CC</v>
      </c>
    </row>
    <row r="4087" spans="1:11" x14ac:dyDescent="0.25">
      <c r="A4087">
        <v>255558</v>
      </c>
      <c r="B4087" s="3">
        <v>46155</v>
      </c>
      <c r="C4087">
        <v>2</v>
      </c>
      <c r="D4087">
        <v>86.26</v>
      </c>
      <c r="F4087" t="s">
        <v>321</v>
      </c>
      <c r="G4087" t="s">
        <v>28</v>
      </c>
      <c r="H4087">
        <v>669529243</v>
      </c>
      <c r="I4087" t="s">
        <v>29</v>
      </c>
      <c r="J4087" t="s">
        <v>29</v>
      </c>
      <c r="K4087" t="str">
        <f>IF(Table3[[#This Row],[Type Received]]=2,"CC",(IF(Table3[[#This Row],[Type Received]]=3,"BILL","ACH")))</f>
        <v>CC</v>
      </c>
    </row>
    <row r="4088" spans="1:11" x14ac:dyDescent="0.25">
      <c r="A4088">
        <v>255563</v>
      </c>
      <c r="B4088" s="3">
        <v>46143</v>
      </c>
      <c r="C4088">
        <v>1</v>
      </c>
      <c r="D4088">
        <v>48.53</v>
      </c>
      <c r="G4088" t="s">
        <v>84</v>
      </c>
      <c r="H4088">
        <v>522433421</v>
      </c>
      <c r="I4088" t="s">
        <v>29</v>
      </c>
      <c r="J4088" t="s">
        <v>29</v>
      </c>
      <c r="K4088" t="str">
        <f>IF(Table3[[#This Row],[Type Received]]=2,"CC",(IF(Table3[[#This Row],[Type Received]]=3,"BILL","ACH")))</f>
        <v>ACH</v>
      </c>
    </row>
    <row r="4089" spans="1:11" x14ac:dyDescent="0.25">
      <c r="A4089">
        <v>255586</v>
      </c>
      <c r="B4089" s="3">
        <v>46155</v>
      </c>
      <c r="C4089">
        <v>2</v>
      </c>
      <c r="D4089">
        <v>99.46</v>
      </c>
      <c r="F4089">
        <v>29933</v>
      </c>
      <c r="G4089" t="s">
        <v>28</v>
      </c>
      <c r="H4089">
        <v>669518552</v>
      </c>
      <c r="I4089" t="s">
        <v>29</v>
      </c>
      <c r="J4089" t="s">
        <v>29</v>
      </c>
      <c r="K4089" t="str">
        <f>IF(Table3[[#This Row],[Type Received]]=2,"CC",(IF(Table3[[#This Row],[Type Received]]=3,"BILL","ACH")))</f>
        <v>CC</v>
      </c>
    </row>
    <row r="4090" spans="1:11" x14ac:dyDescent="0.25">
      <c r="A4090">
        <v>255592</v>
      </c>
      <c r="B4090" s="3">
        <v>46167</v>
      </c>
      <c r="C4090">
        <v>1</v>
      </c>
      <c r="D4090">
        <v>70.09</v>
      </c>
      <c r="G4090" t="s">
        <v>85</v>
      </c>
      <c r="H4090">
        <v>818398730</v>
      </c>
      <c r="I4090" t="s">
        <v>29</v>
      </c>
      <c r="J4090" t="s">
        <v>29</v>
      </c>
      <c r="K4090" t="str">
        <f>IF(Table3[[#This Row],[Type Received]]=2,"CC",(IF(Table3[[#This Row],[Type Received]]=3,"BILL","ACH")))</f>
        <v>ACH</v>
      </c>
    </row>
    <row r="4091" spans="1:11" x14ac:dyDescent="0.25">
      <c r="A4091">
        <v>255594</v>
      </c>
      <c r="B4091" s="3">
        <v>46143</v>
      </c>
      <c r="C4091">
        <v>1</v>
      </c>
      <c r="D4091">
        <v>58.54</v>
      </c>
      <c r="G4091" t="s">
        <v>84</v>
      </c>
      <c r="H4091">
        <v>522429617</v>
      </c>
      <c r="I4091" t="s">
        <v>29</v>
      </c>
      <c r="J4091" t="s">
        <v>29</v>
      </c>
      <c r="K4091" t="str">
        <f>IF(Table3[[#This Row],[Type Received]]=2,"CC",(IF(Table3[[#This Row],[Type Received]]=3,"BILL","ACH")))</f>
        <v>ACH</v>
      </c>
    </row>
    <row r="4092" spans="1:11" x14ac:dyDescent="0.25">
      <c r="A4092">
        <v>255597</v>
      </c>
      <c r="B4092" s="3">
        <v>46143</v>
      </c>
      <c r="C4092">
        <v>1</v>
      </c>
      <c r="D4092">
        <v>89.67</v>
      </c>
      <c r="G4092" t="s">
        <v>84</v>
      </c>
      <c r="H4092">
        <v>522427654</v>
      </c>
      <c r="I4092" t="s">
        <v>29</v>
      </c>
      <c r="J4092" t="s">
        <v>29</v>
      </c>
      <c r="K4092" t="str">
        <f>IF(Table3[[#This Row],[Type Received]]=2,"CC",(IF(Table3[[#This Row],[Type Received]]=3,"BILL","ACH")))</f>
        <v>ACH</v>
      </c>
    </row>
    <row r="4093" spans="1:11" x14ac:dyDescent="0.25">
      <c r="A4093">
        <v>255601</v>
      </c>
      <c r="B4093" s="3">
        <v>46164</v>
      </c>
      <c r="C4093">
        <v>1</v>
      </c>
      <c r="D4093">
        <v>127.73</v>
      </c>
      <c r="G4093" t="s">
        <v>118</v>
      </c>
      <c r="H4093">
        <v>784592001</v>
      </c>
      <c r="I4093" t="s">
        <v>29</v>
      </c>
      <c r="J4093" t="s">
        <v>29</v>
      </c>
      <c r="K4093" t="str">
        <f>IF(Table3[[#This Row],[Type Received]]=2,"CC",(IF(Table3[[#This Row],[Type Received]]=3,"BILL","ACH")))</f>
        <v>ACH</v>
      </c>
    </row>
    <row r="4094" spans="1:11" x14ac:dyDescent="0.25">
      <c r="A4094">
        <v>255601</v>
      </c>
      <c r="B4094" s="3">
        <v>46157</v>
      </c>
      <c r="C4094">
        <v>1</v>
      </c>
      <c r="D4094">
        <v>127.73</v>
      </c>
      <c r="G4094" t="s">
        <v>87</v>
      </c>
      <c r="H4094">
        <v>696842819</v>
      </c>
      <c r="I4094" t="s">
        <v>29</v>
      </c>
      <c r="J4094" t="s">
        <v>29</v>
      </c>
      <c r="K4094" t="str">
        <f>IF(Table3[[#This Row],[Type Received]]=2,"CC",(IF(Table3[[#This Row],[Type Received]]=3,"BILL","ACH")))</f>
        <v>ACH</v>
      </c>
    </row>
    <row r="4095" spans="1:11" x14ac:dyDescent="0.25">
      <c r="A4095">
        <v>255603</v>
      </c>
      <c r="B4095" s="3">
        <v>46165</v>
      </c>
      <c r="C4095">
        <v>1</v>
      </c>
      <c r="D4095">
        <v>113.32</v>
      </c>
      <c r="G4095" t="s">
        <v>137</v>
      </c>
      <c r="H4095">
        <v>797272918</v>
      </c>
      <c r="I4095" t="s">
        <v>29</v>
      </c>
      <c r="J4095" t="s">
        <v>29</v>
      </c>
      <c r="K4095" t="str">
        <f>IF(Table3[[#This Row],[Type Received]]=2,"CC",(IF(Table3[[#This Row],[Type Received]]=3,"BILL","ACH")))</f>
        <v>ACH</v>
      </c>
    </row>
    <row r="4096" spans="1:11" x14ac:dyDescent="0.25">
      <c r="A4096">
        <v>255618</v>
      </c>
      <c r="B4096" s="3">
        <v>46155</v>
      </c>
      <c r="C4096">
        <v>2</v>
      </c>
      <c r="D4096">
        <v>79.55</v>
      </c>
      <c r="F4096" t="s">
        <v>322</v>
      </c>
      <c r="G4096" t="s">
        <v>28</v>
      </c>
      <c r="H4096">
        <v>669444752</v>
      </c>
      <c r="I4096" t="s">
        <v>29</v>
      </c>
      <c r="J4096" t="s">
        <v>29</v>
      </c>
      <c r="K4096" t="str">
        <f>IF(Table3[[#This Row],[Type Received]]=2,"CC",(IF(Table3[[#This Row],[Type Received]]=3,"BILL","ACH")))</f>
        <v>CC</v>
      </c>
    </row>
    <row r="4097" spans="1:11" x14ac:dyDescent="0.25">
      <c r="A4097">
        <v>255622</v>
      </c>
      <c r="B4097" s="3">
        <v>46153</v>
      </c>
      <c r="C4097">
        <v>2</v>
      </c>
      <c r="D4097">
        <v>169.14</v>
      </c>
      <c r="F4097">
        <v>79985</v>
      </c>
      <c r="G4097">
        <v>744352488</v>
      </c>
      <c r="H4097">
        <v>354159606</v>
      </c>
      <c r="J4097" t="s">
        <v>29</v>
      </c>
      <c r="K4097" t="str">
        <f>IF(Table3[[#This Row],[Type Received]]=2,"CC",(IF(Table3[[#This Row],[Type Received]]=3,"BILL","ACH")))</f>
        <v>CC</v>
      </c>
    </row>
    <row r="4098" spans="1:11" x14ac:dyDescent="0.25">
      <c r="A4098">
        <v>255625</v>
      </c>
      <c r="B4098" s="3">
        <v>46155</v>
      </c>
      <c r="C4098">
        <v>2</v>
      </c>
      <c r="D4098">
        <v>142.69</v>
      </c>
      <c r="F4098">
        <v>6597</v>
      </c>
      <c r="G4098" t="s">
        <v>28</v>
      </c>
      <c r="H4098">
        <v>669517581</v>
      </c>
      <c r="I4098" t="s">
        <v>29</v>
      </c>
      <c r="K4098" t="str">
        <f>IF(Table3[[#This Row],[Type Received]]=2,"CC",(IF(Table3[[#This Row],[Type Received]]=3,"BILL","ACH")))</f>
        <v>CC</v>
      </c>
    </row>
    <row r="4099" spans="1:11" x14ac:dyDescent="0.25">
      <c r="A4099">
        <v>255626</v>
      </c>
      <c r="B4099" s="3">
        <v>46147</v>
      </c>
      <c r="C4099">
        <v>1</v>
      </c>
      <c r="D4099">
        <v>66.569999999999993</v>
      </c>
      <c r="G4099" t="s">
        <v>86</v>
      </c>
      <c r="H4099">
        <v>569468745</v>
      </c>
      <c r="I4099" t="s">
        <v>29</v>
      </c>
      <c r="J4099" t="s">
        <v>29</v>
      </c>
      <c r="K4099" t="str">
        <f>IF(Table3[[#This Row],[Type Received]]=2,"CC",(IF(Table3[[#This Row],[Type Received]]=3,"BILL","ACH")))</f>
        <v>ACH</v>
      </c>
    </row>
    <row r="4100" spans="1:11" x14ac:dyDescent="0.25">
      <c r="A4100">
        <v>255629</v>
      </c>
      <c r="B4100" s="3">
        <v>46143</v>
      </c>
      <c r="C4100">
        <v>1</v>
      </c>
      <c r="D4100">
        <v>68.44</v>
      </c>
      <c r="G4100" t="s">
        <v>84</v>
      </c>
      <c r="H4100">
        <v>522418035</v>
      </c>
      <c r="I4100" t="s">
        <v>29</v>
      </c>
      <c r="J4100" t="s">
        <v>29</v>
      </c>
      <c r="K4100" t="str">
        <f>IF(Table3[[#This Row],[Type Received]]=2,"CC",(IF(Table3[[#This Row],[Type Received]]=3,"BILL","ACH")))</f>
        <v>ACH</v>
      </c>
    </row>
    <row r="4101" spans="1:11" x14ac:dyDescent="0.25">
      <c r="A4101">
        <v>255630</v>
      </c>
      <c r="B4101" s="3">
        <v>46143</v>
      </c>
      <c r="C4101">
        <v>1</v>
      </c>
      <c r="D4101">
        <v>131.80000000000001</v>
      </c>
      <c r="G4101" t="s">
        <v>84</v>
      </c>
      <c r="H4101">
        <v>522420921</v>
      </c>
      <c r="I4101" t="s">
        <v>29</v>
      </c>
      <c r="J4101" t="s">
        <v>29</v>
      </c>
      <c r="K4101" t="str">
        <f>IF(Table3[[#This Row],[Type Received]]=2,"CC",(IF(Table3[[#This Row],[Type Received]]=3,"BILL","ACH")))</f>
        <v>ACH</v>
      </c>
    </row>
    <row r="4102" spans="1:11" x14ac:dyDescent="0.25">
      <c r="A4102">
        <v>255632</v>
      </c>
      <c r="B4102" s="3">
        <v>46157</v>
      </c>
      <c r="C4102">
        <v>1</v>
      </c>
      <c r="D4102">
        <v>97.81</v>
      </c>
      <c r="G4102" t="s">
        <v>87</v>
      </c>
      <c r="H4102">
        <v>696843822</v>
      </c>
      <c r="I4102" t="s">
        <v>29</v>
      </c>
      <c r="J4102" t="s">
        <v>29</v>
      </c>
      <c r="K4102" t="str">
        <f>IF(Table3[[#This Row],[Type Received]]=2,"CC",(IF(Table3[[#This Row],[Type Received]]=3,"BILL","ACH")))</f>
        <v>ACH</v>
      </c>
    </row>
    <row r="4103" spans="1:11" x14ac:dyDescent="0.25">
      <c r="A4103">
        <v>255633</v>
      </c>
      <c r="B4103" s="3">
        <v>46157</v>
      </c>
      <c r="C4103">
        <v>1</v>
      </c>
      <c r="D4103">
        <v>45.89</v>
      </c>
      <c r="G4103" t="s">
        <v>87</v>
      </c>
      <c r="H4103">
        <v>696857467</v>
      </c>
      <c r="I4103" t="s">
        <v>29</v>
      </c>
      <c r="J4103" t="s">
        <v>29</v>
      </c>
      <c r="K4103" t="str">
        <f>IF(Table3[[#This Row],[Type Received]]=2,"CC",(IF(Table3[[#This Row],[Type Received]]=3,"BILL","ACH")))</f>
        <v>ACH</v>
      </c>
    </row>
    <row r="4104" spans="1:11" x14ac:dyDescent="0.25">
      <c r="A4104">
        <v>255634</v>
      </c>
      <c r="B4104" s="3">
        <v>46157</v>
      </c>
      <c r="C4104">
        <v>1</v>
      </c>
      <c r="D4104">
        <v>50.73</v>
      </c>
      <c r="G4104" t="s">
        <v>87</v>
      </c>
      <c r="H4104">
        <v>696867145</v>
      </c>
      <c r="I4104" t="s">
        <v>29</v>
      </c>
      <c r="J4104" t="s">
        <v>29</v>
      </c>
      <c r="K4104" t="str">
        <f>IF(Table3[[#This Row],[Type Received]]=2,"CC",(IF(Table3[[#This Row],[Type Received]]=3,"BILL","ACH")))</f>
        <v>ACH</v>
      </c>
    </row>
    <row r="4105" spans="1:11" x14ac:dyDescent="0.25">
      <c r="A4105">
        <v>255658</v>
      </c>
      <c r="B4105" s="3">
        <v>46167</v>
      </c>
      <c r="C4105">
        <v>1</v>
      </c>
      <c r="D4105">
        <v>124.87</v>
      </c>
      <c r="G4105" t="s">
        <v>85</v>
      </c>
      <c r="H4105">
        <v>818398762</v>
      </c>
      <c r="I4105" t="s">
        <v>29</v>
      </c>
      <c r="J4105" t="s">
        <v>29</v>
      </c>
      <c r="K4105" t="str">
        <f>IF(Table3[[#This Row],[Type Received]]=2,"CC",(IF(Table3[[#This Row],[Type Received]]=3,"BILL","ACH")))</f>
        <v>ACH</v>
      </c>
    </row>
    <row r="4106" spans="1:11" x14ac:dyDescent="0.25">
      <c r="A4106">
        <v>255659</v>
      </c>
      <c r="B4106" s="3">
        <v>46143</v>
      </c>
      <c r="C4106">
        <v>1</v>
      </c>
      <c r="D4106">
        <v>52.71</v>
      </c>
      <c r="G4106" t="s">
        <v>84</v>
      </c>
      <c r="H4106">
        <v>522425755</v>
      </c>
      <c r="I4106" t="s">
        <v>29</v>
      </c>
      <c r="J4106" t="s">
        <v>29</v>
      </c>
      <c r="K4106" t="str">
        <f>IF(Table3[[#This Row],[Type Received]]=2,"CC",(IF(Table3[[#This Row],[Type Received]]=3,"BILL","ACH")))</f>
        <v>ACH</v>
      </c>
    </row>
    <row r="4107" spans="1:11" x14ac:dyDescent="0.25">
      <c r="A4107">
        <v>255660</v>
      </c>
      <c r="B4107" s="3">
        <v>46167</v>
      </c>
      <c r="C4107">
        <v>1</v>
      </c>
      <c r="D4107">
        <v>70.09</v>
      </c>
      <c r="G4107" t="s">
        <v>85</v>
      </c>
      <c r="H4107">
        <v>818418119</v>
      </c>
      <c r="I4107" t="s">
        <v>29</v>
      </c>
      <c r="J4107" t="s">
        <v>29</v>
      </c>
      <c r="K4107" t="str">
        <f>IF(Table3[[#This Row],[Type Received]]=2,"CC",(IF(Table3[[#This Row],[Type Received]]=3,"BILL","ACH")))</f>
        <v>ACH</v>
      </c>
    </row>
    <row r="4108" spans="1:11" x14ac:dyDescent="0.25">
      <c r="A4108">
        <v>255684</v>
      </c>
      <c r="B4108" s="3">
        <v>46155</v>
      </c>
      <c r="C4108">
        <v>2</v>
      </c>
      <c r="D4108">
        <v>84.94</v>
      </c>
      <c r="F4108">
        <v>13168</v>
      </c>
      <c r="G4108" t="s">
        <v>28</v>
      </c>
      <c r="H4108">
        <v>669524459</v>
      </c>
      <c r="I4108" t="s">
        <v>29</v>
      </c>
      <c r="K4108" t="str">
        <f>IF(Table3[[#This Row],[Type Received]]=2,"CC",(IF(Table3[[#This Row],[Type Received]]=3,"BILL","ACH")))</f>
        <v>CC</v>
      </c>
    </row>
    <row r="4109" spans="1:11" x14ac:dyDescent="0.25">
      <c r="A4109">
        <v>255688</v>
      </c>
      <c r="B4109" s="3">
        <v>46167</v>
      </c>
      <c r="C4109">
        <v>1</v>
      </c>
      <c r="D4109">
        <v>73.39</v>
      </c>
      <c r="G4109" t="s">
        <v>85</v>
      </c>
      <c r="H4109">
        <v>818419121</v>
      </c>
      <c r="I4109" t="s">
        <v>29</v>
      </c>
      <c r="J4109" t="s">
        <v>29</v>
      </c>
      <c r="K4109" t="str">
        <f>IF(Table3[[#This Row],[Type Received]]=2,"CC",(IF(Table3[[#This Row],[Type Received]]=3,"BILL","ACH")))</f>
        <v>ACH</v>
      </c>
    </row>
    <row r="4110" spans="1:11" x14ac:dyDescent="0.25">
      <c r="B4110" s="3"/>
      <c r="K4110" s="29"/>
    </row>
    <row r="4111" spans="1:11" x14ac:dyDescent="0.25">
      <c r="B4111" s="3"/>
    </row>
    <row r="4112" spans="1:11" x14ac:dyDescent="0.25">
      <c r="B4112" s="3"/>
    </row>
    <row r="4113" spans="2:7" x14ac:dyDescent="0.25">
      <c r="B4113" s="3"/>
    </row>
    <row r="4114" spans="2:7" x14ac:dyDescent="0.25">
      <c r="B4114" s="3"/>
    </row>
    <row r="4115" spans="2:7" x14ac:dyDescent="0.25">
      <c r="B4115" s="3"/>
    </row>
    <row r="4116" spans="2:7" x14ac:dyDescent="0.25">
      <c r="B4116" s="3"/>
    </row>
    <row r="4117" spans="2:7" x14ac:dyDescent="0.25">
      <c r="B4117" s="3"/>
    </row>
    <row r="4118" spans="2:7" x14ac:dyDescent="0.25">
      <c r="B4118" s="3"/>
    </row>
    <row r="4119" spans="2:7" x14ac:dyDescent="0.25">
      <c r="B4119" s="3"/>
    </row>
    <row r="4120" spans="2:7" x14ac:dyDescent="0.25">
      <c r="B4120" s="3"/>
    </row>
    <row r="4121" spans="2:7" x14ac:dyDescent="0.25">
      <c r="B4121" s="3"/>
    </row>
    <row r="4122" spans="2:7" x14ac:dyDescent="0.25">
      <c r="B4122" s="3"/>
    </row>
    <row r="4123" spans="2:7" x14ac:dyDescent="0.25">
      <c r="B4123" s="3"/>
    </row>
    <row r="4124" spans="2:7" x14ac:dyDescent="0.25">
      <c r="B4124" s="3"/>
    </row>
    <row r="4125" spans="2:7" x14ac:dyDescent="0.25">
      <c r="B4125" s="3"/>
      <c r="G4125" s="4"/>
    </row>
    <row r="4126" spans="2:7" x14ac:dyDescent="0.25">
      <c r="B4126" s="3"/>
    </row>
    <row r="4127" spans="2:7" x14ac:dyDescent="0.25">
      <c r="B4127" s="3"/>
    </row>
    <row r="4128" spans="2:7" x14ac:dyDescent="0.25">
      <c r="B4128" s="3"/>
    </row>
    <row r="4129" spans="2:7" x14ac:dyDescent="0.25">
      <c r="B4129" s="3"/>
      <c r="G4129" s="4"/>
    </row>
    <row r="4130" spans="2:7" x14ac:dyDescent="0.25">
      <c r="B4130" s="3"/>
    </row>
    <row r="4131" spans="2:7" x14ac:dyDescent="0.25">
      <c r="B4131" s="3"/>
    </row>
    <row r="4132" spans="2:7" x14ac:dyDescent="0.25">
      <c r="B4132" s="3"/>
    </row>
    <row r="4133" spans="2:7" x14ac:dyDescent="0.25">
      <c r="B4133" s="3"/>
    </row>
    <row r="4134" spans="2:7" x14ac:dyDescent="0.25">
      <c r="B4134" s="3"/>
    </row>
    <row r="4135" spans="2:7" x14ac:dyDescent="0.25">
      <c r="B4135" s="3"/>
    </row>
    <row r="4136" spans="2:7" x14ac:dyDescent="0.25">
      <c r="B4136" s="3"/>
    </row>
    <row r="4137" spans="2:7" x14ac:dyDescent="0.25">
      <c r="B4137" s="3"/>
    </row>
    <row r="4138" spans="2:7" x14ac:dyDescent="0.25">
      <c r="B4138" s="3"/>
    </row>
    <row r="4139" spans="2:7" x14ac:dyDescent="0.25">
      <c r="B4139" s="3"/>
    </row>
    <row r="4140" spans="2:7" x14ac:dyDescent="0.25">
      <c r="B4140" s="3"/>
    </row>
    <row r="4141" spans="2:7" x14ac:dyDescent="0.25">
      <c r="B4141" s="3"/>
    </row>
    <row r="4142" spans="2:7" x14ac:dyDescent="0.25">
      <c r="B4142" s="3"/>
    </row>
    <row r="4143" spans="2:7" x14ac:dyDescent="0.25">
      <c r="B4143" s="3"/>
    </row>
    <row r="4144" spans="2:7" x14ac:dyDescent="0.25">
      <c r="B4144" s="3"/>
    </row>
    <row r="4145" spans="2:7" x14ac:dyDescent="0.25">
      <c r="B4145" s="3"/>
      <c r="G4145" s="4"/>
    </row>
    <row r="4146" spans="2:7" x14ac:dyDescent="0.25">
      <c r="B4146" s="3"/>
    </row>
    <row r="4147" spans="2:7" x14ac:dyDescent="0.25">
      <c r="B4147" s="3"/>
    </row>
    <row r="4148" spans="2:7" x14ac:dyDescent="0.25">
      <c r="B4148" s="3"/>
    </row>
    <row r="4149" spans="2:7" x14ac:dyDescent="0.25">
      <c r="B4149" s="3"/>
    </row>
    <row r="4150" spans="2:7" x14ac:dyDescent="0.25">
      <c r="B4150" s="3"/>
    </row>
    <row r="4151" spans="2:7" x14ac:dyDescent="0.25">
      <c r="B4151" s="3"/>
    </row>
    <row r="4152" spans="2:7" x14ac:dyDescent="0.25">
      <c r="B4152" s="3"/>
    </row>
    <row r="4153" spans="2:7" x14ac:dyDescent="0.25">
      <c r="B4153" s="3"/>
    </row>
    <row r="4154" spans="2:7" x14ac:dyDescent="0.25">
      <c r="B4154" s="3"/>
    </row>
    <row r="4155" spans="2:7" x14ac:dyDescent="0.25">
      <c r="B4155" s="3"/>
    </row>
    <row r="4156" spans="2:7" x14ac:dyDescent="0.25">
      <c r="B4156" s="3"/>
    </row>
    <row r="4157" spans="2:7" x14ac:dyDescent="0.25">
      <c r="B4157" s="3"/>
    </row>
    <row r="4158" spans="2:7" x14ac:dyDescent="0.25">
      <c r="B4158" s="3"/>
    </row>
    <row r="4159" spans="2:7" x14ac:dyDescent="0.25">
      <c r="B4159" s="3"/>
    </row>
    <row r="4160" spans="2:7" x14ac:dyDescent="0.25">
      <c r="B4160" s="3"/>
    </row>
    <row r="4161" spans="2:2" x14ac:dyDescent="0.25">
      <c r="B4161" s="3"/>
    </row>
    <row r="4162" spans="2:2" x14ac:dyDescent="0.25">
      <c r="B4162" s="3"/>
    </row>
    <row r="4163" spans="2:2" x14ac:dyDescent="0.25">
      <c r="B4163" s="3"/>
    </row>
    <row r="4164" spans="2:2" x14ac:dyDescent="0.25">
      <c r="B4164" s="3"/>
    </row>
    <row r="4165" spans="2:2" x14ac:dyDescent="0.25">
      <c r="B4165" s="3"/>
    </row>
    <row r="4166" spans="2:2" x14ac:dyDescent="0.25">
      <c r="B4166" s="3"/>
    </row>
    <row r="4167" spans="2:2" x14ac:dyDescent="0.25">
      <c r="B4167" s="3"/>
    </row>
    <row r="4168" spans="2:2" x14ac:dyDescent="0.25">
      <c r="B4168" s="3"/>
    </row>
    <row r="4169" spans="2:2" x14ac:dyDescent="0.25">
      <c r="B4169" s="3"/>
    </row>
    <row r="4170" spans="2:2" x14ac:dyDescent="0.25">
      <c r="B4170" s="3"/>
    </row>
    <row r="4171" spans="2:2" x14ac:dyDescent="0.25">
      <c r="B4171" s="3"/>
    </row>
    <row r="4172" spans="2:2" x14ac:dyDescent="0.25">
      <c r="B4172" s="3"/>
    </row>
    <row r="4173" spans="2:2" x14ac:dyDescent="0.25">
      <c r="B4173" s="3"/>
    </row>
    <row r="4174" spans="2:2" x14ac:dyDescent="0.25">
      <c r="B4174" s="3"/>
    </row>
    <row r="4175" spans="2:2" x14ac:dyDescent="0.25">
      <c r="B4175" s="3"/>
    </row>
    <row r="4176" spans="2:2" x14ac:dyDescent="0.25">
      <c r="B4176" s="3"/>
    </row>
    <row r="4177" spans="2:7" x14ac:dyDescent="0.25">
      <c r="B4177" s="3"/>
    </row>
    <row r="4178" spans="2:7" x14ac:dyDescent="0.25">
      <c r="B4178" s="3"/>
      <c r="G4178" s="4"/>
    </row>
    <row r="4179" spans="2:7" x14ac:dyDescent="0.25">
      <c r="B4179" s="3"/>
    </row>
    <row r="4180" spans="2:7" x14ac:dyDescent="0.25">
      <c r="B4180" s="3"/>
    </row>
    <row r="4181" spans="2:7" x14ac:dyDescent="0.25">
      <c r="B4181" s="3"/>
      <c r="G4181" s="4"/>
    </row>
    <row r="4182" spans="2:7" x14ac:dyDescent="0.25">
      <c r="B4182" s="3"/>
    </row>
    <row r="4183" spans="2:7" x14ac:dyDescent="0.25">
      <c r="B4183" s="3"/>
    </row>
    <row r="4184" spans="2:7" x14ac:dyDescent="0.25">
      <c r="B4184" s="3"/>
    </row>
    <row r="4185" spans="2:7" x14ac:dyDescent="0.25">
      <c r="B4185" s="3"/>
    </row>
    <row r="4186" spans="2:7" x14ac:dyDescent="0.25">
      <c r="B4186" s="3"/>
    </row>
    <row r="4187" spans="2:7" x14ac:dyDescent="0.25">
      <c r="B4187" s="3"/>
    </row>
    <row r="4188" spans="2:7" x14ac:dyDescent="0.25">
      <c r="B4188" s="3"/>
    </row>
    <row r="4189" spans="2:7" x14ac:dyDescent="0.25">
      <c r="B4189" s="3"/>
    </row>
    <row r="4190" spans="2:7" x14ac:dyDescent="0.25">
      <c r="B4190" s="3"/>
    </row>
    <row r="4191" spans="2:7" x14ac:dyDescent="0.25">
      <c r="B4191" s="3"/>
    </row>
    <row r="4192" spans="2:7" x14ac:dyDescent="0.25">
      <c r="B4192" s="3"/>
    </row>
    <row r="4193" spans="2:7" x14ac:dyDescent="0.25">
      <c r="B4193" s="3"/>
    </row>
    <row r="4194" spans="2:7" x14ac:dyDescent="0.25">
      <c r="B4194" s="3"/>
    </row>
    <row r="4195" spans="2:7" x14ac:dyDescent="0.25">
      <c r="B4195" s="3"/>
    </row>
    <row r="4196" spans="2:7" x14ac:dyDescent="0.25">
      <c r="B4196" s="3"/>
    </row>
    <row r="4197" spans="2:7" x14ac:dyDescent="0.25">
      <c r="B4197" s="3"/>
    </row>
    <row r="4198" spans="2:7" x14ac:dyDescent="0.25">
      <c r="B4198" s="3"/>
      <c r="G4198" s="4"/>
    </row>
    <row r="4199" spans="2:7" x14ac:dyDescent="0.25">
      <c r="B4199" s="3"/>
    </row>
    <row r="4200" spans="2:7" x14ac:dyDescent="0.25">
      <c r="B4200" s="3"/>
    </row>
    <row r="4201" spans="2:7" x14ac:dyDescent="0.25">
      <c r="B4201" s="3"/>
      <c r="G4201" s="4"/>
    </row>
    <row r="4202" spans="2:7" x14ac:dyDescent="0.25">
      <c r="B4202" s="3"/>
    </row>
    <row r="4203" spans="2:7" x14ac:dyDescent="0.25">
      <c r="B4203" s="3"/>
    </row>
    <row r="4204" spans="2:7" x14ac:dyDescent="0.25">
      <c r="B4204" s="3"/>
    </row>
    <row r="4205" spans="2:7" x14ac:dyDescent="0.25">
      <c r="B4205" s="3"/>
      <c r="G4205" s="4"/>
    </row>
    <row r="4206" spans="2:7" x14ac:dyDescent="0.25">
      <c r="B4206" s="3"/>
    </row>
    <row r="4207" spans="2:7" x14ac:dyDescent="0.25">
      <c r="B4207" s="3"/>
    </row>
    <row r="4208" spans="2:7" x14ac:dyDescent="0.25">
      <c r="B4208" s="3"/>
      <c r="G4208" s="4"/>
    </row>
    <row r="4209" spans="2:7" x14ac:dyDescent="0.25">
      <c r="B4209" s="3"/>
    </row>
    <row r="4210" spans="2:7" x14ac:dyDescent="0.25">
      <c r="B4210" s="3"/>
    </row>
    <row r="4211" spans="2:7" x14ac:dyDescent="0.25">
      <c r="B4211" s="3"/>
    </row>
    <row r="4212" spans="2:7" x14ac:dyDescent="0.25">
      <c r="B4212" s="3"/>
    </row>
    <row r="4213" spans="2:7" x14ac:dyDescent="0.25">
      <c r="B4213" s="3"/>
    </row>
    <row r="4214" spans="2:7" x14ac:dyDescent="0.25">
      <c r="B4214" s="3"/>
    </row>
    <row r="4215" spans="2:7" x14ac:dyDescent="0.25">
      <c r="B4215" s="3"/>
    </row>
    <row r="4216" spans="2:7" x14ac:dyDescent="0.25">
      <c r="B4216" s="3"/>
    </row>
    <row r="4217" spans="2:7" x14ac:dyDescent="0.25">
      <c r="B4217" s="3"/>
    </row>
    <row r="4218" spans="2:7" x14ac:dyDescent="0.25">
      <c r="B4218" s="3"/>
    </row>
    <row r="4219" spans="2:7" x14ac:dyDescent="0.25">
      <c r="B4219" s="3"/>
    </row>
    <row r="4220" spans="2:7" x14ac:dyDescent="0.25">
      <c r="B4220" s="3"/>
    </row>
    <row r="4221" spans="2:7" x14ac:dyDescent="0.25">
      <c r="B4221" s="3"/>
      <c r="G4221" s="4"/>
    </row>
    <row r="4222" spans="2:7" x14ac:dyDescent="0.25">
      <c r="B4222" s="3"/>
      <c r="G4222" s="4"/>
    </row>
    <row r="4223" spans="2:7" x14ac:dyDescent="0.25">
      <c r="B4223" s="3"/>
    </row>
    <row r="4224" spans="2:7" x14ac:dyDescent="0.25">
      <c r="B4224" s="3"/>
    </row>
    <row r="4225" spans="2:7" x14ac:dyDescent="0.25">
      <c r="B4225" s="3"/>
    </row>
    <row r="4226" spans="2:7" x14ac:dyDescent="0.25">
      <c r="B4226" s="3"/>
    </row>
    <row r="4227" spans="2:7" x14ac:dyDescent="0.25">
      <c r="B4227" s="3"/>
    </row>
    <row r="4228" spans="2:7" x14ac:dyDescent="0.25">
      <c r="B4228" s="3"/>
    </row>
    <row r="4229" spans="2:7" x14ac:dyDescent="0.25">
      <c r="B4229" s="3"/>
      <c r="G4229" s="4"/>
    </row>
    <row r="4230" spans="2:7" x14ac:dyDescent="0.25">
      <c r="B4230" s="3"/>
    </row>
    <row r="4231" spans="2:7" x14ac:dyDescent="0.25">
      <c r="B4231" s="3"/>
    </row>
    <row r="4232" spans="2:7" x14ac:dyDescent="0.25">
      <c r="B4232" s="3"/>
    </row>
    <row r="4233" spans="2:7" x14ac:dyDescent="0.25">
      <c r="B4233" s="3"/>
      <c r="G4233" s="4"/>
    </row>
    <row r="4234" spans="2:7" x14ac:dyDescent="0.25">
      <c r="B4234" s="3"/>
    </row>
    <row r="4235" spans="2:7" x14ac:dyDescent="0.25">
      <c r="B4235" s="3"/>
    </row>
    <row r="4236" spans="2:7" x14ac:dyDescent="0.25">
      <c r="B4236" s="3"/>
    </row>
    <row r="4237" spans="2:7" x14ac:dyDescent="0.25">
      <c r="B4237" s="3"/>
    </row>
    <row r="4238" spans="2:7" x14ac:dyDescent="0.25">
      <c r="B4238" s="3"/>
    </row>
    <row r="4239" spans="2:7" x14ac:dyDescent="0.25">
      <c r="B4239" s="3"/>
    </row>
    <row r="4240" spans="2:7" x14ac:dyDescent="0.25">
      <c r="B4240" s="3"/>
    </row>
    <row r="4241" spans="2:7" x14ac:dyDescent="0.25">
      <c r="B4241" s="3"/>
    </row>
    <row r="4242" spans="2:7" x14ac:dyDescent="0.25">
      <c r="B4242" s="3"/>
    </row>
    <row r="4243" spans="2:7" x14ac:dyDescent="0.25">
      <c r="B4243" s="3"/>
    </row>
    <row r="4244" spans="2:7" x14ac:dyDescent="0.25">
      <c r="B4244" s="3"/>
      <c r="G4244" s="4"/>
    </row>
    <row r="4245" spans="2:7" x14ac:dyDescent="0.25">
      <c r="B4245" s="3"/>
    </row>
    <row r="4246" spans="2:7" x14ac:dyDescent="0.25">
      <c r="B4246" s="3"/>
    </row>
    <row r="4247" spans="2:7" x14ac:dyDescent="0.25">
      <c r="B4247" s="3"/>
    </row>
    <row r="4248" spans="2:7" x14ac:dyDescent="0.25">
      <c r="B4248" s="3"/>
    </row>
    <row r="4249" spans="2:7" x14ac:dyDescent="0.25">
      <c r="B4249" s="3"/>
    </row>
    <row r="4250" spans="2:7" x14ac:dyDescent="0.25">
      <c r="B4250" s="3"/>
    </row>
    <row r="4251" spans="2:7" x14ac:dyDescent="0.25">
      <c r="B4251" s="3"/>
    </row>
    <row r="4252" spans="2:7" x14ac:dyDescent="0.25">
      <c r="B4252" s="3"/>
    </row>
    <row r="4253" spans="2:7" x14ac:dyDescent="0.25">
      <c r="B4253" s="3"/>
    </row>
    <row r="4254" spans="2:7" x14ac:dyDescent="0.25">
      <c r="B4254" s="3"/>
    </row>
    <row r="4255" spans="2:7" x14ac:dyDescent="0.25">
      <c r="B4255" s="3"/>
    </row>
    <row r="4256" spans="2:7" x14ac:dyDescent="0.25">
      <c r="B4256" s="3"/>
    </row>
    <row r="4257" spans="2:7" x14ac:dyDescent="0.25">
      <c r="B4257" s="3"/>
    </row>
    <row r="4258" spans="2:7" x14ac:dyDescent="0.25">
      <c r="B4258" s="3"/>
    </row>
    <row r="4259" spans="2:7" x14ac:dyDescent="0.25">
      <c r="B4259" s="3"/>
    </row>
    <row r="4260" spans="2:7" x14ac:dyDescent="0.25">
      <c r="B4260" s="3"/>
    </row>
    <row r="4261" spans="2:7" x14ac:dyDescent="0.25">
      <c r="B4261" s="3"/>
    </row>
    <row r="4262" spans="2:7" x14ac:dyDescent="0.25">
      <c r="B4262" s="3"/>
      <c r="G4262" s="4"/>
    </row>
    <row r="4263" spans="2:7" x14ac:dyDescent="0.25">
      <c r="B4263" s="3"/>
    </row>
    <row r="4264" spans="2:7" x14ac:dyDescent="0.25">
      <c r="B4264" s="3"/>
    </row>
    <row r="4265" spans="2:7" x14ac:dyDescent="0.25">
      <c r="B4265" s="3"/>
    </row>
    <row r="4266" spans="2:7" x14ac:dyDescent="0.25">
      <c r="B4266" s="3"/>
    </row>
    <row r="4267" spans="2:7" x14ac:dyDescent="0.25">
      <c r="B4267" s="3"/>
    </row>
    <row r="4268" spans="2:7" x14ac:dyDescent="0.25">
      <c r="B4268" s="3"/>
    </row>
    <row r="4269" spans="2:7" x14ac:dyDescent="0.25">
      <c r="B4269" s="3"/>
    </row>
    <row r="4270" spans="2:7" x14ac:dyDescent="0.25">
      <c r="B4270" s="3"/>
    </row>
    <row r="4271" spans="2:7" x14ac:dyDescent="0.25">
      <c r="B4271" s="3"/>
    </row>
    <row r="4272" spans="2:7" x14ac:dyDescent="0.25">
      <c r="B4272" s="3"/>
    </row>
    <row r="4273" spans="2:7" x14ac:dyDescent="0.25">
      <c r="B4273" s="3"/>
    </row>
    <row r="4274" spans="2:7" x14ac:dyDescent="0.25">
      <c r="B4274" s="3"/>
    </row>
    <row r="4275" spans="2:7" x14ac:dyDescent="0.25">
      <c r="B4275" s="3"/>
    </row>
    <row r="4276" spans="2:7" x14ac:dyDescent="0.25">
      <c r="B4276" s="3"/>
      <c r="G4276" s="4"/>
    </row>
    <row r="4277" spans="2:7" x14ac:dyDescent="0.25">
      <c r="B4277" s="3"/>
    </row>
    <row r="4278" spans="2:7" x14ac:dyDescent="0.25">
      <c r="B4278" s="3"/>
      <c r="G4278" s="4"/>
    </row>
    <row r="4279" spans="2:7" x14ac:dyDescent="0.25">
      <c r="B4279" s="3"/>
    </row>
    <row r="4280" spans="2:7" x14ac:dyDescent="0.25">
      <c r="B4280" s="3"/>
    </row>
    <row r="4281" spans="2:7" x14ac:dyDescent="0.25">
      <c r="B4281" s="3"/>
    </row>
    <row r="4282" spans="2:7" x14ac:dyDescent="0.25">
      <c r="B4282" s="3"/>
    </row>
    <row r="4283" spans="2:7" x14ac:dyDescent="0.25">
      <c r="B4283" s="3"/>
    </row>
    <row r="4284" spans="2:7" x14ac:dyDescent="0.25">
      <c r="B4284" s="3"/>
    </row>
    <row r="4285" spans="2:7" x14ac:dyDescent="0.25">
      <c r="B4285" s="3"/>
    </row>
    <row r="4286" spans="2:7" x14ac:dyDescent="0.25">
      <c r="B4286" s="3"/>
    </row>
    <row r="4287" spans="2:7" x14ac:dyDescent="0.25">
      <c r="B4287" s="3"/>
    </row>
    <row r="4288" spans="2:7" x14ac:dyDescent="0.25">
      <c r="B4288" s="3"/>
    </row>
    <row r="4289" spans="2:7" x14ac:dyDescent="0.25">
      <c r="B4289" s="3"/>
      <c r="G4289" s="4"/>
    </row>
    <row r="4290" spans="2:7" x14ac:dyDescent="0.25">
      <c r="B4290" s="3"/>
    </row>
    <row r="4291" spans="2:7" x14ac:dyDescent="0.25">
      <c r="B4291" s="3"/>
    </row>
    <row r="4292" spans="2:7" x14ac:dyDescent="0.25">
      <c r="B4292" s="3"/>
    </row>
    <row r="4293" spans="2:7" x14ac:dyDescent="0.25">
      <c r="B4293" s="3"/>
    </row>
    <row r="4294" spans="2:7" x14ac:dyDescent="0.25">
      <c r="B4294" s="3"/>
    </row>
    <row r="4295" spans="2:7" x14ac:dyDescent="0.25">
      <c r="B4295" s="3"/>
    </row>
    <row r="4296" spans="2:7" x14ac:dyDescent="0.25">
      <c r="B4296" s="3"/>
    </row>
    <row r="4297" spans="2:7" x14ac:dyDescent="0.25">
      <c r="B4297" s="3"/>
    </row>
    <row r="4298" spans="2:7" x14ac:dyDescent="0.25">
      <c r="B4298" s="3"/>
    </row>
    <row r="4299" spans="2:7" x14ac:dyDescent="0.25">
      <c r="B4299" s="3"/>
    </row>
    <row r="4300" spans="2:7" x14ac:dyDescent="0.25">
      <c r="B4300" s="3"/>
    </row>
    <row r="4301" spans="2:7" x14ac:dyDescent="0.25">
      <c r="B4301" s="3"/>
    </row>
    <row r="4302" spans="2:7" x14ac:dyDescent="0.25">
      <c r="B4302" s="3"/>
    </row>
    <row r="4303" spans="2:7" x14ac:dyDescent="0.25">
      <c r="B4303" s="3"/>
    </row>
    <row r="4304" spans="2:7" x14ac:dyDescent="0.25">
      <c r="B4304" s="3"/>
    </row>
    <row r="4305" spans="2:7" x14ac:dyDescent="0.25">
      <c r="B4305" s="3"/>
    </row>
    <row r="4306" spans="2:7" x14ac:dyDescent="0.25">
      <c r="B4306" s="3"/>
    </row>
    <row r="4307" spans="2:7" x14ac:dyDescent="0.25">
      <c r="B4307" s="3"/>
    </row>
    <row r="4308" spans="2:7" x14ac:dyDescent="0.25">
      <c r="B4308" s="3"/>
    </row>
    <row r="4309" spans="2:7" x14ac:dyDescent="0.25">
      <c r="B4309" s="3"/>
    </row>
    <row r="4310" spans="2:7" x14ac:dyDescent="0.25">
      <c r="B4310" s="3"/>
    </row>
    <row r="4311" spans="2:7" x14ac:dyDescent="0.25">
      <c r="B4311" s="3"/>
    </row>
    <row r="4312" spans="2:7" x14ac:dyDescent="0.25">
      <c r="B4312" s="3"/>
      <c r="G4312" s="4"/>
    </row>
    <row r="4313" spans="2:7" x14ac:dyDescent="0.25">
      <c r="B4313" s="3"/>
    </row>
    <row r="4314" spans="2:7" x14ac:dyDescent="0.25">
      <c r="B4314" s="3"/>
    </row>
    <row r="4315" spans="2:7" x14ac:dyDescent="0.25">
      <c r="B4315" s="3"/>
    </row>
    <row r="4316" spans="2:7" x14ac:dyDescent="0.25">
      <c r="B4316" s="3"/>
    </row>
    <row r="4317" spans="2:7" x14ac:dyDescent="0.25">
      <c r="B4317" s="3"/>
      <c r="G4317" s="4"/>
    </row>
    <row r="4318" spans="2:7" x14ac:dyDescent="0.25">
      <c r="B4318" s="3"/>
    </row>
    <row r="4319" spans="2:7" x14ac:dyDescent="0.25">
      <c r="B4319" s="3"/>
    </row>
    <row r="4320" spans="2:7" x14ac:dyDescent="0.25">
      <c r="B4320" s="3"/>
      <c r="G4320" s="4"/>
    </row>
    <row r="4321" spans="2:7" x14ac:dyDescent="0.25">
      <c r="B4321" s="3"/>
    </row>
    <row r="4322" spans="2:7" x14ac:dyDescent="0.25">
      <c r="B4322" s="3"/>
    </row>
    <row r="4323" spans="2:7" x14ac:dyDescent="0.25">
      <c r="B4323" s="3"/>
    </row>
    <row r="4324" spans="2:7" x14ac:dyDescent="0.25">
      <c r="B4324" s="3"/>
    </row>
    <row r="4325" spans="2:7" x14ac:dyDescent="0.25">
      <c r="B4325" s="3"/>
    </row>
    <row r="4326" spans="2:7" x14ac:dyDescent="0.25">
      <c r="B4326" s="3"/>
    </row>
    <row r="4327" spans="2:7" x14ac:dyDescent="0.25">
      <c r="B4327" s="3"/>
    </row>
    <row r="4328" spans="2:7" x14ac:dyDescent="0.25">
      <c r="B4328" s="3"/>
    </row>
    <row r="4329" spans="2:7" x14ac:dyDescent="0.25">
      <c r="B4329" s="3"/>
    </row>
    <row r="4330" spans="2:7" x14ac:dyDescent="0.25">
      <c r="B4330" s="3"/>
    </row>
    <row r="4331" spans="2:7" x14ac:dyDescent="0.25">
      <c r="B4331" s="3"/>
    </row>
    <row r="4332" spans="2:7" x14ac:dyDescent="0.25">
      <c r="B4332" s="3"/>
    </row>
    <row r="4333" spans="2:7" x14ac:dyDescent="0.25">
      <c r="B4333" s="3"/>
    </row>
    <row r="4334" spans="2:7" x14ac:dyDescent="0.25">
      <c r="B4334" s="3"/>
    </row>
    <row r="4335" spans="2:7" x14ac:dyDescent="0.25">
      <c r="B4335" s="3"/>
    </row>
    <row r="4336" spans="2:7" x14ac:dyDescent="0.25">
      <c r="B4336" s="3"/>
      <c r="G4336" s="4"/>
    </row>
    <row r="4337" spans="2:7" x14ac:dyDescent="0.25">
      <c r="B4337" s="3"/>
    </row>
    <row r="4338" spans="2:7" x14ac:dyDescent="0.25">
      <c r="B4338" s="3"/>
    </row>
    <row r="4339" spans="2:7" x14ac:dyDescent="0.25">
      <c r="B4339" s="3"/>
      <c r="G4339" s="4"/>
    </row>
    <row r="4340" spans="2:7" x14ac:dyDescent="0.25">
      <c r="B4340" s="3"/>
    </row>
    <row r="4341" spans="2:7" x14ac:dyDescent="0.25">
      <c r="B4341" s="3"/>
    </row>
    <row r="4342" spans="2:7" x14ac:dyDescent="0.25">
      <c r="B4342" s="3"/>
    </row>
    <row r="4343" spans="2:7" x14ac:dyDescent="0.25">
      <c r="B4343" s="3"/>
    </row>
    <row r="4344" spans="2:7" x14ac:dyDescent="0.25">
      <c r="B4344" s="3"/>
    </row>
    <row r="4345" spans="2:7" x14ac:dyDescent="0.25">
      <c r="B4345" s="3"/>
      <c r="G4345" s="4"/>
    </row>
    <row r="4346" spans="2:7" x14ac:dyDescent="0.25">
      <c r="B4346" s="3"/>
    </row>
    <row r="4347" spans="2:7" x14ac:dyDescent="0.25">
      <c r="B4347" s="3"/>
      <c r="G4347" s="4"/>
    </row>
    <row r="4348" spans="2:7" x14ac:dyDescent="0.25">
      <c r="B4348" s="3"/>
    </row>
    <row r="4349" spans="2:7" x14ac:dyDescent="0.25">
      <c r="B4349" s="3"/>
    </row>
    <row r="4350" spans="2:7" x14ac:dyDescent="0.25">
      <c r="B4350" s="3"/>
    </row>
    <row r="4351" spans="2:7" x14ac:dyDescent="0.25">
      <c r="B4351" s="3"/>
    </row>
    <row r="4352" spans="2:7" x14ac:dyDescent="0.25">
      <c r="B4352" s="3"/>
    </row>
    <row r="4353" spans="2:7" x14ac:dyDescent="0.25">
      <c r="B4353" s="3"/>
    </row>
    <row r="4354" spans="2:7" x14ac:dyDescent="0.25">
      <c r="B4354" s="3"/>
    </row>
    <row r="4355" spans="2:7" x14ac:dyDescent="0.25">
      <c r="B4355" s="3"/>
    </row>
    <row r="4356" spans="2:7" x14ac:dyDescent="0.25">
      <c r="B4356" s="3"/>
    </row>
    <row r="4357" spans="2:7" x14ac:dyDescent="0.25">
      <c r="B4357" s="3"/>
    </row>
    <row r="4358" spans="2:7" x14ac:dyDescent="0.25">
      <c r="B4358" s="3"/>
    </row>
    <row r="4359" spans="2:7" x14ac:dyDescent="0.25">
      <c r="B4359" s="3"/>
    </row>
    <row r="4360" spans="2:7" x14ac:dyDescent="0.25">
      <c r="B4360" s="3"/>
    </row>
    <row r="4361" spans="2:7" x14ac:dyDescent="0.25">
      <c r="B4361" s="3"/>
      <c r="G4361" s="4"/>
    </row>
    <row r="4362" spans="2:7" x14ac:dyDescent="0.25">
      <c r="B4362" s="3"/>
    </row>
    <row r="4363" spans="2:7" x14ac:dyDescent="0.25">
      <c r="B4363" s="3"/>
    </row>
    <row r="4364" spans="2:7" x14ac:dyDescent="0.25">
      <c r="B4364" s="3"/>
    </row>
    <row r="4365" spans="2:7" x14ac:dyDescent="0.25">
      <c r="B4365" s="3"/>
    </row>
    <row r="4366" spans="2:7" x14ac:dyDescent="0.25">
      <c r="B4366" s="3"/>
    </row>
    <row r="4367" spans="2:7" x14ac:dyDescent="0.25">
      <c r="B4367" s="3"/>
    </row>
    <row r="4368" spans="2:7" x14ac:dyDescent="0.25">
      <c r="B4368" s="3"/>
    </row>
    <row r="4369" spans="2:7" x14ac:dyDescent="0.25">
      <c r="B4369" s="3"/>
    </row>
    <row r="4370" spans="2:7" x14ac:dyDescent="0.25">
      <c r="B4370" s="3"/>
    </row>
    <row r="4371" spans="2:7" x14ac:dyDescent="0.25">
      <c r="B4371" s="3"/>
    </row>
    <row r="4372" spans="2:7" x14ac:dyDescent="0.25">
      <c r="B4372" s="3"/>
    </row>
    <row r="4373" spans="2:7" x14ac:dyDescent="0.25">
      <c r="B4373" s="3"/>
    </row>
    <row r="4374" spans="2:7" x14ac:dyDescent="0.25">
      <c r="B4374" s="3"/>
      <c r="G4374" s="4"/>
    </row>
    <row r="4375" spans="2:7" x14ac:dyDescent="0.25">
      <c r="B4375" s="3"/>
    </row>
    <row r="4376" spans="2:7" x14ac:dyDescent="0.25">
      <c r="B4376" s="3"/>
    </row>
    <row r="4377" spans="2:7" x14ac:dyDescent="0.25">
      <c r="B4377" s="3"/>
    </row>
    <row r="4378" spans="2:7" x14ac:dyDescent="0.25">
      <c r="B4378" s="3"/>
      <c r="G4378" s="4"/>
    </row>
    <row r="4379" spans="2:7" x14ac:dyDescent="0.25">
      <c r="B4379" s="3"/>
      <c r="G4379" s="4"/>
    </row>
    <row r="4380" spans="2:7" x14ac:dyDescent="0.25">
      <c r="B4380" s="3"/>
    </row>
    <row r="4381" spans="2:7" x14ac:dyDescent="0.25">
      <c r="B4381" s="3"/>
      <c r="G4381" s="4"/>
    </row>
    <row r="4382" spans="2:7" x14ac:dyDescent="0.25">
      <c r="B4382" s="3"/>
    </row>
    <row r="4383" spans="2:7" x14ac:dyDescent="0.25">
      <c r="B4383" s="3"/>
    </row>
    <row r="4384" spans="2:7" x14ac:dyDescent="0.25">
      <c r="B4384" s="3"/>
    </row>
    <row r="4385" spans="2:7" x14ac:dyDescent="0.25">
      <c r="B4385" s="3"/>
    </row>
    <row r="4386" spans="2:7" x14ac:dyDescent="0.25">
      <c r="B4386" s="3"/>
    </row>
    <row r="4387" spans="2:7" x14ac:dyDescent="0.25">
      <c r="B4387" s="3"/>
    </row>
    <row r="4388" spans="2:7" x14ac:dyDescent="0.25">
      <c r="B4388" s="3"/>
    </row>
    <row r="4389" spans="2:7" x14ac:dyDescent="0.25">
      <c r="B4389" s="3"/>
    </row>
    <row r="4390" spans="2:7" x14ac:dyDescent="0.25">
      <c r="B4390" s="3"/>
    </row>
    <row r="4391" spans="2:7" x14ac:dyDescent="0.25">
      <c r="B4391" s="3"/>
    </row>
    <row r="4392" spans="2:7" x14ac:dyDescent="0.25">
      <c r="B4392" s="3"/>
    </row>
    <row r="4393" spans="2:7" x14ac:dyDescent="0.25">
      <c r="B4393" s="3"/>
      <c r="G4393" s="4"/>
    </row>
    <row r="4394" spans="2:7" x14ac:dyDescent="0.25">
      <c r="B4394" s="3"/>
    </row>
    <row r="4395" spans="2:7" x14ac:dyDescent="0.25">
      <c r="B4395" s="3"/>
    </row>
    <row r="4396" spans="2:7" x14ac:dyDescent="0.25">
      <c r="B4396" s="3"/>
    </row>
    <row r="4397" spans="2:7" x14ac:dyDescent="0.25">
      <c r="B4397" s="3"/>
    </row>
    <row r="4398" spans="2:7" x14ac:dyDescent="0.25">
      <c r="B4398" s="3"/>
    </row>
    <row r="4399" spans="2:7" x14ac:dyDescent="0.25">
      <c r="B4399" s="3"/>
    </row>
    <row r="4400" spans="2:7" x14ac:dyDescent="0.25">
      <c r="B4400" s="3"/>
    </row>
    <row r="4401" spans="2:7" x14ac:dyDescent="0.25">
      <c r="B4401" s="3"/>
    </row>
    <row r="4402" spans="2:7" x14ac:dyDescent="0.25">
      <c r="B4402" s="3"/>
    </row>
    <row r="4403" spans="2:7" x14ac:dyDescent="0.25">
      <c r="B4403" s="3"/>
    </row>
    <row r="4404" spans="2:7" x14ac:dyDescent="0.25">
      <c r="B4404" s="3"/>
      <c r="G4404" s="6"/>
    </row>
    <row r="4405" spans="2:7" x14ac:dyDescent="0.25">
      <c r="B4405" s="3"/>
    </row>
    <row r="4406" spans="2:7" x14ac:dyDescent="0.25">
      <c r="B4406" s="3"/>
      <c r="G4406" s="4"/>
    </row>
    <row r="4407" spans="2:7" x14ac:dyDescent="0.25">
      <c r="B4407" s="3"/>
    </row>
    <row r="4408" spans="2:7" x14ac:dyDescent="0.25">
      <c r="B4408" s="3"/>
    </row>
    <row r="4409" spans="2:7" x14ac:dyDescent="0.25">
      <c r="B4409" s="3"/>
    </row>
    <row r="4410" spans="2:7" x14ac:dyDescent="0.25">
      <c r="B4410" s="3"/>
    </row>
    <row r="4411" spans="2:7" x14ac:dyDescent="0.25">
      <c r="B4411" s="3"/>
      <c r="G4411" s="4"/>
    </row>
    <row r="4412" spans="2:7" x14ac:dyDescent="0.25">
      <c r="B4412" s="3"/>
    </row>
    <row r="4413" spans="2:7" x14ac:dyDescent="0.25">
      <c r="B4413" s="3"/>
      <c r="G4413" s="4"/>
    </row>
    <row r="4414" spans="2:7" x14ac:dyDescent="0.25">
      <c r="B4414" s="3"/>
    </row>
    <row r="4415" spans="2:7" x14ac:dyDescent="0.25">
      <c r="B4415" s="3"/>
    </row>
    <row r="4416" spans="2:7" x14ac:dyDescent="0.25">
      <c r="B4416" s="3"/>
    </row>
    <row r="4417" spans="2:7" x14ac:dyDescent="0.25">
      <c r="B4417" s="3"/>
    </row>
    <row r="4418" spans="2:7" x14ac:dyDescent="0.25">
      <c r="B4418" s="3"/>
      <c r="G4418" s="4"/>
    </row>
    <row r="4419" spans="2:7" x14ac:dyDescent="0.25">
      <c r="B4419" s="3"/>
    </row>
    <row r="4420" spans="2:7" x14ac:dyDescent="0.25">
      <c r="B4420" s="3"/>
    </row>
    <row r="4421" spans="2:7" x14ac:dyDescent="0.25">
      <c r="B4421" s="3"/>
    </row>
    <row r="4422" spans="2:7" x14ac:dyDescent="0.25">
      <c r="B4422" s="3"/>
      <c r="G4422" s="4"/>
    </row>
    <row r="4423" spans="2:7" x14ac:dyDescent="0.25">
      <c r="B4423" s="3"/>
    </row>
    <row r="4424" spans="2:7" x14ac:dyDescent="0.25">
      <c r="B4424" s="3"/>
    </row>
    <row r="4425" spans="2:7" x14ac:dyDescent="0.25">
      <c r="B4425" s="3"/>
    </row>
    <row r="4426" spans="2:7" x14ac:dyDescent="0.25">
      <c r="B4426" s="3"/>
    </row>
    <row r="4427" spans="2:7" x14ac:dyDescent="0.25">
      <c r="B4427" s="3"/>
    </row>
    <row r="4428" spans="2:7" x14ac:dyDescent="0.25">
      <c r="B4428" s="3"/>
    </row>
    <row r="4429" spans="2:7" x14ac:dyDescent="0.25">
      <c r="B4429" s="3"/>
    </row>
    <row r="4430" spans="2:7" x14ac:dyDescent="0.25">
      <c r="B4430" s="3"/>
    </row>
    <row r="4431" spans="2:7" x14ac:dyDescent="0.25">
      <c r="B4431" s="3"/>
      <c r="G4431" s="4"/>
    </row>
    <row r="4432" spans="2:7" x14ac:dyDescent="0.25">
      <c r="B4432" s="3"/>
    </row>
    <row r="4433" spans="2:7" x14ac:dyDescent="0.25">
      <c r="B4433" s="3"/>
    </row>
    <row r="4434" spans="2:7" x14ac:dyDescent="0.25">
      <c r="B4434" s="3"/>
    </row>
    <row r="4435" spans="2:7" x14ac:dyDescent="0.25">
      <c r="B4435" s="3"/>
    </row>
    <row r="4436" spans="2:7" x14ac:dyDescent="0.25">
      <c r="B4436" s="3"/>
    </row>
    <row r="4437" spans="2:7" x14ac:dyDescent="0.25">
      <c r="B4437" s="3"/>
      <c r="G4437" s="4"/>
    </row>
    <row r="4438" spans="2:7" x14ac:dyDescent="0.25">
      <c r="B4438" s="3"/>
    </row>
    <row r="4439" spans="2:7" x14ac:dyDescent="0.25">
      <c r="B4439" s="3"/>
    </row>
    <row r="4440" spans="2:7" x14ac:dyDescent="0.25">
      <c r="B4440" s="3"/>
    </row>
    <row r="4441" spans="2:7" x14ac:dyDescent="0.25">
      <c r="B4441" s="3"/>
    </row>
    <row r="4442" spans="2:7" x14ac:dyDescent="0.25">
      <c r="B4442" s="3"/>
    </row>
    <row r="4443" spans="2:7" x14ac:dyDescent="0.25">
      <c r="B4443" s="3"/>
    </row>
    <row r="4444" spans="2:7" x14ac:dyDescent="0.25">
      <c r="B4444" s="3"/>
    </row>
    <row r="4445" spans="2:7" x14ac:dyDescent="0.25">
      <c r="B4445" s="3"/>
    </row>
    <row r="4446" spans="2:7" x14ac:dyDescent="0.25">
      <c r="B4446" s="3"/>
    </row>
    <row r="4447" spans="2:7" x14ac:dyDescent="0.25">
      <c r="B4447" s="3"/>
    </row>
    <row r="4448" spans="2:7" x14ac:dyDescent="0.25">
      <c r="B4448" s="3"/>
    </row>
    <row r="4449" spans="2:7" x14ac:dyDescent="0.25">
      <c r="B4449" s="3"/>
      <c r="G4449" s="4"/>
    </row>
    <row r="4450" spans="2:7" x14ac:dyDescent="0.25">
      <c r="B4450" s="3"/>
    </row>
    <row r="4451" spans="2:7" x14ac:dyDescent="0.25">
      <c r="B4451" s="3"/>
    </row>
    <row r="4452" spans="2:7" x14ac:dyDescent="0.25">
      <c r="B4452" s="3"/>
    </row>
    <row r="4453" spans="2:7" x14ac:dyDescent="0.25">
      <c r="B4453" s="3"/>
    </row>
    <row r="4454" spans="2:7" x14ac:dyDescent="0.25">
      <c r="B4454" s="3"/>
    </row>
    <row r="4455" spans="2:7" x14ac:dyDescent="0.25">
      <c r="B4455" s="3"/>
    </row>
    <row r="4456" spans="2:7" x14ac:dyDescent="0.25">
      <c r="B4456" s="3"/>
    </row>
    <row r="4457" spans="2:7" x14ac:dyDescent="0.25">
      <c r="B4457" s="3"/>
    </row>
    <row r="4458" spans="2:7" x14ac:dyDescent="0.25">
      <c r="B4458" s="3"/>
    </row>
    <row r="4459" spans="2:7" x14ac:dyDescent="0.25">
      <c r="B4459" s="3"/>
    </row>
    <row r="4460" spans="2:7" x14ac:dyDescent="0.25">
      <c r="B4460" s="3"/>
    </row>
    <row r="4461" spans="2:7" x14ac:dyDescent="0.25">
      <c r="B4461" s="3"/>
      <c r="G4461" s="4"/>
    </row>
    <row r="4462" spans="2:7" x14ac:dyDescent="0.25">
      <c r="B4462" s="3"/>
    </row>
    <row r="4463" spans="2:7" x14ac:dyDescent="0.25">
      <c r="B4463" s="3"/>
      <c r="G4463" s="4"/>
    </row>
    <row r="4464" spans="2:7" x14ac:dyDescent="0.25">
      <c r="B4464" s="3"/>
    </row>
    <row r="4465" spans="2:7" x14ac:dyDescent="0.25">
      <c r="B4465" s="3"/>
    </row>
    <row r="4466" spans="2:7" x14ac:dyDescent="0.25">
      <c r="B4466" s="3"/>
    </row>
    <row r="4467" spans="2:7" x14ac:dyDescent="0.25">
      <c r="B4467" s="3"/>
      <c r="F4467" s="6"/>
    </row>
    <row r="4468" spans="2:7" x14ac:dyDescent="0.25">
      <c r="B4468" s="3"/>
      <c r="G4468" s="4"/>
    </row>
    <row r="4469" spans="2:7" x14ac:dyDescent="0.25">
      <c r="B4469" s="3"/>
    </row>
    <row r="4470" spans="2:7" x14ac:dyDescent="0.25">
      <c r="B4470" s="3"/>
    </row>
    <row r="4471" spans="2:7" x14ac:dyDescent="0.25">
      <c r="B4471" s="3"/>
    </row>
    <row r="4472" spans="2:7" x14ac:dyDescent="0.25">
      <c r="B4472" s="3"/>
    </row>
    <row r="4473" spans="2:7" x14ac:dyDescent="0.25">
      <c r="B4473" s="3"/>
    </row>
    <row r="4474" spans="2:7" x14ac:dyDescent="0.25">
      <c r="B4474" s="3"/>
    </row>
    <row r="4475" spans="2:7" x14ac:dyDescent="0.25">
      <c r="B4475" s="3"/>
    </row>
    <row r="4476" spans="2:7" x14ac:dyDescent="0.25">
      <c r="B4476" s="3"/>
    </row>
    <row r="4477" spans="2:7" x14ac:dyDescent="0.25">
      <c r="B4477" s="3"/>
    </row>
    <row r="4478" spans="2:7" x14ac:dyDescent="0.25">
      <c r="B4478" s="3"/>
    </row>
    <row r="4479" spans="2:7" x14ac:dyDescent="0.25">
      <c r="B4479" s="3"/>
    </row>
    <row r="4480" spans="2:7" x14ac:dyDescent="0.25">
      <c r="B4480" s="3"/>
    </row>
    <row r="4481" spans="2:7" x14ac:dyDescent="0.25">
      <c r="B4481" s="3"/>
    </row>
    <row r="4482" spans="2:7" x14ac:dyDescent="0.25">
      <c r="B4482" s="3"/>
    </row>
    <row r="4483" spans="2:7" x14ac:dyDescent="0.25">
      <c r="B4483" s="3"/>
      <c r="G4483" s="4"/>
    </row>
    <row r="4484" spans="2:7" x14ac:dyDescent="0.25">
      <c r="B4484" s="3"/>
    </row>
    <row r="4485" spans="2:7" x14ac:dyDescent="0.25">
      <c r="B4485" s="3"/>
      <c r="G4485" s="4"/>
    </row>
    <row r="4486" spans="2:7" x14ac:dyDescent="0.25">
      <c r="B4486" s="3"/>
    </row>
    <row r="4487" spans="2:7" x14ac:dyDescent="0.25">
      <c r="B4487" s="3"/>
    </row>
    <row r="4488" spans="2:7" x14ac:dyDescent="0.25">
      <c r="B4488" s="3"/>
    </row>
    <row r="4489" spans="2:7" x14ac:dyDescent="0.25">
      <c r="B4489" s="3"/>
    </row>
    <row r="4490" spans="2:7" x14ac:dyDescent="0.25">
      <c r="B4490" s="3"/>
    </row>
    <row r="4491" spans="2:7" x14ac:dyDescent="0.25">
      <c r="B4491" s="3"/>
    </row>
    <row r="4492" spans="2:7" x14ac:dyDescent="0.25">
      <c r="B4492" s="3"/>
    </row>
    <row r="4493" spans="2:7" x14ac:dyDescent="0.25">
      <c r="B4493" s="3"/>
    </row>
    <row r="4494" spans="2:7" x14ac:dyDescent="0.25">
      <c r="B4494" s="3"/>
    </row>
    <row r="4495" spans="2:7" x14ac:dyDescent="0.25">
      <c r="B4495" s="3"/>
      <c r="G4495" s="4"/>
    </row>
    <row r="4496" spans="2:7" x14ac:dyDescent="0.25">
      <c r="B4496" s="3"/>
      <c r="G4496" s="4"/>
    </row>
    <row r="4497" spans="2:7" x14ac:dyDescent="0.25">
      <c r="B4497" s="3"/>
      <c r="G4497" s="4"/>
    </row>
    <row r="4498" spans="2:7" x14ac:dyDescent="0.25">
      <c r="B4498" s="3"/>
    </row>
    <row r="4499" spans="2:7" x14ac:dyDescent="0.25">
      <c r="B4499" s="3"/>
      <c r="G4499" s="4"/>
    </row>
    <row r="4500" spans="2:7" x14ac:dyDescent="0.25">
      <c r="B4500" s="3"/>
    </row>
    <row r="4501" spans="2:7" x14ac:dyDescent="0.25">
      <c r="B4501" s="3"/>
      <c r="G4501" s="4"/>
    </row>
    <row r="4502" spans="2:7" x14ac:dyDescent="0.25">
      <c r="B4502" s="3"/>
    </row>
    <row r="4503" spans="2:7" x14ac:dyDescent="0.25">
      <c r="B4503" s="3"/>
    </row>
    <row r="4504" spans="2:7" x14ac:dyDescent="0.25">
      <c r="B4504" s="3"/>
    </row>
    <row r="4505" spans="2:7" x14ac:dyDescent="0.25">
      <c r="B4505" s="3"/>
      <c r="G4505" s="4"/>
    </row>
    <row r="4506" spans="2:7" x14ac:dyDescent="0.25">
      <c r="B4506" s="3"/>
      <c r="G4506" s="4"/>
    </row>
    <row r="4507" spans="2:7" x14ac:dyDescent="0.25">
      <c r="B4507" s="3"/>
    </row>
    <row r="4508" spans="2:7" x14ac:dyDescent="0.25">
      <c r="B4508" s="3"/>
    </row>
    <row r="4509" spans="2:7" x14ac:dyDescent="0.25">
      <c r="B4509" s="3"/>
    </row>
    <row r="4510" spans="2:7" x14ac:dyDescent="0.25">
      <c r="B4510" s="3"/>
    </row>
    <row r="4511" spans="2:7" x14ac:dyDescent="0.25">
      <c r="B4511" s="3"/>
    </row>
    <row r="4512" spans="2:7" x14ac:dyDescent="0.25">
      <c r="B4512" s="3"/>
    </row>
    <row r="4513" spans="2:2" x14ac:dyDescent="0.25">
      <c r="B4513" s="3"/>
    </row>
    <row r="4514" spans="2:2" x14ac:dyDescent="0.25">
      <c r="B4514" s="3"/>
    </row>
    <row r="4515" spans="2:2" x14ac:dyDescent="0.25">
      <c r="B4515" s="3"/>
    </row>
    <row r="4516" spans="2:2" x14ac:dyDescent="0.25">
      <c r="B4516" s="3"/>
    </row>
    <row r="4517" spans="2:2" x14ac:dyDescent="0.25">
      <c r="B4517" s="3"/>
    </row>
    <row r="4518" spans="2:2" x14ac:dyDescent="0.25">
      <c r="B4518" s="3"/>
    </row>
    <row r="4519" spans="2:2" x14ac:dyDescent="0.25">
      <c r="B4519" s="3"/>
    </row>
    <row r="4520" spans="2:2" x14ac:dyDescent="0.25">
      <c r="B4520" s="3"/>
    </row>
    <row r="4521" spans="2:2" x14ac:dyDescent="0.25">
      <c r="B4521" s="3"/>
    </row>
    <row r="4522" spans="2:2" x14ac:dyDescent="0.25">
      <c r="B4522" s="3"/>
    </row>
    <row r="4523" spans="2:2" x14ac:dyDescent="0.25">
      <c r="B4523" s="3"/>
    </row>
    <row r="4524" spans="2:2" x14ac:dyDescent="0.25">
      <c r="B4524" s="3"/>
    </row>
    <row r="4525" spans="2:2" x14ac:dyDescent="0.25">
      <c r="B4525" s="3"/>
    </row>
    <row r="4526" spans="2:2" x14ac:dyDescent="0.25">
      <c r="B4526" s="3"/>
    </row>
    <row r="4527" spans="2:2" x14ac:dyDescent="0.25">
      <c r="B4527" s="3"/>
    </row>
    <row r="4528" spans="2:2" x14ac:dyDescent="0.25">
      <c r="B4528" s="3"/>
    </row>
    <row r="4529" spans="2:7" x14ac:dyDescent="0.25">
      <c r="B4529" s="3"/>
    </row>
    <row r="4530" spans="2:7" x14ac:dyDescent="0.25">
      <c r="B4530" s="3"/>
    </row>
    <row r="4531" spans="2:7" x14ac:dyDescent="0.25">
      <c r="B4531" s="3"/>
    </row>
    <row r="4532" spans="2:7" x14ac:dyDescent="0.25">
      <c r="B4532" s="3"/>
    </row>
    <row r="4533" spans="2:7" x14ac:dyDescent="0.25">
      <c r="B4533" s="3"/>
    </row>
    <row r="4534" spans="2:7" x14ac:dyDescent="0.25">
      <c r="B4534" s="3"/>
    </row>
    <row r="4535" spans="2:7" x14ac:dyDescent="0.25">
      <c r="B4535" s="3"/>
    </row>
    <row r="4536" spans="2:7" x14ac:dyDescent="0.25">
      <c r="B4536" s="3"/>
    </row>
    <row r="4537" spans="2:7" x14ac:dyDescent="0.25">
      <c r="B4537" s="3"/>
    </row>
    <row r="4538" spans="2:7" x14ac:dyDescent="0.25">
      <c r="B4538" s="3"/>
    </row>
    <row r="4539" spans="2:7" x14ac:dyDescent="0.25">
      <c r="B4539" s="3"/>
    </row>
    <row r="4540" spans="2:7" x14ac:dyDescent="0.25">
      <c r="B4540" s="3"/>
      <c r="G4540" s="4"/>
    </row>
    <row r="4541" spans="2:7" x14ac:dyDescent="0.25">
      <c r="B4541" s="3"/>
    </row>
    <row r="4542" spans="2:7" x14ac:dyDescent="0.25">
      <c r="B4542" s="3"/>
    </row>
    <row r="4543" spans="2:7" x14ac:dyDescent="0.25">
      <c r="B4543" s="3"/>
      <c r="G4543" s="4"/>
    </row>
    <row r="4544" spans="2:7" x14ac:dyDescent="0.25">
      <c r="B4544" s="3"/>
      <c r="G4544" s="4"/>
    </row>
    <row r="4545" spans="2:7" x14ac:dyDescent="0.25">
      <c r="B4545" s="3"/>
    </row>
    <row r="4546" spans="2:7" x14ac:dyDescent="0.25">
      <c r="B4546" s="3"/>
    </row>
    <row r="4547" spans="2:7" x14ac:dyDescent="0.25">
      <c r="B4547" s="3"/>
    </row>
    <row r="4548" spans="2:7" x14ac:dyDescent="0.25">
      <c r="B4548" s="3"/>
    </row>
    <row r="4549" spans="2:7" x14ac:dyDescent="0.25">
      <c r="B4549" s="3"/>
    </row>
    <row r="4550" spans="2:7" x14ac:dyDescent="0.25">
      <c r="B4550" s="3"/>
    </row>
    <row r="4551" spans="2:7" x14ac:dyDescent="0.25">
      <c r="B4551" s="3"/>
    </row>
    <row r="4552" spans="2:7" x14ac:dyDescent="0.25">
      <c r="B4552" s="3"/>
    </row>
    <row r="4553" spans="2:7" x14ac:dyDescent="0.25">
      <c r="B4553" s="3"/>
    </row>
    <row r="4554" spans="2:7" x14ac:dyDescent="0.25">
      <c r="B4554" s="3"/>
    </row>
    <row r="4555" spans="2:7" x14ac:dyDescent="0.25">
      <c r="B4555" s="3"/>
    </row>
    <row r="4556" spans="2:7" x14ac:dyDescent="0.25">
      <c r="B4556" s="3"/>
      <c r="G4556" s="4"/>
    </row>
    <row r="4557" spans="2:7" x14ac:dyDescent="0.25">
      <c r="B4557" s="3"/>
    </row>
    <row r="4558" spans="2:7" x14ac:dyDescent="0.25">
      <c r="B4558" s="3"/>
    </row>
    <row r="4559" spans="2:7" x14ac:dyDescent="0.25">
      <c r="B4559" s="3"/>
    </row>
    <row r="4560" spans="2:7" x14ac:dyDescent="0.25">
      <c r="B4560" s="3"/>
    </row>
    <row r="4561" spans="2:7" x14ac:dyDescent="0.25">
      <c r="B4561" s="3"/>
    </row>
    <row r="4562" spans="2:7" x14ac:dyDescent="0.25">
      <c r="B4562" s="3"/>
    </row>
    <row r="4563" spans="2:7" x14ac:dyDescent="0.25">
      <c r="B4563" s="3"/>
    </row>
    <row r="4564" spans="2:7" x14ac:dyDescent="0.25">
      <c r="B4564" s="3"/>
    </row>
    <row r="4565" spans="2:7" x14ac:dyDescent="0.25">
      <c r="B4565" s="3"/>
    </row>
    <row r="4566" spans="2:7" x14ac:dyDescent="0.25">
      <c r="B4566" s="3"/>
    </row>
    <row r="4567" spans="2:7" x14ac:dyDescent="0.25">
      <c r="B4567" s="3"/>
    </row>
    <row r="4568" spans="2:7" x14ac:dyDescent="0.25">
      <c r="B4568" s="3"/>
    </row>
    <row r="4569" spans="2:7" x14ac:dyDescent="0.25">
      <c r="B4569" s="3"/>
    </row>
    <row r="4570" spans="2:7" x14ac:dyDescent="0.25">
      <c r="B4570" s="3"/>
    </row>
    <row r="4571" spans="2:7" x14ac:dyDescent="0.25">
      <c r="B4571" s="3"/>
    </row>
    <row r="4572" spans="2:7" x14ac:dyDescent="0.25">
      <c r="B4572" s="3"/>
    </row>
    <row r="4573" spans="2:7" x14ac:dyDescent="0.25">
      <c r="B4573" s="3"/>
    </row>
    <row r="4574" spans="2:7" x14ac:dyDescent="0.25">
      <c r="B4574" s="3"/>
    </row>
    <row r="4575" spans="2:7" x14ac:dyDescent="0.25">
      <c r="B4575" s="3"/>
    </row>
    <row r="4576" spans="2:7" x14ac:dyDescent="0.25">
      <c r="B4576" s="3"/>
      <c r="G4576" s="4"/>
    </row>
    <row r="4577" spans="2:6" x14ac:dyDescent="0.25">
      <c r="B4577" s="3"/>
    </row>
    <row r="4578" spans="2:6" x14ac:dyDescent="0.25">
      <c r="B4578" s="3"/>
    </row>
    <row r="4579" spans="2:6" x14ac:dyDescent="0.25">
      <c r="B4579" s="3"/>
    </row>
    <row r="4580" spans="2:6" x14ac:dyDescent="0.25">
      <c r="B4580" s="3"/>
    </row>
    <row r="4581" spans="2:6" x14ac:dyDescent="0.25">
      <c r="B4581" s="3"/>
    </row>
    <row r="4582" spans="2:6" x14ac:dyDescent="0.25">
      <c r="B4582" s="3"/>
    </row>
    <row r="4583" spans="2:6" x14ac:dyDescent="0.25">
      <c r="B4583" s="3"/>
    </row>
    <row r="4584" spans="2:6" x14ac:dyDescent="0.25">
      <c r="B4584" s="3"/>
    </row>
    <row r="4585" spans="2:6" x14ac:dyDescent="0.25">
      <c r="B4585" s="3"/>
    </row>
    <row r="4586" spans="2:6" x14ac:dyDescent="0.25">
      <c r="B4586" s="3"/>
    </row>
    <row r="4587" spans="2:6" x14ac:dyDescent="0.25">
      <c r="B4587" s="3"/>
    </row>
    <row r="4588" spans="2:6" x14ac:dyDescent="0.25">
      <c r="B4588" s="3"/>
    </row>
    <row r="4589" spans="2:6" x14ac:dyDescent="0.25">
      <c r="B4589" s="3"/>
    </row>
    <row r="4590" spans="2:6" x14ac:dyDescent="0.25">
      <c r="B4590" s="3"/>
      <c r="F4590" s="4"/>
    </row>
    <row r="4591" spans="2:6" x14ac:dyDescent="0.25">
      <c r="B4591" s="3"/>
    </row>
    <row r="4592" spans="2:6" x14ac:dyDescent="0.25">
      <c r="B4592" s="3"/>
    </row>
    <row r="4593" spans="2:6" x14ac:dyDescent="0.25">
      <c r="B4593" s="3"/>
      <c r="F4593" s="4"/>
    </row>
    <row r="4594" spans="2:6" x14ac:dyDescent="0.25">
      <c r="B4594" s="3"/>
    </row>
    <row r="4595" spans="2:6" x14ac:dyDescent="0.25">
      <c r="B4595" s="3"/>
    </row>
    <row r="4596" spans="2:6" x14ac:dyDescent="0.25">
      <c r="B4596" s="3"/>
    </row>
    <row r="4597" spans="2:6" x14ac:dyDescent="0.25">
      <c r="B4597" s="3"/>
    </row>
    <row r="4598" spans="2:6" x14ac:dyDescent="0.25">
      <c r="B4598" s="3"/>
    </row>
    <row r="4599" spans="2:6" x14ac:dyDescent="0.25">
      <c r="B4599" s="3"/>
      <c r="F4599" s="4"/>
    </row>
    <row r="4600" spans="2:6" x14ac:dyDescent="0.25">
      <c r="B4600" s="3"/>
    </row>
    <row r="4601" spans="2:6" x14ac:dyDescent="0.25">
      <c r="B4601" s="3"/>
    </row>
    <row r="4602" spans="2:6" x14ac:dyDescent="0.25">
      <c r="B4602" s="3"/>
    </row>
    <row r="4603" spans="2:6" x14ac:dyDescent="0.25">
      <c r="B4603" s="3"/>
    </row>
    <row r="4604" spans="2:6" x14ac:dyDescent="0.25">
      <c r="B4604" s="3"/>
    </row>
    <row r="4605" spans="2:6" x14ac:dyDescent="0.25">
      <c r="B4605" s="3"/>
    </row>
    <row r="4606" spans="2:6" x14ac:dyDescent="0.25">
      <c r="B4606" s="3"/>
    </row>
    <row r="4607" spans="2:6" x14ac:dyDescent="0.25">
      <c r="B4607" s="3"/>
    </row>
    <row r="4608" spans="2:6" x14ac:dyDescent="0.25">
      <c r="B4608" s="3"/>
    </row>
    <row r="4609" spans="2:2" x14ac:dyDescent="0.25">
      <c r="B4609" s="3"/>
    </row>
    <row r="4610" spans="2:2" x14ac:dyDescent="0.25">
      <c r="B4610" s="3"/>
    </row>
    <row r="4611" spans="2:2" x14ac:dyDescent="0.25">
      <c r="B4611" s="3"/>
    </row>
    <row r="4612" spans="2:2" x14ac:dyDescent="0.25">
      <c r="B4612" s="3"/>
    </row>
    <row r="4613" spans="2:2" x14ac:dyDescent="0.25">
      <c r="B4613" s="3"/>
    </row>
    <row r="4614" spans="2:2" x14ac:dyDescent="0.25">
      <c r="B4614" s="3"/>
    </row>
    <row r="4615" spans="2:2" x14ac:dyDescent="0.25">
      <c r="B4615" s="3"/>
    </row>
    <row r="4616" spans="2:2" x14ac:dyDescent="0.25">
      <c r="B4616" s="3"/>
    </row>
    <row r="4617" spans="2:2" x14ac:dyDescent="0.25">
      <c r="B4617" s="3"/>
    </row>
    <row r="4618" spans="2:2" x14ac:dyDescent="0.25">
      <c r="B4618" s="3"/>
    </row>
    <row r="4619" spans="2:2" x14ac:dyDescent="0.25">
      <c r="B4619" s="3"/>
    </row>
    <row r="4620" spans="2:2" x14ac:dyDescent="0.25">
      <c r="B4620" s="3"/>
    </row>
    <row r="4621" spans="2:2" x14ac:dyDescent="0.25">
      <c r="B4621" s="3"/>
    </row>
    <row r="4622" spans="2:2" x14ac:dyDescent="0.25">
      <c r="B4622" s="3"/>
    </row>
    <row r="4623" spans="2:2" x14ac:dyDescent="0.25">
      <c r="B4623" s="3"/>
    </row>
    <row r="4624" spans="2:2" x14ac:dyDescent="0.25">
      <c r="B4624" s="3"/>
    </row>
    <row r="4625" spans="2:6" x14ac:dyDescent="0.25">
      <c r="B4625" s="3"/>
    </row>
    <row r="4626" spans="2:6" x14ac:dyDescent="0.25">
      <c r="B4626" s="3"/>
    </row>
    <row r="4627" spans="2:6" x14ac:dyDescent="0.25">
      <c r="B4627" s="3"/>
    </row>
    <row r="4628" spans="2:6" x14ac:dyDescent="0.25">
      <c r="B4628" s="3"/>
    </row>
    <row r="4629" spans="2:6" x14ac:dyDescent="0.25">
      <c r="B4629" s="3"/>
    </row>
    <row r="4630" spans="2:6" x14ac:dyDescent="0.25">
      <c r="B4630" s="3"/>
    </row>
    <row r="4631" spans="2:6" x14ac:dyDescent="0.25">
      <c r="B4631" s="3"/>
    </row>
    <row r="4632" spans="2:6" x14ac:dyDescent="0.25">
      <c r="B4632" s="3"/>
      <c r="F4632" s="4"/>
    </row>
    <row r="4633" spans="2:6" x14ac:dyDescent="0.25">
      <c r="B4633" s="3"/>
    </row>
    <row r="4634" spans="2:6" x14ac:dyDescent="0.25">
      <c r="B4634" s="3"/>
    </row>
    <row r="4635" spans="2:6" x14ac:dyDescent="0.25">
      <c r="B4635" s="3"/>
    </row>
    <row r="4636" spans="2:6" x14ac:dyDescent="0.25">
      <c r="B4636" s="3"/>
    </row>
    <row r="4637" spans="2:6" x14ac:dyDescent="0.25">
      <c r="B4637" s="3"/>
      <c r="F4637" s="4"/>
    </row>
    <row r="4638" spans="2:6" x14ac:dyDescent="0.25">
      <c r="B4638" s="3"/>
    </row>
    <row r="4639" spans="2:6" x14ac:dyDescent="0.25">
      <c r="B4639" s="3"/>
    </row>
    <row r="4640" spans="2:6" x14ac:dyDescent="0.25">
      <c r="B4640" s="3"/>
      <c r="F4640" s="4"/>
    </row>
    <row r="4641" spans="2:6" x14ac:dyDescent="0.25">
      <c r="B4641" s="3"/>
    </row>
    <row r="4642" spans="2:6" x14ac:dyDescent="0.25">
      <c r="B4642" s="3"/>
      <c r="F4642" s="4"/>
    </row>
    <row r="4643" spans="2:6" x14ac:dyDescent="0.25">
      <c r="B4643" s="3"/>
    </row>
    <row r="4644" spans="2:6" x14ac:dyDescent="0.25">
      <c r="B4644" s="3"/>
    </row>
    <row r="4645" spans="2:6" x14ac:dyDescent="0.25">
      <c r="B4645" s="3"/>
    </row>
    <row r="4646" spans="2:6" x14ac:dyDescent="0.25">
      <c r="B4646" s="3"/>
    </row>
    <row r="4647" spans="2:6" x14ac:dyDescent="0.25">
      <c r="B4647" s="3"/>
    </row>
    <row r="4648" spans="2:6" x14ac:dyDescent="0.25">
      <c r="B4648" s="3"/>
    </row>
    <row r="4649" spans="2:6" x14ac:dyDescent="0.25">
      <c r="B4649" s="3"/>
      <c r="F4649" s="4"/>
    </row>
    <row r="4650" spans="2:6" x14ac:dyDescent="0.25">
      <c r="B4650" s="3"/>
    </row>
    <row r="4651" spans="2:6" x14ac:dyDescent="0.25">
      <c r="B4651" s="3"/>
    </row>
    <row r="4652" spans="2:6" x14ac:dyDescent="0.25">
      <c r="B4652" s="3"/>
    </row>
    <row r="4653" spans="2:6" x14ac:dyDescent="0.25">
      <c r="B4653" s="3"/>
    </row>
    <row r="4654" spans="2:6" x14ac:dyDescent="0.25">
      <c r="B4654" s="3"/>
    </row>
    <row r="4655" spans="2:6" x14ac:dyDescent="0.25">
      <c r="B4655" s="3"/>
    </row>
    <row r="4656" spans="2:6" x14ac:dyDescent="0.25">
      <c r="B4656" s="3"/>
      <c r="F4656" s="4"/>
    </row>
    <row r="4657" spans="2:6" x14ac:dyDescent="0.25">
      <c r="B4657" s="3"/>
    </row>
    <row r="4658" spans="2:6" x14ac:dyDescent="0.25">
      <c r="B4658" s="3"/>
      <c r="F4658" s="4"/>
    </row>
    <row r="4659" spans="2:6" x14ac:dyDescent="0.25">
      <c r="B4659" s="3"/>
    </row>
    <row r="4660" spans="2:6" x14ac:dyDescent="0.25">
      <c r="B4660" s="3"/>
      <c r="F4660" s="6"/>
    </row>
    <row r="4661" spans="2:6" x14ac:dyDescent="0.25">
      <c r="B4661" s="3"/>
    </row>
    <row r="4662" spans="2:6" x14ac:dyDescent="0.25">
      <c r="B4662" s="3"/>
    </row>
    <row r="4663" spans="2:6" x14ac:dyDescent="0.25">
      <c r="B4663" s="3"/>
    </row>
    <row r="4664" spans="2:6" x14ac:dyDescent="0.25">
      <c r="B4664" s="3"/>
    </row>
    <row r="4665" spans="2:6" x14ac:dyDescent="0.25">
      <c r="B4665" s="3"/>
    </row>
    <row r="4666" spans="2:6" x14ac:dyDescent="0.25">
      <c r="B4666" s="3"/>
    </row>
    <row r="4667" spans="2:6" x14ac:dyDescent="0.25">
      <c r="B4667" s="3"/>
    </row>
    <row r="4668" spans="2:6" x14ac:dyDescent="0.25">
      <c r="B4668" s="3"/>
    </row>
    <row r="4669" spans="2:6" x14ac:dyDescent="0.25">
      <c r="B4669" s="3"/>
    </row>
    <row r="4670" spans="2:6" x14ac:dyDescent="0.25">
      <c r="B4670" s="3"/>
      <c r="F4670" s="4"/>
    </row>
    <row r="4671" spans="2:6" x14ac:dyDescent="0.25">
      <c r="B4671" s="3"/>
    </row>
    <row r="4672" spans="2:6" x14ac:dyDescent="0.25">
      <c r="B4672" s="3"/>
      <c r="F4672" s="4"/>
    </row>
    <row r="4673" spans="2:6" x14ac:dyDescent="0.25">
      <c r="B4673" s="3"/>
    </row>
    <row r="4674" spans="2:6" x14ac:dyDescent="0.25">
      <c r="B4674" s="3"/>
    </row>
    <row r="4675" spans="2:6" x14ac:dyDescent="0.25">
      <c r="B4675" s="3"/>
    </row>
    <row r="4676" spans="2:6" x14ac:dyDescent="0.25">
      <c r="B4676" s="3"/>
    </row>
    <row r="4677" spans="2:6" x14ac:dyDescent="0.25">
      <c r="B4677" s="3"/>
    </row>
    <row r="4678" spans="2:6" x14ac:dyDescent="0.25">
      <c r="B4678" s="3"/>
    </row>
    <row r="4679" spans="2:6" x14ac:dyDescent="0.25">
      <c r="B4679" s="3"/>
    </row>
    <row r="4680" spans="2:6" x14ac:dyDescent="0.25">
      <c r="B4680" s="3"/>
    </row>
    <row r="4681" spans="2:6" x14ac:dyDescent="0.25">
      <c r="B4681" s="3"/>
    </row>
    <row r="4682" spans="2:6" x14ac:dyDescent="0.25">
      <c r="B4682" s="3"/>
    </row>
    <row r="4683" spans="2:6" x14ac:dyDescent="0.25">
      <c r="B4683" s="3"/>
      <c r="F4683" s="4"/>
    </row>
    <row r="4684" spans="2:6" x14ac:dyDescent="0.25">
      <c r="B4684" s="3"/>
    </row>
    <row r="4685" spans="2:6" x14ac:dyDescent="0.25">
      <c r="B4685" s="3"/>
    </row>
    <row r="4686" spans="2:6" x14ac:dyDescent="0.25">
      <c r="B4686" s="3"/>
    </row>
    <row r="4687" spans="2:6" x14ac:dyDescent="0.25">
      <c r="B4687" s="3"/>
    </row>
    <row r="4688" spans="2:6" x14ac:dyDescent="0.25">
      <c r="B4688" s="3"/>
    </row>
    <row r="4689" spans="2:2" x14ac:dyDescent="0.25">
      <c r="B4689" s="3"/>
    </row>
    <row r="4690" spans="2:2" x14ac:dyDescent="0.25">
      <c r="B4690" s="3"/>
    </row>
    <row r="4691" spans="2:2" x14ac:dyDescent="0.25">
      <c r="B4691" s="3"/>
    </row>
    <row r="4692" spans="2:2" x14ac:dyDescent="0.25">
      <c r="B4692" s="3"/>
    </row>
    <row r="4693" spans="2:2" x14ac:dyDescent="0.25">
      <c r="B4693" s="3"/>
    </row>
    <row r="4694" spans="2:2" x14ac:dyDescent="0.25">
      <c r="B4694" s="3"/>
    </row>
    <row r="4695" spans="2:2" x14ac:dyDescent="0.25">
      <c r="B4695" s="3"/>
    </row>
    <row r="4696" spans="2:2" x14ac:dyDescent="0.25">
      <c r="B4696" s="3"/>
    </row>
    <row r="4697" spans="2:2" x14ac:dyDescent="0.25">
      <c r="B4697" s="3"/>
    </row>
    <row r="4698" spans="2:2" x14ac:dyDescent="0.25">
      <c r="B4698" s="3"/>
    </row>
    <row r="4699" spans="2:2" x14ac:dyDescent="0.25">
      <c r="B4699" s="3"/>
    </row>
    <row r="4700" spans="2:2" x14ac:dyDescent="0.25">
      <c r="B4700" s="3"/>
    </row>
    <row r="4701" spans="2:2" x14ac:dyDescent="0.25">
      <c r="B4701" s="3"/>
    </row>
    <row r="4702" spans="2:2" x14ac:dyDescent="0.25">
      <c r="B4702" s="3"/>
    </row>
    <row r="4703" spans="2:2" x14ac:dyDescent="0.25">
      <c r="B4703" s="3"/>
    </row>
    <row r="4704" spans="2:2" x14ac:dyDescent="0.25">
      <c r="B4704" s="3"/>
    </row>
    <row r="4705" spans="2:6" x14ac:dyDescent="0.25">
      <c r="B4705" s="3"/>
    </row>
    <row r="4706" spans="2:6" x14ac:dyDescent="0.25">
      <c r="B4706" s="3"/>
    </row>
    <row r="4707" spans="2:6" x14ac:dyDescent="0.25">
      <c r="B4707" s="3"/>
    </row>
    <row r="4708" spans="2:6" x14ac:dyDescent="0.25">
      <c r="B4708" s="3"/>
    </row>
    <row r="4709" spans="2:6" x14ac:dyDescent="0.25">
      <c r="B4709" s="3"/>
      <c r="F4709" s="4"/>
    </row>
    <row r="4710" spans="2:6" x14ac:dyDescent="0.25">
      <c r="B4710" s="3"/>
    </row>
    <row r="4711" spans="2:6" x14ac:dyDescent="0.25">
      <c r="B4711" s="3"/>
    </row>
    <row r="4712" spans="2:6" x14ac:dyDescent="0.25">
      <c r="B4712" s="3"/>
    </row>
    <row r="4713" spans="2:6" x14ac:dyDescent="0.25">
      <c r="B4713" s="3"/>
    </row>
    <row r="4714" spans="2:6" x14ac:dyDescent="0.25">
      <c r="B4714" s="3"/>
    </row>
    <row r="4715" spans="2:6" x14ac:dyDescent="0.25">
      <c r="B4715" s="3"/>
    </row>
    <row r="4716" spans="2:6" x14ac:dyDescent="0.25">
      <c r="B4716" s="3"/>
      <c r="F4716" s="4"/>
    </row>
    <row r="4717" spans="2:6" x14ac:dyDescent="0.25">
      <c r="B4717" s="3"/>
    </row>
    <row r="4718" spans="2:6" x14ac:dyDescent="0.25">
      <c r="B4718" s="3"/>
    </row>
    <row r="4719" spans="2:6" x14ac:dyDescent="0.25">
      <c r="B4719" s="3"/>
      <c r="F4719" s="4"/>
    </row>
    <row r="4720" spans="2:6" x14ac:dyDescent="0.25">
      <c r="B4720" s="3"/>
    </row>
    <row r="4721" spans="2:6" x14ac:dyDescent="0.25">
      <c r="B4721" s="3"/>
    </row>
    <row r="4722" spans="2:6" x14ac:dyDescent="0.25">
      <c r="B4722" s="3"/>
    </row>
    <row r="4723" spans="2:6" x14ac:dyDescent="0.25">
      <c r="B4723" s="3"/>
      <c r="F4723" s="4"/>
    </row>
    <row r="4724" spans="2:6" x14ac:dyDescent="0.25">
      <c r="B4724" s="3"/>
    </row>
    <row r="4725" spans="2:6" x14ac:dyDescent="0.25">
      <c r="B4725" s="3"/>
    </row>
    <row r="4726" spans="2:6" x14ac:dyDescent="0.25">
      <c r="B4726" s="3"/>
    </row>
    <row r="4727" spans="2:6" x14ac:dyDescent="0.25">
      <c r="B4727" s="3"/>
    </row>
    <row r="4728" spans="2:6" x14ac:dyDescent="0.25">
      <c r="B4728" s="3"/>
    </row>
    <row r="4729" spans="2:6" x14ac:dyDescent="0.25">
      <c r="B4729" s="3"/>
    </row>
    <row r="4730" spans="2:6" x14ac:dyDescent="0.25">
      <c r="B4730" s="3"/>
    </row>
    <row r="4731" spans="2:6" x14ac:dyDescent="0.25">
      <c r="B4731" s="3"/>
    </row>
    <row r="4732" spans="2:6" x14ac:dyDescent="0.25">
      <c r="B4732" s="3"/>
    </row>
    <row r="4733" spans="2:6" x14ac:dyDescent="0.25">
      <c r="B4733" s="3"/>
    </row>
    <row r="4734" spans="2:6" x14ac:dyDescent="0.25">
      <c r="B4734" s="3"/>
      <c r="F4734" s="4"/>
    </row>
    <row r="4735" spans="2:6" x14ac:dyDescent="0.25">
      <c r="B4735" s="3"/>
    </row>
    <row r="4736" spans="2:6" x14ac:dyDescent="0.25">
      <c r="B4736" s="3"/>
    </row>
    <row r="4737" spans="2:6" x14ac:dyDescent="0.25">
      <c r="B4737" s="3"/>
    </row>
    <row r="4738" spans="2:6" x14ac:dyDescent="0.25">
      <c r="B4738" s="3"/>
      <c r="F4738" s="4"/>
    </row>
    <row r="4739" spans="2:6" x14ac:dyDescent="0.25">
      <c r="B4739" s="3"/>
    </row>
    <row r="4740" spans="2:6" x14ac:dyDescent="0.25">
      <c r="B4740" s="3"/>
      <c r="F4740" s="4"/>
    </row>
    <row r="4741" spans="2:6" x14ac:dyDescent="0.25">
      <c r="B4741" s="3"/>
    </row>
    <row r="4742" spans="2:6" x14ac:dyDescent="0.25">
      <c r="B4742" s="3"/>
    </row>
    <row r="4743" spans="2:6" x14ac:dyDescent="0.25">
      <c r="B4743" s="3"/>
    </row>
    <row r="4744" spans="2:6" x14ac:dyDescent="0.25">
      <c r="B4744" s="3"/>
    </row>
    <row r="4745" spans="2:6" x14ac:dyDescent="0.25">
      <c r="B4745" s="3"/>
    </row>
    <row r="4746" spans="2:6" x14ac:dyDescent="0.25">
      <c r="B4746" s="3"/>
    </row>
    <row r="4747" spans="2:6" x14ac:dyDescent="0.25">
      <c r="B4747" s="3"/>
    </row>
    <row r="4748" spans="2:6" x14ac:dyDescent="0.25">
      <c r="B4748" s="3"/>
    </row>
    <row r="4749" spans="2:6" x14ac:dyDescent="0.25">
      <c r="B4749" s="3"/>
    </row>
    <row r="4750" spans="2:6" x14ac:dyDescent="0.25">
      <c r="B4750" s="3"/>
    </row>
    <row r="4751" spans="2:6" x14ac:dyDescent="0.25">
      <c r="B4751" s="3"/>
      <c r="F4751" s="4"/>
    </row>
    <row r="4752" spans="2:6" x14ac:dyDescent="0.25">
      <c r="B4752" s="3"/>
    </row>
    <row r="4753" spans="2:6" x14ac:dyDescent="0.25">
      <c r="B4753" s="3"/>
    </row>
    <row r="4754" spans="2:6" x14ac:dyDescent="0.25">
      <c r="B4754" s="3"/>
    </row>
    <row r="4755" spans="2:6" x14ac:dyDescent="0.25">
      <c r="B4755" s="3"/>
    </row>
    <row r="4756" spans="2:6" x14ac:dyDescent="0.25">
      <c r="B4756" s="3"/>
    </row>
    <row r="4757" spans="2:6" x14ac:dyDescent="0.25">
      <c r="B4757" s="3"/>
      <c r="F4757" s="4"/>
    </row>
    <row r="4758" spans="2:6" x14ac:dyDescent="0.25">
      <c r="B4758" s="3"/>
    </row>
    <row r="4759" spans="2:6" x14ac:dyDescent="0.25">
      <c r="B4759" s="3"/>
    </row>
    <row r="4760" spans="2:6" x14ac:dyDescent="0.25">
      <c r="B4760" s="3"/>
    </row>
    <row r="4761" spans="2:6" x14ac:dyDescent="0.25">
      <c r="B4761" s="3"/>
    </row>
    <row r="4762" spans="2:6" x14ac:dyDescent="0.25">
      <c r="B4762" s="3"/>
    </row>
    <row r="4763" spans="2:6" x14ac:dyDescent="0.25">
      <c r="B4763" s="3"/>
    </row>
    <row r="4764" spans="2:6" x14ac:dyDescent="0.25">
      <c r="B4764" s="3"/>
    </row>
    <row r="4765" spans="2:6" x14ac:dyDescent="0.25">
      <c r="B4765" s="3"/>
    </row>
    <row r="4766" spans="2:6" x14ac:dyDescent="0.25">
      <c r="B4766" s="3"/>
    </row>
    <row r="4767" spans="2:6" x14ac:dyDescent="0.25">
      <c r="B4767" s="3"/>
    </row>
    <row r="4768" spans="2:6" x14ac:dyDescent="0.25">
      <c r="B4768" s="3"/>
    </row>
    <row r="4769" spans="2:6" x14ac:dyDescent="0.25">
      <c r="B4769" s="3"/>
    </row>
    <row r="4770" spans="2:6" x14ac:dyDescent="0.25">
      <c r="B4770" s="3"/>
    </row>
    <row r="4771" spans="2:6" x14ac:dyDescent="0.25">
      <c r="B4771" s="3"/>
    </row>
    <row r="4772" spans="2:6" x14ac:dyDescent="0.25">
      <c r="B4772" s="3"/>
    </row>
    <row r="4773" spans="2:6" x14ac:dyDescent="0.25">
      <c r="B4773" s="3"/>
    </row>
    <row r="4774" spans="2:6" x14ac:dyDescent="0.25">
      <c r="B4774" s="3"/>
    </row>
    <row r="4775" spans="2:6" x14ac:dyDescent="0.25">
      <c r="B4775" s="3"/>
      <c r="F4775" s="4"/>
    </row>
    <row r="4776" spans="2:6" x14ac:dyDescent="0.25">
      <c r="B4776" s="3"/>
    </row>
    <row r="4777" spans="2:6" x14ac:dyDescent="0.25">
      <c r="B4777" s="3"/>
    </row>
    <row r="4778" spans="2:6" x14ac:dyDescent="0.25">
      <c r="B4778" s="3"/>
    </row>
    <row r="4779" spans="2:6" x14ac:dyDescent="0.25">
      <c r="B4779" s="3"/>
    </row>
    <row r="4780" spans="2:6" x14ac:dyDescent="0.25">
      <c r="B4780" s="3"/>
    </row>
    <row r="4781" spans="2:6" x14ac:dyDescent="0.25">
      <c r="B4781" s="3"/>
    </row>
    <row r="4782" spans="2:6" x14ac:dyDescent="0.25">
      <c r="B4782" s="3"/>
    </row>
    <row r="4783" spans="2:6" x14ac:dyDescent="0.25">
      <c r="B4783" s="3"/>
    </row>
    <row r="4784" spans="2:6" x14ac:dyDescent="0.25">
      <c r="B4784" s="3"/>
    </row>
    <row r="4785" spans="2:6" x14ac:dyDescent="0.25">
      <c r="B4785" s="3"/>
    </row>
    <row r="4786" spans="2:6" x14ac:dyDescent="0.25">
      <c r="B4786" s="3"/>
    </row>
    <row r="4787" spans="2:6" x14ac:dyDescent="0.25">
      <c r="B4787" s="3"/>
    </row>
    <row r="4788" spans="2:6" x14ac:dyDescent="0.25">
      <c r="B4788" s="3"/>
    </row>
    <row r="4789" spans="2:6" x14ac:dyDescent="0.25">
      <c r="B4789" s="3"/>
    </row>
    <row r="4790" spans="2:6" x14ac:dyDescent="0.25">
      <c r="B4790" s="3"/>
    </row>
    <row r="4791" spans="2:6" x14ac:dyDescent="0.25">
      <c r="B4791" s="3"/>
    </row>
    <row r="4792" spans="2:6" x14ac:dyDescent="0.25">
      <c r="B4792" s="3"/>
    </row>
    <row r="4793" spans="2:6" x14ac:dyDescent="0.25">
      <c r="B4793" s="3"/>
    </row>
    <row r="4794" spans="2:6" x14ac:dyDescent="0.25">
      <c r="B4794" s="3"/>
    </row>
    <row r="4795" spans="2:6" x14ac:dyDescent="0.25">
      <c r="B4795" s="3"/>
    </row>
    <row r="4796" spans="2:6" x14ac:dyDescent="0.25">
      <c r="B4796" s="3"/>
    </row>
    <row r="4797" spans="2:6" x14ac:dyDescent="0.25">
      <c r="B4797" s="3"/>
    </row>
    <row r="4798" spans="2:6" x14ac:dyDescent="0.25">
      <c r="B4798" s="3"/>
    </row>
    <row r="4799" spans="2:6" x14ac:dyDescent="0.25">
      <c r="B4799" s="3"/>
    </row>
    <row r="4800" spans="2:6" x14ac:dyDescent="0.25">
      <c r="B4800" s="3"/>
      <c r="F4800" s="4"/>
    </row>
    <row r="4801" spans="2:6" x14ac:dyDescent="0.25">
      <c r="B4801" s="3"/>
    </row>
    <row r="4802" spans="2:6" x14ac:dyDescent="0.25">
      <c r="B4802" s="3"/>
    </row>
    <row r="4803" spans="2:6" x14ac:dyDescent="0.25">
      <c r="B4803" s="3"/>
    </row>
    <row r="4804" spans="2:6" x14ac:dyDescent="0.25">
      <c r="B4804" s="3"/>
    </row>
    <row r="4805" spans="2:6" x14ac:dyDescent="0.25">
      <c r="B4805" s="3"/>
    </row>
    <row r="4806" spans="2:6" x14ac:dyDescent="0.25">
      <c r="B4806" s="3"/>
    </row>
    <row r="4807" spans="2:6" x14ac:dyDescent="0.25">
      <c r="B4807" s="3"/>
      <c r="F4807" s="4"/>
    </row>
    <row r="4808" spans="2:6" x14ac:dyDescent="0.25">
      <c r="B4808" s="3"/>
      <c r="F4808" s="4"/>
    </row>
    <row r="4809" spans="2:6" x14ac:dyDescent="0.25">
      <c r="B4809" s="3"/>
    </row>
    <row r="4810" spans="2:6" x14ac:dyDescent="0.25">
      <c r="B4810" s="3"/>
    </row>
    <row r="4811" spans="2:6" x14ac:dyDescent="0.25">
      <c r="B4811" s="3"/>
    </row>
    <row r="4812" spans="2:6" x14ac:dyDescent="0.25">
      <c r="B4812" s="3"/>
    </row>
    <row r="4813" spans="2:6" x14ac:dyDescent="0.25">
      <c r="B4813" s="3"/>
    </row>
    <row r="4814" spans="2:6" x14ac:dyDescent="0.25">
      <c r="B4814" s="3"/>
    </row>
    <row r="4815" spans="2:6" x14ac:dyDescent="0.25">
      <c r="B4815" s="3"/>
    </row>
    <row r="4816" spans="2:6" x14ac:dyDescent="0.25">
      <c r="B4816" s="3"/>
    </row>
    <row r="4817" spans="2:2" x14ac:dyDescent="0.25">
      <c r="B4817" s="3"/>
    </row>
    <row r="4818" spans="2:2" x14ac:dyDescent="0.25">
      <c r="B4818" s="3"/>
    </row>
    <row r="4819" spans="2:2" x14ac:dyDescent="0.25">
      <c r="B4819" s="3"/>
    </row>
    <row r="4820" spans="2:2" x14ac:dyDescent="0.25">
      <c r="B4820" s="3"/>
    </row>
    <row r="4821" spans="2:2" x14ac:dyDescent="0.25">
      <c r="B4821" s="3"/>
    </row>
    <row r="4822" spans="2:2" x14ac:dyDescent="0.25">
      <c r="B4822" s="3"/>
    </row>
    <row r="4823" spans="2:2" x14ac:dyDescent="0.25">
      <c r="B4823" s="3"/>
    </row>
    <row r="4824" spans="2:2" x14ac:dyDescent="0.25">
      <c r="B4824" s="3"/>
    </row>
    <row r="4825" spans="2:2" x14ac:dyDescent="0.25">
      <c r="B4825" s="3"/>
    </row>
    <row r="4826" spans="2:2" x14ac:dyDescent="0.25">
      <c r="B4826" s="3"/>
    </row>
    <row r="4827" spans="2:2" x14ac:dyDescent="0.25">
      <c r="B4827" s="3"/>
    </row>
    <row r="4828" spans="2:2" x14ac:dyDescent="0.25">
      <c r="B4828" s="3"/>
    </row>
    <row r="4829" spans="2:2" x14ac:dyDescent="0.25">
      <c r="B4829" s="3"/>
    </row>
    <row r="4830" spans="2:2" x14ac:dyDescent="0.25">
      <c r="B4830" s="3"/>
    </row>
    <row r="4831" spans="2:2" x14ac:dyDescent="0.25">
      <c r="B4831" s="3"/>
    </row>
    <row r="4832" spans="2:2" x14ac:dyDescent="0.25">
      <c r="B4832" s="3"/>
    </row>
    <row r="4833" spans="2:6" x14ac:dyDescent="0.25">
      <c r="B4833" s="3"/>
    </row>
    <row r="4834" spans="2:6" x14ac:dyDescent="0.25">
      <c r="B4834" s="3"/>
      <c r="F4834" s="4"/>
    </row>
    <row r="4835" spans="2:6" x14ac:dyDescent="0.25">
      <c r="B4835" s="3"/>
    </row>
    <row r="4836" spans="2:6" x14ac:dyDescent="0.25">
      <c r="B4836" s="3"/>
      <c r="F4836" s="4"/>
    </row>
    <row r="4837" spans="2:6" x14ac:dyDescent="0.25">
      <c r="B4837" s="3"/>
    </row>
    <row r="4838" spans="2:6" x14ac:dyDescent="0.25">
      <c r="B4838" s="3"/>
    </row>
    <row r="4839" spans="2:6" x14ac:dyDescent="0.25">
      <c r="B4839" s="3"/>
    </row>
    <row r="4840" spans="2:6" x14ac:dyDescent="0.25">
      <c r="B4840" s="3"/>
    </row>
    <row r="4841" spans="2:6" x14ac:dyDescent="0.25">
      <c r="B4841" s="3"/>
    </row>
    <row r="4842" spans="2:6" x14ac:dyDescent="0.25">
      <c r="B4842" s="3"/>
    </row>
    <row r="4843" spans="2:6" x14ac:dyDescent="0.25">
      <c r="B4843" s="3"/>
    </row>
    <row r="4844" spans="2:6" x14ac:dyDescent="0.25">
      <c r="B4844" s="3"/>
    </row>
    <row r="4845" spans="2:6" x14ac:dyDescent="0.25">
      <c r="B4845" s="3"/>
    </row>
    <row r="4846" spans="2:6" x14ac:dyDescent="0.25">
      <c r="B4846" s="3"/>
    </row>
    <row r="4847" spans="2:6" x14ac:dyDescent="0.25">
      <c r="B4847" s="3"/>
    </row>
    <row r="4848" spans="2:6" x14ac:dyDescent="0.25">
      <c r="B4848" s="3"/>
      <c r="F4848" s="4"/>
    </row>
    <row r="4849" spans="2:6" x14ac:dyDescent="0.25">
      <c r="B4849" s="3"/>
    </row>
    <row r="4850" spans="2:6" x14ac:dyDescent="0.25">
      <c r="B4850" s="3"/>
    </row>
    <row r="4851" spans="2:6" x14ac:dyDescent="0.25">
      <c r="B4851" s="3"/>
    </row>
    <row r="4852" spans="2:6" x14ac:dyDescent="0.25">
      <c r="B4852" s="3"/>
    </row>
    <row r="4853" spans="2:6" x14ac:dyDescent="0.25">
      <c r="B4853" s="3"/>
    </row>
    <row r="4854" spans="2:6" x14ac:dyDescent="0.25">
      <c r="B4854" s="3"/>
    </row>
    <row r="4855" spans="2:6" x14ac:dyDescent="0.25">
      <c r="B4855" s="3"/>
    </row>
    <row r="4856" spans="2:6" x14ac:dyDescent="0.25">
      <c r="B4856" s="3"/>
    </row>
    <row r="4857" spans="2:6" x14ac:dyDescent="0.25">
      <c r="B4857" s="3"/>
    </row>
    <row r="4858" spans="2:6" x14ac:dyDescent="0.25">
      <c r="B4858" s="3"/>
    </row>
    <row r="4859" spans="2:6" x14ac:dyDescent="0.25">
      <c r="B4859" s="3"/>
    </row>
    <row r="4860" spans="2:6" x14ac:dyDescent="0.25">
      <c r="B4860" s="3"/>
    </row>
    <row r="4861" spans="2:6" x14ac:dyDescent="0.25">
      <c r="B4861" s="3"/>
      <c r="F4861" s="4"/>
    </row>
    <row r="4862" spans="2:6" x14ac:dyDescent="0.25">
      <c r="B4862" s="3"/>
    </row>
    <row r="4863" spans="2:6" x14ac:dyDescent="0.25">
      <c r="B4863" s="3"/>
    </row>
    <row r="4864" spans="2:6" x14ac:dyDescent="0.25">
      <c r="B4864" s="3"/>
    </row>
    <row r="4865" spans="2:6" x14ac:dyDescent="0.25">
      <c r="B4865" s="3"/>
    </row>
    <row r="4866" spans="2:6" x14ac:dyDescent="0.25">
      <c r="B4866" s="3"/>
    </row>
    <row r="4867" spans="2:6" x14ac:dyDescent="0.25">
      <c r="B4867" s="3"/>
    </row>
    <row r="4868" spans="2:6" x14ac:dyDescent="0.25">
      <c r="B4868" s="3"/>
    </row>
    <row r="4869" spans="2:6" x14ac:dyDescent="0.25">
      <c r="B4869" s="3"/>
    </row>
    <row r="4870" spans="2:6" x14ac:dyDescent="0.25">
      <c r="B4870" s="3"/>
    </row>
    <row r="4871" spans="2:6" x14ac:dyDescent="0.25">
      <c r="B4871" s="3"/>
      <c r="F4871" s="4"/>
    </row>
    <row r="4872" spans="2:6" x14ac:dyDescent="0.25">
      <c r="B4872" s="3"/>
    </row>
    <row r="4873" spans="2:6" x14ac:dyDescent="0.25">
      <c r="B4873" s="3"/>
      <c r="F4873" s="4"/>
    </row>
    <row r="4874" spans="2:6" x14ac:dyDescent="0.25">
      <c r="B4874" s="3"/>
    </row>
    <row r="4875" spans="2:6" x14ac:dyDescent="0.25">
      <c r="B4875" s="3"/>
    </row>
    <row r="4876" spans="2:6" x14ac:dyDescent="0.25">
      <c r="B4876" s="3"/>
      <c r="F4876" s="4"/>
    </row>
    <row r="4877" spans="2:6" x14ac:dyDescent="0.25">
      <c r="B4877" s="3"/>
    </row>
    <row r="4878" spans="2:6" x14ac:dyDescent="0.25">
      <c r="B4878" s="3"/>
    </row>
    <row r="4879" spans="2:6" x14ac:dyDescent="0.25">
      <c r="B4879" s="3"/>
    </row>
    <row r="4880" spans="2:6" x14ac:dyDescent="0.25">
      <c r="B4880" s="3"/>
    </row>
    <row r="4881" spans="2:6" x14ac:dyDescent="0.25">
      <c r="B4881" s="3"/>
    </row>
    <row r="4882" spans="2:6" x14ac:dyDescent="0.25">
      <c r="B4882" s="3"/>
    </row>
    <row r="4883" spans="2:6" x14ac:dyDescent="0.25">
      <c r="B4883" s="3"/>
    </row>
    <row r="4884" spans="2:6" x14ac:dyDescent="0.25">
      <c r="B4884" s="3"/>
    </row>
    <row r="4885" spans="2:6" x14ac:dyDescent="0.25">
      <c r="B4885" s="3"/>
      <c r="F4885" s="4"/>
    </row>
    <row r="4886" spans="2:6" x14ac:dyDescent="0.25">
      <c r="B4886" s="3"/>
    </row>
    <row r="4887" spans="2:6" x14ac:dyDescent="0.25">
      <c r="B4887" s="3"/>
    </row>
    <row r="4888" spans="2:6" x14ac:dyDescent="0.25">
      <c r="B4888" s="3"/>
    </row>
    <row r="4889" spans="2:6" x14ac:dyDescent="0.25">
      <c r="B4889" s="3"/>
    </row>
    <row r="4890" spans="2:6" x14ac:dyDescent="0.25">
      <c r="B4890" s="3"/>
      <c r="F4890" s="4"/>
    </row>
    <row r="4891" spans="2:6" x14ac:dyDescent="0.25">
      <c r="B4891" s="3"/>
    </row>
    <row r="4892" spans="2:6" x14ac:dyDescent="0.25">
      <c r="B4892" s="3"/>
      <c r="F4892" s="4"/>
    </row>
    <row r="4893" spans="2:6" x14ac:dyDescent="0.25">
      <c r="B4893" s="3"/>
    </row>
    <row r="4894" spans="2:6" x14ac:dyDescent="0.25">
      <c r="B4894" s="3"/>
    </row>
    <row r="4895" spans="2:6" x14ac:dyDescent="0.25">
      <c r="B4895" s="3"/>
    </row>
    <row r="4896" spans="2:6" x14ac:dyDescent="0.25">
      <c r="B4896" s="3"/>
    </row>
    <row r="4897" spans="2:2" x14ac:dyDescent="0.25">
      <c r="B4897" s="3"/>
    </row>
    <row r="4898" spans="2:2" x14ac:dyDescent="0.25">
      <c r="B4898" s="3"/>
    </row>
    <row r="4899" spans="2:2" x14ac:dyDescent="0.25">
      <c r="B4899" s="3"/>
    </row>
    <row r="4900" spans="2:2" x14ac:dyDescent="0.25">
      <c r="B4900" s="3"/>
    </row>
    <row r="4901" spans="2:2" x14ac:dyDescent="0.25">
      <c r="B4901" s="3"/>
    </row>
    <row r="4902" spans="2:2" x14ac:dyDescent="0.25">
      <c r="B4902" s="3"/>
    </row>
    <row r="4903" spans="2:2" x14ac:dyDescent="0.25">
      <c r="B4903" s="3"/>
    </row>
    <row r="4904" spans="2:2" x14ac:dyDescent="0.25">
      <c r="B4904" s="3"/>
    </row>
    <row r="4905" spans="2:2" x14ac:dyDescent="0.25">
      <c r="B4905" s="3"/>
    </row>
    <row r="4906" spans="2:2" x14ac:dyDescent="0.25">
      <c r="B4906" s="3"/>
    </row>
    <row r="4907" spans="2:2" x14ac:dyDescent="0.25">
      <c r="B4907" s="3"/>
    </row>
    <row r="4908" spans="2:2" x14ac:dyDescent="0.25">
      <c r="B4908" s="3"/>
    </row>
    <row r="4909" spans="2:2" x14ac:dyDescent="0.25">
      <c r="B4909" s="3"/>
    </row>
    <row r="4910" spans="2:2" x14ac:dyDescent="0.25">
      <c r="B4910" s="3"/>
    </row>
    <row r="4911" spans="2:2" x14ac:dyDescent="0.25">
      <c r="B4911" s="3"/>
    </row>
    <row r="4912" spans="2:2" x14ac:dyDescent="0.25">
      <c r="B4912" s="3"/>
    </row>
    <row r="4913" spans="2:6" x14ac:dyDescent="0.25">
      <c r="B4913" s="3"/>
    </row>
    <row r="4914" spans="2:6" x14ac:dyDescent="0.25">
      <c r="B4914" s="3"/>
    </row>
    <row r="4915" spans="2:6" x14ac:dyDescent="0.25">
      <c r="B4915" s="3"/>
    </row>
    <row r="4916" spans="2:6" x14ac:dyDescent="0.25">
      <c r="B4916" s="3"/>
    </row>
    <row r="4917" spans="2:6" x14ac:dyDescent="0.25">
      <c r="B4917" s="3"/>
      <c r="F4917" s="4"/>
    </row>
    <row r="4918" spans="2:6" x14ac:dyDescent="0.25">
      <c r="B4918" s="3"/>
    </row>
    <row r="4919" spans="2:6" x14ac:dyDescent="0.25">
      <c r="B4919" s="3"/>
    </row>
    <row r="4920" spans="2:6" x14ac:dyDescent="0.25">
      <c r="B4920" s="3"/>
    </row>
    <row r="4921" spans="2:6" x14ac:dyDescent="0.25">
      <c r="B4921" s="3"/>
    </row>
    <row r="4922" spans="2:6" x14ac:dyDescent="0.25">
      <c r="B4922" s="3"/>
    </row>
    <row r="4923" spans="2:6" x14ac:dyDescent="0.25">
      <c r="B4923" s="3"/>
    </row>
    <row r="4924" spans="2:6" x14ac:dyDescent="0.25">
      <c r="B4924" s="3"/>
    </row>
    <row r="4925" spans="2:6" x14ac:dyDescent="0.25">
      <c r="B4925" s="3"/>
    </row>
    <row r="4926" spans="2:6" x14ac:dyDescent="0.25">
      <c r="B4926" s="3"/>
    </row>
    <row r="4927" spans="2:6" x14ac:dyDescent="0.25">
      <c r="B4927" s="3"/>
    </row>
    <row r="4928" spans="2:6" x14ac:dyDescent="0.25">
      <c r="B4928" s="3"/>
      <c r="F4928" s="4"/>
    </row>
    <row r="4929" spans="2:6" x14ac:dyDescent="0.25">
      <c r="B4929" s="3"/>
    </row>
    <row r="4930" spans="2:6" x14ac:dyDescent="0.25">
      <c r="B4930" s="3"/>
    </row>
    <row r="4931" spans="2:6" x14ac:dyDescent="0.25">
      <c r="B4931" s="3"/>
      <c r="F4931" s="4"/>
    </row>
    <row r="4932" spans="2:6" x14ac:dyDescent="0.25">
      <c r="B4932" s="3"/>
    </row>
    <row r="4933" spans="2:6" x14ac:dyDescent="0.25">
      <c r="B4933" s="3"/>
    </row>
    <row r="4934" spans="2:6" x14ac:dyDescent="0.25">
      <c r="B4934" s="3"/>
    </row>
    <row r="4935" spans="2:6" x14ac:dyDescent="0.25">
      <c r="B4935" s="3"/>
    </row>
    <row r="4936" spans="2:6" x14ac:dyDescent="0.25">
      <c r="B4936" s="3"/>
    </row>
    <row r="4937" spans="2:6" x14ac:dyDescent="0.25">
      <c r="B4937" s="3"/>
    </row>
    <row r="4938" spans="2:6" x14ac:dyDescent="0.25">
      <c r="B4938" s="3"/>
    </row>
    <row r="4939" spans="2:6" x14ac:dyDescent="0.25">
      <c r="B4939" s="3"/>
    </row>
    <row r="4940" spans="2:6" x14ac:dyDescent="0.25">
      <c r="B4940" s="3"/>
    </row>
    <row r="4941" spans="2:6" x14ac:dyDescent="0.25">
      <c r="B4941" s="3"/>
      <c r="F4941" s="4"/>
    </row>
    <row r="4942" spans="2:6" x14ac:dyDescent="0.25">
      <c r="B4942" s="3"/>
    </row>
    <row r="4943" spans="2:6" x14ac:dyDescent="0.25">
      <c r="B4943" s="3"/>
    </row>
    <row r="4944" spans="2:6" x14ac:dyDescent="0.25">
      <c r="B4944" s="3"/>
    </row>
    <row r="4945" spans="2:6" x14ac:dyDescent="0.25">
      <c r="B4945" s="3"/>
    </row>
    <row r="4946" spans="2:6" x14ac:dyDescent="0.25">
      <c r="B4946" s="3"/>
    </row>
    <row r="4947" spans="2:6" x14ac:dyDescent="0.25">
      <c r="B4947" s="3"/>
      <c r="F4947" s="4"/>
    </row>
    <row r="4948" spans="2:6" x14ac:dyDescent="0.25">
      <c r="B4948" s="3"/>
    </row>
    <row r="4949" spans="2:6" x14ac:dyDescent="0.25">
      <c r="B4949" s="3"/>
    </row>
    <row r="4950" spans="2:6" x14ac:dyDescent="0.25">
      <c r="B4950" s="3"/>
    </row>
    <row r="4951" spans="2:6" x14ac:dyDescent="0.25">
      <c r="B4951" s="3"/>
    </row>
    <row r="4952" spans="2:6" x14ac:dyDescent="0.25">
      <c r="B4952" s="3"/>
    </row>
    <row r="4953" spans="2:6" x14ac:dyDescent="0.25">
      <c r="B4953" s="3"/>
    </row>
    <row r="4954" spans="2:6" x14ac:dyDescent="0.25">
      <c r="B4954" s="3"/>
    </row>
    <row r="4955" spans="2:6" x14ac:dyDescent="0.25">
      <c r="B4955" s="3"/>
    </row>
    <row r="4956" spans="2:6" x14ac:dyDescent="0.25">
      <c r="B4956" s="3"/>
    </row>
    <row r="4957" spans="2:6" x14ac:dyDescent="0.25">
      <c r="B4957" s="3"/>
    </row>
    <row r="4958" spans="2:6" x14ac:dyDescent="0.25">
      <c r="B4958" s="3"/>
    </row>
    <row r="4959" spans="2:6" x14ac:dyDescent="0.25">
      <c r="B4959" s="3"/>
      <c r="F4959" s="4"/>
    </row>
    <row r="4960" spans="2:6" x14ac:dyDescent="0.25">
      <c r="B4960" s="3"/>
    </row>
    <row r="4961" spans="2:6" x14ac:dyDescent="0.25">
      <c r="B4961" s="3"/>
    </row>
    <row r="4962" spans="2:6" x14ac:dyDescent="0.25">
      <c r="B4962" s="3"/>
      <c r="F4962" s="4"/>
    </row>
    <row r="4963" spans="2:6" x14ac:dyDescent="0.25">
      <c r="B4963" s="3"/>
    </row>
    <row r="4964" spans="2:6" x14ac:dyDescent="0.25">
      <c r="B4964" s="3"/>
    </row>
    <row r="4965" spans="2:6" x14ac:dyDescent="0.25">
      <c r="B4965" s="3"/>
    </row>
    <row r="4966" spans="2:6" x14ac:dyDescent="0.25">
      <c r="B4966" s="3"/>
    </row>
    <row r="4967" spans="2:6" x14ac:dyDescent="0.25">
      <c r="B4967" s="3"/>
    </row>
    <row r="4968" spans="2:6" x14ac:dyDescent="0.25">
      <c r="B4968" s="3"/>
      <c r="F4968" s="4"/>
    </row>
    <row r="4969" spans="2:6" x14ac:dyDescent="0.25">
      <c r="B4969" s="3"/>
    </row>
    <row r="4970" spans="2:6" x14ac:dyDescent="0.25">
      <c r="B4970" s="3"/>
    </row>
    <row r="4971" spans="2:6" x14ac:dyDescent="0.25">
      <c r="B4971" s="3"/>
    </row>
    <row r="4972" spans="2:6" x14ac:dyDescent="0.25">
      <c r="B4972" s="3"/>
      <c r="F4972" s="4"/>
    </row>
    <row r="4973" spans="2:6" x14ac:dyDescent="0.25">
      <c r="B4973" s="3"/>
    </row>
    <row r="4974" spans="2:6" x14ac:dyDescent="0.25">
      <c r="B4974" s="3"/>
    </row>
    <row r="4975" spans="2:6" x14ac:dyDescent="0.25">
      <c r="B4975" s="3"/>
    </row>
    <row r="4976" spans="2:6" x14ac:dyDescent="0.25">
      <c r="B4976" s="3"/>
    </row>
    <row r="4977" spans="2:6" x14ac:dyDescent="0.25">
      <c r="B4977" s="3"/>
    </row>
    <row r="4978" spans="2:6" x14ac:dyDescent="0.25">
      <c r="B4978" s="3"/>
    </row>
    <row r="4979" spans="2:6" x14ac:dyDescent="0.25">
      <c r="B4979" s="3"/>
    </row>
    <row r="4980" spans="2:6" x14ac:dyDescent="0.25">
      <c r="B4980" s="3"/>
    </row>
    <row r="4981" spans="2:6" x14ac:dyDescent="0.25">
      <c r="B4981" s="3"/>
    </row>
    <row r="4982" spans="2:6" x14ac:dyDescent="0.25">
      <c r="B4982" s="3"/>
    </row>
    <row r="4983" spans="2:6" x14ac:dyDescent="0.25">
      <c r="B4983" s="3"/>
    </row>
    <row r="4984" spans="2:6" x14ac:dyDescent="0.25">
      <c r="B4984" s="3"/>
    </row>
    <row r="4985" spans="2:6" x14ac:dyDescent="0.25">
      <c r="B4985" s="3"/>
    </row>
    <row r="4986" spans="2:6" x14ac:dyDescent="0.25">
      <c r="B4986" s="3"/>
    </row>
    <row r="4987" spans="2:6" x14ac:dyDescent="0.25">
      <c r="B4987" s="3"/>
      <c r="F4987" s="4"/>
    </row>
    <row r="4988" spans="2:6" x14ac:dyDescent="0.25">
      <c r="B4988" s="3"/>
    </row>
    <row r="4989" spans="2:6" x14ac:dyDescent="0.25">
      <c r="B4989" s="3"/>
    </row>
    <row r="4990" spans="2:6" x14ac:dyDescent="0.25">
      <c r="B4990" s="3"/>
    </row>
    <row r="4991" spans="2:6" x14ac:dyDescent="0.25">
      <c r="B4991" s="3"/>
    </row>
    <row r="4992" spans="2:6" x14ac:dyDescent="0.25">
      <c r="B4992" s="3"/>
      <c r="F4992" s="4"/>
    </row>
    <row r="4993" spans="2:6" x14ac:dyDescent="0.25">
      <c r="B4993" s="3"/>
      <c r="F4993" s="4"/>
    </row>
    <row r="4994" spans="2:6" x14ac:dyDescent="0.25">
      <c r="B4994" s="3"/>
      <c r="F4994" s="4"/>
    </row>
    <row r="4995" spans="2:6" x14ac:dyDescent="0.25">
      <c r="B4995" s="3"/>
    </row>
    <row r="4996" spans="2:6" x14ac:dyDescent="0.25">
      <c r="B4996" s="3"/>
    </row>
    <row r="4997" spans="2:6" x14ac:dyDescent="0.25">
      <c r="B4997" s="3"/>
    </row>
    <row r="4998" spans="2:6" x14ac:dyDescent="0.25">
      <c r="B4998" s="3"/>
    </row>
    <row r="4999" spans="2:6" x14ac:dyDescent="0.25">
      <c r="B4999" s="3"/>
    </row>
    <row r="5000" spans="2:6" x14ac:dyDescent="0.25">
      <c r="B5000" s="3"/>
    </row>
    <row r="5001" spans="2:6" x14ac:dyDescent="0.25">
      <c r="B5001" s="3"/>
    </row>
    <row r="5002" spans="2:6" x14ac:dyDescent="0.25">
      <c r="B5002" s="3"/>
    </row>
    <row r="5003" spans="2:6" x14ac:dyDescent="0.25">
      <c r="B5003" s="3"/>
      <c r="F5003" s="4"/>
    </row>
    <row r="5004" spans="2:6" x14ac:dyDescent="0.25">
      <c r="B5004" s="3"/>
    </row>
    <row r="5005" spans="2:6" x14ac:dyDescent="0.25">
      <c r="B5005" s="3"/>
    </row>
    <row r="5006" spans="2:6" x14ac:dyDescent="0.25">
      <c r="B5006" s="3"/>
    </row>
    <row r="5007" spans="2:6" x14ac:dyDescent="0.25">
      <c r="B5007" s="3"/>
    </row>
    <row r="5008" spans="2:6" x14ac:dyDescent="0.25">
      <c r="B5008" s="3"/>
    </row>
    <row r="5009" spans="2:6" x14ac:dyDescent="0.25">
      <c r="B5009" s="3"/>
    </row>
    <row r="5010" spans="2:6" x14ac:dyDescent="0.25">
      <c r="B5010" s="3"/>
    </row>
    <row r="5011" spans="2:6" x14ac:dyDescent="0.25">
      <c r="B5011" s="3"/>
    </row>
    <row r="5012" spans="2:6" x14ac:dyDescent="0.25">
      <c r="B5012" s="3"/>
    </row>
    <row r="5013" spans="2:6" x14ac:dyDescent="0.25">
      <c r="B5013" s="3"/>
    </row>
    <row r="5014" spans="2:6" x14ac:dyDescent="0.25">
      <c r="B5014" s="3"/>
    </row>
    <row r="5015" spans="2:6" x14ac:dyDescent="0.25">
      <c r="B5015" s="3"/>
    </row>
    <row r="5016" spans="2:6" x14ac:dyDescent="0.25">
      <c r="B5016" s="3"/>
    </row>
    <row r="5017" spans="2:6" x14ac:dyDescent="0.25">
      <c r="B5017" s="3"/>
    </row>
    <row r="5018" spans="2:6" x14ac:dyDescent="0.25">
      <c r="B5018" s="3"/>
    </row>
    <row r="5019" spans="2:6" x14ac:dyDescent="0.25">
      <c r="B5019" s="3"/>
    </row>
    <row r="5020" spans="2:6" x14ac:dyDescent="0.25">
      <c r="B5020" s="3"/>
    </row>
    <row r="5021" spans="2:6" x14ac:dyDescent="0.25">
      <c r="B5021" s="3"/>
      <c r="F5021" s="4"/>
    </row>
    <row r="5022" spans="2:6" x14ac:dyDescent="0.25">
      <c r="B5022" s="3"/>
    </row>
    <row r="5023" spans="2:6" x14ac:dyDescent="0.25">
      <c r="B5023" s="3"/>
    </row>
    <row r="5024" spans="2:6" x14ac:dyDescent="0.25">
      <c r="B5024" s="3"/>
    </row>
    <row r="5025" spans="2:6" x14ac:dyDescent="0.25">
      <c r="B5025" s="3"/>
    </row>
    <row r="5026" spans="2:6" x14ac:dyDescent="0.25">
      <c r="B5026" s="3"/>
    </row>
    <row r="5027" spans="2:6" x14ac:dyDescent="0.25">
      <c r="B5027" s="3"/>
    </row>
    <row r="5028" spans="2:6" x14ac:dyDescent="0.25">
      <c r="B5028" s="3"/>
      <c r="F5028" s="4"/>
    </row>
    <row r="5029" spans="2:6" x14ac:dyDescent="0.25">
      <c r="B5029" s="3"/>
    </row>
    <row r="5030" spans="2:6" x14ac:dyDescent="0.25">
      <c r="B5030" s="3"/>
    </row>
    <row r="5031" spans="2:6" x14ac:dyDescent="0.25">
      <c r="B5031" s="3"/>
    </row>
    <row r="5032" spans="2:6" x14ac:dyDescent="0.25">
      <c r="B5032" s="3"/>
    </row>
    <row r="5033" spans="2:6" x14ac:dyDescent="0.25">
      <c r="B5033" s="3"/>
    </row>
    <row r="5034" spans="2:6" x14ac:dyDescent="0.25">
      <c r="B5034" s="3"/>
    </row>
    <row r="5035" spans="2:6" x14ac:dyDescent="0.25">
      <c r="B5035" s="3"/>
    </row>
    <row r="5036" spans="2:6" x14ac:dyDescent="0.25">
      <c r="B5036" s="3"/>
    </row>
    <row r="5037" spans="2:6" x14ac:dyDescent="0.25">
      <c r="B5037" s="3"/>
    </row>
    <row r="5038" spans="2:6" x14ac:dyDescent="0.25">
      <c r="B5038" s="3"/>
    </row>
    <row r="5039" spans="2:6" x14ac:dyDescent="0.25">
      <c r="B5039" s="3"/>
    </row>
    <row r="5040" spans="2:6" x14ac:dyDescent="0.25">
      <c r="B5040" s="3"/>
    </row>
    <row r="5041" spans="2:6" x14ac:dyDescent="0.25">
      <c r="B5041" s="3"/>
    </row>
    <row r="5042" spans="2:6" x14ac:dyDescent="0.25">
      <c r="B5042" s="3"/>
    </row>
    <row r="5043" spans="2:6" x14ac:dyDescent="0.25">
      <c r="B5043" s="3"/>
    </row>
    <row r="5044" spans="2:6" x14ac:dyDescent="0.25">
      <c r="B5044" s="3"/>
    </row>
    <row r="5045" spans="2:6" x14ac:dyDescent="0.25">
      <c r="B5045" s="3"/>
    </row>
    <row r="5046" spans="2:6" x14ac:dyDescent="0.25">
      <c r="B5046" s="3"/>
    </row>
    <row r="5047" spans="2:6" x14ac:dyDescent="0.25">
      <c r="B5047" s="3"/>
    </row>
    <row r="5048" spans="2:6" x14ac:dyDescent="0.25">
      <c r="B5048" s="3"/>
      <c r="F5048" s="4"/>
    </row>
    <row r="5049" spans="2:6" x14ac:dyDescent="0.25">
      <c r="B5049" s="3"/>
    </row>
    <row r="5050" spans="2:6" x14ac:dyDescent="0.25">
      <c r="B5050" s="3"/>
      <c r="F5050" s="4"/>
    </row>
    <row r="5051" spans="2:6" x14ac:dyDescent="0.25">
      <c r="B5051" s="3"/>
    </row>
    <row r="5052" spans="2:6" x14ac:dyDescent="0.25">
      <c r="B5052" s="3"/>
    </row>
    <row r="5053" spans="2:6" x14ac:dyDescent="0.25">
      <c r="B5053" s="3"/>
    </row>
    <row r="5054" spans="2:6" x14ac:dyDescent="0.25">
      <c r="B5054" s="3"/>
    </row>
    <row r="5055" spans="2:6" x14ac:dyDescent="0.25">
      <c r="B5055" s="3"/>
    </row>
    <row r="5056" spans="2:6" x14ac:dyDescent="0.25">
      <c r="B5056" s="3"/>
    </row>
    <row r="5057" spans="2:2" x14ac:dyDescent="0.25">
      <c r="B5057" s="3"/>
    </row>
    <row r="5058" spans="2:2" x14ac:dyDescent="0.25">
      <c r="B5058" s="3"/>
    </row>
    <row r="5059" spans="2:2" x14ac:dyDescent="0.25">
      <c r="B5059" s="3"/>
    </row>
    <row r="5060" spans="2:2" x14ac:dyDescent="0.25">
      <c r="B5060" s="3"/>
    </row>
    <row r="5061" spans="2:2" x14ac:dyDescent="0.25">
      <c r="B5061" s="3"/>
    </row>
    <row r="5062" spans="2:2" x14ac:dyDescent="0.25">
      <c r="B5062" s="3"/>
    </row>
    <row r="5063" spans="2:2" x14ac:dyDescent="0.25">
      <c r="B5063" s="3"/>
    </row>
    <row r="5064" spans="2:2" x14ac:dyDescent="0.25">
      <c r="B5064" s="3"/>
    </row>
    <row r="5065" spans="2:2" x14ac:dyDescent="0.25">
      <c r="B5065" s="3"/>
    </row>
    <row r="5066" spans="2:2" x14ac:dyDescent="0.25">
      <c r="B5066" s="3"/>
    </row>
    <row r="5067" spans="2:2" x14ac:dyDescent="0.25">
      <c r="B5067" s="3"/>
    </row>
    <row r="5068" spans="2:2" x14ac:dyDescent="0.25">
      <c r="B5068" s="3"/>
    </row>
    <row r="5069" spans="2:2" x14ac:dyDescent="0.25">
      <c r="B5069" s="3"/>
    </row>
    <row r="5070" spans="2:2" x14ac:dyDescent="0.25">
      <c r="B5070" s="3"/>
    </row>
    <row r="5071" spans="2:2" x14ac:dyDescent="0.25">
      <c r="B5071" s="3"/>
    </row>
    <row r="5072" spans="2:2" x14ac:dyDescent="0.25">
      <c r="B5072" s="3"/>
    </row>
    <row r="5073" spans="2:6" x14ac:dyDescent="0.25">
      <c r="B5073" s="3"/>
    </row>
    <row r="5074" spans="2:6" x14ac:dyDescent="0.25">
      <c r="B5074" s="3"/>
    </row>
    <row r="5075" spans="2:6" x14ac:dyDescent="0.25">
      <c r="B5075" s="3"/>
    </row>
    <row r="5076" spans="2:6" x14ac:dyDescent="0.25">
      <c r="B5076" s="3"/>
    </row>
    <row r="5077" spans="2:6" x14ac:dyDescent="0.25">
      <c r="B5077" s="3"/>
    </row>
    <row r="5078" spans="2:6" x14ac:dyDescent="0.25">
      <c r="B5078" s="3"/>
    </row>
    <row r="5079" spans="2:6" x14ac:dyDescent="0.25">
      <c r="B5079" s="3"/>
    </row>
    <row r="5080" spans="2:6" x14ac:dyDescent="0.25">
      <c r="B5080" s="3"/>
    </row>
    <row r="5081" spans="2:6" x14ac:dyDescent="0.25">
      <c r="B5081" s="3"/>
    </row>
    <row r="5082" spans="2:6" x14ac:dyDescent="0.25">
      <c r="B5082" s="3"/>
    </row>
    <row r="5083" spans="2:6" x14ac:dyDescent="0.25">
      <c r="B5083" s="3"/>
    </row>
    <row r="5084" spans="2:6" x14ac:dyDescent="0.25">
      <c r="B5084" s="3"/>
      <c r="F5084" s="4"/>
    </row>
    <row r="5085" spans="2:6" x14ac:dyDescent="0.25">
      <c r="B5085" s="3"/>
    </row>
    <row r="5086" spans="2:6" x14ac:dyDescent="0.25">
      <c r="B5086" s="3"/>
    </row>
    <row r="5087" spans="2:6" x14ac:dyDescent="0.25">
      <c r="B5087" s="3"/>
    </row>
    <row r="5088" spans="2:6" x14ac:dyDescent="0.25">
      <c r="B5088" s="3"/>
    </row>
    <row r="5089" spans="2:2" x14ac:dyDescent="0.25">
      <c r="B5089" s="3"/>
    </row>
    <row r="5090" spans="2:2" x14ac:dyDescent="0.25">
      <c r="B5090" s="3"/>
    </row>
    <row r="5091" spans="2:2" x14ac:dyDescent="0.25">
      <c r="B5091" s="3"/>
    </row>
    <row r="5092" spans="2:2" x14ac:dyDescent="0.25">
      <c r="B5092" s="3"/>
    </row>
    <row r="5093" spans="2:2" x14ac:dyDescent="0.25">
      <c r="B5093" s="3"/>
    </row>
    <row r="5094" spans="2:2" x14ac:dyDescent="0.25">
      <c r="B5094" s="3"/>
    </row>
    <row r="5095" spans="2:2" x14ac:dyDescent="0.25">
      <c r="B5095" s="3"/>
    </row>
    <row r="5096" spans="2:2" x14ac:dyDescent="0.25">
      <c r="B5096" s="3"/>
    </row>
    <row r="5097" spans="2:2" x14ac:dyDescent="0.25">
      <c r="B5097" s="3"/>
    </row>
    <row r="5098" spans="2:2" x14ac:dyDescent="0.25">
      <c r="B5098" s="3"/>
    </row>
    <row r="5099" spans="2:2" x14ac:dyDescent="0.25">
      <c r="B5099" s="3"/>
    </row>
    <row r="5100" spans="2:2" x14ac:dyDescent="0.25">
      <c r="B5100" s="3"/>
    </row>
    <row r="5101" spans="2:2" x14ac:dyDescent="0.25">
      <c r="B5101" s="3"/>
    </row>
    <row r="5102" spans="2:2" x14ac:dyDescent="0.25">
      <c r="B5102" s="3"/>
    </row>
    <row r="5103" spans="2:2" x14ac:dyDescent="0.25">
      <c r="B5103" s="3"/>
    </row>
    <row r="5104" spans="2:2" x14ac:dyDescent="0.25">
      <c r="B5104" s="3"/>
    </row>
    <row r="5105" spans="2:2" x14ac:dyDescent="0.25">
      <c r="B5105" s="3"/>
    </row>
    <row r="5106" spans="2:2" x14ac:dyDescent="0.25">
      <c r="B5106" s="3"/>
    </row>
    <row r="5107" spans="2:2" x14ac:dyDescent="0.25">
      <c r="B5107" s="3"/>
    </row>
    <row r="5108" spans="2:2" x14ac:dyDescent="0.25">
      <c r="B5108" s="3"/>
    </row>
    <row r="5109" spans="2:2" x14ac:dyDescent="0.25">
      <c r="B5109" s="3"/>
    </row>
    <row r="5110" spans="2:2" x14ac:dyDescent="0.25">
      <c r="B5110" s="3"/>
    </row>
    <row r="5111" spans="2:2" x14ac:dyDescent="0.25">
      <c r="B5111" s="3"/>
    </row>
    <row r="5112" spans="2:2" x14ac:dyDescent="0.25">
      <c r="B5112" s="3"/>
    </row>
    <row r="5113" spans="2:2" x14ac:dyDescent="0.25">
      <c r="B5113" s="3"/>
    </row>
    <row r="5114" spans="2:2" x14ac:dyDescent="0.25">
      <c r="B5114" s="3"/>
    </row>
    <row r="5115" spans="2:2" x14ac:dyDescent="0.25">
      <c r="B5115" s="3"/>
    </row>
    <row r="5116" spans="2:2" x14ac:dyDescent="0.25">
      <c r="B5116" s="3"/>
    </row>
    <row r="5117" spans="2:2" x14ac:dyDescent="0.25">
      <c r="B5117" s="3"/>
    </row>
    <row r="5118" spans="2:2" x14ac:dyDescent="0.25">
      <c r="B5118" s="3"/>
    </row>
    <row r="5119" spans="2:2" x14ac:dyDescent="0.25">
      <c r="B5119" s="3"/>
    </row>
    <row r="5120" spans="2:2" x14ac:dyDescent="0.25">
      <c r="B5120" s="3"/>
    </row>
    <row r="5121" spans="2:2" x14ac:dyDescent="0.25">
      <c r="B5121" s="3"/>
    </row>
    <row r="5122" spans="2:2" x14ac:dyDescent="0.25">
      <c r="B5122" s="3"/>
    </row>
    <row r="5123" spans="2:2" x14ac:dyDescent="0.25">
      <c r="B5123" s="3"/>
    </row>
    <row r="5124" spans="2:2" x14ac:dyDescent="0.25">
      <c r="B5124" s="3"/>
    </row>
    <row r="5125" spans="2:2" x14ac:dyDescent="0.25">
      <c r="B5125" s="3"/>
    </row>
    <row r="5126" spans="2:2" x14ac:dyDescent="0.25">
      <c r="B5126" s="3"/>
    </row>
    <row r="5127" spans="2:2" x14ac:dyDescent="0.25">
      <c r="B5127" s="3"/>
    </row>
    <row r="5128" spans="2:2" x14ac:dyDescent="0.25">
      <c r="B5128" s="3"/>
    </row>
    <row r="5129" spans="2:2" x14ac:dyDescent="0.25">
      <c r="B5129" s="3"/>
    </row>
    <row r="5130" spans="2:2" x14ac:dyDescent="0.25">
      <c r="B5130" s="3"/>
    </row>
    <row r="5131" spans="2:2" x14ac:dyDescent="0.25">
      <c r="B5131" s="3"/>
    </row>
    <row r="5132" spans="2:2" x14ac:dyDescent="0.25">
      <c r="B5132" s="3"/>
    </row>
    <row r="5133" spans="2:2" x14ac:dyDescent="0.25">
      <c r="B5133" s="3"/>
    </row>
    <row r="5134" spans="2:2" x14ac:dyDescent="0.25">
      <c r="B5134" s="3"/>
    </row>
    <row r="5135" spans="2:2" x14ac:dyDescent="0.25">
      <c r="B5135" s="3"/>
    </row>
    <row r="5136" spans="2:2" x14ac:dyDescent="0.25">
      <c r="B5136" s="3"/>
    </row>
    <row r="5137" spans="2:6" x14ac:dyDescent="0.25">
      <c r="B5137" s="3"/>
    </row>
    <row r="5138" spans="2:6" x14ac:dyDescent="0.25">
      <c r="B5138" s="3"/>
    </row>
    <row r="5139" spans="2:6" x14ac:dyDescent="0.25">
      <c r="B5139" s="3"/>
    </row>
    <row r="5140" spans="2:6" x14ac:dyDescent="0.25">
      <c r="B5140" s="3"/>
    </row>
    <row r="5141" spans="2:6" x14ac:dyDescent="0.25">
      <c r="B5141" s="3"/>
    </row>
    <row r="5142" spans="2:6" x14ac:dyDescent="0.25">
      <c r="B5142" s="3"/>
      <c r="F5142" s="4"/>
    </row>
    <row r="5143" spans="2:6" x14ac:dyDescent="0.25">
      <c r="B5143" s="3"/>
    </row>
    <row r="5144" spans="2:6" x14ac:dyDescent="0.25">
      <c r="B5144" s="3"/>
    </row>
    <row r="5145" spans="2:6" x14ac:dyDescent="0.25">
      <c r="B5145" s="3"/>
    </row>
  </sheetData>
  <phoneticPr fontId="2" type="noConversion"/>
  <pageMargins left="0.7" right="0.7" top="0.75" bottom="0.75" header="0.3" footer="0.3"/>
  <pageSetup orientation="portrait" r:id="rId1"/>
  <customProperties>
    <customPr name="%get_maps%" r:id="rId2"/>
  </customProperties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xr:uid="{58CF61AB-837D-48A2-B0AE-00242BC46AA7}">
          <x14:formula1>
            <xm:f>Enabler4Excel_Picklist_Values!$C$2:$C$4</xm:f>
          </x14:formula1>
          <xm:sqref>C4110 C2:C4109</xm:sqref>
        </x14:dataValidation>
        <x14:dataValidation type="list" errorStyle="information" allowBlank="1" showInputMessage="1" showErrorMessage="1" xr:uid="{F461ECDE-380F-4F57-B135-DC6212E37404}">
          <x14:formula1>
            <xm:f>Enabler4Excel_Picklist_Values!$A$2:$A$3</xm:f>
          </x14:formula1>
          <xm:sqref>B4110 B2:B4109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B7FA-7351-43D6-8879-9A5C939F6DE5}">
  <dimension ref="A1:I77"/>
  <sheetViews>
    <sheetView workbookViewId="0">
      <selection sqref="A1:XFD1048576"/>
    </sheetView>
  </sheetViews>
  <sheetFormatPr defaultRowHeight="15" x14ac:dyDescent="0.25"/>
  <cols>
    <col min="1" max="1" width="29.140625" bestFit="1" customWidth="1"/>
    <col min="2" max="2" width="16.7109375" bestFit="1" customWidth="1"/>
    <col min="3" max="3" width="10.42578125" bestFit="1" customWidth="1"/>
    <col min="4" max="4" width="11.5703125" bestFit="1" customWidth="1"/>
    <col min="5" max="5" width="26.5703125" bestFit="1" customWidth="1"/>
    <col min="6" max="6" width="50.5703125" bestFit="1" customWidth="1"/>
    <col min="7" max="7" width="10.85546875" bestFit="1" customWidth="1"/>
  </cols>
  <sheetData>
    <row r="1" spans="1:9" x14ac:dyDescent="0.25">
      <c r="A1" s="1" t="s">
        <v>0</v>
      </c>
      <c r="B1" s="1" t="s">
        <v>5</v>
      </c>
      <c r="C1" s="1" t="s">
        <v>6</v>
      </c>
      <c r="D1" s="1" t="s">
        <v>48</v>
      </c>
      <c r="E1" s="1" t="s">
        <v>78</v>
      </c>
      <c r="F1" s="1" t="s">
        <v>7</v>
      </c>
      <c r="G1" s="1" t="s">
        <v>40</v>
      </c>
      <c r="H1" s="1" t="s">
        <v>39</v>
      </c>
      <c r="I1" s="1" t="s">
        <v>45</v>
      </c>
    </row>
    <row r="2" spans="1:9" x14ac:dyDescent="0.25">
      <c r="A2">
        <v>196081</v>
      </c>
      <c r="B2" s="3">
        <v>46162</v>
      </c>
      <c r="C2">
        <v>1173.92</v>
      </c>
      <c r="D2">
        <v>5117</v>
      </c>
      <c r="F2" t="s">
        <v>8</v>
      </c>
      <c r="G2" t="s">
        <v>41</v>
      </c>
      <c r="H2">
        <f>Table2[[#This Row],[Amount]]*-1</f>
        <v>-1173.92</v>
      </c>
      <c r="I2" t="str">
        <f>IF(Table2[[#This Row],[Type]]="Check","BILL",IF(Table2[[#This Row],[Type]]="Credit Card","CC","ACH"))</f>
        <v>BILL</v>
      </c>
    </row>
    <row r="3" spans="1:9" x14ac:dyDescent="0.25">
      <c r="A3">
        <v>153444</v>
      </c>
      <c r="B3" s="3">
        <v>46168</v>
      </c>
      <c r="C3">
        <v>1106.9000000000001</v>
      </c>
      <c r="E3">
        <v>10124041</v>
      </c>
      <c r="F3" t="s">
        <v>9</v>
      </c>
      <c r="G3" t="s">
        <v>42</v>
      </c>
      <c r="H3" s="29">
        <f>Table2[[#This Row],[Amount]]*-1</f>
        <v>-1106.9000000000001</v>
      </c>
      <c r="I3" s="29" t="str">
        <f>IF(Table2[[#This Row],[Type]]="Check","BILL",IF(Table2[[#This Row],[Type]]="Credit Card","CC","ACH"))</f>
        <v>ACH</v>
      </c>
    </row>
    <row r="4" spans="1:9" x14ac:dyDescent="0.25">
      <c r="A4">
        <v>239221</v>
      </c>
      <c r="B4" s="3">
        <v>46170</v>
      </c>
      <c r="C4">
        <v>230.52</v>
      </c>
      <c r="F4" t="s">
        <v>9</v>
      </c>
      <c r="G4" t="s">
        <v>42</v>
      </c>
      <c r="H4" s="29">
        <f>Table2[[#This Row],[Amount]]*-1</f>
        <v>-230.52</v>
      </c>
      <c r="I4" s="29" t="str">
        <f>IF(Table2[[#This Row],[Type]]="Check","BILL",IF(Table2[[#This Row],[Type]]="Credit Card","CC","ACH"))</f>
        <v>ACH</v>
      </c>
    </row>
    <row r="5" spans="1:9" x14ac:dyDescent="0.25">
      <c r="A5">
        <v>247318</v>
      </c>
      <c r="B5" s="3">
        <v>46162</v>
      </c>
      <c r="C5">
        <v>168.76</v>
      </c>
      <c r="E5">
        <v>10111695</v>
      </c>
      <c r="F5" t="s">
        <v>9</v>
      </c>
      <c r="G5" t="s">
        <v>42</v>
      </c>
      <c r="H5">
        <f>Table2[[#This Row],[Amount]]*-1</f>
        <v>-168.76</v>
      </c>
      <c r="I5" t="str">
        <f>IF(Table2[[#This Row],[Type]]="Check","BILL",IF(Table2[[#This Row],[Type]]="Credit Card","CC","ACH"))</f>
        <v>ACH</v>
      </c>
    </row>
    <row r="6" spans="1:9" x14ac:dyDescent="0.25">
      <c r="A6">
        <v>257166</v>
      </c>
      <c r="B6" s="3">
        <v>46163</v>
      </c>
      <c r="C6">
        <v>152.59</v>
      </c>
      <c r="E6" s="9">
        <v>10114805</v>
      </c>
      <c r="F6" t="s">
        <v>9</v>
      </c>
      <c r="G6" t="s">
        <v>42</v>
      </c>
      <c r="H6">
        <f>Table2[[#This Row],[Amount]]*-1</f>
        <v>-152.59</v>
      </c>
      <c r="I6" t="str">
        <f>IF(Table2[[#This Row],[Type]]="Check","BILL",IF(Table2[[#This Row],[Type]]="Credit Card","CC","ACH"))</f>
        <v>ACH</v>
      </c>
    </row>
    <row r="7" spans="1:9" x14ac:dyDescent="0.25">
      <c r="A7">
        <v>258674</v>
      </c>
      <c r="B7" s="3">
        <v>46149</v>
      </c>
      <c r="C7">
        <v>147.31</v>
      </c>
      <c r="E7">
        <v>10053572</v>
      </c>
      <c r="F7" t="s">
        <v>9</v>
      </c>
      <c r="G7" t="s">
        <v>42</v>
      </c>
      <c r="H7">
        <f>Table2[[#This Row],[Amount]]*-1</f>
        <v>-147.31</v>
      </c>
      <c r="I7" t="str">
        <f>IF(Table2[[#This Row],[Type]]="Check","BILL",IF(Table2[[#This Row],[Type]]="Credit Card","CC","ACH"))</f>
        <v>ACH</v>
      </c>
    </row>
    <row r="8" spans="1:9" x14ac:dyDescent="0.25">
      <c r="A8">
        <v>255601</v>
      </c>
      <c r="B8" s="3">
        <v>46162</v>
      </c>
      <c r="C8">
        <v>127.73</v>
      </c>
      <c r="E8" s="9">
        <v>10111695</v>
      </c>
      <c r="F8" t="s">
        <v>9</v>
      </c>
      <c r="G8" t="s">
        <v>42</v>
      </c>
      <c r="H8">
        <f>Table2[[#This Row],[Amount]]*-1</f>
        <v>-127.73</v>
      </c>
      <c r="I8" t="str">
        <f>IF(Table2[[#This Row],[Type]]="Check","BILL",IF(Table2[[#This Row],[Type]]="Credit Card","CC","ACH"))</f>
        <v>ACH</v>
      </c>
    </row>
    <row r="9" spans="1:9" x14ac:dyDescent="0.25">
      <c r="A9">
        <v>255601</v>
      </c>
      <c r="B9" s="3">
        <v>46170</v>
      </c>
      <c r="C9">
        <v>127.73</v>
      </c>
      <c r="F9" t="s">
        <v>9</v>
      </c>
      <c r="G9" t="s">
        <v>42</v>
      </c>
      <c r="H9" s="29">
        <f>Table2[[#This Row],[Amount]]*-1</f>
        <v>-127.73</v>
      </c>
      <c r="I9" s="29" t="str">
        <f>IF(Table2[[#This Row],[Type]]="Check","BILL",IF(Table2[[#This Row],[Type]]="Credit Card","CC","ACH"))</f>
        <v>ACH</v>
      </c>
    </row>
    <row r="10" spans="1:9" x14ac:dyDescent="0.25">
      <c r="A10">
        <v>258149</v>
      </c>
      <c r="B10" s="3">
        <v>46154</v>
      </c>
      <c r="C10">
        <v>127.29</v>
      </c>
      <c r="E10" s="9">
        <v>10072438</v>
      </c>
      <c r="F10" t="s">
        <v>9</v>
      </c>
      <c r="G10" t="s">
        <v>42</v>
      </c>
      <c r="H10">
        <f>Table2[[#This Row],[Amount]]*-1</f>
        <v>-127.29</v>
      </c>
      <c r="I10" t="str">
        <f>IF(Table2[[#This Row],[Type]]="Check","BILL",IF(Table2[[#This Row],[Type]]="Credit Card","CC","ACH"))</f>
        <v>ACH</v>
      </c>
    </row>
    <row r="11" spans="1:9" x14ac:dyDescent="0.25">
      <c r="A11">
        <v>254555</v>
      </c>
      <c r="B11" s="3">
        <v>46160</v>
      </c>
      <c r="C11">
        <v>125.86</v>
      </c>
      <c r="F11" t="s">
        <v>10</v>
      </c>
      <c r="G11" t="s">
        <v>42</v>
      </c>
      <c r="H11">
        <f>Table2[[#This Row],[Amount]]*-1</f>
        <v>-125.86</v>
      </c>
      <c r="I11" t="str">
        <f>IF(Table2[[#This Row],[Type]]="Check","BILL",IF(Table2[[#This Row],[Type]]="Credit Card","CC","ACH"))</f>
        <v>ACH</v>
      </c>
    </row>
    <row r="12" spans="1:9" x14ac:dyDescent="0.25">
      <c r="A12">
        <v>256281</v>
      </c>
      <c r="B12" s="3">
        <v>46162</v>
      </c>
      <c r="C12">
        <v>114.09</v>
      </c>
      <c r="E12">
        <v>10111695</v>
      </c>
      <c r="F12" t="s">
        <v>9</v>
      </c>
      <c r="G12" t="s">
        <v>42</v>
      </c>
      <c r="H12">
        <f>Table2[[#This Row],[Amount]]*-1</f>
        <v>-114.09</v>
      </c>
      <c r="I12" t="str">
        <f>IF(Table2[[#This Row],[Type]]="Check","BILL",IF(Table2[[#This Row],[Type]]="Credit Card","CC","ACH"))</f>
        <v>ACH</v>
      </c>
    </row>
    <row r="13" spans="1:9" x14ac:dyDescent="0.25">
      <c r="A13">
        <v>260425</v>
      </c>
      <c r="B13" s="3">
        <v>46160</v>
      </c>
      <c r="C13">
        <v>101.77</v>
      </c>
      <c r="F13" t="s">
        <v>10</v>
      </c>
      <c r="G13" t="s">
        <v>42</v>
      </c>
      <c r="H13">
        <f>Table2[[#This Row],[Amount]]*-1</f>
        <v>-101.77</v>
      </c>
      <c r="I13" t="str">
        <f>IF(Table2[[#This Row],[Type]]="Check","BILL",IF(Table2[[#This Row],[Type]]="Credit Card","CC","ACH"))</f>
        <v>ACH</v>
      </c>
    </row>
    <row r="14" spans="1:9" x14ac:dyDescent="0.25">
      <c r="A14">
        <v>259901</v>
      </c>
      <c r="B14" s="3">
        <v>46163</v>
      </c>
      <c r="C14">
        <v>100.45</v>
      </c>
      <c r="E14">
        <v>10111695</v>
      </c>
      <c r="F14" t="s">
        <v>9</v>
      </c>
      <c r="G14" t="s">
        <v>42</v>
      </c>
      <c r="H14" s="29">
        <f>Table2[[#This Row],[Amount]]*-1</f>
        <v>-100.45</v>
      </c>
      <c r="I14" s="29" t="str">
        <f>IF(Table2[[#This Row],[Type]]="Check","BILL",IF(Table2[[#This Row],[Type]]="Credit Card","CC","ACH"))</f>
        <v>ACH</v>
      </c>
    </row>
    <row r="15" spans="1:9" x14ac:dyDescent="0.25">
      <c r="A15">
        <v>260423</v>
      </c>
      <c r="B15" s="3">
        <v>46154</v>
      </c>
      <c r="C15">
        <v>93.41</v>
      </c>
      <c r="E15" s="9">
        <v>10067535</v>
      </c>
      <c r="F15" t="s">
        <v>9</v>
      </c>
      <c r="G15" t="s">
        <v>42</v>
      </c>
      <c r="H15">
        <f>Table2[[#This Row],[Amount]]*-1</f>
        <v>-93.41</v>
      </c>
      <c r="I15" t="str">
        <f>IF(Table2[[#This Row],[Type]]="Check","BILL",IF(Table2[[#This Row],[Type]]="Credit Card","CC","ACH"))</f>
        <v>ACH</v>
      </c>
    </row>
    <row r="16" spans="1:9" x14ac:dyDescent="0.25">
      <c r="A16">
        <v>260336</v>
      </c>
      <c r="B16" s="3">
        <v>46160</v>
      </c>
      <c r="C16">
        <v>92.2</v>
      </c>
      <c r="E16" s="9"/>
      <c r="F16" t="s">
        <v>10</v>
      </c>
      <c r="G16" t="s">
        <v>42</v>
      </c>
      <c r="H16">
        <f>Table2[[#This Row],[Amount]]*-1</f>
        <v>-92.2</v>
      </c>
      <c r="I16" t="str">
        <f>IF(Table2[[#This Row],[Type]]="Check","BILL",IF(Table2[[#This Row],[Type]]="Credit Card","CC","ACH"))</f>
        <v>ACH</v>
      </c>
    </row>
    <row r="17" spans="1:9" x14ac:dyDescent="0.25">
      <c r="A17">
        <v>260362</v>
      </c>
      <c r="B17" s="3">
        <v>46171</v>
      </c>
      <c r="C17">
        <v>89.45</v>
      </c>
      <c r="F17" t="s">
        <v>9</v>
      </c>
      <c r="G17" t="s">
        <v>42</v>
      </c>
      <c r="H17" s="29">
        <f>Table2[[#This Row],[Amount]]*-1</f>
        <v>-89.45</v>
      </c>
      <c r="I17" s="29" t="str">
        <f>IF(Table2[[#This Row],[Type]]="Check","BILL",IF(Table2[[#This Row],[Type]]="Credit Card","CC","ACH"))</f>
        <v>ACH</v>
      </c>
    </row>
    <row r="18" spans="1:9" x14ac:dyDescent="0.25">
      <c r="A18">
        <v>242619</v>
      </c>
      <c r="B18" s="3">
        <v>46171</v>
      </c>
      <c r="C18">
        <v>86.2</v>
      </c>
      <c r="F18" t="s">
        <v>9</v>
      </c>
      <c r="G18" t="s">
        <v>42</v>
      </c>
      <c r="H18" s="29">
        <f>Table2[[#This Row],[Amount]]*-1</f>
        <v>-86.2</v>
      </c>
      <c r="I18" s="29" t="str">
        <f>IF(Table2[[#This Row],[Type]]="Check","BILL",IF(Table2[[#This Row],[Type]]="Credit Card","CC","ACH"))</f>
        <v>ACH</v>
      </c>
    </row>
    <row r="19" spans="1:9" x14ac:dyDescent="0.25">
      <c r="A19">
        <v>239221</v>
      </c>
      <c r="B19" s="3">
        <v>46162</v>
      </c>
      <c r="C19">
        <v>76.95</v>
      </c>
      <c r="E19">
        <v>10114805</v>
      </c>
      <c r="F19" t="s">
        <v>9</v>
      </c>
      <c r="G19" t="s">
        <v>42</v>
      </c>
      <c r="H19">
        <f>Table2[[#This Row],[Amount]]*-1</f>
        <v>-76.95</v>
      </c>
      <c r="I19" t="str">
        <f>IF(Table2[[#This Row],[Type]]="Check","BILL",IF(Table2[[#This Row],[Type]]="Credit Card","CC","ACH"))</f>
        <v>ACH</v>
      </c>
    </row>
    <row r="20" spans="1:9" x14ac:dyDescent="0.25">
      <c r="A20">
        <v>258687</v>
      </c>
      <c r="B20" s="3">
        <v>46162</v>
      </c>
      <c r="C20">
        <v>72.510000000000005</v>
      </c>
      <c r="E20">
        <v>10111695</v>
      </c>
      <c r="F20" t="s">
        <v>9</v>
      </c>
      <c r="G20" t="s">
        <v>42</v>
      </c>
      <c r="H20">
        <f>Table2[[#This Row],[Amount]]*-1</f>
        <v>-72.510000000000005</v>
      </c>
      <c r="I20" t="str">
        <f>IF(Table2[[#This Row],[Type]]="Check","BILL",IF(Table2[[#This Row],[Type]]="Credit Card","CC","ACH"))</f>
        <v>ACH</v>
      </c>
    </row>
    <row r="21" spans="1:9" x14ac:dyDescent="0.25">
      <c r="A21">
        <v>256590</v>
      </c>
      <c r="B21" s="3">
        <v>46171</v>
      </c>
      <c r="C21">
        <v>72.400000000000006</v>
      </c>
      <c r="F21" t="s">
        <v>9</v>
      </c>
      <c r="G21" t="s">
        <v>42</v>
      </c>
      <c r="H21" s="29">
        <f>Table2[[#This Row],[Amount]]*-1</f>
        <v>-72.400000000000006</v>
      </c>
      <c r="I21" s="29" t="str">
        <f>IF(Table2[[#This Row],[Type]]="Check","BILL",IF(Table2[[#This Row],[Type]]="Credit Card","CC","ACH"))</f>
        <v>ACH</v>
      </c>
    </row>
    <row r="22" spans="1:9" x14ac:dyDescent="0.25">
      <c r="A22">
        <v>235713</v>
      </c>
      <c r="B22" s="3">
        <v>46173</v>
      </c>
      <c r="C22">
        <v>69.27</v>
      </c>
      <c r="F22" t="s">
        <v>8</v>
      </c>
      <c r="G22" t="s">
        <v>41</v>
      </c>
      <c r="H22" s="29">
        <f>Table2[[#This Row],[Amount]]*-1</f>
        <v>-69.27</v>
      </c>
      <c r="I22" s="29" t="str">
        <f>IF(Table2[[#This Row],[Type]]="Check","BILL",IF(Table2[[#This Row],[Type]]="Credit Card","CC","ACH"))</f>
        <v>BILL</v>
      </c>
    </row>
    <row r="23" spans="1:9" x14ac:dyDescent="0.25">
      <c r="A23">
        <v>232410</v>
      </c>
      <c r="B23" s="3">
        <v>46162</v>
      </c>
      <c r="C23">
        <v>67.61</v>
      </c>
      <c r="E23">
        <v>10111695</v>
      </c>
      <c r="F23" t="s">
        <v>9</v>
      </c>
      <c r="G23" t="s">
        <v>42</v>
      </c>
      <c r="H23">
        <f>Table2[[#This Row],[Amount]]*-1</f>
        <v>-67.61</v>
      </c>
      <c r="I23" t="str">
        <f>IF(Table2[[#This Row],[Type]]="Check","BILL",IF(Table2[[#This Row],[Type]]="Credit Card","CC","ACH"))</f>
        <v>ACH</v>
      </c>
    </row>
    <row r="24" spans="1:9" x14ac:dyDescent="0.25">
      <c r="A24">
        <v>260458</v>
      </c>
      <c r="B24" s="3">
        <v>46168</v>
      </c>
      <c r="C24">
        <v>65.25</v>
      </c>
      <c r="E24" s="9">
        <v>10111695</v>
      </c>
      <c r="F24" t="s">
        <v>9</v>
      </c>
      <c r="G24" t="s">
        <v>42</v>
      </c>
      <c r="H24" s="29">
        <f>Table2[[#This Row],[Amount]]*-1</f>
        <v>-65.25</v>
      </c>
      <c r="I24" s="29" t="str">
        <f>IF(Table2[[#This Row],[Type]]="Check","BILL",IF(Table2[[#This Row],[Type]]="Credit Card","CC","ACH"))</f>
        <v>ACH</v>
      </c>
    </row>
    <row r="25" spans="1:9" x14ac:dyDescent="0.25">
      <c r="A25">
        <v>260078</v>
      </c>
      <c r="B25" s="3">
        <v>46171</v>
      </c>
      <c r="C25">
        <v>64.150000000000006</v>
      </c>
      <c r="E25" s="9"/>
      <c r="F25" t="s">
        <v>9</v>
      </c>
      <c r="G25" t="s">
        <v>42</v>
      </c>
      <c r="H25" s="30">
        <f>Table2[[#This Row],[Amount]]*-1</f>
        <v>-64.150000000000006</v>
      </c>
      <c r="I25" s="29" t="str">
        <f>IF(Table2[[#This Row],[Type]]="Check","BILL",IF(Table2[[#This Row],[Type]]="Credit Card","CC","ACH"))</f>
        <v>ACH</v>
      </c>
    </row>
    <row r="26" spans="1:9" x14ac:dyDescent="0.25">
      <c r="A26">
        <v>259854</v>
      </c>
      <c r="B26" s="3">
        <v>46171</v>
      </c>
      <c r="C26">
        <v>61.95</v>
      </c>
      <c r="E26" s="9"/>
      <c r="F26" t="s">
        <v>9</v>
      </c>
      <c r="G26" t="s">
        <v>42</v>
      </c>
      <c r="H26" s="29">
        <f>Table2[[#This Row],[Amount]]*-1</f>
        <v>-61.95</v>
      </c>
      <c r="I26" s="29" t="str">
        <f>IF(Table2[[#This Row],[Type]]="Check","BILL",IF(Table2[[#This Row],[Type]]="Credit Card","CC","ACH"))</f>
        <v>ACH</v>
      </c>
    </row>
    <row r="27" spans="1:9" x14ac:dyDescent="0.25">
      <c r="A27">
        <v>255146</v>
      </c>
      <c r="B27" s="3">
        <v>46163</v>
      </c>
      <c r="C27">
        <v>60.85</v>
      </c>
      <c r="E27" s="10">
        <v>10006725</v>
      </c>
      <c r="F27" t="s">
        <v>9</v>
      </c>
      <c r="G27" t="s">
        <v>42</v>
      </c>
      <c r="H27" s="29">
        <f>Table2[[#This Row],[Amount]]*-1</f>
        <v>-60.85</v>
      </c>
      <c r="I27" s="29" t="str">
        <f>IF(Table2[[#This Row],[Type]]="Check","BILL",IF(Table2[[#This Row],[Type]]="Credit Card","CC","ACH"))</f>
        <v>ACH</v>
      </c>
    </row>
    <row r="28" spans="1:9" x14ac:dyDescent="0.25">
      <c r="A28">
        <v>255146</v>
      </c>
      <c r="B28" s="3">
        <v>46168</v>
      </c>
      <c r="C28">
        <v>60.85</v>
      </c>
      <c r="E28">
        <v>10114805</v>
      </c>
      <c r="F28" t="s">
        <v>9</v>
      </c>
      <c r="G28" t="s">
        <v>42</v>
      </c>
      <c r="H28" s="29">
        <f>Table2[[#This Row],[Amount]]*-1</f>
        <v>-60.85</v>
      </c>
      <c r="I28" s="29" t="str">
        <f>IF(Table2[[#This Row],[Type]]="Check","BILL",IF(Table2[[#This Row],[Type]]="Credit Card","CC","ACH"))</f>
        <v>ACH</v>
      </c>
    </row>
    <row r="29" spans="1:9" x14ac:dyDescent="0.25">
      <c r="A29">
        <v>259273</v>
      </c>
      <c r="B29" s="3">
        <v>46162</v>
      </c>
      <c r="C29">
        <v>60.19</v>
      </c>
      <c r="E29" s="9">
        <v>10111695</v>
      </c>
      <c r="F29" t="s">
        <v>9</v>
      </c>
      <c r="G29" t="s">
        <v>42</v>
      </c>
      <c r="H29">
        <f>Table2[[#This Row],[Amount]]*-1</f>
        <v>-60.19</v>
      </c>
      <c r="I29" t="str">
        <f>IF(Table2[[#This Row],[Type]]="Check","BILL",IF(Table2[[#This Row],[Type]]="Credit Card","CC","ACH"))</f>
        <v>ACH</v>
      </c>
    </row>
    <row r="30" spans="1:9" x14ac:dyDescent="0.25">
      <c r="A30">
        <v>252748</v>
      </c>
      <c r="B30" s="3">
        <v>46149</v>
      </c>
      <c r="C30">
        <v>58.54</v>
      </c>
      <c r="E30" s="9">
        <v>10058271</v>
      </c>
      <c r="F30" t="s">
        <v>9</v>
      </c>
      <c r="G30" t="s">
        <v>42</v>
      </c>
      <c r="H30">
        <f>Table2[[#This Row],[Amount]]*-1</f>
        <v>-58.54</v>
      </c>
      <c r="I30" t="str">
        <f>IF(Table2[[#This Row],[Type]]="Check","BILL",IF(Table2[[#This Row],[Type]]="Credit Card","CC","ACH"))</f>
        <v>ACH</v>
      </c>
    </row>
    <row r="31" spans="1:9" x14ac:dyDescent="0.25">
      <c r="A31">
        <v>252748</v>
      </c>
      <c r="B31" s="3">
        <v>46157</v>
      </c>
      <c r="C31">
        <v>58.54</v>
      </c>
      <c r="E31">
        <v>10085204</v>
      </c>
      <c r="F31" t="s">
        <v>9</v>
      </c>
      <c r="G31" t="s">
        <v>42</v>
      </c>
      <c r="H31">
        <f>Table2[[#This Row],[Amount]]*-1</f>
        <v>-58.54</v>
      </c>
      <c r="I31" t="str">
        <f>IF(Table2[[#This Row],[Type]]="Check","BILL",IF(Table2[[#This Row],[Type]]="Credit Card","CC","ACH"))</f>
        <v>ACH</v>
      </c>
    </row>
    <row r="32" spans="1:9" x14ac:dyDescent="0.25">
      <c r="A32">
        <v>257391</v>
      </c>
      <c r="B32" s="3">
        <v>46162</v>
      </c>
      <c r="C32">
        <v>57.55</v>
      </c>
      <c r="E32">
        <v>10111695</v>
      </c>
      <c r="F32" t="s">
        <v>9</v>
      </c>
      <c r="G32" t="s">
        <v>42</v>
      </c>
      <c r="H32">
        <f>Table2[[#This Row],[Amount]]*-1</f>
        <v>-57.55</v>
      </c>
      <c r="I32" t="str">
        <f>IF(Table2[[#This Row],[Type]]="Check","BILL",IF(Table2[[#This Row],[Type]]="Credit Card","CC","ACH"))</f>
        <v>ACH</v>
      </c>
    </row>
    <row r="33" spans="1:9" x14ac:dyDescent="0.25">
      <c r="A33">
        <v>251758</v>
      </c>
      <c r="B33" s="3">
        <v>46147</v>
      </c>
      <c r="C33">
        <v>56.23</v>
      </c>
      <c r="E33">
        <v>10058271</v>
      </c>
      <c r="F33" t="s">
        <v>9</v>
      </c>
      <c r="G33" t="s">
        <v>42</v>
      </c>
      <c r="H33">
        <f>Table2[[#This Row],[Amount]]*-1</f>
        <v>-56.23</v>
      </c>
      <c r="I33" t="str">
        <f>IF(Table2[[#This Row],[Type]]="Check","BILL",IF(Table2[[#This Row],[Type]]="Credit Card","CC","ACH"))</f>
        <v>ACH</v>
      </c>
    </row>
    <row r="34" spans="1:9" x14ac:dyDescent="0.25">
      <c r="A34">
        <v>258904</v>
      </c>
      <c r="B34" s="3">
        <v>46162</v>
      </c>
      <c r="C34">
        <v>56.23</v>
      </c>
      <c r="E34" s="9">
        <v>10111695</v>
      </c>
      <c r="F34" t="s">
        <v>9</v>
      </c>
      <c r="G34" t="s">
        <v>42</v>
      </c>
      <c r="H34">
        <f>Table2[[#This Row],[Amount]]*-1</f>
        <v>-56.23</v>
      </c>
      <c r="I34" t="str">
        <f>IF(Table2[[#This Row],[Type]]="Check","BILL",IF(Table2[[#This Row],[Type]]="Credit Card","CC","ACH"))</f>
        <v>ACH</v>
      </c>
    </row>
    <row r="35" spans="1:9" x14ac:dyDescent="0.25">
      <c r="A35">
        <v>258904</v>
      </c>
      <c r="B35" s="3">
        <v>46170</v>
      </c>
      <c r="C35">
        <v>56.23</v>
      </c>
      <c r="F35" t="s">
        <v>9</v>
      </c>
      <c r="G35" t="s">
        <v>42</v>
      </c>
      <c r="H35" s="29">
        <f>Table2[[#This Row],[Amount]]*-1</f>
        <v>-56.23</v>
      </c>
      <c r="I35" s="29" t="str">
        <f>IF(Table2[[#This Row],[Type]]="Check","BILL",IF(Table2[[#This Row],[Type]]="Credit Card","CC","ACH"))</f>
        <v>ACH</v>
      </c>
    </row>
    <row r="36" spans="1:9" x14ac:dyDescent="0.25">
      <c r="A36">
        <v>258766</v>
      </c>
      <c r="B36" s="3">
        <v>46160</v>
      </c>
      <c r="C36">
        <v>53.92</v>
      </c>
      <c r="F36" t="s">
        <v>10</v>
      </c>
      <c r="G36" t="s">
        <v>42</v>
      </c>
      <c r="H36">
        <f>Table2[[#This Row],[Amount]]*-1</f>
        <v>-53.92</v>
      </c>
      <c r="I36" t="str">
        <f>IF(Table2[[#This Row],[Type]]="Check","BILL",IF(Table2[[#This Row],[Type]]="Credit Card","CC","ACH"))</f>
        <v>ACH</v>
      </c>
    </row>
    <row r="37" spans="1:9" x14ac:dyDescent="0.25">
      <c r="A37">
        <v>260455</v>
      </c>
      <c r="B37" s="3">
        <v>46160</v>
      </c>
      <c r="C37">
        <v>53.37</v>
      </c>
      <c r="F37" t="s">
        <v>10</v>
      </c>
      <c r="G37" t="s">
        <v>42</v>
      </c>
      <c r="H37">
        <f>Table2[[#This Row],[Amount]]*-1</f>
        <v>-53.37</v>
      </c>
      <c r="I37" t="str">
        <f>IF(Table2[[#This Row],[Type]]="Check","BILL",IF(Table2[[#This Row],[Type]]="Credit Card","CC","ACH"))</f>
        <v>ACH</v>
      </c>
    </row>
    <row r="38" spans="1:9" x14ac:dyDescent="0.25">
      <c r="A38">
        <v>174535</v>
      </c>
      <c r="B38" s="3">
        <v>46173</v>
      </c>
      <c r="C38">
        <v>52.66</v>
      </c>
      <c r="F38" t="s">
        <v>8</v>
      </c>
      <c r="G38" t="s">
        <v>41</v>
      </c>
      <c r="H38" s="29">
        <f>Table2[[#This Row],[Amount]]*-1</f>
        <v>-52.66</v>
      </c>
      <c r="I38" s="29" t="str">
        <f>IF(Table2[[#This Row],[Type]]="Check","BILL",IF(Table2[[#This Row],[Type]]="Credit Card","CC","ACH"))</f>
        <v>BILL</v>
      </c>
    </row>
    <row r="39" spans="1:9" x14ac:dyDescent="0.25">
      <c r="A39">
        <v>259881</v>
      </c>
      <c r="B39" s="3">
        <v>46160</v>
      </c>
      <c r="C39">
        <v>51.17</v>
      </c>
      <c r="F39" t="s">
        <v>10</v>
      </c>
      <c r="G39" t="s">
        <v>42</v>
      </c>
      <c r="H39">
        <f>Table2[[#This Row],[Amount]]*-1</f>
        <v>-51.17</v>
      </c>
      <c r="I39" t="str">
        <f>IF(Table2[[#This Row],[Type]]="Check","BILL",IF(Table2[[#This Row],[Type]]="Credit Card","CC","ACH"))</f>
        <v>ACH</v>
      </c>
    </row>
    <row r="40" spans="1:9" x14ac:dyDescent="0.25">
      <c r="A40">
        <v>256942</v>
      </c>
      <c r="B40" s="3">
        <v>46149</v>
      </c>
      <c r="C40">
        <v>47.65</v>
      </c>
      <c r="E40" s="9">
        <v>10061647</v>
      </c>
      <c r="F40" t="s">
        <v>9</v>
      </c>
      <c r="G40" t="s">
        <v>42</v>
      </c>
      <c r="H40">
        <f>Table2[[#This Row],[Amount]]*-1</f>
        <v>-47.65</v>
      </c>
      <c r="I40" t="str">
        <f>IF(Table2[[#This Row],[Type]]="Check","BILL",IF(Table2[[#This Row],[Type]]="Credit Card","CC","ACH"))</f>
        <v>ACH</v>
      </c>
    </row>
    <row r="41" spans="1:9" x14ac:dyDescent="0.25">
      <c r="A41">
        <v>260428</v>
      </c>
      <c r="B41" s="3">
        <v>46149</v>
      </c>
      <c r="C41">
        <v>45.89</v>
      </c>
      <c r="E41">
        <v>10058271</v>
      </c>
      <c r="F41" t="s">
        <v>9</v>
      </c>
      <c r="G41" t="s">
        <v>42</v>
      </c>
      <c r="H41">
        <f>Table2[[#This Row],[Amount]]*-1</f>
        <v>-45.89</v>
      </c>
      <c r="I41" t="str">
        <f>IF(Table2[[#This Row],[Type]]="Check","BILL",IF(Table2[[#This Row],[Type]]="Credit Card","CC","ACH"))</f>
        <v>ACH</v>
      </c>
    </row>
    <row r="42" spans="1:9" x14ac:dyDescent="0.25">
      <c r="A42">
        <v>251635</v>
      </c>
      <c r="B42" s="3">
        <v>46162</v>
      </c>
      <c r="C42">
        <v>45.67</v>
      </c>
      <c r="E42">
        <v>10111695</v>
      </c>
      <c r="F42" t="s">
        <v>9</v>
      </c>
      <c r="G42" t="s">
        <v>42</v>
      </c>
      <c r="H42">
        <f>Table2[[#This Row],[Amount]]*-1</f>
        <v>-45.67</v>
      </c>
      <c r="I42" t="str">
        <f>IF(Table2[[#This Row],[Type]]="Check","BILL",IF(Table2[[#This Row],[Type]]="Credit Card","CC","ACH"))</f>
        <v>ACH</v>
      </c>
    </row>
    <row r="43" spans="1:9" x14ac:dyDescent="0.25">
      <c r="A43">
        <v>223881</v>
      </c>
      <c r="B43" s="3">
        <v>46160</v>
      </c>
      <c r="C43">
        <v>43.27</v>
      </c>
      <c r="E43" s="9"/>
      <c r="F43" t="s">
        <v>10</v>
      </c>
      <c r="G43" t="s">
        <v>42</v>
      </c>
      <c r="H43">
        <f>Table2[[#This Row],[Amount]]*-1</f>
        <v>-43.27</v>
      </c>
      <c r="I43" t="str">
        <f>IF(Table2[[#This Row],[Type]]="Check","BILL",IF(Table2[[#This Row],[Type]]="Credit Card","CC","ACH"))</f>
        <v>ACH</v>
      </c>
    </row>
    <row r="44" spans="1:9" x14ac:dyDescent="0.25">
      <c r="A44">
        <v>253226</v>
      </c>
      <c r="B44" s="3">
        <v>46149</v>
      </c>
      <c r="C44">
        <v>41.93</v>
      </c>
      <c r="E44" s="9">
        <v>10061647</v>
      </c>
      <c r="F44" t="s">
        <v>9</v>
      </c>
      <c r="G44" t="s">
        <v>42</v>
      </c>
      <c r="H44">
        <f>Table2[[#This Row],[Amount]]*-1</f>
        <v>-41.93</v>
      </c>
      <c r="I44" t="str">
        <f>IF(Table2[[#This Row],[Type]]="Check","BILL",IF(Table2[[#This Row],[Type]]="Credit Card","CC","ACH"))</f>
        <v>ACH</v>
      </c>
    </row>
    <row r="45" spans="1:9" x14ac:dyDescent="0.25">
      <c r="A45">
        <v>253226</v>
      </c>
      <c r="B45" s="3">
        <v>46149</v>
      </c>
      <c r="C45">
        <v>41.93</v>
      </c>
      <c r="E45" s="9">
        <v>9947288</v>
      </c>
      <c r="F45" t="s">
        <v>9</v>
      </c>
      <c r="G45" t="s">
        <v>42</v>
      </c>
      <c r="H45">
        <f>Table2[[#This Row],[Amount]]*-1</f>
        <v>-41.93</v>
      </c>
      <c r="I45" t="str">
        <f>IF(Table2[[#This Row],[Type]]="Check","BILL",IF(Table2[[#This Row],[Type]]="Credit Card","CC","ACH"))</f>
        <v>ACH</v>
      </c>
    </row>
    <row r="46" spans="1:9" x14ac:dyDescent="0.25">
      <c r="A46">
        <v>255245</v>
      </c>
      <c r="B46" s="3">
        <v>46147</v>
      </c>
      <c r="C46">
        <v>41.71</v>
      </c>
      <c r="E46">
        <v>10058271</v>
      </c>
      <c r="F46" t="s">
        <v>9</v>
      </c>
      <c r="G46" t="s">
        <v>42</v>
      </c>
      <c r="H46">
        <f>Table2[[#This Row],[Amount]]*-1</f>
        <v>-41.71</v>
      </c>
      <c r="I46" t="str">
        <f>IF(Table2[[#This Row],[Type]]="Check","BILL",IF(Table2[[#This Row],[Type]]="Credit Card","CC","ACH"))</f>
        <v>ACH</v>
      </c>
    </row>
    <row r="47" spans="1:9" x14ac:dyDescent="0.25">
      <c r="A47">
        <v>255245</v>
      </c>
      <c r="B47" s="3">
        <v>46154</v>
      </c>
      <c r="C47">
        <v>41.71</v>
      </c>
      <c r="E47">
        <v>10076348</v>
      </c>
      <c r="F47" t="s">
        <v>9</v>
      </c>
      <c r="G47" t="s">
        <v>42</v>
      </c>
      <c r="H47">
        <f>Table2[[#This Row],[Amount]]*-1</f>
        <v>-41.71</v>
      </c>
      <c r="I47" t="str">
        <f>IF(Table2[[#This Row],[Type]]="Check","BILL",IF(Table2[[#This Row],[Type]]="Credit Card","CC","ACH"))</f>
        <v>ACH</v>
      </c>
    </row>
    <row r="48" spans="1:9" x14ac:dyDescent="0.25">
      <c r="A48">
        <v>257450</v>
      </c>
      <c r="B48" s="3">
        <v>46162</v>
      </c>
      <c r="C48">
        <v>41.27</v>
      </c>
      <c r="E48">
        <v>10111695</v>
      </c>
      <c r="F48" t="s">
        <v>9</v>
      </c>
      <c r="G48" t="s">
        <v>42</v>
      </c>
      <c r="H48">
        <f>Table2[[#This Row],[Amount]]*-1</f>
        <v>-41.27</v>
      </c>
      <c r="I48" t="str">
        <f>IF(Table2[[#This Row],[Type]]="Check","BILL",IF(Table2[[#This Row],[Type]]="Credit Card","CC","ACH"))</f>
        <v>ACH</v>
      </c>
    </row>
    <row r="49" spans="1:9" x14ac:dyDescent="0.25">
      <c r="A49">
        <v>244457</v>
      </c>
      <c r="B49" s="3">
        <v>46171</v>
      </c>
      <c r="C49">
        <v>40.479999999999997</v>
      </c>
      <c r="F49" t="s">
        <v>9</v>
      </c>
      <c r="G49" t="s">
        <v>42</v>
      </c>
      <c r="H49" s="29">
        <f>Table2[[#This Row],[Amount]]*-1</f>
        <v>-40.479999999999997</v>
      </c>
      <c r="I49" s="29" t="str">
        <f>IF(Table2[[#This Row],[Type]]="Check","BILL",IF(Table2[[#This Row],[Type]]="Credit Card","CC","ACH"))</f>
        <v>ACH</v>
      </c>
    </row>
    <row r="50" spans="1:9" x14ac:dyDescent="0.25">
      <c r="A50">
        <v>256689</v>
      </c>
      <c r="B50" s="3">
        <v>46149</v>
      </c>
      <c r="C50">
        <v>39.950000000000003</v>
      </c>
      <c r="E50">
        <v>10061647</v>
      </c>
      <c r="F50" t="s">
        <v>9</v>
      </c>
      <c r="G50" t="s">
        <v>42</v>
      </c>
      <c r="H50">
        <f>Table2[[#This Row],[Amount]]*-1</f>
        <v>-39.950000000000003</v>
      </c>
      <c r="I50" t="str">
        <f>IF(Table2[[#This Row],[Type]]="Check","BILL",IF(Table2[[#This Row],[Type]]="Credit Card","CC","ACH"))</f>
        <v>ACH</v>
      </c>
    </row>
    <row r="51" spans="1:9" x14ac:dyDescent="0.25">
      <c r="A51">
        <v>256689</v>
      </c>
      <c r="B51" s="3">
        <v>46157</v>
      </c>
      <c r="C51">
        <v>39.950000000000003</v>
      </c>
      <c r="E51" s="9">
        <v>10085204</v>
      </c>
      <c r="F51" t="s">
        <v>9</v>
      </c>
      <c r="G51" t="s">
        <v>42</v>
      </c>
      <c r="H51">
        <f>Table2[[#This Row],[Amount]]*-1</f>
        <v>-39.950000000000003</v>
      </c>
      <c r="I51" t="str">
        <f>IF(Table2[[#This Row],[Type]]="Check","BILL",IF(Table2[[#This Row],[Type]]="Credit Card","CC","ACH"))</f>
        <v>ACH</v>
      </c>
    </row>
    <row r="52" spans="1:9" x14ac:dyDescent="0.25">
      <c r="A52">
        <v>256894</v>
      </c>
      <c r="B52" s="3">
        <v>46162</v>
      </c>
      <c r="C52">
        <v>39.51</v>
      </c>
      <c r="E52">
        <v>10114805</v>
      </c>
      <c r="F52" t="s">
        <v>9</v>
      </c>
      <c r="G52" t="s">
        <v>42</v>
      </c>
      <c r="H52">
        <f>Table2[[#This Row],[Amount]]*-1</f>
        <v>-39.51</v>
      </c>
      <c r="I52" t="str">
        <f>IF(Table2[[#This Row],[Type]]="Check","BILL",IF(Table2[[#This Row],[Type]]="Credit Card","CC","ACH"))</f>
        <v>ACH</v>
      </c>
    </row>
    <row r="53" spans="1:9" x14ac:dyDescent="0.25">
      <c r="A53">
        <v>200495</v>
      </c>
      <c r="B53" s="3">
        <v>46173</v>
      </c>
      <c r="C53">
        <v>37.65</v>
      </c>
      <c r="E53" s="9"/>
      <c r="F53" t="s">
        <v>14</v>
      </c>
      <c r="G53" t="s">
        <v>41</v>
      </c>
      <c r="H53" s="29">
        <f>Table2[[#This Row],[Amount]]*-1</f>
        <v>-37.65</v>
      </c>
      <c r="I53" s="29" t="str">
        <f>IF(Table2[[#This Row],[Type]]="Check","BILL",IF(Table2[[#This Row],[Type]]="Credit Card","CC","ACH"))</f>
        <v>BILL</v>
      </c>
    </row>
    <row r="54" spans="1:9" x14ac:dyDescent="0.25">
      <c r="A54">
        <v>187578</v>
      </c>
      <c r="B54" s="3">
        <v>46162</v>
      </c>
      <c r="C54">
        <v>36.950000000000003</v>
      </c>
      <c r="E54">
        <v>10111695</v>
      </c>
      <c r="F54" t="s">
        <v>9</v>
      </c>
      <c r="G54" t="s">
        <v>42</v>
      </c>
      <c r="H54">
        <f>Table2[[#This Row],[Amount]]*-1</f>
        <v>-36.950000000000003</v>
      </c>
      <c r="I54" t="str">
        <f>IF(Table2[[#This Row],[Type]]="Check","BILL",IF(Table2[[#This Row],[Type]]="Credit Card","CC","ACH"))</f>
        <v>ACH</v>
      </c>
    </row>
    <row r="55" spans="1:9" x14ac:dyDescent="0.25">
      <c r="A55">
        <v>259787</v>
      </c>
      <c r="B55" s="3">
        <v>46147</v>
      </c>
      <c r="C55">
        <v>34.450000000000003</v>
      </c>
      <c r="E55">
        <v>10053572</v>
      </c>
      <c r="F55" t="s">
        <v>9</v>
      </c>
      <c r="G55" t="s">
        <v>42</v>
      </c>
      <c r="H55">
        <f>Table2[[#This Row],[Amount]]*-1</f>
        <v>-34.450000000000003</v>
      </c>
      <c r="I55" t="str">
        <f>IF(Table2[[#This Row],[Type]]="Check","BILL",IF(Table2[[#This Row],[Type]]="Credit Card","CC","ACH"))</f>
        <v>ACH</v>
      </c>
    </row>
    <row r="56" spans="1:9" x14ac:dyDescent="0.25">
      <c r="A56">
        <v>258799</v>
      </c>
      <c r="B56" s="3">
        <v>46149</v>
      </c>
      <c r="C56">
        <v>30.05</v>
      </c>
      <c r="E56">
        <v>10061647</v>
      </c>
      <c r="F56" t="s">
        <v>9</v>
      </c>
      <c r="G56" t="s">
        <v>42</v>
      </c>
      <c r="H56">
        <f>Table2[[#This Row],[Amount]]*-1</f>
        <v>-30.05</v>
      </c>
      <c r="I56" t="str">
        <f>IF(Table2[[#This Row],[Type]]="Check","BILL",IF(Table2[[#This Row],[Type]]="Credit Card","CC","ACH"))</f>
        <v>ACH</v>
      </c>
    </row>
    <row r="57" spans="1:9" x14ac:dyDescent="0.25">
      <c r="A57">
        <v>259494</v>
      </c>
      <c r="B57" s="3">
        <v>46149</v>
      </c>
      <c r="C57">
        <v>27.85</v>
      </c>
      <c r="E57">
        <v>9996211</v>
      </c>
      <c r="F57" t="s">
        <v>9</v>
      </c>
      <c r="G57" t="s">
        <v>42</v>
      </c>
      <c r="H57">
        <f>Table2[[#This Row],[Amount]]*-1</f>
        <v>-27.85</v>
      </c>
      <c r="I57" t="str">
        <f>IF(Table2[[#This Row],[Type]]="Check","BILL",IF(Table2[[#This Row],[Type]]="Credit Card","CC","ACH"))</f>
        <v>ACH</v>
      </c>
    </row>
    <row r="58" spans="1:9" x14ac:dyDescent="0.25">
      <c r="A58">
        <v>225659</v>
      </c>
      <c r="B58" s="3">
        <v>46173</v>
      </c>
      <c r="C58">
        <v>27.55</v>
      </c>
      <c r="D58">
        <v>918091693</v>
      </c>
      <c r="F58" t="s">
        <v>14</v>
      </c>
      <c r="G58" t="s">
        <v>41</v>
      </c>
      <c r="H58" s="29">
        <f>Table2[[#This Row],[Amount]]*-1</f>
        <v>-27.55</v>
      </c>
      <c r="I58" s="29" t="str">
        <f>IF(Table2[[#This Row],[Type]]="Check","BILL",IF(Table2[[#This Row],[Type]]="Credit Card","CC","ACH"))</f>
        <v>BILL</v>
      </c>
    </row>
    <row r="59" spans="1:9" x14ac:dyDescent="0.25">
      <c r="A59">
        <v>260452</v>
      </c>
      <c r="B59" s="3">
        <v>46147</v>
      </c>
      <c r="C59">
        <v>26.97</v>
      </c>
      <c r="E59">
        <v>10058271</v>
      </c>
      <c r="F59" t="s">
        <v>9</v>
      </c>
      <c r="G59" t="s">
        <v>42</v>
      </c>
      <c r="H59">
        <f>Table2[[#This Row],[Amount]]*-1</f>
        <v>-26.97</v>
      </c>
      <c r="I59" t="str">
        <f>IF(Table2[[#This Row],[Type]]="Check","BILL",IF(Table2[[#This Row],[Type]]="Credit Card","CC","ACH"))</f>
        <v>ACH</v>
      </c>
    </row>
    <row r="60" spans="1:9" x14ac:dyDescent="0.25">
      <c r="A60">
        <v>260452</v>
      </c>
      <c r="B60" s="3">
        <v>46154</v>
      </c>
      <c r="C60">
        <v>26.97</v>
      </c>
      <c r="E60">
        <v>10076348</v>
      </c>
      <c r="F60" t="s">
        <v>9</v>
      </c>
      <c r="G60" t="s">
        <v>42</v>
      </c>
      <c r="H60">
        <f>Table2[[#This Row],[Amount]]*-1</f>
        <v>-26.97</v>
      </c>
      <c r="I60" t="str">
        <f>IF(Table2[[#This Row],[Type]]="Check","BILL",IF(Table2[[#This Row],[Type]]="Credit Card","CC","ACH"))</f>
        <v>ACH</v>
      </c>
    </row>
    <row r="61" spans="1:9" x14ac:dyDescent="0.25">
      <c r="A61">
        <v>202654</v>
      </c>
      <c r="B61" s="3">
        <v>46149</v>
      </c>
      <c r="C61">
        <v>23.34</v>
      </c>
      <c r="E61">
        <v>10063762</v>
      </c>
      <c r="F61" t="s">
        <v>9</v>
      </c>
      <c r="G61" t="s">
        <v>42</v>
      </c>
      <c r="H61">
        <f>Table2[[#This Row],[Amount]]*-1</f>
        <v>-23.34</v>
      </c>
      <c r="I61" t="str">
        <f>IF(Table2[[#This Row],[Type]]="Check","BILL",IF(Table2[[#This Row],[Type]]="Credit Card","CC","ACH"))</f>
        <v>ACH</v>
      </c>
    </row>
    <row r="62" spans="1:9" x14ac:dyDescent="0.25">
      <c r="A62">
        <v>260179</v>
      </c>
      <c r="B62" s="3">
        <v>46160</v>
      </c>
      <c r="C62">
        <v>22.33</v>
      </c>
      <c r="F62" t="s">
        <v>12</v>
      </c>
      <c r="G62" t="s">
        <v>43</v>
      </c>
      <c r="H62">
        <f>Table2[[#This Row],[Amount]]*-1</f>
        <v>-22.33</v>
      </c>
      <c r="I62" t="str">
        <f>IF(Table2[[#This Row],[Type]]="Check","BILL",IF(Table2[[#This Row],[Type]]="Credit Card","CC","ACH"))</f>
        <v>CC</v>
      </c>
    </row>
    <row r="63" spans="1:9" x14ac:dyDescent="0.25">
      <c r="A63">
        <v>185836</v>
      </c>
      <c r="B63" s="3">
        <v>46147</v>
      </c>
      <c r="C63">
        <v>15.39</v>
      </c>
      <c r="E63">
        <v>10058271</v>
      </c>
      <c r="F63" t="s">
        <v>9</v>
      </c>
      <c r="G63" t="s">
        <v>42</v>
      </c>
      <c r="H63">
        <f>Table2[[#This Row],[Amount]]*-1</f>
        <v>-15.39</v>
      </c>
      <c r="I63" t="str">
        <f>IF(Table2[[#This Row],[Type]]="Check","BILL",IF(Table2[[#This Row],[Type]]="Credit Card","CC","ACH"))</f>
        <v>ACH</v>
      </c>
    </row>
    <row r="64" spans="1:9" x14ac:dyDescent="0.25">
      <c r="A64">
        <v>227730</v>
      </c>
      <c r="B64" s="3">
        <v>46162</v>
      </c>
      <c r="C64">
        <v>14.19</v>
      </c>
      <c r="D64">
        <v>5118</v>
      </c>
      <c r="F64" t="s">
        <v>8</v>
      </c>
      <c r="G64" t="s">
        <v>41</v>
      </c>
      <c r="H64">
        <f>Table2[[#This Row],[Amount]]*-1</f>
        <v>-14.19</v>
      </c>
      <c r="I64" t="str">
        <f>IF(Table2[[#This Row],[Type]]="Check","BILL",IF(Table2[[#This Row],[Type]]="Credit Card","CC","ACH"))</f>
        <v>BILL</v>
      </c>
    </row>
    <row r="65" spans="1:9" x14ac:dyDescent="0.25">
      <c r="A65">
        <v>202839</v>
      </c>
      <c r="B65" s="3">
        <v>46149</v>
      </c>
      <c r="C65">
        <v>10.25</v>
      </c>
      <c r="E65" s="9">
        <v>10063762</v>
      </c>
      <c r="F65" t="s">
        <v>9</v>
      </c>
      <c r="G65" t="s">
        <v>42</v>
      </c>
      <c r="H65">
        <f>Table2[[#This Row],[Amount]]*-1</f>
        <v>-10.25</v>
      </c>
      <c r="I65" t="str">
        <f>IF(Table2[[#This Row],[Type]]="Check","BILL",IF(Table2[[#This Row],[Type]]="Credit Card","CC","ACH"))</f>
        <v>ACH</v>
      </c>
    </row>
    <row r="66" spans="1:9" x14ac:dyDescent="0.25">
      <c r="A66">
        <v>172122</v>
      </c>
      <c r="B66" s="3">
        <v>46149</v>
      </c>
      <c r="C66">
        <v>10.02</v>
      </c>
      <c r="E66">
        <v>10061647</v>
      </c>
      <c r="F66" t="s">
        <v>9</v>
      </c>
      <c r="G66" t="s">
        <v>42</v>
      </c>
      <c r="H66">
        <f>Table2[[#This Row],[Amount]]*-1</f>
        <v>-10.02</v>
      </c>
      <c r="I66" t="str">
        <f>IF(Table2[[#This Row],[Type]]="Check","BILL",IF(Table2[[#This Row],[Type]]="Credit Card","CC","ACH"))</f>
        <v>ACH</v>
      </c>
    </row>
    <row r="67" spans="1:9" x14ac:dyDescent="0.25">
      <c r="A67">
        <v>172122</v>
      </c>
      <c r="B67" s="3">
        <v>46157</v>
      </c>
      <c r="C67">
        <v>10.02</v>
      </c>
      <c r="E67" s="9">
        <v>10085204</v>
      </c>
      <c r="F67" t="s">
        <v>9</v>
      </c>
      <c r="G67" t="s">
        <v>42</v>
      </c>
      <c r="H67">
        <f>Table2[[#This Row],[Amount]]*-1</f>
        <v>-10.02</v>
      </c>
      <c r="I67" t="str">
        <f>IF(Table2[[#This Row],[Type]]="Check","BILL",IF(Table2[[#This Row],[Type]]="Credit Card","CC","ACH"))</f>
        <v>ACH</v>
      </c>
    </row>
    <row r="68" spans="1:9" x14ac:dyDescent="0.25">
      <c r="A68">
        <v>170557</v>
      </c>
      <c r="B68" s="3">
        <v>46162</v>
      </c>
      <c r="C68">
        <v>8.2799999999999994</v>
      </c>
      <c r="D68">
        <v>5119</v>
      </c>
      <c r="F68" t="s">
        <v>8</v>
      </c>
      <c r="G68" t="s">
        <v>41</v>
      </c>
      <c r="H68">
        <f>Table2[[#This Row],[Amount]]*-1</f>
        <v>-8.2799999999999994</v>
      </c>
      <c r="I68" t="str">
        <f>IF(Table2[[#This Row],[Type]]="Check","BILL",IF(Table2[[#This Row],[Type]]="Credit Card","CC","ACH"))</f>
        <v>BILL</v>
      </c>
    </row>
    <row r="69" spans="1:9" x14ac:dyDescent="0.25">
      <c r="A69">
        <v>150632</v>
      </c>
      <c r="B69" s="3">
        <v>46162</v>
      </c>
      <c r="C69">
        <v>4.7699999999999996</v>
      </c>
      <c r="F69" t="s">
        <v>8</v>
      </c>
      <c r="G69" t="s">
        <v>41</v>
      </c>
      <c r="H69">
        <f>Table2[[#This Row],[Amount]]*-1</f>
        <v>-4.7699999999999996</v>
      </c>
      <c r="I69" t="str">
        <f>IF(Table2[[#This Row],[Type]]="Check","BILL",IF(Table2[[#This Row],[Type]]="Credit Card","CC","ACH"))</f>
        <v>BILL</v>
      </c>
    </row>
    <row r="70" spans="1:9" x14ac:dyDescent="0.25">
      <c r="A70">
        <v>183338</v>
      </c>
      <c r="B70" s="3">
        <v>46162</v>
      </c>
      <c r="C70">
        <v>2.97</v>
      </c>
      <c r="D70">
        <v>5120</v>
      </c>
      <c r="E70" s="9"/>
      <c r="F70" t="s">
        <v>8</v>
      </c>
      <c r="G70" t="s">
        <v>41</v>
      </c>
      <c r="H70">
        <f>Table2[[#This Row],[Amount]]*-1</f>
        <v>-2.97</v>
      </c>
      <c r="I70" t="str">
        <f>IF(Table2[[#This Row],[Type]]="Check","BILL",IF(Table2[[#This Row],[Type]]="Credit Card","CC","ACH"))</f>
        <v>BILL</v>
      </c>
    </row>
    <row r="71" spans="1:9" x14ac:dyDescent="0.25">
      <c r="A71">
        <v>213562</v>
      </c>
      <c r="B71" s="3">
        <v>46160</v>
      </c>
      <c r="C71">
        <v>1.6</v>
      </c>
      <c r="F71" t="s">
        <v>11</v>
      </c>
      <c r="G71" t="s">
        <v>43</v>
      </c>
      <c r="H71">
        <f>Table2[[#This Row],[Amount]]*-1</f>
        <v>-1.6</v>
      </c>
      <c r="I71" t="str">
        <f>IF(Table2[[#This Row],[Type]]="Check","BILL",IF(Table2[[#This Row],[Type]]="Credit Card","CC","ACH"))</f>
        <v>CC</v>
      </c>
    </row>
    <row r="72" spans="1:9" x14ac:dyDescent="0.25">
      <c r="B72" s="3"/>
      <c r="E72" s="9"/>
      <c r="H72" s="29"/>
      <c r="I72" s="29"/>
    </row>
    <row r="73" spans="1:9" x14ac:dyDescent="0.25">
      <c r="B73" s="3"/>
    </row>
    <row r="74" spans="1:9" x14ac:dyDescent="0.25">
      <c r="B74" s="3"/>
    </row>
    <row r="75" spans="1:9" x14ac:dyDescent="0.25">
      <c r="B75" s="3"/>
    </row>
    <row r="76" spans="1:9" x14ac:dyDescent="0.25">
      <c r="B76" s="3"/>
    </row>
    <row r="77" spans="1:9" x14ac:dyDescent="0.25">
      <c r="B77" s="3"/>
    </row>
  </sheetData>
  <phoneticPr fontId="2" type="noConversion"/>
  <hyperlinks>
    <hyperlink ref="E53" r:id="rId1" tooltip="Lookup this batch" display="https://colprod.hpyreg.net/Hps.AchGateway.Reporting/Merchant/Batch?batchId=7892760&amp;billingGroupId=10495" xr:uid="{B366F597-425A-4043-A432-9BF087E95ECF}"/>
    <hyperlink ref="E67" r:id="rId2" tooltip="Lookup this batch" display="https://colprod.hpyreg.net/Hps.AchGateway.Reporting/Merchant/Batch?batchId=7917764&amp;billingGroupId=10495" xr:uid="{E364F68F-3D22-4D1D-943E-1FD839797AF7}"/>
    <hyperlink ref="E10" r:id="rId3" tooltip="Lookup this batch" display="https://colprod.hpyreg.net/Hps.AchGateway.Reporting/Merchant/Batch?batchId=7917764&amp;billingGroupId=10495" xr:uid="{75A4C2FB-72C4-4FF1-BBAC-1BD2463EA9A8}"/>
    <hyperlink ref="E43" r:id="rId4" tooltip="Lookup this batch" display="https://colprod.hpyreg.net/Hps.AchGateway.Reporting/Merchant/Batch?batchId=7882922&amp;billingGroupId=10495" xr:uid="{A6C09027-1561-4398-A7A7-B0DBD128D64C}"/>
    <hyperlink ref="E70" r:id="rId5" tooltip="Lookup this batch" display="https://colprod.hpyreg.net/Hps.AchGateway.Reporting/Merchant/Batch?batchId=7958623&amp;billingGroupId=10495" xr:uid="{A9CD15C7-E360-4D19-9F57-B9BFAB3F3D7B}"/>
    <hyperlink ref="E24" r:id="rId6" tooltip="Lookup this batch" display="https://colprod.hpyreg.net/Hps.AchGateway.Reporting/Merchant/Batch?batchId=7958623&amp;billingGroupId=10495" xr:uid="{3A7774D6-6D9C-46BF-9A5E-973FC5ABFA9E}"/>
    <hyperlink ref="E15" r:id="rId7" tooltip="Show details" display="https://colprod.hpyreg.net/Hps.AchGateway.Reporting/Merchant/LookupDetail/134809320" xr:uid="{355AFBED-783B-450C-A53D-983C2FE7CD6E}"/>
    <hyperlink ref="E40" r:id="rId8" tooltip="Show details" display="https://colprod.hpyreg.net/Hps.AchGateway.Reporting/Merchant/LookupDetail/134809320" xr:uid="{A9747D98-63F8-4A27-B632-8ECCEDE2BF3D}"/>
    <hyperlink ref="E6" r:id="rId9" tooltip="Show details" display="https://colprod.hpyreg.net/Hps.AchGateway.Reporting/Merchant/LookupDetail/135448362" xr:uid="{44CAA543-2201-4AEA-AD33-692F251AB2D0}"/>
    <hyperlink ref="E72" r:id="rId10" tooltip="Show details" display="https://colprod.hpyreg.net/Hps.AchGateway.Reporting/Merchant/LookupDetail/135448362" xr:uid="{01CC89CD-136F-4EE3-9F60-7B38E08B114A}"/>
    <hyperlink ref="E30" r:id="rId11" tooltip="Show details" display="https://colprod.hpyreg.net/Hps.AchGateway.Reporting/Merchant/LookupDetail/135448362" xr:uid="{C47CBE91-99C3-4909-B7CC-1E8D8EE26CF2}"/>
    <hyperlink ref="E34" r:id="rId12" tooltip="Show details" display="https://colprod.hpyreg.net/Hps.AchGateway.Reporting/Merchant/LookupDetail/135448362" xr:uid="{71734A4B-1F16-45F9-A46C-071A893F456C}"/>
    <hyperlink ref="E65" r:id="rId13" tooltip="Show details" display="https://colprod.hpyreg.net/Hps.AchGateway.Reporting/Merchant/LookupDetail/135448362" xr:uid="{4CD8F76F-F4BE-4BF9-A51D-8B40C2D76713}"/>
  </hyperlinks>
  <pageMargins left="0.7" right="0.7" top="0.75" bottom="0.75" header="0.3" footer="0.3"/>
  <customProperties>
    <customPr name="%get_maps%" r:id="rId14"/>
  </customProperties>
  <tableParts count="1">
    <tablePart r:id="rId15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errorStyle="information" allowBlank="1" showInputMessage="1" showErrorMessage="1" xr:uid="{CFB8412F-0AF4-4FFE-85FC-64B395034282}">
          <x14:formula1>
            <xm:f>Enabler4Excel_Picklist_Values!$A$2:$A$3</xm:f>
          </x14:formula1>
          <xm:sqref>B2:B71</xm:sqref>
        </x14:dataValidation>
        <x14:dataValidation type="list" errorStyle="information" allowBlank="1" showInputMessage="1" showErrorMessage="1" xr:uid="{CF5A0063-F90E-4CA7-BB7E-AE6440506A06}">
          <x14:formula1>
            <xm:f>Enabler4Excel_Picklist_Values!$B$2:$B$12</xm:f>
          </x14:formula1>
          <xm:sqref>D2:D71</xm:sqref>
        </x14:dataValidation>
        <x14:dataValidation type="list" errorStyle="information" allowBlank="1" showInputMessage="1" showErrorMessage="1" xr:uid="{182B9A4C-A79E-4E46-B36F-6C1A8C06D578}">
          <x14:formula1>
            <xm:f>Enabler4Excel_Picklist_Values!$D$2:$D$4</xm:f>
          </x14:formula1>
          <xm:sqref>G2:G71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57CC-7A44-462E-A6A7-9EF6A4B8F20B}">
  <dimension ref="A1:C5273"/>
  <sheetViews>
    <sheetView workbookViewId="0">
      <selection activeCell="J29" sqref="J29"/>
    </sheetView>
  </sheetViews>
  <sheetFormatPr defaultRowHeight="15" x14ac:dyDescent="0.25"/>
  <cols>
    <col min="1" max="1" width="29.140625" bestFit="1" customWidth="1"/>
    <col min="2" max="2" width="13.28515625" bestFit="1" customWidth="1"/>
  </cols>
  <sheetData>
    <row r="1" spans="1:3" x14ac:dyDescent="0.25">
      <c r="A1" s="1" t="s">
        <v>0</v>
      </c>
      <c r="B1" s="1" t="s">
        <v>1</v>
      </c>
      <c r="C1" s="1" t="s">
        <v>39</v>
      </c>
    </row>
    <row r="2" spans="1:3" x14ac:dyDescent="0.25">
      <c r="A2">
        <v>255846</v>
      </c>
      <c r="B2" t="s">
        <v>2</v>
      </c>
      <c r="C2" t="str">
        <f>LEFT(Table4[[#This Row],[Policy Type]],1)</f>
        <v>1</v>
      </c>
    </row>
    <row r="3" spans="1:3" x14ac:dyDescent="0.25">
      <c r="A3">
        <v>241664</v>
      </c>
      <c r="B3" t="s">
        <v>2</v>
      </c>
      <c r="C3" t="str">
        <f>LEFT(Table4[[#This Row],[Policy Type]],1)</f>
        <v>1</v>
      </c>
    </row>
    <row r="4" spans="1:3" x14ac:dyDescent="0.25">
      <c r="A4">
        <v>255847</v>
      </c>
      <c r="B4" t="s">
        <v>3</v>
      </c>
      <c r="C4" t="str">
        <f>LEFT(Table4[[#This Row],[Policy Type]],1)</f>
        <v>2</v>
      </c>
    </row>
    <row r="5" spans="1:3" x14ac:dyDescent="0.25">
      <c r="A5">
        <v>247942</v>
      </c>
      <c r="B5" t="s">
        <v>3</v>
      </c>
      <c r="C5" t="str">
        <f>LEFT(Table4[[#This Row],[Policy Type]],1)</f>
        <v>2</v>
      </c>
    </row>
    <row r="6" spans="1:3" x14ac:dyDescent="0.25">
      <c r="A6">
        <v>255700</v>
      </c>
      <c r="B6" t="s">
        <v>3</v>
      </c>
      <c r="C6" t="str">
        <f>LEFT(Table4[[#This Row],[Policy Type]],1)</f>
        <v>2</v>
      </c>
    </row>
    <row r="7" spans="1:3" x14ac:dyDescent="0.25">
      <c r="A7">
        <v>255703</v>
      </c>
      <c r="B7" t="s">
        <v>2</v>
      </c>
      <c r="C7" t="str">
        <f>LEFT(Table4[[#This Row],[Policy Type]],1)</f>
        <v>1</v>
      </c>
    </row>
    <row r="8" spans="1:3" x14ac:dyDescent="0.25">
      <c r="A8">
        <v>255704</v>
      </c>
      <c r="B8" t="s">
        <v>3</v>
      </c>
      <c r="C8" t="str">
        <f>LEFT(Table4[[#This Row],[Policy Type]],1)</f>
        <v>2</v>
      </c>
    </row>
    <row r="9" spans="1:3" x14ac:dyDescent="0.25">
      <c r="A9">
        <v>254411</v>
      </c>
      <c r="B9" t="s">
        <v>3</v>
      </c>
      <c r="C9" t="str">
        <f>LEFT(Table4[[#This Row],[Policy Type]],1)</f>
        <v>2</v>
      </c>
    </row>
    <row r="10" spans="1:3" x14ac:dyDescent="0.25">
      <c r="A10">
        <v>232468</v>
      </c>
      <c r="B10" t="s">
        <v>3</v>
      </c>
      <c r="C10" t="str">
        <f>LEFT(Table4[[#This Row],[Policy Type]],1)</f>
        <v>2</v>
      </c>
    </row>
    <row r="11" spans="1:3" x14ac:dyDescent="0.25">
      <c r="A11">
        <v>250541</v>
      </c>
      <c r="B11" t="s">
        <v>2</v>
      </c>
      <c r="C11" t="str">
        <f>LEFT(Table4[[#This Row],[Policy Type]],1)</f>
        <v>1</v>
      </c>
    </row>
    <row r="12" spans="1:3" x14ac:dyDescent="0.25">
      <c r="A12">
        <v>255722</v>
      </c>
      <c r="B12" t="s">
        <v>3</v>
      </c>
      <c r="C12" t="str">
        <f>LEFT(Table4[[#This Row],[Policy Type]],1)</f>
        <v>2</v>
      </c>
    </row>
    <row r="13" spans="1:3" x14ac:dyDescent="0.25">
      <c r="A13">
        <v>255723</v>
      </c>
      <c r="B13" t="s">
        <v>3</v>
      </c>
      <c r="C13" t="str">
        <f>LEFT(Table4[[#This Row],[Policy Type]],1)</f>
        <v>2</v>
      </c>
    </row>
    <row r="14" spans="1:3" x14ac:dyDescent="0.25">
      <c r="A14">
        <v>255728</v>
      </c>
      <c r="B14" t="s">
        <v>2</v>
      </c>
      <c r="C14" t="str">
        <f>LEFT(Table4[[#This Row],[Policy Type]],1)</f>
        <v>1</v>
      </c>
    </row>
    <row r="15" spans="1:3" x14ac:dyDescent="0.25">
      <c r="A15">
        <v>255730</v>
      </c>
      <c r="B15" t="s">
        <v>2</v>
      </c>
      <c r="C15" t="str">
        <f>LEFT(Table4[[#This Row],[Policy Type]],1)</f>
        <v>1</v>
      </c>
    </row>
    <row r="16" spans="1:3" x14ac:dyDescent="0.25">
      <c r="A16">
        <v>201816</v>
      </c>
      <c r="B16" t="s">
        <v>3</v>
      </c>
      <c r="C16" t="str">
        <f>LEFT(Table4[[#This Row],[Policy Type]],1)</f>
        <v>2</v>
      </c>
    </row>
    <row r="17" spans="1:3" x14ac:dyDescent="0.25">
      <c r="A17">
        <v>255735</v>
      </c>
      <c r="B17" t="s">
        <v>2</v>
      </c>
      <c r="C17" t="str">
        <f>LEFT(Table4[[#This Row],[Policy Type]],1)</f>
        <v>1</v>
      </c>
    </row>
    <row r="18" spans="1:3" x14ac:dyDescent="0.25">
      <c r="A18">
        <v>252594</v>
      </c>
      <c r="B18" t="s">
        <v>3</v>
      </c>
      <c r="C18" t="str">
        <f>LEFT(Table4[[#This Row],[Policy Type]],1)</f>
        <v>2</v>
      </c>
    </row>
    <row r="19" spans="1:3" x14ac:dyDescent="0.25">
      <c r="A19">
        <v>167238</v>
      </c>
      <c r="B19" t="s">
        <v>2</v>
      </c>
      <c r="C19" t="str">
        <f>LEFT(Table4[[#This Row],[Policy Type]],1)</f>
        <v>1</v>
      </c>
    </row>
    <row r="20" spans="1:3" x14ac:dyDescent="0.25">
      <c r="A20">
        <v>255737</v>
      </c>
      <c r="B20" t="s">
        <v>3</v>
      </c>
      <c r="C20" t="str">
        <f>LEFT(Table4[[#This Row],[Policy Type]],1)</f>
        <v>2</v>
      </c>
    </row>
    <row r="21" spans="1:3" x14ac:dyDescent="0.25">
      <c r="A21">
        <v>255738</v>
      </c>
      <c r="B21" t="s">
        <v>3</v>
      </c>
      <c r="C21" t="str">
        <f>LEFT(Table4[[#This Row],[Policy Type]],1)</f>
        <v>2</v>
      </c>
    </row>
    <row r="22" spans="1:3" x14ac:dyDescent="0.25">
      <c r="A22">
        <v>255740</v>
      </c>
      <c r="B22" t="s">
        <v>2</v>
      </c>
      <c r="C22" t="str">
        <f>LEFT(Table4[[#This Row],[Policy Type]],1)</f>
        <v>1</v>
      </c>
    </row>
    <row r="23" spans="1:3" x14ac:dyDescent="0.25">
      <c r="A23">
        <v>255741</v>
      </c>
      <c r="B23" t="s">
        <v>3</v>
      </c>
      <c r="C23" t="str">
        <f>LEFT(Table4[[#This Row],[Policy Type]],1)</f>
        <v>2</v>
      </c>
    </row>
    <row r="24" spans="1:3" x14ac:dyDescent="0.25">
      <c r="A24">
        <v>255743</v>
      </c>
      <c r="B24" t="s">
        <v>3</v>
      </c>
      <c r="C24" t="str">
        <f>LEFT(Table4[[#This Row],[Policy Type]],1)</f>
        <v>2</v>
      </c>
    </row>
    <row r="25" spans="1:3" x14ac:dyDescent="0.25">
      <c r="A25">
        <v>255748</v>
      </c>
      <c r="B25" t="s">
        <v>3</v>
      </c>
      <c r="C25" t="str">
        <f>LEFT(Table4[[#This Row],[Policy Type]],1)</f>
        <v>2</v>
      </c>
    </row>
    <row r="26" spans="1:3" x14ac:dyDescent="0.25">
      <c r="A26">
        <v>255749</v>
      </c>
      <c r="B26" t="s">
        <v>2</v>
      </c>
      <c r="C26" t="str">
        <f>LEFT(Table4[[#This Row],[Policy Type]],1)</f>
        <v>1</v>
      </c>
    </row>
    <row r="27" spans="1:3" x14ac:dyDescent="0.25">
      <c r="A27">
        <v>255755</v>
      </c>
      <c r="B27" t="s">
        <v>3</v>
      </c>
      <c r="C27" t="str">
        <f>LEFT(Table4[[#This Row],[Policy Type]],1)</f>
        <v>2</v>
      </c>
    </row>
    <row r="28" spans="1:3" x14ac:dyDescent="0.25">
      <c r="A28">
        <v>255771</v>
      </c>
      <c r="B28" t="s">
        <v>2</v>
      </c>
      <c r="C28" t="str">
        <f>LEFT(Table4[[#This Row],[Policy Type]],1)</f>
        <v>1</v>
      </c>
    </row>
    <row r="29" spans="1:3" x14ac:dyDescent="0.25">
      <c r="A29">
        <v>255772</v>
      </c>
      <c r="B29" t="s">
        <v>2</v>
      </c>
      <c r="C29" t="str">
        <f>LEFT(Table4[[#This Row],[Policy Type]],1)</f>
        <v>1</v>
      </c>
    </row>
    <row r="30" spans="1:3" x14ac:dyDescent="0.25">
      <c r="A30">
        <v>255776</v>
      </c>
      <c r="B30" t="s">
        <v>3</v>
      </c>
      <c r="C30" t="str">
        <f>LEFT(Table4[[#This Row],[Policy Type]],1)</f>
        <v>2</v>
      </c>
    </row>
    <row r="31" spans="1:3" x14ac:dyDescent="0.25">
      <c r="A31">
        <v>255777</v>
      </c>
      <c r="B31" t="s">
        <v>3</v>
      </c>
      <c r="C31" t="str">
        <f>LEFT(Table4[[#This Row],[Policy Type]],1)</f>
        <v>2</v>
      </c>
    </row>
    <row r="32" spans="1:3" x14ac:dyDescent="0.25">
      <c r="A32">
        <v>255807</v>
      </c>
      <c r="B32" t="s">
        <v>2</v>
      </c>
      <c r="C32" t="str">
        <f>LEFT(Table4[[#This Row],[Policy Type]],1)</f>
        <v>1</v>
      </c>
    </row>
    <row r="33" spans="1:3" x14ac:dyDescent="0.25">
      <c r="A33">
        <v>163935</v>
      </c>
      <c r="B33" t="s">
        <v>2</v>
      </c>
      <c r="C33" t="str">
        <f>LEFT(Table4[[#This Row],[Policy Type]],1)</f>
        <v>1</v>
      </c>
    </row>
    <row r="34" spans="1:3" x14ac:dyDescent="0.25">
      <c r="A34">
        <v>252903</v>
      </c>
      <c r="B34" t="s">
        <v>3</v>
      </c>
      <c r="C34" t="str">
        <f>LEFT(Table4[[#This Row],[Policy Type]],1)</f>
        <v>2</v>
      </c>
    </row>
    <row r="35" spans="1:3" x14ac:dyDescent="0.25">
      <c r="A35">
        <v>164868</v>
      </c>
      <c r="B35" t="s">
        <v>2</v>
      </c>
      <c r="C35" t="str">
        <f>LEFT(Table4[[#This Row],[Policy Type]],1)</f>
        <v>1</v>
      </c>
    </row>
    <row r="36" spans="1:3" x14ac:dyDescent="0.25">
      <c r="A36">
        <v>159725</v>
      </c>
      <c r="B36" t="s">
        <v>2</v>
      </c>
      <c r="C36" t="str">
        <f>LEFT(Table4[[#This Row],[Policy Type]],1)</f>
        <v>1</v>
      </c>
    </row>
    <row r="37" spans="1:3" x14ac:dyDescent="0.25">
      <c r="A37">
        <v>249936</v>
      </c>
      <c r="B37" t="s">
        <v>2</v>
      </c>
      <c r="C37" t="str">
        <f>LEFT(Table4[[#This Row],[Policy Type]],1)</f>
        <v>1</v>
      </c>
    </row>
    <row r="38" spans="1:3" x14ac:dyDescent="0.25">
      <c r="A38">
        <v>239232</v>
      </c>
      <c r="B38" t="s">
        <v>3</v>
      </c>
      <c r="C38" t="str">
        <f>LEFT(Table4[[#This Row],[Policy Type]],1)</f>
        <v>2</v>
      </c>
    </row>
    <row r="39" spans="1:3" x14ac:dyDescent="0.25">
      <c r="A39">
        <v>162462</v>
      </c>
      <c r="B39" t="s">
        <v>2</v>
      </c>
      <c r="C39" t="str">
        <f>LEFT(Table4[[#This Row],[Policy Type]],1)</f>
        <v>1</v>
      </c>
    </row>
    <row r="40" spans="1:3" x14ac:dyDescent="0.25">
      <c r="A40">
        <v>255811</v>
      </c>
      <c r="B40" t="s">
        <v>2</v>
      </c>
      <c r="C40" t="str">
        <f>LEFT(Table4[[#This Row],[Policy Type]],1)</f>
        <v>1</v>
      </c>
    </row>
    <row r="41" spans="1:3" x14ac:dyDescent="0.25">
      <c r="A41">
        <v>255815</v>
      </c>
      <c r="B41" t="s">
        <v>3</v>
      </c>
      <c r="C41" t="str">
        <f>LEFT(Table4[[#This Row],[Policy Type]],1)</f>
        <v>2</v>
      </c>
    </row>
    <row r="42" spans="1:3" x14ac:dyDescent="0.25">
      <c r="A42">
        <v>255816</v>
      </c>
      <c r="B42" t="s">
        <v>3</v>
      </c>
      <c r="C42" t="str">
        <f>LEFT(Table4[[#This Row],[Policy Type]],1)</f>
        <v>2</v>
      </c>
    </row>
    <row r="43" spans="1:3" x14ac:dyDescent="0.25">
      <c r="A43">
        <v>255818</v>
      </c>
      <c r="B43" t="s">
        <v>2</v>
      </c>
      <c r="C43" t="str">
        <f>LEFT(Table4[[#This Row],[Policy Type]],1)</f>
        <v>1</v>
      </c>
    </row>
    <row r="44" spans="1:3" x14ac:dyDescent="0.25">
      <c r="A44">
        <v>255822</v>
      </c>
      <c r="B44" t="s">
        <v>2</v>
      </c>
      <c r="C44" t="str">
        <f>LEFT(Table4[[#This Row],[Policy Type]],1)</f>
        <v>1</v>
      </c>
    </row>
    <row r="45" spans="1:3" x14ac:dyDescent="0.25">
      <c r="A45">
        <v>186091</v>
      </c>
      <c r="B45" t="s">
        <v>2</v>
      </c>
      <c r="C45" t="str">
        <f>LEFT(Table4[[#This Row],[Policy Type]],1)</f>
        <v>1</v>
      </c>
    </row>
    <row r="46" spans="1:3" x14ac:dyDescent="0.25">
      <c r="A46">
        <v>255829</v>
      </c>
      <c r="B46" t="s">
        <v>2</v>
      </c>
      <c r="C46" t="str">
        <f>LEFT(Table4[[#This Row],[Policy Type]],1)</f>
        <v>1</v>
      </c>
    </row>
    <row r="47" spans="1:3" x14ac:dyDescent="0.25">
      <c r="A47">
        <v>255830</v>
      </c>
      <c r="B47" t="s">
        <v>2</v>
      </c>
      <c r="C47" t="str">
        <f>LEFT(Table4[[#This Row],[Policy Type]],1)</f>
        <v>1</v>
      </c>
    </row>
    <row r="48" spans="1:3" x14ac:dyDescent="0.25">
      <c r="A48">
        <v>198133</v>
      </c>
      <c r="B48" t="s">
        <v>3</v>
      </c>
      <c r="C48" t="str">
        <f>LEFT(Table4[[#This Row],[Policy Type]],1)</f>
        <v>2</v>
      </c>
    </row>
    <row r="49" spans="1:3" x14ac:dyDescent="0.25">
      <c r="A49">
        <v>247130</v>
      </c>
      <c r="B49" t="s">
        <v>2</v>
      </c>
      <c r="C49" t="str">
        <f>LEFT(Table4[[#This Row],[Policy Type]],1)</f>
        <v>1</v>
      </c>
    </row>
    <row r="50" spans="1:3" x14ac:dyDescent="0.25">
      <c r="A50">
        <v>255855</v>
      </c>
      <c r="B50" t="s">
        <v>3</v>
      </c>
      <c r="C50" t="str">
        <f>LEFT(Table4[[#This Row],[Policy Type]],1)</f>
        <v>2</v>
      </c>
    </row>
    <row r="51" spans="1:3" x14ac:dyDescent="0.25">
      <c r="A51">
        <v>151932</v>
      </c>
      <c r="B51" t="s">
        <v>2</v>
      </c>
      <c r="C51" t="str">
        <f>LEFT(Table4[[#This Row],[Policy Type]],1)</f>
        <v>1</v>
      </c>
    </row>
    <row r="52" spans="1:3" x14ac:dyDescent="0.25">
      <c r="A52">
        <v>236953</v>
      </c>
      <c r="B52" t="s">
        <v>3</v>
      </c>
      <c r="C52" t="str">
        <f>LEFT(Table4[[#This Row],[Policy Type]],1)</f>
        <v>2</v>
      </c>
    </row>
    <row r="53" spans="1:3" x14ac:dyDescent="0.25">
      <c r="A53">
        <v>165991</v>
      </c>
      <c r="B53" t="s">
        <v>3</v>
      </c>
      <c r="C53" t="str">
        <f>LEFT(Table4[[#This Row],[Policy Type]],1)</f>
        <v>2</v>
      </c>
    </row>
    <row r="54" spans="1:3" x14ac:dyDescent="0.25">
      <c r="A54">
        <v>253114</v>
      </c>
      <c r="B54" t="s">
        <v>2</v>
      </c>
      <c r="C54" t="str">
        <f>LEFT(Table4[[#This Row],[Policy Type]],1)</f>
        <v>1</v>
      </c>
    </row>
    <row r="55" spans="1:3" x14ac:dyDescent="0.25">
      <c r="A55">
        <v>238284</v>
      </c>
      <c r="B55" t="s">
        <v>3</v>
      </c>
      <c r="C55" t="str">
        <f>LEFT(Table4[[#This Row],[Policy Type]],1)</f>
        <v>2</v>
      </c>
    </row>
    <row r="56" spans="1:3" x14ac:dyDescent="0.25">
      <c r="A56">
        <v>255863</v>
      </c>
      <c r="B56" t="s">
        <v>2</v>
      </c>
      <c r="C56" t="str">
        <f>LEFT(Table4[[#This Row],[Policy Type]],1)</f>
        <v>1</v>
      </c>
    </row>
    <row r="57" spans="1:3" x14ac:dyDescent="0.25">
      <c r="A57">
        <v>255864</v>
      </c>
      <c r="B57" t="s">
        <v>2</v>
      </c>
      <c r="C57" t="str">
        <f>LEFT(Table4[[#This Row],[Policy Type]],1)</f>
        <v>1</v>
      </c>
    </row>
    <row r="58" spans="1:3" x14ac:dyDescent="0.25">
      <c r="A58">
        <v>255870</v>
      </c>
      <c r="B58" t="s">
        <v>3</v>
      </c>
      <c r="C58" t="str">
        <f>LEFT(Table4[[#This Row],[Policy Type]],1)</f>
        <v>2</v>
      </c>
    </row>
    <row r="59" spans="1:3" x14ac:dyDescent="0.25">
      <c r="A59">
        <v>255871</v>
      </c>
      <c r="B59" t="s">
        <v>3</v>
      </c>
      <c r="C59" t="str">
        <f>LEFT(Table4[[#This Row],[Policy Type]],1)</f>
        <v>2</v>
      </c>
    </row>
    <row r="60" spans="1:3" x14ac:dyDescent="0.25">
      <c r="A60">
        <v>184032</v>
      </c>
      <c r="B60" t="s">
        <v>2</v>
      </c>
      <c r="C60" t="str">
        <f>LEFT(Table4[[#This Row],[Policy Type]],1)</f>
        <v>1</v>
      </c>
    </row>
    <row r="61" spans="1:3" x14ac:dyDescent="0.25">
      <c r="A61">
        <v>255887</v>
      </c>
      <c r="B61" t="s">
        <v>3</v>
      </c>
      <c r="C61" t="str">
        <f>LEFT(Table4[[#This Row],[Policy Type]],1)</f>
        <v>2</v>
      </c>
    </row>
    <row r="62" spans="1:3" x14ac:dyDescent="0.25">
      <c r="A62">
        <v>255896</v>
      </c>
      <c r="B62" t="s">
        <v>3</v>
      </c>
      <c r="C62" t="str">
        <f>LEFT(Table4[[#This Row],[Policy Type]],1)</f>
        <v>2</v>
      </c>
    </row>
    <row r="63" spans="1:3" x14ac:dyDescent="0.25">
      <c r="A63">
        <v>233790</v>
      </c>
      <c r="B63" t="s">
        <v>3</v>
      </c>
      <c r="C63" t="str">
        <f>LEFT(Table4[[#This Row],[Policy Type]],1)</f>
        <v>2</v>
      </c>
    </row>
    <row r="64" spans="1:3" x14ac:dyDescent="0.25">
      <c r="A64">
        <v>177971</v>
      </c>
      <c r="B64" t="s">
        <v>2</v>
      </c>
      <c r="C64" t="str">
        <f>LEFT(Table4[[#This Row],[Policy Type]],1)</f>
        <v>1</v>
      </c>
    </row>
    <row r="65" spans="1:3" x14ac:dyDescent="0.25">
      <c r="A65">
        <v>255907</v>
      </c>
      <c r="B65" t="s">
        <v>2</v>
      </c>
      <c r="C65" t="str">
        <f>LEFT(Table4[[#This Row],[Policy Type]],1)</f>
        <v>1</v>
      </c>
    </row>
    <row r="66" spans="1:3" x14ac:dyDescent="0.25">
      <c r="A66">
        <v>255912</v>
      </c>
      <c r="B66" t="s">
        <v>2</v>
      </c>
      <c r="C66" t="str">
        <f>LEFT(Table4[[#This Row],[Policy Type]],1)</f>
        <v>1</v>
      </c>
    </row>
    <row r="67" spans="1:3" x14ac:dyDescent="0.25">
      <c r="A67">
        <v>255916</v>
      </c>
      <c r="B67" t="s">
        <v>2</v>
      </c>
      <c r="C67" t="str">
        <f>LEFT(Table4[[#This Row],[Policy Type]],1)</f>
        <v>1</v>
      </c>
    </row>
    <row r="68" spans="1:3" x14ac:dyDescent="0.25">
      <c r="A68">
        <v>255933</v>
      </c>
      <c r="B68" t="s">
        <v>2</v>
      </c>
      <c r="C68" t="str">
        <f>LEFT(Table4[[#This Row],[Policy Type]],1)</f>
        <v>1</v>
      </c>
    </row>
    <row r="69" spans="1:3" x14ac:dyDescent="0.25">
      <c r="A69">
        <v>255935</v>
      </c>
      <c r="B69" t="s">
        <v>2</v>
      </c>
      <c r="C69" t="str">
        <f>LEFT(Table4[[#This Row],[Policy Type]],1)</f>
        <v>1</v>
      </c>
    </row>
    <row r="70" spans="1:3" x14ac:dyDescent="0.25">
      <c r="A70">
        <v>255938</v>
      </c>
      <c r="B70" t="s">
        <v>3</v>
      </c>
      <c r="C70" t="str">
        <f>LEFT(Table4[[#This Row],[Policy Type]],1)</f>
        <v>2</v>
      </c>
    </row>
    <row r="71" spans="1:3" x14ac:dyDescent="0.25">
      <c r="A71">
        <v>255939</v>
      </c>
      <c r="B71" t="s">
        <v>3</v>
      </c>
      <c r="C71" t="str">
        <f>LEFT(Table4[[#This Row],[Policy Type]],1)</f>
        <v>2</v>
      </c>
    </row>
    <row r="72" spans="1:3" x14ac:dyDescent="0.25">
      <c r="A72">
        <v>255941</v>
      </c>
      <c r="B72" t="s">
        <v>3</v>
      </c>
      <c r="C72" t="str">
        <f>LEFT(Table4[[#This Row],[Policy Type]],1)</f>
        <v>2</v>
      </c>
    </row>
    <row r="73" spans="1:3" x14ac:dyDescent="0.25">
      <c r="A73">
        <v>255944</v>
      </c>
      <c r="B73" t="s">
        <v>3</v>
      </c>
      <c r="C73" t="str">
        <f>LEFT(Table4[[#This Row],[Policy Type]],1)</f>
        <v>2</v>
      </c>
    </row>
    <row r="74" spans="1:3" x14ac:dyDescent="0.25">
      <c r="A74">
        <v>213925</v>
      </c>
      <c r="B74" t="s">
        <v>3</v>
      </c>
      <c r="C74" t="str">
        <f>LEFT(Table4[[#This Row],[Policy Type]],1)</f>
        <v>2</v>
      </c>
    </row>
    <row r="75" spans="1:3" x14ac:dyDescent="0.25">
      <c r="A75">
        <v>255947</v>
      </c>
      <c r="B75" t="s">
        <v>3</v>
      </c>
      <c r="C75" t="str">
        <f>LEFT(Table4[[#This Row],[Policy Type]],1)</f>
        <v>2</v>
      </c>
    </row>
    <row r="76" spans="1:3" x14ac:dyDescent="0.25">
      <c r="A76">
        <v>255951</v>
      </c>
      <c r="B76" t="s">
        <v>3</v>
      </c>
      <c r="C76" t="str">
        <f>LEFT(Table4[[#This Row],[Policy Type]],1)</f>
        <v>2</v>
      </c>
    </row>
    <row r="77" spans="1:3" x14ac:dyDescent="0.25">
      <c r="A77">
        <v>255960</v>
      </c>
      <c r="B77" t="s">
        <v>3</v>
      </c>
      <c r="C77" t="str">
        <f>LEFT(Table4[[#This Row],[Policy Type]],1)</f>
        <v>2</v>
      </c>
    </row>
    <row r="78" spans="1:3" x14ac:dyDescent="0.25">
      <c r="A78">
        <v>255964</v>
      </c>
      <c r="B78" t="s">
        <v>2</v>
      </c>
      <c r="C78" t="str">
        <f>LEFT(Table4[[#This Row],[Policy Type]],1)</f>
        <v>1</v>
      </c>
    </row>
    <row r="79" spans="1:3" x14ac:dyDescent="0.25">
      <c r="A79">
        <v>255974</v>
      </c>
      <c r="B79" t="s">
        <v>3</v>
      </c>
      <c r="C79" t="str">
        <f>LEFT(Table4[[#This Row],[Policy Type]],1)</f>
        <v>2</v>
      </c>
    </row>
    <row r="80" spans="1:3" x14ac:dyDescent="0.25">
      <c r="A80">
        <v>255978</v>
      </c>
      <c r="B80" t="s">
        <v>3</v>
      </c>
      <c r="C80" t="str">
        <f>LEFT(Table4[[#This Row],[Policy Type]],1)</f>
        <v>2</v>
      </c>
    </row>
    <row r="81" spans="1:3" x14ac:dyDescent="0.25">
      <c r="A81">
        <v>255980</v>
      </c>
      <c r="B81" t="s">
        <v>3</v>
      </c>
      <c r="C81" t="str">
        <f>LEFT(Table4[[#This Row],[Policy Type]],1)</f>
        <v>2</v>
      </c>
    </row>
    <row r="82" spans="1:3" x14ac:dyDescent="0.25">
      <c r="A82">
        <v>255979</v>
      </c>
      <c r="B82" t="s">
        <v>3</v>
      </c>
      <c r="C82" t="str">
        <f>LEFT(Table4[[#This Row],[Policy Type]],1)</f>
        <v>2</v>
      </c>
    </row>
    <row r="83" spans="1:3" x14ac:dyDescent="0.25">
      <c r="A83">
        <v>255981</v>
      </c>
      <c r="B83" t="s">
        <v>2</v>
      </c>
      <c r="C83" t="str">
        <f>LEFT(Table4[[#This Row],[Policy Type]],1)</f>
        <v>1</v>
      </c>
    </row>
    <row r="84" spans="1:3" x14ac:dyDescent="0.25">
      <c r="A84">
        <v>255985</v>
      </c>
      <c r="B84" t="s">
        <v>3</v>
      </c>
      <c r="C84" t="str">
        <f>LEFT(Table4[[#This Row],[Policy Type]],1)</f>
        <v>2</v>
      </c>
    </row>
    <row r="85" spans="1:3" x14ac:dyDescent="0.25">
      <c r="A85">
        <v>255988</v>
      </c>
      <c r="B85" t="s">
        <v>3</v>
      </c>
      <c r="C85" t="str">
        <f>LEFT(Table4[[#This Row],[Policy Type]],1)</f>
        <v>2</v>
      </c>
    </row>
    <row r="86" spans="1:3" x14ac:dyDescent="0.25">
      <c r="A86">
        <v>255991</v>
      </c>
      <c r="B86" t="s">
        <v>3</v>
      </c>
      <c r="C86" t="str">
        <f>LEFT(Table4[[#This Row],[Policy Type]],1)</f>
        <v>2</v>
      </c>
    </row>
    <row r="87" spans="1:3" x14ac:dyDescent="0.25">
      <c r="A87">
        <v>255995</v>
      </c>
      <c r="B87" t="s">
        <v>2</v>
      </c>
      <c r="C87" t="str">
        <f>LEFT(Table4[[#This Row],[Policy Type]],1)</f>
        <v>1</v>
      </c>
    </row>
    <row r="88" spans="1:3" x14ac:dyDescent="0.25">
      <c r="A88">
        <v>255998</v>
      </c>
      <c r="B88" t="s">
        <v>3</v>
      </c>
      <c r="C88" t="str">
        <f>LEFT(Table4[[#This Row],[Policy Type]],1)</f>
        <v>2</v>
      </c>
    </row>
    <row r="89" spans="1:3" x14ac:dyDescent="0.25">
      <c r="A89">
        <v>256003</v>
      </c>
      <c r="B89" t="s">
        <v>2</v>
      </c>
      <c r="C89" t="str">
        <f>LEFT(Table4[[#This Row],[Policy Type]],1)</f>
        <v>1</v>
      </c>
    </row>
    <row r="90" spans="1:3" x14ac:dyDescent="0.25">
      <c r="A90">
        <v>256005</v>
      </c>
      <c r="B90" t="s">
        <v>2</v>
      </c>
      <c r="C90" t="str">
        <f>LEFT(Table4[[#This Row],[Policy Type]],1)</f>
        <v>1</v>
      </c>
    </row>
    <row r="91" spans="1:3" x14ac:dyDescent="0.25">
      <c r="A91">
        <v>256028</v>
      </c>
      <c r="B91" t="s">
        <v>3</v>
      </c>
      <c r="C91" t="str">
        <f>LEFT(Table4[[#This Row],[Policy Type]],1)</f>
        <v>2</v>
      </c>
    </row>
    <row r="92" spans="1:3" x14ac:dyDescent="0.25">
      <c r="A92">
        <v>256029</v>
      </c>
      <c r="B92" t="s">
        <v>3</v>
      </c>
      <c r="C92" t="str">
        <f>LEFT(Table4[[#This Row],[Policy Type]],1)</f>
        <v>2</v>
      </c>
    </row>
    <row r="93" spans="1:3" x14ac:dyDescent="0.25">
      <c r="A93">
        <v>256030</v>
      </c>
      <c r="B93" t="s">
        <v>2</v>
      </c>
      <c r="C93" t="str">
        <f>LEFT(Table4[[#This Row],[Policy Type]],1)</f>
        <v>1</v>
      </c>
    </row>
    <row r="94" spans="1:3" x14ac:dyDescent="0.25">
      <c r="A94">
        <v>256017</v>
      </c>
      <c r="B94" t="s">
        <v>2</v>
      </c>
      <c r="C94" t="str">
        <f>LEFT(Table4[[#This Row],[Policy Type]],1)</f>
        <v>1</v>
      </c>
    </row>
    <row r="95" spans="1:3" x14ac:dyDescent="0.25">
      <c r="A95">
        <v>256018</v>
      </c>
      <c r="B95" t="s">
        <v>2</v>
      </c>
      <c r="C95" t="str">
        <f>LEFT(Table4[[#This Row],[Policy Type]],1)</f>
        <v>1</v>
      </c>
    </row>
    <row r="96" spans="1:3" x14ac:dyDescent="0.25">
      <c r="A96">
        <v>256019</v>
      </c>
      <c r="B96" t="s">
        <v>3</v>
      </c>
      <c r="C96" t="str">
        <f>LEFT(Table4[[#This Row],[Policy Type]],1)</f>
        <v>2</v>
      </c>
    </row>
    <row r="97" spans="1:3" x14ac:dyDescent="0.25">
      <c r="A97">
        <v>256020</v>
      </c>
      <c r="B97" t="s">
        <v>3</v>
      </c>
      <c r="C97" t="str">
        <f>LEFT(Table4[[#This Row],[Policy Type]],1)</f>
        <v>2</v>
      </c>
    </row>
    <row r="98" spans="1:3" x14ac:dyDescent="0.25">
      <c r="A98">
        <v>256022</v>
      </c>
      <c r="B98" t="s">
        <v>2</v>
      </c>
      <c r="C98" t="str">
        <f>LEFT(Table4[[#This Row],[Policy Type]],1)</f>
        <v>1</v>
      </c>
    </row>
    <row r="99" spans="1:3" x14ac:dyDescent="0.25">
      <c r="A99">
        <v>256027</v>
      </c>
      <c r="B99" t="s">
        <v>2</v>
      </c>
      <c r="C99" t="str">
        <f>LEFT(Table4[[#This Row],[Policy Type]],1)</f>
        <v>1</v>
      </c>
    </row>
    <row r="100" spans="1:3" x14ac:dyDescent="0.25">
      <c r="A100">
        <v>256041</v>
      </c>
      <c r="B100" t="s">
        <v>2</v>
      </c>
      <c r="C100" t="str">
        <f>LEFT(Table4[[#This Row],[Policy Type]],1)</f>
        <v>1</v>
      </c>
    </row>
    <row r="101" spans="1:3" x14ac:dyDescent="0.25">
      <c r="A101">
        <v>256046</v>
      </c>
      <c r="B101" t="s">
        <v>2</v>
      </c>
      <c r="C101" t="str">
        <f>LEFT(Table4[[#This Row],[Policy Type]],1)</f>
        <v>1</v>
      </c>
    </row>
    <row r="102" spans="1:3" x14ac:dyDescent="0.25">
      <c r="A102">
        <v>220051</v>
      </c>
      <c r="B102" t="s">
        <v>2</v>
      </c>
      <c r="C102" t="str">
        <f>LEFT(Table4[[#This Row],[Policy Type]],1)</f>
        <v>1</v>
      </c>
    </row>
    <row r="103" spans="1:3" x14ac:dyDescent="0.25">
      <c r="A103">
        <v>253307</v>
      </c>
      <c r="B103" t="s">
        <v>2</v>
      </c>
      <c r="C103" t="str">
        <f>LEFT(Table4[[#This Row],[Policy Type]],1)</f>
        <v>1</v>
      </c>
    </row>
    <row r="104" spans="1:3" x14ac:dyDescent="0.25">
      <c r="A104">
        <v>256051</v>
      </c>
      <c r="B104" t="s">
        <v>3</v>
      </c>
      <c r="C104" t="str">
        <f>LEFT(Table4[[#This Row],[Policy Type]],1)</f>
        <v>2</v>
      </c>
    </row>
    <row r="105" spans="1:3" x14ac:dyDescent="0.25">
      <c r="A105">
        <v>212337</v>
      </c>
      <c r="B105" t="s">
        <v>2</v>
      </c>
      <c r="C105" t="str">
        <f>LEFT(Table4[[#This Row],[Policy Type]],1)</f>
        <v>1</v>
      </c>
    </row>
    <row r="106" spans="1:3" x14ac:dyDescent="0.25">
      <c r="A106">
        <v>256059</v>
      </c>
      <c r="B106" t="s">
        <v>2</v>
      </c>
      <c r="C106" t="str">
        <f>LEFT(Table4[[#This Row],[Policy Type]],1)</f>
        <v>1</v>
      </c>
    </row>
    <row r="107" spans="1:3" x14ac:dyDescent="0.25">
      <c r="A107">
        <v>256060</v>
      </c>
      <c r="B107" t="s">
        <v>2</v>
      </c>
      <c r="C107" t="str">
        <f>LEFT(Table4[[#This Row],[Policy Type]],1)</f>
        <v>1</v>
      </c>
    </row>
    <row r="108" spans="1:3" x14ac:dyDescent="0.25">
      <c r="A108">
        <v>256061</v>
      </c>
      <c r="B108" t="s">
        <v>3</v>
      </c>
      <c r="C108" t="str">
        <f>LEFT(Table4[[#This Row],[Policy Type]],1)</f>
        <v>2</v>
      </c>
    </row>
    <row r="109" spans="1:3" x14ac:dyDescent="0.25">
      <c r="A109">
        <v>256065</v>
      </c>
      <c r="B109" t="s">
        <v>2</v>
      </c>
      <c r="C109" t="str">
        <f>LEFT(Table4[[#This Row],[Policy Type]],1)</f>
        <v>1</v>
      </c>
    </row>
    <row r="110" spans="1:3" x14ac:dyDescent="0.25">
      <c r="A110">
        <v>256095</v>
      </c>
      <c r="B110" t="s">
        <v>3</v>
      </c>
      <c r="C110" t="str">
        <f>LEFT(Table4[[#This Row],[Policy Type]],1)</f>
        <v>2</v>
      </c>
    </row>
    <row r="111" spans="1:3" x14ac:dyDescent="0.25">
      <c r="A111">
        <v>256096</v>
      </c>
      <c r="B111" t="s">
        <v>2</v>
      </c>
      <c r="C111" t="str">
        <f>LEFT(Table4[[#This Row],[Policy Type]],1)</f>
        <v>1</v>
      </c>
    </row>
    <row r="112" spans="1:3" x14ac:dyDescent="0.25">
      <c r="A112">
        <v>249653</v>
      </c>
      <c r="B112" t="s">
        <v>3</v>
      </c>
      <c r="C112" t="str">
        <f>LEFT(Table4[[#This Row],[Policy Type]],1)</f>
        <v>2</v>
      </c>
    </row>
    <row r="113" spans="1:3" x14ac:dyDescent="0.25">
      <c r="A113">
        <v>256067</v>
      </c>
      <c r="B113" t="s">
        <v>3</v>
      </c>
      <c r="C113" t="str">
        <f>LEFT(Table4[[#This Row],[Policy Type]],1)</f>
        <v>2</v>
      </c>
    </row>
    <row r="114" spans="1:3" x14ac:dyDescent="0.25">
      <c r="A114">
        <v>256069</v>
      </c>
      <c r="B114" t="s">
        <v>3</v>
      </c>
      <c r="C114" t="str">
        <f>LEFT(Table4[[#This Row],[Policy Type]],1)</f>
        <v>2</v>
      </c>
    </row>
    <row r="115" spans="1:3" x14ac:dyDescent="0.25">
      <c r="A115">
        <v>256070</v>
      </c>
      <c r="B115" t="s">
        <v>3</v>
      </c>
      <c r="C115" t="str">
        <f>LEFT(Table4[[#This Row],[Policy Type]],1)</f>
        <v>2</v>
      </c>
    </row>
    <row r="116" spans="1:3" x14ac:dyDescent="0.25">
      <c r="A116">
        <v>256072</v>
      </c>
      <c r="B116" t="s">
        <v>2</v>
      </c>
      <c r="C116" t="str">
        <f>LEFT(Table4[[#This Row],[Policy Type]],1)</f>
        <v>1</v>
      </c>
    </row>
    <row r="117" spans="1:3" x14ac:dyDescent="0.25">
      <c r="A117">
        <v>256073</v>
      </c>
      <c r="B117" t="s">
        <v>2</v>
      </c>
      <c r="C117" t="str">
        <f>LEFT(Table4[[#This Row],[Policy Type]],1)</f>
        <v>1</v>
      </c>
    </row>
    <row r="118" spans="1:3" x14ac:dyDescent="0.25">
      <c r="A118">
        <v>256074</v>
      </c>
      <c r="B118" t="s">
        <v>2</v>
      </c>
      <c r="C118" t="str">
        <f>LEFT(Table4[[#This Row],[Policy Type]],1)</f>
        <v>1</v>
      </c>
    </row>
    <row r="119" spans="1:3" x14ac:dyDescent="0.25">
      <c r="A119">
        <v>256075</v>
      </c>
      <c r="B119" t="s">
        <v>3</v>
      </c>
      <c r="C119" t="str">
        <f>LEFT(Table4[[#This Row],[Policy Type]],1)</f>
        <v>2</v>
      </c>
    </row>
    <row r="120" spans="1:3" x14ac:dyDescent="0.25">
      <c r="A120">
        <v>256081</v>
      </c>
      <c r="B120" t="s">
        <v>3</v>
      </c>
      <c r="C120" t="str">
        <f>LEFT(Table4[[#This Row],[Policy Type]],1)</f>
        <v>2</v>
      </c>
    </row>
    <row r="121" spans="1:3" x14ac:dyDescent="0.25">
      <c r="A121">
        <v>256109</v>
      </c>
      <c r="B121" t="s">
        <v>2</v>
      </c>
      <c r="C121" t="str">
        <f>LEFT(Table4[[#This Row],[Policy Type]],1)</f>
        <v>1</v>
      </c>
    </row>
    <row r="122" spans="1:3" x14ac:dyDescent="0.25">
      <c r="A122">
        <v>184697</v>
      </c>
      <c r="B122" t="s">
        <v>3</v>
      </c>
      <c r="C122" t="str">
        <f>LEFT(Table4[[#This Row],[Policy Type]],1)</f>
        <v>2</v>
      </c>
    </row>
    <row r="123" spans="1:3" x14ac:dyDescent="0.25">
      <c r="A123">
        <v>256115</v>
      </c>
      <c r="B123" t="s">
        <v>2</v>
      </c>
      <c r="C123" t="str">
        <f>LEFT(Table4[[#This Row],[Policy Type]],1)</f>
        <v>1</v>
      </c>
    </row>
    <row r="124" spans="1:3" x14ac:dyDescent="0.25">
      <c r="A124">
        <v>256120</v>
      </c>
      <c r="B124" t="s">
        <v>2</v>
      </c>
      <c r="C124" t="str">
        <f>LEFT(Table4[[#This Row],[Policy Type]],1)</f>
        <v>1</v>
      </c>
    </row>
    <row r="125" spans="1:3" x14ac:dyDescent="0.25">
      <c r="A125">
        <v>172267</v>
      </c>
      <c r="B125" t="s">
        <v>2</v>
      </c>
      <c r="C125" t="str">
        <f>LEFT(Table4[[#This Row],[Policy Type]],1)</f>
        <v>1</v>
      </c>
    </row>
    <row r="126" spans="1:3" x14ac:dyDescent="0.25">
      <c r="A126">
        <v>165049</v>
      </c>
      <c r="B126" t="s">
        <v>3</v>
      </c>
      <c r="C126" t="str">
        <f>LEFT(Table4[[#This Row],[Policy Type]],1)</f>
        <v>2</v>
      </c>
    </row>
    <row r="127" spans="1:3" x14ac:dyDescent="0.25">
      <c r="A127">
        <v>251799</v>
      </c>
      <c r="B127" t="s">
        <v>3</v>
      </c>
      <c r="C127" t="str">
        <f>LEFT(Table4[[#This Row],[Policy Type]],1)</f>
        <v>2</v>
      </c>
    </row>
    <row r="128" spans="1:3" x14ac:dyDescent="0.25">
      <c r="A128">
        <v>256125</v>
      </c>
      <c r="B128" t="s">
        <v>3</v>
      </c>
      <c r="C128" t="str">
        <f>LEFT(Table4[[#This Row],[Policy Type]],1)</f>
        <v>2</v>
      </c>
    </row>
    <row r="129" spans="1:3" x14ac:dyDescent="0.25">
      <c r="A129">
        <v>256131</v>
      </c>
      <c r="B129" t="s">
        <v>3</v>
      </c>
      <c r="C129" t="str">
        <f>LEFT(Table4[[#This Row],[Policy Type]],1)</f>
        <v>2</v>
      </c>
    </row>
    <row r="130" spans="1:3" x14ac:dyDescent="0.25">
      <c r="A130">
        <v>249416</v>
      </c>
      <c r="B130" t="s">
        <v>3</v>
      </c>
      <c r="C130" t="str">
        <f>LEFT(Table4[[#This Row],[Policy Type]],1)</f>
        <v>2</v>
      </c>
    </row>
    <row r="131" spans="1:3" x14ac:dyDescent="0.25">
      <c r="A131">
        <v>256134</v>
      </c>
      <c r="B131" t="s">
        <v>3</v>
      </c>
      <c r="C131" t="str">
        <f>LEFT(Table4[[#This Row],[Policy Type]],1)</f>
        <v>2</v>
      </c>
    </row>
    <row r="132" spans="1:3" x14ac:dyDescent="0.25">
      <c r="A132">
        <v>256135</v>
      </c>
      <c r="B132" t="s">
        <v>3</v>
      </c>
      <c r="C132" t="str">
        <f>LEFT(Table4[[#This Row],[Policy Type]],1)</f>
        <v>2</v>
      </c>
    </row>
    <row r="133" spans="1:3" x14ac:dyDescent="0.25">
      <c r="A133">
        <v>256138</v>
      </c>
      <c r="B133" t="s">
        <v>2</v>
      </c>
      <c r="C133" t="str">
        <f>LEFT(Table4[[#This Row],[Policy Type]],1)</f>
        <v>1</v>
      </c>
    </row>
    <row r="134" spans="1:3" x14ac:dyDescent="0.25">
      <c r="A134">
        <v>256145</v>
      </c>
      <c r="B134" t="s">
        <v>3</v>
      </c>
      <c r="C134" t="str">
        <f>LEFT(Table4[[#This Row],[Policy Type]],1)</f>
        <v>2</v>
      </c>
    </row>
    <row r="135" spans="1:3" x14ac:dyDescent="0.25">
      <c r="A135">
        <v>256148</v>
      </c>
      <c r="B135" t="s">
        <v>2</v>
      </c>
      <c r="C135" t="str">
        <f>LEFT(Table4[[#This Row],[Policy Type]],1)</f>
        <v>1</v>
      </c>
    </row>
    <row r="136" spans="1:3" x14ac:dyDescent="0.25">
      <c r="A136">
        <v>256154</v>
      </c>
      <c r="B136" t="s">
        <v>3</v>
      </c>
      <c r="C136" t="str">
        <f>LEFT(Table4[[#This Row],[Policy Type]],1)</f>
        <v>2</v>
      </c>
    </row>
    <row r="137" spans="1:3" x14ac:dyDescent="0.25">
      <c r="A137">
        <v>256159</v>
      </c>
      <c r="B137" t="s">
        <v>2</v>
      </c>
      <c r="C137" t="str">
        <f>LEFT(Table4[[#This Row],[Policy Type]],1)</f>
        <v>1</v>
      </c>
    </row>
    <row r="138" spans="1:3" x14ac:dyDescent="0.25">
      <c r="A138">
        <v>168986</v>
      </c>
      <c r="B138" t="s">
        <v>2</v>
      </c>
      <c r="C138" t="str">
        <f>LEFT(Table4[[#This Row],[Policy Type]],1)</f>
        <v>1</v>
      </c>
    </row>
    <row r="139" spans="1:3" x14ac:dyDescent="0.25">
      <c r="A139">
        <v>168521</v>
      </c>
      <c r="B139" t="s">
        <v>2</v>
      </c>
      <c r="C139" t="str">
        <f>LEFT(Table4[[#This Row],[Policy Type]],1)</f>
        <v>1</v>
      </c>
    </row>
    <row r="140" spans="1:3" x14ac:dyDescent="0.25">
      <c r="A140">
        <v>209364</v>
      </c>
      <c r="B140" t="s">
        <v>3</v>
      </c>
      <c r="C140" t="str">
        <f>LEFT(Table4[[#This Row],[Policy Type]],1)</f>
        <v>2</v>
      </c>
    </row>
    <row r="141" spans="1:3" x14ac:dyDescent="0.25">
      <c r="A141">
        <v>187576</v>
      </c>
      <c r="B141" t="s">
        <v>2</v>
      </c>
      <c r="C141" t="str">
        <f>LEFT(Table4[[#This Row],[Policy Type]],1)</f>
        <v>1</v>
      </c>
    </row>
    <row r="142" spans="1:3" x14ac:dyDescent="0.25">
      <c r="A142">
        <v>232440</v>
      </c>
      <c r="B142" t="s">
        <v>2</v>
      </c>
      <c r="C142" t="str">
        <f>LEFT(Table4[[#This Row],[Policy Type]],1)</f>
        <v>1</v>
      </c>
    </row>
    <row r="143" spans="1:3" x14ac:dyDescent="0.25">
      <c r="A143">
        <v>256168</v>
      </c>
      <c r="B143" t="s">
        <v>3</v>
      </c>
      <c r="C143" t="str">
        <f>LEFT(Table4[[#This Row],[Policy Type]],1)</f>
        <v>2</v>
      </c>
    </row>
    <row r="144" spans="1:3" x14ac:dyDescent="0.25">
      <c r="A144">
        <v>256172</v>
      </c>
      <c r="B144" t="s">
        <v>2</v>
      </c>
      <c r="C144" t="str">
        <f>LEFT(Table4[[#This Row],[Policy Type]],1)</f>
        <v>1</v>
      </c>
    </row>
    <row r="145" spans="1:3" x14ac:dyDescent="0.25">
      <c r="A145">
        <v>256175</v>
      </c>
      <c r="B145" t="s">
        <v>2</v>
      </c>
      <c r="C145" t="str">
        <f>LEFT(Table4[[#This Row],[Policy Type]],1)</f>
        <v>1</v>
      </c>
    </row>
    <row r="146" spans="1:3" x14ac:dyDescent="0.25">
      <c r="A146">
        <v>256176</v>
      </c>
      <c r="B146" t="s">
        <v>2</v>
      </c>
      <c r="C146" t="str">
        <f>LEFT(Table4[[#This Row],[Policy Type]],1)</f>
        <v>1</v>
      </c>
    </row>
    <row r="147" spans="1:3" x14ac:dyDescent="0.25">
      <c r="A147">
        <v>256178</v>
      </c>
      <c r="B147" t="s">
        <v>2</v>
      </c>
      <c r="C147" t="str">
        <f>LEFT(Table4[[#This Row],[Policy Type]],1)</f>
        <v>1</v>
      </c>
    </row>
    <row r="148" spans="1:3" x14ac:dyDescent="0.25">
      <c r="A148">
        <v>256179</v>
      </c>
      <c r="B148" t="s">
        <v>2</v>
      </c>
      <c r="C148" t="str">
        <f>LEFT(Table4[[#This Row],[Policy Type]],1)</f>
        <v>1</v>
      </c>
    </row>
    <row r="149" spans="1:3" x14ac:dyDescent="0.25">
      <c r="A149">
        <v>256181</v>
      </c>
      <c r="B149" t="s">
        <v>2</v>
      </c>
      <c r="C149" t="str">
        <f>LEFT(Table4[[#This Row],[Policy Type]],1)</f>
        <v>1</v>
      </c>
    </row>
    <row r="150" spans="1:3" x14ac:dyDescent="0.25">
      <c r="A150">
        <v>256182</v>
      </c>
      <c r="B150" t="s">
        <v>3</v>
      </c>
      <c r="C150" t="str">
        <f>LEFT(Table4[[#This Row],[Policy Type]],1)</f>
        <v>2</v>
      </c>
    </row>
    <row r="151" spans="1:3" x14ac:dyDescent="0.25">
      <c r="A151">
        <v>256185</v>
      </c>
      <c r="B151" t="s">
        <v>2</v>
      </c>
      <c r="C151" t="str">
        <f>LEFT(Table4[[#This Row],[Policy Type]],1)</f>
        <v>1</v>
      </c>
    </row>
    <row r="152" spans="1:3" x14ac:dyDescent="0.25">
      <c r="A152">
        <v>256188</v>
      </c>
      <c r="B152" t="s">
        <v>3</v>
      </c>
      <c r="C152" t="str">
        <f>LEFT(Table4[[#This Row],[Policy Type]],1)</f>
        <v>2</v>
      </c>
    </row>
    <row r="153" spans="1:3" x14ac:dyDescent="0.25">
      <c r="A153">
        <v>253763</v>
      </c>
      <c r="B153" t="s">
        <v>3</v>
      </c>
      <c r="C153" t="str">
        <f>LEFT(Table4[[#This Row],[Policy Type]],1)</f>
        <v>2</v>
      </c>
    </row>
    <row r="154" spans="1:3" x14ac:dyDescent="0.25">
      <c r="A154">
        <v>234328</v>
      </c>
      <c r="B154" t="s">
        <v>3</v>
      </c>
      <c r="C154" t="str">
        <f>LEFT(Table4[[#This Row],[Policy Type]],1)</f>
        <v>2</v>
      </c>
    </row>
    <row r="155" spans="1:3" x14ac:dyDescent="0.25">
      <c r="A155">
        <v>198492</v>
      </c>
      <c r="B155" t="s">
        <v>3</v>
      </c>
      <c r="C155" t="str">
        <f>LEFT(Table4[[#This Row],[Policy Type]],1)</f>
        <v>2</v>
      </c>
    </row>
    <row r="156" spans="1:3" x14ac:dyDescent="0.25">
      <c r="A156">
        <v>256204</v>
      </c>
      <c r="B156" t="s">
        <v>3</v>
      </c>
      <c r="C156" t="str">
        <f>LEFT(Table4[[#This Row],[Policy Type]],1)</f>
        <v>2</v>
      </c>
    </row>
    <row r="157" spans="1:3" x14ac:dyDescent="0.25">
      <c r="A157">
        <v>237316</v>
      </c>
      <c r="B157" t="s">
        <v>2</v>
      </c>
      <c r="C157" t="str">
        <f>LEFT(Table4[[#This Row],[Policy Type]],1)</f>
        <v>1</v>
      </c>
    </row>
    <row r="158" spans="1:3" x14ac:dyDescent="0.25">
      <c r="A158">
        <v>256207</v>
      </c>
      <c r="B158" t="s">
        <v>2</v>
      </c>
      <c r="C158" t="str">
        <f>LEFT(Table4[[#This Row],[Policy Type]],1)</f>
        <v>1</v>
      </c>
    </row>
    <row r="159" spans="1:3" x14ac:dyDescent="0.25">
      <c r="A159">
        <v>256209</v>
      </c>
      <c r="B159" t="s">
        <v>3</v>
      </c>
      <c r="C159" t="str">
        <f>LEFT(Table4[[#This Row],[Policy Type]],1)</f>
        <v>2</v>
      </c>
    </row>
    <row r="160" spans="1:3" x14ac:dyDescent="0.25">
      <c r="A160">
        <v>256216</v>
      </c>
      <c r="B160" t="s">
        <v>3</v>
      </c>
      <c r="C160" t="str">
        <f>LEFT(Table4[[#This Row],[Policy Type]],1)</f>
        <v>2</v>
      </c>
    </row>
    <row r="161" spans="1:3" x14ac:dyDescent="0.25">
      <c r="A161">
        <v>256220</v>
      </c>
      <c r="B161" t="s">
        <v>3</v>
      </c>
      <c r="C161" t="str">
        <f>LEFT(Table4[[#This Row],[Policy Type]],1)</f>
        <v>2</v>
      </c>
    </row>
    <row r="162" spans="1:3" x14ac:dyDescent="0.25">
      <c r="A162">
        <v>254680</v>
      </c>
      <c r="B162" t="s">
        <v>3</v>
      </c>
      <c r="C162" t="str">
        <f>LEFT(Table4[[#This Row],[Policy Type]],1)</f>
        <v>2</v>
      </c>
    </row>
    <row r="163" spans="1:3" x14ac:dyDescent="0.25">
      <c r="A163">
        <v>255351</v>
      </c>
      <c r="B163" t="s">
        <v>3</v>
      </c>
      <c r="C163" t="str">
        <f>LEFT(Table4[[#This Row],[Policy Type]],1)</f>
        <v>2</v>
      </c>
    </row>
    <row r="164" spans="1:3" x14ac:dyDescent="0.25">
      <c r="A164">
        <v>256241</v>
      </c>
      <c r="B164" t="s">
        <v>3</v>
      </c>
      <c r="C164" t="str">
        <f>LEFT(Table4[[#This Row],[Policy Type]],1)</f>
        <v>2</v>
      </c>
    </row>
    <row r="165" spans="1:3" x14ac:dyDescent="0.25">
      <c r="A165">
        <v>256242</v>
      </c>
      <c r="B165" t="s">
        <v>3</v>
      </c>
      <c r="C165" t="str">
        <f>LEFT(Table4[[#This Row],[Policy Type]],1)</f>
        <v>2</v>
      </c>
    </row>
    <row r="166" spans="1:3" x14ac:dyDescent="0.25">
      <c r="A166">
        <v>256253</v>
      </c>
      <c r="B166" t="s">
        <v>2</v>
      </c>
      <c r="C166" t="str">
        <f>LEFT(Table4[[#This Row],[Policy Type]],1)</f>
        <v>1</v>
      </c>
    </row>
    <row r="167" spans="1:3" x14ac:dyDescent="0.25">
      <c r="A167">
        <v>256254</v>
      </c>
      <c r="B167" t="s">
        <v>3</v>
      </c>
      <c r="C167" t="str">
        <f>LEFT(Table4[[#This Row],[Policy Type]],1)</f>
        <v>2</v>
      </c>
    </row>
    <row r="168" spans="1:3" x14ac:dyDescent="0.25">
      <c r="A168">
        <v>256257</v>
      </c>
      <c r="B168" t="s">
        <v>2</v>
      </c>
      <c r="C168" t="str">
        <f>LEFT(Table4[[#This Row],[Policy Type]],1)</f>
        <v>1</v>
      </c>
    </row>
    <row r="169" spans="1:3" x14ac:dyDescent="0.25">
      <c r="A169">
        <v>256258</v>
      </c>
      <c r="B169" t="s">
        <v>2</v>
      </c>
      <c r="C169" t="str">
        <f>LEFT(Table4[[#This Row],[Policy Type]],1)</f>
        <v>1</v>
      </c>
    </row>
    <row r="170" spans="1:3" x14ac:dyDescent="0.25">
      <c r="A170">
        <v>216017</v>
      </c>
      <c r="B170" t="s">
        <v>3</v>
      </c>
      <c r="C170" t="str">
        <f>LEFT(Table4[[#This Row],[Policy Type]],1)</f>
        <v>2</v>
      </c>
    </row>
    <row r="171" spans="1:3" x14ac:dyDescent="0.25">
      <c r="A171">
        <v>232772</v>
      </c>
      <c r="B171" t="s">
        <v>2</v>
      </c>
      <c r="C171" t="str">
        <f>LEFT(Table4[[#This Row],[Policy Type]],1)</f>
        <v>1</v>
      </c>
    </row>
    <row r="172" spans="1:3" x14ac:dyDescent="0.25">
      <c r="A172">
        <v>256264</v>
      </c>
      <c r="B172" t="s">
        <v>2</v>
      </c>
      <c r="C172" t="str">
        <f>LEFT(Table4[[#This Row],[Policy Type]],1)</f>
        <v>1</v>
      </c>
    </row>
    <row r="173" spans="1:3" x14ac:dyDescent="0.25">
      <c r="A173">
        <v>256269</v>
      </c>
      <c r="B173" t="s">
        <v>2</v>
      </c>
      <c r="C173" t="str">
        <f>LEFT(Table4[[#This Row],[Policy Type]],1)</f>
        <v>1</v>
      </c>
    </row>
    <row r="174" spans="1:3" x14ac:dyDescent="0.25">
      <c r="A174">
        <v>256270</v>
      </c>
      <c r="B174" t="s">
        <v>3</v>
      </c>
      <c r="C174" t="str">
        <f>LEFT(Table4[[#This Row],[Policy Type]],1)</f>
        <v>2</v>
      </c>
    </row>
    <row r="175" spans="1:3" x14ac:dyDescent="0.25">
      <c r="A175">
        <v>256272</v>
      </c>
      <c r="B175" t="s">
        <v>3</v>
      </c>
      <c r="C175" t="str">
        <f>LEFT(Table4[[#This Row],[Policy Type]],1)</f>
        <v>2</v>
      </c>
    </row>
    <row r="176" spans="1:3" x14ac:dyDescent="0.25">
      <c r="A176">
        <v>255570</v>
      </c>
      <c r="B176" t="s">
        <v>2</v>
      </c>
      <c r="C176" t="str">
        <f>LEFT(Table4[[#This Row],[Policy Type]],1)</f>
        <v>1</v>
      </c>
    </row>
    <row r="177" spans="1:3" x14ac:dyDescent="0.25">
      <c r="A177">
        <v>256282</v>
      </c>
      <c r="B177" t="s">
        <v>3</v>
      </c>
      <c r="C177" t="str">
        <f>LEFT(Table4[[#This Row],[Policy Type]],1)</f>
        <v>2</v>
      </c>
    </row>
    <row r="178" spans="1:3" x14ac:dyDescent="0.25">
      <c r="A178">
        <v>256283</v>
      </c>
      <c r="B178" t="s">
        <v>3</v>
      </c>
      <c r="C178" t="str">
        <f>LEFT(Table4[[#This Row],[Policy Type]],1)</f>
        <v>2</v>
      </c>
    </row>
    <row r="179" spans="1:3" x14ac:dyDescent="0.25">
      <c r="A179">
        <v>256291</v>
      </c>
      <c r="B179" t="s">
        <v>2</v>
      </c>
      <c r="C179" t="str">
        <f>LEFT(Table4[[#This Row],[Policy Type]],1)</f>
        <v>1</v>
      </c>
    </row>
    <row r="180" spans="1:3" x14ac:dyDescent="0.25">
      <c r="A180">
        <v>256295</v>
      </c>
      <c r="B180" t="s">
        <v>3</v>
      </c>
      <c r="C180" t="str">
        <f>LEFT(Table4[[#This Row],[Policy Type]],1)</f>
        <v>2</v>
      </c>
    </row>
    <row r="181" spans="1:3" x14ac:dyDescent="0.25">
      <c r="A181">
        <v>256300</v>
      </c>
      <c r="B181" t="s">
        <v>3</v>
      </c>
      <c r="C181" t="str">
        <f>LEFT(Table4[[#This Row],[Policy Type]],1)</f>
        <v>2</v>
      </c>
    </row>
    <row r="182" spans="1:3" x14ac:dyDescent="0.25">
      <c r="A182">
        <v>156103</v>
      </c>
      <c r="B182" t="s">
        <v>2</v>
      </c>
      <c r="C182" t="str">
        <f>LEFT(Table4[[#This Row],[Policy Type]],1)</f>
        <v>1</v>
      </c>
    </row>
    <row r="183" spans="1:3" x14ac:dyDescent="0.25">
      <c r="A183">
        <v>241499</v>
      </c>
      <c r="B183" t="s">
        <v>3</v>
      </c>
      <c r="C183" t="str">
        <f>LEFT(Table4[[#This Row],[Policy Type]],1)</f>
        <v>2</v>
      </c>
    </row>
    <row r="184" spans="1:3" x14ac:dyDescent="0.25">
      <c r="A184">
        <v>231409</v>
      </c>
      <c r="B184" t="s">
        <v>2</v>
      </c>
      <c r="C184" t="str">
        <f>LEFT(Table4[[#This Row],[Policy Type]],1)</f>
        <v>1</v>
      </c>
    </row>
    <row r="185" spans="1:3" x14ac:dyDescent="0.25">
      <c r="A185">
        <v>234265</v>
      </c>
      <c r="B185" t="s">
        <v>2</v>
      </c>
      <c r="C185" t="str">
        <f>LEFT(Table4[[#This Row],[Policy Type]],1)</f>
        <v>1</v>
      </c>
    </row>
    <row r="186" spans="1:3" x14ac:dyDescent="0.25">
      <c r="A186">
        <v>224396</v>
      </c>
      <c r="B186" t="s">
        <v>3</v>
      </c>
      <c r="C186" t="str">
        <f>LEFT(Table4[[#This Row],[Policy Type]],1)</f>
        <v>2</v>
      </c>
    </row>
    <row r="187" spans="1:3" x14ac:dyDescent="0.25">
      <c r="A187">
        <v>254837</v>
      </c>
      <c r="B187" t="s">
        <v>3</v>
      </c>
      <c r="C187" t="str">
        <f>LEFT(Table4[[#This Row],[Policy Type]],1)</f>
        <v>2</v>
      </c>
    </row>
    <row r="188" spans="1:3" x14ac:dyDescent="0.25">
      <c r="A188">
        <v>173729</v>
      </c>
      <c r="B188" t="s">
        <v>2</v>
      </c>
      <c r="C188" t="str">
        <f>LEFT(Table4[[#This Row],[Policy Type]],1)</f>
        <v>1</v>
      </c>
    </row>
    <row r="189" spans="1:3" x14ac:dyDescent="0.25">
      <c r="A189">
        <v>251886</v>
      </c>
      <c r="B189" t="s">
        <v>3</v>
      </c>
      <c r="C189" t="str">
        <f>LEFT(Table4[[#This Row],[Policy Type]],1)</f>
        <v>2</v>
      </c>
    </row>
    <row r="190" spans="1:3" x14ac:dyDescent="0.25">
      <c r="A190">
        <v>256317</v>
      </c>
      <c r="B190" t="s">
        <v>3</v>
      </c>
      <c r="C190" t="str">
        <f>LEFT(Table4[[#This Row],[Policy Type]],1)</f>
        <v>2</v>
      </c>
    </row>
    <row r="191" spans="1:3" x14ac:dyDescent="0.25">
      <c r="A191">
        <v>256318</v>
      </c>
      <c r="B191" t="s">
        <v>3</v>
      </c>
      <c r="C191" t="str">
        <f>LEFT(Table4[[#This Row],[Policy Type]],1)</f>
        <v>2</v>
      </c>
    </row>
    <row r="192" spans="1:3" x14ac:dyDescent="0.25">
      <c r="A192">
        <v>256327</v>
      </c>
      <c r="B192" t="s">
        <v>2</v>
      </c>
      <c r="C192" t="str">
        <f>LEFT(Table4[[#This Row],[Policy Type]],1)</f>
        <v>1</v>
      </c>
    </row>
    <row r="193" spans="1:3" x14ac:dyDescent="0.25">
      <c r="A193">
        <v>256333</v>
      </c>
      <c r="B193" t="s">
        <v>3</v>
      </c>
      <c r="C193" t="str">
        <f>LEFT(Table4[[#This Row],[Policy Type]],1)</f>
        <v>2</v>
      </c>
    </row>
    <row r="194" spans="1:3" x14ac:dyDescent="0.25">
      <c r="A194">
        <v>256334</v>
      </c>
      <c r="B194" t="s">
        <v>3</v>
      </c>
      <c r="C194" t="str">
        <f>LEFT(Table4[[#This Row],[Policy Type]],1)</f>
        <v>2</v>
      </c>
    </row>
    <row r="195" spans="1:3" x14ac:dyDescent="0.25">
      <c r="A195">
        <v>256341</v>
      </c>
      <c r="B195" t="s">
        <v>3</v>
      </c>
      <c r="C195" t="str">
        <f>LEFT(Table4[[#This Row],[Policy Type]],1)</f>
        <v>2</v>
      </c>
    </row>
    <row r="196" spans="1:3" x14ac:dyDescent="0.25">
      <c r="A196">
        <v>256344</v>
      </c>
      <c r="B196" t="s">
        <v>3</v>
      </c>
      <c r="C196" t="str">
        <f>LEFT(Table4[[#This Row],[Policy Type]],1)</f>
        <v>2</v>
      </c>
    </row>
    <row r="197" spans="1:3" x14ac:dyDescent="0.25">
      <c r="A197">
        <v>256356</v>
      </c>
      <c r="B197" t="s">
        <v>2</v>
      </c>
      <c r="C197" t="str">
        <f>LEFT(Table4[[#This Row],[Policy Type]],1)</f>
        <v>1</v>
      </c>
    </row>
    <row r="198" spans="1:3" x14ac:dyDescent="0.25">
      <c r="A198">
        <v>217650</v>
      </c>
      <c r="B198" t="s">
        <v>2</v>
      </c>
      <c r="C198" t="str">
        <f>LEFT(Table4[[#This Row],[Policy Type]],1)</f>
        <v>1</v>
      </c>
    </row>
    <row r="199" spans="1:3" x14ac:dyDescent="0.25">
      <c r="A199">
        <v>256364</v>
      </c>
      <c r="B199" t="s">
        <v>2</v>
      </c>
      <c r="C199" t="str">
        <f>LEFT(Table4[[#This Row],[Policy Type]],1)</f>
        <v>1</v>
      </c>
    </row>
    <row r="200" spans="1:3" x14ac:dyDescent="0.25">
      <c r="A200">
        <v>256366</v>
      </c>
      <c r="B200" t="s">
        <v>2</v>
      </c>
      <c r="C200" t="str">
        <f>LEFT(Table4[[#This Row],[Policy Type]],1)</f>
        <v>1</v>
      </c>
    </row>
    <row r="201" spans="1:3" x14ac:dyDescent="0.25">
      <c r="A201">
        <v>256369</v>
      </c>
      <c r="B201" t="s">
        <v>3</v>
      </c>
      <c r="C201" t="str">
        <f>LEFT(Table4[[#This Row],[Policy Type]],1)</f>
        <v>2</v>
      </c>
    </row>
    <row r="202" spans="1:3" x14ac:dyDescent="0.25">
      <c r="A202">
        <v>256378</v>
      </c>
      <c r="B202" t="s">
        <v>2</v>
      </c>
      <c r="C202" t="str">
        <f>LEFT(Table4[[#This Row],[Policy Type]],1)</f>
        <v>1</v>
      </c>
    </row>
    <row r="203" spans="1:3" x14ac:dyDescent="0.25">
      <c r="A203">
        <v>256381</v>
      </c>
      <c r="B203" t="s">
        <v>3</v>
      </c>
      <c r="C203" t="str">
        <f>LEFT(Table4[[#This Row],[Policy Type]],1)</f>
        <v>2</v>
      </c>
    </row>
    <row r="204" spans="1:3" x14ac:dyDescent="0.25">
      <c r="A204">
        <v>175111</v>
      </c>
      <c r="B204" t="s">
        <v>2</v>
      </c>
      <c r="C204" t="str">
        <f>LEFT(Table4[[#This Row],[Policy Type]],1)</f>
        <v>1</v>
      </c>
    </row>
    <row r="205" spans="1:3" x14ac:dyDescent="0.25">
      <c r="A205">
        <v>256388</v>
      </c>
      <c r="B205" t="s">
        <v>3</v>
      </c>
      <c r="C205" t="str">
        <f>LEFT(Table4[[#This Row],[Policy Type]],1)</f>
        <v>2</v>
      </c>
    </row>
    <row r="206" spans="1:3" x14ac:dyDescent="0.25">
      <c r="A206">
        <v>256393</v>
      </c>
      <c r="B206" t="s">
        <v>2</v>
      </c>
      <c r="C206" t="str">
        <f>LEFT(Table4[[#This Row],[Policy Type]],1)</f>
        <v>1</v>
      </c>
    </row>
    <row r="207" spans="1:3" x14ac:dyDescent="0.25">
      <c r="A207">
        <v>256394</v>
      </c>
      <c r="B207" t="s">
        <v>2</v>
      </c>
      <c r="C207" t="str">
        <f>LEFT(Table4[[#This Row],[Policy Type]],1)</f>
        <v>1</v>
      </c>
    </row>
    <row r="208" spans="1:3" x14ac:dyDescent="0.25">
      <c r="A208">
        <v>256397</v>
      </c>
      <c r="B208" t="s">
        <v>3</v>
      </c>
      <c r="C208" t="str">
        <f>LEFT(Table4[[#This Row],[Policy Type]],1)</f>
        <v>2</v>
      </c>
    </row>
    <row r="209" spans="1:3" x14ac:dyDescent="0.25">
      <c r="A209">
        <v>256409</v>
      </c>
      <c r="B209" t="s">
        <v>3</v>
      </c>
      <c r="C209" t="str">
        <f>LEFT(Table4[[#This Row],[Policy Type]],1)</f>
        <v>2</v>
      </c>
    </row>
    <row r="210" spans="1:3" x14ac:dyDescent="0.25">
      <c r="A210">
        <v>214540</v>
      </c>
      <c r="B210" t="s">
        <v>2</v>
      </c>
      <c r="C210" t="str">
        <f>LEFT(Table4[[#This Row],[Policy Type]],1)</f>
        <v>1</v>
      </c>
    </row>
    <row r="211" spans="1:3" x14ac:dyDescent="0.25">
      <c r="A211">
        <v>256422</v>
      </c>
      <c r="B211" t="s">
        <v>2</v>
      </c>
      <c r="C211" t="str">
        <f>LEFT(Table4[[#This Row],[Policy Type]],1)</f>
        <v>1</v>
      </c>
    </row>
    <row r="212" spans="1:3" x14ac:dyDescent="0.25">
      <c r="A212">
        <v>256424</v>
      </c>
      <c r="B212" t="s">
        <v>3</v>
      </c>
      <c r="C212" t="str">
        <f>LEFT(Table4[[#This Row],[Policy Type]],1)</f>
        <v>2</v>
      </c>
    </row>
    <row r="213" spans="1:3" x14ac:dyDescent="0.25">
      <c r="A213">
        <v>252204</v>
      </c>
      <c r="B213" t="s">
        <v>2</v>
      </c>
      <c r="C213" t="str">
        <f>LEFT(Table4[[#This Row],[Policy Type]],1)</f>
        <v>1</v>
      </c>
    </row>
    <row r="214" spans="1:3" x14ac:dyDescent="0.25">
      <c r="A214">
        <v>195738</v>
      </c>
      <c r="B214" t="s">
        <v>2</v>
      </c>
      <c r="C214" t="str">
        <f>LEFT(Table4[[#This Row],[Policy Type]],1)</f>
        <v>1</v>
      </c>
    </row>
    <row r="215" spans="1:3" x14ac:dyDescent="0.25">
      <c r="A215">
        <v>254459</v>
      </c>
      <c r="B215" t="s">
        <v>2</v>
      </c>
      <c r="C215" t="str">
        <f>LEFT(Table4[[#This Row],[Policy Type]],1)</f>
        <v>1</v>
      </c>
    </row>
    <row r="216" spans="1:3" x14ac:dyDescent="0.25">
      <c r="A216">
        <v>182416</v>
      </c>
      <c r="B216" t="s">
        <v>2</v>
      </c>
      <c r="C216" t="str">
        <f>LEFT(Table4[[#This Row],[Policy Type]],1)</f>
        <v>1</v>
      </c>
    </row>
    <row r="217" spans="1:3" x14ac:dyDescent="0.25">
      <c r="A217">
        <v>256467</v>
      </c>
      <c r="B217" t="s">
        <v>3</v>
      </c>
      <c r="C217" t="str">
        <f>LEFT(Table4[[#This Row],[Policy Type]],1)</f>
        <v>2</v>
      </c>
    </row>
    <row r="218" spans="1:3" x14ac:dyDescent="0.25">
      <c r="A218">
        <v>213189</v>
      </c>
      <c r="B218" t="s">
        <v>3</v>
      </c>
      <c r="C218" t="str">
        <f>LEFT(Table4[[#This Row],[Policy Type]],1)</f>
        <v>2</v>
      </c>
    </row>
    <row r="219" spans="1:3" x14ac:dyDescent="0.25">
      <c r="A219">
        <v>152507</v>
      </c>
      <c r="B219" t="s">
        <v>2</v>
      </c>
      <c r="C219" t="str">
        <f>LEFT(Table4[[#This Row],[Policy Type]],1)</f>
        <v>1</v>
      </c>
    </row>
    <row r="220" spans="1:3" x14ac:dyDescent="0.25">
      <c r="A220">
        <v>254019</v>
      </c>
      <c r="B220" t="s">
        <v>3</v>
      </c>
      <c r="C220" t="str">
        <f>LEFT(Table4[[#This Row],[Policy Type]],1)</f>
        <v>2</v>
      </c>
    </row>
    <row r="221" spans="1:3" x14ac:dyDescent="0.25">
      <c r="A221">
        <v>177112</v>
      </c>
      <c r="B221" t="s">
        <v>2</v>
      </c>
      <c r="C221" t="str">
        <f>LEFT(Table4[[#This Row],[Policy Type]],1)</f>
        <v>1</v>
      </c>
    </row>
    <row r="222" spans="1:3" x14ac:dyDescent="0.25">
      <c r="A222">
        <v>256510</v>
      </c>
      <c r="B222" t="s">
        <v>3</v>
      </c>
      <c r="C222" t="str">
        <f>LEFT(Table4[[#This Row],[Policy Type]],1)</f>
        <v>2</v>
      </c>
    </row>
    <row r="223" spans="1:3" x14ac:dyDescent="0.25">
      <c r="A223">
        <v>256478</v>
      </c>
      <c r="B223" t="s">
        <v>2</v>
      </c>
      <c r="C223" t="str">
        <f>LEFT(Table4[[#This Row],[Policy Type]],1)</f>
        <v>1</v>
      </c>
    </row>
    <row r="224" spans="1:3" x14ac:dyDescent="0.25">
      <c r="A224">
        <v>256488</v>
      </c>
      <c r="B224" t="s">
        <v>2</v>
      </c>
      <c r="C224" t="str">
        <f>LEFT(Table4[[#This Row],[Policy Type]],1)</f>
        <v>1</v>
      </c>
    </row>
    <row r="225" spans="1:3" x14ac:dyDescent="0.25">
      <c r="A225">
        <v>256485</v>
      </c>
      <c r="B225" t="s">
        <v>3</v>
      </c>
      <c r="C225" t="str">
        <f>LEFT(Table4[[#This Row],[Policy Type]],1)</f>
        <v>2</v>
      </c>
    </row>
    <row r="226" spans="1:3" x14ac:dyDescent="0.25">
      <c r="A226">
        <v>256491</v>
      </c>
      <c r="B226" t="s">
        <v>3</v>
      </c>
      <c r="C226" t="str">
        <f>LEFT(Table4[[#This Row],[Policy Type]],1)</f>
        <v>2</v>
      </c>
    </row>
    <row r="227" spans="1:3" x14ac:dyDescent="0.25">
      <c r="A227">
        <v>256496</v>
      </c>
      <c r="B227" t="s">
        <v>3</v>
      </c>
      <c r="C227" t="str">
        <f>LEFT(Table4[[#This Row],[Policy Type]],1)</f>
        <v>2</v>
      </c>
    </row>
    <row r="228" spans="1:3" x14ac:dyDescent="0.25">
      <c r="A228">
        <v>256500</v>
      </c>
      <c r="B228" t="s">
        <v>3</v>
      </c>
      <c r="C228" t="str">
        <f>LEFT(Table4[[#This Row],[Policy Type]],1)</f>
        <v>2</v>
      </c>
    </row>
    <row r="229" spans="1:3" x14ac:dyDescent="0.25">
      <c r="A229">
        <v>256502</v>
      </c>
      <c r="B229" t="s">
        <v>2</v>
      </c>
      <c r="C229" t="str">
        <f>LEFT(Table4[[#This Row],[Policy Type]],1)</f>
        <v>1</v>
      </c>
    </row>
    <row r="230" spans="1:3" x14ac:dyDescent="0.25">
      <c r="A230">
        <v>255317</v>
      </c>
      <c r="B230" t="s">
        <v>2</v>
      </c>
      <c r="C230" t="str">
        <f>LEFT(Table4[[#This Row],[Policy Type]],1)</f>
        <v>1</v>
      </c>
    </row>
    <row r="231" spans="1:3" x14ac:dyDescent="0.25">
      <c r="A231">
        <v>246686</v>
      </c>
      <c r="B231" t="s">
        <v>2</v>
      </c>
      <c r="C231" t="str">
        <f>LEFT(Table4[[#This Row],[Policy Type]],1)</f>
        <v>1</v>
      </c>
    </row>
    <row r="232" spans="1:3" x14ac:dyDescent="0.25">
      <c r="A232">
        <v>256527</v>
      </c>
      <c r="B232" t="s">
        <v>3</v>
      </c>
      <c r="C232" t="str">
        <f>LEFT(Table4[[#This Row],[Policy Type]],1)</f>
        <v>2</v>
      </c>
    </row>
    <row r="233" spans="1:3" x14ac:dyDescent="0.25">
      <c r="A233">
        <v>251209</v>
      </c>
      <c r="B233" t="s">
        <v>3</v>
      </c>
      <c r="C233" t="str">
        <f>LEFT(Table4[[#This Row],[Policy Type]],1)</f>
        <v>2</v>
      </c>
    </row>
    <row r="234" spans="1:3" x14ac:dyDescent="0.25">
      <c r="A234">
        <v>256546</v>
      </c>
      <c r="B234" t="s">
        <v>2</v>
      </c>
      <c r="C234" t="str">
        <f>LEFT(Table4[[#This Row],[Policy Type]],1)</f>
        <v>1</v>
      </c>
    </row>
    <row r="235" spans="1:3" x14ac:dyDescent="0.25">
      <c r="A235">
        <v>256548</v>
      </c>
      <c r="B235" t="s">
        <v>3</v>
      </c>
      <c r="C235" t="str">
        <f>LEFT(Table4[[#This Row],[Policy Type]],1)</f>
        <v>2</v>
      </c>
    </row>
    <row r="236" spans="1:3" x14ac:dyDescent="0.25">
      <c r="A236">
        <v>256558</v>
      </c>
      <c r="B236" t="s">
        <v>3</v>
      </c>
      <c r="C236" t="str">
        <f>LEFT(Table4[[#This Row],[Policy Type]],1)</f>
        <v>2</v>
      </c>
    </row>
    <row r="237" spans="1:3" x14ac:dyDescent="0.25">
      <c r="A237">
        <v>256563</v>
      </c>
      <c r="B237" t="s">
        <v>2</v>
      </c>
      <c r="C237" t="str">
        <f>LEFT(Table4[[#This Row],[Policy Type]],1)</f>
        <v>1</v>
      </c>
    </row>
    <row r="238" spans="1:3" x14ac:dyDescent="0.25">
      <c r="A238">
        <v>256566</v>
      </c>
      <c r="B238" t="s">
        <v>3</v>
      </c>
      <c r="C238" t="str">
        <f>LEFT(Table4[[#This Row],[Policy Type]],1)</f>
        <v>2</v>
      </c>
    </row>
    <row r="239" spans="1:3" x14ac:dyDescent="0.25">
      <c r="A239">
        <v>256572</v>
      </c>
      <c r="B239" t="s">
        <v>2</v>
      </c>
      <c r="C239" t="str">
        <f>LEFT(Table4[[#This Row],[Policy Type]],1)</f>
        <v>1</v>
      </c>
    </row>
    <row r="240" spans="1:3" x14ac:dyDescent="0.25">
      <c r="A240">
        <v>256575</v>
      </c>
      <c r="B240" t="s">
        <v>2</v>
      </c>
      <c r="C240" t="str">
        <f>LEFT(Table4[[#This Row],[Policy Type]],1)</f>
        <v>1</v>
      </c>
    </row>
    <row r="241" spans="1:3" x14ac:dyDescent="0.25">
      <c r="A241">
        <v>235384</v>
      </c>
      <c r="B241" t="s">
        <v>3</v>
      </c>
      <c r="C241" t="str">
        <f>LEFT(Table4[[#This Row],[Policy Type]],1)</f>
        <v>2</v>
      </c>
    </row>
    <row r="242" spans="1:3" x14ac:dyDescent="0.25">
      <c r="A242">
        <v>256579</v>
      </c>
      <c r="B242" t="s">
        <v>3</v>
      </c>
      <c r="C242" t="str">
        <f>LEFT(Table4[[#This Row],[Policy Type]],1)</f>
        <v>2</v>
      </c>
    </row>
    <row r="243" spans="1:3" x14ac:dyDescent="0.25">
      <c r="A243">
        <v>256582</v>
      </c>
      <c r="B243" t="s">
        <v>3</v>
      </c>
      <c r="C243" t="str">
        <f>LEFT(Table4[[#This Row],[Policy Type]],1)</f>
        <v>2</v>
      </c>
    </row>
    <row r="244" spans="1:3" x14ac:dyDescent="0.25">
      <c r="A244">
        <v>256584</v>
      </c>
      <c r="B244" t="s">
        <v>3</v>
      </c>
      <c r="C244" t="str">
        <f>LEFT(Table4[[#This Row],[Policy Type]],1)</f>
        <v>2</v>
      </c>
    </row>
    <row r="245" spans="1:3" x14ac:dyDescent="0.25">
      <c r="A245">
        <v>256602</v>
      </c>
      <c r="B245" t="s">
        <v>3</v>
      </c>
      <c r="C245" t="str">
        <f>LEFT(Table4[[#This Row],[Policy Type]],1)</f>
        <v>2</v>
      </c>
    </row>
    <row r="246" spans="1:3" x14ac:dyDescent="0.25">
      <c r="A246">
        <v>256619</v>
      </c>
      <c r="B246" t="s">
        <v>2</v>
      </c>
      <c r="C246" t="str">
        <f>LEFT(Table4[[#This Row],[Policy Type]],1)</f>
        <v>1</v>
      </c>
    </row>
    <row r="247" spans="1:3" x14ac:dyDescent="0.25">
      <c r="A247">
        <v>256590</v>
      </c>
      <c r="B247" t="s">
        <v>3</v>
      </c>
      <c r="C247" t="str">
        <f>LEFT(Table4[[#This Row],[Policy Type]],1)</f>
        <v>2</v>
      </c>
    </row>
    <row r="248" spans="1:3" x14ac:dyDescent="0.25">
      <c r="A248">
        <v>256591</v>
      </c>
      <c r="B248" t="s">
        <v>3</v>
      </c>
      <c r="C248" t="str">
        <f>LEFT(Table4[[#This Row],[Policy Type]],1)</f>
        <v>2</v>
      </c>
    </row>
    <row r="249" spans="1:3" x14ac:dyDescent="0.25">
      <c r="A249">
        <v>256592</v>
      </c>
      <c r="B249" t="s">
        <v>2</v>
      </c>
      <c r="C249" t="str">
        <f>LEFT(Table4[[#This Row],[Policy Type]],1)</f>
        <v>1</v>
      </c>
    </row>
    <row r="250" spans="1:3" x14ac:dyDescent="0.25">
      <c r="A250">
        <v>256596</v>
      </c>
      <c r="B250" t="s">
        <v>2</v>
      </c>
      <c r="C250" t="str">
        <f>LEFT(Table4[[#This Row],[Policy Type]],1)</f>
        <v>1</v>
      </c>
    </row>
    <row r="251" spans="1:3" x14ac:dyDescent="0.25">
      <c r="A251">
        <v>169190</v>
      </c>
      <c r="B251" t="s">
        <v>3</v>
      </c>
      <c r="C251" t="str">
        <f>LEFT(Table4[[#This Row],[Policy Type]],1)</f>
        <v>2</v>
      </c>
    </row>
    <row r="252" spans="1:3" x14ac:dyDescent="0.25">
      <c r="A252">
        <v>256628</v>
      </c>
      <c r="B252" t="s">
        <v>2</v>
      </c>
      <c r="C252" t="str">
        <f>LEFT(Table4[[#This Row],[Policy Type]],1)</f>
        <v>1</v>
      </c>
    </row>
    <row r="253" spans="1:3" x14ac:dyDescent="0.25">
      <c r="A253">
        <v>256632</v>
      </c>
      <c r="B253" t="s">
        <v>3</v>
      </c>
      <c r="C253" t="str">
        <f>LEFT(Table4[[#This Row],[Policy Type]],1)</f>
        <v>2</v>
      </c>
    </row>
    <row r="254" spans="1:3" x14ac:dyDescent="0.25">
      <c r="A254">
        <v>256633</v>
      </c>
      <c r="B254" t="s">
        <v>3</v>
      </c>
      <c r="C254" t="str">
        <f>LEFT(Table4[[#This Row],[Policy Type]],1)</f>
        <v>2</v>
      </c>
    </row>
    <row r="255" spans="1:3" x14ac:dyDescent="0.25">
      <c r="A255">
        <v>256638</v>
      </c>
      <c r="B255" t="s">
        <v>3</v>
      </c>
      <c r="C255" t="str">
        <f>LEFT(Table4[[#This Row],[Policy Type]],1)</f>
        <v>2</v>
      </c>
    </row>
    <row r="256" spans="1:3" x14ac:dyDescent="0.25">
      <c r="A256">
        <v>256651</v>
      </c>
      <c r="B256" t="s">
        <v>3</v>
      </c>
      <c r="C256" t="str">
        <f>LEFT(Table4[[#This Row],[Policy Type]],1)</f>
        <v>2</v>
      </c>
    </row>
    <row r="257" spans="1:3" x14ac:dyDescent="0.25">
      <c r="A257">
        <v>239161</v>
      </c>
      <c r="B257" t="s">
        <v>2</v>
      </c>
      <c r="C257" t="str">
        <f>LEFT(Table4[[#This Row],[Policy Type]],1)</f>
        <v>1</v>
      </c>
    </row>
    <row r="258" spans="1:3" x14ac:dyDescent="0.25">
      <c r="A258">
        <v>163576</v>
      </c>
      <c r="B258" t="s">
        <v>3</v>
      </c>
      <c r="C258" t="str">
        <f>LEFT(Table4[[#This Row],[Policy Type]],1)</f>
        <v>2</v>
      </c>
    </row>
    <row r="259" spans="1:3" x14ac:dyDescent="0.25">
      <c r="A259">
        <v>256663</v>
      </c>
      <c r="B259" t="s">
        <v>3</v>
      </c>
      <c r="C259" t="str">
        <f>LEFT(Table4[[#This Row],[Policy Type]],1)</f>
        <v>2</v>
      </c>
    </row>
    <row r="260" spans="1:3" x14ac:dyDescent="0.25">
      <c r="A260">
        <v>256665</v>
      </c>
      <c r="B260" t="s">
        <v>3</v>
      </c>
      <c r="C260" t="str">
        <f>LEFT(Table4[[#This Row],[Policy Type]],1)</f>
        <v>2</v>
      </c>
    </row>
    <row r="261" spans="1:3" x14ac:dyDescent="0.25">
      <c r="A261">
        <v>256670</v>
      </c>
      <c r="B261" t="s">
        <v>2</v>
      </c>
      <c r="C261" t="str">
        <f>LEFT(Table4[[#This Row],[Policy Type]],1)</f>
        <v>1</v>
      </c>
    </row>
    <row r="262" spans="1:3" x14ac:dyDescent="0.25">
      <c r="A262">
        <v>256677</v>
      </c>
      <c r="B262" t="s">
        <v>3</v>
      </c>
      <c r="C262" t="str">
        <f>LEFT(Table4[[#This Row],[Policy Type]],1)</f>
        <v>2</v>
      </c>
    </row>
    <row r="263" spans="1:3" x14ac:dyDescent="0.25">
      <c r="A263">
        <v>256689</v>
      </c>
      <c r="B263" t="s">
        <v>2</v>
      </c>
      <c r="C263" t="str">
        <f>LEFT(Table4[[#This Row],[Policy Type]],1)</f>
        <v>1</v>
      </c>
    </row>
    <row r="264" spans="1:3" x14ac:dyDescent="0.25">
      <c r="A264">
        <v>253931</v>
      </c>
      <c r="B264" t="s">
        <v>2</v>
      </c>
      <c r="C264" t="str">
        <f>LEFT(Table4[[#This Row],[Policy Type]],1)</f>
        <v>1</v>
      </c>
    </row>
    <row r="265" spans="1:3" x14ac:dyDescent="0.25">
      <c r="A265">
        <v>248681</v>
      </c>
      <c r="B265" t="s">
        <v>3</v>
      </c>
      <c r="C265" t="str">
        <f>LEFT(Table4[[#This Row],[Policy Type]],1)</f>
        <v>2</v>
      </c>
    </row>
    <row r="266" spans="1:3" x14ac:dyDescent="0.25">
      <c r="A266">
        <v>256713</v>
      </c>
      <c r="B266" t="s">
        <v>2</v>
      </c>
      <c r="C266" t="str">
        <f>LEFT(Table4[[#This Row],[Policy Type]],1)</f>
        <v>1</v>
      </c>
    </row>
    <row r="267" spans="1:3" x14ac:dyDescent="0.25">
      <c r="A267">
        <v>256723</v>
      </c>
      <c r="B267" t="s">
        <v>2</v>
      </c>
      <c r="C267" t="str">
        <f>LEFT(Table4[[#This Row],[Policy Type]],1)</f>
        <v>1</v>
      </c>
    </row>
    <row r="268" spans="1:3" x14ac:dyDescent="0.25">
      <c r="A268">
        <v>256725</v>
      </c>
      <c r="B268" t="s">
        <v>3</v>
      </c>
      <c r="C268" t="str">
        <f>LEFT(Table4[[#This Row],[Policy Type]],1)</f>
        <v>2</v>
      </c>
    </row>
    <row r="269" spans="1:3" x14ac:dyDescent="0.25">
      <c r="A269">
        <v>256727</v>
      </c>
      <c r="B269" t="s">
        <v>3</v>
      </c>
      <c r="C269" t="str">
        <f>LEFT(Table4[[#This Row],[Policy Type]],1)</f>
        <v>2</v>
      </c>
    </row>
    <row r="270" spans="1:3" x14ac:dyDescent="0.25">
      <c r="A270">
        <v>229695</v>
      </c>
      <c r="B270" t="s">
        <v>2</v>
      </c>
      <c r="C270" t="str">
        <f>LEFT(Table4[[#This Row],[Policy Type]],1)</f>
        <v>1</v>
      </c>
    </row>
    <row r="271" spans="1:3" x14ac:dyDescent="0.25">
      <c r="A271">
        <v>250085</v>
      </c>
      <c r="B271" t="s">
        <v>3</v>
      </c>
      <c r="C271" t="str">
        <f>LEFT(Table4[[#This Row],[Policy Type]],1)</f>
        <v>2</v>
      </c>
    </row>
    <row r="272" spans="1:3" x14ac:dyDescent="0.25">
      <c r="A272">
        <v>256744</v>
      </c>
      <c r="B272" t="s">
        <v>2</v>
      </c>
      <c r="C272" t="str">
        <f>LEFT(Table4[[#This Row],[Policy Type]],1)</f>
        <v>1</v>
      </c>
    </row>
    <row r="273" spans="1:3" x14ac:dyDescent="0.25">
      <c r="A273">
        <v>256745</v>
      </c>
      <c r="B273" t="s">
        <v>2</v>
      </c>
      <c r="C273" t="str">
        <f>LEFT(Table4[[#This Row],[Policy Type]],1)</f>
        <v>1</v>
      </c>
    </row>
    <row r="274" spans="1:3" x14ac:dyDescent="0.25">
      <c r="A274">
        <v>256734</v>
      </c>
      <c r="B274" t="s">
        <v>3</v>
      </c>
      <c r="C274" t="str">
        <f>LEFT(Table4[[#This Row],[Policy Type]],1)</f>
        <v>2</v>
      </c>
    </row>
    <row r="275" spans="1:3" x14ac:dyDescent="0.25">
      <c r="A275">
        <v>256748</v>
      </c>
      <c r="B275" t="s">
        <v>3</v>
      </c>
      <c r="C275" t="str">
        <f>LEFT(Table4[[#This Row],[Policy Type]],1)</f>
        <v>2</v>
      </c>
    </row>
    <row r="276" spans="1:3" x14ac:dyDescent="0.25">
      <c r="A276">
        <v>256758</v>
      </c>
      <c r="B276" t="s">
        <v>3</v>
      </c>
      <c r="C276" t="str">
        <f>LEFT(Table4[[#This Row],[Policy Type]],1)</f>
        <v>2</v>
      </c>
    </row>
    <row r="277" spans="1:3" x14ac:dyDescent="0.25">
      <c r="A277">
        <v>256760</v>
      </c>
      <c r="B277" t="s">
        <v>3</v>
      </c>
      <c r="C277" t="str">
        <f>LEFT(Table4[[#This Row],[Policy Type]],1)</f>
        <v>2</v>
      </c>
    </row>
    <row r="278" spans="1:3" x14ac:dyDescent="0.25">
      <c r="A278">
        <v>256766</v>
      </c>
      <c r="B278" t="s">
        <v>2</v>
      </c>
      <c r="C278" t="str">
        <f>LEFT(Table4[[#This Row],[Policy Type]],1)</f>
        <v>1</v>
      </c>
    </row>
    <row r="279" spans="1:3" x14ac:dyDescent="0.25">
      <c r="A279">
        <v>243132</v>
      </c>
      <c r="B279" t="s">
        <v>2</v>
      </c>
      <c r="C279" t="str">
        <f>LEFT(Table4[[#This Row],[Policy Type]],1)</f>
        <v>1</v>
      </c>
    </row>
    <row r="280" spans="1:3" x14ac:dyDescent="0.25">
      <c r="A280">
        <v>185015</v>
      </c>
      <c r="B280" t="s">
        <v>2</v>
      </c>
      <c r="C280" t="str">
        <f>LEFT(Table4[[#This Row],[Policy Type]],1)</f>
        <v>1</v>
      </c>
    </row>
    <row r="281" spans="1:3" x14ac:dyDescent="0.25">
      <c r="A281">
        <v>250540</v>
      </c>
      <c r="B281" t="s">
        <v>2</v>
      </c>
      <c r="C281" t="str">
        <f>LEFT(Table4[[#This Row],[Policy Type]],1)</f>
        <v>1</v>
      </c>
    </row>
    <row r="282" spans="1:3" x14ac:dyDescent="0.25">
      <c r="A282">
        <v>256788</v>
      </c>
      <c r="B282" t="s">
        <v>3</v>
      </c>
      <c r="C282" t="str">
        <f>LEFT(Table4[[#This Row],[Policy Type]],1)</f>
        <v>2</v>
      </c>
    </row>
    <row r="283" spans="1:3" x14ac:dyDescent="0.25">
      <c r="A283">
        <v>256790</v>
      </c>
      <c r="B283" t="s">
        <v>2</v>
      </c>
      <c r="C283" t="str">
        <f>LEFT(Table4[[#This Row],[Policy Type]],1)</f>
        <v>1</v>
      </c>
    </row>
    <row r="284" spans="1:3" x14ac:dyDescent="0.25">
      <c r="A284">
        <v>256797</v>
      </c>
      <c r="B284" t="s">
        <v>3</v>
      </c>
      <c r="C284" t="str">
        <f>LEFT(Table4[[#This Row],[Policy Type]],1)</f>
        <v>2</v>
      </c>
    </row>
    <row r="285" spans="1:3" x14ac:dyDescent="0.25">
      <c r="A285">
        <v>256803</v>
      </c>
      <c r="B285" t="s">
        <v>2</v>
      </c>
      <c r="C285" t="str">
        <f>LEFT(Table4[[#This Row],[Policy Type]],1)</f>
        <v>1</v>
      </c>
    </row>
    <row r="286" spans="1:3" x14ac:dyDescent="0.25">
      <c r="A286">
        <v>255099</v>
      </c>
      <c r="B286" t="s">
        <v>2</v>
      </c>
      <c r="C286" t="str">
        <f>LEFT(Table4[[#This Row],[Policy Type]],1)</f>
        <v>1</v>
      </c>
    </row>
    <row r="287" spans="1:3" x14ac:dyDescent="0.25">
      <c r="A287">
        <v>256805</v>
      </c>
      <c r="B287" t="s">
        <v>2</v>
      </c>
      <c r="C287" t="str">
        <f>LEFT(Table4[[#This Row],[Policy Type]],1)</f>
        <v>1</v>
      </c>
    </row>
    <row r="288" spans="1:3" x14ac:dyDescent="0.25">
      <c r="A288">
        <v>256807</v>
      </c>
      <c r="B288" t="s">
        <v>3</v>
      </c>
      <c r="C288" t="str">
        <f>LEFT(Table4[[#This Row],[Policy Type]],1)</f>
        <v>2</v>
      </c>
    </row>
    <row r="289" spans="1:3" x14ac:dyDescent="0.25">
      <c r="A289">
        <v>256815</v>
      </c>
      <c r="B289" t="s">
        <v>3</v>
      </c>
      <c r="C289" t="str">
        <f>LEFT(Table4[[#This Row],[Policy Type]],1)</f>
        <v>2</v>
      </c>
    </row>
    <row r="290" spans="1:3" x14ac:dyDescent="0.25">
      <c r="A290">
        <v>256817</v>
      </c>
      <c r="B290" t="s">
        <v>2</v>
      </c>
      <c r="C290" t="str">
        <f>LEFT(Table4[[#This Row],[Policy Type]],1)</f>
        <v>1</v>
      </c>
    </row>
    <row r="291" spans="1:3" x14ac:dyDescent="0.25">
      <c r="A291">
        <v>256813</v>
      </c>
      <c r="B291" t="s">
        <v>2</v>
      </c>
      <c r="C291" t="str">
        <f>LEFT(Table4[[#This Row],[Policy Type]],1)</f>
        <v>1</v>
      </c>
    </row>
    <row r="292" spans="1:3" x14ac:dyDescent="0.25">
      <c r="A292">
        <v>242705</v>
      </c>
      <c r="B292" t="s">
        <v>3</v>
      </c>
      <c r="C292" t="str">
        <f>LEFT(Table4[[#This Row],[Policy Type]],1)</f>
        <v>2</v>
      </c>
    </row>
    <row r="293" spans="1:3" x14ac:dyDescent="0.25">
      <c r="A293">
        <v>252478</v>
      </c>
      <c r="B293" t="s">
        <v>3</v>
      </c>
      <c r="C293" t="str">
        <f>LEFT(Table4[[#This Row],[Policy Type]],1)</f>
        <v>2</v>
      </c>
    </row>
    <row r="294" spans="1:3" x14ac:dyDescent="0.25">
      <c r="A294">
        <v>228063</v>
      </c>
      <c r="B294" t="s">
        <v>3</v>
      </c>
      <c r="C294" t="str">
        <f>LEFT(Table4[[#This Row],[Policy Type]],1)</f>
        <v>2</v>
      </c>
    </row>
    <row r="295" spans="1:3" x14ac:dyDescent="0.25">
      <c r="A295">
        <v>239456</v>
      </c>
      <c r="B295" t="s">
        <v>3</v>
      </c>
      <c r="C295" t="str">
        <f>LEFT(Table4[[#This Row],[Policy Type]],1)</f>
        <v>2</v>
      </c>
    </row>
    <row r="296" spans="1:3" x14ac:dyDescent="0.25">
      <c r="A296">
        <v>256830</v>
      </c>
      <c r="B296" t="s">
        <v>3</v>
      </c>
      <c r="C296" t="str">
        <f>LEFT(Table4[[#This Row],[Policy Type]],1)</f>
        <v>2</v>
      </c>
    </row>
    <row r="297" spans="1:3" x14ac:dyDescent="0.25">
      <c r="A297">
        <v>256846</v>
      </c>
      <c r="B297" t="s">
        <v>2</v>
      </c>
      <c r="C297" t="str">
        <f>LEFT(Table4[[#This Row],[Policy Type]],1)</f>
        <v>1</v>
      </c>
    </row>
    <row r="298" spans="1:3" x14ac:dyDescent="0.25">
      <c r="A298">
        <v>256853</v>
      </c>
      <c r="B298" t="s">
        <v>3</v>
      </c>
      <c r="C298" t="str">
        <f>LEFT(Table4[[#This Row],[Policy Type]],1)</f>
        <v>2</v>
      </c>
    </row>
    <row r="299" spans="1:3" x14ac:dyDescent="0.25">
      <c r="A299">
        <v>256836</v>
      </c>
      <c r="B299" t="s">
        <v>3</v>
      </c>
      <c r="C299" t="str">
        <f>LEFT(Table4[[#This Row],[Policy Type]],1)</f>
        <v>2</v>
      </c>
    </row>
    <row r="300" spans="1:3" x14ac:dyDescent="0.25">
      <c r="A300">
        <v>256855</v>
      </c>
      <c r="B300" t="s">
        <v>3</v>
      </c>
      <c r="C300" t="str">
        <f>LEFT(Table4[[#This Row],[Policy Type]],1)</f>
        <v>2</v>
      </c>
    </row>
    <row r="301" spans="1:3" x14ac:dyDescent="0.25">
      <c r="A301">
        <v>256857</v>
      </c>
      <c r="B301" t="s">
        <v>3</v>
      </c>
      <c r="C301" t="str">
        <f>LEFT(Table4[[#This Row],[Policy Type]],1)</f>
        <v>2</v>
      </c>
    </row>
    <row r="302" spans="1:3" x14ac:dyDescent="0.25">
      <c r="A302">
        <v>256858</v>
      </c>
      <c r="B302" t="s">
        <v>3</v>
      </c>
      <c r="C302" t="str">
        <f>LEFT(Table4[[#This Row],[Policy Type]],1)</f>
        <v>2</v>
      </c>
    </row>
    <row r="303" spans="1:3" x14ac:dyDescent="0.25">
      <c r="A303">
        <v>254479</v>
      </c>
      <c r="B303" t="s">
        <v>3</v>
      </c>
      <c r="C303" t="str">
        <f>LEFT(Table4[[#This Row],[Policy Type]],1)</f>
        <v>2</v>
      </c>
    </row>
    <row r="304" spans="1:3" x14ac:dyDescent="0.25">
      <c r="A304">
        <v>253543</v>
      </c>
      <c r="B304" t="s">
        <v>3</v>
      </c>
      <c r="C304" t="str">
        <f>LEFT(Table4[[#This Row],[Policy Type]],1)</f>
        <v>2</v>
      </c>
    </row>
    <row r="305" spans="1:3" x14ac:dyDescent="0.25">
      <c r="A305">
        <v>244384</v>
      </c>
      <c r="B305" t="s">
        <v>2</v>
      </c>
      <c r="C305" t="str">
        <f>LEFT(Table4[[#This Row],[Policy Type]],1)</f>
        <v>1</v>
      </c>
    </row>
    <row r="306" spans="1:3" x14ac:dyDescent="0.25">
      <c r="A306">
        <v>183195</v>
      </c>
      <c r="B306" t="s">
        <v>3</v>
      </c>
      <c r="C306" t="str">
        <f>LEFT(Table4[[#This Row],[Policy Type]],1)</f>
        <v>2</v>
      </c>
    </row>
    <row r="307" spans="1:3" x14ac:dyDescent="0.25">
      <c r="A307">
        <v>255529</v>
      </c>
      <c r="B307" t="s">
        <v>3</v>
      </c>
      <c r="C307" t="str">
        <f>LEFT(Table4[[#This Row],[Policy Type]],1)</f>
        <v>2</v>
      </c>
    </row>
    <row r="308" spans="1:3" x14ac:dyDescent="0.25">
      <c r="A308">
        <v>251292</v>
      </c>
      <c r="B308" t="s">
        <v>3</v>
      </c>
      <c r="C308" t="str">
        <f>LEFT(Table4[[#This Row],[Policy Type]],1)</f>
        <v>2</v>
      </c>
    </row>
    <row r="309" spans="1:3" x14ac:dyDescent="0.25">
      <c r="A309">
        <v>256860</v>
      </c>
      <c r="B309" t="s">
        <v>3</v>
      </c>
      <c r="C309" t="str">
        <f>LEFT(Table4[[#This Row],[Policy Type]],1)</f>
        <v>2</v>
      </c>
    </row>
    <row r="310" spans="1:3" x14ac:dyDescent="0.25">
      <c r="A310">
        <v>256861</v>
      </c>
      <c r="B310" t="s">
        <v>3</v>
      </c>
      <c r="C310" t="str">
        <f>LEFT(Table4[[#This Row],[Policy Type]],1)</f>
        <v>2</v>
      </c>
    </row>
    <row r="311" spans="1:3" x14ac:dyDescent="0.25">
      <c r="A311">
        <v>209951</v>
      </c>
      <c r="B311" t="s">
        <v>3</v>
      </c>
      <c r="C311" t="str">
        <f>LEFT(Table4[[#This Row],[Policy Type]],1)</f>
        <v>2</v>
      </c>
    </row>
    <row r="312" spans="1:3" x14ac:dyDescent="0.25">
      <c r="A312">
        <v>256863</v>
      </c>
      <c r="B312" t="s">
        <v>3</v>
      </c>
      <c r="C312" t="str">
        <f>LEFT(Table4[[#This Row],[Policy Type]],1)</f>
        <v>2</v>
      </c>
    </row>
    <row r="313" spans="1:3" x14ac:dyDescent="0.25">
      <c r="A313">
        <v>244335</v>
      </c>
      <c r="B313" t="s">
        <v>2</v>
      </c>
      <c r="C313" t="str">
        <f>LEFT(Table4[[#This Row],[Policy Type]],1)</f>
        <v>1</v>
      </c>
    </row>
    <row r="314" spans="1:3" x14ac:dyDescent="0.25">
      <c r="A314">
        <v>257442</v>
      </c>
      <c r="B314" t="s">
        <v>2</v>
      </c>
      <c r="C314" t="str">
        <f>LEFT(Table4[[#This Row],[Policy Type]],1)</f>
        <v>1</v>
      </c>
    </row>
    <row r="315" spans="1:3" x14ac:dyDescent="0.25">
      <c r="A315">
        <v>250518</v>
      </c>
      <c r="B315" t="s">
        <v>2</v>
      </c>
      <c r="C315" t="str">
        <f>LEFT(Table4[[#This Row],[Policy Type]],1)</f>
        <v>1</v>
      </c>
    </row>
    <row r="316" spans="1:3" x14ac:dyDescent="0.25">
      <c r="A316">
        <v>257443</v>
      </c>
      <c r="B316" t="s">
        <v>3</v>
      </c>
      <c r="C316" t="str">
        <f>LEFT(Table4[[#This Row],[Policy Type]],1)</f>
        <v>2</v>
      </c>
    </row>
    <row r="317" spans="1:3" x14ac:dyDescent="0.25">
      <c r="A317">
        <v>257446</v>
      </c>
      <c r="B317" t="s">
        <v>3</v>
      </c>
      <c r="C317" t="str">
        <f>LEFT(Table4[[#This Row],[Policy Type]],1)</f>
        <v>2</v>
      </c>
    </row>
    <row r="318" spans="1:3" x14ac:dyDescent="0.25">
      <c r="A318">
        <v>257448</v>
      </c>
      <c r="B318" t="s">
        <v>3</v>
      </c>
      <c r="C318" t="str">
        <f>LEFT(Table4[[#This Row],[Policy Type]],1)</f>
        <v>2</v>
      </c>
    </row>
    <row r="319" spans="1:3" x14ac:dyDescent="0.25">
      <c r="A319">
        <v>257449</v>
      </c>
      <c r="B319" t="s">
        <v>2</v>
      </c>
      <c r="C319" t="str">
        <f>LEFT(Table4[[#This Row],[Policy Type]],1)</f>
        <v>1</v>
      </c>
    </row>
    <row r="320" spans="1:3" x14ac:dyDescent="0.25">
      <c r="A320">
        <v>257450</v>
      </c>
      <c r="B320" t="s">
        <v>2</v>
      </c>
      <c r="C320" t="str">
        <f>LEFT(Table4[[#This Row],[Policy Type]],1)</f>
        <v>1</v>
      </c>
    </row>
    <row r="321" spans="1:3" x14ac:dyDescent="0.25">
      <c r="A321">
        <v>257451</v>
      </c>
      <c r="B321" t="s">
        <v>2</v>
      </c>
      <c r="C321" t="str">
        <f>LEFT(Table4[[#This Row],[Policy Type]],1)</f>
        <v>1</v>
      </c>
    </row>
    <row r="322" spans="1:3" x14ac:dyDescent="0.25">
      <c r="A322">
        <v>257452</v>
      </c>
      <c r="B322" t="s">
        <v>3</v>
      </c>
      <c r="C322" t="str">
        <f>LEFT(Table4[[#This Row],[Policy Type]],1)</f>
        <v>2</v>
      </c>
    </row>
    <row r="323" spans="1:3" x14ac:dyDescent="0.25">
      <c r="A323">
        <v>257453</v>
      </c>
      <c r="B323" t="s">
        <v>3</v>
      </c>
      <c r="C323" t="str">
        <f>LEFT(Table4[[#This Row],[Policy Type]],1)</f>
        <v>2</v>
      </c>
    </row>
    <row r="324" spans="1:3" x14ac:dyDescent="0.25">
      <c r="A324">
        <v>257456</v>
      </c>
      <c r="B324" t="s">
        <v>3</v>
      </c>
      <c r="C324" t="str">
        <f>LEFT(Table4[[#This Row],[Policy Type]],1)</f>
        <v>2</v>
      </c>
    </row>
    <row r="325" spans="1:3" x14ac:dyDescent="0.25">
      <c r="A325">
        <v>257459</v>
      </c>
      <c r="B325" t="s">
        <v>2</v>
      </c>
      <c r="C325" t="str">
        <f>LEFT(Table4[[#This Row],[Policy Type]],1)</f>
        <v>1</v>
      </c>
    </row>
    <row r="326" spans="1:3" x14ac:dyDescent="0.25">
      <c r="A326">
        <v>254699</v>
      </c>
      <c r="B326" t="s">
        <v>2</v>
      </c>
      <c r="C326" t="str">
        <f>LEFT(Table4[[#This Row],[Policy Type]],1)</f>
        <v>1</v>
      </c>
    </row>
    <row r="327" spans="1:3" x14ac:dyDescent="0.25">
      <c r="A327">
        <v>251304</v>
      </c>
      <c r="B327" t="s">
        <v>3</v>
      </c>
      <c r="C327" t="str">
        <f>LEFT(Table4[[#This Row],[Policy Type]],1)</f>
        <v>2</v>
      </c>
    </row>
    <row r="328" spans="1:3" x14ac:dyDescent="0.25">
      <c r="A328">
        <v>160729</v>
      </c>
      <c r="B328" t="s">
        <v>2</v>
      </c>
      <c r="C328" t="str">
        <f>LEFT(Table4[[#This Row],[Policy Type]],1)</f>
        <v>1</v>
      </c>
    </row>
    <row r="329" spans="1:3" x14ac:dyDescent="0.25">
      <c r="A329">
        <v>257463</v>
      </c>
      <c r="B329" t="s">
        <v>3</v>
      </c>
      <c r="C329" t="str">
        <f>LEFT(Table4[[#This Row],[Policy Type]],1)</f>
        <v>2</v>
      </c>
    </row>
    <row r="330" spans="1:3" x14ac:dyDescent="0.25">
      <c r="A330">
        <v>257464</v>
      </c>
      <c r="B330" t="s">
        <v>2</v>
      </c>
      <c r="C330" t="str">
        <f>LEFT(Table4[[#This Row],[Policy Type]],1)</f>
        <v>1</v>
      </c>
    </row>
    <row r="331" spans="1:3" x14ac:dyDescent="0.25">
      <c r="A331">
        <v>257468</v>
      </c>
      <c r="B331" t="s">
        <v>2</v>
      </c>
      <c r="C331" t="str">
        <f>LEFT(Table4[[#This Row],[Policy Type]],1)</f>
        <v>1</v>
      </c>
    </row>
    <row r="332" spans="1:3" x14ac:dyDescent="0.25">
      <c r="A332">
        <v>257469</v>
      </c>
      <c r="B332" t="s">
        <v>2</v>
      </c>
      <c r="C332" t="str">
        <f>LEFT(Table4[[#This Row],[Policy Type]],1)</f>
        <v>1</v>
      </c>
    </row>
    <row r="333" spans="1:3" x14ac:dyDescent="0.25">
      <c r="A333">
        <v>257470</v>
      </c>
      <c r="B333" t="s">
        <v>3</v>
      </c>
      <c r="C333" t="str">
        <f>LEFT(Table4[[#This Row],[Policy Type]],1)</f>
        <v>2</v>
      </c>
    </row>
    <row r="334" spans="1:3" x14ac:dyDescent="0.25">
      <c r="A334">
        <v>257477</v>
      </c>
      <c r="B334" t="s">
        <v>2</v>
      </c>
      <c r="C334" t="str">
        <f>LEFT(Table4[[#This Row],[Policy Type]],1)</f>
        <v>1</v>
      </c>
    </row>
    <row r="335" spans="1:3" x14ac:dyDescent="0.25">
      <c r="A335">
        <v>228756</v>
      </c>
      <c r="B335" t="s">
        <v>3</v>
      </c>
      <c r="C335" t="str">
        <f>LEFT(Table4[[#This Row],[Policy Type]],1)</f>
        <v>2</v>
      </c>
    </row>
    <row r="336" spans="1:3" x14ac:dyDescent="0.25">
      <c r="A336">
        <v>257479</v>
      </c>
      <c r="B336" t="s">
        <v>3</v>
      </c>
      <c r="C336" t="str">
        <f>LEFT(Table4[[#This Row],[Policy Type]],1)</f>
        <v>2</v>
      </c>
    </row>
    <row r="337" spans="1:3" x14ac:dyDescent="0.25">
      <c r="A337">
        <v>221197</v>
      </c>
      <c r="B337" t="s">
        <v>2</v>
      </c>
      <c r="C337" t="str">
        <f>LEFT(Table4[[#This Row],[Policy Type]],1)</f>
        <v>1</v>
      </c>
    </row>
    <row r="338" spans="1:3" x14ac:dyDescent="0.25">
      <c r="A338">
        <v>159625</v>
      </c>
      <c r="B338" t="s">
        <v>2</v>
      </c>
      <c r="C338" t="str">
        <f>LEFT(Table4[[#This Row],[Policy Type]],1)</f>
        <v>1</v>
      </c>
    </row>
    <row r="339" spans="1:3" x14ac:dyDescent="0.25">
      <c r="A339">
        <v>168135</v>
      </c>
      <c r="B339" t="s">
        <v>2</v>
      </c>
      <c r="C339" t="str">
        <f>LEFT(Table4[[#This Row],[Policy Type]],1)</f>
        <v>1</v>
      </c>
    </row>
    <row r="340" spans="1:3" x14ac:dyDescent="0.25">
      <c r="A340">
        <v>256875</v>
      </c>
      <c r="B340" t="s">
        <v>3</v>
      </c>
      <c r="C340" t="str">
        <f>LEFT(Table4[[#This Row],[Policy Type]],1)</f>
        <v>2</v>
      </c>
    </row>
    <row r="341" spans="1:3" x14ac:dyDescent="0.25">
      <c r="A341">
        <v>181086</v>
      </c>
      <c r="B341" t="s">
        <v>3</v>
      </c>
      <c r="C341" t="str">
        <f>LEFT(Table4[[#This Row],[Policy Type]],1)</f>
        <v>2</v>
      </c>
    </row>
    <row r="342" spans="1:3" x14ac:dyDescent="0.25">
      <c r="A342">
        <v>158025</v>
      </c>
      <c r="B342" t="s">
        <v>2</v>
      </c>
      <c r="C342" t="str">
        <f>LEFT(Table4[[#This Row],[Policy Type]],1)</f>
        <v>1</v>
      </c>
    </row>
    <row r="343" spans="1:3" x14ac:dyDescent="0.25">
      <c r="A343">
        <v>252536</v>
      </c>
      <c r="B343" t="s">
        <v>3</v>
      </c>
      <c r="C343" t="str">
        <f>LEFT(Table4[[#This Row],[Policy Type]],1)</f>
        <v>2</v>
      </c>
    </row>
    <row r="344" spans="1:3" x14ac:dyDescent="0.25">
      <c r="A344">
        <v>256888</v>
      </c>
      <c r="B344" t="s">
        <v>2</v>
      </c>
      <c r="C344" t="str">
        <f>LEFT(Table4[[#This Row],[Policy Type]],1)</f>
        <v>1</v>
      </c>
    </row>
    <row r="345" spans="1:3" x14ac:dyDescent="0.25">
      <c r="A345">
        <v>165876</v>
      </c>
      <c r="B345" t="s">
        <v>2</v>
      </c>
      <c r="C345" t="str">
        <f>LEFT(Table4[[#This Row],[Policy Type]],1)</f>
        <v>1</v>
      </c>
    </row>
    <row r="346" spans="1:3" x14ac:dyDescent="0.25">
      <c r="A346">
        <v>256893</v>
      </c>
      <c r="B346" t="s">
        <v>2</v>
      </c>
      <c r="C346" t="str">
        <f>LEFT(Table4[[#This Row],[Policy Type]],1)</f>
        <v>1</v>
      </c>
    </row>
    <row r="347" spans="1:3" x14ac:dyDescent="0.25">
      <c r="A347">
        <v>256894</v>
      </c>
      <c r="B347" t="s">
        <v>2</v>
      </c>
      <c r="C347" t="str">
        <f>LEFT(Table4[[#This Row],[Policy Type]],1)</f>
        <v>1</v>
      </c>
    </row>
    <row r="348" spans="1:3" x14ac:dyDescent="0.25">
      <c r="A348">
        <v>233291</v>
      </c>
      <c r="B348" t="s">
        <v>3</v>
      </c>
      <c r="C348" t="str">
        <f>LEFT(Table4[[#This Row],[Policy Type]],1)</f>
        <v>2</v>
      </c>
    </row>
    <row r="349" spans="1:3" x14ac:dyDescent="0.25">
      <c r="A349">
        <v>242754</v>
      </c>
      <c r="B349" t="s">
        <v>2</v>
      </c>
      <c r="C349" t="str">
        <f>LEFT(Table4[[#This Row],[Policy Type]],1)</f>
        <v>1</v>
      </c>
    </row>
    <row r="350" spans="1:3" x14ac:dyDescent="0.25">
      <c r="A350">
        <v>184968</v>
      </c>
      <c r="B350" t="s">
        <v>3</v>
      </c>
      <c r="C350" t="str">
        <f>LEFT(Table4[[#This Row],[Policy Type]],1)</f>
        <v>2</v>
      </c>
    </row>
    <row r="351" spans="1:3" x14ac:dyDescent="0.25">
      <c r="A351">
        <v>161458</v>
      </c>
      <c r="B351" t="s">
        <v>2</v>
      </c>
      <c r="C351" t="str">
        <f>LEFT(Table4[[#This Row],[Policy Type]],1)</f>
        <v>1</v>
      </c>
    </row>
    <row r="352" spans="1:3" x14ac:dyDescent="0.25">
      <c r="A352">
        <v>256916</v>
      </c>
      <c r="B352" t="s">
        <v>2</v>
      </c>
      <c r="C352" t="str">
        <f>LEFT(Table4[[#This Row],[Policy Type]],1)</f>
        <v>1</v>
      </c>
    </row>
    <row r="353" spans="1:3" x14ac:dyDescent="0.25">
      <c r="A353">
        <v>256919</v>
      </c>
      <c r="B353" t="s">
        <v>3</v>
      </c>
      <c r="C353" t="str">
        <f>LEFT(Table4[[#This Row],[Policy Type]],1)</f>
        <v>2</v>
      </c>
    </row>
    <row r="354" spans="1:3" x14ac:dyDescent="0.25">
      <c r="A354">
        <v>256920</v>
      </c>
      <c r="B354" t="s">
        <v>3</v>
      </c>
      <c r="C354" t="str">
        <f>LEFT(Table4[[#This Row],[Policy Type]],1)</f>
        <v>2</v>
      </c>
    </row>
    <row r="355" spans="1:3" x14ac:dyDescent="0.25">
      <c r="A355">
        <v>240374</v>
      </c>
      <c r="B355" t="s">
        <v>2</v>
      </c>
      <c r="C355" t="str">
        <f>LEFT(Table4[[#This Row],[Policy Type]],1)</f>
        <v>1</v>
      </c>
    </row>
    <row r="356" spans="1:3" x14ac:dyDescent="0.25">
      <c r="A356">
        <v>256924</v>
      </c>
      <c r="B356" t="s">
        <v>3</v>
      </c>
      <c r="C356" t="str">
        <f>LEFT(Table4[[#This Row],[Policy Type]],1)</f>
        <v>2</v>
      </c>
    </row>
    <row r="357" spans="1:3" x14ac:dyDescent="0.25">
      <c r="A357">
        <v>256735</v>
      </c>
      <c r="B357" t="s">
        <v>2</v>
      </c>
      <c r="C357" t="str">
        <f>LEFT(Table4[[#This Row],[Policy Type]],1)</f>
        <v>1</v>
      </c>
    </row>
    <row r="358" spans="1:3" x14ac:dyDescent="0.25">
      <c r="A358">
        <v>256930</v>
      </c>
      <c r="B358" t="s">
        <v>3</v>
      </c>
      <c r="C358" t="str">
        <f>LEFT(Table4[[#This Row],[Policy Type]],1)</f>
        <v>2</v>
      </c>
    </row>
    <row r="359" spans="1:3" x14ac:dyDescent="0.25">
      <c r="A359">
        <v>256932</v>
      </c>
      <c r="B359" t="s">
        <v>3</v>
      </c>
      <c r="C359" t="str">
        <f>LEFT(Table4[[#This Row],[Policy Type]],1)</f>
        <v>2</v>
      </c>
    </row>
    <row r="360" spans="1:3" x14ac:dyDescent="0.25">
      <c r="A360">
        <v>256933</v>
      </c>
      <c r="B360" t="s">
        <v>3</v>
      </c>
      <c r="C360" t="str">
        <f>LEFT(Table4[[#This Row],[Policy Type]],1)</f>
        <v>2</v>
      </c>
    </row>
    <row r="361" spans="1:3" x14ac:dyDescent="0.25">
      <c r="A361">
        <v>256940</v>
      </c>
      <c r="B361" t="s">
        <v>3</v>
      </c>
      <c r="C361" t="str">
        <f>LEFT(Table4[[#This Row],[Policy Type]],1)</f>
        <v>2</v>
      </c>
    </row>
    <row r="362" spans="1:3" x14ac:dyDescent="0.25">
      <c r="A362">
        <v>256942</v>
      </c>
      <c r="B362" t="s">
        <v>2</v>
      </c>
      <c r="C362" t="str">
        <f>LEFT(Table4[[#This Row],[Policy Type]],1)</f>
        <v>1</v>
      </c>
    </row>
    <row r="363" spans="1:3" x14ac:dyDescent="0.25">
      <c r="A363">
        <v>256946</v>
      </c>
      <c r="B363" t="s">
        <v>2</v>
      </c>
      <c r="C363" t="str">
        <f>LEFT(Table4[[#This Row],[Policy Type]],1)</f>
        <v>1</v>
      </c>
    </row>
    <row r="364" spans="1:3" x14ac:dyDescent="0.25">
      <c r="A364">
        <v>256970</v>
      </c>
      <c r="B364" t="s">
        <v>2</v>
      </c>
      <c r="C364" t="str">
        <f>LEFT(Table4[[#This Row],[Policy Type]],1)</f>
        <v>1</v>
      </c>
    </row>
    <row r="365" spans="1:3" x14ac:dyDescent="0.25">
      <c r="A365">
        <v>256972</v>
      </c>
      <c r="B365" t="s">
        <v>3</v>
      </c>
      <c r="C365" t="str">
        <f>LEFT(Table4[[#This Row],[Policy Type]],1)</f>
        <v>2</v>
      </c>
    </row>
    <row r="366" spans="1:3" x14ac:dyDescent="0.25">
      <c r="A366">
        <v>230545</v>
      </c>
      <c r="B366" t="s">
        <v>2</v>
      </c>
      <c r="C366" t="str">
        <f>LEFT(Table4[[#This Row],[Policy Type]],1)</f>
        <v>1</v>
      </c>
    </row>
    <row r="367" spans="1:3" x14ac:dyDescent="0.25">
      <c r="A367">
        <v>256979</v>
      </c>
      <c r="B367" t="s">
        <v>2</v>
      </c>
      <c r="C367" t="str">
        <f>LEFT(Table4[[#This Row],[Policy Type]],1)</f>
        <v>1</v>
      </c>
    </row>
    <row r="368" spans="1:3" x14ac:dyDescent="0.25">
      <c r="A368">
        <v>256980</v>
      </c>
      <c r="B368" t="s">
        <v>2</v>
      </c>
      <c r="C368" t="str">
        <f>LEFT(Table4[[#This Row],[Policy Type]],1)</f>
        <v>1</v>
      </c>
    </row>
    <row r="369" spans="1:3" x14ac:dyDescent="0.25">
      <c r="A369">
        <v>256984</v>
      </c>
      <c r="B369" t="s">
        <v>3</v>
      </c>
      <c r="C369" t="str">
        <f>LEFT(Table4[[#This Row],[Policy Type]],1)</f>
        <v>2</v>
      </c>
    </row>
    <row r="370" spans="1:3" x14ac:dyDescent="0.25">
      <c r="A370">
        <v>256986</v>
      </c>
      <c r="B370" t="s">
        <v>2</v>
      </c>
      <c r="C370" t="str">
        <f>LEFT(Table4[[#This Row],[Policy Type]],1)</f>
        <v>1</v>
      </c>
    </row>
    <row r="371" spans="1:3" x14ac:dyDescent="0.25">
      <c r="A371">
        <v>256990</v>
      </c>
      <c r="B371" t="s">
        <v>2</v>
      </c>
      <c r="C371" t="str">
        <f>LEFT(Table4[[#This Row],[Policy Type]],1)</f>
        <v>1</v>
      </c>
    </row>
    <row r="372" spans="1:3" x14ac:dyDescent="0.25">
      <c r="A372">
        <v>182548</v>
      </c>
      <c r="B372" t="s">
        <v>2</v>
      </c>
      <c r="C372" t="str">
        <f>LEFT(Table4[[#This Row],[Policy Type]],1)</f>
        <v>1</v>
      </c>
    </row>
    <row r="373" spans="1:3" x14ac:dyDescent="0.25">
      <c r="A373">
        <v>256993</v>
      </c>
      <c r="B373" t="s">
        <v>2</v>
      </c>
      <c r="C373" t="str">
        <f>LEFT(Table4[[#This Row],[Policy Type]],1)</f>
        <v>1</v>
      </c>
    </row>
    <row r="374" spans="1:3" x14ac:dyDescent="0.25">
      <c r="A374">
        <v>256994</v>
      </c>
      <c r="B374" t="s">
        <v>2</v>
      </c>
      <c r="C374" t="str">
        <f>LEFT(Table4[[#This Row],[Policy Type]],1)</f>
        <v>1</v>
      </c>
    </row>
    <row r="375" spans="1:3" x14ac:dyDescent="0.25">
      <c r="A375">
        <v>257000</v>
      </c>
      <c r="B375" t="s">
        <v>3</v>
      </c>
      <c r="C375" t="str">
        <f>LEFT(Table4[[#This Row],[Policy Type]],1)</f>
        <v>2</v>
      </c>
    </row>
    <row r="376" spans="1:3" x14ac:dyDescent="0.25">
      <c r="A376">
        <v>172662</v>
      </c>
      <c r="B376" t="s">
        <v>2</v>
      </c>
      <c r="C376" t="str">
        <f>LEFT(Table4[[#This Row],[Policy Type]],1)</f>
        <v>1</v>
      </c>
    </row>
    <row r="377" spans="1:3" x14ac:dyDescent="0.25">
      <c r="A377">
        <v>257010</v>
      </c>
      <c r="B377" t="s">
        <v>2</v>
      </c>
      <c r="C377" t="str">
        <f>LEFT(Table4[[#This Row],[Policy Type]],1)</f>
        <v>1</v>
      </c>
    </row>
    <row r="378" spans="1:3" x14ac:dyDescent="0.25">
      <c r="A378">
        <v>257014</v>
      </c>
      <c r="B378" t="s">
        <v>3</v>
      </c>
      <c r="C378" t="str">
        <f>LEFT(Table4[[#This Row],[Policy Type]],1)</f>
        <v>2</v>
      </c>
    </row>
    <row r="379" spans="1:3" x14ac:dyDescent="0.25">
      <c r="A379">
        <v>257021</v>
      </c>
      <c r="B379" t="s">
        <v>3</v>
      </c>
      <c r="C379" t="str">
        <f>LEFT(Table4[[#This Row],[Policy Type]],1)</f>
        <v>2</v>
      </c>
    </row>
    <row r="380" spans="1:3" x14ac:dyDescent="0.25">
      <c r="A380">
        <v>257023</v>
      </c>
      <c r="B380" t="s">
        <v>2</v>
      </c>
      <c r="C380" t="str">
        <f>LEFT(Table4[[#This Row],[Policy Type]],1)</f>
        <v>1</v>
      </c>
    </row>
    <row r="381" spans="1:3" x14ac:dyDescent="0.25">
      <c r="A381">
        <v>230225</v>
      </c>
      <c r="B381" t="s">
        <v>3</v>
      </c>
      <c r="C381" t="str">
        <f>LEFT(Table4[[#This Row],[Policy Type]],1)</f>
        <v>2</v>
      </c>
    </row>
    <row r="382" spans="1:3" x14ac:dyDescent="0.25">
      <c r="A382">
        <v>257031</v>
      </c>
      <c r="B382" t="s">
        <v>3</v>
      </c>
      <c r="C382" t="str">
        <f>LEFT(Table4[[#This Row],[Policy Type]],1)</f>
        <v>2</v>
      </c>
    </row>
    <row r="383" spans="1:3" x14ac:dyDescent="0.25">
      <c r="A383">
        <v>257034</v>
      </c>
      <c r="B383" t="s">
        <v>3</v>
      </c>
      <c r="C383" t="str">
        <f>LEFT(Table4[[#This Row],[Policy Type]],1)</f>
        <v>2</v>
      </c>
    </row>
    <row r="384" spans="1:3" x14ac:dyDescent="0.25">
      <c r="A384">
        <v>257035</v>
      </c>
      <c r="B384" t="s">
        <v>3</v>
      </c>
      <c r="C384" t="str">
        <f>LEFT(Table4[[#This Row],[Policy Type]],1)</f>
        <v>2</v>
      </c>
    </row>
    <row r="385" spans="1:3" x14ac:dyDescent="0.25">
      <c r="A385">
        <v>257039</v>
      </c>
      <c r="B385" t="s">
        <v>3</v>
      </c>
      <c r="C385" t="str">
        <f>LEFT(Table4[[#This Row],[Policy Type]],1)</f>
        <v>2</v>
      </c>
    </row>
    <row r="386" spans="1:3" x14ac:dyDescent="0.25">
      <c r="A386">
        <v>255732</v>
      </c>
      <c r="B386" t="s">
        <v>3</v>
      </c>
      <c r="C386" t="str">
        <f>LEFT(Table4[[#This Row],[Policy Type]],1)</f>
        <v>2</v>
      </c>
    </row>
    <row r="387" spans="1:3" x14ac:dyDescent="0.25">
      <c r="A387">
        <v>224468</v>
      </c>
      <c r="B387" t="s">
        <v>2</v>
      </c>
      <c r="C387" t="str">
        <f>LEFT(Table4[[#This Row],[Policy Type]],1)</f>
        <v>1</v>
      </c>
    </row>
    <row r="388" spans="1:3" x14ac:dyDescent="0.25">
      <c r="A388">
        <v>257045</v>
      </c>
      <c r="B388" t="s">
        <v>2</v>
      </c>
      <c r="C388" t="str">
        <f>LEFT(Table4[[#This Row],[Policy Type]],1)</f>
        <v>1</v>
      </c>
    </row>
    <row r="389" spans="1:3" x14ac:dyDescent="0.25">
      <c r="A389">
        <v>257049</v>
      </c>
      <c r="B389" t="s">
        <v>3</v>
      </c>
      <c r="C389" t="str">
        <f>LEFT(Table4[[#This Row],[Policy Type]],1)</f>
        <v>2</v>
      </c>
    </row>
    <row r="390" spans="1:3" x14ac:dyDescent="0.25">
      <c r="A390">
        <v>257058</v>
      </c>
      <c r="B390" t="s">
        <v>3</v>
      </c>
      <c r="C390" t="str">
        <f>LEFT(Table4[[#This Row],[Policy Type]],1)</f>
        <v>2</v>
      </c>
    </row>
    <row r="391" spans="1:3" x14ac:dyDescent="0.25">
      <c r="A391">
        <v>257060</v>
      </c>
      <c r="B391" t="s">
        <v>3</v>
      </c>
      <c r="C391" t="str">
        <f>LEFT(Table4[[#This Row],[Policy Type]],1)</f>
        <v>2</v>
      </c>
    </row>
    <row r="392" spans="1:3" x14ac:dyDescent="0.25">
      <c r="A392">
        <v>257061</v>
      </c>
      <c r="B392" t="s">
        <v>3</v>
      </c>
      <c r="C392" t="str">
        <f>LEFT(Table4[[#This Row],[Policy Type]],1)</f>
        <v>2</v>
      </c>
    </row>
    <row r="393" spans="1:3" x14ac:dyDescent="0.25">
      <c r="A393">
        <v>253160</v>
      </c>
      <c r="B393" t="s">
        <v>2</v>
      </c>
      <c r="C393" t="str">
        <f>LEFT(Table4[[#This Row],[Policy Type]],1)</f>
        <v>1</v>
      </c>
    </row>
    <row r="394" spans="1:3" x14ac:dyDescent="0.25">
      <c r="A394">
        <v>225108</v>
      </c>
      <c r="B394" t="s">
        <v>3</v>
      </c>
      <c r="C394" t="str">
        <f>LEFT(Table4[[#This Row],[Policy Type]],1)</f>
        <v>2</v>
      </c>
    </row>
    <row r="395" spans="1:3" x14ac:dyDescent="0.25">
      <c r="A395">
        <v>257072</v>
      </c>
      <c r="B395" t="s">
        <v>3</v>
      </c>
      <c r="C395" t="str">
        <f>LEFT(Table4[[#This Row],[Policy Type]],1)</f>
        <v>2</v>
      </c>
    </row>
    <row r="396" spans="1:3" x14ac:dyDescent="0.25">
      <c r="A396">
        <v>257077</v>
      </c>
      <c r="B396" t="s">
        <v>2</v>
      </c>
      <c r="C396" t="str">
        <f>LEFT(Table4[[#This Row],[Policy Type]],1)</f>
        <v>1</v>
      </c>
    </row>
    <row r="397" spans="1:3" x14ac:dyDescent="0.25">
      <c r="A397">
        <v>257081</v>
      </c>
      <c r="B397" t="s">
        <v>2</v>
      </c>
      <c r="C397" t="str">
        <f>LEFT(Table4[[#This Row],[Policy Type]],1)</f>
        <v>1</v>
      </c>
    </row>
    <row r="398" spans="1:3" x14ac:dyDescent="0.25">
      <c r="A398">
        <v>243365</v>
      </c>
      <c r="B398" t="s">
        <v>2</v>
      </c>
      <c r="C398" t="str">
        <f>LEFT(Table4[[#This Row],[Policy Type]],1)</f>
        <v>1</v>
      </c>
    </row>
    <row r="399" spans="1:3" x14ac:dyDescent="0.25">
      <c r="A399">
        <v>257094</v>
      </c>
      <c r="B399" t="s">
        <v>3</v>
      </c>
      <c r="C399" t="str">
        <f>LEFT(Table4[[#This Row],[Policy Type]],1)</f>
        <v>2</v>
      </c>
    </row>
    <row r="400" spans="1:3" x14ac:dyDescent="0.25">
      <c r="A400">
        <v>257105</v>
      </c>
      <c r="B400" t="s">
        <v>3</v>
      </c>
      <c r="C400" t="str">
        <f>LEFT(Table4[[#This Row],[Policy Type]],1)</f>
        <v>2</v>
      </c>
    </row>
    <row r="401" spans="1:3" x14ac:dyDescent="0.25">
      <c r="A401">
        <v>257110</v>
      </c>
      <c r="B401" t="s">
        <v>3</v>
      </c>
      <c r="C401" t="str">
        <f>LEFT(Table4[[#This Row],[Policy Type]],1)</f>
        <v>2</v>
      </c>
    </row>
    <row r="402" spans="1:3" x14ac:dyDescent="0.25">
      <c r="A402">
        <v>257112</v>
      </c>
      <c r="B402" t="s">
        <v>2</v>
      </c>
      <c r="C402" t="str">
        <f>LEFT(Table4[[#This Row],[Policy Type]],1)</f>
        <v>1</v>
      </c>
    </row>
    <row r="403" spans="1:3" x14ac:dyDescent="0.25">
      <c r="A403">
        <v>257114</v>
      </c>
      <c r="B403" t="s">
        <v>3</v>
      </c>
      <c r="C403" t="str">
        <f>LEFT(Table4[[#This Row],[Policy Type]],1)</f>
        <v>2</v>
      </c>
    </row>
    <row r="404" spans="1:3" x14ac:dyDescent="0.25">
      <c r="A404">
        <v>257123</v>
      </c>
      <c r="B404" t="s">
        <v>3</v>
      </c>
      <c r="C404" t="str">
        <f>LEFT(Table4[[#This Row],[Policy Type]],1)</f>
        <v>2</v>
      </c>
    </row>
    <row r="405" spans="1:3" x14ac:dyDescent="0.25">
      <c r="A405">
        <v>257124</v>
      </c>
      <c r="B405" t="s">
        <v>3</v>
      </c>
      <c r="C405" t="str">
        <f>LEFT(Table4[[#This Row],[Policy Type]],1)</f>
        <v>2</v>
      </c>
    </row>
    <row r="406" spans="1:3" x14ac:dyDescent="0.25">
      <c r="A406">
        <v>215971</v>
      </c>
      <c r="B406" t="s">
        <v>2</v>
      </c>
      <c r="C406" t="str">
        <f>LEFT(Table4[[#This Row],[Policy Type]],1)</f>
        <v>1</v>
      </c>
    </row>
    <row r="407" spans="1:3" x14ac:dyDescent="0.25">
      <c r="A407">
        <v>203084</v>
      </c>
      <c r="B407" t="s">
        <v>2</v>
      </c>
      <c r="C407" t="str">
        <f>LEFT(Table4[[#This Row],[Policy Type]],1)</f>
        <v>1</v>
      </c>
    </row>
    <row r="408" spans="1:3" x14ac:dyDescent="0.25">
      <c r="A408">
        <v>257133</v>
      </c>
      <c r="B408" t="s">
        <v>2</v>
      </c>
      <c r="C408" t="str">
        <f>LEFT(Table4[[#This Row],[Policy Type]],1)</f>
        <v>1</v>
      </c>
    </row>
    <row r="409" spans="1:3" x14ac:dyDescent="0.25">
      <c r="A409">
        <v>257139</v>
      </c>
      <c r="B409" t="s">
        <v>3</v>
      </c>
      <c r="C409" t="str">
        <f>LEFT(Table4[[#This Row],[Policy Type]],1)</f>
        <v>2</v>
      </c>
    </row>
    <row r="410" spans="1:3" x14ac:dyDescent="0.25">
      <c r="A410">
        <v>257144</v>
      </c>
      <c r="B410" t="s">
        <v>2</v>
      </c>
      <c r="C410" t="str">
        <f>LEFT(Table4[[#This Row],[Policy Type]],1)</f>
        <v>1</v>
      </c>
    </row>
    <row r="411" spans="1:3" x14ac:dyDescent="0.25">
      <c r="A411">
        <v>257147</v>
      </c>
      <c r="B411" t="s">
        <v>2</v>
      </c>
      <c r="C411" t="str">
        <f>LEFT(Table4[[#This Row],[Policy Type]],1)</f>
        <v>1</v>
      </c>
    </row>
    <row r="412" spans="1:3" x14ac:dyDescent="0.25">
      <c r="A412">
        <v>199774</v>
      </c>
      <c r="B412" t="s">
        <v>2</v>
      </c>
      <c r="C412" t="str">
        <f>LEFT(Table4[[#This Row],[Policy Type]],1)</f>
        <v>1</v>
      </c>
    </row>
    <row r="413" spans="1:3" x14ac:dyDescent="0.25">
      <c r="A413">
        <v>206208</v>
      </c>
      <c r="B413" t="s">
        <v>2</v>
      </c>
      <c r="C413" t="str">
        <f>LEFT(Table4[[#This Row],[Policy Type]],1)</f>
        <v>1</v>
      </c>
    </row>
    <row r="414" spans="1:3" x14ac:dyDescent="0.25">
      <c r="A414">
        <v>181663</v>
      </c>
      <c r="B414" t="s">
        <v>2</v>
      </c>
      <c r="C414" t="str">
        <f>LEFT(Table4[[#This Row],[Policy Type]],1)</f>
        <v>1</v>
      </c>
    </row>
    <row r="415" spans="1:3" x14ac:dyDescent="0.25">
      <c r="A415">
        <v>257162</v>
      </c>
      <c r="B415" t="s">
        <v>3</v>
      </c>
      <c r="C415" t="str">
        <f>LEFT(Table4[[#This Row],[Policy Type]],1)</f>
        <v>2</v>
      </c>
    </row>
    <row r="416" spans="1:3" x14ac:dyDescent="0.25">
      <c r="A416">
        <v>257163</v>
      </c>
      <c r="B416" t="s">
        <v>3</v>
      </c>
      <c r="C416" t="str">
        <f>LEFT(Table4[[#This Row],[Policy Type]],1)</f>
        <v>2</v>
      </c>
    </row>
    <row r="417" spans="1:3" x14ac:dyDescent="0.25">
      <c r="A417">
        <v>257166</v>
      </c>
      <c r="B417" t="s">
        <v>3</v>
      </c>
      <c r="C417" t="str">
        <f>LEFT(Table4[[#This Row],[Policy Type]],1)</f>
        <v>2</v>
      </c>
    </row>
    <row r="418" spans="1:3" x14ac:dyDescent="0.25">
      <c r="A418">
        <v>257167</v>
      </c>
      <c r="B418" t="s">
        <v>3</v>
      </c>
      <c r="C418" t="str">
        <f>LEFT(Table4[[#This Row],[Policy Type]],1)</f>
        <v>2</v>
      </c>
    </row>
    <row r="419" spans="1:3" x14ac:dyDescent="0.25">
      <c r="A419">
        <v>257168</v>
      </c>
      <c r="B419" t="s">
        <v>3</v>
      </c>
      <c r="C419" t="str">
        <f>LEFT(Table4[[#This Row],[Policy Type]],1)</f>
        <v>2</v>
      </c>
    </row>
    <row r="420" spans="1:3" x14ac:dyDescent="0.25">
      <c r="A420">
        <v>257172</v>
      </c>
      <c r="B420" t="s">
        <v>2</v>
      </c>
      <c r="C420" t="str">
        <f>LEFT(Table4[[#This Row],[Policy Type]],1)</f>
        <v>1</v>
      </c>
    </row>
    <row r="421" spans="1:3" x14ac:dyDescent="0.25">
      <c r="A421">
        <v>257175</v>
      </c>
      <c r="B421" t="s">
        <v>3</v>
      </c>
      <c r="C421" t="str">
        <f>LEFT(Table4[[#This Row],[Policy Type]],1)</f>
        <v>2</v>
      </c>
    </row>
    <row r="422" spans="1:3" x14ac:dyDescent="0.25">
      <c r="A422">
        <v>257181</v>
      </c>
      <c r="B422" t="s">
        <v>3</v>
      </c>
      <c r="C422" t="str">
        <f>LEFT(Table4[[#This Row],[Policy Type]],1)</f>
        <v>2</v>
      </c>
    </row>
    <row r="423" spans="1:3" x14ac:dyDescent="0.25">
      <c r="A423">
        <v>257184</v>
      </c>
      <c r="B423" t="s">
        <v>2</v>
      </c>
      <c r="C423" t="str">
        <f>LEFT(Table4[[#This Row],[Policy Type]],1)</f>
        <v>1</v>
      </c>
    </row>
    <row r="424" spans="1:3" x14ac:dyDescent="0.25">
      <c r="A424">
        <v>257186</v>
      </c>
      <c r="B424" t="s">
        <v>3</v>
      </c>
      <c r="C424" t="str">
        <f>LEFT(Table4[[#This Row],[Policy Type]],1)</f>
        <v>2</v>
      </c>
    </row>
    <row r="425" spans="1:3" x14ac:dyDescent="0.25">
      <c r="A425">
        <v>252814</v>
      </c>
      <c r="B425" t="s">
        <v>2</v>
      </c>
      <c r="C425" t="str">
        <f>LEFT(Table4[[#This Row],[Policy Type]],1)</f>
        <v>1</v>
      </c>
    </row>
    <row r="426" spans="1:3" x14ac:dyDescent="0.25">
      <c r="A426">
        <v>257192</v>
      </c>
      <c r="B426" t="s">
        <v>3</v>
      </c>
      <c r="C426" t="str">
        <f>LEFT(Table4[[#This Row],[Policy Type]],1)</f>
        <v>2</v>
      </c>
    </row>
    <row r="427" spans="1:3" x14ac:dyDescent="0.25">
      <c r="A427">
        <v>257197</v>
      </c>
      <c r="B427" t="s">
        <v>2</v>
      </c>
      <c r="C427" t="str">
        <f>LEFT(Table4[[#This Row],[Policy Type]],1)</f>
        <v>1</v>
      </c>
    </row>
    <row r="428" spans="1:3" x14ac:dyDescent="0.25">
      <c r="A428">
        <v>257198</v>
      </c>
      <c r="B428" t="s">
        <v>3</v>
      </c>
      <c r="C428" t="str">
        <f>LEFT(Table4[[#This Row],[Policy Type]],1)</f>
        <v>2</v>
      </c>
    </row>
    <row r="429" spans="1:3" x14ac:dyDescent="0.25">
      <c r="A429">
        <v>257202</v>
      </c>
      <c r="B429" t="s">
        <v>3</v>
      </c>
      <c r="C429" t="str">
        <f>LEFT(Table4[[#This Row],[Policy Type]],1)</f>
        <v>2</v>
      </c>
    </row>
    <row r="430" spans="1:3" x14ac:dyDescent="0.25">
      <c r="A430">
        <v>257203</v>
      </c>
      <c r="B430" t="s">
        <v>2</v>
      </c>
      <c r="C430" t="str">
        <f>LEFT(Table4[[#This Row],[Policy Type]],1)</f>
        <v>1</v>
      </c>
    </row>
    <row r="431" spans="1:3" x14ac:dyDescent="0.25">
      <c r="A431">
        <v>257206</v>
      </c>
      <c r="B431" t="s">
        <v>2</v>
      </c>
      <c r="C431" t="str">
        <f>LEFT(Table4[[#This Row],[Policy Type]],1)</f>
        <v>1</v>
      </c>
    </row>
    <row r="432" spans="1:3" x14ac:dyDescent="0.25">
      <c r="A432">
        <v>257207</v>
      </c>
      <c r="B432" t="s">
        <v>3</v>
      </c>
      <c r="C432" t="str">
        <f>LEFT(Table4[[#This Row],[Policy Type]],1)</f>
        <v>2</v>
      </c>
    </row>
    <row r="433" spans="1:3" x14ac:dyDescent="0.25">
      <c r="A433">
        <v>257215</v>
      </c>
      <c r="B433" t="s">
        <v>3</v>
      </c>
      <c r="C433" t="str">
        <f>LEFT(Table4[[#This Row],[Policy Type]],1)</f>
        <v>2</v>
      </c>
    </row>
    <row r="434" spans="1:3" x14ac:dyDescent="0.25">
      <c r="A434">
        <v>257219</v>
      </c>
      <c r="B434" t="s">
        <v>2</v>
      </c>
      <c r="C434" t="str">
        <f>LEFT(Table4[[#This Row],[Policy Type]],1)</f>
        <v>1</v>
      </c>
    </row>
    <row r="435" spans="1:3" x14ac:dyDescent="0.25">
      <c r="A435">
        <v>257236</v>
      </c>
      <c r="B435" t="s">
        <v>2</v>
      </c>
      <c r="C435" t="str">
        <f>LEFT(Table4[[#This Row],[Policy Type]],1)</f>
        <v>1</v>
      </c>
    </row>
    <row r="436" spans="1:3" x14ac:dyDescent="0.25">
      <c r="A436">
        <v>256799</v>
      </c>
      <c r="B436" t="s">
        <v>2</v>
      </c>
      <c r="C436" t="str">
        <f>LEFT(Table4[[#This Row],[Policy Type]],1)</f>
        <v>1</v>
      </c>
    </row>
    <row r="437" spans="1:3" x14ac:dyDescent="0.25">
      <c r="A437">
        <v>253364</v>
      </c>
      <c r="B437" t="s">
        <v>3</v>
      </c>
      <c r="C437" t="str">
        <f>LEFT(Table4[[#This Row],[Policy Type]],1)</f>
        <v>2</v>
      </c>
    </row>
    <row r="438" spans="1:3" x14ac:dyDescent="0.25">
      <c r="A438">
        <v>257251</v>
      </c>
      <c r="B438" t="s">
        <v>2</v>
      </c>
      <c r="C438" t="str">
        <f>LEFT(Table4[[#This Row],[Policy Type]],1)</f>
        <v>1</v>
      </c>
    </row>
    <row r="439" spans="1:3" x14ac:dyDescent="0.25">
      <c r="A439">
        <v>226419</v>
      </c>
      <c r="B439" t="s">
        <v>2</v>
      </c>
      <c r="C439" t="str">
        <f>LEFT(Table4[[#This Row],[Policy Type]],1)</f>
        <v>1</v>
      </c>
    </row>
    <row r="440" spans="1:3" x14ac:dyDescent="0.25">
      <c r="A440">
        <v>257262</v>
      </c>
      <c r="B440" t="s">
        <v>3</v>
      </c>
      <c r="C440" t="str">
        <f>LEFT(Table4[[#This Row],[Policy Type]],1)</f>
        <v>2</v>
      </c>
    </row>
    <row r="441" spans="1:3" x14ac:dyDescent="0.25">
      <c r="A441">
        <v>257274</v>
      </c>
      <c r="B441" t="s">
        <v>2</v>
      </c>
      <c r="C441" t="str">
        <f>LEFT(Table4[[#This Row],[Policy Type]],1)</f>
        <v>1</v>
      </c>
    </row>
    <row r="442" spans="1:3" x14ac:dyDescent="0.25">
      <c r="A442">
        <v>204622</v>
      </c>
      <c r="B442" t="s">
        <v>3</v>
      </c>
      <c r="C442" t="str">
        <f>LEFT(Table4[[#This Row],[Policy Type]],1)</f>
        <v>2</v>
      </c>
    </row>
    <row r="443" spans="1:3" x14ac:dyDescent="0.25">
      <c r="A443">
        <v>257276</v>
      </c>
      <c r="B443" t="s">
        <v>3</v>
      </c>
      <c r="C443" t="str">
        <f>LEFT(Table4[[#This Row],[Policy Type]],1)</f>
        <v>2</v>
      </c>
    </row>
    <row r="444" spans="1:3" x14ac:dyDescent="0.25">
      <c r="A444">
        <v>257278</v>
      </c>
      <c r="B444" t="s">
        <v>3</v>
      </c>
      <c r="C444" t="str">
        <f>LEFT(Table4[[#This Row],[Policy Type]],1)</f>
        <v>2</v>
      </c>
    </row>
    <row r="445" spans="1:3" x14ac:dyDescent="0.25">
      <c r="A445">
        <v>257279</v>
      </c>
      <c r="B445" t="s">
        <v>3</v>
      </c>
      <c r="C445" t="str">
        <f>LEFT(Table4[[#This Row],[Policy Type]],1)</f>
        <v>2</v>
      </c>
    </row>
    <row r="446" spans="1:3" x14ac:dyDescent="0.25">
      <c r="A446">
        <v>257283</v>
      </c>
      <c r="B446" t="s">
        <v>3</v>
      </c>
      <c r="C446" t="str">
        <f>LEFT(Table4[[#This Row],[Policy Type]],1)</f>
        <v>2</v>
      </c>
    </row>
    <row r="447" spans="1:3" x14ac:dyDescent="0.25">
      <c r="A447">
        <v>257284</v>
      </c>
      <c r="B447" t="s">
        <v>2</v>
      </c>
      <c r="C447" t="str">
        <f>LEFT(Table4[[#This Row],[Policy Type]],1)</f>
        <v>1</v>
      </c>
    </row>
    <row r="448" spans="1:3" x14ac:dyDescent="0.25">
      <c r="A448">
        <v>257285</v>
      </c>
      <c r="B448" t="s">
        <v>2</v>
      </c>
      <c r="C448" t="str">
        <f>LEFT(Table4[[#This Row],[Policy Type]],1)</f>
        <v>1</v>
      </c>
    </row>
    <row r="449" spans="1:3" x14ac:dyDescent="0.25">
      <c r="A449">
        <v>257286</v>
      </c>
      <c r="B449" t="s">
        <v>2</v>
      </c>
      <c r="C449" t="str">
        <f>LEFT(Table4[[#This Row],[Policy Type]],1)</f>
        <v>1</v>
      </c>
    </row>
    <row r="450" spans="1:3" x14ac:dyDescent="0.25">
      <c r="A450">
        <v>257293</v>
      </c>
      <c r="B450" t="s">
        <v>3</v>
      </c>
      <c r="C450" t="str">
        <f>LEFT(Table4[[#This Row],[Policy Type]],1)</f>
        <v>2</v>
      </c>
    </row>
    <row r="451" spans="1:3" x14ac:dyDescent="0.25">
      <c r="A451">
        <v>257294</v>
      </c>
      <c r="B451" t="s">
        <v>3</v>
      </c>
      <c r="C451" t="str">
        <f>LEFT(Table4[[#This Row],[Policy Type]],1)</f>
        <v>2</v>
      </c>
    </row>
    <row r="452" spans="1:3" x14ac:dyDescent="0.25">
      <c r="A452">
        <v>257302</v>
      </c>
      <c r="B452" t="s">
        <v>2</v>
      </c>
      <c r="C452" t="str">
        <f>LEFT(Table4[[#This Row],[Policy Type]],1)</f>
        <v>1</v>
      </c>
    </row>
    <row r="453" spans="1:3" x14ac:dyDescent="0.25">
      <c r="A453">
        <v>257306</v>
      </c>
      <c r="B453" t="s">
        <v>2</v>
      </c>
      <c r="C453" t="str">
        <f>LEFT(Table4[[#This Row],[Policy Type]],1)</f>
        <v>1</v>
      </c>
    </row>
    <row r="454" spans="1:3" x14ac:dyDescent="0.25">
      <c r="A454">
        <v>257308</v>
      </c>
      <c r="B454" t="s">
        <v>2</v>
      </c>
      <c r="C454" t="str">
        <f>LEFT(Table4[[#This Row],[Policy Type]],1)</f>
        <v>1</v>
      </c>
    </row>
    <row r="455" spans="1:3" x14ac:dyDescent="0.25">
      <c r="A455">
        <v>257312</v>
      </c>
      <c r="B455" t="s">
        <v>2</v>
      </c>
      <c r="C455" t="str">
        <f>LEFT(Table4[[#This Row],[Policy Type]],1)</f>
        <v>1</v>
      </c>
    </row>
    <row r="456" spans="1:3" x14ac:dyDescent="0.25">
      <c r="A456">
        <v>257313</v>
      </c>
      <c r="B456" t="s">
        <v>2</v>
      </c>
      <c r="C456" t="str">
        <f>LEFT(Table4[[#This Row],[Policy Type]],1)</f>
        <v>1</v>
      </c>
    </row>
    <row r="457" spans="1:3" x14ac:dyDescent="0.25">
      <c r="A457">
        <v>257324</v>
      </c>
      <c r="B457" t="s">
        <v>2</v>
      </c>
      <c r="C457" t="str">
        <f>LEFT(Table4[[#This Row],[Policy Type]],1)</f>
        <v>1</v>
      </c>
    </row>
    <row r="458" spans="1:3" x14ac:dyDescent="0.25">
      <c r="A458">
        <v>209271</v>
      </c>
      <c r="B458" t="s">
        <v>2</v>
      </c>
      <c r="C458" t="str">
        <f>LEFT(Table4[[#This Row],[Policy Type]],1)</f>
        <v>1</v>
      </c>
    </row>
    <row r="459" spans="1:3" x14ac:dyDescent="0.25">
      <c r="A459">
        <v>257337</v>
      </c>
      <c r="B459" t="s">
        <v>2</v>
      </c>
      <c r="C459" t="str">
        <f>LEFT(Table4[[#This Row],[Policy Type]],1)</f>
        <v>1</v>
      </c>
    </row>
    <row r="460" spans="1:3" x14ac:dyDescent="0.25">
      <c r="A460">
        <v>207352</v>
      </c>
      <c r="B460" t="s">
        <v>2</v>
      </c>
      <c r="C460" t="str">
        <f>LEFT(Table4[[#This Row],[Policy Type]],1)</f>
        <v>1</v>
      </c>
    </row>
    <row r="461" spans="1:3" x14ac:dyDescent="0.25">
      <c r="A461">
        <v>252426</v>
      </c>
      <c r="B461" t="s">
        <v>3</v>
      </c>
      <c r="C461" t="str">
        <f>LEFT(Table4[[#This Row],[Policy Type]],1)</f>
        <v>2</v>
      </c>
    </row>
    <row r="462" spans="1:3" x14ac:dyDescent="0.25">
      <c r="A462">
        <v>250111</v>
      </c>
      <c r="B462" t="s">
        <v>2</v>
      </c>
      <c r="C462" t="str">
        <f>LEFT(Table4[[#This Row],[Policy Type]],1)</f>
        <v>1</v>
      </c>
    </row>
    <row r="463" spans="1:3" x14ac:dyDescent="0.25">
      <c r="A463">
        <v>257352</v>
      </c>
      <c r="B463" t="s">
        <v>3</v>
      </c>
      <c r="C463" t="str">
        <f>LEFT(Table4[[#This Row],[Policy Type]],1)</f>
        <v>2</v>
      </c>
    </row>
    <row r="464" spans="1:3" x14ac:dyDescent="0.25">
      <c r="A464">
        <v>257351</v>
      </c>
      <c r="B464" t="s">
        <v>2</v>
      </c>
      <c r="C464" t="str">
        <f>LEFT(Table4[[#This Row],[Policy Type]],1)</f>
        <v>1</v>
      </c>
    </row>
    <row r="465" spans="1:3" x14ac:dyDescent="0.25">
      <c r="A465">
        <v>249790</v>
      </c>
      <c r="B465" t="s">
        <v>3</v>
      </c>
      <c r="C465" t="str">
        <f>LEFT(Table4[[#This Row],[Policy Type]],1)</f>
        <v>2</v>
      </c>
    </row>
    <row r="466" spans="1:3" x14ac:dyDescent="0.25">
      <c r="A466">
        <v>257353</v>
      </c>
      <c r="B466" t="s">
        <v>3</v>
      </c>
      <c r="C466" t="str">
        <f>LEFT(Table4[[#This Row],[Policy Type]],1)</f>
        <v>2</v>
      </c>
    </row>
    <row r="467" spans="1:3" x14ac:dyDescent="0.25">
      <c r="A467">
        <v>257354</v>
      </c>
      <c r="B467" t="s">
        <v>3</v>
      </c>
      <c r="C467" t="str">
        <f>LEFT(Table4[[#This Row],[Policy Type]],1)</f>
        <v>2</v>
      </c>
    </row>
    <row r="468" spans="1:3" x14ac:dyDescent="0.25">
      <c r="A468">
        <v>257355</v>
      </c>
      <c r="B468" t="s">
        <v>3</v>
      </c>
      <c r="C468" t="str">
        <f>LEFT(Table4[[#This Row],[Policy Type]],1)</f>
        <v>2</v>
      </c>
    </row>
    <row r="469" spans="1:3" x14ac:dyDescent="0.25">
      <c r="A469">
        <v>257357</v>
      </c>
      <c r="B469" t="s">
        <v>3</v>
      </c>
      <c r="C469" t="str">
        <f>LEFT(Table4[[#This Row],[Policy Type]],1)</f>
        <v>2</v>
      </c>
    </row>
    <row r="470" spans="1:3" x14ac:dyDescent="0.25">
      <c r="A470">
        <v>257359</v>
      </c>
      <c r="B470" t="s">
        <v>2</v>
      </c>
      <c r="C470" t="str">
        <f>LEFT(Table4[[#This Row],[Policy Type]],1)</f>
        <v>1</v>
      </c>
    </row>
    <row r="471" spans="1:3" x14ac:dyDescent="0.25">
      <c r="A471">
        <v>257360</v>
      </c>
      <c r="B471" t="s">
        <v>3</v>
      </c>
      <c r="C471" t="str">
        <f>LEFT(Table4[[#This Row],[Policy Type]],1)</f>
        <v>2</v>
      </c>
    </row>
    <row r="472" spans="1:3" x14ac:dyDescent="0.25">
      <c r="A472">
        <v>257364</v>
      </c>
      <c r="B472" t="s">
        <v>3</v>
      </c>
      <c r="C472" t="str">
        <f>LEFT(Table4[[#This Row],[Policy Type]],1)</f>
        <v>2</v>
      </c>
    </row>
    <row r="473" spans="1:3" x14ac:dyDescent="0.25">
      <c r="A473">
        <v>257367</v>
      </c>
      <c r="B473" t="s">
        <v>3</v>
      </c>
      <c r="C473" t="str">
        <f>LEFT(Table4[[#This Row],[Policy Type]],1)</f>
        <v>2</v>
      </c>
    </row>
    <row r="474" spans="1:3" x14ac:dyDescent="0.25">
      <c r="A474">
        <v>257374</v>
      </c>
      <c r="B474" t="s">
        <v>2</v>
      </c>
      <c r="C474" t="str">
        <f>LEFT(Table4[[#This Row],[Policy Type]],1)</f>
        <v>1</v>
      </c>
    </row>
    <row r="475" spans="1:3" x14ac:dyDescent="0.25">
      <c r="A475">
        <v>163831</v>
      </c>
      <c r="B475" t="s">
        <v>2</v>
      </c>
      <c r="C475" t="str">
        <f>LEFT(Table4[[#This Row],[Policy Type]],1)</f>
        <v>1</v>
      </c>
    </row>
    <row r="476" spans="1:3" x14ac:dyDescent="0.25">
      <c r="A476">
        <v>257379</v>
      </c>
      <c r="B476" t="s">
        <v>3</v>
      </c>
      <c r="C476" t="str">
        <f>LEFT(Table4[[#This Row],[Policy Type]],1)</f>
        <v>2</v>
      </c>
    </row>
    <row r="477" spans="1:3" x14ac:dyDescent="0.25">
      <c r="A477">
        <v>257380</v>
      </c>
      <c r="B477" t="s">
        <v>3</v>
      </c>
      <c r="C477" t="str">
        <f>LEFT(Table4[[#This Row],[Policy Type]],1)</f>
        <v>2</v>
      </c>
    </row>
    <row r="478" spans="1:3" x14ac:dyDescent="0.25">
      <c r="A478">
        <v>245905</v>
      </c>
      <c r="B478" t="s">
        <v>2</v>
      </c>
      <c r="C478" t="str">
        <f>LEFT(Table4[[#This Row],[Policy Type]],1)</f>
        <v>1</v>
      </c>
    </row>
    <row r="479" spans="1:3" x14ac:dyDescent="0.25">
      <c r="A479">
        <v>256150</v>
      </c>
      <c r="B479" t="s">
        <v>3</v>
      </c>
      <c r="C479" t="str">
        <f>LEFT(Table4[[#This Row],[Policy Type]],1)</f>
        <v>2</v>
      </c>
    </row>
    <row r="480" spans="1:3" x14ac:dyDescent="0.25">
      <c r="A480">
        <v>257391</v>
      </c>
      <c r="B480" t="s">
        <v>3</v>
      </c>
      <c r="C480" t="str">
        <f>LEFT(Table4[[#This Row],[Policy Type]],1)</f>
        <v>2</v>
      </c>
    </row>
    <row r="481" spans="1:3" x14ac:dyDescent="0.25">
      <c r="A481">
        <v>257392</v>
      </c>
      <c r="B481" t="s">
        <v>3</v>
      </c>
      <c r="C481" t="str">
        <f>LEFT(Table4[[#This Row],[Policy Type]],1)</f>
        <v>2</v>
      </c>
    </row>
    <row r="482" spans="1:3" x14ac:dyDescent="0.25">
      <c r="A482">
        <v>257398</v>
      </c>
      <c r="B482" t="s">
        <v>2</v>
      </c>
      <c r="C482" t="str">
        <f>LEFT(Table4[[#This Row],[Policy Type]],1)</f>
        <v>1</v>
      </c>
    </row>
    <row r="483" spans="1:3" x14ac:dyDescent="0.25">
      <c r="A483">
        <v>257405</v>
      </c>
      <c r="B483" t="s">
        <v>3</v>
      </c>
      <c r="C483" t="str">
        <f>LEFT(Table4[[#This Row],[Policy Type]],1)</f>
        <v>2</v>
      </c>
    </row>
    <row r="484" spans="1:3" x14ac:dyDescent="0.25">
      <c r="A484">
        <v>257415</v>
      </c>
      <c r="B484" t="s">
        <v>2</v>
      </c>
      <c r="C484" t="str">
        <f>LEFT(Table4[[#This Row],[Policy Type]],1)</f>
        <v>1</v>
      </c>
    </row>
    <row r="485" spans="1:3" x14ac:dyDescent="0.25">
      <c r="A485">
        <v>257420</v>
      </c>
      <c r="B485" t="s">
        <v>3</v>
      </c>
      <c r="C485" t="str">
        <f>LEFT(Table4[[#This Row],[Policy Type]],1)</f>
        <v>2</v>
      </c>
    </row>
    <row r="486" spans="1:3" x14ac:dyDescent="0.25">
      <c r="A486">
        <v>257428</v>
      </c>
      <c r="B486" t="s">
        <v>2</v>
      </c>
      <c r="C486" t="str">
        <f>LEFT(Table4[[#This Row],[Policy Type]],1)</f>
        <v>1</v>
      </c>
    </row>
    <row r="487" spans="1:3" x14ac:dyDescent="0.25">
      <c r="A487">
        <v>257430</v>
      </c>
      <c r="B487" t="s">
        <v>2</v>
      </c>
      <c r="C487" t="str">
        <f>LEFT(Table4[[#This Row],[Policy Type]],1)</f>
        <v>1</v>
      </c>
    </row>
    <row r="488" spans="1:3" x14ac:dyDescent="0.25">
      <c r="A488">
        <v>255334</v>
      </c>
      <c r="B488" t="s">
        <v>2</v>
      </c>
      <c r="C488" t="str">
        <f>LEFT(Table4[[#This Row],[Policy Type]],1)</f>
        <v>1</v>
      </c>
    </row>
    <row r="489" spans="1:3" x14ac:dyDescent="0.25">
      <c r="A489">
        <v>186543</v>
      </c>
      <c r="B489" t="s">
        <v>2</v>
      </c>
      <c r="C489" t="str">
        <f>LEFT(Table4[[#This Row],[Policy Type]],1)</f>
        <v>1</v>
      </c>
    </row>
    <row r="490" spans="1:3" x14ac:dyDescent="0.25">
      <c r="A490">
        <v>257490</v>
      </c>
      <c r="B490" t="s">
        <v>2</v>
      </c>
      <c r="C490" t="str">
        <f>LEFT(Table4[[#This Row],[Policy Type]],1)</f>
        <v>1</v>
      </c>
    </row>
    <row r="491" spans="1:3" x14ac:dyDescent="0.25">
      <c r="A491">
        <v>257491</v>
      </c>
      <c r="B491" t="s">
        <v>2</v>
      </c>
      <c r="C491" t="str">
        <f>LEFT(Table4[[#This Row],[Policy Type]],1)</f>
        <v>1</v>
      </c>
    </row>
    <row r="492" spans="1:3" x14ac:dyDescent="0.25">
      <c r="A492">
        <v>256534</v>
      </c>
      <c r="B492" t="s">
        <v>2</v>
      </c>
      <c r="C492" t="str">
        <f>LEFT(Table4[[#This Row],[Policy Type]],1)</f>
        <v>1</v>
      </c>
    </row>
    <row r="493" spans="1:3" x14ac:dyDescent="0.25">
      <c r="A493">
        <v>197947</v>
      </c>
      <c r="B493" t="s">
        <v>2</v>
      </c>
      <c r="C493" t="str">
        <f>LEFT(Table4[[#This Row],[Policy Type]],1)</f>
        <v>1</v>
      </c>
    </row>
    <row r="494" spans="1:3" x14ac:dyDescent="0.25">
      <c r="A494">
        <v>165692</v>
      </c>
      <c r="B494" t="s">
        <v>2</v>
      </c>
      <c r="C494" t="str">
        <f>LEFT(Table4[[#This Row],[Policy Type]],1)</f>
        <v>1</v>
      </c>
    </row>
    <row r="495" spans="1:3" x14ac:dyDescent="0.25">
      <c r="A495">
        <v>257510</v>
      </c>
      <c r="B495" t="s">
        <v>3</v>
      </c>
      <c r="C495" t="str">
        <f>LEFT(Table4[[#This Row],[Policy Type]],1)</f>
        <v>2</v>
      </c>
    </row>
    <row r="496" spans="1:3" x14ac:dyDescent="0.25">
      <c r="A496">
        <v>257512</v>
      </c>
      <c r="B496" t="s">
        <v>3</v>
      </c>
      <c r="C496" t="str">
        <f>LEFT(Table4[[#This Row],[Policy Type]],1)</f>
        <v>2</v>
      </c>
    </row>
    <row r="497" spans="1:3" x14ac:dyDescent="0.25">
      <c r="A497">
        <v>257527</v>
      </c>
      <c r="B497" t="s">
        <v>2</v>
      </c>
      <c r="C497" t="str">
        <f>LEFT(Table4[[#This Row],[Policy Type]],1)</f>
        <v>1</v>
      </c>
    </row>
    <row r="498" spans="1:3" x14ac:dyDescent="0.25">
      <c r="A498">
        <v>257521</v>
      </c>
      <c r="B498" t="s">
        <v>3</v>
      </c>
      <c r="C498" t="str">
        <f>LEFT(Table4[[#This Row],[Policy Type]],1)</f>
        <v>2</v>
      </c>
    </row>
    <row r="499" spans="1:3" x14ac:dyDescent="0.25">
      <c r="A499">
        <v>257516</v>
      </c>
      <c r="B499" t="s">
        <v>3</v>
      </c>
      <c r="C499" t="str">
        <f>LEFT(Table4[[#This Row],[Policy Type]],1)</f>
        <v>2</v>
      </c>
    </row>
    <row r="500" spans="1:3" x14ac:dyDescent="0.25">
      <c r="A500">
        <v>257517</v>
      </c>
      <c r="B500" t="s">
        <v>3</v>
      </c>
      <c r="C500" t="str">
        <f>LEFT(Table4[[#This Row],[Policy Type]],1)</f>
        <v>2</v>
      </c>
    </row>
    <row r="501" spans="1:3" x14ac:dyDescent="0.25">
      <c r="A501">
        <v>257530</v>
      </c>
      <c r="B501" t="s">
        <v>3</v>
      </c>
      <c r="C501" t="str">
        <f>LEFT(Table4[[#This Row],[Policy Type]],1)</f>
        <v>2</v>
      </c>
    </row>
    <row r="502" spans="1:3" x14ac:dyDescent="0.25">
      <c r="A502">
        <v>257536</v>
      </c>
      <c r="B502" t="s">
        <v>2</v>
      </c>
      <c r="C502" t="str">
        <f>LEFT(Table4[[#This Row],[Policy Type]],1)</f>
        <v>1</v>
      </c>
    </row>
    <row r="503" spans="1:3" x14ac:dyDescent="0.25">
      <c r="A503">
        <v>256695</v>
      </c>
      <c r="B503" t="s">
        <v>3</v>
      </c>
      <c r="C503" t="str">
        <f>LEFT(Table4[[#This Row],[Policy Type]],1)</f>
        <v>2</v>
      </c>
    </row>
    <row r="504" spans="1:3" x14ac:dyDescent="0.25">
      <c r="A504">
        <v>257543</v>
      </c>
      <c r="B504" t="s">
        <v>2</v>
      </c>
      <c r="C504" t="str">
        <f>LEFT(Table4[[#This Row],[Policy Type]],1)</f>
        <v>1</v>
      </c>
    </row>
    <row r="505" spans="1:3" x14ac:dyDescent="0.25">
      <c r="A505">
        <v>257547</v>
      </c>
      <c r="B505" t="s">
        <v>3</v>
      </c>
      <c r="C505" t="str">
        <f>LEFT(Table4[[#This Row],[Policy Type]],1)</f>
        <v>2</v>
      </c>
    </row>
    <row r="506" spans="1:3" x14ac:dyDescent="0.25">
      <c r="A506">
        <v>257548</v>
      </c>
      <c r="B506" t="s">
        <v>3</v>
      </c>
      <c r="C506" t="str">
        <f>LEFT(Table4[[#This Row],[Policy Type]],1)</f>
        <v>2</v>
      </c>
    </row>
    <row r="507" spans="1:3" x14ac:dyDescent="0.25">
      <c r="A507">
        <v>257565</v>
      </c>
      <c r="B507" t="s">
        <v>2</v>
      </c>
      <c r="C507" t="str">
        <f>LEFT(Table4[[#This Row],[Policy Type]],1)</f>
        <v>1</v>
      </c>
    </row>
    <row r="508" spans="1:3" x14ac:dyDescent="0.25">
      <c r="A508">
        <v>257574</v>
      </c>
      <c r="B508" t="s">
        <v>3</v>
      </c>
      <c r="C508" t="str">
        <f>LEFT(Table4[[#This Row],[Policy Type]],1)</f>
        <v>2</v>
      </c>
    </row>
    <row r="509" spans="1:3" x14ac:dyDescent="0.25">
      <c r="A509">
        <v>257576</v>
      </c>
      <c r="B509" t="s">
        <v>3</v>
      </c>
      <c r="C509" t="str">
        <f>LEFT(Table4[[#This Row],[Policy Type]],1)</f>
        <v>2</v>
      </c>
    </row>
    <row r="510" spans="1:3" x14ac:dyDescent="0.25">
      <c r="A510">
        <v>247679</v>
      </c>
      <c r="B510" t="s">
        <v>2</v>
      </c>
      <c r="C510" t="str">
        <f>LEFT(Table4[[#This Row],[Policy Type]],1)</f>
        <v>1</v>
      </c>
    </row>
    <row r="511" spans="1:3" x14ac:dyDescent="0.25">
      <c r="A511">
        <v>251138</v>
      </c>
      <c r="B511" t="s">
        <v>3</v>
      </c>
      <c r="C511" t="str">
        <f>LEFT(Table4[[#This Row],[Policy Type]],1)</f>
        <v>2</v>
      </c>
    </row>
    <row r="512" spans="1:3" x14ac:dyDescent="0.25">
      <c r="A512">
        <v>257584</v>
      </c>
      <c r="B512" t="s">
        <v>2</v>
      </c>
      <c r="C512" t="str">
        <f>LEFT(Table4[[#This Row],[Policy Type]],1)</f>
        <v>1</v>
      </c>
    </row>
    <row r="513" spans="1:3" x14ac:dyDescent="0.25">
      <c r="A513">
        <v>257590</v>
      </c>
      <c r="B513" t="s">
        <v>3</v>
      </c>
      <c r="C513" t="str">
        <f>LEFT(Table4[[#This Row],[Policy Type]],1)</f>
        <v>2</v>
      </c>
    </row>
    <row r="514" spans="1:3" x14ac:dyDescent="0.25">
      <c r="A514">
        <v>257593</v>
      </c>
      <c r="B514" t="s">
        <v>3</v>
      </c>
      <c r="C514" t="str">
        <f>LEFT(Table4[[#This Row],[Policy Type]],1)</f>
        <v>2</v>
      </c>
    </row>
    <row r="515" spans="1:3" x14ac:dyDescent="0.25">
      <c r="A515">
        <v>257586</v>
      </c>
      <c r="B515" t="s">
        <v>3</v>
      </c>
      <c r="C515" t="str">
        <f>LEFT(Table4[[#This Row],[Policy Type]],1)</f>
        <v>2</v>
      </c>
    </row>
    <row r="516" spans="1:3" x14ac:dyDescent="0.25">
      <c r="A516">
        <v>257588</v>
      </c>
      <c r="B516" t="s">
        <v>3</v>
      </c>
      <c r="C516" t="str">
        <f>LEFT(Table4[[#This Row],[Policy Type]],1)</f>
        <v>2</v>
      </c>
    </row>
    <row r="517" spans="1:3" x14ac:dyDescent="0.25">
      <c r="A517">
        <v>257589</v>
      </c>
      <c r="B517" t="s">
        <v>3</v>
      </c>
      <c r="C517" t="str">
        <f>LEFT(Table4[[#This Row],[Policy Type]],1)</f>
        <v>2</v>
      </c>
    </row>
    <row r="518" spans="1:3" x14ac:dyDescent="0.25">
      <c r="A518">
        <v>167114</v>
      </c>
      <c r="B518" t="s">
        <v>2</v>
      </c>
      <c r="C518" t="str">
        <f>LEFT(Table4[[#This Row],[Policy Type]],1)</f>
        <v>1</v>
      </c>
    </row>
    <row r="519" spans="1:3" x14ac:dyDescent="0.25">
      <c r="A519">
        <v>191397</v>
      </c>
      <c r="B519" t="s">
        <v>3</v>
      </c>
      <c r="C519" t="str">
        <f>LEFT(Table4[[#This Row],[Policy Type]],1)</f>
        <v>2</v>
      </c>
    </row>
    <row r="520" spans="1:3" x14ac:dyDescent="0.25">
      <c r="A520">
        <v>195155</v>
      </c>
      <c r="B520" t="s">
        <v>2</v>
      </c>
      <c r="C520" t="str">
        <f>LEFT(Table4[[#This Row],[Policy Type]],1)</f>
        <v>1</v>
      </c>
    </row>
    <row r="521" spans="1:3" x14ac:dyDescent="0.25">
      <c r="A521">
        <v>257603</v>
      </c>
      <c r="B521" t="s">
        <v>3</v>
      </c>
      <c r="C521" t="str">
        <f>LEFT(Table4[[#This Row],[Policy Type]],1)</f>
        <v>2</v>
      </c>
    </row>
    <row r="522" spans="1:3" x14ac:dyDescent="0.25">
      <c r="A522">
        <v>257611</v>
      </c>
      <c r="B522" t="s">
        <v>3</v>
      </c>
      <c r="C522" t="str">
        <f>LEFT(Table4[[#This Row],[Policy Type]],1)</f>
        <v>2</v>
      </c>
    </row>
    <row r="523" spans="1:3" x14ac:dyDescent="0.25">
      <c r="A523">
        <v>257612</v>
      </c>
      <c r="B523" t="s">
        <v>3</v>
      </c>
      <c r="C523" t="str">
        <f>LEFT(Table4[[#This Row],[Policy Type]],1)</f>
        <v>2</v>
      </c>
    </row>
    <row r="524" spans="1:3" x14ac:dyDescent="0.25">
      <c r="A524">
        <v>257613</v>
      </c>
      <c r="B524" t="s">
        <v>2</v>
      </c>
      <c r="C524" t="str">
        <f>LEFT(Table4[[#This Row],[Policy Type]],1)</f>
        <v>1</v>
      </c>
    </row>
    <row r="525" spans="1:3" x14ac:dyDescent="0.25">
      <c r="A525">
        <v>257614</v>
      </c>
      <c r="B525" t="s">
        <v>2</v>
      </c>
      <c r="C525" t="str">
        <f>LEFT(Table4[[#This Row],[Policy Type]],1)</f>
        <v>1</v>
      </c>
    </row>
    <row r="526" spans="1:3" x14ac:dyDescent="0.25">
      <c r="A526">
        <v>257619</v>
      </c>
      <c r="B526" t="s">
        <v>2</v>
      </c>
      <c r="C526" t="str">
        <f>LEFT(Table4[[#This Row],[Policy Type]],1)</f>
        <v>1</v>
      </c>
    </row>
    <row r="527" spans="1:3" x14ac:dyDescent="0.25">
      <c r="A527">
        <v>257620</v>
      </c>
      <c r="B527" t="s">
        <v>2</v>
      </c>
      <c r="C527" t="str">
        <f>LEFT(Table4[[#This Row],[Policy Type]],1)</f>
        <v>1</v>
      </c>
    </row>
    <row r="528" spans="1:3" x14ac:dyDescent="0.25">
      <c r="A528">
        <v>257622</v>
      </c>
      <c r="B528" t="s">
        <v>2</v>
      </c>
      <c r="C528" t="str">
        <f>LEFT(Table4[[#This Row],[Policy Type]],1)</f>
        <v>1</v>
      </c>
    </row>
    <row r="529" spans="1:3" x14ac:dyDescent="0.25">
      <c r="A529">
        <v>257624</v>
      </c>
      <c r="B529" t="s">
        <v>2</v>
      </c>
      <c r="C529" t="str">
        <f>LEFT(Table4[[#This Row],[Policy Type]],1)</f>
        <v>1</v>
      </c>
    </row>
    <row r="530" spans="1:3" x14ac:dyDescent="0.25">
      <c r="A530">
        <v>257649</v>
      </c>
      <c r="B530" t="s">
        <v>3</v>
      </c>
      <c r="C530" t="str">
        <f>LEFT(Table4[[#This Row],[Policy Type]],1)</f>
        <v>2</v>
      </c>
    </row>
    <row r="531" spans="1:3" x14ac:dyDescent="0.25">
      <c r="A531">
        <v>154133</v>
      </c>
      <c r="B531" t="s">
        <v>2</v>
      </c>
      <c r="C531" t="str">
        <f>LEFT(Table4[[#This Row],[Policy Type]],1)</f>
        <v>1</v>
      </c>
    </row>
    <row r="532" spans="1:3" x14ac:dyDescent="0.25">
      <c r="A532">
        <v>257656</v>
      </c>
      <c r="B532" t="s">
        <v>2</v>
      </c>
      <c r="C532" t="str">
        <f>LEFT(Table4[[#This Row],[Policy Type]],1)</f>
        <v>1</v>
      </c>
    </row>
    <row r="533" spans="1:3" x14ac:dyDescent="0.25">
      <c r="A533">
        <v>257659</v>
      </c>
      <c r="B533" t="s">
        <v>3</v>
      </c>
      <c r="C533" t="str">
        <f>LEFT(Table4[[#This Row],[Policy Type]],1)</f>
        <v>2</v>
      </c>
    </row>
    <row r="534" spans="1:3" x14ac:dyDescent="0.25">
      <c r="A534">
        <v>257665</v>
      </c>
      <c r="B534" t="s">
        <v>2</v>
      </c>
      <c r="C534" t="str">
        <f>LEFT(Table4[[#This Row],[Policy Type]],1)</f>
        <v>1</v>
      </c>
    </row>
    <row r="535" spans="1:3" x14ac:dyDescent="0.25">
      <c r="A535">
        <v>255791</v>
      </c>
      <c r="B535" t="s">
        <v>2</v>
      </c>
      <c r="C535" t="str">
        <f>LEFT(Table4[[#This Row],[Policy Type]],1)</f>
        <v>1</v>
      </c>
    </row>
    <row r="536" spans="1:3" x14ac:dyDescent="0.25">
      <c r="A536">
        <v>257673</v>
      </c>
      <c r="B536" t="s">
        <v>3</v>
      </c>
      <c r="C536" t="str">
        <f>LEFT(Table4[[#This Row],[Policy Type]],1)</f>
        <v>2</v>
      </c>
    </row>
    <row r="537" spans="1:3" x14ac:dyDescent="0.25">
      <c r="A537">
        <v>257674</v>
      </c>
      <c r="B537" t="s">
        <v>2</v>
      </c>
      <c r="C537" t="str">
        <f>LEFT(Table4[[#This Row],[Policy Type]],1)</f>
        <v>1</v>
      </c>
    </row>
    <row r="538" spans="1:3" x14ac:dyDescent="0.25">
      <c r="A538">
        <v>257678</v>
      </c>
      <c r="B538" t="s">
        <v>2</v>
      </c>
      <c r="C538" t="str">
        <f>LEFT(Table4[[#This Row],[Policy Type]],1)</f>
        <v>1</v>
      </c>
    </row>
    <row r="539" spans="1:3" x14ac:dyDescent="0.25">
      <c r="A539">
        <v>257680</v>
      </c>
      <c r="B539" t="s">
        <v>3</v>
      </c>
      <c r="C539" t="str">
        <f>LEFT(Table4[[#This Row],[Policy Type]],1)</f>
        <v>2</v>
      </c>
    </row>
    <row r="540" spans="1:3" x14ac:dyDescent="0.25">
      <c r="A540">
        <v>257688</v>
      </c>
      <c r="B540" t="s">
        <v>3</v>
      </c>
      <c r="C540" t="str">
        <f>LEFT(Table4[[#This Row],[Policy Type]],1)</f>
        <v>2</v>
      </c>
    </row>
    <row r="541" spans="1:3" x14ac:dyDescent="0.25">
      <c r="A541">
        <v>257700</v>
      </c>
      <c r="B541" t="s">
        <v>3</v>
      </c>
      <c r="C541" t="str">
        <f>LEFT(Table4[[#This Row],[Policy Type]],1)</f>
        <v>2</v>
      </c>
    </row>
    <row r="542" spans="1:3" x14ac:dyDescent="0.25">
      <c r="A542">
        <v>257701</v>
      </c>
      <c r="B542" t="s">
        <v>2</v>
      </c>
      <c r="C542" t="str">
        <f>LEFT(Table4[[#This Row],[Policy Type]],1)</f>
        <v>1</v>
      </c>
    </row>
    <row r="543" spans="1:3" x14ac:dyDescent="0.25">
      <c r="A543">
        <v>257704</v>
      </c>
      <c r="B543" t="s">
        <v>2</v>
      </c>
      <c r="C543" t="str">
        <f>LEFT(Table4[[#This Row],[Policy Type]],1)</f>
        <v>1</v>
      </c>
    </row>
    <row r="544" spans="1:3" x14ac:dyDescent="0.25">
      <c r="A544">
        <v>257716</v>
      </c>
      <c r="B544" t="s">
        <v>3</v>
      </c>
      <c r="C544" t="str">
        <f>LEFT(Table4[[#This Row],[Policy Type]],1)</f>
        <v>2</v>
      </c>
    </row>
    <row r="545" spans="1:3" x14ac:dyDescent="0.25">
      <c r="A545">
        <v>257722</v>
      </c>
      <c r="B545" t="s">
        <v>3</v>
      </c>
      <c r="C545" t="str">
        <f>LEFT(Table4[[#This Row],[Policy Type]],1)</f>
        <v>2</v>
      </c>
    </row>
    <row r="546" spans="1:3" x14ac:dyDescent="0.25">
      <c r="A546">
        <v>257724</v>
      </c>
      <c r="B546" t="s">
        <v>2</v>
      </c>
      <c r="C546" t="str">
        <f>LEFT(Table4[[#This Row],[Policy Type]],1)</f>
        <v>1</v>
      </c>
    </row>
    <row r="547" spans="1:3" x14ac:dyDescent="0.25">
      <c r="A547">
        <v>239204</v>
      </c>
      <c r="B547" t="s">
        <v>2</v>
      </c>
      <c r="C547" t="str">
        <f>LEFT(Table4[[#This Row],[Policy Type]],1)</f>
        <v>1</v>
      </c>
    </row>
    <row r="548" spans="1:3" x14ac:dyDescent="0.25">
      <c r="A548">
        <v>257739</v>
      </c>
      <c r="B548" t="s">
        <v>2</v>
      </c>
      <c r="C548" t="str">
        <f>LEFT(Table4[[#This Row],[Policy Type]],1)</f>
        <v>1</v>
      </c>
    </row>
    <row r="549" spans="1:3" x14ac:dyDescent="0.25">
      <c r="A549">
        <v>257740</v>
      </c>
      <c r="B549" t="s">
        <v>2</v>
      </c>
      <c r="C549" t="str">
        <f>LEFT(Table4[[#This Row],[Policy Type]],1)</f>
        <v>1</v>
      </c>
    </row>
    <row r="550" spans="1:3" x14ac:dyDescent="0.25">
      <c r="A550">
        <v>257741</v>
      </c>
      <c r="B550" t="s">
        <v>2</v>
      </c>
      <c r="C550" t="str">
        <f>LEFT(Table4[[#This Row],[Policy Type]],1)</f>
        <v>1</v>
      </c>
    </row>
    <row r="551" spans="1:3" x14ac:dyDescent="0.25">
      <c r="A551">
        <v>154744</v>
      </c>
      <c r="B551" t="s">
        <v>2</v>
      </c>
      <c r="C551" t="str">
        <f>LEFT(Table4[[#This Row],[Policy Type]],1)</f>
        <v>1</v>
      </c>
    </row>
    <row r="552" spans="1:3" x14ac:dyDescent="0.25">
      <c r="A552">
        <v>173901</v>
      </c>
      <c r="B552" t="s">
        <v>2</v>
      </c>
      <c r="C552" t="str">
        <f>LEFT(Table4[[#This Row],[Policy Type]],1)</f>
        <v>1</v>
      </c>
    </row>
    <row r="553" spans="1:3" x14ac:dyDescent="0.25">
      <c r="A553">
        <v>151989</v>
      </c>
      <c r="B553" t="s">
        <v>2</v>
      </c>
      <c r="C553" t="str">
        <f>LEFT(Table4[[#This Row],[Policy Type]],1)</f>
        <v>1</v>
      </c>
    </row>
    <row r="554" spans="1:3" x14ac:dyDescent="0.25">
      <c r="A554">
        <v>255285</v>
      </c>
      <c r="B554" t="s">
        <v>3</v>
      </c>
      <c r="C554" t="str">
        <f>LEFT(Table4[[#This Row],[Policy Type]],1)</f>
        <v>2</v>
      </c>
    </row>
    <row r="555" spans="1:3" x14ac:dyDescent="0.25">
      <c r="A555">
        <v>256087</v>
      </c>
      <c r="B555" t="s">
        <v>2</v>
      </c>
      <c r="C555" t="str">
        <f>LEFT(Table4[[#This Row],[Policy Type]],1)</f>
        <v>1</v>
      </c>
    </row>
    <row r="556" spans="1:3" x14ac:dyDescent="0.25">
      <c r="A556">
        <v>169559</v>
      </c>
      <c r="B556" t="s">
        <v>3</v>
      </c>
      <c r="C556" t="str">
        <f>LEFT(Table4[[#This Row],[Policy Type]],1)</f>
        <v>2</v>
      </c>
    </row>
    <row r="557" spans="1:3" x14ac:dyDescent="0.25">
      <c r="A557">
        <v>257748</v>
      </c>
      <c r="B557" t="s">
        <v>2</v>
      </c>
      <c r="C557" t="str">
        <f>LEFT(Table4[[#This Row],[Policy Type]],1)</f>
        <v>1</v>
      </c>
    </row>
    <row r="558" spans="1:3" x14ac:dyDescent="0.25">
      <c r="A558">
        <v>257749</v>
      </c>
      <c r="B558" t="s">
        <v>2</v>
      </c>
      <c r="C558" t="str">
        <f>LEFT(Table4[[#This Row],[Policy Type]],1)</f>
        <v>1</v>
      </c>
    </row>
    <row r="559" spans="1:3" x14ac:dyDescent="0.25">
      <c r="A559">
        <v>257750</v>
      </c>
      <c r="B559" t="s">
        <v>3</v>
      </c>
      <c r="C559" t="str">
        <f>LEFT(Table4[[#This Row],[Policy Type]],1)</f>
        <v>2</v>
      </c>
    </row>
    <row r="560" spans="1:3" x14ac:dyDescent="0.25">
      <c r="A560">
        <v>257751</v>
      </c>
      <c r="B560" t="s">
        <v>2</v>
      </c>
      <c r="C560" t="str">
        <f>LEFT(Table4[[#This Row],[Policy Type]],1)</f>
        <v>1</v>
      </c>
    </row>
    <row r="561" spans="1:3" x14ac:dyDescent="0.25">
      <c r="A561">
        <v>258223</v>
      </c>
      <c r="B561" t="s">
        <v>3</v>
      </c>
      <c r="C561" t="str">
        <f>LEFT(Table4[[#This Row],[Policy Type]],1)</f>
        <v>2</v>
      </c>
    </row>
    <row r="562" spans="1:3" x14ac:dyDescent="0.25">
      <c r="A562">
        <v>258225</v>
      </c>
      <c r="B562" t="s">
        <v>3</v>
      </c>
      <c r="C562" t="str">
        <f>LEFT(Table4[[#This Row],[Policy Type]],1)</f>
        <v>2</v>
      </c>
    </row>
    <row r="563" spans="1:3" x14ac:dyDescent="0.25">
      <c r="A563">
        <v>258226</v>
      </c>
      <c r="B563" t="s">
        <v>2</v>
      </c>
      <c r="C563" t="str">
        <f>LEFT(Table4[[#This Row],[Policy Type]],1)</f>
        <v>1</v>
      </c>
    </row>
    <row r="564" spans="1:3" x14ac:dyDescent="0.25">
      <c r="A564">
        <v>258227</v>
      </c>
      <c r="B564" t="s">
        <v>3</v>
      </c>
      <c r="C564" t="str">
        <f>LEFT(Table4[[#This Row],[Policy Type]],1)</f>
        <v>2</v>
      </c>
    </row>
    <row r="565" spans="1:3" x14ac:dyDescent="0.25">
      <c r="A565">
        <v>258232</v>
      </c>
      <c r="B565" t="s">
        <v>3</v>
      </c>
      <c r="C565" t="str">
        <f>LEFT(Table4[[#This Row],[Policy Type]],1)</f>
        <v>2</v>
      </c>
    </row>
    <row r="566" spans="1:3" x14ac:dyDescent="0.25">
      <c r="A566">
        <v>241315</v>
      </c>
      <c r="B566" t="s">
        <v>3</v>
      </c>
      <c r="C566" t="str">
        <f>LEFT(Table4[[#This Row],[Policy Type]],1)</f>
        <v>2</v>
      </c>
    </row>
    <row r="567" spans="1:3" x14ac:dyDescent="0.25">
      <c r="A567">
        <v>230146</v>
      </c>
      <c r="B567" t="s">
        <v>2</v>
      </c>
      <c r="C567" t="str">
        <f>LEFT(Table4[[#This Row],[Policy Type]],1)</f>
        <v>1</v>
      </c>
    </row>
    <row r="568" spans="1:3" x14ac:dyDescent="0.25">
      <c r="A568">
        <v>258236</v>
      </c>
      <c r="B568" t="s">
        <v>2</v>
      </c>
      <c r="C568" t="str">
        <f>LEFT(Table4[[#This Row],[Policy Type]],1)</f>
        <v>1</v>
      </c>
    </row>
    <row r="569" spans="1:3" x14ac:dyDescent="0.25">
      <c r="A569">
        <v>258243</v>
      </c>
      <c r="B569" t="s">
        <v>2</v>
      </c>
      <c r="C569" t="str">
        <f>LEFT(Table4[[#This Row],[Policy Type]],1)</f>
        <v>1</v>
      </c>
    </row>
    <row r="570" spans="1:3" x14ac:dyDescent="0.25">
      <c r="A570">
        <v>258245</v>
      </c>
      <c r="B570" t="s">
        <v>3</v>
      </c>
      <c r="C570" t="str">
        <f>LEFT(Table4[[#This Row],[Policy Type]],1)</f>
        <v>2</v>
      </c>
    </row>
    <row r="571" spans="1:3" x14ac:dyDescent="0.25">
      <c r="A571">
        <v>258249</v>
      </c>
      <c r="B571" t="s">
        <v>3</v>
      </c>
      <c r="C571" t="str">
        <f>LEFT(Table4[[#This Row],[Policy Type]],1)</f>
        <v>2</v>
      </c>
    </row>
    <row r="572" spans="1:3" x14ac:dyDescent="0.25">
      <c r="A572">
        <v>258252</v>
      </c>
      <c r="B572" t="s">
        <v>3</v>
      </c>
      <c r="C572" t="str">
        <f>LEFT(Table4[[#This Row],[Policy Type]],1)</f>
        <v>2</v>
      </c>
    </row>
    <row r="573" spans="1:3" x14ac:dyDescent="0.25">
      <c r="A573">
        <v>229261</v>
      </c>
      <c r="B573" t="s">
        <v>2</v>
      </c>
      <c r="C573" t="str">
        <f>LEFT(Table4[[#This Row],[Policy Type]],1)</f>
        <v>1</v>
      </c>
    </row>
    <row r="574" spans="1:3" x14ac:dyDescent="0.25">
      <c r="A574">
        <v>257686</v>
      </c>
      <c r="B574" t="s">
        <v>2</v>
      </c>
      <c r="C574" t="str">
        <f>LEFT(Table4[[#This Row],[Policy Type]],1)</f>
        <v>1</v>
      </c>
    </row>
    <row r="575" spans="1:3" x14ac:dyDescent="0.25">
      <c r="A575">
        <v>258261</v>
      </c>
      <c r="B575" t="s">
        <v>3</v>
      </c>
      <c r="C575" t="str">
        <f>LEFT(Table4[[#This Row],[Policy Type]],1)</f>
        <v>2</v>
      </c>
    </row>
    <row r="576" spans="1:3" x14ac:dyDescent="0.25">
      <c r="A576">
        <v>258267</v>
      </c>
      <c r="B576" t="s">
        <v>3</v>
      </c>
      <c r="C576" t="str">
        <f>LEFT(Table4[[#This Row],[Policy Type]],1)</f>
        <v>2</v>
      </c>
    </row>
    <row r="577" spans="1:3" x14ac:dyDescent="0.25">
      <c r="A577">
        <v>258281</v>
      </c>
      <c r="B577" t="s">
        <v>2</v>
      </c>
      <c r="C577" t="str">
        <f>LEFT(Table4[[#This Row],[Policy Type]],1)</f>
        <v>1</v>
      </c>
    </row>
    <row r="578" spans="1:3" x14ac:dyDescent="0.25">
      <c r="A578">
        <v>258282</v>
      </c>
      <c r="B578" t="s">
        <v>2</v>
      </c>
      <c r="C578" t="str">
        <f>LEFT(Table4[[#This Row],[Policy Type]],1)</f>
        <v>1</v>
      </c>
    </row>
    <row r="579" spans="1:3" x14ac:dyDescent="0.25">
      <c r="A579">
        <v>258284</v>
      </c>
      <c r="B579" t="s">
        <v>3</v>
      </c>
      <c r="C579" t="str">
        <f>LEFT(Table4[[#This Row],[Policy Type]],1)</f>
        <v>2</v>
      </c>
    </row>
    <row r="580" spans="1:3" x14ac:dyDescent="0.25">
      <c r="A580">
        <v>258285</v>
      </c>
      <c r="B580" t="s">
        <v>3</v>
      </c>
      <c r="C580" t="str">
        <f>LEFT(Table4[[#This Row],[Policy Type]],1)</f>
        <v>2</v>
      </c>
    </row>
    <row r="581" spans="1:3" x14ac:dyDescent="0.25">
      <c r="A581">
        <v>258288</v>
      </c>
      <c r="B581" t="s">
        <v>2</v>
      </c>
      <c r="C581" t="str">
        <f>LEFT(Table4[[#This Row],[Policy Type]],1)</f>
        <v>1</v>
      </c>
    </row>
    <row r="582" spans="1:3" x14ac:dyDescent="0.25">
      <c r="A582">
        <v>258293</v>
      </c>
      <c r="B582" t="s">
        <v>2</v>
      </c>
      <c r="C582" t="str">
        <f>LEFT(Table4[[#This Row],[Policy Type]],1)</f>
        <v>1</v>
      </c>
    </row>
    <row r="583" spans="1:3" x14ac:dyDescent="0.25">
      <c r="A583">
        <v>258289</v>
      </c>
      <c r="B583" t="s">
        <v>2</v>
      </c>
      <c r="C583" t="str">
        <f>LEFT(Table4[[#This Row],[Policy Type]],1)</f>
        <v>1</v>
      </c>
    </row>
    <row r="584" spans="1:3" x14ac:dyDescent="0.25">
      <c r="A584">
        <v>258291</v>
      </c>
      <c r="B584" t="s">
        <v>2</v>
      </c>
      <c r="C584" t="str">
        <f>LEFT(Table4[[#This Row],[Policy Type]],1)</f>
        <v>1</v>
      </c>
    </row>
    <row r="585" spans="1:3" x14ac:dyDescent="0.25">
      <c r="A585">
        <v>257766</v>
      </c>
      <c r="B585" t="s">
        <v>3</v>
      </c>
      <c r="C585" t="str">
        <f>LEFT(Table4[[#This Row],[Policy Type]],1)</f>
        <v>2</v>
      </c>
    </row>
    <row r="586" spans="1:3" x14ac:dyDescent="0.25">
      <c r="A586">
        <v>257331</v>
      </c>
      <c r="B586" t="s">
        <v>2</v>
      </c>
      <c r="C586" t="str">
        <f>LEFT(Table4[[#This Row],[Policy Type]],1)</f>
        <v>1</v>
      </c>
    </row>
    <row r="587" spans="1:3" x14ac:dyDescent="0.25">
      <c r="A587">
        <v>257768</v>
      </c>
      <c r="B587" t="s">
        <v>3</v>
      </c>
      <c r="C587" t="str">
        <f>LEFT(Table4[[#This Row],[Policy Type]],1)</f>
        <v>2</v>
      </c>
    </row>
    <row r="588" spans="1:3" x14ac:dyDescent="0.25">
      <c r="A588">
        <v>257770</v>
      </c>
      <c r="B588" t="s">
        <v>2</v>
      </c>
      <c r="C588" t="str">
        <f>LEFT(Table4[[#This Row],[Policy Type]],1)</f>
        <v>1</v>
      </c>
    </row>
    <row r="589" spans="1:3" x14ac:dyDescent="0.25">
      <c r="A589">
        <v>257775</v>
      </c>
      <c r="B589" t="s">
        <v>2</v>
      </c>
      <c r="C589" t="str">
        <f>LEFT(Table4[[#This Row],[Policy Type]],1)</f>
        <v>1</v>
      </c>
    </row>
    <row r="590" spans="1:3" x14ac:dyDescent="0.25">
      <c r="A590">
        <v>257783</v>
      </c>
      <c r="B590" t="s">
        <v>3</v>
      </c>
      <c r="C590" t="str">
        <f>LEFT(Table4[[#This Row],[Policy Type]],1)</f>
        <v>2</v>
      </c>
    </row>
    <row r="591" spans="1:3" x14ac:dyDescent="0.25">
      <c r="A591">
        <v>249662</v>
      </c>
      <c r="B591" t="s">
        <v>2</v>
      </c>
      <c r="C591" t="str">
        <f>LEFT(Table4[[#This Row],[Policy Type]],1)</f>
        <v>1</v>
      </c>
    </row>
    <row r="592" spans="1:3" x14ac:dyDescent="0.25">
      <c r="A592">
        <v>164262</v>
      </c>
      <c r="B592" t="s">
        <v>3</v>
      </c>
      <c r="C592" t="str">
        <f>LEFT(Table4[[#This Row],[Policy Type]],1)</f>
        <v>2</v>
      </c>
    </row>
    <row r="593" spans="1:3" x14ac:dyDescent="0.25">
      <c r="A593">
        <v>257797</v>
      </c>
      <c r="B593" t="s">
        <v>2</v>
      </c>
      <c r="C593" t="str">
        <f>LEFT(Table4[[#This Row],[Policy Type]],1)</f>
        <v>1</v>
      </c>
    </row>
    <row r="594" spans="1:3" x14ac:dyDescent="0.25">
      <c r="A594">
        <v>257800</v>
      </c>
      <c r="B594" t="s">
        <v>3</v>
      </c>
      <c r="C594" t="str">
        <f>LEFT(Table4[[#This Row],[Policy Type]],1)</f>
        <v>2</v>
      </c>
    </row>
    <row r="595" spans="1:3" x14ac:dyDescent="0.25">
      <c r="A595">
        <v>150558</v>
      </c>
      <c r="B595" t="s">
        <v>2</v>
      </c>
      <c r="C595" t="str">
        <f>LEFT(Table4[[#This Row],[Policy Type]],1)</f>
        <v>1</v>
      </c>
    </row>
    <row r="596" spans="1:3" x14ac:dyDescent="0.25">
      <c r="A596">
        <v>257814</v>
      </c>
      <c r="B596" t="s">
        <v>3</v>
      </c>
      <c r="C596" t="str">
        <f>LEFT(Table4[[#This Row],[Policy Type]],1)</f>
        <v>2</v>
      </c>
    </row>
    <row r="597" spans="1:3" x14ac:dyDescent="0.25">
      <c r="A597">
        <v>257815</v>
      </c>
      <c r="B597" t="s">
        <v>2</v>
      </c>
      <c r="C597" t="str">
        <f>LEFT(Table4[[#This Row],[Policy Type]],1)</f>
        <v>1</v>
      </c>
    </row>
    <row r="598" spans="1:3" x14ac:dyDescent="0.25">
      <c r="A598">
        <v>154163</v>
      </c>
      <c r="B598" t="s">
        <v>2</v>
      </c>
      <c r="C598" t="str">
        <f>LEFT(Table4[[#This Row],[Policy Type]],1)</f>
        <v>1</v>
      </c>
    </row>
    <row r="599" spans="1:3" x14ac:dyDescent="0.25">
      <c r="A599">
        <v>231947</v>
      </c>
      <c r="B599" t="s">
        <v>2</v>
      </c>
      <c r="C599" t="str">
        <f>LEFT(Table4[[#This Row],[Policy Type]],1)</f>
        <v>1</v>
      </c>
    </row>
    <row r="600" spans="1:3" x14ac:dyDescent="0.25">
      <c r="A600">
        <v>183098</v>
      </c>
      <c r="B600" t="s">
        <v>3</v>
      </c>
      <c r="C600" t="str">
        <f>LEFT(Table4[[#This Row],[Policy Type]],1)</f>
        <v>2</v>
      </c>
    </row>
    <row r="601" spans="1:3" x14ac:dyDescent="0.25">
      <c r="A601">
        <v>202586</v>
      </c>
      <c r="B601" t="s">
        <v>3</v>
      </c>
      <c r="C601" t="str">
        <f>LEFT(Table4[[#This Row],[Policy Type]],1)</f>
        <v>2</v>
      </c>
    </row>
    <row r="602" spans="1:3" x14ac:dyDescent="0.25">
      <c r="A602">
        <v>257824</v>
      </c>
      <c r="B602" t="s">
        <v>3</v>
      </c>
      <c r="C602" t="str">
        <f>LEFT(Table4[[#This Row],[Policy Type]],1)</f>
        <v>2</v>
      </c>
    </row>
    <row r="603" spans="1:3" x14ac:dyDescent="0.25">
      <c r="A603">
        <v>171756</v>
      </c>
      <c r="B603" t="s">
        <v>2</v>
      </c>
      <c r="C603" t="str">
        <f>LEFT(Table4[[#This Row],[Policy Type]],1)</f>
        <v>1</v>
      </c>
    </row>
    <row r="604" spans="1:3" x14ac:dyDescent="0.25">
      <c r="A604">
        <v>202745</v>
      </c>
      <c r="B604" t="s">
        <v>2</v>
      </c>
      <c r="C604" t="str">
        <f>LEFT(Table4[[#This Row],[Policy Type]],1)</f>
        <v>1</v>
      </c>
    </row>
    <row r="605" spans="1:3" x14ac:dyDescent="0.25">
      <c r="A605">
        <v>241685</v>
      </c>
      <c r="B605" t="s">
        <v>2</v>
      </c>
      <c r="C605" t="str">
        <f>LEFT(Table4[[#This Row],[Policy Type]],1)</f>
        <v>1</v>
      </c>
    </row>
    <row r="606" spans="1:3" x14ac:dyDescent="0.25">
      <c r="A606">
        <v>257843</v>
      </c>
      <c r="B606" t="s">
        <v>3</v>
      </c>
      <c r="C606" t="str">
        <f>LEFT(Table4[[#This Row],[Policy Type]],1)</f>
        <v>2</v>
      </c>
    </row>
    <row r="607" spans="1:3" x14ac:dyDescent="0.25">
      <c r="A607">
        <v>257844</v>
      </c>
      <c r="B607" t="s">
        <v>3</v>
      </c>
      <c r="C607" t="str">
        <f>LEFT(Table4[[#This Row],[Policy Type]],1)</f>
        <v>2</v>
      </c>
    </row>
    <row r="608" spans="1:3" x14ac:dyDescent="0.25">
      <c r="A608">
        <v>257847</v>
      </c>
      <c r="B608" t="s">
        <v>2</v>
      </c>
      <c r="C608" t="str">
        <f>LEFT(Table4[[#This Row],[Policy Type]],1)</f>
        <v>1</v>
      </c>
    </row>
    <row r="609" spans="1:3" x14ac:dyDescent="0.25">
      <c r="A609">
        <v>257845</v>
      </c>
      <c r="B609" t="s">
        <v>2</v>
      </c>
      <c r="C609" t="str">
        <f>LEFT(Table4[[#This Row],[Policy Type]],1)</f>
        <v>1</v>
      </c>
    </row>
    <row r="610" spans="1:3" x14ac:dyDescent="0.25">
      <c r="A610">
        <v>250910</v>
      </c>
      <c r="B610" t="s">
        <v>2</v>
      </c>
      <c r="C610" t="str">
        <f>LEFT(Table4[[#This Row],[Policy Type]],1)</f>
        <v>1</v>
      </c>
    </row>
    <row r="611" spans="1:3" x14ac:dyDescent="0.25">
      <c r="A611">
        <v>192631</v>
      </c>
      <c r="B611" t="s">
        <v>3</v>
      </c>
      <c r="C611" t="str">
        <f>LEFT(Table4[[#This Row],[Policy Type]],1)</f>
        <v>2</v>
      </c>
    </row>
    <row r="612" spans="1:3" x14ac:dyDescent="0.25">
      <c r="A612">
        <v>243614</v>
      </c>
      <c r="B612" t="s">
        <v>3</v>
      </c>
      <c r="C612" t="str">
        <f>LEFT(Table4[[#This Row],[Policy Type]],1)</f>
        <v>2</v>
      </c>
    </row>
    <row r="613" spans="1:3" x14ac:dyDescent="0.25">
      <c r="A613">
        <v>238150</v>
      </c>
      <c r="B613" t="s">
        <v>2</v>
      </c>
      <c r="C613" t="str">
        <f>LEFT(Table4[[#This Row],[Policy Type]],1)</f>
        <v>1</v>
      </c>
    </row>
    <row r="614" spans="1:3" x14ac:dyDescent="0.25">
      <c r="A614">
        <v>165512</v>
      </c>
      <c r="B614" t="s">
        <v>2</v>
      </c>
      <c r="C614" t="str">
        <f>LEFT(Table4[[#This Row],[Policy Type]],1)</f>
        <v>1</v>
      </c>
    </row>
    <row r="615" spans="1:3" x14ac:dyDescent="0.25">
      <c r="A615">
        <v>257019</v>
      </c>
      <c r="B615" t="s">
        <v>2</v>
      </c>
      <c r="C615" t="str">
        <f>LEFT(Table4[[#This Row],[Policy Type]],1)</f>
        <v>1</v>
      </c>
    </row>
    <row r="616" spans="1:3" x14ac:dyDescent="0.25">
      <c r="A616">
        <v>257499</v>
      </c>
      <c r="B616" t="s">
        <v>3</v>
      </c>
      <c r="C616" t="str">
        <f>LEFT(Table4[[#This Row],[Policy Type]],1)</f>
        <v>2</v>
      </c>
    </row>
    <row r="617" spans="1:3" x14ac:dyDescent="0.25">
      <c r="A617">
        <v>257826</v>
      </c>
      <c r="B617" t="s">
        <v>3</v>
      </c>
      <c r="C617" t="str">
        <f>LEFT(Table4[[#This Row],[Policy Type]],1)</f>
        <v>2</v>
      </c>
    </row>
    <row r="618" spans="1:3" x14ac:dyDescent="0.25">
      <c r="A618">
        <v>257831</v>
      </c>
      <c r="B618" t="s">
        <v>2</v>
      </c>
      <c r="C618" t="str">
        <f>LEFT(Table4[[#This Row],[Policy Type]],1)</f>
        <v>1</v>
      </c>
    </row>
    <row r="619" spans="1:3" x14ac:dyDescent="0.25">
      <c r="A619">
        <v>216883</v>
      </c>
      <c r="B619" t="s">
        <v>3</v>
      </c>
      <c r="C619" t="str">
        <f>LEFT(Table4[[#This Row],[Policy Type]],1)</f>
        <v>2</v>
      </c>
    </row>
    <row r="620" spans="1:3" x14ac:dyDescent="0.25">
      <c r="A620">
        <v>257853</v>
      </c>
      <c r="B620" t="s">
        <v>2</v>
      </c>
      <c r="C620" t="str">
        <f>LEFT(Table4[[#This Row],[Policy Type]],1)</f>
        <v>1</v>
      </c>
    </row>
    <row r="621" spans="1:3" x14ac:dyDescent="0.25">
      <c r="A621">
        <v>211744</v>
      </c>
      <c r="B621" t="s">
        <v>2</v>
      </c>
      <c r="C621" t="str">
        <f>LEFT(Table4[[#This Row],[Policy Type]],1)</f>
        <v>1</v>
      </c>
    </row>
    <row r="622" spans="1:3" x14ac:dyDescent="0.25">
      <c r="A622">
        <v>172902</v>
      </c>
      <c r="B622" t="s">
        <v>2</v>
      </c>
      <c r="C622" t="str">
        <f>LEFT(Table4[[#This Row],[Policy Type]],1)</f>
        <v>1</v>
      </c>
    </row>
    <row r="623" spans="1:3" x14ac:dyDescent="0.25">
      <c r="A623">
        <v>257573</v>
      </c>
      <c r="B623" t="s">
        <v>2</v>
      </c>
      <c r="C623" t="str">
        <f>LEFT(Table4[[#This Row],[Policy Type]],1)</f>
        <v>1</v>
      </c>
    </row>
    <row r="624" spans="1:3" x14ac:dyDescent="0.25">
      <c r="A624">
        <v>245036</v>
      </c>
      <c r="B624" t="s">
        <v>2</v>
      </c>
      <c r="C624" t="str">
        <f>LEFT(Table4[[#This Row],[Policy Type]],1)</f>
        <v>1</v>
      </c>
    </row>
    <row r="625" spans="1:3" x14ac:dyDescent="0.25">
      <c r="A625">
        <v>249812</v>
      </c>
      <c r="B625" t="s">
        <v>3</v>
      </c>
      <c r="C625" t="str">
        <f>LEFT(Table4[[#This Row],[Policy Type]],1)</f>
        <v>2</v>
      </c>
    </row>
    <row r="626" spans="1:3" x14ac:dyDescent="0.25">
      <c r="A626">
        <v>257861</v>
      </c>
      <c r="B626" t="s">
        <v>3</v>
      </c>
      <c r="C626" t="str">
        <f>LEFT(Table4[[#This Row],[Policy Type]],1)</f>
        <v>2</v>
      </c>
    </row>
    <row r="627" spans="1:3" x14ac:dyDescent="0.25">
      <c r="A627">
        <v>257864</v>
      </c>
      <c r="B627" t="s">
        <v>3</v>
      </c>
      <c r="C627" t="str">
        <f>LEFT(Table4[[#This Row],[Policy Type]],1)</f>
        <v>2</v>
      </c>
    </row>
    <row r="628" spans="1:3" x14ac:dyDescent="0.25">
      <c r="A628">
        <v>257869</v>
      </c>
      <c r="B628" t="s">
        <v>2</v>
      </c>
      <c r="C628" t="str">
        <f>LEFT(Table4[[#This Row],[Policy Type]],1)</f>
        <v>1</v>
      </c>
    </row>
    <row r="629" spans="1:3" x14ac:dyDescent="0.25">
      <c r="A629">
        <v>257878</v>
      </c>
      <c r="B629" t="s">
        <v>3</v>
      </c>
      <c r="C629" t="str">
        <f>LEFT(Table4[[#This Row],[Policy Type]],1)</f>
        <v>2</v>
      </c>
    </row>
    <row r="630" spans="1:3" x14ac:dyDescent="0.25">
      <c r="A630">
        <v>257882</v>
      </c>
      <c r="B630" t="s">
        <v>3</v>
      </c>
      <c r="C630" t="str">
        <f>LEFT(Table4[[#This Row],[Policy Type]],1)</f>
        <v>2</v>
      </c>
    </row>
    <row r="631" spans="1:3" x14ac:dyDescent="0.25">
      <c r="A631">
        <v>257888</v>
      </c>
      <c r="B631" t="s">
        <v>3</v>
      </c>
      <c r="C631" t="str">
        <f>LEFT(Table4[[#This Row],[Policy Type]],1)</f>
        <v>2</v>
      </c>
    </row>
    <row r="632" spans="1:3" x14ac:dyDescent="0.25">
      <c r="A632">
        <v>257897</v>
      </c>
      <c r="B632" t="s">
        <v>2</v>
      </c>
      <c r="C632" t="str">
        <f>LEFT(Table4[[#This Row],[Policy Type]],1)</f>
        <v>1</v>
      </c>
    </row>
    <row r="633" spans="1:3" x14ac:dyDescent="0.25">
      <c r="A633">
        <v>257898</v>
      </c>
      <c r="B633" t="s">
        <v>3</v>
      </c>
      <c r="C633" t="str">
        <f>LEFT(Table4[[#This Row],[Policy Type]],1)</f>
        <v>2</v>
      </c>
    </row>
    <row r="634" spans="1:3" x14ac:dyDescent="0.25">
      <c r="A634">
        <v>257900</v>
      </c>
      <c r="B634" t="s">
        <v>3</v>
      </c>
      <c r="C634" t="str">
        <f>LEFT(Table4[[#This Row],[Policy Type]],1)</f>
        <v>2</v>
      </c>
    </row>
    <row r="635" spans="1:3" x14ac:dyDescent="0.25">
      <c r="A635">
        <v>257921</v>
      </c>
      <c r="B635" t="s">
        <v>2</v>
      </c>
      <c r="C635" t="str">
        <f>LEFT(Table4[[#This Row],[Policy Type]],1)</f>
        <v>1</v>
      </c>
    </row>
    <row r="636" spans="1:3" x14ac:dyDescent="0.25">
      <c r="A636">
        <v>193506</v>
      </c>
      <c r="B636" t="s">
        <v>2</v>
      </c>
      <c r="C636" t="str">
        <f>LEFT(Table4[[#This Row],[Policy Type]],1)</f>
        <v>1</v>
      </c>
    </row>
    <row r="637" spans="1:3" x14ac:dyDescent="0.25">
      <c r="A637">
        <v>254221</v>
      </c>
      <c r="B637" t="s">
        <v>3</v>
      </c>
      <c r="C637" t="str">
        <f>LEFT(Table4[[#This Row],[Policy Type]],1)</f>
        <v>2</v>
      </c>
    </row>
    <row r="638" spans="1:3" x14ac:dyDescent="0.25">
      <c r="A638">
        <v>244632</v>
      </c>
      <c r="B638" t="s">
        <v>2</v>
      </c>
      <c r="C638" t="str">
        <f>LEFT(Table4[[#This Row],[Policy Type]],1)</f>
        <v>1</v>
      </c>
    </row>
    <row r="639" spans="1:3" x14ac:dyDescent="0.25">
      <c r="A639">
        <v>171089</v>
      </c>
      <c r="B639" t="s">
        <v>2</v>
      </c>
      <c r="C639" t="str">
        <f>LEFT(Table4[[#This Row],[Policy Type]],1)</f>
        <v>1</v>
      </c>
    </row>
    <row r="640" spans="1:3" x14ac:dyDescent="0.25">
      <c r="A640">
        <v>257924</v>
      </c>
      <c r="B640" t="s">
        <v>2</v>
      </c>
      <c r="C640" t="str">
        <f>LEFT(Table4[[#This Row],[Policy Type]],1)</f>
        <v>1</v>
      </c>
    </row>
    <row r="641" spans="1:3" x14ac:dyDescent="0.25">
      <c r="A641">
        <v>257926</v>
      </c>
      <c r="B641" t="s">
        <v>2</v>
      </c>
      <c r="C641" t="str">
        <f>LEFT(Table4[[#This Row],[Policy Type]],1)</f>
        <v>1</v>
      </c>
    </row>
    <row r="642" spans="1:3" x14ac:dyDescent="0.25">
      <c r="A642">
        <v>257935</v>
      </c>
      <c r="B642" t="s">
        <v>3</v>
      </c>
      <c r="C642" t="str">
        <f>LEFT(Table4[[#This Row],[Policy Type]],1)</f>
        <v>2</v>
      </c>
    </row>
    <row r="643" spans="1:3" x14ac:dyDescent="0.25">
      <c r="A643">
        <v>257942</v>
      </c>
      <c r="B643" t="s">
        <v>3</v>
      </c>
      <c r="C643" t="str">
        <f>LEFT(Table4[[#This Row],[Policy Type]],1)</f>
        <v>2</v>
      </c>
    </row>
    <row r="644" spans="1:3" x14ac:dyDescent="0.25">
      <c r="A644">
        <v>257937</v>
      </c>
      <c r="B644" t="s">
        <v>2</v>
      </c>
      <c r="C644" t="str">
        <f>LEFT(Table4[[#This Row],[Policy Type]],1)</f>
        <v>1</v>
      </c>
    </row>
    <row r="645" spans="1:3" x14ac:dyDescent="0.25">
      <c r="A645">
        <v>257941</v>
      </c>
      <c r="B645" t="s">
        <v>2</v>
      </c>
      <c r="C645" t="str">
        <f>LEFT(Table4[[#This Row],[Policy Type]],1)</f>
        <v>1</v>
      </c>
    </row>
    <row r="646" spans="1:3" x14ac:dyDescent="0.25">
      <c r="A646">
        <v>257939</v>
      </c>
      <c r="B646" t="s">
        <v>2</v>
      </c>
      <c r="C646" t="str">
        <f>LEFT(Table4[[#This Row],[Policy Type]],1)</f>
        <v>1</v>
      </c>
    </row>
    <row r="647" spans="1:3" x14ac:dyDescent="0.25">
      <c r="A647">
        <v>257944</v>
      </c>
      <c r="B647" t="s">
        <v>3</v>
      </c>
      <c r="C647" t="str">
        <f>LEFT(Table4[[#This Row],[Policy Type]],1)</f>
        <v>2</v>
      </c>
    </row>
    <row r="648" spans="1:3" x14ac:dyDescent="0.25">
      <c r="A648">
        <v>257946</v>
      </c>
      <c r="B648" t="s">
        <v>3</v>
      </c>
      <c r="C648" t="str">
        <f>LEFT(Table4[[#This Row],[Policy Type]],1)</f>
        <v>2</v>
      </c>
    </row>
    <row r="649" spans="1:3" x14ac:dyDescent="0.25">
      <c r="A649">
        <v>249665</v>
      </c>
      <c r="B649" t="s">
        <v>3</v>
      </c>
      <c r="C649" t="str">
        <f>LEFT(Table4[[#This Row],[Policy Type]],1)</f>
        <v>2</v>
      </c>
    </row>
    <row r="650" spans="1:3" x14ac:dyDescent="0.25">
      <c r="A650">
        <v>257950</v>
      </c>
      <c r="B650" t="s">
        <v>3</v>
      </c>
      <c r="C650" t="str">
        <f>LEFT(Table4[[#This Row],[Policy Type]],1)</f>
        <v>2</v>
      </c>
    </row>
    <row r="651" spans="1:3" x14ac:dyDescent="0.25">
      <c r="A651">
        <v>257951</v>
      </c>
      <c r="B651" t="s">
        <v>3</v>
      </c>
      <c r="C651" t="str">
        <f>LEFT(Table4[[#This Row],[Policy Type]],1)</f>
        <v>2</v>
      </c>
    </row>
    <row r="652" spans="1:3" x14ac:dyDescent="0.25">
      <c r="A652">
        <v>257954</v>
      </c>
      <c r="B652" t="s">
        <v>2</v>
      </c>
      <c r="C652" t="str">
        <f>LEFT(Table4[[#This Row],[Policy Type]],1)</f>
        <v>1</v>
      </c>
    </row>
    <row r="653" spans="1:3" x14ac:dyDescent="0.25">
      <c r="A653">
        <v>257955</v>
      </c>
      <c r="B653" t="s">
        <v>2</v>
      </c>
      <c r="C653" t="str">
        <f>LEFT(Table4[[#This Row],[Policy Type]],1)</f>
        <v>1</v>
      </c>
    </row>
    <row r="654" spans="1:3" x14ac:dyDescent="0.25">
      <c r="A654">
        <v>257964</v>
      </c>
      <c r="B654" t="s">
        <v>3</v>
      </c>
      <c r="C654" t="str">
        <f>LEFT(Table4[[#This Row],[Policy Type]],1)</f>
        <v>2</v>
      </c>
    </row>
    <row r="655" spans="1:3" x14ac:dyDescent="0.25">
      <c r="A655">
        <v>257958</v>
      </c>
      <c r="B655" t="s">
        <v>3</v>
      </c>
      <c r="C655" t="str">
        <f>LEFT(Table4[[#This Row],[Policy Type]],1)</f>
        <v>2</v>
      </c>
    </row>
    <row r="656" spans="1:3" x14ac:dyDescent="0.25">
      <c r="A656">
        <v>257967</v>
      </c>
      <c r="B656" t="s">
        <v>2</v>
      </c>
      <c r="C656" t="str">
        <f>LEFT(Table4[[#This Row],[Policy Type]],1)</f>
        <v>1</v>
      </c>
    </row>
    <row r="657" spans="1:3" x14ac:dyDescent="0.25">
      <c r="A657">
        <v>257961</v>
      </c>
      <c r="B657" t="s">
        <v>3</v>
      </c>
      <c r="C657" t="str">
        <f>LEFT(Table4[[#This Row],[Policy Type]],1)</f>
        <v>2</v>
      </c>
    </row>
    <row r="658" spans="1:3" x14ac:dyDescent="0.25">
      <c r="A658">
        <v>257968</v>
      </c>
      <c r="B658" t="s">
        <v>2</v>
      </c>
      <c r="C658" t="str">
        <f>LEFT(Table4[[#This Row],[Policy Type]],1)</f>
        <v>1</v>
      </c>
    </row>
    <row r="659" spans="1:3" x14ac:dyDescent="0.25">
      <c r="A659">
        <v>257971</v>
      </c>
      <c r="B659" t="s">
        <v>3</v>
      </c>
      <c r="C659" t="str">
        <f>LEFT(Table4[[#This Row],[Policy Type]],1)</f>
        <v>2</v>
      </c>
    </row>
    <row r="660" spans="1:3" x14ac:dyDescent="0.25">
      <c r="A660">
        <v>257974</v>
      </c>
      <c r="B660" t="s">
        <v>2</v>
      </c>
      <c r="C660" t="str">
        <f>LEFT(Table4[[#This Row],[Policy Type]],1)</f>
        <v>1</v>
      </c>
    </row>
    <row r="661" spans="1:3" x14ac:dyDescent="0.25">
      <c r="A661">
        <v>188725</v>
      </c>
      <c r="B661" t="s">
        <v>2</v>
      </c>
      <c r="C661" t="str">
        <f>LEFT(Table4[[#This Row],[Policy Type]],1)</f>
        <v>1</v>
      </c>
    </row>
    <row r="662" spans="1:3" x14ac:dyDescent="0.25">
      <c r="A662">
        <v>257980</v>
      </c>
      <c r="B662" t="s">
        <v>3</v>
      </c>
      <c r="C662" t="str">
        <f>LEFT(Table4[[#This Row],[Policy Type]],1)</f>
        <v>2</v>
      </c>
    </row>
    <row r="663" spans="1:3" x14ac:dyDescent="0.25">
      <c r="A663">
        <v>248890</v>
      </c>
      <c r="B663" t="s">
        <v>3</v>
      </c>
      <c r="C663" t="str">
        <f>LEFT(Table4[[#This Row],[Policy Type]],1)</f>
        <v>2</v>
      </c>
    </row>
    <row r="664" spans="1:3" x14ac:dyDescent="0.25">
      <c r="A664">
        <v>257992</v>
      </c>
      <c r="B664" t="s">
        <v>3</v>
      </c>
      <c r="C664" t="str">
        <f>LEFT(Table4[[#This Row],[Policy Type]],1)</f>
        <v>2</v>
      </c>
    </row>
    <row r="665" spans="1:3" x14ac:dyDescent="0.25">
      <c r="A665">
        <v>172724</v>
      </c>
      <c r="B665" t="s">
        <v>2</v>
      </c>
      <c r="C665" t="str">
        <f>LEFT(Table4[[#This Row],[Policy Type]],1)</f>
        <v>1</v>
      </c>
    </row>
    <row r="666" spans="1:3" x14ac:dyDescent="0.25">
      <c r="A666">
        <v>191631</v>
      </c>
      <c r="B666" t="s">
        <v>2</v>
      </c>
      <c r="C666" t="str">
        <f>LEFT(Table4[[#This Row],[Policy Type]],1)</f>
        <v>1</v>
      </c>
    </row>
    <row r="667" spans="1:3" x14ac:dyDescent="0.25">
      <c r="A667">
        <v>175315</v>
      </c>
      <c r="B667" t="s">
        <v>2</v>
      </c>
      <c r="C667" t="str">
        <f>LEFT(Table4[[#This Row],[Policy Type]],1)</f>
        <v>1</v>
      </c>
    </row>
    <row r="668" spans="1:3" x14ac:dyDescent="0.25">
      <c r="A668">
        <v>242994</v>
      </c>
      <c r="B668" t="s">
        <v>2</v>
      </c>
      <c r="C668" t="str">
        <f>LEFT(Table4[[#This Row],[Policy Type]],1)</f>
        <v>1</v>
      </c>
    </row>
    <row r="669" spans="1:3" x14ac:dyDescent="0.25">
      <c r="A669">
        <v>254674</v>
      </c>
      <c r="B669" t="s">
        <v>3</v>
      </c>
      <c r="C669" t="str">
        <f>LEFT(Table4[[#This Row],[Policy Type]],1)</f>
        <v>2</v>
      </c>
    </row>
    <row r="670" spans="1:3" x14ac:dyDescent="0.25">
      <c r="A670">
        <v>187228</v>
      </c>
      <c r="B670" t="s">
        <v>2</v>
      </c>
      <c r="C670" t="str">
        <f>LEFT(Table4[[#This Row],[Policy Type]],1)</f>
        <v>1</v>
      </c>
    </row>
    <row r="671" spans="1:3" x14ac:dyDescent="0.25">
      <c r="A671">
        <v>257997</v>
      </c>
      <c r="B671" t="s">
        <v>2</v>
      </c>
      <c r="C671" t="str">
        <f>LEFT(Table4[[#This Row],[Policy Type]],1)</f>
        <v>1</v>
      </c>
    </row>
    <row r="672" spans="1:3" x14ac:dyDescent="0.25">
      <c r="A672">
        <v>257999</v>
      </c>
      <c r="B672" t="s">
        <v>3</v>
      </c>
      <c r="C672" t="str">
        <f>LEFT(Table4[[#This Row],[Policy Type]],1)</f>
        <v>2</v>
      </c>
    </row>
    <row r="673" spans="1:3" x14ac:dyDescent="0.25">
      <c r="A673">
        <v>171013</v>
      </c>
      <c r="B673" t="s">
        <v>2</v>
      </c>
      <c r="C673" t="str">
        <f>LEFT(Table4[[#This Row],[Policy Type]],1)</f>
        <v>1</v>
      </c>
    </row>
    <row r="674" spans="1:3" x14ac:dyDescent="0.25">
      <c r="A674">
        <v>233682</v>
      </c>
      <c r="B674" t="s">
        <v>3</v>
      </c>
      <c r="C674" t="str">
        <f>LEFT(Table4[[#This Row],[Policy Type]],1)</f>
        <v>2</v>
      </c>
    </row>
    <row r="675" spans="1:3" x14ac:dyDescent="0.25">
      <c r="A675">
        <v>258009</v>
      </c>
      <c r="B675" t="s">
        <v>3</v>
      </c>
      <c r="C675" t="str">
        <f>LEFT(Table4[[#This Row],[Policy Type]],1)</f>
        <v>2</v>
      </c>
    </row>
    <row r="676" spans="1:3" x14ac:dyDescent="0.25">
      <c r="A676">
        <v>258012</v>
      </c>
      <c r="B676" t="s">
        <v>2</v>
      </c>
      <c r="C676" t="str">
        <f>LEFT(Table4[[#This Row],[Policy Type]],1)</f>
        <v>1</v>
      </c>
    </row>
    <row r="677" spans="1:3" x14ac:dyDescent="0.25">
      <c r="A677">
        <v>257698</v>
      </c>
      <c r="B677" t="s">
        <v>3</v>
      </c>
      <c r="C677" t="str">
        <f>LEFT(Table4[[#This Row],[Policy Type]],1)</f>
        <v>2</v>
      </c>
    </row>
    <row r="678" spans="1:3" x14ac:dyDescent="0.25">
      <c r="A678">
        <v>258016</v>
      </c>
      <c r="B678" t="s">
        <v>3</v>
      </c>
      <c r="C678" t="str">
        <f>LEFT(Table4[[#This Row],[Policy Type]],1)</f>
        <v>2</v>
      </c>
    </row>
    <row r="679" spans="1:3" x14ac:dyDescent="0.25">
      <c r="A679">
        <v>258018</v>
      </c>
      <c r="B679" t="s">
        <v>3</v>
      </c>
      <c r="C679" t="str">
        <f>LEFT(Table4[[#This Row],[Policy Type]],1)</f>
        <v>2</v>
      </c>
    </row>
    <row r="680" spans="1:3" x14ac:dyDescent="0.25">
      <c r="A680">
        <v>258043</v>
      </c>
      <c r="B680" t="s">
        <v>2</v>
      </c>
      <c r="C680" t="str">
        <f>LEFT(Table4[[#This Row],[Policy Type]],1)</f>
        <v>1</v>
      </c>
    </row>
    <row r="681" spans="1:3" x14ac:dyDescent="0.25">
      <c r="A681">
        <v>258021</v>
      </c>
      <c r="B681" t="s">
        <v>2</v>
      </c>
      <c r="C681" t="str">
        <f>LEFT(Table4[[#This Row],[Policy Type]],1)</f>
        <v>1</v>
      </c>
    </row>
    <row r="682" spans="1:3" x14ac:dyDescent="0.25">
      <c r="A682">
        <v>258022</v>
      </c>
      <c r="B682" t="s">
        <v>3</v>
      </c>
      <c r="C682" t="str">
        <f>LEFT(Table4[[#This Row],[Policy Type]],1)</f>
        <v>2</v>
      </c>
    </row>
    <row r="683" spans="1:3" x14ac:dyDescent="0.25">
      <c r="A683">
        <v>258026</v>
      </c>
      <c r="B683" t="s">
        <v>2</v>
      </c>
      <c r="C683" t="str">
        <f>LEFT(Table4[[#This Row],[Policy Type]],1)</f>
        <v>1</v>
      </c>
    </row>
    <row r="684" spans="1:3" x14ac:dyDescent="0.25">
      <c r="A684">
        <v>258023</v>
      </c>
      <c r="B684" t="s">
        <v>2</v>
      </c>
      <c r="C684" t="str">
        <f>LEFT(Table4[[#This Row],[Policy Type]],1)</f>
        <v>1</v>
      </c>
    </row>
    <row r="685" spans="1:3" x14ac:dyDescent="0.25">
      <c r="A685">
        <v>258028</v>
      </c>
      <c r="B685" t="s">
        <v>3</v>
      </c>
      <c r="C685" t="str">
        <f>LEFT(Table4[[#This Row],[Policy Type]],1)</f>
        <v>2</v>
      </c>
    </row>
    <row r="686" spans="1:3" x14ac:dyDescent="0.25">
      <c r="A686">
        <v>258035</v>
      </c>
      <c r="B686" t="s">
        <v>3</v>
      </c>
      <c r="C686" t="str">
        <f>LEFT(Table4[[#This Row],[Policy Type]],1)</f>
        <v>2</v>
      </c>
    </row>
    <row r="687" spans="1:3" x14ac:dyDescent="0.25">
      <c r="A687">
        <v>258057</v>
      </c>
      <c r="B687" t="s">
        <v>2</v>
      </c>
      <c r="C687" t="str">
        <f>LEFT(Table4[[#This Row],[Policy Type]],1)</f>
        <v>1</v>
      </c>
    </row>
    <row r="688" spans="1:3" x14ac:dyDescent="0.25">
      <c r="A688">
        <v>258060</v>
      </c>
      <c r="B688" t="s">
        <v>2</v>
      </c>
      <c r="C688" t="str">
        <f>LEFT(Table4[[#This Row],[Policy Type]],1)</f>
        <v>1</v>
      </c>
    </row>
    <row r="689" spans="1:3" x14ac:dyDescent="0.25">
      <c r="A689">
        <v>258061</v>
      </c>
      <c r="B689" t="s">
        <v>2</v>
      </c>
      <c r="C689" t="str">
        <f>LEFT(Table4[[#This Row],[Policy Type]],1)</f>
        <v>1</v>
      </c>
    </row>
    <row r="690" spans="1:3" x14ac:dyDescent="0.25">
      <c r="A690">
        <v>258062</v>
      </c>
      <c r="B690" t="s">
        <v>3</v>
      </c>
      <c r="C690" t="str">
        <f>LEFT(Table4[[#This Row],[Policy Type]],1)</f>
        <v>2</v>
      </c>
    </row>
    <row r="691" spans="1:3" x14ac:dyDescent="0.25">
      <c r="A691">
        <v>258063</v>
      </c>
      <c r="B691" t="s">
        <v>2</v>
      </c>
      <c r="C691" t="str">
        <f>LEFT(Table4[[#This Row],[Policy Type]],1)</f>
        <v>1</v>
      </c>
    </row>
    <row r="692" spans="1:3" x14ac:dyDescent="0.25">
      <c r="A692">
        <v>258070</v>
      </c>
      <c r="B692" t="s">
        <v>3</v>
      </c>
      <c r="C692" t="str">
        <f>LEFT(Table4[[#This Row],[Policy Type]],1)</f>
        <v>2</v>
      </c>
    </row>
    <row r="693" spans="1:3" x14ac:dyDescent="0.25">
      <c r="A693">
        <v>258071</v>
      </c>
      <c r="B693" t="s">
        <v>2</v>
      </c>
      <c r="C693" t="str">
        <f>LEFT(Table4[[#This Row],[Policy Type]],1)</f>
        <v>1</v>
      </c>
    </row>
    <row r="694" spans="1:3" x14ac:dyDescent="0.25">
      <c r="A694">
        <v>258067</v>
      </c>
      <c r="B694" t="s">
        <v>3</v>
      </c>
      <c r="C694" t="str">
        <f>LEFT(Table4[[#This Row],[Policy Type]],1)</f>
        <v>2</v>
      </c>
    </row>
    <row r="695" spans="1:3" x14ac:dyDescent="0.25">
      <c r="A695">
        <v>250753</v>
      </c>
      <c r="B695" t="s">
        <v>2</v>
      </c>
      <c r="C695" t="str">
        <f>LEFT(Table4[[#This Row],[Policy Type]],1)</f>
        <v>1</v>
      </c>
    </row>
    <row r="696" spans="1:3" x14ac:dyDescent="0.25">
      <c r="A696">
        <v>258076</v>
      </c>
      <c r="B696" t="s">
        <v>2</v>
      </c>
      <c r="C696" t="str">
        <f>LEFT(Table4[[#This Row],[Policy Type]],1)</f>
        <v>1</v>
      </c>
    </row>
    <row r="697" spans="1:3" x14ac:dyDescent="0.25">
      <c r="A697">
        <v>258077</v>
      </c>
      <c r="B697" t="s">
        <v>3</v>
      </c>
      <c r="C697" t="str">
        <f>LEFT(Table4[[#This Row],[Policy Type]],1)</f>
        <v>2</v>
      </c>
    </row>
    <row r="698" spans="1:3" x14ac:dyDescent="0.25">
      <c r="A698">
        <v>258082</v>
      </c>
      <c r="B698" t="s">
        <v>2</v>
      </c>
      <c r="C698" t="str">
        <f>LEFT(Table4[[#This Row],[Policy Type]],1)</f>
        <v>1</v>
      </c>
    </row>
    <row r="699" spans="1:3" x14ac:dyDescent="0.25">
      <c r="A699">
        <v>163312</v>
      </c>
      <c r="B699" t="s">
        <v>2</v>
      </c>
      <c r="C699" t="str">
        <f>LEFT(Table4[[#This Row],[Policy Type]],1)</f>
        <v>1</v>
      </c>
    </row>
    <row r="700" spans="1:3" x14ac:dyDescent="0.25">
      <c r="A700">
        <v>227694</v>
      </c>
      <c r="B700" t="s">
        <v>3</v>
      </c>
      <c r="C700" t="str">
        <f>LEFT(Table4[[#This Row],[Policy Type]],1)</f>
        <v>2</v>
      </c>
    </row>
    <row r="701" spans="1:3" x14ac:dyDescent="0.25">
      <c r="A701">
        <v>258085</v>
      </c>
      <c r="B701" t="s">
        <v>3</v>
      </c>
      <c r="C701" t="str">
        <f>LEFT(Table4[[#This Row],[Policy Type]],1)</f>
        <v>2</v>
      </c>
    </row>
    <row r="702" spans="1:3" x14ac:dyDescent="0.25">
      <c r="A702">
        <v>258086</v>
      </c>
      <c r="B702" t="s">
        <v>3</v>
      </c>
      <c r="C702" t="str">
        <f>LEFT(Table4[[#This Row],[Policy Type]],1)</f>
        <v>2</v>
      </c>
    </row>
    <row r="703" spans="1:3" x14ac:dyDescent="0.25">
      <c r="A703">
        <v>258088</v>
      </c>
      <c r="B703" t="s">
        <v>3</v>
      </c>
      <c r="C703" t="str">
        <f>LEFT(Table4[[#This Row],[Policy Type]],1)</f>
        <v>2</v>
      </c>
    </row>
    <row r="704" spans="1:3" x14ac:dyDescent="0.25">
      <c r="A704">
        <v>258091</v>
      </c>
      <c r="B704" t="s">
        <v>3</v>
      </c>
      <c r="C704" t="str">
        <f>LEFT(Table4[[#This Row],[Policy Type]],1)</f>
        <v>2</v>
      </c>
    </row>
    <row r="705" spans="1:3" x14ac:dyDescent="0.25">
      <c r="A705">
        <v>258093</v>
      </c>
      <c r="B705" t="s">
        <v>3</v>
      </c>
      <c r="C705" t="str">
        <f>LEFT(Table4[[#This Row],[Policy Type]],1)</f>
        <v>2</v>
      </c>
    </row>
    <row r="706" spans="1:3" x14ac:dyDescent="0.25">
      <c r="A706">
        <v>258095</v>
      </c>
      <c r="B706" t="s">
        <v>2</v>
      </c>
      <c r="C706" t="str">
        <f>LEFT(Table4[[#This Row],[Policy Type]],1)</f>
        <v>1</v>
      </c>
    </row>
    <row r="707" spans="1:3" x14ac:dyDescent="0.25">
      <c r="A707">
        <v>258096</v>
      </c>
      <c r="B707" t="s">
        <v>2</v>
      </c>
      <c r="C707" t="str">
        <f>LEFT(Table4[[#This Row],[Policy Type]],1)</f>
        <v>1</v>
      </c>
    </row>
    <row r="708" spans="1:3" x14ac:dyDescent="0.25">
      <c r="A708">
        <v>258099</v>
      </c>
      <c r="B708" t="s">
        <v>3</v>
      </c>
      <c r="C708" t="str">
        <f>LEFT(Table4[[#This Row],[Policy Type]],1)</f>
        <v>2</v>
      </c>
    </row>
    <row r="709" spans="1:3" x14ac:dyDescent="0.25">
      <c r="A709">
        <v>258104</v>
      </c>
      <c r="B709" t="s">
        <v>2</v>
      </c>
      <c r="C709" t="str">
        <f>LEFT(Table4[[#This Row],[Policy Type]],1)</f>
        <v>1</v>
      </c>
    </row>
    <row r="710" spans="1:3" x14ac:dyDescent="0.25">
      <c r="A710">
        <v>222920</v>
      </c>
      <c r="B710" t="s">
        <v>3</v>
      </c>
      <c r="C710" t="str">
        <f>LEFT(Table4[[#This Row],[Policy Type]],1)</f>
        <v>2</v>
      </c>
    </row>
    <row r="711" spans="1:3" x14ac:dyDescent="0.25">
      <c r="A711">
        <v>189237</v>
      </c>
      <c r="B711" t="s">
        <v>3</v>
      </c>
      <c r="C711" t="str">
        <f>LEFT(Table4[[#This Row],[Policy Type]],1)</f>
        <v>2</v>
      </c>
    </row>
    <row r="712" spans="1:3" x14ac:dyDescent="0.25">
      <c r="A712">
        <v>231573</v>
      </c>
      <c r="B712" t="s">
        <v>3</v>
      </c>
      <c r="C712" t="str">
        <f>LEFT(Table4[[#This Row],[Policy Type]],1)</f>
        <v>2</v>
      </c>
    </row>
    <row r="713" spans="1:3" x14ac:dyDescent="0.25">
      <c r="A713">
        <v>252813</v>
      </c>
      <c r="B713" t="s">
        <v>2</v>
      </c>
      <c r="C713" t="str">
        <f>LEFT(Table4[[#This Row],[Policy Type]],1)</f>
        <v>1</v>
      </c>
    </row>
    <row r="714" spans="1:3" x14ac:dyDescent="0.25">
      <c r="A714">
        <v>152902</v>
      </c>
      <c r="B714" t="s">
        <v>2</v>
      </c>
      <c r="C714" t="str">
        <f>LEFT(Table4[[#This Row],[Policy Type]],1)</f>
        <v>1</v>
      </c>
    </row>
    <row r="715" spans="1:3" x14ac:dyDescent="0.25">
      <c r="A715">
        <v>249276</v>
      </c>
      <c r="B715" t="s">
        <v>2</v>
      </c>
      <c r="C715" t="str">
        <f>LEFT(Table4[[#This Row],[Policy Type]],1)</f>
        <v>1</v>
      </c>
    </row>
    <row r="716" spans="1:3" x14ac:dyDescent="0.25">
      <c r="A716">
        <v>209333</v>
      </c>
      <c r="B716" t="s">
        <v>2</v>
      </c>
      <c r="C716" t="str">
        <f>LEFT(Table4[[#This Row],[Policy Type]],1)</f>
        <v>1</v>
      </c>
    </row>
    <row r="717" spans="1:3" x14ac:dyDescent="0.25">
      <c r="A717">
        <v>234529</v>
      </c>
      <c r="B717" t="s">
        <v>2</v>
      </c>
      <c r="C717" t="str">
        <f>LEFT(Table4[[#This Row],[Policy Type]],1)</f>
        <v>1</v>
      </c>
    </row>
    <row r="718" spans="1:3" x14ac:dyDescent="0.25">
      <c r="A718">
        <v>258133</v>
      </c>
      <c r="B718" t="s">
        <v>3</v>
      </c>
      <c r="C718" t="str">
        <f>LEFT(Table4[[#This Row],[Policy Type]],1)</f>
        <v>2</v>
      </c>
    </row>
    <row r="719" spans="1:3" x14ac:dyDescent="0.25">
      <c r="A719">
        <v>258139</v>
      </c>
      <c r="B719" t="s">
        <v>3</v>
      </c>
      <c r="C719" t="str">
        <f>LEFT(Table4[[#This Row],[Policy Type]],1)</f>
        <v>2</v>
      </c>
    </row>
    <row r="720" spans="1:3" x14ac:dyDescent="0.25">
      <c r="A720">
        <v>258144</v>
      </c>
      <c r="B720" t="s">
        <v>3</v>
      </c>
      <c r="C720" t="str">
        <f>LEFT(Table4[[#This Row],[Policy Type]],1)</f>
        <v>2</v>
      </c>
    </row>
    <row r="721" spans="1:3" x14ac:dyDescent="0.25">
      <c r="A721">
        <v>258150</v>
      </c>
      <c r="B721" t="s">
        <v>2</v>
      </c>
      <c r="C721" t="str">
        <f>LEFT(Table4[[#This Row],[Policy Type]],1)</f>
        <v>1</v>
      </c>
    </row>
    <row r="722" spans="1:3" x14ac:dyDescent="0.25">
      <c r="A722">
        <v>257551</v>
      </c>
      <c r="B722" t="s">
        <v>3</v>
      </c>
      <c r="C722" t="str">
        <f>LEFT(Table4[[#This Row],[Policy Type]],1)</f>
        <v>2</v>
      </c>
    </row>
    <row r="723" spans="1:3" x14ac:dyDescent="0.25">
      <c r="A723">
        <v>258158</v>
      </c>
      <c r="B723" t="s">
        <v>3</v>
      </c>
      <c r="C723" t="str">
        <f>LEFT(Table4[[#This Row],[Policy Type]],1)</f>
        <v>2</v>
      </c>
    </row>
    <row r="724" spans="1:3" x14ac:dyDescent="0.25">
      <c r="A724">
        <v>258161</v>
      </c>
      <c r="B724" t="s">
        <v>3</v>
      </c>
      <c r="C724" t="str">
        <f>LEFT(Table4[[#This Row],[Policy Type]],1)</f>
        <v>2</v>
      </c>
    </row>
    <row r="725" spans="1:3" x14ac:dyDescent="0.25">
      <c r="A725">
        <v>258162</v>
      </c>
      <c r="B725" t="s">
        <v>3</v>
      </c>
      <c r="C725" t="str">
        <f>LEFT(Table4[[#This Row],[Policy Type]],1)</f>
        <v>2</v>
      </c>
    </row>
    <row r="726" spans="1:3" x14ac:dyDescent="0.25">
      <c r="A726">
        <v>258163</v>
      </c>
      <c r="B726" t="s">
        <v>2</v>
      </c>
      <c r="C726" t="str">
        <f>LEFT(Table4[[#This Row],[Policy Type]],1)</f>
        <v>1</v>
      </c>
    </row>
    <row r="727" spans="1:3" x14ac:dyDescent="0.25">
      <c r="A727">
        <v>258165</v>
      </c>
      <c r="B727" t="s">
        <v>3</v>
      </c>
      <c r="C727" t="str">
        <f>LEFT(Table4[[#This Row],[Policy Type]],1)</f>
        <v>2</v>
      </c>
    </row>
    <row r="728" spans="1:3" x14ac:dyDescent="0.25">
      <c r="A728">
        <v>252288</v>
      </c>
      <c r="B728" t="s">
        <v>3</v>
      </c>
      <c r="C728" t="str">
        <f>LEFT(Table4[[#This Row],[Policy Type]],1)</f>
        <v>2</v>
      </c>
    </row>
    <row r="729" spans="1:3" x14ac:dyDescent="0.25">
      <c r="A729">
        <v>258175</v>
      </c>
      <c r="B729" t="s">
        <v>3</v>
      </c>
      <c r="C729" t="str">
        <f>LEFT(Table4[[#This Row],[Policy Type]],1)</f>
        <v>2</v>
      </c>
    </row>
    <row r="730" spans="1:3" x14ac:dyDescent="0.25">
      <c r="A730">
        <v>258177</v>
      </c>
      <c r="B730" t="s">
        <v>3</v>
      </c>
      <c r="C730" t="str">
        <f>LEFT(Table4[[#This Row],[Policy Type]],1)</f>
        <v>2</v>
      </c>
    </row>
    <row r="731" spans="1:3" x14ac:dyDescent="0.25">
      <c r="A731">
        <v>258183</v>
      </c>
      <c r="B731" t="s">
        <v>3</v>
      </c>
      <c r="C731" t="str">
        <f>LEFT(Table4[[#This Row],[Policy Type]],1)</f>
        <v>2</v>
      </c>
    </row>
    <row r="732" spans="1:3" x14ac:dyDescent="0.25">
      <c r="A732">
        <v>258185</v>
      </c>
      <c r="B732" t="s">
        <v>3</v>
      </c>
      <c r="C732" t="str">
        <f>LEFT(Table4[[#This Row],[Policy Type]],1)</f>
        <v>2</v>
      </c>
    </row>
    <row r="733" spans="1:3" x14ac:dyDescent="0.25">
      <c r="A733">
        <v>258188</v>
      </c>
      <c r="B733" t="s">
        <v>2</v>
      </c>
      <c r="C733" t="str">
        <f>LEFT(Table4[[#This Row],[Policy Type]],1)</f>
        <v>1</v>
      </c>
    </row>
    <row r="734" spans="1:3" x14ac:dyDescent="0.25">
      <c r="A734">
        <v>258181</v>
      </c>
      <c r="B734" t="s">
        <v>2</v>
      </c>
      <c r="C734" t="str">
        <f>LEFT(Table4[[#This Row],[Policy Type]],1)</f>
        <v>1</v>
      </c>
    </row>
    <row r="735" spans="1:3" x14ac:dyDescent="0.25">
      <c r="A735">
        <v>258191</v>
      </c>
      <c r="B735" t="s">
        <v>2</v>
      </c>
      <c r="C735" t="str">
        <f>LEFT(Table4[[#This Row],[Policy Type]],1)</f>
        <v>1</v>
      </c>
    </row>
    <row r="736" spans="1:3" x14ac:dyDescent="0.25">
      <c r="A736">
        <v>258192</v>
      </c>
      <c r="B736" t="s">
        <v>3</v>
      </c>
      <c r="C736" t="str">
        <f>LEFT(Table4[[#This Row],[Policy Type]],1)</f>
        <v>2</v>
      </c>
    </row>
    <row r="737" spans="1:3" x14ac:dyDescent="0.25">
      <c r="A737">
        <v>258193</v>
      </c>
      <c r="B737" t="s">
        <v>3</v>
      </c>
      <c r="C737" t="str">
        <f>LEFT(Table4[[#This Row],[Policy Type]],1)</f>
        <v>2</v>
      </c>
    </row>
    <row r="738" spans="1:3" x14ac:dyDescent="0.25">
      <c r="A738">
        <v>258195</v>
      </c>
      <c r="B738" t="s">
        <v>3</v>
      </c>
      <c r="C738" t="str">
        <f>LEFT(Table4[[#This Row],[Policy Type]],1)</f>
        <v>2</v>
      </c>
    </row>
    <row r="739" spans="1:3" x14ac:dyDescent="0.25">
      <c r="A739">
        <v>258212</v>
      </c>
      <c r="B739" t="s">
        <v>2</v>
      </c>
      <c r="C739" t="str">
        <f>LEFT(Table4[[#This Row],[Policy Type]],1)</f>
        <v>1</v>
      </c>
    </row>
    <row r="740" spans="1:3" x14ac:dyDescent="0.25">
      <c r="A740">
        <v>258213</v>
      </c>
      <c r="B740" t="s">
        <v>2</v>
      </c>
      <c r="C740" t="str">
        <f>LEFT(Table4[[#This Row],[Policy Type]],1)</f>
        <v>1</v>
      </c>
    </row>
    <row r="741" spans="1:3" x14ac:dyDescent="0.25">
      <c r="A741">
        <v>258214</v>
      </c>
      <c r="B741" t="s">
        <v>2</v>
      </c>
      <c r="C741" t="str">
        <f>LEFT(Table4[[#This Row],[Policy Type]],1)</f>
        <v>1</v>
      </c>
    </row>
    <row r="742" spans="1:3" x14ac:dyDescent="0.25">
      <c r="A742">
        <v>187876</v>
      </c>
      <c r="B742" t="s">
        <v>2</v>
      </c>
      <c r="C742" t="str">
        <f>LEFT(Table4[[#This Row],[Policy Type]],1)</f>
        <v>1</v>
      </c>
    </row>
    <row r="743" spans="1:3" x14ac:dyDescent="0.25">
      <c r="A743">
        <v>258217</v>
      </c>
      <c r="B743" t="s">
        <v>3</v>
      </c>
      <c r="C743" t="str">
        <f>LEFT(Table4[[#This Row],[Policy Type]],1)</f>
        <v>2</v>
      </c>
    </row>
    <row r="744" spans="1:3" x14ac:dyDescent="0.25">
      <c r="A744">
        <v>258220</v>
      </c>
      <c r="B744" t="s">
        <v>2</v>
      </c>
      <c r="C744" t="str">
        <f>LEFT(Table4[[#This Row],[Policy Type]],1)</f>
        <v>1</v>
      </c>
    </row>
    <row r="745" spans="1:3" x14ac:dyDescent="0.25">
      <c r="A745">
        <v>173297</v>
      </c>
      <c r="B745" t="s">
        <v>2</v>
      </c>
      <c r="C745" t="str">
        <f>LEFT(Table4[[#This Row],[Policy Type]],1)</f>
        <v>1</v>
      </c>
    </row>
    <row r="746" spans="1:3" x14ac:dyDescent="0.25">
      <c r="A746">
        <v>250072</v>
      </c>
      <c r="B746" t="s">
        <v>2</v>
      </c>
      <c r="C746" t="str">
        <f>LEFT(Table4[[#This Row],[Policy Type]],1)</f>
        <v>1</v>
      </c>
    </row>
    <row r="747" spans="1:3" x14ac:dyDescent="0.25">
      <c r="A747">
        <v>258310</v>
      </c>
      <c r="B747" t="s">
        <v>3</v>
      </c>
      <c r="C747" t="str">
        <f>LEFT(Table4[[#This Row],[Policy Type]],1)</f>
        <v>2</v>
      </c>
    </row>
    <row r="748" spans="1:3" x14ac:dyDescent="0.25">
      <c r="A748">
        <v>258300</v>
      </c>
      <c r="B748" t="s">
        <v>2</v>
      </c>
      <c r="C748" t="str">
        <f>LEFT(Table4[[#This Row],[Policy Type]],1)</f>
        <v>1</v>
      </c>
    </row>
    <row r="749" spans="1:3" x14ac:dyDescent="0.25">
      <c r="A749">
        <v>258302</v>
      </c>
      <c r="B749" t="s">
        <v>3</v>
      </c>
      <c r="C749" t="str">
        <f>LEFT(Table4[[#This Row],[Policy Type]],1)</f>
        <v>2</v>
      </c>
    </row>
    <row r="750" spans="1:3" x14ac:dyDescent="0.25">
      <c r="A750">
        <v>258307</v>
      </c>
      <c r="B750" t="s">
        <v>2</v>
      </c>
      <c r="C750" t="str">
        <f>LEFT(Table4[[#This Row],[Policy Type]],1)</f>
        <v>1</v>
      </c>
    </row>
    <row r="751" spans="1:3" x14ac:dyDescent="0.25">
      <c r="A751">
        <v>258312</v>
      </c>
      <c r="B751" t="s">
        <v>3</v>
      </c>
      <c r="C751" t="str">
        <f>LEFT(Table4[[#This Row],[Policy Type]],1)</f>
        <v>2</v>
      </c>
    </row>
    <row r="752" spans="1:3" x14ac:dyDescent="0.25">
      <c r="A752">
        <v>258309</v>
      </c>
      <c r="B752" t="s">
        <v>3</v>
      </c>
      <c r="C752" t="str">
        <f>LEFT(Table4[[#This Row],[Policy Type]],1)</f>
        <v>2</v>
      </c>
    </row>
    <row r="753" spans="1:3" x14ac:dyDescent="0.25">
      <c r="A753">
        <v>258320</v>
      </c>
      <c r="B753" t="s">
        <v>2</v>
      </c>
      <c r="C753" t="str">
        <f>LEFT(Table4[[#This Row],[Policy Type]],1)</f>
        <v>1</v>
      </c>
    </row>
    <row r="754" spans="1:3" x14ac:dyDescent="0.25">
      <c r="A754">
        <v>258324</v>
      </c>
      <c r="B754" t="s">
        <v>2</v>
      </c>
      <c r="C754" t="str">
        <f>LEFT(Table4[[#This Row],[Policy Type]],1)</f>
        <v>1</v>
      </c>
    </row>
    <row r="755" spans="1:3" x14ac:dyDescent="0.25">
      <c r="A755">
        <v>228955</v>
      </c>
      <c r="B755" t="s">
        <v>2</v>
      </c>
      <c r="C755" t="str">
        <f>LEFT(Table4[[#This Row],[Policy Type]],1)</f>
        <v>1</v>
      </c>
    </row>
    <row r="756" spans="1:3" x14ac:dyDescent="0.25">
      <c r="A756">
        <v>258327</v>
      </c>
      <c r="B756" t="s">
        <v>3</v>
      </c>
      <c r="C756" t="str">
        <f>LEFT(Table4[[#This Row],[Policy Type]],1)</f>
        <v>2</v>
      </c>
    </row>
    <row r="757" spans="1:3" x14ac:dyDescent="0.25">
      <c r="A757">
        <v>258332</v>
      </c>
      <c r="B757" t="s">
        <v>3</v>
      </c>
      <c r="C757" t="str">
        <f>LEFT(Table4[[#This Row],[Policy Type]],1)</f>
        <v>2</v>
      </c>
    </row>
    <row r="758" spans="1:3" x14ac:dyDescent="0.25">
      <c r="A758">
        <v>258333</v>
      </c>
      <c r="B758" t="s">
        <v>3</v>
      </c>
      <c r="C758" t="str">
        <f>LEFT(Table4[[#This Row],[Policy Type]],1)</f>
        <v>2</v>
      </c>
    </row>
    <row r="759" spans="1:3" x14ac:dyDescent="0.25">
      <c r="A759">
        <v>258355</v>
      </c>
      <c r="B759" t="s">
        <v>2</v>
      </c>
      <c r="C759" t="str">
        <f>LEFT(Table4[[#This Row],[Policy Type]],1)</f>
        <v>1</v>
      </c>
    </row>
    <row r="760" spans="1:3" x14ac:dyDescent="0.25">
      <c r="A760">
        <v>258359</v>
      </c>
      <c r="B760" t="s">
        <v>2</v>
      </c>
      <c r="C760" t="str">
        <f>LEFT(Table4[[#This Row],[Policy Type]],1)</f>
        <v>1</v>
      </c>
    </row>
    <row r="761" spans="1:3" x14ac:dyDescent="0.25">
      <c r="A761">
        <v>239327</v>
      </c>
      <c r="B761" t="s">
        <v>3</v>
      </c>
      <c r="C761" t="str">
        <f>LEFT(Table4[[#This Row],[Policy Type]],1)</f>
        <v>2</v>
      </c>
    </row>
    <row r="762" spans="1:3" x14ac:dyDescent="0.25">
      <c r="A762">
        <v>258370</v>
      </c>
      <c r="B762" t="s">
        <v>2</v>
      </c>
      <c r="C762" t="str">
        <f>LEFT(Table4[[#This Row],[Policy Type]],1)</f>
        <v>1</v>
      </c>
    </row>
    <row r="763" spans="1:3" x14ac:dyDescent="0.25">
      <c r="A763">
        <v>258373</v>
      </c>
      <c r="B763" t="s">
        <v>3</v>
      </c>
      <c r="C763" t="str">
        <f>LEFT(Table4[[#This Row],[Policy Type]],1)</f>
        <v>2</v>
      </c>
    </row>
    <row r="764" spans="1:3" x14ac:dyDescent="0.25">
      <c r="A764">
        <v>258375</v>
      </c>
      <c r="B764" t="s">
        <v>2</v>
      </c>
      <c r="C764" t="str">
        <f>LEFT(Table4[[#This Row],[Policy Type]],1)</f>
        <v>1</v>
      </c>
    </row>
    <row r="765" spans="1:3" x14ac:dyDescent="0.25">
      <c r="A765">
        <v>255903</v>
      </c>
      <c r="B765" t="s">
        <v>2</v>
      </c>
      <c r="C765" t="str">
        <f>LEFT(Table4[[#This Row],[Policy Type]],1)</f>
        <v>1</v>
      </c>
    </row>
    <row r="766" spans="1:3" x14ac:dyDescent="0.25">
      <c r="A766">
        <v>256589</v>
      </c>
      <c r="B766" t="s">
        <v>3</v>
      </c>
      <c r="C766" t="str">
        <f>LEFT(Table4[[#This Row],[Policy Type]],1)</f>
        <v>2</v>
      </c>
    </row>
    <row r="767" spans="1:3" x14ac:dyDescent="0.25">
      <c r="A767">
        <v>258385</v>
      </c>
      <c r="B767" t="s">
        <v>2</v>
      </c>
      <c r="C767" t="str">
        <f>LEFT(Table4[[#This Row],[Policy Type]],1)</f>
        <v>1</v>
      </c>
    </row>
    <row r="768" spans="1:3" x14ac:dyDescent="0.25">
      <c r="A768">
        <v>214669</v>
      </c>
      <c r="B768" t="s">
        <v>2</v>
      </c>
      <c r="C768" t="str">
        <f>LEFT(Table4[[#This Row],[Policy Type]],1)</f>
        <v>1</v>
      </c>
    </row>
    <row r="769" spans="1:3" x14ac:dyDescent="0.25">
      <c r="A769">
        <v>258392</v>
      </c>
      <c r="B769" t="s">
        <v>3</v>
      </c>
      <c r="C769" t="str">
        <f>LEFT(Table4[[#This Row],[Policy Type]],1)</f>
        <v>2</v>
      </c>
    </row>
    <row r="770" spans="1:3" x14ac:dyDescent="0.25">
      <c r="A770">
        <v>258389</v>
      </c>
      <c r="B770" t="s">
        <v>3</v>
      </c>
      <c r="C770" t="str">
        <f>LEFT(Table4[[#This Row],[Policy Type]],1)</f>
        <v>2</v>
      </c>
    </row>
    <row r="771" spans="1:3" x14ac:dyDescent="0.25">
      <c r="A771">
        <v>258393</v>
      </c>
      <c r="B771" t="s">
        <v>3</v>
      </c>
      <c r="C771" t="str">
        <f>LEFT(Table4[[#This Row],[Policy Type]],1)</f>
        <v>2</v>
      </c>
    </row>
    <row r="772" spans="1:3" x14ac:dyDescent="0.25">
      <c r="A772">
        <v>258394</v>
      </c>
      <c r="B772" t="s">
        <v>2</v>
      </c>
      <c r="C772" t="str">
        <f>LEFT(Table4[[#This Row],[Policy Type]],1)</f>
        <v>1</v>
      </c>
    </row>
    <row r="773" spans="1:3" x14ac:dyDescent="0.25">
      <c r="A773">
        <v>258400</v>
      </c>
      <c r="B773" t="s">
        <v>3</v>
      </c>
      <c r="C773" t="str">
        <f>LEFT(Table4[[#This Row],[Policy Type]],1)</f>
        <v>2</v>
      </c>
    </row>
    <row r="774" spans="1:3" x14ac:dyDescent="0.25">
      <c r="A774">
        <v>258402</v>
      </c>
      <c r="B774" t="s">
        <v>2</v>
      </c>
      <c r="C774" t="str">
        <f>LEFT(Table4[[#This Row],[Policy Type]],1)</f>
        <v>1</v>
      </c>
    </row>
    <row r="775" spans="1:3" x14ac:dyDescent="0.25">
      <c r="A775">
        <v>258405</v>
      </c>
      <c r="B775" t="s">
        <v>3</v>
      </c>
      <c r="C775" t="str">
        <f>LEFT(Table4[[#This Row],[Policy Type]],1)</f>
        <v>2</v>
      </c>
    </row>
    <row r="776" spans="1:3" x14ac:dyDescent="0.25">
      <c r="A776">
        <v>258418</v>
      </c>
      <c r="B776" t="s">
        <v>2</v>
      </c>
      <c r="C776" t="str">
        <f>LEFT(Table4[[#This Row],[Policy Type]],1)</f>
        <v>1</v>
      </c>
    </row>
    <row r="777" spans="1:3" x14ac:dyDescent="0.25">
      <c r="A777">
        <v>255095</v>
      </c>
      <c r="B777" t="s">
        <v>2</v>
      </c>
      <c r="C777" t="str">
        <f>LEFT(Table4[[#This Row],[Policy Type]],1)</f>
        <v>1</v>
      </c>
    </row>
    <row r="778" spans="1:3" x14ac:dyDescent="0.25">
      <c r="A778">
        <v>258423</v>
      </c>
      <c r="B778" t="s">
        <v>3</v>
      </c>
      <c r="C778" t="str">
        <f>LEFT(Table4[[#This Row],[Policy Type]],1)</f>
        <v>2</v>
      </c>
    </row>
    <row r="779" spans="1:3" x14ac:dyDescent="0.25">
      <c r="A779">
        <v>258427</v>
      </c>
      <c r="B779" t="s">
        <v>2</v>
      </c>
      <c r="C779" t="str">
        <f>LEFT(Table4[[#This Row],[Policy Type]],1)</f>
        <v>1</v>
      </c>
    </row>
    <row r="780" spans="1:3" x14ac:dyDescent="0.25">
      <c r="A780">
        <v>258430</v>
      </c>
      <c r="B780" t="s">
        <v>2</v>
      </c>
      <c r="C780" t="str">
        <f>LEFT(Table4[[#This Row],[Policy Type]],1)</f>
        <v>1</v>
      </c>
    </row>
    <row r="781" spans="1:3" x14ac:dyDescent="0.25">
      <c r="A781">
        <v>258431</v>
      </c>
      <c r="B781" t="s">
        <v>2</v>
      </c>
      <c r="C781" t="str">
        <f>LEFT(Table4[[#This Row],[Policy Type]],1)</f>
        <v>1</v>
      </c>
    </row>
    <row r="782" spans="1:3" x14ac:dyDescent="0.25">
      <c r="A782">
        <v>258432</v>
      </c>
      <c r="B782" t="s">
        <v>2</v>
      </c>
      <c r="C782" t="str">
        <f>LEFT(Table4[[#This Row],[Policy Type]],1)</f>
        <v>1</v>
      </c>
    </row>
    <row r="783" spans="1:3" x14ac:dyDescent="0.25">
      <c r="A783">
        <v>258434</v>
      </c>
      <c r="B783" t="s">
        <v>3</v>
      </c>
      <c r="C783" t="str">
        <f>LEFT(Table4[[#This Row],[Policy Type]],1)</f>
        <v>2</v>
      </c>
    </row>
    <row r="784" spans="1:3" x14ac:dyDescent="0.25">
      <c r="A784">
        <v>258436</v>
      </c>
      <c r="B784" t="s">
        <v>2</v>
      </c>
      <c r="C784" t="str">
        <f>LEFT(Table4[[#This Row],[Policy Type]],1)</f>
        <v>1</v>
      </c>
    </row>
    <row r="785" spans="1:3" x14ac:dyDescent="0.25">
      <c r="A785">
        <v>258440</v>
      </c>
      <c r="B785" t="s">
        <v>2</v>
      </c>
      <c r="C785" t="str">
        <f>LEFT(Table4[[#This Row],[Policy Type]],1)</f>
        <v>1</v>
      </c>
    </row>
    <row r="786" spans="1:3" x14ac:dyDescent="0.25">
      <c r="A786">
        <v>258443</v>
      </c>
      <c r="B786" t="s">
        <v>2</v>
      </c>
      <c r="C786" t="str">
        <f>LEFT(Table4[[#This Row],[Policy Type]],1)</f>
        <v>1</v>
      </c>
    </row>
    <row r="787" spans="1:3" x14ac:dyDescent="0.25">
      <c r="A787">
        <v>258444</v>
      </c>
      <c r="B787" t="s">
        <v>2</v>
      </c>
      <c r="C787" t="str">
        <f>LEFT(Table4[[#This Row],[Policy Type]],1)</f>
        <v>1</v>
      </c>
    </row>
    <row r="788" spans="1:3" x14ac:dyDescent="0.25">
      <c r="A788">
        <v>258446</v>
      </c>
      <c r="B788" t="s">
        <v>3</v>
      </c>
      <c r="C788" t="str">
        <f>LEFT(Table4[[#This Row],[Policy Type]],1)</f>
        <v>2</v>
      </c>
    </row>
    <row r="789" spans="1:3" x14ac:dyDescent="0.25">
      <c r="A789">
        <v>258449</v>
      </c>
      <c r="B789" t="s">
        <v>3</v>
      </c>
      <c r="C789" t="str">
        <f>LEFT(Table4[[#This Row],[Policy Type]],1)</f>
        <v>2</v>
      </c>
    </row>
    <row r="790" spans="1:3" x14ac:dyDescent="0.25">
      <c r="A790">
        <v>258460</v>
      </c>
      <c r="B790" t="s">
        <v>3</v>
      </c>
      <c r="C790" t="str">
        <f>LEFT(Table4[[#This Row],[Policy Type]],1)</f>
        <v>2</v>
      </c>
    </row>
    <row r="791" spans="1:3" x14ac:dyDescent="0.25">
      <c r="A791">
        <v>258464</v>
      </c>
      <c r="B791" t="s">
        <v>3</v>
      </c>
      <c r="C791" t="str">
        <f>LEFT(Table4[[#This Row],[Policy Type]],1)</f>
        <v>2</v>
      </c>
    </row>
    <row r="792" spans="1:3" x14ac:dyDescent="0.25">
      <c r="A792">
        <v>258465</v>
      </c>
      <c r="B792" t="s">
        <v>3</v>
      </c>
      <c r="C792" t="str">
        <f>LEFT(Table4[[#This Row],[Policy Type]],1)</f>
        <v>2</v>
      </c>
    </row>
    <row r="793" spans="1:3" x14ac:dyDescent="0.25">
      <c r="A793">
        <v>258466</v>
      </c>
      <c r="B793" t="s">
        <v>3</v>
      </c>
      <c r="C793" t="str">
        <f>LEFT(Table4[[#This Row],[Policy Type]],1)</f>
        <v>2</v>
      </c>
    </row>
    <row r="794" spans="1:3" x14ac:dyDescent="0.25">
      <c r="A794">
        <v>153531</v>
      </c>
      <c r="B794" t="s">
        <v>2</v>
      </c>
      <c r="C794" t="str">
        <f>LEFT(Table4[[#This Row],[Policy Type]],1)</f>
        <v>1</v>
      </c>
    </row>
    <row r="795" spans="1:3" x14ac:dyDescent="0.25">
      <c r="A795">
        <v>171346</v>
      </c>
      <c r="B795" t="s">
        <v>3</v>
      </c>
      <c r="C795" t="str">
        <f>LEFT(Table4[[#This Row],[Policy Type]],1)</f>
        <v>2</v>
      </c>
    </row>
    <row r="796" spans="1:3" x14ac:dyDescent="0.25">
      <c r="A796">
        <v>252853</v>
      </c>
      <c r="B796" t="s">
        <v>3</v>
      </c>
      <c r="C796" t="str">
        <f>LEFT(Table4[[#This Row],[Policy Type]],1)</f>
        <v>2</v>
      </c>
    </row>
    <row r="797" spans="1:3" x14ac:dyDescent="0.25">
      <c r="A797">
        <v>178339</v>
      </c>
      <c r="B797" t="s">
        <v>3</v>
      </c>
      <c r="C797" t="str">
        <f>LEFT(Table4[[#This Row],[Policy Type]],1)</f>
        <v>2</v>
      </c>
    </row>
    <row r="798" spans="1:3" x14ac:dyDescent="0.25">
      <c r="A798">
        <v>255881</v>
      </c>
      <c r="B798" t="s">
        <v>3</v>
      </c>
      <c r="C798" t="str">
        <f>LEFT(Table4[[#This Row],[Policy Type]],1)</f>
        <v>2</v>
      </c>
    </row>
    <row r="799" spans="1:3" x14ac:dyDescent="0.25">
      <c r="A799">
        <v>258476</v>
      </c>
      <c r="B799" t="s">
        <v>3</v>
      </c>
      <c r="C799" t="str">
        <f>LEFT(Table4[[#This Row],[Policy Type]],1)</f>
        <v>2</v>
      </c>
    </row>
    <row r="800" spans="1:3" x14ac:dyDescent="0.25">
      <c r="A800">
        <v>258479</v>
      </c>
      <c r="B800" t="s">
        <v>3</v>
      </c>
      <c r="C800" t="str">
        <f>LEFT(Table4[[#This Row],[Policy Type]],1)</f>
        <v>2</v>
      </c>
    </row>
    <row r="801" spans="1:3" x14ac:dyDescent="0.25">
      <c r="A801">
        <v>258480</v>
      </c>
      <c r="B801" t="s">
        <v>3</v>
      </c>
      <c r="C801" t="str">
        <f>LEFT(Table4[[#This Row],[Policy Type]],1)</f>
        <v>2</v>
      </c>
    </row>
    <row r="802" spans="1:3" x14ac:dyDescent="0.25">
      <c r="A802">
        <v>258482</v>
      </c>
      <c r="B802" t="s">
        <v>2</v>
      </c>
      <c r="C802" t="str">
        <f>LEFT(Table4[[#This Row],[Policy Type]],1)</f>
        <v>1</v>
      </c>
    </row>
    <row r="803" spans="1:3" x14ac:dyDescent="0.25">
      <c r="A803">
        <v>258483</v>
      </c>
      <c r="B803" t="s">
        <v>2</v>
      </c>
      <c r="C803" t="str">
        <f>LEFT(Table4[[#This Row],[Policy Type]],1)</f>
        <v>1</v>
      </c>
    </row>
    <row r="804" spans="1:3" x14ac:dyDescent="0.25">
      <c r="A804">
        <v>258488</v>
      </c>
      <c r="B804" t="s">
        <v>3</v>
      </c>
      <c r="C804" t="str">
        <f>LEFT(Table4[[#This Row],[Policy Type]],1)</f>
        <v>2</v>
      </c>
    </row>
    <row r="805" spans="1:3" x14ac:dyDescent="0.25">
      <c r="A805">
        <v>258485</v>
      </c>
      <c r="B805" t="s">
        <v>3</v>
      </c>
      <c r="C805" t="str">
        <f>LEFT(Table4[[#This Row],[Policy Type]],1)</f>
        <v>2</v>
      </c>
    </row>
    <row r="806" spans="1:3" x14ac:dyDescent="0.25">
      <c r="A806">
        <v>258486</v>
      </c>
      <c r="B806" t="s">
        <v>3</v>
      </c>
      <c r="C806" t="str">
        <f>LEFT(Table4[[#This Row],[Policy Type]],1)</f>
        <v>2</v>
      </c>
    </row>
    <row r="807" spans="1:3" x14ac:dyDescent="0.25">
      <c r="A807">
        <v>258504</v>
      </c>
      <c r="B807" t="s">
        <v>2</v>
      </c>
      <c r="C807" t="str">
        <f>LEFT(Table4[[#This Row],[Policy Type]],1)</f>
        <v>1</v>
      </c>
    </row>
    <row r="808" spans="1:3" x14ac:dyDescent="0.25">
      <c r="A808">
        <v>255618</v>
      </c>
      <c r="B808" t="s">
        <v>2</v>
      </c>
      <c r="C808" t="str">
        <f>LEFT(Table4[[#This Row],[Policy Type]],1)</f>
        <v>1</v>
      </c>
    </row>
    <row r="809" spans="1:3" x14ac:dyDescent="0.25">
      <c r="A809">
        <v>258512</v>
      </c>
      <c r="B809" t="s">
        <v>2</v>
      </c>
      <c r="C809" t="str">
        <f>LEFT(Table4[[#This Row],[Policy Type]],1)</f>
        <v>1</v>
      </c>
    </row>
    <row r="810" spans="1:3" x14ac:dyDescent="0.25">
      <c r="A810">
        <v>258508</v>
      </c>
      <c r="B810" t="s">
        <v>3</v>
      </c>
      <c r="C810" t="str">
        <f>LEFT(Table4[[#This Row],[Policy Type]],1)</f>
        <v>2</v>
      </c>
    </row>
    <row r="811" spans="1:3" x14ac:dyDescent="0.25">
      <c r="A811">
        <v>258521</v>
      </c>
      <c r="B811" t="s">
        <v>3</v>
      </c>
      <c r="C811" t="str">
        <f>LEFT(Table4[[#This Row],[Policy Type]],1)</f>
        <v>2</v>
      </c>
    </row>
    <row r="812" spans="1:3" x14ac:dyDescent="0.25">
      <c r="A812">
        <v>258514</v>
      </c>
      <c r="B812" t="s">
        <v>2</v>
      </c>
      <c r="C812" t="str">
        <f>LEFT(Table4[[#This Row],[Policy Type]],1)</f>
        <v>1</v>
      </c>
    </row>
    <row r="813" spans="1:3" x14ac:dyDescent="0.25">
      <c r="A813">
        <v>258526</v>
      </c>
      <c r="B813" t="s">
        <v>3</v>
      </c>
      <c r="C813" t="str">
        <f>LEFT(Table4[[#This Row],[Policy Type]],1)</f>
        <v>2</v>
      </c>
    </row>
    <row r="814" spans="1:3" x14ac:dyDescent="0.25">
      <c r="A814">
        <v>258532</v>
      </c>
      <c r="B814" t="s">
        <v>2</v>
      </c>
      <c r="C814" t="str">
        <f>LEFT(Table4[[#This Row],[Policy Type]],1)</f>
        <v>1</v>
      </c>
    </row>
    <row r="815" spans="1:3" x14ac:dyDescent="0.25">
      <c r="A815">
        <v>179409</v>
      </c>
      <c r="B815" t="s">
        <v>2</v>
      </c>
      <c r="C815" t="str">
        <f>LEFT(Table4[[#This Row],[Policy Type]],1)</f>
        <v>1</v>
      </c>
    </row>
    <row r="816" spans="1:3" x14ac:dyDescent="0.25">
      <c r="A816">
        <v>258544</v>
      </c>
      <c r="B816" t="s">
        <v>2</v>
      </c>
      <c r="C816" t="str">
        <f>LEFT(Table4[[#This Row],[Policy Type]],1)</f>
        <v>1</v>
      </c>
    </row>
    <row r="817" spans="1:3" x14ac:dyDescent="0.25">
      <c r="A817">
        <v>258541</v>
      </c>
      <c r="B817" t="s">
        <v>2</v>
      </c>
      <c r="C817" t="str">
        <f>LEFT(Table4[[#This Row],[Policy Type]],1)</f>
        <v>1</v>
      </c>
    </row>
    <row r="818" spans="1:3" x14ac:dyDescent="0.25">
      <c r="A818">
        <v>258542</v>
      </c>
      <c r="B818" t="s">
        <v>3</v>
      </c>
      <c r="C818" t="str">
        <f>LEFT(Table4[[#This Row],[Policy Type]],1)</f>
        <v>2</v>
      </c>
    </row>
    <row r="819" spans="1:3" x14ac:dyDescent="0.25">
      <c r="A819">
        <v>258546</v>
      </c>
      <c r="B819" t="s">
        <v>3</v>
      </c>
      <c r="C819" t="str">
        <f>LEFT(Table4[[#This Row],[Policy Type]],1)</f>
        <v>2</v>
      </c>
    </row>
    <row r="820" spans="1:3" x14ac:dyDescent="0.25">
      <c r="A820">
        <v>258547</v>
      </c>
      <c r="B820" t="s">
        <v>2</v>
      </c>
      <c r="C820" t="str">
        <f>LEFT(Table4[[#This Row],[Policy Type]],1)</f>
        <v>1</v>
      </c>
    </row>
    <row r="821" spans="1:3" x14ac:dyDescent="0.25">
      <c r="A821">
        <v>252969</v>
      </c>
      <c r="B821" t="s">
        <v>3</v>
      </c>
      <c r="C821" t="str">
        <f>LEFT(Table4[[#This Row],[Policy Type]],1)</f>
        <v>2</v>
      </c>
    </row>
    <row r="822" spans="1:3" x14ac:dyDescent="0.25">
      <c r="A822">
        <v>249803</v>
      </c>
      <c r="B822" t="s">
        <v>2</v>
      </c>
      <c r="C822" t="str">
        <f>LEFT(Table4[[#This Row],[Policy Type]],1)</f>
        <v>1</v>
      </c>
    </row>
    <row r="823" spans="1:3" x14ac:dyDescent="0.25">
      <c r="A823">
        <v>192393</v>
      </c>
      <c r="B823" t="s">
        <v>2</v>
      </c>
      <c r="C823" t="str">
        <f>LEFT(Table4[[#This Row],[Policy Type]],1)</f>
        <v>1</v>
      </c>
    </row>
    <row r="824" spans="1:3" x14ac:dyDescent="0.25">
      <c r="A824">
        <v>213298</v>
      </c>
      <c r="B824" t="s">
        <v>2</v>
      </c>
      <c r="C824" t="str">
        <f>LEFT(Table4[[#This Row],[Policy Type]],1)</f>
        <v>1</v>
      </c>
    </row>
    <row r="825" spans="1:3" x14ac:dyDescent="0.25">
      <c r="A825">
        <v>258564</v>
      </c>
      <c r="B825" t="s">
        <v>2</v>
      </c>
      <c r="C825" t="str">
        <f>LEFT(Table4[[#This Row],[Policy Type]],1)</f>
        <v>1</v>
      </c>
    </row>
    <row r="826" spans="1:3" x14ac:dyDescent="0.25">
      <c r="A826">
        <v>258573</v>
      </c>
      <c r="B826" t="s">
        <v>3</v>
      </c>
      <c r="C826" t="str">
        <f>LEFT(Table4[[#This Row],[Policy Type]],1)</f>
        <v>2</v>
      </c>
    </row>
    <row r="827" spans="1:3" x14ac:dyDescent="0.25">
      <c r="A827">
        <v>258571</v>
      </c>
      <c r="B827" t="s">
        <v>3</v>
      </c>
      <c r="C827" t="str">
        <f>LEFT(Table4[[#This Row],[Policy Type]],1)</f>
        <v>2</v>
      </c>
    </row>
    <row r="828" spans="1:3" x14ac:dyDescent="0.25">
      <c r="A828">
        <v>258575</v>
      </c>
      <c r="B828" t="s">
        <v>2</v>
      </c>
      <c r="C828" t="str">
        <f>LEFT(Table4[[#This Row],[Policy Type]],1)</f>
        <v>1</v>
      </c>
    </row>
    <row r="829" spans="1:3" x14ac:dyDescent="0.25">
      <c r="A829">
        <v>258572</v>
      </c>
      <c r="B829" t="s">
        <v>2</v>
      </c>
      <c r="C829" t="str">
        <f>LEFT(Table4[[#This Row],[Policy Type]],1)</f>
        <v>1</v>
      </c>
    </row>
    <row r="830" spans="1:3" x14ac:dyDescent="0.25">
      <c r="A830">
        <v>205898</v>
      </c>
      <c r="B830" t="s">
        <v>3</v>
      </c>
      <c r="C830" t="str">
        <f>LEFT(Table4[[#This Row],[Policy Type]],1)</f>
        <v>2</v>
      </c>
    </row>
    <row r="831" spans="1:3" x14ac:dyDescent="0.25">
      <c r="A831">
        <v>258579</v>
      </c>
      <c r="B831" t="s">
        <v>3</v>
      </c>
      <c r="C831" t="str">
        <f>LEFT(Table4[[#This Row],[Policy Type]],1)</f>
        <v>2</v>
      </c>
    </row>
    <row r="832" spans="1:3" x14ac:dyDescent="0.25">
      <c r="A832">
        <v>258580</v>
      </c>
      <c r="B832" t="s">
        <v>3</v>
      </c>
      <c r="C832" t="str">
        <f>LEFT(Table4[[#This Row],[Policy Type]],1)</f>
        <v>2</v>
      </c>
    </row>
    <row r="833" spans="1:3" x14ac:dyDescent="0.25">
      <c r="A833">
        <v>258581</v>
      </c>
      <c r="B833" t="s">
        <v>2</v>
      </c>
      <c r="C833" t="str">
        <f>LEFT(Table4[[#This Row],[Policy Type]],1)</f>
        <v>1</v>
      </c>
    </row>
    <row r="834" spans="1:3" x14ac:dyDescent="0.25">
      <c r="A834">
        <v>236845</v>
      </c>
      <c r="B834" t="s">
        <v>3</v>
      </c>
      <c r="C834" t="str">
        <f>LEFT(Table4[[#This Row],[Policy Type]],1)</f>
        <v>2</v>
      </c>
    </row>
    <row r="835" spans="1:3" x14ac:dyDescent="0.25">
      <c r="A835">
        <v>258589</v>
      </c>
      <c r="B835" t="s">
        <v>3</v>
      </c>
      <c r="C835" t="str">
        <f>LEFT(Table4[[#This Row],[Policy Type]],1)</f>
        <v>2</v>
      </c>
    </row>
    <row r="836" spans="1:3" x14ac:dyDescent="0.25">
      <c r="A836">
        <v>258593</v>
      </c>
      <c r="B836" t="s">
        <v>3</v>
      </c>
      <c r="C836" t="str">
        <f>LEFT(Table4[[#This Row],[Policy Type]],1)</f>
        <v>2</v>
      </c>
    </row>
    <row r="837" spans="1:3" x14ac:dyDescent="0.25">
      <c r="A837">
        <v>258599</v>
      </c>
      <c r="B837" t="s">
        <v>2</v>
      </c>
      <c r="C837" t="str">
        <f>LEFT(Table4[[#This Row],[Policy Type]],1)</f>
        <v>1</v>
      </c>
    </row>
    <row r="838" spans="1:3" x14ac:dyDescent="0.25">
      <c r="A838">
        <v>258601</v>
      </c>
      <c r="B838" t="s">
        <v>3</v>
      </c>
      <c r="C838" t="str">
        <f>LEFT(Table4[[#This Row],[Policy Type]],1)</f>
        <v>2</v>
      </c>
    </row>
    <row r="839" spans="1:3" x14ac:dyDescent="0.25">
      <c r="A839">
        <v>258600</v>
      </c>
      <c r="B839" t="s">
        <v>3</v>
      </c>
      <c r="C839" t="str">
        <f>LEFT(Table4[[#This Row],[Policy Type]],1)</f>
        <v>2</v>
      </c>
    </row>
    <row r="840" spans="1:3" x14ac:dyDescent="0.25">
      <c r="A840">
        <v>258604</v>
      </c>
      <c r="B840" t="s">
        <v>3</v>
      </c>
      <c r="C840" t="str">
        <f>LEFT(Table4[[#This Row],[Policy Type]],1)</f>
        <v>2</v>
      </c>
    </row>
    <row r="841" spans="1:3" x14ac:dyDescent="0.25">
      <c r="A841">
        <v>258609</v>
      </c>
      <c r="B841" t="s">
        <v>2</v>
      </c>
      <c r="C841" t="str">
        <f>LEFT(Table4[[#This Row],[Policy Type]],1)</f>
        <v>1</v>
      </c>
    </row>
    <row r="842" spans="1:3" x14ac:dyDescent="0.25">
      <c r="A842">
        <v>246487</v>
      </c>
      <c r="B842" t="s">
        <v>2</v>
      </c>
      <c r="C842" t="str">
        <f>LEFT(Table4[[#This Row],[Policy Type]],1)</f>
        <v>1</v>
      </c>
    </row>
    <row r="843" spans="1:3" x14ac:dyDescent="0.25">
      <c r="A843">
        <v>258612</v>
      </c>
      <c r="B843" t="s">
        <v>2</v>
      </c>
      <c r="C843" t="str">
        <f>LEFT(Table4[[#This Row],[Policy Type]],1)</f>
        <v>1</v>
      </c>
    </row>
    <row r="844" spans="1:3" x14ac:dyDescent="0.25">
      <c r="A844">
        <v>258621</v>
      </c>
      <c r="B844" t="s">
        <v>3</v>
      </c>
      <c r="C844" t="str">
        <f>LEFT(Table4[[#This Row],[Policy Type]],1)</f>
        <v>2</v>
      </c>
    </row>
    <row r="845" spans="1:3" x14ac:dyDescent="0.25">
      <c r="A845">
        <v>258617</v>
      </c>
      <c r="B845" t="s">
        <v>3</v>
      </c>
      <c r="C845" t="str">
        <f>LEFT(Table4[[#This Row],[Policy Type]],1)</f>
        <v>2</v>
      </c>
    </row>
    <row r="846" spans="1:3" x14ac:dyDescent="0.25">
      <c r="A846">
        <v>258620</v>
      </c>
      <c r="B846" t="s">
        <v>2</v>
      </c>
      <c r="C846" t="str">
        <f>LEFT(Table4[[#This Row],[Policy Type]],1)</f>
        <v>1</v>
      </c>
    </row>
    <row r="847" spans="1:3" x14ac:dyDescent="0.25">
      <c r="A847">
        <v>258628</v>
      </c>
      <c r="B847" t="s">
        <v>2</v>
      </c>
      <c r="C847" t="str">
        <f>LEFT(Table4[[#This Row],[Policy Type]],1)</f>
        <v>1</v>
      </c>
    </row>
    <row r="848" spans="1:3" x14ac:dyDescent="0.25">
      <c r="A848">
        <v>249597</v>
      </c>
      <c r="B848" t="s">
        <v>3</v>
      </c>
      <c r="C848" t="str">
        <f>LEFT(Table4[[#This Row],[Policy Type]],1)</f>
        <v>2</v>
      </c>
    </row>
    <row r="849" spans="1:3" x14ac:dyDescent="0.25">
      <c r="A849">
        <v>206384</v>
      </c>
      <c r="B849" t="s">
        <v>3</v>
      </c>
      <c r="C849" t="str">
        <f>LEFT(Table4[[#This Row],[Policy Type]],1)</f>
        <v>2</v>
      </c>
    </row>
    <row r="850" spans="1:3" x14ac:dyDescent="0.25">
      <c r="A850">
        <v>258636</v>
      </c>
      <c r="B850" t="s">
        <v>3</v>
      </c>
      <c r="C850" t="str">
        <f>LEFT(Table4[[#This Row],[Policy Type]],1)</f>
        <v>2</v>
      </c>
    </row>
    <row r="851" spans="1:3" x14ac:dyDescent="0.25">
      <c r="A851">
        <v>258633</v>
      </c>
      <c r="B851" t="s">
        <v>3</v>
      </c>
      <c r="C851" t="str">
        <f>LEFT(Table4[[#This Row],[Policy Type]],1)</f>
        <v>2</v>
      </c>
    </row>
    <row r="852" spans="1:3" x14ac:dyDescent="0.25">
      <c r="A852">
        <v>258634</v>
      </c>
      <c r="B852" t="s">
        <v>3</v>
      </c>
      <c r="C852" t="str">
        <f>LEFT(Table4[[#This Row],[Policy Type]],1)</f>
        <v>2</v>
      </c>
    </row>
    <row r="853" spans="1:3" x14ac:dyDescent="0.25">
      <c r="A853">
        <v>249047</v>
      </c>
      <c r="B853" t="s">
        <v>2</v>
      </c>
      <c r="C853" t="str">
        <f>LEFT(Table4[[#This Row],[Policy Type]],1)</f>
        <v>1</v>
      </c>
    </row>
    <row r="854" spans="1:3" x14ac:dyDescent="0.25">
      <c r="A854">
        <v>258653</v>
      </c>
      <c r="B854" t="s">
        <v>3</v>
      </c>
      <c r="C854" t="str">
        <f>LEFT(Table4[[#This Row],[Policy Type]],1)</f>
        <v>2</v>
      </c>
    </row>
    <row r="855" spans="1:3" x14ac:dyDescent="0.25">
      <c r="A855">
        <v>258652</v>
      </c>
      <c r="B855" t="s">
        <v>2</v>
      </c>
      <c r="C855" t="str">
        <f>LEFT(Table4[[#This Row],[Policy Type]],1)</f>
        <v>1</v>
      </c>
    </row>
    <row r="856" spans="1:3" x14ac:dyDescent="0.25">
      <c r="A856">
        <v>258662</v>
      </c>
      <c r="B856" t="s">
        <v>2</v>
      </c>
      <c r="C856" t="str">
        <f>LEFT(Table4[[#This Row],[Policy Type]],1)</f>
        <v>1</v>
      </c>
    </row>
    <row r="857" spans="1:3" x14ac:dyDescent="0.25">
      <c r="A857">
        <v>258660</v>
      </c>
      <c r="B857" t="s">
        <v>3</v>
      </c>
      <c r="C857" t="str">
        <f>LEFT(Table4[[#This Row],[Policy Type]],1)</f>
        <v>2</v>
      </c>
    </row>
    <row r="858" spans="1:3" x14ac:dyDescent="0.25">
      <c r="A858">
        <v>258664</v>
      </c>
      <c r="B858" t="s">
        <v>3</v>
      </c>
      <c r="C858" t="str">
        <f>LEFT(Table4[[#This Row],[Policy Type]],1)</f>
        <v>2</v>
      </c>
    </row>
    <row r="859" spans="1:3" x14ac:dyDescent="0.25">
      <c r="A859">
        <v>258665</v>
      </c>
      <c r="B859" t="s">
        <v>3</v>
      </c>
      <c r="C859" t="str">
        <f>LEFT(Table4[[#This Row],[Policy Type]],1)</f>
        <v>2</v>
      </c>
    </row>
    <row r="860" spans="1:3" x14ac:dyDescent="0.25">
      <c r="A860">
        <v>258670</v>
      </c>
      <c r="B860" t="s">
        <v>3</v>
      </c>
      <c r="C860" t="str">
        <f>LEFT(Table4[[#This Row],[Policy Type]],1)</f>
        <v>2</v>
      </c>
    </row>
    <row r="861" spans="1:3" x14ac:dyDescent="0.25">
      <c r="A861">
        <v>258674</v>
      </c>
      <c r="B861" t="s">
        <v>3</v>
      </c>
      <c r="C861" t="str">
        <f>LEFT(Table4[[#This Row],[Policy Type]],1)</f>
        <v>2</v>
      </c>
    </row>
    <row r="862" spans="1:3" x14ac:dyDescent="0.25">
      <c r="A862">
        <v>258683</v>
      </c>
      <c r="B862" t="s">
        <v>2</v>
      </c>
      <c r="C862" t="str">
        <f>LEFT(Table4[[#This Row],[Policy Type]],1)</f>
        <v>1</v>
      </c>
    </row>
    <row r="863" spans="1:3" x14ac:dyDescent="0.25">
      <c r="A863">
        <v>258684</v>
      </c>
      <c r="B863" t="s">
        <v>2</v>
      </c>
      <c r="C863" t="str">
        <f>LEFT(Table4[[#This Row],[Policy Type]],1)</f>
        <v>1</v>
      </c>
    </row>
    <row r="864" spans="1:3" x14ac:dyDescent="0.25">
      <c r="A864">
        <v>258687</v>
      </c>
      <c r="B864" t="s">
        <v>2</v>
      </c>
      <c r="C864" t="str">
        <f>LEFT(Table4[[#This Row],[Policy Type]],1)</f>
        <v>1</v>
      </c>
    </row>
    <row r="865" spans="1:3" x14ac:dyDescent="0.25">
      <c r="A865">
        <v>258686</v>
      </c>
      <c r="B865" t="s">
        <v>2</v>
      </c>
      <c r="C865" t="str">
        <f>LEFT(Table4[[#This Row],[Policy Type]],1)</f>
        <v>1</v>
      </c>
    </row>
    <row r="866" spans="1:3" x14ac:dyDescent="0.25">
      <c r="A866">
        <v>258688</v>
      </c>
      <c r="B866" t="s">
        <v>2</v>
      </c>
      <c r="C866" t="str">
        <f>LEFT(Table4[[#This Row],[Policy Type]],1)</f>
        <v>1</v>
      </c>
    </row>
    <row r="867" spans="1:3" x14ac:dyDescent="0.25">
      <c r="A867">
        <v>258690</v>
      </c>
      <c r="B867" t="s">
        <v>3</v>
      </c>
      <c r="C867" t="str">
        <f>LEFT(Table4[[#This Row],[Policy Type]],1)</f>
        <v>2</v>
      </c>
    </row>
    <row r="868" spans="1:3" x14ac:dyDescent="0.25">
      <c r="A868">
        <v>258693</v>
      </c>
      <c r="B868" t="s">
        <v>2</v>
      </c>
      <c r="C868" t="str">
        <f>LEFT(Table4[[#This Row],[Policy Type]],1)</f>
        <v>1</v>
      </c>
    </row>
    <row r="869" spans="1:3" x14ac:dyDescent="0.25">
      <c r="A869">
        <v>231342</v>
      </c>
      <c r="B869" t="s">
        <v>3</v>
      </c>
      <c r="C869" t="str">
        <f>LEFT(Table4[[#This Row],[Policy Type]],1)</f>
        <v>2</v>
      </c>
    </row>
    <row r="870" spans="1:3" x14ac:dyDescent="0.25">
      <c r="A870">
        <v>234544</v>
      </c>
      <c r="B870" t="s">
        <v>2</v>
      </c>
      <c r="C870" t="str">
        <f>LEFT(Table4[[#This Row],[Policy Type]],1)</f>
        <v>1</v>
      </c>
    </row>
    <row r="871" spans="1:3" x14ac:dyDescent="0.25">
      <c r="A871">
        <v>258250</v>
      </c>
      <c r="B871" t="s">
        <v>2</v>
      </c>
      <c r="C871" t="str">
        <f>LEFT(Table4[[#This Row],[Policy Type]],1)</f>
        <v>1</v>
      </c>
    </row>
    <row r="872" spans="1:3" x14ac:dyDescent="0.25">
      <c r="A872">
        <v>258694</v>
      </c>
      <c r="B872" t="s">
        <v>3</v>
      </c>
      <c r="C872" t="str">
        <f>LEFT(Table4[[#This Row],[Policy Type]],1)</f>
        <v>2</v>
      </c>
    </row>
    <row r="873" spans="1:3" x14ac:dyDescent="0.25">
      <c r="A873">
        <v>258702</v>
      </c>
      <c r="B873" t="s">
        <v>2</v>
      </c>
      <c r="C873" t="str">
        <f>LEFT(Table4[[#This Row],[Policy Type]],1)</f>
        <v>1</v>
      </c>
    </row>
    <row r="874" spans="1:3" x14ac:dyDescent="0.25">
      <c r="A874">
        <v>258703</v>
      </c>
      <c r="B874" t="s">
        <v>2</v>
      </c>
      <c r="C874" t="str">
        <f>LEFT(Table4[[#This Row],[Policy Type]],1)</f>
        <v>1</v>
      </c>
    </row>
    <row r="875" spans="1:3" x14ac:dyDescent="0.25">
      <c r="A875">
        <v>211828</v>
      </c>
      <c r="B875" t="s">
        <v>3</v>
      </c>
      <c r="C875" t="str">
        <f>LEFT(Table4[[#This Row],[Policy Type]],1)</f>
        <v>2</v>
      </c>
    </row>
    <row r="876" spans="1:3" x14ac:dyDescent="0.25">
      <c r="A876">
        <v>258728</v>
      </c>
      <c r="B876" t="s">
        <v>3</v>
      </c>
      <c r="C876" t="str">
        <f>LEFT(Table4[[#This Row],[Policy Type]],1)</f>
        <v>2</v>
      </c>
    </row>
    <row r="877" spans="1:3" x14ac:dyDescent="0.25">
      <c r="A877">
        <v>258715</v>
      </c>
      <c r="B877" t="s">
        <v>3</v>
      </c>
      <c r="C877" t="str">
        <f>LEFT(Table4[[#This Row],[Policy Type]],1)</f>
        <v>2</v>
      </c>
    </row>
    <row r="878" spans="1:3" x14ac:dyDescent="0.25">
      <c r="A878">
        <v>258719</v>
      </c>
      <c r="B878" t="s">
        <v>2</v>
      </c>
      <c r="C878" t="str">
        <f>LEFT(Table4[[#This Row],[Policy Type]],1)</f>
        <v>1</v>
      </c>
    </row>
    <row r="879" spans="1:3" x14ac:dyDescent="0.25">
      <c r="A879">
        <v>258725</v>
      </c>
      <c r="B879" t="s">
        <v>2</v>
      </c>
      <c r="C879" t="str">
        <f>LEFT(Table4[[#This Row],[Policy Type]],1)</f>
        <v>1</v>
      </c>
    </row>
    <row r="880" spans="1:3" x14ac:dyDescent="0.25">
      <c r="A880">
        <v>258727</v>
      </c>
      <c r="B880" t="s">
        <v>3</v>
      </c>
      <c r="C880" t="str">
        <f>LEFT(Table4[[#This Row],[Policy Type]],1)</f>
        <v>2</v>
      </c>
    </row>
    <row r="881" spans="1:3" x14ac:dyDescent="0.25">
      <c r="A881">
        <v>258732</v>
      </c>
      <c r="B881" t="s">
        <v>2</v>
      </c>
      <c r="C881" t="str">
        <f>LEFT(Table4[[#This Row],[Policy Type]],1)</f>
        <v>1</v>
      </c>
    </row>
    <row r="882" spans="1:3" x14ac:dyDescent="0.25">
      <c r="A882">
        <v>258733</v>
      </c>
      <c r="B882" t="s">
        <v>3</v>
      </c>
      <c r="C882" t="str">
        <f>LEFT(Table4[[#This Row],[Policy Type]],1)</f>
        <v>2</v>
      </c>
    </row>
    <row r="883" spans="1:3" x14ac:dyDescent="0.25">
      <c r="A883">
        <v>258735</v>
      </c>
      <c r="B883" t="s">
        <v>2</v>
      </c>
      <c r="C883" t="str">
        <f>LEFT(Table4[[#This Row],[Policy Type]],1)</f>
        <v>1</v>
      </c>
    </row>
    <row r="884" spans="1:3" x14ac:dyDescent="0.25">
      <c r="A884">
        <v>258744</v>
      </c>
      <c r="B884" t="s">
        <v>2</v>
      </c>
      <c r="C884" t="str">
        <f>LEFT(Table4[[#This Row],[Policy Type]],1)</f>
        <v>1</v>
      </c>
    </row>
    <row r="885" spans="1:3" x14ac:dyDescent="0.25">
      <c r="A885">
        <v>190756</v>
      </c>
      <c r="B885" t="s">
        <v>3</v>
      </c>
      <c r="C885" t="str">
        <f>LEFT(Table4[[#This Row],[Policy Type]],1)</f>
        <v>2</v>
      </c>
    </row>
    <row r="886" spans="1:3" x14ac:dyDescent="0.25">
      <c r="A886">
        <v>258745</v>
      </c>
      <c r="B886" t="s">
        <v>2</v>
      </c>
      <c r="C886" t="str">
        <f>LEFT(Table4[[#This Row],[Policy Type]],1)</f>
        <v>1</v>
      </c>
    </row>
    <row r="887" spans="1:3" x14ac:dyDescent="0.25">
      <c r="A887">
        <v>190369</v>
      </c>
      <c r="B887" t="s">
        <v>2</v>
      </c>
      <c r="C887" t="str">
        <f>LEFT(Table4[[#This Row],[Policy Type]],1)</f>
        <v>1</v>
      </c>
    </row>
    <row r="888" spans="1:3" x14ac:dyDescent="0.25">
      <c r="A888">
        <v>213559</v>
      </c>
      <c r="B888" t="s">
        <v>3</v>
      </c>
      <c r="C888" t="str">
        <f>LEFT(Table4[[#This Row],[Policy Type]],1)</f>
        <v>2</v>
      </c>
    </row>
    <row r="889" spans="1:3" x14ac:dyDescent="0.25">
      <c r="A889">
        <v>163130</v>
      </c>
      <c r="B889" t="s">
        <v>3</v>
      </c>
      <c r="C889" t="str">
        <f>LEFT(Table4[[#This Row],[Policy Type]],1)</f>
        <v>2</v>
      </c>
    </row>
    <row r="890" spans="1:3" x14ac:dyDescent="0.25">
      <c r="A890">
        <v>258747</v>
      </c>
      <c r="B890" t="s">
        <v>2</v>
      </c>
      <c r="C890" t="str">
        <f>LEFT(Table4[[#This Row],[Policy Type]],1)</f>
        <v>1</v>
      </c>
    </row>
    <row r="891" spans="1:3" x14ac:dyDescent="0.25">
      <c r="A891">
        <v>202898</v>
      </c>
      <c r="B891" t="s">
        <v>3</v>
      </c>
      <c r="C891" t="str">
        <f>LEFT(Table4[[#This Row],[Policy Type]],1)</f>
        <v>2</v>
      </c>
    </row>
    <row r="892" spans="1:3" x14ac:dyDescent="0.25">
      <c r="A892">
        <v>258751</v>
      </c>
      <c r="B892" t="s">
        <v>2</v>
      </c>
      <c r="C892" t="str">
        <f>LEFT(Table4[[#This Row],[Policy Type]],1)</f>
        <v>1</v>
      </c>
    </row>
    <row r="893" spans="1:3" x14ac:dyDescent="0.25">
      <c r="A893">
        <v>258752</v>
      </c>
      <c r="B893" t="s">
        <v>3</v>
      </c>
      <c r="C893" t="str">
        <f>LEFT(Table4[[#This Row],[Policy Type]],1)</f>
        <v>2</v>
      </c>
    </row>
    <row r="894" spans="1:3" x14ac:dyDescent="0.25">
      <c r="A894">
        <v>258756</v>
      </c>
      <c r="B894" t="s">
        <v>3</v>
      </c>
      <c r="C894" t="str">
        <f>LEFT(Table4[[#This Row],[Policy Type]],1)</f>
        <v>2</v>
      </c>
    </row>
    <row r="895" spans="1:3" x14ac:dyDescent="0.25">
      <c r="A895">
        <v>258757</v>
      </c>
      <c r="B895" t="s">
        <v>3</v>
      </c>
      <c r="C895" t="str">
        <f>LEFT(Table4[[#This Row],[Policy Type]],1)</f>
        <v>2</v>
      </c>
    </row>
    <row r="896" spans="1:3" x14ac:dyDescent="0.25">
      <c r="A896">
        <v>252224</v>
      </c>
      <c r="B896" t="s">
        <v>2</v>
      </c>
      <c r="C896" t="str">
        <f>LEFT(Table4[[#This Row],[Policy Type]],1)</f>
        <v>1</v>
      </c>
    </row>
    <row r="897" spans="1:3" x14ac:dyDescent="0.25">
      <c r="A897">
        <v>243263</v>
      </c>
      <c r="B897" t="s">
        <v>3</v>
      </c>
      <c r="C897" t="str">
        <f>LEFT(Table4[[#This Row],[Policy Type]],1)</f>
        <v>2</v>
      </c>
    </row>
    <row r="898" spans="1:3" x14ac:dyDescent="0.25">
      <c r="A898">
        <v>257069</v>
      </c>
      <c r="B898" t="s">
        <v>2</v>
      </c>
      <c r="C898" t="str">
        <f>LEFT(Table4[[#This Row],[Policy Type]],1)</f>
        <v>1</v>
      </c>
    </row>
    <row r="899" spans="1:3" x14ac:dyDescent="0.25">
      <c r="A899">
        <v>247522</v>
      </c>
      <c r="B899" t="s">
        <v>2</v>
      </c>
      <c r="C899" t="str">
        <f>LEFT(Table4[[#This Row],[Policy Type]],1)</f>
        <v>1</v>
      </c>
    </row>
    <row r="900" spans="1:3" x14ac:dyDescent="0.25">
      <c r="A900">
        <v>253383</v>
      </c>
      <c r="B900" t="s">
        <v>3</v>
      </c>
      <c r="C900" t="str">
        <f>LEFT(Table4[[#This Row],[Policy Type]],1)</f>
        <v>2</v>
      </c>
    </row>
    <row r="901" spans="1:3" x14ac:dyDescent="0.25">
      <c r="A901">
        <v>239988</v>
      </c>
      <c r="B901" t="s">
        <v>3</v>
      </c>
      <c r="C901" t="str">
        <f>LEFT(Table4[[#This Row],[Policy Type]],1)</f>
        <v>2</v>
      </c>
    </row>
    <row r="902" spans="1:3" x14ac:dyDescent="0.25">
      <c r="A902">
        <v>182133</v>
      </c>
      <c r="B902" t="s">
        <v>2</v>
      </c>
      <c r="C902" t="str">
        <f>LEFT(Table4[[#This Row],[Policy Type]],1)</f>
        <v>1</v>
      </c>
    </row>
    <row r="903" spans="1:3" x14ac:dyDescent="0.25">
      <c r="A903">
        <v>253122</v>
      </c>
      <c r="B903" t="s">
        <v>2</v>
      </c>
      <c r="C903" t="str">
        <f>LEFT(Table4[[#This Row],[Policy Type]],1)</f>
        <v>1</v>
      </c>
    </row>
    <row r="904" spans="1:3" x14ac:dyDescent="0.25">
      <c r="A904">
        <v>258782</v>
      </c>
      <c r="B904" t="s">
        <v>3</v>
      </c>
      <c r="C904" t="str">
        <f>LEFT(Table4[[#This Row],[Policy Type]],1)</f>
        <v>2</v>
      </c>
    </row>
    <row r="905" spans="1:3" x14ac:dyDescent="0.25">
      <c r="A905">
        <v>258315</v>
      </c>
      <c r="B905" t="s">
        <v>2</v>
      </c>
      <c r="C905" t="str">
        <f>LEFT(Table4[[#This Row],[Policy Type]],1)</f>
        <v>1</v>
      </c>
    </row>
    <row r="906" spans="1:3" x14ac:dyDescent="0.25">
      <c r="A906">
        <v>258786</v>
      </c>
      <c r="B906" t="s">
        <v>3</v>
      </c>
      <c r="C906" t="str">
        <f>LEFT(Table4[[#This Row],[Policy Type]],1)</f>
        <v>2</v>
      </c>
    </row>
    <row r="907" spans="1:3" x14ac:dyDescent="0.25">
      <c r="A907">
        <v>258787</v>
      </c>
      <c r="B907" t="s">
        <v>3</v>
      </c>
      <c r="C907" t="str">
        <f>LEFT(Table4[[#This Row],[Policy Type]],1)</f>
        <v>2</v>
      </c>
    </row>
    <row r="908" spans="1:3" x14ac:dyDescent="0.25">
      <c r="A908">
        <v>258789</v>
      </c>
      <c r="B908" t="s">
        <v>3</v>
      </c>
      <c r="C908" t="str">
        <f>LEFT(Table4[[#This Row],[Policy Type]],1)</f>
        <v>2</v>
      </c>
    </row>
    <row r="909" spans="1:3" x14ac:dyDescent="0.25">
      <c r="A909">
        <v>258796</v>
      </c>
      <c r="B909" t="s">
        <v>3</v>
      </c>
      <c r="C909" t="str">
        <f>LEFT(Table4[[#This Row],[Policy Type]],1)</f>
        <v>2</v>
      </c>
    </row>
    <row r="910" spans="1:3" x14ac:dyDescent="0.25">
      <c r="A910">
        <v>258791</v>
      </c>
      <c r="B910" t="s">
        <v>3</v>
      </c>
      <c r="C910" t="str">
        <f>LEFT(Table4[[#This Row],[Policy Type]],1)</f>
        <v>2</v>
      </c>
    </row>
    <row r="911" spans="1:3" x14ac:dyDescent="0.25">
      <c r="A911">
        <v>258799</v>
      </c>
      <c r="B911" t="s">
        <v>2</v>
      </c>
      <c r="C911" t="str">
        <f>LEFT(Table4[[#This Row],[Policy Type]],1)</f>
        <v>1</v>
      </c>
    </row>
    <row r="912" spans="1:3" x14ac:dyDescent="0.25">
      <c r="A912">
        <v>258798</v>
      </c>
      <c r="B912" t="s">
        <v>2</v>
      </c>
      <c r="C912" t="str">
        <f>LEFT(Table4[[#This Row],[Policy Type]],1)</f>
        <v>1</v>
      </c>
    </row>
    <row r="913" spans="1:3" x14ac:dyDescent="0.25">
      <c r="A913">
        <v>258793</v>
      </c>
      <c r="B913" t="s">
        <v>2</v>
      </c>
      <c r="C913" t="str">
        <f>LEFT(Table4[[#This Row],[Policy Type]],1)</f>
        <v>1</v>
      </c>
    </row>
    <row r="914" spans="1:3" x14ac:dyDescent="0.25">
      <c r="A914">
        <v>258795</v>
      </c>
      <c r="B914" t="s">
        <v>3</v>
      </c>
      <c r="C914" t="str">
        <f>LEFT(Table4[[#This Row],[Policy Type]],1)</f>
        <v>2</v>
      </c>
    </row>
    <row r="915" spans="1:3" x14ac:dyDescent="0.25">
      <c r="A915">
        <v>209112</v>
      </c>
      <c r="B915" t="s">
        <v>2</v>
      </c>
      <c r="C915" t="str">
        <f>LEFT(Table4[[#This Row],[Policy Type]],1)</f>
        <v>1</v>
      </c>
    </row>
    <row r="916" spans="1:3" x14ac:dyDescent="0.25">
      <c r="A916">
        <v>258807</v>
      </c>
      <c r="B916" t="s">
        <v>3</v>
      </c>
      <c r="C916" t="str">
        <f>LEFT(Table4[[#This Row],[Policy Type]],1)</f>
        <v>2</v>
      </c>
    </row>
    <row r="917" spans="1:3" x14ac:dyDescent="0.25">
      <c r="A917">
        <v>258810</v>
      </c>
      <c r="B917" t="s">
        <v>2</v>
      </c>
      <c r="C917" t="str">
        <f>LEFT(Table4[[#This Row],[Policy Type]],1)</f>
        <v>1</v>
      </c>
    </row>
    <row r="918" spans="1:3" x14ac:dyDescent="0.25">
      <c r="A918">
        <v>258815</v>
      </c>
      <c r="B918" t="s">
        <v>2</v>
      </c>
      <c r="C918" t="str">
        <f>LEFT(Table4[[#This Row],[Policy Type]],1)</f>
        <v>1</v>
      </c>
    </row>
    <row r="919" spans="1:3" x14ac:dyDescent="0.25">
      <c r="A919">
        <v>258818</v>
      </c>
      <c r="B919" t="s">
        <v>2</v>
      </c>
      <c r="C919" t="str">
        <f>LEFT(Table4[[#This Row],[Policy Type]],1)</f>
        <v>1</v>
      </c>
    </row>
    <row r="920" spans="1:3" x14ac:dyDescent="0.25">
      <c r="A920">
        <v>258816</v>
      </c>
      <c r="B920" t="s">
        <v>3</v>
      </c>
      <c r="C920" t="str">
        <f>LEFT(Table4[[#This Row],[Policy Type]],1)</f>
        <v>2</v>
      </c>
    </row>
    <row r="921" spans="1:3" x14ac:dyDescent="0.25">
      <c r="A921">
        <v>258814</v>
      </c>
      <c r="B921" t="s">
        <v>3</v>
      </c>
      <c r="C921" t="str">
        <f>LEFT(Table4[[#This Row],[Policy Type]],1)</f>
        <v>2</v>
      </c>
    </row>
    <row r="922" spans="1:3" x14ac:dyDescent="0.25">
      <c r="A922">
        <v>258826</v>
      </c>
      <c r="B922" t="s">
        <v>3</v>
      </c>
      <c r="C922" t="str">
        <f>LEFT(Table4[[#This Row],[Policy Type]],1)</f>
        <v>2</v>
      </c>
    </row>
    <row r="923" spans="1:3" x14ac:dyDescent="0.25">
      <c r="A923">
        <v>258822</v>
      </c>
      <c r="B923" t="s">
        <v>3</v>
      </c>
      <c r="C923" t="str">
        <f>LEFT(Table4[[#This Row],[Policy Type]],1)</f>
        <v>2</v>
      </c>
    </row>
    <row r="924" spans="1:3" x14ac:dyDescent="0.25">
      <c r="A924">
        <v>243489</v>
      </c>
      <c r="B924" t="s">
        <v>2</v>
      </c>
      <c r="C924" t="str">
        <f>LEFT(Table4[[#This Row],[Policy Type]],1)</f>
        <v>1</v>
      </c>
    </row>
    <row r="925" spans="1:3" x14ac:dyDescent="0.25">
      <c r="A925">
        <v>252236</v>
      </c>
      <c r="B925" t="s">
        <v>2</v>
      </c>
      <c r="C925" t="str">
        <f>LEFT(Table4[[#This Row],[Policy Type]],1)</f>
        <v>1</v>
      </c>
    </row>
    <row r="926" spans="1:3" x14ac:dyDescent="0.25">
      <c r="A926">
        <v>258840</v>
      </c>
      <c r="B926" t="s">
        <v>2</v>
      </c>
      <c r="C926" t="str">
        <f>LEFT(Table4[[#This Row],[Policy Type]],1)</f>
        <v>1</v>
      </c>
    </row>
    <row r="927" spans="1:3" x14ac:dyDescent="0.25">
      <c r="A927">
        <v>252708</v>
      </c>
      <c r="B927" t="s">
        <v>2</v>
      </c>
      <c r="C927" t="str">
        <f>LEFT(Table4[[#This Row],[Policy Type]],1)</f>
        <v>1</v>
      </c>
    </row>
    <row r="928" spans="1:3" x14ac:dyDescent="0.25">
      <c r="A928">
        <v>170499</v>
      </c>
      <c r="B928" t="s">
        <v>3</v>
      </c>
      <c r="C928" t="str">
        <f>LEFT(Table4[[#This Row],[Policy Type]],1)</f>
        <v>2</v>
      </c>
    </row>
    <row r="929" spans="1:3" x14ac:dyDescent="0.25">
      <c r="A929">
        <v>216737</v>
      </c>
      <c r="B929" t="s">
        <v>2</v>
      </c>
      <c r="C929" t="str">
        <f>LEFT(Table4[[#This Row],[Policy Type]],1)</f>
        <v>1</v>
      </c>
    </row>
    <row r="930" spans="1:3" x14ac:dyDescent="0.25">
      <c r="A930">
        <v>258848</v>
      </c>
      <c r="B930" t="s">
        <v>2</v>
      </c>
      <c r="C930" t="str">
        <f>LEFT(Table4[[#This Row],[Policy Type]],1)</f>
        <v>1</v>
      </c>
    </row>
    <row r="931" spans="1:3" x14ac:dyDescent="0.25">
      <c r="A931">
        <v>258853</v>
      </c>
      <c r="B931" t="s">
        <v>2</v>
      </c>
      <c r="C931" t="str">
        <f>LEFT(Table4[[#This Row],[Policy Type]],1)</f>
        <v>1</v>
      </c>
    </row>
    <row r="932" spans="1:3" x14ac:dyDescent="0.25">
      <c r="A932">
        <v>258857</v>
      </c>
      <c r="B932" t="s">
        <v>3</v>
      </c>
      <c r="C932" t="str">
        <f>LEFT(Table4[[#This Row],[Policy Type]],1)</f>
        <v>2</v>
      </c>
    </row>
    <row r="933" spans="1:3" x14ac:dyDescent="0.25">
      <c r="A933">
        <v>218792</v>
      </c>
      <c r="B933" t="s">
        <v>2</v>
      </c>
      <c r="C933" t="str">
        <f>LEFT(Table4[[#This Row],[Policy Type]],1)</f>
        <v>1</v>
      </c>
    </row>
    <row r="934" spans="1:3" x14ac:dyDescent="0.25">
      <c r="A934">
        <v>242437</v>
      </c>
      <c r="B934" t="s">
        <v>2</v>
      </c>
      <c r="C934" t="str">
        <f>LEFT(Table4[[#This Row],[Policy Type]],1)</f>
        <v>1</v>
      </c>
    </row>
    <row r="935" spans="1:3" x14ac:dyDescent="0.25">
      <c r="A935">
        <v>257347</v>
      </c>
      <c r="B935" t="s">
        <v>2</v>
      </c>
      <c r="C935" t="str">
        <f>LEFT(Table4[[#This Row],[Policy Type]],1)</f>
        <v>1</v>
      </c>
    </row>
    <row r="936" spans="1:3" x14ac:dyDescent="0.25">
      <c r="A936">
        <v>248728</v>
      </c>
      <c r="B936" t="s">
        <v>3</v>
      </c>
      <c r="C936" t="str">
        <f>LEFT(Table4[[#This Row],[Policy Type]],1)</f>
        <v>2</v>
      </c>
    </row>
    <row r="937" spans="1:3" x14ac:dyDescent="0.25">
      <c r="A937">
        <v>226032</v>
      </c>
      <c r="B937" t="s">
        <v>2</v>
      </c>
      <c r="C937" t="str">
        <f>LEFT(Table4[[#This Row],[Policy Type]],1)</f>
        <v>1</v>
      </c>
    </row>
    <row r="938" spans="1:3" x14ac:dyDescent="0.25">
      <c r="A938">
        <v>258866</v>
      </c>
      <c r="B938" t="s">
        <v>3</v>
      </c>
      <c r="C938" t="str">
        <f>LEFT(Table4[[#This Row],[Policy Type]],1)</f>
        <v>2</v>
      </c>
    </row>
    <row r="939" spans="1:3" x14ac:dyDescent="0.25">
      <c r="A939">
        <v>258862</v>
      </c>
      <c r="B939" t="s">
        <v>3</v>
      </c>
      <c r="C939" t="str">
        <f>LEFT(Table4[[#This Row],[Policy Type]],1)</f>
        <v>2</v>
      </c>
    </row>
    <row r="940" spans="1:3" x14ac:dyDescent="0.25">
      <c r="A940">
        <v>258874</v>
      </c>
      <c r="B940" t="s">
        <v>2</v>
      </c>
      <c r="C940" t="str">
        <f>LEFT(Table4[[#This Row],[Policy Type]],1)</f>
        <v>1</v>
      </c>
    </row>
    <row r="941" spans="1:3" x14ac:dyDescent="0.25">
      <c r="A941">
        <v>258869</v>
      </c>
      <c r="B941" t="s">
        <v>2</v>
      </c>
      <c r="C941" t="str">
        <f>LEFT(Table4[[#This Row],[Policy Type]],1)</f>
        <v>1</v>
      </c>
    </row>
    <row r="942" spans="1:3" x14ac:dyDescent="0.25">
      <c r="A942">
        <v>258870</v>
      </c>
      <c r="B942" t="s">
        <v>3</v>
      </c>
      <c r="C942" t="str">
        <f>LEFT(Table4[[#This Row],[Policy Type]],1)</f>
        <v>2</v>
      </c>
    </row>
    <row r="943" spans="1:3" x14ac:dyDescent="0.25">
      <c r="A943">
        <v>258875</v>
      </c>
      <c r="B943" t="s">
        <v>3</v>
      </c>
      <c r="C943" t="str">
        <f>LEFT(Table4[[#This Row],[Policy Type]],1)</f>
        <v>2</v>
      </c>
    </row>
    <row r="944" spans="1:3" x14ac:dyDescent="0.25">
      <c r="A944">
        <v>219387</v>
      </c>
      <c r="B944" t="s">
        <v>3</v>
      </c>
      <c r="C944" t="str">
        <f>LEFT(Table4[[#This Row],[Policy Type]],1)</f>
        <v>2</v>
      </c>
    </row>
    <row r="945" spans="1:3" x14ac:dyDescent="0.25">
      <c r="A945">
        <v>258873</v>
      </c>
      <c r="B945" t="s">
        <v>3</v>
      </c>
      <c r="C945" t="str">
        <f>LEFT(Table4[[#This Row],[Policy Type]],1)</f>
        <v>2</v>
      </c>
    </row>
    <row r="946" spans="1:3" x14ac:dyDescent="0.25">
      <c r="A946">
        <v>258872</v>
      </c>
      <c r="B946" t="s">
        <v>3</v>
      </c>
      <c r="C946" t="str">
        <f>LEFT(Table4[[#This Row],[Policy Type]],1)</f>
        <v>2</v>
      </c>
    </row>
    <row r="947" spans="1:3" x14ac:dyDescent="0.25">
      <c r="A947">
        <v>258886</v>
      </c>
      <c r="B947" t="s">
        <v>3</v>
      </c>
      <c r="C947" t="str">
        <f>LEFT(Table4[[#This Row],[Policy Type]],1)</f>
        <v>2</v>
      </c>
    </row>
    <row r="948" spans="1:3" x14ac:dyDescent="0.25">
      <c r="A948">
        <v>160161</v>
      </c>
      <c r="B948" t="s">
        <v>2</v>
      </c>
      <c r="C948" t="str">
        <f>LEFT(Table4[[#This Row],[Policy Type]],1)</f>
        <v>1</v>
      </c>
    </row>
    <row r="949" spans="1:3" x14ac:dyDescent="0.25">
      <c r="A949">
        <v>258893</v>
      </c>
      <c r="B949" t="s">
        <v>3</v>
      </c>
      <c r="C949" t="str">
        <f>LEFT(Table4[[#This Row],[Policy Type]],1)</f>
        <v>2</v>
      </c>
    </row>
    <row r="950" spans="1:3" x14ac:dyDescent="0.25">
      <c r="A950">
        <v>258900</v>
      </c>
      <c r="B950" t="s">
        <v>3</v>
      </c>
      <c r="C950" t="str">
        <f>LEFT(Table4[[#This Row],[Policy Type]],1)</f>
        <v>2</v>
      </c>
    </row>
    <row r="951" spans="1:3" x14ac:dyDescent="0.25">
      <c r="A951">
        <v>258905</v>
      </c>
      <c r="B951" t="s">
        <v>3</v>
      </c>
      <c r="C951" t="str">
        <f>LEFT(Table4[[#This Row],[Policy Type]],1)</f>
        <v>2</v>
      </c>
    </row>
    <row r="952" spans="1:3" x14ac:dyDescent="0.25">
      <c r="A952">
        <v>258898</v>
      </c>
      <c r="B952" t="s">
        <v>3</v>
      </c>
      <c r="C952" t="str">
        <f>LEFT(Table4[[#This Row],[Policy Type]],1)</f>
        <v>2</v>
      </c>
    </row>
    <row r="953" spans="1:3" x14ac:dyDescent="0.25">
      <c r="A953">
        <v>258899</v>
      </c>
      <c r="B953" t="s">
        <v>3</v>
      </c>
      <c r="C953" t="str">
        <f>LEFT(Table4[[#This Row],[Policy Type]],1)</f>
        <v>2</v>
      </c>
    </row>
    <row r="954" spans="1:3" x14ac:dyDescent="0.25">
      <c r="A954">
        <v>258907</v>
      </c>
      <c r="B954" t="s">
        <v>2</v>
      </c>
      <c r="C954" t="str">
        <f>LEFT(Table4[[#This Row],[Policy Type]],1)</f>
        <v>1</v>
      </c>
    </row>
    <row r="955" spans="1:3" x14ac:dyDescent="0.25">
      <c r="A955">
        <v>258906</v>
      </c>
      <c r="B955" t="s">
        <v>2</v>
      </c>
      <c r="C955" t="str">
        <f>LEFT(Table4[[#This Row],[Policy Type]],1)</f>
        <v>1</v>
      </c>
    </row>
    <row r="956" spans="1:3" x14ac:dyDescent="0.25">
      <c r="A956">
        <v>258911</v>
      </c>
      <c r="B956" t="s">
        <v>3</v>
      </c>
      <c r="C956" t="str">
        <f>LEFT(Table4[[#This Row],[Policy Type]],1)</f>
        <v>2</v>
      </c>
    </row>
    <row r="957" spans="1:3" x14ac:dyDescent="0.25">
      <c r="A957">
        <v>258929</v>
      </c>
      <c r="B957" t="s">
        <v>2</v>
      </c>
      <c r="C957" t="str">
        <f>LEFT(Table4[[#This Row],[Policy Type]],1)</f>
        <v>1</v>
      </c>
    </row>
    <row r="958" spans="1:3" x14ac:dyDescent="0.25">
      <c r="A958">
        <v>258912</v>
      </c>
      <c r="B958" t="s">
        <v>3</v>
      </c>
      <c r="C958" t="str">
        <f>LEFT(Table4[[#This Row],[Policy Type]],1)</f>
        <v>2</v>
      </c>
    </row>
    <row r="959" spans="1:3" x14ac:dyDescent="0.25">
      <c r="A959">
        <v>258919</v>
      </c>
      <c r="B959" t="s">
        <v>3</v>
      </c>
      <c r="C959" t="str">
        <f>LEFT(Table4[[#This Row],[Policy Type]],1)</f>
        <v>2</v>
      </c>
    </row>
    <row r="960" spans="1:3" x14ac:dyDescent="0.25">
      <c r="A960">
        <v>258932</v>
      </c>
      <c r="B960" t="s">
        <v>3</v>
      </c>
      <c r="C960" t="str">
        <f>LEFT(Table4[[#This Row],[Policy Type]],1)</f>
        <v>2</v>
      </c>
    </row>
    <row r="961" spans="1:3" x14ac:dyDescent="0.25">
      <c r="A961">
        <v>256607</v>
      </c>
      <c r="B961" t="s">
        <v>2</v>
      </c>
      <c r="C961" t="str">
        <f>LEFT(Table4[[#This Row],[Policy Type]],1)</f>
        <v>1</v>
      </c>
    </row>
    <row r="962" spans="1:3" x14ac:dyDescent="0.25">
      <c r="A962">
        <v>254366</v>
      </c>
      <c r="B962" t="s">
        <v>3</v>
      </c>
      <c r="C962" t="str">
        <f>LEFT(Table4[[#This Row],[Policy Type]],1)</f>
        <v>2</v>
      </c>
    </row>
    <row r="963" spans="1:3" x14ac:dyDescent="0.25">
      <c r="A963">
        <v>258935</v>
      </c>
      <c r="B963" t="s">
        <v>3</v>
      </c>
      <c r="C963" t="str">
        <f>LEFT(Table4[[#This Row],[Policy Type]],1)</f>
        <v>2</v>
      </c>
    </row>
    <row r="964" spans="1:3" x14ac:dyDescent="0.25">
      <c r="A964">
        <v>258939</v>
      </c>
      <c r="B964" t="s">
        <v>3</v>
      </c>
      <c r="C964" t="str">
        <f>LEFT(Table4[[#This Row],[Policy Type]],1)</f>
        <v>2</v>
      </c>
    </row>
    <row r="965" spans="1:3" x14ac:dyDescent="0.25">
      <c r="A965">
        <v>249734</v>
      </c>
      <c r="B965" t="s">
        <v>3</v>
      </c>
      <c r="C965" t="str">
        <f>LEFT(Table4[[#This Row],[Policy Type]],1)</f>
        <v>2</v>
      </c>
    </row>
    <row r="966" spans="1:3" x14ac:dyDescent="0.25">
      <c r="A966">
        <v>189300</v>
      </c>
      <c r="B966" t="s">
        <v>2</v>
      </c>
      <c r="C966" t="str">
        <f>LEFT(Table4[[#This Row],[Policy Type]],1)</f>
        <v>1</v>
      </c>
    </row>
    <row r="967" spans="1:3" x14ac:dyDescent="0.25">
      <c r="A967">
        <v>173230</v>
      </c>
      <c r="B967" t="s">
        <v>2</v>
      </c>
      <c r="C967" t="str">
        <f>LEFT(Table4[[#This Row],[Policy Type]],1)</f>
        <v>1</v>
      </c>
    </row>
    <row r="968" spans="1:3" x14ac:dyDescent="0.25">
      <c r="A968">
        <v>258948</v>
      </c>
      <c r="B968" t="s">
        <v>2</v>
      </c>
      <c r="C968" t="str">
        <f>LEFT(Table4[[#This Row],[Policy Type]],1)</f>
        <v>1</v>
      </c>
    </row>
    <row r="969" spans="1:3" x14ac:dyDescent="0.25">
      <c r="A969">
        <v>258961</v>
      </c>
      <c r="B969" t="s">
        <v>3</v>
      </c>
      <c r="C969" t="str">
        <f>LEFT(Table4[[#This Row],[Policy Type]],1)</f>
        <v>2</v>
      </c>
    </row>
    <row r="970" spans="1:3" x14ac:dyDescent="0.25">
      <c r="A970">
        <v>258952</v>
      </c>
      <c r="B970" t="s">
        <v>2</v>
      </c>
      <c r="C970" t="str">
        <f>LEFT(Table4[[#This Row],[Policy Type]],1)</f>
        <v>1</v>
      </c>
    </row>
    <row r="971" spans="1:3" x14ac:dyDescent="0.25">
      <c r="A971">
        <v>258963</v>
      </c>
      <c r="B971" t="s">
        <v>3</v>
      </c>
      <c r="C971" t="str">
        <f>LEFT(Table4[[#This Row],[Policy Type]],1)</f>
        <v>2</v>
      </c>
    </row>
    <row r="972" spans="1:3" x14ac:dyDescent="0.25">
      <c r="A972">
        <v>258958</v>
      </c>
      <c r="B972" t="s">
        <v>2</v>
      </c>
      <c r="C972" t="str">
        <f>LEFT(Table4[[#This Row],[Policy Type]],1)</f>
        <v>1</v>
      </c>
    </row>
    <row r="973" spans="1:3" x14ac:dyDescent="0.25">
      <c r="A973">
        <v>258953</v>
      </c>
      <c r="B973" t="s">
        <v>2</v>
      </c>
      <c r="C973" t="str">
        <f>LEFT(Table4[[#This Row],[Policy Type]],1)</f>
        <v>1</v>
      </c>
    </row>
    <row r="974" spans="1:3" x14ac:dyDescent="0.25">
      <c r="A974">
        <v>255945</v>
      </c>
      <c r="B974" t="s">
        <v>3</v>
      </c>
      <c r="C974" t="str">
        <f>LEFT(Table4[[#This Row],[Policy Type]],1)</f>
        <v>2</v>
      </c>
    </row>
    <row r="975" spans="1:3" x14ac:dyDescent="0.25">
      <c r="A975">
        <v>258962</v>
      </c>
      <c r="B975" t="s">
        <v>3</v>
      </c>
      <c r="C975" t="str">
        <f>LEFT(Table4[[#This Row],[Policy Type]],1)</f>
        <v>2</v>
      </c>
    </row>
    <row r="976" spans="1:3" x14ac:dyDescent="0.25">
      <c r="A976">
        <v>258966</v>
      </c>
      <c r="B976" t="s">
        <v>2</v>
      </c>
      <c r="C976" t="str">
        <f>LEFT(Table4[[#This Row],[Policy Type]],1)</f>
        <v>1</v>
      </c>
    </row>
    <row r="977" spans="1:3" x14ac:dyDescent="0.25">
      <c r="A977">
        <v>258973</v>
      </c>
      <c r="B977" t="s">
        <v>3</v>
      </c>
      <c r="C977" t="str">
        <f>LEFT(Table4[[#This Row],[Policy Type]],1)</f>
        <v>2</v>
      </c>
    </row>
    <row r="978" spans="1:3" x14ac:dyDescent="0.25">
      <c r="A978">
        <v>258976</v>
      </c>
      <c r="B978" t="s">
        <v>3</v>
      </c>
      <c r="C978" t="str">
        <f>LEFT(Table4[[#This Row],[Policy Type]],1)</f>
        <v>2</v>
      </c>
    </row>
    <row r="979" spans="1:3" x14ac:dyDescent="0.25">
      <c r="A979">
        <v>258978</v>
      </c>
      <c r="B979" t="s">
        <v>3</v>
      </c>
      <c r="C979" t="str">
        <f>LEFT(Table4[[#This Row],[Policy Type]],1)</f>
        <v>2</v>
      </c>
    </row>
    <row r="980" spans="1:3" x14ac:dyDescent="0.25">
      <c r="A980">
        <v>258979</v>
      </c>
      <c r="B980" t="s">
        <v>3</v>
      </c>
      <c r="C980" t="str">
        <f>LEFT(Table4[[#This Row],[Policy Type]],1)</f>
        <v>2</v>
      </c>
    </row>
    <row r="981" spans="1:3" x14ac:dyDescent="0.25">
      <c r="A981">
        <v>258980</v>
      </c>
      <c r="B981" t="s">
        <v>2</v>
      </c>
      <c r="C981" t="str">
        <f>LEFT(Table4[[#This Row],[Policy Type]],1)</f>
        <v>1</v>
      </c>
    </row>
    <row r="982" spans="1:3" x14ac:dyDescent="0.25">
      <c r="A982">
        <v>258982</v>
      </c>
      <c r="B982" t="s">
        <v>2</v>
      </c>
      <c r="C982" t="str">
        <f>LEFT(Table4[[#This Row],[Policy Type]],1)</f>
        <v>1</v>
      </c>
    </row>
    <row r="983" spans="1:3" x14ac:dyDescent="0.25">
      <c r="A983">
        <v>249771</v>
      </c>
      <c r="B983" t="s">
        <v>3</v>
      </c>
      <c r="C983" t="str">
        <f>LEFT(Table4[[#This Row],[Policy Type]],1)</f>
        <v>2</v>
      </c>
    </row>
    <row r="984" spans="1:3" x14ac:dyDescent="0.25">
      <c r="A984">
        <v>212844</v>
      </c>
      <c r="B984" t="s">
        <v>2</v>
      </c>
      <c r="C984" t="str">
        <f>LEFT(Table4[[#This Row],[Policy Type]],1)</f>
        <v>1</v>
      </c>
    </row>
    <row r="985" spans="1:3" x14ac:dyDescent="0.25">
      <c r="A985">
        <v>217904</v>
      </c>
      <c r="B985" t="s">
        <v>3</v>
      </c>
      <c r="C985" t="str">
        <f>LEFT(Table4[[#This Row],[Policy Type]],1)</f>
        <v>2</v>
      </c>
    </row>
    <row r="986" spans="1:3" x14ac:dyDescent="0.25">
      <c r="A986">
        <v>257963</v>
      </c>
      <c r="B986" t="s">
        <v>3</v>
      </c>
      <c r="C986" t="str">
        <f>LEFT(Table4[[#This Row],[Policy Type]],1)</f>
        <v>2</v>
      </c>
    </row>
    <row r="987" spans="1:3" x14ac:dyDescent="0.25">
      <c r="A987">
        <v>258986</v>
      </c>
      <c r="B987" t="s">
        <v>3</v>
      </c>
      <c r="C987" t="str">
        <f>LEFT(Table4[[#This Row],[Policy Type]],1)</f>
        <v>2</v>
      </c>
    </row>
    <row r="988" spans="1:3" x14ac:dyDescent="0.25">
      <c r="A988">
        <v>258987</v>
      </c>
      <c r="B988" t="s">
        <v>3</v>
      </c>
      <c r="C988" t="str">
        <f>LEFT(Table4[[#This Row],[Policy Type]],1)</f>
        <v>2</v>
      </c>
    </row>
    <row r="989" spans="1:3" x14ac:dyDescent="0.25">
      <c r="A989">
        <v>258985</v>
      </c>
      <c r="B989" t="s">
        <v>3</v>
      </c>
      <c r="C989" t="str">
        <f>LEFT(Table4[[#This Row],[Policy Type]],1)</f>
        <v>2</v>
      </c>
    </row>
    <row r="990" spans="1:3" x14ac:dyDescent="0.25">
      <c r="A990">
        <v>258994</v>
      </c>
      <c r="B990" t="s">
        <v>3</v>
      </c>
      <c r="C990" t="str">
        <f>LEFT(Table4[[#This Row],[Policy Type]],1)</f>
        <v>2</v>
      </c>
    </row>
    <row r="991" spans="1:3" x14ac:dyDescent="0.25">
      <c r="A991">
        <v>258493</v>
      </c>
      <c r="B991" t="s">
        <v>3</v>
      </c>
      <c r="C991" t="str">
        <f>LEFT(Table4[[#This Row],[Policy Type]],1)</f>
        <v>2</v>
      </c>
    </row>
    <row r="992" spans="1:3" x14ac:dyDescent="0.25">
      <c r="A992">
        <v>259006</v>
      </c>
      <c r="B992" t="s">
        <v>3</v>
      </c>
      <c r="C992" t="str">
        <f>LEFT(Table4[[#This Row],[Policy Type]],1)</f>
        <v>2</v>
      </c>
    </row>
    <row r="993" spans="1:3" x14ac:dyDescent="0.25">
      <c r="A993">
        <v>259007</v>
      </c>
      <c r="B993" t="s">
        <v>3</v>
      </c>
      <c r="C993" t="str">
        <f>LEFT(Table4[[#This Row],[Policy Type]],1)</f>
        <v>2</v>
      </c>
    </row>
    <row r="994" spans="1:3" x14ac:dyDescent="0.25">
      <c r="A994">
        <v>259008</v>
      </c>
      <c r="B994" t="s">
        <v>3</v>
      </c>
      <c r="C994" t="str">
        <f>LEFT(Table4[[#This Row],[Policy Type]],1)</f>
        <v>2</v>
      </c>
    </row>
    <row r="995" spans="1:3" x14ac:dyDescent="0.25">
      <c r="A995">
        <v>259011</v>
      </c>
      <c r="B995" t="s">
        <v>3</v>
      </c>
      <c r="C995" t="str">
        <f>LEFT(Table4[[#This Row],[Policy Type]],1)</f>
        <v>2</v>
      </c>
    </row>
    <row r="996" spans="1:3" x14ac:dyDescent="0.25">
      <c r="A996">
        <v>259009</v>
      </c>
      <c r="B996" t="s">
        <v>3</v>
      </c>
      <c r="C996" t="str">
        <f>LEFT(Table4[[#This Row],[Policy Type]],1)</f>
        <v>2</v>
      </c>
    </row>
    <row r="997" spans="1:3" x14ac:dyDescent="0.25">
      <c r="A997">
        <v>259013</v>
      </c>
      <c r="B997" t="s">
        <v>2</v>
      </c>
      <c r="C997" t="str">
        <f>LEFT(Table4[[#This Row],[Policy Type]],1)</f>
        <v>1</v>
      </c>
    </row>
    <row r="998" spans="1:3" x14ac:dyDescent="0.25">
      <c r="A998">
        <v>242388</v>
      </c>
      <c r="B998" t="s">
        <v>2</v>
      </c>
      <c r="C998" t="str">
        <f>LEFT(Table4[[#This Row],[Policy Type]],1)</f>
        <v>1</v>
      </c>
    </row>
    <row r="999" spans="1:3" x14ac:dyDescent="0.25">
      <c r="A999">
        <v>259019</v>
      </c>
      <c r="B999" t="s">
        <v>3</v>
      </c>
      <c r="C999" t="str">
        <f>LEFT(Table4[[#This Row],[Policy Type]],1)</f>
        <v>2</v>
      </c>
    </row>
    <row r="1000" spans="1:3" x14ac:dyDescent="0.25">
      <c r="A1000">
        <v>259022</v>
      </c>
      <c r="B1000" t="s">
        <v>2</v>
      </c>
      <c r="C1000" t="str">
        <f>LEFT(Table4[[#This Row],[Policy Type]],1)</f>
        <v>1</v>
      </c>
    </row>
    <row r="1001" spans="1:3" x14ac:dyDescent="0.25">
      <c r="A1001">
        <v>203617</v>
      </c>
      <c r="B1001" t="s">
        <v>3</v>
      </c>
      <c r="C1001" t="str">
        <f>LEFT(Table4[[#This Row],[Policy Type]],1)</f>
        <v>2</v>
      </c>
    </row>
    <row r="1002" spans="1:3" x14ac:dyDescent="0.25">
      <c r="A1002">
        <v>171296</v>
      </c>
      <c r="B1002" t="s">
        <v>2</v>
      </c>
      <c r="C1002" t="str">
        <f>LEFT(Table4[[#This Row],[Policy Type]],1)</f>
        <v>1</v>
      </c>
    </row>
    <row r="1003" spans="1:3" x14ac:dyDescent="0.25">
      <c r="A1003">
        <v>259029</v>
      </c>
      <c r="B1003" t="s">
        <v>3</v>
      </c>
      <c r="C1003" t="str">
        <f>LEFT(Table4[[#This Row],[Policy Type]],1)</f>
        <v>2</v>
      </c>
    </row>
    <row r="1004" spans="1:3" x14ac:dyDescent="0.25">
      <c r="A1004">
        <v>259028</v>
      </c>
      <c r="B1004" t="s">
        <v>3</v>
      </c>
      <c r="C1004" t="str">
        <f>LEFT(Table4[[#This Row],[Policy Type]],1)</f>
        <v>2</v>
      </c>
    </row>
    <row r="1005" spans="1:3" x14ac:dyDescent="0.25">
      <c r="A1005">
        <v>154417</v>
      </c>
      <c r="B1005" t="s">
        <v>2</v>
      </c>
      <c r="C1005" t="str">
        <f>LEFT(Table4[[#This Row],[Policy Type]],1)</f>
        <v>1</v>
      </c>
    </row>
    <row r="1006" spans="1:3" x14ac:dyDescent="0.25">
      <c r="A1006">
        <v>253007</v>
      </c>
      <c r="B1006" t="s">
        <v>3</v>
      </c>
      <c r="C1006" t="str">
        <f>LEFT(Table4[[#This Row],[Policy Type]],1)</f>
        <v>2</v>
      </c>
    </row>
    <row r="1007" spans="1:3" x14ac:dyDescent="0.25">
      <c r="A1007">
        <v>249428</v>
      </c>
      <c r="B1007" t="s">
        <v>3</v>
      </c>
      <c r="C1007" t="str">
        <f>LEFT(Table4[[#This Row],[Policy Type]],1)</f>
        <v>2</v>
      </c>
    </row>
    <row r="1008" spans="1:3" x14ac:dyDescent="0.25">
      <c r="A1008">
        <v>259035</v>
      </c>
      <c r="B1008" t="s">
        <v>2</v>
      </c>
      <c r="C1008" t="str">
        <f>LEFT(Table4[[#This Row],[Policy Type]],1)</f>
        <v>1</v>
      </c>
    </row>
    <row r="1009" spans="1:3" x14ac:dyDescent="0.25">
      <c r="A1009">
        <v>259042</v>
      </c>
      <c r="B1009" t="s">
        <v>2</v>
      </c>
      <c r="C1009" t="str">
        <f>LEFT(Table4[[#This Row],[Policy Type]],1)</f>
        <v>1</v>
      </c>
    </row>
    <row r="1010" spans="1:3" x14ac:dyDescent="0.25">
      <c r="A1010">
        <v>253601</v>
      </c>
      <c r="B1010" t="s">
        <v>2</v>
      </c>
      <c r="C1010" t="str">
        <f>LEFT(Table4[[#This Row],[Policy Type]],1)</f>
        <v>1</v>
      </c>
    </row>
    <row r="1011" spans="1:3" x14ac:dyDescent="0.25">
      <c r="A1011">
        <v>256387</v>
      </c>
      <c r="B1011" t="s">
        <v>3</v>
      </c>
      <c r="C1011" t="str">
        <f>LEFT(Table4[[#This Row],[Policy Type]],1)</f>
        <v>2</v>
      </c>
    </row>
    <row r="1012" spans="1:3" x14ac:dyDescent="0.25">
      <c r="A1012">
        <v>259045</v>
      </c>
      <c r="B1012" t="s">
        <v>2</v>
      </c>
      <c r="C1012" t="str">
        <f>LEFT(Table4[[#This Row],[Policy Type]],1)</f>
        <v>1</v>
      </c>
    </row>
    <row r="1013" spans="1:3" x14ac:dyDescent="0.25">
      <c r="A1013">
        <v>166873</v>
      </c>
      <c r="B1013" t="s">
        <v>2</v>
      </c>
      <c r="C1013" t="str">
        <f>LEFT(Table4[[#This Row],[Policy Type]],1)</f>
        <v>1</v>
      </c>
    </row>
    <row r="1014" spans="1:3" x14ac:dyDescent="0.25">
      <c r="A1014">
        <v>150493</v>
      </c>
      <c r="B1014" t="s">
        <v>2</v>
      </c>
      <c r="C1014" t="str">
        <f>LEFT(Table4[[#This Row],[Policy Type]],1)</f>
        <v>1</v>
      </c>
    </row>
    <row r="1015" spans="1:3" x14ac:dyDescent="0.25">
      <c r="A1015">
        <v>259047</v>
      </c>
      <c r="B1015" t="s">
        <v>3</v>
      </c>
      <c r="C1015" t="str">
        <f>LEFT(Table4[[#This Row],[Policy Type]],1)</f>
        <v>2</v>
      </c>
    </row>
    <row r="1016" spans="1:3" x14ac:dyDescent="0.25">
      <c r="A1016">
        <v>259046</v>
      </c>
      <c r="B1016" t="s">
        <v>3</v>
      </c>
      <c r="C1016" t="str">
        <f>LEFT(Table4[[#This Row],[Policy Type]],1)</f>
        <v>2</v>
      </c>
    </row>
    <row r="1017" spans="1:3" x14ac:dyDescent="0.25">
      <c r="A1017">
        <v>232120</v>
      </c>
      <c r="B1017" t="s">
        <v>2</v>
      </c>
      <c r="C1017" t="str">
        <f>LEFT(Table4[[#This Row],[Policy Type]],1)</f>
        <v>1</v>
      </c>
    </row>
    <row r="1018" spans="1:3" x14ac:dyDescent="0.25">
      <c r="A1018">
        <v>252973</v>
      </c>
      <c r="B1018" t="s">
        <v>3</v>
      </c>
      <c r="C1018" t="str">
        <f>LEFT(Table4[[#This Row],[Policy Type]],1)</f>
        <v>2</v>
      </c>
    </row>
    <row r="1019" spans="1:3" x14ac:dyDescent="0.25">
      <c r="A1019">
        <v>201227</v>
      </c>
      <c r="B1019" t="s">
        <v>3</v>
      </c>
      <c r="C1019" t="str">
        <f>LEFT(Table4[[#This Row],[Policy Type]],1)</f>
        <v>2</v>
      </c>
    </row>
    <row r="1020" spans="1:3" x14ac:dyDescent="0.25">
      <c r="A1020">
        <v>245141</v>
      </c>
      <c r="B1020" t="s">
        <v>3</v>
      </c>
      <c r="C1020" t="str">
        <f>LEFT(Table4[[#This Row],[Policy Type]],1)</f>
        <v>2</v>
      </c>
    </row>
    <row r="1021" spans="1:3" x14ac:dyDescent="0.25">
      <c r="A1021">
        <v>257057</v>
      </c>
      <c r="B1021" t="s">
        <v>3</v>
      </c>
      <c r="C1021" t="str">
        <f>LEFT(Table4[[#This Row],[Policy Type]],1)</f>
        <v>2</v>
      </c>
    </row>
    <row r="1022" spans="1:3" x14ac:dyDescent="0.25">
      <c r="A1022">
        <v>258749</v>
      </c>
      <c r="B1022" t="s">
        <v>3</v>
      </c>
      <c r="C1022" t="str">
        <f>LEFT(Table4[[#This Row],[Policy Type]],1)</f>
        <v>2</v>
      </c>
    </row>
    <row r="1023" spans="1:3" x14ac:dyDescent="0.25">
      <c r="A1023">
        <v>256580</v>
      </c>
      <c r="B1023" t="s">
        <v>3</v>
      </c>
      <c r="C1023" t="str">
        <f>LEFT(Table4[[#This Row],[Policy Type]],1)</f>
        <v>2</v>
      </c>
    </row>
    <row r="1024" spans="1:3" x14ac:dyDescent="0.25">
      <c r="A1024">
        <v>189408</v>
      </c>
      <c r="B1024" t="s">
        <v>3</v>
      </c>
      <c r="C1024" t="str">
        <f>LEFT(Table4[[#This Row],[Policy Type]],1)</f>
        <v>2</v>
      </c>
    </row>
    <row r="1025" spans="1:3" x14ac:dyDescent="0.25">
      <c r="A1025">
        <v>259050</v>
      </c>
      <c r="B1025" t="s">
        <v>2</v>
      </c>
      <c r="C1025" t="str">
        <f>LEFT(Table4[[#This Row],[Policy Type]],1)</f>
        <v>1</v>
      </c>
    </row>
    <row r="1026" spans="1:3" x14ac:dyDescent="0.25">
      <c r="A1026">
        <v>259051</v>
      </c>
      <c r="B1026" t="s">
        <v>3</v>
      </c>
      <c r="C1026" t="str">
        <f>LEFT(Table4[[#This Row],[Policy Type]],1)</f>
        <v>2</v>
      </c>
    </row>
    <row r="1027" spans="1:3" x14ac:dyDescent="0.25">
      <c r="A1027">
        <v>248174</v>
      </c>
      <c r="B1027" t="s">
        <v>3</v>
      </c>
      <c r="C1027" t="str">
        <f>LEFT(Table4[[#This Row],[Policy Type]],1)</f>
        <v>2</v>
      </c>
    </row>
    <row r="1028" spans="1:3" x14ac:dyDescent="0.25">
      <c r="A1028">
        <v>252724</v>
      </c>
      <c r="B1028" t="s">
        <v>3</v>
      </c>
      <c r="C1028" t="str">
        <f>LEFT(Table4[[#This Row],[Policy Type]],1)</f>
        <v>2</v>
      </c>
    </row>
    <row r="1029" spans="1:3" x14ac:dyDescent="0.25">
      <c r="A1029">
        <v>259054</v>
      </c>
      <c r="B1029" t="s">
        <v>3</v>
      </c>
      <c r="C1029" t="str">
        <f>LEFT(Table4[[#This Row],[Policy Type]],1)</f>
        <v>2</v>
      </c>
    </row>
    <row r="1030" spans="1:3" x14ac:dyDescent="0.25">
      <c r="A1030">
        <v>254846</v>
      </c>
      <c r="B1030" t="s">
        <v>3</v>
      </c>
      <c r="C1030" t="str">
        <f>LEFT(Table4[[#This Row],[Policy Type]],1)</f>
        <v>2</v>
      </c>
    </row>
    <row r="1031" spans="1:3" x14ac:dyDescent="0.25">
      <c r="A1031">
        <v>233986</v>
      </c>
      <c r="B1031" t="s">
        <v>3</v>
      </c>
      <c r="C1031" t="str">
        <f>LEFT(Table4[[#This Row],[Policy Type]],1)</f>
        <v>2</v>
      </c>
    </row>
    <row r="1032" spans="1:3" x14ac:dyDescent="0.25">
      <c r="A1032">
        <v>200922</v>
      </c>
      <c r="B1032" t="s">
        <v>2</v>
      </c>
      <c r="C1032" t="str">
        <f>LEFT(Table4[[#This Row],[Policy Type]],1)</f>
        <v>1</v>
      </c>
    </row>
    <row r="1033" spans="1:3" x14ac:dyDescent="0.25">
      <c r="A1033">
        <v>243844</v>
      </c>
      <c r="B1033" t="s">
        <v>2</v>
      </c>
      <c r="C1033" t="str">
        <f>LEFT(Table4[[#This Row],[Policy Type]],1)</f>
        <v>1</v>
      </c>
    </row>
    <row r="1034" spans="1:3" x14ac:dyDescent="0.25">
      <c r="A1034">
        <v>256183</v>
      </c>
      <c r="B1034" t="s">
        <v>3</v>
      </c>
      <c r="C1034" t="str">
        <f>LEFT(Table4[[#This Row],[Policy Type]],1)</f>
        <v>2</v>
      </c>
    </row>
    <row r="1035" spans="1:3" x14ac:dyDescent="0.25">
      <c r="A1035">
        <v>257012</v>
      </c>
      <c r="B1035" t="s">
        <v>2</v>
      </c>
      <c r="C1035" t="str">
        <f>LEFT(Table4[[#This Row],[Policy Type]],1)</f>
        <v>1</v>
      </c>
    </row>
    <row r="1036" spans="1:3" x14ac:dyDescent="0.25">
      <c r="A1036">
        <v>196786</v>
      </c>
      <c r="B1036" t="s">
        <v>2</v>
      </c>
      <c r="C1036" t="str">
        <f>LEFT(Table4[[#This Row],[Policy Type]],1)</f>
        <v>1</v>
      </c>
    </row>
    <row r="1037" spans="1:3" x14ac:dyDescent="0.25">
      <c r="A1037">
        <v>256401</v>
      </c>
      <c r="B1037" t="s">
        <v>2</v>
      </c>
      <c r="C1037" t="str">
        <f>LEFT(Table4[[#This Row],[Policy Type]],1)</f>
        <v>1</v>
      </c>
    </row>
    <row r="1038" spans="1:3" x14ac:dyDescent="0.25">
      <c r="A1038">
        <v>244450</v>
      </c>
      <c r="B1038" t="s">
        <v>3</v>
      </c>
      <c r="C1038" t="str">
        <f>LEFT(Table4[[#This Row],[Policy Type]],1)</f>
        <v>2</v>
      </c>
    </row>
    <row r="1039" spans="1:3" x14ac:dyDescent="0.25">
      <c r="A1039">
        <v>257760</v>
      </c>
      <c r="B1039" t="s">
        <v>2</v>
      </c>
      <c r="C1039" t="str">
        <f>LEFT(Table4[[#This Row],[Policy Type]],1)</f>
        <v>1</v>
      </c>
    </row>
    <row r="1040" spans="1:3" x14ac:dyDescent="0.25">
      <c r="A1040">
        <v>199494</v>
      </c>
      <c r="B1040" t="s">
        <v>2</v>
      </c>
      <c r="C1040" t="str">
        <f>LEFT(Table4[[#This Row],[Policy Type]],1)</f>
        <v>1</v>
      </c>
    </row>
    <row r="1041" spans="1:3" x14ac:dyDescent="0.25">
      <c r="A1041">
        <v>150682</v>
      </c>
      <c r="B1041" t="s">
        <v>3</v>
      </c>
      <c r="C1041" t="str">
        <f>LEFT(Table4[[#This Row],[Policy Type]],1)</f>
        <v>2</v>
      </c>
    </row>
    <row r="1042" spans="1:3" x14ac:dyDescent="0.25">
      <c r="A1042">
        <v>194019</v>
      </c>
      <c r="B1042" t="s">
        <v>2</v>
      </c>
      <c r="C1042" t="str">
        <f>LEFT(Table4[[#This Row],[Policy Type]],1)</f>
        <v>1</v>
      </c>
    </row>
    <row r="1043" spans="1:3" x14ac:dyDescent="0.25">
      <c r="A1043">
        <v>228317</v>
      </c>
      <c r="B1043" t="s">
        <v>2</v>
      </c>
      <c r="C1043" t="str">
        <f>LEFT(Table4[[#This Row],[Policy Type]],1)</f>
        <v>1</v>
      </c>
    </row>
    <row r="1044" spans="1:3" x14ac:dyDescent="0.25">
      <c r="A1044">
        <v>257947</v>
      </c>
      <c r="B1044" t="s">
        <v>3</v>
      </c>
      <c r="C1044" t="str">
        <f>LEFT(Table4[[#This Row],[Policy Type]],1)</f>
        <v>2</v>
      </c>
    </row>
    <row r="1045" spans="1:3" x14ac:dyDescent="0.25">
      <c r="A1045">
        <v>259069</v>
      </c>
      <c r="B1045" t="s">
        <v>3</v>
      </c>
      <c r="C1045" t="str">
        <f>LEFT(Table4[[#This Row],[Policy Type]],1)</f>
        <v>2</v>
      </c>
    </row>
    <row r="1046" spans="1:3" x14ac:dyDescent="0.25">
      <c r="A1046">
        <v>259061</v>
      </c>
      <c r="B1046" t="s">
        <v>2</v>
      </c>
      <c r="C1046" t="str">
        <f>LEFT(Table4[[#This Row],[Policy Type]],1)</f>
        <v>1</v>
      </c>
    </row>
    <row r="1047" spans="1:3" x14ac:dyDescent="0.25">
      <c r="A1047">
        <v>259063</v>
      </c>
      <c r="B1047" t="s">
        <v>3</v>
      </c>
      <c r="C1047" t="str">
        <f>LEFT(Table4[[#This Row],[Policy Type]],1)</f>
        <v>2</v>
      </c>
    </row>
    <row r="1048" spans="1:3" x14ac:dyDescent="0.25">
      <c r="A1048">
        <v>259068</v>
      </c>
      <c r="B1048" t="s">
        <v>3</v>
      </c>
      <c r="C1048" t="str">
        <f>LEFT(Table4[[#This Row],[Policy Type]],1)</f>
        <v>2</v>
      </c>
    </row>
    <row r="1049" spans="1:3" x14ac:dyDescent="0.25">
      <c r="A1049">
        <v>252228</v>
      </c>
      <c r="B1049" t="s">
        <v>3</v>
      </c>
      <c r="C1049" t="str">
        <f>LEFT(Table4[[#This Row],[Policy Type]],1)</f>
        <v>2</v>
      </c>
    </row>
    <row r="1050" spans="1:3" x14ac:dyDescent="0.25">
      <c r="A1050">
        <v>254161</v>
      </c>
      <c r="B1050" t="s">
        <v>3</v>
      </c>
      <c r="C1050" t="str">
        <f>LEFT(Table4[[#This Row],[Policy Type]],1)</f>
        <v>2</v>
      </c>
    </row>
    <row r="1051" spans="1:3" x14ac:dyDescent="0.25">
      <c r="A1051">
        <v>256431</v>
      </c>
      <c r="B1051" t="s">
        <v>2</v>
      </c>
      <c r="C1051" t="str">
        <f>LEFT(Table4[[#This Row],[Policy Type]],1)</f>
        <v>1</v>
      </c>
    </row>
    <row r="1052" spans="1:3" x14ac:dyDescent="0.25">
      <c r="A1052">
        <v>259081</v>
      </c>
      <c r="B1052" t="s">
        <v>3</v>
      </c>
      <c r="C1052" t="str">
        <f>LEFT(Table4[[#This Row],[Policy Type]],1)</f>
        <v>2</v>
      </c>
    </row>
    <row r="1053" spans="1:3" x14ac:dyDescent="0.25">
      <c r="A1053">
        <v>259084</v>
      </c>
      <c r="B1053" t="s">
        <v>3</v>
      </c>
      <c r="C1053" t="str">
        <f>LEFT(Table4[[#This Row],[Policy Type]],1)</f>
        <v>2</v>
      </c>
    </row>
    <row r="1054" spans="1:3" x14ac:dyDescent="0.25">
      <c r="A1054">
        <v>223659</v>
      </c>
      <c r="B1054" t="s">
        <v>2</v>
      </c>
      <c r="C1054" t="str">
        <f>LEFT(Table4[[#This Row],[Policy Type]],1)</f>
        <v>1</v>
      </c>
    </row>
    <row r="1055" spans="1:3" x14ac:dyDescent="0.25">
      <c r="A1055">
        <v>258052</v>
      </c>
      <c r="B1055" t="s">
        <v>2</v>
      </c>
      <c r="C1055" t="str">
        <f>LEFT(Table4[[#This Row],[Policy Type]],1)</f>
        <v>1</v>
      </c>
    </row>
    <row r="1056" spans="1:3" x14ac:dyDescent="0.25">
      <c r="A1056">
        <v>254652</v>
      </c>
      <c r="B1056" t="s">
        <v>3</v>
      </c>
      <c r="C1056" t="str">
        <f>LEFT(Table4[[#This Row],[Policy Type]],1)</f>
        <v>2</v>
      </c>
    </row>
    <row r="1057" spans="1:3" x14ac:dyDescent="0.25">
      <c r="A1057">
        <v>259099</v>
      </c>
      <c r="B1057" t="s">
        <v>2</v>
      </c>
      <c r="C1057" t="str">
        <f>LEFT(Table4[[#This Row],[Policy Type]],1)</f>
        <v>1</v>
      </c>
    </row>
    <row r="1058" spans="1:3" x14ac:dyDescent="0.25">
      <c r="A1058">
        <v>259097</v>
      </c>
      <c r="B1058" t="s">
        <v>3</v>
      </c>
      <c r="C1058" t="str">
        <f>LEFT(Table4[[#This Row],[Policy Type]],1)</f>
        <v>2</v>
      </c>
    </row>
    <row r="1059" spans="1:3" x14ac:dyDescent="0.25">
      <c r="A1059">
        <v>259101</v>
      </c>
      <c r="B1059" t="s">
        <v>3</v>
      </c>
      <c r="C1059" t="str">
        <f>LEFT(Table4[[#This Row],[Policy Type]],1)</f>
        <v>2</v>
      </c>
    </row>
    <row r="1060" spans="1:3" x14ac:dyDescent="0.25">
      <c r="A1060">
        <v>259104</v>
      </c>
      <c r="B1060" t="s">
        <v>2</v>
      </c>
      <c r="C1060" t="str">
        <f>LEFT(Table4[[#This Row],[Policy Type]],1)</f>
        <v>1</v>
      </c>
    </row>
    <row r="1061" spans="1:3" x14ac:dyDescent="0.25">
      <c r="A1061">
        <v>259105</v>
      </c>
      <c r="B1061" t="s">
        <v>2</v>
      </c>
      <c r="C1061" t="str">
        <f>LEFT(Table4[[#This Row],[Policy Type]],1)</f>
        <v>1</v>
      </c>
    </row>
    <row r="1062" spans="1:3" x14ac:dyDescent="0.25">
      <c r="A1062">
        <v>259100</v>
      </c>
      <c r="B1062" t="s">
        <v>3</v>
      </c>
      <c r="C1062" t="str">
        <f>LEFT(Table4[[#This Row],[Policy Type]],1)</f>
        <v>2</v>
      </c>
    </row>
    <row r="1063" spans="1:3" x14ac:dyDescent="0.25">
      <c r="A1063">
        <v>259112</v>
      </c>
      <c r="B1063" t="s">
        <v>3</v>
      </c>
      <c r="C1063" t="str">
        <f>LEFT(Table4[[#This Row],[Policy Type]],1)</f>
        <v>2</v>
      </c>
    </row>
    <row r="1064" spans="1:3" x14ac:dyDescent="0.25">
      <c r="A1064">
        <v>259107</v>
      </c>
      <c r="B1064" t="s">
        <v>2</v>
      </c>
      <c r="C1064" t="str">
        <f>LEFT(Table4[[#This Row],[Policy Type]],1)</f>
        <v>1</v>
      </c>
    </row>
    <row r="1065" spans="1:3" x14ac:dyDescent="0.25">
      <c r="A1065">
        <v>172815</v>
      </c>
      <c r="B1065" t="s">
        <v>3</v>
      </c>
      <c r="C1065" t="str">
        <f>LEFT(Table4[[#This Row],[Policy Type]],1)</f>
        <v>2</v>
      </c>
    </row>
    <row r="1066" spans="1:3" x14ac:dyDescent="0.25">
      <c r="A1066">
        <v>175783</v>
      </c>
      <c r="B1066" t="s">
        <v>2</v>
      </c>
      <c r="C1066" t="str">
        <f>LEFT(Table4[[#This Row],[Policy Type]],1)</f>
        <v>1</v>
      </c>
    </row>
    <row r="1067" spans="1:3" x14ac:dyDescent="0.25">
      <c r="A1067">
        <v>208919</v>
      </c>
      <c r="B1067" t="s">
        <v>3</v>
      </c>
      <c r="C1067" t="str">
        <f>LEFT(Table4[[#This Row],[Policy Type]],1)</f>
        <v>2</v>
      </c>
    </row>
    <row r="1068" spans="1:3" x14ac:dyDescent="0.25">
      <c r="A1068">
        <v>259127</v>
      </c>
      <c r="B1068" t="s">
        <v>3</v>
      </c>
      <c r="C1068" t="str">
        <f>LEFT(Table4[[#This Row],[Policy Type]],1)</f>
        <v>2</v>
      </c>
    </row>
    <row r="1069" spans="1:3" x14ac:dyDescent="0.25">
      <c r="A1069">
        <v>259122</v>
      </c>
      <c r="B1069" t="s">
        <v>3</v>
      </c>
      <c r="C1069" t="str">
        <f>LEFT(Table4[[#This Row],[Policy Type]],1)</f>
        <v>2</v>
      </c>
    </row>
    <row r="1070" spans="1:3" x14ac:dyDescent="0.25">
      <c r="A1070">
        <v>259125</v>
      </c>
      <c r="B1070" t="s">
        <v>3</v>
      </c>
      <c r="C1070" t="str">
        <f>LEFT(Table4[[#This Row],[Policy Type]],1)</f>
        <v>2</v>
      </c>
    </row>
    <row r="1071" spans="1:3" x14ac:dyDescent="0.25">
      <c r="A1071">
        <v>259128</v>
      </c>
      <c r="B1071" t="s">
        <v>3</v>
      </c>
      <c r="C1071" t="str">
        <f>LEFT(Table4[[#This Row],[Policy Type]],1)</f>
        <v>2</v>
      </c>
    </row>
    <row r="1072" spans="1:3" x14ac:dyDescent="0.25">
      <c r="A1072">
        <v>259131</v>
      </c>
      <c r="B1072" t="s">
        <v>3</v>
      </c>
      <c r="C1072" t="str">
        <f>LEFT(Table4[[#This Row],[Policy Type]],1)</f>
        <v>2</v>
      </c>
    </row>
    <row r="1073" spans="1:3" x14ac:dyDescent="0.25">
      <c r="A1073">
        <v>259138</v>
      </c>
      <c r="B1073" t="s">
        <v>2</v>
      </c>
      <c r="C1073" t="str">
        <f>LEFT(Table4[[#This Row],[Policy Type]],1)</f>
        <v>1</v>
      </c>
    </row>
    <row r="1074" spans="1:3" x14ac:dyDescent="0.25">
      <c r="A1074">
        <v>257109</v>
      </c>
      <c r="B1074" t="s">
        <v>2</v>
      </c>
      <c r="C1074" t="str">
        <f>LEFT(Table4[[#This Row],[Policy Type]],1)</f>
        <v>1</v>
      </c>
    </row>
    <row r="1075" spans="1:3" x14ac:dyDescent="0.25">
      <c r="A1075">
        <v>214124</v>
      </c>
      <c r="B1075" t="s">
        <v>2</v>
      </c>
      <c r="C1075" t="str">
        <f>LEFT(Table4[[#This Row],[Policy Type]],1)</f>
        <v>1</v>
      </c>
    </row>
    <row r="1076" spans="1:3" x14ac:dyDescent="0.25">
      <c r="A1076">
        <v>255258</v>
      </c>
      <c r="B1076" t="s">
        <v>2</v>
      </c>
      <c r="C1076" t="str">
        <f>LEFT(Table4[[#This Row],[Policy Type]],1)</f>
        <v>1</v>
      </c>
    </row>
    <row r="1077" spans="1:3" x14ac:dyDescent="0.25">
      <c r="A1077">
        <v>212684</v>
      </c>
      <c r="B1077" t="s">
        <v>2</v>
      </c>
      <c r="C1077" t="str">
        <f>LEFT(Table4[[#This Row],[Policy Type]],1)</f>
        <v>1</v>
      </c>
    </row>
    <row r="1078" spans="1:3" x14ac:dyDescent="0.25">
      <c r="A1078">
        <v>226707</v>
      </c>
      <c r="B1078" t="s">
        <v>3</v>
      </c>
      <c r="C1078" t="str">
        <f>LEFT(Table4[[#This Row],[Policy Type]],1)</f>
        <v>2</v>
      </c>
    </row>
    <row r="1079" spans="1:3" x14ac:dyDescent="0.25">
      <c r="A1079">
        <v>259143</v>
      </c>
      <c r="B1079" t="s">
        <v>3</v>
      </c>
      <c r="C1079" t="str">
        <f>LEFT(Table4[[#This Row],[Policy Type]],1)</f>
        <v>2</v>
      </c>
    </row>
    <row r="1080" spans="1:3" x14ac:dyDescent="0.25">
      <c r="A1080">
        <v>259147</v>
      </c>
      <c r="B1080" t="s">
        <v>2</v>
      </c>
      <c r="C1080" t="str">
        <f>LEFT(Table4[[#This Row],[Policy Type]],1)</f>
        <v>1</v>
      </c>
    </row>
    <row r="1081" spans="1:3" x14ac:dyDescent="0.25">
      <c r="A1081">
        <v>259145</v>
      </c>
      <c r="B1081" t="s">
        <v>3</v>
      </c>
      <c r="C1081" t="str">
        <f>LEFT(Table4[[#This Row],[Policy Type]],1)</f>
        <v>2</v>
      </c>
    </row>
    <row r="1082" spans="1:3" x14ac:dyDescent="0.25">
      <c r="A1082">
        <v>259148</v>
      </c>
      <c r="B1082" t="s">
        <v>2</v>
      </c>
      <c r="C1082" t="str">
        <f>LEFT(Table4[[#This Row],[Policy Type]],1)</f>
        <v>1</v>
      </c>
    </row>
    <row r="1083" spans="1:3" x14ac:dyDescent="0.25">
      <c r="A1083">
        <v>259144</v>
      </c>
      <c r="B1083" t="s">
        <v>3</v>
      </c>
      <c r="C1083" t="str">
        <f>LEFT(Table4[[#This Row],[Policy Type]],1)</f>
        <v>2</v>
      </c>
    </row>
    <row r="1084" spans="1:3" x14ac:dyDescent="0.25">
      <c r="A1084">
        <v>259146</v>
      </c>
      <c r="B1084" t="s">
        <v>3</v>
      </c>
      <c r="C1084" t="str">
        <f>LEFT(Table4[[#This Row],[Policy Type]],1)</f>
        <v>2</v>
      </c>
    </row>
    <row r="1085" spans="1:3" x14ac:dyDescent="0.25">
      <c r="A1085">
        <v>259150</v>
      </c>
      <c r="B1085" t="s">
        <v>3</v>
      </c>
      <c r="C1085" t="str">
        <f>LEFT(Table4[[#This Row],[Policy Type]],1)</f>
        <v>2</v>
      </c>
    </row>
    <row r="1086" spans="1:3" x14ac:dyDescent="0.25">
      <c r="A1086">
        <v>259154</v>
      </c>
      <c r="B1086" t="s">
        <v>3</v>
      </c>
      <c r="C1086" t="str">
        <f>LEFT(Table4[[#This Row],[Policy Type]],1)</f>
        <v>2</v>
      </c>
    </row>
    <row r="1087" spans="1:3" x14ac:dyDescent="0.25">
      <c r="A1087">
        <v>259152</v>
      </c>
      <c r="B1087" t="s">
        <v>3</v>
      </c>
      <c r="C1087" t="str">
        <f>LEFT(Table4[[#This Row],[Policy Type]],1)</f>
        <v>2</v>
      </c>
    </row>
    <row r="1088" spans="1:3" x14ac:dyDescent="0.25">
      <c r="A1088">
        <v>259158</v>
      </c>
      <c r="B1088" t="s">
        <v>3</v>
      </c>
      <c r="C1088" t="str">
        <f>LEFT(Table4[[#This Row],[Policy Type]],1)</f>
        <v>2</v>
      </c>
    </row>
    <row r="1089" spans="1:3" x14ac:dyDescent="0.25">
      <c r="A1089">
        <v>259167</v>
      </c>
      <c r="B1089" t="s">
        <v>2</v>
      </c>
      <c r="C1089" t="str">
        <f>LEFT(Table4[[#This Row],[Policy Type]],1)</f>
        <v>1</v>
      </c>
    </row>
    <row r="1090" spans="1:3" x14ac:dyDescent="0.25">
      <c r="A1090">
        <v>259156</v>
      </c>
      <c r="B1090" t="s">
        <v>3</v>
      </c>
      <c r="C1090" t="str">
        <f>LEFT(Table4[[#This Row],[Policy Type]],1)</f>
        <v>2</v>
      </c>
    </row>
    <row r="1091" spans="1:3" x14ac:dyDescent="0.25">
      <c r="A1091">
        <v>259177</v>
      </c>
      <c r="B1091" t="s">
        <v>3</v>
      </c>
      <c r="C1091" t="str">
        <f>LEFT(Table4[[#This Row],[Policy Type]],1)</f>
        <v>2</v>
      </c>
    </row>
    <row r="1092" spans="1:3" x14ac:dyDescent="0.25">
      <c r="A1092">
        <v>259178</v>
      </c>
      <c r="B1092" t="s">
        <v>2</v>
      </c>
      <c r="C1092" t="str">
        <f>LEFT(Table4[[#This Row],[Policy Type]],1)</f>
        <v>1</v>
      </c>
    </row>
    <row r="1093" spans="1:3" x14ac:dyDescent="0.25">
      <c r="A1093">
        <v>259169</v>
      </c>
      <c r="B1093" t="s">
        <v>2</v>
      </c>
      <c r="C1093" t="str">
        <f>LEFT(Table4[[#This Row],[Policy Type]],1)</f>
        <v>1</v>
      </c>
    </row>
    <row r="1094" spans="1:3" x14ac:dyDescent="0.25">
      <c r="A1094">
        <v>259160</v>
      </c>
      <c r="B1094" t="s">
        <v>3</v>
      </c>
      <c r="C1094" t="str">
        <f>LEFT(Table4[[#This Row],[Policy Type]],1)</f>
        <v>2</v>
      </c>
    </row>
    <row r="1095" spans="1:3" x14ac:dyDescent="0.25">
      <c r="A1095">
        <v>259180</v>
      </c>
      <c r="B1095" t="s">
        <v>2</v>
      </c>
      <c r="C1095" t="str">
        <f>LEFT(Table4[[#This Row],[Policy Type]],1)</f>
        <v>1</v>
      </c>
    </row>
    <row r="1096" spans="1:3" x14ac:dyDescent="0.25">
      <c r="A1096">
        <v>259181</v>
      </c>
      <c r="B1096" t="s">
        <v>3</v>
      </c>
      <c r="C1096" t="str">
        <f>LEFT(Table4[[#This Row],[Policy Type]],1)</f>
        <v>2</v>
      </c>
    </row>
    <row r="1097" spans="1:3" x14ac:dyDescent="0.25">
      <c r="A1097">
        <v>259187</v>
      </c>
      <c r="B1097" t="s">
        <v>3</v>
      </c>
      <c r="C1097" t="str">
        <f>LEFT(Table4[[#This Row],[Policy Type]],1)</f>
        <v>2</v>
      </c>
    </row>
    <row r="1098" spans="1:3" x14ac:dyDescent="0.25">
      <c r="A1098">
        <v>197734</v>
      </c>
      <c r="B1098" t="s">
        <v>2</v>
      </c>
      <c r="C1098" t="str">
        <f>LEFT(Table4[[#This Row],[Policy Type]],1)</f>
        <v>1</v>
      </c>
    </row>
    <row r="1099" spans="1:3" x14ac:dyDescent="0.25">
      <c r="A1099">
        <v>259198</v>
      </c>
      <c r="B1099" t="s">
        <v>2</v>
      </c>
      <c r="C1099" t="str">
        <f>LEFT(Table4[[#This Row],[Policy Type]],1)</f>
        <v>1</v>
      </c>
    </row>
    <row r="1100" spans="1:3" x14ac:dyDescent="0.25">
      <c r="A1100">
        <v>259192</v>
      </c>
      <c r="B1100" t="s">
        <v>2</v>
      </c>
      <c r="C1100" t="str">
        <f>LEFT(Table4[[#This Row],[Policy Type]],1)</f>
        <v>1</v>
      </c>
    </row>
    <row r="1101" spans="1:3" x14ac:dyDescent="0.25">
      <c r="A1101">
        <v>259193</v>
      </c>
      <c r="B1101" t="s">
        <v>3</v>
      </c>
      <c r="C1101" t="str">
        <f>LEFT(Table4[[#This Row],[Policy Type]],1)</f>
        <v>2</v>
      </c>
    </row>
    <row r="1102" spans="1:3" x14ac:dyDescent="0.25">
      <c r="A1102">
        <v>252410</v>
      </c>
      <c r="B1102" t="s">
        <v>2</v>
      </c>
      <c r="C1102" t="str">
        <f>LEFT(Table4[[#This Row],[Policy Type]],1)</f>
        <v>1</v>
      </c>
    </row>
    <row r="1103" spans="1:3" x14ac:dyDescent="0.25">
      <c r="A1103">
        <v>259202</v>
      </c>
      <c r="B1103" t="s">
        <v>3</v>
      </c>
      <c r="C1103" t="str">
        <f>LEFT(Table4[[#This Row],[Policy Type]],1)</f>
        <v>2</v>
      </c>
    </row>
    <row r="1104" spans="1:3" x14ac:dyDescent="0.25">
      <c r="A1104">
        <v>259203</v>
      </c>
      <c r="B1104" t="s">
        <v>2</v>
      </c>
      <c r="C1104" t="str">
        <f>LEFT(Table4[[#This Row],[Policy Type]],1)</f>
        <v>1</v>
      </c>
    </row>
    <row r="1105" spans="1:3" x14ac:dyDescent="0.25">
      <c r="A1105">
        <v>254397</v>
      </c>
      <c r="B1105" t="s">
        <v>2</v>
      </c>
      <c r="C1105" t="str">
        <f>LEFT(Table4[[#This Row],[Policy Type]],1)</f>
        <v>1</v>
      </c>
    </row>
    <row r="1106" spans="1:3" x14ac:dyDescent="0.25">
      <c r="A1106">
        <v>220378</v>
      </c>
      <c r="B1106" t="s">
        <v>2</v>
      </c>
      <c r="C1106" t="str">
        <f>LEFT(Table4[[#This Row],[Policy Type]],1)</f>
        <v>1</v>
      </c>
    </row>
    <row r="1107" spans="1:3" x14ac:dyDescent="0.25">
      <c r="A1107">
        <v>208316</v>
      </c>
      <c r="B1107" t="s">
        <v>2</v>
      </c>
      <c r="C1107" t="str">
        <f>LEFT(Table4[[#This Row],[Policy Type]],1)</f>
        <v>1</v>
      </c>
    </row>
    <row r="1108" spans="1:3" x14ac:dyDescent="0.25">
      <c r="A1108">
        <v>153254</v>
      </c>
      <c r="B1108" t="s">
        <v>2</v>
      </c>
      <c r="C1108" t="str">
        <f>LEFT(Table4[[#This Row],[Policy Type]],1)</f>
        <v>1</v>
      </c>
    </row>
    <row r="1109" spans="1:3" x14ac:dyDescent="0.25">
      <c r="A1109">
        <v>258011</v>
      </c>
      <c r="B1109" t="s">
        <v>3</v>
      </c>
      <c r="C1109" t="str">
        <f>LEFT(Table4[[#This Row],[Policy Type]],1)</f>
        <v>2</v>
      </c>
    </row>
    <row r="1110" spans="1:3" x14ac:dyDescent="0.25">
      <c r="A1110">
        <v>239043</v>
      </c>
      <c r="B1110" t="s">
        <v>2</v>
      </c>
      <c r="C1110" t="str">
        <f>LEFT(Table4[[#This Row],[Policy Type]],1)</f>
        <v>1</v>
      </c>
    </row>
    <row r="1111" spans="1:3" x14ac:dyDescent="0.25">
      <c r="A1111">
        <v>259209</v>
      </c>
      <c r="B1111" t="s">
        <v>2</v>
      </c>
      <c r="C1111" t="str">
        <f>LEFT(Table4[[#This Row],[Policy Type]],1)</f>
        <v>1</v>
      </c>
    </row>
    <row r="1112" spans="1:3" x14ac:dyDescent="0.25">
      <c r="A1112">
        <v>259207</v>
      </c>
      <c r="B1112" t="s">
        <v>3</v>
      </c>
      <c r="C1112" t="str">
        <f>LEFT(Table4[[#This Row],[Policy Type]],1)</f>
        <v>2</v>
      </c>
    </row>
    <row r="1113" spans="1:3" x14ac:dyDescent="0.25">
      <c r="A1113">
        <v>259215</v>
      </c>
      <c r="B1113" t="s">
        <v>2</v>
      </c>
      <c r="C1113" t="str">
        <f>LEFT(Table4[[#This Row],[Policy Type]],1)</f>
        <v>1</v>
      </c>
    </row>
    <row r="1114" spans="1:3" x14ac:dyDescent="0.25">
      <c r="A1114">
        <v>259214</v>
      </c>
      <c r="B1114" t="s">
        <v>2</v>
      </c>
      <c r="C1114" t="str">
        <f>LEFT(Table4[[#This Row],[Policy Type]],1)</f>
        <v>1</v>
      </c>
    </row>
    <row r="1115" spans="1:3" x14ac:dyDescent="0.25">
      <c r="A1115">
        <v>259218</v>
      </c>
      <c r="B1115" t="s">
        <v>3</v>
      </c>
      <c r="C1115" t="str">
        <f>LEFT(Table4[[#This Row],[Policy Type]],1)</f>
        <v>2</v>
      </c>
    </row>
    <row r="1116" spans="1:3" x14ac:dyDescent="0.25">
      <c r="A1116">
        <v>166471</v>
      </c>
      <c r="B1116" t="s">
        <v>3</v>
      </c>
      <c r="C1116" t="str">
        <f>LEFT(Table4[[#This Row],[Policy Type]],1)</f>
        <v>2</v>
      </c>
    </row>
    <row r="1117" spans="1:3" x14ac:dyDescent="0.25">
      <c r="A1117">
        <v>158427</v>
      </c>
      <c r="B1117" t="s">
        <v>2</v>
      </c>
      <c r="C1117" t="str">
        <f>LEFT(Table4[[#This Row],[Policy Type]],1)</f>
        <v>1</v>
      </c>
    </row>
    <row r="1118" spans="1:3" x14ac:dyDescent="0.25">
      <c r="A1118">
        <v>183759</v>
      </c>
      <c r="B1118" t="s">
        <v>2</v>
      </c>
      <c r="C1118" t="str">
        <f>LEFT(Table4[[#This Row],[Policy Type]],1)</f>
        <v>1</v>
      </c>
    </row>
    <row r="1119" spans="1:3" x14ac:dyDescent="0.25">
      <c r="A1119">
        <v>259231</v>
      </c>
      <c r="B1119" t="s">
        <v>2</v>
      </c>
      <c r="C1119" t="str">
        <f>LEFT(Table4[[#This Row],[Policy Type]],1)</f>
        <v>1</v>
      </c>
    </row>
    <row r="1120" spans="1:3" x14ac:dyDescent="0.25">
      <c r="A1120">
        <v>259237</v>
      </c>
      <c r="B1120" t="s">
        <v>3</v>
      </c>
      <c r="C1120" t="str">
        <f>LEFT(Table4[[#This Row],[Policy Type]],1)</f>
        <v>2</v>
      </c>
    </row>
    <row r="1121" spans="1:3" x14ac:dyDescent="0.25">
      <c r="A1121">
        <v>259236</v>
      </c>
      <c r="B1121" t="s">
        <v>3</v>
      </c>
      <c r="C1121" t="str">
        <f>LEFT(Table4[[#This Row],[Policy Type]],1)</f>
        <v>2</v>
      </c>
    </row>
    <row r="1122" spans="1:3" x14ac:dyDescent="0.25">
      <c r="A1122">
        <v>259235</v>
      </c>
      <c r="B1122" t="s">
        <v>3</v>
      </c>
      <c r="C1122" t="str">
        <f>LEFT(Table4[[#This Row],[Policy Type]],1)</f>
        <v>2</v>
      </c>
    </row>
    <row r="1123" spans="1:3" x14ac:dyDescent="0.25">
      <c r="A1123">
        <v>259234</v>
      </c>
      <c r="B1123" t="s">
        <v>3</v>
      </c>
      <c r="C1123" t="str">
        <f>LEFT(Table4[[#This Row],[Policy Type]],1)</f>
        <v>2</v>
      </c>
    </row>
    <row r="1124" spans="1:3" x14ac:dyDescent="0.25">
      <c r="A1124">
        <v>259238</v>
      </c>
      <c r="B1124" t="s">
        <v>3</v>
      </c>
      <c r="C1124" t="str">
        <f>LEFT(Table4[[#This Row],[Policy Type]],1)</f>
        <v>2</v>
      </c>
    </row>
    <row r="1125" spans="1:3" x14ac:dyDescent="0.25">
      <c r="A1125">
        <v>213708</v>
      </c>
      <c r="B1125" t="s">
        <v>2</v>
      </c>
      <c r="C1125" t="str">
        <f>LEFT(Table4[[#This Row],[Policy Type]],1)</f>
        <v>1</v>
      </c>
    </row>
    <row r="1126" spans="1:3" x14ac:dyDescent="0.25">
      <c r="A1126" t="s">
        <v>79</v>
      </c>
      <c r="C1126" t="str">
        <f>LEFT(Table4[[#This Row],[Policy Type]],1)</f>
        <v/>
      </c>
    </row>
    <row r="1127" spans="1:3" x14ac:dyDescent="0.25">
      <c r="A1127">
        <v>259240</v>
      </c>
      <c r="B1127" t="s">
        <v>3</v>
      </c>
      <c r="C1127" t="str">
        <f>LEFT(Table4[[#This Row],[Policy Type]],1)</f>
        <v>2</v>
      </c>
    </row>
    <row r="1128" spans="1:3" x14ac:dyDescent="0.25">
      <c r="A1128">
        <v>259244</v>
      </c>
      <c r="B1128" t="s">
        <v>3</v>
      </c>
      <c r="C1128" t="str">
        <f>LEFT(Table4[[#This Row],[Policy Type]],1)</f>
        <v>2</v>
      </c>
    </row>
    <row r="1129" spans="1:3" x14ac:dyDescent="0.25">
      <c r="A1129">
        <v>259249</v>
      </c>
      <c r="B1129" t="s">
        <v>3</v>
      </c>
      <c r="C1129" t="str">
        <f>LEFT(Table4[[#This Row],[Policy Type]],1)</f>
        <v>2</v>
      </c>
    </row>
    <row r="1130" spans="1:3" x14ac:dyDescent="0.25">
      <c r="A1130">
        <v>259245</v>
      </c>
      <c r="B1130" t="s">
        <v>3</v>
      </c>
      <c r="C1130" t="str">
        <f>LEFT(Table4[[#This Row],[Policy Type]],1)</f>
        <v>2</v>
      </c>
    </row>
    <row r="1131" spans="1:3" x14ac:dyDescent="0.25">
      <c r="A1131">
        <v>259257</v>
      </c>
      <c r="B1131" t="s">
        <v>2</v>
      </c>
      <c r="C1131" t="str">
        <f>LEFT(Table4[[#This Row],[Policy Type]],1)</f>
        <v>1</v>
      </c>
    </row>
    <row r="1132" spans="1:3" x14ac:dyDescent="0.25">
      <c r="A1132">
        <v>259250</v>
      </c>
      <c r="B1132" t="s">
        <v>3</v>
      </c>
      <c r="C1132" t="str">
        <f>LEFT(Table4[[#This Row],[Policy Type]],1)</f>
        <v>2</v>
      </c>
    </row>
    <row r="1133" spans="1:3" x14ac:dyDescent="0.25">
      <c r="A1133">
        <v>259248</v>
      </c>
      <c r="B1133" t="s">
        <v>3</v>
      </c>
      <c r="C1133" t="str">
        <f>LEFT(Table4[[#This Row],[Policy Type]],1)</f>
        <v>2</v>
      </c>
    </row>
    <row r="1134" spans="1:3" x14ac:dyDescent="0.25">
      <c r="A1134">
        <v>259263</v>
      </c>
      <c r="B1134" t="s">
        <v>3</v>
      </c>
      <c r="C1134" t="str">
        <f>LEFT(Table4[[#This Row],[Policy Type]],1)</f>
        <v>2</v>
      </c>
    </row>
    <row r="1135" spans="1:3" x14ac:dyDescent="0.25">
      <c r="A1135">
        <v>259264</v>
      </c>
      <c r="B1135" t="s">
        <v>3</v>
      </c>
      <c r="C1135" t="str">
        <f>LEFT(Table4[[#This Row],[Policy Type]],1)</f>
        <v>2</v>
      </c>
    </row>
    <row r="1136" spans="1:3" x14ac:dyDescent="0.25">
      <c r="A1136">
        <v>259262</v>
      </c>
      <c r="B1136" t="s">
        <v>2</v>
      </c>
      <c r="C1136" t="str">
        <f>LEFT(Table4[[#This Row],[Policy Type]],1)</f>
        <v>1</v>
      </c>
    </row>
    <row r="1137" spans="1:3" x14ac:dyDescent="0.25">
      <c r="A1137">
        <v>259265</v>
      </c>
      <c r="B1137" t="s">
        <v>3</v>
      </c>
      <c r="C1137" t="str">
        <f>LEFT(Table4[[#This Row],[Policy Type]],1)</f>
        <v>2</v>
      </c>
    </row>
    <row r="1138" spans="1:3" x14ac:dyDescent="0.25">
      <c r="A1138">
        <v>259266</v>
      </c>
      <c r="B1138" t="s">
        <v>3</v>
      </c>
      <c r="C1138" t="str">
        <f>LEFT(Table4[[#This Row],[Policy Type]],1)</f>
        <v>2</v>
      </c>
    </row>
    <row r="1139" spans="1:3" x14ac:dyDescent="0.25">
      <c r="A1139">
        <v>256251</v>
      </c>
      <c r="B1139" t="s">
        <v>2</v>
      </c>
      <c r="C1139" t="str">
        <f>LEFT(Table4[[#This Row],[Policy Type]],1)</f>
        <v>1</v>
      </c>
    </row>
    <row r="1140" spans="1:3" x14ac:dyDescent="0.25">
      <c r="A1140">
        <v>255626</v>
      </c>
      <c r="B1140" t="s">
        <v>2</v>
      </c>
      <c r="C1140" t="str">
        <f>LEFT(Table4[[#This Row],[Policy Type]],1)</f>
        <v>1</v>
      </c>
    </row>
    <row r="1141" spans="1:3" x14ac:dyDescent="0.25">
      <c r="A1141">
        <v>202326</v>
      </c>
      <c r="B1141" t="s">
        <v>2</v>
      </c>
      <c r="C1141" t="str">
        <f>LEFT(Table4[[#This Row],[Policy Type]],1)</f>
        <v>1</v>
      </c>
    </row>
    <row r="1142" spans="1:3" x14ac:dyDescent="0.25">
      <c r="A1142">
        <v>256971</v>
      </c>
      <c r="B1142" t="s">
        <v>2</v>
      </c>
      <c r="C1142" t="str">
        <f>LEFT(Table4[[#This Row],[Policy Type]],1)</f>
        <v>1</v>
      </c>
    </row>
    <row r="1143" spans="1:3" x14ac:dyDescent="0.25">
      <c r="A1143">
        <v>259274</v>
      </c>
      <c r="B1143" t="s">
        <v>2</v>
      </c>
      <c r="C1143" t="str">
        <f>LEFT(Table4[[#This Row],[Policy Type]],1)</f>
        <v>1</v>
      </c>
    </row>
    <row r="1144" spans="1:3" x14ac:dyDescent="0.25">
      <c r="A1144">
        <v>259278</v>
      </c>
      <c r="B1144" t="s">
        <v>2</v>
      </c>
      <c r="C1144" t="str">
        <f>LEFT(Table4[[#This Row],[Policy Type]],1)</f>
        <v>1</v>
      </c>
    </row>
    <row r="1145" spans="1:3" x14ac:dyDescent="0.25">
      <c r="A1145">
        <v>259271</v>
      </c>
      <c r="B1145" t="s">
        <v>2</v>
      </c>
      <c r="C1145" t="str">
        <f>LEFT(Table4[[#This Row],[Policy Type]],1)</f>
        <v>1</v>
      </c>
    </row>
    <row r="1146" spans="1:3" x14ac:dyDescent="0.25">
      <c r="A1146">
        <v>259273</v>
      </c>
      <c r="B1146" t="s">
        <v>3</v>
      </c>
      <c r="C1146" t="str">
        <f>LEFT(Table4[[#This Row],[Policy Type]],1)</f>
        <v>2</v>
      </c>
    </row>
    <row r="1147" spans="1:3" x14ac:dyDescent="0.25">
      <c r="A1147">
        <v>259276</v>
      </c>
      <c r="B1147" t="s">
        <v>3</v>
      </c>
      <c r="C1147" t="str">
        <f>LEFT(Table4[[#This Row],[Policy Type]],1)</f>
        <v>2</v>
      </c>
    </row>
    <row r="1148" spans="1:3" x14ac:dyDescent="0.25">
      <c r="A1148">
        <v>259275</v>
      </c>
      <c r="B1148" t="s">
        <v>3</v>
      </c>
      <c r="C1148" t="str">
        <f>LEFT(Table4[[#This Row],[Policy Type]],1)</f>
        <v>2</v>
      </c>
    </row>
    <row r="1149" spans="1:3" x14ac:dyDescent="0.25">
      <c r="A1149">
        <v>158881</v>
      </c>
      <c r="B1149" t="s">
        <v>3</v>
      </c>
      <c r="C1149" t="str">
        <f>LEFT(Table4[[#This Row],[Policy Type]],1)</f>
        <v>2</v>
      </c>
    </row>
    <row r="1150" spans="1:3" x14ac:dyDescent="0.25">
      <c r="A1150">
        <v>259281</v>
      </c>
      <c r="B1150" t="s">
        <v>2</v>
      </c>
      <c r="C1150" t="str">
        <f>LEFT(Table4[[#This Row],[Policy Type]],1)</f>
        <v>1</v>
      </c>
    </row>
    <row r="1151" spans="1:3" x14ac:dyDescent="0.25">
      <c r="A1151">
        <v>224930</v>
      </c>
      <c r="B1151" t="s">
        <v>3</v>
      </c>
      <c r="C1151" t="str">
        <f>LEFT(Table4[[#This Row],[Policy Type]],1)</f>
        <v>2</v>
      </c>
    </row>
    <row r="1152" spans="1:3" x14ac:dyDescent="0.25">
      <c r="A1152">
        <v>255514</v>
      </c>
      <c r="B1152" t="s">
        <v>3</v>
      </c>
      <c r="C1152" t="str">
        <f>LEFT(Table4[[#This Row],[Policy Type]],1)</f>
        <v>2</v>
      </c>
    </row>
    <row r="1153" spans="1:3" x14ac:dyDescent="0.25">
      <c r="A1153">
        <v>159390</v>
      </c>
      <c r="B1153" t="s">
        <v>3</v>
      </c>
      <c r="C1153" t="str">
        <f>LEFT(Table4[[#This Row],[Policy Type]],1)</f>
        <v>2</v>
      </c>
    </row>
    <row r="1154" spans="1:3" x14ac:dyDescent="0.25">
      <c r="A1154">
        <v>259292</v>
      </c>
      <c r="B1154" t="s">
        <v>3</v>
      </c>
      <c r="C1154" t="str">
        <f>LEFT(Table4[[#This Row],[Policy Type]],1)</f>
        <v>2</v>
      </c>
    </row>
    <row r="1155" spans="1:3" x14ac:dyDescent="0.25">
      <c r="A1155">
        <v>255093</v>
      </c>
      <c r="B1155" t="s">
        <v>2</v>
      </c>
      <c r="C1155" t="str">
        <f>LEFT(Table4[[#This Row],[Policy Type]],1)</f>
        <v>1</v>
      </c>
    </row>
    <row r="1156" spans="1:3" x14ac:dyDescent="0.25">
      <c r="A1156">
        <v>259293</v>
      </c>
      <c r="B1156" t="s">
        <v>3</v>
      </c>
      <c r="C1156" t="str">
        <f>LEFT(Table4[[#This Row],[Policy Type]],1)</f>
        <v>2</v>
      </c>
    </row>
    <row r="1157" spans="1:3" x14ac:dyDescent="0.25">
      <c r="A1157">
        <v>257047</v>
      </c>
      <c r="B1157" t="s">
        <v>3</v>
      </c>
      <c r="C1157" t="str">
        <f>LEFT(Table4[[#This Row],[Policy Type]],1)</f>
        <v>2</v>
      </c>
    </row>
    <row r="1158" spans="1:3" x14ac:dyDescent="0.25">
      <c r="A1158">
        <v>259295</v>
      </c>
      <c r="B1158" t="s">
        <v>2</v>
      </c>
      <c r="C1158" t="str">
        <f>LEFT(Table4[[#This Row],[Policy Type]],1)</f>
        <v>1</v>
      </c>
    </row>
    <row r="1159" spans="1:3" x14ac:dyDescent="0.25">
      <c r="A1159">
        <v>259296</v>
      </c>
      <c r="B1159" t="s">
        <v>3</v>
      </c>
      <c r="C1159" t="str">
        <f>LEFT(Table4[[#This Row],[Policy Type]],1)</f>
        <v>2</v>
      </c>
    </row>
    <row r="1160" spans="1:3" x14ac:dyDescent="0.25">
      <c r="A1160">
        <v>259304</v>
      </c>
      <c r="B1160" t="s">
        <v>2</v>
      </c>
      <c r="C1160" t="str">
        <f>LEFT(Table4[[#This Row],[Policy Type]],1)</f>
        <v>1</v>
      </c>
    </row>
    <row r="1161" spans="1:3" x14ac:dyDescent="0.25">
      <c r="A1161">
        <v>259300</v>
      </c>
      <c r="B1161" t="s">
        <v>3</v>
      </c>
      <c r="C1161" t="str">
        <f>LEFT(Table4[[#This Row],[Policy Type]],1)</f>
        <v>2</v>
      </c>
    </row>
    <row r="1162" spans="1:3" x14ac:dyDescent="0.25">
      <c r="A1162">
        <v>259306</v>
      </c>
      <c r="B1162" t="s">
        <v>2</v>
      </c>
      <c r="C1162" t="str">
        <f>LEFT(Table4[[#This Row],[Policy Type]],1)</f>
        <v>1</v>
      </c>
    </row>
    <row r="1163" spans="1:3" x14ac:dyDescent="0.25">
      <c r="A1163">
        <v>259302</v>
      </c>
      <c r="B1163" t="s">
        <v>3</v>
      </c>
      <c r="C1163" t="str">
        <f>LEFT(Table4[[#This Row],[Policy Type]],1)</f>
        <v>2</v>
      </c>
    </row>
    <row r="1164" spans="1:3" x14ac:dyDescent="0.25">
      <c r="A1164">
        <v>259305</v>
      </c>
      <c r="B1164" t="s">
        <v>2</v>
      </c>
      <c r="C1164" t="str">
        <f>LEFT(Table4[[#This Row],[Policy Type]],1)</f>
        <v>1</v>
      </c>
    </row>
    <row r="1165" spans="1:3" x14ac:dyDescent="0.25">
      <c r="A1165">
        <v>259308</v>
      </c>
      <c r="B1165" t="s">
        <v>2</v>
      </c>
      <c r="C1165" t="str">
        <f>LEFT(Table4[[#This Row],[Policy Type]],1)</f>
        <v>1</v>
      </c>
    </row>
    <row r="1166" spans="1:3" x14ac:dyDescent="0.25">
      <c r="A1166">
        <v>259307</v>
      </c>
      <c r="B1166" t="s">
        <v>3</v>
      </c>
      <c r="C1166" t="str">
        <f>LEFT(Table4[[#This Row],[Policy Type]],1)</f>
        <v>2</v>
      </c>
    </row>
    <row r="1167" spans="1:3" x14ac:dyDescent="0.25">
      <c r="A1167">
        <v>221585</v>
      </c>
      <c r="B1167" t="s">
        <v>2</v>
      </c>
      <c r="C1167" t="str">
        <f>LEFT(Table4[[#This Row],[Policy Type]],1)</f>
        <v>1</v>
      </c>
    </row>
    <row r="1168" spans="1:3" x14ac:dyDescent="0.25">
      <c r="A1168">
        <v>186000</v>
      </c>
      <c r="B1168" t="s">
        <v>3</v>
      </c>
      <c r="C1168" t="str">
        <f>LEFT(Table4[[#This Row],[Policy Type]],1)</f>
        <v>2</v>
      </c>
    </row>
    <row r="1169" spans="1:3" x14ac:dyDescent="0.25">
      <c r="A1169">
        <v>259313</v>
      </c>
      <c r="B1169" t="s">
        <v>3</v>
      </c>
      <c r="C1169" t="str">
        <f>LEFT(Table4[[#This Row],[Policy Type]],1)</f>
        <v>2</v>
      </c>
    </row>
    <row r="1170" spans="1:3" x14ac:dyDescent="0.25">
      <c r="A1170">
        <v>259312</v>
      </c>
      <c r="B1170" t="s">
        <v>3</v>
      </c>
      <c r="C1170" t="str">
        <f>LEFT(Table4[[#This Row],[Policy Type]],1)</f>
        <v>2</v>
      </c>
    </row>
    <row r="1171" spans="1:3" x14ac:dyDescent="0.25">
      <c r="A1171">
        <v>253223</v>
      </c>
      <c r="B1171" t="s">
        <v>2</v>
      </c>
      <c r="C1171" t="str">
        <f>LEFT(Table4[[#This Row],[Policy Type]],1)</f>
        <v>1</v>
      </c>
    </row>
    <row r="1172" spans="1:3" x14ac:dyDescent="0.25">
      <c r="A1172">
        <v>259316</v>
      </c>
      <c r="B1172" t="s">
        <v>3</v>
      </c>
      <c r="C1172" t="str">
        <f>LEFT(Table4[[#This Row],[Policy Type]],1)</f>
        <v>2</v>
      </c>
    </row>
    <row r="1173" spans="1:3" x14ac:dyDescent="0.25">
      <c r="A1173">
        <v>259317</v>
      </c>
      <c r="B1173" t="s">
        <v>3</v>
      </c>
      <c r="C1173" t="str">
        <f>LEFT(Table4[[#This Row],[Policy Type]],1)</f>
        <v>2</v>
      </c>
    </row>
    <row r="1174" spans="1:3" x14ac:dyDescent="0.25">
      <c r="A1174">
        <v>259318</v>
      </c>
      <c r="B1174" t="s">
        <v>3</v>
      </c>
      <c r="C1174" t="str">
        <f>LEFT(Table4[[#This Row],[Policy Type]],1)</f>
        <v>2</v>
      </c>
    </row>
    <row r="1175" spans="1:3" x14ac:dyDescent="0.25">
      <c r="A1175">
        <v>259324</v>
      </c>
      <c r="B1175" t="s">
        <v>3</v>
      </c>
      <c r="C1175" t="str">
        <f>LEFT(Table4[[#This Row],[Policy Type]],1)</f>
        <v>2</v>
      </c>
    </row>
    <row r="1176" spans="1:3" x14ac:dyDescent="0.25">
      <c r="A1176">
        <v>259321</v>
      </c>
      <c r="B1176" t="s">
        <v>3</v>
      </c>
      <c r="C1176" t="str">
        <f>LEFT(Table4[[#This Row],[Policy Type]],1)</f>
        <v>2</v>
      </c>
    </row>
    <row r="1177" spans="1:3" x14ac:dyDescent="0.25">
      <c r="A1177">
        <v>259323</v>
      </c>
      <c r="B1177" t="s">
        <v>2</v>
      </c>
      <c r="C1177" t="str">
        <f>LEFT(Table4[[#This Row],[Policy Type]],1)</f>
        <v>1</v>
      </c>
    </row>
    <row r="1178" spans="1:3" x14ac:dyDescent="0.25">
      <c r="A1178">
        <v>211798</v>
      </c>
      <c r="B1178" t="s">
        <v>2</v>
      </c>
      <c r="C1178" t="str">
        <f>LEFT(Table4[[#This Row],[Policy Type]],1)</f>
        <v>1</v>
      </c>
    </row>
    <row r="1179" spans="1:3" x14ac:dyDescent="0.25">
      <c r="A1179">
        <v>179951</v>
      </c>
      <c r="B1179" t="s">
        <v>3</v>
      </c>
      <c r="C1179" t="str">
        <f>LEFT(Table4[[#This Row],[Policy Type]],1)</f>
        <v>2</v>
      </c>
    </row>
    <row r="1180" spans="1:3" x14ac:dyDescent="0.25">
      <c r="A1180">
        <v>259258</v>
      </c>
      <c r="B1180" t="s">
        <v>2</v>
      </c>
      <c r="C1180" t="str">
        <f>LEFT(Table4[[#This Row],[Policy Type]],1)</f>
        <v>1</v>
      </c>
    </row>
    <row r="1181" spans="1:3" x14ac:dyDescent="0.25">
      <c r="A1181">
        <v>166174</v>
      </c>
      <c r="B1181" t="s">
        <v>2</v>
      </c>
      <c r="C1181" t="str">
        <f>LEFT(Table4[[#This Row],[Policy Type]],1)</f>
        <v>1</v>
      </c>
    </row>
    <row r="1182" spans="1:3" x14ac:dyDescent="0.25">
      <c r="A1182">
        <v>259335</v>
      </c>
      <c r="B1182" t="s">
        <v>3</v>
      </c>
      <c r="C1182" t="str">
        <f>LEFT(Table4[[#This Row],[Policy Type]],1)</f>
        <v>2</v>
      </c>
    </row>
    <row r="1183" spans="1:3" x14ac:dyDescent="0.25">
      <c r="A1183">
        <v>259343</v>
      </c>
      <c r="B1183" t="s">
        <v>3</v>
      </c>
      <c r="C1183" t="str">
        <f>LEFT(Table4[[#This Row],[Policy Type]],1)</f>
        <v>2</v>
      </c>
    </row>
    <row r="1184" spans="1:3" x14ac:dyDescent="0.25">
      <c r="A1184">
        <v>259345</v>
      </c>
      <c r="B1184" t="s">
        <v>2</v>
      </c>
      <c r="C1184" t="str">
        <f>LEFT(Table4[[#This Row],[Policy Type]],1)</f>
        <v>1</v>
      </c>
    </row>
    <row r="1185" spans="1:3" x14ac:dyDescent="0.25">
      <c r="A1185">
        <v>259346</v>
      </c>
      <c r="B1185" t="s">
        <v>3</v>
      </c>
      <c r="C1185" t="str">
        <f>LEFT(Table4[[#This Row],[Policy Type]],1)</f>
        <v>2</v>
      </c>
    </row>
    <row r="1186" spans="1:3" x14ac:dyDescent="0.25">
      <c r="A1186">
        <v>259348</v>
      </c>
      <c r="B1186" t="s">
        <v>3</v>
      </c>
      <c r="C1186" t="str">
        <f>LEFT(Table4[[#This Row],[Policy Type]],1)</f>
        <v>2</v>
      </c>
    </row>
    <row r="1187" spans="1:3" x14ac:dyDescent="0.25">
      <c r="A1187">
        <v>259357</v>
      </c>
      <c r="B1187" t="s">
        <v>3</v>
      </c>
      <c r="C1187" t="str">
        <f>LEFT(Table4[[#This Row],[Policy Type]],1)</f>
        <v>2</v>
      </c>
    </row>
    <row r="1188" spans="1:3" x14ac:dyDescent="0.25">
      <c r="A1188">
        <v>259358</v>
      </c>
      <c r="B1188" t="s">
        <v>3</v>
      </c>
      <c r="C1188" t="str">
        <f>LEFT(Table4[[#This Row],[Policy Type]],1)</f>
        <v>2</v>
      </c>
    </row>
    <row r="1189" spans="1:3" x14ac:dyDescent="0.25">
      <c r="A1189">
        <v>259360</v>
      </c>
      <c r="B1189" t="s">
        <v>2</v>
      </c>
      <c r="C1189" t="str">
        <f>LEFT(Table4[[#This Row],[Policy Type]],1)</f>
        <v>1</v>
      </c>
    </row>
    <row r="1190" spans="1:3" x14ac:dyDescent="0.25">
      <c r="A1190">
        <v>258087</v>
      </c>
      <c r="B1190" t="s">
        <v>2</v>
      </c>
      <c r="C1190" t="str">
        <f>LEFT(Table4[[#This Row],[Policy Type]],1)</f>
        <v>1</v>
      </c>
    </row>
    <row r="1191" spans="1:3" x14ac:dyDescent="0.25">
      <c r="A1191">
        <v>257292</v>
      </c>
      <c r="B1191" t="s">
        <v>3</v>
      </c>
      <c r="C1191" t="str">
        <f>LEFT(Table4[[#This Row],[Policy Type]],1)</f>
        <v>2</v>
      </c>
    </row>
    <row r="1192" spans="1:3" x14ac:dyDescent="0.25">
      <c r="A1192">
        <v>259368</v>
      </c>
      <c r="B1192" t="s">
        <v>2</v>
      </c>
      <c r="C1192" t="str">
        <f>LEFT(Table4[[#This Row],[Policy Type]],1)</f>
        <v>1</v>
      </c>
    </row>
    <row r="1193" spans="1:3" x14ac:dyDescent="0.25">
      <c r="A1193">
        <v>259364</v>
      </c>
      <c r="B1193" t="s">
        <v>3</v>
      </c>
      <c r="C1193" t="str">
        <f>LEFT(Table4[[#This Row],[Policy Type]],1)</f>
        <v>2</v>
      </c>
    </row>
    <row r="1194" spans="1:3" x14ac:dyDescent="0.25">
      <c r="A1194">
        <v>259370</v>
      </c>
      <c r="B1194" t="s">
        <v>2</v>
      </c>
      <c r="C1194" t="str">
        <f>LEFT(Table4[[#This Row],[Policy Type]],1)</f>
        <v>1</v>
      </c>
    </row>
    <row r="1195" spans="1:3" x14ac:dyDescent="0.25">
      <c r="A1195">
        <v>259374</v>
      </c>
      <c r="B1195" t="s">
        <v>3</v>
      </c>
      <c r="C1195" t="str">
        <f>LEFT(Table4[[#This Row],[Policy Type]],1)</f>
        <v>2</v>
      </c>
    </row>
    <row r="1196" spans="1:3" x14ac:dyDescent="0.25">
      <c r="A1196">
        <v>161500</v>
      </c>
      <c r="B1196" t="s">
        <v>2</v>
      </c>
      <c r="C1196" t="str">
        <f>LEFT(Table4[[#This Row],[Policy Type]],1)</f>
        <v>1</v>
      </c>
    </row>
    <row r="1197" spans="1:3" x14ac:dyDescent="0.25">
      <c r="A1197">
        <v>164716</v>
      </c>
      <c r="B1197" t="s">
        <v>3</v>
      </c>
      <c r="C1197" t="str">
        <f>LEFT(Table4[[#This Row],[Policy Type]],1)</f>
        <v>2</v>
      </c>
    </row>
    <row r="1198" spans="1:3" x14ac:dyDescent="0.25">
      <c r="A1198">
        <v>252334</v>
      </c>
      <c r="B1198" t="s">
        <v>2</v>
      </c>
      <c r="C1198" t="str">
        <f>LEFT(Table4[[#This Row],[Policy Type]],1)</f>
        <v>1</v>
      </c>
    </row>
    <row r="1199" spans="1:3" x14ac:dyDescent="0.25">
      <c r="A1199">
        <v>175257</v>
      </c>
      <c r="B1199" t="s">
        <v>2</v>
      </c>
      <c r="C1199" t="str">
        <f>LEFT(Table4[[#This Row],[Policy Type]],1)</f>
        <v>1</v>
      </c>
    </row>
    <row r="1200" spans="1:3" x14ac:dyDescent="0.25">
      <c r="A1200">
        <v>259384</v>
      </c>
      <c r="B1200" t="s">
        <v>2</v>
      </c>
      <c r="C1200" t="str">
        <f>LEFT(Table4[[#This Row],[Policy Type]],1)</f>
        <v>1</v>
      </c>
    </row>
    <row r="1201" spans="1:3" x14ac:dyDescent="0.25">
      <c r="A1201">
        <v>259386</v>
      </c>
      <c r="B1201" t="s">
        <v>2</v>
      </c>
      <c r="C1201" t="str">
        <f>LEFT(Table4[[#This Row],[Policy Type]],1)</f>
        <v>1</v>
      </c>
    </row>
    <row r="1202" spans="1:3" x14ac:dyDescent="0.25">
      <c r="A1202">
        <v>259388</v>
      </c>
      <c r="B1202" t="s">
        <v>3</v>
      </c>
      <c r="C1202" t="str">
        <f>LEFT(Table4[[#This Row],[Policy Type]],1)</f>
        <v>2</v>
      </c>
    </row>
    <row r="1203" spans="1:3" x14ac:dyDescent="0.25">
      <c r="A1203">
        <v>259393</v>
      </c>
      <c r="B1203" t="s">
        <v>2</v>
      </c>
      <c r="C1203" t="str">
        <f>LEFT(Table4[[#This Row],[Policy Type]],1)</f>
        <v>1</v>
      </c>
    </row>
    <row r="1204" spans="1:3" x14ac:dyDescent="0.25">
      <c r="A1204">
        <v>259392</v>
      </c>
      <c r="B1204" t="s">
        <v>3</v>
      </c>
      <c r="C1204" t="str">
        <f>LEFT(Table4[[#This Row],[Policy Type]],1)</f>
        <v>2</v>
      </c>
    </row>
    <row r="1205" spans="1:3" x14ac:dyDescent="0.25">
      <c r="A1205">
        <v>259394</v>
      </c>
      <c r="B1205" t="s">
        <v>2</v>
      </c>
      <c r="C1205" t="str">
        <f>LEFT(Table4[[#This Row],[Policy Type]],1)</f>
        <v>1</v>
      </c>
    </row>
    <row r="1206" spans="1:3" x14ac:dyDescent="0.25">
      <c r="A1206">
        <v>259387</v>
      </c>
      <c r="B1206" t="s">
        <v>3</v>
      </c>
      <c r="C1206" t="str">
        <f>LEFT(Table4[[#This Row],[Policy Type]],1)</f>
        <v>2</v>
      </c>
    </row>
    <row r="1207" spans="1:3" x14ac:dyDescent="0.25">
      <c r="A1207">
        <v>259390</v>
      </c>
      <c r="B1207" t="s">
        <v>2</v>
      </c>
      <c r="C1207" t="str">
        <f>LEFT(Table4[[#This Row],[Policy Type]],1)</f>
        <v>1</v>
      </c>
    </row>
    <row r="1208" spans="1:3" x14ac:dyDescent="0.25">
      <c r="A1208">
        <v>259391</v>
      </c>
      <c r="B1208" t="s">
        <v>3</v>
      </c>
      <c r="C1208" t="str">
        <f>LEFT(Table4[[#This Row],[Policy Type]],1)</f>
        <v>2</v>
      </c>
    </row>
    <row r="1209" spans="1:3" x14ac:dyDescent="0.25">
      <c r="A1209">
        <v>257224</v>
      </c>
      <c r="B1209" t="s">
        <v>2</v>
      </c>
      <c r="C1209" t="str">
        <f>LEFT(Table4[[#This Row],[Policy Type]],1)</f>
        <v>1</v>
      </c>
    </row>
    <row r="1210" spans="1:3" x14ac:dyDescent="0.25">
      <c r="A1210">
        <v>247145</v>
      </c>
      <c r="B1210" t="s">
        <v>3</v>
      </c>
      <c r="C1210" t="str">
        <f>LEFT(Table4[[#This Row],[Policy Type]],1)</f>
        <v>2</v>
      </c>
    </row>
    <row r="1211" spans="1:3" x14ac:dyDescent="0.25">
      <c r="A1211">
        <v>252275</v>
      </c>
      <c r="B1211" t="s">
        <v>2</v>
      </c>
      <c r="C1211" t="str">
        <f>LEFT(Table4[[#This Row],[Policy Type]],1)</f>
        <v>1</v>
      </c>
    </row>
    <row r="1212" spans="1:3" x14ac:dyDescent="0.25">
      <c r="A1212">
        <v>237263</v>
      </c>
      <c r="B1212" t="s">
        <v>2</v>
      </c>
      <c r="C1212" t="str">
        <f>LEFT(Table4[[#This Row],[Policy Type]],1)</f>
        <v>1</v>
      </c>
    </row>
    <row r="1213" spans="1:3" x14ac:dyDescent="0.25">
      <c r="A1213">
        <v>175652</v>
      </c>
      <c r="B1213" t="s">
        <v>2</v>
      </c>
      <c r="C1213" t="str">
        <f>LEFT(Table4[[#This Row],[Policy Type]],1)</f>
        <v>1</v>
      </c>
    </row>
    <row r="1214" spans="1:3" x14ac:dyDescent="0.25">
      <c r="A1214">
        <v>259414</v>
      </c>
      <c r="B1214" t="s">
        <v>2</v>
      </c>
      <c r="C1214" t="str">
        <f>LEFT(Table4[[#This Row],[Policy Type]],1)</f>
        <v>1</v>
      </c>
    </row>
    <row r="1215" spans="1:3" x14ac:dyDescent="0.25">
      <c r="A1215">
        <v>259410</v>
      </c>
      <c r="B1215" t="s">
        <v>3</v>
      </c>
      <c r="C1215" t="str">
        <f>LEFT(Table4[[#This Row],[Policy Type]],1)</f>
        <v>2</v>
      </c>
    </row>
    <row r="1216" spans="1:3" x14ac:dyDescent="0.25">
      <c r="A1216">
        <v>258246</v>
      </c>
      <c r="B1216" t="s">
        <v>2</v>
      </c>
      <c r="C1216" t="str">
        <f>LEFT(Table4[[#This Row],[Policy Type]],1)</f>
        <v>1</v>
      </c>
    </row>
    <row r="1217" spans="1:3" x14ac:dyDescent="0.25">
      <c r="A1217">
        <v>232340</v>
      </c>
      <c r="B1217" t="s">
        <v>2</v>
      </c>
      <c r="C1217" t="str">
        <f>LEFT(Table4[[#This Row],[Policy Type]],1)</f>
        <v>1</v>
      </c>
    </row>
    <row r="1218" spans="1:3" x14ac:dyDescent="0.25">
      <c r="A1218">
        <v>224919</v>
      </c>
      <c r="B1218" t="s">
        <v>3</v>
      </c>
      <c r="C1218" t="str">
        <f>LEFT(Table4[[#This Row],[Policy Type]],1)</f>
        <v>2</v>
      </c>
    </row>
    <row r="1219" spans="1:3" x14ac:dyDescent="0.25">
      <c r="A1219">
        <v>209990</v>
      </c>
      <c r="B1219" t="s">
        <v>2</v>
      </c>
      <c r="C1219" t="str">
        <f>LEFT(Table4[[#This Row],[Policy Type]],1)</f>
        <v>1</v>
      </c>
    </row>
    <row r="1220" spans="1:3" x14ac:dyDescent="0.25">
      <c r="A1220">
        <v>259415</v>
      </c>
      <c r="B1220" t="s">
        <v>3</v>
      </c>
      <c r="C1220" t="str">
        <f>LEFT(Table4[[#This Row],[Policy Type]],1)</f>
        <v>2</v>
      </c>
    </row>
    <row r="1221" spans="1:3" x14ac:dyDescent="0.25">
      <c r="A1221">
        <v>259416</v>
      </c>
      <c r="B1221" t="s">
        <v>3</v>
      </c>
      <c r="C1221" t="str">
        <f>LEFT(Table4[[#This Row],[Policy Type]],1)</f>
        <v>2</v>
      </c>
    </row>
    <row r="1222" spans="1:3" x14ac:dyDescent="0.25">
      <c r="A1222">
        <v>259418</v>
      </c>
      <c r="B1222" t="s">
        <v>2</v>
      </c>
      <c r="C1222" t="str">
        <f>LEFT(Table4[[#This Row],[Policy Type]],1)</f>
        <v>1</v>
      </c>
    </row>
    <row r="1223" spans="1:3" x14ac:dyDescent="0.25">
      <c r="A1223">
        <v>259419</v>
      </c>
      <c r="B1223" t="s">
        <v>2</v>
      </c>
      <c r="C1223" t="str">
        <f>LEFT(Table4[[#This Row],[Policy Type]],1)</f>
        <v>1</v>
      </c>
    </row>
    <row r="1224" spans="1:3" x14ac:dyDescent="0.25">
      <c r="A1224">
        <v>236843</v>
      </c>
      <c r="B1224" t="s">
        <v>2</v>
      </c>
      <c r="C1224" t="str">
        <f>LEFT(Table4[[#This Row],[Policy Type]],1)</f>
        <v>1</v>
      </c>
    </row>
    <row r="1225" spans="1:3" x14ac:dyDescent="0.25">
      <c r="A1225">
        <v>259429</v>
      </c>
      <c r="B1225" t="s">
        <v>2</v>
      </c>
      <c r="C1225" t="str">
        <f>LEFT(Table4[[#This Row],[Policy Type]],1)</f>
        <v>1</v>
      </c>
    </row>
    <row r="1226" spans="1:3" x14ac:dyDescent="0.25">
      <c r="A1226">
        <v>259430</v>
      </c>
      <c r="B1226" t="s">
        <v>3</v>
      </c>
      <c r="C1226" t="str">
        <f>LEFT(Table4[[#This Row],[Policy Type]],1)</f>
        <v>2</v>
      </c>
    </row>
    <row r="1227" spans="1:3" x14ac:dyDescent="0.25">
      <c r="A1227">
        <v>259435</v>
      </c>
      <c r="B1227" t="s">
        <v>2</v>
      </c>
      <c r="C1227" t="str">
        <f>LEFT(Table4[[#This Row],[Policy Type]],1)</f>
        <v>1</v>
      </c>
    </row>
    <row r="1228" spans="1:3" x14ac:dyDescent="0.25">
      <c r="A1228">
        <v>259444</v>
      </c>
      <c r="B1228" t="s">
        <v>3</v>
      </c>
      <c r="C1228" t="str">
        <f>LEFT(Table4[[#This Row],[Policy Type]],1)</f>
        <v>2</v>
      </c>
    </row>
    <row r="1229" spans="1:3" x14ac:dyDescent="0.25">
      <c r="A1229">
        <v>259432</v>
      </c>
      <c r="B1229" t="s">
        <v>3</v>
      </c>
      <c r="C1229" t="str">
        <f>LEFT(Table4[[#This Row],[Policy Type]],1)</f>
        <v>2</v>
      </c>
    </row>
    <row r="1230" spans="1:3" x14ac:dyDescent="0.25">
      <c r="A1230">
        <v>259439</v>
      </c>
      <c r="B1230" t="s">
        <v>3</v>
      </c>
      <c r="C1230" t="str">
        <f>LEFT(Table4[[#This Row],[Policy Type]],1)</f>
        <v>2</v>
      </c>
    </row>
    <row r="1231" spans="1:3" x14ac:dyDescent="0.25">
      <c r="A1231">
        <v>259440</v>
      </c>
      <c r="B1231" t="s">
        <v>3</v>
      </c>
      <c r="C1231" t="str">
        <f>LEFT(Table4[[#This Row],[Policy Type]],1)</f>
        <v>2</v>
      </c>
    </row>
    <row r="1232" spans="1:3" x14ac:dyDescent="0.25">
      <c r="A1232">
        <v>259448</v>
      </c>
      <c r="B1232" t="s">
        <v>2</v>
      </c>
      <c r="C1232" t="str">
        <f>LEFT(Table4[[#This Row],[Policy Type]],1)</f>
        <v>1</v>
      </c>
    </row>
    <row r="1233" spans="1:3" x14ac:dyDescent="0.25">
      <c r="A1233">
        <v>259454</v>
      </c>
      <c r="B1233" t="s">
        <v>2</v>
      </c>
      <c r="C1233" t="str">
        <f>LEFT(Table4[[#This Row],[Policy Type]],1)</f>
        <v>1</v>
      </c>
    </row>
    <row r="1234" spans="1:3" x14ac:dyDescent="0.25">
      <c r="A1234">
        <v>259438</v>
      </c>
      <c r="B1234" t="s">
        <v>3</v>
      </c>
      <c r="C1234" t="str">
        <f>LEFT(Table4[[#This Row],[Policy Type]],1)</f>
        <v>2</v>
      </c>
    </row>
    <row r="1235" spans="1:3" x14ac:dyDescent="0.25">
      <c r="A1235">
        <v>259456</v>
      </c>
      <c r="B1235" t="s">
        <v>3</v>
      </c>
      <c r="C1235" t="str">
        <f>LEFT(Table4[[#This Row],[Policy Type]],1)</f>
        <v>2</v>
      </c>
    </row>
    <row r="1236" spans="1:3" x14ac:dyDescent="0.25">
      <c r="A1236">
        <v>259458</v>
      </c>
      <c r="B1236" t="s">
        <v>3</v>
      </c>
      <c r="C1236" t="str">
        <f>LEFT(Table4[[#This Row],[Policy Type]],1)</f>
        <v>2</v>
      </c>
    </row>
    <row r="1237" spans="1:3" x14ac:dyDescent="0.25">
      <c r="A1237">
        <v>259459</v>
      </c>
      <c r="B1237" t="s">
        <v>2</v>
      </c>
      <c r="C1237" t="str">
        <f>LEFT(Table4[[#This Row],[Policy Type]],1)</f>
        <v>1</v>
      </c>
    </row>
    <row r="1238" spans="1:3" x14ac:dyDescent="0.25">
      <c r="A1238">
        <v>254007</v>
      </c>
      <c r="B1238" t="s">
        <v>2</v>
      </c>
      <c r="C1238" t="str">
        <f>LEFT(Table4[[#This Row],[Policy Type]],1)</f>
        <v>1</v>
      </c>
    </row>
    <row r="1239" spans="1:3" x14ac:dyDescent="0.25">
      <c r="A1239">
        <v>256585</v>
      </c>
      <c r="B1239" t="s">
        <v>2</v>
      </c>
      <c r="C1239" t="str">
        <f>LEFT(Table4[[#This Row],[Policy Type]],1)</f>
        <v>1</v>
      </c>
    </row>
    <row r="1240" spans="1:3" x14ac:dyDescent="0.25">
      <c r="A1240">
        <v>250754</v>
      </c>
      <c r="B1240" t="s">
        <v>3</v>
      </c>
      <c r="C1240" t="str">
        <f>LEFT(Table4[[#This Row],[Policy Type]],1)</f>
        <v>2</v>
      </c>
    </row>
    <row r="1241" spans="1:3" x14ac:dyDescent="0.25">
      <c r="A1241">
        <v>203259</v>
      </c>
      <c r="B1241" t="s">
        <v>2</v>
      </c>
      <c r="C1241" t="str">
        <f>LEFT(Table4[[#This Row],[Policy Type]],1)</f>
        <v>1</v>
      </c>
    </row>
    <row r="1242" spans="1:3" x14ac:dyDescent="0.25">
      <c r="A1242">
        <v>254109</v>
      </c>
      <c r="B1242" t="s">
        <v>2</v>
      </c>
      <c r="C1242" t="str">
        <f>LEFT(Table4[[#This Row],[Policy Type]],1)</f>
        <v>1</v>
      </c>
    </row>
    <row r="1243" spans="1:3" x14ac:dyDescent="0.25">
      <c r="A1243">
        <v>259464</v>
      </c>
      <c r="B1243" t="s">
        <v>3</v>
      </c>
      <c r="C1243" t="str">
        <f>LEFT(Table4[[#This Row],[Policy Type]],1)</f>
        <v>2</v>
      </c>
    </row>
    <row r="1244" spans="1:3" x14ac:dyDescent="0.25">
      <c r="A1244">
        <v>223212</v>
      </c>
      <c r="B1244" t="s">
        <v>2</v>
      </c>
      <c r="C1244" t="str">
        <f>LEFT(Table4[[#This Row],[Policy Type]],1)</f>
        <v>1</v>
      </c>
    </row>
    <row r="1245" spans="1:3" x14ac:dyDescent="0.25">
      <c r="A1245">
        <v>256256</v>
      </c>
      <c r="B1245" t="s">
        <v>3</v>
      </c>
      <c r="C1245" t="str">
        <f>LEFT(Table4[[#This Row],[Policy Type]],1)</f>
        <v>2</v>
      </c>
    </row>
    <row r="1246" spans="1:3" x14ac:dyDescent="0.25">
      <c r="A1246">
        <v>258180</v>
      </c>
      <c r="B1246" t="s">
        <v>2</v>
      </c>
      <c r="C1246" t="str">
        <f>LEFT(Table4[[#This Row],[Policy Type]],1)</f>
        <v>1</v>
      </c>
    </row>
    <row r="1247" spans="1:3" x14ac:dyDescent="0.25">
      <c r="A1247">
        <v>217718</v>
      </c>
      <c r="B1247" t="s">
        <v>3</v>
      </c>
      <c r="C1247" t="str">
        <f>LEFT(Table4[[#This Row],[Policy Type]],1)</f>
        <v>2</v>
      </c>
    </row>
    <row r="1248" spans="1:3" x14ac:dyDescent="0.25">
      <c r="A1248">
        <v>259470</v>
      </c>
      <c r="B1248" t="s">
        <v>2</v>
      </c>
      <c r="C1248" t="str">
        <f>LEFT(Table4[[#This Row],[Policy Type]],1)</f>
        <v>1</v>
      </c>
    </row>
    <row r="1249" spans="1:3" x14ac:dyDescent="0.25">
      <c r="A1249">
        <v>187206</v>
      </c>
      <c r="B1249" t="s">
        <v>3</v>
      </c>
      <c r="C1249" t="str">
        <f>LEFT(Table4[[#This Row],[Policy Type]],1)</f>
        <v>2</v>
      </c>
    </row>
    <row r="1250" spans="1:3" x14ac:dyDescent="0.25">
      <c r="A1250">
        <v>255622</v>
      </c>
      <c r="B1250" t="s">
        <v>2</v>
      </c>
      <c r="C1250" t="str">
        <f>LEFT(Table4[[#This Row],[Policy Type]],1)</f>
        <v>1</v>
      </c>
    </row>
    <row r="1251" spans="1:3" x14ac:dyDescent="0.25">
      <c r="A1251">
        <v>167300</v>
      </c>
      <c r="B1251" t="s">
        <v>3</v>
      </c>
      <c r="C1251" t="str">
        <f>LEFT(Table4[[#This Row],[Policy Type]],1)</f>
        <v>2</v>
      </c>
    </row>
    <row r="1252" spans="1:3" x14ac:dyDescent="0.25">
      <c r="A1252">
        <v>233536</v>
      </c>
      <c r="B1252" t="s">
        <v>3</v>
      </c>
      <c r="C1252" t="str">
        <f>LEFT(Table4[[#This Row],[Policy Type]],1)</f>
        <v>2</v>
      </c>
    </row>
    <row r="1253" spans="1:3" x14ac:dyDescent="0.25">
      <c r="A1253">
        <v>258730</v>
      </c>
      <c r="B1253" t="s">
        <v>2</v>
      </c>
      <c r="C1253" t="str">
        <f>LEFT(Table4[[#This Row],[Policy Type]],1)</f>
        <v>1</v>
      </c>
    </row>
    <row r="1254" spans="1:3" x14ac:dyDescent="0.25">
      <c r="A1254">
        <v>249149</v>
      </c>
      <c r="B1254" t="s">
        <v>2</v>
      </c>
      <c r="C1254" t="str">
        <f>LEFT(Table4[[#This Row],[Policy Type]],1)</f>
        <v>1</v>
      </c>
    </row>
    <row r="1255" spans="1:3" x14ac:dyDescent="0.25">
      <c r="A1255">
        <v>254803</v>
      </c>
      <c r="B1255" t="s">
        <v>3</v>
      </c>
      <c r="C1255" t="str">
        <f>LEFT(Table4[[#This Row],[Policy Type]],1)</f>
        <v>2</v>
      </c>
    </row>
    <row r="1256" spans="1:3" x14ac:dyDescent="0.25">
      <c r="A1256">
        <v>232870</v>
      </c>
      <c r="B1256" t="s">
        <v>2</v>
      </c>
      <c r="C1256" t="str">
        <f>LEFT(Table4[[#This Row],[Policy Type]],1)</f>
        <v>1</v>
      </c>
    </row>
    <row r="1257" spans="1:3" x14ac:dyDescent="0.25">
      <c r="A1257">
        <v>259095</v>
      </c>
      <c r="B1257" t="s">
        <v>3</v>
      </c>
      <c r="C1257" t="str">
        <f>LEFT(Table4[[#This Row],[Policy Type]],1)</f>
        <v>2</v>
      </c>
    </row>
    <row r="1258" spans="1:3" x14ac:dyDescent="0.25">
      <c r="A1258">
        <v>258424</v>
      </c>
      <c r="B1258" t="s">
        <v>2</v>
      </c>
      <c r="C1258" t="str">
        <f>LEFT(Table4[[#This Row],[Policy Type]],1)</f>
        <v>1</v>
      </c>
    </row>
    <row r="1259" spans="1:3" x14ac:dyDescent="0.25">
      <c r="A1259">
        <v>230612</v>
      </c>
      <c r="B1259" t="s">
        <v>2</v>
      </c>
      <c r="C1259" t="str">
        <f>LEFT(Table4[[#This Row],[Policy Type]],1)</f>
        <v>1</v>
      </c>
    </row>
    <row r="1260" spans="1:3" x14ac:dyDescent="0.25">
      <c r="A1260">
        <v>249143</v>
      </c>
      <c r="B1260" t="s">
        <v>3</v>
      </c>
      <c r="C1260" t="str">
        <f>LEFT(Table4[[#This Row],[Policy Type]],1)</f>
        <v>2</v>
      </c>
    </row>
    <row r="1261" spans="1:3" x14ac:dyDescent="0.25">
      <c r="A1261">
        <v>259476</v>
      </c>
      <c r="B1261" t="s">
        <v>3</v>
      </c>
      <c r="C1261" t="str">
        <f>LEFT(Table4[[#This Row],[Policy Type]],1)</f>
        <v>2</v>
      </c>
    </row>
    <row r="1262" spans="1:3" x14ac:dyDescent="0.25">
      <c r="A1262">
        <v>259475</v>
      </c>
      <c r="B1262" t="s">
        <v>2</v>
      </c>
      <c r="C1262" t="str">
        <f>LEFT(Table4[[#This Row],[Policy Type]],1)</f>
        <v>1</v>
      </c>
    </row>
    <row r="1263" spans="1:3" x14ac:dyDescent="0.25">
      <c r="A1263">
        <v>259477</v>
      </c>
      <c r="B1263" t="s">
        <v>3</v>
      </c>
      <c r="C1263" t="str">
        <f>LEFT(Table4[[#This Row],[Policy Type]],1)</f>
        <v>2</v>
      </c>
    </row>
    <row r="1264" spans="1:3" x14ac:dyDescent="0.25">
      <c r="A1264">
        <v>259478</v>
      </c>
      <c r="B1264" t="s">
        <v>3</v>
      </c>
      <c r="C1264" t="str">
        <f>LEFT(Table4[[#This Row],[Policy Type]],1)</f>
        <v>2</v>
      </c>
    </row>
    <row r="1265" spans="1:3" x14ac:dyDescent="0.25">
      <c r="A1265">
        <v>259486</v>
      </c>
      <c r="B1265" t="s">
        <v>2</v>
      </c>
      <c r="C1265" t="str">
        <f>LEFT(Table4[[#This Row],[Policy Type]],1)</f>
        <v>1</v>
      </c>
    </row>
    <row r="1266" spans="1:3" x14ac:dyDescent="0.25">
      <c r="A1266">
        <v>259484</v>
      </c>
      <c r="B1266" t="s">
        <v>3</v>
      </c>
      <c r="C1266" t="str">
        <f>LEFT(Table4[[#This Row],[Policy Type]],1)</f>
        <v>2</v>
      </c>
    </row>
    <row r="1267" spans="1:3" x14ac:dyDescent="0.25">
      <c r="A1267">
        <v>259492</v>
      </c>
      <c r="B1267" t="s">
        <v>2</v>
      </c>
      <c r="C1267" t="str">
        <f>LEFT(Table4[[#This Row],[Policy Type]],1)</f>
        <v>1</v>
      </c>
    </row>
    <row r="1268" spans="1:3" x14ac:dyDescent="0.25">
      <c r="A1268">
        <v>259338</v>
      </c>
      <c r="B1268" t="s">
        <v>2</v>
      </c>
      <c r="C1268" t="str">
        <f>LEFT(Table4[[#This Row],[Policy Type]],1)</f>
        <v>1</v>
      </c>
    </row>
    <row r="1269" spans="1:3" x14ac:dyDescent="0.25">
      <c r="A1269">
        <v>253144</v>
      </c>
      <c r="B1269" t="s">
        <v>2</v>
      </c>
      <c r="C1269" t="str">
        <f>LEFT(Table4[[#This Row],[Policy Type]],1)</f>
        <v>1</v>
      </c>
    </row>
    <row r="1270" spans="1:3" x14ac:dyDescent="0.25">
      <c r="A1270">
        <v>259497</v>
      </c>
      <c r="B1270" t="s">
        <v>2</v>
      </c>
      <c r="C1270" t="str">
        <f>LEFT(Table4[[#This Row],[Policy Type]],1)</f>
        <v>1</v>
      </c>
    </row>
    <row r="1271" spans="1:3" x14ac:dyDescent="0.25">
      <c r="A1271">
        <v>213673</v>
      </c>
      <c r="B1271" t="s">
        <v>2</v>
      </c>
      <c r="C1271" t="str">
        <f>LEFT(Table4[[#This Row],[Policy Type]],1)</f>
        <v>1</v>
      </c>
    </row>
    <row r="1272" spans="1:3" x14ac:dyDescent="0.25">
      <c r="A1272">
        <v>259499</v>
      </c>
      <c r="B1272" t="s">
        <v>3</v>
      </c>
      <c r="C1272" t="str">
        <f>LEFT(Table4[[#This Row],[Policy Type]],1)</f>
        <v>2</v>
      </c>
    </row>
    <row r="1273" spans="1:3" x14ac:dyDescent="0.25">
      <c r="A1273">
        <v>259507</v>
      </c>
      <c r="B1273" t="s">
        <v>3</v>
      </c>
      <c r="C1273" t="str">
        <f>LEFT(Table4[[#This Row],[Policy Type]],1)</f>
        <v>2</v>
      </c>
    </row>
    <row r="1274" spans="1:3" x14ac:dyDescent="0.25">
      <c r="A1274">
        <v>259510</v>
      </c>
      <c r="B1274" t="s">
        <v>2</v>
      </c>
      <c r="C1274" t="str">
        <f>LEFT(Table4[[#This Row],[Policy Type]],1)</f>
        <v>1</v>
      </c>
    </row>
    <row r="1275" spans="1:3" x14ac:dyDescent="0.25">
      <c r="A1275">
        <v>259508</v>
      </c>
      <c r="B1275" t="s">
        <v>3</v>
      </c>
      <c r="C1275" t="str">
        <f>LEFT(Table4[[#This Row],[Policy Type]],1)</f>
        <v>2</v>
      </c>
    </row>
    <row r="1276" spans="1:3" x14ac:dyDescent="0.25">
      <c r="A1276">
        <v>259494</v>
      </c>
      <c r="B1276" t="s">
        <v>2</v>
      </c>
      <c r="C1276" t="str">
        <f>LEFT(Table4[[#This Row],[Policy Type]],1)</f>
        <v>1</v>
      </c>
    </row>
    <row r="1277" spans="1:3" x14ac:dyDescent="0.25">
      <c r="A1277">
        <v>259509</v>
      </c>
      <c r="B1277" t="s">
        <v>2</v>
      </c>
      <c r="C1277" t="str">
        <f>LEFT(Table4[[#This Row],[Policy Type]],1)</f>
        <v>1</v>
      </c>
    </row>
    <row r="1278" spans="1:3" x14ac:dyDescent="0.25">
      <c r="A1278">
        <v>259516</v>
      </c>
      <c r="B1278" t="s">
        <v>2</v>
      </c>
      <c r="C1278" t="str">
        <f>LEFT(Table4[[#This Row],[Policy Type]],1)</f>
        <v>1</v>
      </c>
    </row>
    <row r="1279" spans="1:3" x14ac:dyDescent="0.25">
      <c r="A1279">
        <v>259511</v>
      </c>
      <c r="B1279" t="s">
        <v>2</v>
      </c>
      <c r="C1279" t="str">
        <f>LEFT(Table4[[#This Row],[Policy Type]],1)</f>
        <v>1</v>
      </c>
    </row>
    <row r="1280" spans="1:3" x14ac:dyDescent="0.25">
      <c r="A1280">
        <v>259524</v>
      </c>
      <c r="B1280" t="s">
        <v>2</v>
      </c>
      <c r="C1280" t="str">
        <f>LEFT(Table4[[#This Row],[Policy Type]],1)</f>
        <v>1</v>
      </c>
    </row>
    <row r="1281" spans="1:3" x14ac:dyDescent="0.25">
      <c r="A1281">
        <v>259529</v>
      </c>
      <c r="B1281" t="s">
        <v>2</v>
      </c>
      <c r="C1281" t="str">
        <f>LEFT(Table4[[#This Row],[Policy Type]],1)</f>
        <v>1</v>
      </c>
    </row>
    <row r="1282" spans="1:3" x14ac:dyDescent="0.25">
      <c r="A1282">
        <v>259519</v>
      </c>
      <c r="B1282" t="s">
        <v>3</v>
      </c>
      <c r="C1282" t="str">
        <f>LEFT(Table4[[#This Row],[Policy Type]],1)</f>
        <v>2</v>
      </c>
    </row>
    <row r="1283" spans="1:3" x14ac:dyDescent="0.25">
      <c r="A1283">
        <v>259523</v>
      </c>
      <c r="B1283" t="s">
        <v>3</v>
      </c>
      <c r="C1283" t="str">
        <f>LEFT(Table4[[#This Row],[Policy Type]],1)</f>
        <v>2</v>
      </c>
    </row>
    <row r="1284" spans="1:3" x14ac:dyDescent="0.25">
      <c r="A1284">
        <v>259521</v>
      </c>
      <c r="B1284" t="s">
        <v>2</v>
      </c>
      <c r="C1284" t="str">
        <f>LEFT(Table4[[#This Row],[Policy Type]],1)</f>
        <v>1</v>
      </c>
    </row>
    <row r="1285" spans="1:3" x14ac:dyDescent="0.25">
      <c r="A1285">
        <v>259527</v>
      </c>
      <c r="B1285" t="s">
        <v>3</v>
      </c>
      <c r="C1285" t="str">
        <f>LEFT(Table4[[#This Row],[Policy Type]],1)</f>
        <v>2</v>
      </c>
    </row>
    <row r="1286" spans="1:3" x14ac:dyDescent="0.25">
      <c r="A1286">
        <v>259530</v>
      </c>
      <c r="B1286" t="s">
        <v>2</v>
      </c>
      <c r="C1286" t="str">
        <f>LEFT(Table4[[#This Row],[Policy Type]],1)</f>
        <v>1</v>
      </c>
    </row>
    <row r="1287" spans="1:3" x14ac:dyDescent="0.25">
      <c r="A1287">
        <v>259540</v>
      </c>
      <c r="B1287" t="s">
        <v>3</v>
      </c>
      <c r="C1287" t="str">
        <f>LEFT(Table4[[#This Row],[Policy Type]],1)</f>
        <v>2</v>
      </c>
    </row>
    <row r="1288" spans="1:3" x14ac:dyDescent="0.25">
      <c r="A1288">
        <v>253159</v>
      </c>
      <c r="B1288" t="s">
        <v>2</v>
      </c>
      <c r="C1288" t="str">
        <f>LEFT(Table4[[#This Row],[Policy Type]],1)</f>
        <v>1</v>
      </c>
    </row>
    <row r="1289" spans="1:3" x14ac:dyDescent="0.25">
      <c r="A1289">
        <v>201593</v>
      </c>
      <c r="B1289" t="s">
        <v>3</v>
      </c>
      <c r="C1289" t="str">
        <f>LEFT(Table4[[#This Row],[Policy Type]],1)</f>
        <v>2</v>
      </c>
    </row>
    <row r="1290" spans="1:3" x14ac:dyDescent="0.25">
      <c r="A1290">
        <v>259543</v>
      </c>
      <c r="B1290" t="s">
        <v>3</v>
      </c>
      <c r="C1290" t="str">
        <f>LEFT(Table4[[#This Row],[Policy Type]],1)</f>
        <v>2</v>
      </c>
    </row>
    <row r="1291" spans="1:3" x14ac:dyDescent="0.25">
      <c r="A1291">
        <v>259541</v>
      </c>
      <c r="B1291" t="s">
        <v>3</v>
      </c>
      <c r="C1291" t="str">
        <f>LEFT(Table4[[#This Row],[Policy Type]],1)</f>
        <v>2</v>
      </c>
    </row>
    <row r="1292" spans="1:3" x14ac:dyDescent="0.25">
      <c r="A1292">
        <v>259542</v>
      </c>
      <c r="B1292" t="s">
        <v>3</v>
      </c>
      <c r="C1292" t="str">
        <f>LEFT(Table4[[#This Row],[Policy Type]],1)</f>
        <v>2</v>
      </c>
    </row>
    <row r="1293" spans="1:3" x14ac:dyDescent="0.25">
      <c r="A1293">
        <v>259546</v>
      </c>
      <c r="B1293" t="s">
        <v>3</v>
      </c>
      <c r="C1293" t="str">
        <f>LEFT(Table4[[#This Row],[Policy Type]],1)</f>
        <v>2</v>
      </c>
    </row>
    <row r="1294" spans="1:3" x14ac:dyDescent="0.25">
      <c r="A1294">
        <v>259544</v>
      </c>
      <c r="B1294" t="s">
        <v>3</v>
      </c>
      <c r="C1294" t="str">
        <f>LEFT(Table4[[#This Row],[Policy Type]],1)</f>
        <v>2</v>
      </c>
    </row>
    <row r="1295" spans="1:3" x14ac:dyDescent="0.25">
      <c r="A1295">
        <v>258149</v>
      </c>
      <c r="B1295" t="s">
        <v>2</v>
      </c>
      <c r="C1295" t="str">
        <f>LEFT(Table4[[#This Row],[Policy Type]],1)</f>
        <v>1</v>
      </c>
    </row>
    <row r="1296" spans="1:3" x14ac:dyDescent="0.25">
      <c r="A1296">
        <v>246006</v>
      </c>
      <c r="B1296" t="s">
        <v>2</v>
      </c>
      <c r="C1296" t="str">
        <f>LEFT(Table4[[#This Row],[Policy Type]],1)</f>
        <v>1</v>
      </c>
    </row>
    <row r="1297" spans="1:3" x14ac:dyDescent="0.25">
      <c r="A1297">
        <v>195914</v>
      </c>
      <c r="B1297" t="s">
        <v>2</v>
      </c>
      <c r="C1297" t="str">
        <f>LEFT(Table4[[#This Row],[Policy Type]],1)</f>
        <v>1</v>
      </c>
    </row>
    <row r="1298" spans="1:3" x14ac:dyDescent="0.25">
      <c r="A1298">
        <v>194183</v>
      </c>
      <c r="B1298" t="s">
        <v>3</v>
      </c>
      <c r="C1298" t="str">
        <f>LEFT(Table4[[#This Row],[Policy Type]],1)</f>
        <v>2</v>
      </c>
    </row>
    <row r="1299" spans="1:3" x14ac:dyDescent="0.25">
      <c r="A1299">
        <v>220470</v>
      </c>
      <c r="B1299" t="s">
        <v>3</v>
      </c>
      <c r="C1299" t="str">
        <f>LEFT(Table4[[#This Row],[Policy Type]],1)</f>
        <v>2</v>
      </c>
    </row>
    <row r="1300" spans="1:3" x14ac:dyDescent="0.25">
      <c r="A1300">
        <v>254701</v>
      </c>
      <c r="B1300" t="s">
        <v>3</v>
      </c>
      <c r="C1300" t="str">
        <f>LEFT(Table4[[#This Row],[Policy Type]],1)</f>
        <v>2</v>
      </c>
    </row>
    <row r="1301" spans="1:3" x14ac:dyDescent="0.25">
      <c r="A1301">
        <v>259554</v>
      </c>
      <c r="B1301" t="s">
        <v>3</v>
      </c>
      <c r="C1301" t="str">
        <f>LEFT(Table4[[#This Row],[Policy Type]],1)</f>
        <v>2</v>
      </c>
    </row>
    <row r="1302" spans="1:3" x14ac:dyDescent="0.25">
      <c r="A1302">
        <v>259551</v>
      </c>
      <c r="B1302" t="s">
        <v>2</v>
      </c>
      <c r="C1302" t="str">
        <f>LEFT(Table4[[#This Row],[Policy Type]],1)</f>
        <v>1</v>
      </c>
    </row>
    <row r="1303" spans="1:3" x14ac:dyDescent="0.25">
      <c r="A1303">
        <v>259549</v>
      </c>
      <c r="B1303" t="s">
        <v>2</v>
      </c>
      <c r="C1303" t="str">
        <f>LEFT(Table4[[#This Row],[Policy Type]],1)</f>
        <v>1</v>
      </c>
    </row>
    <row r="1304" spans="1:3" x14ac:dyDescent="0.25">
      <c r="A1304">
        <v>259559</v>
      </c>
      <c r="B1304" t="s">
        <v>2</v>
      </c>
      <c r="C1304" t="str">
        <f>LEFT(Table4[[#This Row],[Policy Type]],1)</f>
        <v>1</v>
      </c>
    </row>
    <row r="1305" spans="1:3" x14ac:dyDescent="0.25">
      <c r="A1305">
        <v>259571</v>
      </c>
      <c r="B1305" t="s">
        <v>3</v>
      </c>
      <c r="C1305" t="str">
        <f>LEFT(Table4[[#This Row],[Policy Type]],1)</f>
        <v>2</v>
      </c>
    </row>
    <row r="1306" spans="1:3" x14ac:dyDescent="0.25">
      <c r="A1306">
        <v>259557</v>
      </c>
      <c r="B1306" t="s">
        <v>3</v>
      </c>
      <c r="C1306" t="str">
        <f>LEFT(Table4[[#This Row],[Policy Type]],1)</f>
        <v>2</v>
      </c>
    </row>
    <row r="1307" spans="1:3" x14ac:dyDescent="0.25">
      <c r="A1307">
        <v>259555</v>
      </c>
      <c r="B1307" t="s">
        <v>3</v>
      </c>
      <c r="C1307" t="str">
        <f>LEFT(Table4[[#This Row],[Policy Type]],1)</f>
        <v>2</v>
      </c>
    </row>
    <row r="1308" spans="1:3" x14ac:dyDescent="0.25">
      <c r="A1308">
        <v>259574</v>
      </c>
      <c r="B1308" t="s">
        <v>2</v>
      </c>
      <c r="C1308" t="str">
        <f>LEFT(Table4[[#This Row],[Policy Type]],1)</f>
        <v>1</v>
      </c>
    </row>
    <row r="1309" spans="1:3" x14ac:dyDescent="0.25">
      <c r="A1309">
        <v>259560</v>
      </c>
      <c r="B1309" t="s">
        <v>2</v>
      </c>
      <c r="C1309" t="str">
        <f>LEFT(Table4[[#This Row],[Policy Type]],1)</f>
        <v>1</v>
      </c>
    </row>
    <row r="1310" spans="1:3" x14ac:dyDescent="0.25">
      <c r="A1310">
        <v>259569</v>
      </c>
      <c r="B1310" t="s">
        <v>2</v>
      </c>
      <c r="C1310" t="str">
        <f>LEFT(Table4[[#This Row],[Policy Type]],1)</f>
        <v>1</v>
      </c>
    </row>
    <row r="1311" spans="1:3" x14ac:dyDescent="0.25">
      <c r="A1311">
        <v>259572</v>
      </c>
      <c r="B1311" t="s">
        <v>2</v>
      </c>
      <c r="C1311" t="str">
        <f>LEFT(Table4[[#This Row],[Policy Type]],1)</f>
        <v>1</v>
      </c>
    </row>
    <row r="1312" spans="1:3" x14ac:dyDescent="0.25">
      <c r="A1312">
        <v>229661</v>
      </c>
      <c r="B1312" t="s">
        <v>3</v>
      </c>
      <c r="C1312" t="str">
        <f>LEFT(Table4[[#This Row],[Policy Type]],1)</f>
        <v>2</v>
      </c>
    </row>
    <row r="1313" spans="1:3" x14ac:dyDescent="0.25">
      <c r="A1313">
        <v>178503</v>
      </c>
      <c r="B1313" t="s">
        <v>2</v>
      </c>
      <c r="C1313" t="str">
        <f>LEFT(Table4[[#This Row],[Policy Type]],1)</f>
        <v>1</v>
      </c>
    </row>
    <row r="1314" spans="1:3" x14ac:dyDescent="0.25">
      <c r="A1314">
        <v>259577</v>
      </c>
      <c r="B1314" t="s">
        <v>2</v>
      </c>
      <c r="C1314" t="str">
        <f>LEFT(Table4[[#This Row],[Policy Type]],1)</f>
        <v>1</v>
      </c>
    </row>
    <row r="1315" spans="1:3" x14ac:dyDescent="0.25">
      <c r="A1315">
        <v>259575</v>
      </c>
      <c r="B1315" t="s">
        <v>3</v>
      </c>
      <c r="C1315" t="str">
        <f>LEFT(Table4[[#This Row],[Policy Type]],1)</f>
        <v>2</v>
      </c>
    </row>
    <row r="1316" spans="1:3" x14ac:dyDescent="0.25">
      <c r="A1316">
        <v>259576</v>
      </c>
      <c r="B1316" t="s">
        <v>3</v>
      </c>
      <c r="C1316" t="str">
        <f>LEFT(Table4[[#This Row],[Policy Type]],1)</f>
        <v>2</v>
      </c>
    </row>
    <row r="1317" spans="1:3" x14ac:dyDescent="0.25">
      <c r="A1317">
        <v>259582</v>
      </c>
      <c r="B1317" t="s">
        <v>2</v>
      </c>
      <c r="C1317" t="str">
        <f>LEFT(Table4[[#This Row],[Policy Type]],1)</f>
        <v>1</v>
      </c>
    </row>
    <row r="1318" spans="1:3" x14ac:dyDescent="0.25">
      <c r="A1318">
        <v>259585</v>
      </c>
      <c r="B1318" t="s">
        <v>2</v>
      </c>
      <c r="C1318" t="str">
        <f>LEFT(Table4[[#This Row],[Policy Type]],1)</f>
        <v>1</v>
      </c>
    </row>
    <row r="1319" spans="1:3" x14ac:dyDescent="0.25">
      <c r="A1319">
        <v>259584</v>
      </c>
      <c r="B1319" t="s">
        <v>2</v>
      </c>
      <c r="C1319" t="str">
        <f>LEFT(Table4[[#This Row],[Policy Type]],1)</f>
        <v>1</v>
      </c>
    </row>
    <row r="1320" spans="1:3" x14ac:dyDescent="0.25">
      <c r="A1320">
        <v>259586</v>
      </c>
      <c r="B1320" t="s">
        <v>3</v>
      </c>
      <c r="C1320" t="str">
        <f>LEFT(Table4[[#This Row],[Policy Type]],1)</f>
        <v>2</v>
      </c>
    </row>
    <row r="1321" spans="1:3" x14ac:dyDescent="0.25">
      <c r="A1321">
        <v>259579</v>
      </c>
      <c r="B1321" t="s">
        <v>2</v>
      </c>
      <c r="C1321" t="str">
        <f>LEFT(Table4[[#This Row],[Policy Type]],1)</f>
        <v>1</v>
      </c>
    </row>
    <row r="1322" spans="1:3" x14ac:dyDescent="0.25">
      <c r="A1322">
        <v>259581</v>
      </c>
      <c r="B1322" t="s">
        <v>2</v>
      </c>
      <c r="C1322" t="str">
        <f>LEFT(Table4[[#This Row],[Policy Type]],1)</f>
        <v>1</v>
      </c>
    </row>
    <row r="1323" spans="1:3" x14ac:dyDescent="0.25">
      <c r="A1323">
        <v>259588</v>
      </c>
      <c r="B1323" t="s">
        <v>2</v>
      </c>
      <c r="C1323" t="str">
        <f>LEFT(Table4[[#This Row],[Policy Type]],1)</f>
        <v>1</v>
      </c>
    </row>
    <row r="1324" spans="1:3" x14ac:dyDescent="0.25">
      <c r="A1324">
        <v>259593</v>
      </c>
      <c r="B1324" t="s">
        <v>2</v>
      </c>
      <c r="C1324" t="str">
        <f>LEFT(Table4[[#This Row],[Policy Type]],1)</f>
        <v>1</v>
      </c>
    </row>
    <row r="1325" spans="1:3" x14ac:dyDescent="0.25">
      <c r="A1325">
        <v>259589</v>
      </c>
      <c r="B1325" t="s">
        <v>2</v>
      </c>
      <c r="C1325" t="str">
        <f>LEFT(Table4[[#This Row],[Policy Type]],1)</f>
        <v>1</v>
      </c>
    </row>
    <row r="1326" spans="1:3" x14ac:dyDescent="0.25">
      <c r="A1326">
        <v>259599</v>
      </c>
      <c r="B1326" t="s">
        <v>2</v>
      </c>
      <c r="C1326" t="str">
        <f>LEFT(Table4[[#This Row],[Policy Type]],1)</f>
        <v>1</v>
      </c>
    </row>
    <row r="1327" spans="1:3" x14ac:dyDescent="0.25">
      <c r="A1327">
        <v>259595</v>
      </c>
      <c r="B1327" t="s">
        <v>3</v>
      </c>
      <c r="C1327" t="str">
        <f>LEFT(Table4[[#This Row],[Policy Type]],1)</f>
        <v>2</v>
      </c>
    </row>
    <row r="1328" spans="1:3" x14ac:dyDescent="0.25">
      <c r="A1328">
        <v>259600</v>
      </c>
      <c r="B1328" t="s">
        <v>2</v>
      </c>
      <c r="C1328" t="str">
        <f>LEFT(Table4[[#This Row],[Policy Type]],1)</f>
        <v>1</v>
      </c>
    </row>
    <row r="1329" spans="1:3" x14ac:dyDescent="0.25">
      <c r="A1329">
        <v>259610</v>
      </c>
      <c r="B1329" t="s">
        <v>3</v>
      </c>
      <c r="C1329" t="str">
        <f>LEFT(Table4[[#This Row],[Policy Type]],1)</f>
        <v>2</v>
      </c>
    </row>
    <row r="1330" spans="1:3" x14ac:dyDescent="0.25">
      <c r="A1330">
        <v>259612</v>
      </c>
      <c r="B1330" t="s">
        <v>2</v>
      </c>
      <c r="C1330" t="str">
        <f>LEFT(Table4[[#This Row],[Policy Type]],1)</f>
        <v>1</v>
      </c>
    </row>
    <row r="1331" spans="1:3" x14ac:dyDescent="0.25">
      <c r="A1331">
        <v>259606</v>
      </c>
      <c r="B1331" t="s">
        <v>2</v>
      </c>
      <c r="C1331" t="str">
        <f>LEFT(Table4[[#This Row],[Policy Type]],1)</f>
        <v>1</v>
      </c>
    </row>
    <row r="1332" spans="1:3" x14ac:dyDescent="0.25">
      <c r="A1332">
        <v>259609</v>
      </c>
      <c r="B1332" t="s">
        <v>2</v>
      </c>
      <c r="C1332" t="str">
        <f>LEFT(Table4[[#This Row],[Policy Type]],1)</f>
        <v>1</v>
      </c>
    </row>
    <row r="1333" spans="1:3" x14ac:dyDescent="0.25">
      <c r="A1333">
        <v>259616</v>
      </c>
      <c r="B1333" t="s">
        <v>3</v>
      </c>
      <c r="C1333" t="str">
        <f>LEFT(Table4[[#This Row],[Policy Type]],1)</f>
        <v>2</v>
      </c>
    </row>
    <row r="1334" spans="1:3" x14ac:dyDescent="0.25">
      <c r="A1334">
        <v>259608</v>
      </c>
      <c r="B1334" t="s">
        <v>3</v>
      </c>
      <c r="C1334" t="str">
        <f>LEFT(Table4[[#This Row],[Policy Type]],1)</f>
        <v>2</v>
      </c>
    </row>
    <row r="1335" spans="1:3" x14ac:dyDescent="0.25">
      <c r="A1335">
        <v>259618</v>
      </c>
      <c r="B1335" t="s">
        <v>2</v>
      </c>
      <c r="C1335" t="str">
        <f>LEFT(Table4[[#This Row],[Policy Type]],1)</f>
        <v>1</v>
      </c>
    </row>
    <row r="1336" spans="1:3" x14ac:dyDescent="0.25">
      <c r="A1336">
        <v>259625</v>
      </c>
      <c r="B1336" t="s">
        <v>3</v>
      </c>
      <c r="C1336" t="str">
        <f>LEFT(Table4[[#This Row],[Policy Type]],1)</f>
        <v>2</v>
      </c>
    </row>
    <row r="1337" spans="1:3" x14ac:dyDescent="0.25">
      <c r="A1337">
        <v>259624</v>
      </c>
      <c r="B1337" t="s">
        <v>3</v>
      </c>
      <c r="C1337" t="str">
        <f>LEFT(Table4[[#This Row],[Policy Type]],1)</f>
        <v>2</v>
      </c>
    </row>
    <row r="1338" spans="1:3" x14ac:dyDescent="0.25">
      <c r="A1338">
        <v>259623</v>
      </c>
      <c r="B1338" t="s">
        <v>3</v>
      </c>
      <c r="C1338" t="str">
        <f>LEFT(Table4[[#This Row],[Policy Type]],1)</f>
        <v>2</v>
      </c>
    </row>
    <row r="1339" spans="1:3" x14ac:dyDescent="0.25">
      <c r="A1339">
        <v>259628</v>
      </c>
      <c r="B1339" t="s">
        <v>3</v>
      </c>
      <c r="C1339" t="str">
        <f>LEFT(Table4[[#This Row],[Policy Type]],1)</f>
        <v>2</v>
      </c>
    </row>
    <row r="1340" spans="1:3" x14ac:dyDescent="0.25">
      <c r="A1340">
        <v>259629</v>
      </c>
      <c r="B1340" t="s">
        <v>2</v>
      </c>
      <c r="C1340" t="str">
        <f>LEFT(Table4[[#This Row],[Policy Type]],1)</f>
        <v>1</v>
      </c>
    </row>
    <row r="1341" spans="1:3" x14ac:dyDescent="0.25">
      <c r="A1341">
        <v>259626</v>
      </c>
      <c r="B1341" t="s">
        <v>3</v>
      </c>
      <c r="C1341" t="str">
        <f>LEFT(Table4[[#This Row],[Policy Type]],1)</f>
        <v>2</v>
      </c>
    </row>
    <row r="1342" spans="1:3" x14ac:dyDescent="0.25">
      <c r="A1342">
        <v>259635</v>
      </c>
      <c r="B1342" t="s">
        <v>3</v>
      </c>
      <c r="C1342" t="str">
        <f>LEFT(Table4[[#This Row],[Policy Type]],1)</f>
        <v>2</v>
      </c>
    </row>
    <row r="1343" spans="1:3" x14ac:dyDescent="0.25">
      <c r="A1343">
        <v>255478</v>
      </c>
      <c r="B1343" t="s">
        <v>3</v>
      </c>
      <c r="C1343" t="str">
        <f>LEFT(Table4[[#This Row],[Policy Type]],1)</f>
        <v>2</v>
      </c>
    </row>
    <row r="1344" spans="1:3" x14ac:dyDescent="0.25">
      <c r="A1344">
        <v>258306</v>
      </c>
      <c r="B1344" t="s">
        <v>3</v>
      </c>
      <c r="C1344" t="str">
        <f>LEFT(Table4[[#This Row],[Policy Type]],1)</f>
        <v>2</v>
      </c>
    </row>
    <row r="1345" spans="1:3" x14ac:dyDescent="0.25">
      <c r="A1345">
        <v>258989</v>
      </c>
      <c r="B1345" t="s">
        <v>3</v>
      </c>
      <c r="C1345" t="str">
        <f>LEFT(Table4[[#This Row],[Policy Type]],1)</f>
        <v>2</v>
      </c>
    </row>
    <row r="1346" spans="1:3" x14ac:dyDescent="0.25">
      <c r="A1346">
        <v>185682</v>
      </c>
      <c r="B1346" t="s">
        <v>3</v>
      </c>
      <c r="C1346" t="str">
        <f>LEFT(Table4[[#This Row],[Policy Type]],1)</f>
        <v>2</v>
      </c>
    </row>
    <row r="1347" spans="1:3" x14ac:dyDescent="0.25">
      <c r="A1347">
        <v>252824</v>
      </c>
      <c r="B1347" t="s">
        <v>3</v>
      </c>
      <c r="C1347" t="str">
        <f>LEFT(Table4[[#This Row],[Policy Type]],1)</f>
        <v>2</v>
      </c>
    </row>
    <row r="1348" spans="1:3" x14ac:dyDescent="0.25">
      <c r="A1348">
        <v>256845</v>
      </c>
      <c r="B1348" t="s">
        <v>2</v>
      </c>
      <c r="C1348" t="str">
        <f>LEFT(Table4[[#This Row],[Policy Type]],1)</f>
        <v>1</v>
      </c>
    </row>
    <row r="1349" spans="1:3" x14ac:dyDescent="0.25">
      <c r="A1349">
        <v>194394</v>
      </c>
      <c r="B1349" t="s">
        <v>2</v>
      </c>
      <c r="C1349" t="str">
        <f>LEFT(Table4[[#This Row],[Policy Type]],1)</f>
        <v>1</v>
      </c>
    </row>
    <row r="1350" spans="1:3" x14ac:dyDescent="0.25">
      <c r="A1350">
        <v>259015</v>
      </c>
      <c r="B1350" t="s">
        <v>2</v>
      </c>
      <c r="C1350" t="str">
        <f>LEFT(Table4[[#This Row],[Policy Type]],1)</f>
        <v>1</v>
      </c>
    </row>
    <row r="1351" spans="1:3" x14ac:dyDescent="0.25">
      <c r="A1351">
        <v>259123</v>
      </c>
      <c r="B1351" t="s">
        <v>3</v>
      </c>
      <c r="C1351" t="str">
        <f>LEFT(Table4[[#This Row],[Policy Type]],1)</f>
        <v>2</v>
      </c>
    </row>
    <row r="1352" spans="1:3" x14ac:dyDescent="0.25">
      <c r="A1352">
        <v>259637</v>
      </c>
      <c r="B1352" t="s">
        <v>3</v>
      </c>
      <c r="C1352" t="str">
        <f>LEFT(Table4[[#This Row],[Policy Type]],1)</f>
        <v>2</v>
      </c>
    </row>
    <row r="1353" spans="1:3" x14ac:dyDescent="0.25">
      <c r="A1353">
        <v>213430</v>
      </c>
      <c r="B1353" t="s">
        <v>2</v>
      </c>
      <c r="C1353" t="str">
        <f>LEFT(Table4[[#This Row],[Policy Type]],1)</f>
        <v>1</v>
      </c>
    </row>
    <row r="1354" spans="1:3" x14ac:dyDescent="0.25">
      <c r="A1354">
        <v>259643</v>
      </c>
      <c r="B1354" t="s">
        <v>3</v>
      </c>
      <c r="C1354" t="str">
        <f>LEFT(Table4[[#This Row],[Policy Type]],1)</f>
        <v>2</v>
      </c>
    </row>
    <row r="1355" spans="1:3" x14ac:dyDescent="0.25">
      <c r="A1355">
        <v>259641</v>
      </c>
      <c r="B1355" t="s">
        <v>2</v>
      </c>
      <c r="C1355" t="str">
        <f>LEFT(Table4[[#This Row],[Policy Type]],1)</f>
        <v>1</v>
      </c>
    </row>
    <row r="1356" spans="1:3" x14ac:dyDescent="0.25">
      <c r="A1356">
        <v>259640</v>
      </c>
      <c r="B1356" t="s">
        <v>2</v>
      </c>
      <c r="C1356" t="str">
        <f>LEFT(Table4[[#This Row],[Policy Type]],1)</f>
        <v>1</v>
      </c>
    </row>
    <row r="1357" spans="1:3" x14ac:dyDescent="0.25">
      <c r="A1357">
        <v>259646</v>
      </c>
      <c r="B1357" t="s">
        <v>3</v>
      </c>
      <c r="C1357" t="str">
        <f>LEFT(Table4[[#This Row],[Policy Type]],1)</f>
        <v>2</v>
      </c>
    </row>
    <row r="1358" spans="1:3" x14ac:dyDescent="0.25">
      <c r="A1358">
        <v>259639</v>
      </c>
      <c r="B1358" t="s">
        <v>2</v>
      </c>
      <c r="C1358" t="str">
        <f>LEFT(Table4[[#This Row],[Policy Type]],1)</f>
        <v>1</v>
      </c>
    </row>
    <row r="1359" spans="1:3" x14ac:dyDescent="0.25">
      <c r="A1359">
        <v>259645</v>
      </c>
      <c r="B1359" t="s">
        <v>3</v>
      </c>
      <c r="C1359" t="str">
        <f>LEFT(Table4[[#This Row],[Policy Type]],1)</f>
        <v>2</v>
      </c>
    </row>
    <row r="1360" spans="1:3" x14ac:dyDescent="0.25">
      <c r="A1360">
        <v>259644</v>
      </c>
      <c r="B1360" t="s">
        <v>3</v>
      </c>
      <c r="C1360" t="str">
        <f>LEFT(Table4[[#This Row],[Policy Type]],1)</f>
        <v>2</v>
      </c>
    </row>
    <row r="1361" spans="1:3" x14ac:dyDescent="0.25">
      <c r="A1361">
        <v>259654</v>
      </c>
      <c r="B1361" t="s">
        <v>3</v>
      </c>
      <c r="C1361" t="str">
        <f>LEFT(Table4[[#This Row],[Policy Type]],1)</f>
        <v>2</v>
      </c>
    </row>
    <row r="1362" spans="1:3" x14ac:dyDescent="0.25">
      <c r="A1362">
        <v>259660</v>
      </c>
      <c r="B1362" t="s">
        <v>2</v>
      </c>
      <c r="C1362" t="str">
        <f>LEFT(Table4[[#This Row],[Policy Type]],1)</f>
        <v>1</v>
      </c>
    </row>
    <row r="1363" spans="1:3" x14ac:dyDescent="0.25">
      <c r="A1363">
        <v>259648</v>
      </c>
      <c r="B1363" t="s">
        <v>3</v>
      </c>
      <c r="C1363" t="str">
        <f>LEFT(Table4[[#This Row],[Policy Type]],1)</f>
        <v>2</v>
      </c>
    </row>
    <row r="1364" spans="1:3" x14ac:dyDescent="0.25">
      <c r="A1364">
        <v>259661</v>
      </c>
      <c r="B1364" t="s">
        <v>2</v>
      </c>
      <c r="C1364" t="str">
        <f>LEFT(Table4[[#This Row],[Policy Type]],1)</f>
        <v>1</v>
      </c>
    </row>
    <row r="1365" spans="1:3" x14ac:dyDescent="0.25">
      <c r="A1365">
        <v>180706</v>
      </c>
      <c r="B1365" t="s">
        <v>2</v>
      </c>
      <c r="C1365" t="str">
        <f>LEFT(Table4[[#This Row],[Policy Type]],1)</f>
        <v>1</v>
      </c>
    </row>
    <row r="1366" spans="1:3" x14ac:dyDescent="0.25">
      <c r="A1366">
        <v>257894</v>
      </c>
      <c r="B1366" t="s">
        <v>2</v>
      </c>
      <c r="C1366" t="str">
        <f>LEFT(Table4[[#This Row],[Policy Type]],1)</f>
        <v>1</v>
      </c>
    </row>
    <row r="1367" spans="1:3" x14ac:dyDescent="0.25">
      <c r="A1367">
        <v>259662</v>
      </c>
      <c r="B1367" t="s">
        <v>3</v>
      </c>
      <c r="C1367" t="str">
        <f>LEFT(Table4[[#This Row],[Policy Type]],1)</f>
        <v>2</v>
      </c>
    </row>
    <row r="1368" spans="1:3" x14ac:dyDescent="0.25">
      <c r="A1368">
        <v>259672</v>
      </c>
      <c r="B1368" t="s">
        <v>2</v>
      </c>
      <c r="C1368" t="str">
        <f>LEFT(Table4[[#This Row],[Policy Type]],1)</f>
        <v>1</v>
      </c>
    </row>
    <row r="1369" spans="1:3" x14ac:dyDescent="0.25">
      <c r="A1369">
        <v>259668</v>
      </c>
      <c r="B1369" t="s">
        <v>3</v>
      </c>
      <c r="C1369" t="str">
        <f>LEFT(Table4[[#This Row],[Policy Type]],1)</f>
        <v>2</v>
      </c>
    </row>
    <row r="1370" spans="1:3" x14ac:dyDescent="0.25">
      <c r="A1370">
        <v>259676</v>
      </c>
      <c r="B1370" t="s">
        <v>3</v>
      </c>
      <c r="C1370" t="str">
        <f>LEFT(Table4[[#This Row],[Policy Type]],1)</f>
        <v>2</v>
      </c>
    </row>
    <row r="1371" spans="1:3" x14ac:dyDescent="0.25">
      <c r="A1371">
        <v>259688</v>
      </c>
      <c r="B1371" t="s">
        <v>2</v>
      </c>
      <c r="C1371" t="str">
        <f>LEFT(Table4[[#This Row],[Policy Type]],1)</f>
        <v>1</v>
      </c>
    </row>
    <row r="1372" spans="1:3" x14ac:dyDescent="0.25">
      <c r="A1372">
        <v>259683</v>
      </c>
      <c r="B1372" t="s">
        <v>2</v>
      </c>
      <c r="C1372" t="str">
        <f>LEFT(Table4[[#This Row],[Policy Type]],1)</f>
        <v>1</v>
      </c>
    </row>
    <row r="1373" spans="1:3" x14ac:dyDescent="0.25">
      <c r="A1373">
        <v>179146</v>
      </c>
      <c r="B1373" t="s">
        <v>2</v>
      </c>
      <c r="C1373" t="str">
        <f>LEFT(Table4[[#This Row],[Policy Type]],1)</f>
        <v>1</v>
      </c>
    </row>
    <row r="1374" spans="1:3" x14ac:dyDescent="0.25">
      <c r="A1374">
        <v>259690</v>
      </c>
      <c r="B1374" t="s">
        <v>3</v>
      </c>
      <c r="C1374" t="str">
        <f>LEFT(Table4[[#This Row],[Policy Type]],1)</f>
        <v>2</v>
      </c>
    </row>
    <row r="1375" spans="1:3" x14ac:dyDescent="0.25">
      <c r="A1375">
        <v>259691</v>
      </c>
      <c r="B1375" t="s">
        <v>3</v>
      </c>
      <c r="C1375" t="str">
        <f>LEFT(Table4[[#This Row],[Policy Type]],1)</f>
        <v>2</v>
      </c>
    </row>
    <row r="1376" spans="1:3" x14ac:dyDescent="0.25">
      <c r="A1376">
        <v>259698</v>
      </c>
      <c r="B1376" t="s">
        <v>2</v>
      </c>
      <c r="C1376" t="str">
        <f>LEFT(Table4[[#This Row],[Policy Type]],1)</f>
        <v>1</v>
      </c>
    </row>
    <row r="1377" spans="1:3" x14ac:dyDescent="0.25">
      <c r="A1377">
        <v>259694</v>
      </c>
      <c r="B1377" t="s">
        <v>2</v>
      </c>
      <c r="C1377" t="str">
        <f>LEFT(Table4[[#This Row],[Policy Type]],1)</f>
        <v>1</v>
      </c>
    </row>
    <row r="1378" spans="1:3" x14ac:dyDescent="0.25">
      <c r="A1378">
        <v>259696</v>
      </c>
      <c r="B1378" t="s">
        <v>3</v>
      </c>
      <c r="C1378" t="str">
        <f>LEFT(Table4[[#This Row],[Policy Type]],1)</f>
        <v>2</v>
      </c>
    </row>
    <row r="1379" spans="1:3" x14ac:dyDescent="0.25">
      <c r="A1379">
        <v>259699</v>
      </c>
      <c r="B1379" t="s">
        <v>3</v>
      </c>
      <c r="C1379" t="str">
        <f>LEFT(Table4[[#This Row],[Policy Type]],1)</f>
        <v>2</v>
      </c>
    </row>
    <row r="1380" spans="1:3" x14ac:dyDescent="0.25">
      <c r="A1380">
        <v>259706</v>
      </c>
      <c r="B1380" t="s">
        <v>3</v>
      </c>
      <c r="C1380" t="str">
        <f>LEFT(Table4[[#This Row],[Policy Type]],1)</f>
        <v>2</v>
      </c>
    </row>
    <row r="1381" spans="1:3" x14ac:dyDescent="0.25">
      <c r="A1381">
        <v>259700</v>
      </c>
      <c r="B1381" t="s">
        <v>3</v>
      </c>
      <c r="C1381" t="str">
        <f>LEFT(Table4[[#This Row],[Policy Type]],1)</f>
        <v>2</v>
      </c>
    </row>
    <row r="1382" spans="1:3" x14ac:dyDescent="0.25">
      <c r="A1382">
        <v>259708</v>
      </c>
      <c r="B1382" t="s">
        <v>2</v>
      </c>
      <c r="C1382" t="str">
        <f>LEFT(Table4[[#This Row],[Policy Type]],1)</f>
        <v>1</v>
      </c>
    </row>
    <row r="1383" spans="1:3" x14ac:dyDescent="0.25">
      <c r="A1383">
        <v>259701</v>
      </c>
      <c r="B1383" t="s">
        <v>3</v>
      </c>
      <c r="C1383" t="str">
        <f>LEFT(Table4[[#This Row],[Policy Type]],1)</f>
        <v>2</v>
      </c>
    </row>
    <row r="1384" spans="1:3" x14ac:dyDescent="0.25">
      <c r="A1384">
        <v>259707</v>
      </c>
      <c r="B1384" t="s">
        <v>3</v>
      </c>
      <c r="C1384" t="str">
        <f>LEFT(Table4[[#This Row],[Policy Type]],1)</f>
        <v>2</v>
      </c>
    </row>
    <row r="1385" spans="1:3" x14ac:dyDescent="0.25">
      <c r="A1385">
        <v>259710</v>
      </c>
      <c r="B1385" t="s">
        <v>3</v>
      </c>
      <c r="C1385" t="str">
        <f>LEFT(Table4[[#This Row],[Policy Type]],1)</f>
        <v>2</v>
      </c>
    </row>
    <row r="1386" spans="1:3" x14ac:dyDescent="0.25">
      <c r="A1386">
        <v>259705</v>
      </c>
      <c r="B1386" t="s">
        <v>3</v>
      </c>
      <c r="C1386" t="str">
        <f>LEFT(Table4[[#This Row],[Policy Type]],1)</f>
        <v>2</v>
      </c>
    </row>
    <row r="1387" spans="1:3" x14ac:dyDescent="0.25">
      <c r="A1387">
        <v>259718</v>
      </c>
      <c r="B1387" t="s">
        <v>2</v>
      </c>
      <c r="C1387" t="str">
        <f>LEFT(Table4[[#This Row],[Policy Type]],1)</f>
        <v>1</v>
      </c>
    </row>
    <row r="1388" spans="1:3" x14ac:dyDescent="0.25">
      <c r="A1388">
        <v>259717</v>
      </c>
      <c r="B1388" t="s">
        <v>2</v>
      </c>
      <c r="C1388" t="str">
        <f>LEFT(Table4[[#This Row],[Policy Type]],1)</f>
        <v>1</v>
      </c>
    </row>
    <row r="1389" spans="1:3" x14ac:dyDescent="0.25">
      <c r="A1389">
        <v>151563</v>
      </c>
      <c r="B1389" t="s">
        <v>3</v>
      </c>
      <c r="C1389" t="str">
        <f>LEFT(Table4[[#This Row],[Policy Type]],1)</f>
        <v>2</v>
      </c>
    </row>
    <row r="1390" spans="1:3" x14ac:dyDescent="0.25">
      <c r="A1390">
        <v>259727</v>
      </c>
      <c r="B1390" t="s">
        <v>2</v>
      </c>
      <c r="C1390" t="str">
        <f>LEFT(Table4[[#This Row],[Policy Type]],1)</f>
        <v>1</v>
      </c>
    </row>
    <row r="1391" spans="1:3" x14ac:dyDescent="0.25">
      <c r="A1391">
        <v>259726</v>
      </c>
      <c r="B1391" t="s">
        <v>3</v>
      </c>
      <c r="C1391" t="str">
        <f>LEFT(Table4[[#This Row],[Policy Type]],1)</f>
        <v>2</v>
      </c>
    </row>
    <row r="1392" spans="1:3" x14ac:dyDescent="0.25">
      <c r="A1392">
        <v>259728</v>
      </c>
      <c r="B1392" t="s">
        <v>2</v>
      </c>
      <c r="C1392" t="str">
        <f>LEFT(Table4[[#This Row],[Policy Type]],1)</f>
        <v>1</v>
      </c>
    </row>
    <row r="1393" spans="1:3" x14ac:dyDescent="0.25">
      <c r="A1393">
        <v>259729</v>
      </c>
      <c r="B1393" t="s">
        <v>2</v>
      </c>
      <c r="C1393" t="str">
        <f>LEFT(Table4[[#This Row],[Policy Type]],1)</f>
        <v>1</v>
      </c>
    </row>
    <row r="1394" spans="1:3" x14ac:dyDescent="0.25">
      <c r="A1394">
        <v>259352</v>
      </c>
      <c r="B1394" t="s">
        <v>3</v>
      </c>
      <c r="C1394" t="str">
        <f>LEFT(Table4[[#This Row],[Policy Type]],1)</f>
        <v>2</v>
      </c>
    </row>
    <row r="1395" spans="1:3" x14ac:dyDescent="0.25">
      <c r="A1395">
        <v>245861</v>
      </c>
      <c r="B1395" t="s">
        <v>2</v>
      </c>
      <c r="C1395" t="str">
        <f>LEFT(Table4[[#This Row],[Policy Type]],1)</f>
        <v>1</v>
      </c>
    </row>
    <row r="1396" spans="1:3" x14ac:dyDescent="0.25">
      <c r="A1396">
        <v>203246</v>
      </c>
      <c r="B1396" t="s">
        <v>3</v>
      </c>
      <c r="C1396" t="str">
        <f>LEFT(Table4[[#This Row],[Policy Type]],1)</f>
        <v>2</v>
      </c>
    </row>
    <row r="1397" spans="1:3" x14ac:dyDescent="0.25">
      <c r="A1397">
        <v>259738</v>
      </c>
      <c r="B1397" t="s">
        <v>2</v>
      </c>
      <c r="C1397" t="str">
        <f>LEFT(Table4[[#This Row],[Policy Type]],1)</f>
        <v>1</v>
      </c>
    </row>
    <row r="1398" spans="1:3" x14ac:dyDescent="0.25">
      <c r="A1398">
        <v>259740</v>
      </c>
      <c r="B1398" t="s">
        <v>2</v>
      </c>
      <c r="C1398" t="str">
        <f>LEFT(Table4[[#This Row],[Policy Type]],1)</f>
        <v>1</v>
      </c>
    </row>
    <row r="1399" spans="1:3" x14ac:dyDescent="0.25">
      <c r="A1399">
        <v>259743</v>
      </c>
      <c r="B1399" t="s">
        <v>2</v>
      </c>
      <c r="C1399" t="str">
        <f>LEFT(Table4[[#This Row],[Policy Type]],1)</f>
        <v>1</v>
      </c>
    </row>
    <row r="1400" spans="1:3" x14ac:dyDescent="0.25">
      <c r="A1400">
        <v>259736</v>
      </c>
      <c r="B1400" t="s">
        <v>3</v>
      </c>
      <c r="C1400" t="str">
        <f>LEFT(Table4[[#This Row],[Policy Type]],1)</f>
        <v>2</v>
      </c>
    </row>
    <row r="1401" spans="1:3" x14ac:dyDescent="0.25">
      <c r="A1401">
        <v>259742</v>
      </c>
      <c r="B1401" t="s">
        <v>3</v>
      </c>
      <c r="C1401" t="str">
        <f>LEFT(Table4[[#This Row],[Policy Type]],1)</f>
        <v>2</v>
      </c>
    </row>
    <row r="1402" spans="1:3" x14ac:dyDescent="0.25">
      <c r="A1402">
        <v>259752</v>
      </c>
      <c r="B1402" t="s">
        <v>2</v>
      </c>
      <c r="C1402" t="str">
        <f>LEFT(Table4[[#This Row],[Policy Type]],1)</f>
        <v>1</v>
      </c>
    </row>
    <row r="1403" spans="1:3" x14ac:dyDescent="0.25">
      <c r="A1403">
        <v>259745</v>
      </c>
      <c r="B1403" t="s">
        <v>2</v>
      </c>
      <c r="C1403" t="str">
        <f>LEFT(Table4[[#This Row],[Policy Type]],1)</f>
        <v>1</v>
      </c>
    </row>
    <row r="1404" spans="1:3" x14ac:dyDescent="0.25">
      <c r="A1404">
        <v>259741</v>
      </c>
      <c r="B1404" t="s">
        <v>2</v>
      </c>
      <c r="C1404" t="str">
        <f>LEFT(Table4[[#This Row],[Policy Type]],1)</f>
        <v>1</v>
      </c>
    </row>
    <row r="1405" spans="1:3" x14ac:dyDescent="0.25">
      <c r="A1405">
        <v>259746</v>
      </c>
      <c r="B1405" t="s">
        <v>2</v>
      </c>
      <c r="C1405" t="str">
        <f>LEFT(Table4[[#This Row],[Policy Type]],1)</f>
        <v>1</v>
      </c>
    </row>
    <row r="1406" spans="1:3" x14ac:dyDescent="0.25">
      <c r="A1406">
        <v>259748</v>
      </c>
      <c r="B1406" t="s">
        <v>3</v>
      </c>
      <c r="C1406" t="str">
        <f>LEFT(Table4[[#This Row],[Policy Type]],1)</f>
        <v>2</v>
      </c>
    </row>
    <row r="1407" spans="1:3" x14ac:dyDescent="0.25">
      <c r="A1407">
        <v>259751</v>
      </c>
      <c r="B1407" t="s">
        <v>2</v>
      </c>
      <c r="C1407" t="str">
        <f>LEFT(Table4[[#This Row],[Policy Type]],1)</f>
        <v>1</v>
      </c>
    </row>
    <row r="1408" spans="1:3" x14ac:dyDescent="0.25">
      <c r="A1408">
        <v>167613</v>
      </c>
      <c r="B1408" t="s">
        <v>2</v>
      </c>
      <c r="C1408" t="str">
        <f>LEFT(Table4[[#This Row],[Policy Type]],1)</f>
        <v>1</v>
      </c>
    </row>
    <row r="1409" spans="1:3" x14ac:dyDescent="0.25">
      <c r="A1409">
        <v>246689</v>
      </c>
      <c r="B1409" t="s">
        <v>3</v>
      </c>
      <c r="C1409" t="str">
        <f>LEFT(Table4[[#This Row],[Policy Type]],1)</f>
        <v>2</v>
      </c>
    </row>
    <row r="1410" spans="1:3" x14ac:dyDescent="0.25">
      <c r="A1410">
        <v>259757</v>
      </c>
      <c r="B1410" t="s">
        <v>3</v>
      </c>
      <c r="C1410" t="str">
        <f>LEFT(Table4[[#This Row],[Policy Type]],1)</f>
        <v>2</v>
      </c>
    </row>
    <row r="1411" spans="1:3" x14ac:dyDescent="0.25">
      <c r="A1411">
        <v>259758</v>
      </c>
      <c r="B1411" t="s">
        <v>3</v>
      </c>
      <c r="C1411" t="str">
        <f>LEFT(Table4[[#This Row],[Policy Type]],1)</f>
        <v>2</v>
      </c>
    </row>
    <row r="1412" spans="1:3" x14ac:dyDescent="0.25">
      <c r="A1412">
        <v>259759</v>
      </c>
      <c r="B1412" t="s">
        <v>2</v>
      </c>
      <c r="C1412" t="str">
        <f>LEFT(Table4[[#This Row],[Policy Type]],1)</f>
        <v>1</v>
      </c>
    </row>
    <row r="1413" spans="1:3" x14ac:dyDescent="0.25">
      <c r="A1413">
        <v>259760</v>
      </c>
      <c r="B1413" t="s">
        <v>3</v>
      </c>
      <c r="C1413" t="str">
        <f>LEFT(Table4[[#This Row],[Policy Type]],1)</f>
        <v>2</v>
      </c>
    </row>
    <row r="1414" spans="1:3" x14ac:dyDescent="0.25">
      <c r="A1414">
        <v>259761</v>
      </c>
      <c r="B1414" t="s">
        <v>3</v>
      </c>
      <c r="C1414" t="str">
        <f>LEFT(Table4[[#This Row],[Policy Type]],1)</f>
        <v>2</v>
      </c>
    </row>
    <row r="1415" spans="1:3" x14ac:dyDescent="0.25">
      <c r="A1415">
        <v>259762</v>
      </c>
      <c r="B1415" t="s">
        <v>3</v>
      </c>
      <c r="C1415" t="str">
        <f>LEFT(Table4[[#This Row],[Policy Type]],1)</f>
        <v>2</v>
      </c>
    </row>
    <row r="1416" spans="1:3" x14ac:dyDescent="0.25">
      <c r="A1416">
        <v>259763</v>
      </c>
      <c r="B1416" t="s">
        <v>3</v>
      </c>
      <c r="C1416" t="str">
        <f>LEFT(Table4[[#This Row],[Policy Type]],1)</f>
        <v>2</v>
      </c>
    </row>
    <row r="1417" spans="1:3" x14ac:dyDescent="0.25">
      <c r="A1417">
        <v>259767</v>
      </c>
      <c r="B1417" t="s">
        <v>3</v>
      </c>
      <c r="C1417" t="str">
        <f>LEFT(Table4[[#This Row],[Policy Type]],1)</f>
        <v>2</v>
      </c>
    </row>
    <row r="1418" spans="1:3" x14ac:dyDescent="0.25">
      <c r="A1418">
        <v>256136</v>
      </c>
      <c r="B1418" t="s">
        <v>3</v>
      </c>
      <c r="C1418" t="str">
        <f>LEFT(Table4[[#This Row],[Policy Type]],1)</f>
        <v>2</v>
      </c>
    </row>
    <row r="1419" spans="1:3" x14ac:dyDescent="0.25">
      <c r="A1419">
        <v>172729</v>
      </c>
      <c r="B1419" t="s">
        <v>3</v>
      </c>
      <c r="C1419" t="str">
        <f>LEFT(Table4[[#This Row],[Policy Type]],1)</f>
        <v>2</v>
      </c>
    </row>
    <row r="1420" spans="1:3" x14ac:dyDescent="0.25">
      <c r="A1420">
        <v>255316</v>
      </c>
      <c r="B1420" t="s">
        <v>2</v>
      </c>
      <c r="C1420" t="str">
        <f>LEFT(Table4[[#This Row],[Policy Type]],1)</f>
        <v>1</v>
      </c>
    </row>
    <row r="1421" spans="1:3" x14ac:dyDescent="0.25">
      <c r="A1421">
        <v>259773</v>
      </c>
      <c r="B1421" t="s">
        <v>3</v>
      </c>
      <c r="C1421" t="str">
        <f>LEFT(Table4[[#This Row],[Policy Type]],1)</f>
        <v>2</v>
      </c>
    </row>
    <row r="1422" spans="1:3" x14ac:dyDescent="0.25">
      <c r="A1422">
        <v>259774</v>
      </c>
      <c r="B1422" t="s">
        <v>2</v>
      </c>
      <c r="C1422" t="str">
        <f>LEFT(Table4[[#This Row],[Policy Type]],1)</f>
        <v>1</v>
      </c>
    </row>
    <row r="1423" spans="1:3" x14ac:dyDescent="0.25">
      <c r="A1423">
        <v>259775</v>
      </c>
      <c r="B1423" t="s">
        <v>2</v>
      </c>
      <c r="C1423" t="str">
        <f>LEFT(Table4[[#This Row],[Policy Type]],1)</f>
        <v>1</v>
      </c>
    </row>
    <row r="1424" spans="1:3" x14ac:dyDescent="0.25">
      <c r="A1424">
        <v>259776</v>
      </c>
      <c r="B1424" t="s">
        <v>3</v>
      </c>
      <c r="C1424" t="str">
        <f>LEFT(Table4[[#This Row],[Policy Type]],1)</f>
        <v>2</v>
      </c>
    </row>
    <row r="1425" spans="1:3" x14ac:dyDescent="0.25">
      <c r="A1425">
        <v>259779</v>
      </c>
      <c r="B1425" t="s">
        <v>2</v>
      </c>
      <c r="C1425" t="str">
        <f>LEFT(Table4[[#This Row],[Policy Type]],1)</f>
        <v>1</v>
      </c>
    </row>
    <row r="1426" spans="1:3" x14ac:dyDescent="0.25">
      <c r="A1426">
        <v>259777</v>
      </c>
      <c r="B1426" t="s">
        <v>3</v>
      </c>
      <c r="C1426" t="str">
        <f>LEFT(Table4[[#This Row],[Policy Type]],1)</f>
        <v>2</v>
      </c>
    </row>
    <row r="1427" spans="1:3" x14ac:dyDescent="0.25">
      <c r="A1427">
        <v>259778</v>
      </c>
      <c r="B1427" t="s">
        <v>2</v>
      </c>
      <c r="C1427" t="str">
        <f>LEFT(Table4[[#This Row],[Policy Type]],1)</f>
        <v>1</v>
      </c>
    </row>
    <row r="1428" spans="1:3" x14ac:dyDescent="0.25">
      <c r="A1428">
        <v>259782</v>
      </c>
      <c r="B1428" t="s">
        <v>2</v>
      </c>
      <c r="C1428" t="str">
        <f>LEFT(Table4[[#This Row],[Policy Type]],1)</f>
        <v>1</v>
      </c>
    </row>
    <row r="1429" spans="1:3" x14ac:dyDescent="0.25">
      <c r="A1429">
        <v>259310</v>
      </c>
      <c r="B1429" t="s">
        <v>3</v>
      </c>
      <c r="C1429" t="str">
        <f>LEFT(Table4[[#This Row],[Policy Type]],1)</f>
        <v>2</v>
      </c>
    </row>
    <row r="1430" spans="1:3" x14ac:dyDescent="0.25">
      <c r="A1430">
        <v>259786</v>
      </c>
      <c r="B1430" t="s">
        <v>3</v>
      </c>
      <c r="C1430" t="str">
        <f>LEFT(Table4[[#This Row],[Policy Type]],1)</f>
        <v>2</v>
      </c>
    </row>
    <row r="1431" spans="1:3" x14ac:dyDescent="0.25">
      <c r="A1431">
        <v>259784</v>
      </c>
      <c r="B1431" t="s">
        <v>3</v>
      </c>
      <c r="C1431" t="str">
        <f>LEFT(Table4[[#This Row],[Policy Type]],1)</f>
        <v>2</v>
      </c>
    </row>
    <row r="1432" spans="1:3" x14ac:dyDescent="0.25">
      <c r="A1432">
        <v>259785</v>
      </c>
      <c r="B1432" t="s">
        <v>3</v>
      </c>
      <c r="C1432" t="str">
        <f>LEFT(Table4[[#This Row],[Policy Type]],1)</f>
        <v>2</v>
      </c>
    </row>
    <row r="1433" spans="1:3" x14ac:dyDescent="0.25">
      <c r="A1433">
        <v>259791</v>
      </c>
      <c r="B1433" t="s">
        <v>2</v>
      </c>
      <c r="C1433" t="str">
        <f>LEFT(Table4[[#This Row],[Policy Type]],1)</f>
        <v>1</v>
      </c>
    </row>
    <row r="1434" spans="1:3" x14ac:dyDescent="0.25">
      <c r="A1434">
        <v>259788</v>
      </c>
      <c r="B1434" t="s">
        <v>2</v>
      </c>
      <c r="C1434" t="str">
        <f>LEFT(Table4[[#This Row],[Policy Type]],1)</f>
        <v>1</v>
      </c>
    </row>
    <row r="1435" spans="1:3" x14ac:dyDescent="0.25">
      <c r="A1435">
        <v>259792</v>
      </c>
      <c r="B1435" t="s">
        <v>3</v>
      </c>
      <c r="C1435" t="str">
        <f>LEFT(Table4[[#This Row],[Policy Type]],1)</f>
        <v>2</v>
      </c>
    </row>
    <row r="1436" spans="1:3" x14ac:dyDescent="0.25">
      <c r="A1436">
        <v>228778</v>
      </c>
      <c r="B1436" t="s">
        <v>2</v>
      </c>
      <c r="C1436" t="str">
        <f>LEFT(Table4[[#This Row],[Policy Type]],1)</f>
        <v>1</v>
      </c>
    </row>
    <row r="1437" spans="1:3" x14ac:dyDescent="0.25">
      <c r="A1437">
        <v>252656</v>
      </c>
      <c r="B1437" t="s">
        <v>3</v>
      </c>
      <c r="C1437" t="str">
        <f>LEFT(Table4[[#This Row],[Policy Type]],1)</f>
        <v>2</v>
      </c>
    </row>
    <row r="1438" spans="1:3" x14ac:dyDescent="0.25">
      <c r="A1438">
        <v>259795</v>
      </c>
      <c r="B1438" t="s">
        <v>2</v>
      </c>
      <c r="C1438" t="str">
        <f>LEFT(Table4[[#This Row],[Policy Type]],1)</f>
        <v>1</v>
      </c>
    </row>
    <row r="1439" spans="1:3" x14ac:dyDescent="0.25">
      <c r="A1439">
        <v>259796</v>
      </c>
      <c r="B1439" t="s">
        <v>3</v>
      </c>
      <c r="C1439" t="str">
        <f>LEFT(Table4[[#This Row],[Policy Type]],1)</f>
        <v>2</v>
      </c>
    </row>
    <row r="1440" spans="1:3" x14ac:dyDescent="0.25">
      <c r="A1440">
        <v>259797</v>
      </c>
      <c r="B1440" t="s">
        <v>3</v>
      </c>
      <c r="C1440" t="str">
        <f>LEFT(Table4[[#This Row],[Policy Type]],1)</f>
        <v>2</v>
      </c>
    </row>
    <row r="1441" spans="1:3" x14ac:dyDescent="0.25">
      <c r="A1441">
        <v>259798</v>
      </c>
      <c r="B1441" t="s">
        <v>2</v>
      </c>
      <c r="C1441" t="str">
        <f>LEFT(Table4[[#This Row],[Policy Type]],1)</f>
        <v>1</v>
      </c>
    </row>
    <row r="1442" spans="1:3" x14ac:dyDescent="0.25">
      <c r="A1442">
        <v>259804</v>
      </c>
      <c r="B1442" t="s">
        <v>2</v>
      </c>
      <c r="C1442" t="str">
        <f>LEFT(Table4[[#This Row],[Policy Type]],1)</f>
        <v>1</v>
      </c>
    </row>
    <row r="1443" spans="1:3" x14ac:dyDescent="0.25">
      <c r="A1443">
        <v>259793</v>
      </c>
      <c r="B1443" t="s">
        <v>3</v>
      </c>
      <c r="C1443" t="str">
        <f>LEFT(Table4[[#This Row],[Policy Type]],1)</f>
        <v>2</v>
      </c>
    </row>
    <row r="1444" spans="1:3" x14ac:dyDescent="0.25">
      <c r="A1444">
        <v>193068</v>
      </c>
      <c r="B1444" t="s">
        <v>2</v>
      </c>
      <c r="C1444" t="str">
        <f>LEFT(Table4[[#This Row],[Policy Type]],1)</f>
        <v>1</v>
      </c>
    </row>
    <row r="1445" spans="1:3" x14ac:dyDescent="0.25">
      <c r="A1445">
        <v>255934</v>
      </c>
      <c r="B1445" t="s">
        <v>2</v>
      </c>
      <c r="C1445" t="str">
        <f>LEFT(Table4[[#This Row],[Policy Type]],1)</f>
        <v>1</v>
      </c>
    </row>
    <row r="1446" spans="1:3" x14ac:dyDescent="0.25">
      <c r="A1446">
        <v>170901</v>
      </c>
      <c r="B1446" t="s">
        <v>2</v>
      </c>
      <c r="C1446" t="str">
        <f>LEFT(Table4[[#This Row],[Policy Type]],1)</f>
        <v>1</v>
      </c>
    </row>
    <row r="1447" spans="1:3" x14ac:dyDescent="0.25">
      <c r="A1447">
        <v>257534</v>
      </c>
      <c r="B1447" t="s">
        <v>2</v>
      </c>
      <c r="C1447" t="str">
        <f>LEFT(Table4[[#This Row],[Policy Type]],1)</f>
        <v>1</v>
      </c>
    </row>
    <row r="1448" spans="1:3" x14ac:dyDescent="0.25">
      <c r="A1448">
        <v>259808</v>
      </c>
      <c r="B1448" t="s">
        <v>2</v>
      </c>
      <c r="C1448" t="str">
        <f>LEFT(Table4[[#This Row],[Policy Type]],1)</f>
        <v>1</v>
      </c>
    </row>
    <row r="1449" spans="1:3" x14ac:dyDescent="0.25">
      <c r="A1449">
        <v>163346</v>
      </c>
      <c r="B1449" t="s">
        <v>3</v>
      </c>
      <c r="C1449" t="str">
        <f>LEFT(Table4[[#This Row],[Policy Type]],1)</f>
        <v>2</v>
      </c>
    </row>
    <row r="1450" spans="1:3" x14ac:dyDescent="0.25">
      <c r="A1450">
        <v>259818</v>
      </c>
      <c r="B1450" t="s">
        <v>3</v>
      </c>
      <c r="C1450" t="str">
        <f>LEFT(Table4[[#This Row],[Policy Type]],1)</f>
        <v>2</v>
      </c>
    </row>
    <row r="1451" spans="1:3" x14ac:dyDescent="0.25">
      <c r="A1451">
        <v>259812</v>
      </c>
      <c r="B1451" t="s">
        <v>3</v>
      </c>
      <c r="C1451" t="str">
        <f>LEFT(Table4[[#This Row],[Policy Type]],1)</f>
        <v>2</v>
      </c>
    </row>
    <row r="1452" spans="1:3" x14ac:dyDescent="0.25">
      <c r="A1452">
        <v>259814</v>
      </c>
      <c r="B1452" t="s">
        <v>2</v>
      </c>
      <c r="C1452" t="str">
        <f>LEFT(Table4[[#This Row],[Policy Type]],1)</f>
        <v>1</v>
      </c>
    </row>
    <row r="1453" spans="1:3" x14ac:dyDescent="0.25">
      <c r="A1453">
        <v>259820</v>
      </c>
      <c r="B1453" t="s">
        <v>3</v>
      </c>
      <c r="C1453" t="str">
        <f>LEFT(Table4[[#This Row],[Policy Type]],1)</f>
        <v>2</v>
      </c>
    </row>
    <row r="1454" spans="1:3" x14ac:dyDescent="0.25">
      <c r="A1454">
        <v>259825</v>
      </c>
      <c r="B1454" t="s">
        <v>3</v>
      </c>
      <c r="C1454" t="str">
        <f>LEFT(Table4[[#This Row],[Policy Type]],1)</f>
        <v>2</v>
      </c>
    </row>
    <row r="1455" spans="1:3" x14ac:dyDescent="0.25">
      <c r="A1455">
        <v>259819</v>
      </c>
      <c r="B1455" t="s">
        <v>3</v>
      </c>
      <c r="C1455" t="str">
        <f>LEFT(Table4[[#This Row],[Policy Type]],1)</f>
        <v>2</v>
      </c>
    </row>
    <row r="1456" spans="1:3" x14ac:dyDescent="0.25">
      <c r="A1456">
        <v>259831</v>
      </c>
      <c r="B1456" t="s">
        <v>2</v>
      </c>
      <c r="C1456" t="str">
        <f>LEFT(Table4[[#This Row],[Policy Type]],1)</f>
        <v>1</v>
      </c>
    </row>
    <row r="1457" spans="1:3" x14ac:dyDescent="0.25">
      <c r="A1457">
        <v>259826</v>
      </c>
      <c r="B1457" t="s">
        <v>2</v>
      </c>
      <c r="C1457" t="str">
        <f>LEFT(Table4[[#This Row],[Policy Type]],1)</f>
        <v>1</v>
      </c>
    </row>
    <row r="1458" spans="1:3" x14ac:dyDescent="0.25">
      <c r="A1458">
        <v>259822</v>
      </c>
      <c r="B1458" t="s">
        <v>2</v>
      </c>
      <c r="C1458" t="str">
        <f>LEFT(Table4[[#This Row],[Policy Type]],1)</f>
        <v>1</v>
      </c>
    </row>
    <row r="1459" spans="1:3" x14ac:dyDescent="0.25">
      <c r="A1459">
        <v>259821</v>
      </c>
      <c r="B1459" t="s">
        <v>2</v>
      </c>
      <c r="C1459" t="str">
        <f>LEFT(Table4[[#This Row],[Policy Type]],1)</f>
        <v>1</v>
      </c>
    </row>
    <row r="1460" spans="1:3" x14ac:dyDescent="0.25">
      <c r="A1460">
        <v>259827</v>
      </c>
      <c r="B1460" t="s">
        <v>2</v>
      </c>
      <c r="C1460" t="str">
        <f>LEFT(Table4[[#This Row],[Policy Type]],1)</f>
        <v>1</v>
      </c>
    </row>
    <row r="1461" spans="1:3" x14ac:dyDescent="0.25">
      <c r="A1461">
        <v>259834</v>
      </c>
      <c r="B1461" t="s">
        <v>2</v>
      </c>
      <c r="C1461" t="str">
        <f>LEFT(Table4[[#This Row],[Policy Type]],1)</f>
        <v>1</v>
      </c>
    </row>
    <row r="1462" spans="1:3" x14ac:dyDescent="0.25">
      <c r="A1462">
        <v>259833</v>
      </c>
      <c r="B1462" t="s">
        <v>3</v>
      </c>
      <c r="C1462" t="str">
        <f>LEFT(Table4[[#This Row],[Policy Type]],1)</f>
        <v>2</v>
      </c>
    </row>
    <row r="1463" spans="1:3" x14ac:dyDescent="0.25">
      <c r="A1463">
        <v>151054</v>
      </c>
      <c r="B1463" t="s">
        <v>2</v>
      </c>
      <c r="C1463" t="str">
        <f>LEFT(Table4[[#This Row],[Policy Type]],1)</f>
        <v>1</v>
      </c>
    </row>
    <row r="1464" spans="1:3" x14ac:dyDescent="0.25">
      <c r="A1464">
        <v>228836</v>
      </c>
      <c r="B1464" t="s">
        <v>2</v>
      </c>
      <c r="C1464" t="str">
        <f>LEFT(Table4[[#This Row],[Policy Type]],1)</f>
        <v>1</v>
      </c>
    </row>
    <row r="1465" spans="1:3" x14ac:dyDescent="0.25">
      <c r="A1465">
        <v>259841</v>
      </c>
      <c r="B1465" t="s">
        <v>3</v>
      </c>
      <c r="C1465" t="str">
        <f>LEFT(Table4[[#This Row],[Policy Type]],1)</f>
        <v>2</v>
      </c>
    </row>
    <row r="1466" spans="1:3" x14ac:dyDescent="0.25">
      <c r="A1466">
        <v>259843</v>
      </c>
      <c r="B1466" t="s">
        <v>3</v>
      </c>
      <c r="C1466" t="str">
        <f>LEFT(Table4[[#This Row],[Policy Type]],1)</f>
        <v>2</v>
      </c>
    </row>
    <row r="1467" spans="1:3" x14ac:dyDescent="0.25">
      <c r="A1467">
        <v>259842</v>
      </c>
      <c r="B1467" t="s">
        <v>3</v>
      </c>
      <c r="C1467" t="str">
        <f>LEFT(Table4[[#This Row],[Policy Type]],1)</f>
        <v>2</v>
      </c>
    </row>
    <row r="1468" spans="1:3" x14ac:dyDescent="0.25">
      <c r="A1468">
        <v>210766</v>
      </c>
      <c r="B1468" t="s">
        <v>2</v>
      </c>
      <c r="C1468" t="str">
        <f>LEFT(Table4[[#This Row],[Policy Type]],1)</f>
        <v>1</v>
      </c>
    </row>
    <row r="1469" spans="1:3" x14ac:dyDescent="0.25">
      <c r="A1469">
        <v>227904</v>
      </c>
      <c r="B1469" t="s">
        <v>2</v>
      </c>
      <c r="C1469" t="str">
        <f>LEFT(Table4[[#This Row],[Policy Type]],1)</f>
        <v>1</v>
      </c>
    </row>
    <row r="1470" spans="1:3" x14ac:dyDescent="0.25">
      <c r="A1470">
        <v>259850</v>
      </c>
      <c r="B1470" t="s">
        <v>2</v>
      </c>
      <c r="C1470" t="str">
        <f>LEFT(Table4[[#This Row],[Policy Type]],1)</f>
        <v>1</v>
      </c>
    </row>
    <row r="1471" spans="1:3" x14ac:dyDescent="0.25">
      <c r="A1471">
        <v>259854</v>
      </c>
      <c r="B1471" t="s">
        <v>2</v>
      </c>
      <c r="C1471" t="str">
        <f>LEFT(Table4[[#This Row],[Policy Type]],1)</f>
        <v>1</v>
      </c>
    </row>
    <row r="1472" spans="1:3" x14ac:dyDescent="0.25">
      <c r="A1472">
        <v>259853</v>
      </c>
      <c r="B1472" t="s">
        <v>2</v>
      </c>
      <c r="C1472" t="str">
        <f>LEFT(Table4[[#This Row],[Policy Type]],1)</f>
        <v>1</v>
      </c>
    </row>
    <row r="1473" spans="1:3" x14ac:dyDescent="0.25">
      <c r="A1473">
        <v>259849</v>
      </c>
      <c r="B1473" t="s">
        <v>3</v>
      </c>
      <c r="C1473" t="str">
        <f>LEFT(Table4[[#This Row],[Policy Type]],1)</f>
        <v>2</v>
      </c>
    </row>
    <row r="1474" spans="1:3" x14ac:dyDescent="0.25">
      <c r="A1474">
        <v>259856</v>
      </c>
      <c r="B1474" t="s">
        <v>3</v>
      </c>
      <c r="C1474" t="str">
        <f>LEFT(Table4[[#This Row],[Policy Type]],1)</f>
        <v>2</v>
      </c>
    </row>
    <row r="1475" spans="1:3" x14ac:dyDescent="0.25">
      <c r="A1475">
        <v>259851</v>
      </c>
      <c r="B1475" t="s">
        <v>2</v>
      </c>
      <c r="C1475" t="str">
        <f>LEFT(Table4[[#This Row],[Policy Type]],1)</f>
        <v>1</v>
      </c>
    </row>
    <row r="1476" spans="1:3" x14ac:dyDescent="0.25">
      <c r="A1476">
        <v>259855</v>
      </c>
      <c r="B1476" t="s">
        <v>2</v>
      </c>
      <c r="C1476" t="str">
        <f>LEFT(Table4[[#This Row],[Policy Type]],1)</f>
        <v>1</v>
      </c>
    </row>
    <row r="1477" spans="1:3" x14ac:dyDescent="0.25">
      <c r="A1477">
        <v>220204</v>
      </c>
      <c r="B1477" t="s">
        <v>3</v>
      </c>
      <c r="C1477" t="str">
        <f>LEFT(Table4[[#This Row],[Policy Type]],1)</f>
        <v>2</v>
      </c>
    </row>
    <row r="1478" spans="1:3" x14ac:dyDescent="0.25">
      <c r="A1478">
        <v>253170</v>
      </c>
      <c r="B1478" t="s">
        <v>2</v>
      </c>
      <c r="C1478" t="str">
        <f>LEFT(Table4[[#This Row],[Policy Type]],1)</f>
        <v>1</v>
      </c>
    </row>
    <row r="1479" spans="1:3" x14ac:dyDescent="0.25">
      <c r="A1479">
        <v>259863</v>
      </c>
      <c r="B1479" t="s">
        <v>2</v>
      </c>
      <c r="C1479" t="str">
        <f>LEFT(Table4[[#This Row],[Policy Type]],1)</f>
        <v>1</v>
      </c>
    </row>
    <row r="1480" spans="1:3" x14ac:dyDescent="0.25">
      <c r="A1480">
        <v>259868</v>
      </c>
      <c r="B1480" t="s">
        <v>2</v>
      </c>
      <c r="C1480" t="str">
        <f>LEFT(Table4[[#This Row],[Policy Type]],1)</f>
        <v>1</v>
      </c>
    </row>
    <row r="1481" spans="1:3" x14ac:dyDescent="0.25">
      <c r="A1481">
        <v>259871</v>
      </c>
      <c r="B1481" t="s">
        <v>2</v>
      </c>
      <c r="C1481" t="str">
        <f>LEFT(Table4[[#This Row],[Policy Type]],1)</f>
        <v>1</v>
      </c>
    </row>
    <row r="1482" spans="1:3" x14ac:dyDescent="0.25">
      <c r="A1482">
        <v>259867</v>
      </c>
      <c r="B1482" t="s">
        <v>3</v>
      </c>
      <c r="C1482" t="str">
        <f>LEFT(Table4[[#This Row],[Policy Type]],1)</f>
        <v>2</v>
      </c>
    </row>
    <row r="1483" spans="1:3" x14ac:dyDescent="0.25">
      <c r="A1483">
        <v>251996</v>
      </c>
      <c r="B1483" t="s">
        <v>3</v>
      </c>
      <c r="C1483" t="str">
        <f>LEFT(Table4[[#This Row],[Policy Type]],1)</f>
        <v>2</v>
      </c>
    </row>
    <row r="1484" spans="1:3" x14ac:dyDescent="0.25">
      <c r="A1484">
        <v>259878</v>
      </c>
      <c r="B1484" t="s">
        <v>3</v>
      </c>
      <c r="C1484" t="str">
        <f>LEFT(Table4[[#This Row],[Policy Type]],1)</f>
        <v>2</v>
      </c>
    </row>
    <row r="1485" spans="1:3" x14ac:dyDescent="0.25">
      <c r="A1485">
        <v>259877</v>
      </c>
      <c r="B1485" t="s">
        <v>2</v>
      </c>
      <c r="C1485" t="str">
        <f>LEFT(Table4[[#This Row],[Policy Type]],1)</f>
        <v>1</v>
      </c>
    </row>
    <row r="1486" spans="1:3" x14ac:dyDescent="0.25">
      <c r="A1486">
        <v>259887</v>
      </c>
      <c r="B1486" t="s">
        <v>3</v>
      </c>
      <c r="C1486" t="str">
        <f>LEFT(Table4[[#This Row],[Policy Type]],1)</f>
        <v>2</v>
      </c>
    </row>
    <row r="1487" spans="1:3" x14ac:dyDescent="0.25">
      <c r="A1487">
        <v>259879</v>
      </c>
      <c r="B1487" t="s">
        <v>3</v>
      </c>
      <c r="C1487" t="str">
        <f>LEFT(Table4[[#This Row],[Policy Type]],1)</f>
        <v>2</v>
      </c>
    </row>
    <row r="1488" spans="1:3" x14ac:dyDescent="0.25">
      <c r="A1488">
        <v>259876</v>
      </c>
      <c r="B1488" t="s">
        <v>2</v>
      </c>
      <c r="C1488" t="str">
        <f>LEFT(Table4[[#This Row],[Policy Type]],1)</f>
        <v>1</v>
      </c>
    </row>
    <row r="1489" spans="1:3" x14ac:dyDescent="0.25">
      <c r="A1489">
        <v>259891</v>
      </c>
      <c r="B1489" t="s">
        <v>2</v>
      </c>
      <c r="C1489" t="str">
        <f>LEFT(Table4[[#This Row],[Policy Type]],1)</f>
        <v>1</v>
      </c>
    </row>
    <row r="1490" spans="1:3" x14ac:dyDescent="0.25">
      <c r="A1490">
        <v>259875</v>
      </c>
      <c r="B1490" t="s">
        <v>2</v>
      </c>
      <c r="C1490" t="str">
        <f>LEFT(Table4[[#This Row],[Policy Type]],1)</f>
        <v>1</v>
      </c>
    </row>
    <row r="1491" spans="1:3" x14ac:dyDescent="0.25">
      <c r="A1491">
        <v>259882</v>
      </c>
      <c r="B1491" t="s">
        <v>3</v>
      </c>
      <c r="C1491" t="str">
        <f>LEFT(Table4[[#This Row],[Policy Type]],1)</f>
        <v>2</v>
      </c>
    </row>
    <row r="1492" spans="1:3" x14ac:dyDescent="0.25">
      <c r="A1492">
        <v>259884</v>
      </c>
      <c r="B1492" t="s">
        <v>2</v>
      </c>
      <c r="C1492" t="str">
        <f>LEFT(Table4[[#This Row],[Policy Type]],1)</f>
        <v>1</v>
      </c>
    </row>
    <row r="1493" spans="1:3" x14ac:dyDescent="0.25">
      <c r="A1493">
        <v>259880</v>
      </c>
      <c r="B1493" t="s">
        <v>3</v>
      </c>
      <c r="C1493" t="str">
        <f>LEFT(Table4[[#This Row],[Policy Type]],1)</f>
        <v>2</v>
      </c>
    </row>
    <row r="1494" spans="1:3" x14ac:dyDescent="0.25">
      <c r="A1494">
        <v>259889</v>
      </c>
      <c r="B1494" t="s">
        <v>2</v>
      </c>
      <c r="C1494" t="str">
        <f>LEFT(Table4[[#This Row],[Policy Type]],1)</f>
        <v>1</v>
      </c>
    </row>
    <row r="1495" spans="1:3" x14ac:dyDescent="0.25">
      <c r="A1495">
        <v>259883</v>
      </c>
      <c r="B1495" t="s">
        <v>3</v>
      </c>
      <c r="C1495" t="str">
        <f>LEFT(Table4[[#This Row],[Policy Type]],1)</f>
        <v>2</v>
      </c>
    </row>
    <row r="1496" spans="1:3" x14ac:dyDescent="0.25">
      <c r="A1496">
        <v>177601</v>
      </c>
      <c r="B1496" t="s">
        <v>2</v>
      </c>
      <c r="C1496" t="str">
        <f>LEFT(Table4[[#This Row],[Policy Type]],1)</f>
        <v>1</v>
      </c>
    </row>
    <row r="1497" spans="1:3" x14ac:dyDescent="0.25">
      <c r="A1497">
        <v>224381</v>
      </c>
      <c r="B1497" t="s">
        <v>2</v>
      </c>
      <c r="C1497" t="str">
        <f>LEFT(Table4[[#This Row],[Policy Type]],1)</f>
        <v>1</v>
      </c>
    </row>
    <row r="1498" spans="1:3" x14ac:dyDescent="0.25">
      <c r="A1498">
        <v>257375</v>
      </c>
      <c r="B1498" t="s">
        <v>2</v>
      </c>
      <c r="C1498" t="str">
        <f>LEFT(Table4[[#This Row],[Policy Type]],1)</f>
        <v>1</v>
      </c>
    </row>
    <row r="1499" spans="1:3" x14ac:dyDescent="0.25">
      <c r="A1499">
        <v>247671</v>
      </c>
      <c r="B1499" t="s">
        <v>3</v>
      </c>
      <c r="C1499" t="str">
        <f>LEFT(Table4[[#This Row],[Policy Type]],1)</f>
        <v>2</v>
      </c>
    </row>
    <row r="1500" spans="1:3" x14ac:dyDescent="0.25">
      <c r="A1500">
        <v>221501</v>
      </c>
      <c r="B1500" t="s">
        <v>2</v>
      </c>
      <c r="C1500" t="str">
        <f>LEFT(Table4[[#This Row],[Policy Type]],1)</f>
        <v>1</v>
      </c>
    </row>
    <row r="1501" spans="1:3" x14ac:dyDescent="0.25">
      <c r="A1501">
        <v>221078</v>
      </c>
      <c r="B1501" t="s">
        <v>2</v>
      </c>
      <c r="C1501" t="str">
        <f>LEFT(Table4[[#This Row],[Policy Type]],1)</f>
        <v>1</v>
      </c>
    </row>
    <row r="1502" spans="1:3" x14ac:dyDescent="0.25">
      <c r="A1502">
        <v>259893</v>
      </c>
      <c r="B1502" t="s">
        <v>2</v>
      </c>
      <c r="C1502" t="str">
        <f>LEFT(Table4[[#This Row],[Policy Type]],1)</f>
        <v>1</v>
      </c>
    </row>
    <row r="1503" spans="1:3" x14ac:dyDescent="0.25">
      <c r="A1503">
        <v>250711</v>
      </c>
      <c r="B1503" t="s">
        <v>2</v>
      </c>
      <c r="C1503" t="str">
        <f>LEFT(Table4[[#This Row],[Policy Type]],1)</f>
        <v>1</v>
      </c>
    </row>
    <row r="1504" spans="1:3" x14ac:dyDescent="0.25">
      <c r="A1504">
        <v>259894</v>
      </c>
      <c r="B1504" t="s">
        <v>3</v>
      </c>
      <c r="C1504" t="str">
        <f>LEFT(Table4[[#This Row],[Policy Type]],1)</f>
        <v>2</v>
      </c>
    </row>
    <row r="1505" spans="1:3" x14ac:dyDescent="0.25">
      <c r="A1505">
        <v>259896</v>
      </c>
      <c r="B1505" t="s">
        <v>3</v>
      </c>
      <c r="C1505" t="str">
        <f>LEFT(Table4[[#This Row],[Policy Type]],1)</f>
        <v>2</v>
      </c>
    </row>
    <row r="1506" spans="1:3" x14ac:dyDescent="0.25">
      <c r="A1506">
        <v>166268</v>
      </c>
      <c r="B1506" t="s">
        <v>2</v>
      </c>
      <c r="C1506" t="str">
        <f>LEFT(Table4[[#This Row],[Policy Type]],1)</f>
        <v>1</v>
      </c>
    </row>
    <row r="1507" spans="1:3" x14ac:dyDescent="0.25">
      <c r="A1507">
        <v>259048</v>
      </c>
      <c r="B1507" t="s">
        <v>2</v>
      </c>
      <c r="C1507" t="str">
        <f>LEFT(Table4[[#This Row],[Policy Type]],1)</f>
        <v>1</v>
      </c>
    </row>
    <row r="1508" spans="1:3" x14ac:dyDescent="0.25">
      <c r="A1508">
        <v>259895</v>
      </c>
      <c r="B1508" t="s">
        <v>3</v>
      </c>
      <c r="C1508" t="str">
        <f>LEFT(Table4[[#This Row],[Policy Type]],1)</f>
        <v>2</v>
      </c>
    </row>
    <row r="1509" spans="1:3" x14ac:dyDescent="0.25">
      <c r="A1509">
        <v>259901</v>
      </c>
      <c r="B1509" t="s">
        <v>2</v>
      </c>
      <c r="C1509" t="str">
        <f>LEFT(Table4[[#This Row],[Policy Type]],1)</f>
        <v>1</v>
      </c>
    </row>
    <row r="1510" spans="1:3" x14ac:dyDescent="0.25">
      <c r="A1510">
        <v>259900</v>
      </c>
      <c r="B1510" t="s">
        <v>3</v>
      </c>
      <c r="C1510" t="str">
        <f>LEFT(Table4[[#This Row],[Policy Type]],1)</f>
        <v>2</v>
      </c>
    </row>
    <row r="1511" spans="1:3" x14ac:dyDescent="0.25">
      <c r="A1511">
        <v>259904</v>
      </c>
      <c r="B1511" t="s">
        <v>3</v>
      </c>
      <c r="C1511" t="str">
        <f>LEFT(Table4[[#This Row],[Policy Type]],1)</f>
        <v>2</v>
      </c>
    </row>
    <row r="1512" spans="1:3" x14ac:dyDescent="0.25">
      <c r="A1512">
        <v>259907</v>
      </c>
      <c r="B1512" t="s">
        <v>2</v>
      </c>
      <c r="C1512" t="str">
        <f>LEFT(Table4[[#This Row],[Policy Type]],1)</f>
        <v>1</v>
      </c>
    </row>
    <row r="1513" spans="1:3" x14ac:dyDescent="0.25">
      <c r="A1513">
        <v>259908</v>
      </c>
      <c r="B1513" t="s">
        <v>2</v>
      </c>
      <c r="C1513" t="str">
        <f>LEFT(Table4[[#This Row],[Policy Type]],1)</f>
        <v>1</v>
      </c>
    </row>
    <row r="1514" spans="1:3" x14ac:dyDescent="0.25">
      <c r="A1514">
        <v>254425</v>
      </c>
      <c r="B1514" t="s">
        <v>2</v>
      </c>
      <c r="C1514" t="str">
        <f>LEFT(Table4[[#This Row],[Policy Type]],1)</f>
        <v>1</v>
      </c>
    </row>
    <row r="1515" spans="1:3" x14ac:dyDescent="0.25">
      <c r="A1515">
        <v>259538</v>
      </c>
      <c r="B1515" t="s">
        <v>2</v>
      </c>
      <c r="C1515" t="str">
        <f>LEFT(Table4[[#This Row],[Policy Type]],1)</f>
        <v>1</v>
      </c>
    </row>
    <row r="1516" spans="1:3" x14ac:dyDescent="0.25">
      <c r="A1516">
        <v>259479</v>
      </c>
      <c r="B1516" t="s">
        <v>3</v>
      </c>
      <c r="C1516" t="str">
        <f>LEFT(Table4[[#This Row],[Policy Type]],1)</f>
        <v>2</v>
      </c>
    </row>
    <row r="1517" spans="1:3" x14ac:dyDescent="0.25">
      <c r="A1517">
        <v>231196</v>
      </c>
      <c r="B1517" t="s">
        <v>3</v>
      </c>
      <c r="C1517" t="str">
        <f>LEFT(Table4[[#This Row],[Policy Type]],1)</f>
        <v>2</v>
      </c>
    </row>
    <row r="1518" spans="1:3" x14ac:dyDescent="0.25">
      <c r="A1518">
        <v>245608</v>
      </c>
      <c r="B1518" t="s">
        <v>3</v>
      </c>
      <c r="C1518" t="str">
        <f>LEFT(Table4[[#This Row],[Policy Type]],1)</f>
        <v>2</v>
      </c>
    </row>
    <row r="1519" spans="1:3" x14ac:dyDescent="0.25">
      <c r="A1519">
        <v>194529</v>
      </c>
      <c r="B1519" t="s">
        <v>2</v>
      </c>
      <c r="C1519" t="str">
        <f>LEFT(Table4[[#This Row],[Policy Type]],1)</f>
        <v>1</v>
      </c>
    </row>
    <row r="1520" spans="1:3" x14ac:dyDescent="0.25">
      <c r="A1520">
        <v>257761</v>
      </c>
      <c r="B1520" t="s">
        <v>3</v>
      </c>
      <c r="C1520" t="str">
        <f>LEFT(Table4[[#This Row],[Policy Type]],1)</f>
        <v>2</v>
      </c>
    </row>
    <row r="1521" spans="1:3" x14ac:dyDescent="0.25">
      <c r="A1521">
        <v>256779</v>
      </c>
      <c r="B1521" t="s">
        <v>3</v>
      </c>
      <c r="C1521" t="str">
        <f>LEFT(Table4[[#This Row],[Policy Type]],1)</f>
        <v>2</v>
      </c>
    </row>
    <row r="1522" spans="1:3" x14ac:dyDescent="0.25">
      <c r="A1522">
        <v>170667</v>
      </c>
      <c r="B1522" t="s">
        <v>2</v>
      </c>
      <c r="C1522" t="str">
        <f>LEFT(Table4[[#This Row],[Policy Type]],1)</f>
        <v>1</v>
      </c>
    </row>
    <row r="1523" spans="1:3" x14ac:dyDescent="0.25">
      <c r="A1523">
        <v>259912</v>
      </c>
      <c r="B1523" t="s">
        <v>3</v>
      </c>
      <c r="C1523" t="str">
        <f>LEFT(Table4[[#This Row],[Policy Type]],1)</f>
        <v>2</v>
      </c>
    </row>
    <row r="1524" spans="1:3" x14ac:dyDescent="0.25">
      <c r="A1524">
        <v>259914</v>
      </c>
      <c r="B1524" t="s">
        <v>3</v>
      </c>
      <c r="C1524" t="str">
        <f>LEFT(Table4[[#This Row],[Policy Type]],1)</f>
        <v>2</v>
      </c>
    </row>
    <row r="1525" spans="1:3" x14ac:dyDescent="0.25">
      <c r="A1525">
        <v>259913</v>
      </c>
      <c r="B1525" t="s">
        <v>3</v>
      </c>
      <c r="C1525" t="str">
        <f>LEFT(Table4[[#This Row],[Policy Type]],1)</f>
        <v>2</v>
      </c>
    </row>
    <row r="1526" spans="1:3" x14ac:dyDescent="0.25">
      <c r="A1526">
        <v>259910</v>
      </c>
      <c r="B1526" t="s">
        <v>3</v>
      </c>
      <c r="C1526" t="str">
        <f>LEFT(Table4[[#This Row],[Policy Type]],1)</f>
        <v>2</v>
      </c>
    </row>
    <row r="1527" spans="1:3" x14ac:dyDescent="0.25">
      <c r="A1527">
        <v>259919</v>
      </c>
      <c r="B1527" t="s">
        <v>3</v>
      </c>
      <c r="C1527" t="str">
        <f>LEFT(Table4[[#This Row],[Policy Type]],1)</f>
        <v>2</v>
      </c>
    </row>
    <row r="1528" spans="1:3" x14ac:dyDescent="0.25">
      <c r="A1528">
        <v>259911</v>
      </c>
      <c r="B1528" t="s">
        <v>3</v>
      </c>
      <c r="C1528" t="str">
        <f>LEFT(Table4[[#This Row],[Policy Type]],1)</f>
        <v>2</v>
      </c>
    </row>
    <row r="1529" spans="1:3" x14ac:dyDescent="0.25">
      <c r="A1529">
        <v>259917</v>
      </c>
      <c r="B1529" t="s">
        <v>2</v>
      </c>
      <c r="C1529" t="str">
        <f>LEFT(Table4[[#This Row],[Policy Type]],1)</f>
        <v>1</v>
      </c>
    </row>
    <row r="1530" spans="1:3" x14ac:dyDescent="0.25">
      <c r="A1530">
        <v>259918</v>
      </c>
      <c r="B1530" t="s">
        <v>3</v>
      </c>
      <c r="C1530" t="str">
        <f>LEFT(Table4[[#This Row],[Policy Type]],1)</f>
        <v>2</v>
      </c>
    </row>
    <row r="1531" spans="1:3" x14ac:dyDescent="0.25">
      <c r="A1531">
        <v>259924</v>
      </c>
      <c r="B1531" t="s">
        <v>2</v>
      </c>
      <c r="C1531" t="str">
        <f>LEFT(Table4[[#This Row],[Policy Type]],1)</f>
        <v>1</v>
      </c>
    </row>
    <row r="1532" spans="1:3" x14ac:dyDescent="0.25">
      <c r="A1532">
        <v>259925</v>
      </c>
      <c r="B1532" t="s">
        <v>2</v>
      </c>
      <c r="C1532" t="str">
        <f>LEFT(Table4[[#This Row],[Policy Type]],1)</f>
        <v>1</v>
      </c>
    </row>
    <row r="1533" spans="1:3" x14ac:dyDescent="0.25">
      <c r="A1533">
        <v>259922</v>
      </c>
      <c r="B1533" t="s">
        <v>3</v>
      </c>
      <c r="C1533" t="str">
        <f>LEFT(Table4[[#This Row],[Policy Type]],1)</f>
        <v>2</v>
      </c>
    </row>
    <row r="1534" spans="1:3" x14ac:dyDescent="0.25">
      <c r="A1534">
        <v>259927</v>
      </c>
      <c r="B1534" t="s">
        <v>3</v>
      </c>
      <c r="C1534" t="str">
        <f>LEFT(Table4[[#This Row],[Policy Type]],1)</f>
        <v>2</v>
      </c>
    </row>
    <row r="1535" spans="1:3" x14ac:dyDescent="0.25">
      <c r="A1535">
        <v>259932</v>
      </c>
      <c r="B1535" t="s">
        <v>2</v>
      </c>
      <c r="C1535" t="str">
        <f>LEFT(Table4[[#This Row],[Policy Type]],1)</f>
        <v>1</v>
      </c>
    </row>
    <row r="1536" spans="1:3" x14ac:dyDescent="0.25">
      <c r="A1536">
        <v>259923</v>
      </c>
      <c r="B1536" t="s">
        <v>3</v>
      </c>
      <c r="C1536" t="str">
        <f>LEFT(Table4[[#This Row],[Policy Type]],1)</f>
        <v>2</v>
      </c>
    </row>
    <row r="1537" spans="1:3" x14ac:dyDescent="0.25">
      <c r="A1537">
        <v>259935</v>
      </c>
      <c r="B1537" t="s">
        <v>3</v>
      </c>
      <c r="C1537" t="str">
        <f>LEFT(Table4[[#This Row],[Policy Type]],1)</f>
        <v>2</v>
      </c>
    </row>
    <row r="1538" spans="1:3" x14ac:dyDescent="0.25">
      <c r="A1538">
        <v>259934</v>
      </c>
      <c r="B1538" t="s">
        <v>2</v>
      </c>
      <c r="C1538" t="str">
        <f>LEFT(Table4[[#This Row],[Policy Type]],1)</f>
        <v>1</v>
      </c>
    </row>
    <row r="1539" spans="1:3" x14ac:dyDescent="0.25">
      <c r="A1539">
        <v>259940</v>
      </c>
      <c r="B1539" t="s">
        <v>3</v>
      </c>
      <c r="C1539" t="str">
        <f>LEFT(Table4[[#This Row],[Policy Type]],1)</f>
        <v>2</v>
      </c>
    </row>
    <row r="1540" spans="1:3" x14ac:dyDescent="0.25">
      <c r="A1540">
        <v>259933</v>
      </c>
      <c r="B1540" t="s">
        <v>2</v>
      </c>
      <c r="C1540" t="str">
        <f>LEFT(Table4[[#This Row],[Policy Type]],1)</f>
        <v>1</v>
      </c>
    </row>
    <row r="1541" spans="1:3" x14ac:dyDescent="0.25">
      <c r="A1541">
        <v>259926</v>
      </c>
      <c r="B1541" t="s">
        <v>2</v>
      </c>
      <c r="C1541" t="str">
        <f>LEFT(Table4[[#This Row],[Policy Type]],1)</f>
        <v>1</v>
      </c>
    </row>
    <row r="1542" spans="1:3" x14ac:dyDescent="0.25">
      <c r="A1542">
        <v>259930</v>
      </c>
      <c r="B1542" t="s">
        <v>2</v>
      </c>
      <c r="C1542" t="str">
        <f>LEFT(Table4[[#This Row],[Policy Type]],1)</f>
        <v>1</v>
      </c>
    </row>
    <row r="1543" spans="1:3" x14ac:dyDescent="0.25">
      <c r="A1543">
        <v>235134</v>
      </c>
      <c r="B1543" t="s">
        <v>2</v>
      </c>
      <c r="C1543" t="str">
        <f>LEFT(Table4[[#This Row],[Policy Type]],1)</f>
        <v>1</v>
      </c>
    </row>
    <row r="1544" spans="1:3" x14ac:dyDescent="0.25">
      <c r="A1544">
        <v>259950</v>
      </c>
      <c r="B1544" t="s">
        <v>2</v>
      </c>
      <c r="C1544" t="str">
        <f>LEFT(Table4[[#This Row],[Policy Type]],1)</f>
        <v>1</v>
      </c>
    </row>
    <row r="1545" spans="1:3" x14ac:dyDescent="0.25">
      <c r="A1545">
        <v>259951</v>
      </c>
      <c r="B1545" t="s">
        <v>2</v>
      </c>
      <c r="C1545" t="str">
        <f>LEFT(Table4[[#This Row],[Policy Type]],1)</f>
        <v>1</v>
      </c>
    </row>
    <row r="1546" spans="1:3" x14ac:dyDescent="0.25">
      <c r="A1546">
        <v>259956</v>
      </c>
      <c r="B1546" t="s">
        <v>3</v>
      </c>
      <c r="C1546" t="str">
        <f>LEFT(Table4[[#This Row],[Policy Type]],1)</f>
        <v>2</v>
      </c>
    </row>
    <row r="1547" spans="1:3" x14ac:dyDescent="0.25">
      <c r="A1547">
        <v>259954</v>
      </c>
      <c r="B1547" t="s">
        <v>3</v>
      </c>
      <c r="C1547" t="str">
        <f>LEFT(Table4[[#This Row],[Policy Type]],1)</f>
        <v>2</v>
      </c>
    </row>
    <row r="1548" spans="1:3" x14ac:dyDescent="0.25">
      <c r="A1548">
        <v>259955</v>
      </c>
      <c r="B1548" t="s">
        <v>2</v>
      </c>
      <c r="C1548" t="str">
        <f>LEFT(Table4[[#This Row],[Policy Type]],1)</f>
        <v>1</v>
      </c>
    </row>
    <row r="1549" spans="1:3" x14ac:dyDescent="0.25">
      <c r="A1549">
        <v>259702</v>
      </c>
      <c r="B1549" t="s">
        <v>3</v>
      </c>
      <c r="C1549" t="str">
        <f>LEFT(Table4[[#This Row],[Policy Type]],1)</f>
        <v>2</v>
      </c>
    </row>
    <row r="1550" spans="1:3" x14ac:dyDescent="0.25">
      <c r="A1550">
        <v>259960</v>
      </c>
      <c r="B1550" t="s">
        <v>2</v>
      </c>
      <c r="C1550" t="str">
        <f>LEFT(Table4[[#This Row],[Policy Type]],1)</f>
        <v>1</v>
      </c>
    </row>
    <row r="1551" spans="1:3" x14ac:dyDescent="0.25">
      <c r="A1551">
        <v>259961</v>
      </c>
      <c r="B1551" t="s">
        <v>2</v>
      </c>
      <c r="C1551" t="str">
        <f>LEFT(Table4[[#This Row],[Policy Type]],1)</f>
        <v>1</v>
      </c>
    </row>
    <row r="1552" spans="1:3" x14ac:dyDescent="0.25">
      <c r="A1552">
        <v>259967</v>
      </c>
      <c r="B1552" t="s">
        <v>3</v>
      </c>
      <c r="C1552" t="str">
        <f>LEFT(Table4[[#This Row],[Policy Type]],1)</f>
        <v>2</v>
      </c>
    </row>
    <row r="1553" spans="1:3" x14ac:dyDescent="0.25">
      <c r="A1553">
        <v>259966</v>
      </c>
      <c r="B1553" t="s">
        <v>2</v>
      </c>
      <c r="C1553" t="str">
        <f>LEFT(Table4[[#This Row],[Policy Type]],1)</f>
        <v>1</v>
      </c>
    </row>
    <row r="1554" spans="1:3" x14ac:dyDescent="0.25">
      <c r="A1554">
        <v>259963</v>
      </c>
      <c r="B1554" t="s">
        <v>2</v>
      </c>
      <c r="C1554" t="str">
        <f>LEFT(Table4[[#This Row],[Policy Type]],1)</f>
        <v>1</v>
      </c>
    </row>
    <row r="1555" spans="1:3" x14ac:dyDescent="0.25">
      <c r="A1555">
        <v>259962</v>
      </c>
      <c r="B1555" t="s">
        <v>2</v>
      </c>
      <c r="C1555" t="str">
        <f>LEFT(Table4[[#This Row],[Policy Type]],1)</f>
        <v>1</v>
      </c>
    </row>
    <row r="1556" spans="1:3" x14ac:dyDescent="0.25">
      <c r="A1556">
        <v>259964</v>
      </c>
      <c r="B1556" t="s">
        <v>2</v>
      </c>
      <c r="C1556" t="str">
        <f>LEFT(Table4[[#This Row],[Policy Type]],1)</f>
        <v>1</v>
      </c>
    </row>
    <row r="1557" spans="1:3" x14ac:dyDescent="0.25">
      <c r="A1557">
        <v>259970</v>
      </c>
      <c r="B1557" t="s">
        <v>2</v>
      </c>
      <c r="C1557" t="str">
        <f>LEFT(Table4[[#This Row],[Policy Type]],1)</f>
        <v>1</v>
      </c>
    </row>
    <row r="1558" spans="1:3" x14ac:dyDescent="0.25">
      <c r="A1558">
        <v>259969</v>
      </c>
      <c r="B1558" t="s">
        <v>2</v>
      </c>
      <c r="C1558" t="str">
        <f>LEFT(Table4[[#This Row],[Policy Type]],1)</f>
        <v>1</v>
      </c>
    </row>
    <row r="1559" spans="1:3" x14ac:dyDescent="0.25">
      <c r="A1559">
        <v>259971</v>
      </c>
      <c r="B1559" t="s">
        <v>2</v>
      </c>
      <c r="C1559" t="str">
        <f>LEFT(Table4[[#This Row],[Policy Type]],1)</f>
        <v>1</v>
      </c>
    </row>
    <row r="1560" spans="1:3" x14ac:dyDescent="0.25">
      <c r="A1560">
        <v>259974</v>
      </c>
      <c r="B1560" t="s">
        <v>3</v>
      </c>
      <c r="C1560" t="str">
        <f>LEFT(Table4[[#This Row],[Policy Type]],1)</f>
        <v>2</v>
      </c>
    </row>
    <row r="1561" spans="1:3" x14ac:dyDescent="0.25">
      <c r="A1561">
        <v>259975</v>
      </c>
      <c r="B1561" t="s">
        <v>3</v>
      </c>
      <c r="C1561" t="str">
        <f>LEFT(Table4[[#This Row],[Policy Type]],1)</f>
        <v>2</v>
      </c>
    </row>
    <row r="1562" spans="1:3" x14ac:dyDescent="0.25">
      <c r="A1562">
        <v>259986</v>
      </c>
      <c r="B1562" t="s">
        <v>3</v>
      </c>
      <c r="C1562" t="str">
        <f>LEFT(Table4[[#This Row],[Policy Type]],1)</f>
        <v>2</v>
      </c>
    </row>
    <row r="1563" spans="1:3" x14ac:dyDescent="0.25">
      <c r="A1563">
        <v>259985</v>
      </c>
      <c r="B1563" t="s">
        <v>3</v>
      </c>
      <c r="C1563" t="str">
        <f>LEFT(Table4[[#This Row],[Policy Type]],1)</f>
        <v>2</v>
      </c>
    </row>
    <row r="1564" spans="1:3" x14ac:dyDescent="0.25">
      <c r="A1564">
        <v>259990</v>
      </c>
      <c r="B1564" t="s">
        <v>3</v>
      </c>
      <c r="C1564" t="str">
        <f>LEFT(Table4[[#This Row],[Policy Type]],1)</f>
        <v>2</v>
      </c>
    </row>
    <row r="1565" spans="1:3" x14ac:dyDescent="0.25">
      <c r="A1565">
        <v>259988</v>
      </c>
      <c r="B1565" t="s">
        <v>3</v>
      </c>
      <c r="C1565" t="str">
        <f>LEFT(Table4[[#This Row],[Policy Type]],1)</f>
        <v>2</v>
      </c>
    </row>
    <row r="1566" spans="1:3" x14ac:dyDescent="0.25">
      <c r="A1566">
        <v>259982</v>
      </c>
      <c r="B1566" t="s">
        <v>2</v>
      </c>
      <c r="C1566" t="str">
        <f>LEFT(Table4[[#This Row],[Policy Type]],1)</f>
        <v>1</v>
      </c>
    </row>
    <row r="1567" spans="1:3" x14ac:dyDescent="0.25">
      <c r="A1567">
        <v>256281</v>
      </c>
      <c r="B1567" t="s">
        <v>2</v>
      </c>
      <c r="C1567" t="str">
        <f>LEFT(Table4[[#This Row],[Policy Type]],1)</f>
        <v>1</v>
      </c>
    </row>
    <row r="1568" spans="1:3" x14ac:dyDescent="0.25">
      <c r="A1568">
        <v>259998</v>
      </c>
      <c r="B1568" t="s">
        <v>2</v>
      </c>
      <c r="C1568" t="str">
        <f>LEFT(Table4[[#This Row],[Policy Type]],1)</f>
        <v>1</v>
      </c>
    </row>
    <row r="1569" spans="1:3" x14ac:dyDescent="0.25">
      <c r="A1569">
        <v>260004</v>
      </c>
      <c r="B1569" t="s">
        <v>2</v>
      </c>
      <c r="C1569" t="str">
        <f>LEFT(Table4[[#This Row],[Policy Type]],1)</f>
        <v>1</v>
      </c>
    </row>
    <row r="1570" spans="1:3" x14ac:dyDescent="0.25">
      <c r="A1570">
        <v>259993</v>
      </c>
      <c r="B1570" t="s">
        <v>3</v>
      </c>
      <c r="C1570" t="str">
        <f>LEFT(Table4[[#This Row],[Policy Type]],1)</f>
        <v>2</v>
      </c>
    </row>
    <row r="1571" spans="1:3" x14ac:dyDescent="0.25">
      <c r="A1571">
        <v>259999</v>
      </c>
      <c r="B1571" t="s">
        <v>2</v>
      </c>
      <c r="C1571" t="str">
        <f>LEFT(Table4[[#This Row],[Policy Type]],1)</f>
        <v>1</v>
      </c>
    </row>
    <row r="1572" spans="1:3" x14ac:dyDescent="0.25">
      <c r="A1572">
        <v>259996</v>
      </c>
      <c r="B1572" t="s">
        <v>2</v>
      </c>
      <c r="C1572" t="str">
        <f>LEFT(Table4[[#This Row],[Policy Type]],1)</f>
        <v>1</v>
      </c>
    </row>
    <row r="1573" spans="1:3" x14ac:dyDescent="0.25">
      <c r="A1573">
        <v>260001</v>
      </c>
      <c r="B1573" t="s">
        <v>3</v>
      </c>
      <c r="C1573" t="str">
        <f>LEFT(Table4[[#This Row],[Policy Type]],1)</f>
        <v>2</v>
      </c>
    </row>
    <row r="1574" spans="1:3" x14ac:dyDescent="0.25">
      <c r="A1574">
        <v>260003</v>
      </c>
      <c r="B1574" t="s">
        <v>3</v>
      </c>
      <c r="C1574" t="str">
        <f>LEFT(Table4[[#This Row],[Policy Type]],1)</f>
        <v>2</v>
      </c>
    </row>
    <row r="1575" spans="1:3" x14ac:dyDescent="0.25">
      <c r="A1575">
        <v>237242</v>
      </c>
      <c r="B1575" t="s">
        <v>2</v>
      </c>
      <c r="C1575" t="str">
        <f>LEFT(Table4[[#This Row],[Policy Type]],1)</f>
        <v>1</v>
      </c>
    </row>
    <row r="1576" spans="1:3" x14ac:dyDescent="0.25">
      <c r="A1576">
        <v>210504</v>
      </c>
      <c r="B1576" t="s">
        <v>3</v>
      </c>
      <c r="C1576" t="str">
        <f>LEFT(Table4[[#This Row],[Policy Type]],1)</f>
        <v>2</v>
      </c>
    </row>
    <row r="1577" spans="1:3" x14ac:dyDescent="0.25">
      <c r="A1577">
        <v>195739</v>
      </c>
      <c r="B1577" t="s">
        <v>3</v>
      </c>
      <c r="C1577" t="str">
        <f>LEFT(Table4[[#This Row],[Policy Type]],1)</f>
        <v>2</v>
      </c>
    </row>
    <row r="1578" spans="1:3" x14ac:dyDescent="0.25">
      <c r="A1578">
        <v>257621</v>
      </c>
      <c r="B1578" t="s">
        <v>3</v>
      </c>
      <c r="C1578" t="str">
        <f>LEFT(Table4[[#This Row],[Policy Type]],1)</f>
        <v>2</v>
      </c>
    </row>
    <row r="1579" spans="1:3" x14ac:dyDescent="0.25">
      <c r="A1579">
        <v>259094</v>
      </c>
      <c r="B1579" t="s">
        <v>3</v>
      </c>
      <c r="C1579" t="str">
        <f>LEFT(Table4[[#This Row],[Policy Type]],1)</f>
        <v>2</v>
      </c>
    </row>
    <row r="1580" spans="1:3" x14ac:dyDescent="0.25">
      <c r="A1580">
        <v>260015</v>
      </c>
      <c r="B1580" t="s">
        <v>3</v>
      </c>
      <c r="C1580" t="str">
        <f>LEFT(Table4[[#This Row],[Policy Type]],1)</f>
        <v>2</v>
      </c>
    </row>
    <row r="1581" spans="1:3" x14ac:dyDescent="0.25">
      <c r="A1581">
        <v>260018</v>
      </c>
      <c r="B1581" t="s">
        <v>3</v>
      </c>
      <c r="C1581" t="str">
        <f>LEFT(Table4[[#This Row],[Policy Type]],1)</f>
        <v>2</v>
      </c>
    </row>
    <row r="1582" spans="1:3" x14ac:dyDescent="0.25">
      <c r="A1582">
        <v>260009</v>
      </c>
      <c r="B1582" t="s">
        <v>3</v>
      </c>
      <c r="C1582" t="str">
        <f>LEFT(Table4[[#This Row],[Policy Type]],1)</f>
        <v>2</v>
      </c>
    </row>
    <row r="1583" spans="1:3" x14ac:dyDescent="0.25">
      <c r="A1583">
        <v>260021</v>
      </c>
      <c r="B1583" t="s">
        <v>2</v>
      </c>
      <c r="C1583" t="str">
        <f>LEFT(Table4[[#This Row],[Policy Type]],1)</f>
        <v>1</v>
      </c>
    </row>
    <row r="1584" spans="1:3" x14ac:dyDescent="0.25">
      <c r="A1584">
        <v>260008</v>
      </c>
      <c r="B1584" t="s">
        <v>3</v>
      </c>
      <c r="C1584" t="str">
        <f>LEFT(Table4[[#This Row],[Policy Type]],1)</f>
        <v>2</v>
      </c>
    </row>
    <row r="1585" spans="1:3" x14ac:dyDescent="0.25">
      <c r="A1585">
        <v>260022</v>
      </c>
      <c r="B1585" t="s">
        <v>3</v>
      </c>
      <c r="C1585" t="str">
        <f>LEFT(Table4[[#This Row],[Policy Type]],1)</f>
        <v>2</v>
      </c>
    </row>
    <row r="1586" spans="1:3" x14ac:dyDescent="0.25">
      <c r="A1586">
        <v>260012</v>
      </c>
      <c r="B1586" t="s">
        <v>3</v>
      </c>
      <c r="C1586" t="str">
        <f>LEFT(Table4[[#This Row],[Policy Type]],1)</f>
        <v>2</v>
      </c>
    </row>
    <row r="1587" spans="1:3" x14ac:dyDescent="0.25">
      <c r="A1587">
        <v>257386</v>
      </c>
      <c r="B1587" t="s">
        <v>2</v>
      </c>
      <c r="C1587" t="str">
        <f>LEFT(Table4[[#This Row],[Policy Type]],1)</f>
        <v>1</v>
      </c>
    </row>
    <row r="1588" spans="1:3" x14ac:dyDescent="0.25">
      <c r="A1588">
        <v>257865</v>
      </c>
      <c r="B1588" t="s">
        <v>3</v>
      </c>
      <c r="C1588" t="str">
        <f>LEFT(Table4[[#This Row],[Policy Type]],1)</f>
        <v>2</v>
      </c>
    </row>
    <row r="1589" spans="1:3" x14ac:dyDescent="0.25">
      <c r="A1589">
        <v>181463</v>
      </c>
      <c r="B1589" t="s">
        <v>2</v>
      </c>
      <c r="C1589" t="str">
        <f>LEFT(Table4[[#This Row],[Policy Type]],1)</f>
        <v>1</v>
      </c>
    </row>
    <row r="1590" spans="1:3" x14ac:dyDescent="0.25">
      <c r="A1590">
        <v>260027</v>
      </c>
      <c r="B1590" t="s">
        <v>2</v>
      </c>
      <c r="C1590" t="str">
        <f>LEFT(Table4[[#This Row],[Policy Type]],1)</f>
        <v>1</v>
      </c>
    </row>
    <row r="1591" spans="1:3" x14ac:dyDescent="0.25">
      <c r="A1591">
        <v>260032</v>
      </c>
      <c r="B1591" t="s">
        <v>2</v>
      </c>
      <c r="C1591" t="str">
        <f>LEFT(Table4[[#This Row],[Policy Type]],1)</f>
        <v>1</v>
      </c>
    </row>
    <row r="1592" spans="1:3" x14ac:dyDescent="0.25">
      <c r="A1592">
        <v>260034</v>
      </c>
      <c r="B1592" t="s">
        <v>3</v>
      </c>
      <c r="C1592" t="str">
        <f>LEFT(Table4[[#This Row],[Policy Type]],1)</f>
        <v>2</v>
      </c>
    </row>
    <row r="1593" spans="1:3" x14ac:dyDescent="0.25">
      <c r="A1593">
        <v>260041</v>
      </c>
      <c r="B1593" t="s">
        <v>3</v>
      </c>
      <c r="C1593" t="str">
        <f>LEFT(Table4[[#This Row],[Policy Type]],1)</f>
        <v>2</v>
      </c>
    </row>
    <row r="1594" spans="1:3" x14ac:dyDescent="0.25">
      <c r="A1594">
        <v>260039</v>
      </c>
      <c r="B1594" t="s">
        <v>2</v>
      </c>
      <c r="C1594" t="str">
        <f>LEFT(Table4[[#This Row],[Policy Type]],1)</f>
        <v>1</v>
      </c>
    </row>
    <row r="1595" spans="1:3" x14ac:dyDescent="0.25">
      <c r="A1595">
        <v>260038</v>
      </c>
      <c r="B1595" t="s">
        <v>2</v>
      </c>
      <c r="C1595" t="str">
        <f>LEFT(Table4[[#This Row],[Policy Type]],1)</f>
        <v>1</v>
      </c>
    </row>
    <row r="1596" spans="1:3" x14ac:dyDescent="0.25">
      <c r="A1596">
        <v>260042</v>
      </c>
      <c r="B1596" t="s">
        <v>3</v>
      </c>
      <c r="C1596" t="str">
        <f>LEFT(Table4[[#This Row],[Policy Type]],1)</f>
        <v>2</v>
      </c>
    </row>
    <row r="1597" spans="1:3" x14ac:dyDescent="0.25">
      <c r="A1597">
        <v>260050</v>
      </c>
      <c r="B1597" t="s">
        <v>3</v>
      </c>
      <c r="C1597" t="str">
        <f>LEFT(Table4[[#This Row],[Policy Type]],1)</f>
        <v>2</v>
      </c>
    </row>
    <row r="1598" spans="1:3" x14ac:dyDescent="0.25">
      <c r="A1598">
        <v>260052</v>
      </c>
      <c r="B1598" t="s">
        <v>3</v>
      </c>
      <c r="C1598" t="str">
        <f>LEFT(Table4[[#This Row],[Policy Type]],1)</f>
        <v>2</v>
      </c>
    </row>
    <row r="1599" spans="1:3" x14ac:dyDescent="0.25">
      <c r="A1599">
        <v>260043</v>
      </c>
      <c r="B1599" t="s">
        <v>3</v>
      </c>
      <c r="C1599" t="str">
        <f>LEFT(Table4[[#This Row],[Policy Type]],1)</f>
        <v>2</v>
      </c>
    </row>
    <row r="1600" spans="1:3" x14ac:dyDescent="0.25">
      <c r="A1600">
        <v>260044</v>
      </c>
      <c r="B1600" t="s">
        <v>3</v>
      </c>
      <c r="C1600" t="str">
        <f>LEFT(Table4[[#This Row],[Policy Type]],1)</f>
        <v>2</v>
      </c>
    </row>
    <row r="1601" spans="1:3" x14ac:dyDescent="0.25">
      <c r="A1601">
        <v>260049</v>
      </c>
      <c r="B1601" t="s">
        <v>2</v>
      </c>
      <c r="C1601" t="str">
        <f>LEFT(Table4[[#This Row],[Policy Type]],1)</f>
        <v>1</v>
      </c>
    </row>
    <row r="1602" spans="1:3" x14ac:dyDescent="0.25">
      <c r="A1602">
        <v>260055</v>
      </c>
      <c r="B1602" t="s">
        <v>3</v>
      </c>
      <c r="C1602" t="str">
        <f>LEFT(Table4[[#This Row],[Policy Type]],1)</f>
        <v>2</v>
      </c>
    </row>
    <row r="1603" spans="1:3" x14ac:dyDescent="0.25">
      <c r="A1603">
        <v>260053</v>
      </c>
      <c r="B1603" t="s">
        <v>3</v>
      </c>
      <c r="C1603" t="str">
        <f>LEFT(Table4[[#This Row],[Policy Type]],1)</f>
        <v>2</v>
      </c>
    </row>
    <row r="1604" spans="1:3" x14ac:dyDescent="0.25">
      <c r="A1604">
        <v>260054</v>
      </c>
      <c r="B1604" t="s">
        <v>3</v>
      </c>
      <c r="C1604" t="str">
        <f>LEFT(Table4[[#This Row],[Policy Type]],1)</f>
        <v>2</v>
      </c>
    </row>
    <row r="1605" spans="1:3" x14ac:dyDescent="0.25">
      <c r="A1605">
        <v>231179</v>
      </c>
      <c r="B1605" t="s">
        <v>3</v>
      </c>
      <c r="C1605" t="str">
        <f>LEFT(Table4[[#This Row],[Policy Type]],1)</f>
        <v>2</v>
      </c>
    </row>
    <row r="1606" spans="1:3" x14ac:dyDescent="0.25">
      <c r="A1606">
        <v>255994</v>
      </c>
      <c r="B1606" t="s">
        <v>3</v>
      </c>
      <c r="C1606" t="str">
        <f>LEFT(Table4[[#This Row],[Policy Type]],1)</f>
        <v>2</v>
      </c>
    </row>
    <row r="1607" spans="1:3" x14ac:dyDescent="0.25">
      <c r="A1607">
        <v>217914</v>
      </c>
      <c r="B1607" t="s">
        <v>2</v>
      </c>
      <c r="C1607" t="str">
        <f>LEFT(Table4[[#This Row],[Policy Type]],1)</f>
        <v>1</v>
      </c>
    </row>
    <row r="1608" spans="1:3" x14ac:dyDescent="0.25">
      <c r="A1608">
        <v>255603</v>
      </c>
      <c r="B1608" t="s">
        <v>3</v>
      </c>
      <c r="C1608" t="str">
        <f>LEFT(Table4[[#This Row],[Policy Type]],1)</f>
        <v>2</v>
      </c>
    </row>
    <row r="1609" spans="1:3" x14ac:dyDescent="0.25">
      <c r="A1609">
        <v>260062</v>
      </c>
      <c r="B1609" t="s">
        <v>3</v>
      </c>
      <c r="C1609" t="str">
        <f>LEFT(Table4[[#This Row],[Policy Type]],1)</f>
        <v>2</v>
      </c>
    </row>
    <row r="1610" spans="1:3" x14ac:dyDescent="0.25">
      <c r="A1610">
        <v>260060</v>
      </c>
      <c r="B1610" t="s">
        <v>3</v>
      </c>
      <c r="C1610" t="str">
        <f>LEFT(Table4[[#This Row],[Policy Type]],1)</f>
        <v>2</v>
      </c>
    </row>
    <row r="1611" spans="1:3" x14ac:dyDescent="0.25">
      <c r="A1611">
        <v>260063</v>
      </c>
      <c r="B1611" t="s">
        <v>3</v>
      </c>
      <c r="C1611" t="str">
        <f>LEFT(Table4[[#This Row],[Policy Type]],1)</f>
        <v>2</v>
      </c>
    </row>
    <row r="1612" spans="1:3" x14ac:dyDescent="0.25">
      <c r="A1612">
        <v>260059</v>
      </c>
      <c r="B1612" t="s">
        <v>2</v>
      </c>
      <c r="C1612" t="str">
        <f>LEFT(Table4[[#This Row],[Policy Type]],1)</f>
        <v>1</v>
      </c>
    </row>
    <row r="1613" spans="1:3" x14ac:dyDescent="0.25">
      <c r="A1613">
        <v>260064</v>
      </c>
      <c r="B1613" t="s">
        <v>3</v>
      </c>
      <c r="C1613" t="str">
        <f>LEFT(Table4[[#This Row],[Policy Type]],1)</f>
        <v>2</v>
      </c>
    </row>
    <row r="1614" spans="1:3" x14ac:dyDescent="0.25">
      <c r="A1614">
        <v>260061</v>
      </c>
      <c r="B1614" t="s">
        <v>3</v>
      </c>
      <c r="C1614" t="str">
        <f>LEFT(Table4[[#This Row],[Policy Type]],1)</f>
        <v>2</v>
      </c>
    </row>
    <row r="1615" spans="1:3" x14ac:dyDescent="0.25">
      <c r="A1615">
        <v>178401</v>
      </c>
      <c r="B1615" t="s">
        <v>2</v>
      </c>
      <c r="C1615" t="str">
        <f>LEFT(Table4[[#This Row],[Policy Type]],1)</f>
        <v>1</v>
      </c>
    </row>
    <row r="1616" spans="1:3" x14ac:dyDescent="0.25">
      <c r="A1616">
        <v>160938</v>
      </c>
      <c r="B1616" t="s">
        <v>2</v>
      </c>
      <c r="C1616" t="str">
        <f>LEFT(Table4[[#This Row],[Policy Type]],1)</f>
        <v>1</v>
      </c>
    </row>
    <row r="1617" spans="1:3" x14ac:dyDescent="0.25">
      <c r="A1617">
        <v>184644</v>
      </c>
      <c r="B1617" t="s">
        <v>2</v>
      </c>
      <c r="C1617" t="str">
        <f>LEFT(Table4[[#This Row],[Policy Type]],1)</f>
        <v>1</v>
      </c>
    </row>
    <row r="1618" spans="1:3" x14ac:dyDescent="0.25">
      <c r="A1618">
        <v>260071</v>
      </c>
      <c r="B1618" t="s">
        <v>3</v>
      </c>
      <c r="C1618" t="str">
        <f>LEFT(Table4[[#This Row],[Policy Type]],1)</f>
        <v>2</v>
      </c>
    </row>
    <row r="1619" spans="1:3" x14ac:dyDescent="0.25">
      <c r="A1619">
        <v>260072</v>
      </c>
      <c r="B1619" t="s">
        <v>3</v>
      </c>
      <c r="C1619" t="str">
        <f>LEFT(Table4[[#This Row],[Policy Type]],1)</f>
        <v>2</v>
      </c>
    </row>
    <row r="1620" spans="1:3" x14ac:dyDescent="0.25">
      <c r="A1620">
        <v>260077</v>
      </c>
      <c r="B1620" t="s">
        <v>2</v>
      </c>
      <c r="C1620" t="str">
        <f>LEFT(Table4[[#This Row],[Policy Type]],1)</f>
        <v>1</v>
      </c>
    </row>
    <row r="1621" spans="1:3" x14ac:dyDescent="0.25">
      <c r="A1621">
        <v>260079</v>
      </c>
      <c r="B1621" t="s">
        <v>2</v>
      </c>
      <c r="C1621" t="str">
        <f>LEFT(Table4[[#This Row],[Policy Type]],1)</f>
        <v>1</v>
      </c>
    </row>
    <row r="1622" spans="1:3" x14ac:dyDescent="0.25">
      <c r="A1622">
        <v>260076</v>
      </c>
      <c r="B1622" t="s">
        <v>2</v>
      </c>
      <c r="C1622" t="str">
        <f>LEFT(Table4[[#This Row],[Policy Type]],1)</f>
        <v>1</v>
      </c>
    </row>
    <row r="1623" spans="1:3" x14ac:dyDescent="0.25">
      <c r="A1623">
        <v>260074</v>
      </c>
      <c r="B1623" t="s">
        <v>2</v>
      </c>
      <c r="C1623" t="str">
        <f>LEFT(Table4[[#This Row],[Policy Type]],1)</f>
        <v>1</v>
      </c>
    </row>
    <row r="1624" spans="1:3" x14ac:dyDescent="0.25">
      <c r="A1624">
        <v>260075</v>
      </c>
      <c r="B1624" t="s">
        <v>2</v>
      </c>
      <c r="C1624" t="str">
        <f>LEFT(Table4[[#This Row],[Policy Type]],1)</f>
        <v>1</v>
      </c>
    </row>
    <row r="1625" spans="1:3" x14ac:dyDescent="0.25">
      <c r="A1625">
        <v>260073</v>
      </c>
      <c r="B1625" t="s">
        <v>2</v>
      </c>
      <c r="C1625" t="str">
        <f>LEFT(Table4[[#This Row],[Policy Type]],1)</f>
        <v>1</v>
      </c>
    </row>
    <row r="1626" spans="1:3" x14ac:dyDescent="0.25">
      <c r="A1626">
        <v>260078</v>
      </c>
      <c r="B1626" t="s">
        <v>2</v>
      </c>
      <c r="C1626" t="str">
        <f>LEFT(Table4[[#This Row],[Policy Type]],1)</f>
        <v>1</v>
      </c>
    </row>
    <row r="1627" spans="1:3" x14ac:dyDescent="0.25">
      <c r="A1627">
        <v>260085</v>
      </c>
      <c r="B1627" t="s">
        <v>2</v>
      </c>
      <c r="C1627" t="str">
        <f>LEFT(Table4[[#This Row],[Policy Type]],1)</f>
        <v>1</v>
      </c>
    </row>
    <row r="1628" spans="1:3" x14ac:dyDescent="0.25">
      <c r="A1628">
        <v>260089</v>
      </c>
      <c r="B1628" t="s">
        <v>2</v>
      </c>
      <c r="C1628" t="str">
        <f>LEFT(Table4[[#This Row],[Policy Type]],1)</f>
        <v>1</v>
      </c>
    </row>
    <row r="1629" spans="1:3" x14ac:dyDescent="0.25">
      <c r="A1629">
        <v>260086</v>
      </c>
      <c r="B1629" t="s">
        <v>2</v>
      </c>
      <c r="C1629" t="str">
        <f>LEFT(Table4[[#This Row],[Policy Type]],1)</f>
        <v>1</v>
      </c>
    </row>
    <row r="1630" spans="1:3" x14ac:dyDescent="0.25">
      <c r="A1630">
        <v>195030</v>
      </c>
      <c r="B1630" t="s">
        <v>2</v>
      </c>
      <c r="C1630" t="str">
        <f>LEFT(Table4[[#This Row],[Policy Type]],1)</f>
        <v>1</v>
      </c>
    </row>
    <row r="1631" spans="1:3" x14ac:dyDescent="0.25">
      <c r="A1631">
        <v>258742</v>
      </c>
      <c r="B1631" t="s">
        <v>2</v>
      </c>
      <c r="C1631" t="str">
        <f>LEFT(Table4[[#This Row],[Policy Type]],1)</f>
        <v>1</v>
      </c>
    </row>
    <row r="1632" spans="1:3" x14ac:dyDescent="0.25">
      <c r="A1632">
        <v>210186</v>
      </c>
      <c r="B1632" t="s">
        <v>2</v>
      </c>
      <c r="C1632" t="str">
        <f>LEFT(Table4[[#This Row],[Policy Type]],1)</f>
        <v>1</v>
      </c>
    </row>
    <row r="1633" spans="1:3" x14ac:dyDescent="0.25">
      <c r="A1633">
        <v>260093</v>
      </c>
      <c r="B1633" t="s">
        <v>2</v>
      </c>
      <c r="C1633" t="str">
        <f>LEFT(Table4[[#This Row],[Policy Type]],1)</f>
        <v>1</v>
      </c>
    </row>
    <row r="1634" spans="1:3" x14ac:dyDescent="0.25">
      <c r="A1634">
        <v>260098</v>
      </c>
      <c r="B1634" t="s">
        <v>3</v>
      </c>
      <c r="C1634" t="str">
        <f>LEFT(Table4[[#This Row],[Policy Type]],1)</f>
        <v>2</v>
      </c>
    </row>
    <row r="1635" spans="1:3" x14ac:dyDescent="0.25">
      <c r="A1635">
        <v>260097</v>
      </c>
      <c r="B1635" t="s">
        <v>3</v>
      </c>
      <c r="C1635" t="str">
        <f>LEFT(Table4[[#This Row],[Policy Type]],1)</f>
        <v>2</v>
      </c>
    </row>
    <row r="1636" spans="1:3" x14ac:dyDescent="0.25">
      <c r="A1636">
        <v>260094</v>
      </c>
      <c r="B1636" t="s">
        <v>2</v>
      </c>
      <c r="C1636" t="str">
        <f>LEFT(Table4[[#This Row],[Policy Type]],1)</f>
        <v>1</v>
      </c>
    </row>
    <row r="1637" spans="1:3" x14ac:dyDescent="0.25">
      <c r="A1637">
        <v>260091</v>
      </c>
      <c r="B1637" t="s">
        <v>3</v>
      </c>
      <c r="C1637" t="str">
        <f>LEFT(Table4[[#This Row],[Policy Type]],1)</f>
        <v>2</v>
      </c>
    </row>
    <row r="1638" spans="1:3" x14ac:dyDescent="0.25">
      <c r="A1638">
        <v>260092</v>
      </c>
      <c r="B1638" t="s">
        <v>2</v>
      </c>
      <c r="C1638" t="str">
        <f>LEFT(Table4[[#This Row],[Policy Type]],1)</f>
        <v>1</v>
      </c>
    </row>
    <row r="1639" spans="1:3" x14ac:dyDescent="0.25">
      <c r="A1639">
        <v>260095</v>
      </c>
      <c r="B1639" t="s">
        <v>2</v>
      </c>
      <c r="C1639" t="str">
        <f>LEFT(Table4[[#This Row],[Policy Type]],1)</f>
        <v>1</v>
      </c>
    </row>
    <row r="1640" spans="1:3" x14ac:dyDescent="0.25">
      <c r="A1640">
        <v>260096</v>
      </c>
      <c r="B1640" t="s">
        <v>2</v>
      </c>
      <c r="C1640" t="str">
        <f>LEFT(Table4[[#This Row],[Policy Type]],1)</f>
        <v>1</v>
      </c>
    </row>
    <row r="1641" spans="1:3" x14ac:dyDescent="0.25">
      <c r="A1641">
        <v>260101</v>
      </c>
      <c r="B1641" t="s">
        <v>2</v>
      </c>
      <c r="C1641" t="str">
        <f>LEFT(Table4[[#This Row],[Policy Type]],1)</f>
        <v>1</v>
      </c>
    </row>
    <row r="1642" spans="1:3" x14ac:dyDescent="0.25">
      <c r="A1642">
        <v>151786</v>
      </c>
      <c r="B1642" t="s">
        <v>2</v>
      </c>
      <c r="C1642" t="str">
        <f>LEFT(Table4[[#This Row],[Policy Type]],1)</f>
        <v>1</v>
      </c>
    </row>
    <row r="1643" spans="1:3" x14ac:dyDescent="0.25">
      <c r="A1643">
        <v>184230</v>
      </c>
      <c r="B1643" t="s">
        <v>2</v>
      </c>
      <c r="C1643" t="str">
        <f>LEFT(Table4[[#This Row],[Policy Type]],1)</f>
        <v>1</v>
      </c>
    </row>
    <row r="1644" spans="1:3" x14ac:dyDescent="0.25">
      <c r="A1644">
        <v>201828</v>
      </c>
      <c r="B1644" t="s">
        <v>2</v>
      </c>
      <c r="C1644" t="str">
        <f>LEFT(Table4[[#This Row],[Policy Type]],1)</f>
        <v>1</v>
      </c>
    </row>
    <row r="1645" spans="1:3" x14ac:dyDescent="0.25">
      <c r="A1645">
        <v>259864</v>
      </c>
      <c r="B1645" t="s">
        <v>2</v>
      </c>
      <c r="C1645" t="str">
        <f>LEFT(Table4[[#This Row],[Policy Type]],1)</f>
        <v>1</v>
      </c>
    </row>
    <row r="1646" spans="1:3" x14ac:dyDescent="0.25">
      <c r="A1646">
        <v>259800</v>
      </c>
      <c r="B1646" t="s">
        <v>3</v>
      </c>
      <c r="C1646" t="str">
        <f>LEFT(Table4[[#This Row],[Policy Type]],1)</f>
        <v>2</v>
      </c>
    </row>
    <row r="1647" spans="1:3" x14ac:dyDescent="0.25">
      <c r="A1647">
        <v>257934</v>
      </c>
      <c r="B1647" t="s">
        <v>3</v>
      </c>
      <c r="C1647" t="str">
        <f>LEFT(Table4[[#This Row],[Policy Type]],1)</f>
        <v>2</v>
      </c>
    </row>
    <row r="1648" spans="1:3" x14ac:dyDescent="0.25">
      <c r="A1648">
        <v>255318</v>
      </c>
      <c r="B1648" t="s">
        <v>2</v>
      </c>
      <c r="C1648" t="str">
        <f>LEFT(Table4[[#This Row],[Policy Type]],1)</f>
        <v>1</v>
      </c>
    </row>
    <row r="1649" spans="1:3" x14ac:dyDescent="0.25">
      <c r="A1649">
        <v>260102</v>
      </c>
      <c r="B1649" t="s">
        <v>3</v>
      </c>
      <c r="C1649" t="str">
        <f>LEFT(Table4[[#This Row],[Policy Type]],1)</f>
        <v>2</v>
      </c>
    </row>
    <row r="1650" spans="1:3" x14ac:dyDescent="0.25">
      <c r="A1650">
        <v>216698</v>
      </c>
      <c r="B1650" t="s">
        <v>2</v>
      </c>
      <c r="C1650" t="str">
        <f>LEFT(Table4[[#This Row],[Policy Type]],1)</f>
        <v>1</v>
      </c>
    </row>
    <row r="1651" spans="1:3" x14ac:dyDescent="0.25">
      <c r="A1651">
        <v>214844</v>
      </c>
      <c r="B1651" t="s">
        <v>2</v>
      </c>
      <c r="C1651" t="str">
        <f>LEFT(Table4[[#This Row],[Policy Type]],1)</f>
        <v>1</v>
      </c>
    </row>
    <row r="1652" spans="1:3" x14ac:dyDescent="0.25">
      <c r="A1652">
        <v>260103</v>
      </c>
      <c r="B1652" t="s">
        <v>2</v>
      </c>
      <c r="C1652" t="str">
        <f>LEFT(Table4[[#This Row],[Policy Type]],1)</f>
        <v>1</v>
      </c>
    </row>
    <row r="1653" spans="1:3" x14ac:dyDescent="0.25">
      <c r="A1653">
        <v>201431</v>
      </c>
      <c r="B1653" t="s">
        <v>2</v>
      </c>
      <c r="C1653" t="str">
        <f>LEFT(Table4[[#This Row],[Policy Type]],1)</f>
        <v>1</v>
      </c>
    </row>
    <row r="1654" spans="1:3" x14ac:dyDescent="0.25">
      <c r="A1654">
        <v>260107</v>
      </c>
      <c r="B1654" t="s">
        <v>3</v>
      </c>
      <c r="C1654" t="str">
        <f>LEFT(Table4[[#This Row],[Policy Type]],1)</f>
        <v>2</v>
      </c>
    </row>
    <row r="1655" spans="1:3" x14ac:dyDescent="0.25">
      <c r="A1655">
        <v>260106</v>
      </c>
      <c r="B1655" t="s">
        <v>3</v>
      </c>
      <c r="C1655" t="str">
        <f>LEFT(Table4[[#This Row],[Policy Type]],1)</f>
        <v>2</v>
      </c>
    </row>
    <row r="1656" spans="1:3" x14ac:dyDescent="0.25">
      <c r="A1656">
        <v>259936</v>
      </c>
      <c r="B1656" t="s">
        <v>2</v>
      </c>
      <c r="C1656" t="str">
        <f>LEFT(Table4[[#This Row],[Policy Type]],1)</f>
        <v>1</v>
      </c>
    </row>
    <row r="1657" spans="1:3" x14ac:dyDescent="0.25">
      <c r="A1657">
        <v>226678</v>
      </c>
      <c r="B1657" t="s">
        <v>2</v>
      </c>
      <c r="C1657" t="str">
        <f>LEFT(Table4[[#This Row],[Policy Type]],1)</f>
        <v>1</v>
      </c>
    </row>
    <row r="1658" spans="1:3" x14ac:dyDescent="0.25">
      <c r="A1658">
        <v>260114</v>
      </c>
      <c r="B1658" t="s">
        <v>3</v>
      </c>
      <c r="C1658" t="str">
        <f>LEFT(Table4[[#This Row],[Policy Type]],1)</f>
        <v>2</v>
      </c>
    </row>
    <row r="1659" spans="1:3" x14ac:dyDescent="0.25">
      <c r="A1659">
        <v>251995</v>
      </c>
      <c r="B1659" t="s">
        <v>3</v>
      </c>
      <c r="C1659" t="str">
        <f>LEFT(Table4[[#This Row],[Policy Type]],1)</f>
        <v>2</v>
      </c>
    </row>
    <row r="1660" spans="1:3" x14ac:dyDescent="0.25">
      <c r="A1660">
        <v>203874</v>
      </c>
      <c r="B1660" t="s">
        <v>2</v>
      </c>
      <c r="C1660" t="str">
        <f>LEFT(Table4[[#This Row],[Policy Type]],1)</f>
        <v>1</v>
      </c>
    </row>
    <row r="1661" spans="1:3" x14ac:dyDescent="0.25">
      <c r="A1661">
        <v>253065</v>
      </c>
      <c r="B1661" t="s">
        <v>2</v>
      </c>
      <c r="C1661" t="str">
        <f>LEFT(Table4[[#This Row],[Policy Type]],1)</f>
        <v>1</v>
      </c>
    </row>
    <row r="1662" spans="1:3" x14ac:dyDescent="0.25">
      <c r="A1662">
        <v>260117</v>
      </c>
      <c r="B1662" t="s">
        <v>2</v>
      </c>
      <c r="C1662" t="str">
        <f>LEFT(Table4[[#This Row],[Policy Type]],1)</f>
        <v>1</v>
      </c>
    </row>
    <row r="1663" spans="1:3" x14ac:dyDescent="0.25">
      <c r="A1663">
        <v>260116</v>
      </c>
      <c r="B1663" t="s">
        <v>2</v>
      </c>
      <c r="C1663" t="str">
        <f>LEFT(Table4[[#This Row],[Policy Type]],1)</f>
        <v>1</v>
      </c>
    </row>
    <row r="1664" spans="1:3" x14ac:dyDescent="0.25">
      <c r="A1664">
        <v>260118</v>
      </c>
      <c r="B1664" t="s">
        <v>2</v>
      </c>
      <c r="C1664" t="str">
        <f>LEFT(Table4[[#This Row],[Policy Type]],1)</f>
        <v>1</v>
      </c>
    </row>
    <row r="1665" spans="1:3" x14ac:dyDescent="0.25">
      <c r="A1665">
        <v>260128</v>
      </c>
      <c r="B1665" t="s">
        <v>2</v>
      </c>
      <c r="C1665" t="str">
        <f>LEFT(Table4[[#This Row],[Policy Type]],1)</f>
        <v>1</v>
      </c>
    </row>
    <row r="1666" spans="1:3" x14ac:dyDescent="0.25">
      <c r="A1666">
        <v>260119</v>
      </c>
      <c r="B1666" t="s">
        <v>3</v>
      </c>
      <c r="C1666" t="str">
        <f>LEFT(Table4[[#This Row],[Policy Type]],1)</f>
        <v>2</v>
      </c>
    </row>
    <row r="1667" spans="1:3" x14ac:dyDescent="0.25">
      <c r="A1667">
        <v>260132</v>
      </c>
      <c r="B1667" t="s">
        <v>3</v>
      </c>
      <c r="C1667" t="str">
        <f>LEFT(Table4[[#This Row],[Policy Type]],1)</f>
        <v>2</v>
      </c>
    </row>
    <row r="1668" spans="1:3" x14ac:dyDescent="0.25">
      <c r="A1668">
        <v>260134</v>
      </c>
      <c r="B1668" t="s">
        <v>2</v>
      </c>
      <c r="C1668" t="str">
        <f>LEFT(Table4[[#This Row],[Policy Type]],1)</f>
        <v>1</v>
      </c>
    </row>
    <row r="1669" spans="1:3" x14ac:dyDescent="0.25">
      <c r="A1669">
        <v>260133</v>
      </c>
      <c r="B1669" t="s">
        <v>2</v>
      </c>
      <c r="C1669" t="str">
        <f>LEFT(Table4[[#This Row],[Policy Type]],1)</f>
        <v>1</v>
      </c>
    </row>
    <row r="1670" spans="1:3" x14ac:dyDescent="0.25">
      <c r="A1670">
        <v>260136</v>
      </c>
      <c r="B1670" t="s">
        <v>3</v>
      </c>
      <c r="C1670" t="str">
        <f>LEFT(Table4[[#This Row],[Policy Type]],1)</f>
        <v>2</v>
      </c>
    </row>
    <row r="1671" spans="1:3" x14ac:dyDescent="0.25">
      <c r="A1671">
        <v>260135</v>
      </c>
      <c r="B1671" t="s">
        <v>3</v>
      </c>
      <c r="C1671" t="str">
        <f>LEFT(Table4[[#This Row],[Policy Type]],1)</f>
        <v>2</v>
      </c>
    </row>
    <row r="1672" spans="1:3" x14ac:dyDescent="0.25">
      <c r="A1672">
        <v>260137</v>
      </c>
      <c r="B1672" t="s">
        <v>2</v>
      </c>
      <c r="C1672" t="str">
        <f>LEFT(Table4[[#This Row],[Policy Type]],1)</f>
        <v>1</v>
      </c>
    </row>
    <row r="1673" spans="1:3" x14ac:dyDescent="0.25">
      <c r="A1673">
        <v>260121</v>
      </c>
      <c r="B1673" t="s">
        <v>3</v>
      </c>
      <c r="C1673" t="str">
        <f>LEFT(Table4[[#This Row],[Policy Type]],1)</f>
        <v>2</v>
      </c>
    </row>
    <row r="1674" spans="1:3" x14ac:dyDescent="0.25">
      <c r="A1674">
        <v>260124</v>
      </c>
      <c r="B1674" t="s">
        <v>3</v>
      </c>
      <c r="C1674" t="str">
        <f>LEFT(Table4[[#This Row],[Policy Type]],1)</f>
        <v>2</v>
      </c>
    </row>
    <row r="1675" spans="1:3" x14ac:dyDescent="0.25">
      <c r="A1675">
        <v>150824</v>
      </c>
      <c r="B1675" t="s">
        <v>2</v>
      </c>
      <c r="C1675" t="str">
        <f>LEFT(Table4[[#This Row],[Policy Type]],1)</f>
        <v>1</v>
      </c>
    </row>
    <row r="1676" spans="1:3" x14ac:dyDescent="0.25">
      <c r="A1676">
        <v>248171</v>
      </c>
      <c r="B1676" t="s">
        <v>3</v>
      </c>
      <c r="C1676" t="str">
        <f>LEFT(Table4[[#This Row],[Policy Type]],1)</f>
        <v>2</v>
      </c>
    </row>
    <row r="1677" spans="1:3" x14ac:dyDescent="0.25">
      <c r="A1677">
        <v>238160</v>
      </c>
      <c r="B1677" t="s">
        <v>2</v>
      </c>
      <c r="C1677" t="str">
        <f>LEFT(Table4[[#This Row],[Policy Type]],1)</f>
        <v>1</v>
      </c>
    </row>
    <row r="1678" spans="1:3" x14ac:dyDescent="0.25">
      <c r="A1678">
        <v>260143</v>
      </c>
      <c r="B1678" t="s">
        <v>3</v>
      </c>
      <c r="C1678" t="str">
        <f>LEFT(Table4[[#This Row],[Policy Type]],1)</f>
        <v>2</v>
      </c>
    </row>
    <row r="1679" spans="1:3" x14ac:dyDescent="0.25">
      <c r="A1679">
        <v>260141</v>
      </c>
      <c r="B1679" t="s">
        <v>2</v>
      </c>
      <c r="C1679" t="str">
        <f>LEFT(Table4[[#This Row],[Policy Type]],1)</f>
        <v>1</v>
      </c>
    </row>
    <row r="1680" spans="1:3" x14ac:dyDescent="0.25">
      <c r="A1680">
        <v>260145</v>
      </c>
      <c r="B1680" t="s">
        <v>2</v>
      </c>
      <c r="C1680" t="str">
        <f>LEFT(Table4[[#This Row],[Policy Type]],1)</f>
        <v>1</v>
      </c>
    </row>
    <row r="1681" spans="1:3" x14ac:dyDescent="0.25">
      <c r="A1681">
        <v>260148</v>
      </c>
      <c r="B1681" t="s">
        <v>2</v>
      </c>
      <c r="C1681" t="str">
        <f>LEFT(Table4[[#This Row],[Policy Type]],1)</f>
        <v>1</v>
      </c>
    </row>
    <row r="1682" spans="1:3" x14ac:dyDescent="0.25">
      <c r="A1682">
        <v>260146</v>
      </c>
      <c r="B1682" t="s">
        <v>3</v>
      </c>
      <c r="C1682" t="str">
        <f>LEFT(Table4[[#This Row],[Policy Type]],1)</f>
        <v>2</v>
      </c>
    </row>
    <row r="1683" spans="1:3" x14ac:dyDescent="0.25">
      <c r="A1683">
        <v>260151</v>
      </c>
      <c r="B1683" t="s">
        <v>2</v>
      </c>
      <c r="C1683" t="str">
        <f>LEFT(Table4[[#This Row],[Policy Type]],1)</f>
        <v>1</v>
      </c>
    </row>
    <row r="1684" spans="1:3" x14ac:dyDescent="0.25">
      <c r="A1684">
        <v>253334</v>
      </c>
      <c r="B1684" t="s">
        <v>3</v>
      </c>
      <c r="C1684" t="str">
        <f>LEFT(Table4[[#This Row],[Policy Type]],1)</f>
        <v>2</v>
      </c>
    </row>
    <row r="1685" spans="1:3" x14ac:dyDescent="0.25">
      <c r="A1685">
        <v>258007</v>
      </c>
      <c r="B1685" t="s">
        <v>3</v>
      </c>
      <c r="C1685" t="str">
        <f>LEFT(Table4[[#This Row],[Policy Type]],1)</f>
        <v>2</v>
      </c>
    </row>
    <row r="1686" spans="1:3" x14ac:dyDescent="0.25">
      <c r="A1686">
        <v>260159</v>
      </c>
      <c r="B1686" t="s">
        <v>2</v>
      </c>
      <c r="C1686" t="str">
        <f>LEFT(Table4[[#This Row],[Policy Type]],1)</f>
        <v>1</v>
      </c>
    </row>
    <row r="1687" spans="1:3" x14ac:dyDescent="0.25">
      <c r="A1687">
        <v>260161</v>
      </c>
      <c r="B1687" t="s">
        <v>2</v>
      </c>
      <c r="C1687" t="str">
        <f>LEFT(Table4[[#This Row],[Policy Type]],1)</f>
        <v>1</v>
      </c>
    </row>
    <row r="1688" spans="1:3" x14ac:dyDescent="0.25">
      <c r="A1688">
        <v>260162</v>
      </c>
      <c r="B1688" t="s">
        <v>2</v>
      </c>
      <c r="C1688" t="str">
        <f>LEFT(Table4[[#This Row],[Policy Type]],1)</f>
        <v>1</v>
      </c>
    </row>
    <row r="1689" spans="1:3" x14ac:dyDescent="0.25">
      <c r="A1689">
        <v>260163</v>
      </c>
      <c r="B1689" t="s">
        <v>3</v>
      </c>
      <c r="C1689" t="str">
        <f>LEFT(Table4[[#This Row],[Policy Type]],1)</f>
        <v>2</v>
      </c>
    </row>
    <row r="1690" spans="1:3" x14ac:dyDescent="0.25">
      <c r="A1690">
        <v>257577</v>
      </c>
      <c r="B1690" t="s">
        <v>2</v>
      </c>
      <c r="C1690" t="str">
        <f>LEFT(Table4[[#This Row],[Policy Type]],1)</f>
        <v>1</v>
      </c>
    </row>
    <row r="1691" spans="1:3" x14ac:dyDescent="0.25">
      <c r="A1691">
        <v>258377</v>
      </c>
      <c r="B1691" t="s">
        <v>2</v>
      </c>
      <c r="C1691" t="str">
        <f>LEFT(Table4[[#This Row],[Policy Type]],1)</f>
        <v>1</v>
      </c>
    </row>
    <row r="1692" spans="1:3" x14ac:dyDescent="0.25">
      <c r="A1692">
        <v>260166</v>
      </c>
      <c r="B1692" t="s">
        <v>2</v>
      </c>
      <c r="C1692" t="str">
        <f>LEFT(Table4[[#This Row],[Policy Type]],1)</f>
        <v>1</v>
      </c>
    </row>
    <row r="1693" spans="1:3" x14ac:dyDescent="0.25">
      <c r="A1693">
        <v>236932</v>
      </c>
      <c r="B1693" t="s">
        <v>3</v>
      </c>
      <c r="C1693" t="str">
        <f>LEFT(Table4[[#This Row],[Policy Type]],1)</f>
        <v>2</v>
      </c>
    </row>
    <row r="1694" spans="1:3" x14ac:dyDescent="0.25">
      <c r="A1694">
        <v>260167</v>
      </c>
      <c r="B1694" t="s">
        <v>2</v>
      </c>
      <c r="C1694" t="str">
        <f>LEFT(Table4[[#This Row],[Policy Type]],1)</f>
        <v>1</v>
      </c>
    </row>
    <row r="1695" spans="1:3" x14ac:dyDescent="0.25">
      <c r="A1695">
        <v>256412</v>
      </c>
      <c r="B1695" t="s">
        <v>2</v>
      </c>
      <c r="C1695" t="str">
        <f>LEFT(Table4[[#This Row],[Policy Type]],1)</f>
        <v>1</v>
      </c>
    </row>
    <row r="1696" spans="1:3" x14ac:dyDescent="0.25">
      <c r="A1696">
        <v>260168</v>
      </c>
      <c r="B1696" t="s">
        <v>3</v>
      </c>
      <c r="C1696" t="str">
        <f>LEFT(Table4[[#This Row],[Policy Type]],1)</f>
        <v>2</v>
      </c>
    </row>
    <row r="1697" spans="1:3" x14ac:dyDescent="0.25">
      <c r="A1697">
        <v>259712</v>
      </c>
      <c r="B1697" t="s">
        <v>2</v>
      </c>
      <c r="C1697" t="str">
        <f>LEFT(Table4[[#This Row],[Policy Type]],1)</f>
        <v>1</v>
      </c>
    </row>
    <row r="1698" spans="1:3" x14ac:dyDescent="0.25">
      <c r="A1698">
        <v>260173</v>
      </c>
      <c r="B1698" t="s">
        <v>2</v>
      </c>
      <c r="C1698" t="str">
        <f>LEFT(Table4[[#This Row],[Policy Type]],1)</f>
        <v>1</v>
      </c>
    </row>
    <row r="1699" spans="1:3" x14ac:dyDescent="0.25">
      <c r="A1699">
        <v>260175</v>
      </c>
      <c r="B1699" t="s">
        <v>2</v>
      </c>
      <c r="C1699" t="str">
        <f>LEFT(Table4[[#This Row],[Policy Type]],1)</f>
        <v>1</v>
      </c>
    </row>
    <row r="1700" spans="1:3" x14ac:dyDescent="0.25">
      <c r="A1700">
        <v>260170</v>
      </c>
      <c r="B1700" t="s">
        <v>3</v>
      </c>
      <c r="C1700" t="str">
        <f>LEFT(Table4[[#This Row],[Policy Type]],1)</f>
        <v>2</v>
      </c>
    </row>
    <row r="1701" spans="1:3" x14ac:dyDescent="0.25">
      <c r="A1701">
        <v>260174</v>
      </c>
      <c r="B1701" t="s">
        <v>3</v>
      </c>
      <c r="C1701" t="str">
        <f>LEFT(Table4[[#This Row],[Policy Type]],1)</f>
        <v>2</v>
      </c>
    </row>
    <row r="1702" spans="1:3" x14ac:dyDescent="0.25">
      <c r="A1702">
        <v>260171</v>
      </c>
      <c r="B1702" t="s">
        <v>3</v>
      </c>
      <c r="C1702" t="str">
        <f>LEFT(Table4[[#This Row],[Policy Type]],1)</f>
        <v>2</v>
      </c>
    </row>
    <row r="1703" spans="1:3" x14ac:dyDescent="0.25">
      <c r="A1703">
        <v>260177</v>
      </c>
      <c r="B1703" t="s">
        <v>2</v>
      </c>
      <c r="C1703" t="str">
        <f>LEFT(Table4[[#This Row],[Policy Type]],1)</f>
        <v>1</v>
      </c>
    </row>
    <row r="1704" spans="1:3" x14ac:dyDescent="0.25">
      <c r="A1704">
        <v>260176</v>
      </c>
      <c r="B1704" t="s">
        <v>2</v>
      </c>
      <c r="C1704" t="str">
        <f>LEFT(Table4[[#This Row],[Policy Type]],1)</f>
        <v>1</v>
      </c>
    </row>
    <row r="1705" spans="1:3" x14ac:dyDescent="0.25">
      <c r="A1705">
        <v>260190</v>
      </c>
      <c r="B1705" t="s">
        <v>2</v>
      </c>
      <c r="C1705" t="str">
        <f>LEFT(Table4[[#This Row],[Policy Type]],1)</f>
        <v>1</v>
      </c>
    </row>
    <row r="1706" spans="1:3" x14ac:dyDescent="0.25">
      <c r="A1706">
        <v>260193</v>
      </c>
      <c r="B1706" t="s">
        <v>2</v>
      </c>
      <c r="C1706" t="str">
        <f>LEFT(Table4[[#This Row],[Policy Type]],1)</f>
        <v>1</v>
      </c>
    </row>
    <row r="1707" spans="1:3" x14ac:dyDescent="0.25">
      <c r="A1707">
        <v>260180</v>
      </c>
      <c r="B1707" t="s">
        <v>3</v>
      </c>
      <c r="C1707" t="str">
        <f>LEFT(Table4[[#This Row],[Policy Type]],1)</f>
        <v>2</v>
      </c>
    </row>
    <row r="1708" spans="1:3" x14ac:dyDescent="0.25">
      <c r="A1708">
        <v>260183</v>
      </c>
      <c r="B1708" t="s">
        <v>3</v>
      </c>
      <c r="C1708" t="str">
        <f>LEFT(Table4[[#This Row],[Policy Type]],1)</f>
        <v>2</v>
      </c>
    </row>
    <row r="1709" spans="1:3" x14ac:dyDescent="0.25">
      <c r="A1709">
        <v>260181</v>
      </c>
      <c r="B1709" t="s">
        <v>3</v>
      </c>
      <c r="C1709" t="str">
        <f>LEFT(Table4[[#This Row],[Policy Type]],1)</f>
        <v>2</v>
      </c>
    </row>
    <row r="1710" spans="1:3" x14ac:dyDescent="0.25">
      <c r="A1710">
        <v>260192</v>
      </c>
      <c r="B1710" t="s">
        <v>3</v>
      </c>
      <c r="C1710" t="str">
        <f>LEFT(Table4[[#This Row],[Policy Type]],1)</f>
        <v>2</v>
      </c>
    </row>
    <row r="1711" spans="1:3" x14ac:dyDescent="0.25">
      <c r="A1711">
        <v>260191</v>
      </c>
      <c r="B1711" t="s">
        <v>2</v>
      </c>
      <c r="C1711" t="str">
        <f>LEFT(Table4[[#This Row],[Policy Type]],1)</f>
        <v>1</v>
      </c>
    </row>
    <row r="1712" spans="1:3" x14ac:dyDescent="0.25">
      <c r="A1712">
        <v>260194</v>
      </c>
      <c r="B1712" t="s">
        <v>3</v>
      </c>
      <c r="C1712" t="str">
        <f>LEFT(Table4[[#This Row],[Policy Type]],1)</f>
        <v>2</v>
      </c>
    </row>
    <row r="1713" spans="1:3" x14ac:dyDescent="0.25">
      <c r="A1713">
        <v>258765</v>
      </c>
      <c r="B1713" t="s">
        <v>2</v>
      </c>
      <c r="C1713" t="str">
        <f>LEFT(Table4[[#This Row],[Policy Type]],1)</f>
        <v>1</v>
      </c>
    </row>
    <row r="1714" spans="1:3" x14ac:dyDescent="0.25">
      <c r="A1714">
        <v>260196</v>
      </c>
      <c r="B1714" t="s">
        <v>2</v>
      </c>
      <c r="C1714" t="str">
        <f>LEFT(Table4[[#This Row],[Policy Type]],1)</f>
        <v>1</v>
      </c>
    </row>
    <row r="1715" spans="1:3" x14ac:dyDescent="0.25">
      <c r="A1715">
        <v>260197</v>
      </c>
      <c r="B1715" t="s">
        <v>3</v>
      </c>
      <c r="C1715" t="str">
        <f>LEFT(Table4[[#This Row],[Policy Type]],1)</f>
        <v>2</v>
      </c>
    </row>
    <row r="1716" spans="1:3" x14ac:dyDescent="0.25">
      <c r="A1716">
        <v>260210</v>
      </c>
      <c r="B1716" t="s">
        <v>2</v>
      </c>
      <c r="C1716" t="str">
        <f>LEFT(Table4[[#This Row],[Policy Type]],1)</f>
        <v>1</v>
      </c>
    </row>
    <row r="1717" spans="1:3" x14ac:dyDescent="0.25">
      <c r="A1717">
        <v>260213</v>
      </c>
      <c r="B1717" t="s">
        <v>3</v>
      </c>
      <c r="C1717" t="str">
        <f>LEFT(Table4[[#This Row],[Policy Type]],1)</f>
        <v>2</v>
      </c>
    </row>
    <row r="1718" spans="1:3" x14ac:dyDescent="0.25">
      <c r="A1718">
        <v>260209</v>
      </c>
      <c r="B1718" t="s">
        <v>2</v>
      </c>
      <c r="C1718" t="str">
        <f>LEFT(Table4[[#This Row],[Policy Type]],1)</f>
        <v>1</v>
      </c>
    </row>
    <row r="1719" spans="1:3" x14ac:dyDescent="0.25">
      <c r="A1719">
        <v>260211</v>
      </c>
      <c r="B1719" t="s">
        <v>2</v>
      </c>
      <c r="C1719" t="str">
        <f>LEFT(Table4[[#This Row],[Policy Type]],1)</f>
        <v>1</v>
      </c>
    </row>
    <row r="1720" spans="1:3" x14ac:dyDescent="0.25">
      <c r="A1720">
        <v>260212</v>
      </c>
      <c r="B1720" t="s">
        <v>3</v>
      </c>
      <c r="C1720" t="str">
        <f>LEFT(Table4[[#This Row],[Policy Type]],1)</f>
        <v>2</v>
      </c>
    </row>
    <row r="1721" spans="1:3" x14ac:dyDescent="0.25">
      <c r="A1721">
        <v>260208</v>
      </c>
      <c r="B1721" t="s">
        <v>3</v>
      </c>
      <c r="C1721" t="str">
        <f>LEFT(Table4[[#This Row],[Policy Type]],1)</f>
        <v>2</v>
      </c>
    </row>
    <row r="1722" spans="1:3" x14ac:dyDescent="0.25">
      <c r="A1722">
        <v>260207</v>
      </c>
      <c r="B1722" t="s">
        <v>2</v>
      </c>
      <c r="C1722" t="str">
        <f>LEFT(Table4[[#This Row],[Policy Type]],1)</f>
        <v>1</v>
      </c>
    </row>
    <row r="1723" spans="1:3" x14ac:dyDescent="0.25">
      <c r="A1723">
        <v>260206</v>
      </c>
      <c r="B1723" t="s">
        <v>3</v>
      </c>
      <c r="C1723" t="str">
        <f>LEFT(Table4[[#This Row],[Policy Type]],1)</f>
        <v>2</v>
      </c>
    </row>
    <row r="1724" spans="1:3" x14ac:dyDescent="0.25">
      <c r="A1724">
        <v>260199</v>
      </c>
      <c r="B1724" t="s">
        <v>2</v>
      </c>
      <c r="C1724" t="str">
        <f>LEFT(Table4[[#This Row],[Policy Type]],1)</f>
        <v>1</v>
      </c>
    </row>
    <row r="1725" spans="1:3" x14ac:dyDescent="0.25">
      <c r="A1725">
        <v>200394</v>
      </c>
      <c r="B1725" t="s">
        <v>3</v>
      </c>
      <c r="C1725" t="str">
        <f>LEFT(Table4[[#This Row],[Policy Type]],1)</f>
        <v>2</v>
      </c>
    </row>
    <row r="1726" spans="1:3" x14ac:dyDescent="0.25">
      <c r="A1726">
        <v>239017</v>
      </c>
      <c r="B1726" t="s">
        <v>2</v>
      </c>
      <c r="C1726" t="str">
        <f>LEFT(Table4[[#This Row],[Policy Type]],1)</f>
        <v>1</v>
      </c>
    </row>
    <row r="1727" spans="1:3" x14ac:dyDescent="0.25">
      <c r="A1727">
        <v>260217</v>
      </c>
      <c r="B1727" t="s">
        <v>3</v>
      </c>
      <c r="C1727" t="str">
        <f>LEFT(Table4[[#This Row],[Policy Type]],1)</f>
        <v>2</v>
      </c>
    </row>
    <row r="1728" spans="1:3" x14ac:dyDescent="0.25">
      <c r="A1728">
        <v>260219</v>
      </c>
      <c r="B1728" t="s">
        <v>2</v>
      </c>
      <c r="C1728" t="str">
        <f>LEFT(Table4[[#This Row],[Policy Type]],1)</f>
        <v>1</v>
      </c>
    </row>
    <row r="1729" spans="1:3" x14ac:dyDescent="0.25">
      <c r="A1729">
        <v>260215</v>
      </c>
      <c r="B1729" t="s">
        <v>3</v>
      </c>
      <c r="C1729" t="str">
        <f>LEFT(Table4[[#This Row],[Policy Type]],1)</f>
        <v>2</v>
      </c>
    </row>
    <row r="1730" spans="1:3" x14ac:dyDescent="0.25">
      <c r="A1730">
        <v>256838</v>
      </c>
      <c r="B1730" t="s">
        <v>3</v>
      </c>
      <c r="C1730" t="str">
        <f>LEFT(Table4[[#This Row],[Policy Type]],1)</f>
        <v>2</v>
      </c>
    </row>
    <row r="1731" spans="1:3" x14ac:dyDescent="0.25">
      <c r="A1731">
        <v>234777</v>
      </c>
      <c r="B1731" t="s">
        <v>2</v>
      </c>
      <c r="C1731" t="str">
        <f>LEFT(Table4[[#This Row],[Policy Type]],1)</f>
        <v>1</v>
      </c>
    </row>
    <row r="1732" spans="1:3" x14ac:dyDescent="0.25">
      <c r="A1732">
        <v>257106</v>
      </c>
      <c r="B1732" t="s">
        <v>3</v>
      </c>
      <c r="C1732" t="str">
        <f>LEFT(Table4[[#This Row],[Policy Type]],1)</f>
        <v>2</v>
      </c>
    </row>
    <row r="1733" spans="1:3" x14ac:dyDescent="0.25">
      <c r="A1733">
        <v>260221</v>
      </c>
      <c r="B1733" t="s">
        <v>3</v>
      </c>
      <c r="C1733" t="str">
        <f>LEFT(Table4[[#This Row],[Policy Type]],1)</f>
        <v>2</v>
      </c>
    </row>
    <row r="1734" spans="1:3" x14ac:dyDescent="0.25">
      <c r="A1734">
        <v>260220</v>
      </c>
      <c r="B1734" t="s">
        <v>3</v>
      </c>
      <c r="C1734" t="str">
        <f>LEFT(Table4[[#This Row],[Policy Type]],1)</f>
        <v>2</v>
      </c>
    </row>
    <row r="1735" spans="1:3" x14ac:dyDescent="0.25">
      <c r="A1735">
        <v>255867</v>
      </c>
      <c r="B1735" t="s">
        <v>2</v>
      </c>
      <c r="C1735" t="str">
        <f>LEFT(Table4[[#This Row],[Policy Type]],1)</f>
        <v>1</v>
      </c>
    </row>
    <row r="1736" spans="1:3" x14ac:dyDescent="0.25">
      <c r="A1736">
        <v>260226</v>
      </c>
      <c r="B1736" t="s">
        <v>3</v>
      </c>
      <c r="C1736" t="str">
        <f>LEFT(Table4[[#This Row],[Policy Type]],1)</f>
        <v>2</v>
      </c>
    </row>
    <row r="1737" spans="1:3" x14ac:dyDescent="0.25">
      <c r="A1737">
        <v>260228</v>
      </c>
      <c r="B1737" t="s">
        <v>3</v>
      </c>
      <c r="C1737" t="str">
        <f>LEFT(Table4[[#This Row],[Policy Type]],1)</f>
        <v>2</v>
      </c>
    </row>
    <row r="1738" spans="1:3" x14ac:dyDescent="0.25">
      <c r="A1738">
        <v>260225</v>
      </c>
      <c r="B1738" t="s">
        <v>2</v>
      </c>
      <c r="C1738" t="str">
        <f>LEFT(Table4[[#This Row],[Policy Type]],1)</f>
        <v>1</v>
      </c>
    </row>
    <row r="1739" spans="1:3" x14ac:dyDescent="0.25">
      <c r="A1739">
        <v>244284</v>
      </c>
      <c r="B1739" t="s">
        <v>2</v>
      </c>
      <c r="C1739" t="str">
        <f>LEFT(Table4[[#This Row],[Policy Type]],1)</f>
        <v>1</v>
      </c>
    </row>
    <row r="1740" spans="1:3" x14ac:dyDescent="0.25">
      <c r="A1740">
        <v>252452</v>
      </c>
      <c r="B1740" t="s">
        <v>2</v>
      </c>
      <c r="C1740" t="str">
        <f>LEFT(Table4[[#This Row],[Policy Type]],1)</f>
        <v>1</v>
      </c>
    </row>
    <row r="1741" spans="1:3" x14ac:dyDescent="0.25">
      <c r="A1741">
        <v>260232</v>
      </c>
      <c r="B1741" t="s">
        <v>2</v>
      </c>
      <c r="C1741" t="str">
        <f>LEFT(Table4[[#This Row],[Policy Type]],1)</f>
        <v>1</v>
      </c>
    </row>
    <row r="1742" spans="1:3" x14ac:dyDescent="0.25">
      <c r="A1742">
        <v>260229</v>
      </c>
      <c r="B1742" t="s">
        <v>3</v>
      </c>
      <c r="C1742" t="str">
        <f>LEFT(Table4[[#This Row],[Policy Type]],1)</f>
        <v>2</v>
      </c>
    </row>
    <row r="1743" spans="1:3" x14ac:dyDescent="0.25">
      <c r="A1743">
        <v>260233</v>
      </c>
      <c r="B1743" t="s">
        <v>2</v>
      </c>
      <c r="C1743" t="str">
        <f>LEFT(Table4[[#This Row],[Policy Type]],1)</f>
        <v>1</v>
      </c>
    </row>
    <row r="1744" spans="1:3" x14ac:dyDescent="0.25">
      <c r="A1744">
        <v>260239</v>
      </c>
      <c r="B1744" t="s">
        <v>3</v>
      </c>
      <c r="C1744" t="str">
        <f>LEFT(Table4[[#This Row],[Policy Type]],1)</f>
        <v>2</v>
      </c>
    </row>
    <row r="1745" spans="1:3" x14ac:dyDescent="0.25">
      <c r="A1745">
        <v>260231</v>
      </c>
      <c r="B1745" t="s">
        <v>3</v>
      </c>
      <c r="C1745" t="str">
        <f>LEFT(Table4[[#This Row],[Policy Type]],1)</f>
        <v>2</v>
      </c>
    </row>
    <row r="1746" spans="1:3" x14ac:dyDescent="0.25">
      <c r="A1746">
        <v>260238</v>
      </c>
      <c r="B1746" t="s">
        <v>2</v>
      </c>
      <c r="C1746" t="str">
        <f>LEFT(Table4[[#This Row],[Policy Type]],1)</f>
        <v>1</v>
      </c>
    </row>
    <row r="1747" spans="1:3" x14ac:dyDescent="0.25">
      <c r="A1747">
        <v>260241</v>
      </c>
      <c r="B1747" t="s">
        <v>2</v>
      </c>
      <c r="C1747" t="str">
        <f>LEFT(Table4[[#This Row],[Policy Type]],1)</f>
        <v>1</v>
      </c>
    </row>
    <row r="1748" spans="1:3" x14ac:dyDescent="0.25">
      <c r="A1748">
        <v>260236</v>
      </c>
      <c r="B1748" t="s">
        <v>3</v>
      </c>
      <c r="C1748" t="str">
        <f>LEFT(Table4[[#This Row],[Policy Type]],1)</f>
        <v>2</v>
      </c>
    </row>
    <row r="1749" spans="1:3" x14ac:dyDescent="0.25">
      <c r="A1749">
        <v>260237</v>
      </c>
      <c r="B1749" t="s">
        <v>2</v>
      </c>
      <c r="C1749" t="str">
        <f>LEFT(Table4[[#This Row],[Policy Type]],1)</f>
        <v>1</v>
      </c>
    </row>
    <row r="1750" spans="1:3" x14ac:dyDescent="0.25">
      <c r="A1750">
        <v>260251</v>
      </c>
      <c r="B1750" t="s">
        <v>2</v>
      </c>
      <c r="C1750" t="str">
        <f>LEFT(Table4[[#This Row],[Policy Type]],1)</f>
        <v>1</v>
      </c>
    </row>
    <row r="1751" spans="1:3" x14ac:dyDescent="0.25">
      <c r="A1751">
        <v>260252</v>
      </c>
      <c r="B1751" t="s">
        <v>2</v>
      </c>
      <c r="C1751" t="str">
        <f>LEFT(Table4[[#This Row],[Policy Type]],1)</f>
        <v>1</v>
      </c>
    </row>
    <row r="1752" spans="1:3" x14ac:dyDescent="0.25">
      <c r="A1752">
        <v>260253</v>
      </c>
      <c r="B1752" t="s">
        <v>2</v>
      </c>
      <c r="C1752" t="str">
        <f>LEFT(Table4[[#This Row],[Policy Type]],1)</f>
        <v>1</v>
      </c>
    </row>
    <row r="1753" spans="1:3" x14ac:dyDescent="0.25">
      <c r="A1753">
        <v>259570</v>
      </c>
      <c r="B1753" t="s">
        <v>2</v>
      </c>
      <c r="C1753" t="str">
        <f>LEFT(Table4[[#This Row],[Policy Type]],1)</f>
        <v>1</v>
      </c>
    </row>
    <row r="1754" spans="1:3" x14ac:dyDescent="0.25">
      <c r="A1754">
        <v>166065</v>
      </c>
      <c r="B1754" t="s">
        <v>2</v>
      </c>
      <c r="C1754" t="str">
        <f>LEFT(Table4[[#This Row],[Policy Type]],1)</f>
        <v>1</v>
      </c>
    </row>
    <row r="1755" spans="1:3" x14ac:dyDescent="0.25">
      <c r="A1755">
        <v>243924</v>
      </c>
      <c r="B1755" t="s">
        <v>3</v>
      </c>
      <c r="C1755" t="str">
        <f>LEFT(Table4[[#This Row],[Policy Type]],1)</f>
        <v>2</v>
      </c>
    </row>
    <row r="1756" spans="1:3" x14ac:dyDescent="0.25">
      <c r="A1756">
        <v>246579</v>
      </c>
      <c r="B1756" t="s">
        <v>2</v>
      </c>
      <c r="C1756" t="str">
        <f>LEFT(Table4[[#This Row],[Policy Type]],1)</f>
        <v>1</v>
      </c>
    </row>
    <row r="1757" spans="1:3" x14ac:dyDescent="0.25">
      <c r="A1757">
        <v>259065</v>
      </c>
      <c r="B1757" t="s">
        <v>2</v>
      </c>
      <c r="C1757" t="str">
        <f>LEFT(Table4[[#This Row],[Policy Type]],1)</f>
        <v>1</v>
      </c>
    </row>
    <row r="1758" spans="1:3" x14ac:dyDescent="0.25">
      <c r="A1758">
        <v>260257</v>
      </c>
      <c r="B1758" t="s">
        <v>3</v>
      </c>
      <c r="C1758" t="str">
        <f>LEFT(Table4[[#This Row],[Policy Type]],1)</f>
        <v>2</v>
      </c>
    </row>
    <row r="1759" spans="1:3" x14ac:dyDescent="0.25">
      <c r="A1759">
        <v>260259</v>
      </c>
      <c r="B1759" t="s">
        <v>2</v>
      </c>
      <c r="C1759" t="str">
        <f>LEFT(Table4[[#This Row],[Policy Type]],1)</f>
        <v>1</v>
      </c>
    </row>
    <row r="1760" spans="1:3" x14ac:dyDescent="0.25">
      <c r="A1760">
        <v>260268</v>
      </c>
      <c r="B1760" t="s">
        <v>3</v>
      </c>
      <c r="C1760" t="str">
        <f>LEFT(Table4[[#This Row],[Policy Type]],1)</f>
        <v>2</v>
      </c>
    </row>
    <row r="1761" spans="1:3" x14ac:dyDescent="0.25">
      <c r="A1761">
        <v>260258</v>
      </c>
      <c r="B1761" t="s">
        <v>3</v>
      </c>
      <c r="C1761" t="str">
        <f>LEFT(Table4[[#This Row],[Policy Type]],1)</f>
        <v>2</v>
      </c>
    </row>
    <row r="1762" spans="1:3" x14ac:dyDescent="0.25">
      <c r="A1762">
        <v>260266</v>
      </c>
      <c r="B1762" t="s">
        <v>2</v>
      </c>
      <c r="C1762" t="str">
        <f>LEFT(Table4[[#This Row],[Policy Type]],1)</f>
        <v>1</v>
      </c>
    </row>
    <row r="1763" spans="1:3" x14ac:dyDescent="0.25">
      <c r="A1763">
        <v>260265</v>
      </c>
      <c r="B1763" t="s">
        <v>3</v>
      </c>
      <c r="C1763" t="str">
        <f>LEFT(Table4[[#This Row],[Policy Type]],1)</f>
        <v>2</v>
      </c>
    </row>
    <row r="1764" spans="1:3" x14ac:dyDescent="0.25">
      <c r="A1764">
        <v>223900</v>
      </c>
      <c r="B1764" t="s">
        <v>2</v>
      </c>
      <c r="C1764" t="str">
        <f>LEFT(Table4[[#This Row],[Policy Type]],1)</f>
        <v>1</v>
      </c>
    </row>
    <row r="1765" spans="1:3" x14ac:dyDescent="0.25">
      <c r="A1765">
        <v>258934</v>
      </c>
      <c r="B1765" t="s">
        <v>2</v>
      </c>
      <c r="C1765" t="str">
        <f>LEFT(Table4[[#This Row],[Policy Type]],1)</f>
        <v>1</v>
      </c>
    </row>
    <row r="1766" spans="1:3" x14ac:dyDescent="0.25">
      <c r="A1766">
        <v>260278</v>
      </c>
      <c r="B1766" t="s">
        <v>3</v>
      </c>
      <c r="C1766" t="str">
        <f>LEFT(Table4[[#This Row],[Policy Type]],1)</f>
        <v>2</v>
      </c>
    </row>
    <row r="1767" spans="1:3" x14ac:dyDescent="0.25">
      <c r="A1767">
        <v>260274</v>
      </c>
      <c r="B1767" t="s">
        <v>3</v>
      </c>
      <c r="C1767" t="str">
        <f>LEFT(Table4[[#This Row],[Policy Type]],1)</f>
        <v>2</v>
      </c>
    </row>
    <row r="1768" spans="1:3" x14ac:dyDescent="0.25">
      <c r="A1768">
        <v>260281</v>
      </c>
      <c r="B1768" t="s">
        <v>2</v>
      </c>
      <c r="C1768" t="str">
        <f>LEFT(Table4[[#This Row],[Policy Type]],1)</f>
        <v>1</v>
      </c>
    </row>
    <row r="1769" spans="1:3" x14ac:dyDescent="0.25">
      <c r="A1769">
        <v>260284</v>
      </c>
      <c r="B1769" t="s">
        <v>3</v>
      </c>
      <c r="C1769" t="str">
        <f>LEFT(Table4[[#This Row],[Policy Type]],1)</f>
        <v>2</v>
      </c>
    </row>
    <row r="1770" spans="1:3" x14ac:dyDescent="0.25">
      <c r="A1770">
        <v>260286</v>
      </c>
      <c r="B1770" t="s">
        <v>2</v>
      </c>
      <c r="C1770" t="str">
        <f>LEFT(Table4[[#This Row],[Policy Type]],1)</f>
        <v>1</v>
      </c>
    </row>
    <row r="1771" spans="1:3" x14ac:dyDescent="0.25">
      <c r="A1771">
        <v>260287</v>
      </c>
      <c r="B1771" t="s">
        <v>3</v>
      </c>
      <c r="C1771" t="str">
        <f>LEFT(Table4[[#This Row],[Policy Type]],1)</f>
        <v>2</v>
      </c>
    </row>
    <row r="1772" spans="1:3" x14ac:dyDescent="0.25">
      <c r="A1772">
        <v>260290</v>
      </c>
      <c r="B1772" t="s">
        <v>2</v>
      </c>
      <c r="C1772" t="str">
        <f>LEFT(Table4[[#This Row],[Policy Type]],1)</f>
        <v>1</v>
      </c>
    </row>
    <row r="1773" spans="1:3" x14ac:dyDescent="0.25">
      <c r="A1773">
        <v>260288</v>
      </c>
      <c r="B1773" t="s">
        <v>3</v>
      </c>
      <c r="C1773" t="str">
        <f>LEFT(Table4[[#This Row],[Policy Type]],1)</f>
        <v>2</v>
      </c>
    </row>
    <row r="1774" spans="1:3" x14ac:dyDescent="0.25">
      <c r="A1774">
        <v>260289</v>
      </c>
      <c r="B1774" t="s">
        <v>2</v>
      </c>
      <c r="C1774" t="str">
        <f>LEFT(Table4[[#This Row],[Policy Type]],1)</f>
        <v>1</v>
      </c>
    </row>
    <row r="1775" spans="1:3" x14ac:dyDescent="0.25">
      <c r="A1775">
        <v>257295</v>
      </c>
      <c r="B1775" t="s">
        <v>2</v>
      </c>
      <c r="C1775" t="str">
        <f>LEFT(Table4[[#This Row],[Policy Type]],1)</f>
        <v>1</v>
      </c>
    </row>
    <row r="1776" spans="1:3" x14ac:dyDescent="0.25">
      <c r="A1776">
        <v>260291</v>
      </c>
      <c r="B1776" t="s">
        <v>3</v>
      </c>
      <c r="C1776" t="str">
        <f>LEFT(Table4[[#This Row],[Policy Type]],1)</f>
        <v>2</v>
      </c>
    </row>
    <row r="1777" spans="1:3" x14ac:dyDescent="0.25">
      <c r="A1777">
        <v>260301</v>
      </c>
      <c r="B1777" t="s">
        <v>2</v>
      </c>
      <c r="C1777" t="str">
        <f>LEFT(Table4[[#This Row],[Policy Type]],1)</f>
        <v>1</v>
      </c>
    </row>
    <row r="1778" spans="1:3" x14ac:dyDescent="0.25">
      <c r="A1778">
        <v>260300</v>
      </c>
      <c r="B1778" t="s">
        <v>3</v>
      </c>
      <c r="C1778" t="str">
        <f>LEFT(Table4[[#This Row],[Policy Type]],1)</f>
        <v>2</v>
      </c>
    </row>
    <row r="1779" spans="1:3" x14ac:dyDescent="0.25">
      <c r="A1779">
        <v>260294</v>
      </c>
      <c r="B1779" t="s">
        <v>2</v>
      </c>
      <c r="C1779" t="str">
        <f>LEFT(Table4[[#This Row],[Policy Type]],1)</f>
        <v>1</v>
      </c>
    </row>
    <row r="1780" spans="1:3" x14ac:dyDescent="0.25">
      <c r="A1780">
        <v>260293</v>
      </c>
      <c r="B1780" t="s">
        <v>2</v>
      </c>
      <c r="C1780" t="str">
        <f>LEFT(Table4[[#This Row],[Policy Type]],1)</f>
        <v>1</v>
      </c>
    </row>
    <row r="1781" spans="1:3" x14ac:dyDescent="0.25">
      <c r="A1781">
        <v>257330</v>
      </c>
      <c r="B1781" t="s">
        <v>2</v>
      </c>
      <c r="C1781" t="str">
        <f>LEFT(Table4[[#This Row],[Policy Type]],1)</f>
        <v>1</v>
      </c>
    </row>
    <row r="1782" spans="1:3" x14ac:dyDescent="0.25">
      <c r="A1782">
        <v>230308</v>
      </c>
      <c r="B1782" t="s">
        <v>2</v>
      </c>
      <c r="C1782" t="str">
        <f>LEFT(Table4[[#This Row],[Policy Type]],1)</f>
        <v>1</v>
      </c>
    </row>
    <row r="1783" spans="1:3" x14ac:dyDescent="0.25">
      <c r="A1783">
        <v>193519</v>
      </c>
      <c r="B1783" t="s">
        <v>3</v>
      </c>
      <c r="C1783" t="str">
        <f>LEFT(Table4[[#This Row],[Policy Type]],1)</f>
        <v>2</v>
      </c>
    </row>
    <row r="1784" spans="1:3" x14ac:dyDescent="0.25">
      <c r="A1784">
        <v>195167</v>
      </c>
      <c r="B1784" t="s">
        <v>2</v>
      </c>
      <c r="C1784" t="str">
        <f>LEFT(Table4[[#This Row],[Policy Type]],1)</f>
        <v>1</v>
      </c>
    </row>
    <row r="1785" spans="1:3" x14ac:dyDescent="0.25">
      <c r="A1785">
        <v>212488</v>
      </c>
      <c r="B1785" t="s">
        <v>2</v>
      </c>
      <c r="C1785" t="str">
        <f>LEFT(Table4[[#This Row],[Policy Type]],1)</f>
        <v>1</v>
      </c>
    </row>
    <row r="1786" spans="1:3" x14ac:dyDescent="0.25">
      <c r="A1786">
        <v>256414</v>
      </c>
      <c r="B1786" t="s">
        <v>3</v>
      </c>
      <c r="C1786" t="str">
        <f>LEFT(Table4[[#This Row],[Policy Type]],1)</f>
        <v>2</v>
      </c>
    </row>
    <row r="1787" spans="1:3" x14ac:dyDescent="0.25">
      <c r="A1787">
        <v>260305</v>
      </c>
      <c r="B1787" t="s">
        <v>3</v>
      </c>
      <c r="C1787" t="str">
        <f>LEFT(Table4[[#This Row],[Policy Type]],1)</f>
        <v>2</v>
      </c>
    </row>
    <row r="1788" spans="1:3" x14ac:dyDescent="0.25">
      <c r="A1788">
        <v>260313</v>
      </c>
      <c r="B1788" t="s">
        <v>3</v>
      </c>
      <c r="C1788" t="str">
        <f>LEFT(Table4[[#This Row],[Policy Type]],1)</f>
        <v>2</v>
      </c>
    </row>
    <row r="1789" spans="1:3" x14ac:dyDescent="0.25">
      <c r="A1789">
        <v>260316</v>
      </c>
      <c r="B1789" t="s">
        <v>2</v>
      </c>
      <c r="C1789" t="str">
        <f>LEFT(Table4[[#This Row],[Policy Type]],1)</f>
        <v>1</v>
      </c>
    </row>
    <row r="1790" spans="1:3" x14ac:dyDescent="0.25">
      <c r="A1790">
        <v>260309</v>
      </c>
      <c r="B1790" t="s">
        <v>2</v>
      </c>
      <c r="C1790" t="str">
        <f>LEFT(Table4[[#This Row],[Policy Type]],1)</f>
        <v>1</v>
      </c>
    </row>
    <row r="1791" spans="1:3" x14ac:dyDescent="0.25">
      <c r="A1791">
        <v>260307</v>
      </c>
      <c r="B1791" t="s">
        <v>2</v>
      </c>
      <c r="C1791" t="str">
        <f>LEFT(Table4[[#This Row],[Policy Type]],1)</f>
        <v>1</v>
      </c>
    </row>
    <row r="1792" spans="1:3" x14ac:dyDescent="0.25">
      <c r="A1792">
        <v>260312</v>
      </c>
      <c r="B1792" t="s">
        <v>3</v>
      </c>
      <c r="C1792" t="str">
        <f>LEFT(Table4[[#This Row],[Policy Type]],1)</f>
        <v>2</v>
      </c>
    </row>
    <row r="1793" spans="1:3" x14ac:dyDescent="0.25">
      <c r="A1793">
        <v>260319</v>
      </c>
      <c r="B1793" t="s">
        <v>3</v>
      </c>
      <c r="C1793" t="str">
        <f>LEFT(Table4[[#This Row],[Policy Type]],1)</f>
        <v>2</v>
      </c>
    </row>
    <row r="1794" spans="1:3" x14ac:dyDescent="0.25">
      <c r="A1794">
        <v>260314</v>
      </c>
      <c r="B1794" t="s">
        <v>2</v>
      </c>
      <c r="C1794" t="str">
        <f>LEFT(Table4[[#This Row],[Policy Type]],1)</f>
        <v>1</v>
      </c>
    </row>
    <row r="1795" spans="1:3" x14ac:dyDescent="0.25">
      <c r="A1795">
        <v>260317</v>
      </c>
      <c r="B1795" t="s">
        <v>3</v>
      </c>
      <c r="C1795" t="str">
        <f>LEFT(Table4[[#This Row],[Policy Type]],1)</f>
        <v>2</v>
      </c>
    </row>
    <row r="1796" spans="1:3" x14ac:dyDescent="0.25">
      <c r="A1796">
        <v>260318</v>
      </c>
      <c r="B1796" t="s">
        <v>3</v>
      </c>
      <c r="C1796" t="str">
        <f>LEFT(Table4[[#This Row],[Policy Type]],1)</f>
        <v>2</v>
      </c>
    </row>
    <row r="1797" spans="1:3" x14ac:dyDescent="0.25">
      <c r="A1797">
        <v>260323</v>
      </c>
      <c r="B1797" t="s">
        <v>3</v>
      </c>
      <c r="C1797" t="str">
        <f>LEFT(Table4[[#This Row],[Policy Type]],1)</f>
        <v>2</v>
      </c>
    </row>
    <row r="1798" spans="1:3" x14ac:dyDescent="0.25">
      <c r="A1798">
        <v>255340</v>
      </c>
      <c r="B1798" t="s">
        <v>3</v>
      </c>
      <c r="C1798" t="str">
        <f>LEFT(Table4[[#This Row],[Policy Type]],1)</f>
        <v>2</v>
      </c>
    </row>
    <row r="1799" spans="1:3" x14ac:dyDescent="0.25">
      <c r="A1799">
        <v>222028</v>
      </c>
      <c r="B1799" t="s">
        <v>2</v>
      </c>
      <c r="C1799" t="str">
        <f>LEFT(Table4[[#This Row],[Policy Type]],1)</f>
        <v>1</v>
      </c>
    </row>
    <row r="1800" spans="1:3" x14ac:dyDescent="0.25">
      <c r="A1800">
        <v>259665</v>
      </c>
      <c r="B1800" t="s">
        <v>3</v>
      </c>
      <c r="C1800" t="str">
        <f>LEFT(Table4[[#This Row],[Policy Type]],1)</f>
        <v>2</v>
      </c>
    </row>
    <row r="1801" spans="1:3" x14ac:dyDescent="0.25">
      <c r="A1801">
        <v>232084</v>
      </c>
      <c r="B1801" t="s">
        <v>2</v>
      </c>
      <c r="C1801" t="str">
        <f>LEFT(Table4[[#This Row],[Policy Type]],1)</f>
        <v>1</v>
      </c>
    </row>
    <row r="1802" spans="1:3" x14ac:dyDescent="0.25">
      <c r="A1802">
        <v>260334</v>
      </c>
      <c r="B1802" t="s">
        <v>3</v>
      </c>
      <c r="C1802" t="str">
        <f>LEFT(Table4[[#This Row],[Policy Type]],1)</f>
        <v>2</v>
      </c>
    </row>
    <row r="1803" spans="1:3" x14ac:dyDescent="0.25">
      <c r="A1803">
        <v>260333</v>
      </c>
      <c r="B1803" t="s">
        <v>3</v>
      </c>
      <c r="C1803" t="str">
        <f>LEFT(Table4[[#This Row],[Policy Type]],1)</f>
        <v>2</v>
      </c>
    </row>
    <row r="1804" spans="1:3" x14ac:dyDescent="0.25">
      <c r="A1804">
        <v>260340</v>
      </c>
      <c r="B1804" t="s">
        <v>3</v>
      </c>
      <c r="C1804" t="str">
        <f>LEFT(Table4[[#This Row],[Policy Type]],1)</f>
        <v>2</v>
      </c>
    </row>
    <row r="1805" spans="1:3" x14ac:dyDescent="0.25">
      <c r="A1805">
        <v>259505</v>
      </c>
      <c r="B1805" t="s">
        <v>3</v>
      </c>
      <c r="C1805" t="str">
        <f>LEFT(Table4[[#This Row],[Policy Type]],1)</f>
        <v>2</v>
      </c>
    </row>
    <row r="1806" spans="1:3" x14ac:dyDescent="0.25">
      <c r="A1806">
        <v>169746</v>
      </c>
      <c r="B1806" t="s">
        <v>2</v>
      </c>
      <c r="C1806" t="str">
        <f>LEFT(Table4[[#This Row],[Policy Type]],1)</f>
        <v>1</v>
      </c>
    </row>
    <row r="1807" spans="1:3" x14ac:dyDescent="0.25">
      <c r="A1807">
        <v>260337</v>
      </c>
      <c r="B1807" t="s">
        <v>3</v>
      </c>
      <c r="C1807" t="str">
        <f>LEFT(Table4[[#This Row],[Policy Type]],1)</f>
        <v>2</v>
      </c>
    </row>
    <row r="1808" spans="1:3" x14ac:dyDescent="0.25">
      <c r="A1808">
        <v>260338</v>
      </c>
      <c r="B1808" t="s">
        <v>2</v>
      </c>
      <c r="C1808" t="str">
        <f>LEFT(Table4[[#This Row],[Policy Type]],1)</f>
        <v>1</v>
      </c>
    </row>
    <row r="1809" spans="1:3" x14ac:dyDescent="0.25">
      <c r="A1809">
        <v>260343</v>
      </c>
      <c r="B1809" t="s">
        <v>3</v>
      </c>
      <c r="C1809" t="str">
        <f>LEFT(Table4[[#This Row],[Policy Type]],1)</f>
        <v>2</v>
      </c>
    </row>
    <row r="1810" spans="1:3" x14ac:dyDescent="0.25">
      <c r="A1810">
        <v>260339</v>
      </c>
      <c r="B1810" t="s">
        <v>2</v>
      </c>
      <c r="C1810" t="str">
        <f>LEFT(Table4[[#This Row],[Policy Type]],1)</f>
        <v>1</v>
      </c>
    </row>
    <row r="1811" spans="1:3" x14ac:dyDescent="0.25">
      <c r="A1811">
        <v>255556</v>
      </c>
      <c r="B1811" t="s">
        <v>2</v>
      </c>
      <c r="C1811" t="str">
        <f>LEFT(Table4[[#This Row],[Policy Type]],1)</f>
        <v>1</v>
      </c>
    </row>
    <row r="1812" spans="1:3" x14ac:dyDescent="0.25">
      <c r="A1812">
        <v>253096</v>
      </c>
      <c r="B1812" t="s">
        <v>3</v>
      </c>
      <c r="C1812" t="str">
        <f>LEFT(Table4[[#This Row],[Policy Type]],1)</f>
        <v>2</v>
      </c>
    </row>
    <row r="1813" spans="1:3" x14ac:dyDescent="0.25">
      <c r="A1813">
        <v>202909</v>
      </c>
      <c r="B1813" t="s">
        <v>3</v>
      </c>
      <c r="C1813" t="str">
        <f>LEFT(Table4[[#This Row],[Policy Type]],1)</f>
        <v>2</v>
      </c>
    </row>
    <row r="1814" spans="1:3" x14ac:dyDescent="0.25">
      <c r="A1814">
        <v>260352</v>
      </c>
      <c r="B1814" t="s">
        <v>3</v>
      </c>
      <c r="C1814" t="str">
        <f>LEFT(Table4[[#This Row],[Policy Type]],1)</f>
        <v>2</v>
      </c>
    </row>
    <row r="1815" spans="1:3" x14ac:dyDescent="0.25">
      <c r="A1815">
        <v>260356</v>
      </c>
      <c r="B1815" t="s">
        <v>3</v>
      </c>
      <c r="C1815" t="str">
        <f>LEFT(Table4[[#This Row],[Policy Type]],1)</f>
        <v>2</v>
      </c>
    </row>
    <row r="1816" spans="1:3" x14ac:dyDescent="0.25">
      <c r="A1816">
        <v>260353</v>
      </c>
      <c r="B1816" t="s">
        <v>2</v>
      </c>
      <c r="C1816" t="str">
        <f>LEFT(Table4[[#This Row],[Policy Type]],1)</f>
        <v>1</v>
      </c>
    </row>
    <row r="1817" spans="1:3" x14ac:dyDescent="0.25">
      <c r="A1817">
        <v>260362</v>
      </c>
      <c r="B1817" t="s">
        <v>2</v>
      </c>
      <c r="C1817" t="str">
        <f>LEFT(Table4[[#This Row],[Policy Type]],1)</f>
        <v>1</v>
      </c>
    </row>
    <row r="1818" spans="1:3" x14ac:dyDescent="0.25">
      <c r="A1818">
        <v>260363</v>
      </c>
      <c r="B1818" t="s">
        <v>2</v>
      </c>
      <c r="C1818" t="str">
        <f>LEFT(Table4[[#This Row],[Policy Type]],1)</f>
        <v>1</v>
      </c>
    </row>
    <row r="1819" spans="1:3" x14ac:dyDescent="0.25">
      <c r="A1819">
        <v>260361</v>
      </c>
      <c r="B1819" t="s">
        <v>2</v>
      </c>
      <c r="C1819" t="str">
        <f>LEFT(Table4[[#This Row],[Policy Type]],1)</f>
        <v>1</v>
      </c>
    </row>
    <row r="1820" spans="1:3" x14ac:dyDescent="0.25">
      <c r="A1820">
        <v>260358</v>
      </c>
      <c r="B1820" t="s">
        <v>3</v>
      </c>
      <c r="C1820" t="str">
        <f>LEFT(Table4[[#This Row],[Policy Type]],1)</f>
        <v>2</v>
      </c>
    </row>
    <row r="1821" spans="1:3" x14ac:dyDescent="0.25">
      <c r="A1821">
        <v>260357</v>
      </c>
      <c r="B1821" t="s">
        <v>3</v>
      </c>
      <c r="C1821" t="str">
        <f>LEFT(Table4[[#This Row],[Policy Type]],1)</f>
        <v>2</v>
      </c>
    </row>
    <row r="1822" spans="1:3" x14ac:dyDescent="0.25">
      <c r="A1822">
        <v>260367</v>
      </c>
      <c r="B1822" t="s">
        <v>2</v>
      </c>
      <c r="C1822" t="str">
        <f>LEFT(Table4[[#This Row],[Policy Type]],1)</f>
        <v>1</v>
      </c>
    </row>
    <row r="1823" spans="1:3" x14ac:dyDescent="0.25">
      <c r="A1823">
        <v>260359</v>
      </c>
      <c r="B1823" t="s">
        <v>3</v>
      </c>
      <c r="C1823" t="str">
        <f>LEFT(Table4[[#This Row],[Policy Type]],1)</f>
        <v>2</v>
      </c>
    </row>
    <row r="1824" spans="1:3" x14ac:dyDescent="0.25">
      <c r="A1824">
        <v>260360</v>
      </c>
      <c r="B1824" t="s">
        <v>2</v>
      </c>
      <c r="C1824" t="str">
        <f>LEFT(Table4[[#This Row],[Policy Type]],1)</f>
        <v>1</v>
      </c>
    </row>
    <row r="1825" spans="1:3" x14ac:dyDescent="0.25">
      <c r="A1825">
        <v>260366</v>
      </c>
      <c r="B1825" t="s">
        <v>3</v>
      </c>
      <c r="C1825" t="str">
        <f>LEFT(Table4[[#This Row],[Policy Type]],1)</f>
        <v>2</v>
      </c>
    </row>
    <row r="1826" spans="1:3" x14ac:dyDescent="0.25">
      <c r="A1826">
        <v>256672</v>
      </c>
      <c r="B1826" t="s">
        <v>3</v>
      </c>
      <c r="C1826" t="str">
        <f>LEFT(Table4[[#This Row],[Policy Type]],1)</f>
        <v>2</v>
      </c>
    </row>
    <row r="1827" spans="1:3" x14ac:dyDescent="0.25">
      <c r="A1827">
        <v>248261</v>
      </c>
      <c r="B1827" t="s">
        <v>3</v>
      </c>
      <c r="C1827" t="str">
        <f>LEFT(Table4[[#This Row],[Policy Type]],1)</f>
        <v>2</v>
      </c>
    </row>
    <row r="1828" spans="1:3" x14ac:dyDescent="0.25">
      <c r="A1828">
        <v>258704</v>
      </c>
      <c r="B1828" t="s">
        <v>2</v>
      </c>
      <c r="C1828" t="str">
        <f>LEFT(Table4[[#This Row],[Policy Type]],1)</f>
        <v>1</v>
      </c>
    </row>
    <row r="1829" spans="1:3" x14ac:dyDescent="0.25">
      <c r="A1829">
        <v>260195</v>
      </c>
      <c r="B1829" t="s">
        <v>3</v>
      </c>
      <c r="C1829" t="str">
        <f>LEFT(Table4[[#This Row],[Policy Type]],1)</f>
        <v>2</v>
      </c>
    </row>
    <row r="1830" spans="1:3" x14ac:dyDescent="0.25">
      <c r="A1830">
        <v>258904</v>
      </c>
      <c r="B1830" t="s">
        <v>3</v>
      </c>
      <c r="C1830" t="str">
        <f>LEFT(Table4[[#This Row],[Policy Type]],1)</f>
        <v>2</v>
      </c>
    </row>
    <row r="1831" spans="1:3" x14ac:dyDescent="0.25">
      <c r="A1831">
        <v>188489</v>
      </c>
      <c r="B1831" t="s">
        <v>2</v>
      </c>
      <c r="C1831" t="str">
        <f>LEFT(Table4[[#This Row],[Policy Type]],1)</f>
        <v>1</v>
      </c>
    </row>
    <row r="1832" spans="1:3" x14ac:dyDescent="0.25">
      <c r="A1832">
        <v>260373</v>
      </c>
      <c r="B1832" t="s">
        <v>3</v>
      </c>
      <c r="C1832" t="str">
        <f>LEFT(Table4[[#This Row],[Policy Type]],1)</f>
        <v>2</v>
      </c>
    </row>
    <row r="1833" spans="1:3" x14ac:dyDescent="0.25">
      <c r="A1833">
        <v>260375</v>
      </c>
      <c r="B1833" t="s">
        <v>3</v>
      </c>
      <c r="C1833" t="str">
        <f>LEFT(Table4[[#This Row],[Policy Type]],1)</f>
        <v>2</v>
      </c>
    </row>
    <row r="1834" spans="1:3" x14ac:dyDescent="0.25">
      <c r="A1834">
        <v>260372</v>
      </c>
      <c r="B1834" t="s">
        <v>3</v>
      </c>
      <c r="C1834" t="str">
        <f>LEFT(Table4[[#This Row],[Policy Type]],1)</f>
        <v>2</v>
      </c>
    </row>
    <row r="1835" spans="1:3" x14ac:dyDescent="0.25">
      <c r="A1835">
        <v>260370</v>
      </c>
      <c r="B1835" t="s">
        <v>2</v>
      </c>
      <c r="C1835" t="str">
        <f>LEFT(Table4[[#This Row],[Policy Type]],1)</f>
        <v>1</v>
      </c>
    </row>
    <row r="1836" spans="1:3" x14ac:dyDescent="0.25">
      <c r="A1836">
        <v>260376</v>
      </c>
      <c r="B1836" t="s">
        <v>3</v>
      </c>
      <c r="C1836" t="str">
        <f>LEFT(Table4[[#This Row],[Policy Type]],1)</f>
        <v>2</v>
      </c>
    </row>
    <row r="1837" spans="1:3" x14ac:dyDescent="0.25">
      <c r="A1837">
        <v>260371</v>
      </c>
      <c r="B1837" t="s">
        <v>2</v>
      </c>
      <c r="C1837" t="str">
        <f>LEFT(Table4[[#This Row],[Policy Type]],1)</f>
        <v>1</v>
      </c>
    </row>
    <row r="1838" spans="1:3" x14ac:dyDescent="0.25">
      <c r="A1838">
        <v>260374</v>
      </c>
      <c r="B1838" t="s">
        <v>3</v>
      </c>
      <c r="C1838" t="str">
        <f>LEFT(Table4[[#This Row],[Policy Type]],1)</f>
        <v>2</v>
      </c>
    </row>
    <row r="1839" spans="1:3" x14ac:dyDescent="0.25">
      <c r="A1839">
        <v>260377</v>
      </c>
      <c r="B1839" t="s">
        <v>3</v>
      </c>
      <c r="C1839" t="str">
        <f>LEFT(Table4[[#This Row],[Policy Type]],1)</f>
        <v>2</v>
      </c>
    </row>
    <row r="1840" spans="1:3" x14ac:dyDescent="0.25">
      <c r="A1840">
        <v>260378</v>
      </c>
      <c r="B1840" t="s">
        <v>3</v>
      </c>
      <c r="C1840" t="str">
        <f>LEFT(Table4[[#This Row],[Policy Type]],1)</f>
        <v>2</v>
      </c>
    </row>
    <row r="1841" spans="1:3" x14ac:dyDescent="0.25">
      <c r="A1841">
        <v>260379</v>
      </c>
      <c r="B1841" t="s">
        <v>2</v>
      </c>
      <c r="C1841" t="str">
        <f>LEFT(Table4[[#This Row],[Policy Type]],1)</f>
        <v>1</v>
      </c>
    </row>
    <row r="1842" spans="1:3" x14ac:dyDescent="0.25">
      <c r="A1842">
        <v>203711</v>
      </c>
      <c r="B1842" t="s">
        <v>2</v>
      </c>
      <c r="C1842" t="str">
        <f>LEFT(Table4[[#This Row],[Policy Type]],1)</f>
        <v>1</v>
      </c>
    </row>
    <row r="1843" spans="1:3" x14ac:dyDescent="0.25">
      <c r="A1843">
        <v>208372</v>
      </c>
      <c r="B1843" t="s">
        <v>2</v>
      </c>
      <c r="C1843" t="str">
        <f>LEFT(Table4[[#This Row],[Policy Type]],1)</f>
        <v>1</v>
      </c>
    </row>
    <row r="1844" spans="1:3" x14ac:dyDescent="0.25">
      <c r="A1844">
        <v>249971</v>
      </c>
      <c r="B1844" t="s">
        <v>3</v>
      </c>
      <c r="C1844" t="str">
        <f>LEFT(Table4[[#This Row],[Policy Type]],1)</f>
        <v>2</v>
      </c>
    </row>
    <row r="1845" spans="1:3" x14ac:dyDescent="0.25">
      <c r="A1845">
        <v>259447</v>
      </c>
      <c r="B1845" t="s">
        <v>2</v>
      </c>
      <c r="C1845" t="str">
        <f>LEFT(Table4[[#This Row],[Policy Type]],1)</f>
        <v>1</v>
      </c>
    </row>
    <row r="1846" spans="1:3" x14ac:dyDescent="0.25">
      <c r="A1846">
        <v>225881</v>
      </c>
      <c r="B1846" t="s">
        <v>3</v>
      </c>
      <c r="C1846" t="str">
        <f>LEFT(Table4[[#This Row],[Policy Type]],1)</f>
        <v>2</v>
      </c>
    </row>
    <row r="1847" spans="1:3" x14ac:dyDescent="0.25">
      <c r="A1847">
        <v>259862</v>
      </c>
      <c r="B1847" t="s">
        <v>2</v>
      </c>
      <c r="C1847" t="str">
        <f>LEFT(Table4[[#This Row],[Policy Type]],1)</f>
        <v>1</v>
      </c>
    </row>
    <row r="1848" spans="1:3" x14ac:dyDescent="0.25">
      <c r="A1848">
        <v>260382</v>
      </c>
      <c r="B1848" t="s">
        <v>3</v>
      </c>
      <c r="C1848" t="str">
        <f>LEFT(Table4[[#This Row],[Policy Type]],1)</f>
        <v>2</v>
      </c>
    </row>
    <row r="1849" spans="1:3" x14ac:dyDescent="0.25">
      <c r="A1849">
        <v>260383</v>
      </c>
      <c r="B1849" t="s">
        <v>3</v>
      </c>
      <c r="C1849" t="str">
        <f>LEFT(Table4[[#This Row],[Policy Type]],1)</f>
        <v>2</v>
      </c>
    </row>
    <row r="1850" spans="1:3" x14ac:dyDescent="0.25">
      <c r="A1850">
        <v>260380</v>
      </c>
      <c r="B1850" t="s">
        <v>3</v>
      </c>
      <c r="C1850" t="str">
        <f>LEFT(Table4[[#This Row],[Policy Type]],1)</f>
        <v>2</v>
      </c>
    </row>
    <row r="1851" spans="1:3" x14ac:dyDescent="0.25">
      <c r="A1851">
        <v>260381</v>
      </c>
      <c r="B1851" t="s">
        <v>3</v>
      </c>
      <c r="C1851" t="str">
        <f>LEFT(Table4[[#This Row],[Policy Type]],1)</f>
        <v>2</v>
      </c>
    </row>
    <row r="1852" spans="1:3" x14ac:dyDescent="0.25">
      <c r="A1852">
        <v>235838</v>
      </c>
      <c r="B1852" t="s">
        <v>2</v>
      </c>
      <c r="C1852" t="str">
        <f>LEFT(Table4[[#This Row],[Policy Type]],1)</f>
        <v>1</v>
      </c>
    </row>
    <row r="1853" spans="1:3" x14ac:dyDescent="0.25">
      <c r="A1853">
        <v>255555</v>
      </c>
      <c r="B1853" t="s">
        <v>3</v>
      </c>
      <c r="C1853" t="str">
        <f>LEFT(Table4[[#This Row],[Policy Type]],1)</f>
        <v>2</v>
      </c>
    </row>
    <row r="1854" spans="1:3" x14ac:dyDescent="0.25">
      <c r="A1854">
        <v>171793</v>
      </c>
      <c r="B1854" t="s">
        <v>3</v>
      </c>
      <c r="C1854" t="str">
        <f>LEFT(Table4[[#This Row],[Policy Type]],1)</f>
        <v>2</v>
      </c>
    </row>
    <row r="1855" spans="1:3" x14ac:dyDescent="0.25">
      <c r="A1855">
        <v>157014</v>
      </c>
      <c r="B1855" t="s">
        <v>2</v>
      </c>
      <c r="C1855" t="str">
        <f>LEFT(Table4[[#This Row],[Policy Type]],1)</f>
        <v>1</v>
      </c>
    </row>
    <row r="1856" spans="1:3" x14ac:dyDescent="0.25">
      <c r="A1856">
        <v>260385</v>
      </c>
      <c r="B1856" t="s">
        <v>2</v>
      </c>
      <c r="C1856" t="str">
        <f>LEFT(Table4[[#This Row],[Policy Type]],1)</f>
        <v>1</v>
      </c>
    </row>
    <row r="1857" spans="1:3" x14ac:dyDescent="0.25">
      <c r="A1857">
        <v>260384</v>
      </c>
      <c r="B1857" t="s">
        <v>3</v>
      </c>
      <c r="C1857" t="str">
        <f>LEFT(Table4[[#This Row],[Policy Type]],1)</f>
        <v>2</v>
      </c>
    </row>
    <row r="1858" spans="1:3" x14ac:dyDescent="0.25">
      <c r="A1858">
        <v>260387</v>
      </c>
      <c r="B1858" t="s">
        <v>2</v>
      </c>
      <c r="C1858" t="str">
        <f>LEFT(Table4[[#This Row],[Policy Type]],1)</f>
        <v>1</v>
      </c>
    </row>
    <row r="1859" spans="1:3" x14ac:dyDescent="0.25">
      <c r="A1859">
        <v>260388</v>
      </c>
      <c r="B1859" t="s">
        <v>3</v>
      </c>
      <c r="C1859" t="str">
        <f>LEFT(Table4[[#This Row],[Policy Type]],1)</f>
        <v>2</v>
      </c>
    </row>
    <row r="1860" spans="1:3" x14ac:dyDescent="0.25">
      <c r="A1860">
        <v>194638</v>
      </c>
      <c r="B1860" t="s">
        <v>2</v>
      </c>
      <c r="C1860" t="str">
        <f>LEFT(Table4[[#This Row],[Policy Type]],1)</f>
        <v>1</v>
      </c>
    </row>
    <row r="1861" spans="1:3" x14ac:dyDescent="0.25">
      <c r="A1861">
        <v>211233</v>
      </c>
      <c r="B1861" t="s">
        <v>2</v>
      </c>
      <c r="C1861" t="str">
        <f>LEFT(Table4[[#This Row],[Policy Type]],1)</f>
        <v>1</v>
      </c>
    </row>
    <row r="1862" spans="1:3" x14ac:dyDescent="0.25">
      <c r="A1862">
        <v>260389</v>
      </c>
      <c r="B1862" t="s">
        <v>3</v>
      </c>
      <c r="C1862" t="str">
        <f>LEFT(Table4[[#This Row],[Policy Type]],1)</f>
        <v>2</v>
      </c>
    </row>
    <row r="1863" spans="1:3" x14ac:dyDescent="0.25">
      <c r="A1863">
        <v>202432</v>
      </c>
      <c r="B1863" t="s">
        <v>2</v>
      </c>
      <c r="C1863" t="str">
        <f>LEFT(Table4[[#This Row],[Policy Type]],1)</f>
        <v>1</v>
      </c>
    </row>
    <row r="1864" spans="1:3" x14ac:dyDescent="0.25">
      <c r="A1864">
        <v>258762</v>
      </c>
      <c r="B1864" t="s">
        <v>2</v>
      </c>
      <c r="C1864" t="str">
        <f>LEFT(Table4[[#This Row],[Policy Type]],1)</f>
        <v>1</v>
      </c>
    </row>
    <row r="1865" spans="1:3" x14ac:dyDescent="0.25">
      <c r="A1865">
        <v>182851</v>
      </c>
      <c r="B1865" t="s">
        <v>3</v>
      </c>
      <c r="C1865" t="str">
        <f>LEFT(Table4[[#This Row],[Policy Type]],1)</f>
        <v>2</v>
      </c>
    </row>
    <row r="1866" spans="1:3" x14ac:dyDescent="0.25">
      <c r="A1866">
        <v>240983</v>
      </c>
      <c r="B1866" t="s">
        <v>2</v>
      </c>
      <c r="C1866" t="str">
        <f>LEFT(Table4[[#This Row],[Policy Type]],1)</f>
        <v>1</v>
      </c>
    </row>
    <row r="1867" spans="1:3" x14ac:dyDescent="0.25">
      <c r="A1867">
        <v>218290</v>
      </c>
      <c r="B1867" t="s">
        <v>2</v>
      </c>
      <c r="C1867" t="str">
        <f>LEFT(Table4[[#This Row],[Policy Type]],1)</f>
        <v>1</v>
      </c>
    </row>
    <row r="1868" spans="1:3" x14ac:dyDescent="0.25">
      <c r="A1868">
        <v>254039</v>
      </c>
      <c r="B1868" t="s">
        <v>2</v>
      </c>
      <c r="C1868" t="str">
        <f>LEFT(Table4[[#This Row],[Policy Type]],1)</f>
        <v>1</v>
      </c>
    </row>
    <row r="1869" spans="1:3" x14ac:dyDescent="0.25">
      <c r="A1869">
        <v>255512</v>
      </c>
      <c r="B1869" t="s">
        <v>3</v>
      </c>
      <c r="C1869" t="str">
        <f>LEFT(Table4[[#This Row],[Policy Type]],1)</f>
        <v>2</v>
      </c>
    </row>
    <row r="1870" spans="1:3" x14ac:dyDescent="0.25">
      <c r="A1870">
        <v>256985</v>
      </c>
      <c r="B1870" t="s">
        <v>2</v>
      </c>
      <c r="C1870" t="str">
        <f>LEFT(Table4[[#This Row],[Policy Type]],1)</f>
        <v>1</v>
      </c>
    </row>
    <row r="1871" spans="1:3" x14ac:dyDescent="0.25">
      <c r="A1871">
        <v>258102</v>
      </c>
      <c r="B1871" t="s">
        <v>2</v>
      </c>
      <c r="C1871" t="str">
        <f>LEFT(Table4[[#This Row],[Policy Type]],1)</f>
        <v>1</v>
      </c>
    </row>
    <row r="1872" spans="1:3" x14ac:dyDescent="0.25">
      <c r="A1872">
        <v>244803</v>
      </c>
      <c r="B1872" t="s">
        <v>2</v>
      </c>
      <c r="C1872" t="str">
        <f>LEFT(Table4[[#This Row],[Policy Type]],1)</f>
        <v>1</v>
      </c>
    </row>
    <row r="1873" spans="1:3" x14ac:dyDescent="0.25">
      <c r="A1873">
        <v>251738</v>
      </c>
      <c r="B1873" t="s">
        <v>2</v>
      </c>
      <c r="C1873" t="str">
        <f>LEFT(Table4[[#This Row],[Policy Type]],1)</f>
        <v>1</v>
      </c>
    </row>
    <row r="1874" spans="1:3" x14ac:dyDescent="0.25">
      <c r="A1874">
        <v>260392</v>
      </c>
      <c r="B1874" t="s">
        <v>2</v>
      </c>
      <c r="C1874" t="str">
        <f>LEFT(Table4[[#This Row],[Policy Type]],1)</f>
        <v>1</v>
      </c>
    </row>
    <row r="1875" spans="1:3" x14ac:dyDescent="0.25">
      <c r="A1875">
        <v>259947</v>
      </c>
      <c r="B1875" t="s">
        <v>2</v>
      </c>
      <c r="C1875" t="str">
        <f>LEFT(Table4[[#This Row],[Policy Type]],1)</f>
        <v>1</v>
      </c>
    </row>
    <row r="1876" spans="1:3" x14ac:dyDescent="0.25">
      <c r="A1876">
        <v>260391</v>
      </c>
      <c r="B1876" t="s">
        <v>3</v>
      </c>
      <c r="C1876" t="str">
        <f>LEFT(Table4[[#This Row],[Policy Type]],1)</f>
        <v>2</v>
      </c>
    </row>
    <row r="1877" spans="1:3" x14ac:dyDescent="0.25">
      <c r="A1877">
        <v>260393</v>
      </c>
      <c r="B1877" t="s">
        <v>3</v>
      </c>
      <c r="C1877" t="str">
        <f>LEFT(Table4[[#This Row],[Policy Type]],1)</f>
        <v>2</v>
      </c>
    </row>
    <row r="1878" spans="1:3" x14ac:dyDescent="0.25">
      <c r="A1878">
        <v>260395</v>
      </c>
      <c r="B1878" t="s">
        <v>2</v>
      </c>
      <c r="C1878" t="str">
        <f>LEFT(Table4[[#This Row],[Policy Type]],1)</f>
        <v>1</v>
      </c>
    </row>
    <row r="1879" spans="1:3" x14ac:dyDescent="0.25">
      <c r="A1879">
        <v>232263</v>
      </c>
      <c r="B1879" t="s">
        <v>2</v>
      </c>
      <c r="C1879" t="str">
        <f>LEFT(Table4[[#This Row],[Policy Type]],1)</f>
        <v>1</v>
      </c>
    </row>
    <row r="1880" spans="1:3" x14ac:dyDescent="0.25">
      <c r="A1880">
        <v>256818</v>
      </c>
      <c r="B1880" t="s">
        <v>2</v>
      </c>
      <c r="C1880" t="str">
        <f>LEFT(Table4[[#This Row],[Policy Type]],1)</f>
        <v>1</v>
      </c>
    </row>
    <row r="1881" spans="1:3" x14ac:dyDescent="0.25">
      <c r="A1881">
        <v>258518</v>
      </c>
      <c r="B1881" t="s">
        <v>2</v>
      </c>
      <c r="C1881" t="str">
        <f>LEFT(Table4[[#This Row],[Policy Type]],1)</f>
        <v>1</v>
      </c>
    </row>
    <row r="1882" spans="1:3" x14ac:dyDescent="0.25">
      <c r="A1882">
        <v>259949</v>
      </c>
      <c r="B1882" t="s">
        <v>2</v>
      </c>
      <c r="C1882" t="str">
        <f>LEFT(Table4[[#This Row],[Policy Type]],1)</f>
        <v>1</v>
      </c>
    </row>
    <row r="1883" spans="1:3" x14ac:dyDescent="0.25">
      <c r="A1883">
        <v>167080</v>
      </c>
      <c r="B1883" t="s">
        <v>2</v>
      </c>
      <c r="C1883" t="str">
        <f>LEFT(Table4[[#This Row],[Policy Type]],1)</f>
        <v>1</v>
      </c>
    </row>
    <row r="1884" spans="1:3" x14ac:dyDescent="0.25">
      <c r="A1884">
        <v>233340</v>
      </c>
      <c r="B1884" t="s">
        <v>2</v>
      </c>
      <c r="C1884" t="str">
        <f>LEFT(Table4[[#This Row],[Policy Type]],1)</f>
        <v>1</v>
      </c>
    </row>
    <row r="1885" spans="1:3" x14ac:dyDescent="0.25">
      <c r="A1885">
        <v>239650</v>
      </c>
      <c r="B1885" t="s">
        <v>2</v>
      </c>
      <c r="C1885" t="str">
        <f>LEFT(Table4[[#This Row],[Policy Type]],1)</f>
        <v>1</v>
      </c>
    </row>
    <row r="1886" spans="1:3" x14ac:dyDescent="0.25">
      <c r="A1886">
        <v>260396</v>
      </c>
      <c r="B1886" t="s">
        <v>3</v>
      </c>
      <c r="C1886" t="str">
        <f>LEFT(Table4[[#This Row],[Policy Type]],1)</f>
        <v>2</v>
      </c>
    </row>
    <row r="1887" spans="1:3" x14ac:dyDescent="0.25">
      <c r="A1887">
        <v>255249</v>
      </c>
      <c r="B1887" t="s">
        <v>2</v>
      </c>
      <c r="C1887" t="str">
        <f>LEFT(Table4[[#This Row],[Policy Type]],1)</f>
        <v>1</v>
      </c>
    </row>
    <row r="1888" spans="1:3" x14ac:dyDescent="0.25">
      <c r="A1888">
        <v>185246</v>
      </c>
      <c r="B1888" t="s">
        <v>3</v>
      </c>
      <c r="C1888" t="str">
        <f>LEFT(Table4[[#This Row],[Policy Type]],1)</f>
        <v>2</v>
      </c>
    </row>
    <row r="1889" spans="1:3" x14ac:dyDescent="0.25">
      <c r="A1889">
        <v>260398</v>
      </c>
      <c r="B1889" t="s">
        <v>3</v>
      </c>
      <c r="C1889" t="str">
        <f>LEFT(Table4[[#This Row],[Policy Type]],1)</f>
        <v>2</v>
      </c>
    </row>
    <row r="1890" spans="1:3" x14ac:dyDescent="0.25">
      <c r="A1890">
        <v>260399</v>
      </c>
      <c r="B1890" t="s">
        <v>2</v>
      </c>
      <c r="C1890" t="str">
        <f>LEFT(Table4[[#This Row],[Policy Type]],1)</f>
        <v>1</v>
      </c>
    </row>
    <row r="1891" spans="1:3" x14ac:dyDescent="0.25">
      <c r="A1891">
        <v>260397</v>
      </c>
      <c r="B1891" t="s">
        <v>2</v>
      </c>
      <c r="C1891" t="str">
        <f>LEFT(Table4[[#This Row],[Policy Type]],1)</f>
        <v>1</v>
      </c>
    </row>
    <row r="1892" spans="1:3" x14ac:dyDescent="0.25">
      <c r="A1892">
        <v>257617</v>
      </c>
      <c r="B1892" t="s">
        <v>2</v>
      </c>
      <c r="C1892" t="str">
        <f>LEFT(Table4[[#This Row],[Policy Type]],1)</f>
        <v>1</v>
      </c>
    </row>
    <row r="1893" spans="1:3" x14ac:dyDescent="0.25">
      <c r="A1893">
        <v>260400</v>
      </c>
      <c r="B1893" t="s">
        <v>2</v>
      </c>
      <c r="C1893" t="str">
        <f>LEFT(Table4[[#This Row],[Policy Type]],1)</f>
        <v>1</v>
      </c>
    </row>
    <row r="1894" spans="1:3" x14ac:dyDescent="0.25">
      <c r="A1894">
        <v>260401</v>
      </c>
      <c r="B1894" t="s">
        <v>2</v>
      </c>
      <c r="C1894" t="str">
        <f>LEFT(Table4[[#This Row],[Policy Type]],1)</f>
        <v>1</v>
      </c>
    </row>
    <row r="1895" spans="1:3" x14ac:dyDescent="0.25">
      <c r="A1895">
        <v>256884</v>
      </c>
      <c r="B1895" t="s">
        <v>3</v>
      </c>
      <c r="C1895" t="str">
        <f>LEFT(Table4[[#This Row],[Policy Type]],1)</f>
        <v>2</v>
      </c>
    </row>
    <row r="1896" spans="1:3" x14ac:dyDescent="0.25">
      <c r="A1896">
        <v>256144</v>
      </c>
      <c r="B1896" t="s">
        <v>3</v>
      </c>
      <c r="C1896" t="str">
        <f>LEFT(Table4[[#This Row],[Policy Type]],1)</f>
        <v>2</v>
      </c>
    </row>
    <row r="1897" spans="1:3" x14ac:dyDescent="0.25">
      <c r="A1897">
        <v>253815</v>
      </c>
      <c r="B1897" t="s">
        <v>2</v>
      </c>
      <c r="C1897" t="str">
        <f>LEFT(Table4[[#This Row],[Policy Type]],1)</f>
        <v>1</v>
      </c>
    </row>
    <row r="1898" spans="1:3" x14ac:dyDescent="0.25">
      <c r="A1898">
        <v>260404</v>
      </c>
      <c r="B1898" t="s">
        <v>3</v>
      </c>
      <c r="C1898" t="str">
        <f>LEFT(Table4[[#This Row],[Policy Type]],1)</f>
        <v>2</v>
      </c>
    </row>
    <row r="1899" spans="1:3" x14ac:dyDescent="0.25">
      <c r="A1899">
        <v>260405</v>
      </c>
      <c r="B1899" t="s">
        <v>3</v>
      </c>
      <c r="C1899" t="str">
        <f>LEFT(Table4[[#This Row],[Policy Type]],1)</f>
        <v>2</v>
      </c>
    </row>
    <row r="1900" spans="1:3" x14ac:dyDescent="0.25">
      <c r="A1900">
        <v>255234</v>
      </c>
      <c r="B1900" t="s">
        <v>2</v>
      </c>
      <c r="C1900" t="str">
        <f>LEFT(Table4[[#This Row],[Policy Type]],1)</f>
        <v>1</v>
      </c>
    </row>
    <row r="1901" spans="1:3" x14ac:dyDescent="0.25">
      <c r="A1901">
        <v>260403</v>
      </c>
      <c r="B1901" t="s">
        <v>3</v>
      </c>
      <c r="C1901" t="str">
        <f>LEFT(Table4[[#This Row],[Policy Type]],1)</f>
        <v>2</v>
      </c>
    </row>
    <row r="1902" spans="1:3" x14ac:dyDescent="0.25">
      <c r="A1902">
        <v>260402</v>
      </c>
      <c r="B1902" t="s">
        <v>3</v>
      </c>
      <c r="C1902" t="str">
        <f>LEFT(Table4[[#This Row],[Policy Type]],1)</f>
        <v>2</v>
      </c>
    </row>
    <row r="1903" spans="1:3" x14ac:dyDescent="0.25">
      <c r="A1903">
        <v>224191</v>
      </c>
      <c r="B1903" t="s">
        <v>2</v>
      </c>
      <c r="C1903" t="str">
        <f>LEFT(Table4[[#This Row],[Policy Type]],1)</f>
        <v>1</v>
      </c>
    </row>
    <row r="1904" spans="1:3" x14ac:dyDescent="0.25">
      <c r="A1904">
        <v>260408</v>
      </c>
      <c r="B1904" t="s">
        <v>3</v>
      </c>
      <c r="C1904" t="str">
        <f>LEFT(Table4[[#This Row],[Policy Type]],1)</f>
        <v>2</v>
      </c>
    </row>
    <row r="1905" spans="1:3" x14ac:dyDescent="0.25">
      <c r="A1905">
        <v>260413</v>
      </c>
      <c r="B1905" t="s">
        <v>2</v>
      </c>
      <c r="C1905" t="str">
        <f>LEFT(Table4[[#This Row],[Policy Type]],1)</f>
        <v>1</v>
      </c>
    </row>
    <row r="1906" spans="1:3" x14ac:dyDescent="0.25">
      <c r="A1906">
        <v>260415</v>
      </c>
      <c r="B1906" t="s">
        <v>2</v>
      </c>
      <c r="C1906" t="str">
        <f>LEFT(Table4[[#This Row],[Policy Type]],1)</f>
        <v>1</v>
      </c>
    </row>
    <row r="1907" spans="1:3" x14ac:dyDescent="0.25">
      <c r="A1907">
        <v>260422</v>
      </c>
      <c r="B1907" t="s">
        <v>2</v>
      </c>
      <c r="C1907" t="str">
        <f>LEFT(Table4[[#This Row],[Policy Type]],1)</f>
        <v>1</v>
      </c>
    </row>
    <row r="1908" spans="1:3" x14ac:dyDescent="0.25">
      <c r="A1908">
        <v>260443</v>
      </c>
      <c r="B1908" t="s">
        <v>2</v>
      </c>
      <c r="C1908" t="str">
        <f>LEFT(Table4[[#This Row],[Policy Type]],1)</f>
        <v>1</v>
      </c>
    </row>
    <row r="1909" spans="1:3" x14ac:dyDescent="0.25">
      <c r="A1909">
        <v>260417</v>
      </c>
      <c r="B1909" t="s">
        <v>2</v>
      </c>
      <c r="C1909" t="str">
        <f>LEFT(Table4[[#This Row],[Policy Type]],1)</f>
        <v>1</v>
      </c>
    </row>
    <row r="1910" spans="1:3" x14ac:dyDescent="0.25">
      <c r="A1910">
        <v>260438</v>
      </c>
      <c r="B1910" t="s">
        <v>2</v>
      </c>
      <c r="C1910" t="str">
        <f>LEFT(Table4[[#This Row],[Policy Type]],1)</f>
        <v>1</v>
      </c>
    </row>
    <row r="1911" spans="1:3" x14ac:dyDescent="0.25">
      <c r="A1911">
        <v>260414</v>
      </c>
      <c r="B1911" t="s">
        <v>2</v>
      </c>
      <c r="C1911" t="str">
        <f>LEFT(Table4[[#This Row],[Policy Type]],1)</f>
        <v>1</v>
      </c>
    </row>
    <row r="1912" spans="1:3" x14ac:dyDescent="0.25">
      <c r="A1912">
        <v>260409</v>
      </c>
      <c r="B1912" t="s">
        <v>3</v>
      </c>
      <c r="C1912" t="str">
        <f>LEFT(Table4[[#This Row],[Policy Type]],1)</f>
        <v>2</v>
      </c>
    </row>
    <row r="1913" spans="1:3" x14ac:dyDescent="0.25">
      <c r="A1913">
        <v>260416</v>
      </c>
      <c r="B1913" t="s">
        <v>2</v>
      </c>
      <c r="C1913" t="str">
        <f>LEFT(Table4[[#This Row],[Policy Type]],1)</f>
        <v>1</v>
      </c>
    </row>
    <row r="1914" spans="1:3" x14ac:dyDescent="0.25">
      <c r="A1914">
        <v>260431</v>
      </c>
      <c r="B1914" t="s">
        <v>3</v>
      </c>
      <c r="C1914" t="str">
        <f>LEFT(Table4[[#This Row],[Policy Type]],1)</f>
        <v>2</v>
      </c>
    </row>
    <row r="1915" spans="1:3" x14ac:dyDescent="0.25">
      <c r="A1915">
        <v>260407</v>
      </c>
      <c r="B1915" t="s">
        <v>3</v>
      </c>
      <c r="C1915" t="str">
        <f>LEFT(Table4[[#This Row],[Policy Type]],1)</f>
        <v>2</v>
      </c>
    </row>
    <row r="1916" spans="1:3" x14ac:dyDescent="0.25">
      <c r="A1916">
        <v>260411</v>
      </c>
      <c r="B1916" t="s">
        <v>3</v>
      </c>
      <c r="C1916" t="str">
        <f>LEFT(Table4[[#This Row],[Policy Type]],1)</f>
        <v>2</v>
      </c>
    </row>
    <row r="1917" spans="1:3" x14ac:dyDescent="0.25">
      <c r="A1917">
        <v>260423</v>
      </c>
      <c r="B1917" t="s">
        <v>2</v>
      </c>
      <c r="C1917" t="str">
        <f>LEFT(Table4[[#This Row],[Policy Type]],1)</f>
        <v>1</v>
      </c>
    </row>
    <row r="1918" spans="1:3" x14ac:dyDescent="0.25">
      <c r="A1918">
        <v>260427</v>
      </c>
      <c r="B1918" t="s">
        <v>3</v>
      </c>
      <c r="C1918" t="str">
        <f>LEFT(Table4[[#This Row],[Policy Type]],1)</f>
        <v>2</v>
      </c>
    </row>
    <row r="1919" spans="1:3" x14ac:dyDescent="0.25">
      <c r="A1919">
        <v>260410</v>
      </c>
      <c r="B1919" t="s">
        <v>3</v>
      </c>
      <c r="C1919" t="str">
        <f>LEFT(Table4[[#This Row],[Policy Type]],1)</f>
        <v>2</v>
      </c>
    </row>
    <row r="1920" spans="1:3" x14ac:dyDescent="0.25">
      <c r="A1920">
        <v>260419</v>
      </c>
      <c r="B1920" t="s">
        <v>2</v>
      </c>
      <c r="C1920" t="str">
        <f>LEFT(Table4[[#This Row],[Policy Type]],1)</f>
        <v>1</v>
      </c>
    </row>
    <row r="1921" spans="1:3" x14ac:dyDescent="0.25">
      <c r="A1921">
        <v>260424</v>
      </c>
      <c r="B1921" t="s">
        <v>2</v>
      </c>
      <c r="C1921" t="str">
        <f>LEFT(Table4[[#This Row],[Policy Type]],1)</f>
        <v>1</v>
      </c>
    </row>
    <row r="1922" spans="1:3" x14ac:dyDescent="0.25">
      <c r="A1922">
        <v>260430</v>
      </c>
      <c r="B1922" t="s">
        <v>2</v>
      </c>
      <c r="C1922" t="str">
        <f>LEFT(Table4[[#This Row],[Policy Type]],1)</f>
        <v>1</v>
      </c>
    </row>
    <row r="1923" spans="1:3" x14ac:dyDescent="0.25">
      <c r="A1923">
        <v>260412</v>
      </c>
      <c r="B1923" t="s">
        <v>3</v>
      </c>
      <c r="C1923" t="str">
        <f>LEFT(Table4[[#This Row],[Policy Type]],1)</f>
        <v>2</v>
      </c>
    </row>
    <row r="1924" spans="1:3" x14ac:dyDescent="0.25">
      <c r="A1924">
        <v>260442</v>
      </c>
      <c r="B1924" t="s">
        <v>2</v>
      </c>
      <c r="C1924" t="str">
        <f>LEFT(Table4[[#This Row],[Policy Type]],1)</f>
        <v>1</v>
      </c>
    </row>
    <row r="1925" spans="1:3" x14ac:dyDescent="0.25">
      <c r="A1925">
        <v>260432</v>
      </c>
      <c r="B1925" t="s">
        <v>3</v>
      </c>
      <c r="C1925" t="str">
        <f>LEFT(Table4[[#This Row],[Policy Type]],1)</f>
        <v>2</v>
      </c>
    </row>
    <row r="1926" spans="1:3" x14ac:dyDescent="0.25">
      <c r="A1926">
        <v>260434</v>
      </c>
      <c r="B1926" t="s">
        <v>3</v>
      </c>
      <c r="C1926" t="str">
        <f>LEFT(Table4[[#This Row],[Policy Type]],1)</f>
        <v>2</v>
      </c>
    </row>
    <row r="1927" spans="1:3" x14ac:dyDescent="0.25">
      <c r="A1927">
        <v>260421</v>
      </c>
      <c r="B1927" t="s">
        <v>3</v>
      </c>
      <c r="C1927" t="str">
        <f>LEFT(Table4[[#This Row],[Policy Type]],1)</f>
        <v>2</v>
      </c>
    </row>
    <row r="1928" spans="1:3" x14ac:dyDescent="0.25">
      <c r="A1928">
        <v>260418</v>
      </c>
      <c r="B1928" t="s">
        <v>2</v>
      </c>
      <c r="C1928" t="str">
        <f>LEFT(Table4[[#This Row],[Policy Type]],1)</f>
        <v>1</v>
      </c>
    </row>
    <row r="1929" spans="1:3" x14ac:dyDescent="0.25">
      <c r="A1929">
        <v>260426</v>
      </c>
      <c r="B1929" t="s">
        <v>3</v>
      </c>
      <c r="C1929" t="str">
        <f>LEFT(Table4[[#This Row],[Policy Type]],1)</f>
        <v>2</v>
      </c>
    </row>
    <row r="1930" spans="1:3" x14ac:dyDescent="0.25">
      <c r="A1930">
        <v>260441</v>
      </c>
      <c r="B1930" t="s">
        <v>2</v>
      </c>
      <c r="C1930" t="str">
        <f>LEFT(Table4[[#This Row],[Policy Type]],1)</f>
        <v>1</v>
      </c>
    </row>
    <row r="1931" spans="1:3" x14ac:dyDescent="0.25">
      <c r="A1931">
        <v>260433</v>
      </c>
      <c r="B1931" t="s">
        <v>3</v>
      </c>
      <c r="C1931" t="str">
        <f>LEFT(Table4[[#This Row],[Policy Type]],1)</f>
        <v>2</v>
      </c>
    </row>
    <row r="1932" spans="1:3" x14ac:dyDescent="0.25">
      <c r="A1932">
        <v>260420</v>
      </c>
      <c r="B1932" t="s">
        <v>2</v>
      </c>
      <c r="C1932" t="str">
        <f>LEFT(Table4[[#This Row],[Policy Type]],1)</f>
        <v>1</v>
      </c>
    </row>
    <row r="1933" spans="1:3" x14ac:dyDescent="0.25">
      <c r="A1933">
        <v>260436</v>
      </c>
      <c r="B1933" t="s">
        <v>2</v>
      </c>
      <c r="C1933" t="str">
        <f>LEFT(Table4[[#This Row],[Policy Type]],1)</f>
        <v>1</v>
      </c>
    </row>
    <row r="1934" spans="1:3" x14ac:dyDescent="0.25">
      <c r="A1934">
        <v>260439</v>
      </c>
      <c r="B1934" t="s">
        <v>2</v>
      </c>
      <c r="C1934" t="str">
        <f>LEFT(Table4[[#This Row],[Policy Type]],1)</f>
        <v>1</v>
      </c>
    </row>
    <row r="1935" spans="1:3" x14ac:dyDescent="0.25">
      <c r="A1935">
        <v>260440</v>
      </c>
      <c r="B1935" t="s">
        <v>2</v>
      </c>
      <c r="C1935" t="str">
        <f>LEFT(Table4[[#This Row],[Policy Type]],1)</f>
        <v>1</v>
      </c>
    </row>
    <row r="1936" spans="1:3" x14ac:dyDescent="0.25">
      <c r="A1936">
        <v>245797</v>
      </c>
      <c r="B1936" t="s">
        <v>2</v>
      </c>
      <c r="C1936" t="str">
        <f>LEFT(Table4[[#This Row],[Policy Type]],1)</f>
        <v>1</v>
      </c>
    </row>
    <row r="1937" spans="1:3" x14ac:dyDescent="0.25">
      <c r="A1937">
        <v>260448</v>
      </c>
      <c r="B1937" t="s">
        <v>3</v>
      </c>
      <c r="C1937" t="str">
        <f>LEFT(Table4[[#This Row],[Policy Type]],1)</f>
        <v>2</v>
      </c>
    </row>
    <row r="1938" spans="1:3" x14ac:dyDescent="0.25">
      <c r="A1938">
        <v>260445</v>
      </c>
      <c r="B1938" t="s">
        <v>3</v>
      </c>
      <c r="C1938" t="str">
        <f>LEFT(Table4[[#This Row],[Policy Type]],1)</f>
        <v>2</v>
      </c>
    </row>
    <row r="1939" spans="1:3" x14ac:dyDescent="0.25">
      <c r="A1939">
        <v>260254</v>
      </c>
      <c r="B1939" t="s">
        <v>2</v>
      </c>
      <c r="C1939" t="str">
        <f>LEFT(Table4[[#This Row],[Policy Type]],1)</f>
        <v>1</v>
      </c>
    </row>
    <row r="1940" spans="1:3" x14ac:dyDescent="0.25">
      <c r="A1940">
        <v>260447</v>
      </c>
      <c r="B1940" t="s">
        <v>3</v>
      </c>
      <c r="C1940" t="str">
        <f>LEFT(Table4[[#This Row],[Policy Type]],1)</f>
        <v>2</v>
      </c>
    </row>
    <row r="1941" spans="1:3" x14ac:dyDescent="0.25">
      <c r="A1941">
        <v>260444</v>
      </c>
      <c r="B1941" t="s">
        <v>3</v>
      </c>
      <c r="C1941" t="str">
        <f>LEFT(Table4[[#This Row],[Policy Type]],1)</f>
        <v>2</v>
      </c>
    </row>
    <row r="1942" spans="1:3" x14ac:dyDescent="0.25">
      <c r="A1942">
        <v>260449</v>
      </c>
      <c r="B1942" t="s">
        <v>2</v>
      </c>
      <c r="C1942" t="str">
        <f>LEFT(Table4[[#This Row],[Policy Type]],1)</f>
        <v>1</v>
      </c>
    </row>
    <row r="1943" spans="1:3" x14ac:dyDescent="0.25">
      <c r="A1943">
        <v>260446</v>
      </c>
      <c r="B1943" t="s">
        <v>3</v>
      </c>
      <c r="C1943" t="str">
        <f>LEFT(Table4[[#This Row],[Policy Type]],1)</f>
        <v>2</v>
      </c>
    </row>
    <row r="1944" spans="1:3" x14ac:dyDescent="0.25">
      <c r="A1944">
        <v>260450</v>
      </c>
      <c r="B1944" t="s">
        <v>2</v>
      </c>
      <c r="C1944" t="str">
        <f>LEFT(Table4[[#This Row],[Policy Type]],1)</f>
        <v>1</v>
      </c>
    </row>
    <row r="1945" spans="1:3" x14ac:dyDescent="0.25">
      <c r="A1945">
        <v>260452</v>
      </c>
      <c r="B1945" t="s">
        <v>2</v>
      </c>
      <c r="C1945" t="str">
        <f>LEFT(Table4[[#This Row],[Policy Type]],1)</f>
        <v>1</v>
      </c>
    </row>
    <row r="1946" spans="1:3" x14ac:dyDescent="0.25">
      <c r="A1946">
        <v>260451</v>
      </c>
      <c r="B1946" t="s">
        <v>2</v>
      </c>
      <c r="C1946" t="str">
        <f>LEFT(Table4[[#This Row],[Policy Type]],1)</f>
        <v>1</v>
      </c>
    </row>
    <row r="1947" spans="1:3" x14ac:dyDescent="0.25">
      <c r="A1947">
        <v>260453</v>
      </c>
      <c r="B1947" t="s">
        <v>2</v>
      </c>
      <c r="C1947" t="str">
        <f>LEFT(Table4[[#This Row],[Policy Type]],1)</f>
        <v>1</v>
      </c>
    </row>
    <row r="1948" spans="1:3" x14ac:dyDescent="0.25">
      <c r="A1948">
        <v>260454</v>
      </c>
      <c r="B1948" t="s">
        <v>2</v>
      </c>
      <c r="C1948" t="str">
        <f>LEFT(Table4[[#This Row],[Policy Type]],1)</f>
        <v>1</v>
      </c>
    </row>
    <row r="1949" spans="1:3" x14ac:dyDescent="0.25">
      <c r="A1949">
        <v>260456</v>
      </c>
      <c r="B1949" t="s">
        <v>2</v>
      </c>
      <c r="C1949" t="str">
        <f>LEFT(Table4[[#This Row],[Policy Type]],1)</f>
        <v>1</v>
      </c>
    </row>
    <row r="1950" spans="1:3" x14ac:dyDescent="0.25">
      <c r="A1950">
        <v>260468</v>
      </c>
      <c r="B1950" t="s">
        <v>2</v>
      </c>
      <c r="C1950" t="str">
        <f>LEFT(Table4[[#This Row],[Policy Type]],1)</f>
        <v>1</v>
      </c>
    </row>
    <row r="1951" spans="1:3" x14ac:dyDescent="0.25">
      <c r="A1951">
        <v>260461</v>
      </c>
      <c r="B1951" t="s">
        <v>3</v>
      </c>
      <c r="C1951" t="str">
        <f>LEFT(Table4[[#This Row],[Policy Type]],1)</f>
        <v>2</v>
      </c>
    </row>
    <row r="1952" spans="1:3" x14ac:dyDescent="0.25">
      <c r="A1952">
        <v>260469</v>
      </c>
      <c r="B1952" t="s">
        <v>2</v>
      </c>
      <c r="C1952" t="str">
        <f>LEFT(Table4[[#This Row],[Policy Type]],1)</f>
        <v>1</v>
      </c>
    </row>
    <row r="1953" spans="1:3" x14ac:dyDescent="0.25">
      <c r="A1953">
        <v>260466</v>
      </c>
      <c r="B1953" t="s">
        <v>2</v>
      </c>
      <c r="C1953" t="str">
        <f>LEFT(Table4[[#This Row],[Policy Type]],1)</f>
        <v>1</v>
      </c>
    </row>
    <row r="1954" spans="1:3" x14ac:dyDescent="0.25">
      <c r="A1954">
        <v>260458</v>
      </c>
      <c r="B1954" t="s">
        <v>2</v>
      </c>
      <c r="C1954" t="str">
        <f>LEFT(Table4[[#This Row],[Policy Type]],1)</f>
        <v>1</v>
      </c>
    </row>
    <row r="1955" spans="1:3" x14ac:dyDescent="0.25">
      <c r="A1955">
        <v>260467</v>
      </c>
      <c r="B1955" t="s">
        <v>2</v>
      </c>
      <c r="C1955" t="str">
        <f>LEFT(Table4[[#This Row],[Policy Type]],1)</f>
        <v>1</v>
      </c>
    </row>
    <row r="1956" spans="1:3" x14ac:dyDescent="0.25">
      <c r="A1956">
        <v>260457</v>
      </c>
      <c r="B1956" t="s">
        <v>2</v>
      </c>
      <c r="C1956" t="str">
        <f>LEFT(Table4[[#This Row],[Policy Type]],1)</f>
        <v>1</v>
      </c>
    </row>
    <row r="1957" spans="1:3" x14ac:dyDescent="0.25">
      <c r="A1957">
        <v>260462</v>
      </c>
      <c r="B1957" t="s">
        <v>3</v>
      </c>
      <c r="C1957" t="str">
        <f>LEFT(Table4[[#This Row],[Policy Type]],1)</f>
        <v>2</v>
      </c>
    </row>
    <row r="1958" spans="1:3" x14ac:dyDescent="0.25">
      <c r="A1958">
        <v>260460</v>
      </c>
      <c r="B1958" t="s">
        <v>3</v>
      </c>
      <c r="C1958" t="str">
        <f>LEFT(Table4[[#This Row],[Policy Type]],1)</f>
        <v>2</v>
      </c>
    </row>
    <row r="1959" spans="1:3" x14ac:dyDescent="0.25">
      <c r="A1959">
        <v>260463</v>
      </c>
      <c r="B1959" t="s">
        <v>3</v>
      </c>
      <c r="C1959" t="str">
        <f>LEFT(Table4[[#This Row],[Policy Type]],1)</f>
        <v>2</v>
      </c>
    </row>
    <row r="1960" spans="1:3" x14ac:dyDescent="0.25">
      <c r="A1960">
        <v>250622</v>
      </c>
      <c r="B1960" t="s">
        <v>3</v>
      </c>
      <c r="C1960" t="str">
        <f>LEFT(Table4[[#This Row],[Policy Type]],1)</f>
        <v>2</v>
      </c>
    </row>
    <row r="1961" spans="1:3" x14ac:dyDescent="0.25">
      <c r="A1961">
        <v>260255</v>
      </c>
      <c r="B1961" t="s">
        <v>2</v>
      </c>
      <c r="C1961" t="str">
        <f>LEFT(Table4[[#This Row],[Policy Type]],1)</f>
        <v>1</v>
      </c>
    </row>
    <row r="1962" spans="1:3" x14ac:dyDescent="0.25">
      <c r="A1962">
        <v>260275</v>
      </c>
      <c r="B1962" t="s">
        <v>3</v>
      </c>
      <c r="C1962" t="str">
        <f>LEFT(Table4[[#This Row],[Policy Type]],1)</f>
        <v>2</v>
      </c>
    </row>
    <row r="1963" spans="1:3" x14ac:dyDescent="0.25">
      <c r="A1963">
        <v>260471</v>
      </c>
      <c r="B1963" t="s">
        <v>2</v>
      </c>
      <c r="C1963" t="str">
        <f>LEFT(Table4[[#This Row],[Policy Type]],1)</f>
        <v>1</v>
      </c>
    </row>
    <row r="1964" spans="1:3" x14ac:dyDescent="0.25">
      <c r="A1964">
        <v>260473</v>
      </c>
      <c r="B1964" t="s">
        <v>3</v>
      </c>
      <c r="C1964" t="str">
        <f>LEFT(Table4[[#This Row],[Policy Type]],1)</f>
        <v>2</v>
      </c>
    </row>
    <row r="1965" spans="1:3" x14ac:dyDescent="0.25">
      <c r="A1965">
        <v>196081</v>
      </c>
      <c r="B1965" t="s">
        <v>2</v>
      </c>
      <c r="C1965" t="str">
        <f>LEFT(Table4[[#This Row],[Policy Type]],1)</f>
        <v>1</v>
      </c>
    </row>
    <row r="1966" spans="1:3" x14ac:dyDescent="0.25">
      <c r="A1966">
        <v>260472</v>
      </c>
      <c r="B1966" t="s">
        <v>2</v>
      </c>
      <c r="C1966" t="str">
        <f>LEFT(Table4[[#This Row],[Policy Type]],1)</f>
        <v>1</v>
      </c>
    </row>
    <row r="1967" spans="1:3" x14ac:dyDescent="0.25">
      <c r="A1967">
        <v>260470</v>
      </c>
      <c r="B1967" t="s">
        <v>3</v>
      </c>
      <c r="C1967" t="str">
        <f>LEFT(Table4[[#This Row],[Policy Type]],1)</f>
        <v>2</v>
      </c>
    </row>
    <row r="1968" spans="1:3" x14ac:dyDescent="0.25">
      <c r="A1968">
        <v>260475</v>
      </c>
      <c r="B1968" t="s">
        <v>2</v>
      </c>
      <c r="C1968" t="str">
        <f>LEFT(Table4[[#This Row],[Policy Type]],1)</f>
        <v>1</v>
      </c>
    </row>
    <row r="1969" spans="1:3" x14ac:dyDescent="0.25">
      <c r="A1969">
        <v>260482</v>
      </c>
      <c r="B1969" t="s">
        <v>2</v>
      </c>
      <c r="C1969" t="str">
        <f>LEFT(Table4[[#This Row],[Policy Type]],1)</f>
        <v>1</v>
      </c>
    </row>
    <row r="1970" spans="1:3" x14ac:dyDescent="0.25">
      <c r="A1970">
        <v>260480</v>
      </c>
      <c r="B1970" t="s">
        <v>3</v>
      </c>
      <c r="C1970" t="str">
        <f>LEFT(Table4[[#This Row],[Policy Type]],1)</f>
        <v>2</v>
      </c>
    </row>
    <row r="1971" spans="1:3" x14ac:dyDescent="0.25">
      <c r="A1971">
        <v>260481</v>
      </c>
      <c r="B1971" t="s">
        <v>2</v>
      </c>
      <c r="C1971" t="str">
        <f>LEFT(Table4[[#This Row],[Policy Type]],1)</f>
        <v>1</v>
      </c>
    </row>
    <row r="1972" spans="1:3" x14ac:dyDescent="0.25">
      <c r="A1972">
        <v>260478</v>
      </c>
      <c r="B1972" t="s">
        <v>3</v>
      </c>
      <c r="C1972" t="str">
        <f>LEFT(Table4[[#This Row],[Policy Type]],1)</f>
        <v>2</v>
      </c>
    </row>
    <row r="1973" spans="1:3" x14ac:dyDescent="0.25">
      <c r="A1973">
        <v>260479</v>
      </c>
      <c r="B1973" t="s">
        <v>3</v>
      </c>
      <c r="C1973" t="str">
        <f>LEFT(Table4[[#This Row],[Policy Type]],1)</f>
        <v>2</v>
      </c>
    </row>
    <row r="1974" spans="1:3" x14ac:dyDescent="0.25">
      <c r="A1974">
        <v>260476</v>
      </c>
      <c r="B1974" t="s">
        <v>2</v>
      </c>
      <c r="C1974" t="str">
        <f>LEFT(Table4[[#This Row],[Policy Type]],1)</f>
        <v>1</v>
      </c>
    </row>
    <row r="1975" spans="1:3" x14ac:dyDescent="0.25">
      <c r="A1975">
        <v>260483</v>
      </c>
      <c r="B1975" t="s">
        <v>3</v>
      </c>
      <c r="C1975" t="str">
        <f>LEFT(Table4[[#This Row],[Policy Type]],1)</f>
        <v>2</v>
      </c>
    </row>
    <row r="1976" spans="1:3" x14ac:dyDescent="0.25">
      <c r="A1976">
        <v>260477</v>
      </c>
      <c r="B1976" t="s">
        <v>3</v>
      </c>
      <c r="C1976" t="str">
        <f>LEFT(Table4[[#This Row],[Policy Type]],1)</f>
        <v>2</v>
      </c>
    </row>
    <row r="1977" spans="1:3" x14ac:dyDescent="0.25">
      <c r="A1977">
        <v>162345</v>
      </c>
      <c r="B1977" t="s">
        <v>3</v>
      </c>
      <c r="C1977" t="str">
        <f>LEFT(Table4[[#This Row],[Policy Type]],1)</f>
        <v>2</v>
      </c>
    </row>
    <row r="1978" spans="1:3" x14ac:dyDescent="0.25">
      <c r="A1978">
        <v>252704</v>
      </c>
      <c r="B1978" t="s">
        <v>2</v>
      </c>
      <c r="C1978" t="str">
        <f>LEFT(Table4[[#This Row],[Policy Type]],1)</f>
        <v>1</v>
      </c>
    </row>
    <row r="1979" spans="1:3" x14ac:dyDescent="0.25">
      <c r="A1979">
        <v>260144</v>
      </c>
      <c r="B1979" t="s">
        <v>3</v>
      </c>
      <c r="C1979" t="str">
        <f>LEFT(Table4[[#This Row],[Policy Type]],1)</f>
        <v>2</v>
      </c>
    </row>
    <row r="1980" spans="1:3" x14ac:dyDescent="0.25">
      <c r="A1980">
        <v>259496</v>
      </c>
      <c r="B1980" t="s">
        <v>2</v>
      </c>
      <c r="C1980" t="str">
        <f>LEFT(Table4[[#This Row],[Policy Type]],1)</f>
        <v>1</v>
      </c>
    </row>
    <row r="1981" spans="1:3" x14ac:dyDescent="0.25">
      <c r="A1981">
        <v>254616</v>
      </c>
      <c r="B1981" t="s">
        <v>3</v>
      </c>
      <c r="C1981" t="str">
        <f>LEFT(Table4[[#This Row],[Policy Type]],1)</f>
        <v>2</v>
      </c>
    </row>
    <row r="1982" spans="1:3" x14ac:dyDescent="0.25">
      <c r="A1982">
        <v>213562</v>
      </c>
      <c r="B1982" t="s">
        <v>2</v>
      </c>
      <c r="C1982" t="str">
        <f>LEFT(Table4[[#This Row],[Policy Type]],1)</f>
        <v>1</v>
      </c>
    </row>
    <row r="1983" spans="1:3" x14ac:dyDescent="0.25">
      <c r="A1983">
        <v>257309</v>
      </c>
      <c r="B1983" t="s">
        <v>2</v>
      </c>
      <c r="C1983" t="str">
        <f>LEFT(Table4[[#This Row],[Policy Type]],1)</f>
        <v>1</v>
      </c>
    </row>
    <row r="1984" spans="1:3" x14ac:dyDescent="0.25">
      <c r="A1984">
        <v>258089</v>
      </c>
      <c r="B1984" t="s">
        <v>3</v>
      </c>
      <c r="C1984" t="str">
        <f>LEFT(Table4[[#This Row],[Policy Type]],1)</f>
        <v>2</v>
      </c>
    </row>
    <row r="1985" spans="1:3" x14ac:dyDescent="0.25">
      <c r="A1985">
        <v>254212</v>
      </c>
      <c r="B1985" t="s">
        <v>3</v>
      </c>
      <c r="C1985" t="str">
        <f>LEFT(Table4[[#This Row],[Policy Type]],1)</f>
        <v>2</v>
      </c>
    </row>
    <row r="1986" spans="1:3" x14ac:dyDescent="0.25">
      <c r="A1986">
        <v>184922</v>
      </c>
      <c r="B1986" t="s">
        <v>3</v>
      </c>
      <c r="C1986" t="str">
        <f>LEFT(Table4[[#This Row],[Policy Type]],1)</f>
        <v>2</v>
      </c>
    </row>
    <row r="1987" spans="1:3" x14ac:dyDescent="0.25">
      <c r="A1987">
        <v>150632</v>
      </c>
      <c r="B1987" t="s">
        <v>2</v>
      </c>
      <c r="C1987" t="str">
        <f>LEFT(Table4[[#This Row],[Policy Type]],1)</f>
        <v>1</v>
      </c>
    </row>
    <row r="1988" spans="1:3" x14ac:dyDescent="0.25">
      <c r="A1988">
        <v>183338</v>
      </c>
      <c r="B1988" t="s">
        <v>2</v>
      </c>
      <c r="C1988" t="str">
        <f>LEFT(Table4[[#This Row],[Policy Type]],1)</f>
        <v>1</v>
      </c>
    </row>
    <row r="1989" spans="1:3" x14ac:dyDescent="0.25">
      <c r="A1989">
        <v>260484</v>
      </c>
      <c r="B1989" t="s">
        <v>2</v>
      </c>
      <c r="C1989" t="str">
        <f>LEFT(Table4[[#This Row],[Policy Type]],1)</f>
        <v>1</v>
      </c>
    </row>
    <row r="1990" spans="1:3" x14ac:dyDescent="0.25">
      <c r="A1990">
        <v>260489</v>
      </c>
      <c r="B1990" t="s">
        <v>2</v>
      </c>
      <c r="C1990" t="str">
        <f>LEFT(Table4[[#This Row],[Policy Type]],1)</f>
        <v>1</v>
      </c>
    </row>
    <row r="1991" spans="1:3" x14ac:dyDescent="0.25">
      <c r="A1991">
        <v>260487</v>
      </c>
      <c r="B1991" t="s">
        <v>3</v>
      </c>
      <c r="C1991" t="str">
        <f>LEFT(Table4[[#This Row],[Policy Type]],1)</f>
        <v>2</v>
      </c>
    </row>
    <row r="1992" spans="1:3" x14ac:dyDescent="0.25">
      <c r="A1992">
        <v>260491</v>
      </c>
      <c r="B1992" t="s">
        <v>2</v>
      </c>
      <c r="C1992" t="str">
        <f>LEFT(Table4[[#This Row],[Policy Type]],1)</f>
        <v>1</v>
      </c>
    </row>
    <row r="1993" spans="1:3" x14ac:dyDescent="0.25">
      <c r="A1993">
        <v>260488</v>
      </c>
      <c r="B1993" t="s">
        <v>2</v>
      </c>
      <c r="C1993" t="str">
        <f>LEFT(Table4[[#This Row],[Policy Type]],1)</f>
        <v>1</v>
      </c>
    </row>
    <row r="1994" spans="1:3" x14ac:dyDescent="0.25">
      <c r="A1994">
        <v>260485</v>
      </c>
      <c r="B1994" t="s">
        <v>2</v>
      </c>
      <c r="C1994" t="str">
        <f>LEFT(Table4[[#This Row],[Policy Type]],1)</f>
        <v>1</v>
      </c>
    </row>
    <row r="1995" spans="1:3" x14ac:dyDescent="0.25">
      <c r="A1995">
        <v>260486</v>
      </c>
      <c r="B1995" t="s">
        <v>2</v>
      </c>
      <c r="C1995" t="str">
        <f>LEFT(Table4[[#This Row],[Policy Type]],1)</f>
        <v>1</v>
      </c>
    </row>
    <row r="1996" spans="1:3" x14ac:dyDescent="0.25">
      <c r="A1996">
        <v>260490</v>
      </c>
      <c r="B1996" t="s">
        <v>2</v>
      </c>
      <c r="C1996" t="str">
        <f>LEFT(Table4[[#This Row],[Policy Type]],1)</f>
        <v>1</v>
      </c>
    </row>
    <row r="1997" spans="1:3" x14ac:dyDescent="0.25">
      <c r="A1997">
        <v>260179</v>
      </c>
      <c r="B1997" t="s">
        <v>2</v>
      </c>
      <c r="C1997" t="str">
        <f>LEFT(Table4[[#This Row],[Policy Type]],1)</f>
        <v>1</v>
      </c>
    </row>
    <row r="1998" spans="1:3" x14ac:dyDescent="0.25">
      <c r="A1998">
        <v>255006</v>
      </c>
      <c r="B1998" t="s">
        <v>3</v>
      </c>
      <c r="C1998" t="str">
        <f>LEFT(Table4[[#This Row],[Policy Type]],1)</f>
        <v>2</v>
      </c>
    </row>
    <row r="1999" spans="1:3" x14ac:dyDescent="0.25">
      <c r="A1999">
        <v>188373</v>
      </c>
      <c r="B1999" t="s">
        <v>3</v>
      </c>
      <c r="C1999" t="str">
        <f>LEFT(Table4[[#This Row],[Policy Type]],1)</f>
        <v>2</v>
      </c>
    </row>
    <row r="2000" spans="1:3" x14ac:dyDescent="0.25">
      <c r="A2000">
        <v>254333</v>
      </c>
      <c r="B2000" t="s">
        <v>3</v>
      </c>
      <c r="C2000" t="str">
        <f>LEFT(Table4[[#This Row],[Policy Type]],1)</f>
        <v>2</v>
      </c>
    </row>
    <row r="2001" spans="1:3" x14ac:dyDescent="0.25">
      <c r="A2001">
        <v>170557</v>
      </c>
      <c r="B2001" t="s">
        <v>2</v>
      </c>
      <c r="C2001" t="str">
        <f>LEFT(Table4[[#This Row],[Policy Type]],1)</f>
        <v>1</v>
      </c>
    </row>
    <row r="2002" spans="1:3" x14ac:dyDescent="0.25">
      <c r="A2002">
        <v>247451</v>
      </c>
      <c r="B2002" t="s">
        <v>3</v>
      </c>
      <c r="C2002" t="str">
        <f>LEFT(Table4[[#This Row],[Policy Type]],1)</f>
        <v>2</v>
      </c>
    </row>
    <row r="2003" spans="1:3" x14ac:dyDescent="0.25">
      <c r="A2003">
        <v>260492</v>
      </c>
      <c r="B2003" t="s">
        <v>3</v>
      </c>
      <c r="C2003" t="str">
        <f>LEFT(Table4[[#This Row],[Policy Type]],1)</f>
        <v>2</v>
      </c>
    </row>
    <row r="2004" spans="1:3" x14ac:dyDescent="0.25">
      <c r="A2004">
        <v>260493</v>
      </c>
      <c r="B2004" t="s">
        <v>3</v>
      </c>
      <c r="C2004" t="str">
        <f>LEFT(Table4[[#This Row],[Policy Type]],1)</f>
        <v>2</v>
      </c>
    </row>
    <row r="2005" spans="1:3" x14ac:dyDescent="0.25">
      <c r="A2005">
        <v>260494</v>
      </c>
      <c r="B2005" t="s">
        <v>3</v>
      </c>
      <c r="C2005" t="str">
        <f>LEFT(Table4[[#This Row],[Policy Type]],1)</f>
        <v>2</v>
      </c>
    </row>
    <row r="2006" spans="1:3" x14ac:dyDescent="0.25">
      <c r="A2006">
        <v>260503</v>
      </c>
      <c r="B2006" t="s">
        <v>3</v>
      </c>
      <c r="C2006" t="str">
        <f>LEFT(Table4[[#This Row],[Policy Type]],1)</f>
        <v>2</v>
      </c>
    </row>
    <row r="2007" spans="1:3" x14ac:dyDescent="0.25">
      <c r="A2007">
        <v>260504</v>
      </c>
      <c r="B2007" t="s">
        <v>3</v>
      </c>
      <c r="C2007" t="str">
        <f>LEFT(Table4[[#This Row],[Policy Type]],1)</f>
        <v>2</v>
      </c>
    </row>
    <row r="2008" spans="1:3" x14ac:dyDescent="0.25">
      <c r="A2008">
        <v>260501</v>
      </c>
      <c r="B2008" t="s">
        <v>3</v>
      </c>
      <c r="C2008" t="str">
        <f>LEFT(Table4[[#This Row],[Policy Type]],1)</f>
        <v>2</v>
      </c>
    </row>
    <row r="2009" spans="1:3" x14ac:dyDescent="0.25">
      <c r="A2009">
        <v>260499</v>
      </c>
      <c r="B2009" t="s">
        <v>2</v>
      </c>
      <c r="C2009" t="str">
        <f>LEFT(Table4[[#This Row],[Policy Type]],1)</f>
        <v>1</v>
      </c>
    </row>
    <row r="2010" spans="1:3" x14ac:dyDescent="0.25">
      <c r="A2010">
        <v>260508</v>
      </c>
      <c r="B2010" t="s">
        <v>2</v>
      </c>
      <c r="C2010" t="str">
        <f>LEFT(Table4[[#This Row],[Policy Type]],1)</f>
        <v>1</v>
      </c>
    </row>
    <row r="2011" spans="1:3" x14ac:dyDescent="0.25">
      <c r="A2011">
        <v>260506</v>
      </c>
      <c r="B2011" t="s">
        <v>2</v>
      </c>
      <c r="C2011" t="str">
        <f>LEFT(Table4[[#This Row],[Policy Type]],1)</f>
        <v>1</v>
      </c>
    </row>
    <row r="2012" spans="1:3" x14ac:dyDescent="0.25">
      <c r="A2012">
        <v>260497</v>
      </c>
      <c r="B2012" t="s">
        <v>3</v>
      </c>
      <c r="C2012" t="str">
        <f>LEFT(Table4[[#This Row],[Policy Type]],1)</f>
        <v>2</v>
      </c>
    </row>
    <row r="2013" spans="1:3" x14ac:dyDescent="0.25">
      <c r="A2013">
        <v>260500</v>
      </c>
      <c r="B2013" t="s">
        <v>3</v>
      </c>
      <c r="C2013" t="str">
        <f>LEFT(Table4[[#This Row],[Policy Type]],1)</f>
        <v>2</v>
      </c>
    </row>
    <row r="2014" spans="1:3" x14ac:dyDescent="0.25">
      <c r="A2014">
        <v>260495</v>
      </c>
      <c r="B2014" t="s">
        <v>2</v>
      </c>
      <c r="C2014" t="str">
        <f>LEFT(Table4[[#This Row],[Policy Type]],1)</f>
        <v>1</v>
      </c>
    </row>
    <row r="2015" spans="1:3" x14ac:dyDescent="0.25">
      <c r="A2015">
        <v>260496</v>
      </c>
      <c r="B2015" t="s">
        <v>3</v>
      </c>
      <c r="C2015" t="str">
        <f>LEFT(Table4[[#This Row],[Policy Type]],1)</f>
        <v>2</v>
      </c>
    </row>
    <row r="2016" spans="1:3" x14ac:dyDescent="0.25">
      <c r="A2016">
        <v>260502</v>
      </c>
      <c r="B2016" t="s">
        <v>3</v>
      </c>
      <c r="C2016" t="str">
        <f>LEFT(Table4[[#This Row],[Policy Type]],1)</f>
        <v>2</v>
      </c>
    </row>
    <row r="2017" spans="1:3" x14ac:dyDescent="0.25">
      <c r="A2017">
        <v>260505</v>
      </c>
      <c r="B2017" t="s">
        <v>2</v>
      </c>
      <c r="C2017" t="str">
        <f>LEFT(Table4[[#This Row],[Policy Type]],1)</f>
        <v>1</v>
      </c>
    </row>
    <row r="2018" spans="1:3" x14ac:dyDescent="0.25">
      <c r="A2018">
        <v>260507</v>
      </c>
      <c r="B2018" t="s">
        <v>2</v>
      </c>
      <c r="C2018" t="str">
        <f>LEFT(Table4[[#This Row],[Policy Type]],1)</f>
        <v>1</v>
      </c>
    </row>
    <row r="2019" spans="1:3" x14ac:dyDescent="0.25">
      <c r="A2019">
        <v>242578</v>
      </c>
      <c r="B2019" t="s">
        <v>2</v>
      </c>
      <c r="C2019" t="str">
        <f>LEFT(Table4[[#This Row],[Policy Type]],1)</f>
        <v>1</v>
      </c>
    </row>
    <row r="2020" spans="1:3" x14ac:dyDescent="0.25">
      <c r="A2020">
        <v>260509</v>
      </c>
      <c r="B2020" t="s">
        <v>3</v>
      </c>
      <c r="C2020" t="str">
        <f>LEFT(Table4[[#This Row],[Policy Type]],1)</f>
        <v>2</v>
      </c>
    </row>
    <row r="2021" spans="1:3" x14ac:dyDescent="0.25">
      <c r="A2021">
        <v>260510</v>
      </c>
      <c r="B2021" t="s">
        <v>3</v>
      </c>
      <c r="C2021" t="str">
        <f>LEFT(Table4[[#This Row],[Policy Type]],1)</f>
        <v>2</v>
      </c>
    </row>
    <row r="2022" spans="1:3" x14ac:dyDescent="0.25">
      <c r="A2022">
        <v>260511</v>
      </c>
      <c r="B2022" t="s">
        <v>3</v>
      </c>
      <c r="C2022" t="str">
        <f>LEFT(Table4[[#This Row],[Policy Type]],1)</f>
        <v>2</v>
      </c>
    </row>
    <row r="2023" spans="1:3" x14ac:dyDescent="0.25">
      <c r="A2023">
        <v>260513</v>
      </c>
      <c r="B2023" t="s">
        <v>3</v>
      </c>
      <c r="C2023" t="str">
        <f>LEFT(Table4[[#This Row],[Policy Type]],1)</f>
        <v>2</v>
      </c>
    </row>
    <row r="2024" spans="1:3" x14ac:dyDescent="0.25">
      <c r="A2024">
        <v>251049</v>
      </c>
      <c r="B2024" t="s">
        <v>3</v>
      </c>
      <c r="C2024" t="str">
        <f>LEFT(Table4[[#This Row],[Policy Type]],1)</f>
        <v>2</v>
      </c>
    </row>
    <row r="2025" spans="1:3" x14ac:dyDescent="0.25">
      <c r="A2025">
        <v>260514</v>
      </c>
      <c r="B2025" t="s">
        <v>3</v>
      </c>
      <c r="C2025" t="str">
        <f>LEFT(Table4[[#This Row],[Policy Type]],1)</f>
        <v>2</v>
      </c>
    </row>
    <row r="2026" spans="1:3" x14ac:dyDescent="0.25">
      <c r="A2026">
        <v>260517</v>
      </c>
      <c r="B2026" t="s">
        <v>2</v>
      </c>
      <c r="C2026" t="str">
        <f>LEFT(Table4[[#This Row],[Policy Type]],1)</f>
        <v>1</v>
      </c>
    </row>
    <row r="2027" spans="1:3" x14ac:dyDescent="0.25">
      <c r="A2027">
        <v>260516</v>
      </c>
      <c r="B2027" t="s">
        <v>2</v>
      </c>
      <c r="C2027" t="str">
        <f>LEFT(Table4[[#This Row],[Policy Type]],1)</f>
        <v>1</v>
      </c>
    </row>
    <row r="2028" spans="1:3" x14ac:dyDescent="0.25">
      <c r="A2028">
        <v>260515</v>
      </c>
      <c r="B2028" t="s">
        <v>3</v>
      </c>
      <c r="C2028" t="str">
        <f>LEFT(Table4[[#This Row],[Policy Type]],1)</f>
        <v>2</v>
      </c>
    </row>
    <row r="2029" spans="1:3" x14ac:dyDescent="0.25">
      <c r="A2029">
        <v>246233</v>
      </c>
      <c r="B2029" t="s">
        <v>3</v>
      </c>
      <c r="C2029" t="str">
        <f>LEFT(Table4[[#This Row],[Policy Type]],1)</f>
        <v>2</v>
      </c>
    </row>
    <row r="2030" spans="1:3" x14ac:dyDescent="0.25">
      <c r="A2030">
        <v>203900</v>
      </c>
      <c r="B2030" t="s">
        <v>3</v>
      </c>
      <c r="C2030" t="str">
        <f>LEFT(Table4[[#This Row],[Policy Type]],1)</f>
        <v>2</v>
      </c>
    </row>
    <row r="2031" spans="1:3" x14ac:dyDescent="0.25">
      <c r="A2031">
        <v>260521</v>
      </c>
      <c r="B2031" t="s">
        <v>3</v>
      </c>
      <c r="C2031" t="str">
        <f>LEFT(Table4[[#This Row],[Policy Type]],1)</f>
        <v>2</v>
      </c>
    </row>
    <row r="2032" spans="1:3" x14ac:dyDescent="0.25">
      <c r="A2032">
        <v>260518</v>
      </c>
      <c r="B2032" t="s">
        <v>3</v>
      </c>
      <c r="C2032" t="str">
        <f>LEFT(Table4[[#This Row],[Policy Type]],1)</f>
        <v>2</v>
      </c>
    </row>
    <row r="2033" spans="1:3" x14ac:dyDescent="0.25">
      <c r="A2033">
        <v>260524</v>
      </c>
      <c r="B2033" t="s">
        <v>2</v>
      </c>
      <c r="C2033" t="str">
        <f>LEFT(Table4[[#This Row],[Policy Type]],1)</f>
        <v>1</v>
      </c>
    </row>
    <row r="2034" spans="1:3" x14ac:dyDescent="0.25">
      <c r="A2034">
        <v>260523</v>
      </c>
      <c r="B2034" t="s">
        <v>2</v>
      </c>
      <c r="C2034" t="str">
        <f>LEFT(Table4[[#This Row],[Policy Type]],1)</f>
        <v>1</v>
      </c>
    </row>
    <row r="2035" spans="1:3" x14ac:dyDescent="0.25">
      <c r="A2035">
        <v>260522</v>
      </c>
      <c r="B2035" t="s">
        <v>2</v>
      </c>
      <c r="C2035" t="str">
        <f>LEFT(Table4[[#This Row],[Policy Type]],1)</f>
        <v>1</v>
      </c>
    </row>
    <row r="2036" spans="1:3" x14ac:dyDescent="0.25">
      <c r="A2036">
        <v>260519</v>
      </c>
      <c r="B2036" t="s">
        <v>3</v>
      </c>
      <c r="C2036" t="str">
        <f>LEFT(Table4[[#This Row],[Policy Type]],1)</f>
        <v>2</v>
      </c>
    </row>
    <row r="2037" spans="1:3" x14ac:dyDescent="0.25">
      <c r="A2037">
        <v>260520</v>
      </c>
      <c r="B2037" t="s">
        <v>3</v>
      </c>
      <c r="C2037" t="str">
        <f>LEFT(Table4[[#This Row],[Policy Type]],1)</f>
        <v>2</v>
      </c>
    </row>
    <row r="2038" spans="1:3" x14ac:dyDescent="0.25">
      <c r="A2038">
        <v>201862</v>
      </c>
      <c r="B2038" t="s">
        <v>3</v>
      </c>
      <c r="C2038" t="str">
        <f>LEFT(Table4[[#This Row],[Policy Type]],1)</f>
        <v>2</v>
      </c>
    </row>
    <row r="2039" spans="1:3" x14ac:dyDescent="0.25">
      <c r="A2039">
        <v>259632</v>
      </c>
      <c r="B2039" t="s">
        <v>3</v>
      </c>
      <c r="C2039" t="str">
        <f>LEFT(Table4[[#This Row],[Policy Type]],1)</f>
        <v>2</v>
      </c>
    </row>
    <row r="2040" spans="1:3" x14ac:dyDescent="0.25">
      <c r="A2040">
        <v>182461</v>
      </c>
      <c r="B2040" t="s">
        <v>2</v>
      </c>
      <c r="C2040" t="str">
        <f>LEFT(Table4[[#This Row],[Policy Type]],1)</f>
        <v>1</v>
      </c>
    </row>
    <row r="2041" spans="1:3" x14ac:dyDescent="0.25">
      <c r="A2041">
        <v>253422</v>
      </c>
      <c r="B2041" t="s">
        <v>2</v>
      </c>
      <c r="C2041" t="str">
        <f>LEFT(Table4[[#This Row],[Policy Type]],1)</f>
        <v>1</v>
      </c>
    </row>
    <row r="2042" spans="1:3" x14ac:dyDescent="0.25">
      <c r="A2042">
        <v>250388</v>
      </c>
      <c r="B2042" t="s">
        <v>2</v>
      </c>
      <c r="C2042" t="str">
        <f>LEFT(Table4[[#This Row],[Policy Type]],1)</f>
        <v>1</v>
      </c>
    </row>
    <row r="2043" spans="1:3" x14ac:dyDescent="0.25">
      <c r="A2043">
        <v>251758</v>
      </c>
      <c r="B2043" t="s">
        <v>2</v>
      </c>
      <c r="C2043" t="str">
        <f>LEFT(Table4[[#This Row],[Policy Type]],1)</f>
        <v>1</v>
      </c>
    </row>
    <row r="2044" spans="1:3" x14ac:dyDescent="0.25">
      <c r="A2044">
        <v>198929</v>
      </c>
      <c r="B2044" t="s">
        <v>2</v>
      </c>
      <c r="C2044" t="str">
        <f>LEFT(Table4[[#This Row],[Policy Type]],1)</f>
        <v>1</v>
      </c>
    </row>
    <row r="2045" spans="1:3" x14ac:dyDescent="0.25">
      <c r="A2045">
        <v>260529</v>
      </c>
      <c r="B2045" t="s">
        <v>3</v>
      </c>
      <c r="C2045" t="str">
        <f>LEFT(Table4[[#This Row],[Policy Type]],1)</f>
        <v>2</v>
      </c>
    </row>
    <row r="2046" spans="1:3" x14ac:dyDescent="0.25">
      <c r="A2046">
        <v>257437</v>
      </c>
      <c r="B2046" t="s">
        <v>2</v>
      </c>
      <c r="C2046" t="str">
        <f>LEFT(Table4[[#This Row],[Policy Type]],1)</f>
        <v>1</v>
      </c>
    </row>
    <row r="2047" spans="1:3" x14ac:dyDescent="0.25">
      <c r="A2047">
        <v>260531</v>
      </c>
      <c r="B2047" t="s">
        <v>3</v>
      </c>
      <c r="C2047" t="str">
        <f>LEFT(Table4[[#This Row],[Policy Type]],1)</f>
        <v>2</v>
      </c>
    </row>
    <row r="2048" spans="1:3" x14ac:dyDescent="0.25">
      <c r="A2048">
        <v>253434</v>
      </c>
      <c r="B2048" t="s">
        <v>3</v>
      </c>
      <c r="C2048" t="str">
        <f>LEFT(Table4[[#This Row],[Policy Type]],1)</f>
        <v>2</v>
      </c>
    </row>
    <row r="2049" spans="1:3" x14ac:dyDescent="0.25">
      <c r="A2049">
        <v>252399</v>
      </c>
      <c r="B2049" t="s">
        <v>2</v>
      </c>
      <c r="C2049" t="str">
        <f>LEFT(Table4[[#This Row],[Policy Type]],1)</f>
        <v>1</v>
      </c>
    </row>
    <row r="2050" spans="1:3" x14ac:dyDescent="0.25">
      <c r="A2050">
        <v>205721</v>
      </c>
      <c r="B2050" t="s">
        <v>2</v>
      </c>
      <c r="C2050" t="str">
        <f>LEFT(Table4[[#This Row],[Policy Type]],1)</f>
        <v>1</v>
      </c>
    </row>
    <row r="2051" spans="1:3" x14ac:dyDescent="0.25">
      <c r="A2051">
        <v>150209</v>
      </c>
      <c r="B2051" t="s">
        <v>3</v>
      </c>
      <c r="C2051" t="str">
        <f>LEFT(Table4[[#This Row],[Policy Type]],1)</f>
        <v>2</v>
      </c>
    </row>
    <row r="2052" spans="1:3" x14ac:dyDescent="0.25">
      <c r="A2052">
        <v>150218</v>
      </c>
      <c r="B2052" t="s">
        <v>3</v>
      </c>
      <c r="C2052" t="str">
        <f>LEFT(Table4[[#This Row],[Policy Type]],1)</f>
        <v>2</v>
      </c>
    </row>
    <row r="2053" spans="1:3" x14ac:dyDescent="0.25">
      <c r="A2053">
        <v>150235</v>
      </c>
      <c r="B2053" t="s">
        <v>3</v>
      </c>
      <c r="C2053" t="str">
        <f>LEFT(Table4[[#This Row],[Policy Type]],1)</f>
        <v>2</v>
      </c>
    </row>
    <row r="2054" spans="1:3" x14ac:dyDescent="0.25">
      <c r="A2054">
        <v>150368</v>
      </c>
      <c r="B2054" t="s">
        <v>2</v>
      </c>
      <c r="C2054" t="str">
        <f>LEFT(Table4[[#This Row],[Policy Type]],1)</f>
        <v>1</v>
      </c>
    </row>
    <row r="2055" spans="1:3" x14ac:dyDescent="0.25">
      <c r="A2055">
        <v>150400</v>
      </c>
      <c r="B2055" t="s">
        <v>2</v>
      </c>
      <c r="C2055" t="str">
        <f>LEFT(Table4[[#This Row],[Policy Type]],1)</f>
        <v>1</v>
      </c>
    </row>
    <row r="2056" spans="1:3" x14ac:dyDescent="0.25">
      <c r="A2056">
        <v>150453</v>
      </c>
      <c r="B2056" t="s">
        <v>2</v>
      </c>
      <c r="C2056" t="str">
        <f>LEFT(Table4[[#This Row],[Policy Type]],1)</f>
        <v>1</v>
      </c>
    </row>
    <row r="2057" spans="1:3" x14ac:dyDescent="0.25">
      <c r="A2057">
        <v>150540</v>
      </c>
      <c r="B2057" t="s">
        <v>3</v>
      </c>
      <c r="C2057" t="str">
        <f>LEFT(Table4[[#This Row],[Policy Type]],1)</f>
        <v>2</v>
      </c>
    </row>
    <row r="2058" spans="1:3" x14ac:dyDescent="0.25">
      <c r="A2058">
        <v>150595</v>
      </c>
      <c r="B2058" t="s">
        <v>2</v>
      </c>
      <c r="C2058" t="str">
        <f>LEFT(Table4[[#This Row],[Policy Type]],1)</f>
        <v>1</v>
      </c>
    </row>
    <row r="2059" spans="1:3" x14ac:dyDescent="0.25">
      <c r="A2059">
        <v>150615</v>
      </c>
      <c r="B2059" t="s">
        <v>2</v>
      </c>
      <c r="C2059" t="str">
        <f>LEFT(Table4[[#This Row],[Policy Type]],1)</f>
        <v>1</v>
      </c>
    </row>
    <row r="2060" spans="1:3" x14ac:dyDescent="0.25">
      <c r="A2060">
        <v>150634</v>
      </c>
      <c r="B2060" t="s">
        <v>3</v>
      </c>
      <c r="C2060" t="str">
        <f>LEFT(Table4[[#This Row],[Policy Type]],1)</f>
        <v>2</v>
      </c>
    </row>
    <row r="2061" spans="1:3" x14ac:dyDescent="0.25">
      <c r="A2061">
        <v>150640</v>
      </c>
      <c r="B2061" t="s">
        <v>3</v>
      </c>
      <c r="C2061" t="str">
        <f>LEFT(Table4[[#This Row],[Policy Type]],1)</f>
        <v>2</v>
      </c>
    </row>
    <row r="2062" spans="1:3" x14ac:dyDescent="0.25">
      <c r="A2062">
        <v>150707</v>
      </c>
      <c r="B2062" t="s">
        <v>3</v>
      </c>
      <c r="C2062" t="str">
        <f>LEFT(Table4[[#This Row],[Policy Type]],1)</f>
        <v>2</v>
      </c>
    </row>
    <row r="2063" spans="1:3" x14ac:dyDescent="0.25">
      <c r="A2063">
        <v>150790</v>
      </c>
      <c r="B2063" t="s">
        <v>2</v>
      </c>
      <c r="C2063" t="str">
        <f>LEFT(Table4[[#This Row],[Policy Type]],1)</f>
        <v>1</v>
      </c>
    </row>
    <row r="2064" spans="1:3" x14ac:dyDescent="0.25">
      <c r="A2064">
        <v>150902</v>
      </c>
      <c r="B2064" t="s">
        <v>2</v>
      </c>
      <c r="C2064" t="str">
        <f>LEFT(Table4[[#This Row],[Policy Type]],1)</f>
        <v>1</v>
      </c>
    </row>
    <row r="2065" spans="1:3" x14ac:dyDescent="0.25">
      <c r="A2065">
        <v>150915</v>
      </c>
      <c r="B2065" t="s">
        <v>3</v>
      </c>
      <c r="C2065" t="str">
        <f>LEFT(Table4[[#This Row],[Policy Type]],1)</f>
        <v>2</v>
      </c>
    </row>
    <row r="2066" spans="1:3" x14ac:dyDescent="0.25">
      <c r="A2066">
        <v>150990</v>
      </c>
      <c r="B2066" t="s">
        <v>3</v>
      </c>
      <c r="C2066" t="str">
        <f>LEFT(Table4[[#This Row],[Policy Type]],1)</f>
        <v>2</v>
      </c>
    </row>
    <row r="2067" spans="1:3" x14ac:dyDescent="0.25">
      <c r="A2067">
        <v>150992</v>
      </c>
      <c r="B2067" t="s">
        <v>3</v>
      </c>
      <c r="C2067" t="str">
        <f>LEFT(Table4[[#This Row],[Policy Type]],1)</f>
        <v>2</v>
      </c>
    </row>
    <row r="2068" spans="1:3" x14ac:dyDescent="0.25">
      <c r="A2068">
        <v>151003</v>
      </c>
      <c r="B2068" t="s">
        <v>3</v>
      </c>
      <c r="C2068" t="str">
        <f>LEFT(Table4[[#This Row],[Policy Type]],1)</f>
        <v>2</v>
      </c>
    </row>
    <row r="2069" spans="1:3" x14ac:dyDescent="0.25">
      <c r="A2069">
        <v>151098</v>
      </c>
      <c r="B2069" t="s">
        <v>3</v>
      </c>
      <c r="C2069" t="str">
        <f>LEFT(Table4[[#This Row],[Policy Type]],1)</f>
        <v>2</v>
      </c>
    </row>
    <row r="2070" spans="1:3" x14ac:dyDescent="0.25">
      <c r="A2070">
        <v>151217</v>
      </c>
      <c r="B2070" t="s">
        <v>3</v>
      </c>
      <c r="C2070" t="str">
        <f>LEFT(Table4[[#This Row],[Policy Type]],1)</f>
        <v>2</v>
      </c>
    </row>
    <row r="2071" spans="1:3" x14ac:dyDescent="0.25">
      <c r="A2071">
        <v>151242</v>
      </c>
      <c r="B2071" t="s">
        <v>3</v>
      </c>
      <c r="C2071" t="str">
        <f>LEFT(Table4[[#This Row],[Policy Type]],1)</f>
        <v>2</v>
      </c>
    </row>
    <row r="2072" spans="1:3" x14ac:dyDescent="0.25">
      <c r="A2072">
        <v>151273</v>
      </c>
      <c r="B2072" t="s">
        <v>3</v>
      </c>
      <c r="C2072" t="str">
        <f>LEFT(Table4[[#This Row],[Policy Type]],1)</f>
        <v>2</v>
      </c>
    </row>
    <row r="2073" spans="1:3" x14ac:dyDescent="0.25">
      <c r="A2073">
        <v>151281</v>
      </c>
      <c r="B2073" t="s">
        <v>3</v>
      </c>
      <c r="C2073" t="str">
        <f>LEFT(Table4[[#This Row],[Policy Type]],1)</f>
        <v>2</v>
      </c>
    </row>
    <row r="2074" spans="1:3" x14ac:dyDescent="0.25">
      <c r="A2074">
        <v>151331</v>
      </c>
      <c r="B2074" t="s">
        <v>2</v>
      </c>
      <c r="C2074" t="str">
        <f>LEFT(Table4[[#This Row],[Policy Type]],1)</f>
        <v>1</v>
      </c>
    </row>
    <row r="2075" spans="1:3" x14ac:dyDescent="0.25">
      <c r="A2075">
        <v>151466</v>
      </c>
      <c r="B2075" t="s">
        <v>2</v>
      </c>
      <c r="C2075" t="str">
        <f>LEFT(Table4[[#This Row],[Policy Type]],1)</f>
        <v>1</v>
      </c>
    </row>
    <row r="2076" spans="1:3" x14ac:dyDescent="0.25">
      <c r="A2076">
        <v>151469</v>
      </c>
      <c r="B2076" t="s">
        <v>3</v>
      </c>
      <c r="C2076" t="str">
        <f>LEFT(Table4[[#This Row],[Policy Type]],1)</f>
        <v>2</v>
      </c>
    </row>
    <row r="2077" spans="1:3" x14ac:dyDescent="0.25">
      <c r="A2077">
        <v>151485</v>
      </c>
      <c r="B2077" t="s">
        <v>3</v>
      </c>
      <c r="C2077" t="str">
        <f>LEFT(Table4[[#This Row],[Policy Type]],1)</f>
        <v>2</v>
      </c>
    </row>
    <row r="2078" spans="1:3" x14ac:dyDescent="0.25">
      <c r="A2078">
        <v>151502</v>
      </c>
      <c r="B2078" t="s">
        <v>2</v>
      </c>
      <c r="C2078" t="str">
        <f>LEFT(Table4[[#This Row],[Policy Type]],1)</f>
        <v>1</v>
      </c>
    </row>
    <row r="2079" spans="1:3" x14ac:dyDescent="0.25">
      <c r="A2079">
        <v>151587</v>
      </c>
      <c r="B2079" t="s">
        <v>3</v>
      </c>
      <c r="C2079" t="str">
        <f>LEFT(Table4[[#This Row],[Policy Type]],1)</f>
        <v>2</v>
      </c>
    </row>
    <row r="2080" spans="1:3" x14ac:dyDescent="0.25">
      <c r="A2080">
        <v>151589</v>
      </c>
      <c r="B2080" t="s">
        <v>2</v>
      </c>
      <c r="C2080" t="str">
        <f>LEFT(Table4[[#This Row],[Policy Type]],1)</f>
        <v>1</v>
      </c>
    </row>
    <row r="2081" spans="1:3" x14ac:dyDescent="0.25">
      <c r="A2081">
        <v>151608</v>
      </c>
      <c r="B2081" t="s">
        <v>2</v>
      </c>
      <c r="C2081" t="str">
        <f>LEFT(Table4[[#This Row],[Policy Type]],1)</f>
        <v>1</v>
      </c>
    </row>
    <row r="2082" spans="1:3" x14ac:dyDescent="0.25">
      <c r="A2082">
        <v>151734</v>
      </c>
      <c r="B2082" t="s">
        <v>3</v>
      </c>
      <c r="C2082" t="str">
        <f>LEFT(Table4[[#This Row],[Policy Type]],1)</f>
        <v>2</v>
      </c>
    </row>
    <row r="2083" spans="1:3" x14ac:dyDescent="0.25">
      <c r="A2083">
        <v>151748</v>
      </c>
      <c r="B2083" t="s">
        <v>3</v>
      </c>
      <c r="C2083" t="str">
        <f>LEFT(Table4[[#This Row],[Policy Type]],1)</f>
        <v>2</v>
      </c>
    </row>
    <row r="2084" spans="1:3" x14ac:dyDescent="0.25">
      <c r="A2084">
        <v>151753</v>
      </c>
      <c r="B2084" t="s">
        <v>3</v>
      </c>
      <c r="C2084" t="str">
        <f>LEFT(Table4[[#This Row],[Policy Type]],1)</f>
        <v>2</v>
      </c>
    </row>
    <row r="2085" spans="1:3" x14ac:dyDescent="0.25">
      <c r="A2085">
        <v>151764</v>
      </c>
      <c r="B2085" t="s">
        <v>2</v>
      </c>
      <c r="C2085" t="str">
        <f>LEFT(Table4[[#This Row],[Policy Type]],1)</f>
        <v>1</v>
      </c>
    </row>
    <row r="2086" spans="1:3" x14ac:dyDescent="0.25">
      <c r="A2086">
        <v>152056</v>
      </c>
      <c r="B2086" t="s">
        <v>3</v>
      </c>
      <c r="C2086" t="str">
        <f>LEFT(Table4[[#This Row],[Policy Type]],1)</f>
        <v>2</v>
      </c>
    </row>
    <row r="2087" spans="1:3" x14ac:dyDescent="0.25">
      <c r="A2087">
        <v>152123</v>
      </c>
      <c r="B2087" t="s">
        <v>3</v>
      </c>
      <c r="C2087" t="str">
        <f>LEFT(Table4[[#This Row],[Policy Type]],1)</f>
        <v>2</v>
      </c>
    </row>
    <row r="2088" spans="1:3" x14ac:dyDescent="0.25">
      <c r="A2088">
        <v>152129</v>
      </c>
      <c r="B2088" t="s">
        <v>3</v>
      </c>
      <c r="C2088" t="str">
        <f>LEFT(Table4[[#This Row],[Policy Type]],1)</f>
        <v>2</v>
      </c>
    </row>
    <row r="2089" spans="1:3" x14ac:dyDescent="0.25">
      <c r="A2089">
        <v>152173</v>
      </c>
      <c r="B2089" t="s">
        <v>2</v>
      </c>
      <c r="C2089" t="str">
        <f>LEFT(Table4[[#This Row],[Policy Type]],1)</f>
        <v>1</v>
      </c>
    </row>
    <row r="2090" spans="1:3" x14ac:dyDescent="0.25">
      <c r="A2090">
        <v>151852</v>
      </c>
      <c r="B2090" t="s">
        <v>3</v>
      </c>
      <c r="C2090" t="str">
        <f>LEFT(Table4[[#This Row],[Policy Type]],1)</f>
        <v>2</v>
      </c>
    </row>
    <row r="2091" spans="1:3" x14ac:dyDescent="0.25">
      <c r="A2091">
        <v>151866</v>
      </c>
      <c r="B2091" t="s">
        <v>2</v>
      </c>
      <c r="C2091" t="str">
        <f>LEFT(Table4[[#This Row],[Policy Type]],1)</f>
        <v>1</v>
      </c>
    </row>
    <row r="2092" spans="1:3" x14ac:dyDescent="0.25">
      <c r="A2092">
        <v>151939</v>
      </c>
      <c r="B2092" t="s">
        <v>2</v>
      </c>
      <c r="C2092" t="str">
        <f>LEFT(Table4[[#This Row],[Policy Type]],1)</f>
        <v>1</v>
      </c>
    </row>
    <row r="2093" spans="1:3" x14ac:dyDescent="0.25">
      <c r="A2093">
        <v>152223</v>
      </c>
      <c r="B2093" t="s">
        <v>3</v>
      </c>
      <c r="C2093" t="str">
        <f>LEFT(Table4[[#This Row],[Policy Type]],1)</f>
        <v>2</v>
      </c>
    </row>
    <row r="2094" spans="1:3" x14ac:dyDescent="0.25">
      <c r="A2094">
        <v>152256</v>
      </c>
      <c r="B2094" t="s">
        <v>3</v>
      </c>
      <c r="C2094" t="str">
        <f>LEFT(Table4[[#This Row],[Policy Type]],1)</f>
        <v>2</v>
      </c>
    </row>
    <row r="2095" spans="1:3" x14ac:dyDescent="0.25">
      <c r="A2095">
        <v>152274</v>
      </c>
      <c r="B2095" t="s">
        <v>3</v>
      </c>
      <c r="C2095" t="str">
        <f>LEFT(Table4[[#This Row],[Policy Type]],1)</f>
        <v>2</v>
      </c>
    </row>
    <row r="2096" spans="1:3" x14ac:dyDescent="0.25">
      <c r="A2096">
        <v>152304</v>
      </c>
      <c r="B2096" t="s">
        <v>3</v>
      </c>
      <c r="C2096" t="str">
        <f>LEFT(Table4[[#This Row],[Policy Type]],1)</f>
        <v>2</v>
      </c>
    </row>
    <row r="2097" spans="1:3" x14ac:dyDescent="0.25">
      <c r="A2097">
        <v>152310</v>
      </c>
      <c r="B2097" t="s">
        <v>3</v>
      </c>
      <c r="C2097" t="str">
        <f>LEFT(Table4[[#This Row],[Policy Type]],1)</f>
        <v>2</v>
      </c>
    </row>
    <row r="2098" spans="1:3" x14ac:dyDescent="0.25">
      <c r="A2098">
        <v>152366</v>
      </c>
      <c r="B2098" t="s">
        <v>2</v>
      </c>
      <c r="C2098" t="str">
        <f>LEFT(Table4[[#This Row],[Policy Type]],1)</f>
        <v>1</v>
      </c>
    </row>
    <row r="2099" spans="1:3" x14ac:dyDescent="0.25">
      <c r="A2099">
        <v>152472</v>
      </c>
      <c r="B2099" t="s">
        <v>3</v>
      </c>
      <c r="C2099" t="str">
        <f>LEFT(Table4[[#This Row],[Policy Type]],1)</f>
        <v>2</v>
      </c>
    </row>
    <row r="2100" spans="1:3" x14ac:dyDescent="0.25">
      <c r="A2100">
        <v>152581</v>
      </c>
      <c r="B2100" t="s">
        <v>2</v>
      </c>
      <c r="C2100" t="str">
        <f>LEFT(Table4[[#This Row],[Policy Type]],1)</f>
        <v>1</v>
      </c>
    </row>
    <row r="2101" spans="1:3" x14ac:dyDescent="0.25">
      <c r="A2101">
        <v>152662</v>
      </c>
      <c r="B2101" t="s">
        <v>2</v>
      </c>
      <c r="C2101" t="str">
        <f>LEFT(Table4[[#This Row],[Policy Type]],1)</f>
        <v>1</v>
      </c>
    </row>
    <row r="2102" spans="1:3" x14ac:dyDescent="0.25">
      <c r="A2102">
        <v>152886</v>
      </c>
      <c r="B2102" t="s">
        <v>3</v>
      </c>
      <c r="C2102" t="str">
        <f>LEFT(Table4[[#This Row],[Policy Type]],1)</f>
        <v>2</v>
      </c>
    </row>
    <row r="2103" spans="1:3" x14ac:dyDescent="0.25">
      <c r="A2103">
        <v>152912</v>
      </c>
      <c r="B2103" t="s">
        <v>2</v>
      </c>
      <c r="C2103" t="str">
        <f>LEFT(Table4[[#This Row],[Policy Type]],1)</f>
        <v>1</v>
      </c>
    </row>
    <row r="2104" spans="1:3" x14ac:dyDescent="0.25">
      <c r="A2104">
        <v>152923</v>
      </c>
      <c r="B2104" t="s">
        <v>3</v>
      </c>
      <c r="C2104" t="str">
        <f>LEFT(Table4[[#This Row],[Policy Type]],1)</f>
        <v>2</v>
      </c>
    </row>
    <row r="2105" spans="1:3" x14ac:dyDescent="0.25">
      <c r="A2105">
        <v>152988</v>
      </c>
      <c r="B2105" t="s">
        <v>3</v>
      </c>
      <c r="C2105" t="str">
        <f>LEFT(Table4[[#This Row],[Policy Type]],1)</f>
        <v>2</v>
      </c>
    </row>
    <row r="2106" spans="1:3" x14ac:dyDescent="0.25">
      <c r="A2106">
        <v>153043</v>
      </c>
      <c r="B2106" t="s">
        <v>3</v>
      </c>
      <c r="C2106" t="str">
        <f>LEFT(Table4[[#This Row],[Policy Type]],1)</f>
        <v>2</v>
      </c>
    </row>
    <row r="2107" spans="1:3" x14ac:dyDescent="0.25">
      <c r="A2107">
        <v>153234</v>
      </c>
      <c r="B2107" t="s">
        <v>2</v>
      </c>
      <c r="C2107" t="str">
        <f>LEFT(Table4[[#This Row],[Policy Type]],1)</f>
        <v>1</v>
      </c>
    </row>
    <row r="2108" spans="1:3" x14ac:dyDescent="0.25">
      <c r="A2108">
        <v>153308</v>
      </c>
      <c r="B2108" t="s">
        <v>3</v>
      </c>
      <c r="C2108" t="str">
        <f>LEFT(Table4[[#This Row],[Policy Type]],1)</f>
        <v>2</v>
      </c>
    </row>
    <row r="2109" spans="1:3" x14ac:dyDescent="0.25">
      <c r="A2109">
        <v>153324</v>
      </c>
      <c r="B2109" t="s">
        <v>2</v>
      </c>
      <c r="C2109" t="str">
        <f>LEFT(Table4[[#This Row],[Policy Type]],1)</f>
        <v>1</v>
      </c>
    </row>
    <row r="2110" spans="1:3" x14ac:dyDescent="0.25">
      <c r="A2110">
        <v>153338</v>
      </c>
      <c r="B2110" t="s">
        <v>2</v>
      </c>
      <c r="C2110" t="str">
        <f>LEFT(Table4[[#This Row],[Policy Type]],1)</f>
        <v>1</v>
      </c>
    </row>
    <row r="2111" spans="1:3" x14ac:dyDescent="0.25">
      <c r="A2111">
        <v>153357</v>
      </c>
      <c r="B2111" t="s">
        <v>3</v>
      </c>
      <c r="C2111" t="str">
        <f>LEFT(Table4[[#This Row],[Policy Type]],1)</f>
        <v>2</v>
      </c>
    </row>
    <row r="2112" spans="1:3" x14ac:dyDescent="0.25">
      <c r="A2112">
        <v>153371</v>
      </c>
      <c r="B2112" t="s">
        <v>3</v>
      </c>
      <c r="C2112" t="str">
        <f>LEFT(Table4[[#This Row],[Policy Type]],1)</f>
        <v>2</v>
      </c>
    </row>
    <row r="2113" spans="1:3" x14ac:dyDescent="0.25">
      <c r="A2113">
        <v>153429</v>
      </c>
      <c r="B2113" t="s">
        <v>2</v>
      </c>
      <c r="C2113" t="str">
        <f>LEFT(Table4[[#This Row],[Policy Type]],1)</f>
        <v>1</v>
      </c>
    </row>
    <row r="2114" spans="1:3" x14ac:dyDescent="0.25">
      <c r="A2114">
        <v>153444</v>
      </c>
      <c r="B2114" t="s">
        <v>3</v>
      </c>
      <c r="C2114" t="str">
        <f>LEFT(Table4[[#This Row],[Policy Type]],1)</f>
        <v>2</v>
      </c>
    </row>
    <row r="2115" spans="1:3" x14ac:dyDescent="0.25">
      <c r="A2115">
        <v>153517</v>
      </c>
      <c r="B2115" t="s">
        <v>2</v>
      </c>
      <c r="C2115" t="str">
        <f>LEFT(Table4[[#This Row],[Policy Type]],1)</f>
        <v>1</v>
      </c>
    </row>
    <row r="2116" spans="1:3" x14ac:dyDescent="0.25">
      <c r="A2116">
        <v>153576</v>
      </c>
      <c r="B2116" t="s">
        <v>2</v>
      </c>
      <c r="C2116" t="str">
        <f>LEFT(Table4[[#This Row],[Policy Type]],1)</f>
        <v>1</v>
      </c>
    </row>
    <row r="2117" spans="1:3" x14ac:dyDescent="0.25">
      <c r="A2117">
        <v>153589</v>
      </c>
      <c r="B2117" t="s">
        <v>2</v>
      </c>
      <c r="C2117" t="str">
        <f>LEFT(Table4[[#This Row],[Policy Type]],1)</f>
        <v>1</v>
      </c>
    </row>
    <row r="2118" spans="1:3" x14ac:dyDescent="0.25">
      <c r="A2118">
        <v>153612</v>
      </c>
      <c r="B2118" t="s">
        <v>2</v>
      </c>
      <c r="C2118" t="str">
        <f>LEFT(Table4[[#This Row],[Policy Type]],1)</f>
        <v>1</v>
      </c>
    </row>
    <row r="2119" spans="1:3" x14ac:dyDescent="0.25">
      <c r="A2119">
        <v>153648</v>
      </c>
      <c r="B2119" t="s">
        <v>3</v>
      </c>
      <c r="C2119" t="str">
        <f>LEFT(Table4[[#This Row],[Policy Type]],1)</f>
        <v>2</v>
      </c>
    </row>
    <row r="2120" spans="1:3" x14ac:dyDescent="0.25">
      <c r="A2120">
        <v>153671</v>
      </c>
      <c r="B2120" t="s">
        <v>3</v>
      </c>
      <c r="C2120" t="str">
        <f>LEFT(Table4[[#This Row],[Policy Type]],1)</f>
        <v>2</v>
      </c>
    </row>
    <row r="2121" spans="1:3" x14ac:dyDescent="0.25">
      <c r="A2121">
        <v>153693</v>
      </c>
      <c r="B2121" t="s">
        <v>3</v>
      </c>
      <c r="C2121" t="str">
        <f>LEFT(Table4[[#This Row],[Policy Type]],1)</f>
        <v>2</v>
      </c>
    </row>
    <row r="2122" spans="1:3" x14ac:dyDescent="0.25">
      <c r="A2122">
        <v>153714</v>
      </c>
      <c r="B2122" t="s">
        <v>2</v>
      </c>
      <c r="C2122" t="str">
        <f>LEFT(Table4[[#This Row],[Policy Type]],1)</f>
        <v>1</v>
      </c>
    </row>
    <row r="2123" spans="1:3" x14ac:dyDescent="0.25">
      <c r="A2123">
        <v>153721</v>
      </c>
      <c r="B2123" t="s">
        <v>3</v>
      </c>
      <c r="C2123" t="str">
        <f>LEFT(Table4[[#This Row],[Policy Type]],1)</f>
        <v>2</v>
      </c>
    </row>
    <row r="2124" spans="1:3" x14ac:dyDescent="0.25">
      <c r="A2124">
        <v>153739</v>
      </c>
      <c r="B2124" t="s">
        <v>3</v>
      </c>
      <c r="C2124" t="str">
        <f>LEFT(Table4[[#This Row],[Policy Type]],1)</f>
        <v>2</v>
      </c>
    </row>
    <row r="2125" spans="1:3" x14ac:dyDescent="0.25">
      <c r="A2125">
        <v>153740</v>
      </c>
      <c r="B2125" t="s">
        <v>2</v>
      </c>
      <c r="C2125" t="str">
        <f>LEFT(Table4[[#This Row],[Policy Type]],1)</f>
        <v>1</v>
      </c>
    </row>
    <row r="2126" spans="1:3" x14ac:dyDescent="0.25">
      <c r="A2126">
        <v>153746</v>
      </c>
      <c r="B2126" t="s">
        <v>3</v>
      </c>
      <c r="C2126" t="str">
        <f>LEFT(Table4[[#This Row],[Policy Type]],1)</f>
        <v>2</v>
      </c>
    </row>
    <row r="2127" spans="1:3" x14ac:dyDescent="0.25">
      <c r="A2127">
        <v>153787</v>
      </c>
      <c r="B2127" t="s">
        <v>2</v>
      </c>
      <c r="C2127" t="str">
        <f>LEFT(Table4[[#This Row],[Policy Type]],1)</f>
        <v>1</v>
      </c>
    </row>
    <row r="2128" spans="1:3" x14ac:dyDescent="0.25">
      <c r="A2128">
        <v>153859</v>
      </c>
      <c r="B2128" t="s">
        <v>3</v>
      </c>
      <c r="C2128" t="str">
        <f>LEFT(Table4[[#This Row],[Policy Type]],1)</f>
        <v>2</v>
      </c>
    </row>
    <row r="2129" spans="1:3" x14ac:dyDescent="0.25">
      <c r="A2129">
        <v>153972</v>
      </c>
      <c r="B2129" t="s">
        <v>3</v>
      </c>
      <c r="C2129" t="str">
        <f>LEFT(Table4[[#This Row],[Policy Type]],1)</f>
        <v>2</v>
      </c>
    </row>
    <row r="2130" spans="1:3" x14ac:dyDescent="0.25">
      <c r="A2130">
        <v>153998</v>
      </c>
      <c r="B2130" t="s">
        <v>3</v>
      </c>
      <c r="C2130" t="str">
        <f>LEFT(Table4[[#This Row],[Policy Type]],1)</f>
        <v>2</v>
      </c>
    </row>
    <row r="2131" spans="1:3" x14ac:dyDescent="0.25">
      <c r="A2131">
        <v>154053</v>
      </c>
      <c r="B2131" t="s">
        <v>3</v>
      </c>
      <c r="C2131" t="str">
        <f>LEFT(Table4[[#This Row],[Policy Type]],1)</f>
        <v>2</v>
      </c>
    </row>
    <row r="2132" spans="1:3" x14ac:dyDescent="0.25">
      <c r="A2132">
        <v>154210</v>
      </c>
      <c r="B2132" t="s">
        <v>3</v>
      </c>
      <c r="C2132" t="str">
        <f>LEFT(Table4[[#This Row],[Policy Type]],1)</f>
        <v>2</v>
      </c>
    </row>
    <row r="2133" spans="1:3" x14ac:dyDescent="0.25">
      <c r="A2133">
        <v>154244</v>
      </c>
      <c r="B2133" t="s">
        <v>2</v>
      </c>
      <c r="C2133" t="str">
        <f>LEFT(Table4[[#This Row],[Policy Type]],1)</f>
        <v>1</v>
      </c>
    </row>
    <row r="2134" spans="1:3" x14ac:dyDescent="0.25">
      <c r="A2134">
        <v>154314</v>
      </c>
      <c r="B2134" t="s">
        <v>3</v>
      </c>
      <c r="C2134" t="str">
        <f>LEFT(Table4[[#This Row],[Policy Type]],1)</f>
        <v>2</v>
      </c>
    </row>
    <row r="2135" spans="1:3" x14ac:dyDescent="0.25">
      <c r="A2135">
        <v>154391</v>
      </c>
      <c r="B2135" t="s">
        <v>2</v>
      </c>
      <c r="C2135" t="str">
        <f>LEFT(Table4[[#This Row],[Policy Type]],1)</f>
        <v>1</v>
      </c>
    </row>
    <row r="2136" spans="1:3" x14ac:dyDescent="0.25">
      <c r="A2136">
        <v>154392</v>
      </c>
      <c r="B2136" t="s">
        <v>3</v>
      </c>
      <c r="C2136" t="str">
        <f>LEFT(Table4[[#This Row],[Policy Type]],1)</f>
        <v>2</v>
      </c>
    </row>
    <row r="2137" spans="1:3" x14ac:dyDescent="0.25">
      <c r="A2137">
        <v>154401</v>
      </c>
      <c r="B2137" t="s">
        <v>2</v>
      </c>
      <c r="C2137" t="str">
        <f>LEFT(Table4[[#This Row],[Policy Type]],1)</f>
        <v>1</v>
      </c>
    </row>
    <row r="2138" spans="1:3" x14ac:dyDescent="0.25">
      <c r="A2138">
        <v>154405</v>
      </c>
      <c r="B2138" t="s">
        <v>2</v>
      </c>
      <c r="C2138" t="str">
        <f>LEFT(Table4[[#This Row],[Policy Type]],1)</f>
        <v>1</v>
      </c>
    </row>
    <row r="2139" spans="1:3" x14ac:dyDescent="0.25">
      <c r="A2139">
        <v>154621</v>
      </c>
      <c r="B2139" t="s">
        <v>2</v>
      </c>
      <c r="C2139" t="str">
        <f>LEFT(Table4[[#This Row],[Policy Type]],1)</f>
        <v>1</v>
      </c>
    </row>
    <row r="2140" spans="1:3" x14ac:dyDescent="0.25">
      <c r="A2140">
        <v>154645</v>
      </c>
      <c r="B2140" t="s">
        <v>2</v>
      </c>
      <c r="C2140" t="str">
        <f>LEFT(Table4[[#This Row],[Policy Type]],1)</f>
        <v>1</v>
      </c>
    </row>
    <row r="2141" spans="1:3" x14ac:dyDescent="0.25">
      <c r="A2141">
        <v>154730</v>
      </c>
      <c r="B2141" t="s">
        <v>2</v>
      </c>
      <c r="C2141" t="str">
        <f>LEFT(Table4[[#This Row],[Policy Type]],1)</f>
        <v>1</v>
      </c>
    </row>
    <row r="2142" spans="1:3" x14ac:dyDescent="0.25">
      <c r="A2142">
        <v>154742</v>
      </c>
      <c r="B2142" t="s">
        <v>2</v>
      </c>
      <c r="C2142" t="str">
        <f>LEFT(Table4[[#This Row],[Policy Type]],1)</f>
        <v>1</v>
      </c>
    </row>
    <row r="2143" spans="1:3" x14ac:dyDescent="0.25">
      <c r="A2143">
        <v>154964</v>
      </c>
      <c r="B2143" t="s">
        <v>3</v>
      </c>
      <c r="C2143" t="str">
        <f>LEFT(Table4[[#This Row],[Policy Type]],1)</f>
        <v>2</v>
      </c>
    </row>
    <row r="2144" spans="1:3" x14ac:dyDescent="0.25">
      <c r="A2144">
        <v>154989</v>
      </c>
      <c r="B2144" t="s">
        <v>2</v>
      </c>
      <c r="C2144" t="str">
        <f>LEFT(Table4[[#This Row],[Policy Type]],1)</f>
        <v>1</v>
      </c>
    </row>
    <row r="2145" spans="1:3" x14ac:dyDescent="0.25">
      <c r="A2145">
        <v>154998</v>
      </c>
      <c r="B2145" t="s">
        <v>2</v>
      </c>
      <c r="C2145" t="str">
        <f>LEFT(Table4[[#This Row],[Policy Type]],1)</f>
        <v>1</v>
      </c>
    </row>
    <row r="2146" spans="1:3" x14ac:dyDescent="0.25">
      <c r="A2146">
        <v>154999</v>
      </c>
      <c r="B2146" t="s">
        <v>3</v>
      </c>
      <c r="C2146" t="str">
        <f>LEFT(Table4[[#This Row],[Policy Type]],1)</f>
        <v>2</v>
      </c>
    </row>
    <row r="2147" spans="1:3" x14ac:dyDescent="0.25">
      <c r="A2147">
        <v>155003</v>
      </c>
      <c r="B2147" t="s">
        <v>2</v>
      </c>
      <c r="C2147" t="str">
        <f>LEFT(Table4[[#This Row],[Policy Type]],1)</f>
        <v>1</v>
      </c>
    </row>
    <row r="2148" spans="1:3" x14ac:dyDescent="0.25">
      <c r="A2148">
        <v>155076</v>
      </c>
      <c r="B2148" t="s">
        <v>2</v>
      </c>
      <c r="C2148" t="str">
        <f>LEFT(Table4[[#This Row],[Policy Type]],1)</f>
        <v>1</v>
      </c>
    </row>
    <row r="2149" spans="1:3" x14ac:dyDescent="0.25">
      <c r="A2149">
        <v>155226</v>
      </c>
      <c r="B2149" t="s">
        <v>2</v>
      </c>
      <c r="C2149" t="str">
        <f>LEFT(Table4[[#This Row],[Policy Type]],1)</f>
        <v>1</v>
      </c>
    </row>
    <row r="2150" spans="1:3" x14ac:dyDescent="0.25">
      <c r="A2150">
        <v>155236</v>
      </c>
      <c r="B2150" t="s">
        <v>3</v>
      </c>
      <c r="C2150" t="str">
        <f>LEFT(Table4[[#This Row],[Policy Type]],1)</f>
        <v>2</v>
      </c>
    </row>
    <row r="2151" spans="1:3" x14ac:dyDescent="0.25">
      <c r="A2151">
        <v>155251</v>
      </c>
      <c r="B2151" t="s">
        <v>3</v>
      </c>
      <c r="C2151" t="str">
        <f>LEFT(Table4[[#This Row],[Policy Type]],1)</f>
        <v>2</v>
      </c>
    </row>
    <row r="2152" spans="1:3" x14ac:dyDescent="0.25">
      <c r="A2152">
        <v>155416</v>
      </c>
      <c r="B2152" t="s">
        <v>3</v>
      </c>
      <c r="C2152" t="str">
        <f>LEFT(Table4[[#This Row],[Policy Type]],1)</f>
        <v>2</v>
      </c>
    </row>
    <row r="2153" spans="1:3" x14ac:dyDescent="0.25">
      <c r="A2153">
        <v>155428</v>
      </c>
      <c r="B2153" t="s">
        <v>3</v>
      </c>
      <c r="C2153" t="str">
        <f>LEFT(Table4[[#This Row],[Policy Type]],1)</f>
        <v>2</v>
      </c>
    </row>
    <row r="2154" spans="1:3" x14ac:dyDescent="0.25">
      <c r="A2154">
        <v>155468</v>
      </c>
      <c r="B2154" t="s">
        <v>3</v>
      </c>
      <c r="C2154" t="str">
        <f>LEFT(Table4[[#This Row],[Policy Type]],1)</f>
        <v>2</v>
      </c>
    </row>
    <row r="2155" spans="1:3" x14ac:dyDescent="0.25">
      <c r="A2155">
        <v>155680</v>
      </c>
      <c r="B2155" t="s">
        <v>2</v>
      </c>
      <c r="C2155" t="str">
        <f>LEFT(Table4[[#This Row],[Policy Type]],1)</f>
        <v>1</v>
      </c>
    </row>
    <row r="2156" spans="1:3" x14ac:dyDescent="0.25">
      <c r="A2156">
        <v>155685</v>
      </c>
      <c r="B2156" t="s">
        <v>2</v>
      </c>
      <c r="C2156" t="str">
        <f>LEFT(Table4[[#This Row],[Policy Type]],1)</f>
        <v>1</v>
      </c>
    </row>
    <row r="2157" spans="1:3" x14ac:dyDescent="0.25">
      <c r="A2157">
        <v>155703</v>
      </c>
      <c r="B2157" t="s">
        <v>3</v>
      </c>
      <c r="C2157" t="str">
        <f>LEFT(Table4[[#This Row],[Policy Type]],1)</f>
        <v>2</v>
      </c>
    </row>
    <row r="2158" spans="1:3" x14ac:dyDescent="0.25">
      <c r="A2158">
        <v>155724</v>
      </c>
      <c r="B2158" t="s">
        <v>2</v>
      </c>
      <c r="C2158" t="str">
        <f>LEFT(Table4[[#This Row],[Policy Type]],1)</f>
        <v>1</v>
      </c>
    </row>
    <row r="2159" spans="1:3" x14ac:dyDescent="0.25">
      <c r="A2159">
        <v>155725</v>
      </c>
      <c r="B2159" t="s">
        <v>2</v>
      </c>
      <c r="C2159" t="str">
        <f>LEFT(Table4[[#This Row],[Policy Type]],1)</f>
        <v>1</v>
      </c>
    </row>
    <row r="2160" spans="1:3" x14ac:dyDescent="0.25">
      <c r="A2160">
        <v>155787</v>
      </c>
      <c r="B2160" t="s">
        <v>3</v>
      </c>
      <c r="C2160" t="str">
        <f>LEFT(Table4[[#This Row],[Policy Type]],1)</f>
        <v>2</v>
      </c>
    </row>
    <row r="2161" spans="1:3" x14ac:dyDescent="0.25">
      <c r="A2161">
        <v>155807</v>
      </c>
      <c r="B2161" t="s">
        <v>2</v>
      </c>
      <c r="C2161" t="str">
        <f>LEFT(Table4[[#This Row],[Policy Type]],1)</f>
        <v>1</v>
      </c>
    </row>
    <row r="2162" spans="1:3" x14ac:dyDescent="0.25">
      <c r="A2162">
        <v>155837</v>
      </c>
      <c r="B2162" t="s">
        <v>2</v>
      </c>
      <c r="C2162" t="str">
        <f>LEFT(Table4[[#This Row],[Policy Type]],1)</f>
        <v>1</v>
      </c>
    </row>
    <row r="2163" spans="1:3" x14ac:dyDescent="0.25">
      <c r="A2163">
        <v>155929</v>
      </c>
      <c r="B2163" t="s">
        <v>3</v>
      </c>
      <c r="C2163" t="str">
        <f>LEFT(Table4[[#This Row],[Policy Type]],1)</f>
        <v>2</v>
      </c>
    </row>
    <row r="2164" spans="1:3" x14ac:dyDescent="0.25">
      <c r="A2164">
        <v>156014</v>
      </c>
      <c r="B2164" t="s">
        <v>2</v>
      </c>
      <c r="C2164" t="str">
        <f>LEFT(Table4[[#This Row],[Policy Type]],1)</f>
        <v>1</v>
      </c>
    </row>
    <row r="2165" spans="1:3" x14ac:dyDescent="0.25">
      <c r="A2165">
        <v>156074</v>
      </c>
      <c r="B2165" t="s">
        <v>3</v>
      </c>
      <c r="C2165" t="str">
        <f>LEFT(Table4[[#This Row],[Policy Type]],1)</f>
        <v>2</v>
      </c>
    </row>
    <row r="2166" spans="1:3" x14ac:dyDescent="0.25">
      <c r="A2166">
        <v>156129</v>
      </c>
      <c r="B2166" t="s">
        <v>2</v>
      </c>
      <c r="C2166" t="str">
        <f>LEFT(Table4[[#This Row],[Policy Type]],1)</f>
        <v>1</v>
      </c>
    </row>
    <row r="2167" spans="1:3" x14ac:dyDescent="0.25">
      <c r="A2167">
        <v>156164</v>
      </c>
      <c r="B2167" t="s">
        <v>3</v>
      </c>
      <c r="C2167" t="str">
        <f>LEFT(Table4[[#This Row],[Policy Type]],1)</f>
        <v>2</v>
      </c>
    </row>
    <row r="2168" spans="1:3" x14ac:dyDescent="0.25">
      <c r="A2168">
        <v>156294</v>
      </c>
      <c r="B2168" t="s">
        <v>2</v>
      </c>
      <c r="C2168" t="str">
        <f>LEFT(Table4[[#This Row],[Policy Type]],1)</f>
        <v>1</v>
      </c>
    </row>
    <row r="2169" spans="1:3" x14ac:dyDescent="0.25">
      <c r="A2169">
        <v>156304</v>
      </c>
      <c r="B2169" t="s">
        <v>2</v>
      </c>
      <c r="C2169" t="str">
        <f>LEFT(Table4[[#This Row],[Policy Type]],1)</f>
        <v>1</v>
      </c>
    </row>
    <row r="2170" spans="1:3" x14ac:dyDescent="0.25">
      <c r="A2170">
        <v>156314</v>
      </c>
      <c r="B2170" t="s">
        <v>2</v>
      </c>
      <c r="C2170" t="str">
        <f>LEFT(Table4[[#This Row],[Policy Type]],1)</f>
        <v>1</v>
      </c>
    </row>
    <row r="2171" spans="1:3" x14ac:dyDescent="0.25">
      <c r="A2171">
        <v>156344</v>
      </c>
      <c r="B2171" t="s">
        <v>2</v>
      </c>
      <c r="C2171" t="str">
        <f>LEFT(Table4[[#This Row],[Policy Type]],1)</f>
        <v>1</v>
      </c>
    </row>
    <row r="2172" spans="1:3" x14ac:dyDescent="0.25">
      <c r="A2172">
        <v>156387</v>
      </c>
      <c r="B2172" t="s">
        <v>2</v>
      </c>
      <c r="C2172" t="str">
        <f>LEFT(Table4[[#This Row],[Policy Type]],1)</f>
        <v>1</v>
      </c>
    </row>
    <row r="2173" spans="1:3" x14ac:dyDescent="0.25">
      <c r="A2173">
        <v>156477</v>
      </c>
      <c r="B2173" t="s">
        <v>3</v>
      </c>
      <c r="C2173" t="str">
        <f>LEFT(Table4[[#This Row],[Policy Type]],1)</f>
        <v>2</v>
      </c>
    </row>
    <row r="2174" spans="1:3" x14ac:dyDescent="0.25">
      <c r="A2174">
        <v>156506</v>
      </c>
      <c r="B2174" t="s">
        <v>3</v>
      </c>
      <c r="C2174" t="str">
        <f>LEFT(Table4[[#This Row],[Policy Type]],1)</f>
        <v>2</v>
      </c>
    </row>
    <row r="2175" spans="1:3" x14ac:dyDescent="0.25">
      <c r="A2175">
        <v>156522</v>
      </c>
      <c r="B2175" t="s">
        <v>3</v>
      </c>
      <c r="C2175" t="str">
        <f>LEFT(Table4[[#This Row],[Policy Type]],1)</f>
        <v>2</v>
      </c>
    </row>
    <row r="2176" spans="1:3" x14ac:dyDescent="0.25">
      <c r="A2176">
        <v>156550</v>
      </c>
      <c r="B2176" t="s">
        <v>3</v>
      </c>
      <c r="C2176" t="str">
        <f>LEFT(Table4[[#This Row],[Policy Type]],1)</f>
        <v>2</v>
      </c>
    </row>
    <row r="2177" spans="1:3" x14ac:dyDescent="0.25">
      <c r="A2177">
        <v>156630</v>
      </c>
      <c r="B2177" t="s">
        <v>3</v>
      </c>
      <c r="C2177" t="str">
        <f>LEFT(Table4[[#This Row],[Policy Type]],1)</f>
        <v>2</v>
      </c>
    </row>
    <row r="2178" spans="1:3" x14ac:dyDescent="0.25">
      <c r="A2178">
        <v>156657</v>
      </c>
      <c r="B2178" t="s">
        <v>2</v>
      </c>
      <c r="C2178" t="str">
        <f>LEFT(Table4[[#This Row],[Policy Type]],1)</f>
        <v>1</v>
      </c>
    </row>
    <row r="2179" spans="1:3" x14ac:dyDescent="0.25">
      <c r="A2179">
        <v>156659</v>
      </c>
      <c r="B2179" t="s">
        <v>2</v>
      </c>
      <c r="C2179" t="str">
        <f>LEFT(Table4[[#This Row],[Policy Type]],1)</f>
        <v>1</v>
      </c>
    </row>
    <row r="2180" spans="1:3" x14ac:dyDescent="0.25">
      <c r="A2180">
        <v>156669</v>
      </c>
      <c r="B2180" t="s">
        <v>2</v>
      </c>
      <c r="C2180" t="str">
        <f>LEFT(Table4[[#This Row],[Policy Type]],1)</f>
        <v>1</v>
      </c>
    </row>
    <row r="2181" spans="1:3" x14ac:dyDescent="0.25">
      <c r="A2181">
        <v>156717</v>
      </c>
      <c r="B2181" t="s">
        <v>3</v>
      </c>
      <c r="C2181" t="str">
        <f>LEFT(Table4[[#This Row],[Policy Type]],1)</f>
        <v>2</v>
      </c>
    </row>
    <row r="2182" spans="1:3" x14ac:dyDescent="0.25">
      <c r="A2182">
        <v>156762</v>
      </c>
      <c r="B2182" t="s">
        <v>3</v>
      </c>
      <c r="C2182" t="str">
        <f>LEFT(Table4[[#This Row],[Policy Type]],1)</f>
        <v>2</v>
      </c>
    </row>
    <row r="2183" spans="1:3" x14ac:dyDescent="0.25">
      <c r="A2183">
        <v>156782</v>
      </c>
      <c r="B2183" t="s">
        <v>3</v>
      </c>
      <c r="C2183" t="str">
        <f>LEFT(Table4[[#This Row],[Policy Type]],1)</f>
        <v>2</v>
      </c>
    </row>
    <row r="2184" spans="1:3" x14ac:dyDescent="0.25">
      <c r="A2184">
        <v>156802</v>
      </c>
      <c r="B2184" t="s">
        <v>3</v>
      </c>
      <c r="C2184" t="str">
        <f>LEFT(Table4[[#This Row],[Policy Type]],1)</f>
        <v>2</v>
      </c>
    </row>
    <row r="2185" spans="1:3" x14ac:dyDescent="0.25">
      <c r="A2185">
        <v>156837</v>
      </c>
      <c r="B2185" t="s">
        <v>2</v>
      </c>
      <c r="C2185" t="str">
        <f>LEFT(Table4[[#This Row],[Policy Type]],1)</f>
        <v>1</v>
      </c>
    </row>
    <row r="2186" spans="1:3" x14ac:dyDescent="0.25">
      <c r="A2186">
        <v>156871</v>
      </c>
      <c r="B2186" t="s">
        <v>2</v>
      </c>
      <c r="C2186" t="str">
        <f>LEFT(Table4[[#This Row],[Policy Type]],1)</f>
        <v>1</v>
      </c>
    </row>
    <row r="2187" spans="1:3" x14ac:dyDescent="0.25">
      <c r="A2187">
        <v>156881</v>
      </c>
      <c r="B2187" t="s">
        <v>3</v>
      </c>
      <c r="C2187" t="str">
        <f>LEFT(Table4[[#This Row],[Policy Type]],1)</f>
        <v>2</v>
      </c>
    </row>
    <row r="2188" spans="1:3" x14ac:dyDescent="0.25">
      <c r="A2188">
        <v>156885</v>
      </c>
      <c r="B2188" t="s">
        <v>3</v>
      </c>
      <c r="C2188" t="str">
        <f>LEFT(Table4[[#This Row],[Policy Type]],1)</f>
        <v>2</v>
      </c>
    </row>
    <row r="2189" spans="1:3" x14ac:dyDescent="0.25">
      <c r="A2189">
        <v>156906</v>
      </c>
      <c r="B2189" t="s">
        <v>2</v>
      </c>
      <c r="C2189" t="str">
        <f>LEFT(Table4[[#This Row],[Policy Type]],1)</f>
        <v>1</v>
      </c>
    </row>
    <row r="2190" spans="1:3" x14ac:dyDescent="0.25">
      <c r="A2190">
        <v>156948</v>
      </c>
      <c r="B2190" t="s">
        <v>2</v>
      </c>
      <c r="C2190" t="str">
        <f>LEFT(Table4[[#This Row],[Policy Type]],1)</f>
        <v>1</v>
      </c>
    </row>
    <row r="2191" spans="1:3" x14ac:dyDescent="0.25">
      <c r="A2191">
        <v>157169</v>
      </c>
      <c r="B2191" t="s">
        <v>3</v>
      </c>
      <c r="C2191" t="str">
        <f>LEFT(Table4[[#This Row],[Policy Type]],1)</f>
        <v>2</v>
      </c>
    </row>
    <row r="2192" spans="1:3" x14ac:dyDescent="0.25">
      <c r="A2192">
        <v>157173</v>
      </c>
      <c r="B2192" t="s">
        <v>3</v>
      </c>
      <c r="C2192" t="str">
        <f>LEFT(Table4[[#This Row],[Policy Type]],1)</f>
        <v>2</v>
      </c>
    </row>
    <row r="2193" spans="1:3" x14ac:dyDescent="0.25">
      <c r="A2193">
        <v>157210</v>
      </c>
      <c r="B2193" t="s">
        <v>3</v>
      </c>
      <c r="C2193" t="str">
        <f>LEFT(Table4[[#This Row],[Policy Type]],1)</f>
        <v>2</v>
      </c>
    </row>
    <row r="2194" spans="1:3" x14ac:dyDescent="0.25">
      <c r="A2194">
        <v>157235</v>
      </c>
      <c r="B2194" t="s">
        <v>2</v>
      </c>
      <c r="C2194" t="str">
        <f>LEFT(Table4[[#This Row],[Policy Type]],1)</f>
        <v>1</v>
      </c>
    </row>
    <row r="2195" spans="1:3" x14ac:dyDescent="0.25">
      <c r="A2195">
        <v>157268</v>
      </c>
      <c r="B2195" t="s">
        <v>3</v>
      </c>
      <c r="C2195" t="str">
        <f>LEFT(Table4[[#This Row],[Policy Type]],1)</f>
        <v>2</v>
      </c>
    </row>
    <row r="2196" spans="1:3" x14ac:dyDescent="0.25">
      <c r="A2196">
        <v>157287</v>
      </c>
      <c r="B2196" t="s">
        <v>2</v>
      </c>
      <c r="C2196" t="str">
        <f>LEFT(Table4[[#This Row],[Policy Type]],1)</f>
        <v>1</v>
      </c>
    </row>
    <row r="2197" spans="1:3" x14ac:dyDescent="0.25">
      <c r="A2197">
        <v>157354</v>
      </c>
      <c r="B2197" t="s">
        <v>3</v>
      </c>
      <c r="C2197" t="str">
        <f>LEFT(Table4[[#This Row],[Policy Type]],1)</f>
        <v>2</v>
      </c>
    </row>
    <row r="2198" spans="1:3" x14ac:dyDescent="0.25">
      <c r="A2198">
        <v>157597</v>
      </c>
      <c r="B2198" t="s">
        <v>2</v>
      </c>
      <c r="C2198" t="str">
        <f>LEFT(Table4[[#This Row],[Policy Type]],1)</f>
        <v>1</v>
      </c>
    </row>
    <row r="2199" spans="1:3" x14ac:dyDescent="0.25">
      <c r="A2199">
        <v>157607</v>
      </c>
      <c r="B2199" t="s">
        <v>3</v>
      </c>
      <c r="C2199" t="str">
        <f>LEFT(Table4[[#This Row],[Policy Type]],1)</f>
        <v>2</v>
      </c>
    </row>
    <row r="2200" spans="1:3" x14ac:dyDescent="0.25">
      <c r="A2200">
        <v>157635</v>
      </c>
      <c r="B2200" t="s">
        <v>2</v>
      </c>
      <c r="C2200" t="str">
        <f>LEFT(Table4[[#This Row],[Policy Type]],1)</f>
        <v>1</v>
      </c>
    </row>
    <row r="2201" spans="1:3" x14ac:dyDescent="0.25">
      <c r="A2201">
        <v>157636</v>
      </c>
      <c r="B2201" t="s">
        <v>3</v>
      </c>
      <c r="C2201" t="str">
        <f>LEFT(Table4[[#This Row],[Policy Type]],1)</f>
        <v>2</v>
      </c>
    </row>
    <row r="2202" spans="1:3" x14ac:dyDescent="0.25">
      <c r="A2202">
        <v>157686</v>
      </c>
      <c r="B2202" t="s">
        <v>2</v>
      </c>
      <c r="C2202" t="str">
        <f>LEFT(Table4[[#This Row],[Policy Type]],1)</f>
        <v>1</v>
      </c>
    </row>
    <row r="2203" spans="1:3" x14ac:dyDescent="0.25">
      <c r="A2203">
        <v>157704</v>
      </c>
      <c r="B2203" t="s">
        <v>2</v>
      </c>
      <c r="C2203" t="str">
        <f>LEFT(Table4[[#This Row],[Policy Type]],1)</f>
        <v>1</v>
      </c>
    </row>
    <row r="2204" spans="1:3" x14ac:dyDescent="0.25">
      <c r="A2204">
        <v>157715</v>
      </c>
      <c r="B2204" t="s">
        <v>2</v>
      </c>
      <c r="C2204" t="str">
        <f>LEFT(Table4[[#This Row],[Policy Type]],1)</f>
        <v>1</v>
      </c>
    </row>
    <row r="2205" spans="1:3" x14ac:dyDescent="0.25">
      <c r="A2205">
        <v>158005</v>
      </c>
      <c r="B2205" t="s">
        <v>3</v>
      </c>
      <c r="C2205" t="str">
        <f>LEFT(Table4[[#This Row],[Policy Type]],1)</f>
        <v>2</v>
      </c>
    </row>
    <row r="2206" spans="1:3" x14ac:dyDescent="0.25">
      <c r="A2206">
        <v>158017</v>
      </c>
      <c r="B2206" t="s">
        <v>3</v>
      </c>
      <c r="C2206" t="str">
        <f>LEFT(Table4[[#This Row],[Policy Type]],1)</f>
        <v>2</v>
      </c>
    </row>
    <row r="2207" spans="1:3" x14ac:dyDescent="0.25">
      <c r="A2207">
        <v>158022</v>
      </c>
      <c r="B2207" t="s">
        <v>3</v>
      </c>
      <c r="C2207" t="str">
        <f>LEFT(Table4[[#This Row],[Policy Type]],1)</f>
        <v>2</v>
      </c>
    </row>
    <row r="2208" spans="1:3" x14ac:dyDescent="0.25">
      <c r="A2208">
        <v>158038</v>
      </c>
      <c r="B2208" t="s">
        <v>2</v>
      </c>
      <c r="C2208" t="str">
        <f>LEFT(Table4[[#This Row],[Policy Type]],1)</f>
        <v>1</v>
      </c>
    </row>
    <row r="2209" spans="1:3" x14ac:dyDescent="0.25">
      <c r="A2209">
        <v>158094</v>
      </c>
      <c r="B2209" t="s">
        <v>2</v>
      </c>
      <c r="C2209" t="str">
        <f>LEFT(Table4[[#This Row],[Policy Type]],1)</f>
        <v>1</v>
      </c>
    </row>
    <row r="2210" spans="1:3" x14ac:dyDescent="0.25">
      <c r="A2210">
        <v>158119</v>
      </c>
      <c r="B2210" t="s">
        <v>3</v>
      </c>
      <c r="C2210" t="str">
        <f>LEFT(Table4[[#This Row],[Policy Type]],1)</f>
        <v>2</v>
      </c>
    </row>
    <row r="2211" spans="1:3" x14ac:dyDescent="0.25">
      <c r="A2211">
        <v>158199</v>
      </c>
      <c r="B2211" t="s">
        <v>2</v>
      </c>
      <c r="C2211" t="str">
        <f>LEFT(Table4[[#This Row],[Policy Type]],1)</f>
        <v>1</v>
      </c>
    </row>
    <row r="2212" spans="1:3" x14ac:dyDescent="0.25">
      <c r="A2212">
        <v>157822</v>
      </c>
      <c r="B2212" t="s">
        <v>2</v>
      </c>
      <c r="C2212" t="str">
        <f>LEFT(Table4[[#This Row],[Policy Type]],1)</f>
        <v>1</v>
      </c>
    </row>
    <row r="2213" spans="1:3" x14ac:dyDescent="0.25">
      <c r="A2213">
        <v>157832</v>
      </c>
      <c r="B2213" t="s">
        <v>3</v>
      </c>
      <c r="C2213" t="str">
        <f>LEFT(Table4[[#This Row],[Policy Type]],1)</f>
        <v>2</v>
      </c>
    </row>
    <row r="2214" spans="1:3" x14ac:dyDescent="0.25">
      <c r="A2214">
        <v>157906</v>
      </c>
      <c r="B2214" t="s">
        <v>2</v>
      </c>
      <c r="C2214" t="str">
        <f>LEFT(Table4[[#This Row],[Policy Type]],1)</f>
        <v>1</v>
      </c>
    </row>
    <row r="2215" spans="1:3" x14ac:dyDescent="0.25">
      <c r="A2215">
        <v>157916</v>
      </c>
      <c r="B2215" t="s">
        <v>2</v>
      </c>
      <c r="C2215" t="str">
        <f>LEFT(Table4[[#This Row],[Policy Type]],1)</f>
        <v>1</v>
      </c>
    </row>
    <row r="2216" spans="1:3" x14ac:dyDescent="0.25">
      <c r="A2216">
        <v>157981</v>
      </c>
      <c r="B2216" t="s">
        <v>2</v>
      </c>
      <c r="C2216" t="str">
        <f>LEFT(Table4[[#This Row],[Policy Type]],1)</f>
        <v>1</v>
      </c>
    </row>
    <row r="2217" spans="1:3" x14ac:dyDescent="0.25">
      <c r="A2217">
        <v>158430</v>
      </c>
      <c r="B2217" t="s">
        <v>3</v>
      </c>
      <c r="C2217" t="str">
        <f>LEFT(Table4[[#This Row],[Policy Type]],1)</f>
        <v>2</v>
      </c>
    </row>
    <row r="2218" spans="1:3" x14ac:dyDescent="0.25">
      <c r="A2218">
        <v>158562</v>
      </c>
      <c r="B2218" t="s">
        <v>3</v>
      </c>
      <c r="C2218" t="str">
        <f>LEFT(Table4[[#This Row],[Policy Type]],1)</f>
        <v>2</v>
      </c>
    </row>
    <row r="2219" spans="1:3" x14ac:dyDescent="0.25">
      <c r="A2219">
        <v>158595</v>
      </c>
      <c r="B2219" t="s">
        <v>3</v>
      </c>
      <c r="C2219" t="str">
        <f>LEFT(Table4[[#This Row],[Policy Type]],1)</f>
        <v>2</v>
      </c>
    </row>
    <row r="2220" spans="1:3" x14ac:dyDescent="0.25">
      <c r="A2220">
        <v>158201</v>
      </c>
      <c r="B2220" t="s">
        <v>2</v>
      </c>
      <c r="C2220" t="str">
        <f>LEFT(Table4[[#This Row],[Policy Type]],1)</f>
        <v>1</v>
      </c>
    </row>
    <row r="2221" spans="1:3" x14ac:dyDescent="0.25">
      <c r="A2221">
        <v>158284</v>
      </c>
      <c r="B2221" t="s">
        <v>3</v>
      </c>
      <c r="C2221" t="str">
        <f>LEFT(Table4[[#This Row],[Policy Type]],1)</f>
        <v>2</v>
      </c>
    </row>
    <row r="2222" spans="1:3" x14ac:dyDescent="0.25">
      <c r="A2222">
        <v>158308</v>
      </c>
      <c r="B2222" t="s">
        <v>3</v>
      </c>
      <c r="C2222" t="str">
        <f>LEFT(Table4[[#This Row],[Policy Type]],1)</f>
        <v>2</v>
      </c>
    </row>
    <row r="2223" spans="1:3" x14ac:dyDescent="0.25">
      <c r="A2223">
        <v>158311</v>
      </c>
      <c r="B2223" t="s">
        <v>3</v>
      </c>
      <c r="C2223" t="str">
        <f>LEFT(Table4[[#This Row],[Policy Type]],1)</f>
        <v>2</v>
      </c>
    </row>
    <row r="2224" spans="1:3" x14ac:dyDescent="0.25">
      <c r="A2224">
        <v>158330</v>
      </c>
      <c r="B2224" t="s">
        <v>3</v>
      </c>
      <c r="C2224" t="str">
        <f>LEFT(Table4[[#This Row],[Policy Type]],1)</f>
        <v>2</v>
      </c>
    </row>
    <row r="2225" spans="1:3" x14ac:dyDescent="0.25">
      <c r="A2225">
        <v>158752</v>
      </c>
      <c r="B2225" t="s">
        <v>3</v>
      </c>
      <c r="C2225" t="str">
        <f>LEFT(Table4[[#This Row],[Policy Type]],1)</f>
        <v>2</v>
      </c>
    </row>
    <row r="2226" spans="1:3" x14ac:dyDescent="0.25">
      <c r="A2226">
        <v>158834</v>
      </c>
      <c r="B2226" t="s">
        <v>2</v>
      </c>
      <c r="C2226" t="str">
        <f>LEFT(Table4[[#This Row],[Policy Type]],1)</f>
        <v>1</v>
      </c>
    </row>
    <row r="2227" spans="1:3" x14ac:dyDescent="0.25">
      <c r="A2227">
        <v>158851</v>
      </c>
      <c r="B2227" t="s">
        <v>2</v>
      </c>
      <c r="C2227" t="str">
        <f>LEFT(Table4[[#This Row],[Policy Type]],1)</f>
        <v>1</v>
      </c>
    </row>
    <row r="2228" spans="1:3" x14ac:dyDescent="0.25">
      <c r="A2228">
        <v>158866</v>
      </c>
      <c r="B2228" t="s">
        <v>3</v>
      </c>
      <c r="C2228" t="str">
        <f>LEFT(Table4[[#This Row],[Policy Type]],1)</f>
        <v>2</v>
      </c>
    </row>
    <row r="2229" spans="1:3" x14ac:dyDescent="0.25">
      <c r="A2229">
        <v>158914</v>
      </c>
      <c r="B2229" t="s">
        <v>3</v>
      </c>
      <c r="C2229" t="str">
        <f>LEFT(Table4[[#This Row],[Policy Type]],1)</f>
        <v>2</v>
      </c>
    </row>
    <row r="2230" spans="1:3" x14ac:dyDescent="0.25">
      <c r="A2230">
        <v>158956</v>
      </c>
      <c r="B2230" t="s">
        <v>2</v>
      </c>
      <c r="C2230" t="str">
        <f>LEFT(Table4[[#This Row],[Policy Type]],1)</f>
        <v>1</v>
      </c>
    </row>
    <row r="2231" spans="1:3" x14ac:dyDescent="0.25">
      <c r="A2231">
        <v>158960</v>
      </c>
      <c r="B2231" t="s">
        <v>3</v>
      </c>
      <c r="C2231" t="str">
        <f>LEFT(Table4[[#This Row],[Policy Type]],1)</f>
        <v>2</v>
      </c>
    </row>
    <row r="2232" spans="1:3" x14ac:dyDescent="0.25">
      <c r="A2232">
        <v>158969</v>
      </c>
      <c r="B2232" t="s">
        <v>2</v>
      </c>
      <c r="C2232" t="str">
        <f>LEFT(Table4[[#This Row],[Policy Type]],1)</f>
        <v>1</v>
      </c>
    </row>
    <row r="2233" spans="1:3" x14ac:dyDescent="0.25">
      <c r="A2233">
        <v>159090</v>
      </c>
      <c r="B2233" t="s">
        <v>3</v>
      </c>
      <c r="C2233" t="str">
        <f>LEFT(Table4[[#This Row],[Policy Type]],1)</f>
        <v>2</v>
      </c>
    </row>
    <row r="2234" spans="1:3" x14ac:dyDescent="0.25">
      <c r="A2234">
        <v>159116</v>
      </c>
      <c r="B2234" t="s">
        <v>3</v>
      </c>
      <c r="C2234" t="str">
        <f>LEFT(Table4[[#This Row],[Policy Type]],1)</f>
        <v>2</v>
      </c>
    </row>
    <row r="2235" spans="1:3" x14ac:dyDescent="0.25">
      <c r="A2235">
        <v>159255</v>
      </c>
      <c r="B2235" t="s">
        <v>2</v>
      </c>
      <c r="C2235" t="str">
        <f>LEFT(Table4[[#This Row],[Policy Type]],1)</f>
        <v>1</v>
      </c>
    </row>
    <row r="2236" spans="1:3" x14ac:dyDescent="0.25">
      <c r="A2236">
        <v>159265</v>
      </c>
      <c r="B2236" t="s">
        <v>2</v>
      </c>
      <c r="C2236" t="str">
        <f>LEFT(Table4[[#This Row],[Policy Type]],1)</f>
        <v>1</v>
      </c>
    </row>
    <row r="2237" spans="1:3" x14ac:dyDescent="0.25">
      <c r="A2237">
        <v>159284</v>
      </c>
      <c r="B2237" t="s">
        <v>3</v>
      </c>
      <c r="C2237" t="str">
        <f>LEFT(Table4[[#This Row],[Policy Type]],1)</f>
        <v>2</v>
      </c>
    </row>
    <row r="2238" spans="1:3" x14ac:dyDescent="0.25">
      <c r="A2238">
        <v>159293</v>
      </c>
      <c r="B2238" t="s">
        <v>2</v>
      </c>
      <c r="C2238" t="str">
        <f>LEFT(Table4[[#This Row],[Policy Type]],1)</f>
        <v>1</v>
      </c>
    </row>
    <row r="2239" spans="1:3" x14ac:dyDescent="0.25">
      <c r="A2239">
        <v>159297</v>
      </c>
      <c r="B2239" t="s">
        <v>2</v>
      </c>
      <c r="C2239" t="str">
        <f>LEFT(Table4[[#This Row],[Policy Type]],1)</f>
        <v>1</v>
      </c>
    </row>
    <row r="2240" spans="1:3" x14ac:dyDescent="0.25">
      <c r="A2240">
        <v>159301</v>
      </c>
      <c r="B2240" t="s">
        <v>2</v>
      </c>
      <c r="C2240" t="str">
        <f>LEFT(Table4[[#This Row],[Policy Type]],1)</f>
        <v>1</v>
      </c>
    </row>
    <row r="2241" spans="1:3" x14ac:dyDescent="0.25">
      <c r="A2241">
        <v>159331</v>
      </c>
      <c r="B2241" t="s">
        <v>2</v>
      </c>
      <c r="C2241" t="str">
        <f>LEFT(Table4[[#This Row],[Policy Type]],1)</f>
        <v>1</v>
      </c>
    </row>
    <row r="2242" spans="1:3" x14ac:dyDescent="0.25">
      <c r="A2242">
        <v>159409</v>
      </c>
      <c r="B2242" t="s">
        <v>3</v>
      </c>
      <c r="C2242" t="str">
        <f>LEFT(Table4[[#This Row],[Policy Type]],1)</f>
        <v>2</v>
      </c>
    </row>
    <row r="2243" spans="1:3" x14ac:dyDescent="0.25">
      <c r="A2243">
        <v>159451</v>
      </c>
      <c r="B2243" t="s">
        <v>3</v>
      </c>
      <c r="C2243" t="str">
        <f>LEFT(Table4[[#This Row],[Policy Type]],1)</f>
        <v>2</v>
      </c>
    </row>
    <row r="2244" spans="1:3" x14ac:dyDescent="0.25">
      <c r="A2244">
        <v>159453</v>
      </c>
      <c r="B2244" t="s">
        <v>3</v>
      </c>
      <c r="C2244" t="str">
        <f>LEFT(Table4[[#This Row],[Policy Type]],1)</f>
        <v>2</v>
      </c>
    </row>
    <row r="2245" spans="1:3" x14ac:dyDescent="0.25">
      <c r="A2245">
        <v>159495</v>
      </c>
      <c r="B2245" t="s">
        <v>2</v>
      </c>
      <c r="C2245" t="str">
        <f>LEFT(Table4[[#This Row],[Policy Type]],1)</f>
        <v>1</v>
      </c>
    </row>
    <row r="2246" spans="1:3" x14ac:dyDescent="0.25">
      <c r="A2246">
        <v>159496</v>
      </c>
      <c r="B2246" t="s">
        <v>3</v>
      </c>
      <c r="C2246" t="str">
        <f>LEFT(Table4[[#This Row],[Policy Type]],1)</f>
        <v>2</v>
      </c>
    </row>
    <row r="2247" spans="1:3" x14ac:dyDescent="0.25">
      <c r="A2247">
        <v>159534</v>
      </c>
      <c r="B2247" t="s">
        <v>3</v>
      </c>
      <c r="C2247" t="str">
        <f>LEFT(Table4[[#This Row],[Policy Type]],1)</f>
        <v>2</v>
      </c>
    </row>
    <row r="2248" spans="1:3" x14ac:dyDescent="0.25">
      <c r="A2248">
        <v>159552</v>
      </c>
      <c r="B2248" t="s">
        <v>3</v>
      </c>
      <c r="C2248" t="str">
        <f>LEFT(Table4[[#This Row],[Policy Type]],1)</f>
        <v>2</v>
      </c>
    </row>
    <row r="2249" spans="1:3" x14ac:dyDescent="0.25">
      <c r="A2249">
        <v>159553</v>
      </c>
      <c r="B2249" t="s">
        <v>3</v>
      </c>
      <c r="C2249" t="str">
        <f>LEFT(Table4[[#This Row],[Policy Type]],1)</f>
        <v>2</v>
      </c>
    </row>
    <row r="2250" spans="1:3" x14ac:dyDescent="0.25">
      <c r="A2250">
        <v>159558</v>
      </c>
      <c r="B2250" t="s">
        <v>2</v>
      </c>
      <c r="C2250" t="str">
        <f>LEFT(Table4[[#This Row],[Policy Type]],1)</f>
        <v>1</v>
      </c>
    </row>
    <row r="2251" spans="1:3" x14ac:dyDescent="0.25">
      <c r="A2251">
        <v>159568</v>
      </c>
      <c r="B2251" t="s">
        <v>3</v>
      </c>
      <c r="C2251" t="str">
        <f>LEFT(Table4[[#This Row],[Policy Type]],1)</f>
        <v>2</v>
      </c>
    </row>
    <row r="2252" spans="1:3" x14ac:dyDescent="0.25">
      <c r="A2252">
        <v>159600</v>
      </c>
      <c r="B2252" t="s">
        <v>3</v>
      </c>
      <c r="C2252" t="str">
        <f>LEFT(Table4[[#This Row],[Policy Type]],1)</f>
        <v>2</v>
      </c>
    </row>
    <row r="2253" spans="1:3" x14ac:dyDescent="0.25">
      <c r="A2253">
        <v>159611</v>
      </c>
      <c r="B2253" t="s">
        <v>3</v>
      </c>
      <c r="C2253" t="str">
        <f>LEFT(Table4[[#This Row],[Policy Type]],1)</f>
        <v>2</v>
      </c>
    </row>
    <row r="2254" spans="1:3" x14ac:dyDescent="0.25">
      <c r="A2254">
        <v>159699</v>
      </c>
      <c r="B2254" t="s">
        <v>3</v>
      </c>
      <c r="C2254" t="str">
        <f>LEFT(Table4[[#This Row],[Policy Type]],1)</f>
        <v>2</v>
      </c>
    </row>
    <row r="2255" spans="1:3" x14ac:dyDescent="0.25">
      <c r="A2255">
        <v>159702</v>
      </c>
      <c r="B2255" t="s">
        <v>3</v>
      </c>
      <c r="C2255" t="str">
        <f>LEFT(Table4[[#This Row],[Policy Type]],1)</f>
        <v>2</v>
      </c>
    </row>
    <row r="2256" spans="1:3" x14ac:dyDescent="0.25">
      <c r="A2256">
        <v>159850</v>
      </c>
      <c r="B2256" t="s">
        <v>2</v>
      </c>
      <c r="C2256" t="str">
        <f>LEFT(Table4[[#This Row],[Policy Type]],1)</f>
        <v>1</v>
      </c>
    </row>
    <row r="2257" spans="1:3" x14ac:dyDescent="0.25">
      <c r="A2257">
        <v>159859</v>
      </c>
      <c r="B2257" t="s">
        <v>3</v>
      </c>
      <c r="C2257" t="str">
        <f>LEFT(Table4[[#This Row],[Policy Type]],1)</f>
        <v>2</v>
      </c>
    </row>
    <row r="2258" spans="1:3" x14ac:dyDescent="0.25">
      <c r="A2258">
        <v>159861</v>
      </c>
      <c r="B2258" t="s">
        <v>2</v>
      </c>
      <c r="C2258" t="str">
        <f>LEFT(Table4[[#This Row],[Policy Type]],1)</f>
        <v>1</v>
      </c>
    </row>
    <row r="2259" spans="1:3" x14ac:dyDescent="0.25">
      <c r="A2259">
        <v>159874</v>
      </c>
      <c r="B2259" t="s">
        <v>3</v>
      </c>
      <c r="C2259" t="str">
        <f>LEFT(Table4[[#This Row],[Policy Type]],1)</f>
        <v>2</v>
      </c>
    </row>
    <row r="2260" spans="1:3" x14ac:dyDescent="0.25">
      <c r="A2260">
        <v>159976</v>
      </c>
      <c r="B2260" t="s">
        <v>2</v>
      </c>
      <c r="C2260" t="str">
        <f>LEFT(Table4[[#This Row],[Policy Type]],1)</f>
        <v>1</v>
      </c>
    </row>
    <row r="2261" spans="1:3" x14ac:dyDescent="0.25">
      <c r="A2261">
        <v>160105</v>
      </c>
      <c r="B2261" t="s">
        <v>2</v>
      </c>
      <c r="C2261" t="str">
        <f>LEFT(Table4[[#This Row],[Policy Type]],1)</f>
        <v>1</v>
      </c>
    </row>
    <row r="2262" spans="1:3" x14ac:dyDescent="0.25">
      <c r="A2262">
        <v>160117</v>
      </c>
      <c r="B2262" t="s">
        <v>2</v>
      </c>
      <c r="C2262" t="str">
        <f>LEFT(Table4[[#This Row],[Policy Type]],1)</f>
        <v>1</v>
      </c>
    </row>
    <row r="2263" spans="1:3" x14ac:dyDescent="0.25">
      <c r="A2263">
        <v>160171</v>
      </c>
      <c r="B2263" t="s">
        <v>3</v>
      </c>
      <c r="C2263" t="str">
        <f>LEFT(Table4[[#This Row],[Policy Type]],1)</f>
        <v>2</v>
      </c>
    </row>
    <row r="2264" spans="1:3" x14ac:dyDescent="0.25">
      <c r="A2264">
        <v>160228</v>
      </c>
      <c r="B2264" t="s">
        <v>3</v>
      </c>
      <c r="C2264" t="str">
        <f>LEFT(Table4[[#This Row],[Policy Type]],1)</f>
        <v>2</v>
      </c>
    </row>
    <row r="2265" spans="1:3" x14ac:dyDescent="0.25">
      <c r="A2265">
        <v>160411</v>
      </c>
      <c r="B2265" t="s">
        <v>3</v>
      </c>
      <c r="C2265" t="str">
        <f>LEFT(Table4[[#This Row],[Policy Type]],1)</f>
        <v>2</v>
      </c>
    </row>
    <row r="2266" spans="1:3" x14ac:dyDescent="0.25">
      <c r="A2266">
        <v>160590</v>
      </c>
      <c r="B2266" t="s">
        <v>3</v>
      </c>
      <c r="C2266" t="str">
        <f>LEFT(Table4[[#This Row],[Policy Type]],1)</f>
        <v>2</v>
      </c>
    </row>
    <row r="2267" spans="1:3" x14ac:dyDescent="0.25">
      <c r="A2267">
        <v>160642</v>
      </c>
      <c r="B2267" t="s">
        <v>3</v>
      </c>
      <c r="C2267" t="str">
        <f>LEFT(Table4[[#This Row],[Policy Type]],1)</f>
        <v>2</v>
      </c>
    </row>
    <row r="2268" spans="1:3" x14ac:dyDescent="0.25">
      <c r="A2268">
        <v>160681</v>
      </c>
      <c r="B2268" t="s">
        <v>2</v>
      </c>
      <c r="C2268" t="str">
        <f>LEFT(Table4[[#This Row],[Policy Type]],1)</f>
        <v>1</v>
      </c>
    </row>
    <row r="2269" spans="1:3" x14ac:dyDescent="0.25">
      <c r="A2269">
        <v>160743</v>
      </c>
      <c r="B2269" t="s">
        <v>3</v>
      </c>
      <c r="C2269" t="str">
        <f>LEFT(Table4[[#This Row],[Policy Type]],1)</f>
        <v>2</v>
      </c>
    </row>
    <row r="2270" spans="1:3" x14ac:dyDescent="0.25">
      <c r="A2270">
        <v>160763</v>
      </c>
      <c r="B2270" t="s">
        <v>2</v>
      </c>
      <c r="C2270" t="str">
        <f>LEFT(Table4[[#This Row],[Policy Type]],1)</f>
        <v>1</v>
      </c>
    </row>
    <row r="2271" spans="1:3" x14ac:dyDescent="0.25">
      <c r="A2271">
        <v>160778</v>
      </c>
      <c r="B2271" t="s">
        <v>3</v>
      </c>
      <c r="C2271" t="str">
        <f>LEFT(Table4[[#This Row],[Policy Type]],1)</f>
        <v>2</v>
      </c>
    </row>
    <row r="2272" spans="1:3" x14ac:dyDescent="0.25">
      <c r="A2272">
        <v>160836</v>
      </c>
      <c r="B2272" t="s">
        <v>2</v>
      </c>
      <c r="C2272" t="str">
        <f>LEFT(Table4[[#This Row],[Policy Type]],1)</f>
        <v>1</v>
      </c>
    </row>
    <row r="2273" spans="1:3" x14ac:dyDescent="0.25">
      <c r="A2273">
        <v>161063</v>
      </c>
      <c r="B2273" t="s">
        <v>3</v>
      </c>
      <c r="C2273" t="str">
        <f>LEFT(Table4[[#This Row],[Policy Type]],1)</f>
        <v>2</v>
      </c>
    </row>
    <row r="2274" spans="1:3" x14ac:dyDescent="0.25">
      <c r="A2274">
        <v>161103</v>
      </c>
      <c r="B2274" t="s">
        <v>2</v>
      </c>
      <c r="C2274" t="str">
        <f>LEFT(Table4[[#This Row],[Policy Type]],1)</f>
        <v>1</v>
      </c>
    </row>
    <row r="2275" spans="1:3" x14ac:dyDescent="0.25">
      <c r="A2275">
        <v>161135</v>
      </c>
      <c r="B2275" t="s">
        <v>3</v>
      </c>
      <c r="C2275" t="str">
        <f>LEFT(Table4[[#This Row],[Policy Type]],1)</f>
        <v>2</v>
      </c>
    </row>
    <row r="2276" spans="1:3" x14ac:dyDescent="0.25">
      <c r="A2276">
        <v>161161</v>
      </c>
      <c r="B2276" t="s">
        <v>3</v>
      </c>
      <c r="C2276" t="str">
        <f>LEFT(Table4[[#This Row],[Policy Type]],1)</f>
        <v>2</v>
      </c>
    </row>
    <row r="2277" spans="1:3" x14ac:dyDescent="0.25">
      <c r="A2277">
        <v>161412</v>
      </c>
      <c r="B2277" t="s">
        <v>3</v>
      </c>
      <c r="C2277" t="str">
        <f>LEFT(Table4[[#This Row],[Policy Type]],1)</f>
        <v>2</v>
      </c>
    </row>
    <row r="2278" spans="1:3" x14ac:dyDescent="0.25">
      <c r="A2278">
        <v>161428</v>
      </c>
      <c r="B2278" t="s">
        <v>2</v>
      </c>
      <c r="C2278" t="str">
        <f>LEFT(Table4[[#This Row],[Policy Type]],1)</f>
        <v>1</v>
      </c>
    </row>
    <row r="2279" spans="1:3" x14ac:dyDescent="0.25">
      <c r="A2279">
        <v>161434</v>
      </c>
      <c r="B2279" t="s">
        <v>2</v>
      </c>
      <c r="C2279" t="str">
        <f>LEFT(Table4[[#This Row],[Policy Type]],1)</f>
        <v>1</v>
      </c>
    </row>
    <row r="2280" spans="1:3" x14ac:dyDescent="0.25">
      <c r="A2280">
        <v>161213</v>
      </c>
      <c r="B2280" t="s">
        <v>2</v>
      </c>
      <c r="C2280" t="str">
        <f>LEFT(Table4[[#This Row],[Policy Type]],1)</f>
        <v>1</v>
      </c>
    </row>
    <row r="2281" spans="1:3" x14ac:dyDescent="0.25">
      <c r="A2281">
        <v>161310</v>
      </c>
      <c r="B2281" t="s">
        <v>2</v>
      </c>
      <c r="C2281" t="str">
        <f>LEFT(Table4[[#This Row],[Policy Type]],1)</f>
        <v>1</v>
      </c>
    </row>
    <row r="2282" spans="1:3" x14ac:dyDescent="0.25">
      <c r="A2282">
        <v>161318</v>
      </c>
      <c r="B2282" t="s">
        <v>2</v>
      </c>
      <c r="C2282" t="str">
        <f>LEFT(Table4[[#This Row],[Policy Type]],1)</f>
        <v>1</v>
      </c>
    </row>
    <row r="2283" spans="1:3" x14ac:dyDescent="0.25">
      <c r="A2283">
        <v>161391</v>
      </c>
      <c r="B2283" t="s">
        <v>3</v>
      </c>
      <c r="C2283" t="str">
        <f>LEFT(Table4[[#This Row],[Policy Type]],1)</f>
        <v>2</v>
      </c>
    </row>
    <row r="2284" spans="1:3" x14ac:dyDescent="0.25">
      <c r="A2284">
        <v>161720</v>
      </c>
      <c r="B2284" t="s">
        <v>3</v>
      </c>
      <c r="C2284" t="str">
        <f>LEFT(Table4[[#This Row],[Policy Type]],1)</f>
        <v>2</v>
      </c>
    </row>
    <row r="2285" spans="1:3" x14ac:dyDescent="0.25">
      <c r="A2285">
        <v>161895</v>
      </c>
      <c r="B2285" t="s">
        <v>3</v>
      </c>
      <c r="C2285" t="str">
        <f>LEFT(Table4[[#This Row],[Policy Type]],1)</f>
        <v>2</v>
      </c>
    </row>
    <row r="2286" spans="1:3" x14ac:dyDescent="0.25">
      <c r="A2286">
        <v>161897</v>
      </c>
      <c r="B2286" t="s">
        <v>2</v>
      </c>
      <c r="C2286" t="str">
        <f>LEFT(Table4[[#This Row],[Policy Type]],1)</f>
        <v>1</v>
      </c>
    </row>
    <row r="2287" spans="1:3" x14ac:dyDescent="0.25">
      <c r="A2287">
        <v>161906</v>
      </c>
      <c r="B2287" t="s">
        <v>2</v>
      </c>
      <c r="C2287" t="str">
        <f>LEFT(Table4[[#This Row],[Policy Type]],1)</f>
        <v>1</v>
      </c>
    </row>
    <row r="2288" spans="1:3" x14ac:dyDescent="0.25">
      <c r="A2288">
        <v>161974</v>
      </c>
      <c r="B2288" t="s">
        <v>3</v>
      </c>
      <c r="C2288" t="str">
        <f>LEFT(Table4[[#This Row],[Policy Type]],1)</f>
        <v>2</v>
      </c>
    </row>
    <row r="2289" spans="1:3" x14ac:dyDescent="0.25">
      <c r="A2289">
        <v>162007</v>
      </c>
      <c r="B2289" t="s">
        <v>3</v>
      </c>
      <c r="C2289" t="str">
        <f>LEFT(Table4[[#This Row],[Policy Type]],1)</f>
        <v>2</v>
      </c>
    </row>
    <row r="2290" spans="1:3" x14ac:dyDescent="0.25">
      <c r="A2290">
        <v>162033</v>
      </c>
      <c r="B2290" t="s">
        <v>3</v>
      </c>
      <c r="C2290" t="str">
        <f>LEFT(Table4[[#This Row],[Policy Type]],1)</f>
        <v>2</v>
      </c>
    </row>
    <row r="2291" spans="1:3" x14ac:dyDescent="0.25">
      <c r="A2291">
        <v>162043</v>
      </c>
      <c r="B2291" t="s">
        <v>3</v>
      </c>
      <c r="C2291" t="str">
        <f>LEFT(Table4[[#This Row],[Policy Type]],1)</f>
        <v>2</v>
      </c>
    </row>
    <row r="2292" spans="1:3" x14ac:dyDescent="0.25">
      <c r="A2292">
        <v>162046</v>
      </c>
      <c r="B2292" t="s">
        <v>2</v>
      </c>
      <c r="C2292" t="str">
        <f>LEFT(Table4[[#This Row],[Policy Type]],1)</f>
        <v>1</v>
      </c>
    </row>
    <row r="2293" spans="1:3" x14ac:dyDescent="0.25">
      <c r="A2293">
        <v>162047</v>
      </c>
      <c r="B2293" t="s">
        <v>2</v>
      </c>
      <c r="C2293" t="str">
        <f>LEFT(Table4[[#This Row],[Policy Type]],1)</f>
        <v>1</v>
      </c>
    </row>
    <row r="2294" spans="1:3" x14ac:dyDescent="0.25">
      <c r="A2294">
        <v>162096</v>
      </c>
      <c r="B2294" t="s">
        <v>2</v>
      </c>
      <c r="C2294" t="str">
        <f>LEFT(Table4[[#This Row],[Policy Type]],1)</f>
        <v>1</v>
      </c>
    </row>
    <row r="2295" spans="1:3" x14ac:dyDescent="0.25">
      <c r="A2295">
        <v>162354</v>
      </c>
      <c r="B2295" t="s">
        <v>2</v>
      </c>
      <c r="C2295" t="str">
        <f>LEFT(Table4[[#This Row],[Policy Type]],1)</f>
        <v>1</v>
      </c>
    </row>
    <row r="2296" spans="1:3" x14ac:dyDescent="0.25">
      <c r="A2296">
        <v>162374</v>
      </c>
      <c r="B2296" t="s">
        <v>2</v>
      </c>
      <c r="C2296" t="str">
        <f>LEFT(Table4[[#This Row],[Policy Type]],1)</f>
        <v>1</v>
      </c>
    </row>
    <row r="2297" spans="1:3" x14ac:dyDescent="0.25">
      <c r="A2297">
        <v>162406</v>
      </c>
      <c r="B2297" t="s">
        <v>2</v>
      </c>
      <c r="C2297" t="str">
        <f>LEFT(Table4[[#This Row],[Policy Type]],1)</f>
        <v>1</v>
      </c>
    </row>
    <row r="2298" spans="1:3" x14ac:dyDescent="0.25">
      <c r="A2298">
        <v>162416</v>
      </c>
      <c r="B2298" t="s">
        <v>3</v>
      </c>
      <c r="C2298" t="str">
        <f>LEFT(Table4[[#This Row],[Policy Type]],1)</f>
        <v>2</v>
      </c>
    </row>
    <row r="2299" spans="1:3" x14ac:dyDescent="0.25">
      <c r="A2299">
        <v>162444</v>
      </c>
      <c r="B2299" t="s">
        <v>2</v>
      </c>
      <c r="C2299" t="str">
        <f>LEFT(Table4[[#This Row],[Policy Type]],1)</f>
        <v>1</v>
      </c>
    </row>
    <row r="2300" spans="1:3" x14ac:dyDescent="0.25">
      <c r="A2300">
        <v>162635</v>
      </c>
      <c r="B2300" t="s">
        <v>3</v>
      </c>
      <c r="C2300" t="str">
        <f>LEFT(Table4[[#This Row],[Policy Type]],1)</f>
        <v>2</v>
      </c>
    </row>
    <row r="2301" spans="1:3" x14ac:dyDescent="0.25">
      <c r="A2301">
        <v>162666</v>
      </c>
      <c r="B2301" t="s">
        <v>3</v>
      </c>
      <c r="C2301" t="str">
        <f>LEFT(Table4[[#This Row],[Policy Type]],1)</f>
        <v>2</v>
      </c>
    </row>
    <row r="2302" spans="1:3" x14ac:dyDescent="0.25">
      <c r="A2302">
        <v>162682</v>
      </c>
      <c r="B2302" t="s">
        <v>2</v>
      </c>
      <c r="C2302" t="str">
        <f>LEFT(Table4[[#This Row],[Policy Type]],1)</f>
        <v>1</v>
      </c>
    </row>
    <row r="2303" spans="1:3" x14ac:dyDescent="0.25">
      <c r="A2303">
        <v>162686</v>
      </c>
      <c r="B2303" t="s">
        <v>2</v>
      </c>
      <c r="C2303" t="str">
        <f>LEFT(Table4[[#This Row],[Policy Type]],1)</f>
        <v>1</v>
      </c>
    </row>
    <row r="2304" spans="1:3" x14ac:dyDescent="0.25">
      <c r="A2304">
        <v>162715</v>
      </c>
      <c r="B2304" t="s">
        <v>3</v>
      </c>
      <c r="C2304" t="str">
        <f>LEFT(Table4[[#This Row],[Policy Type]],1)</f>
        <v>2</v>
      </c>
    </row>
    <row r="2305" spans="1:3" x14ac:dyDescent="0.25">
      <c r="A2305">
        <v>162728</v>
      </c>
      <c r="B2305" t="s">
        <v>2</v>
      </c>
      <c r="C2305" t="str">
        <f>LEFT(Table4[[#This Row],[Policy Type]],1)</f>
        <v>1</v>
      </c>
    </row>
    <row r="2306" spans="1:3" x14ac:dyDescent="0.25">
      <c r="A2306">
        <v>162780</v>
      </c>
      <c r="B2306" t="s">
        <v>2</v>
      </c>
      <c r="C2306" t="str">
        <f>LEFT(Table4[[#This Row],[Policy Type]],1)</f>
        <v>1</v>
      </c>
    </row>
    <row r="2307" spans="1:3" x14ac:dyDescent="0.25">
      <c r="A2307">
        <v>163104</v>
      </c>
      <c r="B2307" t="s">
        <v>2</v>
      </c>
      <c r="C2307" t="str">
        <f>LEFT(Table4[[#This Row],[Policy Type]],1)</f>
        <v>1</v>
      </c>
    </row>
    <row r="2308" spans="1:3" x14ac:dyDescent="0.25">
      <c r="A2308">
        <v>162805</v>
      </c>
      <c r="B2308" t="s">
        <v>3</v>
      </c>
      <c r="C2308" t="str">
        <f>LEFT(Table4[[#This Row],[Policy Type]],1)</f>
        <v>2</v>
      </c>
    </row>
    <row r="2309" spans="1:3" x14ac:dyDescent="0.25">
      <c r="A2309">
        <v>162807</v>
      </c>
      <c r="B2309" t="s">
        <v>2</v>
      </c>
      <c r="C2309" t="str">
        <f>LEFT(Table4[[#This Row],[Policy Type]],1)</f>
        <v>1</v>
      </c>
    </row>
    <row r="2310" spans="1:3" x14ac:dyDescent="0.25">
      <c r="A2310">
        <v>162809</v>
      </c>
      <c r="B2310" t="s">
        <v>3</v>
      </c>
      <c r="C2310" t="str">
        <f>LEFT(Table4[[#This Row],[Policy Type]],1)</f>
        <v>2</v>
      </c>
    </row>
    <row r="2311" spans="1:3" x14ac:dyDescent="0.25">
      <c r="A2311">
        <v>162827</v>
      </c>
      <c r="B2311" t="s">
        <v>2</v>
      </c>
      <c r="C2311" t="str">
        <f>LEFT(Table4[[#This Row],[Policy Type]],1)</f>
        <v>1</v>
      </c>
    </row>
    <row r="2312" spans="1:3" x14ac:dyDescent="0.25">
      <c r="A2312">
        <v>162829</v>
      </c>
      <c r="B2312" t="s">
        <v>2</v>
      </c>
      <c r="C2312" t="str">
        <f>LEFT(Table4[[#This Row],[Policy Type]],1)</f>
        <v>1</v>
      </c>
    </row>
    <row r="2313" spans="1:3" x14ac:dyDescent="0.25">
      <c r="A2313">
        <v>162891</v>
      </c>
      <c r="B2313" t="s">
        <v>2</v>
      </c>
      <c r="C2313" t="str">
        <f>LEFT(Table4[[#This Row],[Policy Type]],1)</f>
        <v>1</v>
      </c>
    </row>
    <row r="2314" spans="1:3" x14ac:dyDescent="0.25">
      <c r="A2314">
        <v>162957</v>
      </c>
      <c r="B2314" t="s">
        <v>2</v>
      </c>
      <c r="C2314" t="str">
        <f>LEFT(Table4[[#This Row],[Policy Type]],1)</f>
        <v>1</v>
      </c>
    </row>
    <row r="2315" spans="1:3" x14ac:dyDescent="0.25">
      <c r="A2315">
        <v>162971</v>
      </c>
      <c r="B2315" t="s">
        <v>3</v>
      </c>
      <c r="C2315" t="str">
        <f>LEFT(Table4[[#This Row],[Policy Type]],1)</f>
        <v>2</v>
      </c>
    </row>
    <row r="2316" spans="1:3" x14ac:dyDescent="0.25">
      <c r="A2316">
        <v>163434</v>
      </c>
      <c r="B2316" t="s">
        <v>3</v>
      </c>
      <c r="C2316" t="str">
        <f>LEFT(Table4[[#This Row],[Policy Type]],1)</f>
        <v>2</v>
      </c>
    </row>
    <row r="2317" spans="1:3" x14ac:dyDescent="0.25">
      <c r="A2317">
        <v>163537</v>
      </c>
      <c r="B2317" t="s">
        <v>3</v>
      </c>
      <c r="C2317" t="str">
        <f>LEFT(Table4[[#This Row],[Policy Type]],1)</f>
        <v>2</v>
      </c>
    </row>
    <row r="2318" spans="1:3" x14ac:dyDescent="0.25">
      <c r="A2318">
        <v>163589</v>
      </c>
      <c r="B2318" t="s">
        <v>3</v>
      </c>
      <c r="C2318" t="str">
        <f>LEFT(Table4[[#This Row],[Policy Type]],1)</f>
        <v>2</v>
      </c>
    </row>
    <row r="2319" spans="1:3" x14ac:dyDescent="0.25">
      <c r="A2319">
        <v>163599</v>
      </c>
      <c r="B2319" t="s">
        <v>3</v>
      </c>
      <c r="C2319" t="str">
        <f>LEFT(Table4[[#This Row],[Policy Type]],1)</f>
        <v>2</v>
      </c>
    </row>
    <row r="2320" spans="1:3" x14ac:dyDescent="0.25">
      <c r="A2320">
        <v>163243</v>
      </c>
      <c r="B2320" t="s">
        <v>3</v>
      </c>
      <c r="C2320" t="str">
        <f>LEFT(Table4[[#This Row],[Policy Type]],1)</f>
        <v>2</v>
      </c>
    </row>
    <row r="2321" spans="1:3" x14ac:dyDescent="0.25">
      <c r="A2321">
        <v>163384</v>
      </c>
      <c r="B2321" t="s">
        <v>3</v>
      </c>
      <c r="C2321" t="str">
        <f>LEFT(Table4[[#This Row],[Policy Type]],1)</f>
        <v>2</v>
      </c>
    </row>
    <row r="2322" spans="1:3" x14ac:dyDescent="0.25">
      <c r="A2322">
        <v>163390</v>
      </c>
      <c r="B2322" t="s">
        <v>3</v>
      </c>
      <c r="C2322" t="str">
        <f>LEFT(Table4[[#This Row],[Policy Type]],1)</f>
        <v>2</v>
      </c>
    </row>
    <row r="2323" spans="1:3" x14ac:dyDescent="0.25">
      <c r="A2323">
        <v>163608</v>
      </c>
      <c r="B2323" t="s">
        <v>2</v>
      </c>
      <c r="C2323" t="str">
        <f>LEFT(Table4[[#This Row],[Policy Type]],1)</f>
        <v>1</v>
      </c>
    </row>
    <row r="2324" spans="1:3" x14ac:dyDescent="0.25">
      <c r="A2324">
        <v>163611</v>
      </c>
      <c r="B2324" t="s">
        <v>3</v>
      </c>
      <c r="C2324" t="str">
        <f>LEFT(Table4[[#This Row],[Policy Type]],1)</f>
        <v>2</v>
      </c>
    </row>
    <row r="2325" spans="1:3" x14ac:dyDescent="0.25">
      <c r="A2325">
        <v>163614</v>
      </c>
      <c r="B2325" t="s">
        <v>3</v>
      </c>
      <c r="C2325" t="str">
        <f>LEFT(Table4[[#This Row],[Policy Type]],1)</f>
        <v>2</v>
      </c>
    </row>
    <row r="2326" spans="1:3" x14ac:dyDescent="0.25">
      <c r="A2326">
        <v>163620</v>
      </c>
      <c r="B2326" t="s">
        <v>3</v>
      </c>
      <c r="C2326" t="str">
        <f>LEFT(Table4[[#This Row],[Policy Type]],1)</f>
        <v>2</v>
      </c>
    </row>
    <row r="2327" spans="1:3" x14ac:dyDescent="0.25">
      <c r="A2327">
        <v>163638</v>
      </c>
      <c r="B2327" t="s">
        <v>3</v>
      </c>
      <c r="C2327" t="str">
        <f>LEFT(Table4[[#This Row],[Policy Type]],1)</f>
        <v>2</v>
      </c>
    </row>
    <row r="2328" spans="1:3" x14ac:dyDescent="0.25">
      <c r="A2328">
        <v>163662</v>
      </c>
      <c r="B2328" t="s">
        <v>3</v>
      </c>
      <c r="C2328" t="str">
        <f>LEFT(Table4[[#This Row],[Policy Type]],1)</f>
        <v>2</v>
      </c>
    </row>
    <row r="2329" spans="1:3" x14ac:dyDescent="0.25">
      <c r="A2329">
        <v>163680</v>
      </c>
      <c r="B2329" t="s">
        <v>3</v>
      </c>
      <c r="C2329" t="str">
        <f>LEFT(Table4[[#This Row],[Policy Type]],1)</f>
        <v>2</v>
      </c>
    </row>
    <row r="2330" spans="1:3" x14ac:dyDescent="0.25">
      <c r="A2330">
        <v>163701</v>
      </c>
      <c r="B2330" t="s">
        <v>2</v>
      </c>
      <c r="C2330" t="str">
        <f>LEFT(Table4[[#This Row],[Policy Type]],1)</f>
        <v>1</v>
      </c>
    </row>
    <row r="2331" spans="1:3" x14ac:dyDescent="0.25">
      <c r="A2331">
        <v>163760</v>
      </c>
      <c r="B2331" t="s">
        <v>2</v>
      </c>
      <c r="C2331" t="str">
        <f>LEFT(Table4[[#This Row],[Policy Type]],1)</f>
        <v>1</v>
      </c>
    </row>
    <row r="2332" spans="1:3" x14ac:dyDescent="0.25">
      <c r="A2332">
        <v>163891</v>
      </c>
      <c r="B2332" t="s">
        <v>2</v>
      </c>
      <c r="C2332" t="str">
        <f>LEFT(Table4[[#This Row],[Policy Type]],1)</f>
        <v>1</v>
      </c>
    </row>
    <row r="2333" spans="1:3" x14ac:dyDescent="0.25">
      <c r="A2333">
        <v>163964</v>
      </c>
      <c r="B2333" t="s">
        <v>2</v>
      </c>
      <c r="C2333" t="str">
        <f>LEFT(Table4[[#This Row],[Policy Type]],1)</f>
        <v>1</v>
      </c>
    </row>
    <row r="2334" spans="1:3" x14ac:dyDescent="0.25">
      <c r="A2334">
        <v>163967</v>
      </c>
      <c r="B2334" t="s">
        <v>3</v>
      </c>
      <c r="C2334" t="str">
        <f>LEFT(Table4[[#This Row],[Policy Type]],1)</f>
        <v>2</v>
      </c>
    </row>
    <row r="2335" spans="1:3" x14ac:dyDescent="0.25">
      <c r="A2335">
        <v>164017</v>
      </c>
      <c r="B2335" t="s">
        <v>2</v>
      </c>
      <c r="C2335" t="str">
        <f>LEFT(Table4[[#This Row],[Policy Type]],1)</f>
        <v>1</v>
      </c>
    </row>
    <row r="2336" spans="1:3" x14ac:dyDescent="0.25">
      <c r="A2336">
        <v>164024</v>
      </c>
      <c r="B2336" t="s">
        <v>2</v>
      </c>
      <c r="C2336" t="str">
        <f>LEFT(Table4[[#This Row],[Policy Type]],1)</f>
        <v>1</v>
      </c>
    </row>
    <row r="2337" spans="1:3" x14ac:dyDescent="0.25">
      <c r="A2337">
        <v>164025</v>
      </c>
      <c r="B2337" t="s">
        <v>2</v>
      </c>
      <c r="C2337" t="str">
        <f>LEFT(Table4[[#This Row],[Policy Type]],1)</f>
        <v>1</v>
      </c>
    </row>
    <row r="2338" spans="1:3" x14ac:dyDescent="0.25">
      <c r="A2338">
        <v>164048</v>
      </c>
      <c r="B2338" t="s">
        <v>2</v>
      </c>
      <c r="C2338" t="str">
        <f>LEFT(Table4[[#This Row],[Policy Type]],1)</f>
        <v>1</v>
      </c>
    </row>
    <row r="2339" spans="1:3" x14ac:dyDescent="0.25">
      <c r="A2339">
        <v>164108</v>
      </c>
      <c r="B2339" t="s">
        <v>2</v>
      </c>
      <c r="C2339" t="str">
        <f>LEFT(Table4[[#This Row],[Policy Type]],1)</f>
        <v>1</v>
      </c>
    </row>
    <row r="2340" spans="1:3" x14ac:dyDescent="0.25">
      <c r="A2340">
        <v>164238</v>
      </c>
      <c r="B2340" t="s">
        <v>2</v>
      </c>
      <c r="C2340" t="str">
        <f>LEFT(Table4[[#This Row],[Policy Type]],1)</f>
        <v>1</v>
      </c>
    </row>
    <row r="2341" spans="1:3" x14ac:dyDescent="0.25">
      <c r="A2341">
        <v>164280</v>
      </c>
      <c r="B2341" t="s">
        <v>3</v>
      </c>
      <c r="C2341" t="str">
        <f>LEFT(Table4[[#This Row],[Policy Type]],1)</f>
        <v>2</v>
      </c>
    </row>
    <row r="2342" spans="1:3" x14ac:dyDescent="0.25">
      <c r="A2342">
        <v>164349</v>
      </c>
      <c r="B2342" t="s">
        <v>3</v>
      </c>
      <c r="C2342" t="str">
        <f>LEFT(Table4[[#This Row],[Policy Type]],1)</f>
        <v>2</v>
      </c>
    </row>
    <row r="2343" spans="1:3" x14ac:dyDescent="0.25">
      <c r="A2343">
        <v>164362</v>
      </c>
      <c r="B2343" t="s">
        <v>3</v>
      </c>
      <c r="C2343" t="str">
        <f>LEFT(Table4[[#This Row],[Policy Type]],1)</f>
        <v>2</v>
      </c>
    </row>
    <row r="2344" spans="1:3" x14ac:dyDescent="0.25">
      <c r="A2344">
        <v>164430</v>
      </c>
      <c r="B2344" t="s">
        <v>3</v>
      </c>
      <c r="C2344" t="str">
        <f>LEFT(Table4[[#This Row],[Policy Type]],1)</f>
        <v>2</v>
      </c>
    </row>
    <row r="2345" spans="1:3" x14ac:dyDescent="0.25">
      <c r="A2345">
        <v>164478</v>
      </c>
      <c r="B2345" t="s">
        <v>3</v>
      </c>
      <c r="C2345" t="str">
        <f>LEFT(Table4[[#This Row],[Policy Type]],1)</f>
        <v>2</v>
      </c>
    </row>
    <row r="2346" spans="1:3" x14ac:dyDescent="0.25">
      <c r="A2346">
        <v>164493</v>
      </c>
      <c r="B2346" t="s">
        <v>2</v>
      </c>
      <c r="C2346" t="str">
        <f>LEFT(Table4[[#This Row],[Policy Type]],1)</f>
        <v>1</v>
      </c>
    </row>
    <row r="2347" spans="1:3" x14ac:dyDescent="0.25">
      <c r="A2347">
        <v>164538</v>
      </c>
      <c r="B2347" t="s">
        <v>2</v>
      </c>
      <c r="C2347" t="str">
        <f>LEFT(Table4[[#This Row],[Policy Type]],1)</f>
        <v>1</v>
      </c>
    </row>
    <row r="2348" spans="1:3" x14ac:dyDescent="0.25">
      <c r="A2348">
        <v>164556</v>
      </c>
      <c r="B2348" t="s">
        <v>3</v>
      </c>
      <c r="C2348" t="str">
        <f>LEFT(Table4[[#This Row],[Policy Type]],1)</f>
        <v>2</v>
      </c>
    </row>
    <row r="2349" spans="1:3" x14ac:dyDescent="0.25">
      <c r="A2349">
        <v>164678</v>
      </c>
      <c r="B2349" t="s">
        <v>2</v>
      </c>
      <c r="C2349" t="str">
        <f>LEFT(Table4[[#This Row],[Policy Type]],1)</f>
        <v>1</v>
      </c>
    </row>
    <row r="2350" spans="1:3" x14ac:dyDescent="0.25">
      <c r="A2350">
        <v>164781</v>
      </c>
      <c r="B2350" t="s">
        <v>3</v>
      </c>
      <c r="C2350" t="str">
        <f>LEFT(Table4[[#This Row],[Policy Type]],1)</f>
        <v>2</v>
      </c>
    </row>
    <row r="2351" spans="1:3" x14ac:dyDescent="0.25">
      <c r="A2351">
        <v>164943</v>
      </c>
      <c r="B2351" t="s">
        <v>2</v>
      </c>
      <c r="C2351" t="str">
        <f>LEFT(Table4[[#This Row],[Policy Type]],1)</f>
        <v>1</v>
      </c>
    </row>
    <row r="2352" spans="1:3" x14ac:dyDescent="0.25">
      <c r="A2352">
        <v>164980</v>
      </c>
      <c r="B2352" t="s">
        <v>3</v>
      </c>
      <c r="C2352" t="str">
        <f>LEFT(Table4[[#This Row],[Policy Type]],1)</f>
        <v>2</v>
      </c>
    </row>
    <row r="2353" spans="1:3" x14ac:dyDescent="0.25">
      <c r="A2353">
        <v>165012</v>
      </c>
      <c r="B2353" t="s">
        <v>2</v>
      </c>
      <c r="C2353" t="str">
        <f>LEFT(Table4[[#This Row],[Policy Type]],1)</f>
        <v>1</v>
      </c>
    </row>
    <row r="2354" spans="1:3" x14ac:dyDescent="0.25">
      <c r="A2354">
        <v>165048</v>
      </c>
      <c r="B2354" t="s">
        <v>2</v>
      </c>
      <c r="C2354" t="str">
        <f>LEFT(Table4[[#This Row],[Policy Type]],1)</f>
        <v>1</v>
      </c>
    </row>
    <row r="2355" spans="1:3" x14ac:dyDescent="0.25">
      <c r="A2355">
        <v>165086</v>
      </c>
      <c r="B2355" t="s">
        <v>3</v>
      </c>
      <c r="C2355" t="str">
        <f>LEFT(Table4[[#This Row],[Policy Type]],1)</f>
        <v>2</v>
      </c>
    </row>
    <row r="2356" spans="1:3" x14ac:dyDescent="0.25">
      <c r="A2356">
        <v>165100</v>
      </c>
      <c r="B2356" t="s">
        <v>3</v>
      </c>
      <c r="C2356" t="str">
        <f>LEFT(Table4[[#This Row],[Policy Type]],1)</f>
        <v>2</v>
      </c>
    </row>
    <row r="2357" spans="1:3" x14ac:dyDescent="0.25">
      <c r="A2357">
        <v>165163</v>
      </c>
      <c r="B2357" t="s">
        <v>3</v>
      </c>
      <c r="C2357" t="str">
        <f>LEFT(Table4[[#This Row],[Policy Type]],1)</f>
        <v>2</v>
      </c>
    </row>
    <row r="2358" spans="1:3" x14ac:dyDescent="0.25">
      <c r="A2358">
        <v>165202</v>
      </c>
      <c r="B2358" t="s">
        <v>3</v>
      </c>
      <c r="C2358" t="str">
        <f>LEFT(Table4[[#This Row],[Policy Type]],1)</f>
        <v>2</v>
      </c>
    </row>
    <row r="2359" spans="1:3" x14ac:dyDescent="0.25">
      <c r="A2359">
        <v>165239</v>
      </c>
      <c r="B2359" t="s">
        <v>2</v>
      </c>
      <c r="C2359" t="str">
        <f>LEFT(Table4[[#This Row],[Policy Type]],1)</f>
        <v>1</v>
      </c>
    </row>
    <row r="2360" spans="1:3" x14ac:dyDescent="0.25">
      <c r="A2360">
        <v>165291</v>
      </c>
      <c r="B2360" t="s">
        <v>3</v>
      </c>
      <c r="C2360" t="str">
        <f>LEFT(Table4[[#This Row],[Policy Type]],1)</f>
        <v>2</v>
      </c>
    </row>
    <row r="2361" spans="1:3" x14ac:dyDescent="0.25">
      <c r="A2361">
        <v>165408</v>
      </c>
      <c r="B2361" t="s">
        <v>3</v>
      </c>
      <c r="C2361" t="str">
        <f>LEFT(Table4[[#This Row],[Policy Type]],1)</f>
        <v>2</v>
      </c>
    </row>
    <row r="2362" spans="1:3" x14ac:dyDescent="0.25">
      <c r="A2362">
        <v>165419</v>
      </c>
      <c r="B2362" t="s">
        <v>3</v>
      </c>
      <c r="C2362" t="str">
        <f>LEFT(Table4[[#This Row],[Policy Type]],1)</f>
        <v>2</v>
      </c>
    </row>
    <row r="2363" spans="1:3" x14ac:dyDescent="0.25">
      <c r="A2363">
        <v>165448</v>
      </c>
      <c r="B2363" t="s">
        <v>3</v>
      </c>
      <c r="C2363" t="str">
        <f>LEFT(Table4[[#This Row],[Policy Type]],1)</f>
        <v>2</v>
      </c>
    </row>
    <row r="2364" spans="1:3" x14ac:dyDescent="0.25">
      <c r="A2364">
        <v>165504</v>
      </c>
      <c r="B2364" t="s">
        <v>2</v>
      </c>
      <c r="C2364" t="str">
        <f>LEFT(Table4[[#This Row],[Policy Type]],1)</f>
        <v>1</v>
      </c>
    </row>
    <row r="2365" spans="1:3" x14ac:dyDescent="0.25">
      <c r="A2365">
        <v>165525</v>
      </c>
      <c r="B2365" t="s">
        <v>3</v>
      </c>
      <c r="C2365" t="str">
        <f>LEFT(Table4[[#This Row],[Policy Type]],1)</f>
        <v>2</v>
      </c>
    </row>
    <row r="2366" spans="1:3" x14ac:dyDescent="0.25">
      <c r="A2366">
        <v>165533</v>
      </c>
      <c r="B2366" t="s">
        <v>3</v>
      </c>
      <c r="C2366" t="str">
        <f>LEFT(Table4[[#This Row],[Policy Type]],1)</f>
        <v>2</v>
      </c>
    </row>
    <row r="2367" spans="1:3" x14ac:dyDescent="0.25">
      <c r="A2367">
        <v>165592</v>
      </c>
      <c r="B2367" t="s">
        <v>2</v>
      </c>
      <c r="C2367" t="str">
        <f>LEFT(Table4[[#This Row],[Policy Type]],1)</f>
        <v>1</v>
      </c>
    </row>
    <row r="2368" spans="1:3" x14ac:dyDescent="0.25">
      <c r="A2368">
        <v>165618</v>
      </c>
      <c r="B2368" t="s">
        <v>2</v>
      </c>
      <c r="C2368" t="str">
        <f>LEFT(Table4[[#This Row],[Policy Type]],1)</f>
        <v>1</v>
      </c>
    </row>
    <row r="2369" spans="1:3" x14ac:dyDescent="0.25">
      <c r="A2369">
        <v>165633</v>
      </c>
      <c r="B2369" t="s">
        <v>3</v>
      </c>
      <c r="C2369" t="str">
        <f>LEFT(Table4[[#This Row],[Policy Type]],1)</f>
        <v>2</v>
      </c>
    </row>
    <row r="2370" spans="1:3" x14ac:dyDescent="0.25">
      <c r="A2370">
        <v>165703</v>
      </c>
      <c r="B2370" t="s">
        <v>2</v>
      </c>
      <c r="C2370" t="str">
        <f>LEFT(Table4[[#This Row],[Policy Type]],1)</f>
        <v>1</v>
      </c>
    </row>
    <row r="2371" spans="1:3" x14ac:dyDescent="0.25">
      <c r="A2371">
        <v>165751</v>
      </c>
      <c r="B2371" t="s">
        <v>3</v>
      </c>
      <c r="C2371" t="str">
        <f>LEFT(Table4[[#This Row],[Policy Type]],1)</f>
        <v>2</v>
      </c>
    </row>
    <row r="2372" spans="1:3" x14ac:dyDescent="0.25">
      <c r="A2372">
        <v>165935</v>
      </c>
      <c r="B2372" t="s">
        <v>2</v>
      </c>
      <c r="C2372" t="str">
        <f>LEFT(Table4[[#This Row],[Policy Type]],1)</f>
        <v>1</v>
      </c>
    </row>
    <row r="2373" spans="1:3" x14ac:dyDescent="0.25">
      <c r="A2373">
        <v>165984</v>
      </c>
      <c r="B2373" t="s">
        <v>3</v>
      </c>
      <c r="C2373" t="str">
        <f>LEFT(Table4[[#This Row],[Policy Type]],1)</f>
        <v>2</v>
      </c>
    </row>
    <row r="2374" spans="1:3" x14ac:dyDescent="0.25">
      <c r="A2374">
        <v>166028</v>
      </c>
      <c r="B2374" t="s">
        <v>3</v>
      </c>
      <c r="C2374" t="str">
        <f>LEFT(Table4[[#This Row],[Policy Type]],1)</f>
        <v>2</v>
      </c>
    </row>
    <row r="2375" spans="1:3" x14ac:dyDescent="0.25">
      <c r="A2375">
        <v>166101</v>
      </c>
      <c r="B2375" t="s">
        <v>3</v>
      </c>
      <c r="C2375" t="str">
        <f>LEFT(Table4[[#This Row],[Policy Type]],1)</f>
        <v>2</v>
      </c>
    </row>
    <row r="2376" spans="1:3" x14ac:dyDescent="0.25">
      <c r="A2376">
        <v>166214</v>
      </c>
      <c r="B2376" t="s">
        <v>2</v>
      </c>
      <c r="C2376" t="str">
        <f>LEFT(Table4[[#This Row],[Policy Type]],1)</f>
        <v>1</v>
      </c>
    </row>
    <row r="2377" spans="1:3" x14ac:dyDescent="0.25">
      <c r="A2377">
        <v>166233</v>
      </c>
      <c r="B2377" t="s">
        <v>3</v>
      </c>
      <c r="C2377" t="str">
        <f>LEFT(Table4[[#This Row],[Policy Type]],1)</f>
        <v>2</v>
      </c>
    </row>
    <row r="2378" spans="1:3" x14ac:dyDescent="0.25">
      <c r="A2378">
        <v>166313</v>
      </c>
      <c r="B2378" t="s">
        <v>3</v>
      </c>
      <c r="C2378" t="str">
        <f>LEFT(Table4[[#This Row],[Policy Type]],1)</f>
        <v>2</v>
      </c>
    </row>
    <row r="2379" spans="1:3" x14ac:dyDescent="0.25">
      <c r="A2379">
        <v>166364</v>
      </c>
      <c r="B2379" t="s">
        <v>3</v>
      </c>
      <c r="C2379" t="str">
        <f>LEFT(Table4[[#This Row],[Policy Type]],1)</f>
        <v>2</v>
      </c>
    </row>
    <row r="2380" spans="1:3" x14ac:dyDescent="0.25">
      <c r="A2380">
        <v>166480</v>
      </c>
      <c r="B2380" t="s">
        <v>2</v>
      </c>
      <c r="C2380" t="str">
        <f>LEFT(Table4[[#This Row],[Policy Type]],1)</f>
        <v>1</v>
      </c>
    </row>
    <row r="2381" spans="1:3" x14ac:dyDescent="0.25">
      <c r="A2381">
        <v>166488</v>
      </c>
      <c r="B2381" t="s">
        <v>2</v>
      </c>
      <c r="C2381" t="str">
        <f>LEFT(Table4[[#This Row],[Policy Type]],1)</f>
        <v>1</v>
      </c>
    </row>
    <row r="2382" spans="1:3" x14ac:dyDescent="0.25">
      <c r="A2382">
        <v>166505</v>
      </c>
      <c r="B2382" t="s">
        <v>2</v>
      </c>
      <c r="C2382" t="str">
        <f>LEFT(Table4[[#This Row],[Policy Type]],1)</f>
        <v>1</v>
      </c>
    </row>
    <row r="2383" spans="1:3" x14ac:dyDescent="0.25">
      <c r="A2383">
        <v>166517</v>
      </c>
      <c r="B2383" t="s">
        <v>3</v>
      </c>
      <c r="C2383" t="str">
        <f>LEFT(Table4[[#This Row],[Policy Type]],1)</f>
        <v>2</v>
      </c>
    </row>
    <row r="2384" spans="1:3" x14ac:dyDescent="0.25">
      <c r="A2384">
        <v>166619</v>
      </c>
      <c r="B2384" t="s">
        <v>2</v>
      </c>
      <c r="C2384" t="str">
        <f>LEFT(Table4[[#This Row],[Policy Type]],1)</f>
        <v>1</v>
      </c>
    </row>
    <row r="2385" spans="1:3" x14ac:dyDescent="0.25">
      <c r="A2385">
        <v>166657</v>
      </c>
      <c r="B2385" t="s">
        <v>2</v>
      </c>
      <c r="C2385" t="str">
        <f>LEFT(Table4[[#This Row],[Policy Type]],1)</f>
        <v>1</v>
      </c>
    </row>
    <row r="2386" spans="1:3" x14ac:dyDescent="0.25">
      <c r="A2386">
        <v>166659</v>
      </c>
      <c r="B2386" t="s">
        <v>3</v>
      </c>
      <c r="C2386" t="str">
        <f>LEFT(Table4[[#This Row],[Policy Type]],1)</f>
        <v>2</v>
      </c>
    </row>
    <row r="2387" spans="1:3" x14ac:dyDescent="0.25">
      <c r="A2387">
        <v>166753</v>
      </c>
      <c r="B2387" t="s">
        <v>2</v>
      </c>
      <c r="C2387" t="str">
        <f>LEFT(Table4[[#This Row],[Policy Type]],1)</f>
        <v>1</v>
      </c>
    </row>
    <row r="2388" spans="1:3" x14ac:dyDescent="0.25">
      <c r="A2388">
        <v>166815</v>
      </c>
      <c r="B2388" t="s">
        <v>3</v>
      </c>
      <c r="C2388" t="str">
        <f>LEFT(Table4[[#This Row],[Policy Type]],1)</f>
        <v>2</v>
      </c>
    </row>
    <row r="2389" spans="1:3" x14ac:dyDescent="0.25">
      <c r="A2389">
        <v>166867</v>
      </c>
      <c r="B2389" t="s">
        <v>3</v>
      </c>
      <c r="C2389" t="str">
        <f>LEFT(Table4[[#This Row],[Policy Type]],1)</f>
        <v>2</v>
      </c>
    </row>
    <row r="2390" spans="1:3" x14ac:dyDescent="0.25">
      <c r="A2390">
        <v>166889</v>
      </c>
      <c r="B2390" t="s">
        <v>2</v>
      </c>
      <c r="C2390" t="str">
        <f>LEFT(Table4[[#This Row],[Policy Type]],1)</f>
        <v>1</v>
      </c>
    </row>
    <row r="2391" spans="1:3" x14ac:dyDescent="0.25">
      <c r="A2391">
        <v>166940</v>
      </c>
      <c r="B2391" t="s">
        <v>2</v>
      </c>
      <c r="C2391" t="str">
        <f>LEFT(Table4[[#This Row],[Policy Type]],1)</f>
        <v>1</v>
      </c>
    </row>
    <row r="2392" spans="1:3" x14ac:dyDescent="0.25">
      <c r="A2392">
        <v>166970</v>
      </c>
      <c r="B2392" t="s">
        <v>2</v>
      </c>
      <c r="C2392" t="str">
        <f>LEFT(Table4[[#This Row],[Policy Type]],1)</f>
        <v>1</v>
      </c>
    </row>
    <row r="2393" spans="1:3" x14ac:dyDescent="0.25">
      <c r="A2393">
        <v>166986</v>
      </c>
      <c r="B2393" t="s">
        <v>3</v>
      </c>
      <c r="C2393" t="str">
        <f>LEFT(Table4[[#This Row],[Policy Type]],1)</f>
        <v>2</v>
      </c>
    </row>
    <row r="2394" spans="1:3" x14ac:dyDescent="0.25">
      <c r="A2394">
        <v>167112</v>
      </c>
      <c r="B2394" t="s">
        <v>2</v>
      </c>
      <c r="C2394" t="str">
        <f>LEFT(Table4[[#This Row],[Policy Type]],1)</f>
        <v>1</v>
      </c>
    </row>
    <row r="2395" spans="1:3" x14ac:dyDescent="0.25">
      <c r="A2395">
        <v>167203</v>
      </c>
      <c r="B2395" t="s">
        <v>2</v>
      </c>
      <c r="C2395" t="str">
        <f>LEFT(Table4[[#This Row],[Policy Type]],1)</f>
        <v>1</v>
      </c>
    </row>
    <row r="2396" spans="1:3" x14ac:dyDescent="0.25">
      <c r="A2396">
        <v>167211</v>
      </c>
      <c r="B2396" t="s">
        <v>3</v>
      </c>
      <c r="C2396" t="str">
        <f>LEFT(Table4[[#This Row],[Policy Type]],1)</f>
        <v>2</v>
      </c>
    </row>
    <row r="2397" spans="1:3" x14ac:dyDescent="0.25">
      <c r="A2397">
        <v>167212</v>
      </c>
      <c r="B2397" t="s">
        <v>2</v>
      </c>
      <c r="C2397" t="str">
        <f>LEFT(Table4[[#This Row],[Policy Type]],1)</f>
        <v>1</v>
      </c>
    </row>
    <row r="2398" spans="1:3" x14ac:dyDescent="0.25">
      <c r="A2398">
        <v>167558</v>
      </c>
      <c r="B2398" t="s">
        <v>3</v>
      </c>
      <c r="C2398" t="str">
        <f>LEFT(Table4[[#This Row],[Policy Type]],1)</f>
        <v>2</v>
      </c>
    </row>
    <row r="2399" spans="1:3" x14ac:dyDescent="0.25">
      <c r="A2399">
        <v>167914</v>
      </c>
      <c r="B2399" t="s">
        <v>2</v>
      </c>
      <c r="C2399" t="str">
        <f>LEFT(Table4[[#This Row],[Policy Type]],1)</f>
        <v>1</v>
      </c>
    </row>
    <row r="2400" spans="1:3" x14ac:dyDescent="0.25">
      <c r="A2400">
        <v>167954</v>
      </c>
      <c r="B2400" t="s">
        <v>3</v>
      </c>
      <c r="C2400" t="str">
        <f>LEFT(Table4[[#This Row],[Policy Type]],1)</f>
        <v>2</v>
      </c>
    </row>
    <row r="2401" spans="1:3" x14ac:dyDescent="0.25">
      <c r="A2401">
        <v>167701</v>
      </c>
      <c r="B2401" t="s">
        <v>3</v>
      </c>
      <c r="C2401" t="str">
        <f>LEFT(Table4[[#This Row],[Policy Type]],1)</f>
        <v>2</v>
      </c>
    </row>
    <row r="2402" spans="1:3" x14ac:dyDescent="0.25">
      <c r="A2402">
        <v>167754</v>
      </c>
      <c r="B2402" t="s">
        <v>3</v>
      </c>
      <c r="C2402" t="str">
        <f>LEFT(Table4[[#This Row],[Policy Type]],1)</f>
        <v>2</v>
      </c>
    </row>
    <row r="2403" spans="1:3" x14ac:dyDescent="0.25">
      <c r="A2403">
        <v>168213</v>
      </c>
      <c r="B2403" t="s">
        <v>2</v>
      </c>
      <c r="C2403" t="str">
        <f>LEFT(Table4[[#This Row],[Policy Type]],1)</f>
        <v>1</v>
      </c>
    </row>
    <row r="2404" spans="1:3" x14ac:dyDescent="0.25">
      <c r="A2404">
        <v>168218</v>
      </c>
      <c r="B2404" t="s">
        <v>2</v>
      </c>
      <c r="C2404" t="str">
        <f>LEFT(Table4[[#This Row],[Policy Type]],1)</f>
        <v>1</v>
      </c>
    </row>
    <row r="2405" spans="1:3" x14ac:dyDescent="0.25">
      <c r="A2405">
        <v>168284</v>
      </c>
      <c r="B2405" t="s">
        <v>3</v>
      </c>
      <c r="C2405" t="str">
        <f>LEFT(Table4[[#This Row],[Policy Type]],1)</f>
        <v>2</v>
      </c>
    </row>
    <row r="2406" spans="1:3" x14ac:dyDescent="0.25">
      <c r="A2406">
        <v>168288</v>
      </c>
      <c r="B2406" t="s">
        <v>2</v>
      </c>
      <c r="C2406" t="str">
        <f>LEFT(Table4[[#This Row],[Policy Type]],1)</f>
        <v>1</v>
      </c>
    </row>
    <row r="2407" spans="1:3" x14ac:dyDescent="0.25">
      <c r="A2407">
        <v>168082</v>
      </c>
      <c r="B2407" t="s">
        <v>2</v>
      </c>
      <c r="C2407" t="str">
        <f>LEFT(Table4[[#This Row],[Policy Type]],1)</f>
        <v>1</v>
      </c>
    </row>
    <row r="2408" spans="1:3" x14ac:dyDescent="0.25">
      <c r="A2408">
        <v>168460</v>
      </c>
      <c r="B2408" t="s">
        <v>2</v>
      </c>
      <c r="C2408" t="str">
        <f>LEFT(Table4[[#This Row],[Policy Type]],1)</f>
        <v>1</v>
      </c>
    </row>
    <row r="2409" spans="1:3" x14ac:dyDescent="0.25">
      <c r="A2409">
        <v>168589</v>
      </c>
      <c r="B2409" t="s">
        <v>2</v>
      </c>
      <c r="C2409" t="str">
        <f>LEFT(Table4[[#This Row],[Policy Type]],1)</f>
        <v>1</v>
      </c>
    </row>
    <row r="2410" spans="1:3" x14ac:dyDescent="0.25">
      <c r="A2410">
        <v>168597</v>
      </c>
      <c r="B2410" t="s">
        <v>3</v>
      </c>
      <c r="C2410" t="str">
        <f>LEFT(Table4[[#This Row],[Policy Type]],1)</f>
        <v>2</v>
      </c>
    </row>
    <row r="2411" spans="1:3" x14ac:dyDescent="0.25">
      <c r="A2411">
        <v>168664</v>
      </c>
      <c r="B2411" t="s">
        <v>2</v>
      </c>
      <c r="C2411" t="str">
        <f>LEFT(Table4[[#This Row],[Policy Type]],1)</f>
        <v>1</v>
      </c>
    </row>
    <row r="2412" spans="1:3" x14ac:dyDescent="0.25">
      <c r="A2412">
        <v>168747</v>
      </c>
      <c r="B2412" t="s">
        <v>3</v>
      </c>
      <c r="C2412" t="str">
        <f>LEFT(Table4[[#This Row],[Policy Type]],1)</f>
        <v>2</v>
      </c>
    </row>
    <row r="2413" spans="1:3" x14ac:dyDescent="0.25">
      <c r="A2413">
        <v>168779</v>
      </c>
      <c r="B2413" t="s">
        <v>3</v>
      </c>
      <c r="C2413" t="str">
        <f>LEFT(Table4[[#This Row],[Policy Type]],1)</f>
        <v>2</v>
      </c>
    </row>
    <row r="2414" spans="1:3" x14ac:dyDescent="0.25">
      <c r="A2414">
        <v>168829</v>
      </c>
      <c r="B2414" t="s">
        <v>3</v>
      </c>
      <c r="C2414" t="str">
        <f>LEFT(Table4[[#This Row],[Policy Type]],1)</f>
        <v>2</v>
      </c>
    </row>
    <row r="2415" spans="1:3" x14ac:dyDescent="0.25">
      <c r="A2415">
        <v>168866</v>
      </c>
      <c r="B2415" t="s">
        <v>3</v>
      </c>
      <c r="C2415" t="str">
        <f>LEFT(Table4[[#This Row],[Policy Type]],1)</f>
        <v>2</v>
      </c>
    </row>
    <row r="2416" spans="1:3" x14ac:dyDescent="0.25">
      <c r="A2416">
        <v>168901</v>
      </c>
      <c r="B2416" t="s">
        <v>2</v>
      </c>
      <c r="C2416" t="str">
        <f>LEFT(Table4[[#This Row],[Policy Type]],1)</f>
        <v>1</v>
      </c>
    </row>
    <row r="2417" spans="1:3" x14ac:dyDescent="0.25">
      <c r="A2417">
        <v>168920</v>
      </c>
      <c r="B2417" t="s">
        <v>3</v>
      </c>
      <c r="C2417" t="str">
        <f>LEFT(Table4[[#This Row],[Policy Type]],1)</f>
        <v>2</v>
      </c>
    </row>
    <row r="2418" spans="1:3" x14ac:dyDescent="0.25">
      <c r="A2418">
        <v>168983</v>
      </c>
      <c r="B2418" t="s">
        <v>2</v>
      </c>
      <c r="C2418" t="str">
        <f>LEFT(Table4[[#This Row],[Policy Type]],1)</f>
        <v>1</v>
      </c>
    </row>
    <row r="2419" spans="1:3" x14ac:dyDescent="0.25">
      <c r="A2419">
        <v>168990</v>
      </c>
      <c r="B2419" t="s">
        <v>3</v>
      </c>
      <c r="C2419" t="str">
        <f>LEFT(Table4[[#This Row],[Policy Type]],1)</f>
        <v>2</v>
      </c>
    </row>
    <row r="2420" spans="1:3" x14ac:dyDescent="0.25">
      <c r="A2420">
        <v>169106</v>
      </c>
      <c r="B2420" t="s">
        <v>2</v>
      </c>
      <c r="C2420" t="str">
        <f>LEFT(Table4[[#This Row],[Policy Type]],1)</f>
        <v>1</v>
      </c>
    </row>
    <row r="2421" spans="1:3" x14ac:dyDescent="0.25">
      <c r="A2421">
        <v>169107</v>
      </c>
      <c r="B2421" t="s">
        <v>2</v>
      </c>
      <c r="C2421" t="str">
        <f>LEFT(Table4[[#This Row],[Policy Type]],1)</f>
        <v>1</v>
      </c>
    </row>
    <row r="2422" spans="1:3" x14ac:dyDescent="0.25">
      <c r="A2422">
        <v>169133</v>
      </c>
      <c r="B2422" t="s">
        <v>3</v>
      </c>
      <c r="C2422" t="str">
        <f>LEFT(Table4[[#This Row],[Policy Type]],1)</f>
        <v>2</v>
      </c>
    </row>
    <row r="2423" spans="1:3" x14ac:dyDescent="0.25">
      <c r="A2423">
        <v>169460</v>
      </c>
      <c r="B2423" t="s">
        <v>2</v>
      </c>
      <c r="C2423" t="str">
        <f>LEFT(Table4[[#This Row],[Policy Type]],1)</f>
        <v>1</v>
      </c>
    </row>
    <row r="2424" spans="1:3" x14ac:dyDescent="0.25">
      <c r="A2424">
        <v>169468</v>
      </c>
      <c r="B2424" t="s">
        <v>2</v>
      </c>
      <c r="C2424" t="str">
        <f>LEFT(Table4[[#This Row],[Policy Type]],1)</f>
        <v>1</v>
      </c>
    </row>
    <row r="2425" spans="1:3" x14ac:dyDescent="0.25">
      <c r="A2425">
        <v>169508</v>
      </c>
      <c r="B2425" t="s">
        <v>3</v>
      </c>
      <c r="C2425" t="str">
        <f>LEFT(Table4[[#This Row],[Policy Type]],1)</f>
        <v>2</v>
      </c>
    </row>
    <row r="2426" spans="1:3" x14ac:dyDescent="0.25">
      <c r="A2426">
        <v>169509</v>
      </c>
      <c r="B2426" t="s">
        <v>3</v>
      </c>
      <c r="C2426" t="str">
        <f>LEFT(Table4[[#This Row],[Policy Type]],1)</f>
        <v>2</v>
      </c>
    </row>
    <row r="2427" spans="1:3" x14ac:dyDescent="0.25">
      <c r="A2427">
        <v>169528</v>
      </c>
      <c r="B2427" t="s">
        <v>3</v>
      </c>
      <c r="C2427" t="str">
        <f>LEFT(Table4[[#This Row],[Policy Type]],1)</f>
        <v>2</v>
      </c>
    </row>
    <row r="2428" spans="1:3" x14ac:dyDescent="0.25">
      <c r="A2428">
        <v>169595</v>
      </c>
      <c r="B2428" t="s">
        <v>3</v>
      </c>
      <c r="C2428" t="str">
        <f>LEFT(Table4[[#This Row],[Policy Type]],1)</f>
        <v>2</v>
      </c>
    </row>
    <row r="2429" spans="1:3" x14ac:dyDescent="0.25">
      <c r="A2429">
        <v>169210</v>
      </c>
      <c r="B2429" t="s">
        <v>2</v>
      </c>
      <c r="C2429" t="str">
        <f>LEFT(Table4[[#This Row],[Policy Type]],1)</f>
        <v>1</v>
      </c>
    </row>
    <row r="2430" spans="1:3" x14ac:dyDescent="0.25">
      <c r="A2430">
        <v>169261</v>
      </c>
      <c r="B2430" t="s">
        <v>2</v>
      </c>
      <c r="C2430" t="str">
        <f>LEFT(Table4[[#This Row],[Policy Type]],1)</f>
        <v>1</v>
      </c>
    </row>
    <row r="2431" spans="1:3" x14ac:dyDescent="0.25">
      <c r="A2431">
        <v>169288</v>
      </c>
      <c r="B2431" t="s">
        <v>3</v>
      </c>
      <c r="C2431" t="str">
        <f>LEFT(Table4[[#This Row],[Policy Type]],1)</f>
        <v>2</v>
      </c>
    </row>
    <row r="2432" spans="1:3" x14ac:dyDescent="0.25">
      <c r="A2432">
        <v>169292</v>
      </c>
      <c r="B2432" t="s">
        <v>2</v>
      </c>
      <c r="C2432" t="str">
        <f>LEFT(Table4[[#This Row],[Policy Type]],1)</f>
        <v>1</v>
      </c>
    </row>
    <row r="2433" spans="1:3" x14ac:dyDescent="0.25">
      <c r="A2433">
        <v>169374</v>
      </c>
      <c r="B2433" t="s">
        <v>3</v>
      </c>
      <c r="C2433" t="str">
        <f>LEFT(Table4[[#This Row],[Policy Type]],1)</f>
        <v>2</v>
      </c>
    </row>
    <row r="2434" spans="1:3" x14ac:dyDescent="0.25">
      <c r="A2434">
        <v>169385</v>
      </c>
      <c r="B2434" t="s">
        <v>3</v>
      </c>
      <c r="C2434" t="str">
        <f>LEFT(Table4[[#This Row],[Policy Type]],1)</f>
        <v>2</v>
      </c>
    </row>
    <row r="2435" spans="1:3" x14ac:dyDescent="0.25">
      <c r="A2435">
        <v>169390</v>
      </c>
      <c r="B2435" t="s">
        <v>3</v>
      </c>
      <c r="C2435" t="str">
        <f>LEFT(Table4[[#This Row],[Policy Type]],1)</f>
        <v>2</v>
      </c>
    </row>
    <row r="2436" spans="1:3" x14ac:dyDescent="0.25">
      <c r="A2436">
        <v>169673</v>
      </c>
      <c r="B2436" t="s">
        <v>2</v>
      </c>
      <c r="C2436" t="str">
        <f>LEFT(Table4[[#This Row],[Policy Type]],1)</f>
        <v>1</v>
      </c>
    </row>
    <row r="2437" spans="1:3" x14ac:dyDescent="0.25">
      <c r="A2437">
        <v>169706</v>
      </c>
      <c r="B2437" t="s">
        <v>3</v>
      </c>
      <c r="C2437" t="str">
        <f>LEFT(Table4[[#This Row],[Policy Type]],1)</f>
        <v>2</v>
      </c>
    </row>
    <row r="2438" spans="1:3" x14ac:dyDescent="0.25">
      <c r="A2438">
        <v>169707</v>
      </c>
      <c r="B2438" t="s">
        <v>2</v>
      </c>
      <c r="C2438" t="str">
        <f>LEFT(Table4[[#This Row],[Policy Type]],1)</f>
        <v>1</v>
      </c>
    </row>
    <row r="2439" spans="1:3" x14ac:dyDescent="0.25">
      <c r="A2439">
        <v>169721</v>
      </c>
      <c r="B2439" t="s">
        <v>2</v>
      </c>
      <c r="C2439" t="str">
        <f>LEFT(Table4[[#This Row],[Policy Type]],1)</f>
        <v>1</v>
      </c>
    </row>
    <row r="2440" spans="1:3" x14ac:dyDescent="0.25">
      <c r="A2440">
        <v>169790</v>
      </c>
      <c r="B2440" t="s">
        <v>3</v>
      </c>
      <c r="C2440" t="str">
        <f>LEFT(Table4[[#This Row],[Policy Type]],1)</f>
        <v>2</v>
      </c>
    </row>
    <row r="2441" spans="1:3" x14ac:dyDescent="0.25">
      <c r="A2441">
        <v>169817</v>
      </c>
      <c r="B2441" t="s">
        <v>3</v>
      </c>
      <c r="C2441" t="str">
        <f>LEFT(Table4[[#This Row],[Policy Type]],1)</f>
        <v>2</v>
      </c>
    </row>
    <row r="2442" spans="1:3" x14ac:dyDescent="0.25">
      <c r="A2442">
        <v>169830</v>
      </c>
      <c r="B2442" t="s">
        <v>3</v>
      </c>
      <c r="C2442" t="str">
        <f>LEFT(Table4[[#This Row],[Policy Type]],1)</f>
        <v>2</v>
      </c>
    </row>
    <row r="2443" spans="1:3" x14ac:dyDescent="0.25">
      <c r="A2443">
        <v>169903</v>
      </c>
      <c r="B2443" t="s">
        <v>2</v>
      </c>
      <c r="C2443" t="str">
        <f>LEFT(Table4[[#This Row],[Policy Type]],1)</f>
        <v>1</v>
      </c>
    </row>
    <row r="2444" spans="1:3" x14ac:dyDescent="0.25">
      <c r="A2444">
        <v>170063</v>
      </c>
      <c r="B2444" t="s">
        <v>3</v>
      </c>
      <c r="C2444" t="str">
        <f>LEFT(Table4[[#This Row],[Policy Type]],1)</f>
        <v>2</v>
      </c>
    </row>
    <row r="2445" spans="1:3" x14ac:dyDescent="0.25">
      <c r="A2445">
        <v>170252</v>
      </c>
      <c r="B2445" t="s">
        <v>3</v>
      </c>
      <c r="C2445" t="str">
        <f>LEFT(Table4[[#This Row],[Policy Type]],1)</f>
        <v>2</v>
      </c>
    </row>
    <row r="2446" spans="1:3" x14ac:dyDescent="0.25">
      <c r="A2446">
        <v>170275</v>
      </c>
      <c r="B2446" t="s">
        <v>3</v>
      </c>
      <c r="C2446" t="str">
        <f>LEFT(Table4[[#This Row],[Policy Type]],1)</f>
        <v>2</v>
      </c>
    </row>
    <row r="2447" spans="1:3" x14ac:dyDescent="0.25">
      <c r="A2447">
        <v>170335</v>
      </c>
      <c r="B2447" t="s">
        <v>2</v>
      </c>
      <c r="C2447" t="str">
        <f>LEFT(Table4[[#This Row],[Policy Type]],1)</f>
        <v>1</v>
      </c>
    </row>
    <row r="2448" spans="1:3" x14ac:dyDescent="0.25">
      <c r="A2448">
        <v>170392</v>
      </c>
      <c r="B2448" t="s">
        <v>3</v>
      </c>
      <c r="C2448" t="str">
        <f>LEFT(Table4[[#This Row],[Policy Type]],1)</f>
        <v>2</v>
      </c>
    </row>
    <row r="2449" spans="1:3" x14ac:dyDescent="0.25">
      <c r="A2449">
        <v>170395</v>
      </c>
      <c r="B2449" t="s">
        <v>3</v>
      </c>
      <c r="C2449" t="str">
        <f>LEFT(Table4[[#This Row],[Policy Type]],1)</f>
        <v>2</v>
      </c>
    </row>
    <row r="2450" spans="1:3" x14ac:dyDescent="0.25">
      <c r="A2450">
        <v>170401</v>
      </c>
      <c r="B2450" t="s">
        <v>3</v>
      </c>
      <c r="C2450" t="str">
        <f>LEFT(Table4[[#This Row],[Policy Type]],1)</f>
        <v>2</v>
      </c>
    </row>
    <row r="2451" spans="1:3" x14ac:dyDescent="0.25">
      <c r="A2451">
        <v>170449</v>
      </c>
      <c r="B2451" t="s">
        <v>2</v>
      </c>
      <c r="C2451" t="str">
        <f>LEFT(Table4[[#This Row],[Policy Type]],1)</f>
        <v>1</v>
      </c>
    </row>
    <row r="2452" spans="1:3" x14ac:dyDescent="0.25">
      <c r="A2452">
        <v>170584</v>
      </c>
      <c r="B2452" t="s">
        <v>2</v>
      </c>
      <c r="C2452" t="str">
        <f>LEFT(Table4[[#This Row],[Policy Type]],1)</f>
        <v>1</v>
      </c>
    </row>
    <row r="2453" spans="1:3" x14ac:dyDescent="0.25">
      <c r="A2453">
        <v>170661</v>
      </c>
      <c r="B2453" t="s">
        <v>3</v>
      </c>
      <c r="C2453" t="str">
        <f>LEFT(Table4[[#This Row],[Policy Type]],1)</f>
        <v>2</v>
      </c>
    </row>
    <row r="2454" spans="1:3" x14ac:dyDescent="0.25">
      <c r="A2454">
        <v>170709</v>
      </c>
      <c r="B2454" t="s">
        <v>2</v>
      </c>
      <c r="C2454" t="str">
        <f>LEFT(Table4[[#This Row],[Policy Type]],1)</f>
        <v>1</v>
      </c>
    </row>
    <row r="2455" spans="1:3" x14ac:dyDescent="0.25">
      <c r="A2455">
        <v>171101</v>
      </c>
      <c r="B2455" t="s">
        <v>2</v>
      </c>
      <c r="C2455" t="str">
        <f>LEFT(Table4[[#This Row],[Policy Type]],1)</f>
        <v>1</v>
      </c>
    </row>
    <row r="2456" spans="1:3" x14ac:dyDescent="0.25">
      <c r="A2456">
        <v>170862</v>
      </c>
      <c r="B2456" t="s">
        <v>3</v>
      </c>
      <c r="C2456" t="str">
        <f>LEFT(Table4[[#This Row],[Policy Type]],1)</f>
        <v>2</v>
      </c>
    </row>
    <row r="2457" spans="1:3" x14ac:dyDescent="0.25">
      <c r="A2457">
        <v>170933</v>
      </c>
      <c r="B2457" t="s">
        <v>3</v>
      </c>
      <c r="C2457" t="str">
        <f>LEFT(Table4[[#This Row],[Policy Type]],1)</f>
        <v>2</v>
      </c>
    </row>
    <row r="2458" spans="1:3" x14ac:dyDescent="0.25">
      <c r="A2458">
        <v>171414</v>
      </c>
      <c r="B2458" t="s">
        <v>2</v>
      </c>
      <c r="C2458" t="str">
        <f>LEFT(Table4[[#This Row],[Policy Type]],1)</f>
        <v>1</v>
      </c>
    </row>
    <row r="2459" spans="1:3" x14ac:dyDescent="0.25">
      <c r="A2459">
        <v>171476</v>
      </c>
      <c r="B2459" t="s">
        <v>2</v>
      </c>
      <c r="C2459" t="str">
        <f>LEFT(Table4[[#This Row],[Policy Type]],1)</f>
        <v>1</v>
      </c>
    </row>
    <row r="2460" spans="1:3" x14ac:dyDescent="0.25">
      <c r="A2460">
        <v>171507</v>
      </c>
      <c r="B2460" t="s">
        <v>2</v>
      </c>
      <c r="C2460" t="str">
        <f>LEFT(Table4[[#This Row],[Policy Type]],1)</f>
        <v>1</v>
      </c>
    </row>
    <row r="2461" spans="1:3" x14ac:dyDescent="0.25">
      <c r="A2461">
        <v>171230</v>
      </c>
      <c r="B2461" t="s">
        <v>2</v>
      </c>
      <c r="C2461" t="str">
        <f>LEFT(Table4[[#This Row],[Policy Type]],1)</f>
        <v>1</v>
      </c>
    </row>
    <row r="2462" spans="1:3" x14ac:dyDescent="0.25">
      <c r="A2462">
        <v>171233</v>
      </c>
      <c r="B2462" t="s">
        <v>3</v>
      </c>
      <c r="C2462" t="str">
        <f>LEFT(Table4[[#This Row],[Policy Type]],1)</f>
        <v>2</v>
      </c>
    </row>
    <row r="2463" spans="1:3" x14ac:dyDescent="0.25">
      <c r="A2463">
        <v>171350</v>
      </c>
      <c r="B2463" t="s">
        <v>3</v>
      </c>
      <c r="C2463" t="str">
        <f>LEFT(Table4[[#This Row],[Policy Type]],1)</f>
        <v>2</v>
      </c>
    </row>
    <row r="2464" spans="1:3" x14ac:dyDescent="0.25">
      <c r="A2464">
        <v>171934</v>
      </c>
      <c r="B2464" t="s">
        <v>3</v>
      </c>
      <c r="C2464" t="str">
        <f>LEFT(Table4[[#This Row],[Policy Type]],1)</f>
        <v>2</v>
      </c>
    </row>
    <row r="2465" spans="1:3" x14ac:dyDescent="0.25">
      <c r="A2465">
        <v>171971</v>
      </c>
      <c r="B2465" t="s">
        <v>2</v>
      </c>
      <c r="C2465" t="str">
        <f>LEFT(Table4[[#This Row],[Policy Type]],1)</f>
        <v>1</v>
      </c>
    </row>
    <row r="2466" spans="1:3" x14ac:dyDescent="0.25">
      <c r="A2466">
        <v>171623</v>
      </c>
      <c r="B2466" t="s">
        <v>3</v>
      </c>
      <c r="C2466" t="str">
        <f>LEFT(Table4[[#This Row],[Policy Type]],1)</f>
        <v>2</v>
      </c>
    </row>
    <row r="2467" spans="1:3" x14ac:dyDescent="0.25">
      <c r="A2467">
        <v>171626</v>
      </c>
      <c r="B2467" t="s">
        <v>2</v>
      </c>
      <c r="C2467" t="str">
        <f>LEFT(Table4[[#This Row],[Policy Type]],1)</f>
        <v>1</v>
      </c>
    </row>
    <row r="2468" spans="1:3" x14ac:dyDescent="0.25">
      <c r="A2468">
        <v>171689</v>
      </c>
      <c r="B2468" t="s">
        <v>3</v>
      </c>
      <c r="C2468" t="str">
        <f>LEFT(Table4[[#This Row],[Policy Type]],1)</f>
        <v>2</v>
      </c>
    </row>
    <row r="2469" spans="1:3" x14ac:dyDescent="0.25">
      <c r="A2469">
        <v>171769</v>
      </c>
      <c r="B2469" t="s">
        <v>3</v>
      </c>
      <c r="C2469" t="str">
        <f>LEFT(Table4[[#This Row],[Policy Type]],1)</f>
        <v>2</v>
      </c>
    </row>
    <row r="2470" spans="1:3" x14ac:dyDescent="0.25">
      <c r="A2470">
        <v>171778</v>
      </c>
      <c r="B2470" t="s">
        <v>3</v>
      </c>
      <c r="C2470" t="str">
        <f>LEFT(Table4[[#This Row],[Policy Type]],1)</f>
        <v>2</v>
      </c>
    </row>
    <row r="2471" spans="1:3" x14ac:dyDescent="0.25">
      <c r="A2471">
        <v>172098</v>
      </c>
      <c r="B2471" t="s">
        <v>3</v>
      </c>
      <c r="C2471" t="str">
        <f>LEFT(Table4[[#This Row],[Policy Type]],1)</f>
        <v>2</v>
      </c>
    </row>
    <row r="2472" spans="1:3" x14ac:dyDescent="0.25">
      <c r="A2472">
        <v>172121</v>
      </c>
      <c r="B2472" t="s">
        <v>2</v>
      </c>
      <c r="C2472" t="str">
        <f>LEFT(Table4[[#This Row],[Policy Type]],1)</f>
        <v>1</v>
      </c>
    </row>
    <row r="2473" spans="1:3" x14ac:dyDescent="0.25">
      <c r="A2473">
        <v>172122</v>
      </c>
      <c r="B2473" t="s">
        <v>2</v>
      </c>
      <c r="C2473" t="str">
        <f>LEFT(Table4[[#This Row],[Policy Type]],1)</f>
        <v>1</v>
      </c>
    </row>
    <row r="2474" spans="1:3" x14ac:dyDescent="0.25">
      <c r="A2474">
        <v>172135</v>
      </c>
      <c r="B2474" t="s">
        <v>2</v>
      </c>
      <c r="C2474" t="str">
        <f>LEFT(Table4[[#This Row],[Policy Type]],1)</f>
        <v>1</v>
      </c>
    </row>
    <row r="2475" spans="1:3" x14ac:dyDescent="0.25">
      <c r="A2475">
        <v>172146</v>
      </c>
      <c r="B2475" t="s">
        <v>3</v>
      </c>
      <c r="C2475" t="str">
        <f>LEFT(Table4[[#This Row],[Policy Type]],1)</f>
        <v>2</v>
      </c>
    </row>
    <row r="2476" spans="1:3" x14ac:dyDescent="0.25">
      <c r="A2476">
        <v>172190</v>
      </c>
      <c r="B2476" t="s">
        <v>2</v>
      </c>
      <c r="C2476" t="str">
        <f>LEFT(Table4[[#This Row],[Policy Type]],1)</f>
        <v>1</v>
      </c>
    </row>
    <row r="2477" spans="1:3" x14ac:dyDescent="0.25">
      <c r="A2477">
        <v>172224</v>
      </c>
      <c r="B2477" t="s">
        <v>3</v>
      </c>
      <c r="C2477" t="str">
        <f>LEFT(Table4[[#This Row],[Policy Type]],1)</f>
        <v>2</v>
      </c>
    </row>
    <row r="2478" spans="1:3" x14ac:dyDescent="0.25">
      <c r="A2478">
        <v>172236</v>
      </c>
      <c r="B2478" t="s">
        <v>2</v>
      </c>
      <c r="C2478" t="str">
        <f>LEFT(Table4[[#This Row],[Policy Type]],1)</f>
        <v>1</v>
      </c>
    </row>
    <row r="2479" spans="1:3" x14ac:dyDescent="0.25">
      <c r="A2479">
        <v>172256</v>
      </c>
      <c r="B2479" t="s">
        <v>3</v>
      </c>
      <c r="C2479" t="str">
        <f>LEFT(Table4[[#This Row],[Policy Type]],1)</f>
        <v>2</v>
      </c>
    </row>
    <row r="2480" spans="1:3" x14ac:dyDescent="0.25">
      <c r="A2480">
        <v>172268</v>
      </c>
      <c r="B2480" t="s">
        <v>3</v>
      </c>
      <c r="C2480" t="str">
        <f>LEFT(Table4[[#This Row],[Policy Type]],1)</f>
        <v>2</v>
      </c>
    </row>
    <row r="2481" spans="1:3" x14ac:dyDescent="0.25">
      <c r="A2481">
        <v>172297</v>
      </c>
      <c r="B2481" t="s">
        <v>2</v>
      </c>
      <c r="C2481" t="str">
        <f>LEFT(Table4[[#This Row],[Policy Type]],1)</f>
        <v>1</v>
      </c>
    </row>
    <row r="2482" spans="1:3" x14ac:dyDescent="0.25">
      <c r="A2482">
        <v>172304</v>
      </c>
      <c r="B2482" t="s">
        <v>3</v>
      </c>
      <c r="C2482" t="str">
        <f>LEFT(Table4[[#This Row],[Policy Type]],1)</f>
        <v>2</v>
      </c>
    </row>
    <row r="2483" spans="1:3" x14ac:dyDescent="0.25">
      <c r="A2483">
        <v>172333</v>
      </c>
      <c r="B2483" t="s">
        <v>2</v>
      </c>
      <c r="C2483" t="str">
        <f>LEFT(Table4[[#This Row],[Policy Type]],1)</f>
        <v>1</v>
      </c>
    </row>
    <row r="2484" spans="1:3" x14ac:dyDescent="0.25">
      <c r="A2484">
        <v>172351</v>
      </c>
      <c r="B2484" t="s">
        <v>3</v>
      </c>
      <c r="C2484" t="str">
        <f>LEFT(Table4[[#This Row],[Policy Type]],1)</f>
        <v>2</v>
      </c>
    </row>
    <row r="2485" spans="1:3" x14ac:dyDescent="0.25">
      <c r="A2485">
        <v>172385</v>
      </c>
      <c r="B2485" t="s">
        <v>2</v>
      </c>
      <c r="C2485" t="str">
        <f>LEFT(Table4[[#This Row],[Policy Type]],1)</f>
        <v>1</v>
      </c>
    </row>
    <row r="2486" spans="1:3" x14ac:dyDescent="0.25">
      <c r="A2486">
        <v>172401</v>
      </c>
      <c r="B2486" t="s">
        <v>2</v>
      </c>
      <c r="C2486" t="str">
        <f>LEFT(Table4[[#This Row],[Policy Type]],1)</f>
        <v>1</v>
      </c>
    </row>
    <row r="2487" spans="1:3" x14ac:dyDescent="0.25">
      <c r="A2487">
        <v>172463</v>
      </c>
      <c r="B2487" t="s">
        <v>3</v>
      </c>
      <c r="C2487" t="str">
        <f>LEFT(Table4[[#This Row],[Policy Type]],1)</f>
        <v>2</v>
      </c>
    </row>
    <row r="2488" spans="1:3" x14ac:dyDescent="0.25">
      <c r="A2488">
        <v>172503</v>
      </c>
      <c r="B2488" t="s">
        <v>2</v>
      </c>
      <c r="C2488" t="str">
        <f>LEFT(Table4[[#This Row],[Policy Type]],1)</f>
        <v>1</v>
      </c>
    </row>
    <row r="2489" spans="1:3" x14ac:dyDescent="0.25">
      <c r="A2489">
        <v>172508</v>
      </c>
      <c r="B2489" t="s">
        <v>3</v>
      </c>
      <c r="C2489" t="str">
        <f>LEFT(Table4[[#This Row],[Policy Type]],1)</f>
        <v>2</v>
      </c>
    </row>
    <row r="2490" spans="1:3" x14ac:dyDescent="0.25">
      <c r="A2490">
        <v>172548</v>
      </c>
      <c r="B2490" t="s">
        <v>3</v>
      </c>
      <c r="C2490" t="str">
        <f>LEFT(Table4[[#This Row],[Policy Type]],1)</f>
        <v>2</v>
      </c>
    </row>
    <row r="2491" spans="1:3" x14ac:dyDescent="0.25">
      <c r="A2491">
        <v>172555</v>
      </c>
      <c r="B2491" t="s">
        <v>3</v>
      </c>
      <c r="C2491" t="str">
        <f>LEFT(Table4[[#This Row],[Policy Type]],1)</f>
        <v>2</v>
      </c>
    </row>
    <row r="2492" spans="1:3" x14ac:dyDescent="0.25">
      <c r="A2492">
        <v>172695</v>
      </c>
      <c r="B2492" t="s">
        <v>3</v>
      </c>
      <c r="C2492" t="str">
        <f>LEFT(Table4[[#This Row],[Policy Type]],1)</f>
        <v>2</v>
      </c>
    </row>
    <row r="2493" spans="1:3" x14ac:dyDescent="0.25">
      <c r="A2493">
        <v>172712</v>
      </c>
      <c r="B2493" t="s">
        <v>2</v>
      </c>
      <c r="C2493" t="str">
        <f>LEFT(Table4[[#This Row],[Policy Type]],1)</f>
        <v>1</v>
      </c>
    </row>
    <row r="2494" spans="1:3" x14ac:dyDescent="0.25">
      <c r="A2494">
        <v>172752</v>
      </c>
      <c r="B2494" t="s">
        <v>3</v>
      </c>
      <c r="C2494" t="str">
        <f>LEFT(Table4[[#This Row],[Policy Type]],1)</f>
        <v>2</v>
      </c>
    </row>
    <row r="2495" spans="1:3" x14ac:dyDescent="0.25">
      <c r="A2495">
        <v>172867</v>
      </c>
      <c r="B2495" t="s">
        <v>3</v>
      </c>
      <c r="C2495" t="str">
        <f>LEFT(Table4[[#This Row],[Policy Type]],1)</f>
        <v>2</v>
      </c>
    </row>
    <row r="2496" spans="1:3" x14ac:dyDescent="0.25">
      <c r="A2496">
        <v>172917</v>
      </c>
      <c r="B2496" t="s">
        <v>2</v>
      </c>
      <c r="C2496" t="str">
        <f>LEFT(Table4[[#This Row],[Policy Type]],1)</f>
        <v>1</v>
      </c>
    </row>
    <row r="2497" spans="1:3" x14ac:dyDescent="0.25">
      <c r="A2497">
        <v>172950</v>
      </c>
      <c r="B2497" t="s">
        <v>2</v>
      </c>
      <c r="C2497" t="str">
        <f>LEFT(Table4[[#This Row],[Policy Type]],1)</f>
        <v>1</v>
      </c>
    </row>
    <row r="2498" spans="1:3" x14ac:dyDescent="0.25">
      <c r="A2498">
        <v>173020</v>
      </c>
      <c r="B2498" t="s">
        <v>2</v>
      </c>
      <c r="C2498" t="str">
        <f>LEFT(Table4[[#This Row],[Policy Type]],1)</f>
        <v>1</v>
      </c>
    </row>
    <row r="2499" spans="1:3" x14ac:dyDescent="0.25">
      <c r="A2499">
        <v>173284</v>
      </c>
      <c r="B2499" t="s">
        <v>2</v>
      </c>
      <c r="C2499" t="str">
        <f>LEFT(Table4[[#This Row],[Policy Type]],1)</f>
        <v>1</v>
      </c>
    </row>
    <row r="2500" spans="1:3" x14ac:dyDescent="0.25">
      <c r="A2500">
        <v>173353</v>
      </c>
      <c r="B2500" t="s">
        <v>3</v>
      </c>
      <c r="C2500" t="str">
        <f>LEFT(Table4[[#This Row],[Policy Type]],1)</f>
        <v>2</v>
      </c>
    </row>
    <row r="2501" spans="1:3" x14ac:dyDescent="0.25">
      <c r="A2501">
        <v>173367</v>
      </c>
      <c r="B2501" t="s">
        <v>2</v>
      </c>
      <c r="C2501" t="str">
        <f>LEFT(Table4[[#This Row],[Policy Type]],1)</f>
        <v>1</v>
      </c>
    </row>
    <row r="2502" spans="1:3" x14ac:dyDescent="0.25">
      <c r="A2502">
        <v>173368</v>
      </c>
      <c r="B2502" t="s">
        <v>3</v>
      </c>
      <c r="C2502" t="str">
        <f>LEFT(Table4[[#This Row],[Policy Type]],1)</f>
        <v>2</v>
      </c>
    </row>
    <row r="2503" spans="1:3" x14ac:dyDescent="0.25">
      <c r="A2503">
        <v>173448</v>
      </c>
      <c r="B2503" t="s">
        <v>2</v>
      </c>
      <c r="C2503" t="str">
        <f>LEFT(Table4[[#This Row],[Policy Type]],1)</f>
        <v>1</v>
      </c>
    </row>
    <row r="2504" spans="1:3" x14ac:dyDescent="0.25">
      <c r="A2504">
        <v>173469</v>
      </c>
      <c r="B2504" t="s">
        <v>2</v>
      </c>
      <c r="C2504" t="str">
        <f>LEFT(Table4[[#This Row],[Policy Type]],1)</f>
        <v>1</v>
      </c>
    </row>
    <row r="2505" spans="1:3" x14ac:dyDescent="0.25">
      <c r="A2505">
        <v>173493</v>
      </c>
      <c r="B2505" t="s">
        <v>3</v>
      </c>
      <c r="C2505" t="str">
        <f>LEFT(Table4[[#This Row],[Policy Type]],1)</f>
        <v>2</v>
      </c>
    </row>
    <row r="2506" spans="1:3" x14ac:dyDescent="0.25">
      <c r="A2506">
        <v>173534</v>
      </c>
      <c r="B2506" t="s">
        <v>2</v>
      </c>
      <c r="C2506" t="str">
        <f>LEFT(Table4[[#This Row],[Policy Type]],1)</f>
        <v>1</v>
      </c>
    </row>
    <row r="2507" spans="1:3" x14ac:dyDescent="0.25">
      <c r="A2507">
        <v>173551</v>
      </c>
      <c r="B2507" t="s">
        <v>2</v>
      </c>
      <c r="C2507" t="str">
        <f>LEFT(Table4[[#This Row],[Policy Type]],1)</f>
        <v>1</v>
      </c>
    </row>
    <row r="2508" spans="1:3" x14ac:dyDescent="0.25">
      <c r="A2508">
        <v>173614</v>
      </c>
      <c r="B2508" t="s">
        <v>2</v>
      </c>
      <c r="C2508" t="str">
        <f>LEFT(Table4[[#This Row],[Policy Type]],1)</f>
        <v>1</v>
      </c>
    </row>
    <row r="2509" spans="1:3" x14ac:dyDescent="0.25">
      <c r="A2509">
        <v>173796</v>
      </c>
      <c r="B2509" t="s">
        <v>3</v>
      </c>
      <c r="C2509" t="str">
        <f>LEFT(Table4[[#This Row],[Policy Type]],1)</f>
        <v>2</v>
      </c>
    </row>
    <row r="2510" spans="1:3" x14ac:dyDescent="0.25">
      <c r="A2510">
        <v>173861</v>
      </c>
      <c r="B2510" t="s">
        <v>2</v>
      </c>
      <c r="C2510" t="str">
        <f>LEFT(Table4[[#This Row],[Policy Type]],1)</f>
        <v>1</v>
      </c>
    </row>
    <row r="2511" spans="1:3" x14ac:dyDescent="0.25">
      <c r="A2511">
        <v>174067</v>
      </c>
      <c r="B2511" t="s">
        <v>2</v>
      </c>
      <c r="C2511" t="str">
        <f>LEFT(Table4[[#This Row],[Policy Type]],1)</f>
        <v>1</v>
      </c>
    </row>
    <row r="2512" spans="1:3" x14ac:dyDescent="0.25">
      <c r="A2512">
        <v>174115</v>
      </c>
      <c r="B2512" t="s">
        <v>2</v>
      </c>
      <c r="C2512" t="str">
        <f>LEFT(Table4[[#This Row],[Policy Type]],1)</f>
        <v>1</v>
      </c>
    </row>
    <row r="2513" spans="1:3" x14ac:dyDescent="0.25">
      <c r="A2513">
        <v>174417</v>
      </c>
      <c r="B2513" t="s">
        <v>3</v>
      </c>
      <c r="C2513" t="str">
        <f>LEFT(Table4[[#This Row],[Policy Type]],1)</f>
        <v>2</v>
      </c>
    </row>
    <row r="2514" spans="1:3" x14ac:dyDescent="0.25">
      <c r="A2514">
        <v>174421</v>
      </c>
      <c r="B2514" t="s">
        <v>2</v>
      </c>
      <c r="C2514" t="str">
        <f>LEFT(Table4[[#This Row],[Policy Type]],1)</f>
        <v>1</v>
      </c>
    </row>
    <row r="2515" spans="1:3" x14ac:dyDescent="0.25">
      <c r="A2515">
        <v>174466</v>
      </c>
      <c r="B2515" t="s">
        <v>2</v>
      </c>
      <c r="C2515" t="str">
        <f>LEFT(Table4[[#This Row],[Policy Type]],1)</f>
        <v>1</v>
      </c>
    </row>
    <row r="2516" spans="1:3" x14ac:dyDescent="0.25">
      <c r="A2516">
        <v>174514</v>
      </c>
      <c r="B2516" t="s">
        <v>3</v>
      </c>
      <c r="C2516" t="str">
        <f>LEFT(Table4[[#This Row],[Policy Type]],1)</f>
        <v>2</v>
      </c>
    </row>
    <row r="2517" spans="1:3" x14ac:dyDescent="0.25">
      <c r="A2517">
        <v>174524</v>
      </c>
      <c r="B2517" t="s">
        <v>3</v>
      </c>
      <c r="C2517" t="str">
        <f>LEFT(Table4[[#This Row],[Policy Type]],1)</f>
        <v>2</v>
      </c>
    </row>
    <row r="2518" spans="1:3" x14ac:dyDescent="0.25">
      <c r="A2518">
        <v>174535</v>
      </c>
      <c r="B2518" t="s">
        <v>3</v>
      </c>
      <c r="C2518" t="str">
        <f>LEFT(Table4[[#This Row],[Policy Type]],1)</f>
        <v>2</v>
      </c>
    </row>
    <row r="2519" spans="1:3" x14ac:dyDescent="0.25">
      <c r="A2519">
        <v>174569</v>
      </c>
      <c r="B2519" t="s">
        <v>3</v>
      </c>
      <c r="C2519" t="str">
        <f>LEFT(Table4[[#This Row],[Policy Type]],1)</f>
        <v>2</v>
      </c>
    </row>
    <row r="2520" spans="1:3" x14ac:dyDescent="0.25">
      <c r="A2520">
        <v>174590</v>
      </c>
      <c r="B2520" t="s">
        <v>2</v>
      </c>
      <c r="C2520" t="str">
        <f>LEFT(Table4[[#This Row],[Policy Type]],1)</f>
        <v>1</v>
      </c>
    </row>
    <row r="2521" spans="1:3" x14ac:dyDescent="0.25">
      <c r="A2521">
        <v>174201</v>
      </c>
      <c r="B2521" t="s">
        <v>3</v>
      </c>
      <c r="C2521" t="str">
        <f>LEFT(Table4[[#This Row],[Policy Type]],1)</f>
        <v>2</v>
      </c>
    </row>
    <row r="2522" spans="1:3" x14ac:dyDescent="0.25">
      <c r="A2522">
        <v>174227</v>
      </c>
      <c r="B2522" t="s">
        <v>3</v>
      </c>
      <c r="C2522" t="str">
        <f>LEFT(Table4[[#This Row],[Policy Type]],1)</f>
        <v>2</v>
      </c>
    </row>
    <row r="2523" spans="1:3" x14ac:dyDescent="0.25">
      <c r="A2523">
        <v>174247</v>
      </c>
      <c r="B2523" t="s">
        <v>2</v>
      </c>
      <c r="C2523" t="str">
        <f>LEFT(Table4[[#This Row],[Policy Type]],1)</f>
        <v>1</v>
      </c>
    </row>
    <row r="2524" spans="1:3" x14ac:dyDescent="0.25">
      <c r="A2524">
        <v>174289</v>
      </c>
      <c r="B2524" t="s">
        <v>2</v>
      </c>
      <c r="C2524" t="str">
        <f>LEFT(Table4[[#This Row],[Policy Type]],1)</f>
        <v>1</v>
      </c>
    </row>
    <row r="2525" spans="1:3" x14ac:dyDescent="0.25">
      <c r="A2525">
        <v>174320</v>
      </c>
      <c r="B2525" t="s">
        <v>3</v>
      </c>
      <c r="C2525" t="str">
        <f>LEFT(Table4[[#This Row],[Policy Type]],1)</f>
        <v>2</v>
      </c>
    </row>
    <row r="2526" spans="1:3" x14ac:dyDescent="0.25">
      <c r="A2526">
        <v>174341</v>
      </c>
      <c r="B2526" t="s">
        <v>3</v>
      </c>
      <c r="C2526" t="str">
        <f>LEFT(Table4[[#This Row],[Policy Type]],1)</f>
        <v>2</v>
      </c>
    </row>
    <row r="2527" spans="1:3" x14ac:dyDescent="0.25">
      <c r="A2527">
        <v>174367</v>
      </c>
      <c r="B2527" t="s">
        <v>2</v>
      </c>
      <c r="C2527" t="str">
        <f>LEFT(Table4[[#This Row],[Policy Type]],1)</f>
        <v>1</v>
      </c>
    </row>
    <row r="2528" spans="1:3" x14ac:dyDescent="0.25">
      <c r="A2528">
        <v>174698</v>
      </c>
      <c r="B2528" t="s">
        <v>3</v>
      </c>
      <c r="C2528" t="str">
        <f>LEFT(Table4[[#This Row],[Policy Type]],1)</f>
        <v>2</v>
      </c>
    </row>
    <row r="2529" spans="1:3" x14ac:dyDescent="0.25">
      <c r="A2529">
        <v>174707</v>
      </c>
      <c r="B2529" t="s">
        <v>2</v>
      </c>
      <c r="C2529" t="str">
        <f>LEFT(Table4[[#This Row],[Policy Type]],1)</f>
        <v>1</v>
      </c>
    </row>
    <row r="2530" spans="1:3" x14ac:dyDescent="0.25">
      <c r="A2530">
        <v>174749</v>
      </c>
      <c r="B2530" t="s">
        <v>3</v>
      </c>
      <c r="C2530" t="str">
        <f>LEFT(Table4[[#This Row],[Policy Type]],1)</f>
        <v>2</v>
      </c>
    </row>
    <row r="2531" spans="1:3" x14ac:dyDescent="0.25">
      <c r="A2531">
        <v>174778</v>
      </c>
      <c r="B2531" t="s">
        <v>3</v>
      </c>
      <c r="C2531" t="str">
        <f>LEFT(Table4[[#This Row],[Policy Type]],1)</f>
        <v>2</v>
      </c>
    </row>
    <row r="2532" spans="1:3" x14ac:dyDescent="0.25">
      <c r="A2532">
        <v>174780</v>
      </c>
      <c r="B2532" t="s">
        <v>3</v>
      </c>
      <c r="C2532" t="str">
        <f>LEFT(Table4[[#This Row],[Policy Type]],1)</f>
        <v>2</v>
      </c>
    </row>
    <row r="2533" spans="1:3" x14ac:dyDescent="0.25">
      <c r="A2533">
        <v>174801</v>
      </c>
      <c r="B2533" t="s">
        <v>3</v>
      </c>
      <c r="C2533" t="str">
        <f>LEFT(Table4[[#This Row],[Policy Type]],1)</f>
        <v>2</v>
      </c>
    </row>
    <row r="2534" spans="1:3" x14ac:dyDescent="0.25">
      <c r="A2534">
        <v>174830</v>
      </c>
      <c r="B2534" t="s">
        <v>3</v>
      </c>
      <c r="C2534" t="str">
        <f>LEFT(Table4[[#This Row],[Policy Type]],1)</f>
        <v>2</v>
      </c>
    </row>
    <row r="2535" spans="1:3" x14ac:dyDescent="0.25">
      <c r="A2535">
        <v>174928</v>
      </c>
      <c r="B2535" t="s">
        <v>3</v>
      </c>
      <c r="C2535" t="str">
        <f>LEFT(Table4[[#This Row],[Policy Type]],1)</f>
        <v>2</v>
      </c>
    </row>
    <row r="2536" spans="1:3" x14ac:dyDescent="0.25">
      <c r="A2536">
        <v>174996</v>
      </c>
      <c r="B2536" t="s">
        <v>2</v>
      </c>
      <c r="C2536" t="str">
        <f>LEFT(Table4[[#This Row],[Policy Type]],1)</f>
        <v>1</v>
      </c>
    </row>
    <row r="2537" spans="1:3" x14ac:dyDescent="0.25">
      <c r="A2537">
        <v>175053</v>
      </c>
      <c r="B2537" t="s">
        <v>3</v>
      </c>
      <c r="C2537" t="str">
        <f>LEFT(Table4[[#This Row],[Policy Type]],1)</f>
        <v>2</v>
      </c>
    </row>
    <row r="2538" spans="1:3" x14ac:dyDescent="0.25">
      <c r="A2538">
        <v>175072</v>
      </c>
      <c r="B2538" t="s">
        <v>3</v>
      </c>
      <c r="C2538" t="str">
        <f>LEFT(Table4[[#This Row],[Policy Type]],1)</f>
        <v>2</v>
      </c>
    </row>
    <row r="2539" spans="1:3" x14ac:dyDescent="0.25">
      <c r="A2539">
        <v>175143</v>
      </c>
      <c r="B2539" t="s">
        <v>3</v>
      </c>
      <c r="C2539" t="str">
        <f>LEFT(Table4[[#This Row],[Policy Type]],1)</f>
        <v>2</v>
      </c>
    </row>
    <row r="2540" spans="1:3" x14ac:dyDescent="0.25">
      <c r="A2540">
        <v>175332</v>
      </c>
      <c r="B2540" t="s">
        <v>2</v>
      </c>
      <c r="C2540" t="str">
        <f>LEFT(Table4[[#This Row],[Policy Type]],1)</f>
        <v>1</v>
      </c>
    </row>
    <row r="2541" spans="1:3" x14ac:dyDescent="0.25">
      <c r="A2541">
        <v>175421</v>
      </c>
      <c r="B2541" t="s">
        <v>3</v>
      </c>
      <c r="C2541" t="str">
        <f>LEFT(Table4[[#This Row],[Policy Type]],1)</f>
        <v>2</v>
      </c>
    </row>
    <row r="2542" spans="1:3" x14ac:dyDescent="0.25">
      <c r="A2542">
        <v>175520</v>
      </c>
      <c r="B2542" t="s">
        <v>2</v>
      </c>
      <c r="C2542" t="str">
        <f>LEFT(Table4[[#This Row],[Policy Type]],1)</f>
        <v>1</v>
      </c>
    </row>
    <row r="2543" spans="1:3" x14ac:dyDescent="0.25">
      <c r="A2543">
        <v>175545</v>
      </c>
      <c r="B2543" t="s">
        <v>2</v>
      </c>
      <c r="C2543" t="str">
        <f>LEFT(Table4[[#This Row],[Policy Type]],1)</f>
        <v>1</v>
      </c>
    </row>
    <row r="2544" spans="1:3" x14ac:dyDescent="0.25">
      <c r="A2544">
        <v>175592</v>
      </c>
      <c r="B2544" t="s">
        <v>3</v>
      </c>
      <c r="C2544" t="str">
        <f>LEFT(Table4[[#This Row],[Policy Type]],1)</f>
        <v>2</v>
      </c>
    </row>
    <row r="2545" spans="1:3" x14ac:dyDescent="0.25">
      <c r="A2545">
        <v>175888</v>
      </c>
      <c r="B2545" t="s">
        <v>2</v>
      </c>
      <c r="C2545" t="str">
        <f>LEFT(Table4[[#This Row],[Policy Type]],1)</f>
        <v>1</v>
      </c>
    </row>
    <row r="2546" spans="1:3" x14ac:dyDescent="0.25">
      <c r="A2546">
        <v>175895</v>
      </c>
      <c r="B2546" t="s">
        <v>2</v>
      </c>
      <c r="C2546" t="str">
        <f>LEFT(Table4[[#This Row],[Policy Type]],1)</f>
        <v>1</v>
      </c>
    </row>
    <row r="2547" spans="1:3" x14ac:dyDescent="0.25">
      <c r="A2547">
        <v>175642</v>
      </c>
      <c r="B2547" t="s">
        <v>3</v>
      </c>
      <c r="C2547" t="str">
        <f>LEFT(Table4[[#This Row],[Policy Type]],1)</f>
        <v>2</v>
      </c>
    </row>
    <row r="2548" spans="1:3" x14ac:dyDescent="0.25">
      <c r="A2548">
        <v>175667</v>
      </c>
      <c r="B2548" t="s">
        <v>3</v>
      </c>
      <c r="C2548" t="str">
        <f>LEFT(Table4[[#This Row],[Policy Type]],1)</f>
        <v>2</v>
      </c>
    </row>
    <row r="2549" spans="1:3" x14ac:dyDescent="0.25">
      <c r="A2549">
        <v>175788</v>
      </c>
      <c r="B2549" t="s">
        <v>3</v>
      </c>
      <c r="C2549" t="str">
        <f>LEFT(Table4[[#This Row],[Policy Type]],1)</f>
        <v>2</v>
      </c>
    </row>
    <row r="2550" spans="1:3" x14ac:dyDescent="0.25">
      <c r="A2550">
        <v>175796</v>
      </c>
      <c r="B2550" t="s">
        <v>3</v>
      </c>
      <c r="C2550" t="str">
        <f>LEFT(Table4[[#This Row],[Policy Type]],1)</f>
        <v>2</v>
      </c>
    </row>
    <row r="2551" spans="1:3" x14ac:dyDescent="0.25">
      <c r="A2551">
        <v>176033</v>
      </c>
      <c r="B2551" t="s">
        <v>3</v>
      </c>
      <c r="C2551" t="str">
        <f>LEFT(Table4[[#This Row],[Policy Type]],1)</f>
        <v>2</v>
      </c>
    </row>
    <row r="2552" spans="1:3" x14ac:dyDescent="0.25">
      <c r="A2552">
        <v>176036</v>
      </c>
      <c r="B2552" t="s">
        <v>2</v>
      </c>
      <c r="C2552" t="str">
        <f>LEFT(Table4[[#This Row],[Policy Type]],1)</f>
        <v>1</v>
      </c>
    </row>
    <row r="2553" spans="1:3" x14ac:dyDescent="0.25">
      <c r="A2553">
        <v>176304</v>
      </c>
      <c r="B2553" t="s">
        <v>3</v>
      </c>
      <c r="C2553" t="str">
        <f>LEFT(Table4[[#This Row],[Policy Type]],1)</f>
        <v>2</v>
      </c>
    </row>
    <row r="2554" spans="1:3" x14ac:dyDescent="0.25">
      <c r="A2554">
        <v>176314</v>
      </c>
      <c r="B2554" t="s">
        <v>2</v>
      </c>
      <c r="C2554" t="str">
        <f>LEFT(Table4[[#This Row],[Policy Type]],1)</f>
        <v>1</v>
      </c>
    </row>
    <row r="2555" spans="1:3" x14ac:dyDescent="0.25">
      <c r="A2555">
        <v>176319</v>
      </c>
      <c r="B2555" t="s">
        <v>2</v>
      </c>
      <c r="C2555" t="str">
        <f>LEFT(Table4[[#This Row],[Policy Type]],1)</f>
        <v>1</v>
      </c>
    </row>
    <row r="2556" spans="1:3" x14ac:dyDescent="0.25">
      <c r="A2556">
        <v>176349</v>
      </c>
      <c r="B2556" t="s">
        <v>2</v>
      </c>
      <c r="C2556" t="str">
        <f>LEFT(Table4[[#This Row],[Policy Type]],1)</f>
        <v>1</v>
      </c>
    </row>
    <row r="2557" spans="1:3" x14ac:dyDescent="0.25">
      <c r="A2557">
        <v>176370</v>
      </c>
      <c r="B2557" t="s">
        <v>2</v>
      </c>
      <c r="C2557" t="str">
        <f>LEFT(Table4[[#This Row],[Policy Type]],1)</f>
        <v>1</v>
      </c>
    </row>
    <row r="2558" spans="1:3" x14ac:dyDescent="0.25">
      <c r="A2558">
        <v>176375</v>
      </c>
      <c r="B2558" t="s">
        <v>3</v>
      </c>
      <c r="C2558" t="str">
        <f>LEFT(Table4[[#This Row],[Policy Type]],1)</f>
        <v>2</v>
      </c>
    </row>
    <row r="2559" spans="1:3" x14ac:dyDescent="0.25">
      <c r="A2559">
        <v>176418</v>
      </c>
      <c r="B2559" t="s">
        <v>3</v>
      </c>
      <c r="C2559" t="str">
        <f>LEFT(Table4[[#This Row],[Policy Type]],1)</f>
        <v>2</v>
      </c>
    </row>
    <row r="2560" spans="1:3" x14ac:dyDescent="0.25">
      <c r="A2560">
        <v>176446</v>
      </c>
      <c r="B2560" t="s">
        <v>3</v>
      </c>
      <c r="C2560" t="str">
        <f>LEFT(Table4[[#This Row],[Policy Type]],1)</f>
        <v>2</v>
      </c>
    </row>
    <row r="2561" spans="1:3" x14ac:dyDescent="0.25">
      <c r="A2561">
        <v>176535</v>
      </c>
      <c r="B2561" t="s">
        <v>3</v>
      </c>
      <c r="C2561" t="str">
        <f>LEFT(Table4[[#This Row],[Policy Type]],1)</f>
        <v>2</v>
      </c>
    </row>
    <row r="2562" spans="1:3" x14ac:dyDescent="0.25">
      <c r="A2562">
        <v>176567</v>
      </c>
      <c r="B2562" t="s">
        <v>2</v>
      </c>
      <c r="C2562" t="str">
        <f>LEFT(Table4[[#This Row],[Policy Type]],1)</f>
        <v>1</v>
      </c>
    </row>
    <row r="2563" spans="1:3" x14ac:dyDescent="0.25">
      <c r="A2563">
        <v>176579</v>
      </c>
      <c r="B2563" t="s">
        <v>3</v>
      </c>
      <c r="C2563" t="str">
        <f>LEFT(Table4[[#This Row],[Policy Type]],1)</f>
        <v>2</v>
      </c>
    </row>
    <row r="2564" spans="1:3" x14ac:dyDescent="0.25">
      <c r="A2564">
        <v>176666</v>
      </c>
      <c r="B2564" t="s">
        <v>3</v>
      </c>
      <c r="C2564" t="str">
        <f>LEFT(Table4[[#This Row],[Policy Type]],1)</f>
        <v>2</v>
      </c>
    </row>
    <row r="2565" spans="1:3" x14ac:dyDescent="0.25">
      <c r="A2565">
        <v>176723</v>
      </c>
      <c r="B2565" t="s">
        <v>2</v>
      </c>
      <c r="C2565" t="str">
        <f>LEFT(Table4[[#This Row],[Policy Type]],1)</f>
        <v>1</v>
      </c>
    </row>
    <row r="2566" spans="1:3" x14ac:dyDescent="0.25">
      <c r="A2566">
        <v>176736</v>
      </c>
      <c r="B2566" t="s">
        <v>3</v>
      </c>
      <c r="C2566" t="str">
        <f>LEFT(Table4[[#This Row],[Policy Type]],1)</f>
        <v>2</v>
      </c>
    </row>
    <row r="2567" spans="1:3" x14ac:dyDescent="0.25">
      <c r="A2567">
        <v>176864</v>
      </c>
      <c r="B2567" t="s">
        <v>3</v>
      </c>
      <c r="C2567" t="str">
        <f>LEFT(Table4[[#This Row],[Policy Type]],1)</f>
        <v>2</v>
      </c>
    </row>
    <row r="2568" spans="1:3" x14ac:dyDescent="0.25">
      <c r="A2568">
        <v>176911</v>
      </c>
      <c r="B2568" t="s">
        <v>2</v>
      </c>
      <c r="C2568" t="str">
        <f>LEFT(Table4[[#This Row],[Policy Type]],1)</f>
        <v>1</v>
      </c>
    </row>
    <row r="2569" spans="1:3" x14ac:dyDescent="0.25">
      <c r="A2569">
        <v>177007</v>
      </c>
      <c r="B2569" t="s">
        <v>2</v>
      </c>
      <c r="C2569" t="str">
        <f>LEFT(Table4[[#This Row],[Policy Type]],1)</f>
        <v>1</v>
      </c>
    </row>
    <row r="2570" spans="1:3" x14ac:dyDescent="0.25">
      <c r="A2570">
        <v>177079</v>
      </c>
      <c r="B2570" t="s">
        <v>3</v>
      </c>
      <c r="C2570" t="str">
        <f>LEFT(Table4[[#This Row],[Policy Type]],1)</f>
        <v>2</v>
      </c>
    </row>
    <row r="2571" spans="1:3" x14ac:dyDescent="0.25">
      <c r="A2571">
        <v>177088</v>
      </c>
      <c r="B2571" t="s">
        <v>3</v>
      </c>
      <c r="C2571" t="str">
        <f>LEFT(Table4[[#This Row],[Policy Type]],1)</f>
        <v>2</v>
      </c>
    </row>
    <row r="2572" spans="1:3" x14ac:dyDescent="0.25">
      <c r="A2572">
        <v>177149</v>
      </c>
      <c r="B2572" t="s">
        <v>3</v>
      </c>
      <c r="C2572" t="str">
        <f>LEFT(Table4[[#This Row],[Policy Type]],1)</f>
        <v>2</v>
      </c>
    </row>
    <row r="2573" spans="1:3" x14ac:dyDescent="0.25">
      <c r="A2573">
        <v>177191</v>
      </c>
      <c r="B2573" t="s">
        <v>3</v>
      </c>
      <c r="C2573" t="str">
        <f>LEFT(Table4[[#This Row],[Policy Type]],1)</f>
        <v>2</v>
      </c>
    </row>
    <row r="2574" spans="1:3" x14ac:dyDescent="0.25">
      <c r="A2574">
        <v>177281</v>
      </c>
      <c r="B2574" t="s">
        <v>3</v>
      </c>
      <c r="C2574" t="str">
        <f>LEFT(Table4[[#This Row],[Policy Type]],1)</f>
        <v>2</v>
      </c>
    </row>
    <row r="2575" spans="1:3" x14ac:dyDescent="0.25">
      <c r="A2575">
        <v>177331</v>
      </c>
      <c r="B2575" t="s">
        <v>2</v>
      </c>
      <c r="C2575" t="str">
        <f>LEFT(Table4[[#This Row],[Policy Type]],1)</f>
        <v>1</v>
      </c>
    </row>
    <row r="2576" spans="1:3" x14ac:dyDescent="0.25">
      <c r="A2576">
        <v>177381</v>
      </c>
      <c r="B2576" t="s">
        <v>2</v>
      </c>
      <c r="C2576" t="str">
        <f>LEFT(Table4[[#This Row],[Policy Type]],1)</f>
        <v>1</v>
      </c>
    </row>
    <row r="2577" spans="1:3" x14ac:dyDescent="0.25">
      <c r="A2577">
        <v>177389</v>
      </c>
      <c r="B2577" t="s">
        <v>3</v>
      </c>
      <c r="C2577" t="str">
        <f>LEFT(Table4[[#This Row],[Policy Type]],1)</f>
        <v>2</v>
      </c>
    </row>
    <row r="2578" spans="1:3" x14ac:dyDescent="0.25">
      <c r="A2578">
        <v>177397</v>
      </c>
      <c r="B2578" t="s">
        <v>3</v>
      </c>
      <c r="C2578" t="str">
        <f>LEFT(Table4[[#This Row],[Policy Type]],1)</f>
        <v>2</v>
      </c>
    </row>
    <row r="2579" spans="1:3" x14ac:dyDescent="0.25">
      <c r="A2579">
        <v>177417</v>
      </c>
      <c r="B2579" t="s">
        <v>3</v>
      </c>
      <c r="C2579" t="str">
        <f>LEFT(Table4[[#This Row],[Policy Type]],1)</f>
        <v>2</v>
      </c>
    </row>
    <row r="2580" spans="1:3" x14ac:dyDescent="0.25">
      <c r="A2580">
        <v>177421</v>
      </c>
      <c r="B2580" t="s">
        <v>3</v>
      </c>
      <c r="C2580" t="str">
        <f>LEFT(Table4[[#This Row],[Policy Type]],1)</f>
        <v>2</v>
      </c>
    </row>
    <row r="2581" spans="1:3" x14ac:dyDescent="0.25">
      <c r="A2581">
        <v>177468</v>
      </c>
      <c r="B2581" t="s">
        <v>3</v>
      </c>
      <c r="C2581" t="str">
        <f>LEFT(Table4[[#This Row],[Policy Type]],1)</f>
        <v>2</v>
      </c>
    </row>
    <row r="2582" spans="1:3" x14ac:dyDescent="0.25">
      <c r="A2582">
        <v>177614</v>
      </c>
      <c r="B2582" t="s">
        <v>2</v>
      </c>
      <c r="C2582" t="str">
        <f>LEFT(Table4[[#This Row],[Policy Type]],1)</f>
        <v>1</v>
      </c>
    </row>
    <row r="2583" spans="1:3" x14ac:dyDescent="0.25">
      <c r="A2583">
        <v>177647</v>
      </c>
      <c r="B2583" t="s">
        <v>3</v>
      </c>
      <c r="C2583" t="str">
        <f>LEFT(Table4[[#This Row],[Policy Type]],1)</f>
        <v>2</v>
      </c>
    </row>
    <row r="2584" spans="1:3" x14ac:dyDescent="0.25">
      <c r="A2584">
        <v>177654</v>
      </c>
      <c r="B2584" t="s">
        <v>3</v>
      </c>
      <c r="C2584" t="str">
        <f>LEFT(Table4[[#This Row],[Policy Type]],1)</f>
        <v>2</v>
      </c>
    </row>
    <row r="2585" spans="1:3" x14ac:dyDescent="0.25">
      <c r="A2585">
        <v>177662</v>
      </c>
      <c r="B2585" t="s">
        <v>2</v>
      </c>
      <c r="C2585" t="str">
        <f>LEFT(Table4[[#This Row],[Policy Type]],1)</f>
        <v>1</v>
      </c>
    </row>
    <row r="2586" spans="1:3" x14ac:dyDescent="0.25">
      <c r="A2586">
        <v>177709</v>
      </c>
      <c r="B2586" t="s">
        <v>3</v>
      </c>
      <c r="C2586" t="str">
        <f>LEFT(Table4[[#This Row],[Policy Type]],1)</f>
        <v>2</v>
      </c>
    </row>
    <row r="2587" spans="1:3" x14ac:dyDescent="0.25">
      <c r="A2587">
        <v>177715</v>
      </c>
      <c r="B2587" t="s">
        <v>3</v>
      </c>
      <c r="C2587" t="str">
        <f>LEFT(Table4[[#This Row],[Policy Type]],1)</f>
        <v>2</v>
      </c>
    </row>
    <row r="2588" spans="1:3" x14ac:dyDescent="0.25">
      <c r="A2588">
        <v>177745</v>
      </c>
      <c r="B2588" t="s">
        <v>3</v>
      </c>
      <c r="C2588" t="str">
        <f>LEFT(Table4[[#This Row],[Policy Type]],1)</f>
        <v>2</v>
      </c>
    </row>
    <row r="2589" spans="1:3" x14ac:dyDescent="0.25">
      <c r="A2589">
        <v>177798</v>
      </c>
      <c r="B2589" t="s">
        <v>2</v>
      </c>
      <c r="C2589" t="str">
        <f>LEFT(Table4[[#This Row],[Policy Type]],1)</f>
        <v>1</v>
      </c>
    </row>
    <row r="2590" spans="1:3" x14ac:dyDescent="0.25">
      <c r="A2590">
        <v>177858</v>
      </c>
      <c r="B2590" t="s">
        <v>3</v>
      </c>
      <c r="C2590" t="str">
        <f>LEFT(Table4[[#This Row],[Policy Type]],1)</f>
        <v>2</v>
      </c>
    </row>
    <row r="2591" spans="1:3" x14ac:dyDescent="0.25">
      <c r="A2591">
        <v>177918</v>
      </c>
      <c r="B2591" t="s">
        <v>3</v>
      </c>
      <c r="C2591" t="str">
        <f>LEFT(Table4[[#This Row],[Policy Type]],1)</f>
        <v>2</v>
      </c>
    </row>
    <row r="2592" spans="1:3" x14ac:dyDescent="0.25">
      <c r="A2592">
        <v>177938</v>
      </c>
      <c r="B2592" t="s">
        <v>2</v>
      </c>
      <c r="C2592" t="str">
        <f>LEFT(Table4[[#This Row],[Policy Type]],1)</f>
        <v>1</v>
      </c>
    </row>
    <row r="2593" spans="1:3" x14ac:dyDescent="0.25">
      <c r="A2593">
        <v>177972</v>
      </c>
      <c r="B2593" t="s">
        <v>3</v>
      </c>
      <c r="C2593" t="str">
        <f>LEFT(Table4[[#This Row],[Policy Type]],1)</f>
        <v>2</v>
      </c>
    </row>
    <row r="2594" spans="1:3" x14ac:dyDescent="0.25">
      <c r="A2594">
        <v>177973</v>
      </c>
      <c r="B2594" t="s">
        <v>3</v>
      </c>
      <c r="C2594" t="str">
        <f>LEFT(Table4[[#This Row],[Policy Type]],1)</f>
        <v>2</v>
      </c>
    </row>
    <row r="2595" spans="1:3" x14ac:dyDescent="0.25">
      <c r="A2595">
        <v>178028</v>
      </c>
      <c r="B2595" t="s">
        <v>2</v>
      </c>
      <c r="C2595" t="str">
        <f>LEFT(Table4[[#This Row],[Policy Type]],1)</f>
        <v>1</v>
      </c>
    </row>
    <row r="2596" spans="1:3" x14ac:dyDescent="0.25">
      <c r="A2596">
        <v>178144</v>
      </c>
      <c r="B2596" t="s">
        <v>2</v>
      </c>
      <c r="C2596" t="str">
        <f>LEFT(Table4[[#This Row],[Policy Type]],1)</f>
        <v>1</v>
      </c>
    </row>
    <row r="2597" spans="1:3" x14ac:dyDescent="0.25">
      <c r="A2597">
        <v>178225</v>
      </c>
      <c r="B2597" t="s">
        <v>3</v>
      </c>
      <c r="C2597" t="str">
        <f>LEFT(Table4[[#This Row],[Policy Type]],1)</f>
        <v>2</v>
      </c>
    </row>
    <row r="2598" spans="1:3" x14ac:dyDescent="0.25">
      <c r="A2598">
        <v>178235</v>
      </c>
      <c r="B2598" t="s">
        <v>3</v>
      </c>
      <c r="C2598" t="str">
        <f>LEFT(Table4[[#This Row],[Policy Type]],1)</f>
        <v>2</v>
      </c>
    </row>
    <row r="2599" spans="1:3" x14ac:dyDescent="0.25">
      <c r="A2599">
        <v>178327</v>
      </c>
      <c r="B2599" t="s">
        <v>2</v>
      </c>
      <c r="C2599" t="str">
        <f>LEFT(Table4[[#This Row],[Policy Type]],1)</f>
        <v>1</v>
      </c>
    </row>
    <row r="2600" spans="1:3" x14ac:dyDescent="0.25">
      <c r="A2600">
        <v>178406</v>
      </c>
      <c r="B2600" t="s">
        <v>2</v>
      </c>
      <c r="C2600" t="str">
        <f>LEFT(Table4[[#This Row],[Policy Type]],1)</f>
        <v>1</v>
      </c>
    </row>
    <row r="2601" spans="1:3" x14ac:dyDescent="0.25">
      <c r="A2601">
        <v>178419</v>
      </c>
      <c r="B2601" t="s">
        <v>3</v>
      </c>
      <c r="C2601" t="str">
        <f>LEFT(Table4[[#This Row],[Policy Type]],1)</f>
        <v>2</v>
      </c>
    </row>
    <row r="2602" spans="1:3" x14ac:dyDescent="0.25">
      <c r="A2602">
        <v>178449</v>
      </c>
      <c r="B2602" t="s">
        <v>3</v>
      </c>
      <c r="C2602" t="str">
        <f>LEFT(Table4[[#This Row],[Policy Type]],1)</f>
        <v>2</v>
      </c>
    </row>
    <row r="2603" spans="1:3" x14ac:dyDescent="0.25">
      <c r="A2603">
        <v>178477</v>
      </c>
      <c r="B2603" t="s">
        <v>3</v>
      </c>
      <c r="C2603" t="str">
        <f>LEFT(Table4[[#This Row],[Policy Type]],1)</f>
        <v>2</v>
      </c>
    </row>
    <row r="2604" spans="1:3" x14ac:dyDescent="0.25">
      <c r="A2604">
        <v>178495</v>
      </c>
      <c r="B2604" t="s">
        <v>2</v>
      </c>
      <c r="C2604" t="str">
        <f>LEFT(Table4[[#This Row],[Policy Type]],1)</f>
        <v>1</v>
      </c>
    </row>
    <row r="2605" spans="1:3" x14ac:dyDescent="0.25">
      <c r="A2605">
        <v>178662</v>
      </c>
      <c r="B2605" t="s">
        <v>2</v>
      </c>
      <c r="C2605" t="str">
        <f>LEFT(Table4[[#This Row],[Policy Type]],1)</f>
        <v>1</v>
      </c>
    </row>
    <row r="2606" spans="1:3" x14ac:dyDescent="0.25">
      <c r="A2606">
        <v>178670</v>
      </c>
      <c r="B2606" t="s">
        <v>3</v>
      </c>
      <c r="C2606" t="str">
        <f>LEFT(Table4[[#This Row],[Policy Type]],1)</f>
        <v>2</v>
      </c>
    </row>
    <row r="2607" spans="1:3" x14ac:dyDescent="0.25">
      <c r="A2607">
        <v>178715</v>
      </c>
      <c r="B2607" t="s">
        <v>2</v>
      </c>
      <c r="C2607" t="str">
        <f>LEFT(Table4[[#This Row],[Policy Type]],1)</f>
        <v>1</v>
      </c>
    </row>
    <row r="2608" spans="1:3" x14ac:dyDescent="0.25">
      <c r="A2608">
        <v>178716</v>
      </c>
      <c r="B2608" t="s">
        <v>2</v>
      </c>
      <c r="C2608" t="str">
        <f>LEFT(Table4[[#This Row],[Policy Type]],1)</f>
        <v>1</v>
      </c>
    </row>
    <row r="2609" spans="1:3" x14ac:dyDescent="0.25">
      <c r="A2609">
        <v>178726</v>
      </c>
      <c r="B2609" t="s">
        <v>3</v>
      </c>
      <c r="C2609" t="str">
        <f>LEFT(Table4[[#This Row],[Policy Type]],1)</f>
        <v>2</v>
      </c>
    </row>
    <row r="2610" spans="1:3" x14ac:dyDescent="0.25">
      <c r="A2610">
        <v>178760</v>
      </c>
      <c r="B2610" t="s">
        <v>2</v>
      </c>
      <c r="C2610" t="str">
        <f>LEFT(Table4[[#This Row],[Policy Type]],1)</f>
        <v>1</v>
      </c>
    </row>
    <row r="2611" spans="1:3" x14ac:dyDescent="0.25">
      <c r="A2611">
        <v>178813</v>
      </c>
      <c r="B2611" t="s">
        <v>3</v>
      </c>
      <c r="C2611" t="str">
        <f>LEFT(Table4[[#This Row],[Policy Type]],1)</f>
        <v>2</v>
      </c>
    </row>
    <row r="2612" spans="1:3" x14ac:dyDescent="0.25">
      <c r="A2612">
        <v>178874</v>
      </c>
      <c r="B2612" t="s">
        <v>3</v>
      </c>
      <c r="C2612" t="str">
        <f>LEFT(Table4[[#This Row],[Policy Type]],1)</f>
        <v>2</v>
      </c>
    </row>
    <row r="2613" spans="1:3" x14ac:dyDescent="0.25">
      <c r="A2613">
        <v>178981</v>
      </c>
      <c r="B2613" t="s">
        <v>3</v>
      </c>
      <c r="C2613" t="str">
        <f>LEFT(Table4[[#This Row],[Policy Type]],1)</f>
        <v>2</v>
      </c>
    </row>
    <row r="2614" spans="1:3" x14ac:dyDescent="0.25">
      <c r="A2614">
        <v>179007</v>
      </c>
      <c r="B2614" t="s">
        <v>2</v>
      </c>
      <c r="C2614" t="str">
        <f>LEFT(Table4[[#This Row],[Policy Type]],1)</f>
        <v>1</v>
      </c>
    </row>
    <row r="2615" spans="1:3" x14ac:dyDescent="0.25">
      <c r="A2615">
        <v>179067</v>
      </c>
      <c r="B2615" t="s">
        <v>3</v>
      </c>
      <c r="C2615" t="str">
        <f>LEFT(Table4[[#This Row],[Policy Type]],1)</f>
        <v>2</v>
      </c>
    </row>
    <row r="2616" spans="1:3" x14ac:dyDescent="0.25">
      <c r="A2616">
        <v>179109</v>
      </c>
      <c r="B2616" t="s">
        <v>2</v>
      </c>
      <c r="C2616" t="str">
        <f>LEFT(Table4[[#This Row],[Policy Type]],1)</f>
        <v>1</v>
      </c>
    </row>
    <row r="2617" spans="1:3" x14ac:dyDescent="0.25">
      <c r="A2617">
        <v>179247</v>
      </c>
      <c r="B2617" t="s">
        <v>2</v>
      </c>
      <c r="C2617" t="str">
        <f>LEFT(Table4[[#This Row],[Policy Type]],1)</f>
        <v>1</v>
      </c>
    </row>
    <row r="2618" spans="1:3" x14ac:dyDescent="0.25">
      <c r="A2618">
        <v>179278</v>
      </c>
      <c r="B2618" t="s">
        <v>2</v>
      </c>
      <c r="C2618" t="str">
        <f>LEFT(Table4[[#This Row],[Policy Type]],1)</f>
        <v>1</v>
      </c>
    </row>
    <row r="2619" spans="1:3" x14ac:dyDescent="0.25">
      <c r="A2619">
        <v>179296</v>
      </c>
      <c r="B2619" t="s">
        <v>2</v>
      </c>
      <c r="C2619" t="str">
        <f>LEFT(Table4[[#This Row],[Policy Type]],1)</f>
        <v>1</v>
      </c>
    </row>
    <row r="2620" spans="1:3" x14ac:dyDescent="0.25">
      <c r="A2620">
        <v>179394</v>
      </c>
      <c r="B2620" t="s">
        <v>2</v>
      </c>
      <c r="C2620" t="str">
        <f>LEFT(Table4[[#This Row],[Policy Type]],1)</f>
        <v>1</v>
      </c>
    </row>
    <row r="2621" spans="1:3" x14ac:dyDescent="0.25">
      <c r="A2621">
        <v>179395</v>
      </c>
      <c r="B2621" t="s">
        <v>3</v>
      </c>
      <c r="C2621" t="str">
        <f>LEFT(Table4[[#This Row],[Policy Type]],1)</f>
        <v>2</v>
      </c>
    </row>
    <row r="2622" spans="1:3" x14ac:dyDescent="0.25">
      <c r="A2622">
        <v>179437</v>
      </c>
      <c r="B2622" t="s">
        <v>3</v>
      </c>
      <c r="C2622" t="str">
        <f>LEFT(Table4[[#This Row],[Policy Type]],1)</f>
        <v>2</v>
      </c>
    </row>
    <row r="2623" spans="1:3" x14ac:dyDescent="0.25">
      <c r="A2623">
        <v>179527</v>
      </c>
      <c r="B2623" t="s">
        <v>3</v>
      </c>
      <c r="C2623" t="str">
        <f>LEFT(Table4[[#This Row],[Policy Type]],1)</f>
        <v>2</v>
      </c>
    </row>
    <row r="2624" spans="1:3" x14ac:dyDescent="0.25">
      <c r="A2624">
        <v>179538</v>
      </c>
      <c r="B2624" t="s">
        <v>2</v>
      </c>
      <c r="C2624" t="str">
        <f>LEFT(Table4[[#This Row],[Policy Type]],1)</f>
        <v>1</v>
      </c>
    </row>
    <row r="2625" spans="1:3" x14ac:dyDescent="0.25">
      <c r="A2625">
        <v>179622</v>
      </c>
      <c r="B2625" t="s">
        <v>3</v>
      </c>
      <c r="C2625" t="str">
        <f>LEFT(Table4[[#This Row],[Policy Type]],1)</f>
        <v>2</v>
      </c>
    </row>
    <row r="2626" spans="1:3" x14ac:dyDescent="0.25">
      <c r="A2626">
        <v>179645</v>
      </c>
      <c r="B2626" t="s">
        <v>3</v>
      </c>
      <c r="C2626" t="str">
        <f>LEFT(Table4[[#This Row],[Policy Type]],1)</f>
        <v>2</v>
      </c>
    </row>
    <row r="2627" spans="1:3" x14ac:dyDescent="0.25">
      <c r="A2627">
        <v>179675</v>
      </c>
      <c r="B2627" t="s">
        <v>2</v>
      </c>
      <c r="C2627" t="str">
        <f>LEFT(Table4[[#This Row],[Policy Type]],1)</f>
        <v>1</v>
      </c>
    </row>
    <row r="2628" spans="1:3" x14ac:dyDescent="0.25">
      <c r="A2628">
        <v>179731</v>
      </c>
      <c r="B2628" t="s">
        <v>2</v>
      </c>
      <c r="C2628" t="str">
        <f>LEFT(Table4[[#This Row],[Policy Type]],1)</f>
        <v>1</v>
      </c>
    </row>
    <row r="2629" spans="1:3" x14ac:dyDescent="0.25">
      <c r="A2629">
        <v>179821</v>
      </c>
      <c r="B2629" t="s">
        <v>3</v>
      </c>
      <c r="C2629" t="str">
        <f>LEFT(Table4[[#This Row],[Policy Type]],1)</f>
        <v>2</v>
      </c>
    </row>
    <row r="2630" spans="1:3" x14ac:dyDescent="0.25">
      <c r="A2630">
        <v>179827</v>
      </c>
      <c r="B2630" t="s">
        <v>3</v>
      </c>
      <c r="C2630" t="str">
        <f>LEFT(Table4[[#This Row],[Policy Type]],1)</f>
        <v>2</v>
      </c>
    </row>
    <row r="2631" spans="1:3" x14ac:dyDescent="0.25">
      <c r="A2631">
        <v>179866</v>
      </c>
      <c r="B2631" t="s">
        <v>2</v>
      </c>
      <c r="C2631" t="str">
        <f>LEFT(Table4[[#This Row],[Policy Type]],1)</f>
        <v>1</v>
      </c>
    </row>
    <row r="2632" spans="1:3" x14ac:dyDescent="0.25">
      <c r="A2632">
        <v>179924</v>
      </c>
      <c r="B2632" t="s">
        <v>2</v>
      </c>
      <c r="C2632" t="str">
        <f>LEFT(Table4[[#This Row],[Policy Type]],1)</f>
        <v>1</v>
      </c>
    </row>
    <row r="2633" spans="1:3" x14ac:dyDescent="0.25">
      <c r="A2633">
        <v>179926</v>
      </c>
      <c r="B2633" t="s">
        <v>2</v>
      </c>
      <c r="C2633" t="str">
        <f>LEFT(Table4[[#This Row],[Policy Type]],1)</f>
        <v>1</v>
      </c>
    </row>
    <row r="2634" spans="1:3" x14ac:dyDescent="0.25">
      <c r="A2634">
        <v>179952</v>
      </c>
      <c r="B2634" t="s">
        <v>3</v>
      </c>
      <c r="C2634" t="str">
        <f>LEFT(Table4[[#This Row],[Policy Type]],1)</f>
        <v>2</v>
      </c>
    </row>
    <row r="2635" spans="1:3" x14ac:dyDescent="0.25">
      <c r="A2635">
        <v>180234</v>
      </c>
      <c r="B2635" t="s">
        <v>2</v>
      </c>
      <c r="C2635" t="str">
        <f>LEFT(Table4[[#This Row],[Policy Type]],1)</f>
        <v>1</v>
      </c>
    </row>
    <row r="2636" spans="1:3" x14ac:dyDescent="0.25">
      <c r="A2636">
        <v>180268</v>
      </c>
      <c r="B2636" t="s">
        <v>2</v>
      </c>
      <c r="C2636" t="str">
        <f>LEFT(Table4[[#This Row],[Policy Type]],1)</f>
        <v>1</v>
      </c>
    </row>
    <row r="2637" spans="1:3" x14ac:dyDescent="0.25">
      <c r="A2637">
        <v>180345</v>
      </c>
      <c r="B2637" t="s">
        <v>3</v>
      </c>
      <c r="C2637" t="str">
        <f>LEFT(Table4[[#This Row],[Policy Type]],1)</f>
        <v>2</v>
      </c>
    </row>
    <row r="2638" spans="1:3" x14ac:dyDescent="0.25">
      <c r="A2638">
        <v>180374</v>
      </c>
      <c r="B2638" t="s">
        <v>3</v>
      </c>
      <c r="C2638" t="str">
        <f>LEFT(Table4[[#This Row],[Policy Type]],1)</f>
        <v>2</v>
      </c>
    </row>
    <row r="2639" spans="1:3" x14ac:dyDescent="0.25">
      <c r="A2639">
        <v>180383</v>
      </c>
      <c r="B2639" t="s">
        <v>3</v>
      </c>
      <c r="C2639" t="str">
        <f>LEFT(Table4[[#This Row],[Policy Type]],1)</f>
        <v>2</v>
      </c>
    </row>
    <row r="2640" spans="1:3" x14ac:dyDescent="0.25">
      <c r="A2640">
        <v>180101</v>
      </c>
      <c r="B2640" t="s">
        <v>2</v>
      </c>
      <c r="C2640" t="str">
        <f>LEFT(Table4[[#This Row],[Policy Type]],1)</f>
        <v>1</v>
      </c>
    </row>
    <row r="2641" spans="1:3" x14ac:dyDescent="0.25">
      <c r="A2641">
        <v>180119</v>
      </c>
      <c r="B2641" t="s">
        <v>2</v>
      </c>
      <c r="C2641" t="str">
        <f>LEFT(Table4[[#This Row],[Policy Type]],1)</f>
        <v>1</v>
      </c>
    </row>
    <row r="2642" spans="1:3" x14ac:dyDescent="0.25">
      <c r="A2642">
        <v>180129</v>
      </c>
      <c r="B2642" t="s">
        <v>3</v>
      </c>
      <c r="C2642" t="str">
        <f>LEFT(Table4[[#This Row],[Policy Type]],1)</f>
        <v>2</v>
      </c>
    </row>
    <row r="2643" spans="1:3" x14ac:dyDescent="0.25">
      <c r="A2643">
        <v>180787</v>
      </c>
      <c r="B2643" t="s">
        <v>3</v>
      </c>
      <c r="C2643" t="str">
        <f>LEFT(Table4[[#This Row],[Policy Type]],1)</f>
        <v>2</v>
      </c>
    </row>
    <row r="2644" spans="1:3" x14ac:dyDescent="0.25">
      <c r="A2644">
        <v>180434</v>
      </c>
      <c r="B2644" t="s">
        <v>3</v>
      </c>
      <c r="C2644" t="str">
        <f>LEFT(Table4[[#This Row],[Policy Type]],1)</f>
        <v>2</v>
      </c>
    </row>
    <row r="2645" spans="1:3" x14ac:dyDescent="0.25">
      <c r="A2645">
        <v>180493</v>
      </c>
      <c r="B2645" t="s">
        <v>3</v>
      </c>
      <c r="C2645" t="str">
        <f>LEFT(Table4[[#This Row],[Policy Type]],1)</f>
        <v>2</v>
      </c>
    </row>
    <row r="2646" spans="1:3" x14ac:dyDescent="0.25">
      <c r="A2646">
        <v>180500</v>
      </c>
      <c r="B2646" t="s">
        <v>2</v>
      </c>
      <c r="C2646" t="str">
        <f>LEFT(Table4[[#This Row],[Policy Type]],1)</f>
        <v>1</v>
      </c>
    </row>
    <row r="2647" spans="1:3" x14ac:dyDescent="0.25">
      <c r="A2647">
        <v>180529</v>
      </c>
      <c r="B2647" t="s">
        <v>3</v>
      </c>
      <c r="C2647" t="str">
        <f>LEFT(Table4[[#This Row],[Policy Type]],1)</f>
        <v>2</v>
      </c>
    </row>
    <row r="2648" spans="1:3" x14ac:dyDescent="0.25">
      <c r="A2648">
        <v>180548</v>
      </c>
      <c r="B2648" t="s">
        <v>3</v>
      </c>
      <c r="C2648" t="str">
        <f>LEFT(Table4[[#This Row],[Policy Type]],1)</f>
        <v>2</v>
      </c>
    </row>
    <row r="2649" spans="1:3" x14ac:dyDescent="0.25">
      <c r="A2649">
        <v>180846</v>
      </c>
      <c r="B2649" t="s">
        <v>3</v>
      </c>
      <c r="C2649" t="str">
        <f>LEFT(Table4[[#This Row],[Policy Type]],1)</f>
        <v>2</v>
      </c>
    </row>
    <row r="2650" spans="1:3" x14ac:dyDescent="0.25">
      <c r="A2650">
        <v>180852</v>
      </c>
      <c r="B2650" t="s">
        <v>2</v>
      </c>
      <c r="C2650" t="str">
        <f>LEFT(Table4[[#This Row],[Policy Type]],1)</f>
        <v>1</v>
      </c>
    </row>
    <row r="2651" spans="1:3" x14ac:dyDescent="0.25">
      <c r="A2651">
        <v>180858</v>
      </c>
      <c r="B2651" t="s">
        <v>2</v>
      </c>
      <c r="C2651" t="str">
        <f>LEFT(Table4[[#This Row],[Policy Type]],1)</f>
        <v>1</v>
      </c>
    </row>
    <row r="2652" spans="1:3" x14ac:dyDescent="0.25">
      <c r="A2652">
        <v>180861</v>
      </c>
      <c r="B2652" t="s">
        <v>3</v>
      </c>
      <c r="C2652" t="str">
        <f>LEFT(Table4[[#This Row],[Policy Type]],1)</f>
        <v>2</v>
      </c>
    </row>
    <row r="2653" spans="1:3" x14ac:dyDescent="0.25">
      <c r="A2653">
        <v>180928</v>
      </c>
      <c r="B2653" t="s">
        <v>2</v>
      </c>
      <c r="C2653" t="str">
        <f>LEFT(Table4[[#This Row],[Policy Type]],1)</f>
        <v>1</v>
      </c>
    </row>
    <row r="2654" spans="1:3" x14ac:dyDescent="0.25">
      <c r="A2654">
        <v>180931</v>
      </c>
      <c r="B2654" t="s">
        <v>2</v>
      </c>
      <c r="C2654" t="str">
        <f>LEFT(Table4[[#This Row],[Policy Type]],1)</f>
        <v>1</v>
      </c>
    </row>
    <row r="2655" spans="1:3" x14ac:dyDescent="0.25">
      <c r="A2655">
        <v>180948</v>
      </c>
      <c r="B2655" t="s">
        <v>3</v>
      </c>
      <c r="C2655" t="str">
        <f>LEFT(Table4[[#This Row],[Policy Type]],1)</f>
        <v>2</v>
      </c>
    </row>
    <row r="2656" spans="1:3" x14ac:dyDescent="0.25">
      <c r="A2656">
        <v>180966</v>
      </c>
      <c r="B2656" t="s">
        <v>2</v>
      </c>
      <c r="C2656" t="str">
        <f>LEFT(Table4[[#This Row],[Policy Type]],1)</f>
        <v>1</v>
      </c>
    </row>
    <row r="2657" spans="1:3" x14ac:dyDescent="0.25">
      <c r="A2657">
        <v>180970</v>
      </c>
      <c r="B2657" t="s">
        <v>2</v>
      </c>
      <c r="C2657" t="str">
        <f>LEFT(Table4[[#This Row],[Policy Type]],1)</f>
        <v>1</v>
      </c>
    </row>
    <row r="2658" spans="1:3" x14ac:dyDescent="0.25">
      <c r="A2658">
        <v>181026</v>
      </c>
      <c r="B2658" t="s">
        <v>3</v>
      </c>
      <c r="C2658" t="str">
        <f>LEFT(Table4[[#This Row],[Policy Type]],1)</f>
        <v>2</v>
      </c>
    </row>
    <row r="2659" spans="1:3" x14ac:dyDescent="0.25">
      <c r="A2659">
        <v>181061</v>
      </c>
      <c r="B2659" t="s">
        <v>3</v>
      </c>
      <c r="C2659" t="str">
        <f>LEFT(Table4[[#This Row],[Policy Type]],1)</f>
        <v>2</v>
      </c>
    </row>
    <row r="2660" spans="1:3" x14ac:dyDescent="0.25">
      <c r="A2660">
        <v>181413</v>
      </c>
      <c r="B2660" t="s">
        <v>2</v>
      </c>
      <c r="C2660" t="str">
        <f>LEFT(Table4[[#This Row],[Policy Type]],1)</f>
        <v>1</v>
      </c>
    </row>
    <row r="2661" spans="1:3" x14ac:dyDescent="0.25">
      <c r="A2661">
        <v>181486</v>
      </c>
      <c r="B2661" t="s">
        <v>3</v>
      </c>
      <c r="C2661" t="str">
        <f>LEFT(Table4[[#This Row],[Policy Type]],1)</f>
        <v>2</v>
      </c>
    </row>
    <row r="2662" spans="1:3" x14ac:dyDescent="0.25">
      <c r="A2662">
        <v>181493</v>
      </c>
      <c r="B2662" t="s">
        <v>3</v>
      </c>
      <c r="C2662" t="str">
        <f>LEFT(Table4[[#This Row],[Policy Type]],1)</f>
        <v>2</v>
      </c>
    </row>
    <row r="2663" spans="1:3" x14ac:dyDescent="0.25">
      <c r="A2663">
        <v>181505</v>
      </c>
      <c r="B2663" t="s">
        <v>3</v>
      </c>
      <c r="C2663" t="str">
        <f>LEFT(Table4[[#This Row],[Policy Type]],1)</f>
        <v>2</v>
      </c>
    </row>
    <row r="2664" spans="1:3" x14ac:dyDescent="0.25">
      <c r="A2664">
        <v>181539</v>
      </c>
      <c r="B2664" t="s">
        <v>3</v>
      </c>
      <c r="C2664" t="str">
        <f>LEFT(Table4[[#This Row],[Policy Type]],1)</f>
        <v>2</v>
      </c>
    </row>
    <row r="2665" spans="1:3" x14ac:dyDescent="0.25">
      <c r="A2665">
        <v>181238</v>
      </c>
      <c r="B2665" t="s">
        <v>2</v>
      </c>
      <c r="C2665" t="str">
        <f>LEFT(Table4[[#This Row],[Policy Type]],1)</f>
        <v>1</v>
      </c>
    </row>
    <row r="2666" spans="1:3" x14ac:dyDescent="0.25">
      <c r="A2666">
        <v>181348</v>
      </c>
      <c r="B2666" t="s">
        <v>2</v>
      </c>
      <c r="C2666" t="str">
        <f>LEFT(Table4[[#This Row],[Policy Type]],1)</f>
        <v>1</v>
      </c>
    </row>
    <row r="2667" spans="1:3" x14ac:dyDescent="0.25">
      <c r="A2667">
        <v>181352</v>
      </c>
      <c r="B2667" t="s">
        <v>3</v>
      </c>
      <c r="C2667" t="str">
        <f>LEFT(Table4[[#This Row],[Policy Type]],1)</f>
        <v>2</v>
      </c>
    </row>
    <row r="2668" spans="1:3" x14ac:dyDescent="0.25">
      <c r="A2668">
        <v>181362</v>
      </c>
      <c r="B2668" t="s">
        <v>3</v>
      </c>
      <c r="C2668" t="str">
        <f>LEFT(Table4[[#This Row],[Policy Type]],1)</f>
        <v>2</v>
      </c>
    </row>
    <row r="2669" spans="1:3" x14ac:dyDescent="0.25">
      <c r="A2669">
        <v>181387</v>
      </c>
      <c r="B2669" t="s">
        <v>2</v>
      </c>
      <c r="C2669" t="str">
        <f>LEFT(Table4[[#This Row],[Policy Type]],1)</f>
        <v>1</v>
      </c>
    </row>
    <row r="2670" spans="1:3" x14ac:dyDescent="0.25">
      <c r="A2670">
        <v>181662</v>
      </c>
      <c r="B2670" t="s">
        <v>2</v>
      </c>
      <c r="C2670" t="str">
        <f>LEFT(Table4[[#This Row],[Policy Type]],1)</f>
        <v>1</v>
      </c>
    </row>
    <row r="2671" spans="1:3" x14ac:dyDescent="0.25">
      <c r="A2671">
        <v>181667</v>
      </c>
      <c r="B2671" t="s">
        <v>3</v>
      </c>
      <c r="C2671" t="str">
        <f>LEFT(Table4[[#This Row],[Policy Type]],1)</f>
        <v>2</v>
      </c>
    </row>
    <row r="2672" spans="1:3" x14ac:dyDescent="0.25">
      <c r="A2672">
        <v>181668</v>
      </c>
      <c r="B2672" t="s">
        <v>3</v>
      </c>
      <c r="C2672" t="str">
        <f>LEFT(Table4[[#This Row],[Policy Type]],1)</f>
        <v>2</v>
      </c>
    </row>
    <row r="2673" spans="1:3" x14ac:dyDescent="0.25">
      <c r="A2673">
        <v>181742</v>
      </c>
      <c r="B2673" t="s">
        <v>2</v>
      </c>
      <c r="C2673" t="str">
        <f>LEFT(Table4[[#This Row],[Policy Type]],1)</f>
        <v>1</v>
      </c>
    </row>
    <row r="2674" spans="1:3" x14ac:dyDescent="0.25">
      <c r="A2674">
        <v>181788</v>
      </c>
      <c r="B2674" t="s">
        <v>2</v>
      </c>
      <c r="C2674" t="str">
        <f>LEFT(Table4[[#This Row],[Policy Type]],1)</f>
        <v>1</v>
      </c>
    </row>
    <row r="2675" spans="1:3" x14ac:dyDescent="0.25">
      <c r="A2675">
        <v>181814</v>
      </c>
      <c r="B2675" t="s">
        <v>2</v>
      </c>
      <c r="C2675" t="str">
        <f>LEFT(Table4[[#This Row],[Policy Type]],1)</f>
        <v>1</v>
      </c>
    </row>
    <row r="2676" spans="1:3" x14ac:dyDescent="0.25">
      <c r="A2676">
        <v>182273</v>
      </c>
      <c r="B2676" t="s">
        <v>2</v>
      </c>
      <c r="C2676" t="str">
        <f>LEFT(Table4[[#This Row],[Policy Type]],1)</f>
        <v>1</v>
      </c>
    </row>
    <row r="2677" spans="1:3" x14ac:dyDescent="0.25">
      <c r="A2677">
        <v>182316</v>
      </c>
      <c r="B2677" t="s">
        <v>2</v>
      </c>
      <c r="C2677" t="str">
        <f>LEFT(Table4[[#This Row],[Policy Type]],1)</f>
        <v>1</v>
      </c>
    </row>
    <row r="2678" spans="1:3" x14ac:dyDescent="0.25">
      <c r="A2678">
        <v>182369</v>
      </c>
      <c r="B2678" t="s">
        <v>3</v>
      </c>
      <c r="C2678" t="str">
        <f>LEFT(Table4[[#This Row],[Policy Type]],1)</f>
        <v>2</v>
      </c>
    </row>
    <row r="2679" spans="1:3" x14ac:dyDescent="0.25">
      <c r="A2679">
        <v>182110</v>
      </c>
      <c r="B2679" t="s">
        <v>2</v>
      </c>
      <c r="C2679" t="str">
        <f>LEFT(Table4[[#This Row],[Policy Type]],1)</f>
        <v>1</v>
      </c>
    </row>
    <row r="2680" spans="1:3" x14ac:dyDescent="0.25">
      <c r="A2680">
        <v>182142</v>
      </c>
      <c r="B2680" t="s">
        <v>3</v>
      </c>
      <c r="C2680" t="str">
        <f>LEFT(Table4[[#This Row],[Policy Type]],1)</f>
        <v>2</v>
      </c>
    </row>
    <row r="2681" spans="1:3" x14ac:dyDescent="0.25">
      <c r="A2681">
        <v>182163</v>
      </c>
      <c r="B2681" t="s">
        <v>3</v>
      </c>
      <c r="C2681" t="str">
        <f>LEFT(Table4[[#This Row],[Policy Type]],1)</f>
        <v>2</v>
      </c>
    </row>
    <row r="2682" spans="1:3" x14ac:dyDescent="0.25">
      <c r="A2682">
        <v>182170</v>
      </c>
      <c r="B2682" t="s">
        <v>2</v>
      </c>
      <c r="C2682" t="str">
        <f>LEFT(Table4[[#This Row],[Policy Type]],1)</f>
        <v>1</v>
      </c>
    </row>
    <row r="2683" spans="1:3" x14ac:dyDescent="0.25">
      <c r="A2683">
        <v>182185</v>
      </c>
      <c r="B2683" t="s">
        <v>2</v>
      </c>
      <c r="C2683" t="str">
        <f>LEFT(Table4[[#This Row],[Policy Type]],1)</f>
        <v>1</v>
      </c>
    </row>
    <row r="2684" spans="1:3" x14ac:dyDescent="0.25">
      <c r="A2684">
        <v>182200</v>
      </c>
      <c r="B2684" t="s">
        <v>2</v>
      </c>
      <c r="C2684" t="str">
        <f>LEFT(Table4[[#This Row],[Policy Type]],1)</f>
        <v>1</v>
      </c>
    </row>
    <row r="2685" spans="1:3" x14ac:dyDescent="0.25">
      <c r="A2685">
        <v>182410</v>
      </c>
      <c r="B2685" t="s">
        <v>2</v>
      </c>
      <c r="C2685" t="str">
        <f>LEFT(Table4[[#This Row],[Policy Type]],1)</f>
        <v>1</v>
      </c>
    </row>
    <row r="2686" spans="1:3" x14ac:dyDescent="0.25">
      <c r="A2686">
        <v>182452</v>
      </c>
      <c r="B2686" t="s">
        <v>3</v>
      </c>
      <c r="C2686" t="str">
        <f>LEFT(Table4[[#This Row],[Policy Type]],1)</f>
        <v>2</v>
      </c>
    </row>
    <row r="2687" spans="1:3" x14ac:dyDescent="0.25">
      <c r="A2687">
        <v>182463</v>
      </c>
      <c r="B2687" t="s">
        <v>3</v>
      </c>
      <c r="C2687" t="str">
        <f>LEFT(Table4[[#This Row],[Policy Type]],1)</f>
        <v>2</v>
      </c>
    </row>
    <row r="2688" spans="1:3" x14ac:dyDescent="0.25">
      <c r="A2688">
        <v>182473</v>
      </c>
      <c r="B2688" t="s">
        <v>2</v>
      </c>
      <c r="C2688" t="str">
        <f>LEFT(Table4[[#This Row],[Policy Type]],1)</f>
        <v>1</v>
      </c>
    </row>
    <row r="2689" spans="1:3" x14ac:dyDescent="0.25">
      <c r="A2689">
        <v>182522</v>
      </c>
      <c r="B2689" t="s">
        <v>2</v>
      </c>
      <c r="C2689" t="str">
        <f>LEFT(Table4[[#This Row],[Policy Type]],1)</f>
        <v>1</v>
      </c>
    </row>
    <row r="2690" spans="1:3" x14ac:dyDescent="0.25">
      <c r="A2690">
        <v>182523</v>
      </c>
      <c r="B2690" t="s">
        <v>3</v>
      </c>
      <c r="C2690" t="str">
        <f>LEFT(Table4[[#This Row],[Policy Type]],1)</f>
        <v>2</v>
      </c>
    </row>
    <row r="2691" spans="1:3" x14ac:dyDescent="0.25">
      <c r="A2691">
        <v>182605</v>
      </c>
      <c r="B2691" t="s">
        <v>3</v>
      </c>
      <c r="C2691" t="str">
        <f>LEFT(Table4[[#This Row],[Policy Type]],1)</f>
        <v>2</v>
      </c>
    </row>
    <row r="2692" spans="1:3" x14ac:dyDescent="0.25">
      <c r="A2692">
        <v>182628</v>
      </c>
      <c r="B2692" t="s">
        <v>2</v>
      </c>
      <c r="C2692" t="str">
        <f>LEFT(Table4[[#This Row],[Policy Type]],1)</f>
        <v>1</v>
      </c>
    </row>
    <row r="2693" spans="1:3" x14ac:dyDescent="0.25">
      <c r="A2693">
        <v>182720</v>
      </c>
      <c r="B2693" t="s">
        <v>2</v>
      </c>
      <c r="C2693" t="str">
        <f>LEFT(Table4[[#This Row],[Policy Type]],1)</f>
        <v>1</v>
      </c>
    </row>
    <row r="2694" spans="1:3" x14ac:dyDescent="0.25">
      <c r="A2694">
        <v>182794</v>
      </c>
      <c r="B2694" t="s">
        <v>2</v>
      </c>
      <c r="C2694" t="str">
        <f>LEFT(Table4[[#This Row],[Policy Type]],1)</f>
        <v>1</v>
      </c>
    </row>
    <row r="2695" spans="1:3" x14ac:dyDescent="0.25">
      <c r="A2695">
        <v>182803</v>
      </c>
      <c r="B2695" t="s">
        <v>3</v>
      </c>
      <c r="C2695" t="str">
        <f>LEFT(Table4[[#This Row],[Policy Type]],1)</f>
        <v>2</v>
      </c>
    </row>
    <row r="2696" spans="1:3" x14ac:dyDescent="0.25">
      <c r="A2696">
        <v>182813</v>
      </c>
      <c r="B2696" t="s">
        <v>2</v>
      </c>
      <c r="C2696" t="str">
        <f>LEFT(Table4[[#This Row],[Policy Type]],1)</f>
        <v>1</v>
      </c>
    </row>
    <row r="2697" spans="1:3" x14ac:dyDescent="0.25">
      <c r="A2697">
        <v>182818</v>
      </c>
      <c r="B2697" t="s">
        <v>3</v>
      </c>
      <c r="C2697" t="str">
        <f>LEFT(Table4[[#This Row],[Policy Type]],1)</f>
        <v>2</v>
      </c>
    </row>
    <row r="2698" spans="1:3" x14ac:dyDescent="0.25">
      <c r="A2698">
        <v>182819</v>
      </c>
      <c r="B2698" t="s">
        <v>2</v>
      </c>
      <c r="C2698" t="str">
        <f>LEFT(Table4[[#This Row],[Policy Type]],1)</f>
        <v>1</v>
      </c>
    </row>
    <row r="2699" spans="1:3" x14ac:dyDescent="0.25">
      <c r="A2699">
        <v>182841</v>
      </c>
      <c r="B2699" t="s">
        <v>3</v>
      </c>
      <c r="C2699" t="str">
        <f>LEFT(Table4[[#This Row],[Policy Type]],1)</f>
        <v>2</v>
      </c>
    </row>
    <row r="2700" spans="1:3" x14ac:dyDescent="0.25">
      <c r="A2700">
        <v>183009</v>
      </c>
      <c r="B2700" t="s">
        <v>3</v>
      </c>
      <c r="C2700" t="str">
        <f>LEFT(Table4[[#This Row],[Policy Type]],1)</f>
        <v>2</v>
      </c>
    </row>
    <row r="2701" spans="1:3" x14ac:dyDescent="0.25">
      <c r="A2701">
        <v>183020</v>
      </c>
      <c r="B2701" t="s">
        <v>2</v>
      </c>
      <c r="C2701" t="str">
        <f>LEFT(Table4[[#This Row],[Policy Type]],1)</f>
        <v>1</v>
      </c>
    </row>
    <row r="2702" spans="1:3" x14ac:dyDescent="0.25">
      <c r="A2702">
        <v>183021</v>
      </c>
      <c r="B2702" t="s">
        <v>2</v>
      </c>
      <c r="C2702" t="str">
        <f>LEFT(Table4[[#This Row],[Policy Type]],1)</f>
        <v>1</v>
      </c>
    </row>
    <row r="2703" spans="1:3" x14ac:dyDescent="0.25">
      <c r="A2703">
        <v>183049</v>
      </c>
      <c r="B2703" t="s">
        <v>2</v>
      </c>
      <c r="C2703" t="str">
        <f>LEFT(Table4[[#This Row],[Policy Type]],1)</f>
        <v>1</v>
      </c>
    </row>
    <row r="2704" spans="1:3" x14ac:dyDescent="0.25">
      <c r="A2704">
        <v>183050</v>
      </c>
      <c r="B2704" t="s">
        <v>3</v>
      </c>
      <c r="C2704" t="str">
        <f>LEFT(Table4[[#This Row],[Policy Type]],1)</f>
        <v>2</v>
      </c>
    </row>
    <row r="2705" spans="1:3" x14ac:dyDescent="0.25">
      <c r="A2705">
        <v>183104</v>
      </c>
      <c r="B2705" t="s">
        <v>3</v>
      </c>
      <c r="C2705" t="str">
        <f>LEFT(Table4[[#This Row],[Policy Type]],1)</f>
        <v>2</v>
      </c>
    </row>
    <row r="2706" spans="1:3" x14ac:dyDescent="0.25">
      <c r="A2706">
        <v>183301</v>
      </c>
      <c r="B2706" t="s">
        <v>3</v>
      </c>
      <c r="C2706" t="str">
        <f>LEFT(Table4[[#This Row],[Policy Type]],1)</f>
        <v>2</v>
      </c>
    </row>
    <row r="2707" spans="1:3" x14ac:dyDescent="0.25">
      <c r="A2707">
        <v>183311</v>
      </c>
      <c r="B2707" t="s">
        <v>2</v>
      </c>
      <c r="C2707" t="str">
        <f>LEFT(Table4[[#This Row],[Policy Type]],1)</f>
        <v>1</v>
      </c>
    </row>
    <row r="2708" spans="1:3" x14ac:dyDescent="0.25">
      <c r="A2708">
        <v>183315</v>
      </c>
      <c r="B2708" t="s">
        <v>3</v>
      </c>
      <c r="C2708" t="str">
        <f>LEFT(Table4[[#This Row],[Policy Type]],1)</f>
        <v>2</v>
      </c>
    </row>
    <row r="2709" spans="1:3" x14ac:dyDescent="0.25">
      <c r="A2709">
        <v>183332</v>
      </c>
      <c r="B2709" t="s">
        <v>3</v>
      </c>
      <c r="C2709" t="str">
        <f>LEFT(Table4[[#This Row],[Policy Type]],1)</f>
        <v>2</v>
      </c>
    </row>
    <row r="2710" spans="1:3" x14ac:dyDescent="0.25">
      <c r="A2710">
        <v>183344</v>
      </c>
      <c r="B2710" t="s">
        <v>3</v>
      </c>
      <c r="C2710" t="str">
        <f>LEFT(Table4[[#This Row],[Policy Type]],1)</f>
        <v>2</v>
      </c>
    </row>
    <row r="2711" spans="1:3" x14ac:dyDescent="0.25">
      <c r="A2711">
        <v>183363</v>
      </c>
      <c r="B2711" t="s">
        <v>3</v>
      </c>
      <c r="C2711" t="str">
        <f>LEFT(Table4[[#This Row],[Policy Type]],1)</f>
        <v>2</v>
      </c>
    </row>
    <row r="2712" spans="1:3" x14ac:dyDescent="0.25">
      <c r="A2712">
        <v>183390</v>
      </c>
      <c r="B2712" t="s">
        <v>2</v>
      </c>
      <c r="C2712" t="str">
        <f>LEFT(Table4[[#This Row],[Policy Type]],1)</f>
        <v>1</v>
      </c>
    </row>
    <row r="2713" spans="1:3" x14ac:dyDescent="0.25">
      <c r="A2713">
        <v>183410</v>
      </c>
      <c r="B2713" t="s">
        <v>3</v>
      </c>
      <c r="C2713" t="str">
        <f>LEFT(Table4[[#This Row],[Policy Type]],1)</f>
        <v>2</v>
      </c>
    </row>
    <row r="2714" spans="1:3" x14ac:dyDescent="0.25">
      <c r="A2714">
        <v>183435</v>
      </c>
      <c r="B2714" t="s">
        <v>2</v>
      </c>
      <c r="C2714" t="str">
        <f>LEFT(Table4[[#This Row],[Policy Type]],1)</f>
        <v>1</v>
      </c>
    </row>
    <row r="2715" spans="1:3" x14ac:dyDescent="0.25">
      <c r="A2715">
        <v>183446</v>
      </c>
      <c r="B2715" t="s">
        <v>2</v>
      </c>
      <c r="C2715" t="str">
        <f>LEFT(Table4[[#This Row],[Policy Type]],1)</f>
        <v>1</v>
      </c>
    </row>
    <row r="2716" spans="1:3" x14ac:dyDescent="0.25">
      <c r="A2716">
        <v>183500</v>
      </c>
      <c r="B2716" t="s">
        <v>2</v>
      </c>
      <c r="C2716" t="str">
        <f>LEFT(Table4[[#This Row],[Policy Type]],1)</f>
        <v>1</v>
      </c>
    </row>
    <row r="2717" spans="1:3" x14ac:dyDescent="0.25">
      <c r="A2717">
        <v>183540</v>
      </c>
      <c r="B2717" t="s">
        <v>3</v>
      </c>
      <c r="C2717" t="str">
        <f>LEFT(Table4[[#This Row],[Policy Type]],1)</f>
        <v>2</v>
      </c>
    </row>
    <row r="2718" spans="1:3" x14ac:dyDescent="0.25">
      <c r="A2718">
        <v>183571</v>
      </c>
      <c r="B2718" t="s">
        <v>2</v>
      </c>
      <c r="C2718" t="str">
        <f>LEFT(Table4[[#This Row],[Policy Type]],1)</f>
        <v>1</v>
      </c>
    </row>
    <row r="2719" spans="1:3" x14ac:dyDescent="0.25">
      <c r="A2719">
        <v>183619</v>
      </c>
      <c r="B2719" t="s">
        <v>2</v>
      </c>
      <c r="C2719" t="str">
        <f>LEFT(Table4[[#This Row],[Policy Type]],1)</f>
        <v>1</v>
      </c>
    </row>
    <row r="2720" spans="1:3" x14ac:dyDescent="0.25">
      <c r="A2720">
        <v>183625</v>
      </c>
      <c r="B2720" t="s">
        <v>2</v>
      </c>
      <c r="C2720" t="str">
        <f>LEFT(Table4[[#This Row],[Policy Type]],1)</f>
        <v>1</v>
      </c>
    </row>
    <row r="2721" spans="1:3" x14ac:dyDescent="0.25">
      <c r="A2721">
        <v>183714</v>
      </c>
      <c r="B2721" t="s">
        <v>3</v>
      </c>
      <c r="C2721" t="str">
        <f>LEFT(Table4[[#This Row],[Policy Type]],1)</f>
        <v>2</v>
      </c>
    </row>
    <row r="2722" spans="1:3" x14ac:dyDescent="0.25">
      <c r="A2722">
        <v>183783</v>
      </c>
      <c r="B2722" t="s">
        <v>2</v>
      </c>
      <c r="C2722" t="str">
        <f>LEFT(Table4[[#This Row],[Policy Type]],1)</f>
        <v>1</v>
      </c>
    </row>
    <row r="2723" spans="1:3" x14ac:dyDescent="0.25">
      <c r="A2723">
        <v>183814</v>
      </c>
      <c r="B2723" t="s">
        <v>2</v>
      </c>
      <c r="C2723" t="str">
        <f>LEFT(Table4[[#This Row],[Policy Type]],1)</f>
        <v>1</v>
      </c>
    </row>
    <row r="2724" spans="1:3" x14ac:dyDescent="0.25">
      <c r="A2724">
        <v>183828</v>
      </c>
      <c r="B2724" t="s">
        <v>3</v>
      </c>
      <c r="C2724" t="str">
        <f>LEFT(Table4[[#This Row],[Policy Type]],1)</f>
        <v>2</v>
      </c>
    </row>
    <row r="2725" spans="1:3" x14ac:dyDescent="0.25">
      <c r="A2725">
        <v>183865</v>
      </c>
      <c r="B2725" t="s">
        <v>3</v>
      </c>
      <c r="C2725" t="str">
        <f>LEFT(Table4[[#This Row],[Policy Type]],1)</f>
        <v>2</v>
      </c>
    </row>
    <row r="2726" spans="1:3" x14ac:dyDescent="0.25">
      <c r="A2726">
        <v>183869</v>
      </c>
      <c r="B2726" t="s">
        <v>3</v>
      </c>
      <c r="C2726" t="str">
        <f>LEFT(Table4[[#This Row],[Policy Type]],1)</f>
        <v>2</v>
      </c>
    </row>
    <row r="2727" spans="1:3" x14ac:dyDescent="0.25">
      <c r="A2727">
        <v>183871</v>
      </c>
      <c r="B2727" t="s">
        <v>3</v>
      </c>
      <c r="C2727" t="str">
        <f>LEFT(Table4[[#This Row],[Policy Type]],1)</f>
        <v>2</v>
      </c>
    </row>
    <row r="2728" spans="1:3" x14ac:dyDescent="0.25">
      <c r="A2728">
        <v>183965</v>
      </c>
      <c r="B2728" t="s">
        <v>3</v>
      </c>
      <c r="C2728" t="str">
        <f>LEFT(Table4[[#This Row],[Policy Type]],1)</f>
        <v>2</v>
      </c>
    </row>
    <row r="2729" spans="1:3" x14ac:dyDescent="0.25">
      <c r="A2729">
        <v>184102</v>
      </c>
      <c r="B2729" t="s">
        <v>2</v>
      </c>
      <c r="C2729" t="str">
        <f>LEFT(Table4[[#This Row],[Policy Type]],1)</f>
        <v>1</v>
      </c>
    </row>
    <row r="2730" spans="1:3" x14ac:dyDescent="0.25">
      <c r="A2730">
        <v>184177</v>
      </c>
      <c r="B2730" t="s">
        <v>3</v>
      </c>
      <c r="C2730" t="str">
        <f>LEFT(Table4[[#This Row],[Policy Type]],1)</f>
        <v>2</v>
      </c>
    </row>
    <row r="2731" spans="1:3" x14ac:dyDescent="0.25">
      <c r="A2731">
        <v>184193</v>
      </c>
      <c r="B2731" t="s">
        <v>2</v>
      </c>
      <c r="C2731" t="str">
        <f>LEFT(Table4[[#This Row],[Policy Type]],1)</f>
        <v>1</v>
      </c>
    </row>
    <row r="2732" spans="1:3" x14ac:dyDescent="0.25">
      <c r="A2732">
        <v>184420</v>
      </c>
      <c r="B2732" t="s">
        <v>2</v>
      </c>
      <c r="C2732" t="str">
        <f>LEFT(Table4[[#This Row],[Policy Type]],1)</f>
        <v>1</v>
      </c>
    </row>
    <row r="2733" spans="1:3" x14ac:dyDescent="0.25">
      <c r="A2733">
        <v>184447</v>
      </c>
      <c r="B2733" t="s">
        <v>3</v>
      </c>
      <c r="C2733" t="str">
        <f>LEFT(Table4[[#This Row],[Policy Type]],1)</f>
        <v>2</v>
      </c>
    </row>
    <row r="2734" spans="1:3" x14ac:dyDescent="0.25">
      <c r="A2734">
        <v>184549</v>
      </c>
      <c r="B2734" t="s">
        <v>2</v>
      </c>
      <c r="C2734" t="str">
        <f>LEFT(Table4[[#This Row],[Policy Type]],1)</f>
        <v>1</v>
      </c>
    </row>
    <row r="2735" spans="1:3" x14ac:dyDescent="0.25">
      <c r="A2735">
        <v>184580</v>
      </c>
      <c r="B2735" t="s">
        <v>3</v>
      </c>
      <c r="C2735" t="str">
        <f>LEFT(Table4[[#This Row],[Policy Type]],1)</f>
        <v>2</v>
      </c>
    </row>
    <row r="2736" spans="1:3" x14ac:dyDescent="0.25">
      <c r="A2736">
        <v>184593</v>
      </c>
      <c r="B2736" t="s">
        <v>2</v>
      </c>
      <c r="C2736" t="str">
        <f>LEFT(Table4[[#This Row],[Policy Type]],1)</f>
        <v>1</v>
      </c>
    </row>
    <row r="2737" spans="1:3" x14ac:dyDescent="0.25">
      <c r="A2737">
        <v>184209</v>
      </c>
      <c r="B2737" t="s">
        <v>2</v>
      </c>
      <c r="C2737" t="str">
        <f>LEFT(Table4[[#This Row],[Policy Type]],1)</f>
        <v>1</v>
      </c>
    </row>
    <row r="2738" spans="1:3" x14ac:dyDescent="0.25">
      <c r="A2738">
        <v>184223</v>
      </c>
      <c r="B2738" t="s">
        <v>3</v>
      </c>
      <c r="C2738" t="str">
        <f>LEFT(Table4[[#This Row],[Policy Type]],1)</f>
        <v>2</v>
      </c>
    </row>
    <row r="2739" spans="1:3" x14ac:dyDescent="0.25">
      <c r="A2739">
        <v>184226</v>
      </c>
      <c r="B2739" t="s">
        <v>2</v>
      </c>
      <c r="C2739" t="str">
        <f>LEFT(Table4[[#This Row],[Policy Type]],1)</f>
        <v>1</v>
      </c>
    </row>
    <row r="2740" spans="1:3" x14ac:dyDescent="0.25">
      <c r="A2740">
        <v>184247</v>
      </c>
      <c r="B2740" t="s">
        <v>2</v>
      </c>
      <c r="C2740" t="str">
        <f>LEFT(Table4[[#This Row],[Policy Type]],1)</f>
        <v>1</v>
      </c>
    </row>
    <row r="2741" spans="1:3" x14ac:dyDescent="0.25">
      <c r="A2741">
        <v>184255</v>
      </c>
      <c r="B2741" t="s">
        <v>2</v>
      </c>
      <c r="C2741" t="str">
        <f>LEFT(Table4[[#This Row],[Policy Type]],1)</f>
        <v>1</v>
      </c>
    </row>
    <row r="2742" spans="1:3" x14ac:dyDescent="0.25">
      <c r="A2742">
        <v>184356</v>
      </c>
      <c r="B2742" t="s">
        <v>3</v>
      </c>
      <c r="C2742" t="str">
        <f>LEFT(Table4[[#This Row],[Policy Type]],1)</f>
        <v>2</v>
      </c>
    </row>
    <row r="2743" spans="1:3" x14ac:dyDescent="0.25">
      <c r="A2743">
        <v>184758</v>
      </c>
      <c r="B2743" t="s">
        <v>3</v>
      </c>
      <c r="C2743" t="str">
        <f>LEFT(Table4[[#This Row],[Policy Type]],1)</f>
        <v>2</v>
      </c>
    </row>
    <row r="2744" spans="1:3" x14ac:dyDescent="0.25">
      <c r="A2744">
        <v>184783</v>
      </c>
      <c r="B2744" t="s">
        <v>3</v>
      </c>
      <c r="C2744" t="str">
        <f>LEFT(Table4[[#This Row],[Policy Type]],1)</f>
        <v>2</v>
      </c>
    </row>
    <row r="2745" spans="1:3" x14ac:dyDescent="0.25">
      <c r="A2745">
        <v>184797</v>
      </c>
      <c r="B2745" t="s">
        <v>2</v>
      </c>
      <c r="C2745" t="str">
        <f>LEFT(Table4[[#This Row],[Policy Type]],1)</f>
        <v>1</v>
      </c>
    </row>
    <row r="2746" spans="1:3" x14ac:dyDescent="0.25">
      <c r="A2746">
        <v>184929</v>
      </c>
      <c r="B2746" t="s">
        <v>3</v>
      </c>
      <c r="C2746" t="str">
        <f>LEFT(Table4[[#This Row],[Policy Type]],1)</f>
        <v>2</v>
      </c>
    </row>
    <row r="2747" spans="1:3" x14ac:dyDescent="0.25">
      <c r="A2747">
        <v>184960</v>
      </c>
      <c r="B2747" t="s">
        <v>3</v>
      </c>
      <c r="C2747" t="str">
        <f>LEFT(Table4[[#This Row],[Policy Type]],1)</f>
        <v>2</v>
      </c>
    </row>
    <row r="2748" spans="1:3" x14ac:dyDescent="0.25">
      <c r="A2748">
        <v>185003</v>
      </c>
      <c r="B2748" t="s">
        <v>3</v>
      </c>
      <c r="C2748" t="str">
        <f>LEFT(Table4[[#This Row],[Policy Type]],1)</f>
        <v>2</v>
      </c>
    </row>
    <row r="2749" spans="1:3" x14ac:dyDescent="0.25">
      <c r="A2749">
        <v>185048</v>
      </c>
      <c r="B2749" t="s">
        <v>3</v>
      </c>
      <c r="C2749" t="str">
        <f>LEFT(Table4[[#This Row],[Policy Type]],1)</f>
        <v>2</v>
      </c>
    </row>
    <row r="2750" spans="1:3" x14ac:dyDescent="0.25">
      <c r="A2750">
        <v>185144</v>
      </c>
      <c r="B2750" t="s">
        <v>2</v>
      </c>
      <c r="C2750" t="str">
        <f>LEFT(Table4[[#This Row],[Policy Type]],1)</f>
        <v>1</v>
      </c>
    </row>
    <row r="2751" spans="1:3" x14ac:dyDescent="0.25">
      <c r="A2751">
        <v>185268</v>
      </c>
      <c r="B2751" t="s">
        <v>2</v>
      </c>
      <c r="C2751" t="str">
        <f>LEFT(Table4[[#This Row],[Policy Type]],1)</f>
        <v>1</v>
      </c>
    </row>
    <row r="2752" spans="1:3" x14ac:dyDescent="0.25">
      <c r="A2752">
        <v>185365</v>
      </c>
      <c r="B2752" t="s">
        <v>2</v>
      </c>
      <c r="C2752" t="str">
        <f>LEFT(Table4[[#This Row],[Policy Type]],1)</f>
        <v>1</v>
      </c>
    </row>
    <row r="2753" spans="1:3" x14ac:dyDescent="0.25">
      <c r="A2753">
        <v>185368</v>
      </c>
      <c r="B2753" t="s">
        <v>3</v>
      </c>
      <c r="C2753" t="str">
        <f>LEFT(Table4[[#This Row],[Policy Type]],1)</f>
        <v>2</v>
      </c>
    </row>
    <row r="2754" spans="1:3" x14ac:dyDescent="0.25">
      <c r="A2754">
        <v>185684</v>
      </c>
      <c r="B2754" t="s">
        <v>3</v>
      </c>
      <c r="C2754" t="str">
        <f>LEFT(Table4[[#This Row],[Policy Type]],1)</f>
        <v>2</v>
      </c>
    </row>
    <row r="2755" spans="1:3" x14ac:dyDescent="0.25">
      <c r="A2755">
        <v>185418</v>
      </c>
      <c r="B2755" t="s">
        <v>3</v>
      </c>
      <c r="C2755" t="str">
        <f>LEFT(Table4[[#This Row],[Policy Type]],1)</f>
        <v>2</v>
      </c>
    </row>
    <row r="2756" spans="1:3" x14ac:dyDescent="0.25">
      <c r="A2756">
        <v>185419</v>
      </c>
      <c r="B2756" t="s">
        <v>3</v>
      </c>
      <c r="C2756" t="str">
        <f>LEFT(Table4[[#This Row],[Policy Type]],1)</f>
        <v>2</v>
      </c>
    </row>
    <row r="2757" spans="1:3" x14ac:dyDescent="0.25">
      <c r="A2757">
        <v>185479</v>
      </c>
      <c r="B2757" t="s">
        <v>2</v>
      </c>
      <c r="C2757" t="str">
        <f>LEFT(Table4[[#This Row],[Policy Type]],1)</f>
        <v>1</v>
      </c>
    </row>
    <row r="2758" spans="1:3" x14ac:dyDescent="0.25">
      <c r="A2758">
        <v>185527</v>
      </c>
      <c r="B2758" t="s">
        <v>2</v>
      </c>
      <c r="C2758" t="str">
        <f>LEFT(Table4[[#This Row],[Policy Type]],1)</f>
        <v>1</v>
      </c>
    </row>
    <row r="2759" spans="1:3" x14ac:dyDescent="0.25">
      <c r="A2759">
        <v>185814</v>
      </c>
      <c r="B2759" t="s">
        <v>3</v>
      </c>
      <c r="C2759" t="str">
        <f>LEFT(Table4[[#This Row],[Policy Type]],1)</f>
        <v>2</v>
      </c>
    </row>
    <row r="2760" spans="1:3" x14ac:dyDescent="0.25">
      <c r="A2760">
        <v>185833</v>
      </c>
      <c r="B2760" t="s">
        <v>2</v>
      </c>
      <c r="C2760" t="str">
        <f>LEFT(Table4[[#This Row],[Policy Type]],1)</f>
        <v>1</v>
      </c>
    </row>
    <row r="2761" spans="1:3" x14ac:dyDescent="0.25">
      <c r="A2761">
        <v>185836</v>
      </c>
      <c r="B2761" t="s">
        <v>2</v>
      </c>
      <c r="C2761" t="str">
        <f>LEFT(Table4[[#This Row],[Policy Type]],1)</f>
        <v>1</v>
      </c>
    </row>
    <row r="2762" spans="1:3" x14ac:dyDescent="0.25">
      <c r="A2762">
        <v>185855</v>
      </c>
      <c r="B2762" t="s">
        <v>2</v>
      </c>
      <c r="C2762" t="str">
        <f>LEFT(Table4[[#This Row],[Policy Type]],1)</f>
        <v>1</v>
      </c>
    </row>
    <row r="2763" spans="1:3" x14ac:dyDescent="0.25">
      <c r="A2763">
        <v>185912</v>
      </c>
      <c r="B2763" t="s">
        <v>3</v>
      </c>
      <c r="C2763" t="str">
        <f>LEFT(Table4[[#This Row],[Policy Type]],1)</f>
        <v>2</v>
      </c>
    </row>
    <row r="2764" spans="1:3" x14ac:dyDescent="0.25">
      <c r="A2764">
        <v>185917</v>
      </c>
      <c r="B2764" t="s">
        <v>2</v>
      </c>
      <c r="C2764" t="str">
        <f>LEFT(Table4[[#This Row],[Policy Type]],1)</f>
        <v>1</v>
      </c>
    </row>
    <row r="2765" spans="1:3" x14ac:dyDescent="0.25">
      <c r="A2765">
        <v>185940</v>
      </c>
      <c r="B2765" t="s">
        <v>2</v>
      </c>
      <c r="C2765" t="str">
        <f>LEFT(Table4[[#This Row],[Policy Type]],1)</f>
        <v>1</v>
      </c>
    </row>
    <row r="2766" spans="1:3" x14ac:dyDescent="0.25">
      <c r="A2766">
        <v>185978</v>
      </c>
      <c r="B2766" t="s">
        <v>3</v>
      </c>
      <c r="C2766" t="str">
        <f>LEFT(Table4[[#This Row],[Policy Type]],1)</f>
        <v>2</v>
      </c>
    </row>
    <row r="2767" spans="1:3" x14ac:dyDescent="0.25">
      <c r="A2767">
        <v>186007</v>
      </c>
      <c r="B2767" t="s">
        <v>2</v>
      </c>
      <c r="C2767" t="str">
        <f>LEFT(Table4[[#This Row],[Policy Type]],1)</f>
        <v>1</v>
      </c>
    </row>
    <row r="2768" spans="1:3" x14ac:dyDescent="0.25">
      <c r="A2768">
        <v>186066</v>
      </c>
      <c r="B2768" t="s">
        <v>2</v>
      </c>
      <c r="C2768" t="str">
        <f>LEFT(Table4[[#This Row],[Policy Type]],1)</f>
        <v>1</v>
      </c>
    </row>
    <row r="2769" spans="1:3" x14ac:dyDescent="0.25">
      <c r="A2769">
        <v>186077</v>
      </c>
      <c r="B2769" t="s">
        <v>3</v>
      </c>
      <c r="C2769" t="str">
        <f>LEFT(Table4[[#This Row],[Policy Type]],1)</f>
        <v>2</v>
      </c>
    </row>
    <row r="2770" spans="1:3" x14ac:dyDescent="0.25">
      <c r="A2770">
        <v>186088</v>
      </c>
      <c r="B2770" t="s">
        <v>3</v>
      </c>
      <c r="C2770" t="str">
        <f>LEFT(Table4[[#This Row],[Policy Type]],1)</f>
        <v>2</v>
      </c>
    </row>
    <row r="2771" spans="1:3" x14ac:dyDescent="0.25">
      <c r="A2771">
        <v>186116</v>
      </c>
      <c r="B2771" t="s">
        <v>2</v>
      </c>
      <c r="C2771" t="str">
        <f>LEFT(Table4[[#This Row],[Policy Type]],1)</f>
        <v>1</v>
      </c>
    </row>
    <row r="2772" spans="1:3" x14ac:dyDescent="0.25">
      <c r="A2772">
        <v>186142</v>
      </c>
      <c r="B2772" t="s">
        <v>3</v>
      </c>
      <c r="C2772" t="str">
        <f>LEFT(Table4[[#This Row],[Policy Type]],1)</f>
        <v>2</v>
      </c>
    </row>
    <row r="2773" spans="1:3" x14ac:dyDescent="0.25">
      <c r="A2773">
        <v>186160</v>
      </c>
      <c r="B2773" t="s">
        <v>2</v>
      </c>
      <c r="C2773" t="str">
        <f>LEFT(Table4[[#This Row],[Policy Type]],1)</f>
        <v>1</v>
      </c>
    </row>
    <row r="2774" spans="1:3" x14ac:dyDescent="0.25">
      <c r="A2774">
        <v>186223</v>
      </c>
      <c r="B2774" t="s">
        <v>3</v>
      </c>
      <c r="C2774" t="str">
        <f>LEFT(Table4[[#This Row],[Policy Type]],1)</f>
        <v>2</v>
      </c>
    </row>
    <row r="2775" spans="1:3" x14ac:dyDescent="0.25">
      <c r="A2775">
        <v>186410</v>
      </c>
      <c r="B2775" t="s">
        <v>2</v>
      </c>
      <c r="C2775" t="str">
        <f>LEFT(Table4[[#This Row],[Policy Type]],1)</f>
        <v>1</v>
      </c>
    </row>
    <row r="2776" spans="1:3" x14ac:dyDescent="0.25">
      <c r="A2776">
        <v>186457</v>
      </c>
      <c r="B2776" t="s">
        <v>2</v>
      </c>
      <c r="C2776" t="str">
        <f>LEFT(Table4[[#This Row],[Policy Type]],1)</f>
        <v>1</v>
      </c>
    </row>
    <row r="2777" spans="1:3" x14ac:dyDescent="0.25">
      <c r="A2777">
        <v>186687</v>
      </c>
      <c r="B2777" t="s">
        <v>2</v>
      </c>
      <c r="C2777" t="str">
        <f>LEFT(Table4[[#This Row],[Policy Type]],1)</f>
        <v>1</v>
      </c>
    </row>
    <row r="2778" spans="1:3" x14ac:dyDescent="0.25">
      <c r="A2778">
        <v>186725</v>
      </c>
      <c r="B2778" t="s">
        <v>2</v>
      </c>
      <c r="C2778" t="str">
        <f>LEFT(Table4[[#This Row],[Policy Type]],1)</f>
        <v>1</v>
      </c>
    </row>
    <row r="2779" spans="1:3" x14ac:dyDescent="0.25">
      <c r="A2779">
        <v>186734</v>
      </c>
      <c r="B2779" t="s">
        <v>2</v>
      </c>
      <c r="C2779" t="str">
        <f>LEFT(Table4[[#This Row],[Policy Type]],1)</f>
        <v>1</v>
      </c>
    </row>
    <row r="2780" spans="1:3" x14ac:dyDescent="0.25">
      <c r="A2780">
        <v>187013</v>
      </c>
      <c r="B2780" t="s">
        <v>2</v>
      </c>
      <c r="C2780" t="str">
        <f>LEFT(Table4[[#This Row],[Policy Type]],1)</f>
        <v>1</v>
      </c>
    </row>
    <row r="2781" spans="1:3" x14ac:dyDescent="0.25">
      <c r="A2781">
        <v>187077</v>
      </c>
      <c r="B2781" t="s">
        <v>3</v>
      </c>
      <c r="C2781" t="str">
        <f>LEFT(Table4[[#This Row],[Policy Type]],1)</f>
        <v>2</v>
      </c>
    </row>
    <row r="2782" spans="1:3" x14ac:dyDescent="0.25">
      <c r="A2782">
        <v>187093</v>
      </c>
      <c r="B2782" t="s">
        <v>2</v>
      </c>
      <c r="C2782" t="str">
        <f>LEFT(Table4[[#This Row],[Policy Type]],1)</f>
        <v>1</v>
      </c>
    </row>
    <row r="2783" spans="1:3" x14ac:dyDescent="0.25">
      <c r="A2783">
        <v>187120</v>
      </c>
      <c r="B2783" t="s">
        <v>2</v>
      </c>
      <c r="C2783" t="str">
        <f>LEFT(Table4[[#This Row],[Policy Type]],1)</f>
        <v>1</v>
      </c>
    </row>
    <row r="2784" spans="1:3" x14ac:dyDescent="0.25">
      <c r="A2784">
        <v>187176</v>
      </c>
      <c r="B2784" t="s">
        <v>3</v>
      </c>
      <c r="C2784" t="str">
        <f>LEFT(Table4[[#This Row],[Policy Type]],1)</f>
        <v>2</v>
      </c>
    </row>
    <row r="2785" spans="1:3" x14ac:dyDescent="0.25">
      <c r="A2785">
        <v>187192</v>
      </c>
      <c r="B2785" t="s">
        <v>3</v>
      </c>
      <c r="C2785" t="str">
        <f>LEFT(Table4[[#This Row],[Policy Type]],1)</f>
        <v>2</v>
      </c>
    </row>
    <row r="2786" spans="1:3" x14ac:dyDescent="0.25">
      <c r="A2786">
        <v>186901</v>
      </c>
      <c r="B2786" t="s">
        <v>2</v>
      </c>
      <c r="C2786" t="str">
        <f>LEFT(Table4[[#This Row],[Policy Type]],1)</f>
        <v>1</v>
      </c>
    </row>
    <row r="2787" spans="1:3" x14ac:dyDescent="0.25">
      <c r="A2787">
        <v>186929</v>
      </c>
      <c r="B2787" t="s">
        <v>2</v>
      </c>
      <c r="C2787" t="str">
        <f>LEFT(Table4[[#This Row],[Policy Type]],1)</f>
        <v>1</v>
      </c>
    </row>
    <row r="2788" spans="1:3" x14ac:dyDescent="0.25">
      <c r="A2788">
        <v>187225</v>
      </c>
      <c r="B2788" t="s">
        <v>3</v>
      </c>
      <c r="C2788" t="str">
        <f>LEFT(Table4[[#This Row],[Policy Type]],1)</f>
        <v>2</v>
      </c>
    </row>
    <row r="2789" spans="1:3" x14ac:dyDescent="0.25">
      <c r="A2789">
        <v>187233</v>
      </c>
      <c r="B2789" t="s">
        <v>2</v>
      </c>
      <c r="C2789" t="str">
        <f>LEFT(Table4[[#This Row],[Policy Type]],1)</f>
        <v>1</v>
      </c>
    </row>
    <row r="2790" spans="1:3" x14ac:dyDescent="0.25">
      <c r="A2790">
        <v>187321</v>
      </c>
      <c r="B2790" t="s">
        <v>3</v>
      </c>
      <c r="C2790" t="str">
        <f>LEFT(Table4[[#This Row],[Policy Type]],1)</f>
        <v>2</v>
      </c>
    </row>
    <row r="2791" spans="1:3" x14ac:dyDescent="0.25">
      <c r="A2791">
        <v>187423</v>
      </c>
      <c r="B2791" t="s">
        <v>3</v>
      </c>
      <c r="C2791" t="str">
        <f>LEFT(Table4[[#This Row],[Policy Type]],1)</f>
        <v>2</v>
      </c>
    </row>
    <row r="2792" spans="1:3" x14ac:dyDescent="0.25">
      <c r="A2792">
        <v>187578</v>
      </c>
      <c r="B2792" t="s">
        <v>3</v>
      </c>
      <c r="C2792" t="str">
        <f>LEFT(Table4[[#This Row],[Policy Type]],1)</f>
        <v>2</v>
      </c>
    </row>
    <row r="2793" spans="1:3" x14ac:dyDescent="0.25">
      <c r="A2793">
        <v>187616</v>
      </c>
      <c r="B2793" t="s">
        <v>2</v>
      </c>
      <c r="C2793" t="str">
        <f>LEFT(Table4[[#This Row],[Policy Type]],1)</f>
        <v>1</v>
      </c>
    </row>
    <row r="2794" spans="1:3" x14ac:dyDescent="0.25">
      <c r="A2794">
        <v>187634</v>
      </c>
      <c r="B2794" t="s">
        <v>3</v>
      </c>
      <c r="C2794" t="str">
        <f>LEFT(Table4[[#This Row],[Policy Type]],1)</f>
        <v>2</v>
      </c>
    </row>
    <row r="2795" spans="1:3" x14ac:dyDescent="0.25">
      <c r="A2795">
        <v>187655</v>
      </c>
      <c r="B2795" t="s">
        <v>2</v>
      </c>
      <c r="C2795" t="str">
        <f>LEFT(Table4[[#This Row],[Policy Type]],1)</f>
        <v>1</v>
      </c>
    </row>
    <row r="2796" spans="1:3" x14ac:dyDescent="0.25">
      <c r="A2796">
        <v>187783</v>
      </c>
      <c r="B2796" t="s">
        <v>2</v>
      </c>
      <c r="C2796" t="str">
        <f>LEFT(Table4[[#This Row],[Policy Type]],1)</f>
        <v>1</v>
      </c>
    </row>
    <row r="2797" spans="1:3" x14ac:dyDescent="0.25">
      <c r="A2797">
        <v>187824</v>
      </c>
      <c r="B2797" t="s">
        <v>2</v>
      </c>
      <c r="C2797" t="str">
        <f>LEFT(Table4[[#This Row],[Policy Type]],1)</f>
        <v>1</v>
      </c>
    </row>
    <row r="2798" spans="1:3" x14ac:dyDescent="0.25">
      <c r="A2798">
        <v>187842</v>
      </c>
      <c r="B2798" t="s">
        <v>2</v>
      </c>
      <c r="C2798" t="str">
        <f>LEFT(Table4[[#This Row],[Policy Type]],1)</f>
        <v>1</v>
      </c>
    </row>
    <row r="2799" spans="1:3" x14ac:dyDescent="0.25">
      <c r="A2799">
        <v>187862</v>
      </c>
      <c r="B2799" t="s">
        <v>3</v>
      </c>
      <c r="C2799" t="str">
        <f>LEFT(Table4[[#This Row],[Policy Type]],1)</f>
        <v>2</v>
      </c>
    </row>
    <row r="2800" spans="1:3" x14ac:dyDescent="0.25">
      <c r="A2800">
        <v>187874</v>
      </c>
      <c r="B2800" t="s">
        <v>3</v>
      </c>
      <c r="C2800" t="str">
        <f>LEFT(Table4[[#This Row],[Policy Type]],1)</f>
        <v>2</v>
      </c>
    </row>
    <row r="2801" spans="1:3" x14ac:dyDescent="0.25">
      <c r="A2801">
        <v>187881</v>
      </c>
      <c r="B2801" t="s">
        <v>3</v>
      </c>
      <c r="C2801" t="str">
        <f>LEFT(Table4[[#This Row],[Policy Type]],1)</f>
        <v>2</v>
      </c>
    </row>
    <row r="2802" spans="1:3" x14ac:dyDescent="0.25">
      <c r="A2802">
        <v>188118</v>
      </c>
      <c r="B2802" t="s">
        <v>2</v>
      </c>
      <c r="C2802" t="str">
        <f>LEFT(Table4[[#This Row],[Policy Type]],1)</f>
        <v>1</v>
      </c>
    </row>
    <row r="2803" spans="1:3" x14ac:dyDescent="0.25">
      <c r="A2803">
        <v>188231</v>
      </c>
      <c r="B2803" t="s">
        <v>2</v>
      </c>
      <c r="C2803" t="str">
        <f>LEFT(Table4[[#This Row],[Policy Type]],1)</f>
        <v>1</v>
      </c>
    </row>
    <row r="2804" spans="1:3" x14ac:dyDescent="0.25">
      <c r="A2804">
        <v>188240</v>
      </c>
      <c r="B2804" t="s">
        <v>2</v>
      </c>
      <c r="C2804" t="str">
        <f>LEFT(Table4[[#This Row],[Policy Type]],1)</f>
        <v>1</v>
      </c>
    </row>
    <row r="2805" spans="1:3" x14ac:dyDescent="0.25">
      <c r="A2805">
        <v>188246</v>
      </c>
      <c r="B2805" t="s">
        <v>3</v>
      </c>
      <c r="C2805" t="str">
        <f>LEFT(Table4[[#This Row],[Policy Type]],1)</f>
        <v>2</v>
      </c>
    </row>
    <row r="2806" spans="1:3" x14ac:dyDescent="0.25">
      <c r="A2806">
        <v>188318</v>
      </c>
      <c r="B2806" t="s">
        <v>2</v>
      </c>
      <c r="C2806" t="str">
        <f>LEFT(Table4[[#This Row],[Policy Type]],1)</f>
        <v>1</v>
      </c>
    </row>
    <row r="2807" spans="1:3" x14ac:dyDescent="0.25">
      <c r="A2807">
        <v>188433</v>
      </c>
      <c r="B2807" t="s">
        <v>2</v>
      </c>
      <c r="C2807" t="str">
        <f>LEFT(Table4[[#This Row],[Policy Type]],1)</f>
        <v>1</v>
      </c>
    </row>
    <row r="2808" spans="1:3" x14ac:dyDescent="0.25">
      <c r="A2808">
        <v>188445</v>
      </c>
      <c r="B2808" t="s">
        <v>2</v>
      </c>
      <c r="C2808" t="str">
        <f>LEFT(Table4[[#This Row],[Policy Type]],1)</f>
        <v>1</v>
      </c>
    </row>
    <row r="2809" spans="1:3" x14ac:dyDescent="0.25">
      <c r="A2809">
        <v>188458</v>
      </c>
      <c r="B2809" t="s">
        <v>3</v>
      </c>
      <c r="C2809" t="str">
        <f>LEFT(Table4[[#This Row],[Policy Type]],1)</f>
        <v>2</v>
      </c>
    </row>
    <row r="2810" spans="1:3" x14ac:dyDescent="0.25">
      <c r="A2810">
        <v>188521</v>
      </c>
      <c r="B2810" t="s">
        <v>2</v>
      </c>
      <c r="C2810" t="str">
        <f>LEFT(Table4[[#This Row],[Policy Type]],1)</f>
        <v>1</v>
      </c>
    </row>
    <row r="2811" spans="1:3" x14ac:dyDescent="0.25">
      <c r="A2811">
        <v>188560</v>
      </c>
      <c r="B2811" t="s">
        <v>2</v>
      </c>
      <c r="C2811" t="str">
        <f>LEFT(Table4[[#This Row],[Policy Type]],1)</f>
        <v>1</v>
      </c>
    </row>
    <row r="2812" spans="1:3" x14ac:dyDescent="0.25">
      <c r="A2812">
        <v>188565</v>
      </c>
      <c r="B2812" t="s">
        <v>3</v>
      </c>
      <c r="C2812" t="str">
        <f>LEFT(Table4[[#This Row],[Policy Type]],1)</f>
        <v>2</v>
      </c>
    </row>
    <row r="2813" spans="1:3" x14ac:dyDescent="0.25">
      <c r="A2813">
        <v>188599</v>
      </c>
      <c r="B2813" t="s">
        <v>2</v>
      </c>
      <c r="C2813" t="str">
        <f>LEFT(Table4[[#This Row],[Policy Type]],1)</f>
        <v>1</v>
      </c>
    </row>
    <row r="2814" spans="1:3" x14ac:dyDescent="0.25">
      <c r="A2814">
        <v>188612</v>
      </c>
      <c r="B2814" t="s">
        <v>3</v>
      </c>
      <c r="C2814" t="str">
        <f>LEFT(Table4[[#This Row],[Policy Type]],1)</f>
        <v>2</v>
      </c>
    </row>
    <row r="2815" spans="1:3" x14ac:dyDescent="0.25">
      <c r="A2815">
        <v>188630</v>
      </c>
      <c r="B2815" t="s">
        <v>3</v>
      </c>
      <c r="C2815" t="str">
        <f>LEFT(Table4[[#This Row],[Policy Type]],1)</f>
        <v>2</v>
      </c>
    </row>
    <row r="2816" spans="1:3" x14ac:dyDescent="0.25">
      <c r="A2816">
        <v>188672</v>
      </c>
      <c r="B2816" t="s">
        <v>3</v>
      </c>
      <c r="C2816" t="str">
        <f>LEFT(Table4[[#This Row],[Policy Type]],1)</f>
        <v>2</v>
      </c>
    </row>
    <row r="2817" spans="1:3" x14ac:dyDescent="0.25">
      <c r="A2817">
        <v>188956</v>
      </c>
      <c r="B2817" t="s">
        <v>2</v>
      </c>
      <c r="C2817" t="str">
        <f>LEFT(Table4[[#This Row],[Policy Type]],1)</f>
        <v>1</v>
      </c>
    </row>
    <row r="2818" spans="1:3" x14ac:dyDescent="0.25">
      <c r="A2818">
        <v>188977</v>
      </c>
      <c r="B2818" t="s">
        <v>3</v>
      </c>
      <c r="C2818" t="str">
        <f>LEFT(Table4[[#This Row],[Policy Type]],1)</f>
        <v>2</v>
      </c>
    </row>
    <row r="2819" spans="1:3" x14ac:dyDescent="0.25">
      <c r="A2819">
        <v>189004</v>
      </c>
      <c r="B2819" t="s">
        <v>3</v>
      </c>
      <c r="C2819" t="str">
        <f>LEFT(Table4[[#This Row],[Policy Type]],1)</f>
        <v>2</v>
      </c>
    </row>
    <row r="2820" spans="1:3" x14ac:dyDescent="0.25">
      <c r="A2820">
        <v>189065</v>
      </c>
      <c r="B2820" t="s">
        <v>3</v>
      </c>
      <c r="C2820" t="str">
        <f>LEFT(Table4[[#This Row],[Policy Type]],1)</f>
        <v>2</v>
      </c>
    </row>
    <row r="2821" spans="1:3" x14ac:dyDescent="0.25">
      <c r="A2821">
        <v>189090</v>
      </c>
      <c r="B2821" t="s">
        <v>2</v>
      </c>
      <c r="C2821" t="str">
        <f>LEFT(Table4[[#This Row],[Policy Type]],1)</f>
        <v>1</v>
      </c>
    </row>
    <row r="2822" spans="1:3" x14ac:dyDescent="0.25">
      <c r="A2822">
        <v>189167</v>
      </c>
      <c r="B2822" t="s">
        <v>2</v>
      </c>
      <c r="C2822" t="str">
        <f>LEFT(Table4[[#This Row],[Policy Type]],1)</f>
        <v>1</v>
      </c>
    </row>
    <row r="2823" spans="1:3" x14ac:dyDescent="0.25">
      <c r="A2823">
        <v>189186</v>
      </c>
      <c r="B2823" t="s">
        <v>2</v>
      </c>
      <c r="C2823" t="str">
        <f>LEFT(Table4[[#This Row],[Policy Type]],1)</f>
        <v>1</v>
      </c>
    </row>
    <row r="2824" spans="1:3" x14ac:dyDescent="0.25">
      <c r="A2824">
        <v>189188</v>
      </c>
      <c r="B2824" t="s">
        <v>3</v>
      </c>
      <c r="C2824" t="str">
        <f>LEFT(Table4[[#This Row],[Policy Type]],1)</f>
        <v>2</v>
      </c>
    </row>
    <row r="2825" spans="1:3" x14ac:dyDescent="0.25">
      <c r="A2825">
        <v>189225</v>
      </c>
      <c r="B2825" t="s">
        <v>3</v>
      </c>
      <c r="C2825" t="str">
        <f>LEFT(Table4[[#This Row],[Policy Type]],1)</f>
        <v>2</v>
      </c>
    </row>
    <row r="2826" spans="1:3" x14ac:dyDescent="0.25">
      <c r="A2826">
        <v>189296</v>
      </c>
      <c r="B2826" t="s">
        <v>2</v>
      </c>
      <c r="C2826" t="str">
        <f>LEFT(Table4[[#This Row],[Policy Type]],1)</f>
        <v>1</v>
      </c>
    </row>
    <row r="2827" spans="1:3" x14ac:dyDescent="0.25">
      <c r="A2827">
        <v>189341</v>
      </c>
      <c r="B2827" t="s">
        <v>3</v>
      </c>
      <c r="C2827" t="str">
        <f>LEFT(Table4[[#This Row],[Policy Type]],1)</f>
        <v>2</v>
      </c>
    </row>
    <row r="2828" spans="1:3" x14ac:dyDescent="0.25">
      <c r="A2828">
        <v>189370</v>
      </c>
      <c r="B2828" t="s">
        <v>2</v>
      </c>
      <c r="C2828" t="str">
        <f>LEFT(Table4[[#This Row],[Policy Type]],1)</f>
        <v>1</v>
      </c>
    </row>
    <row r="2829" spans="1:3" x14ac:dyDescent="0.25">
      <c r="A2829">
        <v>189619</v>
      </c>
      <c r="B2829" t="s">
        <v>3</v>
      </c>
      <c r="C2829" t="str">
        <f>LEFT(Table4[[#This Row],[Policy Type]],1)</f>
        <v>2</v>
      </c>
    </row>
    <row r="2830" spans="1:3" x14ac:dyDescent="0.25">
      <c r="A2830">
        <v>189688</v>
      </c>
      <c r="B2830" t="s">
        <v>3</v>
      </c>
      <c r="C2830" t="str">
        <f>LEFT(Table4[[#This Row],[Policy Type]],1)</f>
        <v>2</v>
      </c>
    </row>
    <row r="2831" spans="1:3" x14ac:dyDescent="0.25">
      <c r="A2831">
        <v>189690</v>
      </c>
      <c r="B2831" t="s">
        <v>3</v>
      </c>
      <c r="C2831" t="str">
        <f>LEFT(Table4[[#This Row],[Policy Type]],1)</f>
        <v>2</v>
      </c>
    </row>
    <row r="2832" spans="1:3" x14ac:dyDescent="0.25">
      <c r="A2832">
        <v>189717</v>
      </c>
      <c r="B2832" t="s">
        <v>2</v>
      </c>
      <c r="C2832" t="str">
        <f>LEFT(Table4[[#This Row],[Policy Type]],1)</f>
        <v>1</v>
      </c>
    </row>
    <row r="2833" spans="1:3" x14ac:dyDescent="0.25">
      <c r="A2833">
        <v>189461</v>
      </c>
      <c r="B2833" t="s">
        <v>3</v>
      </c>
      <c r="C2833" t="str">
        <f>LEFT(Table4[[#This Row],[Policy Type]],1)</f>
        <v>2</v>
      </c>
    </row>
    <row r="2834" spans="1:3" x14ac:dyDescent="0.25">
      <c r="A2834">
        <v>189579</v>
      </c>
      <c r="B2834" t="s">
        <v>2</v>
      </c>
      <c r="C2834" t="str">
        <f>LEFT(Table4[[#This Row],[Policy Type]],1)</f>
        <v>1</v>
      </c>
    </row>
    <row r="2835" spans="1:3" x14ac:dyDescent="0.25">
      <c r="A2835">
        <v>189803</v>
      </c>
      <c r="B2835" t="s">
        <v>2</v>
      </c>
      <c r="C2835" t="str">
        <f>LEFT(Table4[[#This Row],[Policy Type]],1)</f>
        <v>1</v>
      </c>
    </row>
    <row r="2836" spans="1:3" x14ac:dyDescent="0.25">
      <c r="A2836">
        <v>189899</v>
      </c>
      <c r="B2836" t="s">
        <v>2</v>
      </c>
      <c r="C2836" t="str">
        <f>LEFT(Table4[[#This Row],[Policy Type]],1)</f>
        <v>1</v>
      </c>
    </row>
    <row r="2837" spans="1:3" x14ac:dyDescent="0.25">
      <c r="A2837">
        <v>189968</v>
      </c>
      <c r="B2837" t="s">
        <v>2</v>
      </c>
      <c r="C2837" t="str">
        <f>LEFT(Table4[[#This Row],[Policy Type]],1)</f>
        <v>1</v>
      </c>
    </row>
    <row r="2838" spans="1:3" x14ac:dyDescent="0.25">
      <c r="A2838">
        <v>189974</v>
      </c>
      <c r="B2838" t="s">
        <v>2</v>
      </c>
      <c r="C2838" t="str">
        <f>LEFT(Table4[[#This Row],[Policy Type]],1)</f>
        <v>1</v>
      </c>
    </row>
    <row r="2839" spans="1:3" x14ac:dyDescent="0.25">
      <c r="A2839">
        <v>190052</v>
      </c>
      <c r="B2839" t="s">
        <v>3</v>
      </c>
      <c r="C2839" t="str">
        <f>LEFT(Table4[[#This Row],[Policy Type]],1)</f>
        <v>2</v>
      </c>
    </row>
    <row r="2840" spans="1:3" x14ac:dyDescent="0.25">
      <c r="A2840">
        <v>190140</v>
      </c>
      <c r="B2840" t="s">
        <v>2</v>
      </c>
      <c r="C2840" t="str">
        <f>LEFT(Table4[[#This Row],[Policy Type]],1)</f>
        <v>1</v>
      </c>
    </row>
    <row r="2841" spans="1:3" x14ac:dyDescent="0.25">
      <c r="A2841">
        <v>190161</v>
      </c>
      <c r="B2841" t="s">
        <v>2</v>
      </c>
      <c r="C2841" t="str">
        <f>LEFT(Table4[[#This Row],[Policy Type]],1)</f>
        <v>1</v>
      </c>
    </row>
    <row r="2842" spans="1:3" x14ac:dyDescent="0.25">
      <c r="A2842">
        <v>190168</v>
      </c>
      <c r="B2842" t="s">
        <v>2</v>
      </c>
      <c r="C2842" t="str">
        <f>LEFT(Table4[[#This Row],[Policy Type]],1)</f>
        <v>1</v>
      </c>
    </row>
    <row r="2843" spans="1:3" x14ac:dyDescent="0.25">
      <c r="A2843">
        <v>190171</v>
      </c>
      <c r="B2843" t="s">
        <v>2</v>
      </c>
      <c r="C2843" t="str">
        <f>LEFT(Table4[[#This Row],[Policy Type]],1)</f>
        <v>1</v>
      </c>
    </row>
    <row r="2844" spans="1:3" x14ac:dyDescent="0.25">
      <c r="A2844">
        <v>190197</v>
      </c>
      <c r="B2844" t="s">
        <v>2</v>
      </c>
      <c r="C2844" t="str">
        <f>LEFT(Table4[[#This Row],[Policy Type]],1)</f>
        <v>1</v>
      </c>
    </row>
    <row r="2845" spans="1:3" x14ac:dyDescent="0.25">
      <c r="A2845">
        <v>190204</v>
      </c>
      <c r="B2845" t="s">
        <v>3</v>
      </c>
      <c r="C2845" t="str">
        <f>LEFT(Table4[[#This Row],[Policy Type]],1)</f>
        <v>2</v>
      </c>
    </row>
    <row r="2846" spans="1:3" x14ac:dyDescent="0.25">
      <c r="A2846">
        <v>190212</v>
      </c>
      <c r="B2846" t="s">
        <v>2</v>
      </c>
      <c r="C2846" t="str">
        <f>LEFT(Table4[[#This Row],[Policy Type]],1)</f>
        <v>1</v>
      </c>
    </row>
    <row r="2847" spans="1:3" x14ac:dyDescent="0.25">
      <c r="A2847">
        <v>190236</v>
      </c>
      <c r="B2847" t="s">
        <v>3</v>
      </c>
      <c r="C2847" t="str">
        <f>LEFT(Table4[[#This Row],[Policy Type]],1)</f>
        <v>2</v>
      </c>
    </row>
    <row r="2848" spans="1:3" x14ac:dyDescent="0.25">
      <c r="A2848">
        <v>190275</v>
      </c>
      <c r="B2848" t="s">
        <v>2</v>
      </c>
      <c r="C2848" t="str">
        <f>LEFT(Table4[[#This Row],[Policy Type]],1)</f>
        <v>1</v>
      </c>
    </row>
    <row r="2849" spans="1:3" x14ac:dyDescent="0.25">
      <c r="A2849">
        <v>190366</v>
      </c>
      <c r="B2849" t="s">
        <v>3</v>
      </c>
      <c r="C2849" t="str">
        <f>LEFT(Table4[[#This Row],[Policy Type]],1)</f>
        <v>2</v>
      </c>
    </row>
    <row r="2850" spans="1:3" x14ac:dyDescent="0.25">
      <c r="A2850">
        <v>190471</v>
      </c>
      <c r="B2850" t="s">
        <v>3</v>
      </c>
      <c r="C2850" t="str">
        <f>LEFT(Table4[[#This Row],[Policy Type]],1)</f>
        <v>2</v>
      </c>
    </row>
    <row r="2851" spans="1:3" x14ac:dyDescent="0.25">
      <c r="A2851">
        <v>190485</v>
      </c>
      <c r="B2851" t="s">
        <v>2</v>
      </c>
      <c r="C2851" t="str">
        <f>LEFT(Table4[[#This Row],[Policy Type]],1)</f>
        <v>1</v>
      </c>
    </row>
    <row r="2852" spans="1:3" x14ac:dyDescent="0.25">
      <c r="A2852">
        <v>190712</v>
      </c>
      <c r="B2852" t="s">
        <v>2</v>
      </c>
      <c r="C2852" t="str">
        <f>LEFT(Table4[[#This Row],[Policy Type]],1)</f>
        <v>1</v>
      </c>
    </row>
    <row r="2853" spans="1:3" x14ac:dyDescent="0.25">
      <c r="A2853">
        <v>190742</v>
      </c>
      <c r="B2853" t="s">
        <v>2</v>
      </c>
      <c r="C2853" t="str">
        <f>LEFT(Table4[[#This Row],[Policy Type]],1)</f>
        <v>1</v>
      </c>
    </row>
    <row r="2854" spans="1:3" x14ac:dyDescent="0.25">
      <c r="A2854">
        <v>190789</v>
      </c>
      <c r="B2854" t="s">
        <v>3</v>
      </c>
      <c r="C2854" t="str">
        <f>LEFT(Table4[[#This Row],[Policy Type]],1)</f>
        <v>2</v>
      </c>
    </row>
    <row r="2855" spans="1:3" x14ac:dyDescent="0.25">
      <c r="A2855">
        <v>191050</v>
      </c>
      <c r="B2855" t="s">
        <v>3</v>
      </c>
      <c r="C2855" t="str">
        <f>LEFT(Table4[[#This Row],[Policy Type]],1)</f>
        <v>2</v>
      </c>
    </row>
    <row r="2856" spans="1:3" x14ac:dyDescent="0.25">
      <c r="A2856">
        <v>191078</v>
      </c>
      <c r="B2856" t="s">
        <v>3</v>
      </c>
      <c r="C2856" t="str">
        <f>LEFT(Table4[[#This Row],[Policy Type]],1)</f>
        <v>2</v>
      </c>
    </row>
    <row r="2857" spans="1:3" x14ac:dyDescent="0.25">
      <c r="A2857">
        <v>191101</v>
      </c>
      <c r="B2857" t="s">
        <v>2</v>
      </c>
      <c r="C2857" t="str">
        <f>LEFT(Table4[[#This Row],[Policy Type]],1)</f>
        <v>1</v>
      </c>
    </row>
    <row r="2858" spans="1:3" x14ac:dyDescent="0.25">
      <c r="A2858">
        <v>191154</v>
      </c>
      <c r="B2858" t="s">
        <v>2</v>
      </c>
      <c r="C2858" t="str">
        <f>LEFT(Table4[[#This Row],[Policy Type]],1)</f>
        <v>1</v>
      </c>
    </row>
    <row r="2859" spans="1:3" x14ac:dyDescent="0.25">
      <c r="A2859">
        <v>190809</v>
      </c>
      <c r="B2859" t="s">
        <v>3</v>
      </c>
      <c r="C2859" t="str">
        <f>LEFT(Table4[[#This Row],[Policy Type]],1)</f>
        <v>2</v>
      </c>
    </row>
    <row r="2860" spans="1:3" x14ac:dyDescent="0.25">
      <c r="A2860">
        <v>190829</v>
      </c>
      <c r="B2860" t="s">
        <v>2</v>
      </c>
      <c r="C2860" t="str">
        <f>LEFT(Table4[[#This Row],[Policy Type]],1)</f>
        <v>1</v>
      </c>
    </row>
    <row r="2861" spans="1:3" x14ac:dyDescent="0.25">
      <c r="A2861">
        <v>190870</v>
      </c>
      <c r="B2861" t="s">
        <v>2</v>
      </c>
      <c r="C2861" t="str">
        <f>LEFT(Table4[[#This Row],[Policy Type]],1)</f>
        <v>1</v>
      </c>
    </row>
    <row r="2862" spans="1:3" x14ac:dyDescent="0.25">
      <c r="A2862">
        <v>190892</v>
      </c>
      <c r="B2862" t="s">
        <v>2</v>
      </c>
      <c r="C2862" t="str">
        <f>LEFT(Table4[[#This Row],[Policy Type]],1)</f>
        <v>1</v>
      </c>
    </row>
    <row r="2863" spans="1:3" x14ac:dyDescent="0.25">
      <c r="A2863">
        <v>190896</v>
      </c>
      <c r="B2863" t="s">
        <v>3</v>
      </c>
      <c r="C2863" t="str">
        <f>LEFT(Table4[[#This Row],[Policy Type]],1)</f>
        <v>2</v>
      </c>
    </row>
    <row r="2864" spans="1:3" x14ac:dyDescent="0.25">
      <c r="A2864">
        <v>190905</v>
      </c>
      <c r="B2864" t="s">
        <v>3</v>
      </c>
      <c r="C2864" t="str">
        <f>LEFT(Table4[[#This Row],[Policy Type]],1)</f>
        <v>2</v>
      </c>
    </row>
    <row r="2865" spans="1:3" x14ac:dyDescent="0.25">
      <c r="A2865">
        <v>191209</v>
      </c>
      <c r="B2865" t="s">
        <v>3</v>
      </c>
      <c r="C2865" t="str">
        <f>LEFT(Table4[[#This Row],[Policy Type]],1)</f>
        <v>2</v>
      </c>
    </row>
    <row r="2866" spans="1:3" x14ac:dyDescent="0.25">
      <c r="A2866">
        <v>191602</v>
      </c>
      <c r="B2866" t="s">
        <v>3</v>
      </c>
      <c r="C2866" t="str">
        <f>LEFT(Table4[[#This Row],[Policy Type]],1)</f>
        <v>2</v>
      </c>
    </row>
    <row r="2867" spans="1:3" x14ac:dyDescent="0.25">
      <c r="A2867">
        <v>191609</v>
      </c>
      <c r="B2867" t="s">
        <v>3</v>
      </c>
      <c r="C2867" t="str">
        <f>LEFT(Table4[[#This Row],[Policy Type]],1)</f>
        <v>2</v>
      </c>
    </row>
    <row r="2868" spans="1:3" x14ac:dyDescent="0.25">
      <c r="A2868">
        <v>191619</v>
      </c>
      <c r="B2868" t="s">
        <v>2</v>
      </c>
      <c r="C2868" t="str">
        <f>LEFT(Table4[[#This Row],[Policy Type]],1)</f>
        <v>1</v>
      </c>
    </row>
    <row r="2869" spans="1:3" x14ac:dyDescent="0.25">
      <c r="A2869">
        <v>191658</v>
      </c>
      <c r="B2869" t="s">
        <v>2</v>
      </c>
      <c r="C2869" t="str">
        <f>LEFT(Table4[[#This Row],[Policy Type]],1)</f>
        <v>1</v>
      </c>
    </row>
    <row r="2870" spans="1:3" x14ac:dyDescent="0.25">
      <c r="A2870">
        <v>191708</v>
      </c>
      <c r="B2870" t="s">
        <v>3</v>
      </c>
      <c r="C2870" t="str">
        <f>LEFT(Table4[[#This Row],[Policy Type]],1)</f>
        <v>2</v>
      </c>
    </row>
    <row r="2871" spans="1:3" x14ac:dyDescent="0.25">
      <c r="A2871">
        <v>191731</v>
      </c>
      <c r="B2871" t="s">
        <v>2</v>
      </c>
      <c r="C2871" t="str">
        <f>LEFT(Table4[[#This Row],[Policy Type]],1)</f>
        <v>1</v>
      </c>
    </row>
    <row r="2872" spans="1:3" x14ac:dyDescent="0.25">
      <c r="A2872">
        <v>191457</v>
      </c>
      <c r="B2872" t="s">
        <v>3</v>
      </c>
      <c r="C2872" t="str">
        <f>LEFT(Table4[[#This Row],[Policy Type]],1)</f>
        <v>2</v>
      </c>
    </row>
    <row r="2873" spans="1:3" x14ac:dyDescent="0.25">
      <c r="A2873">
        <v>191462</v>
      </c>
      <c r="B2873" t="s">
        <v>3</v>
      </c>
      <c r="C2873" t="str">
        <f>LEFT(Table4[[#This Row],[Policy Type]],1)</f>
        <v>2</v>
      </c>
    </row>
    <row r="2874" spans="1:3" x14ac:dyDescent="0.25">
      <c r="A2874">
        <v>191508</v>
      </c>
      <c r="B2874" t="s">
        <v>2</v>
      </c>
      <c r="C2874" t="str">
        <f>LEFT(Table4[[#This Row],[Policy Type]],1)</f>
        <v>1</v>
      </c>
    </row>
    <row r="2875" spans="1:3" x14ac:dyDescent="0.25">
      <c r="A2875">
        <v>191509</v>
      </c>
      <c r="B2875" t="s">
        <v>2</v>
      </c>
      <c r="C2875" t="str">
        <f>LEFT(Table4[[#This Row],[Policy Type]],1)</f>
        <v>1</v>
      </c>
    </row>
    <row r="2876" spans="1:3" x14ac:dyDescent="0.25">
      <c r="A2876">
        <v>191812</v>
      </c>
      <c r="B2876" t="s">
        <v>3</v>
      </c>
      <c r="C2876" t="str">
        <f>LEFT(Table4[[#This Row],[Policy Type]],1)</f>
        <v>2</v>
      </c>
    </row>
    <row r="2877" spans="1:3" x14ac:dyDescent="0.25">
      <c r="A2877">
        <v>192004</v>
      </c>
      <c r="B2877" t="s">
        <v>2</v>
      </c>
      <c r="C2877" t="str">
        <f>LEFT(Table4[[#This Row],[Policy Type]],1)</f>
        <v>1</v>
      </c>
    </row>
    <row r="2878" spans="1:3" x14ac:dyDescent="0.25">
      <c r="A2878">
        <v>192044</v>
      </c>
      <c r="B2878" t="s">
        <v>2</v>
      </c>
      <c r="C2878" t="str">
        <f>LEFT(Table4[[#This Row],[Policy Type]],1)</f>
        <v>1</v>
      </c>
    </row>
    <row r="2879" spans="1:3" x14ac:dyDescent="0.25">
      <c r="A2879">
        <v>192049</v>
      </c>
      <c r="B2879" t="s">
        <v>2</v>
      </c>
      <c r="C2879" t="str">
        <f>LEFT(Table4[[#This Row],[Policy Type]],1)</f>
        <v>1</v>
      </c>
    </row>
    <row r="2880" spans="1:3" x14ac:dyDescent="0.25">
      <c r="A2880">
        <v>192107</v>
      </c>
      <c r="B2880" t="s">
        <v>3</v>
      </c>
      <c r="C2880" t="str">
        <f>LEFT(Table4[[#This Row],[Policy Type]],1)</f>
        <v>2</v>
      </c>
    </row>
    <row r="2881" spans="1:3" x14ac:dyDescent="0.25">
      <c r="A2881">
        <v>192147</v>
      </c>
      <c r="B2881" t="s">
        <v>2</v>
      </c>
      <c r="C2881" t="str">
        <f>LEFT(Table4[[#This Row],[Policy Type]],1)</f>
        <v>1</v>
      </c>
    </row>
    <row r="2882" spans="1:3" x14ac:dyDescent="0.25">
      <c r="A2882">
        <v>192203</v>
      </c>
      <c r="B2882" t="s">
        <v>2</v>
      </c>
      <c r="C2882" t="str">
        <f>LEFT(Table4[[#This Row],[Policy Type]],1)</f>
        <v>1</v>
      </c>
    </row>
    <row r="2883" spans="1:3" x14ac:dyDescent="0.25">
      <c r="A2883">
        <v>192204</v>
      </c>
      <c r="B2883" t="s">
        <v>3</v>
      </c>
      <c r="C2883" t="str">
        <f>LEFT(Table4[[#This Row],[Policy Type]],1)</f>
        <v>2</v>
      </c>
    </row>
    <row r="2884" spans="1:3" x14ac:dyDescent="0.25">
      <c r="A2884">
        <v>192232</v>
      </c>
      <c r="B2884" t="s">
        <v>3</v>
      </c>
      <c r="C2884" t="str">
        <f>LEFT(Table4[[#This Row],[Policy Type]],1)</f>
        <v>2</v>
      </c>
    </row>
    <row r="2885" spans="1:3" x14ac:dyDescent="0.25">
      <c r="A2885">
        <v>192251</v>
      </c>
      <c r="B2885" t="s">
        <v>3</v>
      </c>
      <c r="C2885" t="str">
        <f>LEFT(Table4[[#This Row],[Policy Type]],1)</f>
        <v>2</v>
      </c>
    </row>
    <row r="2886" spans="1:3" x14ac:dyDescent="0.25">
      <c r="A2886">
        <v>192292</v>
      </c>
      <c r="B2886" t="s">
        <v>2</v>
      </c>
      <c r="C2886" t="str">
        <f>LEFT(Table4[[#This Row],[Policy Type]],1)</f>
        <v>1</v>
      </c>
    </row>
    <row r="2887" spans="1:3" x14ac:dyDescent="0.25">
      <c r="A2887">
        <v>192566</v>
      </c>
      <c r="B2887" t="s">
        <v>3</v>
      </c>
      <c r="C2887" t="str">
        <f>LEFT(Table4[[#This Row],[Policy Type]],1)</f>
        <v>2</v>
      </c>
    </row>
    <row r="2888" spans="1:3" x14ac:dyDescent="0.25">
      <c r="A2888">
        <v>192590</v>
      </c>
      <c r="B2888" t="s">
        <v>2</v>
      </c>
      <c r="C2888" t="str">
        <f>LEFT(Table4[[#This Row],[Policy Type]],1)</f>
        <v>1</v>
      </c>
    </row>
    <row r="2889" spans="1:3" x14ac:dyDescent="0.25">
      <c r="A2889">
        <v>192659</v>
      </c>
      <c r="B2889" t="s">
        <v>2</v>
      </c>
      <c r="C2889" t="str">
        <f>LEFT(Table4[[#This Row],[Policy Type]],1)</f>
        <v>1</v>
      </c>
    </row>
    <row r="2890" spans="1:3" x14ac:dyDescent="0.25">
      <c r="A2890">
        <v>192794</v>
      </c>
      <c r="B2890" t="s">
        <v>2</v>
      </c>
      <c r="C2890" t="str">
        <f>LEFT(Table4[[#This Row],[Policy Type]],1)</f>
        <v>1</v>
      </c>
    </row>
    <row r="2891" spans="1:3" x14ac:dyDescent="0.25">
      <c r="A2891">
        <v>192868</v>
      </c>
      <c r="B2891" t="s">
        <v>3</v>
      </c>
      <c r="C2891" t="str">
        <f>LEFT(Table4[[#This Row],[Policy Type]],1)</f>
        <v>2</v>
      </c>
    </row>
    <row r="2892" spans="1:3" x14ac:dyDescent="0.25">
      <c r="A2892">
        <v>192993</v>
      </c>
      <c r="B2892" t="s">
        <v>2</v>
      </c>
      <c r="C2892" t="str">
        <f>LEFT(Table4[[#This Row],[Policy Type]],1)</f>
        <v>1</v>
      </c>
    </row>
    <row r="2893" spans="1:3" x14ac:dyDescent="0.25">
      <c r="A2893">
        <v>193014</v>
      </c>
      <c r="B2893" t="s">
        <v>2</v>
      </c>
      <c r="C2893" t="str">
        <f>LEFT(Table4[[#This Row],[Policy Type]],1)</f>
        <v>1</v>
      </c>
    </row>
    <row r="2894" spans="1:3" x14ac:dyDescent="0.25">
      <c r="A2894">
        <v>193080</v>
      </c>
      <c r="B2894" t="s">
        <v>2</v>
      </c>
      <c r="C2894" t="str">
        <f>LEFT(Table4[[#This Row],[Policy Type]],1)</f>
        <v>1</v>
      </c>
    </row>
    <row r="2895" spans="1:3" x14ac:dyDescent="0.25">
      <c r="A2895">
        <v>193119</v>
      </c>
      <c r="B2895" t="s">
        <v>3</v>
      </c>
      <c r="C2895" t="str">
        <f>LEFT(Table4[[#This Row],[Policy Type]],1)</f>
        <v>2</v>
      </c>
    </row>
    <row r="2896" spans="1:3" x14ac:dyDescent="0.25">
      <c r="A2896">
        <v>193122</v>
      </c>
      <c r="B2896" t="s">
        <v>2</v>
      </c>
      <c r="C2896" t="str">
        <f>LEFT(Table4[[#This Row],[Policy Type]],1)</f>
        <v>1</v>
      </c>
    </row>
    <row r="2897" spans="1:3" x14ac:dyDescent="0.25">
      <c r="A2897">
        <v>193150</v>
      </c>
      <c r="B2897" t="s">
        <v>3</v>
      </c>
      <c r="C2897" t="str">
        <f>LEFT(Table4[[#This Row],[Policy Type]],1)</f>
        <v>2</v>
      </c>
    </row>
    <row r="2898" spans="1:3" x14ac:dyDescent="0.25">
      <c r="A2898">
        <v>193152</v>
      </c>
      <c r="B2898" t="s">
        <v>2</v>
      </c>
      <c r="C2898" t="str">
        <f>LEFT(Table4[[#This Row],[Policy Type]],1)</f>
        <v>1</v>
      </c>
    </row>
    <row r="2899" spans="1:3" x14ac:dyDescent="0.25">
      <c r="A2899">
        <v>193180</v>
      </c>
      <c r="B2899" t="s">
        <v>3</v>
      </c>
      <c r="C2899" t="str">
        <f>LEFT(Table4[[#This Row],[Policy Type]],1)</f>
        <v>2</v>
      </c>
    </row>
    <row r="2900" spans="1:3" x14ac:dyDescent="0.25">
      <c r="A2900">
        <v>193214</v>
      </c>
      <c r="B2900" t="s">
        <v>2</v>
      </c>
      <c r="C2900" t="str">
        <f>LEFT(Table4[[#This Row],[Policy Type]],1)</f>
        <v>1</v>
      </c>
    </row>
    <row r="2901" spans="1:3" x14ac:dyDescent="0.25">
      <c r="A2901">
        <v>193220</v>
      </c>
      <c r="B2901" t="s">
        <v>3</v>
      </c>
      <c r="C2901" t="str">
        <f>LEFT(Table4[[#This Row],[Policy Type]],1)</f>
        <v>2</v>
      </c>
    </row>
    <row r="2902" spans="1:3" x14ac:dyDescent="0.25">
      <c r="A2902">
        <v>193246</v>
      </c>
      <c r="B2902" t="s">
        <v>3</v>
      </c>
      <c r="C2902" t="str">
        <f>LEFT(Table4[[#This Row],[Policy Type]],1)</f>
        <v>2</v>
      </c>
    </row>
    <row r="2903" spans="1:3" x14ac:dyDescent="0.25">
      <c r="A2903">
        <v>193267</v>
      </c>
      <c r="B2903" t="s">
        <v>3</v>
      </c>
      <c r="C2903" t="str">
        <f>LEFT(Table4[[#This Row],[Policy Type]],1)</f>
        <v>2</v>
      </c>
    </row>
    <row r="2904" spans="1:3" x14ac:dyDescent="0.25">
      <c r="A2904">
        <v>193361</v>
      </c>
      <c r="B2904" t="s">
        <v>2</v>
      </c>
      <c r="C2904" t="str">
        <f>LEFT(Table4[[#This Row],[Policy Type]],1)</f>
        <v>1</v>
      </c>
    </row>
    <row r="2905" spans="1:3" x14ac:dyDescent="0.25">
      <c r="A2905">
        <v>193608</v>
      </c>
      <c r="B2905" t="s">
        <v>2</v>
      </c>
      <c r="C2905" t="str">
        <f>LEFT(Table4[[#This Row],[Policy Type]],1)</f>
        <v>1</v>
      </c>
    </row>
    <row r="2906" spans="1:3" x14ac:dyDescent="0.25">
      <c r="A2906">
        <v>193679</v>
      </c>
      <c r="B2906" t="s">
        <v>2</v>
      </c>
      <c r="C2906" t="str">
        <f>LEFT(Table4[[#This Row],[Policy Type]],1)</f>
        <v>1</v>
      </c>
    </row>
    <row r="2907" spans="1:3" x14ac:dyDescent="0.25">
      <c r="A2907">
        <v>193708</v>
      </c>
      <c r="B2907" t="s">
        <v>3</v>
      </c>
      <c r="C2907" t="str">
        <f>LEFT(Table4[[#This Row],[Policy Type]],1)</f>
        <v>2</v>
      </c>
    </row>
    <row r="2908" spans="1:3" x14ac:dyDescent="0.25">
      <c r="A2908">
        <v>193747</v>
      </c>
      <c r="B2908" t="s">
        <v>3</v>
      </c>
      <c r="C2908" t="str">
        <f>LEFT(Table4[[#This Row],[Policy Type]],1)</f>
        <v>2</v>
      </c>
    </row>
    <row r="2909" spans="1:3" x14ac:dyDescent="0.25">
      <c r="A2909">
        <v>193423</v>
      </c>
      <c r="B2909" t="s">
        <v>2</v>
      </c>
      <c r="C2909" t="str">
        <f>LEFT(Table4[[#This Row],[Policy Type]],1)</f>
        <v>1</v>
      </c>
    </row>
    <row r="2910" spans="1:3" x14ac:dyDescent="0.25">
      <c r="A2910">
        <v>193424</v>
      </c>
      <c r="B2910" t="s">
        <v>3</v>
      </c>
      <c r="C2910" t="str">
        <f>LEFT(Table4[[#This Row],[Policy Type]],1)</f>
        <v>2</v>
      </c>
    </row>
    <row r="2911" spans="1:3" x14ac:dyDescent="0.25">
      <c r="A2911">
        <v>193586</v>
      </c>
      <c r="B2911" t="s">
        <v>3</v>
      </c>
      <c r="C2911" t="str">
        <f>LEFT(Table4[[#This Row],[Policy Type]],1)</f>
        <v>2</v>
      </c>
    </row>
    <row r="2912" spans="1:3" x14ac:dyDescent="0.25">
      <c r="A2912">
        <v>193873</v>
      </c>
      <c r="B2912" t="s">
        <v>2</v>
      </c>
      <c r="C2912" t="str">
        <f>LEFT(Table4[[#This Row],[Policy Type]],1)</f>
        <v>1</v>
      </c>
    </row>
    <row r="2913" spans="1:3" x14ac:dyDescent="0.25">
      <c r="A2913">
        <v>193994</v>
      </c>
      <c r="B2913" t="s">
        <v>3</v>
      </c>
      <c r="C2913" t="str">
        <f>LEFT(Table4[[#This Row],[Policy Type]],1)</f>
        <v>2</v>
      </c>
    </row>
    <row r="2914" spans="1:3" x14ac:dyDescent="0.25">
      <c r="A2914">
        <v>194146</v>
      </c>
      <c r="B2914" t="s">
        <v>2</v>
      </c>
      <c r="C2914" t="str">
        <f>LEFT(Table4[[#This Row],[Policy Type]],1)</f>
        <v>1</v>
      </c>
    </row>
    <row r="2915" spans="1:3" x14ac:dyDescent="0.25">
      <c r="A2915">
        <v>194226</v>
      </c>
      <c r="B2915" t="s">
        <v>2</v>
      </c>
      <c r="C2915" t="str">
        <f>LEFT(Table4[[#This Row],[Policy Type]],1)</f>
        <v>1</v>
      </c>
    </row>
    <row r="2916" spans="1:3" x14ac:dyDescent="0.25">
      <c r="A2916">
        <v>194300</v>
      </c>
      <c r="B2916" t="s">
        <v>3</v>
      </c>
      <c r="C2916" t="str">
        <f>LEFT(Table4[[#This Row],[Policy Type]],1)</f>
        <v>2</v>
      </c>
    </row>
    <row r="2917" spans="1:3" x14ac:dyDescent="0.25">
      <c r="A2917">
        <v>194391</v>
      </c>
      <c r="B2917" t="s">
        <v>2</v>
      </c>
      <c r="C2917" t="str">
        <f>LEFT(Table4[[#This Row],[Policy Type]],1)</f>
        <v>1</v>
      </c>
    </row>
    <row r="2918" spans="1:3" x14ac:dyDescent="0.25">
      <c r="A2918">
        <v>194455</v>
      </c>
      <c r="B2918" t="s">
        <v>2</v>
      </c>
      <c r="C2918" t="str">
        <f>LEFT(Table4[[#This Row],[Policy Type]],1)</f>
        <v>1</v>
      </c>
    </row>
    <row r="2919" spans="1:3" x14ac:dyDescent="0.25">
      <c r="A2919">
        <v>194558</v>
      </c>
      <c r="B2919" t="s">
        <v>2</v>
      </c>
      <c r="C2919" t="str">
        <f>LEFT(Table4[[#This Row],[Policy Type]],1)</f>
        <v>1</v>
      </c>
    </row>
    <row r="2920" spans="1:3" x14ac:dyDescent="0.25">
      <c r="A2920">
        <v>194632</v>
      </c>
      <c r="B2920" t="s">
        <v>3</v>
      </c>
      <c r="C2920" t="str">
        <f>LEFT(Table4[[#This Row],[Policy Type]],1)</f>
        <v>2</v>
      </c>
    </row>
    <row r="2921" spans="1:3" x14ac:dyDescent="0.25">
      <c r="A2921">
        <v>194697</v>
      </c>
      <c r="B2921" t="s">
        <v>3</v>
      </c>
      <c r="C2921" t="str">
        <f>LEFT(Table4[[#This Row],[Policy Type]],1)</f>
        <v>2</v>
      </c>
    </row>
    <row r="2922" spans="1:3" x14ac:dyDescent="0.25">
      <c r="A2922">
        <v>194710</v>
      </c>
      <c r="B2922" t="s">
        <v>2</v>
      </c>
      <c r="C2922" t="str">
        <f>LEFT(Table4[[#This Row],[Policy Type]],1)</f>
        <v>1</v>
      </c>
    </row>
    <row r="2923" spans="1:3" x14ac:dyDescent="0.25">
      <c r="A2923">
        <v>194741</v>
      </c>
      <c r="B2923" t="s">
        <v>3</v>
      </c>
      <c r="C2923" t="str">
        <f>LEFT(Table4[[#This Row],[Policy Type]],1)</f>
        <v>2</v>
      </c>
    </row>
    <row r="2924" spans="1:3" x14ac:dyDescent="0.25">
      <c r="A2924">
        <v>194791</v>
      </c>
      <c r="B2924" t="s">
        <v>3</v>
      </c>
      <c r="C2924" t="str">
        <f>LEFT(Table4[[#This Row],[Policy Type]],1)</f>
        <v>2</v>
      </c>
    </row>
    <row r="2925" spans="1:3" x14ac:dyDescent="0.25">
      <c r="A2925">
        <v>194798</v>
      </c>
      <c r="B2925" t="s">
        <v>2</v>
      </c>
      <c r="C2925" t="str">
        <f>LEFT(Table4[[#This Row],[Policy Type]],1)</f>
        <v>1</v>
      </c>
    </row>
    <row r="2926" spans="1:3" x14ac:dyDescent="0.25">
      <c r="A2926">
        <v>194840</v>
      </c>
      <c r="B2926" t="s">
        <v>2</v>
      </c>
      <c r="C2926" t="str">
        <f>LEFT(Table4[[#This Row],[Policy Type]],1)</f>
        <v>1</v>
      </c>
    </row>
    <row r="2927" spans="1:3" x14ac:dyDescent="0.25">
      <c r="A2927">
        <v>194854</v>
      </c>
      <c r="B2927" t="s">
        <v>3</v>
      </c>
      <c r="C2927" t="str">
        <f>LEFT(Table4[[#This Row],[Policy Type]],1)</f>
        <v>2</v>
      </c>
    </row>
    <row r="2928" spans="1:3" x14ac:dyDescent="0.25">
      <c r="A2928">
        <v>194865</v>
      </c>
      <c r="B2928" t="s">
        <v>3</v>
      </c>
      <c r="C2928" t="str">
        <f>LEFT(Table4[[#This Row],[Policy Type]],1)</f>
        <v>2</v>
      </c>
    </row>
    <row r="2929" spans="1:3" x14ac:dyDescent="0.25">
      <c r="A2929">
        <v>194882</v>
      </c>
      <c r="B2929" t="s">
        <v>2</v>
      </c>
      <c r="C2929" t="str">
        <f>LEFT(Table4[[#This Row],[Policy Type]],1)</f>
        <v>1</v>
      </c>
    </row>
    <row r="2930" spans="1:3" x14ac:dyDescent="0.25">
      <c r="A2930">
        <v>194911</v>
      </c>
      <c r="B2930" t="s">
        <v>2</v>
      </c>
      <c r="C2930" t="str">
        <f>LEFT(Table4[[#This Row],[Policy Type]],1)</f>
        <v>1</v>
      </c>
    </row>
    <row r="2931" spans="1:3" x14ac:dyDescent="0.25">
      <c r="A2931">
        <v>194921</v>
      </c>
      <c r="B2931" t="s">
        <v>2</v>
      </c>
      <c r="C2931" t="str">
        <f>LEFT(Table4[[#This Row],[Policy Type]],1)</f>
        <v>1</v>
      </c>
    </row>
    <row r="2932" spans="1:3" x14ac:dyDescent="0.25">
      <c r="A2932">
        <v>194926</v>
      </c>
      <c r="B2932" t="s">
        <v>3</v>
      </c>
      <c r="C2932" t="str">
        <f>LEFT(Table4[[#This Row],[Policy Type]],1)</f>
        <v>2</v>
      </c>
    </row>
    <row r="2933" spans="1:3" x14ac:dyDescent="0.25">
      <c r="A2933">
        <v>194976</v>
      </c>
      <c r="B2933" t="s">
        <v>2</v>
      </c>
      <c r="C2933" t="str">
        <f>LEFT(Table4[[#This Row],[Policy Type]],1)</f>
        <v>1</v>
      </c>
    </row>
    <row r="2934" spans="1:3" x14ac:dyDescent="0.25">
      <c r="A2934">
        <v>195268</v>
      </c>
      <c r="B2934" t="s">
        <v>2</v>
      </c>
      <c r="C2934" t="str">
        <f>LEFT(Table4[[#This Row],[Policy Type]],1)</f>
        <v>1</v>
      </c>
    </row>
    <row r="2935" spans="1:3" x14ac:dyDescent="0.25">
      <c r="A2935">
        <v>195273</v>
      </c>
      <c r="B2935" t="s">
        <v>3</v>
      </c>
      <c r="C2935" t="str">
        <f>LEFT(Table4[[#This Row],[Policy Type]],1)</f>
        <v>2</v>
      </c>
    </row>
    <row r="2936" spans="1:3" x14ac:dyDescent="0.25">
      <c r="A2936">
        <v>195290</v>
      </c>
      <c r="B2936" t="s">
        <v>2</v>
      </c>
      <c r="C2936" t="str">
        <f>LEFT(Table4[[#This Row],[Policy Type]],1)</f>
        <v>1</v>
      </c>
    </row>
    <row r="2937" spans="1:3" x14ac:dyDescent="0.25">
      <c r="A2937">
        <v>195343</v>
      </c>
      <c r="B2937" t="s">
        <v>2</v>
      </c>
      <c r="C2937" t="str">
        <f>LEFT(Table4[[#This Row],[Policy Type]],1)</f>
        <v>1</v>
      </c>
    </row>
    <row r="2938" spans="1:3" x14ac:dyDescent="0.25">
      <c r="A2938">
        <v>195110</v>
      </c>
      <c r="B2938" t="s">
        <v>2</v>
      </c>
      <c r="C2938" t="str">
        <f>LEFT(Table4[[#This Row],[Policy Type]],1)</f>
        <v>1</v>
      </c>
    </row>
    <row r="2939" spans="1:3" x14ac:dyDescent="0.25">
      <c r="A2939">
        <v>195150</v>
      </c>
      <c r="B2939" t="s">
        <v>2</v>
      </c>
      <c r="C2939" t="str">
        <f>LEFT(Table4[[#This Row],[Policy Type]],1)</f>
        <v>1</v>
      </c>
    </row>
    <row r="2940" spans="1:3" x14ac:dyDescent="0.25">
      <c r="A2940">
        <v>195184</v>
      </c>
      <c r="B2940" t="s">
        <v>3</v>
      </c>
      <c r="C2940" t="str">
        <f>LEFT(Table4[[#This Row],[Policy Type]],1)</f>
        <v>2</v>
      </c>
    </row>
    <row r="2941" spans="1:3" x14ac:dyDescent="0.25">
      <c r="A2941">
        <v>195470</v>
      </c>
      <c r="B2941" t="s">
        <v>2</v>
      </c>
      <c r="C2941" t="str">
        <f>LEFT(Table4[[#This Row],[Policy Type]],1)</f>
        <v>1</v>
      </c>
    </row>
    <row r="2942" spans="1:3" x14ac:dyDescent="0.25">
      <c r="A2942">
        <v>195598</v>
      </c>
      <c r="B2942" t="s">
        <v>3</v>
      </c>
      <c r="C2942" t="str">
        <f>LEFT(Table4[[#This Row],[Policy Type]],1)</f>
        <v>2</v>
      </c>
    </row>
    <row r="2943" spans="1:3" x14ac:dyDescent="0.25">
      <c r="A2943">
        <v>195666</v>
      </c>
      <c r="B2943" t="s">
        <v>2</v>
      </c>
      <c r="C2943" t="str">
        <f>LEFT(Table4[[#This Row],[Policy Type]],1)</f>
        <v>1</v>
      </c>
    </row>
    <row r="2944" spans="1:3" x14ac:dyDescent="0.25">
      <c r="A2944">
        <v>195685</v>
      </c>
      <c r="B2944" t="s">
        <v>2</v>
      </c>
      <c r="C2944" t="str">
        <f>LEFT(Table4[[#This Row],[Policy Type]],1)</f>
        <v>1</v>
      </c>
    </row>
    <row r="2945" spans="1:3" x14ac:dyDescent="0.25">
      <c r="A2945">
        <v>195786</v>
      </c>
      <c r="B2945" t="s">
        <v>3</v>
      </c>
      <c r="C2945" t="str">
        <f>LEFT(Table4[[#This Row],[Policy Type]],1)</f>
        <v>2</v>
      </c>
    </row>
    <row r="2946" spans="1:3" x14ac:dyDescent="0.25">
      <c r="A2946">
        <v>195829</v>
      </c>
      <c r="B2946" t="s">
        <v>2</v>
      </c>
      <c r="C2946" t="str">
        <f>LEFT(Table4[[#This Row],[Policy Type]],1)</f>
        <v>1</v>
      </c>
    </row>
    <row r="2947" spans="1:3" x14ac:dyDescent="0.25">
      <c r="A2947">
        <v>195842</v>
      </c>
      <c r="B2947" t="s">
        <v>2</v>
      </c>
      <c r="C2947" t="str">
        <f>LEFT(Table4[[#This Row],[Policy Type]],1)</f>
        <v>1</v>
      </c>
    </row>
    <row r="2948" spans="1:3" x14ac:dyDescent="0.25">
      <c r="A2948">
        <v>195874</v>
      </c>
      <c r="B2948" t="s">
        <v>3</v>
      </c>
      <c r="C2948" t="str">
        <f>LEFT(Table4[[#This Row],[Policy Type]],1)</f>
        <v>2</v>
      </c>
    </row>
    <row r="2949" spans="1:3" x14ac:dyDescent="0.25">
      <c r="A2949">
        <v>195890</v>
      </c>
      <c r="B2949" t="s">
        <v>3</v>
      </c>
      <c r="C2949" t="str">
        <f>LEFT(Table4[[#This Row],[Policy Type]],1)</f>
        <v>2</v>
      </c>
    </row>
    <row r="2950" spans="1:3" x14ac:dyDescent="0.25">
      <c r="A2950">
        <v>195900</v>
      </c>
      <c r="B2950" t="s">
        <v>3</v>
      </c>
      <c r="C2950" t="str">
        <f>LEFT(Table4[[#This Row],[Policy Type]],1)</f>
        <v>2</v>
      </c>
    </row>
    <row r="2951" spans="1:3" x14ac:dyDescent="0.25">
      <c r="A2951">
        <v>195912</v>
      </c>
      <c r="B2951" t="s">
        <v>3</v>
      </c>
      <c r="C2951" t="str">
        <f>LEFT(Table4[[#This Row],[Policy Type]],1)</f>
        <v>2</v>
      </c>
    </row>
    <row r="2952" spans="1:3" x14ac:dyDescent="0.25">
      <c r="A2952">
        <v>195928</v>
      </c>
      <c r="B2952" t="s">
        <v>2</v>
      </c>
      <c r="C2952" t="str">
        <f>LEFT(Table4[[#This Row],[Policy Type]],1)</f>
        <v>1</v>
      </c>
    </row>
    <row r="2953" spans="1:3" x14ac:dyDescent="0.25">
      <c r="A2953">
        <v>195948</v>
      </c>
      <c r="B2953" t="s">
        <v>2</v>
      </c>
      <c r="C2953" t="str">
        <f>LEFT(Table4[[#This Row],[Policy Type]],1)</f>
        <v>1</v>
      </c>
    </row>
    <row r="2954" spans="1:3" x14ac:dyDescent="0.25">
      <c r="A2954">
        <v>196178</v>
      </c>
      <c r="B2954" t="s">
        <v>3</v>
      </c>
      <c r="C2954" t="str">
        <f>LEFT(Table4[[#This Row],[Policy Type]],1)</f>
        <v>2</v>
      </c>
    </row>
    <row r="2955" spans="1:3" x14ac:dyDescent="0.25">
      <c r="A2955">
        <v>196299</v>
      </c>
      <c r="B2955" t="s">
        <v>3</v>
      </c>
      <c r="C2955" t="str">
        <f>LEFT(Table4[[#This Row],[Policy Type]],1)</f>
        <v>2</v>
      </c>
    </row>
    <row r="2956" spans="1:3" x14ac:dyDescent="0.25">
      <c r="A2956">
        <v>196300</v>
      </c>
      <c r="B2956" t="s">
        <v>3</v>
      </c>
      <c r="C2956" t="str">
        <f>LEFT(Table4[[#This Row],[Policy Type]],1)</f>
        <v>2</v>
      </c>
    </row>
    <row r="2957" spans="1:3" x14ac:dyDescent="0.25">
      <c r="A2957">
        <v>196344</v>
      </c>
      <c r="B2957" t="s">
        <v>3</v>
      </c>
      <c r="C2957" t="str">
        <f>LEFT(Table4[[#This Row],[Policy Type]],1)</f>
        <v>2</v>
      </c>
    </row>
    <row r="2958" spans="1:3" x14ac:dyDescent="0.25">
      <c r="A2958">
        <v>196393</v>
      </c>
      <c r="B2958" t="s">
        <v>2</v>
      </c>
      <c r="C2958" t="str">
        <f>LEFT(Table4[[#This Row],[Policy Type]],1)</f>
        <v>1</v>
      </c>
    </row>
    <row r="2959" spans="1:3" x14ac:dyDescent="0.25">
      <c r="A2959">
        <v>196437</v>
      </c>
      <c r="B2959" t="s">
        <v>2</v>
      </c>
      <c r="C2959" t="str">
        <f>LEFT(Table4[[#This Row],[Policy Type]],1)</f>
        <v>1</v>
      </c>
    </row>
    <row r="2960" spans="1:3" x14ac:dyDescent="0.25">
      <c r="A2960">
        <v>196521</v>
      </c>
      <c r="B2960" t="s">
        <v>3</v>
      </c>
      <c r="C2960" t="str">
        <f>LEFT(Table4[[#This Row],[Policy Type]],1)</f>
        <v>2</v>
      </c>
    </row>
    <row r="2961" spans="1:3" x14ac:dyDescent="0.25">
      <c r="A2961">
        <v>196534</v>
      </c>
      <c r="B2961" t="s">
        <v>3</v>
      </c>
      <c r="C2961" t="str">
        <f>LEFT(Table4[[#This Row],[Policy Type]],1)</f>
        <v>2</v>
      </c>
    </row>
    <row r="2962" spans="1:3" x14ac:dyDescent="0.25">
      <c r="A2962">
        <v>196601</v>
      </c>
      <c r="B2962" t="s">
        <v>3</v>
      </c>
      <c r="C2962" t="str">
        <f>LEFT(Table4[[#This Row],[Policy Type]],1)</f>
        <v>2</v>
      </c>
    </row>
    <row r="2963" spans="1:3" x14ac:dyDescent="0.25">
      <c r="A2963">
        <v>196650</v>
      </c>
      <c r="B2963" t="s">
        <v>3</v>
      </c>
      <c r="C2963" t="str">
        <f>LEFT(Table4[[#This Row],[Policy Type]],1)</f>
        <v>2</v>
      </c>
    </row>
    <row r="2964" spans="1:3" x14ac:dyDescent="0.25">
      <c r="A2964">
        <v>196672</v>
      </c>
      <c r="B2964" t="s">
        <v>2</v>
      </c>
      <c r="C2964" t="str">
        <f>LEFT(Table4[[#This Row],[Policy Type]],1)</f>
        <v>1</v>
      </c>
    </row>
    <row r="2965" spans="1:3" x14ac:dyDescent="0.25">
      <c r="A2965">
        <v>196675</v>
      </c>
      <c r="B2965" t="s">
        <v>3</v>
      </c>
      <c r="C2965" t="str">
        <f>LEFT(Table4[[#This Row],[Policy Type]],1)</f>
        <v>2</v>
      </c>
    </row>
    <row r="2966" spans="1:3" x14ac:dyDescent="0.25">
      <c r="A2966">
        <v>196695</v>
      </c>
      <c r="B2966" t="s">
        <v>2</v>
      </c>
      <c r="C2966" t="str">
        <f>LEFT(Table4[[#This Row],[Policy Type]],1)</f>
        <v>1</v>
      </c>
    </row>
    <row r="2967" spans="1:3" x14ac:dyDescent="0.25">
      <c r="A2967">
        <v>196812</v>
      </c>
      <c r="B2967" t="s">
        <v>2</v>
      </c>
      <c r="C2967" t="str">
        <f>LEFT(Table4[[#This Row],[Policy Type]],1)</f>
        <v>1</v>
      </c>
    </row>
    <row r="2968" spans="1:3" x14ac:dyDescent="0.25">
      <c r="A2968">
        <v>196843</v>
      </c>
      <c r="B2968" t="s">
        <v>3</v>
      </c>
      <c r="C2968" t="str">
        <f>LEFT(Table4[[#This Row],[Policy Type]],1)</f>
        <v>2</v>
      </c>
    </row>
    <row r="2969" spans="1:3" x14ac:dyDescent="0.25">
      <c r="A2969">
        <v>196845</v>
      </c>
      <c r="B2969" t="s">
        <v>3</v>
      </c>
      <c r="C2969" t="str">
        <f>LEFT(Table4[[#This Row],[Policy Type]],1)</f>
        <v>2</v>
      </c>
    </row>
    <row r="2970" spans="1:3" x14ac:dyDescent="0.25">
      <c r="A2970">
        <v>196915</v>
      </c>
      <c r="B2970" t="s">
        <v>3</v>
      </c>
      <c r="C2970" t="str">
        <f>LEFT(Table4[[#This Row],[Policy Type]],1)</f>
        <v>2</v>
      </c>
    </row>
    <row r="2971" spans="1:3" x14ac:dyDescent="0.25">
      <c r="A2971">
        <v>197045</v>
      </c>
      <c r="B2971" t="s">
        <v>2</v>
      </c>
      <c r="C2971" t="str">
        <f>LEFT(Table4[[#This Row],[Policy Type]],1)</f>
        <v>1</v>
      </c>
    </row>
    <row r="2972" spans="1:3" x14ac:dyDescent="0.25">
      <c r="A2972">
        <v>197050</v>
      </c>
      <c r="B2972" t="s">
        <v>2</v>
      </c>
      <c r="C2972" t="str">
        <f>LEFT(Table4[[#This Row],[Policy Type]],1)</f>
        <v>1</v>
      </c>
    </row>
    <row r="2973" spans="1:3" x14ac:dyDescent="0.25">
      <c r="A2973">
        <v>197096</v>
      </c>
      <c r="B2973" t="s">
        <v>3</v>
      </c>
      <c r="C2973" t="str">
        <f>LEFT(Table4[[#This Row],[Policy Type]],1)</f>
        <v>2</v>
      </c>
    </row>
    <row r="2974" spans="1:3" x14ac:dyDescent="0.25">
      <c r="A2974">
        <v>197143</v>
      </c>
      <c r="B2974" t="s">
        <v>2</v>
      </c>
      <c r="C2974" t="str">
        <f>LEFT(Table4[[#This Row],[Policy Type]],1)</f>
        <v>1</v>
      </c>
    </row>
    <row r="2975" spans="1:3" x14ac:dyDescent="0.25">
      <c r="A2975">
        <v>197149</v>
      </c>
      <c r="B2975" t="s">
        <v>3</v>
      </c>
      <c r="C2975" t="str">
        <f>LEFT(Table4[[#This Row],[Policy Type]],1)</f>
        <v>2</v>
      </c>
    </row>
    <row r="2976" spans="1:3" x14ac:dyDescent="0.25">
      <c r="A2976">
        <v>197177</v>
      </c>
      <c r="B2976" t="s">
        <v>2</v>
      </c>
      <c r="C2976" t="str">
        <f>LEFT(Table4[[#This Row],[Policy Type]],1)</f>
        <v>1</v>
      </c>
    </row>
    <row r="2977" spans="1:3" x14ac:dyDescent="0.25">
      <c r="A2977">
        <v>197534</v>
      </c>
      <c r="B2977" t="s">
        <v>2</v>
      </c>
      <c r="C2977" t="str">
        <f>LEFT(Table4[[#This Row],[Policy Type]],1)</f>
        <v>1</v>
      </c>
    </row>
    <row r="2978" spans="1:3" x14ac:dyDescent="0.25">
      <c r="A2978">
        <v>197583</v>
      </c>
      <c r="B2978" t="s">
        <v>2</v>
      </c>
      <c r="C2978" t="str">
        <f>LEFT(Table4[[#This Row],[Policy Type]],1)</f>
        <v>1</v>
      </c>
    </row>
    <row r="2979" spans="1:3" x14ac:dyDescent="0.25">
      <c r="A2979">
        <v>197233</v>
      </c>
      <c r="B2979" t="s">
        <v>2</v>
      </c>
      <c r="C2979" t="str">
        <f>LEFT(Table4[[#This Row],[Policy Type]],1)</f>
        <v>1</v>
      </c>
    </row>
    <row r="2980" spans="1:3" x14ac:dyDescent="0.25">
      <c r="A2980">
        <v>197612</v>
      </c>
      <c r="B2980" t="s">
        <v>3</v>
      </c>
      <c r="C2980" t="str">
        <f>LEFT(Table4[[#This Row],[Policy Type]],1)</f>
        <v>2</v>
      </c>
    </row>
    <row r="2981" spans="1:3" x14ac:dyDescent="0.25">
      <c r="A2981">
        <v>197618</v>
      </c>
      <c r="B2981" t="s">
        <v>3</v>
      </c>
      <c r="C2981" t="str">
        <f>LEFT(Table4[[#This Row],[Policy Type]],1)</f>
        <v>2</v>
      </c>
    </row>
    <row r="2982" spans="1:3" x14ac:dyDescent="0.25">
      <c r="A2982">
        <v>197658</v>
      </c>
      <c r="B2982" t="s">
        <v>3</v>
      </c>
      <c r="C2982" t="str">
        <f>LEFT(Table4[[#This Row],[Policy Type]],1)</f>
        <v>2</v>
      </c>
    </row>
    <row r="2983" spans="1:3" x14ac:dyDescent="0.25">
      <c r="A2983">
        <v>197807</v>
      </c>
      <c r="B2983" t="s">
        <v>3</v>
      </c>
      <c r="C2983" t="str">
        <f>LEFT(Table4[[#This Row],[Policy Type]],1)</f>
        <v>2</v>
      </c>
    </row>
    <row r="2984" spans="1:3" x14ac:dyDescent="0.25">
      <c r="A2984">
        <v>197914</v>
      </c>
      <c r="B2984" t="s">
        <v>3</v>
      </c>
      <c r="C2984" t="str">
        <f>LEFT(Table4[[#This Row],[Policy Type]],1)</f>
        <v>2</v>
      </c>
    </row>
    <row r="2985" spans="1:3" x14ac:dyDescent="0.25">
      <c r="A2985">
        <v>197916</v>
      </c>
      <c r="B2985" t="s">
        <v>2</v>
      </c>
      <c r="C2985" t="str">
        <f>LEFT(Table4[[#This Row],[Policy Type]],1)</f>
        <v>1</v>
      </c>
    </row>
    <row r="2986" spans="1:3" x14ac:dyDescent="0.25">
      <c r="A2986">
        <v>197955</v>
      </c>
      <c r="B2986" t="s">
        <v>3</v>
      </c>
      <c r="C2986" t="str">
        <f>LEFT(Table4[[#This Row],[Policy Type]],1)</f>
        <v>2</v>
      </c>
    </row>
    <row r="2987" spans="1:3" x14ac:dyDescent="0.25">
      <c r="A2987">
        <v>197982</v>
      </c>
      <c r="B2987" t="s">
        <v>3</v>
      </c>
      <c r="C2987" t="str">
        <f>LEFT(Table4[[#This Row],[Policy Type]],1)</f>
        <v>2</v>
      </c>
    </row>
    <row r="2988" spans="1:3" x14ac:dyDescent="0.25">
      <c r="A2988">
        <v>198005</v>
      </c>
      <c r="B2988" t="s">
        <v>2</v>
      </c>
      <c r="C2988" t="str">
        <f>LEFT(Table4[[#This Row],[Policy Type]],1)</f>
        <v>1</v>
      </c>
    </row>
    <row r="2989" spans="1:3" x14ac:dyDescent="0.25">
      <c r="A2989">
        <v>198017</v>
      </c>
      <c r="B2989" t="s">
        <v>2</v>
      </c>
      <c r="C2989" t="str">
        <f>LEFT(Table4[[#This Row],[Policy Type]],1)</f>
        <v>1</v>
      </c>
    </row>
    <row r="2990" spans="1:3" x14ac:dyDescent="0.25">
      <c r="A2990">
        <v>198088</v>
      </c>
      <c r="B2990" t="s">
        <v>2</v>
      </c>
      <c r="C2990" t="str">
        <f>LEFT(Table4[[#This Row],[Policy Type]],1)</f>
        <v>1</v>
      </c>
    </row>
    <row r="2991" spans="1:3" x14ac:dyDescent="0.25">
      <c r="A2991">
        <v>198095</v>
      </c>
      <c r="B2991" t="s">
        <v>2</v>
      </c>
      <c r="C2991" t="str">
        <f>LEFT(Table4[[#This Row],[Policy Type]],1)</f>
        <v>1</v>
      </c>
    </row>
    <row r="2992" spans="1:3" x14ac:dyDescent="0.25">
      <c r="A2992">
        <v>198179</v>
      </c>
      <c r="B2992" t="s">
        <v>2</v>
      </c>
      <c r="C2992" t="str">
        <f>LEFT(Table4[[#This Row],[Policy Type]],1)</f>
        <v>1</v>
      </c>
    </row>
    <row r="2993" spans="1:3" x14ac:dyDescent="0.25">
      <c r="A2993">
        <v>198191</v>
      </c>
      <c r="B2993" t="s">
        <v>2</v>
      </c>
      <c r="C2993" t="str">
        <f>LEFT(Table4[[#This Row],[Policy Type]],1)</f>
        <v>1</v>
      </c>
    </row>
    <row r="2994" spans="1:3" x14ac:dyDescent="0.25">
      <c r="A2994">
        <v>198401</v>
      </c>
      <c r="B2994" t="s">
        <v>2</v>
      </c>
      <c r="C2994" t="str">
        <f>LEFT(Table4[[#This Row],[Policy Type]],1)</f>
        <v>1</v>
      </c>
    </row>
    <row r="2995" spans="1:3" x14ac:dyDescent="0.25">
      <c r="A2995">
        <v>198452</v>
      </c>
      <c r="B2995" t="s">
        <v>2</v>
      </c>
      <c r="C2995" t="str">
        <f>LEFT(Table4[[#This Row],[Policy Type]],1)</f>
        <v>1</v>
      </c>
    </row>
    <row r="2996" spans="1:3" x14ac:dyDescent="0.25">
      <c r="A2996">
        <v>198466</v>
      </c>
      <c r="B2996" t="s">
        <v>3</v>
      </c>
      <c r="C2996" t="str">
        <f>LEFT(Table4[[#This Row],[Policy Type]],1)</f>
        <v>2</v>
      </c>
    </row>
    <row r="2997" spans="1:3" x14ac:dyDescent="0.25">
      <c r="A2997">
        <v>198555</v>
      </c>
      <c r="B2997" t="s">
        <v>2</v>
      </c>
      <c r="C2997" t="str">
        <f>LEFT(Table4[[#This Row],[Policy Type]],1)</f>
        <v>1</v>
      </c>
    </row>
    <row r="2998" spans="1:3" x14ac:dyDescent="0.25">
      <c r="A2998">
        <v>198202</v>
      </c>
      <c r="B2998" t="s">
        <v>2</v>
      </c>
      <c r="C2998" t="str">
        <f>LEFT(Table4[[#This Row],[Policy Type]],1)</f>
        <v>1</v>
      </c>
    </row>
    <row r="2999" spans="1:3" x14ac:dyDescent="0.25">
      <c r="A2999">
        <v>198294</v>
      </c>
      <c r="B2999" t="s">
        <v>2</v>
      </c>
      <c r="C2999" t="str">
        <f>LEFT(Table4[[#This Row],[Policy Type]],1)</f>
        <v>1</v>
      </c>
    </row>
    <row r="3000" spans="1:3" x14ac:dyDescent="0.25">
      <c r="A3000">
        <v>198337</v>
      </c>
      <c r="B3000" t="s">
        <v>3</v>
      </c>
      <c r="C3000" t="str">
        <f>LEFT(Table4[[#This Row],[Policy Type]],1)</f>
        <v>2</v>
      </c>
    </row>
    <row r="3001" spans="1:3" x14ac:dyDescent="0.25">
      <c r="A3001">
        <v>198350</v>
      </c>
      <c r="B3001" t="s">
        <v>2</v>
      </c>
      <c r="C3001" t="str">
        <f>LEFT(Table4[[#This Row],[Policy Type]],1)</f>
        <v>1</v>
      </c>
    </row>
    <row r="3002" spans="1:3" x14ac:dyDescent="0.25">
      <c r="A3002">
        <v>198750</v>
      </c>
      <c r="B3002" t="s">
        <v>2</v>
      </c>
      <c r="C3002" t="str">
        <f>LEFT(Table4[[#This Row],[Policy Type]],1)</f>
        <v>1</v>
      </c>
    </row>
    <row r="3003" spans="1:3" x14ac:dyDescent="0.25">
      <c r="A3003">
        <v>198755</v>
      </c>
      <c r="B3003" t="s">
        <v>3</v>
      </c>
      <c r="C3003" t="str">
        <f>LEFT(Table4[[#This Row],[Policy Type]],1)</f>
        <v>2</v>
      </c>
    </row>
    <row r="3004" spans="1:3" x14ac:dyDescent="0.25">
      <c r="A3004">
        <v>198813</v>
      </c>
      <c r="B3004" t="s">
        <v>3</v>
      </c>
      <c r="C3004" t="str">
        <f>LEFT(Table4[[#This Row],[Policy Type]],1)</f>
        <v>2</v>
      </c>
    </row>
    <row r="3005" spans="1:3" x14ac:dyDescent="0.25">
      <c r="A3005">
        <v>198887</v>
      </c>
      <c r="B3005" t="s">
        <v>2</v>
      </c>
      <c r="C3005" t="str">
        <f>LEFT(Table4[[#This Row],[Policy Type]],1)</f>
        <v>1</v>
      </c>
    </row>
    <row r="3006" spans="1:3" x14ac:dyDescent="0.25">
      <c r="A3006">
        <v>199274</v>
      </c>
      <c r="B3006" t="s">
        <v>2</v>
      </c>
      <c r="C3006" t="str">
        <f>LEFT(Table4[[#This Row],[Policy Type]],1)</f>
        <v>1</v>
      </c>
    </row>
    <row r="3007" spans="1:3" x14ac:dyDescent="0.25">
      <c r="A3007">
        <v>199281</v>
      </c>
      <c r="B3007" t="s">
        <v>3</v>
      </c>
      <c r="C3007" t="str">
        <f>LEFT(Table4[[#This Row],[Policy Type]],1)</f>
        <v>2</v>
      </c>
    </row>
    <row r="3008" spans="1:3" x14ac:dyDescent="0.25">
      <c r="A3008">
        <v>199284</v>
      </c>
      <c r="B3008" t="s">
        <v>3</v>
      </c>
      <c r="C3008" t="str">
        <f>LEFT(Table4[[#This Row],[Policy Type]],1)</f>
        <v>2</v>
      </c>
    </row>
    <row r="3009" spans="1:3" x14ac:dyDescent="0.25">
      <c r="A3009">
        <v>199307</v>
      </c>
      <c r="B3009" t="s">
        <v>3</v>
      </c>
      <c r="C3009" t="str">
        <f>LEFT(Table4[[#This Row],[Policy Type]],1)</f>
        <v>2</v>
      </c>
    </row>
    <row r="3010" spans="1:3" x14ac:dyDescent="0.25">
      <c r="A3010">
        <v>199344</v>
      </c>
      <c r="B3010" t="s">
        <v>3</v>
      </c>
      <c r="C3010" t="str">
        <f>LEFT(Table4[[#This Row],[Policy Type]],1)</f>
        <v>2</v>
      </c>
    </row>
    <row r="3011" spans="1:3" x14ac:dyDescent="0.25">
      <c r="A3011">
        <v>199349</v>
      </c>
      <c r="B3011" t="s">
        <v>2</v>
      </c>
      <c r="C3011" t="str">
        <f>LEFT(Table4[[#This Row],[Policy Type]],1)</f>
        <v>1</v>
      </c>
    </row>
    <row r="3012" spans="1:3" x14ac:dyDescent="0.25">
      <c r="A3012">
        <v>199397</v>
      </c>
      <c r="B3012" t="s">
        <v>2</v>
      </c>
      <c r="C3012" t="str">
        <f>LEFT(Table4[[#This Row],[Policy Type]],1)</f>
        <v>1</v>
      </c>
    </row>
    <row r="3013" spans="1:3" x14ac:dyDescent="0.25">
      <c r="A3013">
        <v>199523</v>
      </c>
      <c r="B3013" t="s">
        <v>3</v>
      </c>
      <c r="C3013" t="str">
        <f>LEFT(Table4[[#This Row],[Policy Type]],1)</f>
        <v>2</v>
      </c>
    </row>
    <row r="3014" spans="1:3" x14ac:dyDescent="0.25">
      <c r="A3014">
        <v>199589</v>
      </c>
      <c r="B3014" t="s">
        <v>3</v>
      </c>
      <c r="C3014" t="str">
        <f>LEFT(Table4[[#This Row],[Policy Type]],1)</f>
        <v>2</v>
      </c>
    </row>
    <row r="3015" spans="1:3" x14ac:dyDescent="0.25">
      <c r="A3015">
        <v>199609</v>
      </c>
      <c r="B3015" t="s">
        <v>3</v>
      </c>
      <c r="C3015" t="str">
        <f>LEFT(Table4[[#This Row],[Policy Type]],1)</f>
        <v>2</v>
      </c>
    </row>
    <row r="3016" spans="1:3" x14ac:dyDescent="0.25">
      <c r="A3016">
        <v>199614</v>
      </c>
      <c r="B3016" t="s">
        <v>3</v>
      </c>
      <c r="C3016" t="str">
        <f>LEFT(Table4[[#This Row],[Policy Type]],1)</f>
        <v>2</v>
      </c>
    </row>
    <row r="3017" spans="1:3" x14ac:dyDescent="0.25">
      <c r="A3017">
        <v>199616</v>
      </c>
      <c r="B3017" t="s">
        <v>3</v>
      </c>
      <c r="C3017" t="str">
        <f>LEFT(Table4[[#This Row],[Policy Type]],1)</f>
        <v>2</v>
      </c>
    </row>
    <row r="3018" spans="1:3" x14ac:dyDescent="0.25">
      <c r="A3018">
        <v>199627</v>
      </c>
      <c r="B3018" t="s">
        <v>3</v>
      </c>
      <c r="C3018" t="str">
        <f>LEFT(Table4[[#This Row],[Policy Type]],1)</f>
        <v>2</v>
      </c>
    </row>
    <row r="3019" spans="1:3" x14ac:dyDescent="0.25">
      <c r="A3019">
        <v>199642</v>
      </c>
      <c r="B3019" t="s">
        <v>2</v>
      </c>
      <c r="C3019" t="str">
        <f>LEFT(Table4[[#This Row],[Policy Type]],1)</f>
        <v>1</v>
      </c>
    </row>
    <row r="3020" spans="1:3" x14ac:dyDescent="0.25">
      <c r="A3020">
        <v>199681</v>
      </c>
      <c r="B3020" t="s">
        <v>2</v>
      </c>
      <c r="C3020" t="str">
        <f>LEFT(Table4[[#This Row],[Policy Type]],1)</f>
        <v>1</v>
      </c>
    </row>
    <row r="3021" spans="1:3" x14ac:dyDescent="0.25">
      <c r="A3021">
        <v>199709</v>
      </c>
      <c r="B3021" t="s">
        <v>3</v>
      </c>
      <c r="C3021" t="str">
        <f>LEFT(Table4[[#This Row],[Policy Type]],1)</f>
        <v>2</v>
      </c>
    </row>
    <row r="3022" spans="1:3" x14ac:dyDescent="0.25">
      <c r="A3022">
        <v>199730</v>
      </c>
      <c r="B3022" t="s">
        <v>3</v>
      </c>
      <c r="C3022" t="str">
        <f>LEFT(Table4[[#This Row],[Policy Type]],1)</f>
        <v>2</v>
      </c>
    </row>
    <row r="3023" spans="1:3" x14ac:dyDescent="0.25">
      <c r="A3023">
        <v>199756</v>
      </c>
      <c r="B3023" t="s">
        <v>2</v>
      </c>
      <c r="C3023" t="str">
        <f>LEFT(Table4[[#This Row],[Policy Type]],1)</f>
        <v>1</v>
      </c>
    </row>
    <row r="3024" spans="1:3" x14ac:dyDescent="0.25">
      <c r="A3024">
        <v>199785</v>
      </c>
      <c r="B3024" t="s">
        <v>2</v>
      </c>
      <c r="C3024" t="str">
        <f>LEFT(Table4[[#This Row],[Policy Type]],1)</f>
        <v>1</v>
      </c>
    </row>
    <row r="3025" spans="1:3" x14ac:dyDescent="0.25">
      <c r="A3025">
        <v>199916</v>
      </c>
      <c r="B3025" t="s">
        <v>2</v>
      </c>
      <c r="C3025" t="str">
        <f>LEFT(Table4[[#This Row],[Policy Type]],1)</f>
        <v>1</v>
      </c>
    </row>
    <row r="3026" spans="1:3" x14ac:dyDescent="0.25">
      <c r="A3026">
        <v>199979</v>
      </c>
      <c r="B3026" t="s">
        <v>2</v>
      </c>
      <c r="C3026" t="str">
        <f>LEFT(Table4[[#This Row],[Policy Type]],1)</f>
        <v>1</v>
      </c>
    </row>
    <row r="3027" spans="1:3" x14ac:dyDescent="0.25">
      <c r="A3027">
        <v>199995</v>
      </c>
      <c r="B3027" t="s">
        <v>2</v>
      </c>
      <c r="C3027" t="str">
        <f>LEFT(Table4[[#This Row],[Policy Type]],1)</f>
        <v>1</v>
      </c>
    </row>
    <row r="3028" spans="1:3" x14ac:dyDescent="0.25">
      <c r="A3028">
        <v>200018</v>
      </c>
      <c r="B3028" t="s">
        <v>3</v>
      </c>
      <c r="C3028" t="str">
        <f>LEFT(Table4[[#This Row],[Policy Type]],1)</f>
        <v>2</v>
      </c>
    </row>
    <row r="3029" spans="1:3" x14ac:dyDescent="0.25">
      <c r="A3029">
        <v>200029</v>
      </c>
      <c r="B3029" t="s">
        <v>2</v>
      </c>
      <c r="C3029" t="str">
        <f>LEFT(Table4[[#This Row],[Policy Type]],1)</f>
        <v>1</v>
      </c>
    </row>
    <row r="3030" spans="1:3" x14ac:dyDescent="0.25">
      <c r="A3030">
        <v>200044</v>
      </c>
      <c r="B3030" t="s">
        <v>2</v>
      </c>
      <c r="C3030" t="str">
        <f>LEFT(Table4[[#This Row],[Policy Type]],1)</f>
        <v>1</v>
      </c>
    </row>
    <row r="3031" spans="1:3" x14ac:dyDescent="0.25">
      <c r="A3031">
        <v>200096</v>
      </c>
      <c r="B3031" t="s">
        <v>3</v>
      </c>
      <c r="C3031" t="str">
        <f>LEFT(Table4[[#This Row],[Policy Type]],1)</f>
        <v>2</v>
      </c>
    </row>
    <row r="3032" spans="1:3" x14ac:dyDescent="0.25">
      <c r="A3032">
        <v>200142</v>
      </c>
      <c r="B3032" t="s">
        <v>3</v>
      </c>
      <c r="C3032" t="str">
        <f>LEFT(Table4[[#This Row],[Policy Type]],1)</f>
        <v>2</v>
      </c>
    </row>
    <row r="3033" spans="1:3" x14ac:dyDescent="0.25">
      <c r="A3033">
        <v>200178</v>
      </c>
      <c r="B3033" t="s">
        <v>3</v>
      </c>
      <c r="C3033" t="str">
        <f>LEFT(Table4[[#This Row],[Policy Type]],1)</f>
        <v>2</v>
      </c>
    </row>
    <row r="3034" spans="1:3" x14ac:dyDescent="0.25">
      <c r="A3034">
        <v>200382</v>
      </c>
      <c r="B3034" t="s">
        <v>2</v>
      </c>
      <c r="C3034" t="str">
        <f>LEFT(Table4[[#This Row],[Policy Type]],1)</f>
        <v>1</v>
      </c>
    </row>
    <row r="3035" spans="1:3" x14ac:dyDescent="0.25">
      <c r="A3035">
        <v>200437</v>
      </c>
      <c r="B3035" t="s">
        <v>3</v>
      </c>
      <c r="C3035" t="str">
        <f>LEFT(Table4[[#This Row],[Policy Type]],1)</f>
        <v>2</v>
      </c>
    </row>
    <row r="3036" spans="1:3" x14ac:dyDescent="0.25">
      <c r="A3036">
        <v>200495</v>
      </c>
      <c r="B3036" t="s">
        <v>3</v>
      </c>
      <c r="C3036" t="str">
        <f>LEFT(Table4[[#This Row],[Policy Type]],1)</f>
        <v>2</v>
      </c>
    </row>
    <row r="3037" spans="1:3" x14ac:dyDescent="0.25">
      <c r="A3037">
        <v>200580</v>
      </c>
      <c r="B3037" t="s">
        <v>2</v>
      </c>
      <c r="C3037" t="str">
        <f>LEFT(Table4[[#This Row],[Policy Type]],1)</f>
        <v>1</v>
      </c>
    </row>
    <row r="3038" spans="1:3" x14ac:dyDescent="0.25">
      <c r="A3038">
        <v>200638</v>
      </c>
      <c r="B3038" t="s">
        <v>3</v>
      </c>
      <c r="C3038" t="str">
        <f>LEFT(Table4[[#This Row],[Policy Type]],1)</f>
        <v>2</v>
      </c>
    </row>
    <row r="3039" spans="1:3" x14ac:dyDescent="0.25">
      <c r="A3039">
        <v>200738</v>
      </c>
      <c r="B3039" t="s">
        <v>2</v>
      </c>
      <c r="C3039" t="str">
        <f>LEFT(Table4[[#This Row],[Policy Type]],1)</f>
        <v>1</v>
      </c>
    </row>
    <row r="3040" spans="1:3" x14ac:dyDescent="0.25">
      <c r="A3040">
        <v>200753</v>
      </c>
      <c r="B3040" t="s">
        <v>3</v>
      </c>
      <c r="C3040" t="str">
        <f>LEFT(Table4[[#This Row],[Policy Type]],1)</f>
        <v>2</v>
      </c>
    </row>
    <row r="3041" spans="1:3" x14ac:dyDescent="0.25">
      <c r="A3041">
        <v>200760</v>
      </c>
      <c r="B3041" t="s">
        <v>2</v>
      </c>
      <c r="C3041" t="str">
        <f>LEFT(Table4[[#This Row],[Policy Type]],1)</f>
        <v>1</v>
      </c>
    </row>
    <row r="3042" spans="1:3" x14ac:dyDescent="0.25">
      <c r="A3042">
        <v>200778</v>
      </c>
      <c r="B3042" t="s">
        <v>3</v>
      </c>
      <c r="C3042" t="str">
        <f>LEFT(Table4[[#This Row],[Policy Type]],1)</f>
        <v>2</v>
      </c>
    </row>
    <row r="3043" spans="1:3" x14ac:dyDescent="0.25">
      <c r="A3043">
        <v>200797</v>
      </c>
      <c r="B3043" t="s">
        <v>3</v>
      </c>
      <c r="C3043" t="str">
        <f>LEFT(Table4[[#This Row],[Policy Type]],1)</f>
        <v>2</v>
      </c>
    </row>
    <row r="3044" spans="1:3" x14ac:dyDescent="0.25">
      <c r="A3044">
        <v>200863</v>
      </c>
      <c r="B3044" t="s">
        <v>3</v>
      </c>
      <c r="C3044" t="str">
        <f>LEFT(Table4[[#This Row],[Policy Type]],1)</f>
        <v>2</v>
      </c>
    </row>
    <row r="3045" spans="1:3" x14ac:dyDescent="0.25">
      <c r="A3045">
        <v>200909</v>
      </c>
      <c r="B3045" t="s">
        <v>2</v>
      </c>
      <c r="C3045" t="str">
        <f>LEFT(Table4[[#This Row],[Policy Type]],1)</f>
        <v>1</v>
      </c>
    </row>
    <row r="3046" spans="1:3" x14ac:dyDescent="0.25">
      <c r="A3046">
        <v>200916</v>
      </c>
      <c r="B3046" t="s">
        <v>3</v>
      </c>
      <c r="C3046" t="str">
        <f>LEFT(Table4[[#This Row],[Policy Type]],1)</f>
        <v>2</v>
      </c>
    </row>
    <row r="3047" spans="1:3" x14ac:dyDescent="0.25">
      <c r="A3047">
        <v>200930</v>
      </c>
      <c r="B3047" t="s">
        <v>3</v>
      </c>
      <c r="C3047" t="str">
        <f>LEFT(Table4[[#This Row],[Policy Type]],1)</f>
        <v>2</v>
      </c>
    </row>
    <row r="3048" spans="1:3" x14ac:dyDescent="0.25">
      <c r="A3048">
        <v>201062</v>
      </c>
      <c r="B3048" t="s">
        <v>2</v>
      </c>
      <c r="C3048" t="str">
        <f>LEFT(Table4[[#This Row],[Policy Type]],1)</f>
        <v>1</v>
      </c>
    </row>
    <row r="3049" spans="1:3" x14ac:dyDescent="0.25">
      <c r="A3049">
        <v>201069</v>
      </c>
      <c r="B3049" t="s">
        <v>2</v>
      </c>
      <c r="C3049" t="str">
        <f>LEFT(Table4[[#This Row],[Policy Type]],1)</f>
        <v>1</v>
      </c>
    </row>
    <row r="3050" spans="1:3" x14ac:dyDescent="0.25">
      <c r="A3050">
        <v>201422</v>
      </c>
      <c r="B3050" t="s">
        <v>3</v>
      </c>
      <c r="C3050" t="str">
        <f>LEFT(Table4[[#This Row],[Policy Type]],1)</f>
        <v>2</v>
      </c>
    </row>
    <row r="3051" spans="1:3" x14ac:dyDescent="0.25">
      <c r="A3051">
        <v>201436</v>
      </c>
      <c r="B3051" t="s">
        <v>2</v>
      </c>
      <c r="C3051" t="str">
        <f>LEFT(Table4[[#This Row],[Policy Type]],1)</f>
        <v>1</v>
      </c>
    </row>
    <row r="3052" spans="1:3" x14ac:dyDescent="0.25">
      <c r="A3052">
        <v>201440</v>
      </c>
      <c r="B3052" t="s">
        <v>2</v>
      </c>
      <c r="C3052" t="str">
        <f>LEFT(Table4[[#This Row],[Policy Type]],1)</f>
        <v>1</v>
      </c>
    </row>
    <row r="3053" spans="1:3" x14ac:dyDescent="0.25">
      <c r="A3053">
        <v>201454</v>
      </c>
      <c r="B3053" t="s">
        <v>2</v>
      </c>
      <c r="C3053" t="str">
        <f>LEFT(Table4[[#This Row],[Policy Type]],1)</f>
        <v>1</v>
      </c>
    </row>
    <row r="3054" spans="1:3" x14ac:dyDescent="0.25">
      <c r="A3054">
        <v>201465</v>
      </c>
      <c r="B3054" t="s">
        <v>3</v>
      </c>
      <c r="C3054" t="str">
        <f>LEFT(Table4[[#This Row],[Policy Type]],1)</f>
        <v>2</v>
      </c>
    </row>
    <row r="3055" spans="1:3" x14ac:dyDescent="0.25">
      <c r="A3055">
        <v>201506</v>
      </c>
      <c r="B3055" t="s">
        <v>2</v>
      </c>
      <c r="C3055" t="str">
        <f>LEFT(Table4[[#This Row],[Policy Type]],1)</f>
        <v>1</v>
      </c>
    </row>
    <row r="3056" spans="1:3" x14ac:dyDescent="0.25">
      <c r="A3056">
        <v>201507</v>
      </c>
      <c r="B3056" t="s">
        <v>3</v>
      </c>
      <c r="C3056" t="str">
        <f>LEFT(Table4[[#This Row],[Policy Type]],1)</f>
        <v>2</v>
      </c>
    </row>
    <row r="3057" spans="1:3" x14ac:dyDescent="0.25">
      <c r="A3057">
        <v>201528</v>
      </c>
      <c r="B3057" t="s">
        <v>3</v>
      </c>
      <c r="C3057" t="str">
        <f>LEFT(Table4[[#This Row],[Policy Type]],1)</f>
        <v>2</v>
      </c>
    </row>
    <row r="3058" spans="1:3" x14ac:dyDescent="0.25">
      <c r="A3058">
        <v>201225</v>
      </c>
      <c r="B3058" t="s">
        <v>3</v>
      </c>
      <c r="C3058" t="str">
        <f>LEFT(Table4[[#This Row],[Policy Type]],1)</f>
        <v>2</v>
      </c>
    </row>
    <row r="3059" spans="1:3" x14ac:dyDescent="0.25">
      <c r="A3059">
        <v>201226</v>
      </c>
      <c r="B3059" t="s">
        <v>3</v>
      </c>
      <c r="C3059" t="str">
        <f>LEFT(Table4[[#This Row],[Policy Type]],1)</f>
        <v>2</v>
      </c>
    </row>
    <row r="3060" spans="1:3" x14ac:dyDescent="0.25">
      <c r="A3060">
        <v>201243</v>
      </c>
      <c r="B3060" t="s">
        <v>3</v>
      </c>
      <c r="C3060" t="str">
        <f>LEFT(Table4[[#This Row],[Policy Type]],1)</f>
        <v>2</v>
      </c>
    </row>
    <row r="3061" spans="1:3" x14ac:dyDescent="0.25">
      <c r="A3061">
        <v>201268</v>
      </c>
      <c r="B3061" t="s">
        <v>3</v>
      </c>
      <c r="C3061" t="str">
        <f>LEFT(Table4[[#This Row],[Policy Type]],1)</f>
        <v>2</v>
      </c>
    </row>
    <row r="3062" spans="1:3" x14ac:dyDescent="0.25">
      <c r="A3062">
        <v>201309</v>
      </c>
      <c r="B3062" t="s">
        <v>3</v>
      </c>
      <c r="C3062" t="str">
        <f>LEFT(Table4[[#This Row],[Policy Type]],1)</f>
        <v>2</v>
      </c>
    </row>
    <row r="3063" spans="1:3" x14ac:dyDescent="0.25">
      <c r="A3063">
        <v>201350</v>
      </c>
      <c r="B3063" t="s">
        <v>3</v>
      </c>
      <c r="C3063" t="str">
        <f>LEFT(Table4[[#This Row],[Policy Type]],1)</f>
        <v>2</v>
      </c>
    </row>
    <row r="3064" spans="1:3" x14ac:dyDescent="0.25">
      <c r="A3064">
        <v>201351</v>
      </c>
      <c r="B3064" t="s">
        <v>3</v>
      </c>
      <c r="C3064" t="str">
        <f>LEFT(Table4[[#This Row],[Policy Type]],1)</f>
        <v>2</v>
      </c>
    </row>
    <row r="3065" spans="1:3" x14ac:dyDescent="0.25">
      <c r="A3065">
        <v>201389</v>
      </c>
      <c r="B3065" t="s">
        <v>3</v>
      </c>
      <c r="C3065" t="str">
        <f>LEFT(Table4[[#This Row],[Policy Type]],1)</f>
        <v>2</v>
      </c>
    </row>
    <row r="3066" spans="1:3" x14ac:dyDescent="0.25">
      <c r="A3066">
        <v>201642</v>
      </c>
      <c r="B3066" t="s">
        <v>2</v>
      </c>
      <c r="C3066" t="str">
        <f>LEFT(Table4[[#This Row],[Policy Type]],1)</f>
        <v>1</v>
      </c>
    </row>
    <row r="3067" spans="1:3" x14ac:dyDescent="0.25">
      <c r="A3067">
        <v>201650</v>
      </c>
      <c r="B3067" t="s">
        <v>2</v>
      </c>
      <c r="C3067" t="str">
        <f>LEFT(Table4[[#This Row],[Policy Type]],1)</f>
        <v>1</v>
      </c>
    </row>
    <row r="3068" spans="1:3" x14ac:dyDescent="0.25">
      <c r="A3068">
        <v>201660</v>
      </c>
      <c r="B3068" t="s">
        <v>2</v>
      </c>
      <c r="C3068" t="str">
        <f>LEFT(Table4[[#This Row],[Policy Type]],1)</f>
        <v>1</v>
      </c>
    </row>
    <row r="3069" spans="1:3" x14ac:dyDescent="0.25">
      <c r="A3069">
        <v>201722</v>
      </c>
      <c r="B3069" t="s">
        <v>2</v>
      </c>
      <c r="C3069" t="str">
        <f>LEFT(Table4[[#This Row],[Policy Type]],1)</f>
        <v>1</v>
      </c>
    </row>
    <row r="3070" spans="1:3" x14ac:dyDescent="0.25">
      <c r="A3070">
        <v>201729</v>
      </c>
      <c r="B3070" t="s">
        <v>3</v>
      </c>
      <c r="C3070" t="str">
        <f>LEFT(Table4[[#This Row],[Policy Type]],1)</f>
        <v>2</v>
      </c>
    </row>
    <row r="3071" spans="1:3" x14ac:dyDescent="0.25">
      <c r="A3071">
        <v>201814</v>
      </c>
      <c r="B3071" t="s">
        <v>3</v>
      </c>
      <c r="C3071" t="str">
        <f>LEFT(Table4[[#This Row],[Policy Type]],1)</f>
        <v>2</v>
      </c>
    </row>
    <row r="3072" spans="1:3" x14ac:dyDescent="0.25">
      <c r="A3072">
        <v>201818</v>
      </c>
      <c r="B3072" t="s">
        <v>2</v>
      </c>
      <c r="C3072" t="str">
        <f>LEFT(Table4[[#This Row],[Policy Type]],1)</f>
        <v>1</v>
      </c>
    </row>
    <row r="3073" spans="1:3" x14ac:dyDescent="0.25">
      <c r="A3073">
        <v>201945</v>
      </c>
      <c r="B3073" t="s">
        <v>3</v>
      </c>
      <c r="C3073" t="str">
        <f>LEFT(Table4[[#This Row],[Policy Type]],1)</f>
        <v>2</v>
      </c>
    </row>
    <row r="3074" spans="1:3" x14ac:dyDescent="0.25">
      <c r="A3074">
        <v>202084</v>
      </c>
      <c r="B3074" t="s">
        <v>2</v>
      </c>
      <c r="C3074" t="str">
        <f>LEFT(Table4[[#This Row],[Policy Type]],1)</f>
        <v>1</v>
      </c>
    </row>
    <row r="3075" spans="1:3" x14ac:dyDescent="0.25">
      <c r="A3075">
        <v>202109</v>
      </c>
      <c r="B3075" t="s">
        <v>2</v>
      </c>
      <c r="C3075" t="str">
        <f>LEFT(Table4[[#This Row],[Policy Type]],1)</f>
        <v>1</v>
      </c>
    </row>
    <row r="3076" spans="1:3" x14ac:dyDescent="0.25">
      <c r="A3076">
        <v>202174</v>
      </c>
      <c r="B3076" t="s">
        <v>2</v>
      </c>
      <c r="C3076" t="str">
        <f>LEFT(Table4[[#This Row],[Policy Type]],1)</f>
        <v>1</v>
      </c>
    </row>
    <row r="3077" spans="1:3" x14ac:dyDescent="0.25">
      <c r="A3077">
        <v>202200</v>
      </c>
      <c r="B3077" t="s">
        <v>3</v>
      </c>
      <c r="C3077" t="str">
        <f>LEFT(Table4[[#This Row],[Policy Type]],1)</f>
        <v>2</v>
      </c>
    </row>
    <row r="3078" spans="1:3" x14ac:dyDescent="0.25">
      <c r="A3078">
        <v>202322</v>
      </c>
      <c r="B3078" t="s">
        <v>3</v>
      </c>
      <c r="C3078" t="str">
        <f>LEFT(Table4[[#This Row],[Policy Type]],1)</f>
        <v>2</v>
      </c>
    </row>
    <row r="3079" spans="1:3" x14ac:dyDescent="0.25">
      <c r="A3079">
        <v>202336</v>
      </c>
      <c r="B3079" t="s">
        <v>2</v>
      </c>
      <c r="C3079" t="str">
        <f>LEFT(Table4[[#This Row],[Policy Type]],1)</f>
        <v>1</v>
      </c>
    </row>
    <row r="3080" spans="1:3" x14ac:dyDescent="0.25">
      <c r="A3080">
        <v>202382</v>
      </c>
      <c r="B3080" t="s">
        <v>3</v>
      </c>
      <c r="C3080" t="str">
        <f>LEFT(Table4[[#This Row],[Policy Type]],1)</f>
        <v>2</v>
      </c>
    </row>
    <row r="3081" spans="1:3" x14ac:dyDescent="0.25">
      <c r="A3081">
        <v>202409</v>
      </c>
      <c r="B3081" t="s">
        <v>3</v>
      </c>
      <c r="C3081" t="str">
        <f>LEFT(Table4[[#This Row],[Policy Type]],1)</f>
        <v>2</v>
      </c>
    </row>
    <row r="3082" spans="1:3" x14ac:dyDescent="0.25">
      <c r="A3082">
        <v>202420</v>
      </c>
      <c r="B3082" t="s">
        <v>3</v>
      </c>
      <c r="C3082" t="str">
        <f>LEFT(Table4[[#This Row],[Policy Type]],1)</f>
        <v>2</v>
      </c>
    </row>
    <row r="3083" spans="1:3" x14ac:dyDescent="0.25">
      <c r="A3083">
        <v>202565</v>
      </c>
      <c r="B3083" t="s">
        <v>3</v>
      </c>
      <c r="C3083" t="str">
        <f>LEFT(Table4[[#This Row],[Policy Type]],1)</f>
        <v>2</v>
      </c>
    </row>
    <row r="3084" spans="1:3" x14ac:dyDescent="0.25">
      <c r="A3084">
        <v>202584</v>
      </c>
      <c r="B3084" t="s">
        <v>2</v>
      </c>
      <c r="C3084" t="str">
        <f>LEFT(Table4[[#This Row],[Policy Type]],1)</f>
        <v>1</v>
      </c>
    </row>
    <row r="3085" spans="1:3" x14ac:dyDescent="0.25">
      <c r="A3085">
        <v>202654</v>
      </c>
      <c r="B3085" t="s">
        <v>3</v>
      </c>
      <c r="C3085" t="str">
        <f>LEFT(Table4[[#This Row],[Policy Type]],1)</f>
        <v>2</v>
      </c>
    </row>
    <row r="3086" spans="1:3" x14ac:dyDescent="0.25">
      <c r="A3086">
        <v>202672</v>
      </c>
      <c r="B3086" t="s">
        <v>2</v>
      </c>
      <c r="C3086" t="str">
        <f>LEFT(Table4[[#This Row],[Policy Type]],1)</f>
        <v>1</v>
      </c>
    </row>
    <row r="3087" spans="1:3" x14ac:dyDescent="0.25">
      <c r="A3087">
        <v>202713</v>
      </c>
      <c r="B3087" t="s">
        <v>3</v>
      </c>
      <c r="C3087" t="str">
        <f>LEFT(Table4[[#This Row],[Policy Type]],1)</f>
        <v>2</v>
      </c>
    </row>
    <row r="3088" spans="1:3" x14ac:dyDescent="0.25">
      <c r="A3088">
        <v>202725</v>
      </c>
      <c r="B3088" t="s">
        <v>3</v>
      </c>
      <c r="C3088" t="str">
        <f>LEFT(Table4[[#This Row],[Policy Type]],1)</f>
        <v>2</v>
      </c>
    </row>
    <row r="3089" spans="1:3" x14ac:dyDescent="0.25">
      <c r="A3089">
        <v>202747</v>
      </c>
      <c r="B3089" t="s">
        <v>3</v>
      </c>
      <c r="C3089" t="str">
        <f>LEFT(Table4[[#This Row],[Policy Type]],1)</f>
        <v>2</v>
      </c>
    </row>
    <row r="3090" spans="1:3" x14ac:dyDescent="0.25">
      <c r="A3090">
        <v>202774</v>
      </c>
      <c r="B3090" t="s">
        <v>2</v>
      </c>
      <c r="C3090" t="str">
        <f>LEFT(Table4[[#This Row],[Policy Type]],1)</f>
        <v>1</v>
      </c>
    </row>
    <row r="3091" spans="1:3" x14ac:dyDescent="0.25">
      <c r="A3091">
        <v>202822</v>
      </c>
      <c r="B3091" t="s">
        <v>3</v>
      </c>
      <c r="C3091" t="str">
        <f>LEFT(Table4[[#This Row],[Policy Type]],1)</f>
        <v>2</v>
      </c>
    </row>
    <row r="3092" spans="1:3" x14ac:dyDescent="0.25">
      <c r="A3092">
        <v>202839</v>
      </c>
      <c r="B3092" t="s">
        <v>2</v>
      </c>
      <c r="C3092" t="str">
        <f>LEFT(Table4[[#This Row],[Policy Type]],1)</f>
        <v>1</v>
      </c>
    </row>
    <row r="3093" spans="1:3" x14ac:dyDescent="0.25">
      <c r="A3093">
        <v>202870</v>
      </c>
      <c r="B3093" t="s">
        <v>3</v>
      </c>
      <c r="C3093" t="str">
        <f>LEFT(Table4[[#This Row],[Policy Type]],1)</f>
        <v>2</v>
      </c>
    </row>
    <row r="3094" spans="1:3" x14ac:dyDescent="0.25">
      <c r="A3094">
        <v>202933</v>
      </c>
      <c r="B3094" t="s">
        <v>2</v>
      </c>
      <c r="C3094" t="str">
        <f>LEFT(Table4[[#This Row],[Policy Type]],1)</f>
        <v>1</v>
      </c>
    </row>
    <row r="3095" spans="1:3" x14ac:dyDescent="0.25">
      <c r="A3095">
        <v>203004</v>
      </c>
      <c r="B3095" t="s">
        <v>2</v>
      </c>
      <c r="C3095" t="str">
        <f>LEFT(Table4[[#This Row],[Policy Type]],1)</f>
        <v>1</v>
      </c>
    </row>
    <row r="3096" spans="1:3" x14ac:dyDescent="0.25">
      <c r="A3096">
        <v>203075</v>
      </c>
      <c r="B3096" t="s">
        <v>2</v>
      </c>
      <c r="C3096" t="str">
        <f>LEFT(Table4[[#This Row],[Policy Type]],1)</f>
        <v>1</v>
      </c>
    </row>
    <row r="3097" spans="1:3" x14ac:dyDescent="0.25">
      <c r="A3097">
        <v>203078</v>
      </c>
      <c r="B3097" t="s">
        <v>3</v>
      </c>
      <c r="C3097" t="str">
        <f>LEFT(Table4[[#This Row],[Policy Type]],1)</f>
        <v>2</v>
      </c>
    </row>
    <row r="3098" spans="1:3" x14ac:dyDescent="0.25">
      <c r="A3098">
        <v>203091</v>
      </c>
      <c r="B3098" t="s">
        <v>3</v>
      </c>
      <c r="C3098" t="str">
        <f>LEFT(Table4[[#This Row],[Policy Type]],1)</f>
        <v>2</v>
      </c>
    </row>
    <row r="3099" spans="1:3" x14ac:dyDescent="0.25">
      <c r="A3099">
        <v>203129</v>
      </c>
      <c r="B3099" t="s">
        <v>3</v>
      </c>
      <c r="C3099" t="str">
        <f>LEFT(Table4[[#This Row],[Policy Type]],1)</f>
        <v>2</v>
      </c>
    </row>
    <row r="3100" spans="1:3" x14ac:dyDescent="0.25">
      <c r="A3100">
        <v>203189</v>
      </c>
      <c r="B3100" t="s">
        <v>3</v>
      </c>
      <c r="C3100" t="str">
        <f>LEFT(Table4[[#This Row],[Policy Type]],1)</f>
        <v>2</v>
      </c>
    </row>
    <row r="3101" spans="1:3" x14ac:dyDescent="0.25">
      <c r="A3101">
        <v>203241</v>
      </c>
      <c r="B3101" t="s">
        <v>3</v>
      </c>
      <c r="C3101" t="str">
        <f>LEFT(Table4[[#This Row],[Policy Type]],1)</f>
        <v>2</v>
      </c>
    </row>
    <row r="3102" spans="1:3" x14ac:dyDescent="0.25">
      <c r="A3102">
        <v>203348</v>
      </c>
      <c r="B3102" t="s">
        <v>2</v>
      </c>
      <c r="C3102" t="str">
        <f>LEFT(Table4[[#This Row],[Policy Type]],1)</f>
        <v>1</v>
      </c>
    </row>
    <row r="3103" spans="1:3" x14ac:dyDescent="0.25">
      <c r="A3103">
        <v>203368</v>
      </c>
      <c r="B3103" t="s">
        <v>2</v>
      </c>
      <c r="C3103" t="str">
        <f>LEFT(Table4[[#This Row],[Policy Type]],1)</f>
        <v>1</v>
      </c>
    </row>
    <row r="3104" spans="1:3" x14ac:dyDescent="0.25">
      <c r="A3104">
        <v>203415</v>
      </c>
      <c r="B3104" t="s">
        <v>3</v>
      </c>
      <c r="C3104" t="str">
        <f>LEFT(Table4[[#This Row],[Policy Type]],1)</f>
        <v>2</v>
      </c>
    </row>
    <row r="3105" spans="1:3" x14ac:dyDescent="0.25">
      <c r="A3105">
        <v>203424</v>
      </c>
      <c r="B3105" t="s">
        <v>3</v>
      </c>
      <c r="C3105" t="str">
        <f>LEFT(Table4[[#This Row],[Policy Type]],1)</f>
        <v>2</v>
      </c>
    </row>
    <row r="3106" spans="1:3" x14ac:dyDescent="0.25">
      <c r="A3106">
        <v>203428</v>
      </c>
      <c r="B3106" t="s">
        <v>3</v>
      </c>
      <c r="C3106" t="str">
        <f>LEFT(Table4[[#This Row],[Policy Type]],1)</f>
        <v>2</v>
      </c>
    </row>
    <row r="3107" spans="1:3" x14ac:dyDescent="0.25">
      <c r="A3107">
        <v>203445</v>
      </c>
      <c r="B3107" t="s">
        <v>3</v>
      </c>
      <c r="C3107" t="str">
        <f>LEFT(Table4[[#This Row],[Policy Type]],1)</f>
        <v>2</v>
      </c>
    </row>
    <row r="3108" spans="1:3" x14ac:dyDescent="0.25">
      <c r="A3108">
        <v>203504</v>
      </c>
      <c r="B3108" t="s">
        <v>3</v>
      </c>
      <c r="C3108" t="str">
        <f>LEFT(Table4[[#This Row],[Policy Type]],1)</f>
        <v>2</v>
      </c>
    </row>
    <row r="3109" spans="1:3" x14ac:dyDescent="0.25">
      <c r="A3109">
        <v>203524</v>
      </c>
      <c r="B3109" t="s">
        <v>2</v>
      </c>
      <c r="C3109" t="str">
        <f>LEFT(Table4[[#This Row],[Policy Type]],1)</f>
        <v>1</v>
      </c>
    </row>
    <row r="3110" spans="1:3" x14ac:dyDescent="0.25">
      <c r="A3110">
        <v>203629</v>
      </c>
      <c r="B3110" t="s">
        <v>3</v>
      </c>
      <c r="C3110" t="str">
        <f>LEFT(Table4[[#This Row],[Policy Type]],1)</f>
        <v>2</v>
      </c>
    </row>
    <row r="3111" spans="1:3" x14ac:dyDescent="0.25">
      <c r="A3111">
        <v>203638</v>
      </c>
      <c r="B3111" t="s">
        <v>3</v>
      </c>
      <c r="C3111" t="str">
        <f>LEFT(Table4[[#This Row],[Policy Type]],1)</f>
        <v>2</v>
      </c>
    </row>
    <row r="3112" spans="1:3" x14ac:dyDescent="0.25">
      <c r="A3112">
        <v>203674</v>
      </c>
      <c r="B3112" t="s">
        <v>2</v>
      </c>
      <c r="C3112" t="str">
        <f>LEFT(Table4[[#This Row],[Policy Type]],1)</f>
        <v>1</v>
      </c>
    </row>
    <row r="3113" spans="1:3" x14ac:dyDescent="0.25">
      <c r="A3113">
        <v>203678</v>
      </c>
      <c r="B3113" t="s">
        <v>2</v>
      </c>
      <c r="C3113" t="str">
        <f>LEFT(Table4[[#This Row],[Policy Type]],1)</f>
        <v>1</v>
      </c>
    </row>
    <row r="3114" spans="1:3" x14ac:dyDescent="0.25">
      <c r="A3114">
        <v>203782</v>
      </c>
      <c r="B3114" t="s">
        <v>2</v>
      </c>
      <c r="C3114" t="str">
        <f>LEFT(Table4[[#This Row],[Policy Type]],1)</f>
        <v>1</v>
      </c>
    </row>
    <row r="3115" spans="1:3" x14ac:dyDescent="0.25">
      <c r="A3115">
        <v>203784</v>
      </c>
      <c r="B3115" t="s">
        <v>3</v>
      </c>
      <c r="C3115" t="str">
        <f>LEFT(Table4[[#This Row],[Policy Type]],1)</f>
        <v>2</v>
      </c>
    </row>
    <row r="3116" spans="1:3" x14ac:dyDescent="0.25">
      <c r="A3116">
        <v>203816</v>
      </c>
      <c r="B3116" t="s">
        <v>3</v>
      </c>
      <c r="C3116" t="str">
        <f>LEFT(Table4[[#This Row],[Policy Type]],1)</f>
        <v>2</v>
      </c>
    </row>
    <row r="3117" spans="1:3" x14ac:dyDescent="0.25">
      <c r="A3117">
        <v>203937</v>
      </c>
      <c r="B3117" t="s">
        <v>2</v>
      </c>
      <c r="C3117" t="str">
        <f>LEFT(Table4[[#This Row],[Policy Type]],1)</f>
        <v>1</v>
      </c>
    </row>
    <row r="3118" spans="1:3" x14ac:dyDescent="0.25">
      <c r="A3118">
        <v>203992</v>
      </c>
      <c r="B3118" t="s">
        <v>2</v>
      </c>
      <c r="C3118" t="str">
        <f>LEFT(Table4[[#This Row],[Policy Type]],1)</f>
        <v>1</v>
      </c>
    </row>
    <row r="3119" spans="1:3" x14ac:dyDescent="0.25">
      <c r="A3119">
        <v>204022</v>
      </c>
      <c r="B3119" t="s">
        <v>3</v>
      </c>
      <c r="C3119" t="str">
        <f>LEFT(Table4[[#This Row],[Policy Type]],1)</f>
        <v>2</v>
      </c>
    </row>
    <row r="3120" spans="1:3" x14ac:dyDescent="0.25">
      <c r="A3120">
        <v>204060</v>
      </c>
      <c r="B3120" t="s">
        <v>2</v>
      </c>
      <c r="C3120" t="str">
        <f>LEFT(Table4[[#This Row],[Policy Type]],1)</f>
        <v>1</v>
      </c>
    </row>
    <row r="3121" spans="1:3" x14ac:dyDescent="0.25">
      <c r="A3121">
        <v>204110</v>
      </c>
      <c r="B3121" t="s">
        <v>3</v>
      </c>
      <c r="C3121" t="str">
        <f>LEFT(Table4[[#This Row],[Policy Type]],1)</f>
        <v>2</v>
      </c>
    </row>
    <row r="3122" spans="1:3" x14ac:dyDescent="0.25">
      <c r="A3122">
        <v>204116</v>
      </c>
      <c r="B3122" t="s">
        <v>2</v>
      </c>
      <c r="C3122" t="str">
        <f>LEFT(Table4[[#This Row],[Policy Type]],1)</f>
        <v>1</v>
      </c>
    </row>
    <row r="3123" spans="1:3" x14ac:dyDescent="0.25">
      <c r="A3123">
        <v>204119</v>
      </c>
      <c r="B3123" t="s">
        <v>3</v>
      </c>
      <c r="C3123" t="str">
        <f>LEFT(Table4[[#This Row],[Policy Type]],1)</f>
        <v>2</v>
      </c>
    </row>
    <row r="3124" spans="1:3" x14ac:dyDescent="0.25">
      <c r="A3124">
        <v>204156</v>
      </c>
      <c r="B3124" t="s">
        <v>3</v>
      </c>
      <c r="C3124" t="str">
        <f>LEFT(Table4[[#This Row],[Policy Type]],1)</f>
        <v>2</v>
      </c>
    </row>
    <row r="3125" spans="1:3" x14ac:dyDescent="0.25">
      <c r="A3125">
        <v>204166</v>
      </c>
      <c r="B3125" t="s">
        <v>2</v>
      </c>
      <c r="C3125" t="str">
        <f>LEFT(Table4[[#This Row],[Policy Type]],1)</f>
        <v>1</v>
      </c>
    </row>
    <row r="3126" spans="1:3" x14ac:dyDescent="0.25">
      <c r="A3126">
        <v>204181</v>
      </c>
      <c r="B3126" t="s">
        <v>2</v>
      </c>
      <c r="C3126" t="str">
        <f>LEFT(Table4[[#This Row],[Policy Type]],1)</f>
        <v>1</v>
      </c>
    </row>
    <row r="3127" spans="1:3" x14ac:dyDescent="0.25">
      <c r="A3127">
        <v>204440</v>
      </c>
      <c r="B3127" t="s">
        <v>2</v>
      </c>
      <c r="C3127" t="str">
        <f>LEFT(Table4[[#This Row],[Policy Type]],1)</f>
        <v>1</v>
      </c>
    </row>
    <row r="3128" spans="1:3" x14ac:dyDescent="0.25">
      <c r="A3128">
        <v>204450</v>
      </c>
      <c r="B3128" t="s">
        <v>2</v>
      </c>
      <c r="C3128" t="str">
        <f>LEFT(Table4[[#This Row],[Policy Type]],1)</f>
        <v>1</v>
      </c>
    </row>
    <row r="3129" spans="1:3" x14ac:dyDescent="0.25">
      <c r="A3129">
        <v>204504</v>
      </c>
      <c r="B3129" t="s">
        <v>3</v>
      </c>
      <c r="C3129" t="str">
        <f>LEFT(Table4[[#This Row],[Policy Type]],1)</f>
        <v>2</v>
      </c>
    </row>
    <row r="3130" spans="1:3" x14ac:dyDescent="0.25">
      <c r="A3130">
        <v>204516</v>
      </c>
      <c r="B3130" t="s">
        <v>2</v>
      </c>
      <c r="C3130" t="str">
        <f>LEFT(Table4[[#This Row],[Policy Type]],1)</f>
        <v>1</v>
      </c>
    </row>
    <row r="3131" spans="1:3" x14ac:dyDescent="0.25">
      <c r="A3131">
        <v>204582</v>
      </c>
      <c r="B3131" t="s">
        <v>2</v>
      </c>
      <c r="C3131" t="str">
        <f>LEFT(Table4[[#This Row],[Policy Type]],1)</f>
        <v>1</v>
      </c>
    </row>
    <row r="3132" spans="1:3" x14ac:dyDescent="0.25">
      <c r="A3132">
        <v>204592</v>
      </c>
      <c r="B3132" t="s">
        <v>2</v>
      </c>
      <c r="C3132" t="str">
        <f>LEFT(Table4[[#This Row],[Policy Type]],1)</f>
        <v>1</v>
      </c>
    </row>
    <row r="3133" spans="1:3" x14ac:dyDescent="0.25">
      <c r="A3133">
        <v>204247</v>
      </c>
      <c r="B3133" t="s">
        <v>3</v>
      </c>
      <c r="C3133" t="str">
        <f>LEFT(Table4[[#This Row],[Policy Type]],1)</f>
        <v>2</v>
      </c>
    </row>
    <row r="3134" spans="1:3" x14ac:dyDescent="0.25">
      <c r="A3134">
        <v>204383</v>
      </c>
      <c r="B3134" t="s">
        <v>3</v>
      </c>
      <c r="C3134" t="str">
        <f>LEFT(Table4[[#This Row],[Policy Type]],1)</f>
        <v>2</v>
      </c>
    </row>
    <row r="3135" spans="1:3" x14ac:dyDescent="0.25">
      <c r="A3135">
        <v>204384</v>
      </c>
      <c r="B3135" t="s">
        <v>2</v>
      </c>
      <c r="C3135" t="str">
        <f>LEFT(Table4[[#This Row],[Policy Type]],1)</f>
        <v>1</v>
      </c>
    </row>
    <row r="3136" spans="1:3" x14ac:dyDescent="0.25">
      <c r="A3136">
        <v>204386</v>
      </c>
      <c r="B3136" t="s">
        <v>3</v>
      </c>
      <c r="C3136" t="str">
        <f>LEFT(Table4[[#This Row],[Policy Type]],1)</f>
        <v>2</v>
      </c>
    </row>
    <row r="3137" spans="1:3" x14ac:dyDescent="0.25">
      <c r="A3137">
        <v>204726</v>
      </c>
      <c r="B3137" t="s">
        <v>2</v>
      </c>
      <c r="C3137" t="str">
        <f>LEFT(Table4[[#This Row],[Policy Type]],1)</f>
        <v>1</v>
      </c>
    </row>
    <row r="3138" spans="1:3" x14ac:dyDescent="0.25">
      <c r="A3138">
        <v>204730</v>
      </c>
      <c r="B3138" t="s">
        <v>2</v>
      </c>
      <c r="C3138" t="str">
        <f>LEFT(Table4[[#This Row],[Policy Type]],1)</f>
        <v>1</v>
      </c>
    </row>
    <row r="3139" spans="1:3" x14ac:dyDescent="0.25">
      <c r="A3139">
        <v>204779</v>
      </c>
      <c r="B3139" t="s">
        <v>3</v>
      </c>
      <c r="C3139" t="str">
        <f>LEFT(Table4[[#This Row],[Policy Type]],1)</f>
        <v>2</v>
      </c>
    </row>
    <row r="3140" spans="1:3" x14ac:dyDescent="0.25">
      <c r="A3140">
        <v>204867</v>
      </c>
      <c r="B3140" t="s">
        <v>2</v>
      </c>
      <c r="C3140" t="str">
        <f>LEFT(Table4[[#This Row],[Policy Type]],1)</f>
        <v>1</v>
      </c>
    </row>
    <row r="3141" spans="1:3" x14ac:dyDescent="0.25">
      <c r="A3141">
        <v>204883</v>
      </c>
      <c r="B3141" t="s">
        <v>3</v>
      </c>
      <c r="C3141" t="str">
        <f>LEFT(Table4[[#This Row],[Policy Type]],1)</f>
        <v>2</v>
      </c>
    </row>
    <row r="3142" spans="1:3" x14ac:dyDescent="0.25">
      <c r="A3142">
        <v>204900</v>
      </c>
      <c r="B3142" t="s">
        <v>2</v>
      </c>
      <c r="C3142" t="str">
        <f>LEFT(Table4[[#This Row],[Policy Type]],1)</f>
        <v>1</v>
      </c>
    </row>
    <row r="3143" spans="1:3" x14ac:dyDescent="0.25">
      <c r="A3143">
        <v>204903</v>
      </c>
      <c r="B3143" t="s">
        <v>3</v>
      </c>
      <c r="C3143" t="str">
        <f>LEFT(Table4[[#This Row],[Policy Type]],1)</f>
        <v>2</v>
      </c>
    </row>
    <row r="3144" spans="1:3" x14ac:dyDescent="0.25">
      <c r="A3144">
        <v>204911</v>
      </c>
      <c r="B3144" t="s">
        <v>2</v>
      </c>
      <c r="C3144" t="str">
        <f>LEFT(Table4[[#This Row],[Policy Type]],1)</f>
        <v>1</v>
      </c>
    </row>
    <row r="3145" spans="1:3" x14ac:dyDescent="0.25">
      <c r="A3145">
        <v>204921</v>
      </c>
      <c r="B3145" t="s">
        <v>2</v>
      </c>
      <c r="C3145" t="str">
        <f>LEFT(Table4[[#This Row],[Policy Type]],1)</f>
        <v>1</v>
      </c>
    </row>
    <row r="3146" spans="1:3" x14ac:dyDescent="0.25">
      <c r="A3146">
        <v>204979</v>
      </c>
      <c r="B3146" t="s">
        <v>3</v>
      </c>
      <c r="C3146" t="str">
        <f>LEFT(Table4[[#This Row],[Policy Type]],1)</f>
        <v>2</v>
      </c>
    </row>
    <row r="3147" spans="1:3" x14ac:dyDescent="0.25">
      <c r="A3147">
        <v>204982</v>
      </c>
      <c r="B3147" t="s">
        <v>3</v>
      </c>
      <c r="C3147" t="str">
        <f>LEFT(Table4[[#This Row],[Policy Type]],1)</f>
        <v>2</v>
      </c>
    </row>
    <row r="3148" spans="1:3" x14ac:dyDescent="0.25">
      <c r="A3148">
        <v>204987</v>
      </c>
      <c r="B3148" t="s">
        <v>3</v>
      </c>
      <c r="C3148" t="str">
        <f>LEFT(Table4[[#This Row],[Policy Type]],1)</f>
        <v>2</v>
      </c>
    </row>
    <row r="3149" spans="1:3" x14ac:dyDescent="0.25">
      <c r="A3149">
        <v>204996</v>
      </c>
      <c r="B3149" t="s">
        <v>3</v>
      </c>
      <c r="C3149" t="str">
        <f>LEFT(Table4[[#This Row],[Policy Type]],1)</f>
        <v>2</v>
      </c>
    </row>
    <row r="3150" spans="1:3" x14ac:dyDescent="0.25">
      <c r="A3150">
        <v>205046</v>
      </c>
      <c r="B3150" t="s">
        <v>2</v>
      </c>
      <c r="C3150" t="str">
        <f>LEFT(Table4[[#This Row],[Policy Type]],1)</f>
        <v>1</v>
      </c>
    </row>
    <row r="3151" spans="1:3" x14ac:dyDescent="0.25">
      <c r="A3151">
        <v>205098</v>
      </c>
      <c r="B3151" t="s">
        <v>2</v>
      </c>
      <c r="C3151" t="str">
        <f>LEFT(Table4[[#This Row],[Policy Type]],1)</f>
        <v>1</v>
      </c>
    </row>
    <row r="3152" spans="1:3" x14ac:dyDescent="0.25">
      <c r="A3152">
        <v>205114</v>
      </c>
      <c r="B3152" t="s">
        <v>2</v>
      </c>
      <c r="C3152" t="str">
        <f>LEFT(Table4[[#This Row],[Policy Type]],1)</f>
        <v>1</v>
      </c>
    </row>
    <row r="3153" spans="1:3" x14ac:dyDescent="0.25">
      <c r="A3153">
        <v>205175</v>
      </c>
      <c r="B3153" t="s">
        <v>3</v>
      </c>
      <c r="C3153" t="str">
        <f>LEFT(Table4[[#This Row],[Policy Type]],1)</f>
        <v>2</v>
      </c>
    </row>
    <row r="3154" spans="1:3" x14ac:dyDescent="0.25">
      <c r="A3154">
        <v>205203</v>
      </c>
      <c r="B3154" t="s">
        <v>3</v>
      </c>
      <c r="C3154" t="str">
        <f>LEFT(Table4[[#This Row],[Policy Type]],1)</f>
        <v>2</v>
      </c>
    </row>
    <row r="3155" spans="1:3" x14ac:dyDescent="0.25">
      <c r="A3155">
        <v>205280</v>
      </c>
      <c r="B3155" t="s">
        <v>3</v>
      </c>
      <c r="C3155" t="str">
        <f>LEFT(Table4[[#This Row],[Policy Type]],1)</f>
        <v>2</v>
      </c>
    </row>
    <row r="3156" spans="1:3" x14ac:dyDescent="0.25">
      <c r="A3156">
        <v>205283</v>
      </c>
      <c r="B3156" t="s">
        <v>3</v>
      </c>
      <c r="C3156" t="str">
        <f>LEFT(Table4[[#This Row],[Policy Type]],1)</f>
        <v>2</v>
      </c>
    </row>
    <row r="3157" spans="1:3" x14ac:dyDescent="0.25">
      <c r="A3157">
        <v>205297</v>
      </c>
      <c r="B3157" t="s">
        <v>3</v>
      </c>
      <c r="C3157" t="str">
        <f>LEFT(Table4[[#This Row],[Policy Type]],1)</f>
        <v>2</v>
      </c>
    </row>
    <row r="3158" spans="1:3" x14ac:dyDescent="0.25">
      <c r="A3158">
        <v>205423</v>
      </c>
      <c r="B3158" t="s">
        <v>3</v>
      </c>
      <c r="C3158" t="str">
        <f>LEFT(Table4[[#This Row],[Policy Type]],1)</f>
        <v>2</v>
      </c>
    </row>
    <row r="3159" spans="1:3" x14ac:dyDescent="0.25">
      <c r="A3159">
        <v>205960</v>
      </c>
      <c r="B3159" t="s">
        <v>3</v>
      </c>
      <c r="C3159" t="str">
        <f>LEFT(Table4[[#This Row],[Policy Type]],1)</f>
        <v>2</v>
      </c>
    </row>
    <row r="3160" spans="1:3" x14ac:dyDescent="0.25">
      <c r="A3160">
        <v>205636</v>
      </c>
      <c r="B3160" t="s">
        <v>3</v>
      </c>
      <c r="C3160" t="str">
        <f>LEFT(Table4[[#This Row],[Policy Type]],1)</f>
        <v>2</v>
      </c>
    </row>
    <row r="3161" spans="1:3" x14ac:dyDescent="0.25">
      <c r="A3161">
        <v>205699</v>
      </c>
      <c r="B3161" t="s">
        <v>3</v>
      </c>
      <c r="C3161" t="str">
        <f>LEFT(Table4[[#This Row],[Policy Type]],1)</f>
        <v>2</v>
      </c>
    </row>
    <row r="3162" spans="1:3" x14ac:dyDescent="0.25">
      <c r="A3162">
        <v>205713</v>
      </c>
      <c r="B3162" t="s">
        <v>3</v>
      </c>
      <c r="C3162" t="str">
        <f>LEFT(Table4[[#This Row],[Policy Type]],1)</f>
        <v>2</v>
      </c>
    </row>
    <row r="3163" spans="1:3" x14ac:dyDescent="0.25">
      <c r="A3163">
        <v>205735</v>
      </c>
      <c r="B3163" t="s">
        <v>3</v>
      </c>
      <c r="C3163" t="str">
        <f>LEFT(Table4[[#This Row],[Policy Type]],1)</f>
        <v>2</v>
      </c>
    </row>
    <row r="3164" spans="1:3" x14ac:dyDescent="0.25">
      <c r="A3164">
        <v>205746</v>
      </c>
      <c r="B3164" t="s">
        <v>2</v>
      </c>
      <c r="C3164" t="str">
        <f>LEFT(Table4[[#This Row],[Policy Type]],1)</f>
        <v>1</v>
      </c>
    </row>
    <row r="3165" spans="1:3" x14ac:dyDescent="0.25">
      <c r="A3165">
        <v>205748</v>
      </c>
      <c r="B3165" t="s">
        <v>2</v>
      </c>
      <c r="C3165" t="str">
        <f>LEFT(Table4[[#This Row],[Policy Type]],1)</f>
        <v>1</v>
      </c>
    </row>
    <row r="3166" spans="1:3" x14ac:dyDescent="0.25">
      <c r="A3166">
        <v>206242</v>
      </c>
      <c r="B3166" t="s">
        <v>2</v>
      </c>
      <c r="C3166" t="str">
        <f>LEFT(Table4[[#This Row],[Policy Type]],1)</f>
        <v>1</v>
      </c>
    </row>
    <row r="3167" spans="1:3" x14ac:dyDescent="0.25">
      <c r="A3167">
        <v>206275</v>
      </c>
      <c r="B3167" t="s">
        <v>3</v>
      </c>
      <c r="C3167" t="str">
        <f>LEFT(Table4[[#This Row],[Policy Type]],1)</f>
        <v>2</v>
      </c>
    </row>
    <row r="3168" spans="1:3" x14ac:dyDescent="0.25">
      <c r="A3168">
        <v>206136</v>
      </c>
      <c r="B3168" t="s">
        <v>3</v>
      </c>
      <c r="C3168" t="str">
        <f>LEFT(Table4[[#This Row],[Policy Type]],1)</f>
        <v>2</v>
      </c>
    </row>
    <row r="3169" spans="1:3" x14ac:dyDescent="0.25">
      <c r="A3169">
        <v>206173</v>
      </c>
      <c r="B3169" t="s">
        <v>3</v>
      </c>
      <c r="C3169" t="str">
        <f>LEFT(Table4[[#This Row],[Policy Type]],1)</f>
        <v>2</v>
      </c>
    </row>
    <row r="3170" spans="1:3" x14ac:dyDescent="0.25">
      <c r="A3170">
        <v>206530</v>
      </c>
      <c r="B3170" t="s">
        <v>3</v>
      </c>
      <c r="C3170" t="str">
        <f>LEFT(Table4[[#This Row],[Policy Type]],1)</f>
        <v>2</v>
      </c>
    </row>
    <row r="3171" spans="1:3" x14ac:dyDescent="0.25">
      <c r="A3171">
        <v>206547</v>
      </c>
      <c r="B3171" t="s">
        <v>2</v>
      </c>
      <c r="C3171" t="str">
        <f>LEFT(Table4[[#This Row],[Policy Type]],1)</f>
        <v>1</v>
      </c>
    </row>
    <row r="3172" spans="1:3" x14ac:dyDescent="0.25">
      <c r="A3172">
        <v>206589</v>
      </c>
      <c r="B3172" t="s">
        <v>2</v>
      </c>
      <c r="C3172" t="str">
        <f>LEFT(Table4[[#This Row],[Policy Type]],1)</f>
        <v>1</v>
      </c>
    </row>
    <row r="3173" spans="1:3" x14ac:dyDescent="0.25">
      <c r="A3173">
        <v>206684</v>
      </c>
      <c r="B3173" t="s">
        <v>2</v>
      </c>
      <c r="C3173" t="str">
        <f>LEFT(Table4[[#This Row],[Policy Type]],1)</f>
        <v>1</v>
      </c>
    </row>
    <row r="3174" spans="1:3" x14ac:dyDescent="0.25">
      <c r="A3174">
        <v>206727</v>
      </c>
      <c r="B3174" t="s">
        <v>2</v>
      </c>
      <c r="C3174" t="str">
        <f>LEFT(Table4[[#This Row],[Policy Type]],1)</f>
        <v>1</v>
      </c>
    </row>
    <row r="3175" spans="1:3" x14ac:dyDescent="0.25">
      <c r="A3175">
        <v>206773</v>
      </c>
      <c r="B3175" t="s">
        <v>3</v>
      </c>
      <c r="C3175" t="str">
        <f>LEFT(Table4[[#This Row],[Policy Type]],1)</f>
        <v>2</v>
      </c>
    </row>
    <row r="3176" spans="1:3" x14ac:dyDescent="0.25">
      <c r="A3176">
        <v>207012</v>
      </c>
      <c r="B3176" t="s">
        <v>2</v>
      </c>
      <c r="C3176" t="str">
        <f>LEFT(Table4[[#This Row],[Policy Type]],1)</f>
        <v>1</v>
      </c>
    </row>
    <row r="3177" spans="1:3" x14ac:dyDescent="0.25">
      <c r="A3177">
        <v>207024</v>
      </c>
      <c r="B3177" t="s">
        <v>2</v>
      </c>
      <c r="C3177" t="str">
        <f>LEFT(Table4[[#This Row],[Policy Type]],1)</f>
        <v>1</v>
      </c>
    </row>
    <row r="3178" spans="1:3" x14ac:dyDescent="0.25">
      <c r="A3178">
        <v>207046</v>
      </c>
      <c r="B3178" t="s">
        <v>3</v>
      </c>
      <c r="C3178" t="str">
        <f>LEFT(Table4[[#This Row],[Policy Type]],1)</f>
        <v>2</v>
      </c>
    </row>
    <row r="3179" spans="1:3" x14ac:dyDescent="0.25">
      <c r="A3179">
        <v>207193</v>
      </c>
      <c r="B3179" t="s">
        <v>3</v>
      </c>
      <c r="C3179" t="str">
        <f>LEFT(Table4[[#This Row],[Policy Type]],1)</f>
        <v>2</v>
      </c>
    </row>
    <row r="3180" spans="1:3" x14ac:dyDescent="0.25">
      <c r="A3180">
        <v>207197</v>
      </c>
      <c r="B3180" t="s">
        <v>2</v>
      </c>
      <c r="C3180" t="str">
        <f>LEFT(Table4[[#This Row],[Policy Type]],1)</f>
        <v>1</v>
      </c>
    </row>
    <row r="3181" spans="1:3" x14ac:dyDescent="0.25">
      <c r="A3181">
        <v>206806</v>
      </c>
      <c r="B3181" t="s">
        <v>2</v>
      </c>
      <c r="C3181" t="str">
        <f>LEFT(Table4[[#This Row],[Policy Type]],1)</f>
        <v>1</v>
      </c>
    </row>
    <row r="3182" spans="1:3" x14ac:dyDescent="0.25">
      <c r="A3182">
        <v>206884</v>
      </c>
      <c r="B3182" t="s">
        <v>2</v>
      </c>
      <c r="C3182" t="str">
        <f>LEFT(Table4[[#This Row],[Policy Type]],1)</f>
        <v>1</v>
      </c>
    </row>
    <row r="3183" spans="1:3" x14ac:dyDescent="0.25">
      <c r="A3183">
        <v>206909</v>
      </c>
      <c r="B3183" t="s">
        <v>3</v>
      </c>
      <c r="C3183" t="str">
        <f>LEFT(Table4[[#This Row],[Policy Type]],1)</f>
        <v>2</v>
      </c>
    </row>
    <row r="3184" spans="1:3" x14ac:dyDescent="0.25">
      <c r="A3184">
        <v>207245</v>
      </c>
      <c r="B3184" t="s">
        <v>3</v>
      </c>
      <c r="C3184" t="str">
        <f>LEFT(Table4[[#This Row],[Policy Type]],1)</f>
        <v>2</v>
      </c>
    </row>
    <row r="3185" spans="1:3" x14ac:dyDescent="0.25">
      <c r="A3185">
        <v>207261</v>
      </c>
      <c r="B3185" t="s">
        <v>3</v>
      </c>
      <c r="C3185" t="str">
        <f>LEFT(Table4[[#This Row],[Policy Type]],1)</f>
        <v>2</v>
      </c>
    </row>
    <row r="3186" spans="1:3" x14ac:dyDescent="0.25">
      <c r="A3186">
        <v>207262</v>
      </c>
      <c r="B3186" t="s">
        <v>3</v>
      </c>
      <c r="C3186" t="str">
        <f>LEFT(Table4[[#This Row],[Policy Type]],1)</f>
        <v>2</v>
      </c>
    </row>
    <row r="3187" spans="1:3" x14ac:dyDescent="0.25">
      <c r="A3187">
        <v>207286</v>
      </c>
      <c r="B3187" t="s">
        <v>3</v>
      </c>
      <c r="C3187" t="str">
        <f>LEFT(Table4[[#This Row],[Policy Type]],1)</f>
        <v>2</v>
      </c>
    </row>
    <row r="3188" spans="1:3" x14ac:dyDescent="0.25">
      <c r="A3188">
        <v>207397</v>
      </c>
      <c r="B3188" t="s">
        <v>3</v>
      </c>
      <c r="C3188" t="str">
        <f>LEFT(Table4[[#This Row],[Policy Type]],1)</f>
        <v>2</v>
      </c>
    </row>
    <row r="3189" spans="1:3" x14ac:dyDescent="0.25">
      <c r="A3189">
        <v>207459</v>
      </c>
      <c r="B3189" t="s">
        <v>2</v>
      </c>
      <c r="C3189" t="str">
        <f>LEFT(Table4[[#This Row],[Policy Type]],1)</f>
        <v>1</v>
      </c>
    </row>
    <row r="3190" spans="1:3" x14ac:dyDescent="0.25">
      <c r="A3190">
        <v>207460</v>
      </c>
      <c r="B3190" t="s">
        <v>3</v>
      </c>
      <c r="C3190" t="str">
        <f>LEFT(Table4[[#This Row],[Policy Type]],1)</f>
        <v>2</v>
      </c>
    </row>
    <row r="3191" spans="1:3" x14ac:dyDescent="0.25">
      <c r="A3191">
        <v>207543</v>
      </c>
      <c r="B3191" t="s">
        <v>2</v>
      </c>
      <c r="C3191" t="str">
        <f>LEFT(Table4[[#This Row],[Policy Type]],1)</f>
        <v>1</v>
      </c>
    </row>
    <row r="3192" spans="1:3" x14ac:dyDescent="0.25">
      <c r="A3192">
        <v>207558</v>
      </c>
      <c r="B3192" t="s">
        <v>3</v>
      </c>
      <c r="C3192" t="str">
        <f>LEFT(Table4[[#This Row],[Policy Type]],1)</f>
        <v>2</v>
      </c>
    </row>
    <row r="3193" spans="1:3" x14ac:dyDescent="0.25">
      <c r="A3193">
        <v>207587</v>
      </c>
      <c r="B3193" t="s">
        <v>2</v>
      </c>
      <c r="C3193" t="str">
        <f>LEFT(Table4[[#This Row],[Policy Type]],1)</f>
        <v>1</v>
      </c>
    </row>
    <row r="3194" spans="1:3" x14ac:dyDescent="0.25">
      <c r="A3194">
        <v>207679</v>
      </c>
      <c r="B3194" t="s">
        <v>3</v>
      </c>
      <c r="C3194" t="str">
        <f>LEFT(Table4[[#This Row],[Policy Type]],1)</f>
        <v>2</v>
      </c>
    </row>
    <row r="3195" spans="1:3" x14ac:dyDescent="0.25">
      <c r="A3195">
        <v>207686</v>
      </c>
      <c r="B3195" t="s">
        <v>3</v>
      </c>
      <c r="C3195" t="str">
        <f>LEFT(Table4[[#This Row],[Policy Type]],1)</f>
        <v>2</v>
      </c>
    </row>
    <row r="3196" spans="1:3" x14ac:dyDescent="0.25">
      <c r="A3196">
        <v>207700</v>
      </c>
      <c r="B3196" t="s">
        <v>3</v>
      </c>
      <c r="C3196" t="str">
        <f>LEFT(Table4[[#This Row],[Policy Type]],1)</f>
        <v>2</v>
      </c>
    </row>
    <row r="3197" spans="1:3" x14ac:dyDescent="0.25">
      <c r="A3197">
        <v>207710</v>
      </c>
      <c r="B3197" t="s">
        <v>3</v>
      </c>
      <c r="C3197" t="str">
        <f>LEFT(Table4[[#This Row],[Policy Type]],1)</f>
        <v>2</v>
      </c>
    </row>
    <row r="3198" spans="1:3" x14ac:dyDescent="0.25">
      <c r="A3198">
        <v>207773</v>
      </c>
      <c r="B3198" t="s">
        <v>3</v>
      </c>
      <c r="C3198" t="str">
        <f>LEFT(Table4[[#This Row],[Policy Type]],1)</f>
        <v>2</v>
      </c>
    </row>
    <row r="3199" spans="1:3" x14ac:dyDescent="0.25">
      <c r="A3199">
        <v>207777</v>
      </c>
      <c r="B3199" t="s">
        <v>3</v>
      </c>
      <c r="C3199" t="str">
        <f>LEFT(Table4[[#This Row],[Policy Type]],1)</f>
        <v>2</v>
      </c>
    </row>
    <row r="3200" spans="1:3" x14ac:dyDescent="0.25">
      <c r="A3200">
        <v>207786</v>
      </c>
      <c r="B3200" t="s">
        <v>2</v>
      </c>
      <c r="C3200" t="str">
        <f>LEFT(Table4[[#This Row],[Policy Type]],1)</f>
        <v>1</v>
      </c>
    </row>
    <row r="3201" spans="1:3" x14ac:dyDescent="0.25">
      <c r="A3201">
        <v>207854</v>
      </c>
      <c r="B3201" t="s">
        <v>3</v>
      </c>
      <c r="C3201" t="str">
        <f>LEFT(Table4[[#This Row],[Policy Type]],1)</f>
        <v>2</v>
      </c>
    </row>
    <row r="3202" spans="1:3" x14ac:dyDescent="0.25">
      <c r="A3202">
        <v>208000</v>
      </c>
      <c r="B3202" t="s">
        <v>3</v>
      </c>
      <c r="C3202" t="str">
        <f>LEFT(Table4[[#This Row],[Policy Type]],1)</f>
        <v>2</v>
      </c>
    </row>
    <row r="3203" spans="1:3" x14ac:dyDescent="0.25">
      <c r="A3203">
        <v>208100</v>
      </c>
      <c r="B3203" t="s">
        <v>3</v>
      </c>
      <c r="C3203" t="str">
        <f>LEFT(Table4[[#This Row],[Policy Type]],1)</f>
        <v>2</v>
      </c>
    </row>
    <row r="3204" spans="1:3" x14ac:dyDescent="0.25">
      <c r="A3204">
        <v>208111</v>
      </c>
      <c r="B3204" t="s">
        <v>3</v>
      </c>
      <c r="C3204" t="str">
        <f>LEFT(Table4[[#This Row],[Policy Type]],1)</f>
        <v>2</v>
      </c>
    </row>
    <row r="3205" spans="1:3" x14ac:dyDescent="0.25">
      <c r="A3205">
        <v>208155</v>
      </c>
      <c r="B3205" t="s">
        <v>3</v>
      </c>
      <c r="C3205" t="str">
        <f>LEFT(Table4[[#This Row],[Policy Type]],1)</f>
        <v>2</v>
      </c>
    </row>
    <row r="3206" spans="1:3" x14ac:dyDescent="0.25">
      <c r="A3206">
        <v>208166</v>
      </c>
      <c r="B3206" t="s">
        <v>3</v>
      </c>
      <c r="C3206" t="str">
        <f>LEFT(Table4[[#This Row],[Policy Type]],1)</f>
        <v>2</v>
      </c>
    </row>
    <row r="3207" spans="1:3" x14ac:dyDescent="0.25">
      <c r="A3207">
        <v>208170</v>
      </c>
      <c r="B3207" t="s">
        <v>2</v>
      </c>
      <c r="C3207" t="str">
        <f>LEFT(Table4[[#This Row],[Policy Type]],1)</f>
        <v>1</v>
      </c>
    </row>
    <row r="3208" spans="1:3" x14ac:dyDescent="0.25">
      <c r="A3208">
        <v>208185</v>
      </c>
      <c r="B3208" t="s">
        <v>3</v>
      </c>
      <c r="C3208" t="str">
        <f>LEFT(Table4[[#This Row],[Policy Type]],1)</f>
        <v>2</v>
      </c>
    </row>
    <row r="3209" spans="1:3" x14ac:dyDescent="0.25">
      <c r="A3209">
        <v>208214</v>
      </c>
      <c r="B3209" t="s">
        <v>3</v>
      </c>
      <c r="C3209" t="str">
        <f>LEFT(Table4[[#This Row],[Policy Type]],1)</f>
        <v>2</v>
      </c>
    </row>
    <row r="3210" spans="1:3" x14ac:dyDescent="0.25">
      <c r="A3210">
        <v>208223</v>
      </c>
      <c r="B3210" t="s">
        <v>2</v>
      </c>
      <c r="C3210" t="str">
        <f>LEFT(Table4[[#This Row],[Policy Type]],1)</f>
        <v>1</v>
      </c>
    </row>
    <row r="3211" spans="1:3" x14ac:dyDescent="0.25">
      <c r="A3211">
        <v>208230</v>
      </c>
      <c r="B3211" t="s">
        <v>2</v>
      </c>
      <c r="C3211" t="str">
        <f>LEFT(Table4[[#This Row],[Policy Type]],1)</f>
        <v>1</v>
      </c>
    </row>
    <row r="3212" spans="1:3" x14ac:dyDescent="0.25">
      <c r="A3212">
        <v>208248</v>
      </c>
      <c r="B3212" t="s">
        <v>3</v>
      </c>
      <c r="C3212" t="str">
        <f>LEFT(Table4[[#This Row],[Policy Type]],1)</f>
        <v>2</v>
      </c>
    </row>
    <row r="3213" spans="1:3" x14ac:dyDescent="0.25">
      <c r="A3213">
        <v>208427</v>
      </c>
      <c r="B3213" t="s">
        <v>3</v>
      </c>
      <c r="C3213" t="str">
        <f>LEFT(Table4[[#This Row],[Policy Type]],1)</f>
        <v>2</v>
      </c>
    </row>
    <row r="3214" spans="1:3" x14ac:dyDescent="0.25">
      <c r="A3214">
        <v>208451</v>
      </c>
      <c r="B3214" t="s">
        <v>2</v>
      </c>
      <c r="C3214" t="str">
        <f>LEFT(Table4[[#This Row],[Policy Type]],1)</f>
        <v>1</v>
      </c>
    </row>
    <row r="3215" spans="1:3" x14ac:dyDescent="0.25">
      <c r="A3215">
        <v>208474</v>
      </c>
      <c r="B3215" t="s">
        <v>3</v>
      </c>
      <c r="C3215" t="str">
        <f>LEFT(Table4[[#This Row],[Policy Type]],1)</f>
        <v>2</v>
      </c>
    </row>
    <row r="3216" spans="1:3" x14ac:dyDescent="0.25">
      <c r="A3216">
        <v>208493</v>
      </c>
      <c r="B3216" t="s">
        <v>3</v>
      </c>
      <c r="C3216" t="str">
        <f>LEFT(Table4[[#This Row],[Policy Type]],1)</f>
        <v>2</v>
      </c>
    </row>
    <row r="3217" spans="1:3" x14ac:dyDescent="0.25">
      <c r="A3217">
        <v>208527</v>
      </c>
      <c r="B3217" t="s">
        <v>2</v>
      </c>
      <c r="C3217" t="str">
        <f>LEFT(Table4[[#This Row],[Policy Type]],1)</f>
        <v>1</v>
      </c>
    </row>
    <row r="3218" spans="1:3" x14ac:dyDescent="0.25">
      <c r="A3218">
        <v>208572</v>
      </c>
      <c r="B3218" t="s">
        <v>3</v>
      </c>
      <c r="C3218" t="str">
        <f>LEFT(Table4[[#This Row],[Policy Type]],1)</f>
        <v>2</v>
      </c>
    </row>
    <row r="3219" spans="1:3" x14ac:dyDescent="0.25">
      <c r="A3219">
        <v>208585</v>
      </c>
      <c r="B3219" t="s">
        <v>2</v>
      </c>
      <c r="C3219" t="str">
        <f>LEFT(Table4[[#This Row],[Policy Type]],1)</f>
        <v>1</v>
      </c>
    </row>
    <row r="3220" spans="1:3" x14ac:dyDescent="0.25">
      <c r="A3220">
        <v>208617</v>
      </c>
      <c r="B3220" t="s">
        <v>2</v>
      </c>
      <c r="C3220" t="str">
        <f>LEFT(Table4[[#This Row],[Policy Type]],1)</f>
        <v>1</v>
      </c>
    </row>
    <row r="3221" spans="1:3" x14ac:dyDescent="0.25">
      <c r="A3221">
        <v>208723</v>
      </c>
      <c r="B3221" t="s">
        <v>2</v>
      </c>
      <c r="C3221" t="str">
        <f>LEFT(Table4[[#This Row],[Policy Type]],1)</f>
        <v>1</v>
      </c>
    </row>
    <row r="3222" spans="1:3" x14ac:dyDescent="0.25">
      <c r="A3222">
        <v>208790</v>
      </c>
      <c r="B3222" t="s">
        <v>3</v>
      </c>
      <c r="C3222" t="str">
        <f>LEFT(Table4[[#This Row],[Policy Type]],1)</f>
        <v>2</v>
      </c>
    </row>
    <row r="3223" spans="1:3" x14ac:dyDescent="0.25">
      <c r="A3223">
        <v>208821</v>
      </c>
      <c r="B3223" t="s">
        <v>3</v>
      </c>
      <c r="C3223" t="str">
        <f>LEFT(Table4[[#This Row],[Policy Type]],1)</f>
        <v>2</v>
      </c>
    </row>
    <row r="3224" spans="1:3" x14ac:dyDescent="0.25">
      <c r="A3224">
        <v>208837</v>
      </c>
      <c r="B3224" t="s">
        <v>2</v>
      </c>
      <c r="C3224" t="str">
        <f>LEFT(Table4[[#This Row],[Policy Type]],1)</f>
        <v>1</v>
      </c>
    </row>
    <row r="3225" spans="1:3" x14ac:dyDescent="0.25">
      <c r="A3225">
        <v>208923</v>
      </c>
      <c r="B3225" t="s">
        <v>3</v>
      </c>
      <c r="C3225" t="str">
        <f>LEFT(Table4[[#This Row],[Policy Type]],1)</f>
        <v>2</v>
      </c>
    </row>
    <row r="3226" spans="1:3" x14ac:dyDescent="0.25">
      <c r="A3226">
        <v>208966</v>
      </c>
      <c r="B3226" t="s">
        <v>3</v>
      </c>
      <c r="C3226" t="str">
        <f>LEFT(Table4[[#This Row],[Policy Type]],1)</f>
        <v>2</v>
      </c>
    </row>
    <row r="3227" spans="1:3" x14ac:dyDescent="0.25">
      <c r="A3227">
        <v>208972</v>
      </c>
      <c r="B3227" t="s">
        <v>2</v>
      </c>
      <c r="C3227" t="str">
        <f>LEFT(Table4[[#This Row],[Policy Type]],1)</f>
        <v>1</v>
      </c>
    </row>
    <row r="3228" spans="1:3" x14ac:dyDescent="0.25">
      <c r="A3228">
        <v>208978</v>
      </c>
      <c r="B3228" t="s">
        <v>3</v>
      </c>
      <c r="C3228" t="str">
        <f>LEFT(Table4[[#This Row],[Policy Type]],1)</f>
        <v>2</v>
      </c>
    </row>
    <row r="3229" spans="1:3" x14ac:dyDescent="0.25">
      <c r="A3229">
        <v>208984</v>
      </c>
      <c r="B3229" t="s">
        <v>3</v>
      </c>
      <c r="C3229" t="str">
        <f>LEFT(Table4[[#This Row],[Policy Type]],1)</f>
        <v>2</v>
      </c>
    </row>
    <row r="3230" spans="1:3" x14ac:dyDescent="0.25">
      <c r="A3230">
        <v>209008</v>
      </c>
      <c r="B3230" t="s">
        <v>3</v>
      </c>
      <c r="C3230" t="str">
        <f>LEFT(Table4[[#This Row],[Policy Type]],1)</f>
        <v>2</v>
      </c>
    </row>
    <row r="3231" spans="1:3" x14ac:dyDescent="0.25">
      <c r="A3231">
        <v>209052</v>
      </c>
      <c r="B3231" t="s">
        <v>3</v>
      </c>
      <c r="C3231" t="str">
        <f>LEFT(Table4[[#This Row],[Policy Type]],1)</f>
        <v>2</v>
      </c>
    </row>
    <row r="3232" spans="1:3" x14ac:dyDescent="0.25">
      <c r="A3232">
        <v>209056</v>
      </c>
      <c r="B3232" t="s">
        <v>2</v>
      </c>
      <c r="C3232" t="str">
        <f>LEFT(Table4[[#This Row],[Policy Type]],1)</f>
        <v>1</v>
      </c>
    </row>
    <row r="3233" spans="1:3" x14ac:dyDescent="0.25">
      <c r="A3233">
        <v>209087</v>
      </c>
      <c r="B3233" t="s">
        <v>2</v>
      </c>
      <c r="C3233" t="str">
        <f>LEFT(Table4[[#This Row],[Policy Type]],1)</f>
        <v>1</v>
      </c>
    </row>
    <row r="3234" spans="1:3" x14ac:dyDescent="0.25">
      <c r="A3234">
        <v>209108</v>
      </c>
      <c r="B3234" t="s">
        <v>2</v>
      </c>
      <c r="C3234" t="str">
        <f>LEFT(Table4[[#This Row],[Policy Type]],1)</f>
        <v>1</v>
      </c>
    </row>
    <row r="3235" spans="1:3" x14ac:dyDescent="0.25">
      <c r="A3235">
        <v>209140</v>
      </c>
      <c r="B3235" t="s">
        <v>2</v>
      </c>
      <c r="C3235" t="str">
        <f>LEFT(Table4[[#This Row],[Policy Type]],1)</f>
        <v>1</v>
      </c>
    </row>
    <row r="3236" spans="1:3" x14ac:dyDescent="0.25">
      <c r="A3236">
        <v>209372</v>
      </c>
      <c r="B3236" t="s">
        <v>3</v>
      </c>
      <c r="C3236" t="str">
        <f>LEFT(Table4[[#This Row],[Policy Type]],1)</f>
        <v>2</v>
      </c>
    </row>
    <row r="3237" spans="1:3" x14ac:dyDescent="0.25">
      <c r="A3237">
        <v>209387</v>
      </c>
      <c r="B3237" t="s">
        <v>2</v>
      </c>
      <c r="C3237" t="str">
        <f>LEFT(Table4[[#This Row],[Policy Type]],1)</f>
        <v>1</v>
      </c>
    </row>
    <row r="3238" spans="1:3" x14ac:dyDescent="0.25">
      <c r="A3238">
        <v>209578</v>
      </c>
      <c r="B3238" t="s">
        <v>2</v>
      </c>
      <c r="C3238" t="str">
        <f>LEFT(Table4[[#This Row],[Policy Type]],1)</f>
        <v>1</v>
      </c>
    </row>
    <row r="3239" spans="1:3" x14ac:dyDescent="0.25">
      <c r="A3239">
        <v>209604</v>
      </c>
      <c r="B3239" t="s">
        <v>2</v>
      </c>
      <c r="C3239" t="str">
        <f>LEFT(Table4[[#This Row],[Policy Type]],1)</f>
        <v>1</v>
      </c>
    </row>
    <row r="3240" spans="1:3" x14ac:dyDescent="0.25">
      <c r="A3240">
        <v>209605</v>
      </c>
      <c r="B3240" t="s">
        <v>3</v>
      </c>
      <c r="C3240" t="str">
        <f>LEFT(Table4[[#This Row],[Policy Type]],1)</f>
        <v>2</v>
      </c>
    </row>
    <row r="3241" spans="1:3" x14ac:dyDescent="0.25">
      <c r="A3241">
        <v>209622</v>
      </c>
      <c r="B3241" t="s">
        <v>2</v>
      </c>
      <c r="C3241" t="str">
        <f>LEFT(Table4[[#This Row],[Policy Type]],1)</f>
        <v>1</v>
      </c>
    </row>
    <row r="3242" spans="1:3" x14ac:dyDescent="0.25">
      <c r="A3242">
        <v>209629</v>
      </c>
      <c r="B3242" t="s">
        <v>2</v>
      </c>
      <c r="C3242" t="str">
        <f>LEFT(Table4[[#This Row],[Policy Type]],1)</f>
        <v>1</v>
      </c>
    </row>
    <row r="3243" spans="1:3" x14ac:dyDescent="0.25">
      <c r="A3243">
        <v>209678</v>
      </c>
      <c r="B3243" t="s">
        <v>3</v>
      </c>
      <c r="C3243" t="str">
        <f>LEFT(Table4[[#This Row],[Policy Type]],1)</f>
        <v>2</v>
      </c>
    </row>
    <row r="3244" spans="1:3" x14ac:dyDescent="0.25">
      <c r="A3244">
        <v>209706</v>
      </c>
      <c r="B3244" t="s">
        <v>2</v>
      </c>
      <c r="C3244" t="str">
        <f>LEFT(Table4[[#This Row],[Policy Type]],1)</f>
        <v>1</v>
      </c>
    </row>
    <row r="3245" spans="1:3" x14ac:dyDescent="0.25">
      <c r="A3245">
        <v>209727</v>
      </c>
      <c r="B3245" t="s">
        <v>2</v>
      </c>
      <c r="C3245" t="str">
        <f>LEFT(Table4[[#This Row],[Policy Type]],1)</f>
        <v>1</v>
      </c>
    </row>
    <row r="3246" spans="1:3" x14ac:dyDescent="0.25">
      <c r="A3246">
        <v>209780</v>
      </c>
      <c r="B3246" t="s">
        <v>2</v>
      </c>
      <c r="C3246" t="str">
        <f>LEFT(Table4[[#This Row],[Policy Type]],1)</f>
        <v>1</v>
      </c>
    </row>
    <row r="3247" spans="1:3" x14ac:dyDescent="0.25">
      <c r="A3247">
        <v>209806</v>
      </c>
      <c r="B3247" t="s">
        <v>2</v>
      </c>
      <c r="C3247" t="str">
        <f>LEFT(Table4[[#This Row],[Policy Type]],1)</f>
        <v>1</v>
      </c>
    </row>
    <row r="3248" spans="1:3" x14ac:dyDescent="0.25">
      <c r="A3248">
        <v>209870</v>
      </c>
      <c r="B3248" t="s">
        <v>2</v>
      </c>
      <c r="C3248" t="str">
        <f>LEFT(Table4[[#This Row],[Policy Type]],1)</f>
        <v>1</v>
      </c>
    </row>
    <row r="3249" spans="1:3" x14ac:dyDescent="0.25">
      <c r="A3249">
        <v>209939</v>
      </c>
      <c r="B3249" t="s">
        <v>3</v>
      </c>
      <c r="C3249" t="str">
        <f>LEFT(Table4[[#This Row],[Policy Type]],1)</f>
        <v>2</v>
      </c>
    </row>
    <row r="3250" spans="1:3" x14ac:dyDescent="0.25">
      <c r="A3250">
        <v>209996</v>
      </c>
      <c r="B3250" t="s">
        <v>2</v>
      </c>
      <c r="C3250" t="str">
        <f>LEFT(Table4[[#This Row],[Policy Type]],1)</f>
        <v>1</v>
      </c>
    </row>
    <row r="3251" spans="1:3" x14ac:dyDescent="0.25">
      <c r="A3251">
        <v>210012</v>
      </c>
      <c r="B3251" t="s">
        <v>3</v>
      </c>
      <c r="C3251" t="str">
        <f>LEFT(Table4[[#This Row],[Policy Type]],1)</f>
        <v>2</v>
      </c>
    </row>
    <row r="3252" spans="1:3" x14ac:dyDescent="0.25">
      <c r="A3252">
        <v>210057</v>
      </c>
      <c r="B3252" t="s">
        <v>3</v>
      </c>
      <c r="C3252" t="str">
        <f>LEFT(Table4[[#This Row],[Policy Type]],1)</f>
        <v>2</v>
      </c>
    </row>
    <row r="3253" spans="1:3" x14ac:dyDescent="0.25">
      <c r="A3253">
        <v>210095</v>
      </c>
      <c r="B3253" t="s">
        <v>2</v>
      </c>
      <c r="C3253" t="str">
        <f>LEFT(Table4[[#This Row],[Policy Type]],1)</f>
        <v>1</v>
      </c>
    </row>
    <row r="3254" spans="1:3" x14ac:dyDescent="0.25">
      <c r="A3254">
        <v>210097</v>
      </c>
      <c r="B3254" t="s">
        <v>3</v>
      </c>
      <c r="C3254" t="str">
        <f>LEFT(Table4[[#This Row],[Policy Type]],1)</f>
        <v>2</v>
      </c>
    </row>
    <row r="3255" spans="1:3" x14ac:dyDescent="0.25">
      <c r="A3255">
        <v>210229</v>
      </c>
      <c r="B3255" t="s">
        <v>3</v>
      </c>
      <c r="C3255" t="str">
        <f>LEFT(Table4[[#This Row],[Policy Type]],1)</f>
        <v>2</v>
      </c>
    </row>
    <row r="3256" spans="1:3" x14ac:dyDescent="0.25">
      <c r="A3256">
        <v>210236</v>
      </c>
      <c r="B3256" t="s">
        <v>3</v>
      </c>
      <c r="C3256" t="str">
        <f>LEFT(Table4[[#This Row],[Policy Type]],1)</f>
        <v>2</v>
      </c>
    </row>
    <row r="3257" spans="1:3" x14ac:dyDescent="0.25">
      <c r="A3257">
        <v>210258</v>
      </c>
      <c r="B3257" t="s">
        <v>2</v>
      </c>
      <c r="C3257" t="str">
        <f>LEFT(Table4[[#This Row],[Policy Type]],1)</f>
        <v>1</v>
      </c>
    </row>
    <row r="3258" spans="1:3" x14ac:dyDescent="0.25">
      <c r="A3258">
        <v>210281</v>
      </c>
      <c r="B3258" t="s">
        <v>3</v>
      </c>
      <c r="C3258" t="str">
        <f>LEFT(Table4[[#This Row],[Policy Type]],1)</f>
        <v>2</v>
      </c>
    </row>
    <row r="3259" spans="1:3" x14ac:dyDescent="0.25">
      <c r="A3259">
        <v>210283</v>
      </c>
      <c r="B3259" t="s">
        <v>3</v>
      </c>
      <c r="C3259" t="str">
        <f>LEFT(Table4[[#This Row],[Policy Type]],1)</f>
        <v>2</v>
      </c>
    </row>
    <row r="3260" spans="1:3" x14ac:dyDescent="0.25">
      <c r="A3260">
        <v>210313</v>
      </c>
      <c r="B3260" t="s">
        <v>3</v>
      </c>
      <c r="C3260" t="str">
        <f>LEFT(Table4[[#This Row],[Policy Type]],1)</f>
        <v>2</v>
      </c>
    </row>
    <row r="3261" spans="1:3" x14ac:dyDescent="0.25">
      <c r="A3261">
        <v>210330</v>
      </c>
      <c r="B3261" t="s">
        <v>2</v>
      </c>
      <c r="C3261" t="str">
        <f>LEFT(Table4[[#This Row],[Policy Type]],1)</f>
        <v>1</v>
      </c>
    </row>
    <row r="3262" spans="1:3" x14ac:dyDescent="0.25">
      <c r="A3262">
        <v>210394</v>
      </c>
      <c r="B3262" t="s">
        <v>3</v>
      </c>
      <c r="C3262" t="str">
        <f>LEFT(Table4[[#This Row],[Policy Type]],1)</f>
        <v>2</v>
      </c>
    </row>
    <row r="3263" spans="1:3" x14ac:dyDescent="0.25">
      <c r="A3263">
        <v>210475</v>
      </c>
      <c r="B3263" t="s">
        <v>3</v>
      </c>
      <c r="C3263" t="str">
        <f>LEFT(Table4[[#This Row],[Policy Type]],1)</f>
        <v>2</v>
      </c>
    </row>
    <row r="3264" spans="1:3" x14ac:dyDescent="0.25">
      <c r="A3264">
        <v>210860</v>
      </c>
      <c r="B3264" t="s">
        <v>3</v>
      </c>
      <c r="C3264" t="str">
        <f>LEFT(Table4[[#This Row],[Policy Type]],1)</f>
        <v>2</v>
      </c>
    </row>
    <row r="3265" spans="1:3" x14ac:dyDescent="0.25">
      <c r="A3265">
        <v>210939</v>
      </c>
      <c r="B3265" t="s">
        <v>2</v>
      </c>
      <c r="C3265" t="str">
        <f>LEFT(Table4[[#This Row],[Policy Type]],1)</f>
        <v>1</v>
      </c>
    </row>
    <row r="3266" spans="1:3" x14ac:dyDescent="0.25">
      <c r="A3266">
        <v>210941</v>
      </c>
      <c r="B3266" t="s">
        <v>3</v>
      </c>
      <c r="C3266" t="str">
        <f>LEFT(Table4[[#This Row],[Policy Type]],1)</f>
        <v>2</v>
      </c>
    </row>
    <row r="3267" spans="1:3" x14ac:dyDescent="0.25">
      <c r="A3267">
        <v>210622</v>
      </c>
      <c r="B3267" t="s">
        <v>2</v>
      </c>
      <c r="C3267" t="str">
        <f>LEFT(Table4[[#This Row],[Policy Type]],1)</f>
        <v>1</v>
      </c>
    </row>
    <row r="3268" spans="1:3" x14ac:dyDescent="0.25">
      <c r="A3268">
        <v>210744</v>
      </c>
      <c r="B3268" t="s">
        <v>3</v>
      </c>
      <c r="C3268" t="str">
        <f>LEFT(Table4[[#This Row],[Policy Type]],1)</f>
        <v>2</v>
      </c>
    </row>
    <row r="3269" spans="1:3" x14ac:dyDescent="0.25">
      <c r="A3269">
        <v>210749</v>
      </c>
      <c r="B3269" t="s">
        <v>2</v>
      </c>
      <c r="C3269" t="str">
        <f>LEFT(Table4[[#This Row],[Policy Type]],1)</f>
        <v>1</v>
      </c>
    </row>
    <row r="3270" spans="1:3" x14ac:dyDescent="0.25">
      <c r="A3270">
        <v>211008</v>
      </c>
      <c r="B3270" t="s">
        <v>3</v>
      </c>
      <c r="C3270" t="str">
        <f>LEFT(Table4[[#This Row],[Policy Type]],1)</f>
        <v>2</v>
      </c>
    </row>
    <row r="3271" spans="1:3" x14ac:dyDescent="0.25">
      <c r="A3271">
        <v>211017</v>
      </c>
      <c r="B3271" t="s">
        <v>2</v>
      </c>
      <c r="C3271" t="str">
        <f>LEFT(Table4[[#This Row],[Policy Type]],1)</f>
        <v>1</v>
      </c>
    </row>
    <row r="3272" spans="1:3" x14ac:dyDescent="0.25">
      <c r="A3272">
        <v>211220</v>
      </c>
      <c r="B3272" t="s">
        <v>3</v>
      </c>
      <c r="C3272" t="str">
        <f>LEFT(Table4[[#This Row],[Policy Type]],1)</f>
        <v>2</v>
      </c>
    </row>
    <row r="3273" spans="1:3" x14ac:dyDescent="0.25">
      <c r="A3273">
        <v>211225</v>
      </c>
      <c r="B3273" t="s">
        <v>3</v>
      </c>
      <c r="C3273" t="str">
        <f>LEFT(Table4[[#This Row],[Policy Type]],1)</f>
        <v>2</v>
      </c>
    </row>
    <row r="3274" spans="1:3" x14ac:dyDescent="0.25">
      <c r="A3274">
        <v>211271</v>
      </c>
      <c r="B3274" t="s">
        <v>2</v>
      </c>
      <c r="C3274" t="str">
        <f>LEFT(Table4[[#This Row],[Policy Type]],1)</f>
        <v>1</v>
      </c>
    </row>
    <row r="3275" spans="1:3" x14ac:dyDescent="0.25">
      <c r="A3275">
        <v>211273</v>
      </c>
      <c r="B3275" t="s">
        <v>2</v>
      </c>
      <c r="C3275" t="str">
        <f>LEFT(Table4[[#This Row],[Policy Type]],1)</f>
        <v>1</v>
      </c>
    </row>
    <row r="3276" spans="1:3" x14ac:dyDescent="0.25">
      <c r="A3276">
        <v>211382</v>
      </c>
      <c r="B3276" t="s">
        <v>2</v>
      </c>
      <c r="C3276" t="str">
        <f>LEFT(Table4[[#This Row],[Policy Type]],1)</f>
        <v>1</v>
      </c>
    </row>
    <row r="3277" spans="1:3" x14ac:dyDescent="0.25">
      <c r="A3277">
        <v>211429</v>
      </c>
      <c r="B3277" t="s">
        <v>3</v>
      </c>
      <c r="C3277" t="str">
        <f>LEFT(Table4[[#This Row],[Policy Type]],1)</f>
        <v>2</v>
      </c>
    </row>
    <row r="3278" spans="1:3" x14ac:dyDescent="0.25">
      <c r="A3278">
        <v>211430</v>
      </c>
      <c r="B3278" t="s">
        <v>2</v>
      </c>
      <c r="C3278" t="str">
        <f>LEFT(Table4[[#This Row],[Policy Type]],1)</f>
        <v>1</v>
      </c>
    </row>
    <row r="3279" spans="1:3" x14ac:dyDescent="0.25">
      <c r="A3279">
        <v>211437</v>
      </c>
      <c r="B3279" t="s">
        <v>2</v>
      </c>
      <c r="C3279" t="str">
        <f>LEFT(Table4[[#This Row],[Policy Type]],1)</f>
        <v>1</v>
      </c>
    </row>
    <row r="3280" spans="1:3" x14ac:dyDescent="0.25">
      <c r="A3280">
        <v>211743</v>
      </c>
      <c r="B3280" t="s">
        <v>3</v>
      </c>
      <c r="C3280" t="str">
        <f>LEFT(Table4[[#This Row],[Policy Type]],1)</f>
        <v>2</v>
      </c>
    </row>
    <row r="3281" spans="1:3" x14ac:dyDescent="0.25">
      <c r="A3281">
        <v>211745</v>
      </c>
      <c r="B3281" t="s">
        <v>3</v>
      </c>
      <c r="C3281" t="str">
        <f>LEFT(Table4[[#This Row],[Policy Type]],1)</f>
        <v>2</v>
      </c>
    </row>
    <row r="3282" spans="1:3" x14ac:dyDescent="0.25">
      <c r="A3282">
        <v>211758</v>
      </c>
      <c r="B3282" t="s">
        <v>2</v>
      </c>
      <c r="C3282" t="str">
        <f>LEFT(Table4[[#This Row],[Policy Type]],1)</f>
        <v>1</v>
      </c>
    </row>
    <row r="3283" spans="1:3" x14ac:dyDescent="0.25">
      <c r="A3283">
        <v>211836</v>
      </c>
      <c r="B3283" t="s">
        <v>3</v>
      </c>
      <c r="C3283" t="str">
        <f>LEFT(Table4[[#This Row],[Policy Type]],1)</f>
        <v>2</v>
      </c>
    </row>
    <row r="3284" spans="1:3" x14ac:dyDescent="0.25">
      <c r="A3284">
        <v>211874</v>
      </c>
      <c r="B3284" t="s">
        <v>2</v>
      </c>
      <c r="C3284" t="str">
        <f>LEFT(Table4[[#This Row],[Policy Type]],1)</f>
        <v>1</v>
      </c>
    </row>
    <row r="3285" spans="1:3" x14ac:dyDescent="0.25">
      <c r="A3285">
        <v>211945</v>
      </c>
      <c r="B3285" t="s">
        <v>2</v>
      </c>
      <c r="C3285" t="str">
        <f>LEFT(Table4[[#This Row],[Policy Type]],1)</f>
        <v>1</v>
      </c>
    </row>
    <row r="3286" spans="1:3" x14ac:dyDescent="0.25">
      <c r="A3286">
        <v>211984</v>
      </c>
      <c r="B3286" t="s">
        <v>2</v>
      </c>
      <c r="C3286" t="str">
        <f>LEFT(Table4[[#This Row],[Policy Type]],1)</f>
        <v>1</v>
      </c>
    </row>
    <row r="3287" spans="1:3" x14ac:dyDescent="0.25">
      <c r="A3287">
        <v>212063</v>
      </c>
      <c r="B3287" t="s">
        <v>2</v>
      </c>
      <c r="C3287" t="str">
        <f>LEFT(Table4[[#This Row],[Policy Type]],1)</f>
        <v>1</v>
      </c>
    </row>
    <row r="3288" spans="1:3" x14ac:dyDescent="0.25">
      <c r="A3288">
        <v>212101</v>
      </c>
      <c r="B3288" t="s">
        <v>3</v>
      </c>
      <c r="C3288" t="str">
        <f>LEFT(Table4[[#This Row],[Policy Type]],1)</f>
        <v>2</v>
      </c>
    </row>
    <row r="3289" spans="1:3" x14ac:dyDescent="0.25">
      <c r="A3289">
        <v>212195</v>
      </c>
      <c r="B3289" t="s">
        <v>2</v>
      </c>
      <c r="C3289" t="str">
        <f>LEFT(Table4[[#This Row],[Policy Type]],1)</f>
        <v>1</v>
      </c>
    </row>
    <row r="3290" spans="1:3" x14ac:dyDescent="0.25">
      <c r="A3290">
        <v>212207</v>
      </c>
      <c r="B3290" t="s">
        <v>3</v>
      </c>
      <c r="C3290" t="str">
        <f>LEFT(Table4[[#This Row],[Policy Type]],1)</f>
        <v>2</v>
      </c>
    </row>
    <row r="3291" spans="1:3" x14ac:dyDescent="0.25">
      <c r="A3291">
        <v>212243</v>
      </c>
      <c r="B3291" t="s">
        <v>3</v>
      </c>
      <c r="C3291" t="str">
        <f>LEFT(Table4[[#This Row],[Policy Type]],1)</f>
        <v>2</v>
      </c>
    </row>
    <row r="3292" spans="1:3" x14ac:dyDescent="0.25">
      <c r="A3292">
        <v>212261</v>
      </c>
      <c r="B3292" t="s">
        <v>2</v>
      </c>
      <c r="C3292" t="str">
        <f>LEFT(Table4[[#This Row],[Policy Type]],1)</f>
        <v>1</v>
      </c>
    </row>
    <row r="3293" spans="1:3" x14ac:dyDescent="0.25">
      <c r="A3293">
        <v>212332</v>
      </c>
      <c r="B3293" t="s">
        <v>3</v>
      </c>
      <c r="C3293" t="str">
        <f>LEFT(Table4[[#This Row],[Policy Type]],1)</f>
        <v>2</v>
      </c>
    </row>
    <row r="3294" spans="1:3" x14ac:dyDescent="0.25">
      <c r="A3294">
        <v>212344</v>
      </c>
      <c r="B3294" t="s">
        <v>3</v>
      </c>
      <c r="C3294" t="str">
        <f>LEFT(Table4[[#This Row],[Policy Type]],1)</f>
        <v>2</v>
      </c>
    </row>
    <row r="3295" spans="1:3" x14ac:dyDescent="0.25">
      <c r="A3295">
        <v>212429</v>
      </c>
      <c r="B3295" t="s">
        <v>2</v>
      </c>
      <c r="C3295" t="str">
        <f>LEFT(Table4[[#This Row],[Policy Type]],1)</f>
        <v>1</v>
      </c>
    </row>
    <row r="3296" spans="1:3" x14ac:dyDescent="0.25">
      <c r="A3296">
        <v>212469</v>
      </c>
      <c r="B3296" t="s">
        <v>2</v>
      </c>
      <c r="C3296" t="str">
        <f>LEFT(Table4[[#This Row],[Policy Type]],1)</f>
        <v>1</v>
      </c>
    </row>
    <row r="3297" spans="1:3" x14ac:dyDescent="0.25">
      <c r="A3297">
        <v>212509</v>
      </c>
      <c r="B3297" t="s">
        <v>3</v>
      </c>
      <c r="C3297" t="str">
        <f>LEFT(Table4[[#This Row],[Policy Type]],1)</f>
        <v>2</v>
      </c>
    </row>
    <row r="3298" spans="1:3" x14ac:dyDescent="0.25">
      <c r="A3298">
        <v>212563</v>
      </c>
      <c r="B3298" t="s">
        <v>3</v>
      </c>
      <c r="C3298" t="str">
        <f>LEFT(Table4[[#This Row],[Policy Type]],1)</f>
        <v>2</v>
      </c>
    </row>
    <row r="3299" spans="1:3" x14ac:dyDescent="0.25">
      <c r="A3299">
        <v>212612</v>
      </c>
      <c r="B3299" t="s">
        <v>2</v>
      </c>
      <c r="C3299" t="str">
        <f>LEFT(Table4[[#This Row],[Policy Type]],1)</f>
        <v>1</v>
      </c>
    </row>
    <row r="3300" spans="1:3" x14ac:dyDescent="0.25">
      <c r="A3300">
        <v>212751</v>
      </c>
      <c r="B3300" t="s">
        <v>3</v>
      </c>
      <c r="C3300" t="str">
        <f>LEFT(Table4[[#This Row],[Policy Type]],1)</f>
        <v>2</v>
      </c>
    </row>
    <row r="3301" spans="1:3" x14ac:dyDescent="0.25">
      <c r="A3301">
        <v>212784</v>
      </c>
      <c r="B3301" t="s">
        <v>2</v>
      </c>
      <c r="C3301" t="str">
        <f>LEFT(Table4[[#This Row],[Policy Type]],1)</f>
        <v>1</v>
      </c>
    </row>
    <row r="3302" spans="1:3" x14ac:dyDescent="0.25">
      <c r="A3302">
        <v>212801</v>
      </c>
      <c r="B3302" t="s">
        <v>2</v>
      </c>
      <c r="C3302" t="str">
        <f>LEFT(Table4[[#This Row],[Policy Type]],1)</f>
        <v>1</v>
      </c>
    </row>
    <row r="3303" spans="1:3" x14ac:dyDescent="0.25">
      <c r="A3303">
        <v>212803</v>
      </c>
      <c r="B3303" t="s">
        <v>2</v>
      </c>
      <c r="C3303" t="str">
        <f>LEFT(Table4[[#This Row],[Policy Type]],1)</f>
        <v>1</v>
      </c>
    </row>
    <row r="3304" spans="1:3" x14ac:dyDescent="0.25">
      <c r="A3304">
        <v>212877</v>
      </c>
      <c r="B3304" t="s">
        <v>3</v>
      </c>
      <c r="C3304" t="str">
        <f>LEFT(Table4[[#This Row],[Policy Type]],1)</f>
        <v>2</v>
      </c>
    </row>
    <row r="3305" spans="1:3" x14ac:dyDescent="0.25">
      <c r="A3305">
        <v>212915</v>
      </c>
      <c r="B3305" t="s">
        <v>2</v>
      </c>
      <c r="C3305" t="str">
        <f>LEFT(Table4[[#This Row],[Policy Type]],1)</f>
        <v>1</v>
      </c>
    </row>
    <row r="3306" spans="1:3" x14ac:dyDescent="0.25">
      <c r="A3306">
        <v>212956</v>
      </c>
      <c r="B3306" t="s">
        <v>2</v>
      </c>
      <c r="C3306" t="str">
        <f>LEFT(Table4[[#This Row],[Policy Type]],1)</f>
        <v>1</v>
      </c>
    </row>
    <row r="3307" spans="1:3" x14ac:dyDescent="0.25">
      <c r="A3307">
        <v>212991</v>
      </c>
      <c r="B3307" t="s">
        <v>2</v>
      </c>
      <c r="C3307" t="str">
        <f>LEFT(Table4[[#This Row],[Policy Type]],1)</f>
        <v>1</v>
      </c>
    </row>
    <row r="3308" spans="1:3" x14ac:dyDescent="0.25">
      <c r="A3308">
        <v>212996</v>
      </c>
      <c r="B3308" t="s">
        <v>2</v>
      </c>
      <c r="C3308" t="str">
        <f>LEFT(Table4[[#This Row],[Policy Type]],1)</f>
        <v>1</v>
      </c>
    </row>
    <row r="3309" spans="1:3" x14ac:dyDescent="0.25">
      <c r="A3309">
        <v>213034</v>
      </c>
      <c r="B3309" t="s">
        <v>3</v>
      </c>
      <c r="C3309" t="str">
        <f>LEFT(Table4[[#This Row],[Policy Type]],1)</f>
        <v>2</v>
      </c>
    </row>
    <row r="3310" spans="1:3" x14ac:dyDescent="0.25">
      <c r="A3310">
        <v>213050</v>
      </c>
      <c r="B3310" t="s">
        <v>3</v>
      </c>
      <c r="C3310" t="str">
        <f>LEFT(Table4[[#This Row],[Policy Type]],1)</f>
        <v>2</v>
      </c>
    </row>
    <row r="3311" spans="1:3" x14ac:dyDescent="0.25">
      <c r="A3311">
        <v>213106</v>
      </c>
      <c r="B3311" t="s">
        <v>3</v>
      </c>
      <c r="C3311" t="str">
        <f>LEFT(Table4[[#This Row],[Policy Type]],1)</f>
        <v>2</v>
      </c>
    </row>
    <row r="3312" spans="1:3" x14ac:dyDescent="0.25">
      <c r="A3312">
        <v>213429</v>
      </c>
      <c r="B3312" t="s">
        <v>3</v>
      </c>
      <c r="C3312" t="str">
        <f>LEFT(Table4[[#This Row],[Policy Type]],1)</f>
        <v>2</v>
      </c>
    </row>
    <row r="3313" spans="1:3" x14ac:dyDescent="0.25">
      <c r="A3313">
        <v>213447</v>
      </c>
      <c r="B3313" t="s">
        <v>2</v>
      </c>
      <c r="C3313" t="str">
        <f>LEFT(Table4[[#This Row],[Policy Type]],1)</f>
        <v>1</v>
      </c>
    </row>
    <row r="3314" spans="1:3" x14ac:dyDescent="0.25">
      <c r="A3314">
        <v>213453</v>
      </c>
      <c r="B3314" t="s">
        <v>2</v>
      </c>
      <c r="C3314" t="str">
        <f>LEFT(Table4[[#This Row],[Policy Type]],1)</f>
        <v>1</v>
      </c>
    </row>
    <row r="3315" spans="1:3" x14ac:dyDescent="0.25">
      <c r="A3315">
        <v>213490</v>
      </c>
      <c r="B3315" t="s">
        <v>3</v>
      </c>
      <c r="C3315" t="str">
        <f>LEFT(Table4[[#This Row],[Policy Type]],1)</f>
        <v>2</v>
      </c>
    </row>
    <row r="3316" spans="1:3" x14ac:dyDescent="0.25">
      <c r="A3316">
        <v>213498</v>
      </c>
      <c r="B3316" t="s">
        <v>3</v>
      </c>
      <c r="C3316" t="str">
        <f>LEFT(Table4[[#This Row],[Policy Type]],1)</f>
        <v>2</v>
      </c>
    </row>
    <row r="3317" spans="1:3" x14ac:dyDescent="0.25">
      <c r="A3317">
        <v>213216</v>
      </c>
      <c r="B3317" t="s">
        <v>2</v>
      </c>
      <c r="C3317" t="str">
        <f>LEFT(Table4[[#This Row],[Policy Type]],1)</f>
        <v>1</v>
      </c>
    </row>
    <row r="3318" spans="1:3" x14ac:dyDescent="0.25">
      <c r="A3318">
        <v>213260</v>
      </c>
      <c r="B3318" t="s">
        <v>2</v>
      </c>
      <c r="C3318" t="str">
        <f>LEFT(Table4[[#This Row],[Policy Type]],1)</f>
        <v>1</v>
      </c>
    </row>
    <row r="3319" spans="1:3" x14ac:dyDescent="0.25">
      <c r="A3319">
        <v>213356</v>
      </c>
      <c r="B3319" t="s">
        <v>3</v>
      </c>
      <c r="C3319" t="str">
        <f>LEFT(Table4[[#This Row],[Policy Type]],1)</f>
        <v>2</v>
      </c>
    </row>
    <row r="3320" spans="1:3" x14ac:dyDescent="0.25">
      <c r="A3320">
        <v>213362</v>
      </c>
      <c r="B3320" t="s">
        <v>2</v>
      </c>
      <c r="C3320" t="str">
        <f>LEFT(Table4[[#This Row],[Policy Type]],1)</f>
        <v>1</v>
      </c>
    </row>
    <row r="3321" spans="1:3" x14ac:dyDescent="0.25">
      <c r="A3321">
        <v>213396</v>
      </c>
      <c r="B3321" t="s">
        <v>2</v>
      </c>
      <c r="C3321" t="str">
        <f>LEFT(Table4[[#This Row],[Policy Type]],1)</f>
        <v>1</v>
      </c>
    </row>
    <row r="3322" spans="1:3" x14ac:dyDescent="0.25">
      <c r="A3322">
        <v>213625</v>
      </c>
      <c r="B3322" t="s">
        <v>3</v>
      </c>
      <c r="C3322" t="str">
        <f>LEFT(Table4[[#This Row],[Policy Type]],1)</f>
        <v>2</v>
      </c>
    </row>
    <row r="3323" spans="1:3" x14ac:dyDescent="0.25">
      <c r="A3323">
        <v>213630</v>
      </c>
      <c r="B3323" t="s">
        <v>2</v>
      </c>
      <c r="C3323" t="str">
        <f>LEFT(Table4[[#This Row],[Policy Type]],1)</f>
        <v>1</v>
      </c>
    </row>
    <row r="3324" spans="1:3" x14ac:dyDescent="0.25">
      <c r="A3324">
        <v>213696</v>
      </c>
      <c r="B3324" t="s">
        <v>2</v>
      </c>
      <c r="C3324" t="str">
        <f>LEFT(Table4[[#This Row],[Policy Type]],1)</f>
        <v>1</v>
      </c>
    </row>
    <row r="3325" spans="1:3" x14ac:dyDescent="0.25">
      <c r="A3325">
        <v>213699</v>
      </c>
      <c r="B3325" t="s">
        <v>3</v>
      </c>
      <c r="C3325" t="str">
        <f>LEFT(Table4[[#This Row],[Policy Type]],1)</f>
        <v>2</v>
      </c>
    </row>
    <row r="3326" spans="1:3" x14ac:dyDescent="0.25">
      <c r="A3326">
        <v>213711</v>
      </c>
      <c r="B3326" t="s">
        <v>3</v>
      </c>
      <c r="C3326" t="str">
        <f>LEFT(Table4[[#This Row],[Policy Type]],1)</f>
        <v>2</v>
      </c>
    </row>
    <row r="3327" spans="1:3" x14ac:dyDescent="0.25">
      <c r="A3327">
        <v>213797</v>
      </c>
      <c r="B3327" t="s">
        <v>2</v>
      </c>
      <c r="C3327" t="str">
        <f>LEFT(Table4[[#This Row],[Policy Type]],1)</f>
        <v>1</v>
      </c>
    </row>
    <row r="3328" spans="1:3" x14ac:dyDescent="0.25">
      <c r="A3328">
        <v>213820</v>
      </c>
      <c r="B3328" t="s">
        <v>3</v>
      </c>
      <c r="C3328" t="str">
        <f>LEFT(Table4[[#This Row],[Policy Type]],1)</f>
        <v>2</v>
      </c>
    </row>
    <row r="3329" spans="1:3" x14ac:dyDescent="0.25">
      <c r="A3329">
        <v>213862</v>
      </c>
      <c r="B3329" t="s">
        <v>3</v>
      </c>
      <c r="C3329" t="str">
        <f>LEFT(Table4[[#This Row],[Policy Type]],1)</f>
        <v>2</v>
      </c>
    </row>
    <row r="3330" spans="1:3" x14ac:dyDescent="0.25">
      <c r="A3330">
        <v>213874</v>
      </c>
      <c r="B3330" t="s">
        <v>2</v>
      </c>
      <c r="C3330" t="str">
        <f>LEFT(Table4[[#This Row],[Policy Type]],1)</f>
        <v>1</v>
      </c>
    </row>
    <row r="3331" spans="1:3" x14ac:dyDescent="0.25">
      <c r="A3331">
        <v>213916</v>
      </c>
      <c r="B3331" t="s">
        <v>2</v>
      </c>
      <c r="C3331" t="str">
        <f>LEFT(Table4[[#This Row],[Policy Type]],1)</f>
        <v>1</v>
      </c>
    </row>
    <row r="3332" spans="1:3" x14ac:dyDescent="0.25">
      <c r="A3332">
        <v>213923</v>
      </c>
      <c r="B3332" t="s">
        <v>2</v>
      </c>
      <c r="C3332" t="str">
        <f>LEFT(Table4[[#This Row],[Policy Type]],1)</f>
        <v>1</v>
      </c>
    </row>
    <row r="3333" spans="1:3" x14ac:dyDescent="0.25">
      <c r="A3333">
        <v>213948</v>
      </c>
      <c r="B3333" t="s">
        <v>2</v>
      </c>
      <c r="C3333" t="str">
        <f>LEFT(Table4[[#This Row],[Policy Type]],1)</f>
        <v>1</v>
      </c>
    </row>
    <row r="3334" spans="1:3" x14ac:dyDescent="0.25">
      <c r="A3334">
        <v>213986</v>
      </c>
      <c r="B3334" t="s">
        <v>3</v>
      </c>
      <c r="C3334" t="str">
        <f>LEFT(Table4[[#This Row],[Policy Type]],1)</f>
        <v>2</v>
      </c>
    </row>
    <row r="3335" spans="1:3" x14ac:dyDescent="0.25">
      <c r="A3335">
        <v>213998</v>
      </c>
      <c r="B3335" t="s">
        <v>3</v>
      </c>
      <c r="C3335" t="str">
        <f>LEFT(Table4[[#This Row],[Policy Type]],1)</f>
        <v>2</v>
      </c>
    </row>
    <row r="3336" spans="1:3" x14ac:dyDescent="0.25">
      <c r="A3336">
        <v>214015</v>
      </c>
      <c r="B3336" t="s">
        <v>3</v>
      </c>
      <c r="C3336" t="str">
        <f>LEFT(Table4[[#This Row],[Policy Type]],1)</f>
        <v>2</v>
      </c>
    </row>
    <row r="3337" spans="1:3" x14ac:dyDescent="0.25">
      <c r="A3337">
        <v>214075</v>
      </c>
      <c r="B3337" t="s">
        <v>3</v>
      </c>
      <c r="C3337" t="str">
        <f>LEFT(Table4[[#This Row],[Policy Type]],1)</f>
        <v>2</v>
      </c>
    </row>
    <row r="3338" spans="1:3" x14ac:dyDescent="0.25">
      <c r="A3338">
        <v>214087</v>
      </c>
      <c r="B3338" t="s">
        <v>3</v>
      </c>
      <c r="C3338" t="str">
        <f>LEFT(Table4[[#This Row],[Policy Type]],1)</f>
        <v>2</v>
      </c>
    </row>
    <row r="3339" spans="1:3" x14ac:dyDescent="0.25">
      <c r="A3339">
        <v>214101</v>
      </c>
      <c r="B3339" t="s">
        <v>2</v>
      </c>
      <c r="C3339" t="str">
        <f>LEFT(Table4[[#This Row],[Policy Type]],1)</f>
        <v>1</v>
      </c>
    </row>
    <row r="3340" spans="1:3" x14ac:dyDescent="0.25">
      <c r="A3340">
        <v>214112</v>
      </c>
      <c r="B3340" t="s">
        <v>2</v>
      </c>
      <c r="C3340" t="str">
        <f>LEFT(Table4[[#This Row],[Policy Type]],1)</f>
        <v>1</v>
      </c>
    </row>
    <row r="3341" spans="1:3" x14ac:dyDescent="0.25">
      <c r="A3341">
        <v>214168</v>
      </c>
      <c r="B3341" t="s">
        <v>3</v>
      </c>
      <c r="C3341" t="str">
        <f>LEFT(Table4[[#This Row],[Policy Type]],1)</f>
        <v>2</v>
      </c>
    </row>
    <row r="3342" spans="1:3" x14ac:dyDescent="0.25">
      <c r="A3342">
        <v>214523</v>
      </c>
      <c r="B3342" t="s">
        <v>3</v>
      </c>
      <c r="C3342" t="str">
        <f>LEFT(Table4[[#This Row],[Policy Type]],1)</f>
        <v>2</v>
      </c>
    </row>
    <row r="3343" spans="1:3" x14ac:dyDescent="0.25">
      <c r="A3343">
        <v>214528</v>
      </c>
      <c r="B3343" t="s">
        <v>2</v>
      </c>
      <c r="C3343" t="str">
        <f>LEFT(Table4[[#This Row],[Policy Type]],1)</f>
        <v>1</v>
      </c>
    </row>
    <row r="3344" spans="1:3" x14ac:dyDescent="0.25">
      <c r="A3344">
        <v>214823</v>
      </c>
      <c r="B3344" t="s">
        <v>3</v>
      </c>
      <c r="C3344" t="str">
        <f>LEFT(Table4[[#This Row],[Policy Type]],1)</f>
        <v>2</v>
      </c>
    </row>
    <row r="3345" spans="1:3" x14ac:dyDescent="0.25">
      <c r="A3345">
        <v>214826</v>
      </c>
      <c r="B3345" t="s">
        <v>2</v>
      </c>
      <c r="C3345" t="str">
        <f>LEFT(Table4[[#This Row],[Policy Type]],1)</f>
        <v>1</v>
      </c>
    </row>
    <row r="3346" spans="1:3" x14ac:dyDescent="0.25">
      <c r="A3346">
        <v>214909</v>
      </c>
      <c r="B3346" t="s">
        <v>3</v>
      </c>
      <c r="C3346" t="str">
        <f>LEFT(Table4[[#This Row],[Policy Type]],1)</f>
        <v>2</v>
      </c>
    </row>
    <row r="3347" spans="1:3" x14ac:dyDescent="0.25">
      <c r="A3347">
        <v>214988</v>
      </c>
      <c r="B3347" t="s">
        <v>3</v>
      </c>
      <c r="C3347" t="str">
        <f>LEFT(Table4[[#This Row],[Policy Type]],1)</f>
        <v>2</v>
      </c>
    </row>
    <row r="3348" spans="1:3" x14ac:dyDescent="0.25">
      <c r="A3348">
        <v>214732</v>
      </c>
      <c r="B3348" t="s">
        <v>3</v>
      </c>
      <c r="C3348" t="str">
        <f>LEFT(Table4[[#This Row],[Policy Type]],1)</f>
        <v>2</v>
      </c>
    </row>
    <row r="3349" spans="1:3" x14ac:dyDescent="0.25">
      <c r="A3349">
        <v>214742</v>
      </c>
      <c r="B3349" t="s">
        <v>3</v>
      </c>
      <c r="C3349" t="str">
        <f>LEFT(Table4[[#This Row],[Policy Type]],1)</f>
        <v>2</v>
      </c>
    </row>
    <row r="3350" spans="1:3" x14ac:dyDescent="0.25">
      <c r="A3350">
        <v>215089</v>
      </c>
      <c r="B3350" t="s">
        <v>2</v>
      </c>
      <c r="C3350" t="str">
        <f>LEFT(Table4[[#This Row],[Policy Type]],1)</f>
        <v>1</v>
      </c>
    </row>
    <row r="3351" spans="1:3" x14ac:dyDescent="0.25">
      <c r="A3351">
        <v>215112</v>
      </c>
      <c r="B3351" t="s">
        <v>3</v>
      </c>
      <c r="C3351" t="str">
        <f>LEFT(Table4[[#This Row],[Policy Type]],1)</f>
        <v>2</v>
      </c>
    </row>
    <row r="3352" spans="1:3" x14ac:dyDescent="0.25">
      <c r="A3352">
        <v>215140</v>
      </c>
      <c r="B3352" t="s">
        <v>2</v>
      </c>
      <c r="C3352" t="str">
        <f>LEFT(Table4[[#This Row],[Policy Type]],1)</f>
        <v>1</v>
      </c>
    </row>
    <row r="3353" spans="1:3" x14ac:dyDescent="0.25">
      <c r="A3353">
        <v>215224</v>
      </c>
      <c r="B3353" t="s">
        <v>3</v>
      </c>
      <c r="C3353" t="str">
        <f>LEFT(Table4[[#This Row],[Policy Type]],1)</f>
        <v>2</v>
      </c>
    </row>
    <row r="3354" spans="1:3" x14ac:dyDescent="0.25">
      <c r="A3354">
        <v>215238</v>
      </c>
      <c r="B3354" t="s">
        <v>2</v>
      </c>
      <c r="C3354" t="str">
        <f>LEFT(Table4[[#This Row],[Policy Type]],1)</f>
        <v>1</v>
      </c>
    </row>
    <row r="3355" spans="1:3" x14ac:dyDescent="0.25">
      <c r="A3355">
        <v>215259</v>
      </c>
      <c r="B3355" t="s">
        <v>3</v>
      </c>
      <c r="C3355" t="str">
        <f>LEFT(Table4[[#This Row],[Policy Type]],1)</f>
        <v>2</v>
      </c>
    </row>
    <row r="3356" spans="1:3" x14ac:dyDescent="0.25">
      <c r="A3356">
        <v>215295</v>
      </c>
      <c r="B3356" t="s">
        <v>3</v>
      </c>
      <c r="C3356" t="str">
        <f>LEFT(Table4[[#This Row],[Policy Type]],1)</f>
        <v>2</v>
      </c>
    </row>
    <row r="3357" spans="1:3" x14ac:dyDescent="0.25">
      <c r="A3357">
        <v>215304</v>
      </c>
      <c r="B3357" t="s">
        <v>2</v>
      </c>
      <c r="C3357" t="str">
        <f>LEFT(Table4[[#This Row],[Policy Type]],1)</f>
        <v>1</v>
      </c>
    </row>
    <row r="3358" spans="1:3" x14ac:dyDescent="0.25">
      <c r="A3358">
        <v>215363</v>
      </c>
      <c r="B3358" t="s">
        <v>2</v>
      </c>
      <c r="C3358" t="str">
        <f>LEFT(Table4[[#This Row],[Policy Type]],1)</f>
        <v>1</v>
      </c>
    </row>
    <row r="3359" spans="1:3" x14ac:dyDescent="0.25">
      <c r="A3359">
        <v>215423</v>
      </c>
      <c r="B3359" t="s">
        <v>3</v>
      </c>
      <c r="C3359" t="str">
        <f>LEFT(Table4[[#This Row],[Policy Type]],1)</f>
        <v>2</v>
      </c>
    </row>
    <row r="3360" spans="1:3" x14ac:dyDescent="0.25">
      <c r="A3360">
        <v>215429</v>
      </c>
      <c r="B3360" t="s">
        <v>2</v>
      </c>
      <c r="C3360" t="str">
        <f>LEFT(Table4[[#This Row],[Policy Type]],1)</f>
        <v>1</v>
      </c>
    </row>
    <row r="3361" spans="1:3" x14ac:dyDescent="0.25">
      <c r="A3361">
        <v>215440</v>
      </c>
      <c r="B3361" t="s">
        <v>3</v>
      </c>
      <c r="C3361" t="str">
        <f>LEFT(Table4[[#This Row],[Policy Type]],1)</f>
        <v>2</v>
      </c>
    </row>
    <row r="3362" spans="1:3" x14ac:dyDescent="0.25">
      <c r="A3362">
        <v>215506</v>
      </c>
      <c r="B3362" t="s">
        <v>3</v>
      </c>
      <c r="C3362" t="str">
        <f>LEFT(Table4[[#This Row],[Policy Type]],1)</f>
        <v>2</v>
      </c>
    </row>
    <row r="3363" spans="1:3" x14ac:dyDescent="0.25">
      <c r="A3363">
        <v>215550</v>
      </c>
      <c r="B3363" t="s">
        <v>2</v>
      </c>
      <c r="C3363" t="str">
        <f>LEFT(Table4[[#This Row],[Policy Type]],1)</f>
        <v>1</v>
      </c>
    </row>
    <row r="3364" spans="1:3" x14ac:dyDescent="0.25">
      <c r="A3364">
        <v>215555</v>
      </c>
      <c r="B3364" t="s">
        <v>3</v>
      </c>
      <c r="C3364" t="str">
        <f>LEFT(Table4[[#This Row],[Policy Type]],1)</f>
        <v>2</v>
      </c>
    </row>
    <row r="3365" spans="1:3" x14ac:dyDescent="0.25">
      <c r="A3365">
        <v>215618</v>
      </c>
      <c r="B3365" t="s">
        <v>2</v>
      </c>
      <c r="C3365" t="str">
        <f>LEFT(Table4[[#This Row],[Policy Type]],1)</f>
        <v>1</v>
      </c>
    </row>
    <row r="3366" spans="1:3" x14ac:dyDescent="0.25">
      <c r="A3366">
        <v>215693</v>
      </c>
      <c r="B3366" t="s">
        <v>3</v>
      </c>
      <c r="C3366" t="str">
        <f>LEFT(Table4[[#This Row],[Policy Type]],1)</f>
        <v>2</v>
      </c>
    </row>
    <row r="3367" spans="1:3" x14ac:dyDescent="0.25">
      <c r="A3367">
        <v>215722</v>
      </c>
      <c r="B3367" t="s">
        <v>3</v>
      </c>
      <c r="C3367" t="str">
        <f>LEFT(Table4[[#This Row],[Policy Type]],1)</f>
        <v>2</v>
      </c>
    </row>
    <row r="3368" spans="1:3" x14ac:dyDescent="0.25">
      <c r="A3368">
        <v>215911</v>
      </c>
      <c r="B3368" t="s">
        <v>3</v>
      </c>
      <c r="C3368" t="str">
        <f>LEFT(Table4[[#This Row],[Policy Type]],1)</f>
        <v>2</v>
      </c>
    </row>
    <row r="3369" spans="1:3" x14ac:dyDescent="0.25">
      <c r="A3369">
        <v>215956</v>
      </c>
      <c r="B3369" t="s">
        <v>2</v>
      </c>
      <c r="C3369" t="str">
        <f>LEFT(Table4[[#This Row],[Policy Type]],1)</f>
        <v>1</v>
      </c>
    </row>
    <row r="3370" spans="1:3" x14ac:dyDescent="0.25">
      <c r="A3370">
        <v>215977</v>
      </c>
      <c r="B3370" t="s">
        <v>3</v>
      </c>
      <c r="C3370" t="str">
        <f>LEFT(Table4[[#This Row],[Policy Type]],1)</f>
        <v>2</v>
      </c>
    </row>
    <row r="3371" spans="1:3" x14ac:dyDescent="0.25">
      <c r="A3371">
        <v>215985</v>
      </c>
      <c r="B3371" t="s">
        <v>2</v>
      </c>
      <c r="C3371" t="str">
        <f>LEFT(Table4[[#This Row],[Policy Type]],1)</f>
        <v>1</v>
      </c>
    </row>
    <row r="3372" spans="1:3" x14ac:dyDescent="0.25">
      <c r="A3372">
        <v>216030</v>
      </c>
      <c r="B3372" t="s">
        <v>3</v>
      </c>
      <c r="C3372" t="str">
        <f>LEFT(Table4[[#This Row],[Policy Type]],1)</f>
        <v>2</v>
      </c>
    </row>
    <row r="3373" spans="1:3" x14ac:dyDescent="0.25">
      <c r="A3373">
        <v>216039</v>
      </c>
      <c r="B3373" t="s">
        <v>3</v>
      </c>
      <c r="C3373" t="str">
        <f>LEFT(Table4[[#This Row],[Policy Type]],1)</f>
        <v>2</v>
      </c>
    </row>
    <row r="3374" spans="1:3" x14ac:dyDescent="0.25">
      <c r="A3374">
        <v>216088</v>
      </c>
      <c r="B3374" t="s">
        <v>3</v>
      </c>
      <c r="C3374" t="str">
        <f>LEFT(Table4[[#This Row],[Policy Type]],1)</f>
        <v>2</v>
      </c>
    </row>
    <row r="3375" spans="1:3" x14ac:dyDescent="0.25">
      <c r="A3375">
        <v>216151</v>
      </c>
      <c r="B3375" t="s">
        <v>2</v>
      </c>
      <c r="C3375" t="str">
        <f>LEFT(Table4[[#This Row],[Policy Type]],1)</f>
        <v>1</v>
      </c>
    </row>
    <row r="3376" spans="1:3" x14ac:dyDescent="0.25">
      <c r="A3376">
        <v>216215</v>
      </c>
      <c r="B3376" t="s">
        <v>3</v>
      </c>
      <c r="C3376" t="str">
        <f>LEFT(Table4[[#This Row],[Policy Type]],1)</f>
        <v>2</v>
      </c>
    </row>
    <row r="3377" spans="1:3" x14ac:dyDescent="0.25">
      <c r="A3377">
        <v>216217</v>
      </c>
      <c r="B3377" t="s">
        <v>3</v>
      </c>
      <c r="C3377" t="str">
        <f>LEFT(Table4[[#This Row],[Policy Type]],1)</f>
        <v>2</v>
      </c>
    </row>
    <row r="3378" spans="1:3" x14ac:dyDescent="0.25">
      <c r="A3378">
        <v>216232</v>
      </c>
      <c r="B3378" t="s">
        <v>3</v>
      </c>
      <c r="C3378" t="str">
        <f>LEFT(Table4[[#This Row],[Policy Type]],1)</f>
        <v>2</v>
      </c>
    </row>
    <row r="3379" spans="1:3" x14ac:dyDescent="0.25">
      <c r="A3379">
        <v>216244</v>
      </c>
      <c r="B3379" t="s">
        <v>3</v>
      </c>
      <c r="C3379" t="str">
        <f>LEFT(Table4[[#This Row],[Policy Type]],1)</f>
        <v>2</v>
      </c>
    </row>
    <row r="3380" spans="1:3" x14ac:dyDescent="0.25">
      <c r="A3380">
        <v>216379</v>
      </c>
      <c r="B3380" t="s">
        <v>3</v>
      </c>
      <c r="C3380" t="str">
        <f>LEFT(Table4[[#This Row],[Policy Type]],1)</f>
        <v>2</v>
      </c>
    </row>
    <row r="3381" spans="1:3" x14ac:dyDescent="0.25">
      <c r="A3381">
        <v>216445</v>
      </c>
      <c r="B3381" t="s">
        <v>2</v>
      </c>
      <c r="C3381" t="str">
        <f>LEFT(Table4[[#This Row],[Policy Type]],1)</f>
        <v>1</v>
      </c>
    </row>
    <row r="3382" spans="1:3" x14ac:dyDescent="0.25">
      <c r="A3382">
        <v>216541</v>
      </c>
      <c r="B3382" t="s">
        <v>3</v>
      </c>
      <c r="C3382" t="str">
        <f>LEFT(Table4[[#This Row],[Policy Type]],1)</f>
        <v>2</v>
      </c>
    </row>
    <row r="3383" spans="1:3" x14ac:dyDescent="0.25">
      <c r="A3383">
        <v>216613</v>
      </c>
      <c r="B3383" t="s">
        <v>2</v>
      </c>
      <c r="C3383" t="str">
        <f>LEFT(Table4[[#This Row],[Policy Type]],1)</f>
        <v>1</v>
      </c>
    </row>
    <row r="3384" spans="1:3" x14ac:dyDescent="0.25">
      <c r="A3384">
        <v>216650</v>
      </c>
      <c r="B3384" t="s">
        <v>3</v>
      </c>
      <c r="C3384" t="str">
        <f>LEFT(Table4[[#This Row],[Policy Type]],1)</f>
        <v>2</v>
      </c>
    </row>
    <row r="3385" spans="1:3" x14ac:dyDescent="0.25">
      <c r="A3385">
        <v>216721</v>
      </c>
      <c r="B3385" t="s">
        <v>2</v>
      </c>
      <c r="C3385" t="str">
        <f>LEFT(Table4[[#This Row],[Policy Type]],1)</f>
        <v>1</v>
      </c>
    </row>
    <row r="3386" spans="1:3" x14ac:dyDescent="0.25">
      <c r="A3386">
        <v>216731</v>
      </c>
      <c r="B3386" t="s">
        <v>3</v>
      </c>
      <c r="C3386" t="str">
        <f>LEFT(Table4[[#This Row],[Policy Type]],1)</f>
        <v>2</v>
      </c>
    </row>
    <row r="3387" spans="1:3" x14ac:dyDescent="0.25">
      <c r="A3387">
        <v>216746</v>
      </c>
      <c r="B3387" t="s">
        <v>3</v>
      </c>
      <c r="C3387" t="str">
        <f>LEFT(Table4[[#This Row],[Policy Type]],1)</f>
        <v>2</v>
      </c>
    </row>
    <row r="3388" spans="1:3" x14ac:dyDescent="0.25">
      <c r="A3388">
        <v>216754</v>
      </c>
      <c r="B3388" t="s">
        <v>2</v>
      </c>
      <c r="C3388" t="str">
        <f>LEFT(Table4[[#This Row],[Policy Type]],1)</f>
        <v>1</v>
      </c>
    </row>
    <row r="3389" spans="1:3" x14ac:dyDescent="0.25">
      <c r="A3389">
        <v>216780</v>
      </c>
      <c r="B3389" t="s">
        <v>2</v>
      </c>
      <c r="C3389" t="str">
        <f>LEFT(Table4[[#This Row],[Policy Type]],1)</f>
        <v>1</v>
      </c>
    </row>
    <row r="3390" spans="1:3" x14ac:dyDescent="0.25">
      <c r="A3390">
        <v>216794</v>
      </c>
      <c r="B3390" t="s">
        <v>2</v>
      </c>
      <c r="C3390" t="str">
        <f>LEFT(Table4[[#This Row],[Policy Type]],1)</f>
        <v>1</v>
      </c>
    </row>
    <row r="3391" spans="1:3" x14ac:dyDescent="0.25">
      <c r="A3391">
        <v>216800</v>
      </c>
      <c r="B3391" t="s">
        <v>2</v>
      </c>
      <c r="C3391" t="str">
        <f>LEFT(Table4[[#This Row],[Policy Type]],1)</f>
        <v>1</v>
      </c>
    </row>
    <row r="3392" spans="1:3" x14ac:dyDescent="0.25">
      <c r="A3392">
        <v>216925</v>
      </c>
      <c r="B3392" t="s">
        <v>3</v>
      </c>
      <c r="C3392" t="str">
        <f>LEFT(Table4[[#This Row],[Policy Type]],1)</f>
        <v>2</v>
      </c>
    </row>
    <row r="3393" spans="1:3" x14ac:dyDescent="0.25">
      <c r="A3393">
        <v>216941</v>
      </c>
      <c r="B3393" t="s">
        <v>2</v>
      </c>
      <c r="C3393" t="str">
        <f>LEFT(Table4[[#This Row],[Policy Type]],1)</f>
        <v>1</v>
      </c>
    </row>
    <row r="3394" spans="1:3" x14ac:dyDescent="0.25">
      <c r="A3394">
        <v>216954</v>
      </c>
      <c r="B3394" t="s">
        <v>2</v>
      </c>
      <c r="C3394" t="str">
        <f>LEFT(Table4[[#This Row],[Policy Type]],1)</f>
        <v>1</v>
      </c>
    </row>
    <row r="3395" spans="1:3" x14ac:dyDescent="0.25">
      <c r="A3395">
        <v>216985</v>
      </c>
      <c r="B3395" t="s">
        <v>3</v>
      </c>
      <c r="C3395" t="str">
        <f>LEFT(Table4[[#This Row],[Policy Type]],1)</f>
        <v>2</v>
      </c>
    </row>
    <row r="3396" spans="1:3" x14ac:dyDescent="0.25">
      <c r="A3396">
        <v>216986</v>
      </c>
      <c r="B3396" t="s">
        <v>2</v>
      </c>
      <c r="C3396" t="str">
        <f>LEFT(Table4[[#This Row],[Policy Type]],1)</f>
        <v>1</v>
      </c>
    </row>
    <row r="3397" spans="1:3" x14ac:dyDescent="0.25">
      <c r="A3397">
        <v>217101</v>
      </c>
      <c r="B3397" t="s">
        <v>2</v>
      </c>
      <c r="C3397" t="str">
        <f>LEFT(Table4[[#This Row],[Policy Type]],1)</f>
        <v>1</v>
      </c>
    </row>
    <row r="3398" spans="1:3" x14ac:dyDescent="0.25">
      <c r="A3398">
        <v>217172</v>
      </c>
      <c r="B3398" t="s">
        <v>3</v>
      </c>
      <c r="C3398" t="str">
        <f>LEFT(Table4[[#This Row],[Policy Type]],1)</f>
        <v>2</v>
      </c>
    </row>
    <row r="3399" spans="1:3" x14ac:dyDescent="0.25">
      <c r="A3399">
        <v>217473</v>
      </c>
      <c r="B3399" t="s">
        <v>2</v>
      </c>
      <c r="C3399" t="str">
        <f>LEFT(Table4[[#This Row],[Policy Type]],1)</f>
        <v>1</v>
      </c>
    </row>
    <row r="3400" spans="1:3" x14ac:dyDescent="0.25">
      <c r="A3400">
        <v>217565</v>
      </c>
      <c r="B3400" t="s">
        <v>3</v>
      </c>
      <c r="C3400" t="str">
        <f>LEFT(Table4[[#This Row],[Policy Type]],1)</f>
        <v>2</v>
      </c>
    </row>
    <row r="3401" spans="1:3" x14ac:dyDescent="0.25">
      <c r="A3401">
        <v>217588</v>
      </c>
      <c r="B3401" t="s">
        <v>3</v>
      </c>
      <c r="C3401" t="str">
        <f>LEFT(Table4[[#This Row],[Policy Type]],1)</f>
        <v>2</v>
      </c>
    </row>
    <row r="3402" spans="1:3" x14ac:dyDescent="0.25">
      <c r="A3402">
        <v>217282</v>
      </c>
      <c r="B3402" t="s">
        <v>2</v>
      </c>
      <c r="C3402" t="str">
        <f>LEFT(Table4[[#This Row],[Policy Type]],1)</f>
        <v>1</v>
      </c>
    </row>
    <row r="3403" spans="1:3" x14ac:dyDescent="0.25">
      <c r="A3403">
        <v>217315</v>
      </c>
      <c r="B3403" t="s">
        <v>3</v>
      </c>
      <c r="C3403" t="str">
        <f>LEFT(Table4[[#This Row],[Policy Type]],1)</f>
        <v>2</v>
      </c>
    </row>
    <row r="3404" spans="1:3" x14ac:dyDescent="0.25">
      <c r="A3404">
        <v>217390</v>
      </c>
      <c r="B3404" t="s">
        <v>3</v>
      </c>
      <c r="C3404" t="str">
        <f>LEFT(Table4[[#This Row],[Policy Type]],1)</f>
        <v>2</v>
      </c>
    </row>
    <row r="3405" spans="1:3" x14ac:dyDescent="0.25">
      <c r="A3405">
        <v>217395</v>
      </c>
      <c r="B3405" t="s">
        <v>2</v>
      </c>
      <c r="C3405" t="str">
        <f>LEFT(Table4[[#This Row],[Policy Type]],1)</f>
        <v>1</v>
      </c>
    </row>
    <row r="3406" spans="1:3" x14ac:dyDescent="0.25">
      <c r="A3406">
        <v>217609</v>
      </c>
      <c r="B3406" t="s">
        <v>2</v>
      </c>
      <c r="C3406" t="str">
        <f>LEFT(Table4[[#This Row],[Policy Type]],1)</f>
        <v>1</v>
      </c>
    </row>
    <row r="3407" spans="1:3" x14ac:dyDescent="0.25">
      <c r="A3407">
        <v>217613</v>
      </c>
      <c r="B3407" t="s">
        <v>3</v>
      </c>
      <c r="C3407" t="str">
        <f>LEFT(Table4[[#This Row],[Policy Type]],1)</f>
        <v>2</v>
      </c>
    </row>
    <row r="3408" spans="1:3" x14ac:dyDescent="0.25">
      <c r="A3408">
        <v>217666</v>
      </c>
      <c r="B3408" t="s">
        <v>2</v>
      </c>
      <c r="C3408" t="str">
        <f>LEFT(Table4[[#This Row],[Policy Type]],1)</f>
        <v>1</v>
      </c>
    </row>
    <row r="3409" spans="1:3" x14ac:dyDescent="0.25">
      <c r="A3409">
        <v>217674</v>
      </c>
      <c r="B3409" t="s">
        <v>3</v>
      </c>
      <c r="C3409" t="str">
        <f>LEFT(Table4[[#This Row],[Policy Type]],1)</f>
        <v>2</v>
      </c>
    </row>
    <row r="3410" spans="1:3" x14ac:dyDescent="0.25">
      <c r="A3410">
        <v>217715</v>
      </c>
      <c r="B3410" t="s">
        <v>3</v>
      </c>
      <c r="C3410" t="str">
        <f>LEFT(Table4[[#This Row],[Policy Type]],1)</f>
        <v>2</v>
      </c>
    </row>
    <row r="3411" spans="1:3" x14ac:dyDescent="0.25">
      <c r="A3411">
        <v>217737</v>
      </c>
      <c r="B3411" t="s">
        <v>3</v>
      </c>
      <c r="C3411" t="str">
        <f>LEFT(Table4[[#This Row],[Policy Type]],1)</f>
        <v>2</v>
      </c>
    </row>
    <row r="3412" spans="1:3" x14ac:dyDescent="0.25">
      <c r="A3412">
        <v>217781</v>
      </c>
      <c r="B3412" t="s">
        <v>3</v>
      </c>
      <c r="C3412" t="str">
        <f>LEFT(Table4[[#This Row],[Policy Type]],1)</f>
        <v>2</v>
      </c>
    </row>
    <row r="3413" spans="1:3" x14ac:dyDescent="0.25">
      <c r="A3413">
        <v>217826</v>
      </c>
      <c r="B3413" t="s">
        <v>3</v>
      </c>
      <c r="C3413" t="str">
        <f>LEFT(Table4[[#This Row],[Policy Type]],1)</f>
        <v>2</v>
      </c>
    </row>
    <row r="3414" spans="1:3" x14ac:dyDescent="0.25">
      <c r="A3414">
        <v>217846</v>
      </c>
      <c r="B3414" t="s">
        <v>2</v>
      </c>
      <c r="C3414" t="str">
        <f>LEFT(Table4[[#This Row],[Policy Type]],1)</f>
        <v>1</v>
      </c>
    </row>
    <row r="3415" spans="1:3" x14ac:dyDescent="0.25">
      <c r="A3415">
        <v>217855</v>
      </c>
      <c r="B3415" t="s">
        <v>3</v>
      </c>
      <c r="C3415" t="str">
        <f>LEFT(Table4[[#This Row],[Policy Type]],1)</f>
        <v>2</v>
      </c>
    </row>
    <row r="3416" spans="1:3" x14ac:dyDescent="0.25">
      <c r="A3416">
        <v>217873</v>
      </c>
      <c r="B3416" t="s">
        <v>2</v>
      </c>
      <c r="C3416" t="str">
        <f>LEFT(Table4[[#This Row],[Policy Type]],1)</f>
        <v>1</v>
      </c>
    </row>
    <row r="3417" spans="1:3" x14ac:dyDescent="0.25">
      <c r="A3417">
        <v>217881</v>
      </c>
      <c r="B3417" t="s">
        <v>3</v>
      </c>
      <c r="C3417" t="str">
        <f>LEFT(Table4[[#This Row],[Policy Type]],1)</f>
        <v>2</v>
      </c>
    </row>
    <row r="3418" spans="1:3" x14ac:dyDescent="0.25">
      <c r="A3418">
        <v>217897</v>
      </c>
      <c r="B3418" t="s">
        <v>3</v>
      </c>
      <c r="C3418" t="str">
        <f>LEFT(Table4[[#This Row],[Policy Type]],1)</f>
        <v>2</v>
      </c>
    </row>
    <row r="3419" spans="1:3" x14ac:dyDescent="0.25">
      <c r="A3419">
        <v>217900</v>
      </c>
      <c r="B3419" t="s">
        <v>2</v>
      </c>
      <c r="C3419" t="str">
        <f>LEFT(Table4[[#This Row],[Policy Type]],1)</f>
        <v>1</v>
      </c>
    </row>
    <row r="3420" spans="1:3" x14ac:dyDescent="0.25">
      <c r="A3420">
        <v>217921</v>
      </c>
      <c r="B3420" t="s">
        <v>3</v>
      </c>
      <c r="C3420" t="str">
        <f>LEFT(Table4[[#This Row],[Policy Type]],1)</f>
        <v>2</v>
      </c>
    </row>
    <row r="3421" spans="1:3" x14ac:dyDescent="0.25">
      <c r="A3421">
        <v>217947</v>
      </c>
      <c r="B3421" t="s">
        <v>2</v>
      </c>
      <c r="C3421" t="str">
        <f>LEFT(Table4[[#This Row],[Policy Type]],1)</f>
        <v>1</v>
      </c>
    </row>
    <row r="3422" spans="1:3" x14ac:dyDescent="0.25">
      <c r="A3422">
        <v>217977</v>
      </c>
      <c r="B3422" t="s">
        <v>2</v>
      </c>
      <c r="C3422" t="str">
        <f>LEFT(Table4[[#This Row],[Policy Type]],1)</f>
        <v>1</v>
      </c>
    </row>
    <row r="3423" spans="1:3" x14ac:dyDescent="0.25">
      <c r="A3423">
        <v>218035</v>
      </c>
      <c r="B3423" t="s">
        <v>3</v>
      </c>
      <c r="C3423" t="str">
        <f>LEFT(Table4[[#This Row],[Policy Type]],1)</f>
        <v>2</v>
      </c>
    </row>
    <row r="3424" spans="1:3" x14ac:dyDescent="0.25">
      <c r="A3424">
        <v>218079</v>
      </c>
      <c r="B3424" t="s">
        <v>2</v>
      </c>
      <c r="C3424" t="str">
        <f>LEFT(Table4[[#This Row],[Policy Type]],1)</f>
        <v>1</v>
      </c>
    </row>
    <row r="3425" spans="1:3" x14ac:dyDescent="0.25">
      <c r="A3425">
        <v>218091</v>
      </c>
      <c r="B3425" t="s">
        <v>3</v>
      </c>
      <c r="C3425" t="str">
        <f>LEFT(Table4[[#This Row],[Policy Type]],1)</f>
        <v>2</v>
      </c>
    </row>
    <row r="3426" spans="1:3" x14ac:dyDescent="0.25">
      <c r="A3426">
        <v>218103</v>
      </c>
      <c r="B3426" t="s">
        <v>2</v>
      </c>
      <c r="C3426" t="str">
        <f>LEFT(Table4[[#This Row],[Policy Type]],1)</f>
        <v>1</v>
      </c>
    </row>
    <row r="3427" spans="1:3" x14ac:dyDescent="0.25">
      <c r="A3427">
        <v>218120</v>
      </c>
      <c r="B3427" t="s">
        <v>3</v>
      </c>
      <c r="C3427" t="str">
        <f>LEFT(Table4[[#This Row],[Policy Type]],1)</f>
        <v>2</v>
      </c>
    </row>
    <row r="3428" spans="1:3" x14ac:dyDescent="0.25">
      <c r="A3428">
        <v>218148</v>
      </c>
      <c r="B3428" t="s">
        <v>3</v>
      </c>
      <c r="C3428" t="str">
        <f>LEFT(Table4[[#This Row],[Policy Type]],1)</f>
        <v>2</v>
      </c>
    </row>
    <row r="3429" spans="1:3" x14ac:dyDescent="0.25">
      <c r="A3429">
        <v>218509</v>
      </c>
      <c r="B3429" t="s">
        <v>3</v>
      </c>
      <c r="C3429" t="str">
        <f>LEFT(Table4[[#This Row],[Policy Type]],1)</f>
        <v>2</v>
      </c>
    </row>
    <row r="3430" spans="1:3" x14ac:dyDescent="0.25">
      <c r="A3430">
        <v>218561</v>
      </c>
      <c r="B3430" t="s">
        <v>3</v>
      </c>
      <c r="C3430" t="str">
        <f>LEFT(Table4[[#This Row],[Policy Type]],1)</f>
        <v>2</v>
      </c>
    </row>
    <row r="3431" spans="1:3" x14ac:dyDescent="0.25">
      <c r="A3431">
        <v>218262</v>
      </c>
      <c r="B3431" t="s">
        <v>2</v>
      </c>
      <c r="C3431" t="str">
        <f>LEFT(Table4[[#This Row],[Policy Type]],1)</f>
        <v>1</v>
      </c>
    </row>
    <row r="3432" spans="1:3" x14ac:dyDescent="0.25">
      <c r="A3432">
        <v>218323</v>
      </c>
      <c r="B3432" t="s">
        <v>3</v>
      </c>
      <c r="C3432" t="str">
        <f>LEFT(Table4[[#This Row],[Policy Type]],1)</f>
        <v>2</v>
      </c>
    </row>
    <row r="3433" spans="1:3" x14ac:dyDescent="0.25">
      <c r="A3433">
        <v>218328</v>
      </c>
      <c r="B3433" t="s">
        <v>2</v>
      </c>
      <c r="C3433" t="str">
        <f>LEFT(Table4[[#This Row],[Policy Type]],1)</f>
        <v>1</v>
      </c>
    </row>
    <row r="3434" spans="1:3" x14ac:dyDescent="0.25">
      <c r="A3434">
        <v>218332</v>
      </c>
      <c r="B3434" t="s">
        <v>2</v>
      </c>
      <c r="C3434" t="str">
        <f>LEFT(Table4[[#This Row],[Policy Type]],1)</f>
        <v>1</v>
      </c>
    </row>
    <row r="3435" spans="1:3" x14ac:dyDescent="0.25">
      <c r="A3435">
        <v>218375</v>
      </c>
      <c r="B3435" t="s">
        <v>3</v>
      </c>
      <c r="C3435" t="str">
        <f>LEFT(Table4[[#This Row],[Policy Type]],1)</f>
        <v>2</v>
      </c>
    </row>
    <row r="3436" spans="1:3" x14ac:dyDescent="0.25">
      <c r="A3436">
        <v>218604</v>
      </c>
      <c r="B3436" t="s">
        <v>3</v>
      </c>
      <c r="C3436" t="str">
        <f>LEFT(Table4[[#This Row],[Policy Type]],1)</f>
        <v>2</v>
      </c>
    </row>
    <row r="3437" spans="1:3" x14ac:dyDescent="0.25">
      <c r="A3437">
        <v>218610</v>
      </c>
      <c r="B3437" t="s">
        <v>2</v>
      </c>
      <c r="C3437" t="str">
        <f>LEFT(Table4[[#This Row],[Policy Type]],1)</f>
        <v>1</v>
      </c>
    </row>
    <row r="3438" spans="1:3" x14ac:dyDescent="0.25">
      <c r="A3438">
        <v>218666</v>
      </c>
      <c r="B3438" t="s">
        <v>3</v>
      </c>
      <c r="C3438" t="str">
        <f>LEFT(Table4[[#This Row],[Policy Type]],1)</f>
        <v>2</v>
      </c>
    </row>
    <row r="3439" spans="1:3" x14ac:dyDescent="0.25">
      <c r="A3439">
        <v>218776</v>
      </c>
      <c r="B3439" t="s">
        <v>3</v>
      </c>
      <c r="C3439" t="str">
        <f>LEFT(Table4[[#This Row],[Policy Type]],1)</f>
        <v>2</v>
      </c>
    </row>
    <row r="3440" spans="1:3" x14ac:dyDescent="0.25">
      <c r="A3440">
        <v>218849</v>
      </c>
      <c r="B3440" t="s">
        <v>3</v>
      </c>
      <c r="C3440" t="str">
        <f>LEFT(Table4[[#This Row],[Policy Type]],1)</f>
        <v>2</v>
      </c>
    </row>
    <row r="3441" spans="1:3" x14ac:dyDescent="0.25">
      <c r="A3441">
        <v>218868</v>
      </c>
      <c r="B3441" t="s">
        <v>2</v>
      </c>
      <c r="C3441" t="str">
        <f>LEFT(Table4[[#This Row],[Policy Type]],1)</f>
        <v>1</v>
      </c>
    </row>
    <row r="3442" spans="1:3" x14ac:dyDescent="0.25">
      <c r="A3442">
        <v>218873</v>
      </c>
      <c r="B3442" t="s">
        <v>3</v>
      </c>
      <c r="C3442" t="str">
        <f>LEFT(Table4[[#This Row],[Policy Type]],1)</f>
        <v>2</v>
      </c>
    </row>
    <row r="3443" spans="1:3" x14ac:dyDescent="0.25">
      <c r="A3443">
        <v>218891</v>
      </c>
      <c r="B3443" t="s">
        <v>2</v>
      </c>
      <c r="C3443" t="str">
        <f>LEFT(Table4[[#This Row],[Policy Type]],1)</f>
        <v>1</v>
      </c>
    </row>
    <row r="3444" spans="1:3" x14ac:dyDescent="0.25">
      <c r="A3444">
        <v>218893</v>
      </c>
      <c r="B3444" t="s">
        <v>2</v>
      </c>
      <c r="C3444" t="str">
        <f>LEFT(Table4[[#This Row],[Policy Type]],1)</f>
        <v>1</v>
      </c>
    </row>
    <row r="3445" spans="1:3" x14ac:dyDescent="0.25">
      <c r="A3445">
        <v>218910</v>
      </c>
      <c r="B3445" t="s">
        <v>2</v>
      </c>
      <c r="C3445" t="str">
        <f>LEFT(Table4[[#This Row],[Policy Type]],1)</f>
        <v>1</v>
      </c>
    </row>
    <row r="3446" spans="1:3" x14ac:dyDescent="0.25">
      <c r="A3446">
        <v>218933</v>
      </c>
      <c r="B3446" t="s">
        <v>3</v>
      </c>
      <c r="C3446" t="str">
        <f>LEFT(Table4[[#This Row],[Policy Type]],1)</f>
        <v>2</v>
      </c>
    </row>
    <row r="3447" spans="1:3" x14ac:dyDescent="0.25">
      <c r="A3447">
        <v>218935</v>
      </c>
      <c r="B3447" t="s">
        <v>3</v>
      </c>
      <c r="C3447" t="str">
        <f>LEFT(Table4[[#This Row],[Policy Type]],1)</f>
        <v>2</v>
      </c>
    </row>
    <row r="3448" spans="1:3" x14ac:dyDescent="0.25">
      <c r="A3448">
        <v>218985</v>
      </c>
      <c r="B3448" t="s">
        <v>3</v>
      </c>
      <c r="C3448" t="str">
        <f>LEFT(Table4[[#This Row],[Policy Type]],1)</f>
        <v>2</v>
      </c>
    </row>
    <row r="3449" spans="1:3" x14ac:dyDescent="0.25">
      <c r="A3449">
        <v>219000</v>
      </c>
      <c r="B3449" t="s">
        <v>3</v>
      </c>
      <c r="C3449" t="str">
        <f>LEFT(Table4[[#This Row],[Policy Type]],1)</f>
        <v>2</v>
      </c>
    </row>
    <row r="3450" spans="1:3" x14ac:dyDescent="0.25">
      <c r="A3450">
        <v>219052</v>
      </c>
      <c r="B3450" t="s">
        <v>3</v>
      </c>
      <c r="C3450" t="str">
        <f>LEFT(Table4[[#This Row],[Policy Type]],1)</f>
        <v>2</v>
      </c>
    </row>
    <row r="3451" spans="1:3" x14ac:dyDescent="0.25">
      <c r="A3451">
        <v>219093</v>
      </c>
      <c r="B3451" t="s">
        <v>3</v>
      </c>
      <c r="C3451" t="str">
        <f>LEFT(Table4[[#This Row],[Policy Type]],1)</f>
        <v>2</v>
      </c>
    </row>
    <row r="3452" spans="1:3" x14ac:dyDescent="0.25">
      <c r="A3452">
        <v>219283</v>
      </c>
      <c r="B3452" t="s">
        <v>3</v>
      </c>
      <c r="C3452" t="str">
        <f>LEFT(Table4[[#This Row],[Policy Type]],1)</f>
        <v>2</v>
      </c>
    </row>
    <row r="3453" spans="1:3" x14ac:dyDescent="0.25">
      <c r="A3453">
        <v>219357</v>
      </c>
      <c r="B3453" t="s">
        <v>2</v>
      </c>
      <c r="C3453" t="str">
        <f>LEFT(Table4[[#This Row],[Policy Type]],1)</f>
        <v>1</v>
      </c>
    </row>
    <row r="3454" spans="1:3" x14ac:dyDescent="0.25">
      <c r="A3454">
        <v>219366</v>
      </c>
      <c r="B3454" t="s">
        <v>2</v>
      </c>
      <c r="C3454" t="str">
        <f>LEFT(Table4[[#This Row],[Policy Type]],1)</f>
        <v>1</v>
      </c>
    </row>
    <row r="3455" spans="1:3" x14ac:dyDescent="0.25">
      <c r="A3455">
        <v>219454</v>
      </c>
      <c r="B3455" t="s">
        <v>3</v>
      </c>
      <c r="C3455" t="str">
        <f>LEFT(Table4[[#This Row],[Policy Type]],1)</f>
        <v>2</v>
      </c>
    </row>
    <row r="3456" spans="1:3" x14ac:dyDescent="0.25">
      <c r="A3456">
        <v>219457</v>
      </c>
      <c r="B3456" t="s">
        <v>2</v>
      </c>
      <c r="C3456" t="str">
        <f>LEFT(Table4[[#This Row],[Policy Type]],1)</f>
        <v>1</v>
      </c>
    </row>
    <row r="3457" spans="1:3" x14ac:dyDescent="0.25">
      <c r="A3457">
        <v>219507</v>
      </c>
      <c r="B3457" t="s">
        <v>2</v>
      </c>
      <c r="C3457" t="str">
        <f>LEFT(Table4[[#This Row],[Policy Type]],1)</f>
        <v>1</v>
      </c>
    </row>
    <row r="3458" spans="1:3" x14ac:dyDescent="0.25">
      <c r="A3458">
        <v>219517</v>
      </c>
      <c r="B3458" t="s">
        <v>3</v>
      </c>
      <c r="C3458" t="str">
        <f>LEFT(Table4[[#This Row],[Policy Type]],1)</f>
        <v>2</v>
      </c>
    </row>
    <row r="3459" spans="1:3" x14ac:dyDescent="0.25">
      <c r="A3459">
        <v>219521</v>
      </c>
      <c r="B3459" t="s">
        <v>3</v>
      </c>
      <c r="C3459" t="str">
        <f>LEFT(Table4[[#This Row],[Policy Type]],1)</f>
        <v>2</v>
      </c>
    </row>
    <row r="3460" spans="1:3" x14ac:dyDescent="0.25">
      <c r="A3460">
        <v>219585</v>
      </c>
      <c r="B3460" t="s">
        <v>3</v>
      </c>
      <c r="C3460" t="str">
        <f>LEFT(Table4[[#This Row],[Policy Type]],1)</f>
        <v>2</v>
      </c>
    </row>
    <row r="3461" spans="1:3" x14ac:dyDescent="0.25">
      <c r="A3461">
        <v>219586</v>
      </c>
      <c r="B3461" t="s">
        <v>2</v>
      </c>
      <c r="C3461" t="str">
        <f>LEFT(Table4[[#This Row],[Policy Type]],1)</f>
        <v>1</v>
      </c>
    </row>
    <row r="3462" spans="1:3" x14ac:dyDescent="0.25">
      <c r="A3462">
        <v>219632</v>
      </c>
      <c r="B3462" t="s">
        <v>3</v>
      </c>
      <c r="C3462" t="str">
        <f>LEFT(Table4[[#This Row],[Policy Type]],1)</f>
        <v>2</v>
      </c>
    </row>
    <row r="3463" spans="1:3" x14ac:dyDescent="0.25">
      <c r="A3463">
        <v>219798</v>
      </c>
      <c r="B3463" t="s">
        <v>2</v>
      </c>
      <c r="C3463" t="str">
        <f>LEFT(Table4[[#This Row],[Policy Type]],1)</f>
        <v>1</v>
      </c>
    </row>
    <row r="3464" spans="1:3" x14ac:dyDescent="0.25">
      <c r="A3464">
        <v>219806</v>
      </c>
      <c r="B3464" t="s">
        <v>2</v>
      </c>
      <c r="C3464" t="str">
        <f>LEFT(Table4[[#This Row],[Policy Type]],1)</f>
        <v>1</v>
      </c>
    </row>
    <row r="3465" spans="1:3" x14ac:dyDescent="0.25">
      <c r="A3465">
        <v>219833</v>
      </c>
      <c r="B3465" t="s">
        <v>3</v>
      </c>
      <c r="C3465" t="str">
        <f>LEFT(Table4[[#This Row],[Policy Type]],1)</f>
        <v>2</v>
      </c>
    </row>
    <row r="3466" spans="1:3" x14ac:dyDescent="0.25">
      <c r="A3466">
        <v>219876</v>
      </c>
      <c r="B3466" t="s">
        <v>3</v>
      </c>
      <c r="C3466" t="str">
        <f>LEFT(Table4[[#This Row],[Policy Type]],1)</f>
        <v>2</v>
      </c>
    </row>
    <row r="3467" spans="1:3" x14ac:dyDescent="0.25">
      <c r="A3467">
        <v>219902</v>
      </c>
      <c r="B3467" t="s">
        <v>3</v>
      </c>
      <c r="C3467" t="str">
        <f>LEFT(Table4[[#This Row],[Policy Type]],1)</f>
        <v>2</v>
      </c>
    </row>
    <row r="3468" spans="1:3" x14ac:dyDescent="0.25">
      <c r="A3468">
        <v>219925</v>
      </c>
      <c r="B3468" t="s">
        <v>3</v>
      </c>
      <c r="C3468" t="str">
        <f>LEFT(Table4[[#This Row],[Policy Type]],1)</f>
        <v>2</v>
      </c>
    </row>
    <row r="3469" spans="1:3" x14ac:dyDescent="0.25">
      <c r="A3469">
        <v>219931</v>
      </c>
      <c r="B3469" t="s">
        <v>2</v>
      </c>
      <c r="C3469" t="str">
        <f>LEFT(Table4[[#This Row],[Policy Type]],1)</f>
        <v>1</v>
      </c>
    </row>
    <row r="3470" spans="1:3" x14ac:dyDescent="0.25">
      <c r="A3470">
        <v>219987</v>
      </c>
      <c r="B3470" t="s">
        <v>2</v>
      </c>
      <c r="C3470" t="str">
        <f>LEFT(Table4[[#This Row],[Policy Type]],1)</f>
        <v>1</v>
      </c>
    </row>
    <row r="3471" spans="1:3" x14ac:dyDescent="0.25">
      <c r="A3471">
        <v>220092</v>
      </c>
      <c r="B3471" t="s">
        <v>2</v>
      </c>
      <c r="C3471" t="str">
        <f>LEFT(Table4[[#This Row],[Policy Type]],1)</f>
        <v>1</v>
      </c>
    </row>
    <row r="3472" spans="1:3" x14ac:dyDescent="0.25">
      <c r="A3472">
        <v>220210</v>
      </c>
      <c r="B3472" t="s">
        <v>3</v>
      </c>
      <c r="C3472" t="str">
        <f>LEFT(Table4[[#This Row],[Policy Type]],1)</f>
        <v>2</v>
      </c>
    </row>
    <row r="3473" spans="1:3" x14ac:dyDescent="0.25">
      <c r="A3473">
        <v>220241</v>
      </c>
      <c r="B3473" t="s">
        <v>3</v>
      </c>
      <c r="C3473" t="str">
        <f>LEFT(Table4[[#This Row],[Policy Type]],1)</f>
        <v>2</v>
      </c>
    </row>
    <row r="3474" spans="1:3" x14ac:dyDescent="0.25">
      <c r="A3474">
        <v>220273</v>
      </c>
      <c r="B3474" t="s">
        <v>3</v>
      </c>
      <c r="C3474" t="str">
        <f>LEFT(Table4[[#This Row],[Policy Type]],1)</f>
        <v>2</v>
      </c>
    </row>
    <row r="3475" spans="1:3" x14ac:dyDescent="0.25">
      <c r="A3475">
        <v>220274</v>
      </c>
      <c r="B3475" t="s">
        <v>2</v>
      </c>
      <c r="C3475" t="str">
        <f>LEFT(Table4[[#This Row],[Policy Type]],1)</f>
        <v>1</v>
      </c>
    </row>
    <row r="3476" spans="1:3" x14ac:dyDescent="0.25">
      <c r="A3476">
        <v>220306</v>
      </c>
      <c r="B3476" t="s">
        <v>2</v>
      </c>
      <c r="C3476" t="str">
        <f>LEFT(Table4[[#This Row],[Policy Type]],1)</f>
        <v>1</v>
      </c>
    </row>
    <row r="3477" spans="1:3" x14ac:dyDescent="0.25">
      <c r="A3477">
        <v>220312</v>
      </c>
      <c r="B3477" t="s">
        <v>2</v>
      </c>
      <c r="C3477" t="str">
        <f>LEFT(Table4[[#This Row],[Policy Type]],1)</f>
        <v>1</v>
      </c>
    </row>
    <row r="3478" spans="1:3" x14ac:dyDescent="0.25">
      <c r="A3478">
        <v>220379</v>
      </c>
      <c r="B3478" t="s">
        <v>3</v>
      </c>
      <c r="C3478" t="str">
        <f>LEFT(Table4[[#This Row],[Policy Type]],1)</f>
        <v>2</v>
      </c>
    </row>
    <row r="3479" spans="1:3" x14ac:dyDescent="0.25">
      <c r="A3479">
        <v>220654</v>
      </c>
      <c r="B3479" t="s">
        <v>3</v>
      </c>
      <c r="C3479" t="str">
        <f>LEFT(Table4[[#This Row],[Policy Type]],1)</f>
        <v>2</v>
      </c>
    </row>
    <row r="3480" spans="1:3" x14ac:dyDescent="0.25">
      <c r="A3480">
        <v>220683</v>
      </c>
      <c r="B3480" t="s">
        <v>2</v>
      </c>
      <c r="C3480" t="str">
        <f>LEFT(Table4[[#This Row],[Policy Type]],1)</f>
        <v>1</v>
      </c>
    </row>
    <row r="3481" spans="1:3" x14ac:dyDescent="0.25">
      <c r="A3481">
        <v>220763</v>
      </c>
      <c r="B3481" t="s">
        <v>3</v>
      </c>
      <c r="C3481" t="str">
        <f>LEFT(Table4[[#This Row],[Policy Type]],1)</f>
        <v>2</v>
      </c>
    </row>
    <row r="3482" spans="1:3" x14ac:dyDescent="0.25">
      <c r="A3482">
        <v>220439</v>
      </c>
      <c r="B3482" t="s">
        <v>3</v>
      </c>
      <c r="C3482" t="str">
        <f>LEFT(Table4[[#This Row],[Policy Type]],1)</f>
        <v>2</v>
      </c>
    </row>
    <row r="3483" spans="1:3" x14ac:dyDescent="0.25">
      <c r="A3483">
        <v>220489</v>
      </c>
      <c r="B3483" t="s">
        <v>2</v>
      </c>
      <c r="C3483" t="str">
        <f>LEFT(Table4[[#This Row],[Policy Type]],1)</f>
        <v>1</v>
      </c>
    </row>
    <row r="3484" spans="1:3" x14ac:dyDescent="0.25">
      <c r="A3484">
        <v>220492</v>
      </c>
      <c r="B3484" t="s">
        <v>2</v>
      </c>
      <c r="C3484" t="str">
        <f>LEFT(Table4[[#This Row],[Policy Type]],1)</f>
        <v>1</v>
      </c>
    </row>
    <row r="3485" spans="1:3" x14ac:dyDescent="0.25">
      <c r="A3485">
        <v>220516</v>
      </c>
      <c r="B3485" t="s">
        <v>3</v>
      </c>
      <c r="C3485" t="str">
        <f>LEFT(Table4[[#This Row],[Policy Type]],1)</f>
        <v>2</v>
      </c>
    </row>
    <row r="3486" spans="1:3" x14ac:dyDescent="0.25">
      <c r="A3486">
        <v>220526</v>
      </c>
      <c r="B3486" t="s">
        <v>3</v>
      </c>
      <c r="C3486" t="str">
        <f>LEFT(Table4[[#This Row],[Policy Type]],1)</f>
        <v>2</v>
      </c>
    </row>
    <row r="3487" spans="1:3" x14ac:dyDescent="0.25">
      <c r="A3487">
        <v>220590</v>
      </c>
      <c r="B3487" t="s">
        <v>3</v>
      </c>
      <c r="C3487" t="str">
        <f>LEFT(Table4[[#This Row],[Policy Type]],1)</f>
        <v>2</v>
      </c>
    </row>
    <row r="3488" spans="1:3" x14ac:dyDescent="0.25">
      <c r="A3488">
        <v>228002</v>
      </c>
      <c r="B3488" t="s">
        <v>2</v>
      </c>
      <c r="C3488" t="str">
        <f>LEFT(Table4[[#This Row],[Policy Type]],1)</f>
        <v>1</v>
      </c>
    </row>
    <row r="3489" spans="1:3" x14ac:dyDescent="0.25">
      <c r="A3489">
        <v>220828</v>
      </c>
      <c r="B3489" t="s">
        <v>2</v>
      </c>
      <c r="C3489" t="str">
        <f>LEFT(Table4[[#This Row],[Policy Type]],1)</f>
        <v>1</v>
      </c>
    </row>
    <row r="3490" spans="1:3" x14ac:dyDescent="0.25">
      <c r="A3490">
        <v>220839</v>
      </c>
      <c r="B3490" t="s">
        <v>2</v>
      </c>
      <c r="C3490" t="str">
        <f>LEFT(Table4[[#This Row],[Policy Type]],1)</f>
        <v>1</v>
      </c>
    </row>
    <row r="3491" spans="1:3" x14ac:dyDescent="0.25">
      <c r="A3491">
        <v>220980</v>
      </c>
      <c r="B3491" t="s">
        <v>3</v>
      </c>
      <c r="C3491" t="str">
        <f>LEFT(Table4[[#This Row],[Policy Type]],1)</f>
        <v>2</v>
      </c>
    </row>
    <row r="3492" spans="1:3" x14ac:dyDescent="0.25">
      <c r="A3492">
        <v>220994</v>
      </c>
      <c r="B3492" t="s">
        <v>2</v>
      </c>
      <c r="C3492" t="str">
        <f>LEFT(Table4[[#This Row],[Policy Type]],1)</f>
        <v>1</v>
      </c>
    </row>
    <row r="3493" spans="1:3" x14ac:dyDescent="0.25">
      <c r="A3493">
        <v>221074</v>
      </c>
      <c r="B3493" t="s">
        <v>2</v>
      </c>
      <c r="C3493" t="str">
        <f>LEFT(Table4[[#This Row],[Policy Type]],1)</f>
        <v>1</v>
      </c>
    </row>
    <row r="3494" spans="1:3" x14ac:dyDescent="0.25">
      <c r="A3494">
        <v>221097</v>
      </c>
      <c r="B3494" t="s">
        <v>3</v>
      </c>
      <c r="C3494" t="str">
        <f>LEFT(Table4[[#This Row],[Policy Type]],1)</f>
        <v>2</v>
      </c>
    </row>
    <row r="3495" spans="1:3" x14ac:dyDescent="0.25">
      <c r="A3495">
        <v>221445</v>
      </c>
      <c r="B3495" t="s">
        <v>2</v>
      </c>
      <c r="C3495" t="str">
        <f>LEFT(Table4[[#This Row],[Policy Type]],1)</f>
        <v>1</v>
      </c>
    </row>
    <row r="3496" spans="1:3" x14ac:dyDescent="0.25">
      <c r="A3496">
        <v>221513</v>
      </c>
      <c r="B3496" t="s">
        <v>3</v>
      </c>
      <c r="C3496" t="str">
        <f>LEFT(Table4[[#This Row],[Policy Type]],1)</f>
        <v>2</v>
      </c>
    </row>
    <row r="3497" spans="1:3" x14ac:dyDescent="0.25">
      <c r="A3497">
        <v>221543</v>
      </c>
      <c r="B3497" t="s">
        <v>2</v>
      </c>
      <c r="C3497" t="str">
        <f>LEFT(Table4[[#This Row],[Policy Type]],1)</f>
        <v>1</v>
      </c>
    </row>
    <row r="3498" spans="1:3" x14ac:dyDescent="0.25">
      <c r="A3498">
        <v>221230</v>
      </c>
      <c r="B3498" t="s">
        <v>2</v>
      </c>
      <c r="C3498" t="str">
        <f>LEFT(Table4[[#This Row],[Policy Type]],1)</f>
        <v>1</v>
      </c>
    </row>
    <row r="3499" spans="1:3" x14ac:dyDescent="0.25">
      <c r="A3499">
        <v>221265</v>
      </c>
      <c r="B3499" t="s">
        <v>2</v>
      </c>
      <c r="C3499" t="str">
        <f>LEFT(Table4[[#This Row],[Policy Type]],1)</f>
        <v>1</v>
      </c>
    </row>
    <row r="3500" spans="1:3" x14ac:dyDescent="0.25">
      <c r="A3500">
        <v>221311</v>
      </c>
      <c r="B3500" t="s">
        <v>3</v>
      </c>
      <c r="C3500" t="str">
        <f>LEFT(Table4[[#This Row],[Policy Type]],1)</f>
        <v>2</v>
      </c>
    </row>
    <row r="3501" spans="1:3" x14ac:dyDescent="0.25">
      <c r="A3501">
        <v>221317</v>
      </c>
      <c r="B3501" t="s">
        <v>3</v>
      </c>
      <c r="C3501" t="str">
        <f>LEFT(Table4[[#This Row],[Policy Type]],1)</f>
        <v>2</v>
      </c>
    </row>
    <row r="3502" spans="1:3" x14ac:dyDescent="0.25">
      <c r="A3502">
        <v>221361</v>
      </c>
      <c r="B3502" t="s">
        <v>2</v>
      </c>
      <c r="C3502" t="str">
        <f>LEFT(Table4[[#This Row],[Policy Type]],1)</f>
        <v>1</v>
      </c>
    </row>
    <row r="3503" spans="1:3" x14ac:dyDescent="0.25">
      <c r="A3503">
        <v>221368</v>
      </c>
      <c r="B3503" t="s">
        <v>2</v>
      </c>
      <c r="C3503" t="str">
        <f>LEFT(Table4[[#This Row],[Policy Type]],1)</f>
        <v>1</v>
      </c>
    </row>
    <row r="3504" spans="1:3" x14ac:dyDescent="0.25">
      <c r="A3504">
        <v>221373</v>
      </c>
      <c r="B3504" t="s">
        <v>3</v>
      </c>
      <c r="C3504" t="str">
        <f>LEFT(Table4[[#This Row],[Policy Type]],1)</f>
        <v>2</v>
      </c>
    </row>
    <row r="3505" spans="1:3" x14ac:dyDescent="0.25">
      <c r="A3505">
        <v>221385</v>
      </c>
      <c r="B3505" t="s">
        <v>2</v>
      </c>
      <c r="C3505" t="str">
        <f>LEFT(Table4[[#This Row],[Policy Type]],1)</f>
        <v>1</v>
      </c>
    </row>
    <row r="3506" spans="1:3" x14ac:dyDescent="0.25">
      <c r="A3506">
        <v>221660</v>
      </c>
      <c r="B3506" t="s">
        <v>3</v>
      </c>
      <c r="C3506" t="str">
        <f>LEFT(Table4[[#This Row],[Policy Type]],1)</f>
        <v>2</v>
      </c>
    </row>
    <row r="3507" spans="1:3" x14ac:dyDescent="0.25">
      <c r="A3507">
        <v>221698</v>
      </c>
      <c r="B3507" t="s">
        <v>2</v>
      </c>
      <c r="C3507" t="str">
        <f>LEFT(Table4[[#This Row],[Policy Type]],1)</f>
        <v>1</v>
      </c>
    </row>
    <row r="3508" spans="1:3" x14ac:dyDescent="0.25">
      <c r="A3508">
        <v>221754</v>
      </c>
      <c r="B3508" t="s">
        <v>3</v>
      </c>
      <c r="C3508" t="str">
        <f>LEFT(Table4[[#This Row],[Policy Type]],1)</f>
        <v>2</v>
      </c>
    </row>
    <row r="3509" spans="1:3" x14ac:dyDescent="0.25">
      <c r="A3509">
        <v>221798</v>
      </c>
      <c r="B3509" t="s">
        <v>3</v>
      </c>
      <c r="C3509" t="str">
        <f>LEFT(Table4[[#This Row],[Policy Type]],1)</f>
        <v>2</v>
      </c>
    </row>
    <row r="3510" spans="1:3" x14ac:dyDescent="0.25">
      <c r="A3510">
        <v>221800</v>
      </c>
      <c r="B3510" t="s">
        <v>2</v>
      </c>
      <c r="C3510" t="str">
        <f>LEFT(Table4[[#This Row],[Policy Type]],1)</f>
        <v>1</v>
      </c>
    </row>
    <row r="3511" spans="1:3" x14ac:dyDescent="0.25">
      <c r="A3511">
        <v>221899</v>
      </c>
      <c r="B3511" t="s">
        <v>3</v>
      </c>
      <c r="C3511" t="str">
        <f>LEFT(Table4[[#This Row],[Policy Type]],1)</f>
        <v>2</v>
      </c>
    </row>
    <row r="3512" spans="1:3" x14ac:dyDescent="0.25">
      <c r="A3512">
        <v>221914</v>
      </c>
      <c r="B3512" t="s">
        <v>3</v>
      </c>
      <c r="C3512" t="str">
        <f>LEFT(Table4[[#This Row],[Policy Type]],1)</f>
        <v>2</v>
      </c>
    </row>
    <row r="3513" spans="1:3" x14ac:dyDescent="0.25">
      <c r="A3513">
        <v>221915</v>
      </c>
      <c r="B3513" t="s">
        <v>3</v>
      </c>
      <c r="C3513" t="str">
        <f>LEFT(Table4[[#This Row],[Policy Type]],1)</f>
        <v>2</v>
      </c>
    </row>
    <row r="3514" spans="1:3" x14ac:dyDescent="0.25">
      <c r="A3514">
        <v>221921</v>
      </c>
      <c r="B3514" t="s">
        <v>2</v>
      </c>
      <c r="C3514" t="str">
        <f>LEFT(Table4[[#This Row],[Policy Type]],1)</f>
        <v>1</v>
      </c>
    </row>
    <row r="3515" spans="1:3" x14ac:dyDescent="0.25">
      <c r="A3515">
        <v>221927</v>
      </c>
      <c r="B3515" t="s">
        <v>2</v>
      </c>
      <c r="C3515" t="str">
        <f>LEFT(Table4[[#This Row],[Policy Type]],1)</f>
        <v>1</v>
      </c>
    </row>
    <row r="3516" spans="1:3" x14ac:dyDescent="0.25">
      <c r="A3516">
        <v>222046</v>
      </c>
      <c r="B3516" t="s">
        <v>3</v>
      </c>
      <c r="C3516" t="str">
        <f>LEFT(Table4[[#This Row],[Policy Type]],1)</f>
        <v>2</v>
      </c>
    </row>
    <row r="3517" spans="1:3" x14ac:dyDescent="0.25">
      <c r="A3517">
        <v>222073</v>
      </c>
      <c r="B3517" t="s">
        <v>2</v>
      </c>
      <c r="C3517" t="str">
        <f>LEFT(Table4[[#This Row],[Policy Type]],1)</f>
        <v>1</v>
      </c>
    </row>
    <row r="3518" spans="1:3" x14ac:dyDescent="0.25">
      <c r="A3518">
        <v>222077</v>
      </c>
      <c r="B3518" t="s">
        <v>2</v>
      </c>
      <c r="C3518" t="str">
        <f>LEFT(Table4[[#This Row],[Policy Type]],1)</f>
        <v>1</v>
      </c>
    </row>
    <row r="3519" spans="1:3" x14ac:dyDescent="0.25">
      <c r="A3519">
        <v>222123</v>
      </c>
      <c r="B3519" t="s">
        <v>3</v>
      </c>
      <c r="C3519" t="str">
        <f>LEFT(Table4[[#This Row],[Policy Type]],1)</f>
        <v>2</v>
      </c>
    </row>
    <row r="3520" spans="1:3" x14ac:dyDescent="0.25">
      <c r="A3520">
        <v>222136</v>
      </c>
      <c r="B3520" t="s">
        <v>2</v>
      </c>
      <c r="C3520" t="str">
        <f>LEFT(Table4[[#This Row],[Policy Type]],1)</f>
        <v>1</v>
      </c>
    </row>
    <row r="3521" spans="1:3" x14ac:dyDescent="0.25">
      <c r="A3521">
        <v>222249</v>
      </c>
      <c r="B3521" t="s">
        <v>3</v>
      </c>
      <c r="C3521" t="str">
        <f>LEFT(Table4[[#This Row],[Policy Type]],1)</f>
        <v>2</v>
      </c>
    </row>
    <row r="3522" spans="1:3" x14ac:dyDescent="0.25">
      <c r="A3522">
        <v>222259</v>
      </c>
      <c r="B3522" t="s">
        <v>2</v>
      </c>
      <c r="C3522" t="str">
        <f>LEFT(Table4[[#This Row],[Policy Type]],1)</f>
        <v>1</v>
      </c>
    </row>
    <row r="3523" spans="1:3" x14ac:dyDescent="0.25">
      <c r="A3523">
        <v>222263</v>
      </c>
      <c r="B3523" t="s">
        <v>2</v>
      </c>
      <c r="C3523" t="str">
        <f>LEFT(Table4[[#This Row],[Policy Type]],1)</f>
        <v>1</v>
      </c>
    </row>
    <row r="3524" spans="1:3" x14ac:dyDescent="0.25">
      <c r="A3524">
        <v>222282</v>
      </c>
      <c r="B3524" t="s">
        <v>3</v>
      </c>
      <c r="C3524" t="str">
        <f>LEFT(Table4[[#This Row],[Policy Type]],1)</f>
        <v>2</v>
      </c>
    </row>
    <row r="3525" spans="1:3" x14ac:dyDescent="0.25">
      <c r="A3525">
        <v>222326</v>
      </c>
      <c r="B3525" t="s">
        <v>3</v>
      </c>
      <c r="C3525" t="str">
        <f>LEFT(Table4[[#This Row],[Policy Type]],1)</f>
        <v>2</v>
      </c>
    </row>
    <row r="3526" spans="1:3" x14ac:dyDescent="0.25">
      <c r="A3526">
        <v>222332</v>
      </c>
      <c r="B3526" t="s">
        <v>3</v>
      </c>
      <c r="C3526" t="str">
        <f>LEFT(Table4[[#This Row],[Policy Type]],1)</f>
        <v>2</v>
      </c>
    </row>
    <row r="3527" spans="1:3" x14ac:dyDescent="0.25">
      <c r="A3527">
        <v>222345</v>
      </c>
      <c r="B3527" t="s">
        <v>2</v>
      </c>
      <c r="C3527" t="str">
        <f>LEFT(Table4[[#This Row],[Policy Type]],1)</f>
        <v>1</v>
      </c>
    </row>
    <row r="3528" spans="1:3" x14ac:dyDescent="0.25">
      <c r="A3528">
        <v>222349</v>
      </c>
      <c r="B3528" t="s">
        <v>2</v>
      </c>
      <c r="C3528" t="str">
        <f>LEFT(Table4[[#This Row],[Policy Type]],1)</f>
        <v>1</v>
      </c>
    </row>
    <row r="3529" spans="1:3" x14ac:dyDescent="0.25">
      <c r="A3529">
        <v>222387</v>
      </c>
      <c r="B3529" t="s">
        <v>3</v>
      </c>
      <c r="C3529" t="str">
        <f>LEFT(Table4[[#This Row],[Policy Type]],1)</f>
        <v>2</v>
      </c>
    </row>
    <row r="3530" spans="1:3" x14ac:dyDescent="0.25">
      <c r="A3530">
        <v>222401</v>
      </c>
      <c r="B3530" t="s">
        <v>3</v>
      </c>
      <c r="C3530" t="str">
        <f>LEFT(Table4[[#This Row],[Policy Type]],1)</f>
        <v>2</v>
      </c>
    </row>
    <row r="3531" spans="1:3" x14ac:dyDescent="0.25">
      <c r="A3531">
        <v>222406</v>
      </c>
      <c r="B3531" t="s">
        <v>2</v>
      </c>
      <c r="C3531" t="str">
        <f>LEFT(Table4[[#This Row],[Policy Type]],1)</f>
        <v>1</v>
      </c>
    </row>
    <row r="3532" spans="1:3" x14ac:dyDescent="0.25">
      <c r="A3532">
        <v>222460</v>
      </c>
      <c r="B3532" t="s">
        <v>3</v>
      </c>
      <c r="C3532" t="str">
        <f>LEFT(Table4[[#This Row],[Policy Type]],1)</f>
        <v>2</v>
      </c>
    </row>
    <row r="3533" spans="1:3" x14ac:dyDescent="0.25">
      <c r="A3533">
        <v>222494</v>
      </c>
      <c r="B3533" t="s">
        <v>3</v>
      </c>
      <c r="C3533" t="str">
        <f>LEFT(Table4[[#This Row],[Policy Type]],1)</f>
        <v>2</v>
      </c>
    </row>
    <row r="3534" spans="1:3" x14ac:dyDescent="0.25">
      <c r="A3534">
        <v>222505</v>
      </c>
      <c r="B3534" t="s">
        <v>3</v>
      </c>
      <c r="C3534" t="str">
        <f>LEFT(Table4[[#This Row],[Policy Type]],1)</f>
        <v>2</v>
      </c>
    </row>
    <row r="3535" spans="1:3" x14ac:dyDescent="0.25">
      <c r="A3535">
        <v>222515</v>
      </c>
      <c r="B3535" t="s">
        <v>2</v>
      </c>
      <c r="C3535" t="str">
        <f>LEFT(Table4[[#This Row],[Policy Type]],1)</f>
        <v>1</v>
      </c>
    </row>
    <row r="3536" spans="1:3" x14ac:dyDescent="0.25">
      <c r="A3536">
        <v>222536</v>
      </c>
      <c r="B3536" t="s">
        <v>3</v>
      </c>
      <c r="C3536" t="str">
        <f>LEFT(Table4[[#This Row],[Policy Type]],1)</f>
        <v>2</v>
      </c>
    </row>
    <row r="3537" spans="1:3" x14ac:dyDescent="0.25">
      <c r="A3537">
        <v>222582</v>
      </c>
      <c r="B3537" t="s">
        <v>3</v>
      </c>
      <c r="C3537" t="str">
        <f>LEFT(Table4[[#This Row],[Policy Type]],1)</f>
        <v>2</v>
      </c>
    </row>
    <row r="3538" spans="1:3" x14ac:dyDescent="0.25">
      <c r="A3538">
        <v>222583</v>
      </c>
      <c r="B3538" t="s">
        <v>3</v>
      </c>
      <c r="C3538" t="str">
        <f>LEFT(Table4[[#This Row],[Policy Type]],1)</f>
        <v>2</v>
      </c>
    </row>
    <row r="3539" spans="1:3" x14ac:dyDescent="0.25">
      <c r="A3539">
        <v>222631</v>
      </c>
      <c r="B3539" t="s">
        <v>2</v>
      </c>
      <c r="C3539" t="str">
        <f>LEFT(Table4[[#This Row],[Policy Type]],1)</f>
        <v>1</v>
      </c>
    </row>
    <row r="3540" spans="1:3" x14ac:dyDescent="0.25">
      <c r="A3540">
        <v>222640</v>
      </c>
      <c r="B3540" t="s">
        <v>2</v>
      </c>
      <c r="C3540" t="str">
        <f>LEFT(Table4[[#This Row],[Policy Type]],1)</f>
        <v>1</v>
      </c>
    </row>
    <row r="3541" spans="1:3" x14ac:dyDescent="0.25">
      <c r="A3541">
        <v>222683</v>
      </c>
      <c r="B3541" t="s">
        <v>3</v>
      </c>
      <c r="C3541" t="str">
        <f>LEFT(Table4[[#This Row],[Policy Type]],1)</f>
        <v>2</v>
      </c>
    </row>
    <row r="3542" spans="1:3" x14ac:dyDescent="0.25">
      <c r="A3542">
        <v>222705</v>
      </c>
      <c r="B3542" t="s">
        <v>2</v>
      </c>
      <c r="C3542" t="str">
        <f>LEFT(Table4[[#This Row],[Policy Type]],1)</f>
        <v>1</v>
      </c>
    </row>
    <row r="3543" spans="1:3" x14ac:dyDescent="0.25">
      <c r="A3543">
        <v>222764</v>
      </c>
      <c r="B3543" t="s">
        <v>3</v>
      </c>
      <c r="C3543" t="str">
        <f>LEFT(Table4[[#This Row],[Policy Type]],1)</f>
        <v>2</v>
      </c>
    </row>
    <row r="3544" spans="1:3" x14ac:dyDescent="0.25">
      <c r="A3544">
        <v>222810</v>
      </c>
      <c r="B3544" t="s">
        <v>3</v>
      </c>
      <c r="C3544" t="str">
        <f>LEFT(Table4[[#This Row],[Policy Type]],1)</f>
        <v>2</v>
      </c>
    </row>
    <row r="3545" spans="1:3" x14ac:dyDescent="0.25">
      <c r="A3545">
        <v>222893</v>
      </c>
      <c r="B3545" t="s">
        <v>2</v>
      </c>
      <c r="C3545" t="str">
        <f>LEFT(Table4[[#This Row],[Policy Type]],1)</f>
        <v>1</v>
      </c>
    </row>
    <row r="3546" spans="1:3" x14ac:dyDescent="0.25">
      <c r="A3546">
        <v>222924</v>
      </c>
      <c r="B3546" t="s">
        <v>3</v>
      </c>
      <c r="C3546" t="str">
        <f>LEFT(Table4[[#This Row],[Policy Type]],1)</f>
        <v>2</v>
      </c>
    </row>
    <row r="3547" spans="1:3" x14ac:dyDescent="0.25">
      <c r="A3547">
        <v>222930</v>
      </c>
      <c r="B3547" t="s">
        <v>3</v>
      </c>
      <c r="C3547" t="str">
        <f>LEFT(Table4[[#This Row],[Policy Type]],1)</f>
        <v>2</v>
      </c>
    </row>
    <row r="3548" spans="1:3" x14ac:dyDescent="0.25">
      <c r="A3548">
        <v>222959</v>
      </c>
      <c r="B3548" t="s">
        <v>3</v>
      </c>
      <c r="C3548" t="str">
        <f>LEFT(Table4[[#This Row],[Policy Type]],1)</f>
        <v>2</v>
      </c>
    </row>
    <row r="3549" spans="1:3" x14ac:dyDescent="0.25">
      <c r="A3549">
        <v>222972</v>
      </c>
      <c r="B3549" t="s">
        <v>2</v>
      </c>
      <c r="C3549" t="str">
        <f>LEFT(Table4[[#This Row],[Policy Type]],1)</f>
        <v>1</v>
      </c>
    </row>
    <row r="3550" spans="1:3" x14ac:dyDescent="0.25">
      <c r="A3550">
        <v>222980</v>
      </c>
      <c r="B3550" t="s">
        <v>3</v>
      </c>
      <c r="C3550" t="str">
        <f>LEFT(Table4[[#This Row],[Policy Type]],1)</f>
        <v>2</v>
      </c>
    </row>
    <row r="3551" spans="1:3" x14ac:dyDescent="0.25">
      <c r="A3551">
        <v>223012</v>
      </c>
      <c r="B3551" t="s">
        <v>2</v>
      </c>
      <c r="C3551" t="str">
        <f>LEFT(Table4[[#This Row],[Policy Type]],1)</f>
        <v>1</v>
      </c>
    </row>
    <row r="3552" spans="1:3" x14ac:dyDescent="0.25">
      <c r="A3552">
        <v>223024</v>
      </c>
      <c r="B3552" t="s">
        <v>3</v>
      </c>
      <c r="C3552" t="str">
        <f>LEFT(Table4[[#This Row],[Policy Type]],1)</f>
        <v>2</v>
      </c>
    </row>
    <row r="3553" spans="1:3" x14ac:dyDescent="0.25">
      <c r="A3553">
        <v>223110</v>
      </c>
      <c r="B3553" t="s">
        <v>3</v>
      </c>
      <c r="C3553" t="str">
        <f>LEFT(Table4[[#This Row],[Policy Type]],1)</f>
        <v>2</v>
      </c>
    </row>
    <row r="3554" spans="1:3" x14ac:dyDescent="0.25">
      <c r="A3554">
        <v>223116</v>
      </c>
      <c r="B3554" t="s">
        <v>3</v>
      </c>
      <c r="C3554" t="str">
        <f>LEFT(Table4[[#This Row],[Policy Type]],1)</f>
        <v>2</v>
      </c>
    </row>
    <row r="3555" spans="1:3" x14ac:dyDescent="0.25">
      <c r="A3555">
        <v>223178</v>
      </c>
      <c r="B3555" t="s">
        <v>3</v>
      </c>
      <c r="C3555" t="str">
        <f>LEFT(Table4[[#This Row],[Policy Type]],1)</f>
        <v>2</v>
      </c>
    </row>
    <row r="3556" spans="1:3" x14ac:dyDescent="0.25">
      <c r="A3556">
        <v>223245</v>
      </c>
      <c r="B3556" t="s">
        <v>3</v>
      </c>
      <c r="C3556" t="str">
        <f>LEFT(Table4[[#This Row],[Policy Type]],1)</f>
        <v>2</v>
      </c>
    </row>
    <row r="3557" spans="1:3" x14ac:dyDescent="0.25">
      <c r="A3557">
        <v>223330</v>
      </c>
      <c r="B3557" t="s">
        <v>3</v>
      </c>
      <c r="C3557" t="str">
        <f>LEFT(Table4[[#This Row],[Policy Type]],1)</f>
        <v>2</v>
      </c>
    </row>
    <row r="3558" spans="1:3" x14ac:dyDescent="0.25">
      <c r="A3558">
        <v>223373</v>
      </c>
      <c r="B3558" t="s">
        <v>3</v>
      </c>
      <c r="C3558" t="str">
        <f>LEFT(Table4[[#This Row],[Policy Type]],1)</f>
        <v>2</v>
      </c>
    </row>
    <row r="3559" spans="1:3" x14ac:dyDescent="0.25">
      <c r="A3559">
        <v>223403</v>
      </c>
      <c r="B3559" t="s">
        <v>2</v>
      </c>
      <c r="C3559" t="str">
        <f>LEFT(Table4[[#This Row],[Policy Type]],1)</f>
        <v>1</v>
      </c>
    </row>
    <row r="3560" spans="1:3" x14ac:dyDescent="0.25">
      <c r="A3560">
        <v>223408</v>
      </c>
      <c r="B3560" t="s">
        <v>3</v>
      </c>
      <c r="C3560" t="str">
        <f>LEFT(Table4[[#This Row],[Policy Type]],1)</f>
        <v>2</v>
      </c>
    </row>
    <row r="3561" spans="1:3" x14ac:dyDescent="0.25">
      <c r="A3561">
        <v>223446</v>
      </c>
      <c r="B3561" t="s">
        <v>3</v>
      </c>
      <c r="C3561" t="str">
        <f>LEFT(Table4[[#This Row],[Policy Type]],1)</f>
        <v>2</v>
      </c>
    </row>
    <row r="3562" spans="1:3" x14ac:dyDescent="0.25">
      <c r="A3562">
        <v>223508</v>
      </c>
      <c r="B3562" t="s">
        <v>2</v>
      </c>
      <c r="C3562" t="str">
        <f>LEFT(Table4[[#This Row],[Policy Type]],1)</f>
        <v>1</v>
      </c>
    </row>
    <row r="3563" spans="1:3" x14ac:dyDescent="0.25">
      <c r="A3563">
        <v>223536</v>
      </c>
      <c r="B3563" t="s">
        <v>2</v>
      </c>
      <c r="C3563" t="str">
        <f>LEFT(Table4[[#This Row],[Policy Type]],1)</f>
        <v>1</v>
      </c>
    </row>
    <row r="3564" spans="1:3" x14ac:dyDescent="0.25">
      <c r="A3564">
        <v>223691</v>
      </c>
      <c r="B3564" t="s">
        <v>2</v>
      </c>
      <c r="C3564" t="str">
        <f>LEFT(Table4[[#This Row],[Policy Type]],1)</f>
        <v>1</v>
      </c>
    </row>
    <row r="3565" spans="1:3" x14ac:dyDescent="0.25">
      <c r="A3565">
        <v>223694</v>
      </c>
      <c r="B3565" t="s">
        <v>2</v>
      </c>
      <c r="C3565" t="str">
        <f>LEFT(Table4[[#This Row],[Policy Type]],1)</f>
        <v>1</v>
      </c>
    </row>
    <row r="3566" spans="1:3" x14ac:dyDescent="0.25">
      <c r="A3566">
        <v>223696</v>
      </c>
      <c r="B3566" t="s">
        <v>2</v>
      </c>
      <c r="C3566" t="str">
        <f>LEFT(Table4[[#This Row],[Policy Type]],1)</f>
        <v>1</v>
      </c>
    </row>
    <row r="3567" spans="1:3" x14ac:dyDescent="0.25">
      <c r="A3567">
        <v>223788</v>
      </c>
      <c r="B3567" t="s">
        <v>3</v>
      </c>
      <c r="C3567" t="str">
        <f>LEFT(Table4[[#This Row],[Policy Type]],1)</f>
        <v>2</v>
      </c>
    </row>
    <row r="3568" spans="1:3" x14ac:dyDescent="0.25">
      <c r="A3568">
        <v>223814</v>
      </c>
      <c r="B3568" t="s">
        <v>3</v>
      </c>
      <c r="C3568" t="str">
        <f>LEFT(Table4[[#This Row],[Policy Type]],1)</f>
        <v>2</v>
      </c>
    </row>
    <row r="3569" spans="1:3" x14ac:dyDescent="0.25">
      <c r="A3569">
        <v>223828</v>
      </c>
      <c r="B3569" t="s">
        <v>2</v>
      </c>
      <c r="C3569" t="str">
        <f>LEFT(Table4[[#This Row],[Policy Type]],1)</f>
        <v>1</v>
      </c>
    </row>
    <row r="3570" spans="1:3" x14ac:dyDescent="0.25">
      <c r="A3570">
        <v>223847</v>
      </c>
      <c r="B3570" t="s">
        <v>3</v>
      </c>
      <c r="C3570" t="str">
        <f>LEFT(Table4[[#This Row],[Policy Type]],1)</f>
        <v>2</v>
      </c>
    </row>
    <row r="3571" spans="1:3" x14ac:dyDescent="0.25">
      <c r="A3571">
        <v>223875</v>
      </c>
      <c r="B3571" t="s">
        <v>2</v>
      </c>
      <c r="C3571" t="str">
        <f>LEFT(Table4[[#This Row],[Policy Type]],1)</f>
        <v>1</v>
      </c>
    </row>
    <row r="3572" spans="1:3" x14ac:dyDescent="0.25">
      <c r="A3572">
        <v>223876</v>
      </c>
      <c r="B3572" t="s">
        <v>3</v>
      </c>
      <c r="C3572" t="str">
        <f>LEFT(Table4[[#This Row],[Policy Type]],1)</f>
        <v>2</v>
      </c>
    </row>
    <row r="3573" spans="1:3" x14ac:dyDescent="0.25">
      <c r="A3573">
        <v>223995</v>
      </c>
      <c r="B3573" t="s">
        <v>3</v>
      </c>
      <c r="C3573" t="str">
        <f>LEFT(Table4[[#This Row],[Policy Type]],1)</f>
        <v>2</v>
      </c>
    </row>
    <row r="3574" spans="1:3" x14ac:dyDescent="0.25">
      <c r="A3574">
        <v>224006</v>
      </c>
      <c r="B3574" t="s">
        <v>3</v>
      </c>
      <c r="C3574" t="str">
        <f>LEFT(Table4[[#This Row],[Policy Type]],1)</f>
        <v>2</v>
      </c>
    </row>
    <row r="3575" spans="1:3" x14ac:dyDescent="0.25">
      <c r="A3575">
        <v>224011</v>
      </c>
      <c r="B3575" t="s">
        <v>2</v>
      </c>
      <c r="C3575" t="str">
        <f>LEFT(Table4[[#This Row],[Policy Type]],1)</f>
        <v>1</v>
      </c>
    </row>
    <row r="3576" spans="1:3" x14ac:dyDescent="0.25">
      <c r="A3576">
        <v>224013</v>
      </c>
      <c r="B3576" t="s">
        <v>3</v>
      </c>
      <c r="C3576" t="str">
        <f>LEFT(Table4[[#This Row],[Policy Type]],1)</f>
        <v>2</v>
      </c>
    </row>
    <row r="3577" spans="1:3" x14ac:dyDescent="0.25">
      <c r="A3577">
        <v>224018</v>
      </c>
      <c r="B3577" t="s">
        <v>2</v>
      </c>
      <c r="C3577" t="str">
        <f>LEFT(Table4[[#This Row],[Policy Type]],1)</f>
        <v>1</v>
      </c>
    </row>
    <row r="3578" spans="1:3" x14ac:dyDescent="0.25">
      <c r="A3578">
        <v>224026</v>
      </c>
      <c r="B3578" t="s">
        <v>3</v>
      </c>
      <c r="C3578" t="str">
        <f>LEFT(Table4[[#This Row],[Policy Type]],1)</f>
        <v>2</v>
      </c>
    </row>
    <row r="3579" spans="1:3" x14ac:dyDescent="0.25">
      <c r="A3579">
        <v>224037</v>
      </c>
      <c r="B3579" t="s">
        <v>2</v>
      </c>
      <c r="C3579" t="str">
        <f>LEFT(Table4[[#This Row],[Policy Type]],1)</f>
        <v>1</v>
      </c>
    </row>
    <row r="3580" spans="1:3" x14ac:dyDescent="0.25">
      <c r="A3580">
        <v>224049</v>
      </c>
      <c r="B3580" t="s">
        <v>3</v>
      </c>
      <c r="C3580" t="str">
        <f>LEFT(Table4[[#This Row],[Policy Type]],1)</f>
        <v>2</v>
      </c>
    </row>
    <row r="3581" spans="1:3" x14ac:dyDescent="0.25">
      <c r="A3581">
        <v>224054</v>
      </c>
      <c r="B3581" t="s">
        <v>3</v>
      </c>
      <c r="C3581" t="str">
        <f>LEFT(Table4[[#This Row],[Policy Type]],1)</f>
        <v>2</v>
      </c>
    </row>
    <row r="3582" spans="1:3" x14ac:dyDescent="0.25">
      <c r="A3582">
        <v>224069</v>
      </c>
      <c r="B3582" t="s">
        <v>3</v>
      </c>
      <c r="C3582" t="str">
        <f>LEFT(Table4[[#This Row],[Policy Type]],1)</f>
        <v>2</v>
      </c>
    </row>
    <row r="3583" spans="1:3" x14ac:dyDescent="0.25">
      <c r="A3583">
        <v>224078</v>
      </c>
      <c r="B3583" t="s">
        <v>3</v>
      </c>
      <c r="C3583" t="str">
        <f>LEFT(Table4[[#This Row],[Policy Type]],1)</f>
        <v>2</v>
      </c>
    </row>
    <row r="3584" spans="1:3" x14ac:dyDescent="0.25">
      <c r="A3584">
        <v>224170</v>
      </c>
      <c r="B3584" t="s">
        <v>2</v>
      </c>
      <c r="C3584" t="str">
        <f>LEFT(Table4[[#This Row],[Policy Type]],1)</f>
        <v>1</v>
      </c>
    </row>
    <row r="3585" spans="1:3" x14ac:dyDescent="0.25">
      <c r="A3585">
        <v>224192</v>
      </c>
      <c r="B3585" t="s">
        <v>3</v>
      </c>
      <c r="C3585" t="str">
        <f>LEFT(Table4[[#This Row],[Policy Type]],1)</f>
        <v>2</v>
      </c>
    </row>
    <row r="3586" spans="1:3" x14ac:dyDescent="0.25">
      <c r="A3586">
        <v>224226</v>
      </c>
      <c r="B3586" t="s">
        <v>3</v>
      </c>
      <c r="C3586" t="str">
        <f>LEFT(Table4[[#This Row],[Policy Type]],1)</f>
        <v>2</v>
      </c>
    </row>
    <row r="3587" spans="1:3" x14ac:dyDescent="0.25">
      <c r="A3587">
        <v>224227</v>
      </c>
      <c r="B3587" t="s">
        <v>3</v>
      </c>
      <c r="C3587" t="str">
        <f>LEFT(Table4[[#This Row],[Policy Type]],1)</f>
        <v>2</v>
      </c>
    </row>
    <row r="3588" spans="1:3" x14ac:dyDescent="0.25">
      <c r="A3588">
        <v>224242</v>
      </c>
      <c r="B3588" t="s">
        <v>2</v>
      </c>
      <c r="C3588" t="str">
        <f>LEFT(Table4[[#This Row],[Policy Type]],1)</f>
        <v>1</v>
      </c>
    </row>
    <row r="3589" spans="1:3" x14ac:dyDescent="0.25">
      <c r="A3589">
        <v>224272</v>
      </c>
      <c r="B3589" t="s">
        <v>2</v>
      </c>
      <c r="C3589" t="str">
        <f>LEFT(Table4[[#This Row],[Policy Type]],1)</f>
        <v>1</v>
      </c>
    </row>
    <row r="3590" spans="1:3" x14ac:dyDescent="0.25">
      <c r="A3590">
        <v>224394</v>
      </c>
      <c r="B3590" t="s">
        <v>3</v>
      </c>
      <c r="C3590" t="str">
        <f>LEFT(Table4[[#This Row],[Policy Type]],1)</f>
        <v>2</v>
      </c>
    </row>
    <row r="3591" spans="1:3" x14ac:dyDescent="0.25">
      <c r="A3591">
        <v>224397</v>
      </c>
      <c r="B3591" t="s">
        <v>2</v>
      </c>
      <c r="C3591" t="str">
        <f>LEFT(Table4[[#This Row],[Policy Type]],1)</f>
        <v>1</v>
      </c>
    </row>
    <row r="3592" spans="1:3" x14ac:dyDescent="0.25">
      <c r="A3592">
        <v>224449</v>
      </c>
      <c r="B3592" t="s">
        <v>3</v>
      </c>
      <c r="C3592" t="str">
        <f>LEFT(Table4[[#This Row],[Policy Type]],1)</f>
        <v>2</v>
      </c>
    </row>
    <row r="3593" spans="1:3" x14ac:dyDescent="0.25">
      <c r="A3593">
        <v>224461</v>
      </c>
      <c r="B3593" t="s">
        <v>3</v>
      </c>
      <c r="C3593" t="str">
        <f>LEFT(Table4[[#This Row],[Policy Type]],1)</f>
        <v>2</v>
      </c>
    </row>
    <row r="3594" spans="1:3" x14ac:dyDescent="0.25">
      <c r="A3594">
        <v>224480</v>
      </c>
      <c r="B3594" t="s">
        <v>3</v>
      </c>
      <c r="C3594" t="str">
        <f>LEFT(Table4[[#This Row],[Policy Type]],1)</f>
        <v>2</v>
      </c>
    </row>
    <row r="3595" spans="1:3" x14ac:dyDescent="0.25">
      <c r="A3595">
        <v>224482</v>
      </c>
      <c r="B3595" t="s">
        <v>2</v>
      </c>
      <c r="C3595" t="str">
        <f>LEFT(Table4[[#This Row],[Policy Type]],1)</f>
        <v>1</v>
      </c>
    </row>
    <row r="3596" spans="1:3" x14ac:dyDescent="0.25">
      <c r="A3596">
        <v>224525</v>
      </c>
      <c r="B3596" t="s">
        <v>3</v>
      </c>
      <c r="C3596" t="str">
        <f>LEFT(Table4[[#This Row],[Policy Type]],1)</f>
        <v>2</v>
      </c>
    </row>
    <row r="3597" spans="1:3" x14ac:dyDescent="0.25">
      <c r="A3597">
        <v>224529</v>
      </c>
      <c r="B3597" t="s">
        <v>2</v>
      </c>
      <c r="C3597" t="str">
        <f>LEFT(Table4[[#This Row],[Policy Type]],1)</f>
        <v>1</v>
      </c>
    </row>
    <row r="3598" spans="1:3" x14ac:dyDescent="0.25">
      <c r="A3598">
        <v>224535</v>
      </c>
      <c r="B3598" t="s">
        <v>3</v>
      </c>
      <c r="C3598" t="str">
        <f>LEFT(Table4[[#This Row],[Policy Type]],1)</f>
        <v>2</v>
      </c>
    </row>
    <row r="3599" spans="1:3" x14ac:dyDescent="0.25">
      <c r="A3599">
        <v>224573</v>
      </c>
      <c r="B3599" t="s">
        <v>3</v>
      </c>
      <c r="C3599" t="str">
        <f>LEFT(Table4[[#This Row],[Policy Type]],1)</f>
        <v>2</v>
      </c>
    </row>
    <row r="3600" spans="1:3" x14ac:dyDescent="0.25">
      <c r="A3600">
        <v>224577</v>
      </c>
      <c r="B3600" t="s">
        <v>3</v>
      </c>
      <c r="C3600" t="str">
        <f>LEFT(Table4[[#This Row],[Policy Type]],1)</f>
        <v>2</v>
      </c>
    </row>
    <row r="3601" spans="1:3" x14ac:dyDescent="0.25">
      <c r="A3601">
        <v>224584</v>
      </c>
      <c r="B3601" t="s">
        <v>3</v>
      </c>
      <c r="C3601" t="str">
        <f>LEFT(Table4[[#This Row],[Policy Type]],1)</f>
        <v>2</v>
      </c>
    </row>
    <row r="3602" spans="1:3" x14ac:dyDescent="0.25">
      <c r="A3602">
        <v>224585</v>
      </c>
      <c r="B3602" t="s">
        <v>2</v>
      </c>
      <c r="C3602" t="str">
        <f>LEFT(Table4[[#This Row],[Policy Type]],1)</f>
        <v>1</v>
      </c>
    </row>
    <row r="3603" spans="1:3" x14ac:dyDescent="0.25">
      <c r="A3603">
        <v>224621</v>
      </c>
      <c r="B3603" t="s">
        <v>2</v>
      </c>
      <c r="C3603" t="str">
        <f>LEFT(Table4[[#This Row],[Policy Type]],1)</f>
        <v>1</v>
      </c>
    </row>
    <row r="3604" spans="1:3" x14ac:dyDescent="0.25">
      <c r="A3604">
        <v>224627</v>
      </c>
      <c r="B3604" t="s">
        <v>3</v>
      </c>
      <c r="C3604" t="str">
        <f>LEFT(Table4[[#This Row],[Policy Type]],1)</f>
        <v>2</v>
      </c>
    </row>
    <row r="3605" spans="1:3" x14ac:dyDescent="0.25">
      <c r="A3605">
        <v>224632</v>
      </c>
      <c r="B3605" t="s">
        <v>2</v>
      </c>
      <c r="C3605" t="str">
        <f>LEFT(Table4[[#This Row],[Policy Type]],1)</f>
        <v>1</v>
      </c>
    </row>
    <row r="3606" spans="1:3" x14ac:dyDescent="0.25">
      <c r="A3606">
        <v>224684</v>
      </c>
      <c r="B3606" t="s">
        <v>3</v>
      </c>
      <c r="C3606" t="str">
        <f>LEFT(Table4[[#This Row],[Policy Type]],1)</f>
        <v>2</v>
      </c>
    </row>
    <row r="3607" spans="1:3" x14ac:dyDescent="0.25">
      <c r="A3607">
        <v>224687</v>
      </c>
      <c r="B3607" t="s">
        <v>3</v>
      </c>
      <c r="C3607" t="str">
        <f>LEFT(Table4[[#This Row],[Policy Type]],1)</f>
        <v>2</v>
      </c>
    </row>
    <row r="3608" spans="1:3" x14ac:dyDescent="0.25">
      <c r="A3608">
        <v>224782</v>
      </c>
      <c r="B3608" t="s">
        <v>3</v>
      </c>
      <c r="C3608" t="str">
        <f>LEFT(Table4[[#This Row],[Policy Type]],1)</f>
        <v>2</v>
      </c>
    </row>
    <row r="3609" spans="1:3" x14ac:dyDescent="0.25">
      <c r="A3609">
        <v>224828</v>
      </c>
      <c r="B3609" t="s">
        <v>3</v>
      </c>
      <c r="C3609" t="str">
        <f>LEFT(Table4[[#This Row],[Policy Type]],1)</f>
        <v>2</v>
      </c>
    </row>
    <row r="3610" spans="1:3" x14ac:dyDescent="0.25">
      <c r="A3610">
        <v>224928</v>
      </c>
      <c r="B3610" t="s">
        <v>3</v>
      </c>
      <c r="C3610" t="str">
        <f>LEFT(Table4[[#This Row],[Policy Type]],1)</f>
        <v>2</v>
      </c>
    </row>
    <row r="3611" spans="1:3" x14ac:dyDescent="0.25">
      <c r="A3611">
        <v>224952</v>
      </c>
      <c r="B3611" t="s">
        <v>2</v>
      </c>
      <c r="C3611" t="str">
        <f>LEFT(Table4[[#This Row],[Policy Type]],1)</f>
        <v>1</v>
      </c>
    </row>
    <row r="3612" spans="1:3" x14ac:dyDescent="0.25">
      <c r="A3612">
        <v>224964</v>
      </c>
      <c r="B3612" t="s">
        <v>2</v>
      </c>
      <c r="C3612" t="str">
        <f>LEFT(Table4[[#This Row],[Policy Type]],1)</f>
        <v>1</v>
      </c>
    </row>
    <row r="3613" spans="1:3" x14ac:dyDescent="0.25">
      <c r="A3613">
        <v>224978</v>
      </c>
      <c r="B3613" t="s">
        <v>2</v>
      </c>
      <c r="C3613" t="str">
        <f>LEFT(Table4[[#This Row],[Policy Type]],1)</f>
        <v>1</v>
      </c>
    </row>
    <row r="3614" spans="1:3" x14ac:dyDescent="0.25">
      <c r="A3614">
        <v>224980</v>
      </c>
      <c r="B3614" t="s">
        <v>3</v>
      </c>
      <c r="C3614" t="str">
        <f>LEFT(Table4[[#This Row],[Policy Type]],1)</f>
        <v>2</v>
      </c>
    </row>
    <row r="3615" spans="1:3" x14ac:dyDescent="0.25">
      <c r="A3615">
        <v>225053</v>
      </c>
      <c r="B3615" t="s">
        <v>3</v>
      </c>
      <c r="C3615" t="str">
        <f>LEFT(Table4[[#This Row],[Policy Type]],1)</f>
        <v>2</v>
      </c>
    </row>
    <row r="3616" spans="1:3" x14ac:dyDescent="0.25">
      <c r="A3616">
        <v>225054</v>
      </c>
      <c r="B3616" t="s">
        <v>3</v>
      </c>
      <c r="C3616" t="str">
        <f>LEFT(Table4[[#This Row],[Policy Type]],1)</f>
        <v>2</v>
      </c>
    </row>
    <row r="3617" spans="1:3" x14ac:dyDescent="0.25">
      <c r="A3617">
        <v>225073</v>
      </c>
      <c r="B3617" t="s">
        <v>3</v>
      </c>
      <c r="C3617" t="str">
        <f>LEFT(Table4[[#This Row],[Policy Type]],1)</f>
        <v>2</v>
      </c>
    </row>
    <row r="3618" spans="1:3" x14ac:dyDescent="0.25">
      <c r="A3618">
        <v>225104</v>
      </c>
      <c r="B3618" t="s">
        <v>3</v>
      </c>
      <c r="C3618" t="str">
        <f>LEFT(Table4[[#This Row],[Policy Type]],1)</f>
        <v>2</v>
      </c>
    </row>
    <row r="3619" spans="1:3" x14ac:dyDescent="0.25">
      <c r="A3619">
        <v>225126</v>
      </c>
      <c r="B3619" t="s">
        <v>2</v>
      </c>
      <c r="C3619" t="str">
        <f>LEFT(Table4[[#This Row],[Policy Type]],1)</f>
        <v>1</v>
      </c>
    </row>
    <row r="3620" spans="1:3" x14ac:dyDescent="0.25">
      <c r="A3620">
        <v>225137</v>
      </c>
      <c r="B3620" t="s">
        <v>2</v>
      </c>
      <c r="C3620" t="str">
        <f>LEFT(Table4[[#This Row],[Policy Type]],1)</f>
        <v>1</v>
      </c>
    </row>
    <row r="3621" spans="1:3" x14ac:dyDescent="0.25">
      <c r="A3621">
        <v>225203</v>
      </c>
      <c r="B3621" t="s">
        <v>2</v>
      </c>
      <c r="C3621" t="str">
        <f>LEFT(Table4[[#This Row],[Policy Type]],1)</f>
        <v>1</v>
      </c>
    </row>
    <row r="3622" spans="1:3" x14ac:dyDescent="0.25">
      <c r="A3622">
        <v>225248</v>
      </c>
      <c r="B3622" t="s">
        <v>3</v>
      </c>
      <c r="C3622" t="str">
        <f>LEFT(Table4[[#This Row],[Policy Type]],1)</f>
        <v>2</v>
      </c>
    </row>
    <row r="3623" spans="1:3" x14ac:dyDescent="0.25">
      <c r="A3623">
        <v>225264</v>
      </c>
      <c r="B3623" t="s">
        <v>3</v>
      </c>
      <c r="C3623" t="str">
        <f>LEFT(Table4[[#This Row],[Policy Type]],1)</f>
        <v>2</v>
      </c>
    </row>
    <row r="3624" spans="1:3" x14ac:dyDescent="0.25">
      <c r="A3624">
        <v>225278</v>
      </c>
      <c r="B3624" t="s">
        <v>3</v>
      </c>
      <c r="C3624" t="str">
        <f>LEFT(Table4[[#This Row],[Policy Type]],1)</f>
        <v>2</v>
      </c>
    </row>
    <row r="3625" spans="1:3" x14ac:dyDescent="0.25">
      <c r="A3625">
        <v>225283</v>
      </c>
      <c r="B3625" t="s">
        <v>2</v>
      </c>
      <c r="C3625" t="str">
        <f>LEFT(Table4[[#This Row],[Policy Type]],1)</f>
        <v>1</v>
      </c>
    </row>
    <row r="3626" spans="1:3" x14ac:dyDescent="0.25">
      <c r="A3626">
        <v>225318</v>
      </c>
      <c r="B3626" t="s">
        <v>2</v>
      </c>
      <c r="C3626" t="str">
        <f>LEFT(Table4[[#This Row],[Policy Type]],1)</f>
        <v>1</v>
      </c>
    </row>
    <row r="3627" spans="1:3" x14ac:dyDescent="0.25">
      <c r="A3627">
        <v>225319</v>
      </c>
      <c r="B3627" t="s">
        <v>2</v>
      </c>
      <c r="C3627" t="str">
        <f>LEFT(Table4[[#This Row],[Policy Type]],1)</f>
        <v>1</v>
      </c>
    </row>
    <row r="3628" spans="1:3" x14ac:dyDescent="0.25">
      <c r="A3628">
        <v>225372</v>
      </c>
      <c r="B3628" t="s">
        <v>3</v>
      </c>
      <c r="C3628" t="str">
        <f>LEFT(Table4[[#This Row],[Policy Type]],1)</f>
        <v>2</v>
      </c>
    </row>
    <row r="3629" spans="1:3" x14ac:dyDescent="0.25">
      <c r="A3629">
        <v>225392</v>
      </c>
      <c r="B3629" t="s">
        <v>3</v>
      </c>
      <c r="C3629" t="str">
        <f>LEFT(Table4[[#This Row],[Policy Type]],1)</f>
        <v>2</v>
      </c>
    </row>
    <row r="3630" spans="1:3" x14ac:dyDescent="0.25">
      <c r="A3630">
        <v>225400</v>
      </c>
      <c r="B3630" t="s">
        <v>3</v>
      </c>
      <c r="C3630" t="str">
        <f>LEFT(Table4[[#This Row],[Policy Type]],1)</f>
        <v>2</v>
      </c>
    </row>
    <row r="3631" spans="1:3" x14ac:dyDescent="0.25">
      <c r="A3631">
        <v>225638</v>
      </c>
      <c r="B3631" t="s">
        <v>3</v>
      </c>
      <c r="C3631" t="str">
        <f>LEFT(Table4[[#This Row],[Policy Type]],1)</f>
        <v>2</v>
      </c>
    </row>
    <row r="3632" spans="1:3" x14ac:dyDescent="0.25">
      <c r="A3632">
        <v>225642</v>
      </c>
      <c r="B3632" t="s">
        <v>2</v>
      </c>
      <c r="C3632" t="str">
        <f>LEFT(Table4[[#This Row],[Policy Type]],1)</f>
        <v>1</v>
      </c>
    </row>
    <row r="3633" spans="1:3" x14ac:dyDescent="0.25">
      <c r="A3633">
        <v>225648</v>
      </c>
      <c r="B3633" t="s">
        <v>2</v>
      </c>
      <c r="C3633" t="str">
        <f>LEFT(Table4[[#This Row],[Policy Type]],1)</f>
        <v>1</v>
      </c>
    </row>
    <row r="3634" spans="1:3" x14ac:dyDescent="0.25">
      <c r="A3634">
        <v>225659</v>
      </c>
      <c r="B3634" t="s">
        <v>2</v>
      </c>
      <c r="C3634" t="str">
        <f>LEFT(Table4[[#This Row],[Policy Type]],1)</f>
        <v>1</v>
      </c>
    </row>
    <row r="3635" spans="1:3" x14ac:dyDescent="0.25">
      <c r="A3635">
        <v>225720</v>
      </c>
      <c r="B3635" t="s">
        <v>2</v>
      </c>
      <c r="C3635" t="str">
        <f>LEFT(Table4[[#This Row],[Policy Type]],1)</f>
        <v>1</v>
      </c>
    </row>
    <row r="3636" spans="1:3" x14ac:dyDescent="0.25">
      <c r="A3636">
        <v>225733</v>
      </c>
      <c r="B3636" t="s">
        <v>3</v>
      </c>
      <c r="C3636" t="str">
        <f>LEFT(Table4[[#This Row],[Policy Type]],1)</f>
        <v>2</v>
      </c>
    </row>
    <row r="3637" spans="1:3" x14ac:dyDescent="0.25">
      <c r="A3637">
        <v>225734</v>
      </c>
      <c r="B3637" t="s">
        <v>3</v>
      </c>
      <c r="C3637" t="str">
        <f>LEFT(Table4[[#This Row],[Policy Type]],1)</f>
        <v>2</v>
      </c>
    </row>
    <row r="3638" spans="1:3" x14ac:dyDescent="0.25">
      <c r="A3638">
        <v>225443</v>
      </c>
      <c r="B3638" t="s">
        <v>3</v>
      </c>
      <c r="C3638" t="str">
        <f>LEFT(Table4[[#This Row],[Policy Type]],1)</f>
        <v>2</v>
      </c>
    </row>
    <row r="3639" spans="1:3" x14ac:dyDescent="0.25">
      <c r="A3639">
        <v>225467</v>
      </c>
      <c r="B3639" t="s">
        <v>2</v>
      </c>
      <c r="C3639" t="str">
        <f>LEFT(Table4[[#This Row],[Policy Type]],1)</f>
        <v>1</v>
      </c>
    </row>
    <row r="3640" spans="1:3" x14ac:dyDescent="0.25">
      <c r="A3640">
        <v>225481</v>
      </c>
      <c r="B3640" t="s">
        <v>2</v>
      </c>
      <c r="C3640" t="str">
        <f>LEFT(Table4[[#This Row],[Policy Type]],1)</f>
        <v>1</v>
      </c>
    </row>
    <row r="3641" spans="1:3" x14ac:dyDescent="0.25">
      <c r="A3641">
        <v>225503</v>
      </c>
      <c r="B3641" t="s">
        <v>2</v>
      </c>
      <c r="C3641" t="str">
        <f>LEFT(Table4[[#This Row],[Policy Type]],1)</f>
        <v>1</v>
      </c>
    </row>
    <row r="3642" spans="1:3" x14ac:dyDescent="0.25">
      <c r="A3642">
        <v>225550</v>
      </c>
      <c r="B3642" t="s">
        <v>2</v>
      </c>
      <c r="C3642" t="str">
        <f>LEFT(Table4[[#This Row],[Policy Type]],1)</f>
        <v>1</v>
      </c>
    </row>
    <row r="3643" spans="1:3" x14ac:dyDescent="0.25">
      <c r="A3643">
        <v>225560</v>
      </c>
      <c r="B3643" t="s">
        <v>2</v>
      </c>
      <c r="C3643" t="str">
        <f>LEFT(Table4[[#This Row],[Policy Type]],1)</f>
        <v>1</v>
      </c>
    </row>
    <row r="3644" spans="1:3" x14ac:dyDescent="0.25">
      <c r="A3644">
        <v>225570</v>
      </c>
      <c r="B3644" t="s">
        <v>3</v>
      </c>
      <c r="C3644" t="str">
        <f>LEFT(Table4[[#This Row],[Policy Type]],1)</f>
        <v>2</v>
      </c>
    </row>
    <row r="3645" spans="1:3" x14ac:dyDescent="0.25">
      <c r="A3645">
        <v>225577</v>
      </c>
      <c r="B3645" t="s">
        <v>2</v>
      </c>
      <c r="C3645" t="str">
        <f>LEFT(Table4[[#This Row],[Policy Type]],1)</f>
        <v>1</v>
      </c>
    </row>
    <row r="3646" spans="1:3" x14ac:dyDescent="0.25">
      <c r="A3646">
        <v>225878</v>
      </c>
      <c r="B3646" t="s">
        <v>2</v>
      </c>
      <c r="C3646" t="str">
        <f>LEFT(Table4[[#This Row],[Policy Type]],1)</f>
        <v>1</v>
      </c>
    </row>
    <row r="3647" spans="1:3" x14ac:dyDescent="0.25">
      <c r="A3647">
        <v>225945</v>
      </c>
      <c r="B3647" t="s">
        <v>2</v>
      </c>
      <c r="C3647" t="str">
        <f>LEFT(Table4[[#This Row],[Policy Type]],1)</f>
        <v>1</v>
      </c>
    </row>
    <row r="3648" spans="1:3" x14ac:dyDescent="0.25">
      <c r="A3648">
        <v>225952</v>
      </c>
      <c r="B3648" t="s">
        <v>3</v>
      </c>
      <c r="C3648" t="str">
        <f>LEFT(Table4[[#This Row],[Policy Type]],1)</f>
        <v>2</v>
      </c>
    </row>
    <row r="3649" spans="1:3" x14ac:dyDescent="0.25">
      <c r="A3649">
        <v>225954</v>
      </c>
      <c r="B3649" t="s">
        <v>2</v>
      </c>
      <c r="C3649" t="str">
        <f>LEFT(Table4[[#This Row],[Policy Type]],1)</f>
        <v>1</v>
      </c>
    </row>
    <row r="3650" spans="1:3" x14ac:dyDescent="0.25">
      <c r="A3650">
        <v>225967</v>
      </c>
      <c r="B3650" t="s">
        <v>3</v>
      </c>
      <c r="C3650" t="str">
        <f>LEFT(Table4[[#This Row],[Policy Type]],1)</f>
        <v>2</v>
      </c>
    </row>
    <row r="3651" spans="1:3" x14ac:dyDescent="0.25">
      <c r="A3651">
        <v>225989</v>
      </c>
      <c r="B3651" t="s">
        <v>2</v>
      </c>
      <c r="C3651" t="str">
        <f>LEFT(Table4[[#This Row],[Policy Type]],1)</f>
        <v>1</v>
      </c>
    </row>
    <row r="3652" spans="1:3" x14ac:dyDescent="0.25">
      <c r="A3652">
        <v>226011</v>
      </c>
      <c r="B3652" t="s">
        <v>3</v>
      </c>
      <c r="C3652" t="str">
        <f>LEFT(Table4[[#This Row],[Policy Type]],1)</f>
        <v>2</v>
      </c>
    </row>
    <row r="3653" spans="1:3" x14ac:dyDescent="0.25">
      <c r="A3653">
        <v>226040</v>
      </c>
      <c r="B3653" t="s">
        <v>3</v>
      </c>
      <c r="C3653" t="str">
        <f>LEFT(Table4[[#This Row],[Policy Type]],1)</f>
        <v>2</v>
      </c>
    </row>
    <row r="3654" spans="1:3" x14ac:dyDescent="0.25">
      <c r="A3654">
        <v>226133</v>
      </c>
      <c r="B3654" t="s">
        <v>3</v>
      </c>
      <c r="C3654" t="str">
        <f>LEFT(Table4[[#This Row],[Policy Type]],1)</f>
        <v>2</v>
      </c>
    </row>
    <row r="3655" spans="1:3" x14ac:dyDescent="0.25">
      <c r="A3655">
        <v>226142</v>
      </c>
      <c r="B3655" t="s">
        <v>3</v>
      </c>
      <c r="C3655" t="str">
        <f>LEFT(Table4[[#This Row],[Policy Type]],1)</f>
        <v>2</v>
      </c>
    </row>
    <row r="3656" spans="1:3" x14ac:dyDescent="0.25">
      <c r="A3656">
        <v>226153</v>
      </c>
      <c r="B3656" t="s">
        <v>2</v>
      </c>
      <c r="C3656" t="str">
        <f>LEFT(Table4[[#This Row],[Policy Type]],1)</f>
        <v>1</v>
      </c>
    </row>
    <row r="3657" spans="1:3" x14ac:dyDescent="0.25">
      <c r="A3657">
        <v>226164</v>
      </c>
      <c r="B3657" t="s">
        <v>2</v>
      </c>
      <c r="C3657" t="str">
        <f>LEFT(Table4[[#This Row],[Policy Type]],1)</f>
        <v>1</v>
      </c>
    </row>
    <row r="3658" spans="1:3" x14ac:dyDescent="0.25">
      <c r="A3658">
        <v>226226</v>
      </c>
      <c r="B3658" t="s">
        <v>3</v>
      </c>
      <c r="C3658" t="str">
        <f>LEFT(Table4[[#This Row],[Policy Type]],1)</f>
        <v>2</v>
      </c>
    </row>
    <row r="3659" spans="1:3" x14ac:dyDescent="0.25">
      <c r="A3659">
        <v>226252</v>
      </c>
      <c r="B3659" t="s">
        <v>3</v>
      </c>
      <c r="C3659" t="str">
        <f>LEFT(Table4[[#This Row],[Policy Type]],1)</f>
        <v>2</v>
      </c>
    </row>
    <row r="3660" spans="1:3" x14ac:dyDescent="0.25">
      <c r="A3660">
        <v>226257</v>
      </c>
      <c r="B3660" t="s">
        <v>2</v>
      </c>
      <c r="C3660" t="str">
        <f>LEFT(Table4[[#This Row],[Policy Type]],1)</f>
        <v>1</v>
      </c>
    </row>
    <row r="3661" spans="1:3" x14ac:dyDescent="0.25">
      <c r="A3661">
        <v>226259</v>
      </c>
      <c r="B3661" t="s">
        <v>3</v>
      </c>
      <c r="C3661" t="str">
        <f>LEFT(Table4[[#This Row],[Policy Type]],1)</f>
        <v>2</v>
      </c>
    </row>
    <row r="3662" spans="1:3" x14ac:dyDescent="0.25">
      <c r="A3662">
        <v>226276</v>
      </c>
      <c r="B3662" t="s">
        <v>2</v>
      </c>
      <c r="C3662" t="str">
        <f>LEFT(Table4[[#This Row],[Policy Type]],1)</f>
        <v>1</v>
      </c>
    </row>
    <row r="3663" spans="1:3" x14ac:dyDescent="0.25">
      <c r="A3663">
        <v>226284</v>
      </c>
      <c r="B3663" t="s">
        <v>3</v>
      </c>
      <c r="C3663" t="str">
        <f>LEFT(Table4[[#This Row],[Policy Type]],1)</f>
        <v>2</v>
      </c>
    </row>
    <row r="3664" spans="1:3" x14ac:dyDescent="0.25">
      <c r="A3664">
        <v>226367</v>
      </c>
      <c r="B3664" t="s">
        <v>3</v>
      </c>
      <c r="C3664" t="str">
        <f>LEFT(Table4[[#This Row],[Policy Type]],1)</f>
        <v>2</v>
      </c>
    </row>
    <row r="3665" spans="1:3" x14ac:dyDescent="0.25">
      <c r="A3665">
        <v>226379</v>
      </c>
      <c r="B3665" t="s">
        <v>3</v>
      </c>
      <c r="C3665" t="str">
        <f>LEFT(Table4[[#This Row],[Policy Type]],1)</f>
        <v>2</v>
      </c>
    </row>
    <row r="3666" spans="1:3" x14ac:dyDescent="0.25">
      <c r="A3666">
        <v>226422</v>
      </c>
      <c r="B3666" t="s">
        <v>3</v>
      </c>
      <c r="C3666" t="str">
        <f>LEFT(Table4[[#This Row],[Policy Type]],1)</f>
        <v>2</v>
      </c>
    </row>
    <row r="3667" spans="1:3" x14ac:dyDescent="0.25">
      <c r="A3667">
        <v>226429</v>
      </c>
      <c r="B3667" t="s">
        <v>2</v>
      </c>
      <c r="C3667" t="str">
        <f>LEFT(Table4[[#This Row],[Policy Type]],1)</f>
        <v>1</v>
      </c>
    </row>
    <row r="3668" spans="1:3" x14ac:dyDescent="0.25">
      <c r="A3668">
        <v>226453</v>
      </c>
      <c r="B3668" t="s">
        <v>2</v>
      </c>
      <c r="C3668" t="str">
        <f>LEFT(Table4[[#This Row],[Policy Type]],1)</f>
        <v>1</v>
      </c>
    </row>
    <row r="3669" spans="1:3" x14ac:dyDescent="0.25">
      <c r="A3669">
        <v>226477</v>
      </c>
      <c r="B3669" t="s">
        <v>3</v>
      </c>
      <c r="C3669" t="str">
        <f>LEFT(Table4[[#This Row],[Policy Type]],1)</f>
        <v>2</v>
      </c>
    </row>
    <row r="3670" spans="1:3" x14ac:dyDescent="0.25">
      <c r="A3670">
        <v>226482</v>
      </c>
      <c r="B3670" t="s">
        <v>3</v>
      </c>
      <c r="C3670" t="str">
        <f>LEFT(Table4[[#This Row],[Policy Type]],1)</f>
        <v>2</v>
      </c>
    </row>
    <row r="3671" spans="1:3" x14ac:dyDescent="0.25">
      <c r="A3671">
        <v>226501</v>
      </c>
      <c r="B3671" t="s">
        <v>2</v>
      </c>
      <c r="C3671" t="str">
        <f>LEFT(Table4[[#This Row],[Policy Type]],1)</f>
        <v>1</v>
      </c>
    </row>
    <row r="3672" spans="1:3" x14ac:dyDescent="0.25">
      <c r="A3672">
        <v>226504</v>
      </c>
      <c r="B3672" t="s">
        <v>2</v>
      </c>
      <c r="C3672" t="str">
        <f>LEFT(Table4[[#This Row],[Policy Type]],1)</f>
        <v>1</v>
      </c>
    </row>
    <row r="3673" spans="1:3" x14ac:dyDescent="0.25">
      <c r="A3673">
        <v>226512</v>
      </c>
      <c r="B3673" t="s">
        <v>3</v>
      </c>
      <c r="C3673" t="str">
        <f>LEFT(Table4[[#This Row],[Policy Type]],1)</f>
        <v>2</v>
      </c>
    </row>
    <row r="3674" spans="1:3" x14ac:dyDescent="0.25">
      <c r="A3674">
        <v>226514</v>
      </c>
      <c r="B3674" t="s">
        <v>3</v>
      </c>
      <c r="C3674" t="str">
        <f>LEFT(Table4[[#This Row],[Policy Type]],1)</f>
        <v>2</v>
      </c>
    </row>
    <row r="3675" spans="1:3" x14ac:dyDescent="0.25">
      <c r="A3675">
        <v>226538</v>
      </c>
      <c r="B3675" t="s">
        <v>3</v>
      </c>
      <c r="C3675" t="str">
        <f>LEFT(Table4[[#This Row],[Policy Type]],1)</f>
        <v>2</v>
      </c>
    </row>
    <row r="3676" spans="1:3" x14ac:dyDescent="0.25">
      <c r="A3676">
        <v>226555</v>
      </c>
      <c r="B3676" t="s">
        <v>3</v>
      </c>
      <c r="C3676" t="str">
        <f>LEFT(Table4[[#This Row],[Policy Type]],1)</f>
        <v>2</v>
      </c>
    </row>
    <row r="3677" spans="1:3" x14ac:dyDescent="0.25">
      <c r="A3677">
        <v>226557</v>
      </c>
      <c r="B3677" t="s">
        <v>2</v>
      </c>
      <c r="C3677" t="str">
        <f>LEFT(Table4[[#This Row],[Policy Type]],1)</f>
        <v>1</v>
      </c>
    </row>
    <row r="3678" spans="1:3" x14ac:dyDescent="0.25">
      <c r="A3678">
        <v>226569</v>
      </c>
      <c r="B3678" t="s">
        <v>3</v>
      </c>
      <c r="C3678" t="str">
        <f>LEFT(Table4[[#This Row],[Policy Type]],1)</f>
        <v>2</v>
      </c>
    </row>
    <row r="3679" spans="1:3" x14ac:dyDescent="0.25">
      <c r="A3679">
        <v>226598</v>
      </c>
      <c r="B3679" t="s">
        <v>2</v>
      </c>
      <c r="C3679" t="str">
        <f>LEFT(Table4[[#This Row],[Policy Type]],1)</f>
        <v>1</v>
      </c>
    </row>
    <row r="3680" spans="1:3" x14ac:dyDescent="0.25">
      <c r="A3680">
        <v>226655</v>
      </c>
      <c r="B3680" t="s">
        <v>3</v>
      </c>
      <c r="C3680" t="str">
        <f>LEFT(Table4[[#This Row],[Policy Type]],1)</f>
        <v>2</v>
      </c>
    </row>
    <row r="3681" spans="1:3" x14ac:dyDescent="0.25">
      <c r="A3681">
        <v>226690</v>
      </c>
      <c r="B3681" t="s">
        <v>2</v>
      </c>
      <c r="C3681" t="str">
        <f>LEFT(Table4[[#This Row],[Policy Type]],1)</f>
        <v>1</v>
      </c>
    </row>
    <row r="3682" spans="1:3" x14ac:dyDescent="0.25">
      <c r="A3682">
        <v>226699</v>
      </c>
      <c r="B3682" t="s">
        <v>2</v>
      </c>
      <c r="C3682" t="str">
        <f>LEFT(Table4[[#This Row],[Policy Type]],1)</f>
        <v>1</v>
      </c>
    </row>
    <row r="3683" spans="1:3" x14ac:dyDescent="0.25">
      <c r="A3683">
        <v>226703</v>
      </c>
      <c r="B3683" t="s">
        <v>2</v>
      </c>
      <c r="C3683" t="str">
        <f>LEFT(Table4[[#This Row],[Policy Type]],1)</f>
        <v>1</v>
      </c>
    </row>
    <row r="3684" spans="1:3" x14ac:dyDescent="0.25">
      <c r="A3684">
        <v>226780</v>
      </c>
      <c r="B3684" t="s">
        <v>3</v>
      </c>
      <c r="C3684" t="str">
        <f>LEFT(Table4[[#This Row],[Policy Type]],1)</f>
        <v>2</v>
      </c>
    </row>
    <row r="3685" spans="1:3" x14ac:dyDescent="0.25">
      <c r="A3685">
        <v>226789</v>
      </c>
      <c r="B3685" t="s">
        <v>3</v>
      </c>
      <c r="C3685" t="str">
        <f>LEFT(Table4[[#This Row],[Policy Type]],1)</f>
        <v>2</v>
      </c>
    </row>
    <row r="3686" spans="1:3" x14ac:dyDescent="0.25">
      <c r="A3686">
        <v>226813</v>
      </c>
      <c r="B3686" t="s">
        <v>2</v>
      </c>
      <c r="C3686" t="str">
        <f>LEFT(Table4[[#This Row],[Policy Type]],1)</f>
        <v>1</v>
      </c>
    </row>
    <row r="3687" spans="1:3" x14ac:dyDescent="0.25">
      <c r="A3687">
        <v>226832</v>
      </c>
      <c r="B3687" t="s">
        <v>3</v>
      </c>
      <c r="C3687" t="str">
        <f>LEFT(Table4[[#This Row],[Policy Type]],1)</f>
        <v>2</v>
      </c>
    </row>
    <row r="3688" spans="1:3" x14ac:dyDescent="0.25">
      <c r="A3688">
        <v>226882</v>
      </c>
      <c r="B3688" t="s">
        <v>3</v>
      </c>
      <c r="C3688" t="str">
        <f>LEFT(Table4[[#This Row],[Policy Type]],1)</f>
        <v>2</v>
      </c>
    </row>
    <row r="3689" spans="1:3" x14ac:dyDescent="0.25">
      <c r="A3689">
        <v>226894</v>
      </c>
      <c r="B3689" t="s">
        <v>3</v>
      </c>
      <c r="C3689" t="str">
        <f>LEFT(Table4[[#This Row],[Policy Type]],1)</f>
        <v>2</v>
      </c>
    </row>
    <row r="3690" spans="1:3" x14ac:dyDescent="0.25">
      <c r="A3690">
        <v>226944</v>
      </c>
      <c r="B3690" t="s">
        <v>2</v>
      </c>
      <c r="C3690" t="str">
        <f>LEFT(Table4[[#This Row],[Policy Type]],1)</f>
        <v>1</v>
      </c>
    </row>
    <row r="3691" spans="1:3" x14ac:dyDescent="0.25">
      <c r="A3691">
        <v>226991</v>
      </c>
      <c r="B3691" t="s">
        <v>3</v>
      </c>
      <c r="C3691" t="str">
        <f>LEFT(Table4[[#This Row],[Policy Type]],1)</f>
        <v>2</v>
      </c>
    </row>
    <row r="3692" spans="1:3" x14ac:dyDescent="0.25">
      <c r="A3692">
        <v>227019</v>
      </c>
      <c r="B3692" t="s">
        <v>3</v>
      </c>
      <c r="C3692" t="str">
        <f>LEFT(Table4[[#This Row],[Policy Type]],1)</f>
        <v>2</v>
      </c>
    </row>
    <row r="3693" spans="1:3" x14ac:dyDescent="0.25">
      <c r="A3693">
        <v>227029</v>
      </c>
      <c r="B3693" t="s">
        <v>3</v>
      </c>
      <c r="C3693" t="str">
        <f>LEFT(Table4[[#This Row],[Policy Type]],1)</f>
        <v>2</v>
      </c>
    </row>
    <row r="3694" spans="1:3" x14ac:dyDescent="0.25">
      <c r="A3694">
        <v>227034</v>
      </c>
      <c r="B3694" t="s">
        <v>2</v>
      </c>
      <c r="C3694" t="str">
        <f>LEFT(Table4[[#This Row],[Policy Type]],1)</f>
        <v>1</v>
      </c>
    </row>
    <row r="3695" spans="1:3" x14ac:dyDescent="0.25">
      <c r="A3695">
        <v>227040</v>
      </c>
      <c r="B3695" t="s">
        <v>2</v>
      </c>
      <c r="C3695" t="str">
        <f>LEFT(Table4[[#This Row],[Policy Type]],1)</f>
        <v>1</v>
      </c>
    </row>
    <row r="3696" spans="1:3" x14ac:dyDescent="0.25">
      <c r="A3696">
        <v>227086</v>
      </c>
      <c r="B3696" t="s">
        <v>3</v>
      </c>
      <c r="C3696" t="str">
        <f>LEFT(Table4[[#This Row],[Policy Type]],1)</f>
        <v>2</v>
      </c>
    </row>
    <row r="3697" spans="1:3" x14ac:dyDescent="0.25">
      <c r="A3697">
        <v>227105</v>
      </c>
      <c r="B3697" t="s">
        <v>3</v>
      </c>
      <c r="C3697" t="str">
        <f>LEFT(Table4[[#This Row],[Policy Type]],1)</f>
        <v>2</v>
      </c>
    </row>
    <row r="3698" spans="1:3" x14ac:dyDescent="0.25">
      <c r="A3698">
        <v>227125</v>
      </c>
      <c r="B3698" t="s">
        <v>3</v>
      </c>
      <c r="C3698" t="str">
        <f>LEFT(Table4[[#This Row],[Policy Type]],1)</f>
        <v>2</v>
      </c>
    </row>
    <row r="3699" spans="1:3" x14ac:dyDescent="0.25">
      <c r="A3699">
        <v>227217</v>
      </c>
      <c r="B3699" t="s">
        <v>2</v>
      </c>
      <c r="C3699" t="str">
        <f>LEFT(Table4[[#This Row],[Policy Type]],1)</f>
        <v>1</v>
      </c>
    </row>
    <row r="3700" spans="1:3" x14ac:dyDescent="0.25">
      <c r="A3700">
        <v>227221</v>
      </c>
      <c r="B3700" t="s">
        <v>2</v>
      </c>
      <c r="C3700" t="str">
        <f>LEFT(Table4[[#This Row],[Policy Type]],1)</f>
        <v>1</v>
      </c>
    </row>
    <row r="3701" spans="1:3" x14ac:dyDescent="0.25">
      <c r="A3701">
        <v>227259</v>
      </c>
      <c r="B3701" t="s">
        <v>3</v>
      </c>
      <c r="C3701" t="str">
        <f>LEFT(Table4[[#This Row],[Policy Type]],1)</f>
        <v>2</v>
      </c>
    </row>
    <row r="3702" spans="1:3" x14ac:dyDescent="0.25">
      <c r="A3702">
        <v>227339</v>
      </c>
      <c r="B3702" t="s">
        <v>3</v>
      </c>
      <c r="C3702" t="str">
        <f>LEFT(Table4[[#This Row],[Policy Type]],1)</f>
        <v>2</v>
      </c>
    </row>
    <row r="3703" spans="1:3" x14ac:dyDescent="0.25">
      <c r="A3703">
        <v>227363</v>
      </c>
      <c r="B3703" t="s">
        <v>3</v>
      </c>
      <c r="C3703" t="str">
        <f>LEFT(Table4[[#This Row],[Policy Type]],1)</f>
        <v>2</v>
      </c>
    </row>
    <row r="3704" spans="1:3" x14ac:dyDescent="0.25">
      <c r="A3704">
        <v>227420</v>
      </c>
      <c r="B3704" t="s">
        <v>2</v>
      </c>
      <c r="C3704" t="str">
        <f>LEFT(Table4[[#This Row],[Policy Type]],1)</f>
        <v>1</v>
      </c>
    </row>
    <row r="3705" spans="1:3" x14ac:dyDescent="0.25">
      <c r="A3705">
        <v>227431</v>
      </c>
      <c r="B3705" t="s">
        <v>2</v>
      </c>
      <c r="C3705" t="str">
        <f>LEFT(Table4[[#This Row],[Policy Type]],1)</f>
        <v>1</v>
      </c>
    </row>
    <row r="3706" spans="1:3" x14ac:dyDescent="0.25">
      <c r="A3706">
        <v>227432</v>
      </c>
      <c r="B3706" t="s">
        <v>2</v>
      </c>
      <c r="C3706" t="str">
        <f>LEFT(Table4[[#This Row],[Policy Type]],1)</f>
        <v>1</v>
      </c>
    </row>
    <row r="3707" spans="1:3" x14ac:dyDescent="0.25">
      <c r="A3707">
        <v>227545</v>
      </c>
      <c r="B3707" t="s">
        <v>3</v>
      </c>
      <c r="C3707" t="str">
        <f>LEFT(Table4[[#This Row],[Policy Type]],1)</f>
        <v>2</v>
      </c>
    </row>
    <row r="3708" spans="1:3" x14ac:dyDescent="0.25">
      <c r="A3708">
        <v>227557</v>
      </c>
      <c r="B3708" t="s">
        <v>3</v>
      </c>
      <c r="C3708" t="str">
        <f>LEFT(Table4[[#This Row],[Policy Type]],1)</f>
        <v>2</v>
      </c>
    </row>
    <row r="3709" spans="1:3" x14ac:dyDescent="0.25">
      <c r="A3709">
        <v>227593</v>
      </c>
      <c r="B3709" t="s">
        <v>2</v>
      </c>
      <c r="C3709" t="str">
        <f>LEFT(Table4[[#This Row],[Policy Type]],1)</f>
        <v>1</v>
      </c>
    </row>
    <row r="3710" spans="1:3" x14ac:dyDescent="0.25">
      <c r="A3710">
        <v>227619</v>
      </c>
      <c r="B3710" t="s">
        <v>2</v>
      </c>
      <c r="C3710" t="str">
        <f>LEFT(Table4[[#This Row],[Policy Type]],1)</f>
        <v>1</v>
      </c>
    </row>
    <row r="3711" spans="1:3" x14ac:dyDescent="0.25">
      <c r="A3711">
        <v>227639</v>
      </c>
      <c r="B3711" t="s">
        <v>2</v>
      </c>
      <c r="C3711" t="str">
        <f>LEFT(Table4[[#This Row],[Policy Type]],1)</f>
        <v>1</v>
      </c>
    </row>
    <row r="3712" spans="1:3" x14ac:dyDescent="0.25">
      <c r="A3712">
        <v>227674</v>
      </c>
      <c r="B3712" t="s">
        <v>2</v>
      </c>
      <c r="C3712" t="str">
        <f>LEFT(Table4[[#This Row],[Policy Type]],1)</f>
        <v>1</v>
      </c>
    </row>
    <row r="3713" spans="1:3" x14ac:dyDescent="0.25">
      <c r="A3713">
        <v>227677</v>
      </c>
      <c r="B3713" t="s">
        <v>3</v>
      </c>
      <c r="C3713" t="str">
        <f>LEFT(Table4[[#This Row],[Policy Type]],1)</f>
        <v>2</v>
      </c>
    </row>
    <row r="3714" spans="1:3" x14ac:dyDescent="0.25">
      <c r="A3714">
        <v>227695</v>
      </c>
      <c r="B3714" t="s">
        <v>2</v>
      </c>
      <c r="C3714" t="str">
        <f>LEFT(Table4[[#This Row],[Policy Type]],1)</f>
        <v>1</v>
      </c>
    </row>
    <row r="3715" spans="1:3" x14ac:dyDescent="0.25">
      <c r="A3715">
        <v>227703</v>
      </c>
      <c r="B3715" t="s">
        <v>3</v>
      </c>
      <c r="C3715" t="str">
        <f>LEFT(Table4[[#This Row],[Policy Type]],1)</f>
        <v>2</v>
      </c>
    </row>
    <row r="3716" spans="1:3" x14ac:dyDescent="0.25">
      <c r="A3716">
        <v>227739</v>
      </c>
      <c r="B3716" t="s">
        <v>3</v>
      </c>
      <c r="C3716" t="str">
        <f>LEFT(Table4[[#This Row],[Policy Type]],1)</f>
        <v>2</v>
      </c>
    </row>
    <row r="3717" spans="1:3" x14ac:dyDescent="0.25">
      <c r="A3717">
        <v>227761</v>
      </c>
      <c r="B3717" t="s">
        <v>3</v>
      </c>
      <c r="C3717" t="str">
        <f>LEFT(Table4[[#This Row],[Policy Type]],1)</f>
        <v>2</v>
      </c>
    </row>
    <row r="3718" spans="1:3" x14ac:dyDescent="0.25">
      <c r="A3718">
        <v>227794</v>
      </c>
      <c r="B3718" t="s">
        <v>2</v>
      </c>
      <c r="C3718" t="str">
        <f>LEFT(Table4[[#This Row],[Policy Type]],1)</f>
        <v>1</v>
      </c>
    </row>
    <row r="3719" spans="1:3" x14ac:dyDescent="0.25">
      <c r="A3719">
        <v>227799</v>
      </c>
      <c r="B3719" t="s">
        <v>2</v>
      </c>
      <c r="C3719" t="str">
        <f>LEFT(Table4[[#This Row],[Policy Type]],1)</f>
        <v>1</v>
      </c>
    </row>
    <row r="3720" spans="1:3" x14ac:dyDescent="0.25">
      <c r="A3720">
        <v>227804</v>
      </c>
      <c r="B3720" t="s">
        <v>2</v>
      </c>
      <c r="C3720" t="str">
        <f>LEFT(Table4[[#This Row],[Policy Type]],1)</f>
        <v>1</v>
      </c>
    </row>
    <row r="3721" spans="1:3" x14ac:dyDescent="0.25">
      <c r="A3721">
        <v>227808</v>
      </c>
      <c r="B3721" t="s">
        <v>3</v>
      </c>
      <c r="C3721" t="str">
        <f>LEFT(Table4[[#This Row],[Policy Type]],1)</f>
        <v>2</v>
      </c>
    </row>
    <row r="3722" spans="1:3" x14ac:dyDescent="0.25">
      <c r="A3722">
        <v>227812</v>
      </c>
      <c r="B3722" t="s">
        <v>3</v>
      </c>
      <c r="C3722" t="str">
        <f>LEFT(Table4[[#This Row],[Policy Type]],1)</f>
        <v>2</v>
      </c>
    </row>
    <row r="3723" spans="1:3" x14ac:dyDescent="0.25">
      <c r="A3723">
        <v>227837</v>
      </c>
      <c r="B3723" t="s">
        <v>3</v>
      </c>
      <c r="C3723" t="str">
        <f>LEFT(Table4[[#This Row],[Policy Type]],1)</f>
        <v>2</v>
      </c>
    </row>
    <row r="3724" spans="1:3" x14ac:dyDescent="0.25">
      <c r="A3724">
        <v>227864</v>
      </c>
      <c r="B3724" t="s">
        <v>3</v>
      </c>
      <c r="C3724" t="str">
        <f>LEFT(Table4[[#This Row],[Policy Type]],1)</f>
        <v>2</v>
      </c>
    </row>
    <row r="3725" spans="1:3" x14ac:dyDescent="0.25">
      <c r="A3725">
        <v>227878</v>
      </c>
      <c r="B3725" t="s">
        <v>3</v>
      </c>
      <c r="C3725" t="str">
        <f>LEFT(Table4[[#This Row],[Policy Type]],1)</f>
        <v>2</v>
      </c>
    </row>
    <row r="3726" spans="1:3" x14ac:dyDescent="0.25">
      <c r="A3726">
        <v>227880</v>
      </c>
      <c r="B3726" t="s">
        <v>3</v>
      </c>
      <c r="C3726" t="str">
        <f>LEFT(Table4[[#This Row],[Policy Type]],1)</f>
        <v>2</v>
      </c>
    </row>
    <row r="3727" spans="1:3" x14ac:dyDescent="0.25">
      <c r="A3727">
        <v>227901</v>
      </c>
      <c r="B3727" t="s">
        <v>3</v>
      </c>
      <c r="C3727" t="str">
        <f>LEFT(Table4[[#This Row],[Policy Type]],1)</f>
        <v>2</v>
      </c>
    </row>
    <row r="3728" spans="1:3" x14ac:dyDescent="0.25">
      <c r="A3728">
        <v>227972</v>
      </c>
      <c r="B3728" t="s">
        <v>3</v>
      </c>
      <c r="C3728" t="str">
        <f>LEFT(Table4[[#This Row],[Policy Type]],1)</f>
        <v>2</v>
      </c>
    </row>
    <row r="3729" spans="1:3" x14ac:dyDescent="0.25">
      <c r="A3729">
        <v>228020</v>
      </c>
      <c r="B3729" t="s">
        <v>3</v>
      </c>
      <c r="C3729" t="str">
        <f>LEFT(Table4[[#This Row],[Policy Type]],1)</f>
        <v>2</v>
      </c>
    </row>
    <row r="3730" spans="1:3" x14ac:dyDescent="0.25">
      <c r="A3730">
        <v>228045</v>
      </c>
      <c r="B3730" t="s">
        <v>2</v>
      </c>
      <c r="C3730" t="str">
        <f>LEFT(Table4[[#This Row],[Policy Type]],1)</f>
        <v>1</v>
      </c>
    </row>
    <row r="3731" spans="1:3" x14ac:dyDescent="0.25">
      <c r="A3731">
        <v>228106</v>
      </c>
      <c r="B3731" t="s">
        <v>2</v>
      </c>
      <c r="C3731" t="str">
        <f>LEFT(Table4[[#This Row],[Policy Type]],1)</f>
        <v>1</v>
      </c>
    </row>
    <row r="3732" spans="1:3" x14ac:dyDescent="0.25">
      <c r="A3732">
        <v>228135</v>
      </c>
      <c r="B3732" t="s">
        <v>2</v>
      </c>
      <c r="C3732" t="str">
        <f>LEFT(Table4[[#This Row],[Policy Type]],1)</f>
        <v>1</v>
      </c>
    </row>
    <row r="3733" spans="1:3" x14ac:dyDescent="0.25">
      <c r="A3733">
        <v>228176</v>
      </c>
      <c r="B3733" t="s">
        <v>3</v>
      </c>
      <c r="C3733" t="str">
        <f>LEFT(Table4[[#This Row],[Policy Type]],1)</f>
        <v>2</v>
      </c>
    </row>
    <row r="3734" spans="1:3" x14ac:dyDescent="0.25">
      <c r="A3734">
        <v>228267</v>
      </c>
      <c r="B3734" t="s">
        <v>3</v>
      </c>
      <c r="C3734" t="str">
        <f>LEFT(Table4[[#This Row],[Policy Type]],1)</f>
        <v>2</v>
      </c>
    </row>
    <row r="3735" spans="1:3" x14ac:dyDescent="0.25">
      <c r="A3735">
        <v>228291</v>
      </c>
      <c r="B3735" t="s">
        <v>2</v>
      </c>
      <c r="C3735" t="str">
        <f>LEFT(Table4[[#This Row],[Policy Type]],1)</f>
        <v>1</v>
      </c>
    </row>
    <row r="3736" spans="1:3" x14ac:dyDescent="0.25">
      <c r="A3736">
        <v>228294</v>
      </c>
      <c r="B3736" t="s">
        <v>3</v>
      </c>
      <c r="C3736" t="str">
        <f>LEFT(Table4[[#This Row],[Policy Type]],1)</f>
        <v>2</v>
      </c>
    </row>
    <row r="3737" spans="1:3" x14ac:dyDescent="0.25">
      <c r="A3737">
        <v>228300</v>
      </c>
      <c r="B3737" t="s">
        <v>2</v>
      </c>
      <c r="C3737" t="str">
        <f>LEFT(Table4[[#This Row],[Policy Type]],1)</f>
        <v>1</v>
      </c>
    </row>
    <row r="3738" spans="1:3" x14ac:dyDescent="0.25">
      <c r="A3738">
        <v>228312</v>
      </c>
      <c r="B3738" t="s">
        <v>3</v>
      </c>
      <c r="C3738" t="str">
        <f>LEFT(Table4[[#This Row],[Policy Type]],1)</f>
        <v>2</v>
      </c>
    </row>
    <row r="3739" spans="1:3" x14ac:dyDescent="0.25">
      <c r="A3739">
        <v>228330</v>
      </c>
      <c r="B3739" t="s">
        <v>3</v>
      </c>
      <c r="C3739" t="str">
        <f>LEFT(Table4[[#This Row],[Policy Type]],1)</f>
        <v>2</v>
      </c>
    </row>
    <row r="3740" spans="1:3" x14ac:dyDescent="0.25">
      <c r="A3740">
        <v>228347</v>
      </c>
      <c r="B3740" t="s">
        <v>3</v>
      </c>
      <c r="C3740" t="str">
        <f>LEFT(Table4[[#This Row],[Policy Type]],1)</f>
        <v>2</v>
      </c>
    </row>
    <row r="3741" spans="1:3" x14ac:dyDescent="0.25">
      <c r="A3741">
        <v>228369</v>
      </c>
      <c r="B3741" t="s">
        <v>3</v>
      </c>
      <c r="C3741" t="str">
        <f>LEFT(Table4[[#This Row],[Policy Type]],1)</f>
        <v>2</v>
      </c>
    </row>
    <row r="3742" spans="1:3" x14ac:dyDescent="0.25">
      <c r="A3742">
        <v>228378</v>
      </c>
      <c r="B3742" t="s">
        <v>3</v>
      </c>
      <c r="C3742" t="str">
        <f>LEFT(Table4[[#This Row],[Policy Type]],1)</f>
        <v>2</v>
      </c>
    </row>
    <row r="3743" spans="1:3" x14ac:dyDescent="0.25">
      <c r="A3743">
        <v>228385</v>
      </c>
      <c r="B3743" t="s">
        <v>3</v>
      </c>
      <c r="C3743" t="str">
        <f>LEFT(Table4[[#This Row],[Policy Type]],1)</f>
        <v>2</v>
      </c>
    </row>
    <row r="3744" spans="1:3" x14ac:dyDescent="0.25">
      <c r="A3744">
        <v>228399</v>
      </c>
      <c r="B3744" t="s">
        <v>3</v>
      </c>
      <c r="C3744" t="str">
        <f>LEFT(Table4[[#This Row],[Policy Type]],1)</f>
        <v>2</v>
      </c>
    </row>
    <row r="3745" spans="1:3" x14ac:dyDescent="0.25">
      <c r="A3745">
        <v>228402</v>
      </c>
      <c r="B3745" t="s">
        <v>3</v>
      </c>
      <c r="C3745" t="str">
        <f>LEFT(Table4[[#This Row],[Policy Type]],1)</f>
        <v>2</v>
      </c>
    </row>
    <row r="3746" spans="1:3" x14ac:dyDescent="0.25">
      <c r="A3746">
        <v>228443</v>
      </c>
      <c r="B3746" t="s">
        <v>3</v>
      </c>
      <c r="C3746" t="str">
        <f>LEFT(Table4[[#This Row],[Policy Type]],1)</f>
        <v>2</v>
      </c>
    </row>
    <row r="3747" spans="1:3" x14ac:dyDescent="0.25">
      <c r="A3747">
        <v>228461</v>
      </c>
      <c r="B3747" t="s">
        <v>2</v>
      </c>
      <c r="C3747" t="str">
        <f>LEFT(Table4[[#This Row],[Policy Type]],1)</f>
        <v>1</v>
      </c>
    </row>
    <row r="3748" spans="1:3" x14ac:dyDescent="0.25">
      <c r="A3748">
        <v>228474</v>
      </c>
      <c r="B3748" t="s">
        <v>3</v>
      </c>
      <c r="C3748" t="str">
        <f>LEFT(Table4[[#This Row],[Policy Type]],1)</f>
        <v>2</v>
      </c>
    </row>
    <row r="3749" spans="1:3" x14ac:dyDescent="0.25">
      <c r="A3749">
        <v>228478</v>
      </c>
      <c r="B3749" t="s">
        <v>2</v>
      </c>
      <c r="C3749" t="str">
        <f>LEFT(Table4[[#This Row],[Policy Type]],1)</f>
        <v>1</v>
      </c>
    </row>
    <row r="3750" spans="1:3" x14ac:dyDescent="0.25">
      <c r="A3750">
        <v>228552</v>
      </c>
      <c r="B3750" t="s">
        <v>3</v>
      </c>
      <c r="C3750" t="str">
        <f>LEFT(Table4[[#This Row],[Policy Type]],1)</f>
        <v>2</v>
      </c>
    </row>
    <row r="3751" spans="1:3" x14ac:dyDescent="0.25">
      <c r="A3751">
        <v>228606</v>
      </c>
      <c r="B3751" t="s">
        <v>3</v>
      </c>
      <c r="C3751" t="str">
        <f>LEFT(Table4[[#This Row],[Policy Type]],1)</f>
        <v>2</v>
      </c>
    </row>
    <row r="3752" spans="1:3" x14ac:dyDescent="0.25">
      <c r="A3752">
        <v>228618</v>
      </c>
      <c r="B3752" t="s">
        <v>3</v>
      </c>
      <c r="C3752" t="str">
        <f>LEFT(Table4[[#This Row],[Policy Type]],1)</f>
        <v>2</v>
      </c>
    </row>
    <row r="3753" spans="1:3" x14ac:dyDescent="0.25">
      <c r="A3753">
        <v>228619</v>
      </c>
      <c r="B3753" t="s">
        <v>3</v>
      </c>
      <c r="C3753" t="str">
        <f>LEFT(Table4[[#This Row],[Policy Type]],1)</f>
        <v>2</v>
      </c>
    </row>
    <row r="3754" spans="1:3" x14ac:dyDescent="0.25">
      <c r="A3754">
        <v>228701</v>
      </c>
      <c r="B3754" t="s">
        <v>2</v>
      </c>
      <c r="C3754" t="str">
        <f>LEFT(Table4[[#This Row],[Policy Type]],1)</f>
        <v>1</v>
      </c>
    </row>
    <row r="3755" spans="1:3" x14ac:dyDescent="0.25">
      <c r="A3755">
        <v>228728</v>
      </c>
      <c r="B3755" t="s">
        <v>3</v>
      </c>
      <c r="C3755" t="str">
        <f>LEFT(Table4[[#This Row],[Policy Type]],1)</f>
        <v>2</v>
      </c>
    </row>
    <row r="3756" spans="1:3" x14ac:dyDescent="0.25">
      <c r="A3756">
        <v>228799</v>
      </c>
      <c r="B3756" t="s">
        <v>3</v>
      </c>
      <c r="C3756" t="str">
        <f>LEFT(Table4[[#This Row],[Policy Type]],1)</f>
        <v>2</v>
      </c>
    </row>
    <row r="3757" spans="1:3" x14ac:dyDescent="0.25">
      <c r="A3757">
        <v>228850</v>
      </c>
      <c r="B3757" t="s">
        <v>2</v>
      </c>
      <c r="C3757" t="str">
        <f>LEFT(Table4[[#This Row],[Policy Type]],1)</f>
        <v>1</v>
      </c>
    </row>
    <row r="3758" spans="1:3" x14ac:dyDescent="0.25">
      <c r="A3758">
        <v>228851</v>
      </c>
      <c r="B3758" t="s">
        <v>2</v>
      </c>
      <c r="C3758" t="str">
        <f>LEFT(Table4[[#This Row],[Policy Type]],1)</f>
        <v>1</v>
      </c>
    </row>
    <row r="3759" spans="1:3" x14ac:dyDescent="0.25">
      <c r="A3759">
        <v>228880</v>
      </c>
      <c r="B3759" t="s">
        <v>2</v>
      </c>
      <c r="C3759" t="str">
        <f>LEFT(Table4[[#This Row],[Policy Type]],1)</f>
        <v>1</v>
      </c>
    </row>
    <row r="3760" spans="1:3" x14ac:dyDescent="0.25">
      <c r="A3760">
        <v>228961</v>
      </c>
      <c r="B3760" t="s">
        <v>2</v>
      </c>
      <c r="C3760" t="str">
        <f>LEFT(Table4[[#This Row],[Policy Type]],1)</f>
        <v>1</v>
      </c>
    </row>
    <row r="3761" spans="1:3" x14ac:dyDescent="0.25">
      <c r="A3761">
        <v>228968</v>
      </c>
      <c r="B3761" t="s">
        <v>2</v>
      </c>
      <c r="C3761" t="str">
        <f>LEFT(Table4[[#This Row],[Policy Type]],1)</f>
        <v>1</v>
      </c>
    </row>
    <row r="3762" spans="1:3" x14ac:dyDescent="0.25">
      <c r="A3762">
        <v>229035</v>
      </c>
      <c r="B3762" t="s">
        <v>2</v>
      </c>
      <c r="C3762" t="str">
        <f>LEFT(Table4[[#This Row],[Policy Type]],1)</f>
        <v>1</v>
      </c>
    </row>
    <row r="3763" spans="1:3" x14ac:dyDescent="0.25">
      <c r="A3763">
        <v>229062</v>
      </c>
      <c r="B3763" t="s">
        <v>3</v>
      </c>
      <c r="C3763" t="str">
        <f>LEFT(Table4[[#This Row],[Policy Type]],1)</f>
        <v>2</v>
      </c>
    </row>
    <row r="3764" spans="1:3" x14ac:dyDescent="0.25">
      <c r="A3764">
        <v>229069</v>
      </c>
      <c r="B3764" t="s">
        <v>2</v>
      </c>
      <c r="C3764" t="str">
        <f>LEFT(Table4[[#This Row],[Policy Type]],1)</f>
        <v>1</v>
      </c>
    </row>
    <row r="3765" spans="1:3" x14ac:dyDescent="0.25">
      <c r="A3765">
        <v>229071</v>
      </c>
      <c r="B3765" t="s">
        <v>3</v>
      </c>
      <c r="C3765" t="str">
        <f>LEFT(Table4[[#This Row],[Policy Type]],1)</f>
        <v>2</v>
      </c>
    </row>
    <row r="3766" spans="1:3" x14ac:dyDescent="0.25">
      <c r="A3766">
        <v>229103</v>
      </c>
      <c r="B3766" t="s">
        <v>2</v>
      </c>
      <c r="C3766" t="str">
        <f>LEFT(Table4[[#This Row],[Policy Type]],1)</f>
        <v>1</v>
      </c>
    </row>
    <row r="3767" spans="1:3" x14ac:dyDescent="0.25">
      <c r="A3767">
        <v>229147</v>
      </c>
      <c r="B3767" t="s">
        <v>3</v>
      </c>
      <c r="C3767" t="str">
        <f>LEFT(Table4[[#This Row],[Policy Type]],1)</f>
        <v>2</v>
      </c>
    </row>
    <row r="3768" spans="1:3" x14ac:dyDescent="0.25">
      <c r="A3768">
        <v>229161</v>
      </c>
      <c r="B3768" t="s">
        <v>3</v>
      </c>
      <c r="C3768" t="str">
        <f>LEFT(Table4[[#This Row],[Policy Type]],1)</f>
        <v>2</v>
      </c>
    </row>
    <row r="3769" spans="1:3" x14ac:dyDescent="0.25">
      <c r="A3769">
        <v>229165</v>
      </c>
      <c r="B3769" t="s">
        <v>3</v>
      </c>
      <c r="C3769" t="str">
        <f>LEFT(Table4[[#This Row],[Policy Type]],1)</f>
        <v>2</v>
      </c>
    </row>
    <row r="3770" spans="1:3" x14ac:dyDescent="0.25">
      <c r="A3770">
        <v>229167</v>
      </c>
      <c r="B3770" t="s">
        <v>3</v>
      </c>
      <c r="C3770" t="str">
        <f>LEFT(Table4[[#This Row],[Policy Type]],1)</f>
        <v>2</v>
      </c>
    </row>
    <row r="3771" spans="1:3" x14ac:dyDescent="0.25">
      <c r="A3771">
        <v>229204</v>
      </c>
      <c r="B3771" t="s">
        <v>3</v>
      </c>
      <c r="C3771" t="str">
        <f>LEFT(Table4[[#This Row],[Policy Type]],1)</f>
        <v>2</v>
      </c>
    </row>
    <row r="3772" spans="1:3" x14ac:dyDescent="0.25">
      <c r="A3772">
        <v>229225</v>
      </c>
      <c r="B3772" t="s">
        <v>3</v>
      </c>
      <c r="C3772" t="str">
        <f>LEFT(Table4[[#This Row],[Policy Type]],1)</f>
        <v>2</v>
      </c>
    </row>
    <row r="3773" spans="1:3" x14ac:dyDescent="0.25">
      <c r="A3773">
        <v>229249</v>
      </c>
      <c r="B3773" t="s">
        <v>2</v>
      </c>
      <c r="C3773" t="str">
        <f>LEFT(Table4[[#This Row],[Policy Type]],1)</f>
        <v>1</v>
      </c>
    </row>
    <row r="3774" spans="1:3" x14ac:dyDescent="0.25">
      <c r="A3774">
        <v>229254</v>
      </c>
      <c r="B3774" t="s">
        <v>2</v>
      </c>
      <c r="C3774" t="str">
        <f>LEFT(Table4[[#This Row],[Policy Type]],1)</f>
        <v>1</v>
      </c>
    </row>
    <row r="3775" spans="1:3" x14ac:dyDescent="0.25">
      <c r="A3775">
        <v>229300</v>
      </c>
      <c r="B3775" t="s">
        <v>2</v>
      </c>
      <c r="C3775" t="str">
        <f>LEFT(Table4[[#This Row],[Policy Type]],1)</f>
        <v>1</v>
      </c>
    </row>
    <row r="3776" spans="1:3" x14ac:dyDescent="0.25">
      <c r="A3776">
        <v>229363</v>
      </c>
      <c r="B3776" t="s">
        <v>2</v>
      </c>
      <c r="C3776" t="str">
        <f>LEFT(Table4[[#This Row],[Policy Type]],1)</f>
        <v>1</v>
      </c>
    </row>
    <row r="3777" spans="1:3" x14ac:dyDescent="0.25">
      <c r="A3777">
        <v>229490</v>
      </c>
      <c r="B3777" t="s">
        <v>2</v>
      </c>
      <c r="C3777" t="str">
        <f>LEFT(Table4[[#This Row],[Policy Type]],1)</f>
        <v>1</v>
      </c>
    </row>
    <row r="3778" spans="1:3" x14ac:dyDescent="0.25">
      <c r="A3778">
        <v>229519</v>
      </c>
      <c r="B3778" t="s">
        <v>2</v>
      </c>
      <c r="C3778" t="str">
        <f>LEFT(Table4[[#This Row],[Policy Type]],1)</f>
        <v>1</v>
      </c>
    </row>
    <row r="3779" spans="1:3" x14ac:dyDescent="0.25">
      <c r="A3779">
        <v>229589</v>
      </c>
      <c r="B3779" t="s">
        <v>2</v>
      </c>
      <c r="C3779" t="str">
        <f>LEFT(Table4[[#This Row],[Policy Type]],1)</f>
        <v>1</v>
      </c>
    </row>
    <row r="3780" spans="1:3" x14ac:dyDescent="0.25">
      <c r="A3780">
        <v>229599</v>
      </c>
      <c r="B3780" t="s">
        <v>3</v>
      </c>
      <c r="C3780" t="str">
        <f>LEFT(Table4[[#This Row],[Policy Type]],1)</f>
        <v>2</v>
      </c>
    </row>
    <row r="3781" spans="1:3" x14ac:dyDescent="0.25">
      <c r="A3781">
        <v>229664</v>
      </c>
      <c r="B3781" t="s">
        <v>3</v>
      </c>
      <c r="C3781" t="str">
        <f>LEFT(Table4[[#This Row],[Policy Type]],1)</f>
        <v>2</v>
      </c>
    </row>
    <row r="3782" spans="1:3" x14ac:dyDescent="0.25">
      <c r="A3782">
        <v>229773</v>
      </c>
      <c r="B3782" t="s">
        <v>2</v>
      </c>
      <c r="C3782" t="str">
        <f>LEFT(Table4[[#This Row],[Policy Type]],1)</f>
        <v>1</v>
      </c>
    </row>
    <row r="3783" spans="1:3" x14ac:dyDescent="0.25">
      <c r="A3783">
        <v>229812</v>
      </c>
      <c r="B3783" t="s">
        <v>2</v>
      </c>
      <c r="C3783" t="str">
        <f>LEFT(Table4[[#This Row],[Policy Type]],1)</f>
        <v>1</v>
      </c>
    </row>
    <row r="3784" spans="1:3" x14ac:dyDescent="0.25">
      <c r="A3784">
        <v>229848</v>
      </c>
      <c r="B3784" t="s">
        <v>2</v>
      </c>
      <c r="C3784" t="str">
        <f>LEFT(Table4[[#This Row],[Policy Type]],1)</f>
        <v>1</v>
      </c>
    </row>
    <row r="3785" spans="1:3" x14ac:dyDescent="0.25">
      <c r="A3785">
        <v>229858</v>
      </c>
      <c r="B3785" t="s">
        <v>3</v>
      </c>
      <c r="C3785" t="str">
        <f>LEFT(Table4[[#This Row],[Policy Type]],1)</f>
        <v>2</v>
      </c>
    </row>
    <row r="3786" spans="1:3" x14ac:dyDescent="0.25">
      <c r="A3786">
        <v>229859</v>
      </c>
      <c r="B3786" t="s">
        <v>2</v>
      </c>
      <c r="C3786" t="str">
        <f>LEFT(Table4[[#This Row],[Policy Type]],1)</f>
        <v>1</v>
      </c>
    </row>
    <row r="3787" spans="1:3" x14ac:dyDescent="0.25">
      <c r="A3787">
        <v>229914</v>
      </c>
      <c r="B3787" t="s">
        <v>2</v>
      </c>
      <c r="C3787" t="str">
        <f>LEFT(Table4[[#This Row],[Policy Type]],1)</f>
        <v>1</v>
      </c>
    </row>
    <row r="3788" spans="1:3" x14ac:dyDescent="0.25">
      <c r="A3788">
        <v>230007</v>
      </c>
      <c r="B3788" t="s">
        <v>3</v>
      </c>
      <c r="C3788" t="str">
        <f>LEFT(Table4[[#This Row],[Policy Type]],1)</f>
        <v>2</v>
      </c>
    </row>
    <row r="3789" spans="1:3" x14ac:dyDescent="0.25">
      <c r="A3789">
        <v>230112</v>
      </c>
      <c r="B3789" t="s">
        <v>3</v>
      </c>
      <c r="C3789" t="str">
        <f>LEFT(Table4[[#This Row],[Policy Type]],1)</f>
        <v>2</v>
      </c>
    </row>
    <row r="3790" spans="1:3" x14ac:dyDescent="0.25">
      <c r="A3790">
        <v>230164</v>
      </c>
      <c r="B3790" t="s">
        <v>2</v>
      </c>
      <c r="C3790" t="str">
        <f>LEFT(Table4[[#This Row],[Policy Type]],1)</f>
        <v>1</v>
      </c>
    </row>
    <row r="3791" spans="1:3" x14ac:dyDescent="0.25">
      <c r="A3791">
        <v>230175</v>
      </c>
      <c r="B3791" t="s">
        <v>2</v>
      </c>
      <c r="C3791" t="str">
        <f>LEFT(Table4[[#This Row],[Policy Type]],1)</f>
        <v>1</v>
      </c>
    </row>
    <row r="3792" spans="1:3" x14ac:dyDescent="0.25">
      <c r="A3792">
        <v>230231</v>
      </c>
      <c r="B3792" t="s">
        <v>3</v>
      </c>
      <c r="C3792" t="str">
        <f>LEFT(Table4[[#This Row],[Policy Type]],1)</f>
        <v>2</v>
      </c>
    </row>
    <row r="3793" spans="1:3" x14ac:dyDescent="0.25">
      <c r="A3793">
        <v>230303</v>
      </c>
      <c r="B3793" t="s">
        <v>3</v>
      </c>
      <c r="C3793" t="str">
        <f>LEFT(Table4[[#This Row],[Policy Type]],1)</f>
        <v>2</v>
      </c>
    </row>
    <row r="3794" spans="1:3" x14ac:dyDescent="0.25">
      <c r="A3794">
        <v>230313</v>
      </c>
      <c r="B3794" t="s">
        <v>3</v>
      </c>
      <c r="C3794" t="str">
        <f>LEFT(Table4[[#This Row],[Policy Type]],1)</f>
        <v>2</v>
      </c>
    </row>
    <row r="3795" spans="1:3" x14ac:dyDescent="0.25">
      <c r="A3795">
        <v>230326</v>
      </c>
      <c r="B3795" t="s">
        <v>3</v>
      </c>
      <c r="C3795" t="str">
        <f>LEFT(Table4[[#This Row],[Policy Type]],1)</f>
        <v>2</v>
      </c>
    </row>
    <row r="3796" spans="1:3" x14ac:dyDescent="0.25">
      <c r="A3796">
        <v>230381</v>
      </c>
      <c r="B3796" t="s">
        <v>3</v>
      </c>
      <c r="C3796" t="str">
        <f>LEFT(Table4[[#This Row],[Policy Type]],1)</f>
        <v>2</v>
      </c>
    </row>
    <row r="3797" spans="1:3" x14ac:dyDescent="0.25">
      <c r="A3797">
        <v>230469</v>
      </c>
      <c r="B3797" t="s">
        <v>2</v>
      </c>
      <c r="C3797" t="str">
        <f>LEFT(Table4[[#This Row],[Policy Type]],1)</f>
        <v>1</v>
      </c>
    </row>
    <row r="3798" spans="1:3" x14ac:dyDescent="0.25">
      <c r="A3798">
        <v>230492</v>
      </c>
      <c r="B3798" t="s">
        <v>3</v>
      </c>
      <c r="C3798" t="str">
        <f>LEFT(Table4[[#This Row],[Policy Type]],1)</f>
        <v>2</v>
      </c>
    </row>
    <row r="3799" spans="1:3" x14ac:dyDescent="0.25">
      <c r="A3799">
        <v>230622</v>
      </c>
      <c r="B3799" t="s">
        <v>3</v>
      </c>
      <c r="C3799" t="str">
        <f>LEFT(Table4[[#This Row],[Policy Type]],1)</f>
        <v>2</v>
      </c>
    </row>
    <row r="3800" spans="1:3" x14ac:dyDescent="0.25">
      <c r="A3800">
        <v>230628</v>
      </c>
      <c r="B3800" t="s">
        <v>3</v>
      </c>
      <c r="C3800" t="str">
        <f>LEFT(Table4[[#This Row],[Policy Type]],1)</f>
        <v>2</v>
      </c>
    </row>
    <row r="3801" spans="1:3" x14ac:dyDescent="0.25">
      <c r="A3801">
        <v>230630</v>
      </c>
      <c r="B3801" t="s">
        <v>2</v>
      </c>
      <c r="C3801" t="str">
        <f>LEFT(Table4[[#This Row],[Policy Type]],1)</f>
        <v>1</v>
      </c>
    </row>
    <row r="3802" spans="1:3" x14ac:dyDescent="0.25">
      <c r="A3802">
        <v>230631</v>
      </c>
      <c r="B3802" t="s">
        <v>2</v>
      </c>
      <c r="C3802" t="str">
        <f>LEFT(Table4[[#This Row],[Policy Type]],1)</f>
        <v>1</v>
      </c>
    </row>
    <row r="3803" spans="1:3" x14ac:dyDescent="0.25">
      <c r="A3803">
        <v>230634</v>
      </c>
      <c r="B3803" t="s">
        <v>2</v>
      </c>
      <c r="C3803" t="str">
        <f>LEFT(Table4[[#This Row],[Policy Type]],1)</f>
        <v>1</v>
      </c>
    </row>
    <row r="3804" spans="1:3" x14ac:dyDescent="0.25">
      <c r="A3804">
        <v>230721</v>
      </c>
      <c r="B3804" t="s">
        <v>3</v>
      </c>
      <c r="C3804" t="str">
        <f>LEFT(Table4[[#This Row],[Policy Type]],1)</f>
        <v>2</v>
      </c>
    </row>
    <row r="3805" spans="1:3" x14ac:dyDescent="0.25">
      <c r="A3805">
        <v>230724</v>
      </c>
      <c r="B3805" t="s">
        <v>3</v>
      </c>
      <c r="C3805" t="str">
        <f>LEFT(Table4[[#This Row],[Policy Type]],1)</f>
        <v>2</v>
      </c>
    </row>
    <row r="3806" spans="1:3" x14ac:dyDescent="0.25">
      <c r="A3806">
        <v>230744</v>
      </c>
      <c r="B3806" t="s">
        <v>3</v>
      </c>
      <c r="C3806" t="str">
        <f>LEFT(Table4[[#This Row],[Policy Type]],1)</f>
        <v>2</v>
      </c>
    </row>
    <row r="3807" spans="1:3" x14ac:dyDescent="0.25">
      <c r="A3807">
        <v>230874</v>
      </c>
      <c r="B3807" t="s">
        <v>3</v>
      </c>
      <c r="C3807" t="str">
        <f>LEFT(Table4[[#This Row],[Policy Type]],1)</f>
        <v>2</v>
      </c>
    </row>
    <row r="3808" spans="1:3" x14ac:dyDescent="0.25">
      <c r="A3808">
        <v>230898</v>
      </c>
      <c r="B3808" t="s">
        <v>2</v>
      </c>
      <c r="C3808" t="str">
        <f>LEFT(Table4[[#This Row],[Policy Type]],1)</f>
        <v>1</v>
      </c>
    </row>
    <row r="3809" spans="1:3" x14ac:dyDescent="0.25">
      <c r="A3809">
        <v>230959</v>
      </c>
      <c r="B3809" t="s">
        <v>3</v>
      </c>
      <c r="C3809" t="str">
        <f>LEFT(Table4[[#This Row],[Policy Type]],1)</f>
        <v>2</v>
      </c>
    </row>
    <row r="3810" spans="1:3" x14ac:dyDescent="0.25">
      <c r="A3810">
        <v>230987</v>
      </c>
      <c r="B3810" t="s">
        <v>3</v>
      </c>
      <c r="C3810" t="str">
        <f>LEFT(Table4[[#This Row],[Policy Type]],1)</f>
        <v>2</v>
      </c>
    </row>
    <row r="3811" spans="1:3" x14ac:dyDescent="0.25">
      <c r="A3811">
        <v>230993</v>
      </c>
      <c r="B3811" t="s">
        <v>2</v>
      </c>
      <c r="C3811" t="str">
        <f>LEFT(Table4[[#This Row],[Policy Type]],1)</f>
        <v>1</v>
      </c>
    </row>
    <row r="3812" spans="1:3" x14ac:dyDescent="0.25">
      <c r="A3812">
        <v>231007</v>
      </c>
      <c r="B3812" t="s">
        <v>2</v>
      </c>
      <c r="C3812" t="str">
        <f>LEFT(Table4[[#This Row],[Policy Type]],1)</f>
        <v>1</v>
      </c>
    </row>
    <row r="3813" spans="1:3" x14ac:dyDescent="0.25">
      <c r="A3813">
        <v>231061</v>
      </c>
      <c r="B3813" t="s">
        <v>2</v>
      </c>
      <c r="C3813" t="str">
        <f>LEFT(Table4[[#This Row],[Policy Type]],1)</f>
        <v>1</v>
      </c>
    </row>
    <row r="3814" spans="1:3" x14ac:dyDescent="0.25">
      <c r="A3814">
        <v>231112</v>
      </c>
      <c r="B3814" t="s">
        <v>3</v>
      </c>
      <c r="C3814" t="str">
        <f>LEFT(Table4[[#This Row],[Policy Type]],1)</f>
        <v>2</v>
      </c>
    </row>
    <row r="3815" spans="1:3" x14ac:dyDescent="0.25">
      <c r="A3815">
        <v>231131</v>
      </c>
      <c r="B3815" t="s">
        <v>3</v>
      </c>
      <c r="C3815" t="str">
        <f>LEFT(Table4[[#This Row],[Policy Type]],1)</f>
        <v>2</v>
      </c>
    </row>
    <row r="3816" spans="1:3" x14ac:dyDescent="0.25">
      <c r="A3816">
        <v>231177</v>
      </c>
      <c r="B3816" t="s">
        <v>3</v>
      </c>
      <c r="C3816" t="str">
        <f>LEFT(Table4[[#This Row],[Policy Type]],1)</f>
        <v>2</v>
      </c>
    </row>
    <row r="3817" spans="1:3" x14ac:dyDescent="0.25">
      <c r="A3817">
        <v>231232</v>
      </c>
      <c r="B3817" t="s">
        <v>3</v>
      </c>
      <c r="C3817" t="str">
        <f>LEFT(Table4[[#This Row],[Policy Type]],1)</f>
        <v>2</v>
      </c>
    </row>
    <row r="3818" spans="1:3" x14ac:dyDescent="0.25">
      <c r="A3818">
        <v>231277</v>
      </c>
      <c r="B3818" t="s">
        <v>2</v>
      </c>
      <c r="C3818" t="str">
        <f>LEFT(Table4[[#This Row],[Policy Type]],1)</f>
        <v>1</v>
      </c>
    </row>
    <row r="3819" spans="1:3" x14ac:dyDescent="0.25">
      <c r="A3819">
        <v>231388</v>
      </c>
      <c r="B3819" t="s">
        <v>3</v>
      </c>
      <c r="C3819" t="str">
        <f>LEFT(Table4[[#This Row],[Policy Type]],1)</f>
        <v>2</v>
      </c>
    </row>
    <row r="3820" spans="1:3" x14ac:dyDescent="0.25">
      <c r="A3820">
        <v>231402</v>
      </c>
      <c r="B3820" t="s">
        <v>2</v>
      </c>
      <c r="C3820" t="str">
        <f>LEFT(Table4[[#This Row],[Policy Type]],1)</f>
        <v>1</v>
      </c>
    </row>
    <row r="3821" spans="1:3" x14ac:dyDescent="0.25">
      <c r="A3821">
        <v>231407</v>
      </c>
      <c r="B3821" t="s">
        <v>2</v>
      </c>
      <c r="C3821" t="str">
        <f>LEFT(Table4[[#This Row],[Policy Type]],1)</f>
        <v>1</v>
      </c>
    </row>
    <row r="3822" spans="1:3" x14ac:dyDescent="0.25">
      <c r="A3822">
        <v>231429</v>
      </c>
      <c r="B3822" t="s">
        <v>2</v>
      </c>
      <c r="C3822" t="str">
        <f>LEFT(Table4[[#This Row],[Policy Type]],1)</f>
        <v>1</v>
      </c>
    </row>
    <row r="3823" spans="1:3" x14ac:dyDescent="0.25">
      <c r="A3823">
        <v>231473</v>
      </c>
      <c r="B3823" t="s">
        <v>2</v>
      </c>
      <c r="C3823" t="str">
        <f>LEFT(Table4[[#This Row],[Policy Type]],1)</f>
        <v>1</v>
      </c>
    </row>
    <row r="3824" spans="1:3" x14ac:dyDescent="0.25">
      <c r="A3824">
        <v>231483</v>
      </c>
      <c r="B3824" t="s">
        <v>2</v>
      </c>
      <c r="C3824" t="str">
        <f>LEFT(Table4[[#This Row],[Policy Type]],1)</f>
        <v>1</v>
      </c>
    </row>
    <row r="3825" spans="1:3" x14ac:dyDescent="0.25">
      <c r="A3825">
        <v>231494</v>
      </c>
      <c r="B3825" t="s">
        <v>3</v>
      </c>
      <c r="C3825" t="str">
        <f>LEFT(Table4[[#This Row],[Policy Type]],1)</f>
        <v>2</v>
      </c>
    </row>
    <row r="3826" spans="1:3" x14ac:dyDescent="0.25">
      <c r="A3826">
        <v>231561</v>
      </c>
      <c r="B3826" t="s">
        <v>2</v>
      </c>
      <c r="C3826" t="str">
        <f>LEFT(Table4[[#This Row],[Policy Type]],1)</f>
        <v>1</v>
      </c>
    </row>
    <row r="3827" spans="1:3" x14ac:dyDescent="0.25">
      <c r="A3827">
        <v>231583</v>
      </c>
      <c r="B3827" t="s">
        <v>2</v>
      </c>
      <c r="C3827" t="str">
        <f>LEFT(Table4[[#This Row],[Policy Type]],1)</f>
        <v>1</v>
      </c>
    </row>
    <row r="3828" spans="1:3" x14ac:dyDescent="0.25">
      <c r="A3828">
        <v>231584</v>
      </c>
      <c r="B3828" t="s">
        <v>2</v>
      </c>
      <c r="C3828" t="str">
        <f>LEFT(Table4[[#This Row],[Policy Type]],1)</f>
        <v>1</v>
      </c>
    </row>
    <row r="3829" spans="1:3" x14ac:dyDescent="0.25">
      <c r="A3829">
        <v>231817</v>
      </c>
      <c r="B3829" t="s">
        <v>2</v>
      </c>
      <c r="C3829" t="str">
        <f>LEFT(Table4[[#This Row],[Policy Type]],1)</f>
        <v>1</v>
      </c>
    </row>
    <row r="3830" spans="1:3" x14ac:dyDescent="0.25">
      <c r="A3830">
        <v>231837</v>
      </c>
      <c r="B3830" t="s">
        <v>2</v>
      </c>
      <c r="C3830" t="str">
        <f>LEFT(Table4[[#This Row],[Policy Type]],1)</f>
        <v>1</v>
      </c>
    </row>
    <row r="3831" spans="1:3" x14ac:dyDescent="0.25">
      <c r="A3831">
        <v>231870</v>
      </c>
      <c r="B3831" t="s">
        <v>2</v>
      </c>
      <c r="C3831" t="str">
        <f>LEFT(Table4[[#This Row],[Policy Type]],1)</f>
        <v>1</v>
      </c>
    </row>
    <row r="3832" spans="1:3" x14ac:dyDescent="0.25">
      <c r="A3832">
        <v>231926</v>
      </c>
      <c r="B3832" t="s">
        <v>2</v>
      </c>
      <c r="C3832" t="str">
        <f>LEFT(Table4[[#This Row],[Policy Type]],1)</f>
        <v>1</v>
      </c>
    </row>
    <row r="3833" spans="1:3" x14ac:dyDescent="0.25">
      <c r="A3833">
        <v>231937</v>
      </c>
      <c r="B3833" t="s">
        <v>3</v>
      </c>
      <c r="C3833" t="str">
        <f>LEFT(Table4[[#This Row],[Policy Type]],1)</f>
        <v>2</v>
      </c>
    </row>
    <row r="3834" spans="1:3" x14ac:dyDescent="0.25">
      <c r="A3834">
        <v>231956</v>
      </c>
      <c r="B3834" t="s">
        <v>3</v>
      </c>
      <c r="C3834" t="str">
        <f>LEFT(Table4[[#This Row],[Policy Type]],1)</f>
        <v>2</v>
      </c>
    </row>
    <row r="3835" spans="1:3" x14ac:dyDescent="0.25">
      <c r="A3835">
        <v>231981</v>
      </c>
      <c r="B3835" t="s">
        <v>3</v>
      </c>
      <c r="C3835" t="str">
        <f>LEFT(Table4[[#This Row],[Policy Type]],1)</f>
        <v>2</v>
      </c>
    </row>
    <row r="3836" spans="1:3" x14ac:dyDescent="0.25">
      <c r="A3836">
        <v>231621</v>
      </c>
      <c r="B3836" t="s">
        <v>2</v>
      </c>
      <c r="C3836" t="str">
        <f>LEFT(Table4[[#This Row],[Policy Type]],1)</f>
        <v>1</v>
      </c>
    </row>
    <row r="3837" spans="1:3" x14ac:dyDescent="0.25">
      <c r="A3837">
        <v>231635</v>
      </c>
      <c r="B3837" t="s">
        <v>2</v>
      </c>
      <c r="C3837" t="str">
        <f>LEFT(Table4[[#This Row],[Policy Type]],1)</f>
        <v>1</v>
      </c>
    </row>
    <row r="3838" spans="1:3" x14ac:dyDescent="0.25">
      <c r="A3838">
        <v>231663</v>
      </c>
      <c r="B3838" t="s">
        <v>3</v>
      </c>
      <c r="C3838" t="str">
        <f>LEFT(Table4[[#This Row],[Policy Type]],1)</f>
        <v>2</v>
      </c>
    </row>
    <row r="3839" spans="1:3" x14ac:dyDescent="0.25">
      <c r="A3839">
        <v>231722</v>
      </c>
      <c r="B3839" t="s">
        <v>3</v>
      </c>
      <c r="C3839" t="str">
        <f>LEFT(Table4[[#This Row],[Policy Type]],1)</f>
        <v>2</v>
      </c>
    </row>
    <row r="3840" spans="1:3" x14ac:dyDescent="0.25">
      <c r="A3840">
        <v>231765</v>
      </c>
      <c r="B3840" t="s">
        <v>3</v>
      </c>
      <c r="C3840" t="str">
        <f>LEFT(Table4[[#This Row],[Policy Type]],1)</f>
        <v>2</v>
      </c>
    </row>
    <row r="3841" spans="1:3" x14ac:dyDescent="0.25">
      <c r="A3841">
        <v>231773</v>
      </c>
      <c r="B3841" t="s">
        <v>3</v>
      </c>
      <c r="C3841" t="str">
        <f>LEFT(Table4[[#This Row],[Policy Type]],1)</f>
        <v>2</v>
      </c>
    </row>
    <row r="3842" spans="1:3" x14ac:dyDescent="0.25">
      <c r="A3842">
        <v>232008</v>
      </c>
      <c r="B3842" t="s">
        <v>2</v>
      </c>
      <c r="C3842" t="str">
        <f>LEFT(Table4[[#This Row],[Policy Type]],1)</f>
        <v>1</v>
      </c>
    </row>
    <row r="3843" spans="1:3" x14ac:dyDescent="0.25">
      <c r="A3843">
        <v>232085</v>
      </c>
      <c r="B3843" t="s">
        <v>2</v>
      </c>
      <c r="C3843" t="str">
        <f>LEFT(Table4[[#This Row],[Policy Type]],1)</f>
        <v>1</v>
      </c>
    </row>
    <row r="3844" spans="1:3" x14ac:dyDescent="0.25">
      <c r="A3844">
        <v>232092</v>
      </c>
      <c r="B3844" t="s">
        <v>3</v>
      </c>
      <c r="C3844" t="str">
        <f>LEFT(Table4[[#This Row],[Policy Type]],1)</f>
        <v>2</v>
      </c>
    </row>
    <row r="3845" spans="1:3" x14ac:dyDescent="0.25">
      <c r="A3845">
        <v>232099</v>
      </c>
      <c r="B3845" t="s">
        <v>3</v>
      </c>
      <c r="C3845" t="str">
        <f>LEFT(Table4[[#This Row],[Policy Type]],1)</f>
        <v>2</v>
      </c>
    </row>
    <row r="3846" spans="1:3" x14ac:dyDescent="0.25">
      <c r="A3846">
        <v>232113</v>
      </c>
      <c r="B3846" t="s">
        <v>2</v>
      </c>
      <c r="C3846" t="str">
        <f>LEFT(Table4[[#This Row],[Policy Type]],1)</f>
        <v>1</v>
      </c>
    </row>
    <row r="3847" spans="1:3" x14ac:dyDescent="0.25">
      <c r="A3847">
        <v>232130</v>
      </c>
      <c r="B3847" t="s">
        <v>3</v>
      </c>
      <c r="C3847" t="str">
        <f>LEFT(Table4[[#This Row],[Policy Type]],1)</f>
        <v>2</v>
      </c>
    </row>
    <row r="3848" spans="1:3" x14ac:dyDescent="0.25">
      <c r="A3848">
        <v>232196</v>
      </c>
      <c r="B3848" t="s">
        <v>2</v>
      </c>
      <c r="C3848" t="str">
        <f>LEFT(Table4[[#This Row],[Policy Type]],1)</f>
        <v>1</v>
      </c>
    </row>
    <row r="3849" spans="1:3" x14ac:dyDescent="0.25">
      <c r="A3849">
        <v>232217</v>
      </c>
      <c r="B3849" t="s">
        <v>3</v>
      </c>
      <c r="C3849" t="str">
        <f>LEFT(Table4[[#This Row],[Policy Type]],1)</f>
        <v>2</v>
      </c>
    </row>
    <row r="3850" spans="1:3" x14ac:dyDescent="0.25">
      <c r="A3850">
        <v>232255</v>
      </c>
      <c r="B3850" t="s">
        <v>3</v>
      </c>
      <c r="C3850" t="str">
        <f>LEFT(Table4[[#This Row],[Policy Type]],1)</f>
        <v>2</v>
      </c>
    </row>
    <row r="3851" spans="1:3" x14ac:dyDescent="0.25">
      <c r="A3851">
        <v>232289</v>
      </c>
      <c r="B3851" t="s">
        <v>2</v>
      </c>
      <c r="C3851" t="str">
        <f>LEFT(Table4[[#This Row],[Policy Type]],1)</f>
        <v>1</v>
      </c>
    </row>
    <row r="3852" spans="1:3" x14ac:dyDescent="0.25">
      <c r="A3852">
        <v>232369</v>
      </c>
      <c r="B3852" t="s">
        <v>2</v>
      </c>
      <c r="C3852" t="str">
        <f>LEFT(Table4[[#This Row],[Policy Type]],1)</f>
        <v>1</v>
      </c>
    </row>
    <row r="3853" spans="1:3" x14ac:dyDescent="0.25">
      <c r="A3853">
        <v>232731</v>
      </c>
      <c r="B3853" t="s">
        <v>2</v>
      </c>
      <c r="C3853" t="str">
        <f>LEFT(Table4[[#This Row],[Policy Type]],1)</f>
        <v>1</v>
      </c>
    </row>
    <row r="3854" spans="1:3" x14ac:dyDescent="0.25">
      <c r="A3854">
        <v>232411</v>
      </c>
      <c r="B3854" t="s">
        <v>3</v>
      </c>
      <c r="C3854" t="str">
        <f>LEFT(Table4[[#This Row],[Policy Type]],1)</f>
        <v>2</v>
      </c>
    </row>
    <row r="3855" spans="1:3" x14ac:dyDescent="0.25">
      <c r="A3855">
        <v>232475</v>
      </c>
      <c r="B3855" t="s">
        <v>3</v>
      </c>
      <c r="C3855" t="str">
        <f>LEFT(Table4[[#This Row],[Policy Type]],1)</f>
        <v>2</v>
      </c>
    </row>
    <row r="3856" spans="1:3" x14ac:dyDescent="0.25">
      <c r="A3856">
        <v>232502</v>
      </c>
      <c r="B3856" t="s">
        <v>2</v>
      </c>
      <c r="C3856" t="str">
        <f>LEFT(Table4[[#This Row],[Policy Type]],1)</f>
        <v>1</v>
      </c>
    </row>
    <row r="3857" spans="1:3" x14ac:dyDescent="0.25">
      <c r="A3857">
        <v>232510</v>
      </c>
      <c r="B3857" t="s">
        <v>3</v>
      </c>
      <c r="C3857" t="str">
        <f>LEFT(Table4[[#This Row],[Policy Type]],1)</f>
        <v>2</v>
      </c>
    </row>
    <row r="3858" spans="1:3" x14ac:dyDescent="0.25">
      <c r="A3858">
        <v>232515</v>
      </c>
      <c r="B3858" t="s">
        <v>3</v>
      </c>
      <c r="C3858" t="str">
        <f>LEFT(Table4[[#This Row],[Policy Type]],1)</f>
        <v>2</v>
      </c>
    </row>
    <row r="3859" spans="1:3" x14ac:dyDescent="0.25">
      <c r="A3859">
        <v>232545</v>
      </c>
      <c r="B3859" t="s">
        <v>2</v>
      </c>
      <c r="C3859" t="str">
        <f>LEFT(Table4[[#This Row],[Policy Type]],1)</f>
        <v>1</v>
      </c>
    </row>
    <row r="3860" spans="1:3" x14ac:dyDescent="0.25">
      <c r="A3860">
        <v>232582</v>
      </c>
      <c r="B3860" t="s">
        <v>2</v>
      </c>
      <c r="C3860" t="str">
        <f>LEFT(Table4[[#This Row],[Policy Type]],1)</f>
        <v>1</v>
      </c>
    </row>
    <row r="3861" spans="1:3" x14ac:dyDescent="0.25">
      <c r="A3861">
        <v>232805</v>
      </c>
      <c r="B3861" t="s">
        <v>3</v>
      </c>
      <c r="C3861" t="str">
        <f>LEFT(Table4[[#This Row],[Policy Type]],1)</f>
        <v>2</v>
      </c>
    </row>
    <row r="3862" spans="1:3" x14ac:dyDescent="0.25">
      <c r="A3862">
        <v>232970</v>
      </c>
      <c r="B3862" t="s">
        <v>3</v>
      </c>
      <c r="C3862" t="str">
        <f>LEFT(Table4[[#This Row],[Policy Type]],1)</f>
        <v>2</v>
      </c>
    </row>
    <row r="3863" spans="1:3" x14ac:dyDescent="0.25">
      <c r="A3863">
        <v>232982</v>
      </c>
      <c r="B3863" t="s">
        <v>3</v>
      </c>
      <c r="C3863" t="str">
        <f>LEFT(Table4[[#This Row],[Policy Type]],1)</f>
        <v>2</v>
      </c>
    </row>
    <row r="3864" spans="1:3" x14ac:dyDescent="0.25">
      <c r="A3864">
        <v>233007</v>
      </c>
      <c r="B3864" t="s">
        <v>2</v>
      </c>
      <c r="C3864" t="str">
        <f>LEFT(Table4[[#This Row],[Policy Type]],1)</f>
        <v>1</v>
      </c>
    </row>
    <row r="3865" spans="1:3" x14ac:dyDescent="0.25">
      <c r="A3865">
        <v>233009</v>
      </c>
      <c r="B3865" t="s">
        <v>3</v>
      </c>
      <c r="C3865" t="str">
        <f>LEFT(Table4[[#This Row],[Policy Type]],1)</f>
        <v>2</v>
      </c>
    </row>
    <row r="3866" spans="1:3" x14ac:dyDescent="0.25">
      <c r="A3866">
        <v>233043</v>
      </c>
      <c r="B3866" t="s">
        <v>2</v>
      </c>
      <c r="C3866" t="str">
        <f>LEFT(Table4[[#This Row],[Policy Type]],1)</f>
        <v>1</v>
      </c>
    </row>
    <row r="3867" spans="1:3" x14ac:dyDescent="0.25">
      <c r="A3867">
        <v>233081</v>
      </c>
      <c r="B3867" t="s">
        <v>2</v>
      </c>
      <c r="C3867" t="str">
        <f>LEFT(Table4[[#This Row],[Policy Type]],1)</f>
        <v>1</v>
      </c>
    </row>
    <row r="3868" spans="1:3" x14ac:dyDescent="0.25">
      <c r="A3868">
        <v>233206</v>
      </c>
      <c r="B3868" t="s">
        <v>3</v>
      </c>
      <c r="C3868" t="str">
        <f>LEFT(Table4[[#This Row],[Policy Type]],1)</f>
        <v>2</v>
      </c>
    </row>
    <row r="3869" spans="1:3" x14ac:dyDescent="0.25">
      <c r="A3869">
        <v>233241</v>
      </c>
      <c r="B3869" t="s">
        <v>3</v>
      </c>
      <c r="C3869" t="str">
        <f>LEFT(Table4[[#This Row],[Policy Type]],1)</f>
        <v>2</v>
      </c>
    </row>
    <row r="3870" spans="1:3" x14ac:dyDescent="0.25">
      <c r="A3870">
        <v>233259</v>
      </c>
      <c r="B3870" t="s">
        <v>2</v>
      </c>
      <c r="C3870" t="str">
        <f>LEFT(Table4[[#This Row],[Policy Type]],1)</f>
        <v>1</v>
      </c>
    </row>
    <row r="3871" spans="1:3" x14ac:dyDescent="0.25">
      <c r="A3871">
        <v>233271</v>
      </c>
      <c r="B3871" t="s">
        <v>2</v>
      </c>
      <c r="C3871" t="str">
        <f>LEFT(Table4[[#This Row],[Policy Type]],1)</f>
        <v>1</v>
      </c>
    </row>
    <row r="3872" spans="1:3" x14ac:dyDescent="0.25">
      <c r="A3872">
        <v>233298</v>
      </c>
      <c r="B3872" t="s">
        <v>2</v>
      </c>
      <c r="C3872" t="str">
        <f>LEFT(Table4[[#This Row],[Policy Type]],1)</f>
        <v>1</v>
      </c>
    </row>
    <row r="3873" spans="1:3" x14ac:dyDescent="0.25">
      <c r="A3873">
        <v>233326</v>
      </c>
      <c r="B3873" t="s">
        <v>3</v>
      </c>
      <c r="C3873" t="str">
        <f>LEFT(Table4[[#This Row],[Policy Type]],1)</f>
        <v>2</v>
      </c>
    </row>
    <row r="3874" spans="1:3" x14ac:dyDescent="0.25">
      <c r="A3874">
        <v>233339</v>
      </c>
      <c r="B3874" t="s">
        <v>3</v>
      </c>
      <c r="C3874" t="str">
        <f>LEFT(Table4[[#This Row],[Policy Type]],1)</f>
        <v>2</v>
      </c>
    </row>
    <row r="3875" spans="1:3" x14ac:dyDescent="0.25">
      <c r="A3875">
        <v>233357</v>
      </c>
      <c r="B3875" t="s">
        <v>2</v>
      </c>
      <c r="C3875" t="str">
        <f>LEFT(Table4[[#This Row],[Policy Type]],1)</f>
        <v>1</v>
      </c>
    </row>
    <row r="3876" spans="1:3" x14ac:dyDescent="0.25">
      <c r="A3876">
        <v>233367</v>
      </c>
      <c r="B3876" t="s">
        <v>3</v>
      </c>
      <c r="C3876" t="str">
        <f>LEFT(Table4[[#This Row],[Policy Type]],1)</f>
        <v>2</v>
      </c>
    </row>
    <row r="3877" spans="1:3" x14ac:dyDescent="0.25">
      <c r="A3877">
        <v>233378</v>
      </c>
      <c r="B3877" t="s">
        <v>3</v>
      </c>
      <c r="C3877" t="str">
        <f>LEFT(Table4[[#This Row],[Policy Type]],1)</f>
        <v>2</v>
      </c>
    </row>
    <row r="3878" spans="1:3" x14ac:dyDescent="0.25">
      <c r="A3878">
        <v>233409</v>
      </c>
      <c r="B3878" t="s">
        <v>3</v>
      </c>
      <c r="C3878" t="str">
        <f>LEFT(Table4[[#This Row],[Policy Type]],1)</f>
        <v>2</v>
      </c>
    </row>
    <row r="3879" spans="1:3" x14ac:dyDescent="0.25">
      <c r="A3879">
        <v>233423</v>
      </c>
      <c r="B3879" t="s">
        <v>2</v>
      </c>
      <c r="C3879" t="str">
        <f>LEFT(Table4[[#This Row],[Policy Type]],1)</f>
        <v>1</v>
      </c>
    </row>
    <row r="3880" spans="1:3" x14ac:dyDescent="0.25">
      <c r="A3880">
        <v>233425</v>
      </c>
      <c r="B3880" t="s">
        <v>3</v>
      </c>
      <c r="C3880" t="str">
        <f>LEFT(Table4[[#This Row],[Policy Type]],1)</f>
        <v>2</v>
      </c>
    </row>
    <row r="3881" spans="1:3" x14ac:dyDescent="0.25">
      <c r="A3881">
        <v>233468</v>
      </c>
      <c r="B3881" t="s">
        <v>2</v>
      </c>
      <c r="C3881" t="str">
        <f>LEFT(Table4[[#This Row],[Policy Type]],1)</f>
        <v>1</v>
      </c>
    </row>
    <row r="3882" spans="1:3" x14ac:dyDescent="0.25">
      <c r="A3882">
        <v>233580</v>
      </c>
      <c r="B3882" t="s">
        <v>2</v>
      </c>
      <c r="C3882" t="str">
        <f>LEFT(Table4[[#This Row],[Policy Type]],1)</f>
        <v>1</v>
      </c>
    </row>
    <row r="3883" spans="1:3" x14ac:dyDescent="0.25">
      <c r="A3883">
        <v>233584</v>
      </c>
      <c r="B3883" t="s">
        <v>2</v>
      </c>
      <c r="C3883" t="str">
        <f>LEFT(Table4[[#This Row],[Policy Type]],1)</f>
        <v>1</v>
      </c>
    </row>
    <row r="3884" spans="1:3" x14ac:dyDescent="0.25">
      <c r="A3884">
        <v>233589</v>
      </c>
      <c r="B3884" t="s">
        <v>2</v>
      </c>
      <c r="C3884" t="str">
        <f>LEFT(Table4[[#This Row],[Policy Type]],1)</f>
        <v>1</v>
      </c>
    </row>
    <row r="3885" spans="1:3" x14ac:dyDescent="0.25">
      <c r="A3885">
        <v>233601</v>
      </c>
      <c r="B3885" t="s">
        <v>3</v>
      </c>
      <c r="C3885" t="str">
        <f>LEFT(Table4[[#This Row],[Policy Type]],1)</f>
        <v>2</v>
      </c>
    </row>
    <row r="3886" spans="1:3" x14ac:dyDescent="0.25">
      <c r="A3886">
        <v>233611</v>
      </c>
      <c r="B3886" t="s">
        <v>3</v>
      </c>
      <c r="C3886" t="str">
        <f>LEFT(Table4[[#This Row],[Policy Type]],1)</f>
        <v>2</v>
      </c>
    </row>
    <row r="3887" spans="1:3" x14ac:dyDescent="0.25">
      <c r="A3887">
        <v>233613</v>
      </c>
      <c r="B3887" t="s">
        <v>3</v>
      </c>
      <c r="C3887" t="str">
        <f>LEFT(Table4[[#This Row],[Policy Type]],1)</f>
        <v>2</v>
      </c>
    </row>
    <row r="3888" spans="1:3" x14ac:dyDescent="0.25">
      <c r="A3888">
        <v>233653</v>
      </c>
      <c r="B3888" t="s">
        <v>2</v>
      </c>
      <c r="C3888" t="str">
        <f>LEFT(Table4[[#This Row],[Policy Type]],1)</f>
        <v>1</v>
      </c>
    </row>
    <row r="3889" spans="1:3" x14ac:dyDescent="0.25">
      <c r="A3889">
        <v>233761</v>
      </c>
      <c r="B3889" t="s">
        <v>3</v>
      </c>
      <c r="C3889" t="str">
        <f>LEFT(Table4[[#This Row],[Policy Type]],1)</f>
        <v>2</v>
      </c>
    </row>
    <row r="3890" spans="1:3" x14ac:dyDescent="0.25">
      <c r="A3890">
        <v>233782</v>
      </c>
      <c r="B3890" t="s">
        <v>2</v>
      </c>
      <c r="C3890" t="str">
        <f>LEFT(Table4[[#This Row],[Policy Type]],1)</f>
        <v>1</v>
      </c>
    </row>
    <row r="3891" spans="1:3" x14ac:dyDescent="0.25">
      <c r="A3891">
        <v>233889</v>
      </c>
      <c r="B3891" t="s">
        <v>3</v>
      </c>
      <c r="C3891" t="str">
        <f>LEFT(Table4[[#This Row],[Policy Type]],1)</f>
        <v>2</v>
      </c>
    </row>
    <row r="3892" spans="1:3" x14ac:dyDescent="0.25">
      <c r="A3892">
        <v>233893</v>
      </c>
      <c r="B3892" t="s">
        <v>2</v>
      </c>
      <c r="C3892" t="str">
        <f>LEFT(Table4[[#This Row],[Policy Type]],1)</f>
        <v>1</v>
      </c>
    </row>
    <row r="3893" spans="1:3" x14ac:dyDescent="0.25">
      <c r="A3893">
        <v>233912</v>
      </c>
      <c r="B3893" t="s">
        <v>2</v>
      </c>
      <c r="C3893" t="str">
        <f>LEFT(Table4[[#This Row],[Policy Type]],1)</f>
        <v>1</v>
      </c>
    </row>
    <row r="3894" spans="1:3" x14ac:dyDescent="0.25">
      <c r="A3894">
        <v>233935</v>
      </c>
      <c r="B3894" t="s">
        <v>3</v>
      </c>
      <c r="C3894" t="str">
        <f>LEFT(Table4[[#This Row],[Policy Type]],1)</f>
        <v>2</v>
      </c>
    </row>
    <row r="3895" spans="1:3" x14ac:dyDescent="0.25">
      <c r="A3895">
        <v>234038</v>
      </c>
      <c r="B3895" t="s">
        <v>2</v>
      </c>
      <c r="C3895" t="str">
        <f>LEFT(Table4[[#This Row],[Policy Type]],1)</f>
        <v>1</v>
      </c>
    </row>
    <row r="3896" spans="1:3" x14ac:dyDescent="0.25">
      <c r="A3896">
        <v>234046</v>
      </c>
      <c r="B3896" t="s">
        <v>2</v>
      </c>
      <c r="C3896" t="str">
        <f>LEFT(Table4[[#This Row],[Policy Type]],1)</f>
        <v>1</v>
      </c>
    </row>
    <row r="3897" spans="1:3" x14ac:dyDescent="0.25">
      <c r="A3897">
        <v>234085</v>
      </c>
      <c r="B3897" t="s">
        <v>3</v>
      </c>
      <c r="C3897" t="str">
        <f>LEFT(Table4[[#This Row],[Policy Type]],1)</f>
        <v>2</v>
      </c>
    </row>
    <row r="3898" spans="1:3" x14ac:dyDescent="0.25">
      <c r="A3898">
        <v>234087</v>
      </c>
      <c r="B3898" t="s">
        <v>2</v>
      </c>
      <c r="C3898" t="str">
        <f>LEFT(Table4[[#This Row],[Policy Type]],1)</f>
        <v>1</v>
      </c>
    </row>
    <row r="3899" spans="1:3" x14ac:dyDescent="0.25">
      <c r="A3899">
        <v>234154</v>
      </c>
      <c r="B3899" t="s">
        <v>3</v>
      </c>
      <c r="C3899" t="str">
        <f>LEFT(Table4[[#This Row],[Policy Type]],1)</f>
        <v>2</v>
      </c>
    </row>
    <row r="3900" spans="1:3" x14ac:dyDescent="0.25">
      <c r="A3900">
        <v>234403</v>
      </c>
      <c r="B3900" t="s">
        <v>3</v>
      </c>
      <c r="C3900" t="str">
        <f>LEFT(Table4[[#This Row],[Policy Type]],1)</f>
        <v>2</v>
      </c>
    </row>
    <row r="3901" spans="1:3" x14ac:dyDescent="0.25">
      <c r="A3901">
        <v>234423</v>
      </c>
      <c r="B3901" t="s">
        <v>3</v>
      </c>
      <c r="C3901" t="str">
        <f>LEFT(Table4[[#This Row],[Policy Type]],1)</f>
        <v>2</v>
      </c>
    </row>
    <row r="3902" spans="1:3" x14ac:dyDescent="0.25">
      <c r="A3902">
        <v>234490</v>
      </c>
      <c r="B3902" t="s">
        <v>2</v>
      </c>
      <c r="C3902" t="str">
        <f>LEFT(Table4[[#This Row],[Policy Type]],1)</f>
        <v>1</v>
      </c>
    </row>
    <row r="3903" spans="1:3" x14ac:dyDescent="0.25">
      <c r="A3903">
        <v>234512</v>
      </c>
      <c r="B3903" t="s">
        <v>3</v>
      </c>
      <c r="C3903" t="str">
        <f>LEFT(Table4[[#This Row],[Policy Type]],1)</f>
        <v>2</v>
      </c>
    </row>
    <row r="3904" spans="1:3" x14ac:dyDescent="0.25">
      <c r="A3904">
        <v>234520</v>
      </c>
      <c r="B3904" t="s">
        <v>2</v>
      </c>
      <c r="C3904" t="str">
        <f>LEFT(Table4[[#This Row],[Policy Type]],1)</f>
        <v>1</v>
      </c>
    </row>
    <row r="3905" spans="1:3" x14ac:dyDescent="0.25">
      <c r="A3905">
        <v>234566</v>
      </c>
      <c r="B3905" t="s">
        <v>2</v>
      </c>
      <c r="C3905" t="str">
        <f>LEFT(Table4[[#This Row],[Policy Type]],1)</f>
        <v>1</v>
      </c>
    </row>
    <row r="3906" spans="1:3" x14ac:dyDescent="0.25">
      <c r="A3906">
        <v>234573</v>
      </c>
      <c r="B3906" t="s">
        <v>3</v>
      </c>
      <c r="C3906" t="str">
        <f>LEFT(Table4[[#This Row],[Policy Type]],1)</f>
        <v>2</v>
      </c>
    </row>
    <row r="3907" spans="1:3" x14ac:dyDescent="0.25">
      <c r="A3907">
        <v>234576</v>
      </c>
      <c r="B3907" t="s">
        <v>3</v>
      </c>
      <c r="C3907" t="str">
        <f>LEFT(Table4[[#This Row],[Policy Type]],1)</f>
        <v>2</v>
      </c>
    </row>
    <row r="3908" spans="1:3" x14ac:dyDescent="0.25">
      <c r="A3908">
        <v>234599</v>
      </c>
      <c r="B3908" t="s">
        <v>2</v>
      </c>
      <c r="C3908" t="str">
        <f>LEFT(Table4[[#This Row],[Policy Type]],1)</f>
        <v>1</v>
      </c>
    </row>
    <row r="3909" spans="1:3" x14ac:dyDescent="0.25">
      <c r="A3909">
        <v>234234</v>
      </c>
      <c r="B3909" t="s">
        <v>2</v>
      </c>
      <c r="C3909" t="str">
        <f>LEFT(Table4[[#This Row],[Policy Type]],1)</f>
        <v>1</v>
      </c>
    </row>
    <row r="3910" spans="1:3" x14ac:dyDescent="0.25">
      <c r="A3910">
        <v>234255</v>
      </c>
      <c r="B3910" t="s">
        <v>2</v>
      </c>
      <c r="C3910" t="str">
        <f>LEFT(Table4[[#This Row],[Policy Type]],1)</f>
        <v>1</v>
      </c>
    </row>
    <row r="3911" spans="1:3" x14ac:dyDescent="0.25">
      <c r="A3911">
        <v>234289</v>
      </c>
      <c r="B3911" t="s">
        <v>2</v>
      </c>
      <c r="C3911" t="str">
        <f>LEFT(Table4[[#This Row],[Policy Type]],1)</f>
        <v>1</v>
      </c>
    </row>
    <row r="3912" spans="1:3" x14ac:dyDescent="0.25">
      <c r="A3912">
        <v>234293</v>
      </c>
      <c r="B3912" t="s">
        <v>2</v>
      </c>
      <c r="C3912" t="str">
        <f>LEFT(Table4[[#This Row],[Policy Type]],1)</f>
        <v>1</v>
      </c>
    </row>
    <row r="3913" spans="1:3" x14ac:dyDescent="0.25">
      <c r="A3913">
        <v>234298</v>
      </c>
      <c r="B3913" t="s">
        <v>2</v>
      </c>
      <c r="C3913" t="str">
        <f>LEFT(Table4[[#This Row],[Policy Type]],1)</f>
        <v>1</v>
      </c>
    </row>
    <row r="3914" spans="1:3" x14ac:dyDescent="0.25">
      <c r="A3914">
        <v>234318</v>
      </c>
      <c r="B3914" t="s">
        <v>2</v>
      </c>
      <c r="C3914" t="str">
        <f>LEFT(Table4[[#This Row],[Policy Type]],1)</f>
        <v>1</v>
      </c>
    </row>
    <row r="3915" spans="1:3" x14ac:dyDescent="0.25">
      <c r="A3915">
        <v>234344</v>
      </c>
      <c r="B3915" t="s">
        <v>2</v>
      </c>
      <c r="C3915" t="str">
        <f>LEFT(Table4[[#This Row],[Policy Type]],1)</f>
        <v>1</v>
      </c>
    </row>
    <row r="3916" spans="1:3" x14ac:dyDescent="0.25">
      <c r="A3916">
        <v>234347</v>
      </c>
      <c r="B3916" t="s">
        <v>2</v>
      </c>
      <c r="C3916" t="str">
        <f>LEFT(Table4[[#This Row],[Policy Type]],1)</f>
        <v>1</v>
      </c>
    </row>
    <row r="3917" spans="1:3" x14ac:dyDescent="0.25">
      <c r="A3917">
        <v>234372</v>
      </c>
      <c r="B3917" t="s">
        <v>2</v>
      </c>
      <c r="C3917" t="str">
        <f>LEFT(Table4[[#This Row],[Policy Type]],1)</f>
        <v>1</v>
      </c>
    </row>
    <row r="3918" spans="1:3" x14ac:dyDescent="0.25">
      <c r="A3918">
        <v>234383</v>
      </c>
      <c r="B3918" t="s">
        <v>2</v>
      </c>
      <c r="C3918" t="str">
        <f>LEFT(Table4[[#This Row],[Policy Type]],1)</f>
        <v>1</v>
      </c>
    </row>
    <row r="3919" spans="1:3" x14ac:dyDescent="0.25">
      <c r="A3919">
        <v>234624</v>
      </c>
      <c r="B3919" t="s">
        <v>2</v>
      </c>
      <c r="C3919" t="str">
        <f>LEFT(Table4[[#This Row],[Policy Type]],1)</f>
        <v>1</v>
      </c>
    </row>
    <row r="3920" spans="1:3" x14ac:dyDescent="0.25">
      <c r="A3920">
        <v>234629</v>
      </c>
      <c r="B3920" t="s">
        <v>3</v>
      </c>
      <c r="C3920" t="str">
        <f>LEFT(Table4[[#This Row],[Policy Type]],1)</f>
        <v>2</v>
      </c>
    </row>
    <row r="3921" spans="1:3" x14ac:dyDescent="0.25">
      <c r="A3921">
        <v>234692</v>
      </c>
      <c r="B3921" t="s">
        <v>3</v>
      </c>
      <c r="C3921" t="str">
        <f>LEFT(Table4[[#This Row],[Policy Type]],1)</f>
        <v>2</v>
      </c>
    </row>
    <row r="3922" spans="1:3" x14ac:dyDescent="0.25">
      <c r="A3922">
        <v>234733</v>
      </c>
      <c r="B3922" t="s">
        <v>3</v>
      </c>
      <c r="C3922" t="str">
        <f>LEFT(Table4[[#This Row],[Policy Type]],1)</f>
        <v>2</v>
      </c>
    </row>
    <row r="3923" spans="1:3" x14ac:dyDescent="0.25">
      <c r="A3923">
        <v>234738</v>
      </c>
      <c r="B3923" t="s">
        <v>3</v>
      </c>
      <c r="C3923" t="str">
        <f>LEFT(Table4[[#This Row],[Policy Type]],1)</f>
        <v>2</v>
      </c>
    </row>
    <row r="3924" spans="1:3" x14ac:dyDescent="0.25">
      <c r="A3924">
        <v>234751</v>
      </c>
      <c r="B3924" t="s">
        <v>2</v>
      </c>
      <c r="C3924" t="str">
        <f>LEFT(Table4[[#This Row],[Policy Type]],1)</f>
        <v>1</v>
      </c>
    </row>
    <row r="3925" spans="1:3" x14ac:dyDescent="0.25">
      <c r="A3925">
        <v>234768</v>
      </c>
      <c r="B3925" t="s">
        <v>2</v>
      </c>
      <c r="C3925" t="str">
        <f>LEFT(Table4[[#This Row],[Policy Type]],1)</f>
        <v>1</v>
      </c>
    </row>
    <row r="3926" spans="1:3" x14ac:dyDescent="0.25">
      <c r="A3926">
        <v>234806</v>
      </c>
      <c r="B3926" t="s">
        <v>2</v>
      </c>
      <c r="C3926" t="str">
        <f>LEFT(Table4[[#This Row],[Policy Type]],1)</f>
        <v>1</v>
      </c>
    </row>
    <row r="3927" spans="1:3" x14ac:dyDescent="0.25">
      <c r="A3927">
        <v>234814</v>
      </c>
      <c r="B3927" t="s">
        <v>2</v>
      </c>
      <c r="C3927" t="str">
        <f>LEFT(Table4[[#This Row],[Policy Type]],1)</f>
        <v>1</v>
      </c>
    </row>
    <row r="3928" spans="1:3" x14ac:dyDescent="0.25">
      <c r="A3928">
        <v>234820</v>
      </c>
      <c r="B3928" t="s">
        <v>3</v>
      </c>
      <c r="C3928" t="str">
        <f>LEFT(Table4[[#This Row],[Policy Type]],1)</f>
        <v>2</v>
      </c>
    </row>
    <row r="3929" spans="1:3" x14ac:dyDescent="0.25">
      <c r="A3929">
        <v>234938</v>
      </c>
      <c r="B3929" t="s">
        <v>3</v>
      </c>
      <c r="C3929" t="str">
        <f>LEFT(Table4[[#This Row],[Policy Type]],1)</f>
        <v>2</v>
      </c>
    </row>
    <row r="3930" spans="1:3" x14ac:dyDescent="0.25">
      <c r="A3930">
        <v>235003</v>
      </c>
      <c r="B3930" t="s">
        <v>3</v>
      </c>
      <c r="C3930" t="str">
        <f>LEFT(Table4[[#This Row],[Policy Type]],1)</f>
        <v>2</v>
      </c>
    </row>
    <row r="3931" spans="1:3" x14ac:dyDescent="0.25">
      <c r="A3931">
        <v>235004</v>
      </c>
      <c r="B3931" t="s">
        <v>2</v>
      </c>
      <c r="C3931" t="str">
        <f>LEFT(Table4[[#This Row],[Policy Type]],1)</f>
        <v>1</v>
      </c>
    </row>
    <row r="3932" spans="1:3" x14ac:dyDescent="0.25">
      <c r="A3932">
        <v>235023</v>
      </c>
      <c r="B3932" t="s">
        <v>3</v>
      </c>
      <c r="C3932" t="str">
        <f>LEFT(Table4[[#This Row],[Policy Type]],1)</f>
        <v>2</v>
      </c>
    </row>
    <row r="3933" spans="1:3" x14ac:dyDescent="0.25">
      <c r="A3933">
        <v>235049</v>
      </c>
      <c r="B3933" t="s">
        <v>3</v>
      </c>
      <c r="C3933" t="str">
        <f>LEFT(Table4[[#This Row],[Policy Type]],1)</f>
        <v>2</v>
      </c>
    </row>
    <row r="3934" spans="1:3" x14ac:dyDescent="0.25">
      <c r="A3934">
        <v>235054</v>
      </c>
      <c r="B3934" t="s">
        <v>3</v>
      </c>
      <c r="C3934" t="str">
        <f>LEFT(Table4[[#This Row],[Policy Type]],1)</f>
        <v>2</v>
      </c>
    </row>
    <row r="3935" spans="1:3" x14ac:dyDescent="0.25">
      <c r="A3935">
        <v>235080</v>
      </c>
      <c r="B3935" t="s">
        <v>2</v>
      </c>
      <c r="C3935" t="str">
        <f>LEFT(Table4[[#This Row],[Policy Type]],1)</f>
        <v>1</v>
      </c>
    </row>
    <row r="3936" spans="1:3" x14ac:dyDescent="0.25">
      <c r="A3936">
        <v>235155</v>
      </c>
      <c r="B3936" t="s">
        <v>3</v>
      </c>
      <c r="C3936" t="str">
        <f>LEFT(Table4[[#This Row],[Policy Type]],1)</f>
        <v>2</v>
      </c>
    </row>
    <row r="3937" spans="1:3" x14ac:dyDescent="0.25">
      <c r="A3937">
        <v>235258</v>
      </c>
      <c r="B3937" t="s">
        <v>3</v>
      </c>
      <c r="C3937" t="str">
        <f>LEFT(Table4[[#This Row],[Policy Type]],1)</f>
        <v>2</v>
      </c>
    </row>
    <row r="3938" spans="1:3" x14ac:dyDescent="0.25">
      <c r="A3938">
        <v>235397</v>
      </c>
      <c r="B3938" t="s">
        <v>3</v>
      </c>
      <c r="C3938" t="str">
        <f>LEFT(Table4[[#This Row],[Policy Type]],1)</f>
        <v>2</v>
      </c>
    </row>
    <row r="3939" spans="1:3" x14ac:dyDescent="0.25">
      <c r="A3939">
        <v>235635</v>
      </c>
      <c r="B3939" t="s">
        <v>3</v>
      </c>
      <c r="C3939" t="str">
        <f>LEFT(Table4[[#This Row],[Policy Type]],1)</f>
        <v>2</v>
      </c>
    </row>
    <row r="3940" spans="1:3" x14ac:dyDescent="0.25">
      <c r="A3940">
        <v>235650</v>
      </c>
      <c r="B3940" t="s">
        <v>3</v>
      </c>
      <c r="C3940" t="str">
        <f>LEFT(Table4[[#This Row],[Policy Type]],1)</f>
        <v>2</v>
      </c>
    </row>
    <row r="3941" spans="1:3" x14ac:dyDescent="0.25">
      <c r="A3941">
        <v>235659</v>
      </c>
      <c r="B3941" t="s">
        <v>3</v>
      </c>
      <c r="C3941" t="str">
        <f>LEFT(Table4[[#This Row],[Policy Type]],1)</f>
        <v>2</v>
      </c>
    </row>
    <row r="3942" spans="1:3" x14ac:dyDescent="0.25">
      <c r="A3942">
        <v>235694</v>
      </c>
      <c r="B3942" t="s">
        <v>3</v>
      </c>
      <c r="C3942" t="str">
        <f>LEFT(Table4[[#This Row],[Policy Type]],1)</f>
        <v>2</v>
      </c>
    </row>
    <row r="3943" spans="1:3" x14ac:dyDescent="0.25">
      <c r="A3943">
        <v>235713</v>
      </c>
      <c r="B3943" t="s">
        <v>2</v>
      </c>
      <c r="C3943" t="str">
        <f>LEFT(Table4[[#This Row],[Policy Type]],1)</f>
        <v>1</v>
      </c>
    </row>
    <row r="3944" spans="1:3" x14ac:dyDescent="0.25">
      <c r="A3944">
        <v>235722</v>
      </c>
      <c r="B3944" t="s">
        <v>2</v>
      </c>
      <c r="C3944" t="str">
        <f>LEFT(Table4[[#This Row],[Policy Type]],1)</f>
        <v>1</v>
      </c>
    </row>
    <row r="3945" spans="1:3" x14ac:dyDescent="0.25">
      <c r="A3945">
        <v>235752</v>
      </c>
      <c r="B3945" t="s">
        <v>2</v>
      </c>
      <c r="C3945" t="str">
        <f>LEFT(Table4[[#This Row],[Policy Type]],1)</f>
        <v>1</v>
      </c>
    </row>
    <row r="3946" spans="1:3" x14ac:dyDescent="0.25">
      <c r="A3946">
        <v>235753</v>
      </c>
      <c r="B3946" t="s">
        <v>3</v>
      </c>
      <c r="C3946" t="str">
        <f>LEFT(Table4[[#This Row],[Policy Type]],1)</f>
        <v>2</v>
      </c>
    </row>
    <row r="3947" spans="1:3" x14ac:dyDescent="0.25">
      <c r="A3947">
        <v>235799</v>
      </c>
      <c r="B3947" t="s">
        <v>3</v>
      </c>
      <c r="C3947" t="str">
        <f>LEFT(Table4[[#This Row],[Policy Type]],1)</f>
        <v>2</v>
      </c>
    </row>
    <row r="3948" spans="1:3" x14ac:dyDescent="0.25">
      <c r="A3948">
        <v>235425</v>
      </c>
      <c r="B3948" t="s">
        <v>3</v>
      </c>
      <c r="C3948" t="str">
        <f>LEFT(Table4[[#This Row],[Policy Type]],1)</f>
        <v>2</v>
      </c>
    </row>
    <row r="3949" spans="1:3" x14ac:dyDescent="0.25">
      <c r="A3949">
        <v>235466</v>
      </c>
      <c r="B3949" t="s">
        <v>3</v>
      </c>
      <c r="C3949" t="str">
        <f>LEFT(Table4[[#This Row],[Policy Type]],1)</f>
        <v>2</v>
      </c>
    </row>
    <row r="3950" spans="1:3" x14ac:dyDescent="0.25">
      <c r="A3950">
        <v>235498</v>
      </c>
      <c r="B3950" t="s">
        <v>3</v>
      </c>
      <c r="C3950" t="str">
        <f>LEFT(Table4[[#This Row],[Policy Type]],1)</f>
        <v>2</v>
      </c>
    </row>
    <row r="3951" spans="1:3" x14ac:dyDescent="0.25">
      <c r="A3951">
        <v>235524</v>
      </c>
      <c r="B3951" t="s">
        <v>3</v>
      </c>
      <c r="C3951" t="str">
        <f>LEFT(Table4[[#This Row],[Policy Type]],1)</f>
        <v>2</v>
      </c>
    </row>
    <row r="3952" spans="1:3" x14ac:dyDescent="0.25">
      <c r="A3952">
        <v>235539</v>
      </c>
      <c r="B3952" t="s">
        <v>3</v>
      </c>
      <c r="C3952" t="str">
        <f>LEFT(Table4[[#This Row],[Policy Type]],1)</f>
        <v>2</v>
      </c>
    </row>
    <row r="3953" spans="1:3" x14ac:dyDescent="0.25">
      <c r="A3953">
        <v>235592</v>
      </c>
      <c r="B3953" t="s">
        <v>2</v>
      </c>
      <c r="C3953" t="str">
        <f>LEFT(Table4[[#This Row],[Policy Type]],1)</f>
        <v>1</v>
      </c>
    </row>
    <row r="3954" spans="1:3" x14ac:dyDescent="0.25">
      <c r="A3954">
        <v>235841</v>
      </c>
      <c r="B3954" t="s">
        <v>2</v>
      </c>
      <c r="C3954" t="str">
        <f>LEFT(Table4[[#This Row],[Policy Type]],1)</f>
        <v>1</v>
      </c>
    </row>
    <row r="3955" spans="1:3" x14ac:dyDescent="0.25">
      <c r="A3955">
        <v>235883</v>
      </c>
      <c r="B3955" t="s">
        <v>3</v>
      </c>
      <c r="C3955" t="str">
        <f>LEFT(Table4[[#This Row],[Policy Type]],1)</f>
        <v>2</v>
      </c>
    </row>
    <row r="3956" spans="1:3" x14ac:dyDescent="0.25">
      <c r="A3956">
        <v>235958</v>
      </c>
      <c r="B3956" t="s">
        <v>2</v>
      </c>
      <c r="C3956" t="str">
        <f>LEFT(Table4[[#This Row],[Policy Type]],1)</f>
        <v>1</v>
      </c>
    </row>
    <row r="3957" spans="1:3" x14ac:dyDescent="0.25">
      <c r="A3957">
        <v>235992</v>
      </c>
      <c r="B3957" t="s">
        <v>3</v>
      </c>
      <c r="C3957" t="str">
        <f>LEFT(Table4[[#This Row],[Policy Type]],1)</f>
        <v>2</v>
      </c>
    </row>
    <row r="3958" spans="1:3" x14ac:dyDescent="0.25">
      <c r="A3958">
        <v>236037</v>
      </c>
      <c r="B3958" t="s">
        <v>3</v>
      </c>
      <c r="C3958" t="str">
        <f>LEFT(Table4[[#This Row],[Policy Type]],1)</f>
        <v>2</v>
      </c>
    </row>
    <row r="3959" spans="1:3" x14ac:dyDescent="0.25">
      <c r="A3959">
        <v>236047</v>
      </c>
      <c r="B3959" t="s">
        <v>3</v>
      </c>
      <c r="C3959" t="str">
        <f>LEFT(Table4[[#This Row],[Policy Type]],1)</f>
        <v>2</v>
      </c>
    </row>
    <row r="3960" spans="1:3" x14ac:dyDescent="0.25">
      <c r="A3960">
        <v>236099</v>
      </c>
      <c r="B3960" t="s">
        <v>3</v>
      </c>
      <c r="C3960" t="str">
        <f>LEFT(Table4[[#This Row],[Policy Type]],1)</f>
        <v>2</v>
      </c>
    </row>
    <row r="3961" spans="1:3" x14ac:dyDescent="0.25">
      <c r="A3961">
        <v>236122</v>
      </c>
      <c r="B3961" t="s">
        <v>2</v>
      </c>
      <c r="C3961" t="str">
        <f>LEFT(Table4[[#This Row],[Policy Type]],1)</f>
        <v>1</v>
      </c>
    </row>
    <row r="3962" spans="1:3" x14ac:dyDescent="0.25">
      <c r="A3962">
        <v>236518</v>
      </c>
      <c r="B3962" t="s">
        <v>2</v>
      </c>
      <c r="C3962" t="str">
        <f>LEFT(Table4[[#This Row],[Policy Type]],1)</f>
        <v>1</v>
      </c>
    </row>
    <row r="3963" spans="1:3" x14ac:dyDescent="0.25">
      <c r="A3963">
        <v>236520</v>
      </c>
      <c r="B3963" t="s">
        <v>3</v>
      </c>
      <c r="C3963" t="str">
        <f>LEFT(Table4[[#This Row],[Policy Type]],1)</f>
        <v>2</v>
      </c>
    </row>
    <row r="3964" spans="1:3" x14ac:dyDescent="0.25">
      <c r="A3964">
        <v>236219</v>
      </c>
      <c r="B3964" t="s">
        <v>3</v>
      </c>
      <c r="C3964" t="str">
        <f>LEFT(Table4[[#This Row],[Policy Type]],1)</f>
        <v>2</v>
      </c>
    </row>
    <row r="3965" spans="1:3" x14ac:dyDescent="0.25">
      <c r="A3965">
        <v>236274</v>
      </c>
      <c r="B3965" t="s">
        <v>2</v>
      </c>
      <c r="C3965" t="str">
        <f>LEFT(Table4[[#This Row],[Policy Type]],1)</f>
        <v>1</v>
      </c>
    </row>
    <row r="3966" spans="1:3" x14ac:dyDescent="0.25">
      <c r="A3966">
        <v>236330</v>
      </c>
      <c r="B3966" t="s">
        <v>2</v>
      </c>
      <c r="C3966" t="str">
        <f>LEFT(Table4[[#This Row],[Policy Type]],1)</f>
        <v>1</v>
      </c>
    </row>
    <row r="3967" spans="1:3" x14ac:dyDescent="0.25">
      <c r="A3967">
        <v>236341</v>
      </c>
      <c r="B3967" t="s">
        <v>2</v>
      </c>
      <c r="C3967" t="str">
        <f>LEFT(Table4[[#This Row],[Policy Type]],1)</f>
        <v>1</v>
      </c>
    </row>
    <row r="3968" spans="1:3" x14ac:dyDescent="0.25">
      <c r="A3968">
        <v>236391</v>
      </c>
      <c r="B3968" t="s">
        <v>2</v>
      </c>
      <c r="C3968" t="str">
        <f>LEFT(Table4[[#This Row],[Policy Type]],1)</f>
        <v>1</v>
      </c>
    </row>
    <row r="3969" spans="1:3" x14ac:dyDescent="0.25">
      <c r="A3969">
        <v>236714</v>
      </c>
      <c r="B3969" t="s">
        <v>3</v>
      </c>
      <c r="C3969" t="str">
        <f>LEFT(Table4[[#This Row],[Policy Type]],1)</f>
        <v>2</v>
      </c>
    </row>
    <row r="3970" spans="1:3" x14ac:dyDescent="0.25">
      <c r="A3970">
        <v>236717</v>
      </c>
      <c r="B3970" t="s">
        <v>3</v>
      </c>
      <c r="C3970" t="str">
        <f>LEFT(Table4[[#This Row],[Policy Type]],1)</f>
        <v>2</v>
      </c>
    </row>
    <row r="3971" spans="1:3" x14ac:dyDescent="0.25">
      <c r="A3971">
        <v>236801</v>
      </c>
      <c r="B3971" t="s">
        <v>2</v>
      </c>
      <c r="C3971" t="str">
        <f>LEFT(Table4[[#This Row],[Policy Type]],1)</f>
        <v>1</v>
      </c>
    </row>
    <row r="3972" spans="1:3" x14ac:dyDescent="0.25">
      <c r="A3972">
        <v>236819</v>
      </c>
      <c r="B3972" t="s">
        <v>2</v>
      </c>
      <c r="C3972" t="str">
        <f>LEFT(Table4[[#This Row],[Policy Type]],1)</f>
        <v>1</v>
      </c>
    </row>
    <row r="3973" spans="1:3" x14ac:dyDescent="0.25">
      <c r="A3973">
        <v>236848</v>
      </c>
      <c r="B3973" t="s">
        <v>2</v>
      </c>
      <c r="C3973" t="str">
        <f>LEFT(Table4[[#This Row],[Policy Type]],1)</f>
        <v>1</v>
      </c>
    </row>
    <row r="3974" spans="1:3" x14ac:dyDescent="0.25">
      <c r="A3974">
        <v>236856</v>
      </c>
      <c r="B3974" t="s">
        <v>3</v>
      </c>
      <c r="C3974" t="str">
        <f>LEFT(Table4[[#This Row],[Policy Type]],1)</f>
        <v>2</v>
      </c>
    </row>
    <row r="3975" spans="1:3" x14ac:dyDescent="0.25">
      <c r="A3975">
        <v>236862</v>
      </c>
      <c r="B3975" t="s">
        <v>3</v>
      </c>
      <c r="C3975" t="str">
        <f>LEFT(Table4[[#This Row],[Policy Type]],1)</f>
        <v>2</v>
      </c>
    </row>
    <row r="3976" spans="1:3" x14ac:dyDescent="0.25">
      <c r="A3976">
        <v>236881</v>
      </c>
      <c r="B3976" t="s">
        <v>3</v>
      </c>
      <c r="C3976" t="str">
        <f>LEFT(Table4[[#This Row],[Policy Type]],1)</f>
        <v>2</v>
      </c>
    </row>
    <row r="3977" spans="1:3" x14ac:dyDescent="0.25">
      <c r="A3977">
        <v>236890</v>
      </c>
      <c r="B3977" t="s">
        <v>2</v>
      </c>
      <c r="C3977" t="str">
        <f>LEFT(Table4[[#This Row],[Policy Type]],1)</f>
        <v>1</v>
      </c>
    </row>
    <row r="3978" spans="1:3" x14ac:dyDescent="0.25">
      <c r="A3978">
        <v>236900</v>
      </c>
      <c r="B3978" t="s">
        <v>3</v>
      </c>
      <c r="C3978" t="str">
        <f>LEFT(Table4[[#This Row],[Policy Type]],1)</f>
        <v>2</v>
      </c>
    </row>
    <row r="3979" spans="1:3" x14ac:dyDescent="0.25">
      <c r="A3979">
        <v>236904</v>
      </c>
      <c r="B3979" t="s">
        <v>3</v>
      </c>
      <c r="C3979" t="str">
        <f>LEFT(Table4[[#This Row],[Policy Type]],1)</f>
        <v>2</v>
      </c>
    </row>
    <row r="3980" spans="1:3" x14ac:dyDescent="0.25">
      <c r="A3980">
        <v>236948</v>
      </c>
      <c r="B3980" t="s">
        <v>3</v>
      </c>
      <c r="C3980" t="str">
        <f>LEFT(Table4[[#This Row],[Policy Type]],1)</f>
        <v>2</v>
      </c>
    </row>
    <row r="3981" spans="1:3" x14ac:dyDescent="0.25">
      <c r="A3981">
        <v>236974</v>
      </c>
      <c r="B3981" t="s">
        <v>2</v>
      </c>
      <c r="C3981" t="str">
        <f>LEFT(Table4[[#This Row],[Policy Type]],1)</f>
        <v>1</v>
      </c>
    </row>
    <row r="3982" spans="1:3" x14ac:dyDescent="0.25">
      <c r="A3982">
        <v>236978</v>
      </c>
      <c r="B3982" t="s">
        <v>3</v>
      </c>
      <c r="C3982" t="str">
        <f>LEFT(Table4[[#This Row],[Policy Type]],1)</f>
        <v>2</v>
      </c>
    </row>
    <row r="3983" spans="1:3" x14ac:dyDescent="0.25">
      <c r="A3983">
        <v>236988</v>
      </c>
      <c r="B3983" t="s">
        <v>3</v>
      </c>
      <c r="C3983" t="str">
        <f>LEFT(Table4[[#This Row],[Policy Type]],1)</f>
        <v>2</v>
      </c>
    </row>
    <row r="3984" spans="1:3" x14ac:dyDescent="0.25">
      <c r="A3984">
        <v>236989</v>
      </c>
      <c r="B3984" t="s">
        <v>3</v>
      </c>
      <c r="C3984" t="str">
        <f>LEFT(Table4[[#This Row],[Policy Type]],1)</f>
        <v>2</v>
      </c>
    </row>
    <row r="3985" spans="1:3" x14ac:dyDescent="0.25">
      <c r="A3985">
        <v>236990</v>
      </c>
      <c r="B3985" t="s">
        <v>2</v>
      </c>
      <c r="C3985" t="str">
        <f>LEFT(Table4[[#This Row],[Policy Type]],1)</f>
        <v>1</v>
      </c>
    </row>
    <row r="3986" spans="1:3" x14ac:dyDescent="0.25">
      <c r="A3986">
        <v>237010</v>
      </c>
      <c r="B3986" t="s">
        <v>2</v>
      </c>
      <c r="C3986" t="str">
        <f>LEFT(Table4[[#This Row],[Policy Type]],1)</f>
        <v>1</v>
      </c>
    </row>
    <row r="3987" spans="1:3" x14ac:dyDescent="0.25">
      <c r="A3987">
        <v>237017</v>
      </c>
      <c r="B3987" t="s">
        <v>2</v>
      </c>
      <c r="C3987" t="str">
        <f>LEFT(Table4[[#This Row],[Policy Type]],1)</f>
        <v>1</v>
      </c>
    </row>
    <row r="3988" spans="1:3" x14ac:dyDescent="0.25">
      <c r="A3988">
        <v>237029</v>
      </c>
      <c r="B3988" t="s">
        <v>3</v>
      </c>
      <c r="C3988" t="str">
        <f>LEFT(Table4[[#This Row],[Policy Type]],1)</f>
        <v>2</v>
      </c>
    </row>
    <row r="3989" spans="1:3" x14ac:dyDescent="0.25">
      <c r="A3989">
        <v>237049</v>
      </c>
      <c r="B3989" t="s">
        <v>2</v>
      </c>
      <c r="C3989" t="str">
        <f>LEFT(Table4[[#This Row],[Policy Type]],1)</f>
        <v>1</v>
      </c>
    </row>
    <row r="3990" spans="1:3" x14ac:dyDescent="0.25">
      <c r="A3990">
        <v>237059</v>
      </c>
      <c r="B3990" t="s">
        <v>3</v>
      </c>
      <c r="C3990" t="str">
        <f>LEFT(Table4[[#This Row],[Policy Type]],1)</f>
        <v>2</v>
      </c>
    </row>
    <row r="3991" spans="1:3" x14ac:dyDescent="0.25">
      <c r="A3991">
        <v>237064</v>
      </c>
      <c r="B3991" t="s">
        <v>2</v>
      </c>
      <c r="C3991" t="str">
        <f>LEFT(Table4[[#This Row],[Policy Type]],1)</f>
        <v>1</v>
      </c>
    </row>
    <row r="3992" spans="1:3" x14ac:dyDescent="0.25">
      <c r="A3992">
        <v>237111</v>
      </c>
      <c r="B3992" t="s">
        <v>3</v>
      </c>
      <c r="C3992" t="str">
        <f>LEFT(Table4[[#This Row],[Policy Type]],1)</f>
        <v>2</v>
      </c>
    </row>
    <row r="3993" spans="1:3" x14ac:dyDescent="0.25">
      <c r="A3993">
        <v>237127</v>
      </c>
      <c r="B3993" t="s">
        <v>2</v>
      </c>
      <c r="C3993" t="str">
        <f>LEFT(Table4[[#This Row],[Policy Type]],1)</f>
        <v>1</v>
      </c>
    </row>
    <row r="3994" spans="1:3" x14ac:dyDescent="0.25">
      <c r="A3994">
        <v>237170</v>
      </c>
      <c r="B3994" t="s">
        <v>3</v>
      </c>
      <c r="C3994" t="str">
        <f>LEFT(Table4[[#This Row],[Policy Type]],1)</f>
        <v>2</v>
      </c>
    </row>
    <row r="3995" spans="1:3" x14ac:dyDescent="0.25">
      <c r="A3995">
        <v>237264</v>
      </c>
      <c r="B3995" t="s">
        <v>2</v>
      </c>
      <c r="C3995" t="str">
        <f>LEFT(Table4[[#This Row],[Policy Type]],1)</f>
        <v>1</v>
      </c>
    </row>
    <row r="3996" spans="1:3" x14ac:dyDescent="0.25">
      <c r="A3996">
        <v>237278</v>
      </c>
      <c r="B3996" t="s">
        <v>3</v>
      </c>
      <c r="C3996" t="str">
        <f>LEFT(Table4[[#This Row],[Policy Type]],1)</f>
        <v>2</v>
      </c>
    </row>
    <row r="3997" spans="1:3" x14ac:dyDescent="0.25">
      <c r="A3997">
        <v>237288</v>
      </c>
      <c r="B3997" t="s">
        <v>3</v>
      </c>
      <c r="C3997" t="str">
        <f>LEFT(Table4[[#This Row],[Policy Type]],1)</f>
        <v>2</v>
      </c>
    </row>
    <row r="3998" spans="1:3" x14ac:dyDescent="0.25">
      <c r="A3998">
        <v>237305</v>
      </c>
      <c r="B3998" t="s">
        <v>3</v>
      </c>
      <c r="C3998" t="str">
        <f>LEFT(Table4[[#This Row],[Policy Type]],1)</f>
        <v>2</v>
      </c>
    </row>
    <row r="3999" spans="1:3" x14ac:dyDescent="0.25">
      <c r="A3999">
        <v>237319</v>
      </c>
      <c r="B3999" t="s">
        <v>3</v>
      </c>
      <c r="C3999" t="str">
        <f>LEFT(Table4[[#This Row],[Policy Type]],1)</f>
        <v>2</v>
      </c>
    </row>
    <row r="4000" spans="1:3" x14ac:dyDescent="0.25">
      <c r="A4000">
        <v>237335</v>
      </c>
      <c r="B4000" t="s">
        <v>3</v>
      </c>
      <c r="C4000" t="str">
        <f>LEFT(Table4[[#This Row],[Policy Type]],1)</f>
        <v>2</v>
      </c>
    </row>
    <row r="4001" spans="1:3" x14ac:dyDescent="0.25">
      <c r="A4001">
        <v>237342</v>
      </c>
      <c r="B4001" t="s">
        <v>2</v>
      </c>
      <c r="C4001" t="str">
        <f>LEFT(Table4[[#This Row],[Policy Type]],1)</f>
        <v>1</v>
      </c>
    </row>
    <row r="4002" spans="1:3" x14ac:dyDescent="0.25">
      <c r="A4002">
        <v>237349</v>
      </c>
      <c r="B4002" t="s">
        <v>2</v>
      </c>
      <c r="C4002" t="str">
        <f>LEFT(Table4[[#This Row],[Policy Type]],1)</f>
        <v>1</v>
      </c>
    </row>
    <row r="4003" spans="1:3" x14ac:dyDescent="0.25">
      <c r="A4003">
        <v>237350</v>
      </c>
      <c r="B4003" t="s">
        <v>3</v>
      </c>
      <c r="C4003" t="str">
        <f>LEFT(Table4[[#This Row],[Policy Type]],1)</f>
        <v>2</v>
      </c>
    </row>
    <row r="4004" spans="1:3" x14ac:dyDescent="0.25">
      <c r="A4004">
        <v>237399</v>
      </c>
      <c r="B4004" t="s">
        <v>3</v>
      </c>
      <c r="C4004" t="str">
        <f>LEFT(Table4[[#This Row],[Policy Type]],1)</f>
        <v>2</v>
      </c>
    </row>
    <row r="4005" spans="1:3" x14ac:dyDescent="0.25">
      <c r="A4005">
        <v>237657</v>
      </c>
      <c r="B4005" t="s">
        <v>2</v>
      </c>
      <c r="C4005" t="str">
        <f>LEFT(Table4[[#This Row],[Policy Type]],1)</f>
        <v>1</v>
      </c>
    </row>
    <row r="4006" spans="1:3" x14ac:dyDescent="0.25">
      <c r="A4006">
        <v>237668</v>
      </c>
      <c r="B4006" t="s">
        <v>3</v>
      </c>
      <c r="C4006" t="str">
        <f>LEFT(Table4[[#This Row],[Policy Type]],1)</f>
        <v>2</v>
      </c>
    </row>
    <row r="4007" spans="1:3" x14ac:dyDescent="0.25">
      <c r="A4007">
        <v>237712</v>
      </c>
      <c r="B4007" t="s">
        <v>2</v>
      </c>
      <c r="C4007" t="str">
        <f>LEFT(Table4[[#This Row],[Policy Type]],1)</f>
        <v>1</v>
      </c>
    </row>
    <row r="4008" spans="1:3" x14ac:dyDescent="0.25">
      <c r="A4008">
        <v>237764</v>
      </c>
      <c r="B4008" t="s">
        <v>3</v>
      </c>
      <c r="C4008" t="str">
        <f>LEFT(Table4[[#This Row],[Policy Type]],1)</f>
        <v>2</v>
      </c>
    </row>
    <row r="4009" spans="1:3" x14ac:dyDescent="0.25">
      <c r="A4009">
        <v>237770</v>
      </c>
      <c r="B4009" t="s">
        <v>3</v>
      </c>
      <c r="C4009" t="str">
        <f>LEFT(Table4[[#This Row],[Policy Type]],1)</f>
        <v>2</v>
      </c>
    </row>
    <row r="4010" spans="1:3" x14ac:dyDescent="0.25">
      <c r="A4010">
        <v>237526</v>
      </c>
      <c r="B4010" t="s">
        <v>3</v>
      </c>
      <c r="C4010" t="str">
        <f>LEFT(Table4[[#This Row],[Policy Type]],1)</f>
        <v>2</v>
      </c>
    </row>
    <row r="4011" spans="1:3" x14ac:dyDescent="0.25">
      <c r="A4011">
        <v>237565</v>
      </c>
      <c r="B4011" t="s">
        <v>2</v>
      </c>
      <c r="C4011" t="str">
        <f>LEFT(Table4[[#This Row],[Policy Type]],1)</f>
        <v>1</v>
      </c>
    </row>
    <row r="4012" spans="1:3" x14ac:dyDescent="0.25">
      <c r="A4012">
        <v>237566</v>
      </c>
      <c r="B4012" t="s">
        <v>2</v>
      </c>
      <c r="C4012" t="str">
        <f>LEFT(Table4[[#This Row],[Policy Type]],1)</f>
        <v>1</v>
      </c>
    </row>
    <row r="4013" spans="1:3" x14ac:dyDescent="0.25">
      <c r="A4013">
        <v>237597</v>
      </c>
      <c r="B4013" t="s">
        <v>3</v>
      </c>
      <c r="C4013" t="str">
        <f>LEFT(Table4[[#This Row],[Policy Type]],1)</f>
        <v>2</v>
      </c>
    </row>
    <row r="4014" spans="1:3" x14ac:dyDescent="0.25">
      <c r="A4014">
        <v>237807</v>
      </c>
      <c r="B4014" t="s">
        <v>3</v>
      </c>
      <c r="C4014" t="str">
        <f>LEFT(Table4[[#This Row],[Policy Type]],1)</f>
        <v>2</v>
      </c>
    </row>
    <row r="4015" spans="1:3" x14ac:dyDescent="0.25">
      <c r="A4015">
        <v>237829</v>
      </c>
      <c r="B4015" t="s">
        <v>3</v>
      </c>
      <c r="C4015" t="str">
        <f>LEFT(Table4[[#This Row],[Policy Type]],1)</f>
        <v>2</v>
      </c>
    </row>
    <row r="4016" spans="1:3" x14ac:dyDescent="0.25">
      <c r="A4016">
        <v>237843</v>
      </c>
      <c r="B4016" t="s">
        <v>2</v>
      </c>
      <c r="C4016" t="str">
        <f>LEFT(Table4[[#This Row],[Policy Type]],1)</f>
        <v>1</v>
      </c>
    </row>
    <row r="4017" spans="1:3" x14ac:dyDescent="0.25">
      <c r="A4017">
        <v>237873</v>
      </c>
      <c r="B4017" t="s">
        <v>2</v>
      </c>
      <c r="C4017" t="str">
        <f>LEFT(Table4[[#This Row],[Policy Type]],1)</f>
        <v>1</v>
      </c>
    </row>
    <row r="4018" spans="1:3" x14ac:dyDescent="0.25">
      <c r="A4018">
        <v>237906</v>
      </c>
      <c r="B4018" t="s">
        <v>3</v>
      </c>
      <c r="C4018" t="str">
        <f>LEFT(Table4[[#This Row],[Policy Type]],1)</f>
        <v>2</v>
      </c>
    </row>
    <row r="4019" spans="1:3" x14ac:dyDescent="0.25">
      <c r="A4019">
        <v>237918</v>
      </c>
      <c r="B4019" t="s">
        <v>3</v>
      </c>
      <c r="C4019" t="str">
        <f>LEFT(Table4[[#This Row],[Policy Type]],1)</f>
        <v>2</v>
      </c>
    </row>
    <row r="4020" spans="1:3" x14ac:dyDescent="0.25">
      <c r="A4020">
        <v>237919</v>
      </c>
      <c r="B4020" t="s">
        <v>3</v>
      </c>
      <c r="C4020" t="str">
        <f>LEFT(Table4[[#This Row],[Policy Type]],1)</f>
        <v>2</v>
      </c>
    </row>
    <row r="4021" spans="1:3" x14ac:dyDescent="0.25">
      <c r="A4021">
        <v>237921</v>
      </c>
      <c r="B4021" t="s">
        <v>2</v>
      </c>
      <c r="C4021" t="str">
        <f>LEFT(Table4[[#This Row],[Policy Type]],1)</f>
        <v>1</v>
      </c>
    </row>
    <row r="4022" spans="1:3" x14ac:dyDescent="0.25">
      <c r="A4022">
        <v>237961</v>
      </c>
      <c r="B4022" t="s">
        <v>2</v>
      </c>
      <c r="C4022" t="str">
        <f>LEFT(Table4[[#This Row],[Policy Type]],1)</f>
        <v>1</v>
      </c>
    </row>
    <row r="4023" spans="1:3" x14ac:dyDescent="0.25">
      <c r="A4023">
        <v>237969</v>
      </c>
      <c r="B4023" t="s">
        <v>3</v>
      </c>
      <c r="C4023" t="str">
        <f>LEFT(Table4[[#This Row],[Policy Type]],1)</f>
        <v>2</v>
      </c>
    </row>
    <row r="4024" spans="1:3" x14ac:dyDescent="0.25">
      <c r="A4024">
        <v>238000</v>
      </c>
      <c r="B4024" t="s">
        <v>2</v>
      </c>
      <c r="C4024" t="str">
        <f>LEFT(Table4[[#This Row],[Policy Type]],1)</f>
        <v>1</v>
      </c>
    </row>
    <row r="4025" spans="1:3" x14ac:dyDescent="0.25">
      <c r="A4025">
        <v>238045</v>
      </c>
      <c r="B4025" t="s">
        <v>2</v>
      </c>
      <c r="C4025" t="str">
        <f>LEFT(Table4[[#This Row],[Policy Type]],1)</f>
        <v>1</v>
      </c>
    </row>
    <row r="4026" spans="1:3" x14ac:dyDescent="0.25">
      <c r="A4026">
        <v>238046</v>
      </c>
      <c r="B4026" t="s">
        <v>3</v>
      </c>
      <c r="C4026" t="str">
        <f>LEFT(Table4[[#This Row],[Policy Type]],1)</f>
        <v>2</v>
      </c>
    </row>
    <row r="4027" spans="1:3" x14ac:dyDescent="0.25">
      <c r="A4027">
        <v>238062</v>
      </c>
      <c r="B4027" t="s">
        <v>2</v>
      </c>
      <c r="C4027" t="str">
        <f>LEFT(Table4[[#This Row],[Policy Type]],1)</f>
        <v>1</v>
      </c>
    </row>
    <row r="4028" spans="1:3" x14ac:dyDescent="0.25">
      <c r="A4028">
        <v>238091</v>
      </c>
      <c r="B4028" t="s">
        <v>2</v>
      </c>
      <c r="C4028" t="str">
        <f>LEFT(Table4[[#This Row],[Policy Type]],1)</f>
        <v>1</v>
      </c>
    </row>
    <row r="4029" spans="1:3" x14ac:dyDescent="0.25">
      <c r="A4029">
        <v>238122</v>
      </c>
      <c r="B4029" t="s">
        <v>3</v>
      </c>
      <c r="C4029" t="str">
        <f>LEFT(Table4[[#This Row],[Policy Type]],1)</f>
        <v>2</v>
      </c>
    </row>
    <row r="4030" spans="1:3" x14ac:dyDescent="0.25">
      <c r="A4030">
        <v>238129</v>
      </c>
      <c r="B4030" t="s">
        <v>3</v>
      </c>
      <c r="C4030" t="str">
        <f>LEFT(Table4[[#This Row],[Policy Type]],1)</f>
        <v>2</v>
      </c>
    </row>
    <row r="4031" spans="1:3" x14ac:dyDescent="0.25">
      <c r="A4031">
        <v>238156</v>
      </c>
      <c r="B4031" t="s">
        <v>3</v>
      </c>
      <c r="C4031" t="str">
        <f>LEFT(Table4[[#This Row],[Policy Type]],1)</f>
        <v>2</v>
      </c>
    </row>
    <row r="4032" spans="1:3" x14ac:dyDescent="0.25">
      <c r="A4032">
        <v>238161</v>
      </c>
      <c r="B4032" t="s">
        <v>3</v>
      </c>
      <c r="C4032" t="str">
        <f>LEFT(Table4[[#This Row],[Policy Type]],1)</f>
        <v>2</v>
      </c>
    </row>
    <row r="4033" spans="1:3" x14ac:dyDescent="0.25">
      <c r="A4033">
        <v>238162</v>
      </c>
      <c r="B4033" t="s">
        <v>3</v>
      </c>
      <c r="C4033" t="str">
        <f>LEFT(Table4[[#This Row],[Policy Type]],1)</f>
        <v>2</v>
      </c>
    </row>
    <row r="4034" spans="1:3" x14ac:dyDescent="0.25">
      <c r="A4034">
        <v>238185</v>
      </c>
      <c r="B4034" t="s">
        <v>3</v>
      </c>
      <c r="C4034" t="str">
        <f>LEFT(Table4[[#This Row],[Policy Type]],1)</f>
        <v>2</v>
      </c>
    </row>
    <row r="4035" spans="1:3" x14ac:dyDescent="0.25">
      <c r="A4035">
        <v>238216</v>
      </c>
      <c r="B4035" t="s">
        <v>3</v>
      </c>
      <c r="C4035" t="str">
        <f>LEFT(Table4[[#This Row],[Policy Type]],1)</f>
        <v>2</v>
      </c>
    </row>
    <row r="4036" spans="1:3" x14ac:dyDescent="0.25">
      <c r="A4036">
        <v>238229</v>
      </c>
      <c r="B4036" t="s">
        <v>3</v>
      </c>
      <c r="C4036" t="str">
        <f>LEFT(Table4[[#This Row],[Policy Type]],1)</f>
        <v>2</v>
      </c>
    </row>
    <row r="4037" spans="1:3" x14ac:dyDescent="0.25">
      <c r="A4037">
        <v>238231</v>
      </c>
      <c r="B4037" t="s">
        <v>2</v>
      </c>
      <c r="C4037" t="str">
        <f>LEFT(Table4[[#This Row],[Policy Type]],1)</f>
        <v>1</v>
      </c>
    </row>
    <row r="4038" spans="1:3" x14ac:dyDescent="0.25">
      <c r="A4038">
        <v>238236</v>
      </c>
      <c r="B4038" t="s">
        <v>3</v>
      </c>
      <c r="C4038" t="str">
        <f>LEFT(Table4[[#This Row],[Policy Type]],1)</f>
        <v>2</v>
      </c>
    </row>
    <row r="4039" spans="1:3" x14ac:dyDescent="0.25">
      <c r="A4039">
        <v>238242</v>
      </c>
      <c r="B4039" t="s">
        <v>2</v>
      </c>
      <c r="C4039" t="str">
        <f>LEFT(Table4[[#This Row],[Policy Type]],1)</f>
        <v>1</v>
      </c>
    </row>
    <row r="4040" spans="1:3" x14ac:dyDescent="0.25">
      <c r="A4040">
        <v>238245</v>
      </c>
      <c r="B4040" t="s">
        <v>3</v>
      </c>
      <c r="C4040" t="str">
        <f>LEFT(Table4[[#This Row],[Policy Type]],1)</f>
        <v>2</v>
      </c>
    </row>
    <row r="4041" spans="1:3" x14ac:dyDescent="0.25">
      <c r="A4041">
        <v>238251</v>
      </c>
      <c r="B4041" t="s">
        <v>2</v>
      </c>
      <c r="C4041" t="str">
        <f>LEFT(Table4[[#This Row],[Policy Type]],1)</f>
        <v>1</v>
      </c>
    </row>
    <row r="4042" spans="1:3" x14ac:dyDescent="0.25">
      <c r="A4042">
        <v>238273</v>
      </c>
      <c r="B4042" t="s">
        <v>3</v>
      </c>
      <c r="C4042" t="str">
        <f>LEFT(Table4[[#This Row],[Policy Type]],1)</f>
        <v>2</v>
      </c>
    </row>
    <row r="4043" spans="1:3" x14ac:dyDescent="0.25">
      <c r="A4043">
        <v>238403</v>
      </c>
      <c r="B4043" t="s">
        <v>3</v>
      </c>
      <c r="C4043" t="str">
        <f>LEFT(Table4[[#This Row],[Policy Type]],1)</f>
        <v>2</v>
      </c>
    </row>
    <row r="4044" spans="1:3" x14ac:dyDescent="0.25">
      <c r="A4044">
        <v>238466</v>
      </c>
      <c r="B4044" t="s">
        <v>3</v>
      </c>
      <c r="C4044" t="str">
        <f>LEFT(Table4[[#This Row],[Policy Type]],1)</f>
        <v>2</v>
      </c>
    </row>
    <row r="4045" spans="1:3" x14ac:dyDescent="0.25">
      <c r="A4045">
        <v>238481</v>
      </c>
      <c r="B4045" t="s">
        <v>2</v>
      </c>
      <c r="C4045" t="str">
        <f>LEFT(Table4[[#This Row],[Policy Type]],1)</f>
        <v>1</v>
      </c>
    </row>
    <row r="4046" spans="1:3" x14ac:dyDescent="0.25">
      <c r="A4046">
        <v>238491</v>
      </c>
      <c r="B4046" t="s">
        <v>3</v>
      </c>
      <c r="C4046" t="str">
        <f>LEFT(Table4[[#This Row],[Policy Type]],1)</f>
        <v>2</v>
      </c>
    </row>
    <row r="4047" spans="1:3" x14ac:dyDescent="0.25">
      <c r="A4047">
        <v>238523</v>
      </c>
      <c r="B4047" t="s">
        <v>3</v>
      </c>
      <c r="C4047" t="str">
        <f>LEFT(Table4[[#This Row],[Policy Type]],1)</f>
        <v>2</v>
      </c>
    </row>
    <row r="4048" spans="1:3" x14ac:dyDescent="0.25">
      <c r="A4048">
        <v>238526</v>
      </c>
      <c r="B4048" t="s">
        <v>3</v>
      </c>
      <c r="C4048" t="str">
        <f>LEFT(Table4[[#This Row],[Policy Type]],1)</f>
        <v>2</v>
      </c>
    </row>
    <row r="4049" spans="1:3" x14ac:dyDescent="0.25">
      <c r="A4049">
        <v>238529</v>
      </c>
      <c r="B4049" t="s">
        <v>2</v>
      </c>
      <c r="C4049" t="str">
        <f>LEFT(Table4[[#This Row],[Policy Type]],1)</f>
        <v>1</v>
      </c>
    </row>
    <row r="4050" spans="1:3" x14ac:dyDescent="0.25">
      <c r="A4050">
        <v>238564</v>
      </c>
      <c r="B4050" t="s">
        <v>3</v>
      </c>
      <c r="C4050" t="str">
        <f>LEFT(Table4[[#This Row],[Policy Type]],1)</f>
        <v>2</v>
      </c>
    </row>
    <row r="4051" spans="1:3" x14ac:dyDescent="0.25">
      <c r="A4051">
        <v>238595</v>
      </c>
      <c r="B4051" t="s">
        <v>2</v>
      </c>
      <c r="C4051" t="str">
        <f>LEFT(Table4[[#This Row],[Policy Type]],1)</f>
        <v>1</v>
      </c>
    </row>
    <row r="4052" spans="1:3" x14ac:dyDescent="0.25">
      <c r="A4052">
        <v>238629</v>
      </c>
      <c r="B4052" t="s">
        <v>3</v>
      </c>
      <c r="C4052" t="str">
        <f>LEFT(Table4[[#This Row],[Policy Type]],1)</f>
        <v>2</v>
      </c>
    </row>
    <row r="4053" spans="1:3" x14ac:dyDescent="0.25">
      <c r="A4053">
        <v>238647</v>
      </c>
      <c r="B4053" t="s">
        <v>2</v>
      </c>
      <c r="C4053" t="str">
        <f>LEFT(Table4[[#This Row],[Policy Type]],1)</f>
        <v>1</v>
      </c>
    </row>
    <row r="4054" spans="1:3" x14ac:dyDescent="0.25">
      <c r="A4054">
        <v>238686</v>
      </c>
      <c r="B4054" t="s">
        <v>2</v>
      </c>
      <c r="C4054" t="str">
        <f>LEFT(Table4[[#This Row],[Policy Type]],1)</f>
        <v>1</v>
      </c>
    </row>
    <row r="4055" spans="1:3" x14ac:dyDescent="0.25">
      <c r="A4055">
        <v>238695</v>
      </c>
      <c r="B4055" t="s">
        <v>3</v>
      </c>
      <c r="C4055" t="str">
        <f>LEFT(Table4[[#This Row],[Policy Type]],1)</f>
        <v>2</v>
      </c>
    </row>
    <row r="4056" spans="1:3" x14ac:dyDescent="0.25">
      <c r="A4056">
        <v>238702</v>
      </c>
      <c r="B4056" t="s">
        <v>2</v>
      </c>
      <c r="C4056" t="str">
        <f>LEFT(Table4[[#This Row],[Policy Type]],1)</f>
        <v>1</v>
      </c>
    </row>
    <row r="4057" spans="1:3" x14ac:dyDescent="0.25">
      <c r="A4057">
        <v>238761</v>
      </c>
      <c r="B4057" t="s">
        <v>3</v>
      </c>
      <c r="C4057" t="str">
        <f>LEFT(Table4[[#This Row],[Policy Type]],1)</f>
        <v>2</v>
      </c>
    </row>
    <row r="4058" spans="1:3" x14ac:dyDescent="0.25">
      <c r="A4058">
        <v>238766</v>
      </c>
      <c r="B4058" t="s">
        <v>3</v>
      </c>
      <c r="C4058" t="str">
        <f>LEFT(Table4[[#This Row],[Policy Type]],1)</f>
        <v>2</v>
      </c>
    </row>
    <row r="4059" spans="1:3" x14ac:dyDescent="0.25">
      <c r="A4059">
        <v>238796</v>
      </c>
      <c r="B4059" t="s">
        <v>3</v>
      </c>
      <c r="C4059" t="str">
        <f>LEFT(Table4[[#This Row],[Policy Type]],1)</f>
        <v>2</v>
      </c>
    </row>
    <row r="4060" spans="1:3" x14ac:dyDescent="0.25">
      <c r="A4060">
        <v>238853</v>
      </c>
      <c r="B4060" t="s">
        <v>2</v>
      </c>
      <c r="C4060" t="str">
        <f>LEFT(Table4[[#This Row],[Policy Type]],1)</f>
        <v>1</v>
      </c>
    </row>
    <row r="4061" spans="1:3" x14ac:dyDescent="0.25">
      <c r="A4061">
        <v>238871</v>
      </c>
      <c r="B4061" t="s">
        <v>3</v>
      </c>
      <c r="C4061" t="str">
        <f>LEFT(Table4[[#This Row],[Policy Type]],1)</f>
        <v>2</v>
      </c>
    </row>
    <row r="4062" spans="1:3" x14ac:dyDescent="0.25">
      <c r="A4062">
        <v>238892</v>
      </c>
      <c r="B4062" t="s">
        <v>3</v>
      </c>
      <c r="C4062" t="str">
        <f>LEFT(Table4[[#This Row],[Policy Type]],1)</f>
        <v>2</v>
      </c>
    </row>
    <row r="4063" spans="1:3" x14ac:dyDescent="0.25">
      <c r="A4063">
        <v>238907</v>
      </c>
      <c r="B4063" t="s">
        <v>3</v>
      </c>
      <c r="C4063" t="str">
        <f>LEFT(Table4[[#This Row],[Policy Type]],1)</f>
        <v>2</v>
      </c>
    </row>
    <row r="4064" spans="1:3" x14ac:dyDescent="0.25">
      <c r="A4064">
        <v>238911</v>
      </c>
      <c r="B4064" t="s">
        <v>3</v>
      </c>
      <c r="C4064" t="str">
        <f>LEFT(Table4[[#This Row],[Policy Type]],1)</f>
        <v>2</v>
      </c>
    </row>
    <row r="4065" spans="1:3" x14ac:dyDescent="0.25">
      <c r="A4065">
        <v>238947</v>
      </c>
      <c r="B4065" t="s">
        <v>3</v>
      </c>
      <c r="C4065" t="str">
        <f>LEFT(Table4[[#This Row],[Policy Type]],1)</f>
        <v>2</v>
      </c>
    </row>
    <row r="4066" spans="1:3" x14ac:dyDescent="0.25">
      <c r="A4066">
        <v>238998</v>
      </c>
      <c r="B4066" t="s">
        <v>3</v>
      </c>
      <c r="C4066" t="str">
        <f>LEFT(Table4[[#This Row],[Policy Type]],1)</f>
        <v>2</v>
      </c>
    </row>
    <row r="4067" spans="1:3" x14ac:dyDescent="0.25">
      <c r="A4067">
        <v>239057</v>
      </c>
      <c r="B4067" t="s">
        <v>3</v>
      </c>
      <c r="C4067" t="str">
        <f>LEFT(Table4[[#This Row],[Policy Type]],1)</f>
        <v>2</v>
      </c>
    </row>
    <row r="4068" spans="1:3" x14ac:dyDescent="0.25">
      <c r="A4068">
        <v>239116</v>
      </c>
      <c r="B4068" t="s">
        <v>2</v>
      </c>
      <c r="C4068" t="str">
        <f>LEFT(Table4[[#This Row],[Policy Type]],1)</f>
        <v>1</v>
      </c>
    </row>
    <row r="4069" spans="1:3" x14ac:dyDescent="0.25">
      <c r="A4069">
        <v>239121</v>
      </c>
      <c r="B4069" t="s">
        <v>3</v>
      </c>
      <c r="C4069" t="str">
        <f>LEFT(Table4[[#This Row],[Policy Type]],1)</f>
        <v>2</v>
      </c>
    </row>
    <row r="4070" spans="1:3" x14ac:dyDescent="0.25">
      <c r="A4070">
        <v>239144</v>
      </c>
      <c r="B4070" t="s">
        <v>2</v>
      </c>
      <c r="C4070" t="str">
        <f>LEFT(Table4[[#This Row],[Policy Type]],1)</f>
        <v>1</v>
      </c>
    </row>
    <row r="4071" spans="1:3" x14ac:dyDescent="0.25">
      <c r="A4071">
        <v>239219</v>
      </c>
      <c r="B4071" t="s">
        <v>3</v>
      </c>
      <c r="C4071" t="str">
        <f>LEFT(Table4[[#This Row],[Policy Type]],1)</f>
        <v>2</v>
      </c>
    </row>
    <row r="4072" spans="1:3" x14ac:dyDescent="0.25">
      <c r="A4072">
        <v>239221</v>
      </c>
      <c r="B4072" t="s">
        <v>3</v>
      </c>
      <c r="C4072" t="str">
        <f>LEFT(Table4[[#This Row],[Policy Type]],1)</f>
        <v>2</v>
      </c>
    </row>
    <row r="4073" spans="1:3" x14ac:dyDescent="0.25">
      <c r="A4073">
        <v>239235</v>
      </c>
      <c r="B4073" t="s">
        <v>3</v>
      </c>
      <c r="C4073" t="str">
        <f>LEFT(Table4[[#This Row],[Policy Type]],1)</f>
        <v>2</v>
      </c>
    </row>
    <row r="4074" spans="1:3" x14ac:dyDescent="0.25">
      <c r="A4074">
        <v>239252</v>
      </c>
      <c r="B4074" t="s">
        <v>2</v>
      </c>
      <c r="C4074" t="str">
        <f>LEFT(Table4[[#This Row],[Policy Type]],1)</f>
        <v>1</v>
      </c>
    </row>
    <row r="4075" spans="1:3" x14ac:dyDescent="0.25">
      <c r="A4075">
        <v>239258</v>
      </c>
      <c r="B4075" t="s">
        <v>3</v>
      </c>
      <c r="C4075" t="str">
        <f>LEFT(Table4[[#This Row],[Policy Type]],1)</f>
        <v>2</v>
      </c>
    </row>
    <row r="4076" spans="1:3" x14ac:dyDescent="0.25">
      <c r="A4076">
        <v>239283</v>
      </c>
      <c r="B4076" t="s">
        <v>2</v>
      </c>
      <c r="C4076" t="str">
        <f>LEFT(Table4[[#This Row],[Policy Type]],1)</f>
        <v>1</v>
      </c>
    </row>
    <row r="4077" spans="1:3" x14ac:dyDescent="0.25">
      <c r="A4077">
        <v>239296</v>
      </c>
      <c r="B4077" t="s">
        <v>3</v>
      </c>
      <c r="C4077" t="str">
        <f>LEFT(Table4[[#This Row],[Policy Type]],1)</f>
        <v>2</v>
      </c>
    </row>
    <row r="4078" spans="1:3" x14ac:dyDescent="0.25">
      <c r="A4078">
        <v>239356</v>
      </c>
      <c r="B4078" t="s">
        <v>3</v>
      </c>
      <c r="C4078" t="str">
        <f>LEFT(Table4[[#This Row],[Policy Type]],1)</f>
        <v>2</v>
      </c>
    </row>
    <row r="4079" spans="1:3" x14ac:dyDescent="0.25">
      <c r="A4079">
        <v>239363</v>
      </c>
      <c r="B4079" t="s">
        <v>2</v>
      </c>
      <c r="C4079" t="str">
        <f>LEFT(Table4[[#This Row],[Policy Type]],1)</f>
        <v>1</v>
      </c>
    </row>
    <row r="4080" spans="1:3" x14ac:dyDescent="0.25">
      <c r="A4080">
        <v>239472</v>
      </c>
      <c r="B4080" t="s">
        <v>2</v>
      </c>
      <c r="C4080" t="str">
        <f>LEFT(Table4[[#This Row],[Policy Type]],1)</f>
        <v>1</v>
      </c>
    </row>
    <row r="4081" spans="1:3" x14ac:dyDescent="0.25">
      <c r="A4081">
        <v>239481</v>
      </c>
      <c r="B4081" t="s">
        <v>3</v>
      </c>
      <c r="C4081" t="str">
        <f>LEFT(Table4[[#This Row],[Policy Type]],1)</f>
        <v>2</v>
      </c>
    </row>
    <row r="4082" spans="1:3" x14ac:dyDescent="0.25">
      <c r="A4082">
        <v>239528</v>
      </c>
      <c r="B4082" t="s">
        <v>2</v>
      </c>
      <c r="C4082" t="str">
        <f>LEFT(Table4[[#This Row],[Policy Type]],1)</f>
        <v>1</v>
      </c>
    </row>
    <row r="4083" spans="1:3" x14ac:dyDescent="0.25">
      <c r="A4083">
        <v>239567</v>
      </c>
      <c r="B4083" t="s">
        <v>2</v>
      </c>
      <c r="C4083" t="str">
        <f>LEFT(Table4[[#This Row],[Policy Type]],1)</f>
        <v>1</v>
      </c>
    </row>
    <row r="4084" spans="1:3" x14ac:dyDescent="0.25">
      <c r="A4084">
        <v>239621</v>
      </c>
      <c r="B4084" t="s">
        <v>3</v>
      </c>
      <c r="C4084" t="str">
        <f>LEFT(Table4[[#This Row],[Policy Type]],1)</f>
        <v>2</v>
      </c>
    </row>
    <row r="4085" spans="1:3" x14ac:dyDescent="0.25">
      <c r="A4085">
        <v>239647</v>
      </c>
      <c r="B4085" t="s">
        <v>2</v>
      </c>
      <c r="C4085" t="str">
        <f>LEFT(Table4[[#This Row],[Policy Type]],1)</f>
        <v>1</v>
      </c>
    </row>
    <row r="4086" spans="1:3" x14ac:dyDescent="0.25">
      <c r="A4086">
        <v>239660</v>
      </c>
      <c r="B4086" t="s">
        <v>3</v>
      </c>
      <c r="C4086" t="str">
        <f>LEFT(Table4[[#This Row],[Policy Type]],1)</f>
        <v>2</v>
      </c>
    </row>
    <row r="4087" spans="1:3" x14ac:dyDescent="0.25">
      <c r="A4087">
        <v>239693</v>
      </c>
      <c r="B4087" t="s">
        <v>2</v>
      </c>
      <c r="C4087" t="str">
        <f>LEFT(Table4[[#This Row],[Policy Type]],1)</f>
        <v>1</v>
      </c>
    </row>
    <row r="4088" spans="1:3" x14ac:dyDescent="0.25">
      <c r="A4088">
        <v>239766</v>
      </c>
      <c r="B4088" t="s">
        <v>2</v>
      </c>
      <c r="C4088" t="str">
        <f>LEFT(Table4[[#This Row],[Policy Type]],1)</f>
        <v>1</v>
      </c>
    </row>
    <row r="4089" spans="1:3" x14ac:dyDescent="0.25">
      <c r="A4089">
        <v>239848</v>
      </c>
      <c r="B4089" t="s">
        <v>3</v>
      </c>
      <c r="C4089" t="str">
        <f>LEFT(Table4[[#This Row],[Policy Type]],1)</f>
        <v>2</v>
      </c>
    </row>
    <row r="4090" spans="1:3" x14ac:dyDescent="0.25">
      <c r="A4090">
        <v>239851</v>
      </c>
      <c r="B4090" t="s">
        <v>3</v>
      </c>
      <c r="C4090" t="str">
        <f>LEFT(Table4[[#This Row],[Policy Type]],1)</f>
        <v>2</v>
      </c>
    </row>
    <row r="4091" spans="1:3" x14ac:dyDescent="0.25">
      <c r="A4091">
        <v>239896</v>
      </c>
      <c r="B4091" t="s">
        <v>3</v>
      </c>
      <c r="C4091" t="str">
        <f>LEFT(Table4[[#This Row],[Policy Type]],1)</f>
        <v>2</v>
      </c>
    </row>
    <row r="4092" spans="1:3" x14ac:dyDescent="0.25">
      <c r="A4092">
        <v>239902</v>
      </c>
      <c r="B4092" t="s">
        <v>2</v>
      </c>
      <c r="C4092" t="str">
        <f>LEFT(Table4[[#This Row],[Policy Type]],1)</f>
        <v>1</v>
      </c>
    </row>
    <row r="4093" spans="1:3" x14ac:dyDescent="0.25">
      <c r="A4093">
        <v>239925</v>
      </c>
      <c r="B4093" t="s">
        <v>2</v>
      </c>
      <c r="C4093" t="str">
        <f>LEFT(Table4[[#This Row],[Policy Type]],1)</f>
        <v>1</v>
      </c>
    </row>
    <row r="4094" spans="1:3" x14ac:dyDescent="0.25">
      <c r="A4094">
        <v>239969</v>
      </c>
      <c r="B4094" t="s">
        <v>2</v>
      </c>
      <c r="C4094" t="str">
        <f>LEFT(Table4[[#This Row],[Policy Type]],1)</f>
        <v>1</v>
      </c>
    </row>
    <row r="4095" spans="1:3" x14ac:dyDescent="0.25">
      <c r="A4095">
        <v>239980</v>
      </c>
      <c r="B4095" t="s">
        <v>3</v>
      </c>
      <c r="C4095" t="str">
        <f>LEFT(Table4[[#This Row],[Policy Type]],1)</f>
        <v>2</v>
      </c>
    </row>
    <row r="4096" spans="1:3" x14ac:dyDescent="0.25">
      <c r="A4096">
        <v>239995</v>
      </c>
      <c r="B4096" t="s">
        <v>3</v>
      </c>
      <c r="C4096" t="str">
        <f>LEFT(Table4[[#This Row],[Policy Type]],1)</f>
        <v>2</v>
      </c>
    </row>
    <row r="4097" spans="1:3" x14ac:dyDescent="0.25">
      <c r="A4097">
        <v>240231</v>
      </c>
      <c r="B4097" t="s">
        <v>3</v>
      </c>
      <c r="C4097" t="str">
        <f>LEFT(Table4[[#This Row],[Policy Type]],1)</f>
        <v>2</v>
      </c>
    </row>
    <row r="4098" spans="1:3" x14ac:dyDescent="0.25">
      <c r="A4098">
        <v>240238</v>
      </c>
      <c r="B4098" t="s">
        <v>3</v>
      </c>
      <c r="C4098" t="str">
        <f>LEFT(Table4[[#This Row],[Policy Type]],1)</f>
        <v>2</v>
      </c>
    </row>
    <row r="4099" spans="1:3" x14ac:dyDescent="0.25">
      <c r="A4099">
        <v>240253</v>
      </c>
      <c r="B4099" t="s">
        <v>2</v>
      </c>
      <c r="C4099" t="str">
        <f>LEFT(Table4[[#This Row],[Policy Type]],1)</f>
        <v>1</v>
      </c>
    </row>
    <row r="4100" spans="1:3" x14ac:dyDescent="0.25">
      <c r="A4100">
        <v>240276</v>
      </c>
      <c r="B4100" t="s">
        <v>3</v>
      </c>
      <c r="C4100" t="str">
        <f>LEFT(Table4[[#This Row],[Policy Type]],1)</f>
        <v>2</v>
      </c>
    </row>
    <row r="4101" spans="1:3" x14ac:dyDescent="0.25">
      <c r="A4101">
        <v>240308</v>
      </c>
      <c r="B4101" t="s">
        <v>2</v>
      </c>
      <c r="C4101" t="str">
        <f>LEFT(Table4[[#This Row],[Policy Type]],1)</f>
        <v>1</v>
      </c>
    </row>
    <row r="4102" spans="1:3" x14ac:dyDescent="0.25">
      <c r="A4102">
        <v>240337</v>
      </c>
      <c r="B4102" t="s">
        <v>3</v>
      </c>
      <c r="C4102" t="str">
        <f>LEFT(Table4[[#This Row],[Policy Type]],1)</f>
        <v>2</v>
      </c>
    </row>
    <row r="4103" spans="1:3" x14ac:dyDescent="0.25">
      <c r="A4103">
        <v>240340</v>
      </c>
      <c r="B4103" t="s">
        <v>3</v>
      </c>
      <c r="C4103" t="str">
        <f>LEFT(Table4[[#This Row],[Policy Type]],1)</f>
        <v>2</v>
      </c>
    </row>
    <row r="4104" spans="1:3" x14ac:dyDescent="0.25">
      <c r="A4104">
        <v>240028</v>
      </c>
      <c r="B4104" t="s">
        <v>2</v>
      </c>
      <c r="C4104" t="str">
        <f>LEFT(Table4[[#This Row],[Policy Type]],1)</f>
        <v>1</v>
      </c>
    </row>
    <row r="4105" spans="1:3" x14ac:dyDescent="0.25">
      <c r="A4105">
        <v>240108</v>
      </c>
      <c r="B4105" t="s">
        <v>2</v>
      </c>
      <c r="C4105" t="str">
        <f>LEFT(Table4[[#This Row],[Policy Type]],1)</f>
        <v>1</v>
      </c>
    </row>
    <row r="4106" spans="1:3" x14ac:dyDescent="0.25">
      <c r="A4106">
        <v>240113</v>
      </c>
      <c r="B4106" t="s">
        <v>2</v>
      </c>
      <c r="C4106" t="str">
        <f>LEFT(Table4[[#This Row],[Policy Type]],1)</f>
        <v>1</v>
      </c>
    </row>
    <row r="4107" spans="1:3" x14ac:dyDescent="0.25">
      <c r="A4107">
        <v>240148</v>
      </c>
      <c r="B4107" t="s">
        <v>3</v>
      </c>
      <c r="C4107" t="str">
        <f>LEFT(Table4[[#This Row],[Policy Type]],1)</f>
        <v>2</v>
      </c>
    </row>
    <row r="4108" spans="1:3" x14ac:dyDescent="0.25">
      <c r="A4108">
        <v>240151</v>
      </c>
      <c r="B4108" t="s">
        <v>2</v>
      </c>
      <c r="C4108" t="str">
        <f>LEFT(Table4[[#This Row],[Policy Type]],1)</f>
        <v>1</v>
      </c>
    </row>
    <row r="4109" spans="1:3" x14ac:dyDescent="0.25">
      <c r="A4109">
        <v>240176</v>
      </c>
      <c r="B4109" t="s">
        <v>2</v>
      </c>
      <c r="C4109" t="str">
        <f>LEFT(Table4[[#This Row],[Policy Type]],1)</f>
        <v>1</v>
      </c>
    </row>
    <row r="4110" spans="1:3" x14ac:dyDescent="0.25">
      <c r="A4110">
        <v>240429</v>
      </c>
      <c r="B4110" t="s">
        <v>3</v>
      </c>
      <c r="C4110" t="str">
        <f>LEFT(Table4[[#This Row],[Policy Type]],1)</f>
        <v>2</v>
      </c>
    </row>
    <row r="4111" spans="1:3" x14ac:dyDescent="0.25">
      <c r="A4111">
        <v>240441</v>
      </c>
      <c r="B4111" t="s">
        <v>2</v>
      </c>
      <c r="C4111" t="str">
        <f>LEFT(Table4[[#This Row],[Policy Type]],1)</f>
        <v>1</v>
      </c>
    </row>
    <row r="4112" spans="1:3" x14ac:dyDescent="0.25">
      <c r="A4112">
        <v>240463</v>
      </c>
      <c r="B4112" t="s">
        <v>3</v>
      </c>
      <c r="C4112" t="str">
        <f>LEFT(Table4[[#This Row],[Policy Type]],1)</f>
        <v>2</v>
      </c>
    </row>
    <row r="4113" spans="1:3" x14ac:dyDescent="0.25">
      <c r="A4113">
        <v>240567</v>
      </c>
      <c r="B4113" t="s">
        <v>3</v>
      </c>
      <c r="C4113" t="str">
        <f>LEFT(Table4[[#This Row],[Policy Type]],1)</f>
        <v>2</v>
      </c>
    </row>
    <row r="4114" spans="1:3" x14ac:dyDescent="0.25">
      <c r="A4114">
        <v>240574</v>
      </c>
      <c r="B4114" t="s">
        <v>2</v>
      </c>
      <c r="C4114" t="str">
        <f>LEFT(Table4[[#This Row],[Policy Type]],1)</f>
        <v>1</v>
      </c>
    </row>
    <row r="4115" spans="1:3" x14ac:dyDescent="0.25">
      <c r="A4115">
        <v>240577</v>
      </c>
      <c r="B4115" t="s">
        <v>2</v>
      </c>
      <c r="C4115" t="str">
        <f>LEFT(Table4[[#This Row],[Policy Type]],1)</f>
        <v>1</v>
      </c>
    </row>
    <row r="4116" spans="1:3" x14ac:dyDescent="0.25">
      <c r="A4116">
        <v>240580</v>
      </c>
      <c r="B4116" t="s">
        <v>2</v>
      </c>
      <c r="C4116" t="str">
        <f>LEFT(Table4[[#This Row],[Policy Type]],1)</f>
        <v>1</v>
      </c>
    </row>
    <row r="4117" spans="1:3" x14ac:dyDescent="0.25">
      <c r="A4117">
        <v>240582</v>
      </c>
      <c r="B4117" t="s">
        <v>3</v>
      </c>
      <c r="C4117" t="str">
        <f>LEFT(Table4[[#This Row],[Policy Type]],1)</f>
        <v>2</v>
      </c>
    </row>
    <row r="4118" spans="1:3" x14ac:dyDescent="0.25">
      <c r="A4118">
        <v>240585</v>
      </c>
      <c r="B4118" t="s">
        <v>3</v>
      </c>
      <c r="C4118" t="str">
        <f>LEFT(Table4[[#This Row],[Policy Type]],1)</f>
        <v>2</v>
      </c>
    </row>
    <row r="4119" spans="1:3" x14ac:dyDescent="0.25">
      <c r="A4119">
        <v>240594</v>
      </c>
      <c r="B4119" t="s">
        <v>3</v>
      </c>
      <c r="C4119" t="str">
        <f>LEFT(Table4[[#This Row],[Policy Type]],1)</f>
        <v>2</v>
      </c>
    </row>
    <row r="4120" spans="1:3" x14ac:dyDescent="0.25">
      <c r="A4120">
        <v>240601</v>
      </c>
      <c r="B4120" t="s">
        <v>3</v>
      </c>
      <c r="C4120" t="str">
        <f>LEFT(Table4[[#This Row],[Policy Type]],1)</f>
        <v>2</v>
      </c>
    </row>
    <row r="4121" spans="1:3" x14ac:dyDescent="0.25">
      <c r="A4121">
        <v>240604</v>
      </c>
      <c r="B4121" t="s">
        <v>3</v>
      </c>
      <c r="C4121" t="str">
        <f>LEFT(Table4[[#This Row],[Policy Type]],1)</f>
        <v>2</v>
      </c>
    </row>
    <row r="4122" spans="1:3" x14ac:dyDescent="0.25">
      <c r="A4122">
        <v>240629</v>
      </c>
      <c r="B4122" t="s">
        <v>3</v>
      </c>
      <c r="C4122" t="str">
        <f>LEFT(Table4[[#This Row],[Policy Type]],1)</f>
        <v>2</v>
      </c>
    </row>
    <row r="4123" spans="1:3" x14ac:dyDescent="0.25">
      <c r="A4123">
        <v>240679</v>
      </c>
      <c r="B4123" t="s">
        <v>2</v>
      </c>
      <c r="C4123" t="str">
        <f>LEFT(Table4[[#This Row],[Policy Type]],1)</f>
        <v>1</v>
      </c>
    </row>
    <row r="4124" spans="1:3" x14ac:dyDescent="0.25">
      <c r="A4124">
        <v>240682</v>
      </c>
      <c r="B4124" t="s">
        <v>2</v>
      </c>
      <c r="C4124" t="str">
        <f>LEFT(Table4[[#This Row],[Policy Type]],1)</f>
        <v>1</v>
      </c>
    </row>
    <row r="4125" spans="1:3" x14ac:dyDescent="0.25">
      <c r="A4125">
        <v>240769</v>
      </c>
      <c r="B4125" t="s">
        <v>3</v>
      </c>
      <c r="C4125" t="str">
        <f>LEFT(Table4[[#This Row],[Policy Type]],1)</f>
        <v>2</v>
      </c>
    </row>
    <row r="4126" spans="1:3" x14ac:dyDescent="0.25">
      <c r="A4126">
        <v>240779</v>
      </c>
      <c r="B4126" t="s">
        <v>3</v>
      </c>
      <c r="C4126" t="str">
        <f>LEFT(Table4[[#This Row],[Policy Type]],1)</f>
        <v>2</v>
      </c>
    </row>
    <row r="4127" spans="1:3" x14ac:dyDescent="0.25">
      <c r="A4127">
        <v>240785</v>
      </c>
      <c r="B4127" t="s">
        <v>3</v>
      </c>
      <c r="C4127" t="str">
        <f>LEFT(Table4[[#This Row],[Policy Type]],1)</f>
        <v>2</v>
      </c>
    </row>
    <row r="4128" spans="1:3" x14ac:dyDescent="0.25">
      <c r="A4128">
        <v>240855</v>
      </c>
      <c r="B4128" t="s">
        <v>3</v>
      </c>
      <c r="C4128" t="str">
        <f>LEFT(Table4[[#This Row],[Policy Type]],1)</f>
        <v>2</v>
      </c>
    </row>
    <row r="4129" spans="1:3" x14ac:dyDescent="0.25">
      <c r="A4129">
        <v>240880</v>
      </c>
      <c r="B4129" t="s">
        <v>3</v>
      </c>
      <c r="C4129" t="str">
        <f>LEFT(Table4[[#This Row],[Policy Type]],1)</f>
        <v>2</v>
      </c>
    </row>
    <row r="4130" spans="1:3" x14ac:dyDescent="0.25">
      <c r="A4130">
        <v>240890</v>
      </c>
      <c r="B4130" t="s">
        <v>3</v>
      </c>
      <c r="C4130" t="str">
        <f>LEFT(Table4[[#This Row],[Policy Type]],1)</f>
        <v>2</v>
      </c>
    </row>
    <row r="4131" spans="1:3" x14ac:dyDescent="0.25">
      <c r="A4131">
        <v>240920</v>
      </c>
      <c r="B4131" t="s">
        <v>2</v>
      </c>
      <c r="C4131" t="str">
        <f>LEFT(Table4[[#This Row],[Policy Type]],1)</f>
        <v>1</v>
      </c>
    </row>
    <row r="4132" spans="1:3" x14ac:dyDescent="0.25">
      <c r="A4132">
        <v>240930</v>
      </c>
      <c r="B4132" t="s">
        <v>2</v>
      </c>
      <c r="C4132" t="str">
        <f>LEFT(Table4[[#This Row],[Policy Type]],1)</f>
        <v>1</v>
      </c>
    </row>
    <row r="4133" spans="1:3" x14ac:dyDescent="0.25">
      <c r="A4133">
        <v>240931</v>
      </c>
      <c r="B4133" t="s">
        <v>3</v>
      </c>
      <c r="C4133" t="str">
        <f>LEFT(Table4[[#This Row],[Policy Type]],1)</f>
        <v>2</v>
      </c>
    </row>
    <row r="4134" spans="1:3" x14ac:dyDescent="0.25">
      <c r="A4134">
        <v>240932</v>
      </c>
      <c r="B4134" t="s">
        <v>3</v>
      </c>
      <c r="C4134" t="str">
        <f>LEFT(Table4[[#This Row],[Policy Type]],1)</f>
        <v>2</v>
      </c>
    </row>
    <row r="4135" spans="1:3" x14ac:dyDescent="0.25">
      <c r="A4135">
        <v>240942</v>
      </c>
      <c r="B4135" t="s">
        <v>3</v>
      </c>
      <c r="C4135" t="str">
        <f>LEFT(Table4[[#This Row],[Policy Type]],1)</f>
        <v>2</v>
      </c>
    </row>
    <row r="4136" spans="1:3" x14ac:dyDescent="0.25">
      <c r="A4136">
        <v>240950</v>
      </c>
      <c r="B4136" t="s">
        <v>3</v>
      </c>
      <c r="C4136" t="str">
        <f>LEFT(Table4[[#This Row],[Policy Type]],1)</f>
        <v>2</v>
      </c>
    </row>
    <row r="4137" spans="1:3" x14ac:dyDescent="0.25">
      <c r="A4137">
        <v>247006</v>
      </c>
      <c r="B4137" t="s">
        <v>2</v>
      </c>
      <c r="C4137" t="str">
        <f>LEFT(Table4[[#This Row],[Policy Type]],1)</f>
        <v>1</v>
      </c>
    </row>
    <row r="4138" spans="1:3" x14ac:dyDescent="0.25">
      <c r="A4138">
        <v>241028</v>
      </c>
      <c r="B4138" t="s">
        <v>2</v>
      </c>
      <c r="C4138" t="str">
        <f>LEFT(Table4[[#This Row],[Policy Type]],1)</f>
        <v>1</v>
      </c>
    </row>
    <row r="4139" spans="1:3" x14ac:dyDescent="0.25">
      <c r="A4139">
        <v>241031</v>
      </c>
      <c r="B4139" t="s">
        <v>3</v>
      </c>
      <c r="C4139" t="str">
        <f>LEFT(Table4[[#This Row],[Policy Type]],1)</f>
        <v>2</v>
      </c>
    </row>
    <row r="4140" spans="1:3" x14ac:dyDescent="0.25">
      <c r="A4140">
        <v>241038</v>
      </c>
      <c r="B4140" t="s">
        <v>2</v>
      </c>
      <c r="C4140" t="str">
        <f>LEFT(Table4[[#This Row],[Policy Type]],1)</f>
        <v>1</v>
      </c>
    </row>
    <row r="4141" spans="1:3" x14ac:dyDescent="0.25">
      <c r="A4141">
        <v>241089</v>
      </c>
      <c r="B4141" t="s">
        <v>3</v>
      </c>
      <c r="C4141" t="str">
        <f>LEFT(Table4[[#This Row],[Policy Type]],1)</f>
        <v>2</v>
      </c>
    </row>
    <row r="4142" spans="1:3" x14ac:dyDescent="0.25">
      <c r="A4142">
        <v>241099</v>
      </c>
      <c r="B4142" t="s">
        <v>2</v>
      </c>
      <c r="C4142" t="str">
        <f>LEFT(Table4[[#This Row],[Policy Type]],1)</f>
        <v>1</v>
      </c>
    </row>
    <row r="4143" spans="1:3" x14ac:dyDescent="0.25">
      <c r="A4143">
        <v>241126</v>
      </c>
      <c r="B4143" t="s">
        <v>3</v>
      </c>
      <c r="C4143" t="str">
        <f>LEFT(Table4[[#This Row],[Policy Type]],1)</f>
        <v>2</v>
      </c>
    </row>
    <row r="4144" spans="1:3" x14ac:dyDescent="0.25">
      <c r="A4144">
        <v>241152</v>
      </c>
      <c r="B4144" t="s">
        <v>3</v>
      </c>
      <c r="C4144" t="str">
        <f>LEFT(Table4[[#This Row],[Policy Type]],1)</f>
        <v>2</v>
      </c>
    </row>
    <row r="4145" spans="1:3" x14ac:dyDescent="0.25">
      <c r="A4145">
        <v>241176</v>
      </c>
      <c r="B4145" t="s">
        <v>3</v>
      </c>
      <c r="C4145" t="str">
        <f>LEFT(Table4[[#This Row],[Policy Type]],1)</f>
        <v>2</v>
      </c>
    </row>
    <row r="4146" spans="1:3" x14ac:dyDescent="0.25">
      <c r="A4146">
        <v>241187</v>
      </c>
      <c r="B4146" t="s">
        <v>3</v>
      </c>
      <c r="C4146" t="str">
        <f>LEFT(Table4[[#This Row],[Policy Type]],1)</f>
        <v>2</v>
      </c>
    </row>
    <row r="4147" spans="1:3" x14ac:dyDescent="0.25">
      <c r="A4147">
        <v>241193</v>
      </c>
      <c r="B4147" t="s">
        <v>3</v>
      </c>
      <c r="C4147" t="str">
        <f>LEFT(Table4[[#This Row],[Policy Type]],1)</f>
        <v>2</v>
      </c>
    </row>
    <row r="4148" spans="1:3" x14ac:dyDescent="0.25">
      <c r="A4148">
        <v>241226</v>
      </c>
      <c r="B4148" t="s">
        <v>2</v>
      </c>
      <c r="C4148" t="str">
        <f>LEFT(Table4[[#This Row],[Policy Type]],1)</f>
        <v>1</v>
      </c>
    </row>
    <row r="4149" spans="1:3" x14ac:dyDescent="0.25">
      <c r="A4149">
        <v>241240</v>
      </c>
      <c r="B4149" t="s">
        <v>3</v>
      </c>
      <c r="C4149" t="str">
        <f>LEFT(Table4[[#This Row],[Policy Type]],1)</f>
        <v>2</v>
      </c>
    </row>
    <row r="4150" spans="1:3" x14ac:dyDescent="0.25">
      <c r="A4150">
        <v>241241</v>
      </c>
      <c r="B4150" t="s">
        <v>3</v>
      </c>
      <c r="C4150" t="str">
        <f>LEFT(Table4[[#This Row],[Policy Type]],1)</f>
        <v>2</v>
      </c>
    </row>
    <row r="4151" spans="1:3" x14ac:dyDescent="0.25">
      <c r="A4151">
        <v>241251</v>
      </c>
      <c r="B4151" t="s">
        <v>2</v>
      </c>
      <c r="C4151" t="str">
        <f>LEFT(Table4[[#This Row],[Policy Type]],1)</f>
        <v>1</v>
      </c>
    </row>
    <row r="4152" spans="1:3" x14ac:dyDescent="0.25">
      <c r="A4152">
        <v>241303</v>
      </c>
      <c r="B4152" t="s">
        <v>2</v>
      </c>
      <c r="C4152" t="str">
        <f>LEFT(Table4[[#This Row],[Policy Type]],1)</f>
        <v>1</v>
      </c>
    </row>
    <row r="4153" spans="1:3" x14ac:dyDescent="0.25">
      <c r="A4153">
        <v>241321</v>
      </c>
      <c r="B4153" t="s">
        <v>3</v>
      </c>
      <c r="C4153" t="str">
        <f>LEFT(Table4[[#This Row],[Policy Type]],1)</f>
        <v>2</v>
      </c>
    </row>
    <row r="4154" spans="1:3" x14ac:dyDescent="0.25">
      <c r="A4154">
        <v>241323</v>
      </c>
      <c r="B4154" t="s">
        <v>2</v>
      </c>
      <c r="C4154" t="str">
        <f>LEFT(Table4[[#This Row],[Policy Type]],1)</f>
        <v>1</v>
      </c>
    </row>
    <row r="4155" spans="1:3" x14ac:dyDescent="0.25">
      <c r="A4155">
        <v>241339</v>
      </c>
      <c r="B4155" t="s">
        <v>3</v>
      </c>
      <c r="C4155" t="str">
        <f>LEFT(Table4[[#This Row],[Policy Type]],1)</f>
        <v>2</v>
      </c>
    </row>
    <row r="4156" spans="1:3" x14ac:dyDescent="0.25">
      <c r="A4156">
        <v>241362</v>
      </c>
      <c r="B4156" t="s">
        <v>3</v>
      </c>
      <c r="C4156" t="str">
        <f>LEFT(Table4[[#This Row],[Policy Type]],1)</f>
        <v>2</v>
      </c>
    </row>
    <row r="4157" spans="1:3" x14ac:dyDescent="0.25">
      <c r="A4157">
        <v>241394</v>
      </c>
      <c r="B4157" t="s">
        <v>3</v>
      </c>
      <c r="C4157" t="str">
        <f>LEFT(Table4[[#This Row],[Policy Type]],1)</f>
        <v>2</v>
      </c>
    </row>
    <row r="4158" spans="1:3" x14ac:dyDescent="0.25">
      <c r="A4158">
        <v>241603</v>
      </c>
      <c r="B4158" t="s">
        <v>3</v>
      </c>
      <c r="C4158" t="str">
        <f>LEFT(Table4[[#This Row],[Policy Type]],1)</f>
        <v>2</v>
      </c>
    </row>
    <row r="4159" spans="1:3" x14ac:dyDescent="0.25">
      <c r="A4159">
        <v>241616</v>
      </c>
      <c r="B4159" t="s">
        <v>3</v>
      </c>
      <c r="C4159" t="str">
        <f>LEFT(Table4[[#This Row],[Policy Type]],1)</f>
        <v>2</v>
      </c>
    </row>
    <row r="4160" spans="1:3" x14ac:dyDescent="0.25">
      <c r="A4160">
        <v>241620</v>
      </c>
      <c r="B4160" t="s">
        <v>2</v>
      </c>
      <c r="C4160" t="str">
        <f>LEFT(Table4[[#This Row],[Policy Type]],1)</f>
        <v>1</v>
      </c>
    </row>
    <row r="4161" spans="1:3" x14ac:dyDescent="0.25">
      <c r="A4161">
        <v>241641</v>
      </c>
      <c r="B4161" t="s">
        <v>3</v>
      </c>
      <c r="C4161" t="str">
        <f>LEFT(Table4[[#This Row],[Policy Type]],1)</f>
        <v>2</v>
      </c>
    </row>
    <row r="4162" spans="1:3" x14ac:dyDescent="0.25">
      <c r="A4162">
        <v>241665</v>
      </c>
      <c r="B4162" t="s">
        <v>3</v>
      </c>
      <c r="C4162" t="str">
        <f>LEFT(Table4[[#This Row],[Policy Type]],1)</f>
        <v>2</v>
      </c>
    </row>
    <row r="4163" spans="1:3" x14ac:dyDescent="0.25">
      <c r="A4163">
        <v>241672</v>
      </c>
      <c r="B4163" t="s">
        <v>2</v>
      </c>
      <c r="C4163" t="str">
        <f>LEFT(Table4[[#This Row],[Policy Type]],1)</f>
        <v>1</v>
      </c>
    </row>
    <row r="4164" spans="1:3" x14ac:dyDescent="0.25">
      <c r="A4164">
        <v>241721</v>
      </c>
      <c r="B4164" t="s">
        <v>3</v>
      </c>
      <c r="C4164" t="str">
        <f>LEFT(Table4[[#This Row],[Policy Type]],1)</f>
        <v>2</v>
      </c>
    </row>
    <row r="4165" spans="1:3" x14ac:dyDescent="0.25">
      <c r="A4165">
        <v>241758</v>
      </c>
      <c r="B4165" t="s">
        <v>3</v>
      </c>
      <c r="C4165" t="str">
        <f>LEFT(Table4[[#This Row],[Policy Type]],1)</f>
        <v>2</v>
      </c>
    </row>
    <row r="4166" spans="1:3" x14ac:dyDescent="0.25">
      <c r="A4166">
        <v>241447</v>
      </c>
      <c r="B4166" t="s">
        <v>3</v>
      </c>
      <c r="C4166" t="str">
        <f>LEFT(Table4[[#This Row],[Policy Type]],1)</f>
        <v>2</v>
      </c>
    </row>
    <row r="4167" spans="1:3" x14ac:dyDescent="0.25">
      <c r="A4167">
        <v>241456</v>
      </c>
      <c r="B4167" t="s">
        <v>3</v>
      </c>
      <c r="C4167" t="str">
        <f>LEFT(Table4[[#This Row],[Policy Type]],1)</f>
        <v>2</v>
      </c>
    </row>
    <row r="4168" spans="1:3" x14ac:dyDescent="0.25">
      <c r="A4168">
        <v>241512</v>
      </c>
      <c r="B4168" t="s">
        <v>2</v>
      </c>
      <c r="C4168" t="str">
        <f>LEFT(Table4[[#This Row],[Policy Type]],1)</f>
        <v>1</v>
      </c>
    </row>
    <row r="4169" spans="1:3" x14ac:dyDescent="0.25">
      <c r="A4169">
        <v>241520</v>
      </c>
      <c r="B4169" t="s">
        <v>3</v>
      </c>
      <c r="C4169" t="str">
        <f>LEFT(Table4[[#This Row],[Policy Type]],1)</f>
        <v>2</v>
      </c>
    </row>
    <row r="4170" spans="1:3" x14ac:dyDescent="0.25">
      <c r="A4170">
        <v>241539</v>
      </c>
      <c r="B4170" t="s">
        <v>3</v>
      </c>
      <c r="C4170" t="str">
        <f>LEFT(Table4[[#This Row],[Policy Type]],1)</f>
        <v>2</v>
      </c>
    </row>
    <row r="4171" spans="1:3" x14ac:dyDescent="0.25">
      <c r="A4171">
        <v>241861</v>
      </c>
      <c r="B4171" t="s">
        <v>2</v>
      </c>
      <c r="C4171" t="str">
        <f>LEFT(Table4[[#This Row],[Policy Type]],1)</f>
        <v>1</v>
      </c>
    </row>
    <row r="4172" spans="1:3" x14ac:dyDescent="0.25">
      <c r="A4172">
        <v>241865</v>
      </c>
      <c r="B4172" t="s">
        <v>3</v>
      </c>
      <c r="C4172" t="str">
        <f>LEFT(Table4[[#This Row],[Policy Type]],1)</f>
        <v>2</v>
      </c>
    </row>
    <row r="4173" spans="1:3" x14ac:dyDescent="0.25">
      <c r="A4173">
        <v>241883</v>
      </c>
      <c r="B4173" t="s">
        <v>2</v>
      </c>
      <c r="C4173" t="str">
        <f>LEFT(Table4[[#This Row],[Policy Type]],1)</f>
        <v>1</v>
      </c>
    </row>
    <row r="4174" spans="1:3" x14ac:dyDescent="0.25">
      <c r="A4174">
        <v>241951</v>
      </c>
      <c r="B4174" t="s">
        <v>2</v>
      </c>
      <c r="C4174" t="str">
        <f>LEFT(Table4[[#This Row],[Policy Type]],1)</f>
        <v>1</v>
      </c>
    </row>
    <row r="4175" spans="1:3" x14ac:dyDescent="0.25">
      <c r="A4175">
        <v>241965</v>
      </c>
      <c r="B4175" t="s">
        <v>2</v>
      </c>
      <c r="C4175" t="str">
        <f>LEFT(Table4[[#This Row],[Policy Type]],1)</f>
        <v>1</v>
      </c>
    </row>
    <row r="4176" spans="1:3" x14ac:dyDescent="0.25">
      <c r="A4176">
        <v>241981</v>
      </c>
      <c r="B4176" t="s">
        <v>3</v>
      </c>
      <c r="C4176" t="str">
        <f>LEFT(Table4[[#This Row],[Policy Type]],1)</f>
        <v>2</v>
      </c>
    </row>
    <row r="4177" spans="1:3" x14ac:dyDescent="0.25">
      <c r="A4177">
        <v>241992</v>
      </c>
      <c r="B4177" t="s">
        <v>3</v>
      </c>
      <c r="C4177" t="str">
        <f>LEFT(Table4[[#This Row],[Policy Type]],1)</f>
        <v>2</v>
      </c>
    </row>
    <row r="4178" spans="1:3" x14ac:dyDescent="0.25">
      <c r="A4178">
        <v>241995</v>
      </c>
      <c r="B4178" t="s">
        <v>3</v>
      </c>
      <c r="C4178" t="str">
        <f>LEFT(Table4[[#This Row],[Policy Type]],1)</f>
        <v>2</v>
      </c>
    </row>
    <row r="4179" spans="1:3" x14ac:dyDescent="0.25">
      <c r="A4179">
        <v>241996</v>
      </c>
      <c r="B4179" t="s">
        <v>2</v>
      </c>
      <c r="C4179" t="str">
        <f>LEFT(Table4[[#This Row],[Policy Type]],1)</f>
        <v>1</v>
      </c>
    </row>
    <row r="4180" spans="1:3" x14ac:dyDescent="0.25">
      <c r="A4180">
        <v>242026</v>
      </c>
      <c r="B4180" t="s">
        <v>3</v>
      </c>
      <c r="C4180" t="str">
        <f>LEFT(Table4[[#This Row],[Policy Type]],1)</f>
        <v>2</v>
      </c>
    </row>
    <row r="4181" spans="1:3" x14ac:dyDescent="0.25">
      <c r="A4181">
        <v>242074</v>
      </c>
      <c r="B4181" t="s">
        <v>3</v>
      </c>
      <c r="C4181" t="str">
        <f>LEFT(Table4[[#This Row],[Policy Type]],1)</f>
        <v>2</v>
      </c>
    </row>
    <row r="4182" spans="1:3" x14ac:dyDescent="0.25">
      <c r="A4182">
        <v>242090</v>
      </c>
      <c r="B4182" t="s">
        <v>3</v>
      </c>
      <c r="C4182" t="str">
        <f>LEFT(Table4[[#This Row],[Policy Type]],1)</f>
        <v>2</v>
      </c>
    </row>
    <row r="4183" spans="1:3" x14ac:dyDescent="0.25">
      <c r="A4183">
        <v>242093</v>
      </c>
      <c r="B4183" t="s">
        <v>3</v>
      </c>
      <c r="C4183" t="str">
        <f>LEFT(Table4[[#This Row],[Policy Type]],1)</f>
        <v>2</v>
      </c>
    </row>
    <row r="4184" spans="1:3" x14ac:dyDescent="0.25">
      <c r="A4184">
        <v>242112</v>
      </c>
      <c r="B4184" t="s">
        <v>3</v>
      </c>
      <c r="C4184" t="str">
        <f>LEFT(Table4[[#This Row],[Policy Type]],1)</f>
        <v>2</v>
      </c>
    </row>
    <row r="4185" spans="1:3" x14ac:dyDescent="0.25">
      <c r="A4185">
        <v>242167</v>
      </c>
      <c r="B4185" t="s">
        <v>3</v>
      </c>
      <c r="C4185" t="str">
        <f>LEFT(Table4[[#This Row],[Policy Type]],1)</f>
        <v>2</v>
      </c>
    </row>
    <row r="4186" spans="1:3" x14ac:dyDescent="0.25">
      <c r="A4186">
        <v>242194</v>
      </c>
      <c r="B4186" t="s">
        <v>3</v>
      </c>
      <c r="C4186" t="str">
        <f>LEFT(Table4[[#This Row],[Policy Type]],1)</f>
        <v>2</v>
      </c>
    </row>
    <row r="4187" spans="1:3" x14ac:dyDescent="0.25">
      <c r="A4187">
        <v>242218</v>
      </c>
      <c r="B4187" t="s">
        <v>3</v>
      </c>
      <c r="C4187" t="str">
        <f>LEFT(Table4[[#This Row],[Policy Type]],1)</f>
        <v>2</v>
      </c>
    </row>
    <row r="4188" spans="1:3" x14ac:dyDescent="0.25">
      <c r="A4188">
        <v>242296</v>
      </c>
      <c r="B4188" t="s">
        <v>3</v>
      </c>
      <c r="C4188" t="str">
        <f>LEFT(Table4[[#This Row],[Policy Type]],1)</f>
        <v>2</v>
      </c>
    </row>
    <row r="4189" spans="1:3" x14ac:dyDescent="0.25">
      <c r="A4189">
        <v>242330</v>
      </c>
      <c r="B4189" t="s">
        <v>3</v>
      </c>
      <c r="C4189" t="str">
        <f>LEFT(Table4[[#This Row],[Policy Type]],1)</f>
        <v>2</v>
      </c>
    </row>
    <row r="4190" spans="1:3" x14ac:dyDescent="0.25">
      <c r="A4190">
        <v>242346</v>
      </c>
      <c r="B4190" t="s">
        <v>3</v>
      </c>
      <c r="C4190" t="str">
        <f>LEFT(Table4[[#This Row],[Policy Type]],1)</f>
        <v>2</v>
      </c>
    </row>
    <row r="4191" spans="1:3" x14ac:dyDescent="0.25">
      <c r="A4191">
        <v>242355</v>
      </c>
      <c r="B4191" t="s">
        <v>3</v>
      </c>
      <c r="C4191" t="str">
        <f>LEFT(Table4[[#This Row],[Policy Type]],1)</f>
        <v>2</v>
      </c>
    </row>
    <row r="4192" spans="1:3" x14ac:dyDescent="0.25">
      <c r="A4192">
        <v>242500</v>
      </c>
      <c r="B4192" t="s">
        <v>3</v>
      </c>
      <c r="C4192" t="str">
        <f>LEFT(Table4[[#This Row],[Policy Type]],1)</f>
        <v>2</v>
      </c>
    </row>
    <row r="4193" spans="1:3" x14ac:dyDescent="0.25">
      <c r="A4193">
        <v>242526</v>
      </c>
      <c r="B4193" t="s">
        <v>2</v>
      </c>
      <c r="C4193" t="str">
        <f>LEFT(Table4[[#This Row],[Policy Type]],1)</f>
        <v>1</v>
      </c>
    </row>
    <row r="4194" spans="1:3" x14ac:dyDescent="0.25">
      <c r="A4194">
        <v>242559</v>
      </c>
      <c r="B4194" t="s">
        <v>2</v>
      </c>
      <c r="C4194" t="str">
        <f>LEFT(Table4[[#This Row],[Policy Type]],1)</f>
        <v>1</v>
      </c>
    </row>
    <row r="4195" spans="1:3" x14ac:dyDescent="0.25">
      <c r="A4195">
        <v>242566</v>
      </c>
      <c r="B4195" t="s">
        <v>2</v>
      </c>
      <c r="C4195" t="str">
        <f>LEFT(Table4[[#This Row],[Policy Type]],1)</f>
        <v>1</v>
      </c>
    </row>
    <row r="4196" spans="1:3" x14ac:dyDescent="0.25">
      <c r="A4196">
        <v>242567</v>
      </c>
      <c r="B4196" t="s">
        <v>2</v>
      </c>
      <c r="C4196" t="str">
        <f>LEFT(Table4[[#This Row],[Policy Type]],1)</f>
        <v>1</v>
      </c>
    </row>
    <row r="4197" spans="1:3" x14ac:dyDescent="0.25">
      <c r="A4197">
        <v>242570</v>
      </c>
      <c r="B4197" t="s">
        <v>2</v>
      </c>
      <c r="C4197" t="str">
        <f>LEFT(Table4[[#This Row],[Policy Type]],1)</f>
        <v>1</v>
      </c>
    </row>
    <row r="4198" spans="1:3" x14ac:dyDescent="0.25">
      <c r="A4198">
        <v>242580</v>
      </c>
      <c r="B4198" t="s">
        <v>3</v>
      </c>
      <c r="C4198" t="str">
        <f>LEFT(Table4[[#This Row],[Policy Type]],1)</f>
        <v>2</v>
      </c>
    </row>
    <row r="4199" spans="1:3" x14ac:dyDescent="0.25">
      <c r="A4199">
        <v>242619</v>
      </c>
      <c r="B4199" t="s">
        <v>3</v>
      </c>
      <c r="C4199" t="str">
        <f>LEFT(Table4[[#This Row],[Policy Type]],1)</f>
        <v>2</v>
      </c>
    </row>
    <row r="4200" spans="1:3" x14ac:dyDescent="0.25">
      <c r="A4200">
        <v>242625</v>
      </c>
      <c r="B4200" t="s">
        <v>3</v>
      </c>
      <c r="C4200" t="str">
        <f>LEFT(Table4[[#This Row],[Policy Type]],1)</f>
        <v>2</v>
      </c>
    </row>
    <row r="4201" spans="1:3" x14ac:dyDescent="0.25">
      <c r="A4201">
        <v>242630</v>
      </c>
      <c r="B4201" t="s">
        <v>3</v>
      </c>
      <c r="C4201" t="str">
        <f>LEFT(Table4[[#This Row],[Policy Type]],1)</f>
        <v>2</v>
      </c>
    </row>
    <row r="4202" spans="1:3" x14ac:dyDescent="0.25">
      <c r="A4202">
        <v>242631</v>
      </c>
      <c r="B4202" t="s">
        <v>3</v>
      </c>
      <c r="C4202" t="str">
        <f>LEFT(Table4[[#This Row],[Policy Type]],1)</f>
        <v>2</v>
      </c>
    </row>
    <row r="4203" spans="1:3" x14ac:dyDescent="0.25">
      <c r="A4203">
        <v>242665</v>
      </c>
      <c r="B4203" t="s">
        <v>3</v>
      </c>
      <c r="C4203" t="str">
        <f>LEFT(Table4[[#This Row],[Policy Type]],1)</f>
        <v>2</v>
      </c>
    </row>
    <row r="4204" spans="1:3" x14ac:dyDescent="0.25">
      <c r="A4204">
        <v>242675</v>
      </c>
      <c r="B4204" t="s">
        <v>2</v>
      </c>
      <c r="C4204" t="str">
        <f>LEFT(Table4[[#This Row],[Policy Type]],1)</f>
        <v>1</v>
      </c>
    </row>
    <row r="4205" spans="1:3" x14ac:dyDescent="0.25">
      <c r="A4205">
        <v>242728</v>
      </c>
      <c r="B4205" t="s">
        <v>2</v>
      </c>
      <c r="C4205" t="str">
        <f>LEFT(Table4[[#This Row],[Policy Type]],1)</f>
        <v>1</v>
      </c>
    </row>
    <row r="4206" spans="1:3" x14ac:dyDescent="0.25">
      <c r="A4206">
        <v>242786</v>
      </c>
      <c r="B4206" t="s">
        <v>3</v>
      </c>
      <c r="C4206" t="str">
        <f>LEFT(Table4[[#This Row],[Policy Type]],1)</f>
        <v>2</v>
      </c>
    </row>
    <row r="4207" spans="1:3" x14ac:dyDescent="0.25">
      <c r="A4207">
        <v>243001</v>
      </c>
      <c r="B4207" t="s">
        <v>2</v>
      </c>
      <c r="C4207" t="str">
        <f>LEFT(Table4[[#This Row],[Policy Type]],1)</f>
        <v>1</v>
      </c>
    </row>
    <row r="4208" spans="1:3" x14ac:dyDescent="0.25">
      <c r="A4208">
        <v>243011</v>
      </c>
      <c r="B4208" t="s">
        <v>3</v>
      </c>
      <c r="C4208" t="str">
        <f>LEFT(Table4[[#This Row],[Policy Type]],1)</f>
        <v>2</v>
      </c>
    </row>
    <row r="4209" spans="1:3" x14ac:dyDescent="0.25">
      <c r="A4209">
        <v>243033</v>
      </c>
      <c r="B4209" t="s">
        <v>2</v>
      </c>
      <c r="C4209" t="str">
        <f>LEFT(Table4[[#This Row],[Policy Type]],1)</f>
        <v>1</v>
      </c>
    </row>
    <row r="4210" spans="1:3" x14ac:dyDescent="0.25">
      <c r="A4210">
        <v>243052</v>
      </c>
      <c r="B4210" t="s">
        <v>2</v>
      </c>
      <c r="C4210" t="str">
        <f>LEFT(Table4[[#This Row],[Policy Type]],1)</f>
        <v>1</v>
      </c>
    </row>
    <row r="4211" spans="1:3" x14ac:dyDescent="0.25">
      <c r="A4211">
        <v>243062</v>
      </c>
      <c r="B4211" t="s">
        <v>2</v>
      </c>
      <c r="C4211" t="str">
        <f>LEFT(Table4[[#This Row],[Policy Type]],1)</f>
        <v>1</v>
      </c>
    </row>
    <row r="4212" spans="1:3" x14ac:dyDescent="0.25">
      <c r="A4212">
        <v>243080</v>
      </c>
      <c r="B4212" t="s">
        <v>2</v>
      </c>
      <c r="C4212" t="str">
        <f>LEFT(Table4[[#This Row],[Policy Type]],1)</f>
        <v>1</v>
      </c>
    </row>
    <row r="4213" spans="1:3" x14ac:dyDescent="0.25">
      <c r="A4213">
        <v>243135</v>
      </c>
      <c r="B4213" t="s">
        <v>2</v>
      </c>
      <c r="C4213" t="str">
        <f>LEFT(Table4[[#This Row],[Policy Type]],1)</f>
        <v>1</v>
      </c>
    </row>
    <row r="4214" spans="1:3" x14ac:dyDescent="0.25">
      <c r="A4214">
        <v>243142</v>
      </c>
      <c r="B4214" t="s">
        <v>2</v>
      </c>
      <c r="C4214" t="str">
        <f>LEFT(Table4[[#This Row],[Policy Type]],1)</f>
        <v>1</v>
      </c>
    </row>
    <row r="4215" spans="1:3" x14ac:dyDescent="0.25">
      <c r="A4215">
        <v>243156</v>
      </c>
      <c r="B4215" t="s">
        <v>3</v>
      </c>
      <c r="C4215" t="str">
        <f>LEFT(Table4[[#This Row],[Policy Type]],1)</f>
        <v>2</v>
      </c>
    </row>
    <row r="4216" spans="1:3" x14ac:dyDescent="0.25">
      <c r="A4216">
        <v>243170</v>
      </c>
      <c r="B4216" t="s">
        <v>3</v>
      </c>
      <c r="C4216" t="str">
        <f>LEFT(Table4[[#This Row],[Policy Type]],1)</f>
        <v>2</v>
      </c>
    </row>
    <row r="4217" spans="1:3" x14ac:dyDescent="0.25">
      <c r="A4217">
        <v>243176</v>
      </c>
      <c r="B4217" t="s">
        <v>3</v>
      </c>
      <c r="C4217" t="str">
        <f>LEFT(Table4[[#This Row],[Policy Type]],1)</f>
        <v>2</v>
      </c>
    </row>
    <row r="4218" spans="1:3" x14ac:dyDescent="0.25">
      <c r="A4218">
        <v>242859</v>
      </c>
      <c r="B4218" t="s">
        <v>2</v>
      </c>
      <c r="C4218" t="str">
        <f>LEFT(Table4[[#This Row],[Policy Type]],1)</f>
        <v>1</v>
      </c>
    </row>
    <row r="4219" spans="1:3" x14ac:dyDescent="0.25">
      <c r="A4219">
        <v>242867</v>
      </c>
      <c r="B4219" t="s">
        <v>3</v>
      </c>
      <c r="C4219" t="str">
        <f>LEFT(Table4[[#This Row],[Policy Type]],1)</f>
        <v>2</v>
      </c>
    </row>
    <row r="4220" spans="1:3" x14ac:dyDescent="0.25">
      <c r="A4220">
        <v>242887</v>
      </c>
      <c r="B4220" t="s">
        <v>3</v>
      </c>
      <c r="C4220" t="str">
        <f>LEFT(Table4[[#This Row],[Policy Type]],1)</f>
        <v>2</v>
      </c>
    </row>
    <row r="4221" spans="1:3" x14ac:dyDescent="0.25">
      <c r="A4221">
        <v>242890</v>
      </c>
      <c r="B4221" t="s">
        <v>2</v>
      </c>
      <c r="C4221" t="str">
        <f>LEFT(Table4[[#This Row],[Policy Type]],1)</f>
        <v>1</v>
      </c>
    </row>
    <row r="4222" spans="1:3" x14ac:dyDescent="0.25">
      <c r="A4222">
        <v>242895</v>
      </c>
      <c r="B4222" t="s">
        <v>3</v>
      </c>
      <c r="C4222" t="str">
        <f>LEFT(Table4[[#This Row],[Policy Type]],1)</f>
        <v>2</v>
      </c>
    </row>
    <row r="4223" spans="1:3" x14ac:dyDescent="0.25">
      <c r="A4223">
        <v>242933</v>
      </c>
      <c r="B4223" t="s">
        <v>3</v>
      </c>
      <c r="C4223" t="str">
        <f>LEFT(Table4[[#This Row],[Policy Type]],1)</f>
        <v>2</v>
      </c>
    </row>
    <row r="4224" spans="1:3" x14ac:dyDescent="0.25">
      <c r="A4224">
        <v>242936</v>
      </c>
      <c r="B4224" t="s">
        <v>3</v>
      </c>
      <c r="C4224" t="str">
        <f>LEFT(Table4[[#This Row],[Policy Type]],1)</f>
        <v>2</v>
      </c>
    </row>
    <row r="4225" spans="1:3" x14ac:dyDescent="0.25">
      <c r="A4225">
        <v>243209</v>
      </c>
      <c r="B4225" t="s">
        <v>3</v>
      </c>
      <c r="C4225" t="str">
        <f>LEFT(Table4[[#This Row],[Policy Type]],1)</f>
        <v>2</v>
      </c>
    </row>
    <row r="4226" spans="1:3" x14ac:dyDescent="0.25">
      <c r="A4226">
        <v>243223</v>
      </c>
      <c r="B4226" t="s">
        <v>3</v>
      </c>
      <c r="C4226" t="str">
        <f>LEFT(Table4[[#This Row],[Policy Type]],1)</f>
        <v>2</v>
      </c>
    </row>
    <row r="4227" spans="1:3" x14ac:dyDescent="0.25">
      <c r="A4227">
        <v>243243</v>
      </c>
      <c r="B4227" t="s">
        <v>2</v>
      </c>
      <c r="C4227" t="str">
        <f>LEFT(Table4[[#This Row],[Policy Type]],1)</f>
        <v>1</v>
      </c>
    </row>
    <row r="4228" spans="1:3" x14ac:dyDescent="0.25">
      <c r="A4228">
        <v>243273</v>
      </c>
      <c r="B4228" t="s">
        <v>3</v>
      </c>
      <c r="C4228" t="str">
        <f>LEFT(Table4[[#This Row],[Policy Type]],1)</f>
        <v>2</v>
      </c>
    </row>
    <row r="4229" spans="1:3" x14ac:dyDescent="0.25">
      <c r="A4229">
        <v>243282</v>
      </c>
      <c r="B4229" t="s">
        <v>3</v>
      </c>
      <c r="C4229" t="str">
        <f>LEFT(Table4[[#This Row],[Policy Type]],1)</f>
        <v>2</v>
      </c>
    </row>
    <row r="4230" spans="1:3" x14ac:dyDescent="0.25">
      <c r="A4230">
        <v>243313</v>
      </c>
      <c r="B4230" t="s">
        <v>3</v>
      </c>
      <c r="C4230" t="str">
        <f>LEFT(Table4[[#This Row],[Policy Type]],1)</f>
        <v>2</v>
      </c>
    </row>
    <row r="4231" spans="1:3" x14ac:dyDescent="0.25">
      <c r="A4231">
        <v>243317</v>
      </c>
      <c r="B4231" t="s">
        <v>2</v>
      </c>
      <c r="C4231" t="str">
        <f>LEFT(Table4[[#This Row],[Policy Type]],1)</f>
        <v>1</v>
      </c>
    </row>
    <row r="4232" spans="1:3" x14ac:dyDescent="0.25">
      <c r="A4232">
        <v>243373</v>
      </c>
      <c r="B4232" t="s">
        <v>2</v>
      </c>
      <c r="C4232" t="str">
        <f>LEFT(Table4[[#This Row],[Policy Type]],1)</f>
        <v>1</v>
      </c>
    </row>
    <row r="4233" spans="1:3" x14ac:dyDescent="0.25">
      <c r="A4233">
        <v>243418</v>
      </c>
      <c r="B4233" t="s">
        <v>2</v>
      </c>
      <c r="C4233" t="str">
        <f>LEFT(Table4[[#This Row],[Policy Type]],1)</f>
        <v>1</v>
      </c>
    </row>
    <row r="4234" spans="1:3" x14ac:dyDescent="0.25">
      <c r="A4234">
        <v>243449</v>
      </c>
      <c r="B4234" t="s">
        <v>2</v>
      </c>
      <c r="C4234" t="str">
        <f>LEFT(Table4[[#This Row],[Policy Type]],1)</f>
        <v>1</v>
      </c>
    </row>
    <row r="4235" spans="1:3" x14ac:dyDescent="0.25">
      <c r="A4235">
        <v>243460</v>
      </c>
      <c r="B4235" t="s">
        <v>3</v>
      </c>
      <c r="C4235" t="str">
        <f>LEFT(Table4[[#This Row],[Policy Type]],1)</f>
        <v>2</v>
      </c>
    </row>
    <row r="4236" spans="1:3" x14ac:dyDescent="0.25">
      <c r="A4236">
        <v>243473</v>
      </c>
      <c r="B4236" t="s">
        <v>3</v>
      </c>
      <c r="C4236" t="str">
        <f>LEFT(Table4[[#This Row],[Policy Type]],1)</f>
        <v>2</v>
      </c>
    </row>
    <row r="4237" spans="1:3" x14ac:dyDescent="0.25">
      <c r="A4237">
        <v>243544</v>
      </c>
      <c r="B4237" t="s">
        <v>3</v>
      </c>
      <c r="C4237" t="str">
        <f>LEFT(Table4[[#This Row],[Policy Type]],1)</f>
        <v>2</v>
      </c>
    </row>
    <row r="4238" spans="1:3" x14ac:dyDescent="0.25">
      <c r="A4238">
        <v>243559</v>
      </c>
      <c r="B4238" t="s">
        <v>3</v>
      </c>
      <c r="C4238" t="str">
        <f>LEFT(Table4[[#This Row],[Policy Type]],1)</f>
        <v>2</v>
      </c>
    </row>
    <row r="4239" spans="1:3" x14ac:dyDescent="0.25">
      <c r="A4239">
        <v>243565</v>
      </c>
      <c r="B4239" t="s">
        <v>2</v>
      </c>
      <c r="C4239" t="str">
        <f>LEFT(Table4[[#This Row],[Policy Type]],1)</f>
        <v>1</v>
      </c>
    </row>
    <row r="4240" spans="1:3" x14ac:dyDescent="0.25">
      <c r="A4240">
        <v>243567</v>
      </c>
      <c r="B4240" t="s">
        <v>3</v>
      </c>
      <c r="C4240" t="str">
        <f>LEFT(Table4[[#This Row],[Policy Type]],1)</f>
        <v>2</v>
      </c>
    </row>
    <row r="4241" spans="1:3" x14ac:dyDescent="0.25">
      <c r="A4241">
        <v>243603</v>
      </c>
      <c r="B4241" t="s">
        <v>3</v>
      </c>
      <c r="C4241" t="str">
        <f>LEFT(Table4[[#This Row],[Policy Type]],1)</f>
        <v>2</v>
      </c>
    </row>
    <row r="4242" spans="1:3" x14ac:dyDescent="0.25">
      <c r="A4242">
        <v>243670</v>
      </c>
      <c r="B4242" t="s">
        <v>2</v>
      </c>
      <c r="C4242" t="str">
        <f>LEFT(Table4[[#This Row],[Policy Type]],1)</f>
        <v>1</v>
      </c>
    </row>
    <row r="4243" spans="1:3" x14ac:dyDescent="0.25">
      <c r="A4243">
        <v>243677</v>
      </c>
      <c r="B4243" t="s">
        <v>3</v>
      </c>
      <c r="C4243" t="str">
        <f>LEFT(Table4[[#This Row],[Policy Type]],1)</f>
        <v>2</v>
      </c>
    </row>
    <row r="4244" spans="1:3" x14ac:dyDescent="0.25">
      <c r="A4244">
        <v>243715</v>
      </c>
      <c r="B4244" t="s">
        <v>2</v>
      </c>
      <c r="C4244" t="str">
        <f>LEFT(Table4[[#This Row],[Policy Type]],1)</f>
        <v>1</v>
      </c>
    </row>
    <row r="4245" spans="1:3" x14ac:dyDescent="0.25">
      <c r="A4245">
        <v>243758</v>
      </c>
      <c r="B4245" t="s">
        <v>2</v>
      </c>
      <c r="C4245" t="str">
        <f>LEFT(Table4[[#This Row],[Policy Type]],1)</f>
        <v>1</v>
      </c>
    </row>
    <row r="4246" spans="1:3" x14ac:dyDescent="0.25">
      <c r="A4246">
        <v>243779</v>
      </c>
      <c r="B4246" t="s">
        <v>2</v>
      </c>
      <c r="C4246" t="str">
        <f>LEFT(Table4[[#This Row],[Policy Type]],1)</f>
        <v>1</v>
      </c>
    </row>
    <row r="4247" spans="1:3" x14ac:dyDescent="0.25">
      <c r="A4247">
        <v>243798</v>
      </c>
      <c r="B4247" t="s">
        <v>2</v>
      </c>
      <c r="C4247" t="str">
        <f>LEFT(Table4[[#This Row],[Policy Type]],1)</f>
        <v>1</v>
      </c>
    </row>
    <row r="4248" spans="1:3" x14ac:dyDescent="0.25">
      <c r="A4248">
        <v>243810</v>
      </c>
      <c r="B4248" t="s">
        <v>3</v>
      </c>
      <c r="C4248" t="str">
        <f>LEFT(Table4[[#This Row],[Policy Type]],1)</f>
        <v>2</v>
      </c>
    </row>
    <row r="4249" spans="1:3" x14ac:dyDescent="0.25">
      <c r="A4249">
        <v>243874</v>
      </c>
      <c r="B4249" t="s">
        <v>2</v>
      </c>
      <c r="C4249" t="str">
        <f>LEFT(Table4[[#This Row],[Policy Type]],1)</f>
        <v>1</v>
      </c>
    </row>
    <row r="4250" spans="1:3" x14ac:dyDescent="0.25">
      <c r="A4250">
        <v>243875</v>
      </c>
      <c r="B4250" t="s">
        <v>3</v>
      </c>
      <c r="C4250" t="str">
        <f>LEFT(Table4[[#This Row],[Policy Type]],1)</f>
        <v>2</v>
      </c>
    </row>
    <row r="4251" spans="1:3" x14ac:dyDescent="0.25">
      <c r="A4251">
        <v>243876</v>
      </c>
      <c r="B4251" t="s">
        <v>2</v>
      </c>
      <c r="C4251" t="str">
        <f>LEFT(Table4[[#This Row],[Policy Type]],1)</f>
        <v>1</v>
      </c>
    </row>
    <row r="4252" spans="1:3" x14ac:dyDescent="0.25">
      <c r="A4252">
        <v>243899</v>
      </c>
      <c r="B4252" t="s">
        <v>2</v>
      </c>
      <c r="C4252" t="str">
        <f>LEFT(Table4[[#This Row],[Policy Type]],1)</f>
        <v>1</v>
      </c>
    </row>
    <row r="4253" spans="1:3" x14ac:dyDescent="0.25">
      <c r="A4253">
        <v>243930</v>
      </c>
      <c r="B4253" t="s">
        <v>2</v>
      </c>
      <c r="C4253" t="str">
        <f>LEFT(Table4[[#This Row],[Policy Type]],1)</f>
        <v>1</v>
      </c>
    </row>
    <row r="4254" spans="1:3" x14ac:dyDescent="0.25">
      <c r="A4254">
        <v>243974</v>
      </c>
      <c r="B4254" t="s">
        <v>3</v>
      </c>
      <c r="C4254" t="str">
        <f>LEFT(Table4[[#This Row],[Policy Type]],1)</f>
        <v>2</v>
      </c>
    </row>
    <row r="4255" spans="1:3" x14ac:dyDescent="0.25">
      <c r="A4255">
        <v>244005</v>
      </c>
      <c r="B4255" t="s">
        <v>3</v>
      </c>
      <c r="C4255" t="str">
        <f>LEFT(Table4[[#This Row],[Policy Type]],1)</f>
        <v>2</v>
      </c>
    </row>
    <row r="4256" spans="1:3" x14ac:dyDescent="0.25">
      <c r="A4256">
        <v>244025</v>
      </c>
      <c r="B4256" t="s">
        <v>2</v>
      </c>
      <c r="C4256" t="str">
        <f>LEFT(Table4[[#This Row],[Policy Type]],1)</f>
        <v>1</v>
      </c>
    </row>
    <row r="4257" spans="1:3" x14ac:dyDescent="0.25">
      <c r="A4257">
        <v>244026</v>
      </c>
      <c r="B4257" t="s">
        <v>3</v>
      </c>
      <c r="C4257" t="str">
        <f>LEFT(Table4[[#This Row],[Policy Type]],1)</f>
        <v>2</v>
      </c>
    </row>
    <row r="4258" spans="1:3" x14ac:dyDescent="0.25">
      <c r="A4258">
        <v>244078</v>
      </c>
      <c r="B4258" t="s">
        <v>2</v>
      </c>
      <c r="C4258" t="str">
        <f>LEFT(Table4[[#This Row],[Policy Type]],1)</f>
        <v>1</v>
      </c>
    </row>
    <row r="4259" spans="1:3" x14ac:dyDescent="0.25">
      <c r="A4259">
        <v>244105</v>
      </c>
      <c r="B4259" t="s">
        <v>3</v>
      </c>
      <c r="C4259" t="str">
        <f>LEFT(Table4[[#This Row],[Policy Type]],1)</f>
        <v>2</v>
      </c>
    </row>
    <row r="4260" spans="1:3" x14ac:dyDescent="0.25">
      <c r="A4260">
        <v>244136</v>
      </c>
      <c r="B4260" t="s">
        <v>2</v>
      </c>
      <c r="C4260" t="str">
        <f>LEFT(Table4[[#This Row],[Policy Type]],1)</f>
        <v>1</v>
      </c>
    </row>
    <row r="4261" spans="1:3" x14ac:dyDescent="0.25">
      <c r="A4261">
        <v>244141</v>
      </c>
      <c r="B4261" t="s">
        <v>3</v>
      </c>
      <c r="C4261" t="str">
        <f>LEFT(Table4[[#This Row],[Policy Type]],1)</f>
        <v>2</v>
      </c>
    </row>
    <row r="4262" spans="1:3" x14ac:dyDescent="0.25">
      <c r="A4262">
        <v>244153</v>
      </c>
      <c r="B4262" t="s">
        <v>3</v>
      </c>
      <c r="C4262" t="str">
        <f>LEFT(Table4[[#This Row],[Policy Type]],1)</f>
        <v>2</v>
      </c>
    </row>
    <row r="4263" spans="1:3" x14ac:dyDescent="0.25">
      <c r="A4263">
        <v>244191</v>
      </c>
      <c r="B4263" t="s">
        <v>2</v>
      </c>
      <c r="C4263" t="str">
        <f>LEFT(Table4[[#This Row],[Policy Type]],1)</f>
        <v>1</v>
      </c>
    </row>
    <row r="4264" spans="1:3" x14ac:dyDescent="0.25">
      <c r="A4264">
        <v>244217</v>
      </c>
      <c r="B4264" t="s">
        <v>3</v>
      </c>
      <c r="C4264" t="str">
        <f>LEFT(Table4[[#This Row],[Policy Type]],1)</f>
        <v>2</v>
      </c>
    </row>
    <row r="4265" spans="1:3" x14ac:dyDescent="0.25">
      <c r="A4265">
        <v>244234</v>
      </c>
      <c r="B4265" t="s">
        <v>2</v>
      </c>
      <c r="C4265" t="str">
        <f>LEFT(Table4[[#This Row],[Policy Type]],1)</f>
        <v>1</v>
      </c>
    </row>
    <row r="4266" spans="1:3" x14ac:dyDescent="0.25">
      <c r="A4266">
        <v>244260</v>
      </c>
      <c r="B4266" t="s">
        <v>3</v>
      </c>
      <c r="C4266" t="str">
        <f>LEFT(Table4[[#This Row],[Policy Type]],1)</f>
        <v>2</v>
      </c>
    </row>
    <row r="4267" spans="1:3" x14ac:dyDescent="0.25">
      <c r="A4267">
        <v>244269</v>
      </c>
      <c r="B4267" t="s">
        <v>3</v>
      </c>
      <c r="C4267" t="str">
        <f>LEFT(Table4[[#This Row],[Policy Type]],1)</f>
        <v>2</v>
      </c>
    </row>
    <row r="4268" spans="1:3" x14ac:dyDescent="0.25">
      <c r="A4268">
        <v>244288</v>
      </c>
      <c r="B4268" t="s">
        <v>2</v>
      </c>
      <c r="C4268" t="str">
        <f>LEFT(Table4[[#This Row],[Policy Type]],1)</f>
        <v>1</v>
      </c>
    </row>
    <row r="4269" spans="1:3" x14ac:dyDescent="0.25">
      <c r="A4269">
        <v>244327</v>
      </c>
      <c r="B4269" t="s">
        <v>3</v>
      </c>
      <c r="C4269" t="str">
        <f>LEFT(Table4[[#This Row],[Policy Type]],1)</f>
        <v>2</v>
      </c>
    </row>
    <row r="4270" spans="1:3" x14ac:dyDescent="0.25">
      <c r="A4270">
        <v>244343</v>
      </c>
      <c r="B4270" t="s">
        <v>2</v>
      </c>
      <c r="C4270" t="str">
        <f>LEFT(Table4[[#This Row],[Policy Type]],1)</f>
        <v>1</v>
      </c>
    </row>
    <row r="4271" spans="1:3" x14ac:dyDescent="0.25">
      <c r="A4271">
        <v>244396</v>
      </c>
      <c r="B4271" t="s">
        <v>3</v>
      </c>
      <c r="C4271" t="str">
        <f>LEFT(Table4[[#This Row],[Policy Type]],1)</f>
        <v>2</v>
      </c>
    </row>
    <row r="4272" spans="1:3" x14ac:dyDescent="0.25">
      <c r="A4272">
        <v>244418</v>
      </c>
      <c r="B4272" t="s">
        <v>3</v>
      </c>
      <c r="C4272" t="str">
        <f>LEFT(Table4[[#This Row],[Policy Type]],1)</f>
        <v>2</v>
      </c>
    </row>
    <row r="4273" spans="1:3" x14ac:dyDescent="0.25">
      <c r="A4273">
        <v>244430</v>
      </c>
      <c r="B4273" t="s">
        <v>2</v>
      </c>
      <c r="C4273" t="str">
        <f>LEFT(Table4[[#This Row],[Policy Type]],1)</f>
        <v>1</v>
      </c>
    </row>
    <row r="4274" spans="1:3" x14ac:dyDescent="0.25">
      <c r="A4274">
        <v>244457</v>
      </c>
      <c r="B4274" t="s">
        <v>2</v>
      </c>
      <c r="C4274" t="str">
        <f>LEFT(Table4[[#This Row],[Policy Type]],1)</f>
        <v>1</v>
      </c>
    </row>
    <row r="4275" spans="1:3" x14ac:dyDescent="0.25">
      <c r="A4275">
        <v>244459</v>
      </c>
      <c r="B4275" t="s">
        <v>3</v>
      </c>
      <c r="C4275" t="str">
        <f>LEFT(Table4[[#This Row],[Policy Type]],1)</f>
        <v>2</v>
      </c>
    </row>
    <row r="4276" spans="1:3" x14ac:dyDescent="0.25">
      <c r="A4276">
        <v>244471</v>
      </c>
      <c r="B4276" t="s">
        <v>3</v>
      </c>
      <c r="C4276" t="str">
        <f>LEFT(Table4[[#This Row],[Policy Type]],1)</f>
        <v>2</v>
      </c>
    </row>
    <row r="4277" spans="1:3" x14ac:dyDescent="0.25">
      <c r="A4277">
        <v>244472</v>
      </c>
      <c r="B4277" t="s">
        <v>3</v>
      </c>
      <c r="C4277" t="str">
        <f>LEFT(Table4[[#This Row],[Policy Type]],1)</f>
        <v>2</v>
      </c>
    </row>
    <row r="4278" spans="1:3" x14ac:dyDescent="0.25">
      <c r="A4278">
        <v>244503</v>
      </c>
      <c r="B4278" t="s">
        <v>3</v>
      </c>
      <c r="C4278" t="str">
        <f>LEFT(Table4[[#This Row],[Policy Type]],1)</f>
        <v>2</v>
      </c>
    </row>
    <row r="4279" spans="1:3" x14ac:dyDescent="0.25">
      <c r="A4279">
        <v>244514</v>
      </c>
      <c r="B4279" t="s">
        <v>2</v>
      </c>
      <c r="C4279" t="str">
        <f>LEFT(Table4[[#This Row],[Policy Type]],1)</f>
        <v>1</v>
      </c>
    </row>
    <row r="4280" spans="1:3" x14ac:dyDescent="0.25">
      <c r="A4280">
        <v>244532</v>
      </c>
      <c r="B4280" t="s">
        <v>2</v>
      </c>
      <c r="C4280" t="str">
        <f>LEFT(Table4[[#This Row],[Policy Type]],1)</f>
        <v>1</v>
      </c>
    </row>
    <row r="4281" spans="1:3" x14ac:dyDescent="0.25">
      <c r="A4281">
        <v>244540</v>
      </c>
      <c r="B4281" t="s">
        <v>2</v>
      </c>
      <c r="C4281" t="str">
        <f>LEFT(Table4[[#This Row],[Policy Type]],1)</f>
        <v>1</v>
      </c>
    </row>
    <row r="4282" spans="1:3" x14ac:dyDescent="0.25">
      <c r="A4282">
        <v>244550</v>
      </c>
      <c r="B4282" t="s">
        <v>3</v>
      </c>
      <c r="C4282" t="str">
        <f>LEFT(Table4[[#This Row],[Policy Type]],1)</f>
        <v>2</v>
      </c>
    </row>
    <row r="4283" spans="1:3" x14ac:dyDescent="0.25">
      <c r="A4283">
        <v>244577</v>
      </c>
      <c r="B4283" t="s">
        <v>3</v>
      </c>
      <c r="C4283" t="str">
        <f>LEFT(Table4[[#This Row],[Policy Type]],1)</f>
        <v>2</v>
      </c>
    </row>
    <row r="4284" spans="1:3" x14ac:dyDescent="0.25">
      <c r="A4284">
        <v>244609</v>
      </c>
      <c r="B4284" t="s">
        <v>3</v>
      </c>
      <c r="C4284" t="str">
        <f>LEFT(Table4[[#This Row],[Policy Type]],1)</f>
        <v>2</v>
      </c>
    </row>
    <row r="4285" spans="1:3" x14ac:dyDescent="0.25">
      <c r="A4285">
        <v>244634</v>
      </c>
      <c r="B4285" t="s">
        <v>2</v>
      </c>
      <c r="C4285" t="str">
        <f>LEFT(Table4[[#This Row],[Policy Type]],1)</f>
        <v>1</v>
      </c>
    </row>
    <row r="4286" spans="1:3" x14ac:dyDescent="0.25">
      <c r="A4286">
        <v>244642</v>
      </c>
      <c r="B4286" t="s">
        <v>2</v>
      </c>
      <c r="C4286" t="str">
        <f>LEFT(Table4[[#This Row],[Policy Type]],1)</f>
        <v>1</v>
      </c>
    </row>
    <row r="4287" spans="1:3" x14ac:dyDescent="0.25">
      <c r="A4287">
        <v>244651</v>
      </c>
      <c r="B4287" t="s">
        <v>3</v>
      </c>
      <c r="C4287" t="str">
        <f>LEFT(Table4[[#This Row],[Policy Type]],1)</f>
        <v>2</v>
      </c>
    </row>
    <row r="4288" spans="1:3" x14ac:dyDescent="0.25">
      <c r="A4288">
        <v>244657</v>
      </c>
      <c r="B4288" t="s">
        <v>2</v>
      </c>
      <c r="C4288" t="str">
        <f>LEFT(Table4[[#This Row],[Policy Type]],1)</f>
        <v>1</v>
      </c>
    </row>
    <row r="4289" spans="1:3" x14ac:dyDescent="0.25">
      <c r="A4289">
        <v>244669</v>
      </c>
      <c r="B4289" t="s">
        <v>3</v>
      </c>
      <c r="C4289" t="str">
        <f>LEFT(Table4[[#This Row],[Policy Type]],1)</f>
        <v>2</v>
      </c>
    </row>
    <row r="4290" spans="1:3" x14ac:dyDescent="0.25">
      <c r="A4290">
        <v>244704</v>
      </c>
      <c r="B4290" t="s">
        <v>3</v>
      </c>
      <c r="C4290" t="str">
        <f>LEFT(Table4[[#This Row],[Policy Type]],1)</f>
        <v>2</v>
      </c>
    </row>
    <row r="4291" spans="1:3" x14ac:dyDescent="0.25">
      <c r="A4291">
        <v>244711</v>
      </c>
      <c r="B4291" t="s">
        <v>2</v>
      </c>
      <c r="C4291" t="str">
        <f>LEFT(Table4[[#This Row],[Policy Type]],1)</f>
        <v>1</v>
      </c>
    </row>
    <row r="4292" spans="1:3" x14ac:dyDescent="0.25">
      <c r="A4292">
        <v>244788</v>
      </c>
      <c r="B4292" t="s">
        <v>2</v>
      </c>
      <c r="C4292" t="str">
        <f>LEFT(Table4[[#This Row],[Policy Type]],1)</f>
        <v>1</v>
      </c>
    </row>
    <row r="4293" spans="1:3" x14ac:dyDescent="0.25">
      <c r="A4293">
        <v>244792</v>
      </c>
      <c r="B4293" t="s">
        <v>2</v>
      </c>
      <c r="C4293" t="str">
        <f>LEFT(Table4[[#This Row],[Policy Type]],1)</f>
        <v>1</v>
      </c>
    </row>
    <row r="4294" spans="1:3" x14ac:dyDescent="0.25">
      <c r="A4294">
        <v>244800</v>
      </c>
      <c r="B4294" t="s">
        <v>3</v>
      </c>
      <c r="C4294" t="str">
        <f>LEFT(Table4[[#This Row],[Policy Type]],1)</f>
        <v>2</v>
      </c>
    </row>
    <row r="4295" spans="1:3" x14ac:dyDescent="0.25">
      <c r="A4295">
        <v>244807</v>
      </c>
      <c r="B4295" t="s">
        <v>3</v>
      </c>
      <c r="C4295" t="str">
        <f>LEFT(Table4[[#This Row],[Policy Type]],1)</f>
        <v>2</v>
      </c>
    </row>
    <row r="4296" spans="1:3" x14ac:dyDescent="0.25">
      <c r="A4296">
        <v>244813</v>
      </c>
      <c r="B4296" t="s">
        <v>2</v>
      </c>
      <c r="C4296" t="str">
        <f>LEFT(Table4[[#This Row],[Policy Type]],1)</f>
        <v>1</v>
      </c>
    </row>
    <row r="4297" spans="1:3" x14ac:dyDescent="0.25">
      <c r="A4297">
        <v>244838</v>
      </c>
      <c r="B4297" t="s">
        <v>3</v>
      </c>
      <c r="C4297" t="str">
        <f>LEFT(Table4[[#This Row],[Policy Type]],1)</f>
        <v>2</v>
      </c>
    </row>
    <row r="4298" spans="1:3" x14ac:dyDescent="0.25">
      <c r="A4298">
        <v>244854</v>
      </c>
      <c r="B4298" t="s">
        <v>3</v>
      </c>
      <c r="C4298" t="str">
        <f>LEFT(Table4[[#This Row],[Policy Type]],1)</f>
        <v>2</v>
      </c>
    </row>
    <row r="4299" spans="1:3" x14ac:dyDescent="0.25">
      <c r="A4299">
        <v>244858</v>
      </c>
      <c r="B4299" t="s">
        <v>3</v>
      </c>
      <c r="C4299" t="str">
        <f>LEFT(Table4[[#This Row],[Policy Type]],1)</f>
        <v>2</v>
      </c>
    </row>
    <row r="4300" spans="1:3" x14ac:dyDescent="0.25">
      <c r="A4300">
        <v>244870</v>
      </c>
      <c r="B4300" t="s">
        <v>3</v>
      </c>
      <c r="C4300" t="str">
        <f>LEFT(Table4[[#This Row],[Policy Type]],1)</f>
        <v>2</v>
      </c>
    </row>
    <row r="4301" spans="1:3" x14ac:dyDescent="0.25">
      <c r="A4301">
        <v>244882</v>
      </c>
      <c r="B4301" t="s">
        <v>3</v>
      </c>
      <c r="C4301" t="str">
        <f>LEFT(Table4[[#This Row],[Policy Type]],1)</f>
        <v>2</v>
      </c>
    </row>
    <row r="4302" spans="1:3" x14ac:dyDescent="0.25">
      <c r="A4302">
        <v>244900</v>
      </c>
      <c r="B4302" t="s">
        <v>2</v>
      </c>
      <c r="C4302" t="str">
        <f>LEFT(Table4[[#This Row],[Policy Type]],1)</f>
        <v>1</v>
      </c>
    </row>
    <row r="4303" spans="1:3" x14ac:dyDescent="0.25">
      <c r="A4303">
        <v>244909</v>
      </c>
      <c r="B4303" t="s">
        <v>3</v>
      </c>
      <c r="C4303" t="str">
        <f>LEFT(Table4[[#This Row],[Policy Type]],1)</f>
        <v>2</v>
      </c>
    </row>
    <row r="4304" spans="1:3" x14ac:dyDescent="0.25">
      <c r="A4304">
        <v>245009</v>
      </c>
      <c r="B4304" t="s">
        <v>3</v>
      </c>
      <c r="C4304" t="str">
        <f>LEFT(Table4[[#This Row],[Policy Type]],1)</f>
        <v>2</v>
      </c>
    </row>
    <row r="4305" spans="1:3" x14ac:dyDescent="0.25">
      <c r="A4305">
        <v>245026</v>
      </c>
      <c r="B4305" t="s">
        <v>3</v>
      </c>
      <c r="C4305" t="str">
        <f>LEFT(Table4[[#This Row],[Policy Type]],1)</f>
        <v>2</v>
      </c>
    </row>
    <row r="4306" spans="1:3" x14ac:dyDescent="0.25">
      <c r="A4306">
        <v>245030</v>
      </c>
      <c r="B4306" t="s">
        <v>2</v>
      </c>
      <c r="C4306" t="str">
        <f>LEFT(Table4[[#This Row],[Policy Type]],1)</f>
        <v>1</v>
      </c>
    </row>
    <row r="4307" spans="1:3" x14ac:dyDescent="0.25">
      <c r="A4307">
        <v>245047</v>
      </c>
      <c r="B4307" t="s">
        <v>2</v>
      </c>
      <c r="C4307" t="str">
        <f>LEFT(Table4[[#This Row],[Policy Type]],1)</f>
        <v>1</v>
      </c>
    </row>
    <row r="4308" spans="1:3" x14ac:dyDescent="0.25">
      <c r="A4308">
        <v>245061</v>
      </c>
      <c r="B4308" t="s">
        <v>2</v>
      </c>
      <c r="C4308" t="str">
        <f>LEFT(Table4[[#This Row],[Policy Type]],1)</f>
        <v>1</v>
      </c>
    </row>
    <row r="4309" spans="1:3" x14ac:dyDescent="0.25">
      <c r="A4309">
        <v>245071</v>
      </c>
      <c r="B4309" t="s">
        <v>2</v>
      </c>
      <c r="C4309" t="str">
        <f>LEFT(Table4[[#This Row],[Policy Type]],1)</f>
        <v>1</v>
      </c>
    </row>
    <row r="4310" spans="1:3" x14ac:dyDescent="0.25">
      <c r="A4310">
        <v>245120</v>
      </c>
      <c r="B4310" t="s">
        <v>3</v>
      </c>
      <c r="C4310" t="str">
        <f>LEFT(Table4[[#This Row],[Policy Type]],1)</f>
        <v>2</v>
      </c>
    </row>
    <row r="4311" spans="1:3" x14ac:dyDescent="0.25">
      <c r="A4311">
        <v>245123</v>
      </c>
      <c r="B4311" t="s">
        <v>3</v>
      </c>
      <c r="C4311" t="str">
        <f>LEFT(Table4[[#This Row],[Policy Type]],1)</f>
        <v>2</v>
      </c>
    </row>
    <row r="4312" spans="1:3" x14ac:dyDescent="0.25">
      <c r="A4312">
        <v>245131</v>
      </c>
      <c r="B4312" t="s">
        <v>2</v>
      </c>
      <c r="C4312" t="str">
        <f>LEFT(Table4[[#This Row],[Policy Type]],1)</f>
        <v>1</v>
      </c>
    </row>
    <row r="4313" spans="1:3" x14ac:dyDescent="0.25">
      <c r="A4313">
        <v>245135</v>
      </c>
      <c r="B4313" t="s">
        <v>3</v>
      </c>
      <c r="C4313" t="str">
        <f>LEFT(Table4[[#This Row],[Policy Type]],1)</f>
        <v>2</v>
      </c>
    </row>
    <row r="4314" spans="1:3" x14ac:dyDescent="0.25">
      <c r="A4314">
        <v>245139</v>
      </c>
      <c r="B4314" t="s">
        <v>2</v>
      </c>
      <c r="C4314" t="str">
        <f>LEFT(Table4[[#This Row],[Policy Type]],1)</f>
        <v>1</v>
      </c>
    </row>
    <row r="4315" spans="1:3" x14ac:dyDescent="0.25">
      <c r="A4315">
        <v>245152</v>
      </c>
      <c r="B4315" t="s">
        <v>3</v>
      </c>
      <c r="C4315" t="str">
        <f>LEFT(Table4[[#This Row],[Policy Type]],1)</f>
        <v>2</v>
      </c>
    </row>
    <row r="4316" spans="1:3" x14ac:dyDescent="0.25">
      <c r="A4316">
        <v>245173</v>
      </c>
      <c r="B4316" t="s">
        <v>3</v>
      </c>
      <c r="C4316" t="str">
        <f>LEFT(Table4[[#This Row],[Policy Type]],1)</f>
        <v>2</v>
      </c>
    </row>
    <row r="4317" spans="1:3" x14ac:dyDescent="0.25">
      <c r="A4317">
        <v>245184</v>
      </c>
      <c r="B4317" t="s">
        <v>2</v>
      </c>
      <c r="C4317" t="str">
        <f>LEFT(Table4[[#This Row],[Policy Type]],1)</f>
        <v>1</v>
      </c>
    </row>
    <row r="4318" spans="1:3" x14ac:dyDescent="0.25">
      <c r="A4318">
        <v>245194</v>
      </c>
      <c r="B4318" t="s">
        <v>2</v>
      </c>
      <c r="C4318" t="str">
        <f>LEFT(Table4[[#This Row],[Policy Type]],1)</f>
        <v>1</v>
      </c>
    </row>
    <row r="4319" spans="1:3" x14ac:dyDescent="0.25">
      <c r="A4319">
        <v>245200</v>
      </c>
      <c r="B4319" t="s">
        <v>3</v>
      </c>
      <c r="C4319" t="str">
        <f>LEFT(Table4[[#This Row],[Policy Type]],1)</f>
        <v>2</v>
      </c>
    </row>
    <row r="4320" spans="1:3" x14ac:dyDescent="0.25">
      <c r="A4320">
        <v>245276</v>
      </c>
      <c r="B4320" t="s">
        <v>3</v>
      </c>
      <c r="C4320" t="str">
        <f>LEFT(Table4[[#This Row],[Policy Type]],1)</f>
        <v>2</v>
      </c>
    </row>
    <row r="4321" spans="1:3" x14ac:dyDescent="0.25">
      <c r="A4321">
        <v>245299</v>
      </c>
      <c r="B4321" t="s">
        <v>2</v>
      </c>
      <c r="C4321" t="str">
        <f>LEFT(Table4[[#This Row],[Policy Type]],1)</f>
        <v>1</v>
      </c>
    </row>
    <row r="4322" spans="1:3" x14ac:dyDescent="0.25">
      <c r="A4322">
        <v>245320</v>
      </c>
      <c r="B4322" t="s">
        <v>2</v>
      </c>
      <c r="C4322" t="str">
        <f>LEFT(Table4[[#This Row],[Policy Type]],1)</f>
        <v>1</v>
      </c>
    </row>
    <row r="4323" spans="1:3" x14ac:dyDescent="0.25">
      <c r="A4323">
        <v>245338</v>
      </c>
      <c r="B4323" t="s">
        <v>3</v>
      </c>
      <c r="C4323" t="str">
        <f>LEFT(Table4[[#This Row],[Policy Type]],1)</f>
        <v>2</v>
      </c>
    </row>
    <row r="4324" spans="1:3" x14ac:dyDescent="0.25">
      <c r="A4324">
        <v>245339</v>
      </c>
      <c r="B4324" t="s">
        <v>3</v>
      </c>
      <c r="C4324" t="str">
        <f>LEFT(Table4[[#This Row],[Policy Type]],1)</f>
        <v>2</v>
      </c>
    </row>
    <row r="4325" spans="1:3" x14ac:dyDescent="0.25">
      <c r="A4325">
        <v>245352</v>
      </c>
      <c r="B4325" t="s">
        <v>3</v>
      </c>
      <c r="C4325" t="str">
        <f>LEFT(Table4[[#This Row],[Policy Type]],1)</f>
        <v>2</v>
      </c>
    </row>
    <row r="4326" spans="1:3" x14ac:dyDescent="0.25">
      <c r="A4326">
        <v>245360</v>
      </c>
      <c r="B4326" t="s">
        <v>2</v>
      </c>
      <c r="C4326" t="str">
        <f>LEFT(Table4[[#This Row],[Policy Type]],1)</f>
        <v>1</v>
      </c>
    </row>
    <row r="4327" spans="1:3" x14ac:dyDescent="0.25">
      <c r="A4327">
        <v>245367</v>
      </c>
      <c r="B4327" t="s">
        <v>2</v>
      </c>
      <c r="C4327" t="str">
        <f>LEFT(Table4[[#This Row],[Policy Type]],1)</f>
        <v>1</v>
      </c>
    </row>
    <row r="4328" spans="1:3" x14ac:dyDescent="0.25">
      <c r="A4328">
        <v>245372</v>
      </c>
      <c r="B4328" t="s">
        <v>2</v>
      </c>
      <c r="C4328" t="str">
        <f>LEFT(Table4[[#This Row],[Policy Type]],1)</f>
        <v>1</v>
      </c>
    </row>
    <row r="4329" spans="1:3" x14ac:dyDescent="0.25">
      <c r="A4329">
        <v>245388</v>
      </c>
      <c r="B4329" t="s">
        <v>3</v>
      </c>
      <c r="C4329" t="str">
        <f>LEFT(Table4[[#This Row],[Policy Type]],1)</f>
        <v>2</v>
      </c>
    </row>
    <row r="4330" spans="1:3" x14ac:dyDescent="0.25">
      <c r="A4330">
        <v>245411</v>
      </c>
      <c r="B4330" t="s">
        <v>2</v>
      </c>
      <c r="C4330" t="str">
        <f>LEFT(Table4[[#This Row],[Policy Type]],1)</f>
        <v>1</v>
      </c>
    </row>
    <row r="4331" spans="1:3" x14ac:dyDescent="0.25">
      <c r="A4331">
        <v>245426</v>
      </c>
      <c r="B4331" t="s">
        <v>2</v>
      </c>
      <c r="C4331" t="str">
        <f>LEFT(Table4[[#This Row],[Policy Type]],1)</f>
        <v>1</v>
      </c>
    </row>
    <row r="4332" spans="1:3" x14ac:dyDescent="0.25">
      <c r="A4332">
        <v>245443</v>
      </c>
      <c r="B4332" t="s">
        <v>3</v>
      </c>
      <c r="C4332" t="str">
        <f>LEFT(Table4[[#This Row],[Policy Type]],1)</f>
        <v>2</v>
      </c>
    </row>
    <row r="4333" spans="1:3" x14ac:dyDescent="0.25">
      <c r="A4333">
        <v>245449</v>
      </c>
      <c r="B4333" t="s">
        <v>2</v>
      </c>
      <c r="C4333" t="str">
        <f>LEFT(Table4[[#This Row],[Policy Type]],1)</f>
        <v>1</v>
      </c>
    </row>
    <row r="4334" spans="1:3" x14ac:dyDescent="0.25">
      <c r="A4334">
        <v>245462</v>
      </c>
      <c r="B4334" t="s">
        <v>3</v>
      </c>
      <c r="C4334" t="str">
        <f>LEFT(Table4[[#This Row],[Policy Type]],1)</f>
        <v>2</v>
      </c>
    </row>
    <row r="4335" spans="1:3" x14ac:dyDescent="0.25">
      <c r="A4335">
        <v>245511</v>
      </c>
      <c r="B4335" t="s">
        <v>2</v>
      </c>
      <c r="C4335" t="str">
        <f>LEFT(Table4[[#This Row],[Policy Type]],1)</f>
        <v>1</v>
      </c>
    </row>
    <row r="4336" spans="1:3" x14ac:dyDescent="0.25">
      <c r="A4336">
        <v>245518</v>
      </c>
      <c r="B4336" t="s">
        <v>2</v>
      </c>
      <c r="C4336" t="str">
        <f>LEFT(Table4[[#This Row],[Policy Type]],1)</f>
        <v>1</v>
      </c>
    </row>
    <row r="4337" spans="1:3" x14ac:dyDescent="0.25">
      <c r="A4337">
        <v>245599</v>
      </c>
      <c r="B4337" t="s">
        <v>2</v>
      </c>
      <c r="C4337" t="str">
        <f>LEFT(Table4[[#This Row],[Policy Type]],1)</f>
        <v>1</v>
      </c>
    </row>
    <row r="4338" spans="1:3" x14ac:dyDescent="0.25">
      <c r="A4338">
        <v>245614</v>
      </c>
      <c r="B4338" t="s">
        <v>3</v>
      </c>
      <c r="C4338" t="str">
        <f>LEFT(Table4[[#This Row],[Policy Type]],1)</f>
        <v>2</v>
      </c>
    </row>
    <row r="4339" spans="1:3" x14ac:dyDescent="0.25">
      <c r="A4339">
        <v>245619</v>
      </c>
      <c r="B4339" t="s">
        <v>2</v>
      </c>
      <c r="C4339" t="str">
        <f>LEFT(Table4[[#This Row],[Policy Type]],1)</f>
        <v>1</v>
      </c>
    </row>
    <row r="4340" spans="1:3" x14ac:dyDescent="0.25">
      <c r="A4340">
        <v>245640</v>
      </c>
      <c r="B4340" t="s">
        <v>2</v>
      </c>
      <c r="C4340" t="str">
        <f>LEFT(Table4[[#This Row],[Policy Type]],1)</f>
        <v>1</v>
      </c>
    </row>
    <row r="4341" spans="1:3" x14ac:dyDescent="0.25">
      <c r="A4341">
        <v>245677</v>
      </c>
      <c r="B4341" t="s">
        <v>3</v>
      </c>
      <c r="C4341" t="str">
        <f>LEFT(Table4[[#This Row],[Policy Type]],1)</f>
        <v>2</v>
      </c>
    </row>
    <row r="4342" spans="1:3" x14ac:dyDescent="0.25">
      <c r="A4342">
        <v>245681</v>
      </c>
      <c r="B4342" t="s">
        <v>3</v>
      </c>
      <c r="C4342" t="str">
        <f>LEFT(Table4[[#This Row],[Policy Type]],1)</f>
        <v>2</v>
      </c>
    </row>
    <row r="4343" spans="1:3" x14ac:dyDescent="0.25">
      <c r="A4343">
        <v>245683</v>
      </c>
      <c r="B4343" t="s">
        <v>2</v>
      </c>
      <c r="C4343" t="str">
        <f>LEFT(Table4[[#This Row],[Policy Type]],1)</f>
        <v>1</v>
      </c>
    </row>
    <row r="4344" spans="1:3" x14ac:dyDescent="0.25">
      <c r="A4344">
        <v>245762</v>
      </c>
      <c r="B4344" t="s">
        <v>2</v>
      </c>
      <c r="C4344" t="str">
        <f>LEFT(Table4[[#This Row],[Policy Type]],1)</f>
        <v>1</v>
      </c>
    </row>
    <row r="4345" spans="1:3" x14ac:dyDescent="0.25">
      <c r="A4345">
        <v>245786</v>
      </c>
      <c r="B4345" t="s">
        <v>3</v>
      </c>
      <c r="C4345" t="str">
        <f>LEFT(Table4[[#This Row],[Policy Type]],1)</f>
        <v>2</v>
      </c>
    </row>
    <row r="4346" spans="1:3" x14ac:dyDescent="0.25">
      <c r="A4346">
        <v>245791</v>
      </c>
      <c r="B4346" t="s">
        <v>2</v>
      </c>
      <c r="C4346" t="str">
        <f>LEFT(Table4[[#This Row],[Policy Type]],1)</f>
        <v>1</v>
      </c>
    </row>
    <row r="4347" spans="1:3" x14ac:dyDescent="0.25">
      <c r="A4347">
        <v>245800</v>
      </c>
      <c r="B4347" t="s">
        <v>3</v>
      </c>
      <c r="C4347" t="str">
        <f>LEFT(Table4[[#This Row],[Policy Type]],1)</f>
        <v>2</v>
      </c>
    </row>
    <row r="4348" spans="1:3" x14ac:dyDescent="0.25">
      <c r="A4348">
        <v>245813</v>
      </c>
      <c r="B4348" t="s">
        <v>3</v>
      </c>
      <c r="C4348" t="str">
        <f>LEFT(Table4[[#This Row],[Policy Type]],1)</f>
        <v>2</v>
      </c>
    </row>
    <row r="4349" spans="1:3" x14ac:dyDescent="0.25">
      <c r="A4349">
        <v>245816</v>
      </c>
      <c r="B4349" t="s">
        <v>2</v>
      </c>
      <c r="C4349" t="str">
        <f>LEFT(Table4[[#This Row],[Policy Type]],1)</f>
        <v>1</v>
      </c>
    </row>
    <row r="4350" spans="1:3" x14ac:dyDescent="0.25">
      <c r="A4350">
        <v>245817</v>
      </c>
      <c r="B4350" t="s">
        <v>3</v>
      </c>
      <c r="C4350" t="str">
        <f>LEFT(Table4[[#This Row],[Policy Type]],1)</f>
        <v>2</v>
      </c>
    </row>
    <row r="4351" spans="1:3" x14ac:dyDescent="0.25">
      <c r="A4351">
        <v>245822</v>
      </c>
      <c r="B4351" t="s">
        <v>2</v>
      </c>
      <c r="C4351" t="str">
        <f>LEFT(Table4[[#This Row],[Policy Type]],1)</f>
        <v>1</v>
      </c>
    </row>
    <row r="4352" spans="1:3" x14ac:dyDescent="0.25">
      <c r="A4352">
        <v>245844</v>
      </c>
      <c r="B4352" t="s">
        <v>3</v>
      </c>
      <c r="C4352" t="str">
        <f>LEFT(Table4[[#This Row],[Policy Type]],1)</f>
        <v>2</v>
      </c>
    </row>
    <row r="4353" spans="1:3" x14ac:dyDescent="0.25">
      <c r="A4353">
        <v>245857</v>
      </c>
      <c r="B4353" t="s">
        <v>2</v>
      </c>
      <c r="C4353" t="str">
        <f>LEFT(Table4[[#This Row],[Policy Type]],1)</f>
        <v>1</v>
      </c>
    </row>
    <row r="4354" spans="1:3" x14ac:dyDescent="0.25">
      <c r="A4354">
        <v>245881</v>
      </c>
      <c r="B4354" t="s">
        <v>3</v>
      </c>
      <c r="C4354" t="str">
        <f>LEFT(Table4[[#This Row],[Policy Type]],1)</f>
        <v>2</v>
      </c>
    </row>
    <row r="4355" spans="1:3" x14ac:dyDescent="0.25">
      <c r="A4355">
        <v>245895</v>
      </c>
      <c r="B4355" t="s">
        <v>3</v>
      </c>
      <c r="C4355" t="str">
        <f>LEFT(Table4[[#This Row],[Policy Type]],1)</f>
        <v>2</v>
      </c>
    </row>
    <row r="4356" spans="1:3" x14ac:dyDescent="0.25">
      <c r="A4356">
        <v>245901</v>
      </c>
      <c r="B4356" t="s">
        <v>2</v>
      </c>
      <c r="C4356" t="str">
        <f>LEFT(Table4[[#This Row],[Policy Type]],1)</f>
        <v>1</v>
      </c>
    </row>
    <row r="4357" spans="1:3" x14ac:dyDescent="0.25">
      <c r="A4357">
        <v>245931</v>
      </c>
      <c r="B4357" t="s">
        <v>3</v>
      </c>
      <c r="C4357" t="str">
        <f>LEFT(Table4[[#This Row],[Policy Type]],1)</f>
        <v>2</v>
      </c>
    </row>
    <row r="4358" spans="1:3" x14ac:dyDescent="0.25">
      <c r="A4358">
        <v>245955</v>
      </c>
      <c r="B4358" t="s">
        <v>2</v>
      </c>
      <c r="C4358" t="str">
        <f>LEFT(Table4[[#This Row],[Policy Type]],1)</f>
        <v>1</v>
      </c>
    </row>
    <row r="4359" spans="1:3" x14ac:dyDescent="0.25">
      <c r="A4359">
        <v>245962</v>
      </c>
      <c r="B4359" t="s">
        <v>3</v>
      </c>
      <c r="C4359" t="str">
        <f>LEFT(Table4[[#This Row],[Policy Type]],1)</f>
        <v>2</v>
      </c>
    </row>
    <row r="4360" spans="1:3" x14ac:dyDescent="0.25">
      <c r="A4360">
        <v>245972</v>
      </c>
      <c r="B4360" t="s">
        <v>2</v>
      </c>
      <c r="C4360" t="str">
        <f>LEFT(Table4[[#This Row],[Policy Type]],1)</f>
        <v>1</v>
      </c>
    </row>
    <row r="4361" spans="1:3" x14ac:dyDescent="0.25">
      <c r="A4361">
        <v>245985</v>
      </c>
      <c r="B4361" t="s">
        <v>2</v>
      </c>
      <c r="C4361" t="str">
        <f>LEFT(Table4[[#This Row],[Policy Type]],1)</f>
        <v>1</v>
      </c>
    </row>
    <row r="4362" spans="1:3" x14ac:dyDescent="0.25">
      <c r="A4362">
        <v>245997</v>
      </c>
      <c r="B4362" t="s">
        <v>3</v>
      </c>
      <c r="C4362" t="str">
        <f>LEFT(Table4[[#This Row],[Policy Type]],1)</f>
        <v>2</v>
      </c>
    </row>
    <row r="4363" spans="1:3" x14ac:dyDescent="0.25">
      <c r="A4363">
        <v>245998</v>
      </c>
      <c r="B4363" t="s">
        <v>3</v>
      </c>
      <c r="C4363" t="str">
        <f>LEFT(Table4[[#This Row],[Policy Type]],1)</f>
        <v>2</v>
      </c>
    </row>
    <row r="4364" spans="1:3" x14ac:dyDescent="0.25">
      <c r="A4364">
        <v>246203</v>
      </c>
      <c r="B4364" t="s">
        <v>2</v>
      </c>
      <c r="C4364" t="str">
        <f>LEFT(Table4[[#This Row],[Policy Type]],1)</f>
        <v>1</v>
      </c>
    </row>
    <row r="4365" spans="1:3" x14ac:dyDescent="0.25">
      <c r="A4365">
        <v>246257</v>
      </c>
      <c r="B4365" t="s">
        <v>3</v>
      </c>
      <c r="C4365" t="str">
        <f>LEFT(Table4[[#This Row],[Policy Type]],1)</f>
        <v>2</v>
      </c>
    </row>
    <row r="4366" spans="1:3" x14ac:dyDescent="0.25">
      <c r="A4366">
        <v>246265</v>
      </c>
      <c r="B4366" t="s">
        <v>2</v>
      </c>
      <c r="C4366" t="str">
        <f>LEFT(Table4[[#This Row],[Policy Type]],1)</f>
        <v>1</v>
      </c>
    </row>
    <row r="4367" spans="1:3" x14ac:dyDescent="0.25">
      <c r="A4367">
        <v>246291</v>
      </c>
      <c r="B4367" t="s">
        <v>3</v>
      </c>
      <c r="C4367" t="str">
        <f>LEFT(Table4[[#This Row],[Policy Type]],1)</f>
        <v>2</v>
      </c>
    </row>
    <row r="4368" spans="1:3" x14ac:dyDescent="0.25">
      <c r="A4368">
        <v>246295</v>
      </c>
      <c r="B4368" t="s">
        <v>3</v>
      </c>
      <c r="C4368" t="str">
        <f>LEFT(Table4[[#This Row],[Policy Type]],1)</f>
        <v>2</v>
      </c>
    </row>
    <row r="4369" spans="1:3" x14ac:dyDescent="0.25">
      <c r="A4369">
        <v>246322</v>
      </c>
      <c r="B4369" t="s">
        <v>3</v>
      </c>
      <c r="C4369" t="str">
        <f>LEFT(Table4[[#This Row],[Policy Type]],1)</f>
        <v>2</v>
      </c>
    </row>
    <row r="4370" spans="1:3" x14ac:dyDescent="0.25">
      <c r="A4370">
        <v>246353</v>
      </c>
      <c r="B4370" t="s">
        <v>2</v>
      </c>
      <c r="C4370" t="str">
        <f>LEFT(Table4[[#This Row],[Policy Type]],1)</f>
        <v>1</v>
      </c>
    </row>
    <row r="4371" spans="1:3" x14ac:dyDescent="0.25">
      <c r="A4371">
        <v>246370</v>
      </c>
      <c r="B4371" t="s">
        <v>3</v>
      </c>
      <c r="C4371" t="str">
        <f>LEFT(Table4[[#This Row],[Policy Type]],1)</f>
        <v>2</v>
      </c>
    </row>
    <row r="4372" spans="1:3" x14ac:dyDescent="0.25">
      <c r="A4372">
        <v>246371</v>
      </c>
      <c r="B4372" t="s">
        <v>3</v>
      </c>
      <c r="C4372" t="str">
        <f>LEFT(Table4[[#This Row],[Policy Type]],1)</f>
        <v>2</v>
      </c>
    </row>
    <row r="4373" spans="1:3" x14ac:dyDescent="0.25">
      <c r="A4373">
        <v>246373</v>
      </c>
      <c r="B4373" t="s">
        <v>2</v>
      </c>
      <c r="C4373" t="str">
        <f>LEFT(Table4[[#This Row],[Policy Type]],1)</f>
        <v>1</v>
      </c>
    </row>
    <row r="4374" spans="1:3" x14ac:dyDescent="0.25">
      <c r="A4374">
        <v>246374</v>
      </c>
      <c r="B4374" t="s">
        <v>3</v>
      </c>
      <c r="C4374" t="str">
        <f>LEFT(Table4[[#This Row],[Policy Type]],1)</f>
        <v>2</v>
      </c>
    </row>
    <row r="4375" spans="1:3" x14ac:dyDescent="0.25">
      <c r="A4375">
        <v>246376</v>
      </c>
      <c r="B4375" t="s">
        <v>2</v>
      </c>
      <c r="C4375" t="str">
        <f>LEFT(Table4[[#This Row],[Policy Type]],1)</f>
        <v>1</v>
      </c>
    </row>
    <row r="4376" spans="1:3" x14ac:dyDescent="0.25">
      <c r="A4376">
        <v>246381</v>
      </c>
      <c r="B4376" t="s">
        <v>3</v>
      </c>
      <c r="C4376" t="str">
        <f>LEFT(Table4[[#This Row],[Policy Type]],1)</f>
        <v>2</v>
      </c>
    </row>
    <row r="4377" spans="1:3" x14ac:dyDescent="0.25">
      <c r="A4377">
        <v>246387</v>
      </c>
      <c r="B4377" t="s">
        <v>3</v>
      </c>
      <c r="C4377" t="str">
        <f>LEFT(Table4[[#This Row],[Policy Type]],1)</f>
        <v>2</v>
      </c>
    </row>
    <row r="4378" spans="1:3" x14ac:dyDescent="0.25">
      <c r="A4378">
        <v>246398</v>
      </c>
      <c r="B4378" t="s">
        <v>2</v>
      </c>
      <c r="C4378" t="str">
        <f>LEFT(Table4[[#This Row],[Policy Type]],1)</f>
        <v>1</v>
      </c>
    </row>
    <row r="4379" spans="1:3" x14ac:dyDescent="0.25">
      <c r="A4379">
        <v>246056</v>
      </c>
      <c r="B4379" t="s">
        <v>3</v>
      </c>
      <c r="C4379" t="str">
        <f>LEFT(Table4[[#This Row],[Policy Type]],1)</f>
        <v>2</v>
      </c>
    </row>
    <row r="4380" spans="1:3" x14ac:dyDescent="0.25">
      <c r="A4380">
        <v>246058</v>
      </c>
      <c r="B4380" t="s">
        <v>2</v>
      </c>
      <c r="C4380" t="str">
        <f>LEFT(Table4[[#This Row],[Policy Type]],1)</f>
        <v>1</v>
      </c>
    </row>
    <row r="4381" spans="1:3" x14ac:dyDescent="0.25">
      <c r="A4381">
        <v>246104</v>
      </c>
      <c r="B4381" t="s">
        <v>3</v>
      </c>
      <c r="C4381" t="str">
        <f>LEFT(Table4[[#This Row],[Policy Type]],1)</f>
        <v>2</v>
      </c>
    </row>
    <row r="4382" spans="1:3" x14ac:dyDescent="0.25">
      <c r="A4382">
        <v>246105</v>
      </c>
      <c r="B4382" t="s">
        <v>2</v>
      </c>
      <c r="C4382" t="str">
        <f>LEFT(Table4[[#This Row],[Policy Type]],1)</f>
        <v>1</v>
      </c>
    </row>
    <row r="4383" spans="1:3" x14ac:dyDescent="0.25">
      <c r="A4383">
        <v>246135</v>
      </c>
      <c r="B4383" t="s">
        <v>2</v>
      </c>
      <c r="C4383" t="str">
        <f>LEFT(Table4[[#This Row],[Policy Type]],1)</f>
        <v>1</v>
      </c>
    </row>
    <row r="4384" spans="1:3" x14ac:dyDescent="0.25">
      <c r="A4384">
        <v>246151</v>
      </c>
      <c r="B4384" t="s">
        <v>3</v>
      </c>
      <c r="C4384" t="str">
        <f>LEFT(Table4[[#This Row],[Policy Type]],1)</f>
        <v>2</v>
      </c>
    </row>
    <row r="4385" spans="1:3" x14ac:dyDescent="0.25">
      <c r="A4385">
        <v>246406</v>
      </c>
      <c r="B4385" t="s">
        <v>2</v>
      </c>
      <c r="C4385" t="str">
        <f>LEFT(Table4[[#This Row],[Policy Type]],1)</f>
        <v>1</v>
      </c>
    </row>
    <row r="4386" spans="1:3" x14ac:dyDescent="0.25">
      <c r="A4386">
        <v>246414</v>
      </c>
      <c r="B4386" t="s">
        <v>3</v>
      </c>
      <c r="C4386" t="str">
        <f>LEFT(Table4[[#This Row],[Policy Type]],1)</f>
        <v>2</v>
      </c>
    </row>
    <row r="4387" spans="1:3" x14ac:dyDescent="0.25">
      <c r="A4387">
        <v>246427</v>
      </c>
      <c r="B4387" t="s">
        <v>2</v>
      </c>
      <c r="C4387" t="str">
        <f>LEFT(Table4[[#This Row],[Policy Type]],1)</f>
        <v>1</v>
      </c>
    </row>
    <row r="4388" spans="1:3" x14ac:dyDescent="0.25">
      <c r="A4388">
        <v>246435</v>
      </c>
      <c r="B4388" t="s">
        <v>2</v>
      </c>
      <c r="C4388" t="str">
        <f>LEFT(Table4[[#This Row],[Policy Type]],1)</f>
        <v>1</v>
      </c>
    </row>
    <row r="4389" spans="1:3" x14ac:dyDescent="0.25">
      <c r="A4389">
        <v>246436</v>
      </c>
      <c r="B4389" t="s">
        <v>2</v>
      </c>
      <c r="C4389" t="str">
        <f>LEFT(Table4[[#This Row],[Policy Type]],1)</f>
        <v>1</v>
      </c>
    </row>
    <row r="4390" spans="1:3" x14ac:dyDescent="0.25">
      <c r="A4390">
        <v>246447</v>
      </c>
      <c r="B4390" t="s">
        <v>2</v>
      </c>
      <c r="C4390" t="str">
        <f>LEFT(Table4[[#This Row],[Policy Type]],1)</f>
        <v>1</v>
      </c>
    </row>
    <row r="4391" spans="1:3" x14ac:dyDescent="0.25">
      <c r="A4391">
        <v>246459</v>
      </c>
      <c r="B4391" t="s">
        <v>2</v>
      </c>
      <c r="C4391" t="str">
        <f>LEFT(Table4[[#This Row],[Policy Type]],1)</f>
        <v>1</v>
      </c>
    </row>
    <row r="4392" spans="1:3" x14ac:dyDescent="0.25">
      <c r="A4392">
        <v>246460</v>
      </c>
      <c r="B4392" t="s">
        <v>2</v>
      </c>
      <c r="C4392" t="str">
        <f>LEFT(Table4[[#This Row],[Policy Type]],1)</f>
        <v>1</v>
      </c>
    </row>
    <row r="4393" spans="1:3" x14ac:dyDescent="0.25">
      <c r="A4393">
        <v>246469</v>
      </c>
      <c r="B4393" t="s">
        <v>3</v>
      </c>
      <c r="C4393" t="str">
        <f>LEFT(Table4[[#This Row],[Policy Type]],1)</f>
        <v>2</v>
      </c>
    </row>
    <row r="4394" spans="1:3" x14ac:dyDescent="0.25">
      <c r="A4394">
        <v>246496</v>
      </c>
      <c r="B4394" t="s">
        <v>3</v>
      </c>
      <c r="C4394" t="str">
        <f>LEFT(Table4[[#This Row],[Policy Type]],1)</f>
        <v>2</v>
      </c>
    </row>
    <row r="4395" spans="1:3" x14ac:dyDescent="0.25">
      <c r="A4395">
        <v>246507</v>
      </c>
      <c r="B4395" t="s">
        <v>2</v>
      </c>
      <c r="C4395" t="str">
        <f>LEFT(Table4[[#This Row],[Policy Type]],1)</f>
        <v>1</v>
      </c>
    </row>
    <row r="4396" spans="1:3" x14ac:dyDescent="0.25">
      <c r="A4396">
        <v>246530</v>
      </c>
      <c r="B4396" t="s">
        <v>3</v>
      </c>
      <c r="C4396" t="str">
        <f>LEFT(Table4[[#This Row],[Policy Type]],1)</f>
        <v>2</v>
      </c>
    </row>
    <row r="4397" spans="1:3" x14ac:dyDescent="0.25">
      <c r="A4397">
        <v>246547</v>
      </c>
      <c r="B4397" t="s">
        <v>3</v>
      </c>
      <c r="C4397" t="str">
        <f>LEFT(Table4[[#This Row],[Policy Type]],1)</f>
        <v>2</v>
      </c>
    </row>
    <row r="4398" spans="1:3" x14ac:dyDescent="0.25">
      <c r="A4398">
        <v>246552</v>
      </c>
      <c r="B4398" t="s">
        <v>2</v>
      </c>
      <c r="C4398" t="str">
        <f>LEFT(Table4[[#This Row],[Policy Type]],1)</f>
        <v>1</v>
      </c>
    </row>
    <row r="4399" spans="1:3" x14ac:dyDescent="0.25">
      <c r="A4399">
        <v>246560</v>
      </c>
      <c r="B4399" t="s">
        <v>2</v>
      </c>
      <c r="C4399" t="str">
        <f>LEFT(Table4[[#This Row],[Policy Type]],1)</f>
        <v>1</v>
      </c>
    </row>
    <row r="4400" spans="1:3" x14ac:dyDescent="0.25">
      <c r="A4400">
        <v>246619</v>
      </c>
      <c r="B4400" t="s">
        <v>3</v>
      </c>
      <c r="C4400" t="str">
        <f>LEFT(Table4[[#This Row],[Policy Type]],1)</f>
        <v>2</v>
      </c>
    </row>
    <row r="4401" spans="1:3" x14ac:dyDescent="0.25">
      <c r="A4401">
        <v>246637</v>
      </c>
      <c r="B4401" t="s">
        <v>2</v>
      </c>
      <c r="C4401" t="str">
        <f>LEFT(Table4[[#This Row],[Policy Type]],1)</f>
        <v>1</v>
      </c>
    </row>
    <row r="4402" spans="1:3" x14ac:dyDescent="0.25">
      <c r="A4402">
        <v>246653</v>
      </c>
      <c r="B4402" t="s">
        <v>3</v>
      </c>
      <c r="C4402" t="str">
        <f>LEFT(Table4[[#This Row],[Policy Type]],1)</f>
        <v>2</v>
      </c>
    </row>
    <row r="4403" spans="1:3" x14ac:dyDescent="0.25">
      <c r="A4403">
        <v>246654</v>
      </c>
      <c r="B4403" t="s">
        <v>3</v>
      </c>
      <c r="C4403" t="str">
        <f>LEFT(Table4[[#This Row],[Policy Type]],1)</f>
        <v>2</v>
      </c>
    </row>
    <row r="4404" spans="1:3" x14ac:dyDescent="0.25">
      <c r="A4404">
        <v>246681</v>
      </c>
      <c r="B4404" t="s">
        <v>3</v>
      </c>
      <c r="C4404" t="str">
        <f>LEFT(Table4[[#This Row],[Policy Type]],1)</f>
        <v>2</v>
      </c>
    </row>
    <row r="4405" spans="1:3" x14ac:dyDescent="0.25">
      <c r="A4405">
        <v>246719</v>
      </c>
      <c r="B4405" t="s">
        <v>3</v>
      </c>
      <c r="C4405" t="str">
        <f>LEFT(Table4[[#This Row],[Policy Type]],1)</f>
        <v>2</v>
      </c>
    </row>
    <row r="4406" spans="1:3" x14ac:dyDescent="0.25">
      <c r="A4406">
        <v>246760</v>
      </c>
      <c r="B4406" t="s">
        <v>2</v>
      </c>
      <c r="C4406" t="str">
        <f>LEFT(Table4[[#This Row],[Policy Type]],1)</f>
        <v>1</v>
      </c>
    </row>
    <row r="4407" spans="1:3" x14ac:dyDescent="0.25">
      <c r="A4407">
        <v>246769</v>
      </c>
      <c r="B4407" t="s">
        <v>3</v>
      </c>
      <c r="C4407" t="str">
        <f>LEFT(Table4[[#This Row],[Policy Type]],1)</f>
        <v>2</v>
      </c>
    </row>
    <row r="4408" spans="1:3" x14ac:dyDescent="0.25">
      <c r="A4408">
        <v>246773</v>
      </c>
      <c r="B4408" t="s">
        <v>3</v>
      </c>
      <c r="C4408" t="str">
        <f>LEFT(Table4[[#This Row],[Policy Type]],1)</f>
        <v>2</v>
      </c>
    </row>
    <row r="4409" spans="1:3" x14ac:dyDescent="0.25">
      <c r="A4409">
        <v>246782</v>
      </c>
      <c r="B4409" t="s">
        <v>3</v>
      </c>
      <c r="C4409" t="str">
        <f>LEFT(Table4[[#This Row],[Policy Type]],1)</f>
        <v>2</v>
      </c>
    </row>
    <row r="4410" spans="1:3" x14ac:dyDescent="0.25">
      <c r="A4410">
        <v>246784</v>
      </c>
      <c r="B4410" t="s">
        <v>2</v>
      </c>
      <c r="C4410" t="str">
        <f>LEFT(Table4[[#This Row],[Policy Type]],1)</f>
        <v>1</v>
      </c>
    </row>
    <row r="4411" spans="1:3" x14ac:dyDescent="0.25">
      <c r="A4411">
        <v>246830</v>
      </c>
      <c r="B4411" t="s">
        <v>2</v>
      </c>
      <c r="C4411" t="str">
        <f>LEFT(Table4[[#This Row],[Policy Type]],1)</f>
        <v>1</v>
      </c>
    </row>
    <row r="4412" spans="1:3" x14ac:dyDescent="0.25">
      <c r="A4412">
        <v>246846</v>
      </c>
      <c r="B4412" t="s">
        <v>2</v>
      </c>
      <c r="C4412" t="str">
        <f>LEFT(Table4[[#This Row],[Policy Type]],1)</f>
        <v>1</v>
      </c>
    </row>
    <row r="4413" spans="1:3" x14ac:dyDescent="0.25">
      <c r="A4413">
        <v>246865</v>
      </c>
      <c r="B4413" t="s">
        <v>2</v>
      </c>
      <c r="C4413" t="str">
        <f>LEFT(Table4[[#This Row],[Policy Type]],1)</f>
        <v>1</v>
      </c>
    </row>
    <row r="4414" spans="1:3" x14ac:dyDescent="0.25">
      <c r="A4414">
        <v>246894</v>
      </c>
      <c r="B4414" t="s">
        <v>2</v>
      </c>
      <c r="C4414" t="str">
        <f>LEFT(Table4[[#This Row],[Policy Type]],1)</f>
        <v>1</v>
      </c>
    </row>
    <row r="4415" spans="1:3" x14ac:dyDescent="0.25">
      <c r="A4415">
        <v>246931</v>
      </c>
      <c r="B4415" t="s">
        <v>2</v>
      </c>
      <c r="C4415" t="str">
        <f>LEFT(Table4[[#This Row],[Policy Type]],1)</f>
        <v>1</v>
      </c>
    </row>
    <row r="4416" spans="1:3" x14ac:dyDescent="0.25">
      <c r="A4416">
        <v>246949</v>
      </c>
      <c r="B4416" t="s">
        <v>3</v>
      </c>
      <c r="C4416" t="str">
        <f>LEFT(Table4[[#This Row],[Policy Type]],1)</f>
        <v>2</v>
      </c>
    </row>
    <row r="4417" spans="1:3" x14ac:dyDescent="0.25">
      <c r="A4417">
        <v>246950</v>
      </c>
      <c r="B4417" t="s">
        <v>3</v>
      </c>
      <c r="C4417" t="str">
        <f>LEFT(Table4[[#This Row],[Policy Type]],1)</f>
        <v>2</v>
      </c>
    </row>
    <row r="4418" spans="1:3" x14ac:dyDescent="0.25">
      <c r="A4418">
        <v>246956</v>
      </c>
      <c r="B4418" t="s">
        <v>3</v>
      </c>
      <c r="C4418" t="str">
        <f>LEFT(Table4[[#This Row],[Policy Type]],1)</f>
        <v>2</v>
      </c>
    </row>
    <row r="4419" spans="1:3" x14ac:dyDescent="0.25">
      <c r="A4419">
        <v>246975</v>
      </c>
      <c r="B4419" t="s">
        <v>2</v>
      </c>
      <c r="C4419" t="str">
        <f>LEFT(Table4[[#This Row],[Policy Type]],1)</f>
        <v>1</v>
      </c>
    </row>
    <row r="4420" spans="1:3" x14ac:dyDescent="0.25">
      <c r="A4420">
        <v>246995</v>
      </c>
      <c r="B4420" t="s">
        <v>3</v>
      </c>
      <c r="C4420" t="str">
        <f>LEFT(Table4[[#This Row],[Policy Type]],1)</f>
        <v>2</v>
      </c>
    </row>
    <row r="4421" spans="1:3" x14ac:dyDescent="0.25">
      <c r="A4421">
        <v>247035</v>
      </c>
      <c r="B4421" t="s">
        <v>2</v>
      </c>
      <c r="C4421" t="str">
        <f>LEFT(Table4[[#This Row],[Policy Type]],1)</f>
        <v>1</v>
      </c>
    </row>
    <row r="4422" spans="1:3" x14ac:dyDescent="0.25">
      <c r="A4422">
        <v>247054</v>
      </c>
      <c r="B4422" t="s">
        <v>3</v>
      </c>
      <c r="C4422" t="str">
        <f>LEFT(Table4[[#This Row],[Policy Type]],1)</f>
        <v>2</v>
      </c>
    </row>
    <row r="4423" spans="1:3" x14ac:dyDescent="0.25">
      <c r="A4423">
        <v>247058</v>
      </c>
      <c r="B4423" t="s">
        <v>3</v>
      </c>
      <c r="C4423" t="str">
        <f>LEFT(Table4[[#This Row],[Policy Type]],1)</f>
        <v>2</v>
      </c>
    </row>
    <row r="4424" spans="1:3" x14ac:dyDescent="0.25">
      <c r="A4424">
        <v>247107</v>
      </c>
      <c r="B4424" t="s">
        <v>2</v>
      </c>
      <c r="C4424" t="str">
        <f>LEFT(Table4[[#This Row],[Policy Type]],1)</f>
        <v>1</v>
      </c>
    </row>
    <row r="4425" spans="1:3" x14ac:dyDescent="0.25">
      <c r="A4425">
        <v>247161</v>
      </c>
      <c r="B4425" t="s">
        <v>3</v>
      </c>
      <c r="C4425" t="str">
        <f>LEFT(Table4[[#This Row],[Policy Type]],1)</f>
        <v>2</v>
      </c>
    </row>
    <row r="4426" spans="1:3" x14ac:dyDescent="0.25">
      <c r="A4426">
        <v>247206</v>
      </c>
      <c r="B4426" t="s">
        <v>3</v>
      </c>
      <c r="C4426" t="str">
        <f>LEFT(Table4[[#This Row],[Policy Type]],1)</f>
        <v>2</v>
      </c>
    </row>
    <row r="4427" spans="1:3" x14ac:dyDescent="0.25">
      <c r="A4427">
        <v>247230</v>
      </c>
      <c r="B4427" t="s">
        <v>3</v>
      </c>
      <c r="C4427" t="str">
        <f>LEFT(Table4[[#This Row],[Policy Type]],1)</f>
        <v>2</v>
      </c>
    </row>
    <row r="4428" spans="1:3" x14ac:dyDescent="0.25">
      <c r="A4428">
        <v>247256</v>
      </c>
      <c r="B4428" t="s">
        <v>2</v>
      </c>
      <c r="C4428" t="str">
        <f>LEFT(Table4[[#This Row],[Policy Type]],1)</f>
        <v>1</v>
      </c>
    </row>
    <row r="4429" spans="1:3" x14ac:dyDescent="0.25">
      <c r="A4429">
        <v>247275</v>
      </c>
      <c r="B4429" t="s">
        <v>2</v>
      </c>
      <c r="C4429" t="str">
        <f>LEFT(Table4[[#This Row],[Policy Type]],1)</f>
        <v>1</v>
      </c>
    </row>
    <row r="4430" spans="1:3" x14ac:dyDescent="0.25">
      <c r="A4430">
        <v>247284</v>
      </c>
      <c r="B4430" t="s">
        <v>2</v>
      </c>
      <c r="C4430" t="str">
        <f>LEFT(Table4[[#This Row],[Policy Type]],1)</f>
        <v>1</v>
      </c>
    </row>
    <row r="4431" spans="1:3" x14ac:dyDescent="0.25">
      <c r="A4431">
        <v>247293</v>
      </c>
      <c r="B4431" t="s">
        <v>2</v>
      </c>
      <c r="C4431" t="str">
        <f>LEFT(Table4[[#This Row],[Policy Type]],1)</f>
        <v>1</v>
      </c>
    </row>
    <row r="4432" spans="1:3" x14ac:dyDescent="0.25">
      <c r="A4432">
        <v>247318</v>
      </c>
      <c r="B4432" t="s">
        <v>3</v>
      </c>
      <c r="C4432" t="str">
        <f>LEFT(Table4[[#This Row],[Policy Type]],1)</f>
        <v>2</v>
      </c>
    </row>
    <row r="4433" spans="1:3" x14ac:dyDescent="0.25">
      <c r="A4433">
        <v>247351</v>
      </c>
      <c r="B4433" t="s">
        <v>3</v>
      </c>
      <c r="C4433" t="str">
        <f>LEFT(Table4[[#This Row],[Policy Type]],1)</f>
        <v>2</v>
      </c>
    </row>
    <row r="4434" spans="1:3" x14ac:dyDescent="0.25">
      <c r="A4434">
        <v>247394</v>
      </c>
      <c r="B4434" t="s">
        <v>3</v>
      </c>
      <c r="C4434" t="str">
        <f>LEFT(Table4[[#This Row],[Policy Type]],1)</f>
        <v>2</v>
      </c>
    </row>
    <row r="4435" spans="1:3" x14ac:dyDescent="0.25">
      <c r="A4435">
        <v>247395</v>
      </c>
      <c r="B4435" t="s">
        <v>3</v>
      </c>
      <c r="C4435" t="str">
        <f>LEFT(Table4[[#This Row],[Policy Type]],1)</f>
        <v>2</v>
      </c>
    </row>
    <row r="4436" spans="1:3" x14ac:dyDescent="0.25">
      <c r="A4436">
        <v>247412</v>
      </c>
      <c r="B4436" t="s">
        <v>3</v>
      </c>
      <c r="C4436" t="str">
        <f>LEFT(Table4[[#This Row],[Policy Type]],1)</f>
        <v>2</v>
      </c>
    </row>
    <row r="4437" spans="1:3" x14ac:dyDescent="0.25">
      <c r="A4437">
        <v>247443</v>
      </c>
      <c r="B4437" t="s">
        <v>2</v>
      </c>
      <c r="C4437" t="str">
        <f>LEFT(Table4[[#This Row],[Policy Type]],1)</f>
        <v>1</v>
      </c>
    </row>
    <row r="4438" spans="1:3" x14ac:dyDescent="0.25">
      <c r="A4438">
        <v>247450</v>
      </c>
      <c r="B4438" t="s">
        <v>3</v>
      </c>
      <c r="C4438" t="str">
        <f>LEFT(Table4[[#This Row],[Policy Type]],1)</f>
        <v>2</v>
      </c>
    </row>
    <row r="4439" spans="1:3" x14ac:dyDescent="0.25">
      <c r="A4439">
        <v>247452</v>
      </c>
      <c r="B4439" t="s">
        <v>3</v>
      </c>
      <c r="C4439" t="str">
        <f>LEFT(Table4[[#This Row],[Policy Type]],1)</f>
        <v>2</v>
      </c>
    </row>
    <row r="4440" spans="1:3" x14ac:dyDescent="0.25">
      <c r="A4440">
        <v>247488</v>
      </c>
      <c r="B4440" t="s">
        <v>3</v>
      </c>
      <c r="C4440" t="str">
        <f>LEFT(Table4[[#This Row],[Policy Type]],1)</f>
        <v>2</v>
      </c>
    </row>
    <row r="4441" spans="1:3" x14ac:dyDescent="0.25">
      <c r="A4441">
        <v>247531</v>
      </c>
      <c r="B4441" t="s">
        <v>3</v>
      </c>
      <c r="C4441" t="str">
        <f>LEFT(Table4[[#This Row],[Policy Type]],1)</f>
        <v>2</v>
      </c>
    </row>
    <row r="4442" spans="1:3" x14ac:dyDescent="0.25">
      <c r="A4442">
        <v>247560</v>
      </c>
      <c r="B4442" t="s">
        <v>2</v>
      </c>
      <c r="C4442" t="str">
        <f>LEFT(Table4[[#This Row],[Policy Type]],1)</f>
        <v>1</v>
      </c>
    </row>
    <row r="4443" spans="1:3" x14ac:dyDescent="0.25">
      <c r="A4443">
        <v>247576</v>
      </c>
      <c r="B4443" t="s">
        <v>2</v>
      </c>
      <c r="C4443" t="str">
        <f>LEFT(Table4[[#This Row],[Policy Type]],1)</f>
        <v>1</v>
      </c>
    </row>
    <row r="4444" spans="1:3" x14ac:dyDescent="0.25">
      <c r="A4444">
        <v>247812</v>
      </c>
      <c r="B4444" t="s">
        <v>2</v>
      </c>
      <c r="C4444" t="str">
        <f>LEFT(Table4[[#This Row],[Policy Type]],1)</f>
        <v>1</v>
      </c>
    </row>
    <row r="4445" spans="1:3" x14ac:dyDescent="0.25">
      <c r="A4445">
        <v>247819</v>
      </c>
      <c r="B4445" t="s">
        <v>2</v>
      </c>
      <c r="C4445" t="str">
        <f>LEFT(Table4[[#This Row],[Policy Type]],1)</f>
        <v>1</v>
      </c>
    </row>
    <row r="4446" spans="1:3" x14ac:dyDescent="0.25">
      <c r="A4446">
        <v>247834</v>
      </c>
      <c r="B4446" t="s">
        <v>2</v>
      </c>
      <c r="C4446" t="str">
        <f>LEFT(Table4[[#This Row],[Policy Type]],1)</f>
        <v>1</v>
      </c>
    </row>
    <row r="4447" spans="1:3" x14ac:dyDescent="0.25">
      <c r="A4447">
        <v>247847</v>
      </c>
      <c r="B4447" t="s">
        <v>2</v>
      </c>
      <c r="C4447" t="str">
        <f>LEFT(Table4[[#This Row],[Policy Type]],1)</f>
        <v>1</v>
      </c>
    </row>
    <row r="4448" spans="1:3" x14ac:dyDescent="0.25">
      <c r="A4448">
        <v>247912</v>
      </c>
      <c r="B4448" t="s">
        <v>3</v>
      </c>
      <c r="C4448" t="str">
        <f>LEFT(Table4[[#This Row],[Policy Type]],1)</f>
        <v>2</v>
      </c>
    </row>
    <row r="4449" spans="1:3" x14ac:dyDescent="0.25">
      <c r="A4449">
        <v>247918</v>
      </c>
      <c r="B4449" t="s">
        <v>3</v>
      </c>
      <c r="C4449" t="str">
        <f>LEFT(Table4[[#This Row],[Policy Type]],1)</f>
        <v>2</v>
      </c>
    </row>
    <row r="4450" spans="1:3" x14ac:dyDescent="0.25">
      <c r="A4450">
        <v>247927</v>
      </c>
      <c r="B4450" t="s">
        <v>3</v>
      </c>
      <c r="C4450" t="str">
        <f>LEFT(Table4[[#This Row],[Policy Type]],1)</f>
        <v>2</v>
      </c>
    </row>
    <row r="4451" spans="1:3" x14ac:dyDescent="0.25">
      <c r="A4451">
        <v>247934</v>
      </c>
      <c r="B4451" t="s">
        <v>3</v>
      </c>
      <c r="C4451" t="str">
        <f>LEFT(Table4[[#This Row],[Policy Type]],1)</f>
        <v>2</v>
      </c>
    </row>
    <row r="4452" spans="1:3" x14ac:dyDescent="0.25">
      <c r="A4452">
        <v>247957</v>
      </c>
      <c r="B4452" t="s">
        <v>2</v>
      </c>
      <c r="C4452" t="str">
        <f>LEFT(Table4[[#This Row],[Policy Type]],1)</f>
        <v>1</v>
      </c>
    </row>
    <row r="4453" spans="1:3" x14ac:dyDescent="0.25">
      <c r="A4453">
        <v>247962</v>
      </c>
      <c r="B4453" t="s">
        <v>3</v>
      </c>
      <c r="C4453" t="str">
        <f>LEFT(Table4[[#This Row],[Policy Type]],1)</f>
        <v>2</v>
      </c>
    </row>
    <row r="4454" spans="1:3" x14ac:dyDescent="0.25">
      <c r="A4454">
        <v>247996</v>
      </c>
      <c r="B4454" t="s">
        <v>3</v>
      </c>
      <c r="C4454" t="str">
        <f>LEFT(Table4[[#This Row],[Policy Type]],1)</f>
        <v>2</v>
      </c>
    </row>
    <row r="4455" spans="1:3" x14ac:dyDescent="0.25">
      <c r="A4455">
        <v>247999</v>
      </c>
      <c r="B4455" t="s">
        <v>3</v>
      </c>
      <c r="C4455" t="str">
        <f>LEFT(Table4[[#This Row],[Policy Type]],1)</f>
        <v>2</v>
      </c>
    </row>
    <row r="4456" spans="1:3" x14ac:dyDescent="0.25">
      <c r="A4456">
        <v>247628</v>
      </c>
      <c r="B4456" t="s">
        <v>3</v>
      </c>
      <c r="C4456" t="str">
        <f>LEFT(Table4[[#This Row],[Policy Type]],1)</f>
        <v>2</v>
      </c>
    </row>
    <row r="4457" spans="1:3" x14ac:dyDescent="0.25">
      <c r="A4457">
        <v>247642</v>
      </c>
      <c r="B4457" t="s">
        <v>3</v>
      </c>
      <c r="C4457" t="str">
        <f>LEFT(Table4[[#This Row],[Policy Type]],1)</f>
        <v>2</v>
      </c>
    </row>
    <row r="4458" spans="1:3" x14ac:dyDescent="0.25">
      <c r="A4458">
        <v>247647</v>
      </c>
      <c r="B4458" t="s">
        <v>2</v>
      </c>
      <c r="C4458" t="str">
        <f>LEFT(Table4[[#This Row],[Policy Type]],1)</f>
        <v>1</v>
      </c>
    </row>
    <row r="4459" spans="1:3" x14ac:dyDescent="0.25">
      <c r="A4459">
        <v>247655</v>
      </c>
      <c r="B4459" t="s">
        <v>3</v>
      </c>
      <c r="C4459" t="str">
        <f>LEFT(Table4[[#This Row],[Policy Type]],1)</f>
        <v>2</v>
      </c>
    </row>
    <row r="4460" spans="1:3" x14ac:dyDescent="0.25">
      <c r="A4460">
        <v>247674</v>
      </c>
      <c r="B4460" t="s">
        <v>3</v>
      </c>
      <c r="C4460" t="str">
        <f>LEFT(Table4[[#This Row],[Policy Type]],1)</f>
        <v>2</v>
      </c>
    </row>
    <row r="4461" spans="1:3" x14ac:dyDescent="0.25">
      <c r="A4461">
        <v>247675</v>
      </c>
      <c r="B4461" t="s">
        <v>2</v>
      </c>
      <c r="C4461" t="str">
        <f>LEFT(Table4[[#This Row],[Policy Type]],1)</f>
        <v>1</v>
      </c>
    </row>
    <row r="4462" spans="1:3" x14ac:dyDescent="0.25">
      <c r="A4462">
        <v>247685</v>
      </c>
      <c r="B4462" t="s">
        <v>2</v>
      </c>
      <c r="C4462" t="str">
        <f>LEFT(Table4[[#This Row],[Policy Type]],1)</f>
        <v>1</v>
      </c>
    </row>
    <row r="4463" spans="1:3" x14ac:dyDescent="0.25">
      <c r="A4463">
        <v>247692</v>
      </c>
      <c r="B4463" t="s">
        <v>3</v>
      </c>
      <c r="C4463" t="str">
        <f>LEFT(Table4[[#This Row],[Policy Type]],1)</f>
        <v>2</v>
      </c>
    </row>
    <row r="4464" spans="1:3" x14ac:dyDescent="0.25">
      <c r="A4464">
        <v>247724</v>
      </c>
      <c r="B4464" t="s">
        <v>3</v>
      </c>
      <c r="C4464" t="str">
        <f>LEFT(Table4[[#This Row],[Policy Type]],1)</f>
        <v>2</v>
      </c>
    </row>
    <row r="4465" spans="1:3" x14ac:dyDescent="0.25">
      <c r="A4465">
        <v>247747</v>
      </c>
      <c r="B4465" t="s">
        <v>3</v>
      </c>
      <c r="C4465" t="str">
        <f>LEFT(Table4[[#This Row],[Policy Type]],1)</f>
        <v>2</v>
      </c>
    </row>
    <row r="4466" spans="1:3" x14ac:dyDescent="0.25">
      <c r="A4466">
        <v>247748</v>
      </c>
      <c r="B4466" t="s">
        <v>3</v>
      </c>
      <c r="C4466" t="str">
        <f>LEFT(Table4[[#This Row],[Policy Type]],1)</f>
        <v>2</v>
      </c>
    </row>
    <row r="4467" spans="1:3" x14ac:dyDescent="0.25">
      <c r="A4467">
        <v>247792</v>
      </c>
      <c r="B4467" t="s">
        <v>2</v>
      </c>
      <c r="C4467" t="str">
        <f>LEFT(Table4[[#This Row],[Policy Type]],1)</f>
        <v>1</v>
      </c>
    </row>
    <row r="4468" spans="1:3" x14ac:dyDescent="0.25">
      <c r="A4468">
        <v>247796</v>
      </c>
      <c r="B4468" t="s">
        <v>3</v>
      </c>
      <c r="C4468" t="str">
        <f>LEFT(Table4[[#This Row],[Policy Type]],1)</f>
        <v>2</v>
      </c>
    </row>
    <row r="4469" spans="1:3" x14ac:dyDescent="0.25">
      <c r="A4469">
        <v>248008</v>
      </c>
      <c r="B4469" t="s">
        <v>2</v>
      </c>
      <c r="C4469" t="str">
        <f>LEFT(Table4[[#This Row],[Policy Type]],1)</f>
        <v>1</v>
      </c>
    </row>
    <row r="4470" spans="1:3" x14ac:dyDescent="0.25">
      <c r="A4470">
        <v>248013</v>
      </c>
      <c r="B4470" t="s">
        <v>3</v>
      </c>
      <c r="C4470" t="str">
        <f>LEFT(Table4[[#This Row],[Policy Type]],1)</f>
        <v>2</v>
      </c>
    </row>
    <row r="4471" spans="1:3" x14ac:dyDescent="0.25">
      <c r="A4471">
        <v>248027</v>
      </c>
      <c r="B4471" t="s">
        <v>3</v>
      </c>
      <c r="C4471" t="str">
        <f>LEFT(Table4[[#This Row],[Policy Type]],1)</f>
        <v>2</v>
      </c>
    </row>
    <row r="4472" spans="1:3" x14ac:dyDescent="0.25">
      <c r="A4472">
        <v>248067</v>
      </c>
      <c r="B4472" t="s">
        <v>3</v>
      </c>
      <c r="C4472" t="str">
        <f>LEFT(Table4[[#This Row],[Policy Type]],1)</f>
        <v>2</v>
      </c>
    </row>
    <row r="4473" spans="1:3" x14ac:dyDescent="0.25">
      <c r="A4473">
        <v>248070</v>
      </c>
      <c r="B4473" t="s">
        <v>3</v>
      </c>
      <c r="C4473" t="str">
        <f>LEFT(Table4[[#This Row],[Policy Type]],1)</f>
        <v>2</v>
      </c>
    </row>
    <row r="4474" spans="1:3" x14ac:dyDescent="0.25">
      <c r="A4474">
        <v>248071</v>
      </c>
      <c r="B4474" t="s">
        <v>3</v>
      </c>
      <c r="C4474" t="str">
        <f>LEFT(Table4[[#This Row],[Policy Type]],1)</f>
        <v>2</v>
      </c>
    </row>
    <row r="4475" spans="1:3" x14ac:dyDescent="0.25">
      <c r="A4475">
        <v>248090</v>
      </c>
      <c r="B4475" t="s">
        <v>3</v>
      </c>
      <c r="C4475" t="str">
        <f>LEFT(Table4[[#This Row],[Policy Type]],1)</f>
        <v>2</v>
      </c>
    </row>
    <row r="4476" spans="1:3" x14ac:dyDescent="0.25">
      <c r="A4476">
        <v>248157</v>
      </c>
      <c r="B4476" t="s">
        <v>2</v>
      </c>
      <c r="C4476" t="str">
        <f>LEFT(Table4[[#This Row],[Policy Type]],1)</f>
        <v>1</v>
      </c>
    </row>
    <row r="4477" spans="1:3" x14ac:dyDescent="0.25">
      <c r="A4477">
        <v>248166</v>
      </c>
      <c r="B4477" t="s">
        <v>3</v>
      </c>
      <c r="C4477" t="str">
        <f>LEFT(Table4[[#This Row],[Policy Type]],1)</f>
        <v>2</v>
      </c>
    </row>
    <row r="4478" spans="1:3" x14ac:dyDescent="0.25">
      <c r="A4478">
        <v>248202</v>
      </c>
      <c r="B4478" t="s">
        <v>3</v>
      </c>
      <c r="C4478" t="str">
        <f>LEFT(Table4[[#This Row],[Policy Type]],1)</f>
        <v>2</v>
      </c>
    </row>
    <row r="4479" spans="1:3" x14ac:dyDescent="0.25">
      <c r="A4479">
        <v>248208</v>
      </c>
      <c r="B4479" t="s">
        <v>2</v>
      </c>
      <c r="C4479" t="str">
        <f>LEFT(Table4[[#This Row],[Policy Type]],1)</f>
        <v>1</v>
      </c>
    </row>
    <row r="4480" spans="1:3" x14ac:dyDescent="0.25">
      <c r="A4480">
        <v>248225</v>
      </c>
      <c r="B4480" t="s">
        <v>2</v>
      </c>
      <c r="C4480" t="str">
        <f>LEFT(Table4[[#This Row],[Policy Type]],1)</f>
        <v>1</v>
      </c>
    </row>
    <row r="4481" spans="1:3" x14ac:dyDescent="0.25">
      <c r="A4481">
        <v>248233</v>
      </c>
      <c r="B4481" t="s">
        <v>3</v>
      </c>
      <c r="C4481" t="str">
        <f>LEFT(Table4[[#This Row],[Policy Type]],1)</f>
        <v>2</v>
      </c>
    </row>
    <row r="4482" spans="1:3" x14ac:dyDescent="0.25">
      <c r="A4482">
        <v>248236</v>
      </c>
      <c r="B4482" t="s">
        <v>3</v>
      </c>
      <c r="C4482" t="str">
        <f>LEFT(Table4[[#This Row],[Policy Type]],1)</f>
        <v>2</v>
      </c>
    </row>
    <row r="4483" spans="1:3" x14ac:dyDescent="0.25">
      <c r="A4483">
        <v>248263</v>
      </c>
      <c r="B4483" t="s">
        <v>2</v>
      </c>
      <c r="C4483" t="str">
        <f>LEFT(Table4[[#This Row],[Policy Type]],1)</f>
        <v>1</v>
      </c>
    </row>
    <row r="4484" spans="1:3" x14ac:dyDescent="0.25">
      <c r="A4484">
        <v>248274</v>
      </c>
      <c r="B4484" t="s">
        <v>2</v>
      </c>
      <c r="C4484" t="str">
        <f>LEFT(Table4[[#This Row],[Policy Type]],1)</f>
        <v>1</v>
      </c>
    </row>
    <row r="4485" spans="1:3" x14ac:dyDescent="0.25">
      <c r="A4485">
        <v>248296</v>
      </c>
      <c r="B4485" t="s">
        <v>3</v>
      </c>
      <c r="C4485" t="str">
        <f>LEFT(Table4[[#This Row],[Policy Type]],1)</f>
        <v>2</v>
      </c>
    </row>
    <row r="4486" spans="1:3" x14ac:dyDescent="0.25">
      <c r="A4486">
        <v>248299</v>
      </c>
      <c r="B4486" t="s">
        <v>2</v>
      </c>
      <c r="C4486" t="str">
        <f>LEFT(Table4[[#This Row],[Policy Type]],1)</f>
        <v>1</v>
      </c>
    </row>
    <row r="4487" spans="1:3" x14ac:dyDescent="0.25">
      <c r="A4487">
        <v>248311</v>
      </c>
      <c r="B4487" t="s">
        <v>3</v>
      </c>
      <c r="C4487" t="str">
        <f>LEFT(Table4[[#This Row],[Policy Type]],1)</f>
        <v>2</v>
      </c>
    </row>
    <row r="4488" spans="1:3" x14ac:dyDescent="0.25">
      <c r="A4488">
        <v>248320</v>
      </c>
      <c r="B4488" t="s">
        <v>2</v>
      </c>
      <c r="C4488" t="str">
        <f>LEFT(Table4[[#This Row],[Policy Type]],1)</f>
        <v>1</v>
      </c>
    </row>
    <row r="4489" spans="1:3" x14ac:dyDescent="0.25">
      <c r="A4489">
        <v>248321</v>
      </c>
      <c r="B4489" t="s">
        <v>2</v>
      </c>
      <c r="C4489" t="str">
        <f>LEFT(Table4[[#This Row],[Policy Type]],1)</f>
        <v>1</v>
      </c>
    </row>
    <row r="4490" spans="1:3" x14ac:dyDescent="0.25">
      <c r="A4490">
        <v>248342</v>
      </c>
      <c r="B4490" t="s">
        <v>2</v>
      </c>
      <c r="C4490" t="str">
        <f>LEFT(Table4[[#This Row],[Policy Type]],1)</f>
        <v>1</v>
      </c>
    </row>
    <row r="4491" spans="1:3" x14ac:dyDescent="0.25">
      <c r="A4491">
        <v>248364</v>
      </c>
      <c r="B4491" t="s">
        <v>2</v>
      </c>
      <c r="C4491" t="str">
        <f>LEFT(Table4[[#This Row],[Policy Type]],1)</f>
        <v>1</v>
      </c>
    </row>
    <row r="4492" spans="1:3" x14ac:dyDescent="0.25">
      <c r="A4492">
        <v>248377</v>
      </c>
      <c r="B4492" t="s">
        <v>2</v>
      </c>
      <c r="C4492" t="str">
        <f>LEFT(Table4[[#This Row],[Policy Type]],1)</f>
        <v>1</v>
      </c>
    </row>
    <row r="4493" spans="1:3" x14ac:dyDescent="0.25">
      <c r="A4493">
        <v>248429</v>
      </c>
      <c r="B4493" t="s">
        <v>3</v>
      </c>
      <c r="C4493" t="str">
        <f>LEFT(Table4[[#This Row],[Policy Type]],1)</f>
        <v>2</v>
      </c>
    </row>
    <row r="4494" spans="1:3" x14ac:dyDescent="0.25">
      <c r="A4494">
        <v>248439</v>
      </c>
      <c r="B4494" t="s">
        <v>3</v>
      </c>
      <c r="C4494" t="str">
        <f>LEFT(Table4[[#This Row],[Policy Type]],1)</f>
        <v>2</v>
      </c>
    </row>
    <row r="4495" spans="1:3" x14ac:dyDescent="0.25">
      <c r="A4495">
        <v>248461</v>
      </c>
      <c r="B4495" t="s">
        <v>2</v>
      </c>
      <c r="C4495" t="str">
        <f>LEFT(Table4[[#This Row],[Policy Type]],1)</f>
        <v>1</v>
      </c>
    </row>
    <row r="4496" spans="1:3" x14ac:dyDescent="0.25">
      <c r="A4496">
        <v>248471</v>
      </c>
      <c r="B4496" t="s">
        <v>3</v>
      </c>
      <c r="C4496" t="str">
        <f>LEFT(Table4[[#This Row],[Policy Type]],1)</f>
        <v>2</v>
      </c>
    </row>
    <row r="4497" spans="1:3" x14ac:dyDescent="0.25">
      <c r="A4497">
        <v>248488</v>
      </c>
      <c r="B4497" t="s">
        <v>3</v>
      </c>
      <c r="C4497" t="str">
        <f>LEFT(Table4[[#This Row],[Policy Type]],1)</f>
        <v>2</v>
      </c>
    </row>
    <row r="4498" spans="1:3" x14ac:dyDescent="0.25">
      <c r="A4498">
        <v>248493</v>
      </c>
      <c r="B4498" t="s">
        <v>3</v>
      </c>
      <c r="C4498" t="str">
        <f>LEFT(Table4[[#This Row],[Policy Type]],1)</f>
        <v>2</v>
      </c>
    </row>
    <row r="4499" spans="1:3" x14ac:dyDescent="0.25">
      <c r="A4499">
        <v>248494</v>
      </c>
      <c r="B4499" t="s">
        <v>3</v>
      </c>
      <c r="C4499" t="str">
        <f>LEFT(Table4[[#This Row],[Policy Type]],1)</f>
        <v>2</v>
      </c>
    </row>
    <row r="4500" spans="1:3" x14ac:dyDescent="0.25">
      <c r="A4500">
        <v>248518</v>
      </c>
      <c r="B4500" t="s">
        <v>2</v>
      </c>
      <c r="C4500" t="str">
        <f>LEFT(Table4[[#This Row],[Policy Type]],1)</f>
        <v>1</v>
      </c>
    </row>
    <row r="4501" spans="1:3" x14ac:dyDescent="0.25">
      <c r="A4501">
        <v>248531</v>
      </c>
      <c r="B4501" t="s">
        <v>3</v>
      </c>
      <c r="C4501" t="str">
        <f>LEFT(Table4[[#This Row],[Policy Type]],1)</f>
        <v>2</v>
      </c>
    </row>
    <row r="4502" spans="1:3" x14ac:dyDescent="0.25">
      <c r="A4502">
        <v>248544</v>
      </c>
      <c r="B4502" t="s">
        <v>2</v>
      </c>
      <c r="C4502" t="str">
        <f>LEFT(Table4[[#This Row],[Policy Type]],1)</f>
        <v>1</v>
      </c>
    </row>
    <row r="4503" spans="1:3" x14ac:dyDescent="0.25">
      <c r="A4503">
        <v>248550</v>
      </c>
      <c r="B4503" t="s">
        <v>3</v>
      </c>
      <c r="C4503" t="str">
        <f>LEFT(Table4[[#This Row],[Policy Type]],1)</f>
        <v>2</v>
      </c>
    </row>
    <row r="4504" spans="1:3" x14ac:dyDescent="0.25">
      <c r="A4504">
        <v>248553</v>
      </c>
      <c r="B4504" t="s">
        <v>3</v>
      </c>
      <c r="C4504" t="str">
        <f>LEFT(Table4[[#This Row],[Policy Type]],1)</f>
        <v>2</v>
      </c>
    </row>
    <row r="4505" spans="1:3" x14ac:dyDescent="0.25">
      <c r="A4505">
        <v>248559</v>
      </c>
      <c r="B4505" t="s">
        <v>3</v>
      </c>
      <c r="C4505" t="str">
        <f>LEFT(Table4[[#This Row],[Policy Type]],1)</f>
        <v>2</v>
      </c>
    </row>
    <row r="4506" spans="1:3" x14ac:dyDescent="0.25">
      <c r="A4506">
        <v>248577</v>
      </c>
      <c r="B4506" t="s">
        <v>3</v>
      </c>
      <c r="C4506" t="str">
        <f>LEFT(Table4[[#This Row],[Policy Type]],1)</f>
        <v>2</v>
      </c>
    </row>
    <row r="4507" spans="1:3" x14ac:dyDescent="0.25">
      <c r="A4507">
        <v>248592</v>
      </c>
      <c r="B4507" t="s">
        <v>3</v>
      </c>
      <c r="C4507" t="str">
        <f>LEFT(Table4[[#This Row],[Policy Type]],1)</f>
        <v>2</v>
      </c>
    </row>
    <row r="4508" spans="1:3" x14ac:dyDescent="0.25">
      <c r="A4508">
        <v>248594</v>
      </c>
      <c r="B4508" t="s">
        <v>3</v>
      </c>
      <c r="C4508" t="str">
        <f>LEFT(Table4[[#This Row],[Policy Type]],1)</f>
        <v>2</v>
      </c>
    </row>
    <row r="4509" spans="1:3" x14ac:dyDescent="0.25">
      <c r="A4509">
        <v>248614</v>
      </c>
      <c r="B4509" t="s">
        <v>3</v>
      </c>
      <c r="C4509" t="str">
        <f>LEFT(Table4[[#This Row],[Policy Type]],1)</f>
        <v>2</v>
      </c>
    </row>
    <row r="4510" spans="1:3" x14ac:dyDescent="0.25">
      <c r="A4510">
        <v>248645</v>
      </c>
      <c r="B4510" t="s">
        <v>3</v>
      </c>
      <c r="C4510" t="str">
        <f>LEFT(Table4[[#This Row],[Policy Type]],1)</f>
        <v>2</v>
      </c>
    </row>
    <row r="4511" spans="1:3" x14ac:dyDescent="0.25">
      <c r="A4511">
        <v>248649</v>
      </c>
      <c r="B4511" t="s">
        <v>2</v>
      </c>
      <c r="C4511" t="str">
        <f>LEFT(Table4[[#This Row],[Policy Type]],1)</f>
        <v>1</v>
      </c>
    </row>
    <row r="4512" spans="1:3" x14ac:dyDescent="0.25">
      <c r="A4512">
        <v>248671</v>
      </c>
      <c r="B4512" t="s">
        <v>3</v>
      </c>
      <c r="C4512" t="str">
        <f>LEFT(Table4[[#This Row],[Policy Type]],1)</f>
        <v>2</v>
      </c>
    </row>
    <row r="4513" spans="1:3" x14ac:dyDescent="0.25">
      <c r="A4513">
        <v>248679</v>
      </c>
      <c r="B4513" t="s">
        <v>2</v>
      </c>
      <c r="C4513" t="str">
        <f>LEFT(Table4[[#This Row],[Policy Type]],1)</f>
        <v>1</v>
      </c>
    </row>
    <row r="4514" spans="1:3" x14ac:dyDescent="0.25">
      <c r="A4514">
        <v>248713</v>
      </c>
      <c r="B4514" t="s">
        <v>2</v>
      </c>
      <c r="C4514" t="str">
        <f>LEFT(Table4[[#This Row],[Policy Type]],1)</f>
        <v>1</v>
      </c>
    </row>
    <row r="4515" spans="1:3" x14ac:dyDescent="0.25">
      <c r="A4515">
        <v>248733</v>
      </c>
      <c r="B4515" t="s">
        <v>3</v>
      </c>
      <c r="C4515" t="str">
        <f>LEFT(Table4[[#This Row],[Policy Type]],1)</f>
        <v>2</v>
      </c>
    </row>
    <row r="4516" spans="1:3" x14ac:dyDescent="0.25">
      <c r="A4516">
        <v>248736</v>
      </c>
      <c r="B4516" t="s">
        <v>2</v>
      </c>
      <c r="C4516" t="str">
        <f>LEFT(Table4[[#This Row],[Policy Type]],1)</f>
        <v>1</v>
      </c>
    </row>
    <row r="4517" spans="1:3" x14ac:dyDescent="0.25">
      <c r="A4517">
        <v>248737</v>
      </c>
      <c r="B4517" t="s">
        <v>3</v>
      </c>
      <c r="C4517" t="str">
        <f>LEFT(Table4[[#This Row],[Policy Type]],1)</f>
        <v>2</v>
      </c>
    </row>
    <row r="4518" spans="1:3" x14ac:dyDescent="0.25">
      <c r="A4518">
        <v>248738</v>
      </c>
      <c r="B4518" t="s">
        <v>2</v>
      </c>
      <c r="C4518" t="str">
        <f>LEFT(Table4[[#This Row],[Policy Type]],1)</f>
        <v>1</v>
      </c>
    </row>
    <row r="4519" spans="1:3" x14ac:dyDescent="0.25">
      <c r="A4519">
        <v>248743</v>
      </c>
      <c r="B4519" t="s">
        <v>3</v>
      </c>
      <c r="C4519" t="str">
        <f>LEFT(Table4[[#This Row],[Policy Type]],1)</f>
        <v>2</v>
      </c>
    </row>
    <row r="4520" spans="1:3" x14ac:dyDescent="0.25">
      <c r="A4520">
        <v>248755</v>
      </c>
      <c r="B4520" t="s">
        <v>3</v>
      </c>
      <c r="C4520" t="str">
        <f>LEFT(Table4[[#This Row],[Policy Type]],1)</f>
        <v>2</v>
      </c>
    </row>
    <row r="4521" spans="1:3" x14ac:dyDescent="0.25">
      <c r="A4521">
        <v>248764</v>
      </c>
      <c r="B4521" t="s">
        <v>3</v>
      </c>
      <c r="C4521" t="str">
        <f>LEFT(Table4[[#This Row],[Policy Type]],1)</f>
        <v>2</v>
      </c>
    </row>
    <row r="4522" spans="1:3" x14ac:dyDescent="0.25">
      <c r="A4522">
        <v>248771</v>
      </c>
      <c r="B4522" t="s">
        <v>2</v>
      </c>
      <c r="C4522" t="str">
        <f>LEFT(Table4[[#This Row],[Policy Type]],1)</f>
        <v>1</v>
      </c>
    </row>
    <row r="4523" spans="1:3" x14ac:dyDescent="0.25">
      <c r="A4523">
        <v>248774</v>
      </c>
      <c r="B4523" t="s">
        <v>2</v>
      </c>
      <c r="C4523" t="str">
        <f>LEFT(Table4[[#This Row],[Policy Type]],1)</f>
        <v>1</v>
      </c>
    </row>
    <row r="4524" spans="1:3" x14ac:dyDescent="0.25">
      <c r="A4524">
        <v>248775</v>
      </c>
      <c r="B4524" t="s">
        <v>2</v>
      </c>
      <c r="C4524" t="str">
        <f>LEFT(Table4[[#This Row],[Policy Type]],1)</f>
        <v>1</v>
      </c>
    </row>
    <row r="4525" spans="1:3" x14ac:dyDescent="0.25">
      <c r="A4525">
        <v>248787</v>
      </c>
      <c r="B4525" t="s">
        <v>2</v>
      </c>
      <c r="C4525" t="str">
        <f>LEFT(Table4[[#This Row],[Policy Type]],1)</f>
        <v>1</v>
      </c>
    </row>
    <row r="4526" spans="1:3" x14ac:dyDescent="0.25">
      <c r="A4526">
        <v>248793</v>
      </c>
      <c r="B4526" t="s">
        <v>2</v>
      </c>
      <c r="C4526" t="str">
        <f>LEFT(Table4[[#This Row],[Policy Type]],1)</f>
        <v>1</v>
      </c>
    </row>
    <row r="4527" spans="1:3" x14ac:dyDescent="0.25">
      <c r="A4527">
        <v>248804</v>
      </c>
      <c r="B4527" t="s">
        <v>3</v>
      </c>
      <c r="C4527" t="str">
        <f>LEFT(Table4[[#This Row],[Policy Type]],1)</f>
        <v>2</v>
      </c>
    </row>
    <row r="4528" spans="1:3" x14ac:dyDescent="0.25">
      <c r="A4528">
        <v>248805</v>
      </c>
      <c r="B4528" t="s">
        <v>2</v>
      </c>
      <c r="C4528" t="str">
        <f>LEFT(Table4[[#This Row],[Policy Type]],1)</f>
        <v>1</v>
      </c>
    </row>
    <row r="4529" spans="1:3" x14ac:dyDescent="0.25">
      <c r="A4529">
        <v>248806</v>
      </c>
      <c r="B4529" t="s">
        <v>2</v>
      </c>
      <c r="C4529" t="str">
        <f>LEFT(Table4[[#This Row],[Policy Type]],1)</f>
        <v>1</v>
      </c>
    </row>
    <row r="4530" spans="1:3" x14ac:dyDescent="0.25">
      <c r="A4530">
        <v>248819</v>
      </c>
      <c r="B4530" t="s">
        <v>2</v>
      </c>
      <c r="C4530" t="str">
        <f>LEFT(Table4[[#This Row],[Policy Type]],1)</f>
        <v>1</v>
      </c>
    </row>
    <row r="4531" spans="1:3" x14ac:dyDescent="0.25">
      <c r="A4531">
        <v>248860</v>
      </c>
      <c r="B4531" t="s">
        <v>2</v>
      </c>
      <c r="C4531" t="str">
        <f>LEFT(Table4[[#This Row],[Policy Type]],1)</f>
        <v>1</v>
      </c>
    </row>
    <row r="4532" spans="1:3" x14ac:dyDescent="0.25">
      <c r="A4532">
        <v>248870</v>
      </c>
      <c r="B4532" t="s">
        <v>3</v>
      </c>
      <c r="C4532" t="str">
        <f>LEFT(Table4[[#This Row],[Policy Type]],1)</f>
        <v>2</v>
      </c>
    </row>
    <row r="4533" spans="1:3" x14ac:dyDescent="0.25">
      <c r="A4533">
        <v>248877</v>
      </c>
      <c r="B4533" t="s">
        <v>3</v>
      </c>
      <c r="C4533" t="str">
        <f>LEFT(Table4[[#This Row],[Policy Type]],1)</f>
        <v>2</v>
      </c>
    </row>
    <row r="4534" spans="1:3" x14ac:dyDescent="0.25">
      <c r="A4534">
        <v>248889</v>
      </c>
      <c r="B4534" t="s">
        <v>3</v>
      </c>
      <c r="C4534" t="str">
        <f>LEFT(Table4[[#This Row],[Policy Type]],1)</f>
        <v>2</v>
      </c>
    </row>
    <row r="4535" spans="1:3" x14ac:dyDescent="0.25">
      <c r="A4535">
        <v>248897</v>
      </c>
      <c r="B4535" t="s">
        <v>2</v>
      </c>
      <c r="C4535" t="str">
        <f>LEFT(Table4[[#This Row],[Policy Type]],1)</f>
        <v>1</v>
      </c>
    </row>
    <row r="4536" spans="1:3" x14ac:dyDescent="0.25">
      <c r="A4536">
        <v>248905</v>
      </c>
      <c r="B4536" t="s">
        <v>3</v>
      </c>
      <c r="C4536" t="str">
        <f>LEFT(Table4[[#This Row],[Policy Type]],1)</f>
        <v>2</v>
      </c>
    </row>
    <row r="4537" spans="1:3" x14ac:dyDescent="0.25">
      <c r="A4537">
        <v>248910</v>
      </c>
      <c r="B4537" t="s">
        <v>2</v>
      </c>
      <c r="C4537" t="str">
        <f>LEFT(Table4[[#This Row],[Policy Type]],1)</f>
        <v>1</v>
      </c>
    </row>
    <row r="4538" spans="1:3" x14ac:dyDescent="0.25">
      <c r="A4538">
        <v>248919</v>
      </c>
      <c r="B4538" t="s">
        <v>3</v>
      </c>
      <c r="C4538" t="str">
        <f>LEFT(Table4[[#This Row],[Policy Type]],1)</f>
        <v>2</v>
      </c>
    </row>
    <row r="4539" spans="1:3" x14ac:dyDescent="0.25">
      <c r="A4539">
        <v>248922</v>
      </c>
      <c r="B4539" t="s">
        <v>3</v>
      </c>
      <c r="C4539" t="str">
        <f>LEFT(Table4[[#This Row],[Policy Type]],1)</f>
        <v>2</v>
      </c>
    </row>
    <row r="4540" spans="1:3" x14ac:dyDescent="0.25">
      <c r="A4540">
        <v>248925</v>
      </c>
      <c r="B4540" t="s">
        <v>3</v>
      </c>
      <c r="C4540" t="str">
        <f>LEFT(Table4[[#This Row],[Policy Type]],1)</f>
        <v>2</v>
      </c>
    </row>
    <row r="4541" spans="1:3" x14ac:dyDescent="0.25">
      <c r="A4541">
        <v>248930</v>
      </c>
      <c r="B4541" t="s">
        <v>3</v>
      </c>
      <c r="C4541" t="str">
        <f>LEFT(Table4[[#This Row],[Policy Type]],1)</f>
        <v>2</v>
      </c>
    </row>
    <row r="4542" spans="1:3" x14ac:dyDescent="0.25">
      <c r="A4542">
        <v>248944</v>
      </c>
      <c r="B4542" t="s">
        <v>3</v>
      </c>
      <c r="C4542" t="str">
        <f>LEFT(Table4[[#This Row],[Policy Type]],1)</f>
        <v>2</v>
      </c>
    </row>
    <row r="4543" spans="1:3" x14ac:dyDescent="0.25">
      <c r="A4543">
        <v>248975</v>
      </c>
      <c r="B4543" t="s">
        <v>3</v>
      </c>
      <c r="C4543" t="str">
        <f>LEFT(Table4[[#This Row],[Policy Type]],1)</f>
        <v>2</v>
      </c>
    </row>
    <row r="4544" spans="1:3" x14ac:dyDescent="0.25">
      <c r="A4544">
        <v>248977</v>
      </c>
      <c r="B4544" t="s">
        <v>3</v>
      </c>
      <c r="C4544" t="str">
        <f>LEFT(Table4[[#This Row],[Policy Type]],1)</f>
        <v>2</v>
      </c>
    </row>
    <row r="4545" spans="1:3" x14ac:dyDescent="0.25">
      <c r="A4545">
        <v>248978</v>
      </c>
      <c r="B4545" t="s">
        <v>3</v>
      </c>
      <c r="C4545" t="str">
        <f>LEFT(Table4[[#This Row],[Policy Type]],1)</f>
        <v>2</v>
      </c>
    </row>
    <row r="4546" spans="1:3" x14ac:dyDescent="0.25">
      <c r="A4546">
        <v>249000</v>
      </c>
      <c r="B4546" t="s">
        <v>3</v>
      </c>
      <c r="C4546" t="str">
        <f>LEFT(Table4[[#This Row],[Policy Type]],1)</f>
        <v>2</v>
      </c>
    </row>
    <row r="4547" spans="1:3" x14ac:dyDescent="0.25">
      <c r="A4547">
        <v>249007</v>
      </c>
      <c r="B4547" t="s">
        <v>3</v>
      </c>
      <c r="C4547" t="str">
        <f>LEFT(Table4[[#This Row],[Policy Type]],1)</f>
        <v>2</v>
      </c>
    </row>
    <row r="4548" spans="1:3" x14ac:dyDescent="0.25">
      <c r="A4548">
        <v>249013</v>
      </c>
      <c r="B4548" t="s">
        <v>3</v>
      </c>
      <c r="C4548" t="str">
        <f>LEFT(Table4[[#This Row],[Policy Type]],1)</f>
        <v>2</v>
      </c>
    </row>
    <row r="4549" spans="1:3" x14ac:dyDescent="0.25">
      <c r="A4549">
        <v>249049</v>
      </c>
      <c r="B4549" t="s">
        <v>2</v>
      </c>
      <c r="C4549" t="str">
        <f>LEFT(Table4[[#This Row],[Policy Type]],1)</f>
        <v>1</v>
      </c>
    </row>
    <row r="4550" spans="1:3" x14ac:dyDescent="0.25">
      <c r="A4550">
        <v>249066</v>
      </c>
      <c r="B4550" t="s">
        <v>2</v>
      </c>
      <c r="C4550" t="str">
        <f>LEFT(Table4[[#This Row],[Policy Type]],1)</f>
        <v>1</v>
      </c>
    </row>
    <row r="4551" spans="1:3" x14ac:dyDescent="0.25">
      <c r="A4551">
        <v>249098</v>
      </c>
      <c r="B4551" t="s">
        <v>3</v>
      </c>
      <c r="C4551" t="str">
        <f>LEFT(Table4[[#This Row],[Policy Type]],1)</f>
        <v>2</v>
      </c>
    </row>
    <row r="4552" spans="1:3" x14ac:dyDescent="0.25">
      <c r="A4552">
        <v>249117</v>
      </c>
      <c r="B4552" t="s">
        <v>3</v>
      </c>
      <c r="C4552" t="str">
        <f>LEFT(Table4[[#This Row],[Policy Type]],1)</f>
        <v>2</v>
      </c>
    </row>
    <row r="4553" spans="1:3" x14ac:dyDescent="0.25">
      <c r="A4553">
        <v>249119</v>
      </c>
      <c r="B4553" t="s">
        <v>3</v>
      </c>
      <c r="C4553" t="str">
        <f>LEFT(Table4[[#This Row],[Policy Type]],1)</f>
        <v>2</v>
      </c>
    </row>
    <row r="4554" spans="1:3" x14ac:dyDescent="0.25">
      <c r="A4554">
        <v>249184</v>
      </c>
      <c r="B4554" t="s">
        <v>3</v>
      </c>
      <c r="C4554" t="str">
        <f>LEFT(Table4[[#This Row],[Policy Type]],1)</f>
        <v>2</v>
      </c>
    </row>
    <row r="4555" spans="1:3" x14ac:dyDescent="0.25">
      <c r="A4555">
        <v>249200</v>
      </c>
      <c r="B4555" t="s">
        <v>3</v>
      </c>
      <c r="C4555" t="str">
        <f>LEFT(Table4[[#This Row],[Policy Type]],1)</f>
        <v>2</v>
      </c>
    </row>
    <row r="4556" spans="1:3" x14ac:dyDescent="0.25">
      <c r="A4556">
        <v>249229</v>
      </c>
      <c r="B4556" t="s">
        <v>3</v>
      </c>
      <c r="C4556" t="str">
        <f>LEFT(Table4[[#This Row],[Policy Type]],1)</f>
        <v>2</v>
      </c>
    </row>
    <row r="4557" spans="1:3" x14ac:dyDescent="0.25">
      <c r="A4557">
        <v>249238</v>
      </c>
      <c r="B4557" t="s">
        <v>3</v>
      </c>
      <c r="C4557" t="str">
        <f>LEFT(Table4[[#This Row],[Policy Type]],1)</f>
        <v>2</v>
      </c>
    </row>
    <row r="4558" spans="1:3" x14ac:dyDescent="0.25">
      <c r="A4558">
        <v>249251</v>
      </c>
      <c r="B4558" t="s">
        <v>3</v>
      </c>
      <c r="C4558" t="str">
        <f>LEFT(Table4[[#This Row],[Policy Type]],1)</f>
        <v>2</v>
      </c>
    </row>
    <row r="4559" spans="1:3" x14ac:dyDescent="0.25">
      <c r="A4559">
        <v>249253</v>
      </c>
      <c r="B4559" t="s">
        <v>2</v>
      </c>
      <c r="C4559" t="str">
        <f>LEFT(Table4[[#This Row],[Policy Type]],1)</f>
        <v>1</v>
      </c>
    </row>
    <row r="4560" spans="1:3" x14ac:dyDescent="0.25">
      <c r="A4560">
        <v>249260</v>
      </c>
      <c r="B4560" t="s">
        <v>3</v>
      </c>
      <c r="C4560" t="str">
        <f>LEFT(Table4[[#This Row],[Policy Type]],1)</f>
        <v>2</v>
      </c>
    </row>
    <row r="4561" spans="1:3" x14ac:dyDescent="0.25">
      <c r="A4561">
        <v>249262</v>
      </c>
      <c r="B4561" t="s">
        <v>2</v>
      </c>
      <c r="C4561" t="str">
        <f>LEFT(Table4[[#This Row],[Policy Type]],1)</f>
        <v>1</v>
      </c>
    </row>
    <row r="4562" spans="1:3" x14ac:dyDescent="0.25">
      <c r="A4562">
        <v>249263</v>
      </c>
      <c r="B4562" t="s">
        <v>3</v>
      </c>
      <c r="C4562" t="str">
        <f>LEFT(Table4[[#This Row],[Policy Type]],1)</f>
        <v>2</v>
      </c>
    </row>
    <row r="4563" spans="1:3" x14ac:dyDescent="0.25">
      <c r="A4563">
        <v>249270</v>
      </c>
      <c r="B4563" t="s">
        <v>2</v>
      </c>
      <c r="C4563" t="str">
        <f>LEFT(Table4[[#This Row],[Policy Type]],1)</f>
        <v>1</v>
      </c>
    </row>
    <row r="4564" spans="1:3" x14ac:dyDescent="0.25">
      <c r="A4564">
        <v>249272</v>
      </c>
      <c r="B4564" t="s">
        <v>3</v>
      </c>
      <c r="C4564" t="str">
        <f>LEFT(Table4[[#This Row],[Policy Type]],1)</f>
        <v>2</v>
      </c>
    </row>
    <row r="4565" spans="1:3" x14ac:dyDescent="0.25">
      <c r="A4565">
        <v>249280</v>
      </c>
      <c r="B4565" t="s">
        <v>2</v>
      </c>
      <c r="C4565" t="str">
        <f>LEFT(Table4[[#This Row],[Policy Type]],1)</f>
        <v>1</v>
      </c>
    </row>
    <row r="4566" spans="1:3" x14ac:dyDescent="0.25">
      <c r="A4566">
        <v>249282</v>
      </c>
      <c r="B4566" t="s">
        <v>2</v>
      </c>
      <c r="C4566" t="str">
        <f>LEFT(Table4[[#This Row],[Policy Type]],1)</f>
        <v>1</v>
      </c>
    </row>
    <row r="4567" spans="1:3" x14ac:dyDescent="0.25">
      <c r="A4567">
        <v>249289</v>
      </c>
      <c r="B4567" t="s">
        <v>3</v>
      </c>
      <c r="C4567" t="str">
        <f>LEFT(Table4[[#This Row],[Policy Type]],1)</f>
        <v>2</v>
      </c>
    </row>
    <row r="4568" spans="1:3" x14ac:dyDescent="0.25">
      <c r="A4568">
        <v>249313</v>
      </c>
      <c r="B4568" t="s">
        <v>2</v>
      </c>
      <c r="C4568" t="str">
        <f>LEFT(Table4[[#This Row],[Policy Type]],1)</f>
        <v>1</v>
      </c>
    </row>
    <row r="4569" spans="1:3" x14ac:dyDescent="0.25">
      <c r="A4569">
        <v>249314</v>
      </c>
      <c r="B4569" t="s">
        <v>3</v>
      </c>
      <c r="C4569" t="str">
        <f>LEFT(Table4[[#This Row],[Policy Type]],1)</f>
        <v>2</v>
      </c>
    </row>
    <row r="4570" spans="1:3" x14ac:dyDescent="0.25">
      <c r="A4570">
        <v>249351</v>
      </c>
      <c r="B4570" t="s">
        <v>2</v>
      </c>
      <c r="C4570" t="str">
        <f>LEFT(Table4[[#This Row],[Policy Type]],1)</f>
        <v>1</v>
      </c>
    </row>
    <row r="4571" spans="1:3" x14ac:dyDescent="0.25">
      <c r="A4571">
        <v>249357</v>
      </c>
      <c r="B4571" t="s">
        <v>3</v>
      </c>
      <c r="C4571" t="str">
        <f>LEFT(Table4[[#This Row],[Policy Type]],1)</f>
        <v>2</v>
      </c>
    </row>
    <row r="4572" spans="1:3" x14ac:dyDescent="0.25">
      <c r="A4572">
        <v>249374</v>
      </c>
      <c r="B4572" t="s">
        <v>3</v>
      </c>
      <c r="C4572" t="str">
        <f>LEFT(Table4[[#This Row],[Policy Type]],1)</f>
        <v>2</v>
      </c>
    </row>
    <row r="4573" spans="1:3" x14ac:dyDescent="0.25">
      <c r="A4573">
        <v>249398</v>
      </c>
      <c r="B4573" t="s">
        <v>3</v>
      </c>
      <c r="C4573" t="str">
        <f>LEFT(Table4[[#This Row],[Policy Type]],1)</f>
        <v>2</v>
      </c>
    </row>
    <row r="4574" spans="1:3" x14ac:dyDescent="0.25">
      <c r="A4574">
        <v>249437</v>
      </c>
      <c r="B4574" t="s">
        <v>3</v>
      </c>
      <c r="C4574" t="str">
        <f>LEFT(Table4[[#This Row],[Policy Type]],1)</f>
        <v>2</v>
      </c>
    </row>
    <row r="4575" spans="1:3" x14ac:dyDescent="0.25">
      <c r="A4575">
        <v>249445</v>
      </c>
      <c r="B4575" t="s">
        <v>3</v>
      </c>
      <c r="C4575" t="str">
        <f>LEFT(Table4[[#This Row],[Policy Type]],1)</f>
        <v>2</v>
      </c>
    </row>
    <row r="4576" spans="1:3" x14ac:dyDescent="0.25">
      <c r="A4576">
        <v>249450</v>
      </c>
      <c r="B4576" t="s">
        <v>2</v>
      </c>
      <c r="C4576" t="str">
        <f>LEFT(Table4[[#This Row],[Policy Type]],1)</f>
        <v>1</v>
      </c>
    </row>
    <row r="4577" spans="1:3" x14ac:dyDescent="0.25">
      <c r="A4577">
        <v>249479</v>
      </c>
      <c r="B4577" t="s">
        <v>2</v>
      </c>
      <c r="C4577" t="str">
        <f>LEFT(Table4[[#This Row],[Policy Type]],1)</f>
        <v>1</v>
      </c>
    </row>
    <row r="4578" spans="1:3" x14ac:dyDescent="0.25">
      <c r="A4578">
        <v>249494</v>
      </c>
      <c r="B4578" t="s">
        <v>2</v>
      </c>
      <c r="C4578" t="str">
        <f>LEFT(Table4[[#This Row],[Policy Type]],1)</f>
        <v>1</v>
      </c>
    </row>
    <row r="4579" spans="1:3" x14ac:dyDescent="0.25">
      <c r="A4579">
        <v>249504</v>
      </c>
      <c r="B4579" t="s">
        <v>3</v>
      </c>
      <c r="C4579" t="str">
        <f>LEFT(Table4[[#This Row],[Policy Type]],1)</f>
        <v>2</v>
      </c>
    </row>
    <row r="4580" spans="1:3" x14ac:dyDescent="0.25">
      <c r="A4580">
        <v>249518</v>
      </c>
      <c r="B4580" t="s">
        <v>3</v>
      </c>
      <c r="C4580" t="str">
        <f>LEFT(Table4[[#This Row],[Policy Type]],1)</f>
        <v>2</v>
      </c>
    </row>
    <row r="4581" spans="1:3" x14ac:dyDescent="0.25">
      <c r="A4581">
        <v>249524</v>
      </c>
      <c r="B4581" t="s">
        <v>3</v>
      </c>
      <c r="C4581" t="str">
        <f>LEFT(Table4[[#This Row],[Policy Type]],1)</f>
        <v>2</v>
      </c>
    </row>
    <row r="4582" spans="1:3" x14ac:dyDescent="0.25">
      <c r="A4582">
        <v>249560</v>
      </c>
      <c r="B4582" t="s">
        <v>2</v>
      </c>
      <c r="C4582" t="str">
        <f>LEFT(Table4[[#This Row],[Policy Type]],1)</f>
        <v>1</v>
      </c>
    </row>
    <row r="4583" spans="1:3" x14ac:dyDescent="0.25">
      <c r="A4583">
        <v>249571</v>
      </c>
      <c r="B4583" t="s">
        <v>2</v>
      </c>
      <c r="C4583" t="str">
        <f>LEFT(Table4[[#This Row],[Policy Type]],1)</f>
        <v>1</v>
      </c>
    </row>
    <row r="4584" spans="1:3" x14ac:dyDescent="0.25">
      <c r="A4584">
        <v>249572</v>
      </c>
      <c r="B4584" t="s">
        <v>3</v>
      </c>
      <c r="C4584" t="str">
        <f>LEFT(Table4[[#This Row],[Policy Type]],1)</f>
        <v>2</v>
      </c>
    </row>
    <row r="4585" spans="1:3" x14ac:dyDescent="0.25">
      <c r="A4585">
        <v>249593</v>
      </c>
      <c r="B4585" t="s">
        <v>3</v>
      </c>
      <c r="C4585" t="str">
        <f>LEFT(Table4[[#This Row],[Policy Type]],1)</f>
        <v>2</v>
      </c>
    </row>
    <row r="4586" spans="1:3" x14ac:dyDescent="0.25">
      <c r="A4586">
        <v>249626</v>
      </c>
      <c r="B4586" t="s">
        <v>3</v>
      </c>
      <c r="C4586" t="str">
        <f>LEFT(Table4[[#This Row],[Policy Type]],1)</f>
        <v>2</v>
      </c>
    </row>
    <row r="4587" spans="1:3" x14ac:dyDescent="0.25">
      <c r="A4587">
        <v>249658</v>
      </c>
      <c r="B4587" t="s">
        <v>3</v>
      </c>
      <c r="C4587" t="str">
        <f>LEFT(Table4[[#This Row],[Policy Type]],1)</f>
        <v>2</v>
      </c>
    </row>
    <row r="4588" spans="1:3" x14ac:dyDescent="0.25">
      <c r="A4588">
        <v>249666</v>
      </c>
      <c r="B4588" t="s">
        <v>3</v>
      </c>
      <c r="C4588" t="str">
        <f>LEFT(Table4[[#This Row],[Policy Type]],1)</f>
        <v>2</v>
      </c>
    </row>
    <row r="4589" spans="1:3" x14ac:dyDescent="0.25">
      <c r="A4589">
        <v>249681</v>
      </c>
      <c r="B4589" t="s">
        <v>3</v>
      </c>
      <c r="C4589" t="str">
        <f>LEFT(Table4[[#This Row],[Policy Type]],1)</f>
        <v>2</v>
      </c>
    </row>
    <row r="4590" spans="1:3" x14ac:dyDescent="0.25">
      <c r="A4590">
        <v>249686</v>
      </c>
      <c r="B4590" t="s">
        <v>3</v>
      </c>
      <c r="C4590" t="str">
        <f>LEFT(Table4[[#This Row],[Policy Type]],1)</f>
        <v>2</v>
      </c>
    </row>
    <row r="4591" spans="1:3" x14ac:dyDescent="0.25">
      <c r="A4591">
        <v>249700</v>
      </c>
      <c r="B4591" t="s">
        <v>2</v>
      </c>
      <c r="C4591" t="str">
        <f>LEFT(Table4[[#This Row],[Policy Type]],1)</f>
        <v>1</v>
      </c>
    </row>
    <row r="4592" spans="1:3" x14ac:dyDescent="0.25">
      <c r="A4592">
        <v>249709</v>
      </c>
      <c r="B4592" t="s">
        <v>3</v>
      </c>
      <c r="C4592" t="str">
        <f>LEFT(Table4[[#This Row],[Policy Type]],1)</f>
        <v>2</v>
      </c>
    </row>
    <row r="4593" spans="1:3" x14ac:dyDescent="0.25">
      <c r="A4593">
        <v>249756</v>
      </c>
      <c r="B4593" t="s">
        <v>2</v>
      </c>
      <c r="C4593" t="str">
        <f>LEFT(Table4[[#This Row],[Policy Type]],1)</f>
        <v>1</v>
      </c>
    </row>
    <row r="4594" spans="1:3" x14ac:dyDescent="0.25">
      <c r="A4594">
        <v>249784</v>
      </c>
      <c r="B4594" t="s">
        <v>3</v>
      </c>
      <c r="C4594" t="str">
        <f>LEFT(Table4[[#This Row],[Policy Type]],1)</f>
        <v>2</v>
      </c>
    </row>
    <row r="4595" spans="1:3" x14ac:dyDescent="0.25">
      <c r="A4595">
        <v>249789</v>
      </c>
      <c r="B4595" t="s">
        <v>3</v>
      </c>
      <c r="C4595" t="str">
        <f>LEFT(Table4[[#This Row],[Policy Type]],1)</f>
        <v>2</v>
      </c>
    </row>
    <row r="4596" spans="1:3" x14ac:dyDescent="0.25">
      <c r="A4596">
        <v>249806</v>
      </c>
      <c r="B4596" t="s">
        <v>2</v>
      </c>
      <c r="C4596" t="str">
        <f>LEFT(Table4[[#This Row],[Policy Type]],1)</f>
        <v>1</v>
      </c>
    </row>
    <row r="4597" spans="1:3" x14ac:dyDescent="0.25">
      <c r="A4597">
        <v>249829</v>
      </c>
      <c r="B4597" t="s">
        <v>3</v>
      </c>
      <c r="C4597" t="str">
        <f>LEFT(Table4[[#This Row],[Policy Type]],1)</f>
        <v>2</v>
      </c>
    </row>
    <row r="4598" spans="1:3" x14ac:dyDescent="0.25">
      <c r="A4598">
        <v>249835</v>
      </c>
      <c r="B4598" t="s">
        <v>2</v>
      </c>
      <c r="C4598" t="str">
        <f>LEFT(Table4[[#This Row],[Policy Type]],1)</f>
        <v>1</v>
      </c>
    </row>
    <row r="4599" spans="1:3" x14ac:dyDescent="0.25">
      <c r="A4599">
        <v>249873</v>
      </c>
      <c r="B4599" t="s">
        <v>3</v>
      </c>
      <c r="C4599" t="str">
        <f>LEFT(Table4[[#This Row],[Policy Type]],1)</f>
        <v>2</v>
      </c>
    </row>
    <row r="4600" spans="1:3" x14ac:dyDescent="0.25">
      <c r="A4600">
        <v>249886</v>
      </c>
      <c r="B4600" t="s">
        <v>3</v>
      </c>
      <c r="C4600" t="str">
        <f>LEFT(Table4[[#This Row],[Policy Type]],1)</f>
        <v>2</v>
      </c>
    </row>
    <row r="4601" spans="1:3" x14ac:dyDescent="0.25">
      <c r="A4601">
        <v>249897</v>
      </c>
      <c r="B4601" t="s">
        <v>2</v>
      </c>
      <c r="C4601" t="str">
        <f>LEFT(Table4[[#This Row],[Policy Type]],1)</f>
        <v>1</v>
      </c>
    </row>
    <row r="4602" spans="1:3" x14ac:dyDescent="0.25">
      <c r="A4602">
        <v>249918</v>
      </c>
      <c r="B4602" t="s">
        <v>2</v>
      </c>
      <c r="C4602" t="str">
        <f>LEFT(Table4[[#This Row],[Policy Type]],1)</f>
        <v>1</v>
      </c>
    </row>
    <row r="4603" spans="1:3" x14ac:dyDescent="0.25">
      <c r="A4603">
        <v>249927</v>
      </c>
      <c r="B4603" t="s">
        <v>3</v>
      </c>
      <c r="C4603" t="str">
        <f>LEFT(Table4[[#This Row],[Policy Type]],1)</f>
        <v>2</v>
      </c>
    </row>
    <row r="4604" spans="1:3" x14ac:dyDescent="0.25">
      <c r="A4604">
        <v>249945</v>
      </c>
      <c r="B4604" t="s">
        <v>3</v>
      </c>
      <c r="C4604" t="str">
        <f>LEFT(Table4[[#This Row],[Policy Type]],1)</f>
        <v>2</v>
      </c>
    </row>
    <row r="4605" spans="1:3" x14ac:dyDescent="0.25">
      <c r="A4605">
        <v>249978</v>
      </c>
      <c r="B4605" t="s">
        <v>2</v>
      </c>
      <c r="C4605" t="str">
        <f>LEFT(Table4[[#This Row],[Policy Type]],1)</f>
        <v>1</v>
      </c>
    </row>
    <row r="4606" spans="1:3" x14ac:dyDescent="0.25">
      <c r="A4606">
        <v>249982</v>
      </c>
      <c r="B4606" t="s">
        <v>2</v>
      </c>
      <c r="C4606" t="str">
        <f>LEFT(Table4[[#This Row],[Policy Type]],1)</f>
        <v>1</v>
      </c>
    </row>
    <row r="4607" spans="1:3" x14ac:dyDescent="0.25">
      <c r="A4607">
        <v>249983</v>
      </c>
      <c r="B4607" t="s">
        <v>2</v>
      </c>
      <c r="C4607" t="str">
        <f>LEFT(Table4[[#This Row],[Policy Type]],1)</f>
        <v>1</v>
      </c>
    </row>
    <row r="4608" spans="1:3" x14ac:dyDescent="0.25">
      <c r="A4608">
        <v>249996</v>
      </c>
      <c r="B4608" t="s">
        <v>3</v>
      </c>
      <c r="C4608" t="str">
        <f>LEFT(Table4[[#This Row],[Policy Type]],1)</f>
        <v>2</v>
      </c>
    </row>
    <row r="4609" spans="1:3" x14ac:dyDescent="0.25">
      <c r="A4609">
        <v>249999</v>
      </c>
      <c r="B4609" t="s">
        <v>2</v>
      </c>
      <c r="C4609" t="str">
        <f>LEFT(Table4[[#This Row],[Policy Type]],1)</f>
        <v>1</v>
      </c>
    </row>
    <row r="4610" spans="1:3" x14ac:dyDescent="0.25">
      <c r="A4610">
        <v>250005</v>
      </c>
      <c r="B4610" t="s">
        <v>2</v>
      </c>
      <c r="C4610" t="str">
        <f>LEFT(Table4[[#This Row],[Policy Type]],1)</f>
        <v>1</v>
      </c>
    </row>
    <row r="4611" spans="1:3" x14ac:dyDescent="0.25">
      <c r="A4611">
        <v>250017</v>
      </c>
      <c r="B4611" t="s">
        <v>2</v>
      </c>
      <c r="C4611" t="str">
        <f>LEFT(Table4[[#This Row],[Policy Type]],1)</f>
        <v>1</v>
      </c>
    </row>
    <row r="4612" spans="1:3" x14ac:dyDescent="0.25">
      <c r="A4612">
        <v>250030</v>
      </c>
      <c r="B4612" t="s">
        <v>3</v>
      </c>
      <c r="C4612" t="str">
        <f>LEFT(Table4[[#This Row],[Policy Type]],1)</f>
        <v>2</v>
      </c>
    </row>
    <row r="4613" spans="1:3" x14ac:dyDescent="0.25">
      <c r="A4613">
        <v>250065</v>
      </c>
      <c r="B4613" t="s">
        <v>2</v>
      </c>
      <c r="C4613" t="str">
        <f>LEFT(Table4[[#This Row],[Policy Type]],1)</f>
        <v>1</v>
      </c>
    </row>
    <row r="4614" spans="1:3" x14ac:dyDescent="0.25">
      <c r="A4614">
        <v>250069</v>
      </c>
      <c r="B4614" t="s">
        <v>2</v>
      </c>
      <c r="C4614" t="str">
        <f>LEFT(Table4[[#This Row],[Policy Type]],1)</f>
        <v>1</v>
      </c>
    </row>
    <row r="4615" spans="1:3" x14ac:dyDescent="0.25">
      <c r="A4615">
        <v>250080</v>
      </c>
      <c r="B4615" t="s">
        <v>2</v>
      </c>
      <c r="C4615" t="str">
        <f>LEFT(Table4[[#This Row],[Policy Type]],1)</f>
        <v>1</v>
      </c>
    </row>
    <row r="4616" spans="1:3" x14ac:dyDescent="0.25">
      <c r="A4616">
        <v>250102</v>
      </c>
      <c r="B4616" t="s">
        <v>3</v>
      </c>
      <c r="C4616" t="str">
        <f>LEFT(Table4[[#This Row],[Policy Type]],1)</f>
        <v>2</v>
      </c>
    </row>
    <row r="4617" spans="1:3" x14ac:dyDescent="0.25">
      <c r="A4617">
        <v>250112</v>
      </c>
      <c r="B4617" t="s">
        <v>2</v>
      </c>
      <c r="C4617" t="str">
        <f>LEFT(Table4[[#This Row],[Policy Type]],1)</f>
        <v>1</v>
      </c>
    </row>
    <row r="4618" spans="1:3" x14ac:dyDescent="0.25">
      <c r="A4618">
        <v>250123</v>
      </c>
      <c r="B4618" t="s">
        <v>3</v>
      </c>
      <c r="C4618" t="str">
        <f>LEFT(Table4[[#This Row],[Policy Type]],1)</f>
        <v>2</v>
      </c>
    </row>
    <row r="4619" spans="1:3" x14ac:dyDescent="0.25">
      <c r="A4619">
        <v>250151</v>
      </c>
      <c r="B4619" t="s">
        <v>3</v>
      </c>
      <c r="C4619" t="str">
        <f>LEFT(Table4[[#This Row],[Policy Type]],1)</f>
        <v>2</v>
      </c>
    </row>
    <row r="4620" spans="1:3" x14ac:dyDescent="0.25">
      <c r="A4620">
        <v>250161</v>
      </c>
      <c r="B4620" t="s">
        <v>3</v>
      </c>
      <c r="C4620" t="str">
        <f>LEFT(Table4[[#This Row],[Policy Type]],1)</f>
        <v>2</v>
      </c>
    </row>
    <row r="4621" spans="1:3" x14ac:dyDescent="0.25">
      <c r="A4621">
        <v>250179</v>
      </c>
      <c r="B4621" t="s">
        <v>3</v>
      </c>
      <c r="C4621" t="str">
        <f>LEFT(Table4[[#This Row],[Policy Type]],1)</f>
        <v>2</v>
      </c>
    </row>
    <row r="4622" spans="1:3" x14ac:dyDescent="0.25">
      <c r="A4622">
        <v>250183</v>
      </c>
      <c r="B4622" t="s">
        <v>3</v>
      </c>
      <c r="C4622" t="str">
        <f>LEFT(Table4[[#This Row],[Policy Type]],1)</f>
        <v>2</v>
      </c>
    </row>
    <row r="4623" spans="1:3" x14ac:dyDescent="0.25">
      <c r="A4623">
        <v>250185</v>
      </c>
      <c r="B4623" t="s">
        <v>3</v>
      </c>
      <c r="C4623" t="str">
        <f>LEFT(Table4[[#This Row],[Policy Type]],1)</f>
        <v>2</v>
      </c>
    </row>
    <row r="4624" spans="1:3" x14ac:dyDescent="0.25">
      <c r="A4624">
        <v>250193</v>
      </c>
      <c r="B4624" t="s">
        <v>3</v>
      </c>
      <c r="C4624" t="str">
        <f>LEFT(Table4[[#This Row],[Policy Type]],1)</f>
        <v>2</v>
      </c>
    </row>
    <row r="4625" spans="1:3" x14ac:dyDescent="0.25">
      <c r="A4625">
        <v>250207</v>
      </c>
      <c r="B4625" t="s">
        <v>3</v>
      </c>
      <c r="C4625" t="str">
        <f>LEFT(Table4[[#This Row],[Policy Type]],1)</f>
        <v>2</v>
      </c>
    </row>
    <row r="4626" spans="1:3" x14ac:dyDescent="0.25">
      <c r="A4626">
        <v>250218</v>
      </c>
      <c r="B4626" t="s">
        <v>3</v>
      </c>
      <c r="C4626" t="str">
        <f>LEFT(Table4[[#This Row],[Policy Type]],1)</f>
        <v>2</v>
      </c>
    </row>
    <row r="4627" spans="1:3" x14ac:dyDescent="0.25">
      <c r="A4627">
        <v>250232</v>
      </c>
      <c r="B4627" t="s">
        <v>3</v>
      </c>
      <c r="C4627" t="str">
        <f>LEFT(Table4[[#This Row],[Policy Type]],1)</f>
        <v>2</v>
      </c>
    </row>
    <row r="4628" spans="1:3" x14ac:dyDescent="0.25">
      <c r="A4628">
        <v>250248</v>
      </c>
      <c r="B4628" t="s">
        <v>2</v>
      </c>
      <c r="C4628" t="str">
        <f>LEFT(Table4[[#This Row],[Policy Type]],1)</f>
        <v>1</v>
      </c>
    </row>
    <row r="4629" spans="1:3" x14ac:dyDescent="0.25">
      <c r="A4629">
        <v>250250</v>
      </c>
      <c r="B4629" t="s">
        <v>2</v>
      </c>
      <c r="C4629" t="str">
        <f>LEFT(Table4[[#This Row],[Policy Type]],1)</f>
        <v>1</v>
      </c>
    </row>
    <row r="4630" spans="1:3" x14ac:dyDescent="0.25">
      <c r="A4630">
        <v>250262</v>
      </c>
      <c r="B4630" t="s">
        <v>3</v>
      </c>
      <c r="C4630" t="str">
        <f>LEFT(Table4[[#This Row],[Policy Type]],1)</f>
        <v>2</v>
      </c>
    </row>
    <row r="4631" spans="1:3" x14ac:dyDescent="0.25">
      <c r="A4631">
        <v>250313</v>
      </c>
      <c r="B4631" t="s">
        <v>2</v>
      </c>
      <c r="C4631" t="str">
        <f>LEFT(Table4[[#This Row],[Policy Type]],1)</f>
        <v>1</v>
      </c>
    </row>
    <row r="4632" spans="1:3" x14ac:dyDescent="0.25">
      <c r="A4632">
        <v>250321</v>
      </c>
      <c r="B4632" t="s">
        <v>3</v>
      </c>
      <c r="C4632" t="str">
        <f>LEFT(Table4[[#This Row],[Policy Type]],1)</f>
        <v>2</v>
      </c>
    </row>
    <row r="4633" spans="1:3" x14ac:dyDescent="0.25">
      <c r="A4633">
        <v>250340</v>
      </c>
      <c r="B4633" t="s">
        <v>2</v>
      </c>
      <c r="C4633" t="str">
        <f>LEFT(Table4[[#This Row],[Policy Type]],1)</f>
        <v>1</v>
      </c>
    </row>
    <row r="4634" spans="1:3" x14ac:dyDescent="0.25">
      <c r="A4634">
        <v>250347</v>
      </c>
      <c r="B4634" t="s">
        <v>2</v>
      </c>
      <c r="C4634" t="str">
        <f>LEFT(Table4[[#This Row],[Policy Type]],1)</f>
        <v>1</v>
      </c>
    </row>
    <row r="4635" spans="1:3" x14ac:dyDescent="0.25">
      <c r="A4635">
        <v>250358</v>
      </c>
      <c r="B4635" t="s">
        <v>2</v>
      </c>
      <c r="C4635" t="str">
        <f>LEFT(Table4[[#This Row],[Policy Type]],1)</f>
        <v>1</v>
      </c>
    </row>
    <row r="4636" spans="1:3" x14ac:dyDescent="0.25">
      <c r="A4636">
        <v>250376</v>
      </c>
      <c r="B4636" t="s">
        <v>2</v>
      </c>
      <c r="C4636" t="str">
        <f>LEFT(Table4[[#This Row],[Policy Type]],1)</f>
        <v>1</v>
      </c>
    </row>
    <row r="4637" spans="1:3" x14ac:dyDescent="0.25">
      <c r="A4637">
        <v>250377</v>
      </c>
      <c r="B4637" t="s">
        <v>2</v>
      </c>
      <c r="C4637" t="str">
        <f>LEFT(Table4[[#This Row],[Policy Type]],1)</f>
        <v>1</v>
      </c>
    </row>
    <row r="4638" spans="1:3" x14ac:dyDescent="0.25">
      <c r="A4638">
        <v>250392</v>
      </c>
      <c r="B4638" t="s">
        <v>2</v>
      </c>
      <c r="C4638" t="str">
        <f>LEFT(Table4[[#This Row],[Policy Type]],1)</f>
        <v>1</v>
      </c>
    </row>
    <row r="4639" spans="1:3" x14ac:dyDescent="0.25">
      <c r="A4639">
        <v>250394</v>
      </c>
      <c r="B4639" t="s">
        <v>3</v>
      </c>
      <c r="C4639" t="str">
        <f>LEFT(Table4[[#This Row],[Policy Type]],1)</f>
        <v>2</v>
      </c>
    </row>
    <row r="4640" spans="1:3" x14ac:dyDescent="0.25">
      <c r="A4640">
        <v>250405</v>
      </c>
      <c r="B4640" t="s">
        <v>2</v>
      </c>
      <c r="C4640" t="str">
        <f>LEFT(Table4[[#This Row],[Policy Type]],1)</f>
        <v>1</v>
      </c>
    </row>
    <row r="4641" spans="1:3" x14ac:dyDescent="0.25">
      <c r="A4641">
        <v>250412</v>
      </c>
      <c r="B4641" t="s">
        <v>2</v>
      </c>
      <c r="C4641" t="str">
        <f>LEFT(Table4[[#This Row],[Policy Type]],1)</f>
        <v>1</v>
      </c>
    </row>
    <row r="4642" spans="1:3" x14ac:dyDescent="0.25">
      <c r="A4642">
        <v>250419</v>
      </c>
      <c r="B4642" t="s">
        <v>3</v>
      </c>
      <c r="C4642" t="str">
        <f>LEFT(Table4[[#This Row],[Policy Type]],1)</f>
        <v>2</v>
      </c>
    </row>
    <row r="4643" spans="1:3" x14ac:dyDescent="0.25">
      <c r="A4643">
        <v>250431</v>
      </c>
      <c r="B4643" t="s">
        <v>3</v>
      </c>
      <c r="C4643" t="str">
        <f>LEFT(Table4[[#This Row],[Policy Type]],1)</f>
        <v>2</v>
      </c>
    </row>
    <row r="4644" spans="1:3" x14ac:dyDescent="0.25">
      <c r="A4644">
        <v>250437</v>
      </c>
      <c r="B4644" t="s">
        <v>3</v>
      </c>
      <c r="C4644" t="str">
        <f>LEFT(Table4[[#This Row],[Policy Type]],1)</f>
        <v>2</v>
      </c>
    </row>
    <row r="4645" spans="1:3" x14ac:dyDescent="0.25">
      <c r="A4645">
        <v>250447</v>
      </c>
      <c r="B4645" t="s">
        <v>2</v>
      </c>
      <c r="C4645" t="str">
        <f>LEFT(Table4[[#This Row],[Policy Type]],1)</f>
        <v>1</v>
      </c>
    </row>
    <row r="4646" spans="1:3" x14ac:dyDescent="0.25">
      <c r="A4646">
        <v>250473</v>
      </c>
      <c r="B4646" t="s">
        <v>3</v>
      </c>
      <c r="C4646" t="str">
        <f>LEFT(Table4[[#This Row],[Policy Type]],1)</f>
        <v>2</v>
      </c>
    </row>
    <row r="4647" spans="1:3" x14ac:dyDescent="0.25">
      <c r="A4647">
        <v>250483</v>
      </c>
      <c r="B4647" t="s">
        <v>3</v>
      </c>
      <c r="C4647" t="str">
        <f>LEFT(Table4[[#This Row],[Policy Type]],1)</f>
        <v>2</v>
      </c>
    </row>
    <row r="4648" spans="1:3" x14ac:dyDescent="0.25">
      <c r="A4648">
        <v>250495</v>
      </c>
      <c r="B4648" t="s">
        <v>3</v>
      </c>
      <c r="C4648" t="str">
        <f>LEFT(Table4[[#This Row],[Policy Type]],1)</f>
        <v>2</v>
      </c>
    </row>
    <row r="4649" spans="1:3" x14ac:dyDescent="0.25">
      <c r="A4649">
        <v>250530</v>
      </c>
      <c r="B4649" t="s">
        <v>2</v>
      </c>
      <c r="C4649" t="str">
        <f>LEFT(Table4[[#This Row],[Policy Type]],1)</f>
        <v>1</v>
      </c>
    </row>
    <row r="4650" spans="1:3" x14ac:dyDescent="0.25">
      <c r="A4650">
        <v>250533</v>
      </c>
      <c r="B4650" t="s">
        <v>2</v>
      </c>
      <c r="C4650" t="str">
        <f>LEFT(Table4[[#This Row],[Policy Type]],1)</f>
        <v>1</v>
      </c>
    </row>
    <row r="4651" spans="1:3" x14ac:dyDescent="0.25">
      <c r="A4651">
        <v>250559</v>
      </c>
      <c r="B4651" t="s">
        <v>2</v>
      </c>
      <c r="C4651" t="str">
        <f>LEFT(Table4[[#This Row],[Policy Type]],1)</f>
        <v>1</v>
      </c>
    </row>
    <row r="4652" spans="1:3" x14ac:dyDescent="0.25">
      <c r="A4652">
        <v>250561</v>
      </c>
      <c r="B4652" t="s">
        <v>2</v>
      </c>
      <c r="C4652" t="str">
        <f>LEFT(Table4[[#This Row],[Policy Type]],1)</f>
        <v>1</v>
      </c>
    </row>
    <row r="4653" spans="1:3" x14ac:dyDescent="0.25">
      <c r="A4653">
        <v>250563</v>
      </c>
      <c r="B4653" t="s">
        <v>3</v>
      </c>
      <c r="C4653" t="str">
        <f>LEFT(Table4[[#This Row],[Policy Type]],1)</f>
        <v>2</v>
      </c>
    </row>
    <row r="4654" spans="1:3" x14ac:dyDescent="0.25">
      <c r="A4654">
        <v>250573</v>
      </c>
      <c r="B4654" t="s">
        <v>3</v>
      </c>
      <c r="C4654" t="str">
        <f>LEFT(Table4[[#This Row],[Policy Type]],1)</f>
        <v>2</v>
      </c>
    </row>
    <row r="4655" spans="1:3" x14ac:dyDescent="0.25">
      <c r="A4655">
        <v>250576</v>
      </c>
      <c r="B4655" t="s">
        <v>3</v>
      </c>
      <c r="C4655" t="str">
        <f>LEFT(Table4[[#This Row],[Policy Type]],1)</f>
        <v>2</v>
      </c>
    </row>
    <row r="4656" spans="1:3" x14ac:dyDescent="0.25">
      <c r="A4656">
        <v>250600</v>
      </c>
      <c r="B4656" t="s">
        <v>2</v>
      </c>
      <c r="C4656" t="str">
        <f>LEFT(Table4[[#This Row],[Policy Type]],1)</f>
        <v>1</v>
      </c>
    </row>
    <row r="4657" spans="1:3" x14ac:dyDescent="0.25">
      <c r="A4657">
        <v>250602</v>
      </c>
      <c r="B4657" t="s">
        <v>3</v>
      </c>
      <c r="C4657" t="str">
        <f>LEFT(Table4[[#This Row],[Policy Type]],1)</f>
        <v>2</v>
      </c>
    </row>
    <row r="4658" spans="1:3" x14ac:dyDescent="0.25">
      <c r="A4658">
        <v>250620</v>
      </c>
      <c r="B4658" t="s">
        <v>2</v>
      </c>
      <c r="C4658" t="str">
        <f>LEFT(Table4[[#This Row],[Policy Type]],1)</f>
        <v>1</v>
      </c>
    </row>
    <row r="4659" spans="1:3" x14ac:dyDescent="0.25">
      <c r="A4659">
        <v>250624</v>
      </c>
      <c r="B4659" t="s">
        <v>2</v>
      </c>
      <c r="C4659" t="str">
        <f>LEFT(Table4[[#This Row],[Policy Type]],1)</f>
        <v>1</v>
      </c>
    </row>
    <row r="4660" spans="1:3" x14ac:dyDescent="0.25">
      <c r="A4660">
        <v>250638</v>
      </c>
      <c r="B4660" t="s">
        <v>2</v>
      </c>
      <c r="C4660" t="str">
        <f>LEFT(Table4[[#This Row],[Policy Type]],1)</f>
        <v>1</v>
      </c>
    </row>
    <row r="4661" spans="1:3" x14ac:dyDescent="0.25">
      <c r="A4661">
        <v>250641</v>
      </c>
      <c r="B4661" t="s">
        <v>3</v>
      </c>
      <c r="C4661" t="str">
        <f>LEFT(Table4[[#This Row],[Policy Type]],1)</f>
        <v>2</v>
      </c>
    </row>
    <row r="4662" spans="1:3" x14ac:dyDescent="0.25">
      <c r="A4662">
        <v>250647</v>
      </c>
      <c r="B4662" t="s">
        <v>3</v>
      </c>
      <c r="C4662" t="str">
        <f>LEFT(Table4[[#This Row],[Policy Type]],1)</f>
        <v>2</v>
      </c>
    </row>
    <row r="4663" spans="1:3" x14ac:dyDescent="0.25">
      <c r="A4663">
        <v>250657</v>
      </c>
      <c r="B4663" t="s">
        <v>3</v>
      </c>
      <c r="C4663" t="str">
        <f>LEFT(Table4[[#This Row],[Policy Type]],1)</f>
        <v>2</v>
      </c>
    </row>
    <row r="4664" spans="1:3" x14ac:dyDescent="0.25">
      <c r="A4664">
        <v>250658</v>
      </c>
      <c r="B4664" t="s">
        <v>2</v>
      </c>
      <c r="C4664" t="str">
        <f>LEFT(Table4[[#This Row],[Policy Type]],1)</f>
        <v>1</v>
      </c>
    </row>
    <row r="4665" spans="1:3" x14ac:dyDescent="0.25">
      <c r="A4665">
        <v>250679</v>
      </c>
      <c r="B4665" t="s">
        <v>2</v>
      </c>
      <c r="C4665" t="str">
        <f>LEFT(Table4[[#This Row],[Policy Type]],1)</f>
        <v>1</v>
      </c>
    </row>
    <row r="4666" spans="1:3" x14ac:dyDescent="0.25">
      <c r="A4666">
        <v>250689</v>
      </c>
      <c r="B4666" t="s">
        <v>3</v>
      </c>
      <c r="C4666" t="str">
        <f>LEFT(Table4[[#This Row],[Policy Type]],1)</f>
        <v>2</v>
      </c>
    </row>
    <row r="4667" spans="1:3" x14ac:dyDescent="0.25">
      <c r="A4667">
        <v>250714</v>
      </c>
      <c r="B4667" t="s">
        <v>2</v>
      </c>
      <c r="C4667" t="str">
        <f>LEFT(Table4[[#This Row],[Policy Type]],1)</f>
        <v>1</v>
      </c>
    </row>
    <row r="4668" spans="1:3" x14ac:dyDescent="0.25">
      <c r="A4668">
        <v>250715</v>
      </c>
      <c r="B4668" t="s">
        <v>2</v>
      </c>
      <c r="C4668" t="str">
        <f>LEFT(Table4[[#This Row],[Policy Type]],1)</f>
        <v>1</v>
      </c>
    </row>
    <row r="4669" spans="1:3" x14ac:dyDescent="0.25">
      <c r="A4669">
        <v>250729</v>
      </c>
      <c r="B4669" t="s">
        <v>2</v>
      </c>
      <c r="C4669" t="str">
        <f>LEFT(Table4[[#This Row],[Policy Type]],1)</f>
        <v>1</v>
      </c>
    </row>
    <row r="4670" spans="1:3" x14ac:dyDescent="0.25">
      <c r="A4670">
        <v>250733</v>
      </c>
      <c r="B4670" t="s">
        <v>2</v>
      </c>
      <c r="C4670" t="str">
        <f>LEFT(Table4[[#This Row],[Policy Type]],1)</f>
        <v>1</v>
      </c>
    </row>
    <row r="4671" spans="1:3" x14ac:dyDescent="0.25">
      <c r="A4671">
        <v>250744</v>
      </c>
      <c r="B4671" t="s">
        <v>3</v>
      </c>
      <c r="C4671" t="str">
        <f>LEFT(Table4[[#This Row],[Policy Type]],1)</f>
        <v>2</v>
      </c>
    </row>
    <row r="4672" spans="1:3" x14ac:dyDescent="0.25">
      <c r="A4672">
        <v>250758</v>
      </c>
      <c r="B4672" t="s">
        <v>2</v>
      </c>
      <c r="C4672" t="str">
        <f>LEFT(Table4[[#This Row],[Policy Type]],1)</f>
        <v>1</v>
      </c>
    </row>
    <row r="4673" spans="1:3" x14ac:dyDescent="0.25">
      <c r="A4673">
        <v>250788</v>
      </c>
      <c r="B4673" t="s">
        <v>3</v>
      </c>
      <c r="C4673" t="str">
        <f>LEFT(Table4[[#This Row],[Policy Type]],1)</f>
        <v>2</v>
      </c>
    </row>
    <row r="4674" spans="1:3" x14ac:dyDescent="0.25">
      <c r="A4674">
        <v>250827</v>
      </c>
      <c r="B4674" t="s">
        <v>3</v>
      </c>
      <c r="C4674" t="str">
        <f>LEFT(Table4[[#This Row],[Policy Type]],1)</f>
        <v>2</v>
      </c>
    </row>
    <row r="4675" spans="1:3" x14ac:dyDescent="0.25">
      <c r="A4675">
        <v>250828</v>
      </c>
      <c r="B4675" t="s">
        <v>3</v>
      </c>
      <c r="C4675" t="str">
        <f>LEFT(Table4[[#This Row],[Policy Type]],1)</f>
        <v>2</v>
      </c>
    </row>
    <row r="4676" spans="1:3" x14ac:dyDescent="0.25">
      <c r="A4676">
        <v>250840</v>
      </c>
      <c r="B4676" t="s">
        <v>2</v>
      </c>
      <c r="C4676" t="str">
        <f>LEFT(Table4[[#This Row],[Policy Type]],1)</f>
        <v>1</v>
      </c>
    </row>
    <row r="4677" spans="1:3" x14ac:dyDescent="0.25">
      <c r="A4677">
        <v>250858</v>
      </c>
      <c r="B4677" t="s">
        <v>3</v>
      </c>
      <c r="C4677" t="str">
        <f>LEFT(Table4[[#This Row],[Policy Type]],1)</f>
        <v>2</v>
      </c>
    </row>
    <row r="4678" spans="1:3" x14ac:dyDescent="0.25">
      <c r="A4678">
        <v>250860</v>
      </c>
      <c r="B4678" t="s">
        <v>2</v>
      </c>
      <c r="C4678" t="str">
        <f>LEFT(Table4[[#This Row],[Policy Type]],1)</f>
        <v>1</v>
      </c>
    </row>
    <row r="4679" spans="1:3" x14ac:dyDescent="0.25">
      <c r="A4679">
        <v>250869</v>
      </c>
      <c r="B4679" t="s">
        <v>3</v>
      </c>
      <c r="C4679" t="str">
        <f>LEFT(Table4[[#This Row],[Policy Type]],1)</f>
        <v>2</v>
      </c>
    </row>
    <row r="4680" spans="1:3" x14ac:dyDescent="0.25">
      <c r="A4680">
        <v>250892</v>
      </c>
      <c r="B4680" t="s">
        <v>2</v>
      </c>
      <c r="C4680" t="str">
        <f>LEFT(Table4[[#This Row],[Policy Type]],1)</f>
        <v>1</v>
      </c>
    </row>
    <row r="4681" spans="1:3" x14ac:dyDescent="0.25">
      <c r="A4681">
        <v>250897</v>
      </c>
      <c r="B4681" t="s">
        <v>3</v>
      </c>
      <c r="C4681" t="str">
        <f>LEFT(Table4[[#This Row],[Policy Type]],1)</f>
        <v>2</v>
      </c>
    </row>
    <row r="4682" spans="1:3" x14ac:dyDescent="0.25">
      <c r="A4682">
        <v>250904</v>
      </c>
      <c r="B4682" t="s">
        <v>3</v>
      </c>
      <c r="C4682" t="str">
        <f>LEFT(Table4[[#This Row],[Policy Type]],1)</f>
        <v>2</v>
      </c>
    </row>
    <row r="4683" spans="1:3" x14ac:dyDescent="0.25">
      <c r="A4683">
        <v>250915</v>
      </c>
      <c r="B4683" t="s">
        <v>3</v>
      </c>
      <c r="C4683" t="str">
        <f>LEFT(Table4[[#This Row],[Policy Type]],1)</f>
        <v>2</v>
      </c>
    </row>
    <row r="4684" spans="1:3" x14ac:dyDescent="0.25">
      <c r="A4684">
        <v>250931</v>
      </c>
      <c r="B4684" t="s">
        <v>2</v>
      </c>
      <c r="C4684" t="str">
        <f>LEFT(Table4[[#This Row],[Policy Type]],1)</f>
        <v>1</v>
      </c>
    </row>
    <row r="4685" spans="1:3" x14ac:dyDescent="0.25">
      <c r="A4685">
        <v>250936</v>
      </c>
      <c r="B4685" t="s">
        <v>2</v>
      </c>
      <c r="C4685" t="str">
        <f>LEFT(Table4[[#This Row],[Policy Type]],1)</f>
        <v>1</v>
      </c>
    </row>
    <row r="4686" spans="1:3" x14ac:dyDescent="0.25">
      <c r="A4686">
        <v>250964</v>
      </c>
      <c r="B4686" t="s">
        <v>3</v>
      </c>
      <c r="C4686" t="str">
        <f>LEFT(Table4[[#This Row],[Policy Type]],1)</f>
        <v>2</v>
      </c>
    </row>
    <row r="4687" spans="1:3" x14ac:dyDescent="0.25">
      <c r="A4687">
        <v>250968</v>
      </c>
      <c r="B4687" t="s">
        <v>3</v>
      </c>
      <c r="C4687" t="str">
        <f>LEFT(Table4[[#This Row],[Policy Type]],1)</f>
        <v>2</v>
      </c>
    </row>
    <row r="4688" spans="1:3" x14ac:dyDescent="0.25">
      <c r="A4688">
        <v>251007</v>
      </c>
      <c r="B4688" t="s">
        <v>3</v>
      </c>
      <c r="C4688" t="str">
        <f>LEFT(Table4[[#This Row],[Policy Type]],1)</f>
        <v>2</v>
      </c>
    </row>
    <row r="4689" spans="1:3" x14ac:dyDescent="0.25">
      <c r="A4689">
        <v>251023</v>
      </c>
      <c r="B4689" t="s">
        <v>2</v>
      </c>
      <c r="C4689" t="str">
        <f>LEFT(Table4[[#This Row],[Policy Type]],1)</f>
        <v>1</v>
      </c>
    </row>
    <row r="4690" spans="1:3" x14ac:dyDescent="0.25">
      <c r="A4690">
        <v>251028</v>
      </c>
      <c r="B4690" t="s">
        <v>2</v>
      </c>
      <c r="C4690" t="str">
        <f>LEFT(Table4[[#This Row],[Policy Type]],1)</f>
        <v>1</v>
      </c>
    </row>
    <row r="4691" spans="1:3" x14ac:dyDescent="0.25">
      <c r="A4691">
        <v>251039</v>
      </c>
      <c r="B4691" t="s">
        <v>3</v>
      </c>
      <c r="C4691" t="str">
        <f>LEFT(Table4[[#This Row],[Policy Type]],1)</f>
        <v>2</v>
      </c>
    </row>
    <row r="4692" spans="1:3" x14ac:dyDescent="0.25">
      <c r="A4692">
        <v>251042</v>
      </c>
      <c r="B4692" t="s">
        <v>2</v>
      </c>
      <c r="C4692" t="str">
        <f>LEFT(Table4[[#This Row],[Policy Type]],1)</f>
        <v>1</v>
      </c>
    </row>
    <row r="4693" spans="1:3" x14ac:dyDescent="0.25">
      <c r="A4693">
        <v>251054</v>
      </c>
      <c r="B4693" t="s">
        <v>2</v>
      </c>
      <c r="C4693" t="str">
        <f>LEFT(Table4[[#This Row],[Policy Type]],1)</f>
        <v>1</v>
      </c>
    </row>
    <row r="4694" spans="1:3" x14ac:dyDescent="0.25">
      <c r="A4694">
        <v>251058</v>
      </c>
      <c r="B4694" t="s">
        <v>3</v>
      </c>
      <c r="C4694" t="str">
        <f>LEFT(Table4[[#This Row],[Policy Type]],1)</f>
        <v>2</v>
      </c>
    </row>
    <row r="4695" spans="1:3" x14ac:dyDescent="0.25">
      <c r="A4695">
        <v>251064</v>
      </c>
      <c r="B4695" t="s">
        <v>3</v>
      </c>
      <c r="C4695" t="str">
        <f>LEFT(Table4[[#This Row],[Policy Type]],1)</f>
        <v>2</v>
      </c>
    </row>
    <row r="4696" spans="1:3" x14ac:dyDescent="0.25">
      <c r="A4696">
        <v>251081</v>
      </c>
      <c r="B4696" t="s">
        <v>2</v>
      </c>
      <c r="C4696" t="str">
        <f>LEFT(Table4[[#This Row],[Policy Type]],1)</f>
        <v>1</v>
      </c>
    </row>
    <row r="4697" spans="1:3" x14ac:dyDescent="0.25">
      <c r="A4697">
        <v>251094</v>
      </c>
      <c r="B4697" t="s">
        <v>3</v>
      </c>
      <c r="C4697" t="str">
        <f>LEFT(Table4[[#This Row],[Policy Type]],1)</f>
        <v>2</v>
      </c>
    </row>
    <row r="4698" spans="1:3" x14ac:dyDescent="0.25">
      <c r="A4698">
        <v>251106</v>
      </c>
      <c r="B4698" t="s">
        <v>2</v>
      </c>
      <c r="C4698" t="str">
        <f>LEFT(Table4[[#This Row],[Policy Type]],1)</f>
        <v>1</v>
      </c>
    </row>
    <row r="4699" spans="1:3" x14ac:dyDescent="0.25">
      <c r="A4699">
        <v>251115</v>
      </c>
      <c r="B4699" t="s">
        <v>2</v>
      </c>
      <c r="C4699" t="str">
        <f>LEFT(Table4[[#This Row],[Policy Type]],1)</f>
        <v>1</v>
      </c>
    </row>
    <row r="4700" spans="1:3" x14ac:dyDescent="0.25">
      <c r="A4700">
        <v>251120</v>
      </c>
      <c r="B4700" t="s">
        <v>3</v>
      </c>
      <c r="C4700" t="str">
        <f>LEFT(Table4[[#This Row],[Policy Type]],1)</f>
        <v>2</v>
      </c>
    </row>
    <row r="4701" spans="1:3" x14ac:dyDescent="0.25">
      <c r="A4701">
        <v>251140</v>
      </c>
      <c r="B4701" t="s">
        <v>3</v>
      </c>
      <c r="C4701" t="str">
        <f>LEFT(Table4[[#This Row],[Policy Type]],1)</f>
        <v>2</v>
      </c>
    </row>
    <row r="4702" spans="1:3" x14ac:dyDescent="0.25">
      <c r="A4702">
        <v>251147</v>
      </c>
      <c r="B4702" t="s">
        <v>2</v>
      </c>
      <c r="C4702" t="str">
        <f>LEFT(Table4[[#This Row],[Policy Type]],1)</f>
        <v>1</v>
      </c>
    </row>
    <row r="4703" spans="1:3" x14ac:dyDescent="0.25">
      <c r="A4703">
        <v>251156</v>
      </c>
      <c r="B4703" t="s">
        <v>2</v>
      </c>
      <c r="C4703" t="str">
        <f>LEFT(Table4[[#This Row],[Policy Type]],1)</f>
        <v>1</v>
      </c>
    </row>
    <row r="4704" spans="1:3" x14ac:dyDescent="0.25">
      <c r="A4704">
        <v>251173</v>
      </c>
      <c r="B4704" t="s">
        <v>2</v>
      </c>
      <c r="C4704" t="str">
        <f>LEFT(Table4[[#This Row],[Policy Type]],1)</f>
        <v>1</v>
      </c>
    </row>
    <row r="4705" spans="1:3" x14ac:dyDescent="0.25">
      <c r="A4705">
        <v>251174</v>
      </c>
      <c r="B4705" t="s">
        <v>3</v>
      </c>
      <c r="C4705" t="str">
        <f>LEFT(Table4[[#This Row],[Policy Type]],1)</f>
        <v>2</v>
      </c>
    </row>
    <row r="4706" spans="1:3" x14ac:dyDescent="0.25">
      <c r="A4706">
        <v>251175</v>
      </c>
      <c r="B4706" t="s">
        <v>3</v>
      </c>
      <c r="C4706" t="str">
        <f>LEFT(Table4[[#This Row],[Policy Type]],1)</f>
        <v>2</v>
      </c>
    </row>
    <row r="4707" spans="1:3" x14ac:dyDescent="0.25">
      <c r="A4707">
        <v>251185</v>
      </c>
      <c r="B4707" t="s">
        <v>2</v>
      </c>
      <c r="C4707" t="str">
        <f>LEFT(Table4[[#This Row],[Policy Type]],1)</f>
        <v>1</v>
      </c>
    </row>
    <row r="4708" spans="1:3" x14ac:dyDescent="0.25">
      <c r="A4708">
        <v>251240</v>
      </c>
      <c r="B4708" t="s">
        <v>3</v>
      </c>
      <c r="C4708" t="str">
        <f>LEFT(Table4[[#This Row],[Policy Type]],1)</f>
        <v>2</v>
      </c>
    </row>
    <row r="4709" spans="1:3" x14ac:dyDescent="0.25">
      <c r="A4709">
        <v>251267</v>
      </c>
      <c r="B4709" t="s">
        <v>3</v>
      </c>
      <c r="C4709" t="str">
        <f>LEFT(Table4[[#This Row],[Policy Type]],1)</f>
        <v>2</v>
      </c>
    </row>
    <row r="4710" spans="1:3" x14ac:dyDescent="0.25">
      <c r="A4710">
        <v>251283</v>
      </c>
      <c r="B4710" t="s">
        <v>2</v>
      </c>
      <c r="C4710" t="str">
        <f>LEFT(Table4[[#This Row],[Policy Type]],1)</f>
        <v>1</v>
      </c>
    </row>
    <row r="4711" spans="1:3" x14ac:dyDescent="0.25">
      <c r="A4711">
        <v>251288</v>
      </c>
      <c r="B4711" t="s">
        <v>2</v>
      </c>
      <c r="C4711" t="str">
        <f>LEFT(Table4[[#This Row],[Policy Type]],1)</f>
        <v>1</v>
      </c>
    </row>
    <row r="4712" spans="1:3" x14ac:dyDescent="0.25">
      <c r="A4712">
        <v>251289</v>
      </c>
      <c r="B4712" t="s">
        <v>2</v>
      </c>
      <c r="C4712" t="str">
        <f>LEFT(Table4[[#This Row],[Policy Type]],1)</f>
        <v>1</v>
      </c>
    </row>
    <row r="4713" spans="1:3" x14ac:dyDescent="0.25">
      <c r="A4713">
        <v>251290</v>
      </c>
      <c r="B4713" t="s">
        <v>3</v>
      </c>
      <c r="C4713" t="str">
        <f>LEFT(Table4[[#This Row],[Policy Type]],1)</f>
        <v>2</v>
      </c>
    </row>
    <row r="4714" spans="1:3" x14ac:dyDescent="0.25">
      <c r="A4714">
        <v>251297</v>
      </c>
      <c r="B4714" t="s">
        <v>3</v>
      </c>
      <c r="C4714" t="str">
        <f>LEFT(Table4[[#This Row],[Policy Type]],1)</f>
        <v>2</v>
      </c>
    </row>
    <row r="4715" spans="1:3" x14ac:dyDescent="0.25">
      <c r="A4715">
        <v>251298</v>
      </c>
      <c r="B4715" t="s">
        <v>2</v>
      </c>
      <c r="C4715" t="str">
        <f>LEFT(Table4[[#This Row],[Policy Type]],1)</f>
        <v>1</v>
      </c>
    </row>
    <row r="4716" spans="1:3" x14ac:dyDescent="0.25">
      <c r="A4716">
        <v>251299</v>
      </c>
      <c r="B4716" t="s">
        <v>3</v>
      </c>
      <c r="C4716" t="str">
        <f>LEFT(Table4[[#This Row],[Policy Type]],1)</f>
        <v>2</v>
      </c>
    </row>
    <row r="4717" spans="1:3" x14ac:dyDescent="0.25">
      <c r="A4717">
        <v>251343</v>
      </c>
      <c r="B4717" t="s">
        <v>2</v>
      </c>
      <c r="C4717" t="str">
        <f>LEFT(Table4[[#This Row],[Policy Type]],1)</f>
        <v>1</v>
      </c>
    </row>
    <row r="4718" spans="1:3" x14ac:dyDescent="0.25">
      <c r="A4718">
        <v>251366</v>
      </c>
      <c r="B4718" t="s">
        <v>2</v>
      </c>
      <c r="C4718" t="str">
        <f>LEFT(Table4[[#This Row],[Policy Type]],1)</f>
        <v>1</v>
      </c>
    </row>
    <row r="4719" spans="1:3" x14ac:dyDescent="0.25">
      <c r="A4719">
        <v>251370</v>
      </c>
      <c r="B4719" t="s">
        <v>2</v>
      </c>
      <c r="C4719" t="str">
        <f>LEFT(Table4[[#This Row],[Policy Type]],1)</f>
        <v>1</v>
      </c>
    </row>
    <row r="4720" spans="1:3" x14ac:dyDescent="0.25">
      <c r="A4720">
        <v>251381</v>
      </c>
      <c r="B4720" t="s">
        <v>3</v>
      </c>
      <c r="C4720" t="str">
        <f>LEFT(Table4[[#This Row],[Policy Type]],1)</f>
        <v>2</v>
      </c>
    </row>
    <row r="4721" spans="1:3" x14ac:dyDescent="0.25">
      <c r="A4721">
        <v>251393</v>
      </c>
      <c r="B4721" t="s">
        <v>3</v>
      </c>
      <c r="C4721" t="str">
        <f>LEFT(Table4[[#This Row],[Policy Type]],1)</f>
        <v>2</v>
      </c>
    </row>
    <row r="4722" spans="1:3" x14ac:dyDescent="0.25">
      <c r="A4722">
        <v>251418</v>
      </c>
      <c r="B4722" t="s">
        <v>3</v>
      </c>
      <c r="C4722" t="str">
        <f>LEFT(Table4[[#This Row],[Policy Type]],1)</f>
        <v>2</v>
      </c>
    </row>
    <row r="4723" spans="1:3" x14ac:dyDescent="0.25">
      <c r="A4723">
        <v>251432</v>
      </c>
      <c r="B4723" t="s">
        <v>3</v>
      </c>
      <c r="C4723" t="str">
        <f>LEFT(Table4[[#This Row],[Policy Type]],1)</f>
        <v>2</v>
      </c>
    </row>
    <row r="4724" spans="1:3" x14ac:dyDescent="0.25">
      <c r="A4724">
        <v>251436</v>
      </c>
      <c r="B4724" t="s">
        <v>3</v>
      </c>
      <c r="C4724" t="str">
        <f>LEFT(Table4[[#This Row],[Policy Type]],1)</f>
        <v>2</v>
      </c>
    </row>
    <row r="4725" spans="1:3" x14ac:dyDescent="0.25">
      <c r="A4725">
        <v>251438</v>
      </c>
      <c r="B4725" t="s">
        <v>3</v>
      </c>
      <c r="C4725" t="str">
        <f>LEFT(Table4[[#This Row],[Policy Type]],1)</f>
        <v>2</v>
      </c>
    </row>
    <row r="4726" spans="1:3" x14ac:dyDescent="0.25">
      <c r="A4726">
        <v>251479</v>
      </c>
      <c r="B4726" t="s">
        <v>3</v>
      </c>
      <c r="C4726" t="str">
        <f>LEFT(Table4[[#This Row],[Policy Type]],1)</f>
        <v>2</v>
      </c>
    </row>
    <row r="4727" spans="1:3" x14ac:dyDescent="0.25">
      <c r="A4727">
        <v>251496</v>
      </c>
      <c r="B4727" t="s">
        <v>3</v>
      </c>
      <c r="C4727" t="str">
        <f>LEFT(Table4[[#This Row],[Policy Type]],1)</f>
        <v>2</v>
      </c>
    </row>
    <row r="4728" spans="1:3" x14ac:dyDescent="0.25">
      <c r="A4728">
        <v>251502</v>
      </c>
      <c r="B4728" t="s">
        <v>2</v>
      </c>
      <c r="C4728" t="str">
        <f>LEFT(Table4[[#This Row],[Policy Type]],1)</f>
        <v>1</v>
      </c>
    </row>
    <row r="4729" spans="1:3" x14ac:dyDescent="0.25">
      <c r="A4729">
        <v>251516</v>
      </c>
      <c r="B4729" t="s">
        <v>2</v>
      </c>
      <c r="C4729" t="str">
        <f>LEFT(Table4[[#This Row],[Policy Type]],1)</f>
        <v>1</v>
      </c>
    </row>
    <row r="4730" spans="1:3" x14ac:dyDescent="0.25">
      <c r="A4730">
        <v>251543</v>
      </c>
      <c r="B4730" t="s">
        <v>3</v>
      </c>
      <c r="C4730" t="str">
        <f>LEFT(Table4[[#This Row],[Policy Type]],1)</f>
        <v>2</v>
      </c>
    </row>
    <row r="4731" spans="1:3" x14ac:dyDescent="0.25">
      <c r="A4731">
        <v>251548</v>
      </c>
      <c r="B4731" t="s">
        <v>2</v>
      </c>
      <c r="C4731" t="str">
        <f>LEFT(Table4[[#This Row],[Policy Type]],1)</f>
        <v>1</v>
      </c>
    </row>
    <row r="4732" spans="1:3" x14ac:dyDescent="0.25">
      <c r="A4732">
        <v>251582</v>
      </c>
      <c r="B4732" t="s">
        <v>3</v>
      </c>
      <c r="C4732" t="str">
        <f>LEFT(Table4[[#This Row],[Policy Type]],1)</f>
        <v>2</v>
      </c>
    </row>
    <row r="4733" spans="1:3" x14ac:dyDescent="0.25">
      <c r="A4733">
        <v>251583</v>
      </c>
      <c r="B4733" t="s">
        <v>2</v>
      </c>
      <c r="C4733" t="str">
        <f>LEFT(Table4[[#This Row],[Policy Type]],1)</f>
        <v>1</v>
      </c>
    </row>
    <row r="4734" spans="1:3" x14ac:dyDescent="0.25">
      <c r="A4734">
        <v>251593</v>
      </c>
      <c r="B4734" t="s">
        <v>2</v>
      </c>
      <c r="C4734" t="str">
        <f>LEFT(Table4[[#This Row],[Policy Type]],1)</f>
        <v>1</v>
      </c>
    </row>
    <row r="4735" spans="1:3" x14ac:dyDescent="0.25">
      <c r="A4735">
        <v>251601</v>
      </c>
      <c r="B4735" t="s">
        <v>3</v>
      </c>
      <c r="C4735" t="str">
        <f>LEFT(Table4[[#This Row],[Policy Type]],1)</f>
        <v>2</v>
      </c>
    </row>
    <row r="4736" spans="1:3" x14ac:dyDescent="0.25">
      <c r="A4736">
        <v>251610</v>
      </c>
      <c r="B4736" t="s">
        <v>2</v>
      </c>
      <c r="C4736" t="str">
        <f>LEFT(Table4[[#This Row],[Policy Type]],1)</f>
        <v>1</v>
      </c>
    </row>
    <row r="4737" spans="1:3" x14ac:dyDescent="0.25">
      <c r="A4737">
        <v>251635</v>
      </c>
      <c r="B4737" t="s">
        <v>3</v>
      </c>
      <c r="C4737" t="str">
        <f>LEFT(Table4[[#This Row],[Policy Type]],1)</f>
        <v>2</v>
      </c>
    </row>
    <row r="4738" spans="1:3" x14ac:dyDescent="0.25">
      <c r="A4738">
        <v>251637</v>
      </c>
      <c r="B4738" t="s">
        <v>3</v>
      </c>
      <c r="C4738" t="str">
        <f>LEFT(Table4[[#This Row],[Policy Type]],1)</f>
        <v>2</v>
      </c>
    </row>
    <row r="4739" spans="1:3" x14ac:dyDescent="0.25">
      <c r="A4739">
        <v>251647</v>
      </c>
      <c r="B4739" t="s">
        <v>3</v>
      </c>
      <c r="C4739" t="str">
        <f>LEFT(Table4[[#This Row],[Policy Type]],1)</f>
        <v>2</v>
      </c>
    </row>
    <row r="4740" spans="1:3" x14ac:dyDescent="0.25">
      <c r="A4740">
        <v>251650</v>
      </c>
      <c r="B4740" t="s">
        <v>2</v>
      </c>
      <c r="C4740" t="str">
        <f>LEFT(Table4[[#This Row],[Policy Type]],1)</f>
        <v>1</v>
      </c>
    </row>
    <row r="4741" spans="1:3" x14ac:dyDescent="0.25">
      <c r="A4741">
        <v>251662</v>
      </c>
      <c r="B4741" t="s">
        <v>3</v>
      </c>
      <c r="C4741" t="str">
        <f>LEFT(Table4[[#This Row],[Policy Type]],1)</f>
        <v>2</v>
      </c>
    </row>
    <row r="4742" spans="1:3" x14ac:dyDescent="0.25">
      <c r="A4742">
        <v>251666</v>
      </c>
      <c r="B4742" t="s">
        <v>3</v>
      </c>
      <c r="C4742" t="str">
        <f>LEFT(Table4[[#This Row],[Policy Type]],1)</f>
        <v>2</v>
      </c>
    </row>
    <row r="4743" spans="1:3" x14ac:dyDescent="0.25">
      <c r="A4743">
        <v>251667</v>
      </c>
      <c r="B4743" t="s">
        <v>3</v>
      </c>
      <c r="C4743" t="str">
        <f>LEFT(Table4[[#This Row],[Policy Type]],1)</f>
        <v>2</v>
      </c>
    </row>
    <row r="4744" spans="1:3" x14ac:dyDescent="0.25">
      <c r="A4744">
        <v>251681</v>
      </c>
      <c r="B4744" t="s">
        <v>3</v>
      </c>
      <c r="C4744" t="str">
        <f>LEFT(Table4[[#This Row],[Policy Type]],1)</f>
        <v>2</v>
      </c>
    </row>
    <row r="4745" spans="1:3" x14ac:dyDescent="0.25">
      <c r="A4745">
        <v>251706</v>
      </c>
      <c r="B4745" t="s">
        <v>3</v>
      </c>
      <c r="C4745" t="str">
        <f>LEFT(Table4[[#This Row],[Policy Type]],1)</f>
        <v>2</v>
      </c>
    </row>
    <row r="4746" spans="1:3" x14ac:dyDescent="0.25">
      <c r="A4746">
        <v>251755</v>
      </c>
      <c r="B4746" t="s">
        <v>2</v>
      </c>
      <c r="C4746" t="str">
        <f>LEFT(Table4[[#This Row],[Policy Type]],1)</f>
        <v>1</v>
      </c>
    </row>
    <row r="4747" spans="1:3" x14ac:dyDescent="0.25">
      <c r="A4747">
        <v>251759</v>
      </c>
      <c r="B4747" t="s">
        <v>3</v>
      </c>
      <c r="C4747" t="str">
        <f>LEFT(Table4[[#This Row],[Policy Type]],1)</f>
        <v>2</v>
      </c>
    </row>
    <row r="4748" spans="1:3" x14ac:dyDescent="0.25">
      <c r="A4748">
        <v>251783</v>
      </c>
      <c r="B4748" t="s">
        <v>3</v>
      </c>
      <c r="C4748" t="str">
        <f>LEFT(Table4[[#This Row],[Policy Type]],1)</f>
        <v>2</v>
      </c>
    </row>
    <row r="4749" spans="1:3" x14ac:dyDescent="0.25">
      <c r="A4749">
        <v>251785</v>
      </c>
      <c r="B4749" t="s">
        <v>3</v>
      </c>
      <c r="C4749" t="str">
        <f>LEFT(Table4[[#This Row],[Policy Type]],1)</f>
        <v>2</v>
      </c>
    </row>
    <row r="4750" spans="1:3" x14ac:dyDescent="0.25">
      <c r="A4750">
        <v>251792</v>
      </c>
      <c r="B4750" t="s">
        <v>2</v>
      </c>
      <c r="C4750" t="str">
        <f>LEFT(Table4[[#This Row],[Policy Type]],1)</f>
        <v>1</v>
      </c>
    </row>
    <row r="4751" spans="1:3" x14ac:dyDescent="0.25">
      <c r="A4751">
        <v>251824</v>
      </c>
      <c r="B4751" t="s">
        <v>2</v>
      </c>
      <c r="C4751" t="str">
        <f>LEFT(Table4[[#This Row],[Policy Type]],1)</f>
        <v>1</v>
      </c>
    </row>
    <row r="4752" spans="1:3" x14ac:dyDescent="0.25">
      <c r="A4752">
        <v>251843</v>
      </c>
      <c r="B4752" t="s">
        <v>3</v>
      </c>
      <c r="C4752" t="str">
        <f>LEFT(Table4[[#This Row],[Policy Type]],1)</f>
        <v>2</v>
      </c>
    </row>
    <row r="4753" spans="1:3" x14ac:dyDescent="0.25">
      <c r="A4753">
        <v>251845</v>
      </c>
      <c r="B4753" t="s">
        <v>3</v>
      </c>
      <c r="C4753" t="str">
        <f>LEFT(Table4[[#This Row],[Policy Type]],1)</f>
        <v>2</v>
      </c>
    </row>
    <row r="4754" spans="1:3" x14ac:dyDescent="0.25">
      <c r="A4754">
        <v>251861</v>
      </c>
      <c r="B4754" t="s">
        <v>3</v>
      </c>
      <c r="C4754" t="str">
        <f>LEFT(Table4[[#This Row],[Policy Type]],1)</f>
        <v>2</v>
      </c>
    </row>
    <row r="4755" spans="1:3" x14ac:dyDescent="0.25">
      <c r="A4755">
        <v>251873</v>
      </c>
      <c r="B4755" t="s">
        <v>3</v>
      </c>
      <c r="C4755" t="str">
        <f>LEFT(Table4[[#This Row],[Policy Type]],1)</f>
        <v>2</v>
      </c>
    </row>
    <row r="4756" spans="1:3" x14ac:dyDescent="0.25">
      <c r="A4756">
        <v>251874</v>
      </c>
      <c r="B4756" t="s">
        <v>2</v>
      </c>
      <c r="C4756" t="str">
        <f>LEFT(Table4[[#This Row],[Policy Type]],1)</f>
        <v>1</v>
      </c>
    </row>
    <row r="4757" spans="1:3" x14ac:dyDescent="0.25">
      <c r="A4757">
        <v>251876</v>
      </c>
      <c r="B4757" t="s">
        <v>2</v>
      </c>
      <c r="C4757" t="str">
        <f>LEFT(Table4[[#This Row],[Policy Type]],1)</f>
        <v>1</v>
      </c>
    </row>
    <row r="4758" spans="1:3" x14ac:dyDescent="0.25">
      <c r="A4758">
        <v>251878</v>
      </c>
      <c r="B4758" t="s">
        <v>3</v>
      </c>
      <c r="C4758" t="str">
        <f>LEFT(Table4[[#This Row],[Policy Type]],1)</f>
        <v>2</v>
      </c>
    </row>
    <row r="4759" spans="1:3" x14ac:dyDescent="0.25">
      <c r="A4759">
        <v>251883</v>
      </c>
      <c r="B4759" t="s">
        <v>3</v>
      </c>
      <c r="C4759" t="str">
        <f>LEFT(Table4[[#This Row],[Policy Type]],1)</f>
        <v>2</v>
      </c>
    </row>
    <row r="4760" spans="1:3" x14ac:dyDescent="0.25">
      <c r="A4760">
        <v>251901</v>
      </c>
      <c r="B4760" t="s">
        <v>3</v>
      </c>
      <c r="C4760" t="str">
        <f>LEFT(Table4[[#This Row],[Policy Type]],1)</f>
        <v>2</v>
      </c>
    </row>
    <row r="4761" spans="1:3" x14ac:dyDescent="0.25">
      <c r="A4761">
        <v>251927</v>
      </c>
      <c r="B4761" t="s">
        <v>3</v>
      </c>
      <c r="C4761" t="str">
        <f>LEFT(Table4[[#This Row],[Policy Type]],1)</f>
        <v>2</v>
      </c>
    </row>
    <row r="4762" spans="1:3" x14ac:dyDescent="0.25">
      <c r="A4762">
        <v>251933</v>
      </c>
      <c r="B4762" t="s">
        <v>2</v>
      </c>
      <c r="C4762" t="str">
        <f>LEFT(Table4[[#This Row],[Policy Type]],1)</f>
        <v>1</v>
      </c>
    </row>
    <row r="4763" spans="1:3" x14ac:dyDescent="0.25">
      <c r="A4763">
        <v>251945</v>
      </c>
      <c r="B4763" t="s">
        <v>3</v>
      </c>
      <c r="C4763" t="str">
        <f>LEFT(Table4[[#This Row],[Policy Type]],1)</f>
        <v>2</v>
      </c>
    </row>
    <row r="4764" spans="1:3" x14ac:dyDescent="0.25">
      <c r="A4764">
        <v>251947</v>
      </c>
      <c r="B4764" t="s">
        <v>3</v>
      </c>
      <c r="C4764" t="str">
        <f>LEFT(Table4[[#This Row],[Policy Type]],1)</f>
        <v>2</v>
      </c>
    </row>
    <row r="4765" spans="1:3" x14ac:dyDescent="0.25">
      <c r="A4765">
        <v>251953</v>
      </c>
      <c r="B4765" t="s">
        <v>3</v>
      </c>
      <c r="C4765" t="str">
        <f>LEFT(Table4[[#This Row],[Policy Type]],1)</f>
        <v>2</v>
      </c>
    </row>
    <row r="4766" spans="1:3" x14ac:dyDescent="0.25">
      <c r="A4766">
        <v>251954</v>
      </c>
      <c r="B4766" t="s">
        <v>3</v>
      </c>
      <c r="C4766" t="str">
        <f>LEFT(Table4[[#This Row],[Policy Type]],1)</f>
        <v>2</v>
      </c>
    </row>
    <row r="4767" spans="1:3" x14ac:dyDescent="0.25">
      <c r="A4767">
        <v>251955</v>
      </c>
      <c r="B4767" t="s">
        <v>3</v>
      </c>
      <c r="C4767" t="str">
        <f>LEFT(Table4[[#This Row],[Policy Type]],1)</f>
        <v>2</v>
      </c>
    </row>
    <row r="4768" spans="1:3" x14ac:dyDescent="0.25">
      <c r="A4768">
        <v>251970</v>
      </c>
      <c r="B4768" t="s">
        <v>3</v>
      </c>
      <c r="C4768" t="str">
        <f>LEFT(Table4[[#This Row],[Policy Type]],1)</f>
        <v>2</v>
      </c>
    </row>
    <row r="4769" spans="1:3" x14ac:dyDescent="0.25">
      <c r="A4769">
        <v>251977</v>
      </c>
      <c r="B4769" t="s">
        <v>2</v>
      </c>
      <c r="C4769" t="str">
        <f>LEFT(Table4[[#This Row],[Policy Type]],1)</f>
        <v>1</v>
      </c>
    </row>
    <row r="4770" spans="1:3" x14ac:dyDescent="0.25">
      <c r="A4770">
        <v>251985</v>
      </c>
      <c r="B4770" t="s">
        <v>3</v>
      </c>
      <c r="C4770" t="str">
        <f>LEFT(Table4[[#This Row],[Policy Type]],1)</f>
        <v>2</v>
      </c>
    </row>
    <row r="4771" spans="1:3" x14ac:dyDescent="0.25">
      <c r="A4771">
        <v>251999</v>
      </c>
      <c r="B4771" t="s">
        <v>3</v>
      </c>
      <c r="C4771" t="str">
        <f>LEFT(Table4[[#This Row],[Policy Type]],1)</f>
        <v>2</v>
      </c>
    </row>
    <row r="4772" spans="1:3" x14ac:dyDescent="0.25">
      <c r="A4772">
        <v>252011</v>
      </c>
      <c r="B4772" t="s">
        <v>3</v>
      </c>
      <c r="C4772" t="str">
        <f>LEFT(Table4[[#This Row],[Policy Type]],1)</f>
        <v>2</v>
      </c>
    </row>
    <row r="4773" spans="1:3" x14ac:dyDescent="0.25">
      <c r="A4773">
        <v>252016</v>
      </c>
      <c r="B4773" t="s">
        <v>2</v>
      </c>
      <c r="C4773" t="str">
        <f>LEFT(Table4[[#This Row],[Policy Type]],1)</f>
        <v>1</v>
      </c>
    </row>
    <row r="4774" spans="1:3" x14ac:dyDescent="0.25">
      <c r="A4774">
        <v>252042</v>
      </c>
      <c r="B4774" t="s">
        <v>2</v>
      </c>
      <c r="C4774" t="str">
        <f>LEFT(Table4[[#This Row],[Policy Type]],1)</f>
        <v>1</v>
      </c>
    </row>
    <row r="4775" spans="1:3" x14ac:dyDescent="0.25">
      <c r="A4775">
        <v>252046</v>
      </c>
      <c r="B4775" t="s">
        <v>3</v>
      </c>
      <c r="C4775" t="str">
        <f>LEFT(Table4[[#This Row],[Policy Type]],1)</f>
        <v>2</v>
      </c>
    </row>
    <row r="4776" spans="1:3" x14ac:dyDescent="0.25">
      <c r="A4776">
        <v>252047</v>
      </c>
      <c r="B4776" t="s">
        <v>3</v>
      </c>
      <c r="C4776" t="str">
        <f>LEFT(Table4[[#This Row],[Policy Type]],1)</f>
        <v>2</v>
      </c>
    </row>
    <row r="4777" spans="1:3" x14ac:dyDescent="0.25">
      <c r="A4777">
        <v>252069</v>
      </c>
      <c r="B4777" t="s">
        <v>3</v>
      </c>
      <c r="C4777" t="str">
        <f>LEFT(Table4[[#This Row],[Policy Type]],1)</f>
        <v>2</v>
      </c>
    </row>
    <row r="4778" spans="1:3" x14ac:dyDescent="0.25">
      <c r="A4778">
        <v>252075</v>
      </c>
      <c r="B4778" t="s">
        <v>3</v>
      </c>
      <c r="C4778" t="str">
        <f>LEFT(Table4[[#This Row],[Policy Type]],1)</f>
        <v>2</v>
      </c>
    </row>
    <row r="4779" spans="1:3" x14ac:dyDescent="0.25">
      <c r="A4779">
        <v>252079</v>
      </c>
      <c r="B4779" t="s">
        <v>2</v>
      </c>
      <c r="C4779" t="str">
        <f>LEFT(Table4[[#This Row],[Policy Type]],1)</f>
        <v>1</v>
      </c>
    </row>
    <row r="4780" spans="1:3" x14ac:dyDescent="0.25">
      <c r="A4780">
        <v>252105</v>
      </c>
      <c r="B4780" t="s">
        <v>2</v>
      </c>
      <c r="C4780" t="str">
        <f>LEFT(Table4[[#This Row],[Policy Type]],1)</f>
        <v>1</v>
      </c>
    </row>
    <row r="4781" spans="1:3" x14ac:dyDescent="0.25">
      <c r="A4781">
        <v>252109</v>
      </c>
      <c r="B4781" t="s">
        <v>2</v>
      </c>
      <c r="C4781" t="str">
        <f>LEFT(Table4[[#This Row],[Policy Type]],1)</f>
        <v>1</v>
      </c>
    </row>
    <row r="4782" spans="1:3" x14ac:dyDescent="0.25">
      <c r="A4782">
        <v>252122</v>
      </c>
      <c r="B4782" t="s">
        <v>3</v>
      </c>
      <c r="C4782" t="str">
        <f>LEFT(Table4[[#This Row],[Policy Type]],1)</f>
        <v>2</v>
      </c>
    </row>
    <row r="4783" spans="1:3" x14ac:dyDescent="0.25">
      <c r="A4783">
        <v>252129</v>
      </c>
      <c r="B4783" t="s">
        <v>3</v>
      </c>
      <c r="C4783" t="str">
        <f>LEFT(Table4[[#This Row],[Policy Type]],1)</f>
        <v>2</v>
      </c>
    </row>
    <row r="4784" spans="1:3" x14ac:dyDescent="0.25">
      <c r="A4784">
        <v>252145</v>
      </c>
      <c r="B4784" t="s">
        <v>3</v>
      </c>
      <c r="C4784" t="str">
        <f>LEFT(Table4[[#This Row],[Policy Type]],1)</f>
        <v>2</v>
      </c>
    </row>
    <row r="4785" spans="1:3" x14ac:dyDescent="0.25">
      <c r="A4785">
        <v>252155</v>
      </c>
      <c r="B4785" t="s">
        <v>2</v>
      </c>
      <c r="C4785" t="str">
        <f>LEFT(Table4[[#This Row],[Policy Type]],1)</f>
        <v>1</v>
      </c>
    </row>
    <row r="4786" spans="1:3" x14ac:dyDescent="0.25">
      <c r="A4786">
        <v>252160</v>
      </c>
      <c r="B4786" t="s">
        <v>3</v>
      </c>
      <c r="C4786" t="str">
        <f>LEFT(Table4[[#This Row],[Policy Type]],1)</f>
        <v>2</v>
      </c>
    </row>
    <row r="4787" spans="1:3" x14ac:dyDescent="0.25">
      <c r="A4787">
        <v>252169</v>
      </c>
      <c r="B4787" t="s">
        <v>2</v>
      </c>
      <c r="C4787" t="str">
        <f>LEFT(Table4[[#This Row],[Policy Type]],1)</f>
        <v>1</v>
      </c>
    </row>
    <row r="4788" spans="1:3" x14ac:dyDescent="0.25">
      <c r="A4788">
        <v>252174</v>
      </c>
      <c r="B4788" t="s">
        <v>2</v>
      </c>
      <c r="C4788" t="str">
        <f>LEFT(Table4[[#This Row],[Policy Type]],1)</f>
        <v>1</v>
      </c>
    </row>
    <row r="4789" spans="1:3" x14ac:dyDescent="0.25">
      <c r="A4789">
        <v>252200</v>
      </c>
      <c r="B4789" t="s">
        <v>3</v>
      </c>
      <c r="C4789" t="str">
        <f>LEFT(Table4[[#This Row],[Policy Type]],1)</f>
        <v>2</v>
      </c>
    </row>
    <row r="4790" spans="1:3" x14ac:dyDescent="0.25">
      <c r="A4790">
        <v>252408</v>
      </c>
      <c r="B4790" t="s">
        <v>2</v>
      </c>
      <c r="C4790" t="str">
        <f>LEFT(Table4[[#This Row],[Policy Type]],1)</f>
        <v>1</v>
      </c>
    </row>
    <row r="4791" spans="1:3" x14ac:dyDescent="0.25">
      <c r="A4791">
        <v>252412</v>
      </c>
      <c r="B4791" t="s">
        <v>2</v>
      </c>
      <c r="C4791" t="str">
        <f>LEFT(Table4[[#This Row],[Policy Type]],1)</f>
        <v>1</v>
      </c>
    </row>
    <row r="4792" spans="1:3" x14ac:dyDescent="0.25">
      <c r="A4792">
        <v>252422</v>
      </c>
      <c r="B4792" t="s">
        <v>3</v>
      </c>
      <c r="C4792" t="str">
        <f>LEFT(Table4[[#This Row],[Policy Type]],1)</f>
        <v>2</v>
      </c>
    </row>
    <row r="4793" spans="1:3" x14ac:dyDescent="0.25">
      <c r="A4793">
        <v>252427</v>
      </c>
      <c r="B4793" t="s">
        <v>3</v>
      </c>
      <c r="C4793" t="str">
        <f>LEFT(Table4[[#This Row],[Policy Type]],1)</f>
        <v>2</v>
      </c>
    </row>
    <row r="4794" spans="1:3" x14ac:dyDescent="0.25">
      <c r="A4794">
        <v>252440</v>
      </c>
      <c r="B4794" t="s">
        <v>2</v>
      </c>
      <c r="C4794" t="str">
        <f>LEFT(Table4[[#This Row],[Policy Type]],1)</f>
        <v>1</v>
      </c>
    </row>
    <row r="4795" spans="1:3" x14ac:dyDescent="0.25">
      <c r="A4795">
        <v>252444</v>
      </c>
      <c r="B4795" t="s">
        <v>3</v>
      </c>
      <c r="C4795" t="str">
        <f>LEFT(Table4[[#This Row],[Policy Type]],1)</f>
        <v>2</v>
      </c>
    </row>
    <row r="4796" spans="1:3" x14ac:dyDescent="0.25">
      <c r="A4796">
        <v>252448</v>
      </c>
      <c r="B4796" t="s">
        <v>3</v>
      </c>
      <c r="C4796" t="str">
        <f>LEFT(Table4[[#This Row],[Policy Type]],1)</f>
        <v>2</v>
      </c>
    </row>
    <row r="4797" spans="1:3" x14ac:dyDescent="0.25">
      <c r="A4797">
        <v>252449</v>
      </c>
      <c r="B4797" t="s">
        <v>3</v>
      </c>
      <c r="C4797" t="str">
        <f>LEFT(Table4[[#This Row],[Policy Type]],1)</f>
        <v>2</v>
      </c>
    </row>
    <row r="4798" spans="1:3" x14ac:dyDescent="0.25">
      <c r="A4798">
        <v>252466</v>
      </c>
      <c r="B4798" t="s">
        <v>2</v>
      </c>
      <c r="C4798" t="str">
        <f>LEFT(Table4[[#This Row],[Policy Type]],1)</f>
        <v>1</v>
      </c>
    </row>
    <row r="4799" spans="1:3" x14ac:dyDescent="0.25">
      <c r="A4799">
        <v>252489</v>
      </c>
      <c r="B4799" t="s">
        <v>3</v>
      </c>
      <c r="C4799" t="str">
        <f>LEFT(Table4[[#This Row],[Policy Type]],1)</f>
        <v>2</v>
      </c>
    </row>
    <row r="4800" spans="1:3" x14ac:dyDescent="0.25">
      <c r="A4800">
        <v>252492</v>
      </c>
      <c r="B4800" t="s">
        <v>2</v>
      </c>
      <c r="C4800" t="str">
        <f>LEFT(Table4[[#This Row],[Policy Type]],1)</f>
        <v>1</v>
      </c>
    </row>
    <row r="4801" spans="1:3" x14ac:dyDescent="0.25">
      <c r="A4801">
        <v>252517</v>
      </c>
      <c r="B4801" t="s">
        <v>3</v>
      </c>
      <c r="C4801" t="str">
        <f>LEFT(Table4[[#This Row],[Policy Type]],1)</f>
        <v>2</v>
      </c>
    </row>
    <row r="4802" spans="1:3" x14ac:dyDescent="0.25">
      <c r="A4802">
        <v>252519</v>
      </c>
      <c r="B4802" t="s">
        <v>2</v>
      </c>
      <c r="C4802" t="str">
        <f>LEFT(Table4[[#This Row],[Policy Type]],1)</f>
        <v>1</v>
      </c>
    </row>
    <row r="4803" spans="1:3" x14ac:dyDescent="0.25">
      <c r="A4803">
        <v>252527</v>
      </c>
      <c r="B4803" t="s">
        <v>3</v>
      </c>
      <c r="C4803" t="str">
        <f>LEFT(Table4[[#This Row],[Policy Type]],1)</f>
        <v>2</v>
      </c>
    </row>
    <row r="4804" spans="1:3" x14ac:dyDescent="0.25">
      <c r="A4804">
        <v>252566</v>
      </c>
      <c r="B4804" t="s">
        <v>3</v>
      </c>
      <c r="C4804" t="str">
        <f>LEFT(Table4[[#This Row],[Policy Type]],1)</f>
        <v>2</v>
      </c>
    </row>
    <row r="4805" spans="1:3" x14ac:dyDescent="0.25">
      <c r="A4805">
        <v>252578</v>
      </c>
      <c r="B4805" t="s">
        <v>3</v>
      </c>
      <c r="C4805" t="str">
        <f>LEFT(Table4[[#This Row],[Policy Type]],1)</f>
        <v>2</v>
      </c>
    </row>
    <row r="4806" spans="1:3" x14ac:dyDescent="0.25">
      <c r="A4806">
        <v>252583</v>
      </c>
      <c r="B4806" t="s">
        <v>2</v>
      </c>
      <c r="C4806" t="str">
        <f>LEFT(Table4[[#This Row],[Policy Type]],1)</f>
        <v>1</v>
      </c>
    </row>
    <row r="4807" spans="1:3" x14ac:dyDescent="0.25">
      <c r="A4807">
        <v>252584</v>
      </c>
      <c r="B4807" t="s">
        <v>3</v>
      </c>
      <c r="C4807" t="str">
        <f>LEFT(Table4[[#This Row],[Policy Type]],1)</f>
        <v>2</v>
      </c>
    </row>
    <row r="4808" spans="1:3" x14ac:dyDescent="0.25">
      <c r="A4808">
        <v>252588</v>
      </c>
      <c r="B4808" t="s">
        <v>3</v>
      </c>
      <c r="C4808" t="str">
        <f>LEFT(Table4[[#This Row],[Policy Type]],1)</f>
        <v>2</v>
      </c>
    </row>
    <row r="4809" spans="1:3" x14ac:dyDescent="0.25">
      <c r="A4809">
        <v>252592</v>
      </c>
      <c r="B4809" t="s">
        <v>3</v>
      </c>
      <c r="C4809" t="str">
        <f>LEFT(Table4[[#This Row],[Policy Type]],1)</f>
        <v>2</v>
      </c>
    </row>
    <row r="4810" spans="1:3" x14ac:dyDescent="0.25">
      <c r="A4810">
        <v>252207</v>
      </c>
      <c r="B4810" t="s">
        <v>2</v>
      </c>
      <c r="C4810" t="str">
        <f>LEFT(Table4[[#This Row],[Policy Type]],1)</f>
        <v>1</v>
      </c>
    </row>
    <row r="4811" spans="1:3" x14ac:dyDescent="0.25">
      <c r="A4811">
        <v>252212</v>
      </c>
      <c r="B4811" t="s">
        <v>3</v>
      </c>
      <c r="C4811" t="str">
        <f>LEFT(Table4[[#This Row],[Policy Type]],1)</f>
        <v>2</v>
      </c>
    </row>
    <row r="4812" spans="1:3" x14ac:dyDescent="0.25">
      <c r="A4812">
        <v>252217</v>
      </c>
      <c r="B4812" t="s">
        <v>2</v>
      </c>
      <c r="C4812" t="str">
        <f>LEFT(Table4[[#This Row],[Policy Type]],1)</f>
        <v>1</v>
      </c>
    </row>
    <row r="4813" spans="1:3" x14ac:dyDescent="0.25">
      <c r="A4813">
        <v>252247</v>
      </c>
      <c r="B4813" t="s">
        <v>2</v>
      </c>
      <c r="C4813" t="str">
        <f>LEFT(Table4[[#This Row],[Policy Type]],1)</f>
        <v>1</v>
      </c>
    </row>
    <row r="4814" spans="1:3" x14ac:dyDescent="0.25">
      <c r="A4814">
        <v>252249</v>
      </c>
      <c r="B4814" t="s">
        <v>2</v>
      </c>
      <c r="C4814" t="str">
        <f>LEFT(Table4[[#This Row],[Policy Type]],1)</f>
        <v>1</v>
      </c>
    </row>
    <row r="4815" spans="1:3" x14ac:dyDescent="0.25">
      <c r="A4815">
        <v>252250</v>
      </c>
      <c r="B4815" t="s">
        <v>2</v>
      </c>
      <c r="C4815" t="str">
        <f>LEFT(Table4[[#This Row],[Policy Type]],1)</f>
        <v>1</v>
      </c>
    </row>
    <row r="4816" spans="1:3" x14ac:dyDescent="0.25">
      <c r="A4816">
        <v>252262</v>
      </c>
      <c r="B4816" t="s">
        <v>3</v>
      </c>
      <c r="C4816" t="str">
        <f>LEFT(Table4[[#This Row],[Policy Type]],1)</f>
        <v>2</v>
      </c>
    </row>
    <row r="4817" spans="1:3" x14ac:dyDescent="0.25">
      <c r="A4817">
        <v>252265</v>
      </c>
      <c r="B4817" t="s">
        <v>2</v>
      </c>
      <c r="C4817" t="str">
        <f>LEFT(Table4[[#This Row],[Policy Type]],1)</f>
        <v>1</v>
      </c>
    </row>
    <row r="4818" spans="1:3" x14ac:dyDescent="0.25">
      <c r="A4818">
        <v>252272</v>
      </c>
      <c r="B4818" t="s">
        <v>3</v>
      </c>
      <c r="C4818" t="str">
        <f>LEFT(Table4[[#This Row],[Policy Type]],1)</f>
        <v>2</v>
      </c>
    </row>
    <row r="4819" spans="1:3" x14ac:dyDescent="0.25">
      <c r="A4819">
        <v>252284</v>
      </c>
      <c r="B4819" t="s">
        <v>3</v>
      </c>
      <c r="C4819" t="str">
        <f>LEFT(Table4[[#This Row],[Policy Type]],1)</f>
        <v>2</v>
      </c>
    </row>
    <row r="4820" spans="1:3" x14ac:dyDescent="0.25">
      <c r="A4820">
        <v>252289</v>
      </c>
      <c r="B4820" t="s">
        <v>3</v>
      </c>
      <c r="C4820" t="str">
        <f>LEFT(Table4[[#This Row],[Policy Type]],1)</f>
        <v>2</v>
      </c>
    </row>
    <row r="4821" spans="1:3" x14ac:dyDescent="0.25">
      <c r="A4821">
        <v>252298</v>
      </c>
      <c r="B4821" t="s">
        <v>3</v>
      </c>
      <c r="C4821" t="str">
        <f>LEFT(Table4[[#This Row],[Policy Type]],1)</f>
        <v>2</v>
      </c>
    </row>
    <row r="4822" spans="1:3" x14ac:dyDescent="0.25">
      <c r="A4822">
        <v>252304</v>
      </c>
      <c r="B4822" t="s">
        <v>2</v>
      </c>
      <c r="C4822" t="str">
        <f>LEFT(Table4[[#This Row],[Policy Type]],1)</f>
        <v>1</v>
      </c>
    </row>
    <row r="4823" spans="1:3" x14ac:dyDescent="0.25">
      <c r="A4823">
        <v>252306</v>
      </c>
      <c r="B4823" t="s">
        <v>3</v>
      </c>
      <c r="C4823" t="str">
        <f>LEFT(Table4[[#This Row],[Policy Type]],1)</f>
        <v>2</v>
      </c>
    </row>
    <row r="4824" spans="1:3" x14ac:dyDescent="0.25">
      <c r="A4824">
        <v>252309</v>
      </c>
      <c r="B4824" t="s">
        <v>3</v>
      </c>
      <c r="C4824" t="str">
        <f>LEFT(Table4[[#This Row],[Policy Type]],1)</f>
        <v>2</v>
      </c>
    </row>
    <row r="4825" spans="1:3" x14ac:dyDescent="0.25">
      <c r="A4825">
        <v>252311</v>
      </c>
      <c r="B4825" t="s">
        <v>3</v>
      </c>
      <c r="C4825" t="str">
        <f>LEFT(Table4[[#This Row],[Policy Type]],1)</f>
        <v>2</v>
      </c>
    </row>
    <row r="4826" spans="1:3" x14ac:dyDescent="0.25">
      <c r="A4826">
        <v>252365</v>
      </c>
      <c r="B4826" t="s">
        <v>3</v>
      </c>
      <c r="C4826" t="str">
        <f>LEFT(Table4[[#This Row],[Policy Type]],1)</f>
        <v>2</v>
      </c>
    </row>
    <row r="4827" spans="1:3" x14ac:dyDescent="0.25">
      <c r="A4827">
        <v>252371</v>
      </c>
      <c r="B4827" t="s">
        <v>2</v>
      </c>
      <c r="C4827" t="str">
        <f>LEFT(Table4[[#This Row],[Policy Type]],1)</f>
        <v>1</v>
      </c>
    </row>
    <row r="4828" spans="1:3" x14ac:dyDescent="0.25">
      <c r="A4828">
        <v>252380</v>
      </c>
      <c r="B4828" t="s">
        <v>3</v>
      </c>
      <c r="C4828" t="str">
        <f>LEFT(Table4[[#This Row],[Policy Type]],1)</f>
        <v>2</v>
      </c>
    </row>
    <row r="4829" spans="1:3" x14ac:dyDescent="0.25">
      <c r="A4829">
        <v>252386</v>
      </c>
      <c r="B4829" t="s">
        <v>2</v>
      </c>
      <c r="C4829" t="str">
        <f>LEFT(Table4[[#This Row],[Policy Type]],1)</f>
        <v>1</v>
      </c>
    </row>
    <row r="4830" spans="1:3" x14ac:dyDescent="0.25">
      <c r="A4830">
        <v>252388</v>
      </c>
      <c r="B4830" t="s">
        <v>3</v>
      </c>
      <c r="C4830" t="str">
        <f>LEFT(Table4[[#This Row],[Policy Type]],1)</f>
        <v>2</v>
      </c>
    </row>
    <row r="4831" spans="1:3" x14ac:dyDescent="0.25">
      <c r="A4831">
        <v>252400</v>
      </c>
      <c r="B4831" t="s">
        <v>3</v>
      </c>
      <c r="C4831" t="str">
        <f>LEFT(Table4[[#This Row],[Policy Type]],1)</f>
        <v>2</v>
      </c>
    </row>
    <row r="4832" spans="1:3" x14ac:dyDescent="0.25">
      <c r="A4832">
        <v>252617</v>
      </c>
      <c r="B4832" t="s">
        <v>2</v>
      </c>
      <c r="C4832" t="str">
        <f>LEFT(Table4[[#This Row],[Policy Type]],1)</f>
        <v>1</v>
      </c>
    </row>
    <row r="4833" spans="1:3" x14ac:dyDescent="0.25">
      <c r="A4833">
        <v>252642</v>
      </c>
      <c r="B4833" t="s">
        <v>2</v>
      </c>
      <c r="C4833" t="str">
        <f>LEFT(Table4[[#This Row],[Policy Type]],1)</f>
        <v>1</v>
      </c>
    </row>
    <row r="4834" spans="1:3" x14ac:dyDescent="0.25">
      <c r="A4834">
        <v>252644</v>
      </c>
      <c r="B4834" t="s">
        <v>3</v>
      </c>
      <c r="C4834" t="str">
        <f>LEFT(Table4[[#This Row],[Policy Type]],1)</f>
        <v>2</v>
      </c>
    </row>
    <row r="4835" spans="1:3" x14ac:dyDescent="0.25">
      <c r="A4835">
        <v>252651</v>
      </c>
      <c r="B4835" t="s">
        <v>2</v>
      </c>
      <c r="C4835" t="str">
        <f>LEFT(Table4[[#This Row],[Policy Type]],1)</f>
        <v>1</v>
      </c>
    </row>
    <row r="4836" spans="1:3" x14ac:dyDescent="0.25">
      <c r="A4836">
        <v>252652</v>
      </c>
      <c r="B4836" t="s">
        <v>3</v>
      </c>
      <c r="C4836" t="str">
        <f>LEFT(Table4[[#This Row],[Policy Type]],1)</f>
        <v>2</v>
      </c>
    </row>
    <row r="4837" spans="1:3" x14ac:dyDescent="0.25">
      <c r="A4837">
        <v>252660</v>
      </c>
      <c r="B4837" t="s">
        <v>3</v>
      </c>
      <c r="C4837" t="str">
        <f>LEFT(Table4[[#This Row],[Policy Type]],1)</f>
        <v>2</v>
      </c>
    </row>
    <row r="4838" spans="1:3" x14ac:dyDescent="0.25">
      <c r="A4838">
        <v>252667</v>
      </c>
      <c r="B4838" t="s">
        <v>2</v>
      </c>
      <c r="C4838" t="str">
        <f>LEFT(Table4[[#This Row],[Policy Type]],1)</f>
        <v>1</v>
      </c>
    </row>
    <row r="4839" spans="1:3" x14ac:dyDescent="0.25">
      <c r="A4839">
        <v>252671</v>
      </c>
      <c r="B4839" t="s">
        <v>3</v>
      </c>
      <c r="C4839" t="str">
        <f>LEFT(Table4[[#This Row],[Policy Type]],1)</f>
        <v>2</v>
      </c>
    </row>
    <row r="4840" spans="1:3" x14ac:dyDescent="0.25">
      <c r="A4840">
        <v>252674</v>
      </c>
      <c r="B4840" t="s">
        <v>3</v>
      </c>
      <c r="C4840" t="str">
        <f>LEFT(Table4[[#This Row],[Policy Type]],1)</f>
        <v>2</v>
      </c>
    </row>
    <row r="4841" spans="1:3" x14ac:dyDescent="0.25">
      <c r="A4841">
        <v>252681</v>
      </c>
      <c r="B4841" t="s">
        <v>3</v>
      </c>
      <c r="C4841" t="str">
        <f>LEFT(Table4[[#This Row],[Policy Type]],1)</f>
        <v>2</v>
      </c>
    </row>
    <row r="4842" spans="1:3" x14ac:dyDescent="0.25">
      <c r="A4842">
        <v>252685</v>
      </c>
      <c r="B4842" t="s">
        <v>3</v>
      </c>
      <c r="C4842" t="str">
        <f>LEFT(Table4[[#This Row],[Policy Type]],1)</f>
        <v>2</v>
      </c>
    </row>
    <row r="4843" spans="1:3" x14ac:dyDescent="0.25">
      <c r="A4843">
        <v>252715</v>
      </c>
      <c r="B4843" t="s">
        <v>2</v>
      </c>
      <c r="C4843" t="str">
        <f>LEFT(Table4[[#This Row],[Policy Type]],1)</f>
        <v>1</v>
      </c>
    </row>
    <row r="4844" spans="1:3" x14ac:dyDescent="0.25">
      <c r="A4844">
        <v>252726</v>
      </c>
      <c r="B4844" t="s">
        <v>2</v>
      </c>
      <c r="C4844" t="str">
        <f>LEFT(Table4[[#This Row],[Policy Type]],1)</f>
        <v>1</v>
      </c>
    </row>
    <row r="4845" spans="1:3" x14ac:dyDescent="0.25">
      <c r="A4845">
        <v>252728</v>
      </c>
      <c r="B4845" t="s">
        <v>3</v>
      </c>
      <c r="C4845" t="str">
        <f>LEFT(Table4[[#This Row],[Policy Type]],1)</f>
        <v>2</v>
      </c>
    </row>
    <row r="4846" spans="1:3" x14ac:dyDescent="0.25">
      <c r="A4846">
        <v>252729</v>
      </c>
      <c r="B4846" t="s">
        <v>2</v>
      </c>
      <c r="C4846" t="str">
        <f>LEFT(Table4[[#This Row],[Policy Type]],1)</f>
        <v>1</v>
      </c>
    </row>
    <row r="4847" spans="1:3" x14ac:dyDescent="0.25">
      <c r="A4847">
        <v>252736</v>
      </c>
      <c r="B4847" t="s">
        <v>3</v>
      </c>
      <c r="C4847" t="str">
        <f>LEFT(Table4[[#This Row],[Policy Type]],1)</f>
        <v>2</v>
      </c>
    </row>
    <row r="4848" spans="1:3" x14ac:dyDescent="0.25">
      <c r="A4848">
        <v>252741</v>
      </c>
      <c r="B4848" t="s">
        <v>2</v>
      </c>
      <c r="C4848" t="str">
        <f>LEFT(Table4[[#This Row],[Policy Type]],1)</f>
        <v>1</v>
      </c>
    </row>
    <row r="4849" spans="1:3" x14ac:dyDescent="0.25">
      <c r="A4849">
        <v>252745</v>
      </c>
      <c r="B4849" t="s">
        <v>2</v>
      </c>
      <c r="C4849" t="str">
        <f>LEFT(Table4[[#This Row],[Policy Type]],1)</f>
        <v>1</v>
      </c>
    </row>
    <row r="4850" spans="1:3" x14ac:dyDescent="0.25">
      <c r="A4850">
        <v>252748</v>
      </c>
      <c r="B4850" t="s">
        <v>3</v>
      </c>
      <c r="C4850" t="str">
        <f>LEFT(Table4[[#This Row],[Policy Type]],1)</f>
        <v>2</v>
      </c>
    </row>
    <row r="4851" spans="1:3" x14ac:dyDescent="0.25">
      <c r="A4851">
        <v>252753</v>
      </c>
      <c r="B4851" t="s">
        <v>3</v>
      </c>
      <c r="C4851" t="str">
        <f>LEFT(Table4[[#This Row],[Policy Type]],1)</f>
        <v>2</v>
      </c>
    </row>
    <row r="4852" spans="1:3" x14ac:dyDescent="0.25">
      <c r="A4852">
        <v>252761</v>
      </c>
      <c r="B4852" t="s">
        <v>3</v>
      </c>
      <c r="C4852" t="str">
        <f>LEFT(Table4[[#This Row],[Policy Type]],1)</f>
        <v>2</v>
      </c>
    </row>
    <row r="4853" spans="1:3" x14ac:dyDescent="0.25">
      <c r="A4853">
        <v>252764</v>
      </c>
      <c r="B4853" t="s">
        <v>3</v>
      </c>
      <c r="C4853" t="str">
        <f>LEFT(Table4[[#This Row],[Policy Type]],1)</f>
        <v>2</v>
      </c>
    </row>
    <row r="4854" spans="1:3" x14ac:dyDescent="0.25">
      <c r="A4854">
        <v>252777</v>
      </c>
      <c r="B4854" t="s">
        <v>3</v>
      </c>
      <c r="C4854" t="str">
        <f>LEFT(Table4[[#This Row],[Policy Type]],1)</f>
        <v>2</v>
      </c>
    </row>
    <row r="4855" spans="1:3" x14ac:dyDescent="0.25">
      <c r="A4855">
        <v>252780</v>
      </c>
      <c r="B4855" t="s">
        <v>3</v>
      </c>
      <c r="C4855" t="str">
        <f>LEFT(Table4[[#This Row],[Policy Type]],1)</f>
        <v>2</v>
      </c>
    </row>
    <row r="4856" spans="1:3" x14ac:dyDescent="0.25">
      <c r="A4856">
        <v>252796</v>
      </c>
      <c r="B4856" t="s">
        <v>3</v>
      </c>
      <c r="C4856" t="str">
        <f>LEFT(Table4[[#This Row],[Policy Type]],1)</f>
        <v>2</v>
      </c>
    </row>
    <row r="4857" spans="1:3" x14ac:dyDescent="0.25">
      <c r="A4857">
        <v>252801</v>
      </c>
      <c r="B4857" t="s">
        <v>2</v>
      </c>
      <c r="C4857" t="str">
        <f>LEFT(Table4[[#This Row],[Policy Type]],1)</f>
        <v>1</v>
      </c>
    </row>
    <row r="4858" spans="1:3" x14ac:dyDescent="0.25">
      <c r="A4858">
        <v>252803</v>
      </c>
      <c r="B4858" t="s">
        <v>3</v>
      </c>
      <c r="C4858" t="str">
        <f>LEFT(Table4[[#This Row],[Policy Type]],1)</f>
        <v>2</v>
      </c>
    </row>
    <row r="4859" spans="1:3" x14ac:dyDescent="0.25">
      <c r="A4859">
        <v>252812</v>
      </c>
      <c r="B4859" t="s">
        <v>3</v>
      </c>
      <c r="C4859" t="str">
        <f>LEFT(Table4[[#This Row],[Policy Type]],1)</f>
        <v>2</v>
      </c>
    </row>
    <row r="4860" spans="1:3" x14ac:dyDescent="0.25">
      <c r="A4860">
        <v>252815</v>
      </c>
      <c r="B4860" t="s">
        <v>3</v>
      </c>
      <c r="C4860" t="str">
        <f>LEFT(Table4[[#This Row],[Policy Type]],1)</f>
        <v>2</v>
      </c>
    </row>
    <row r="4861" spans="1:3" x14ac:dyDescent="0.25">
      <c r="A4861">
        <v>252827</v>
      </c>
      <c r="B4861" t="s">
        <v>2</v>
      </c>
      <c r="C4861" t="str">
        <f>LEFT(Table4[[#This Row],[Policy Type]],1)</f>
        <v>1</v>
      </c>
    </row>
    <row r="4862" spans="1:3" x14ac:dyDescent="0.25">
      <c r="A4862">
        <v>252835</v>
      </c>
      <c r="B4862" t="s">
        <v>2</v>
      </c>
      <c r="C4862" t="str">
        <f>LEFT(Table4[[#This Row],[Policy Type]],1)</f>
        <v>1</v>
      </c>
    </row>
    <row r="4863" spans="1:3" x14ac:dyDescent="0.25">
      <c r="A4863">
        <v>252938</v>
      </c>
      <c r="B4863" t="s">
        <v>3</v>
      </c>
      <c r="C4863" t="str">
        <f>LEFT(Table4[[#This Row],[Policy Type]],1)</f>
        <v>2</v>
      </c>
    </row>
    <row r="4864" spans="1:3" x14ac:dyDescent="0.25">
      <c r="A4864">
        <v>252946</v>
      </c>
      <c r="B4864" t="s">
        <v>2</v>
      </c>
      <c r="C4864" t="str">
        <f>LEFT(Table4[[#This Row],[Policy Type]],1)</f>
        <v>1</v>
      </c>
    </row>
    <row r="4865" spans="1:3" x14ac:dyDescent="0.25">
      <c r="A4865">
        <v>252953</v>
      </c>
      <c r="B4865" t="s">
        <v>2</v>
      </c>
      <c r="C4865" t="str">
        <f>LEFT(Table4[[#This Row],[Policy Type]],1)</f>
        <v>1</v>
      </c>
    </row>
    <row r="4866" spans="1:3" x14ac:dyDescent="0.25">
      <c r="A4866">
        <v>252978</v>
      </c>
      <c r="B4866" t="s">
        <v>2</v>
      </c>
      <c r="C4866" t="str">
        <f>LEFT(Table4[[#This Row],[Policy Type]],1)</f>
        <v>1</v>
      </c>
    </row>
    <row r="4867" spans="1:3" x14ac:dyDescent="0.25">
      <c r="A4867">
        <v>253003</v>
      </c>
      <c r="B4867" t="s">
        <v>2</v>
      </c>
      <c r="C4867" t="str">
        <f>LEFT(Table4[[#This Row],[Policy Type]],1)</f>
        <v>1</v>
      </c>
    </row>
    <row r="4868" spans="1:3" x14ac:dyDescent="0.25">
      <c r="A4868">
        <v>253030</v>
      </c>
      <c r="B4868" t="s">
        <v>2</v>
      </c>
      <c r="C4868" t="str">
        <f>LEFT(Table4[[#This Row],[Policy Type]],1)</f>
        <v>1</v>
      </c>
    </row>
    <row r="4869" spans="1:3" x14ac:dyDescent="0.25">
      <c r="A4869">
        <v>253046</v>
      </c>
      <c r="B4869" t="s">
        <v>3</v>
      </c>
      <c r="C4869" t="str">
        <f>LEFT(Table4[[#This Row],[Policy Type]],1)</f>
        <v>2</v>
      </c>
    </row>
    <row r="4870" spans="1:3" x14ac:dyDescent="0.25">
      <c r="A4870">
        <v>253048</v>
      </c>
      <c r="B4870" t="s">
        <v>2</v>
      </c>
      <c r="C4870" t="str">
        <f>LEFT(Table4[[#This Row],[Policy Type]],1)</f>
        <v>1</v>
      </c>
    </row>
    <row r="4871" spans="1:3" x14ac:dyDescent="0.25">
      <c r="A4871">
        <v>253081</v>
      </c>
      <c r="B4871" t="s">
        <v>2</v>
      </c>
      <c r="C4871" t="str">
        <f>LEFT(Table4[[#This Row],[Policy Type]],1)</f>
        <v>1</v>
      </c>
    </row>
    <row r="4872" spans="1:3" x14ac:dyDescent="0.25">
      <c r="A4872">
        <v>253097</v>
      </c>
      <c r="B4872" t="s">
        <v>3</v>
      </c>
      <c r="C4872" t="str">
        <f>LEFT(Table4[[#This Row],[Policy Type]],1)</f>
        <v>2</v>
      </c>
    </row>
    <row r="4873" spans="1:3" x14ac:dyDescent="0.25">
      <c r="A4873">
        <v>253109</v>
      </c>
      <c r="B4873" t="s">
        <v>3</v>
      </c>
      <c r="C4873" t="str">
        <f>LEFT(Table4[[#This Row],[Policy Type]],1)</f>
        <v>2</v>
      </c>
    </row>
    <row r="4874" spans="1:3" x14ac:dyDescent="0.25">
      <c r="A4874">
        <v>253112</v>
      </c>
      <c r="B4874" t="s">
        <v>2</v>
      </c>
      <c r="C4874" t="str">
        <f>LEFT(Table4[[#This Row],[Policy Type]],1)</f>
        <v>1</v>
      </c>
    </row>
    <row r="4875" spans="1:3" x14ac:dyDescent="0.25">
      <c r="A4875">
        <v>253118</v>
      </c>
      <c r="B4875" t="s">
        <v>3</v>
      </c>
      <c r="C4875" t="str">
        <f>LEFT(Table4[[#This Row],[Policy Type]],1)</f>
        <v>2</v>
      </c>
    </row>
    <row r="4876" spans="1:3" x14ac:dyDescent="0.25">
      <c r="A4876">
        <v>253127</v>
      </c>
      <c r="B4876" t="s">
        <v>2</v>
      </c>
      <c r="C4876" t="str">
        <f>LEFT(Table4[[#This Row],[Policy Type]],1)</f>
        <v>1</v>
      </c>
    </row>
    <row r="4877" spans="1:3" x14ac:dyDescent="0.25">
      <c r="A4877">
        <v>253129</v>
      </c>
      <c r="B4877" t="s">
        <v>2</v>
      </c>
      <c r="C4877" t="str">
        <f>LEFT(Table4[[#This Row],[Policy Type]],1)</f>
        <v>1</v>
      </c>
    </row>
    <row r="4878" spans="1:3" x14ac:dyDescent="0.25">
      <c r="A4878">
        <v>253168</v>
      </c>
      <c r="B4878" t="s">
        <v>2</v>
      </c>
      <c r="C4878" t="str">
        <f>LEFT(Table4[[#This Row],[Policy Type]],1)</f>
        <v>1</v>
      </c>
    </row>
    <row r="4879" spans="1:3" x14ac:dyDescent="0.25">
      <c r="A4879">
        <v>253175</v>
      </c>
      <c r="B4879" t="s">
        <v>2</v>
      </c>
      <c r="C4879" t="str">
        <f>LEFT(Table4[[#This Row],[Policy Type]],1)</f>
        <v>1</v>
      </c>
    </row>
    <row r="4880" spans="1:3" x14ac:dyDescent="0.25">
      <c r="A4880">
        <v>253181</v>
      </c>
      <c r="B4880" t="s">
        <v>2</v>
      </c>
      <c r="C4880" t="str">
        <f>LEFT(Table4[[#This Row],[Policy Type]],1)</f>
        <v>1</v>
      </c>
    </row>
    <row r="4881" spans="1:3" x14ac:dyDescent="0.25">
      <c r="A4881">
        <v>253183</v>
      </c>
      <c r="B4881" t="s">
        <v>3</v>
      </c>
      <c r="C4881" t="str">
        <f>LEFT(Table4[[#This Row],[Policy Type]],1)</f>
        <v>2</v>
      </c>
    </row>
    <row r="4882" spans="1:3" x14ac:dyDescent="0.25">
      <c r="A4882">
        <v>253212</v>
      </c>
      <c r="B4882" t="s">
        <v>3</v>
      </c>
      <c r="C4882" t="str">
        <f>LEFT(Table4[[#This Row],[Policy Type]],1)</f>
        <v>2</v>
      </c>
    </row>
    <row r="4883" spans="1:3" x14ac:dyDescent="0.25">
      <c r="A4883">
        <v>253226</v>
      </c>
      <c r="B4883" t="s">
        <v>2</v>
      </c>
      <c r="C4883" t="str">
        <f>LEFT(Table4[[#This Row],[Policy Type]],1)</f>
        <v>1</v>
      </c>
    </row>
    <row r="4884" spans="1:3" x14ac:dyDescent="0.25">
      <c r="A4884">
        <v>253230</v>
      </c>
      <c r="B4884" t="s">
        <v>3</v>
      </c>
      <c r="C4884" t="str">
        <f>LEFT(Table4[[#This Row],[Policy Type]],1)</f>
        <v>2</v>
      </c>
    </row>
    <row r="4885" spans="1:3" x14ac:dyDescent="0.25">
      <c r="A4885">
        <v>253247</v>
      </c>
      <c r="B4885" t="s">
        <v>3</v>
      </c>
      <c r="C4885" t="str">
        <f>LEFT(Table4[[#This Row],[Policy Type]],1)</f>
        <v>2</v>
      </c>
    </row>
    <row r="4886" spans="1:3" x14ac:dyDescent="0.25">
      <c r="A4886">
        <v>253253</v>
      </c>
      <c r="B4886" t="s">
        <v>3</v>
      </c>
      <c r="C4886" t="str">
        <f>LEFT(Table4[[#This Row],[Policy Type]],1)</f>
        <v>2</v>
      </c>
    </row>
    <row r="4887" spans="1:3" x14ac:dyDescent="0.25">
      <c r="A4887">
        <v>253255</v>
      </c>
      <c r="B4887" t="s">
        <v>3</v>
      </c>
      <c r="C4887" t="str">
        <f>LEFT(Table4[[#This Row],[Policy Type]],1)</f>
        <v>2</v>
      </c>
    </row>
    <row r="4888" spans="1:3" x14ac:dyDescent="0.25">
      <c r="A4888">
        <v>253256</v>
      </c>
      <c r="B4888" t="s">
        <v>3</v>
      </c>
      <c r="C4888" t="str">
        <f>LEFT(Table4[[#This Row],[Policy Type]],1)</f>
        <v>2</v>
      </c>
    </row>
    <row r="4889" spans="1:3" x14ac:dyDescent="0.25">
      <c r="A4889">
        <v>253300</v>
      </c>
      <c r="B4889" t="s">
        <v>3</v>
      </c>
      <c r="C4889" t="str">
        <f>LEFT(Table4[[#This Row],[Policy Type]],1)</f>
        <v>2</v>
      </c>
    </row>
    <row r="4890" spans="1:3" x14ac:dyDescent="0.25">
      <c r="A4890">
        <v>253304</v>
      </c>
      <c r="B4890" t="s">
        <v>2</v>
      </c>
      <c r="C4890" t="str">
        <f>LEFT(Table4[[#This Row],[Policy Type]],1)</f>
        <v>1</v>
      </c>
    </row>
    <row r="4891" spans="1:3" x14ac:dyDescent="0.25">
      <c r="A4891">
        <v>253315</v>
      </c>
      <c r="B4891" t="s">
        <v>3</v>
      </c>
      <c r="C4891" t="str">
        <f>LEFT(Table4[[#This Row],[Policy Type]],1)</f>
        <v>2</v>
      </c>
    </row>
    <row r="4892" spans="1:3" x14ac:dyDescent="0.25">
      <c r="A4892">
        <v>253324</v>
      </c>
      <c r="B4892" t="s">
        <v>3</v>
      </c>
      <c r="C4892" t="str">
        <f>LEFT(Table4[[#This Row],[Policy Type]],1)</f>
        <v>2</v>
      </c>
    </row>
    <row r="4893" spans="1:3" x14ac:dyDescent="0.25">
      <c r="A4893">
        <v>253329</v>
      </c>
      <c r="B4893" t="s">
        <v>3</v>
      </c>
      <c r="C4893" t="str">
        <f>LEFT(Table4[[#This Row],[Policy Type]],1)</f>
        <v>2</v>
      </c>
    </row>
    <row r="4894" spans="1:3" x14ac:dyDescent="0.25">
      <c r="A4894">
        <v>253330</v>
      </c>
      <c r="B4894" t="s">
        <v>3</v>
      </c>
      <c r="C4894" t="str">
        <f>LEFT(Table4[[#This Row],[Policy Type]],1)</f>
        <v>2</v>
      </c>
    </row>
    <row r="4895" spans="1:3" x14ac:dyDescent="0.25">
      <c r="A4895">
        <v>253341</v>
      </c>
      <c r="B4895" t="s">
        <v>2</v>
      </c>
      <c r="C4895" t="str">
        <f>LEFT(Table4[[#This Row],[Policy Type]],1)</f>
        <v>1</v>
      </c>
    </row>
    <row r="4896" spans="1:3" x14ac:dyDescent="0.25">
      <c r="A4896">
        <v>253342</v>
      </c>
      <c r="B4896" t="s">
        <v>2</v>
      </c>
      <c r="C4896" t="str">
        <f>LEFT(Table4[[#This Row],[Policy Type]],1)</f>
        <v>1</v>
      </c>
    </row>
    <row r="4897" spans="1:3" x14ac:dyDescent="0.25">
      <c r="A4897">
        <v>253343</v>
      </c>
      <c r="B4897" t="s">
        <v>3</v>
      </c>
      <c r="C4897" t="str">
        <f>LEFT(Table4[[#This Row],[Policy Type]],1)</f>
        <v>2</v>
      </c>
    </row>
    <row r="4898" spans="1:3" x14ac:dyDescent="0.25">
      <c r="A4898">
        <v>253347</v>
      </c>
      <c r="B4898" t="s">
        <v>3</v>
      </c>
      <c r="C4898" t="str">
        <f>LEFT(Table4[[#This Row],[Policy Type]],1)</f>
        <v>2</v>
      </c>
    </row>
    <row r="4899" spans="1:3" x14ac:dyDescent="0.25">
      <c r="A4899">
        <v>253351</v>
      </c>
      <c r="B4899" t="s">
        <v>3</v>
      </c>
      <c r="C4899" t="str">
        <f>LEFT(Table4[[#This Row],[Policy Type]],1)</f>
        <v>2</v>
      </c>
    </row>
    <row r="4900" spans="1:3" x14ac:dyDescent="0.25">
      <c r="A4900">
        <v>253363</v>
      </c>
      <c r="B4900" t="s">
        <v>3</v>
      </c>
      <c r="C4900" t="str">
        <f>LEFT(Table4[[#This Row],[Policy Type]],1)</f>
        <v>2</v>
      </c>
    </row>
    <row r="4901" spans="1:3" x14ac:dyDescent="0.25">
      <c r="A4901">
        <v>253365</v>
      </c>
      <c r="B4901" t="s">
        <v>3</v>
      </c>
      <c r="C4901" t="str">
        <f>LEFT(Table4[[#This Row],[Policy Type]],1)</f>
        <v>2</v>
      </c>
    </row>
    <row r="4902" spans="1:3" x14ac:dyDescent="0.25">
      <c r="A4902">
        <v>253378</v>
      </c>
      <c r="B4902" t="s">
        <v>2</v>
      </c>
      <c r="C4902" t="str">
        <f>LEFT(Table4[[#This Row],[Policy Type]],1)</f>
        <v>1</v>
      </c>
    </row>
    <row r="4903" spans="1:3" x14ac:dyDescent="0.25">
      <c r="A4903">
        <v>253392</v>
      </c>
      <c r="B4903" t="s">
        <v>3</v>
      </c>
      <c r="C4903" t="str">
        <f>LEFT(Table4[[#This Row],[Policy Type]],1)</f>
        <v>2</v>
      </c>
    </row>
    <row r="4904" spans="1:3" x14ac:dyDescent="0.25">
      <c r="A4904">
        <v>253394</v>
      </c>
      <c r="B4904" t="s">
        <v>2</v>
      </c>
      <c r="C4904" t="str">
        <f>LEFT(Table4[[#This Row],[Policy Type]],1)</f>
        <v>1</v>
      </c>
    </row>
    <row r="4905" spans="1:3" x14ac:dyDescent="0.25">
      <c r="A4905">
        <v>253396</v>
      </c>
      <c r="B4905" t="s">
        <v>2</v>
      </c>
      <c r="C4905" t="str">
        <f>LEFT(Table4[[#This Row],[Policy Type]],1)</f>
        <v>1</v>
      </c>
    </row>
    <row r="4906" spans="1:3" x14ac:dyDescent="0.25">
      <c r="A4906">
        <v>253406</v>
      </c>
      <c r="B4906" t="s">
        <v>3</v>
      </c>
      <c r="C4906" t="str">
        <f>LEFT(Table4[[#This Row],[Policy Type]],1)</f>
        <v>2</v>
      </c>
    </row>
    <row r="4907" spans="1:3" x14ac:dyDescent="0.25">
      <c r="A4907">
        <v>253409</v>
      </c>
      <c r="B4907" t="s">
        <v>3</v>
      </c>
      <c r="C4907" t="str">
        <f>LEFT(Table4[[#This Row],[Policy Type]],1)</f>
        <v>2</v>
      </c>
    </row>
    <row r="4908" spans="1:3" x14ac:dyDescent="0.25">
      <c r="A4908">
        <v>253415</v>
      </c>
      <c r="B4908" t="s">
        <v>3</v>
      </c>
      <c r="C4908" t="str">
        <f>LEFT(Table4[[#This Row],[Policy Type]],1)</f>
        <v>2</v>
      </c>
    </row>
    <row r="4909" spans="1:3" x14ac:dyDescent="0.25">
      <c r="A4909">
        <v>253417</v>
      </c>
      <c r="B4909" t="s">
        <v>3</v>
      </c>
      <c r="C4909" t="str">
        <f>LEFT(Table4[[#This Row],[Policy Type]],1)</f>
        <v>2</v>
      </c>
    </row>
    <row r="4910" spans="1:3" x14ac:dyDescent="0.25">
      <c r="A4910">
        <v>253427</v>
      </c>
      <c r="B4910" t="s">
        <v>2</v>
      </c>
      <c r="C4910" t="str">
        <f>LEFT(Table4[[#This Row],[Policy Type]],1)</f>
        <v>1</v>
      </c>
    </row>
    <row r="4911" spans="1:3" x14ac:dyDescent="0.25">
      <c r="A4911">
        <v>253430</v>
      </c>
      <c r="B4911" t="s">
        <v>2</v>
      </c>
      <c r="C4911" t="str">
        <f>LEFT(Table4[[#This Row],[Policy Type]],1)</f>
        <v>1</v>
      </c>
    </row>
    <row r="4912" spans="1:3" x14ac:dyDescent="0.25">
      <c r="A4912">
        <v>253451</v>
      </c>
      <c r="B4912" t="s">
        <v>3</v>
      </c>
      <c r="C4912" t="str">
        <f>LEFT(Table4[[#This Row],[Policy Type]],1)</f>
        <v>2</v>
      </c>
    </row>
    <row r="4913" spans="1:3" x14ac:dyDescent="0.25">
      <c r="A4913">
        <v>253452</v>
      </c>
      <c r="B4913" t="s">
        <v>3</v>
      </c>
      <c r="C4913" t="str">
        <f>LEFT(Table4[[#This Row],[Policy Type]],1)</f>
        <v>2</v>
      </c>
    </row>
    <row r="4914" spans="1:3" x14ac:dyDescent="0.25">
      <c r="A4914">
        <v>253458</v>
      </c>
      <c r="B4914" t="s">
        <v>3</v>
      </c>
      <c r="C4914" t="str">
        <f>LEFT(Table4[[#This Row],[Policy Type]],1)</f>
        <v>2</v>
      </c>
    </row>
    <row r="4915" spans="1:3" x14ac:dyDescent="0.25">
      <c r="A4915">
        <v>253476</v>
      </c>
      <c r="B4915" t="s">
        <v>3</v>
      </c>
      <c r="C4915" t="str">
        <f>LEFT(Table4[[#This Row],[Policy Type]],1)</f>
        <v>2</v>
      </c>
    </row>
    <row r="4916" spans="1:3" x14ac:dyDescent="0.25">
      <c r="A4916">
        <v>253487</v>
      </c>
      <c r="B4916" t="s">
        <v>3</v>
      </c>
      <c r="C4916" t="str">
        <f>LEFT(Table4[[#This Row],[Policy Type]],1)</f>
        <v>2</v>
      </c>
    </row>
    <row r="4917" spans="1:3" x14ac:dyDescent="0.25">
      <c r="A4917">
        <v>253497</v>
      </c>
      <c r="B4917" t="s">
        <v>2</v>
      </c>
      <c r="C4917" t="str">
        <f>LEFT(Table4[[#This Row],[Policy Type]],1)</f>
        <v>1</v>
      </c>
    </row>
    <row r="4918" spans="1:3" x14ac:dyDescent="0.25">
      <c r="A4918">
        <v>253504</v>
      </c>
      <c r="B4918" t="s">
        <v>3</v>
      </c>
      <c r="C4918" t="str">
        <f>LEFT(Table4[[#This Row],[Policy Type]],1)</f>
        <v>2</v>
      </c>
    </row>
    <row r="4919" spans="1:3" x14ac:dyDescent="0.25">
      <c r="A4919">
        <v>253505</v>
      </c>
      <c r="B4919" t="s">
        <v>3</v>
      </c>
      <c r="C4919" t="str">
        <f>LEFT(Table4[[#This Row],[Policy Type]],1)</f>
        <v>2</v>
      </c>
    </row>
    <row r="4920" spans="1:3" x14ac:dyDescent="0.25">
      <c r="A4920">
        <v>253509</v>
      </c>
      <c r="B4920" t="s">
        <v>3</v>
      </c>
      <c r="C4920" t="str">
        <f>LEFT(Table4[[#This Row],[Policy Type]],1)</f>
        <v>2</v>
      </c>
    </row>
    <row r="4921" spans="1:3" x14ac:dyDescent="0.25">
      <c r="A4921">
        <v>253540</v>
      </c>
      <c r="B4921" t="s">
        <v>3</v>
      </c>
      <c r="C4921" t="str">
        <f>LEFT(Table4[[#This Row],[Policy Type]],1)</f>
        <v>2</v>
      </c>
    </row>
    <row r="4922" spans="1:3" x14ac:dyDescent="0.25">
      <c r="A4922">
        <v>253542</v>
      </c>
      <c r="B4922" t="s">
        <v>2</v>
      </c>
      <c r="C4922" t="str">
        <f>LEFT(Table4[[#This Row],[Policy Type]],1)</f>
        <v>1</v>
      </c>
    </row>
    <row r="4923" spans="1:3" x14ac:dyDescent="0.25">
      <c r="A4923">
        <v>253562</v>
      </c>
      <c r="B4923" t="s">
        <v>3</v>
      </c>
      <c r="C4923" t="str">
        <f>LEFT(Table4[[#This Row],[Policy Type]],1)</f>
        <v>2</v>
      </c>
    </row>
    <row r="4924" spans="1:3" x14ac:dyDescent="0.25">
      <c r="A4924">
        <v>253563</v>
      </c>
      <c r="B4924" t="s">
        <v>3</v>
      </c>
      <c r="C4924" t="str">
        <f>LEFT(Table4[[#This Row],[Policy Type]],1)</f>
        <v>2</v>
      </c>
    </row>
    <row r="4925" spans="1:3" x14ac:dyDescent="0.25">
      <c r="A4925">
        <v>253564</v>
      </c>
      <c r="B4925" t="s">
        <v>3</v>
      </c>
      <c r="C4925" t="str">
        <f>LEFT(Table4[[#This Row],[Policy Type]],1)</f>
        <v>2</v>
      </c>
    </row>
    <row r="4926" spans="1:3" x14ac:dyDescent="0.25">
      <c r="A4926">
        <v>253574</v>
      </c>
      <c r="B4926" t="s">
        <v>3</v>
      </c>
      <c r="C4926" t="str">
        <f>LEFT(Table4[[#This Row],[Policy Type]],1)</f>
        <v>2</v>
      </c>
    </row>
    <row r="4927" spans="1:3" x14ac:dyDescent="0.25">
      <c r="A4927">
        <v>253586</v>
      </c>
      <c r="B4927" t="s">
        <v>3</v>
      </c>
      <c r="C4927" t="str">
        <f>LEFT(Table4[[#This Row],[Policy Type]],1)</f>
        <v>2</v>
      </c>
    </row>
    <row r="4928" spans="1:3" x14ac:dyDescent="0.25">
      <c r="A4928">
        <v>253615</v>
      </c>
      <c r="B4928" t="s">
        <v>2</v>
      </c>
      <c r="C4928" t="str">
        <f>LEFT(Table4[[#This Row],[Policy Type]],1)</f>
        <v>1</v>
      </c>
    </row>
    <row r="4929" spans="1:3" x14ac:dyDescent="0.25">
      <c r="A4929">
        <v>253629</v>
      </c>
      <c r="B4929" t="s">
        <v>3</v>
      </c>
      <c r="C4929" t="str">
        <f>LEFT(Table4[[#This Row],[Policy Type]],1)</f>
        <v>2</v>
      </c>
    </row>
    <row r="4930" spans="1:3" x14ac:dyDescent="0.25">
      <c r="A4930">
        <v>253633</v>
      </c>
      <c r="B4930" t="s">
        <v>2</v>
      </c>
      <c r="C4930" t="str">
        <f>LEFT(Table4[[#This Row],[Policy Type]],1)</f>
        <v>1</v>
      </c>
    </row>
    <row r="4931" spans="1:3" x14ac:dyDescent="0.25">
      <c r="A4931">
        <v>253636</v>
      </c>
      <c r="B4931" t="s">
        <v>3</v>
      </c>
      <c r="C4931" t="str">
        <f>LEFT(Table4[[#This Row],[Policy Type]],1)</f>
        <v>2</v>
      </c>
    </row>
    <row r="4932" spans="1:3" x14ac:dyDescent="0.25">
      <c r="A4932">
        <v>253640</v>
      </c>
      <c r="B4932" t="s">
        <v>3</v>
      </c>
      <c r="C4932" t="str">
        <f>LEFT(Table4[[#This Row],[Policy Type]],1)</f>
        <v>2</v>
      </c>
    </row>
    <row r="4933" spans="1:3" x14ac:dyDescent="0.25">
      <c r="A4933">
        <v>253653</v>
      </c>
      <c r="B4933" t="s">
        <v>3</v>
      </c>
      <c r="C4933" t="str">
        <f>LEFT(Table4[[#This Row],[Policy Type]],1)</f>
        <v>2</v>
      </c>
    </row>
    <row r="4934" spans="1:3" x14ac:dyDescent="0.25">
      <c r="A4934">
        <v>253655</v>
      </c>
      <c r="B4934" t="s">
        <v>3</v>
      </c>
      <c r="C4934" t="str">
        <f>LEFT(Table4[[#This Row],[Policy Type]],1)</f>
        <v>2</v>
      </c>
    </row>
    <row r="4935" spans="1:3" x14ac:dyDescent="0.25">
      <c r="A4935">
        <v>253660</v>
      </c>
      <c r="B4935" t="s">
        <v>2</v>
      </c>
      <c r="C4935" t="str">
        <f>LEFT(Table4[[#This Row],[Policy Type]],1)</f>
        <v>1</v>
      </c>
    </row>
    <row r="4936" spans="1:3" x14ac:dyDescent="0.25">
      <c r="A4936">
        <v>253687</v>
      </c>
      <c r="B4936" t="s">
        <v>2</v>
      </c>
      <c r="C4936" t="str">
        <f>LEFT(Table4[[#This Row],[Policy Type]],1)</f>
        <v>1</v>
      </c>
    </row>
    <row r="4937" spans="1:3" x14ac:dyDescent="0.25">
      <c r="A4937">
        <v>253730</v>
      </c>
      <c r="B4937" t="s">
        <v>3</v>
      </c>
      <c r="C4937" t="str">
        <f>LEFT(Table4[[#This Row],[Policy Type]],1)</f>
        <v>2</v>
      </c>
    </row>
    <row r="4938" spans="1:3" x14ac:dyDescent="0.25">
      <c r="A4938">
        <v>253757</v>
      </c>
      <c r="B4938" t="s">
        <v>2</v>
      </c>
      <c r="C4938" t="str">
        <f>LEFT(Table4[[#This Row],[Policy Type]],1)</f>
        <v>1</v>
      </c>
    </row>
    <row r="4939" spans="1:3" x14ac:dyDescent="0.25">
      <c r="A4939">
        <v>253762</v>
      </c>
      <c r="B4939" t="s">
        <v>3</v>
      </c>
      <c r="C4939" t="str">
        <f>LEFT(Table4[[#This Row],[Policy Type]],1)</f>
        <v>2</v>
      </c>
    </row>
    <row r="4940" spans="1:3" x14ac:dyDescent="0.25">
      <c r="A4940">
        <v>253776</v>
      </c>
      <c r="B4940" t="s">
        <v>2</v>
      </c>
      <c r="C4940" t="str">
        <f>LEFT(Table4[[#This Row],[Policy Type]],1)</f>
        <v>1</v>
      </c>
    </row>
    <row r="4941" spans="1:3" x14ac:dyDescent="0.25">
      <c r="A4941">
        <v>253779</v>
      </c>
      <c r="B4941" t="s">
        <v>3</v>
      </c>
      <c r="C4941" t="str">
        <f>LEFT(Table4[[#This Row],[Policy Type]],1)</f>
        <v>2</v>
      </c>
    </row>
    <row r="4942" spans="1:3" x14ac:dyDescent="0.25">
      <c r="A4942">
        <v>253784</v>
      </c>
      <c r="B4942" t="s">
        <v>3</v>
      </c>
      <c r="C4942" t="str">
        <f>LEFT(Table4[[#This Row],[Policy Type]],1)</f>
        <v>2</v>
      </c>
    </row>
    <row r="4943" spans="1:3" x14ac:dyDescent="0.25">
      <c r="A4943">
        <v>253797</v>
      </c>
      <c r="B4943" t="s">
        <v>3</v>
      </c>
      <c r="C4943" t="str">
        <f>LEFT(Table4[[#This Row],[Policy Type]],1)</f>
        <v>2</v>
      </c>
    </row>
    <row r="4944" spans="1:3" x14ac:dyDescent="0.25">
      <c r="A4944">
        <v>253818</v>
      </c>
      <c r="B4944" t="s">
        <v>3</v>
      </c>
      <c r="C4944" t="str">
        <f>LEFT(Table4[[#This Row],[Policy Type]],1)</f>
        <v>2</v>
      </c>
    </row>
    <row r="4945" spans="1:3" x14ac:dyDescent="0.25">
      <c r="A4945">
        <v>253845</v>
      </c>
      <c r="B4945" t="s">
        <v>3</v>
      </c>
      <c r="C4945" t="str">
        <f>LEFT(Table4[[#This Row],[Policy Type]],1)</f>
        <v>2</v>
      </c>
    </row>
    <row r="4946" spans="1:3" x14ac:dyDescent="0.25">
      <c r="A4946">
        <v>253846</v>
      </c>
      <c r="B4946" t="s">
        <v>2</v>
      </c>
      <c r="C4946" t="str">
        <f>LEFT(Table4[[#This Row],[Policy Type]],1)</f>
        <v>1</v>
      </c>
    </row>
    <row r="4947" spans="1:3" x14ac:dyDescent="0.25">
      <c r="A4947">
        <v>253864</v>
      </c>
      <c r="B4947" t="s">
        <v>3</v>
      </c>
      <c r="C4947" t="str">
        <f>LEFT(Table4[[#This Row],[Policy Type]],1)</f>
        <v>2</v>
      </c>
    </row>
    <row r="4948" spans="1:3" x14ac:dyDescent="0.25">
      <c r="A4948">
        <v>229255</v>
      </c>
      <c r="B4948" t="s">
        <v>3</v>
      </c>
      <c r="C4948" t="str">
        <f>LEFT(Table4[[#This Row],[Policy Type]],1)</f>
        <v>2</v>
      </c>
    </row>
    <row r="4949" spans="1:3" x14ac:dyDescent="0.25">
      <c r="A4949">
        <v>252771</v>
      </c>
      <c r="B4949" t="s">
        <v>3</v>
      </c>
      <c r="C4949" t="str">
        <f>LEFT(Table4[[#This Row],[Policy Type]],1)</f>
        <v>2</v>
      </c>
    </row>
    <row r="4950" spans="1:3" x14ac:dyDescent="0.25">
      <c r="A4950">
        <v>249174</v>
      </c>
      <c r="B4950" t="s">
        <v>3</v>
      </c>
      <c r="C4950" t="str">
        <f>LEFT(Table4[[#This Row],[Policy Type]],1)</f>
        <v>2</v>
      </c>
    </row>
    <row r="4951" spans="1:3" x14ac:dyDescent="0.25">
      <c r="A4951">
        <v>232410</v>
      </c>
      <c r="B4951" t="s">
        <v>2</v>
      </c>
      <c r="C4951" t="str">
        <f>LEFT(Table4[[#This Row],[Policy Type]],1)</f>
        <v>1</v>
      </c>
    </row>
    <row r="4952" spans="1:3" x14ac:dyDescent="0.25">
      <c r="A4952">
        <v>223772</v>
      </c>
      <c r="B4952" t="s">
        <v>3</v>
      </c>
      <c r="C4952" t="str">
        <f>LEFT(Table4[[#This Row],[Policy Type]],1)</f>
        <v>2</v>
      </c>
    </row>
    <row r="4953" spans="1:3" x14ac:dyDescent="0.25">
      <c r="A4953">
        <v>168761</v>
      </c>
      <c r="B4953" t="s">
        <v>3</v>
      </c>
      <c r="C4953" t="str">
        <f>LEFT(Table4[[#This Row],[Policy Type]],1)</f>
        <v>2</v>
      </c>
    </row>
    <row r="4954" spans="1:3" x14ac:dyDescent="0.25">
      <c r="A4954">
        <v>193527</v>
      </c>
      <c r="B4954" t="s">
        <v>2</v>
      </c>
      <c r="C4954" t="str">
        <f>LEFT(Table4[[#This Row],[Policy Type]],1)</f>
        <v>1</v>
      </c>
    </row>
    <row r="4955" spans="1:3" x14ac:dyDescent="0.25">
      <c r="A4955">
        <v>254186</v>
      </c>
      <c r="B4955" t="s">
        <v>2</v>
      </c>
      <c r="C4955" t="str">
        <f>LEFT(Table4[[#This Row],[Policy Type]],1)</f>
        <v>1</v>
      </c>
    </row>
    <row r="4956" spans="1:3" x14ac:dyDescent="0.25">
      <c r="A4956">
        <v>254200</v>
      </c>
      <c r="B4956" t="s">
        <v>2</v>
      </c>
      <c r="C4956" t="str">
        <f>LEFT(Table4[[#This Row],[Policy Type]],1)</f>
        <v>1</v>
      </c>
    </row>
    <row r="4957" spans="1:3" x14ac:dyDescent="0.25">
      <c r="A4957">
        <v>254209</v>
      </c>
      <c r="B4957" t="s">
        <v>2</v>
      </c>
      <c r="C4957" t="str">
        <f>LEFT(Table4[[#This Row],[Policy Type]],1)</f>
        <v>1</v>
      </c>
    </row>
    <row r="4958" spans="1:3" x14ac:dyDescent="0.25">
      <c r="A4958">
        <v>254211</v>
      </c>
      <c r="B4958" t="s">
        <v>3</v>
      </c>
      <c r="C4958" t="str">
        <f>LEFT(Table4[[#This Row],[Policy Type]],1)</f>
        <v>2</v>
      </c>
    </row>
    <row r="4959" spans="1:3" x14ac:dyDescent="0.25">
      <c r="A4959">
        <v>254217</v>
      </c>
      <c r="B4959" t="s">
        <v>3</v>
      </c>
      <c r="C4959" t="str">
        <f>LEFT(Table4[[#This Row],[Policy Type]],1)</f>
        <v>2</v>
      </c>
    </row>
    <row r="4960" spans="1:3" x14ac:dyDescent="0.25">
      <c r="A4960">
        <v>254227</v>
      </c>
      <c r="B4960" t="s">
        <v>2</v>
      </c>
      <c r="C4960" t="str">
        <f>LEFT(Table4[[#This Row],[Policy Type]],1)</f>
        <v>1</v>
      </c>
    </row>
    <row r="4961" spans="1:3" x14ac:dyDescent="0.25">
      <c r="A4961">
        <v>254232</v>
      </c>
      <c r="B4961" t="s">
        <v>2</v>
      </c>
      <c r="C4961" t="str">
        <f>LEFT(Table4[[#This Row],[Policy Type]],1)</f>
        <v>1</v>
      </c>
    </row>
    <row r="4962" spans="1:3" x14ac:dyDescent="0.25">
      <c r="A4962">
        <v>253947</v>
      </c>
      <c r="B4962" t="s">
        <v>3</v>
      </c>
      <c r="C4962" t="str">
        <f>LEFT(Table4[[#This Row],[Policy Type]],1)</f>
        <v>2</v>
      </c>
    </row>
    <row r="4963" spans="1:3" x14ac:dyDescent="0.25">
      <c r="A4963">
        <v>253955</v>
      </c>
      <c r="B4963" t="s">
        <v>2</v>
      </c>
      <c r="C4963" t="str">
        <f>LEFT(Table4[[#This Row],[Policy Type]],1)</f>
        <v>1</v>
      </c>
    </row>
    <row r="4964" spans="1:3" x14ac:dyDescent="0.25">
      <c r="A4964">
        <v>253964</v>
      </c>
      <c r="B4964" t="s">
        <v>2</v>
      </c>
      <c r="C4964" t="str">
        <f>LEFT(Table4[[#This Row],[Policy Type]],1)</f>
        <v>1</v>
      </c>
    </row>
    <row r="4965" spans="1:3" x14ac:dyDescent="0.25">
      <c r="A4965">
        <v>253967</v>
      </c>
      <c r="B4965" t="s">
        <v>2</v>
      </c>
      <c r="C4965" t="str">
        <f>LEFT(Table4[[#This Row],[Policy Type]],1)</f>
        <v>1</v>
      </c>
    </row>
    <row r="4966" spans="1:3" x14ac:dyDescent="0.25">
      <c r="A4966">
        <v>253970</v>
      </c>
      <c r="B4966" t="s">
        <v>3</v>
      </c>
      <c r="C4966" t="str">
        <f>LEFT(Table4[[#This Row],[Policy Type]],1)</f>
        <v>2</v>
      </c>
    </row>
    <row r="4967" spans="1:3" x14ac:dyDescent="0.25">
      <c r="A4967">
        <v>253973</v>
      </c>
      <c r="B4967" t="s">
        <v>2</v>
      </c>
      <c r="C4967" t="str">
        <f>LEFT(Table4[[#This Row],[Policy Type]],1)</f>
        <v>1</v>
      </c>
    </row>
    <row r="4968" spans="1:3" x14ac:dyDescent="0.25">
      <c r="A4968">
        <v>253978</v>
      </c>
      <c r="B4968" t="s">
        <v>2</v>
      </c>
      <c r="C4968" t="str">
        <f>LEFT(Table4[[#This Row],[Policy Type]],1)</f>
        <v>1</v>
      </c>
    </row>
    <row r="4969" spans="1:3" x14ac:dyDescent="0.25">
      <c r="A4969">
        <v>253990</v>
      </c>
      <c r="B4969" t="s">
        <v>3</v>
      </c>
      <c r="C4969" t="str">
        <f>LEFT(Table4[[#This Row],[Policy Type]],1)</f>
        <v>2</v>
      </c>
    </row>
    <row r="4970" spans="1:3" x14ac:dyDescent="0.25">
      <c r="A4970">
        <v>253992</v>
      </c>
      <c r="B4970" t="s">
        <v>3</v>
      </c>
      <c r="C4970" t="str">
        <f>LEFT(Table4[[#This Row],[Policy Type]],1)</f>
        <v>2</v>
      </c>
    </row>
    <row r="4971" spans="1:3" x14ac:dyDescent="0.25">
      <c r="A4971">
        <v>253996</v>
      </c>
      <c r="B4971" t="s">
        <v>3</v>
      </c>
      <c r="C4971" t="str">
        <f>LEFT(Table4[[#This Row],[Policy Type]],1)</f>
        <v>2</v>
      </c>
    </row>
    <row r="4972" spans="1:3" x14ac:dyDescent="0.25">
      <c r="A4972">
        <v>254009</v>
      </c>
      <c r="B4972" t="s">
        <v>2</v>
      </c>
      <c r="C4972" t="str">
        <f>LEFT(Table4[[#This Row],[Policy Type]],1)</f>
        <v>1</v>
      </c>
    </row>
    <row r="4973" spans="1:3" x14ac:dyDescent="0.25">
      <c r="A4973">
        <v>254012</v>
      </c>
      <c r="B4973" t="s">
        <v>2</v>
      </c>
      <c r="C4973" t="str">
        <f>LEFT(Table4[[#This Row],[Policy Type]],1)</f>
        <v>1</v>
      </c>
    </row>
    <row r="4974" spans="1:3" x14ac:dyDescent="0.25">
      <c r="A4974">
        <v>254022</v>
      </c>
      <c r="B4974" t="s">
        <v>3</v>
      </c>
      <c r="C4974" t="str">
        <f>LEFT(Table4[[#This Row],[Policy Type]],1)</f>
        <v>2</v>
      </c>
    </row>
    <row r="4975" spans="1:3" x14ac:dyDescent="0.25">
      <c r="A4975">
        <v>254025</v>
      </c>
      <c r="B4975" t="s">
        <v>2</v>
      </c>
      <c r="C4975" t="str">
        <f>LEFT(Table4[[#This Row],[Policy Type]],1)</f>
        <v>1</v>
      </c>
    </row>
    <row r="4976" spans="1:3" x14ac:dyDescent="0.25">
      <c r="A4976">
        <v>254028</v>
      </c>
      <c r="B4976" t="s">
        <v>3</v>
      </c>
      <c r="C4976" t="str">
        <f>LEFT(Table4[[#This Row],[Policy Type]],1)</f>
        <v>2</v>
      </c>
    </row>
    <row r="4977" spans="1:3" x14ac:dyDescent="0.25">
      <c r="A4977">
        <v>254045</v>
      </c>
      <c r="B4977" t="s">
        <v>2</v>
      </c>
      <c r="C4977" t="str">
        <f>LEFT(Table4[[#This Row],[Policy Type]],1)</f>
        <v>1</v>
      </c>
    </row>
    <row r="4978" spans="1:3" x14ac:dyDescent="0.25">
      <c r="A4978">
        <v>253766</v>
      </c>
      <c r="B4978" t="s">
        <v>3</v>
      </c>
      <c r="C4978" t="str">
        <f>LEFT(Table4[[#This Row],[Policy Type]],1)</f>
        <v>2</v>
      </c>
    </row>
    <row r="4979" spans="1:3" x14ac:dyDescent="0.25">
      <c r="A4979">
        <v>253835</v>
      </c>
      <c r="B4979" t="s">
        <v>2</v>
      </c>
      <c r="C4979" t="str">
        <f>LEFT(Table4[[#This Row],[Policy Type]],1)</f>
        <v>1</v>
      </c>
    </row>
    <row r="4980" spans="1:3" x14ac:dyDescent="0.25">
      <c r="A4980">
        <v>253853</v>
      </c>
      <c r="B4980" t="s">
        <v>2</v>
      </c>
      <c r="C4980" t="str">
        <f>LEFT(Table4[[#This Row],[Policy Type]],1)</f>
        <v>1</v>
      </c>
    </row>
    <row r="4981" spans="1:3" x14ac:dyDescent="0.25">
      <c r="A4981">
        <v>253865</v>
      </c>
      <c r="B4981" t="s">
        <v>3</v>
      </c>
      <c r="C4981" t="str">
        <f>LEFT(Table4[[#This Row],[Policy Type]],1)</f>
        <v>2</v>
      </c>
    </row>
    <row r="4982" spans="1:3" x14ac:dyDescent="0.25">
      <c r="A4982">
        <v>253866</v>
      </c>
      <c r="B4982" t="s">
        <v>2</v>
      </c>
      <c r="C4982" t="str">
        <f>LEFT(Table4[[#This Row],[Policy Type]],1)</f>
        <v>1</v>
      </c>
    </row>
    <row r="4983" spans="1:3" x14ac:dyDescent="0.25">
      <c r="A4983">
        <v>253875</v>
      </c>
      <c r="B4983" t="s">
        <v>3</v>
      </c>
      <c r="C4983" t="str">
        <f>LEFT(Table4[[#This Row],[Policy Type]],1)</f>
        <v>2</v>
      </c>
    </row>
    <row r="4984" spans="1:3" x14ac:dyDescent="0.25">
      <c r="A4984">
        <v>253887</v>
      </c>
      <c r="B4984" t="s">
        <v>2</v>
      </c>
      <c r="C4984" t="str">
        <f>LEFT(Table4[[#This Row],[Policy Type]],1)</f>
        <v>1</v>
      </c>
    </row>
    <row r="4985" spans="1:3" x14ac:dyDescent="0.25">
      <c r="A4985">
        <v>253902</v>
      </c>
      <c r="B4985" t="s">
        <v>3</v>
      </c>
      <c r="C4985" t="str">
        <f>LEFT(Table4[[#This Row],[Policy Type]],1)</f>
        <v>2</v>
      </c>
    </row>
    <row r="4986" spans="1:3" x14ac:dyDescent="0.25">
      <c r="A4986">
        <v>253914</v>
      </c>
      <c r="B4986" t="s">
        <v>2</v>
      </c>
      <c r="C4986" t="str">
        <f>LEFT(Table4[[#This Row],[Policy Type]],1)</f>
        <v>1</v>
      </c>
    </row>
    <row r="4987" spans="1:3" x14ac:dyDescent="0.25">
      <c r="A4987">
        <v>254145</v>
      </c>
      <c r="B4987" t="s">
        <v>3</v>
      </c>
      <c r="C4987" t="str">
        <f>LEFT(Table4[[#This Row],[Policy Type]],1)</f>
        <v>2</v>
      </c>
    </row>
    <row r="4988" spans="1:3" x14ac:dyDescent="0.25">
      <c r="A4988">
        <v>254160</v>
      </c>
      <c r="B4988" t="s">
        <v>3</v>
      </c>
      <c r="C4988" t="str">
        <f>LEFT(Table4[[#This Row],[Policy Type]],1)</f>
        <v>2</v>
      </c>
    </row>
    <row r="4989" spans="1:3" x14ac:dyDescent="0.25">
      <c r="A4989">
        <v>254163</v>
      </c>
      <c r="B4989" t="s">
        <v>3</v>
      </c>
      <c r="C4989" t="str">
        <f>LEFT(Table4[[#This Row],[Policy Type]],1)</f>
        <v>2</v>
      </c>
    </row>
    <row r="4990" spans="1:3" x14ac:dyDescent="0.25">
      <c r="A4990">
        <v>254082</v>
      </c>
      <c r="B4990" t="s">
        <v>3</v>
      </c>
      <c r="C4990" t="str">
        <f>LEFT(Table4[[#This Row],[Policy Type]],1)</f>
        <v>2</v>
      </c>
    </row>
    <row r="4991" spans="1:3" x14ac:dyDescent="0.25">
      <c r="A4991">
        <v>254089</v>
      </c>
      <c r="B4991" t="s">
        <v>3</v>
      </c>
      <c r="C4991" t="str">
        <f>LEFT(Table4[[#This Row],[Policy Type]],1)</f>
        <v>2</v>
      </c>
    </row>
    <row r="4992" spans="1:3" x14ac:dyDescent="0.25">
      <c r="A4992">
        <v>254090</v>
      </c>
      <c r="B4992" t="s">
        <v>3</v>
      </c>
      <c r="C4992" t="str">
        <f>LEFT(Table4[[#This Row],[Policy Type]],1)</f>
        <v>2</v>
      </c>
    </row>
    <row r="4993" spans="1:3" x14ac:dyDescent="0.25">
      <c r="A4993">
        <v>254117</v>
      </c>
      <c r="B4993" t="s">
        <v>2</v>
      </c>
      <c r="C4993" t="str">
        <f>LEFT(Table4[[#This Row],[Policy Type]],1)</f>
        <v>1</v>
      </c>
    </row>
    <row r="4994" spans="1:3" x14ac:dyDescent="0.25">
      <c r="A4994">
        <v>254126</v>
      </c>
      <c r="B4994" t="s">
        <v>3</v>
      </c>
      <c r="C4994" t="str">
        <f>LEFT(Table4[[#This Row],[Policy Type]],1)</f>
        <v>2</v>
      </c>
    </row>
    <row r="4995" spans="1:3" x14ac:dyDescent="0.25">
      <c r="A4995">
        <v>254128</v>
      </c>
      <c r="B4995" t="s">
        <v>2</v>
      </c>
      <c r="C4995" t="str">
        <f>LEFT(Table4[[#This Row],[Policy Type]],1)</f>
        <v>1</v>
      </c>
    </row>
    <row r="4996" spans="1:3" x14ac:dyDescent="0.25">
      <c r="A4996">
        <v>254129</v>
      </c>
      <c r="B4996" t="s">
        <v>2</v>
      </c>
      <c r="C4996" t="str">
        <f>LEFT(Table4[[#This Row],[Policy Type]],1)</f>
        <v>1</v>
      </c>
    </row>
    <row r="4997" spans="1:3" x14ac:dyDescent="0.25">
      <c r="A4997">
        <v>254257</v>
      </c>
      <c r="B4997" t="s">
        <v>2</v>
      </c>
      <c r="C4997" t="str">
        <f>LEFT(Table4[[#This Row],[Policy Type]],1)</f>
        <v>1</v>
      </c>
    </row>
    <row r="4998" spans="1:3" x14ac:dyDescent="0.25">
      <c r="A4998">
        <v>254259</v>
      </c>
      <c r="B4998" t="s">
        <v>2</v>
      </c>
      <c r="C4998" t="str">
        <f>LEFT(Table4[[#This Row],[Policy Type]],1)</f>
        <v>1</v>
      </c>
    </row>
    <row r="4999" spans="1:3" x14ac:dyDescent="0.25">
      <c r="A4999">
        <v>254260</v>
      </c>
      <c r="B4999" t="s">
        <v>2</v>
      </c>
      <c r="C4999" t="str">
        <f>LEFT(Table4[[#This Row],[Policy Type]],1)</f>
        <v>1</v>
      </c>
    </row>
    <row r="5000" spans="1:3" x14ac:dyDescent="0.25">
      <c r="A5000">
        <v>254265</v>
      </c>
      <c r="B5000" t="s">
        <v>2</v>
      </c>
      <c r="C5000" t="str">
        <f>LEFT(Table4[[#This Row],[Policy Type]],1)</f>
        <v>1</v>
      </c>
    </row>
    <row r="5001" spans="1:3" x14ac:dyDescent="0.25">
      <c r="A5001">
        <v>230172</v>
      </c>
      <c r="B5001" t="s">
        <v>3</v>
      </c>
      <c r="C5001" t="str">
        <f>LEFT(Table4[[#This Row],[Policy Type]],1)</f>
        <v>2</v>
      </c>
    </row>
    <row r="5002" spans="1:3" x14ac:dyDescent="0.25">
      <c r="A5002">
        <v>179592</v>
      </c>
      <c r="B5002" t="s">
        <v>3</v>
      </c>
      <c r="C5002" t="str">
        <f>LEFT(Table4[[#This Row],[Policy Type]],1)</f>
        <v>2</v>
      </c>
    </row>
    <row r="5003" spans="1:3" x14ac:dyDescent="0.25">
      <c r="A5003">
        <v>191396</v>
      </c>
      <c r="B5003" t="s">
        <v>2</v>
      </c>
      <c r="C5003" t="str">
        <f>LEFT(Table4[[#This Row],[Policy Type]],1)</f>
        <v>1</v>
      </c>
    </row>
    <row r="5004" spans="1:3" x14ac:dyDescent="0.25">
      <c r="A5004">
        <v>224348</v>
      </c>
      <c r="B5004" t="s">
        <v>2</v>
      </c>
      <c r="C5004" t="str">
        <f>LEFT(Table4[[#This Row],[Policy Type]],1)</f>
        <v>1</v>
      </c>
    </row>
    <row r="5005" spans="1:3" x14ac:dyDescent="0.25">
      <c r="A5005">
        <v>171956</v>
      </c>
      <c r="B5005" t="s">
        <v>3</v>
      </c>
      <c r="C5005" t="str">
        <f>LEFT(Table4[[#This Row],[Policy Type]],1)</f>
        <v>2</v>
      </c>
    </row>
    <row r="5006" spans="1:3" x14ac:dyDescent="0.25">
      <c r="A5006">
        <v>254272</v>
      </c>
      <c r="B5006" t="s">
        <v>2</v>
      </c>
      <c r="C5006" t="str">
        <f>LEFT(Table4[[#This Row],[Policy Type]],1)</f>
        <v>1</v>
      </c>
    </row>
    <row r="5007" spans="1:3" x14ac:dyDescent="0.25">
      <c r="A5007">
        <v>252769</v>
      </c>
      <c r="B5007" t="s">
        <v>2</v>
      </c>
      <c r="C5007" t="str">
        <f>LEFT(Table4[[#This Row],[Policy Type]],1)</f>
        <v>1</v>
      </c>
    </row>
    <row r="5008" spans="1:3" x14ac:dyDescent="0.25">
      <c r="A5008">
        <v>233407</v>
      </c>
      <c r="B5008" t="s">
        <v>3</v>
      </c>
      <c r="C5008" t="str">
        <f>LEFT(Table4[[#This Row],[Policy Type]],1)</f>
        <v>2</v>
      </c>
    </row>
    <row r="5009" spans="1:3" x14ac:dyDescent="0.25">
      <c r="A5009">
        <v>254281</v>
      </c>
      <c r="B5009" t="s">
        <v>3</v>
      </c>
      <c r="C5009" t="str">
        <f>LEFT(Table4[[#This Row],[Policy Type]],1)</f>
        <v>2</v>
      </c>
    </row>
    <row r="5010" spans="1:3" x14ac:dyDescent="0.25">
      <c r="A5010">
        <v>254283</v>
      </c>
      <c r="B5010" t="s">
        <v>2</v>
      </c>
      <c r="C5010" t="str">
        <f>LEFT(Table4[[#This Row],[Policy Type]],1)</f>
        <v>1</v>
      </c>
    </row>
    <row r="5011" spans="1:3" x14ac:dyDescent="0.25">
      <c r="A5011">
        <v>254298</v>
      </c>
      <c r="B5011" t="s">
        <v>3</v>
      </c>
      <c r="C5011" t="str">
        <f>LEFT(Table4[[#This Row],[Policy Type]],1)</f>
        <v>2</v>
      </c>
    </row>
    <row r="5012" spans="1:3" x14ac:dyDescent="0.25">
      <c r="A5012">
        <v>254303</v>
      </c>
      <c r="B5012" t="s">
        <v>3</v>
      </c>
      <c r="C5012" t="str">
        <f>LEFT(Table4[[#This Row],[Policy Type]],1)</f>
        <v>2</v>
      </c>
    </row>
    <row r="5013" spans="1:3" x14ac:dyDescent="0.25">
      <c r="A5013">
        <v>254312</v>
      </c>
      <c r="B5013" t="s">
        <v>3</v>
      </c>
      <c r="C5013" t="str">
        <f>LEFT(Table4[[#This Row],[Policy Type]],1)</f>
        <v>2</v>
      </c>
    </row>
    <row r="5014" spans="1:3" x14ac:dyDescent="0.25">
      <c r="A5014">
        <v>254321</v>
      </c>
      <c r="B5014" t="s">
        <v>3</v>
      </c>
      <c r="C5014" t="str">
        <f>LEFT(Table4[[#This Row],[Policy Type]],1)</f>
        <v>2</v>
      </c>
    </row>
    <row r="5015" spans="1:3" x14ac:dyDescent="0.25">
      <c r="A5015">
        <v>254346</v>
      </c>
      <c r="B5015" t="s">
        <v>3</v>
      </c>
      <c r="C5015" t="str">
        <f>LEFT(Table4[[#This Row],[Policy Type]],1)</f>
        <v>2</v>
      </c>
    </row>
    <row r="5016" spans="1:3" x14ac:dyDescent="0.25">
      <c r="A5016">
        <v>254370</v>
      </c>
      <c r="B5016" t="s">
        <v>2</v>
      </c>
      <c r="C5016" t="str">
        <f>LEFT(Table4[[#This Row],[Policy Type]],1)</f>
        <v>1</v>
      </c>
    </row>
    <row r="5017" spans="1:3" x14ac:dyDescent="0.25">
      <c r="A5017">
        <v>254371</v>
      </c>
      <c r="B5017" t="s">
        <v>2</v>
      </c>
      <c r="C5017" t="str">
        <f>LEFT(Table4[[#This Row],[Policy Type]],1)</f>
        <v>1</v>
      </c>
    </row>
    <row r="5018" spans="1:3" x14ac:dyDescent="0.25">
      <c r="A5018">
        <v>183586</v>
      </c>
      <c r="B5018" t="s">
        <v>2</v>
      </c>
      <c r="C5018" t="str">
        <f>LEFT(Table4[[#This Row],[Policy Type]],1)</f>
        <v>1</v>
      </c>
    </row>
    <row r="5019" spans="1:3" x14ac:dyDescent="0.25">
      <c r="A5019">
        <v>151715</v>
      </c>
      <c r="B5019" t="s">
        <v>2</v>
      </c>
      <c r="C5019" t="str">
        <f>LEFT(Table4[[#This Row],[Policy Type]],1)</f>
        <v>1</v>
      </c>
    </row>
    <row r="5020" spans="1:3" x14ac:dyDescent="0.25">
      <c r="A5020">
        <v>221021</v>
      </c>
      <c r="B5020" t="s">
        <v>3</v>
      </c>
      <c r="C5020" t="str">
        <f>LEFT(Table4[[#This Row],[Policy Type]],1)</f>
        <v>2</v>
      </c>
    </row>
    <row r="5021" spans="1:3" x14ac:dyDescent="0.25">
      <c r="A5021">
        <v>223476</v>
      </c>
      <c r="B5021" t="s">
        <v>3</v>
      </c>
      <c r="C5021" t="str">
        <f>LEFT(Table4[[#This Row],[Policy Type]],1)</f>
        <v>2</v>
      </c>
    </row>
    <row r="5022" spans="1:3" x14ac:dyDescent="0.25">
      <c r="A5022">
        <v>254388</v>
      </c>
      <c r="B5022" t="s">
        <v>2</v>
      </c>
      <c r="C5022" t="str">
        <f>LEFT(Table4[[#This Row],[Policy Type]],1)</f>
        <v>1</v>
      </c>
    </row>
    <row r="5023" spans="1:3" x14ac:dyDescent="0.25">
      <c r="A5023">
        <v>254405</v>
      </c>
      <c r="B5023" t="s">
        <v>3</v>
      </c>
      <c r="C5023" t="str">
        <f>LEFT(Table4[[#This Row],[Policy Type]],1)</f>
        <v>2</v>
      </c>
    </row>
    <row r="5024" spans="1:3" x14ac:dyDescent="0.25">
      <c r="A5024">
        <v>254407</v>
      </c>
      <c r="B5024" t="s">
        <v>3</v>
      </c>
      <c r="C5024" t="str">
        <f>LEFT(Table4[[#This Row],[Policy Type]],1)</f>
        <v>2</v>
      </c>
    </row>
    <row r="5025" spans="1:3" x14ac:dyDescent="0.25">
      <c r="A5025">
        <v>254409</v>
      </c>
      <c r="B5025" t="s">
        <v>3</v>
      </c>
      <c r="C5025" t="str">
        <f>LEFT(Table4[[#This Row],[Policy Type]],1)</f>
        <v>2</v>
      </c>
    </row>
    <row r="5026" spans="1:3" x14ac:dyDescent="0.25">
      <c r="A5026">
        <v>254427</v>
      </c>
      <c r="B5026" t="s">
        <v>3</v>
      </c>
      <c r="C5026" t="str">
        <f>LEFT(Table4[[#This Row],[Policy Type]],1)</f>
        <v>2</v>
      </c>
    </row>
    <row r="5027" spans="1:3" x14ac:dyDescent="0.25">
      <c r="A5027">
        <v>254432</v>
      </c>
      <c r="B5027" t="s">
        <v>2</v>
      </c>
      <c r="C5027" t="str">
        <f>LEFT(Table4[[#This Row],[Policy Type]],1)</f>
        <v>1</v>
      </c>
    </row>
    <row r="5028" spans="1:3" x14ac:dyDescent="0.25">
      <c r="A5028">
        <v>226560</v>
      </c>
      <c r="B5028" t="s">
        <v>3</v>
      </c>
      <c r="C5028" t="str">
        <f>LEFT(Table4[[#This Row],[Policy Type]],1)</f>
        <v>2</v>
      </c>
    </row>
    <row r="5029" spans="1:3" x14ac:dyDescent="0.25">
      <c r="A5029">
        <v>254451</v>
      </c>
      <c r="B5029" t="s">
        <v>3</v>
      </c>
      <c r="C5029" t="str">
        <f>LEFT(Table4[[#This Row],[Policy Type]],1)</f>
        <v>2</v>
      </c>
    </row>
    <row r="5030" spans="1:3" x14ac:dyDescent="0.25">
      <c r="A5030">
        <v>254456</v>
      </c>
      <c r="B5030" t="s">
        <v>2</v>
      </c>
      <c r="C5030" t="str">
        <f>LEFT(Table4[[#This Row],[Policy Type]],1)</f>
        <v>1</v>
      </c>
    </row>
    <row r="5031" spans="1:3" x14ac:dyDescent="0.25">
      <c r="A5031">
        <v>254463</v>
      </c>
      <c r="B5031" t="s">
        <v>2</v>
      </c>
      <c r="C5031" t="str">
        <f>LEFT(Table4[[#This Row],[Policy Type]],1)</f>
        <v>1</v>
      </c>
    </row>
    <row r="5032" spans="1:3" x14ac:dyDescent="0.25">
      <c r="A5032">
        <v>254480</v>
      </c>
      <c r="B5032" t="s">
        <v>2</v>
      </c>
      <c r="C5032" t="str">
        <f>LEFT(Table4[[#This Row],[Policy Type]],1)</f>
        <v>1</v>
      </c>
    </row>
    <row r="5033" spans="1:3" x14ac:dyDescent="0.25">
      <c r="A5033">
        <v>254491</v>
      </c>
      <c r="B5033" t="s">
        <v>3</v>
      </c>
      <c r="C5033" t="str">
        <f>LEFT(Table4[[#This Row],[Policy Type]],1)</f>
        <v>2</v>
      </c>
    </row>
    <row r="5034" spans="1:3" x14ac:dyDescent="0.25">
      <c r="A5034">
        <v>254496</v>
      </c>
      <c r="B5034" t="s">
        <v>3</v>
      </c>
      <c r="C5034" t="str">
        <f>LEFT(Table4[[#This Row],[Policy Type]],1)</f>
        <v>2</v>
      </c>
    </row>
    <row r="5035" spans="1:3" x14ac:dyDescent="0.25">
      <c r="A5035">
        <v>254514</v>
      </c>
      <c r="B5035" t="s">
        <v>2</v>
      </c>
      <c r="C5035" t="str">
        <f>LEFT(Table4[[#This Row],[Policy Type]],1)</f>
        <v>1</v>
      </c>
    </row>
    <row r="5036" spans="1:3" x14ac:dyDescent="0.25">
      <c r="A5036">
        <v>254516</v>
      </c>
      <c r="B5036" t="s">
        <v>3</v>
      </c>
      <c r="C5036" t="str">
        <f>LEFT(Table4[[#This Row],[Policy Type]],1)</f>
        <v>2</v>
      </c>
    </row>
    <row r="5037" spans="1:3" x14ac:dyDescent="0.25">
      <c r="A5037">
        <v>223034</v>
      </c>
      <c r="B5037" t="s">
        <v>2</v>
      </c>
      <c r="C5037" t="str">
        <f>LEFT(Table4[[#This Row],[Policy Type]],1)</f>
        <v>1</v>
      </c>
    </row>
    <row r="5038" spans="1:3" x14ac:dyDescent="0.25">
      <c r="A5038">
        <v>251146</v>
      </c>
      <c r="B5038" t="s">
        <v>2</v>
      </c>
      <c r="C5038" t="str">
        <f>LEFT(Table4[[#This Row],[Policy Type]],1)</f>
        <v>1</v>
      </c>
    </row>
    <row r="5039" spans="1:3" x14ac:dyDescent="0.25">
      <c r="A5039">
        <v>210211</v>
      </c>
      <c r="B5039" t="s">
        <v>3</v>
      </c>
      <c r="C5039" t="str">
        <f>LEFT(Table4[[#This Row],[Policy Type]],1)</f>
        <v>2</v>
      </c>
    </row>
    <row r="5040" spans="1:3" x14ac:dyDescent="0.25">
      <c r="A5040">
        <v>180354</v>
      </c>
      <c r="B5040" t="s">
        <v>2</v>
      </c>
      <c r="C5040" t="str">
        <f>LEFT(Table4[[#This Row],[Policy Type]],1)</f>
        <v>1</v>
      </c>
    </row>
    <row r="5041" spans="1:3" x14ac:dyDescent="0.25">
      <c r="A5041">
        <v>156094</v>
      </c>
      <c r="B5041" t="s">
        <v>2</v>
      </c>
      <c r="C5041" t="str">
        <f>LEFT(Table4[[#This Row],[Policy Type]],1)</f>
        <v>1</v>
      </c>
    </row>
    <row r="5042" spans="1:3" x14ac:dyDescent="0.25">
      <c r="A5042">
        <v>254528</v>
      </c>
      <c r="B5042" t="s">
        <v>3</v>
      </c>
      <c r="C5042" t="str">
        <f>LEFT(Table4[[#This Row],[Policy Type]],1)</f>
        <v>2</v>
      </c>
    </row>
    <row r="5043" spans="1:3" x14ac:dyDescent="0.25">
      <c r="A5043">
        <v>254534</v>
      </c>
      <c r="B5043" t="s">
        <v>3</v>
      </c>
      <c r="C5043" t="str">
        <f>LEFT(Table4[[#This Row],[Policy Type]],1)</f>
        <v>2</v>
      </c>
    </row>
    <row r="5044" spans="1:3" x14ac:dyDescent="0.25">
      <c r="A5044">
        <v>238839</v>
      </c>
      <c r="B5044" t="s">
        <v>2</v>
      </c>
      <c r="C5044" t="str">
        <f>LEFT(Table4[[#This Row],[Policy Type]],1)</f>
        <v>1</v>
      </c>
    </row>
    <row r="5045" spans="1:3" x14ac:dyDescent="0.25">
      <c r="A5045">
        <v>254539</v>
      </c>
      <c r="B5045" t="s">
        <v>3</v>
      </c>
      <c r="C5045" t="str">
        <f>LEFT(Table4[[#This Row],[Policy Type]],1)</f>
        <v>2</v>
      </c>
    </row>
    <row r="5046" spans="1:3" x14ac:dyDescent="0.25">
      <c r="A5046">
        <v>254543</v>
      </c>
      <c r="B5046" t="s">
        <v>3</v>
      </c>
      <c r="C5046" t="str">
        <f>LEFT(Table4[[#This Row],[Policy Type]],1)</f>
        <v>2</v>
      </c>
    </row>
    <row r="5047" spans="1:3" x14ac:dyDescent="0.25">
      <c r="A5047">
        <v>254544</v>
      </c>
      <c r="B5047" t="s">
        <v>3</v>
      </c>
      <c r="C5047" t="str">
        <f>LEFT(Table4[[#This Row],[Policy Type]],1)</f>
        <v>2</v>
      </c>
    </row>
    <row r="5048" spans="1:3" x14ac:dyDescent="0.25">
      <c r="A5048">
        <v>254579</v>
      </c>
      <c r="B5048" t="s">
        <v>3</v>
      </c>
      <c r="C5048" t="str">
        <f>LEFT(Table4[[#This Row],[Policy Type]],1)</f>
        <v>2</v>
      </c>
    </row>
    <row r="5049" spans="1:3" x14ac:dyDescent="0.25">
      <c r="A5049">
        <v>254580</v>
      </c>
      <c r="B5049" t="s">
        <v>2</v>
      </c>
      <c r="C5049" t="str">
        <f>LEFT(Table4[[#This Row],[Policy Type]],1)</f>
        <v>1</v>
      </c>
    </row>
    <row r="5050" spans="1:3" x14ac:dyDescent="0.25">
      <c r="A5050">
        <v>254581</v>
      </c>
      <c r="B5050" t="s">
        <v>2</v>
      </c>
      <c r="C5050" t="str">
        <f>LEFT(Table4[[#This Row],[Policy Type]],1)</f>
        <v>1</v>
      </c>
    </row>
    <row r="5051" spans="1:3" x14ac:dyDescent="0.25">
      <c r="A5051">
        <v>253444</v>
      </c>
      <c r="B5051" t="s">
        <v>3</v>
      </c>
      <c r="C5051" t="str">
        <f>LEFT(Table4[[#This Row],[Policy Type]],1)</f>
        <v>2</v>
      </c>
    </row>
    <row r="5052" spans="1:3" x14ac:dyDescent="0.25">
      <c r="A5052">
        <v>254594</v>
      </c>
      <c r="B5052" t="s">
        <v>3</v>
      </c>
      <c r="C5052" t="str">
        <f>LEFT(Table4[[#This Row],[Policy Type]],1)</f>
        <v>2</v>
      </c>
    </row>
    <row r="5053" spans="1:3" x14ac:dyDescent="0.25">
      <c r="A5053">
        <v>254596</v>
      </c>
      <c r="B5053" t="s">
        <v>3</v>
      </c>
      <c r="C5053" t="str">
        <f>LEFT(Table4[[#This Row],[Policy Type]],1)</f>
        <v>2</v>
      </c>
    </row>
    <row r="5054" spans="1:3" x14ac:dyDescent="0.25">
      <c r="A5054">
        <v>228907</v>
      </c>
      <c r="B5054" t="s">
        <v>2</v>
      </c>
      <c r="C5054" t="str">
        <f>LEFT(Table4[[#This Row],[Policy Type]],1)</f>
        <v>1</v>
      </c>
    </row>
    <row r="5055" spans="1:3" x14ac:dyDescent="0.25">
      <c r="A5055">
        <v>254607</v>
      </c>
      <c r="B5055" t="s">
        <v>3</v>
      </c>
      <c r="C5055" t="str">
        <f>LEFT(Table4[[#This Row],[Policy Type]],1)</f>
        <v>2</v>
      </c>
    </row>
    <row r="5056" spans="1:3" x14ac:dyDescent="0.25">
      <c r="A5056">
        <v>254608</v>
      </c>
      <c r="B5056" t="s">
        <v>2</v>
      </c>
      <c r="C5056" t="str">
        <f>LEFT(Table4[[#This Row],[Policy Type]],1)</f>
        <v>1</v>
      </c>
    </row>
    <row r="5057" spans="1:3" x14ac:dyDescent="0.25">
      <c r="A5057">
        <v>254624</v>
      </c>
      <c r="B5057" t="s">
        <v>2</v>
      </c>
      <c r="C5057" t="str">
        <f>LEFT(Table4[[#This Row],[Policy Type]],1)</f>
        <v>1</v>
      </c>
    </row>
    <row r="5058" spans="1:3" x14ac:dyDescent="0.25">
      <c r="A5058">
        <v>198217</v>
      </c>
      <c r="B5058" t="s">
        <v>2</v>
      </c>
      <c r="C5058" t="str">
        <f>LEFT(Table4[[#This Row],[Policy Type]],1)</f>
        <v>1</v>
      </c>
    </row>
    <row r="5059" spans="1:3" x14ac:dyDescent="0.25">
      <c r="A5059">
        <v>247377</v>
      </c>
      <c r="B5059" t="s">
        <v>2</v>
      </c>
      <c r="C5059" t="str">
        <f>LEFT(Table4[[#This Row],[Policy Type]],1)</f>
        <v>1</v>
      </c>
    </row>
    <row r="5060" spans="1:3" x14ac:dyDescent="0.25">
      <c r="A5060">
        <v>225759</v>
      </c>
      <c r="B5060" t="s">
        <v>2</v>
      </c>
      <c r="C5060" t="str">
        <f>LEFT(Table4[[#This Row],[Policy Type]],1)</f>
        <v>1</v>
      </c>
    </row>
    <row r="5061" spans="1:3" x14ac:dyDescent="0.25">
      <c r="A5061">
        <v>254634</v>
      </c>
      <c r="B5061" t="s">
        <v>2</v>
      </c>
      <c r="C5061" t="str">
        <f>LEFT(Table4[[#This Row],[Policy Type]],1)</f>
        <v>1</v>
      </c>
    </row>
    <row r="5062" spans="1:3" x14ac:dyDescent="0.25">
      <c r="A5062">
        <v>254636</v>
      </c>
      <c r="B5062" t="s">
        <v>3</v>
      </c>
      <c r="C5062" t="str">
        <f>LEFT(Table4[[#This Row],[Policy Type]],1)</f>
        <v>2</v>
      </c>
    </row>
    <row r="5063" spans="1:3" x14ac:dyDescent="0.25">
      <c r="A5063">
        <v>254637</v>
      </c>
      <c r="B5063" t="s">
        <v>3</v>
      </c>
      <c r="C5063" t="str">
        <f>LEFT(Table4[[#This Row],[Policy Type]],1)</f>
        <v>2</v>
      </c>
    </row>
    <row r="5064" spans="1:3" x14ac:dyDescent="0.25">
      <c r="A5064">
        <v>254639</v>
      </c>
      <c r="B5064" t="s">
        <v>3</v>
      </c>
      <c r="C5064" t="str">
        <f>LEFT(Table4[[#This Row],[Policy Type]],1)</f>
        <v>2</v>
      </c>
    </row>
    <row r="5065" spans="1:3" x14ac:dyDescent="0.25">
      <c r="A5065">
        <v>254641</v>
      </c>
      <c r="B5065" t="s">
        <v>2</v>
      </c>
      <c r="C5065" t="str">
        <f>LEFT(Table4[[#This Row],[Policy Type]],1)</f>
        <v>1</v>
      </c>
    </row>
    <row r="5066" spans="1:3" x14ac:dyDescent="0.25">
      <c r="A5066">
        <v>254650</v>
      </c>
      <c r="B5066" t="s">
        <v>3</v>
      </c>
      <c r="C5066" t="str">
        <f>LEFT(Table4[[#This Row],[Policy Type]],1)</f>
        <v>2</v>
      </c>
    </row>
    <row r="5067" spans="1:3" x14ac:dyDescent="0.25">
      <c r="A5067">
        <v>217884</v>
      </c>
      <c r="B5067" t="s">
        <v>3</v>
      </c>
      <c r="C5067" t="str">
        <f>LEFT(Table4[[#This Row],[Policy Type]],1)</f>
        <v>2</v>
      </c>
    </row>
    <row r="5068" spans="1:3" x14ac:dyDescent="0.25">
      <c r="A5068">
        <v>254673</v>
      </c>
      <c r="B5068" t="s">
        <v>2</v>
      </c>
      <c r="C5068" t="str">
        <f>LEFT(Table4[[#This Row],[Policy Type]],1)</f>
        <v>1</v>
      </c>
    </row>
    <row r="5069" spans="1:3" x14ac:dyDescent="0.25">
      <c r="A5069">
        <v>157747</v>
      </c>
      <c r="B5069" t="s">
        <v>3</v>
      </c>
      <c r="C5069" t="str">
        <f>LEFT(Table4[[#This Row],[Policy Type]],1)</f>
        <v>2</v>
      </c>
    </row>
    <row r="5070" spans="1:3" x14ac:dyDescent="0.25">
      <c r="A5070">
        <v>254685</v>
      </c>
      <c r="B5070" t="s">
        <v>3</v>
      </c>
      <c r="C5070" t="str">
        <f>LEFT(Table4[[#This Row],[Policy Type]],1)</f>
        <v>2</v>
      </c>
    </row>
    <row r="5071" spans="1:3" x14ac:dyDescent="0.25">
      <c r="A5071">
        <v>254690</v>
      </c>
      <c r="B5071" t="s">
        <v>2</v>
      </c>
      <c r="C5071" t="str">
        <f>LEFT(Table4[[#This Row],[Policy Type]],1)</f>
        <v>1</v>
      </c>
    </row>
    <row r="5072" spans="1:3" x14ac:dyDescent="0.25">
      <c r="A5072">
        <v>254691</v>
      </c>
      <c r="B5072" t="s">
        <v>3</v>
      </c>
      <c r="C5072" t="str">
        <f>LEFT(Table4[[#This Row],[Policy Type]],1)</f>
        <v>2</v>
      </c>
    </row>
    <row r="5073" spans="1:3" x14ac:dyDescent="0.25">
      <c r="A5073">
        <v>187060</v>
      </c>
      <c r="B5073" t="s">
        <v>2</v>
      </c>
      <c r="C5073" t="str">
        <f>LEFT(Table4[[#This Row],[Policy Type]],1)</f>
        <v>1</v>
      </c>
    </row>
    <row r="5074" spans="1:3" x14ac:dyDescent="0.25">
      <c r="A5074">
        <v>234112</v>
      </c>
      <c r="B5074" t="s">
        <v>3</v>
      </c>
      <c r="C5074" t="str">
        <f>LEFT(Table4[[#This Row],[Policy Type]],1)</f>
        <v>2</v>
      </c>
    </row>
    <row r="5075" spans="1:3" x14ac:dyDescent="0.25">
      <c r="A5075">
        <v>192483</v>
      </c>
      <c r="B5075" t="s">
        <v>2</v>
      </c>
      <c r="C5075" t="str">
        <f>LEFT(Table4[[#This Row],[Policy Type]],1)</f>
        <v>1</v>
      </c>
    </row>
    <row r="5076" spans="1:3" x14ac:dyDescent="0.25">
      <c r="A5076">
        <v>254697</v>
      </c>
      <c r="B5076" t="s">
        <v>2</v>
      </c>
      <c r="C5076" t="str">
        <f>LEFT(Table4[[#This Row],[Policy Type]],1)</f>
        <v>1</v>
      </c>
    </row>
    <row r="5077" spans="1:3" x14ac:dyDescent="0.25">
      <c r="A5077">
        <v>254702</v>
      </c>
      <c r="B5077" t="s">
        <v>3</v>
      </c>
      <c r="C5077" t="str">
        <f>LEFT(Table4[[#This Row],[Policy Type]],1)</f>
        <v>2</v>
      </c>
    </row>
    <row r="5078" spans="1:3" x14ac:dyDescent="0.25">
      <c r="A5078">
        <v>254705</v>
      </c>
      <c r="B5078" t="s">
        <v>3</v>
      </c>
      <c r="C5078" t="str">
        <f>LEFT(Table4[[#This Row],[Policy Type]],1)</f>
        <v>2</v>
      </c>
    </row>
    <row r="5079" spans="1:3" x14ac:dyDescent="0.25">
      <c r="A5079">
        <v>246499</v>
      </c>
      <c r="B5079" t="s">
        <v>2</v>
      </c>
      <c r="C5079" t="str">
        <f>LEFT(Table4[[#This Row],[Policy Type]],1)</f>
        <v>1</v>
      </c>
    </row>
    <row r="5080" spans="1:3" x14ac:dyDescent="0.25">
      <c r="A5080">
        <v>254311</v>
      </c>
      <c r="B5080" t="s">
        <v>3</v>
      </c>
      <c r="C5080" t="str">
        <f>LEFT(Table4[[#This Row],[Policy Type]],1)</f>
        <v>2</v>
      </c>
    </row>
    <row r="5081" spans="1:3" x14ac:dyDescent="0.25">
      <c r="A5081">
        <v>254710</v>
      </c>
      <c r="B5081" t="s">
        <v>3</v>
      </c>
      <c r="C5081" t="str">
        <f>LEFT(Table4[[#This Row],[Policy Type]],1)</f>
        <v>2</v>
      </c>
    </row>
    <row r="5082" spans="1:3" x14ac:dyDescent="0.25">
      <c r="A5082">
        <v>254716</v>
      </c>
      <c r="B5082" t="s">
        <v>3</v>
      </c>
      <c r="C5082" t="str">
        <f>LEFT(Table4[[#This Row],[Policy Type]],1)</f>
        <v>2</v>
      </c>
    </row>
    <row r="5083" spans="1:3" x14ac:dyDescent="0.25">
      <c r="A5083">
        <v>254717</v>
      </c>
      <c r="B5083" t="s">
        <v>3</v>
      </c>
      <c r="C5083" t="str">
        <f>LEFT(Table4[[#This Row],[Policy Type]],1)</f>
        <v>2</v>
      </c>
    </row>
    <row r="5084" spans="1:3" x14ac:dyDescent="0.25">
      <c r="A5084">
        <v>254718</v>
      </c>
      <c r="B5084" t="s">
        <v>2</v>
      </c>
      <c r="C5084" t="str">
        <f>LEFT(Table4[[#This Row],[Policy Type]],1)</f>
        <v>1</v>
      </c>
    </row>
    <row r="5085" spans="1:3" x14ac:dyDescent="0.25">
      <c r="A5085">
        <v>254721</v>
      </c>
      <c r="B5085" t="s">
        <v>3</v>
      </c>
      <c r="C5085" t="str">
        <f>LEFT(Table4[[#This Row],[Policy Type]],1)</f>
        <v>2</v>
      </c>
    </row>
    <row r="5086" spans="1:3" x14ac:dyDescent="0.25">
      <c r="A5086">
        <v>254725</v>
      </c>
      <c r="B5086" t="s">
        <v>3</v>
      </c>
      <c r="C5086" t="str">
        <f>LEFT(Table4[[#This Row],[Policy Type]],1)</f>
        <v>2</v>
      </c>
    </row>
    <row r="5087" spans="1:3" x14ac:dyDescent="0.25">
      <c r="A5087">
        <v>254728</v>
      </c>
      <c r="B5087" t="s">
        <v>2</v>
      </c>
      <c r="C5087" t="str">
        <f>LEFT(Table4[[#This Row],[Policy Type]],1)</f>
        <v>1</v>
      </c>
    </row>
    <row r="5088" spans="1:3" x14ac:dyDescent="0.25">
      <c r="A5088">
        <v>238032</v>
      </c>
      <c r="B5088" t="s">
        <v>3</v>
      </c>
      <c r="C5088" t="str">
        <f>LEFT(Table4[[#This Row],[Policy Type]],1)</f>
        <v>2</v>
      </c>
    </row>
    <row r="5089" spans="1:3" x14ac:dyDescent="0.25">
      <c r="A5089">
        <v>254755</v>
      </c>
      <c r="B5089" t="s">
        <v>2</v>
      </c>
      <c r="C5089" t="str">
        <f>LEFT(Table4[[#This Row],[Policy Type]],1)</f>
        <v>1</v>
      </c>
    </row>
    <row r="5090" spans="1:3" x14ac:dyDescent="0.25">
      <c r="A5090">
        <v>254765</v>
      </c>
      <c r="B5090" t="s">
        <v>3</v>
      </c>
      <c r="C5090" t="str">
        <f>LEFT(Table4[[#This Row],[Policy Type]],1)</f>
        <v>2</v>
      </c>
    </row>
    <row r="5091" spans="1:3" x14ac:dyDescent="0.25">
      <c r="A5091">
        <v>254766</v>
      </c>
      <c r="B5091" t="s">
        <v>2</v>
      </c>
      <c r="C5091" t="str">
        <f>LEFT(Table4[[#This Row],[Policy Type]],1)</f>
        <v>1</v>
      </c>
    </row>
    <row r="5092" spans="1:3" x14ac:dyDescent="0.25">
      <c r="A5092">
        <v>254769</v>
      </c>
      <c r="B5092" t="s">
        <v>2</v>
      </c>
      <c r="C5092" t="str">
        <f>LEFT(Table4[[#This Row],[Policy Type]],1)</f>
        <v>1</v>
      </c>
    </row>
    <row r="5093" spans="1:3" x14ac:dyDescent="0.25">
      <c r="A5093">
        <v>254795</v>
      </c>
      <c r="B5093" t="s">
        <v>3</v>
      </c>
      <c r="C5093" t="str">
        <f>LEFT(Table4[[#This Row],[Policy Type]],1)</f>
        <v>2</v>
      </c>
    </row>
    <row r="5094" spans="1:3" x14ac:dyDescent="0.25">
      <c r="A5094">
        <v>254450</v>
      </c>
      <c r="B5094" t="s">
        <v>3</v>
      </c>
      <c r="C5094" t="str">
        <f>LEFT(Table4[[#This Row],[Policy Type]],1)</f>
        <v>2</v>
      </c>
    </row>
    <row r="5095" spans="1:3" x14ac:dyDescent="0.25">
      <c r="A5095">
        <v>254796</v>
      </c>
      <c r="B5095" t="s">
        <v>3</v>
      </c>
      <c r="C5095" t="str">
        <f>LEFT(Table4[[#This Row],[Policy Type]],1)</f>
        <v>2</v>
      </c>
    </row>
    <row r="5096" spans="1:3" x14ac:dyDescent="0.25">
      <c r="A5096">
        <v>254798</v>
      </c>
      <c r="B5096" t="s">
        <v>3</v>
      </c>
      <c r="C5096" t="str">
        <f>LEFT(Table4[[#This Row],[Policy Type]],1)</f>
        <v>2</v>
      </c>
    </row>
    <row r="5097" spans="1:3" x14ac:dyDescent="0.25">
      <c r="A5097">
        <v>254809</v>
      </c>
      <c r="B5097" t="s">
        <v>3</v>
      </c>
      <c r="C5097" t="str">
        <f>LEFT(Table4[[#This Row],[Policy Type]],1)</f>
        <v>2</v>
      </c>
    </row>
    <row r="5098" spans="1:3" x14ac:dyDescent="0.25">
      <c r="A5098">
        <v>254814</v>
      </c>
      <c r="B5098" t="s">
        <v>2</v>
      </c>
      <c r="C5098" t="str">
        <f>LEFT(Table4[[#This Row],[Policy Type]],1)</f>
        <v>1</v>
      </c>
    </row>
    <row r="5099" spans="1:3" x14ac:dyDescent="0.25">
      <c r="A5099">
        <v>254821</v>
      </c>
      <c r="B5099" t="s">
        <v>3</v>
      </c>
      <c r="C5099" t="str">
        <f>LEFT(Table4[[#This Row],[Policy Type]],1)</f>
        <v>2</v>
      </c>
    </row>
    <row r="5100" spans="1:3" x14ac:dyDescent="0.25">
      <c r="A5100">
        <v>254822</v>
      </c>
      <c r="B5100" t="s">
        <v>3</v>
      </c>
      <c r="C5100" t="str">
        <f>LEFT(Table4[[#This Row],[Policy Type]],1)</f>
        <v>2</v>
      </c>
    </row>
    <row r="5101" spans="1:3" x14ac:dyDescent="0.25">
      <c r="A5101">
        <v>165524</v>
      </c>
      <c r="B5101" t="s">
        <v>3</v>
      </c>
      <c r="C5101" t="str">
        <f>LEFT(Table4[[#This Row],[Policy Type]],1)</f>
        <v>2</v>
      </c>
    </row>
    <row r="5102" spans="1:3" x14ac:dyDescent="0.25">
      <c r="A5102">
        <v>242057</v>
      </c>
      <c r="B5102" t="s">
        <v>3</v>
      </c>
      <c r="C5102" t="str">
        <f>LEFT(Table4[[#This Row],[Policy Type]],1)</f>
        <v>2</v>
      </c>
    </row>
    <row r="5103" spans="1:3" x14ac:dyDescent="0.25">
      <c r="A5103">
        <v>254827</v>
      </c>
      <c r="B5103" t="s">
        <v>2</v>
      </c>
      <c r="C5103" t="str">
        <f>LEFT(Table4[[#This Row],[Policy Type]],1)</f>
        <v>1</v>
      </c>
    </row>
    <row r="5104" spans="1:3" x14ac:dyDescent="0.25">
      <c r="A5104">
        <v>254836</v>
      </c>
      <c r="B5104" t="s">
        <v>3</v>
      </c>
      <c r="C5104" t="str">
        <f>LEFT(Table4[[#This Row],[Policy Type]],1)</f>
        <v>2</v>
      </c>
    </row>
    <row r="5105" spans="1:3" x14ac:dyDescent="0.25">
      <c r="A5105">
        <v>228198</v>
      </c>
      <c r="B5105" t="s">
        <v>3</v>
      </c>
      <c r="C5105" t="str">
        <f>LEFT(Table4[[#This Row],[Policy Type]],1)</f>
        <v>2</v>
      </c>
    </row>
    <row r="5106" spans="1:3" x14ac:dyDescent="0.25">
      <c r="A5106">
        <v>254849</v>
      </c>
      <c r="B5106" t="s">
        <v>2</v>
      </c>
      <c r="C5106" t="str">
        <f>LEFT(Table4[[#This Row],[Policy Type]],1)</f>
        <v>1</v>
      </c>
    </row>
    <row r="5107" spans="1:3" x14ac:dyDescent="0.25">
      <c r="A5107">
        <v>254851</v>
      </c>
      <c r="B5107" t="s">
        <v>3</v>
      </c>
      <c r="C5107" t="str">
        <f>LEFT(Table4[[#This Row],[Policy Type]],1)</f>
        <v>2</v>
      </c>
    </row>
    <row r="5108" spans="1:3" x14ac:dyDescent="0.25">
      <c r="A5108">
        <v>179297</v>
      </c>
      <c r="B5108" t="s">
        <v>2</v>
      </c>
      <c r="C5108" t="str">
        <f>LEFT(Table4[[#This Row],[Policy Type]],1)</f>
        <v>1</v>
      </c>
    </row>
    <row r="5109" spans="1:3" x14ac:dyDescent="0.25">
      <c r="A5109">
        <v>254856</v>
      </c>
      <c r="B5109" t="s">
        <v>3</v>
      </c>
      <c r="C5109" t="str">
        <f>LEFT(Table4[[#This Row],[Policy Type]],1)</f>
        <v>2</v>
      </c>
    </row>
    <row r="5110" spans="1:3" x14ac:dyDescent="0.25">
      <c r="A5110">
        <v>167381</v>
      </c>
      <c r="B5110" t="s">
        <v>2</v>
      </c>
      <c r="C5110" t="str">
        <f>LEFT(Table4[[#This Row],[Policy Type]],1)</f>
        <v>1</v>
      </c>
    </row>
    <row r="5111" spans="1:3" x14ac:dyDescent="0.25">
      <c r="A5111">
        <v>187275</v>
      </c>
      <c r="B5111" t="s">
        <v>2</v>
      </c>
      <c r="C5111" t="str">
        <f>LEFT(Table4[[#This Row],[Policy Type]],1)</f>
        <v>1</v>
      </c>
    </row>
    <row r="5112" spans="1:3" x14ac:dyDescent="0.25">
      <c r="A5112">
        <v>254878</v>
      </c>
      <c r="B5112" t="s">
        <v>2</v>
      </c>
      <c r="C5112" t="str">
        <f>LEFT(Table4[[#This Row],[Policy Type]],1)</f>
        <v>1</v>
      </c>
    </row>
    <row r="5113" spans="1:3" x14ac:dyDescent="0.25">
      <c r="A5113">
        <v>254883</v>
      </c>
      <c r="B5113" t="s">
        <v>3</v>
      </c>
      <c r="C5113" t="str">
        <f>LEFT(Table4[[#This Row],[Policy Type]],1)</f>
        <v>2</v>
      </c>
    </row>
    <row r="5114" spans="1:3" x14ac:dyDescent="0.25">
      <c r="A5114">
        <v>254884</v>
      </c>
      <c r="B5114" t="s">
        <v>2</v>
      </c>
      <c r="C5114" t="str">
        <f>LEFT(Table4[[#This Row],[Policy Type]],1)</f>
        <v>1</v>
      </c>
    </row>
    <row r="5115" spans="1:3" x14ac:dyDescent="0.25">
      <c r="A5115">
        <v>254886</v>
      </c>
      <c r="B5115" t="s">
        <v>2</v>
      </c>
      <c r="C5115" t="str">
        <f>LEFT(Table4[[#This Row],[Policy Type]],1)</f>
        <v>1</v>
      </c>
    </row>
    <row r="5116" spans="1:3" x14ac:dyDescent="0.25">
      <c r="A5116">
        <v>254887</v>
      </c>
      <c r="B5116" t="s">
        <v>3</v>
      </c>
      <c r="C5116" t="str">
        <f>LEFT(Table4[[#This Row],[Policy Type]],1)</f>
        <v>2</v>
      </c>
    </row>
    <row r="5117" spans="1:3" x14ac:dyDescent="0.25">
      <c r="A5117">
        <v>252582</v>
      </c>
      <c r="B5117" t="s">
        <v>2</v>
      </c>
      <c r="C5117" t="str">
        <f>LEFT(Table4[[#This Row],[Policy Type]],1)</f>
        <v>1</v>
      </c>
    </row>
    <row r="5118" spans="1:3" x14ac:dyDescent="0.25">
      <c r="A5118">
        <v>210210</v>
      </c>
      <c r="B5118" t="s">
        <v>3</v>
      </c>
      <c r="C5118" t="str">
        <f>LEFT(Table4[[#This Row],[Policy Type]],1)</f>
        <v>2</v>
      </c>
    </row>
    <row r="5119" spans="1:3" x14ac:dyDescent="0.25">
      <c r="A5119">
        <v>254900</v>
      </c>
      <c r="B5119" t="s">
        <v>3</v>
      </c>
      <c r="C5119" t="str">
        <f>LEFT(Table4[[#This Row],[Policy Type]],1)</f>
        <v>2</v>
      </c>
    </row>
    <row r="5120" spans="1:3" x14ac:dyDescent="0.25">
      <c r="A5120">
        <v>254906</v>
      </c>
      <c r="B5120" t="s">
        <v>2</v>
      </c>
      <c r="C5120" t="str">
        <f>LEFT(Table4[[#This Row],[Policy Type]],1)</f>
        <v>1</v>
      </c>
    </row>
    <row r="5121" spans="1:3" x14ac:dyDescent="0.25">
      <c r="A5121">
        <v>243598</v>
      </c>
      <c r="B5121" t="s">
        <v>3</v>
      </c>
      <c r="C5121" t="str">
        <f>LEFT(Table4[[#This Row],[Policy Type]],1)</f>
        <v>2</v>
      </c>
    </row>
    <row r="5122" spans="1:3" x14ac:dyDescent="0.25">
      <c r="A5122">
        <v>207463</v>
      </c>
      <c r="B5122" t="s">
        <v>3</v>
      </c>
      <c r="C5122" t="str">
        <f>LEFT(Table4[[#This Row],[Policy Type]],1)</f>
        <v>2</v>
      </c>
    </row>
    <row r="5123" spans="1:3" x14ac:dyDescent="0.25">
      <c r="A5123">
        <v>254919</v>
      </c>
      <c r="B5123" t="s">
        <v>2</v>
      </c>
      <c r="C5123" t="str">
        <f>LEFT(Table4[[#This Row],[Policy Type]],1)</f>
        <v>1</v>
      </c>
    </row>
    <row r="5124" spans="1:3" x14ac:dyDescent="0.25">
      <c r="A5124">
        <v>254935</v>
      </c>
      <c r="B5124" t="s">
        <v>3</v>
      </c>
      <c r="C5124" t="str">
        <f>LEFT(Table4[[#This Row],[Policy Type]],1)</f>
        <v>2</v>
      </c>
    </row>
    <row r="5125" spans="1:3" x14ac:dyDescent="0.25">
      <c r="A5125">
        <v>254942</v>
      </c>
      <c r="B5125" t="s">
        <v>2</v>
      </c>
      <c r="C5125" t="str">
        <f>LEFT(Table4[[#This Row],[Policy Type]],1)</f>
        <v>1</v>
      </c>
    </row>
    <row r="5126" spans="1:3" x14ac:dyDescent="0.25">
      <c r="A5126">
        <v>253699</v>
      </c>
      <c r="B5126" t="s">
        <v>3</v>
      </c>
      <c r="C5126" t="str">
        <f>LEFT(Table4[[#This Row],[Policy Type]],1)</f>
        <v>2</v>
      </c>
    </row>
    <row r="5127" spans="1:3" x14ac:dyDescent="0.25">
      <c r="A5127">
        <v>254945</v>
      </c>
      <c r="B5127" t="s">
        <v>3</v>
      </c>
      <c r="C5127" t="str">
        <f>LEFT(Table4[[#This Row],[Policy Type]],1)</f>
        <v>2</v>
      </c>
    </row>
    <row r="5128" spans="1:3" x14ac:dyDescent="0.25">
      <c r="A5128">
        <v>254949</v>
      </c>
      <c r="B5128" t="s">
        <v>3</v>
      </c>
      <c r="C5128" t="str">
        <f>LEFT(Table4[[#This Row],[Policy Type]],1)</f>
        <v>2</v>
      </c>
    </row>
    <row r="5129" spans="1:3" x14ac:dyDescent="0.25">
      <c r="A5129">
        <v>254951</v>
      </c>
      <c r="B5129" t="s">
        <v>3</v>
      </c>
      <c r="C5129" t="str">
        <f>LEFT(Table4[[#This Row],[Policy Type]],1)</f>
        <v>2</v>
      </c>
    </row>
    <row r="5130" spans="1:3" x14ac:dyDescent="0.25">
      <c r="A5130">
        <v>254955</v>
      </c>
      <c r="B5130" t="s">
        <v>3</v>
      </c>
      <c r="C5130" t="str">
        <f>LEFT(Table4[[#This Row],[Policy Type]],1)</f>
        <v>2</v>
      </c>
    </row>
    <row r="5131" spans="1:3" x14ac:dyDescent="0.25">
      <c r="A5131">
        <v>254959</v>
      </c>
      <c r="B5131" t="s">
        <v>2</v>
      </c>
      <c r="C5131" t="str">
        <f>LEFT(Table4[[#This Row],[Policy Type]],1)</f>
        <v>1</v>
      </c>
    </row>
    <row r="5132" spans="1:3" x14ac:dyDescent="0.25">
      <c r="A5132">
        <v>254960</v>
      </c>
      <c r="B5132" t="s">
        <v>2</v>
      </c>
      <c r="C5132" t="str">
        <f>LEFT(Table4[[#This Row],[Policy Type]],1)</f>
        <v>1</v>
      </c>
    </row>
    <row r="5133" spans="1:3" x14ac:dyDescent="0.25">
      <c r="A5133">
        <v>254976</v>
      </c>
      <c r="B5133" t="s">
        <v>2</v>
      </c>
      <c r="C5133" t="str">
        <f>LEFT(Table4[[#This Row],[Policy Type]],1)</f>
        <v>1</v>
      </c>
    </row>
    <row r="5134" spans="1:3" x14ac:dyDescent="0.25">
      <c r="A5134">
        <v>255002</v>
      </c>
      <c r="B5134" t="s">
        <v>3</v>
      </c>
      <c r="C5134" t="str">
        <f>LEFT(Table4[[#This Row],[Policy Type]],1)</f>
        <v>2</v>
      </c>
    </row>
    <row r="5135" spans="1:3" x14ac:dyDescent="0.25">
      <c r="A5135">
        <v>255004</v>
      </c>
      <c r="B5135" t="s">
        <v>2</v>
      </c>
      <c r="C5135" t="str">
        <f>LEFT(Table4[[#This Row],[Policy Type]],1)</f>
        <v>1</v>
      </c>
    </row>
    <row r="5136" spans="1:3" x14ac:dyDescent="0.25">
      <c r="A5136">
        <v>221913</v>
      </c>
      <c r="B5136" t="s">
        <v>2</v>
      </c>
      <c r="C5136" t="str">
        <f>LEFT(Table4[[#This Row],[Policy Type]],1)</f>
        <v>1</v>
      </c>
    </row>
    <row r="5137" spans="1:3" x14ac:dyDescent="0.25">
      <c r="A5137">
        <v>255011</v>
      </c>
      <c r="B5137" t="s">
        <v>2</v>
      </c>
      <c r="C5137" t="str">
        <f>LEFT(Table4[[#This Row],[Policy Type]],1)</f>
        <v>1</v>
      </c>
    </row>
    <row r="5138" spans="1:3" x14ac:dyDescent="0.25">
      <c r="A5138">
        <v>255012</v>
      </c>
      <c r="B5138" t="s">
        <v>3</v>
      </c>
      <c r="C5138" t="str">
        <f>LEFT(Table4[[#This Row],[Policy Type]],1)</f>
        <v>2</v>
      </c>
    </row>
    <row r="5139" spans="1:3" x14ac:dyDescent="0.25">
      <c r="A5139">
        <v>255015</v>
      </c>
      <c r="B5139" t="s">
        <v>3</v>
      </c>
      <c r="C5139" t="str">
        <f>LEFT(Table4[[#This Row],[Policy Type]],1)</f>
        <v>2</v>
      </c>
    </row>
    <row r="5140" spans="1:3" x14ac:dyDescent="0.25">
      <c r="A5140">
        <v>202857</v>
      </c>
      <c r="B5140" t="s">
        <v>3</v>
      </c>
      <c r="C5140" t="str">
        <f>LEFT(Table4[[#This Row],[Policy Type]],1)</f>
        <v>2</v>
      </c>
    </row>
    <row r="5141" spans="1:3" x14ac:dyDescent="0.25">
      <c r="A5141">
        <v>255036</v>
      </c>
      <c r="B5141" t="s">
        <v>3</v>
      </c>
      <c r="C5141" t="str">
        <f>LEFT(Table4[[#This Row],[Policy Type]],1)</f>
        <v>2</v>
      </c>
    </row>
    <row r="5142" spans="1:3" x14ac:dyDescent="0.25">
      <c r="A5142">
        <v>255048</v>
      </c>
      <c r="B5142" t="s">
        <v>2</v>
      </c>
      <c r="C5142" t="str">
        <f>LEFT(Table4[[#This Row],[Policy Type]],1)</f>
        <v>1</v>
      </c>
    </row>
    <row r="5143" spans="1:3" x14ac:dyDescent="0.25">
      <c r="A5143">
        <v>255049</v>
      </c>
      <c r="B5143" t="s">
        <v>3</v>
      </c>
      <c r="C5143" t="str">
        <f>LEFT(Table4[[#This Row],[Policy Type]],1)</f>
        <v>2</v>
      </c>
    </row>
    <row r="5144" spans="1:3" x14ac:dyDescent="0.25">
      <c r="A5144">
        <v>197100</v>
      </c>
      <c r="B5144" t="s">
        <v>3</v>
      </c>
      <c r="C5144" t="str">
        <f>LEFT(Table4[[#This Row],[Policy Type]],1)</f>
        <v>2</v>
      </c>
    </row>
    <row r="5145" spans="1:3" x14ac:dyDescent="0.25">
      <c r="A5145">
        <v>239515</v>
      </c>
      <c r="B5145" t="s">
        <v>3</v>
      </c>
      <c r="C5145" t="str">
        <f>LEFT(Table4[[#This Row],[Policy Type]],1)</f>
        <v>2</v>
      </c>
    </row>
    <row r="5146" spans="1:3" x14ac:dyDescent="0.25">
      <c r="A5146">
        <v>255052</v>
      </c>
      <c r="B5146" t="s">
        <v>3</v>
      </c>
      <c r="C5146" t="str">
        <f>LEFT(Table4[[#This Row],[Policy Type]],1)</f>
        <v>2</v>
      </c>
    </row>
    <row r="5147" spans="1:3" x14ac:dyDescent="0.25">
      <c r="A5147">
        <v>255059</v>
      </c>
      <c r="B5147" t="s">
        <v>3</v>
      </c>
      <c r="C5147" t="str">
        <f>LEFT(Table4[[#This Row],[Policy Type]],1)</f>
        <v>2</v>
      </c>
    </row>
    <row r="5148" spans="1:3" x14ac:dyDescent="0.25">
      <c r="A5148">
        <v>255061</v>
      </c>
      <c r="B5148" t="s">
        <v>3</v>
      </c>
      <c r="C5148" t="str">
        <f>LEFT(Table4[[#This Row],[Policy Type]],1)</f>
        <v>2</v>
      </c>
    </row>
    <row r="5149" spans="1:3" x14ac:dyDescent="0.25">
      <c r="A5149">
        <v>255062</v>
      </c>
      <c r="B5149" t="s">
        <v>3</v>
      </c>
      <c r="C5149" t="str">
        <f>LEFT(Table4[[#This Row],[Policy Type]],1)</f>
        <v>2</v>
      </c>
    </row>
    <row r="5150" spans="1:3" x14ac:dyDescent="0.25">
      <c r="A5150">
        <v>255063</v>
      </c>
      <c r="B5150" t="s">
        <v>2</v>
      </c>
      <c r="C5150" t="str">
        <f>LEFT(Table4[[#This Row],[Policy Type]],1)</f>
        <v>1</v>
      </c>
    </row>
    <row r="5151" spans="1:3" x14ac:dyDescent="0.25">
      <c r="A5151">
        <v>255065</v>
      </c>
      <c r="B5151" t="s">
        <v>2</v>
      </c>
      <c r="C5151" t="str">
        <f>LEFT(Table4[[#This Row],[Policy Type]],1)</f>
        <v>1</v>
      </c>
    </row>
    <row r="5152" spans="1:3" x14ac:dyDescent="0.25">
      <c r="A5152">
        <v>254916</v>
      </c>
      <c r="B5152" t="s">
        <v>3</v>
      </c>
      <c r="C5152" t="str">
        <f>LEFT(Table4[[#This Row],[Policy Type]],1)</f>
        <v>2</v>
      </c>
    </row>
    <row r="5153" spans="1:3" x14ac:dyDescent="0.25">
      <c r="A5153">
        <v>255100</v>
      </c>
      <c r="B5153" t="s">
        <v>3</v>
      </c>
      <c r="C5153" t="str">
        <f>LEFT(Table4[[#This Row],[Policy Type]],1)</f>
        <v>2</v>
      </c>
    </row>
    <row r="5154" spans="1:3" x14ac:dyDescent="0.25">
      <c r="A5154">
        <v>255104</v>
      </c>
      <c r="B5154" t="s">
        <v>3</v>
      </c>
      <c r="C5154" t="str">
        <f>LEFT(Table4[[#This Row],[Policy Type]],1)</f>
        <v>2</v>
      </c>
    </row>
    <row r="5155" spans="1:3" x14ac:dyDescent="0.25">
      <c r="A5155">
        <v>255108</v>
      </c>
      <c r="B5155" t="s">
        <v>3</v>
      </c>
      <c r="C5155" t="str">
        <f>LEFT(Table4[[#This Row],[Policy Type]],1)</f>
        <v>2</v>
      </c>
    </row>
    <row r="5156" spans="1:3" x14ac:dyDescent="0.25">
      <c r="A5156">
        <v>255114</v>
      </c>
      <c r="B5156" t="s">
        <v>2</v>
      </c>
      <c r="C5156" t="str">
        <f>LEFT(Table4[[#This Row],[Policy Type]],1)</f>
        <v>1</v>
      </c>
    </row>
    <row r="5157" spans="1:3" x14ac:dyDescent="0.25">
      <c r="A5157">
        <v>255117</v>
      </c>
      <c r="B5157" t="s">
        <v>3</v>
      </c>
      <c r="C5157" t="str">
        <f>LEFT(Table4[[#This Row],[Policy Type]],1)</f>
        <v>2</v>
      </c>
    </row>
    <row r="5158" spans="1:3" x14ac:dyDescent="0.25">
      <c r="A5158">
        <v>255124</v>
      </c>
      <c r="B5158" t="s">
        <v>3</v>
      </c>
      <c r="C5158" t="str">
        <f>LEFT(Table4[[#This Row],[Policy Type]],1)</f>
        <v>2</v>
      </c>
    </row>
    <row r="5159" spans="1:3" x14ac:dyDescent="0.25">
      <c r="A5159">
        <v>255134</v>
      </c>
      <c r="B5159" t="s">
        <v>2</v>
      </c>
      <c r="C5159" t="str">
        <f>LEFT(Table4[[#This Row],[Policy Type]],1)</f>
        <v>1</v>
      </c>
    </row>
    <row r="5160" spans="1:3" x14ac:dyDescent="0.25">
      <c r="A5160">
        <v>255137</v>
      </c>
      <c r="B5160" t="s">
        <v>2</v>
      </c>
      <c r="C5160" t="str">
        <f>LEFT(Table4[[#This Row],[Policy Type]],1)</f>
        <v>1</v>
      </c>
    </row>
    <row r="5161" spans="1:3" x14ac:dyDescent="0.25">
      <c r="A5161">
        <v>255139</v>
      </c>
      <c r="B5161" t="s">
        <v>3</v>
      </c>
      <c r="C5161" t="str">
        <f>LEFT(Table4[[#This Row],[Policy Type]],1)</f>
        <v>2</v>
      </c>
    </row>
    <row r="5162" spans="1:3" x14ac:dyDescent="0.25">
      <c r="A5162">
        <v>255146</v>
      </c>
      <c r="B5162" t="s">
        <v>3</v>
      </c>
      <c r="C5162" t="str">
        <f>LEFT(Table4[[#This Row],[Policy Type]],1)</f>
        <v>2</v>
      </c>
    </row>
    <row r="5163" spans="1:3" x14ac:dyDescent="0.25">
      <c r="A5163">
        <v>255148</v>
      </c>
      <c r="B5163" t="s">
        <v>2</v>
      </c>
      <c r="C5163" t="str">
        <f>LEFT(Table4[[#This Row],[Policy Type]],1)</f>
        <v>1</v>
      </c>
    </row>
    <row r="5164" spans="1:3" x14ac:dyDescent="0.25">
      <c r="A5164">
        <v>255159</v>
      </c>
      <c r="B5164" t="s">
        <v>3</v>
      </c>
      <c r="C5164" t="str">
        <f>LEFT(Table4[[#This Row],[Policy Type]],1)</f>
        <v>2</v>
      </c>
    </row>
    <row r="5165" spans="1:3" x14ac:dyDescent="0.25">
      <c r="A5165">
        <v>255161</v>
      </c>
      <c r="B5165" t="s">
        <v>3</v>
      </c>
      <c r="C5165" t="str">
        <f>LEFT(Table4[[#This Row],[Policy Type]],1)</f>
        <v>2</v>
      </c>
    </row>
    <row r="5166" spans="1:3" x14ac:dyDescent="0.25">
      <c r="A5166">
        <v>255162</v>
      </c>
      <c r="B5166" t="s">
        <v>3</v>
      </c>
      <c r="C5166" t="str">
        <f>LEFT(Table4[[#This Row],[Policy Type]],1)</f>
        <v>2</v>
      </c>
    </row>
    <row r="5167" spans="1:3" x14ac:dyDescent="0.25">
      <c r="A5167">
        <v>255163</v>
      </c>
      <c r="B5167" t="s">
        <v>3</v>
      </c>
      <c r="C5167" t="str">
        <f>LEFT(Table4[[#This Row],[Policy Type]],1)</f>
        <v>2</v>
      </c>
    </row>
    <row r="5168" spans="1:3" x14ac:dyDescent="0.25">
      <c r="A5168">
        <v>255167</v>
      </c>
      <c r="B5168" t="s">
        <v>2</v>
      </c>
      <c r="C5168" t="str">
        <f>LEFT(Table4[[#This Row],[Policy Type]],1)</f>
        <v>1</v>
      </c>
    </row>
    <row r="5169" spans="1:3" x14ac:dyDescent="0.25">
      <c r="A5169">
        <v>255169</v>
      </c>
      <c r="B5169" t="s">
        <v>3</v>
      </c>
      <c r="C5169" t="str">
        <f>LEFT(Table4[[#This Row],[Policy Type]],1)</f>
        <v>2</v>
      </c>
    </row>
    <row r="5170" spans="1:3" x14ac:dyDescent="0.25">
      <c r="A5170">
        <v>255174</v>
      </c>
      <c r="B5170" t="s">
        <v>2</v>
      </c>
      <c r="C5170" t="str">
        <f>LEFT(Table4[[#This Row],[Policy Type]],1)</f>
        <v>1</v>
      </c>
    </row>
    <row r="5171" spans="1:3" x14ac:dyDescent="0.25">
      <c r="A5171">
        <v>255177</v>
      </c>
      <c r="B5171" t="s">
        <v>2</v>
      </c>
      <c r="C5171" t="str">
        <f>LEFT(Table4[[#This Row],[Policy Type]],1)</f>
        <v>1</v>
      </c>
    </row>
    <row r="5172" spans="1:3" x14ac:dyDescent="0.25">
      <c r="A5172">
        <v>196497</v>
      </c>
      <c r="B5172" t="s">
        <v>2</v>
      </c>
      <c r="C5172" t="str">
        <f>LEFT(Table4[[#This Row],[Policy Type]],1)</f>
        <v>1</v>
      </c>
    </row>
    <row r="5173" spans="1:3" x14ac:dyDescent="0.25">
      <c r="A5173">
        <v>255191</v>
      </c>
      <c r="B5173" t="s">
        <v>3</v>
      </c>
      <c r="C5173" t="str">
        <f>LEFT(Table4[[#This Row],[Policy Type]],1)</f>
        <v>2</v>
      </c>
    </row>
    <row r="5174" spans="1:3" x14ac:dyDescent="0.25">
      <c r="A5174">
        <v>255193</v>
      </c>
      <c r="B5174" t="s">
        <v>3</v>
      </c>
      <c r="C5174" t="str">
        <f>LEFT(Table4[[#This Row],[Policy Type]],1)</f>
        <v>2</v>
      </c>
    </row>
    <row r="5175" spans="1:3" x14ac:dyDescent="0.25">
      <c r="A5175">
        <v>255219</v>
      </c>
      <c r="B5175" t="s">
        <v>2</v>
      </c>
      <c r="C5175" t="str">
        <f>LEFT(Table4[[#This Row],[Policy Type]],1)</f>
        <v>1</v>
      </c>
    </row>
    <row r="5176" spans="1:3" x14ac:dyDescent="0.25">
      <c r="A5176">
        <v>255222</v>
      </c>
      <c r="B5176" t="s">
        <v>3</v>
      </c>
      <c r="C5176" t="str">
        <f>LEFT(Table4[[#This Row],[Policy Type]],1)</f>
        <v>2</v>
      </c>
    </row>
    <row r="5177" spans="1:3" x14ac:dyDescent="0.25">
      <c r="A5177">
        <v>255236</v>
      </c>
      <c r="B5177" t="s">
        <v>3</v>
      </c>
      <c r="C5177" t="str">
        <f>LEFT(Table4[[#This Row],[Policy Type]],1)</f>
        <v>2</v>
      </c>
    </row>
    <row r="5178" spans="1:3" x14ac:dyDescent="0.25">
      <c r="A5178">
        <v>255245</v>
      </c>
      <c r="B5178" t="s">
        <v>2</v>
      </c>
      <c r="C5178" t="str">
        <f>LEFT(Table4[[#This Row],[Policy Type]],1)</f>
        <v>1</v>
      </c>
    </row>
    <row r="5179" spans="1:3" x14ac:dyDescent="0.25">
      <c r="A5179">
        <v>252897</v>
      </c>
      <c r="B5179" t="s">
        <v>2</v>
      </c>
      <c r="C5179" t="str">
        <f>LEFT(Table4[[#This Row],[Policy Type]],1)</f>
        <v>1</v>
      </c>
    </row>
    <row r="5180" spans="1:3" x14ac:dyDescent="0.25">
      <c r="A5180">
        <v>173974</v>
      </c>
      <c r="B5180" t="s">
        <v>2</v>
      </c>
      <c r="C5180" t="str">
        <f>LEFT(Table4[[#This Row],[Policy Type]],1)</f>
        <v>1</v>
      </c>
    </row>
    <row r="5181" spans="1:3" x14ac:dyDescent="0.25">
      <c r="A5181">
        <v>255261</v>
      </c>
      <c r="B5181" t="s">
        <v>2</v>
      </c>
      <c r="C5181" t="str">
        <f>LEFT(Table4[[#This Row],[Policy Type]],1)</f>
        <v>1</v>
      </c>
    </row>
    <row r="5182" spans="1:3" x14ac:dyDescent="0.25">
      <c r="A5182">
        <v>255263</v>
      </c>
      <c r="B5182" t="s">
        <v>2</v>
      </c>
      <c r="C5182" t="str">
        <f>LEFT(Table4[[#This Row],[Policy Type]],1)</f>
        <v>1</v>
      </c>
    </row>
    <row r="5183" spans="1:3" x14ac:dyDescent="0.25">
      <c r="A5183">
        <v>255267</v>
      </c>
      <c r="B5183" t="s">
        <v>3</v>
      </c>
      <c r="C5183" t="str">
        <f>LEFT(Table4[[#This Row],[Policy Type]],1)</f>
        <v>2</v>
      </c>
    </row>
    <row r="5184" spans="1:3" x14ac:dyDescent="0.25">
      <c r="A5184">
        <v>255272</v>
      </c>
      <c r="B5184" t="s">
        <v>3</v>
      </c>
      <c r="C5184" t="str">
        <f>LEFT(Table4[[#This Row],[Policy Type]],1)</f>
        <v>2</v>
      </c>
    </row>
    <row r="5185" spans="1:3" x14ac:dyDescent="0.25">
      <c r="A5185">
        <v>255279</v>
      </c>
      <c r="B5185" t="s">
        <v>2</v>
      </c>
      <c r="C5185" t="str">
        <f>LEFT(Table4[[#This Row],[Policy Type]],1)</f>
        <v>1</v>
      </c>
    </row>
    <row r="5186" spans="1:3" x14ac:dyDescent="0.25">
      <c r="A5186">
        <v>250839</v>
      </c>
      <c r="B5186" t="s">
        <v>2</v>
      </c>
      <c r="C5186" t="str">
        <f>LEFT(Table4[[#This Row],[Policy Type]],1)</f>
        <v>1</v>
      </c>
    </row>
    <row r="5187" spans="1:3" x14ac:dyDescent="0.25">
      <c r="A5187">
        <v>255282</v>
      </c>
      <c r="B5187" t="s">
        <v>2</v>
      </c>
      <c r="C5187" t="str">
        <f>LEFT(Table4[[#This Row],[Policy Type]],1)</f>
        <v>1</v>
      </c>
    </row>
    <row r="5188" spans="1:3" x14ac:dyDescent="0.25">
      <c r="A5188">
        <v>255284</v>
      </c>
      <c r="B5188" t="s">
        <v>3</v>
      </c>
      <c r="C5188" t="str">
        <f>LEFT(Table4[[#This Row],[Policy Type]],1)</f>
        <v>2</v>
      </c>
    </row>
    <row r="5189" spans="1:3" x14ac:dyDescent="0.25">
      <c r="A5189">
        <v>255287</v>
      </c>
      <c r="B5189" t="s">
        <v>3</v>
      </c>
      <c r="C5189" t="str">
        <f>LEFT(Table4[[#This Row],[Policy Type]],1)</f>
        <v>2</v>
      </c>
    </row>
    <row r="5190" spans="1:3" x14ac:dyDescent="0.25">
      <c r="A5190">
        <v>255288</v>
      </c>
      <c r="B5190" t="s">
        <v>3</v>
      </c>
      <c r="C5190" t="str">
        <f>LEFT(Table4[[#This Row],[Policy Type]],1)</f>
        <v>2</v>
      </c>
    </row>
    <row r="5191" spans="1:3" x14ac:dyDescent="0.25">
      <c r="A5191">
        <v>255298</v>
      </c>
      <c r="B5191" t="s">
        <v>2</v>
      </c>
      <c r="C5191" t="str">
        <f>LEFT(Table4[[#This Row],[Policy Type]],1)</f>
        <v>1</v>
      </c>
    </row>
    <row r="5192" spans="1:3" x14ac:dyDescent="0.25">
      <c r="A5192">
        <v>250322</v>
      </c>
      <c r="B5192" t="s">
        <v>3</v>
      </c>
      <c r="C5192" t="str">
        <f>LEFT(Table4[[#This Row],[Policy Type]],1)</f>
        <v>2</v>
      </c>
    </row>
    <row r="5193" spans="1:3" x14ac:dyDescent="0.25">
      <c r="A5193">
        <v>255307</v>
      </c>
      <c r="B5193" t="s">
        <v>2</v>
      </c>
      <c r="C5193" t="str">
        <f>LEFT(Table4[[#This Row],[Policy Type]],1)</f>
        <v>1</v>
      </c>
    </row>
    <row r="5194" spans="1:3" x14ac:dyDescent="0.25">
      <c r="A5194">
        <v>255308</v>
      </c>
      <c r="B5194" t="s">
        <v>2</v>
      </c>
      <c r="C5194" t="str">
        <f>LEFT(Table4[[#This Row],[Policy Type]],1)</f>
        <v>1</v>
      </c>
    </row>
    <row r="5195" spans="1:3" x14ac:dyDescent="0.25">
      <c r="A5195">
        <v>255310</v>
      </c>
      <c r="B5195" t="s">
        <v>3</v>
      </c>
      <c r="C5195" t="str">
        <f>LEFT(Table4[[#This Row],[Policy Type]],1)</f>
        <v>2</v>
      </c>
    </row>
    <row r="5196" spans="1:3" x14ac:dyDescent="0.25">
      <c r="A5196">
        <v>255325</v>
      </c>
      <c r="B5196" t="s">
        <v>3</v>
      </c>
      <c r="C5196" t="str">
        <f>LEFT(Table4[[#This Row],[Policy Type]],1)</f>
        <v>2</v>
      </c>
    </row>
    <row r="5197" spans="1:3" x14ac:dyDescent="0.25">
      <c r="A5197">
        <v>255343</v>
      </c>
      <c r="B5197" t="s">
        <v>3</v>
      </c>
      <c r="C5197" t="str">
        <f>LEFT(Table4[[#This Row],[Policy Type]],1)</f>
        <v>2</v>
      </c>
    </row>
    <row r="5198" spans="1:3" x14ac:dyDescent="0.25">
      <c r="A5198">
        <v>255356</v>
      </c>
      <c r="B5198" t="s">
        <v>3</v>
      </c>
      <c r="C5198" t="str">
        <f>LEFT(Table4[[#This Row],[Policy Type]],1)</f>
        <v>2</v>
      </c>
    </row>
    <row r="5199" spans="1:3" x14ac:dyDescent="0.25">
      <c r="A5199">
        <v>255367</v>
      </c>
      <c r="B5199" t="s">
        <v>2</v>
      </c>
      <c r="C5199" t="str">
        <f>LEFT(Table4[[#This Row],[Policy Type]],1)</f>
        <v>1</v>
      </c>
    </row>
    <row r="5200" spans="1:3" x14ac:dyDescent="0.25">
      <c r="A5200">
        <v>255370</v>
      </c>
      <c r="B5200" t="s">
        <v>2</v>
      </c>
      <c r="C5200" t="str">
        <f>LEFT(Table4[[#This Row],[Policy Type]],1)</f>
        <v>1</v>
      </c>
    </row>
    <row r="5201" spans="1:3" x14ac:dyDescent="0.25">
      <c r="A5201">
        <v>255373</v>
      </c>
      <c r="B5201" t="s">
        <v>3</v>
      </c>
      <c r="C5201" t="str">
        <f>LEFT(Table4[[#This Row],[Policy Type]],1)</f>
        <v>2</v>
      </c>
    </row>
    <row r="5202" spans="1:3" x14ac:dyDescent="0.25">
      <c r="A5202">
        <v>254337</v>
      </c>
      <c r="B5202" t="s">
        <v>3</v>
      </c>
      <c r="C5202" t="str">
        <f>LEFT(Table4[[#This Row],[Policy Type]],1)</f>
        <v>2</v>
      </c>
    </row>
    <row r="5203" spans="1:3" x14ac:dyDescent="0.25">
      <c r="A5203">
        <v>253854</v>
      </c>
      <c r="B5203" t="s">
        <v>2</v>
      </c>
      <c r="C5203" t="str">
        <f>LEFT(Table4[[#This Row],[Policy Type]],1)</f>
        <v>1</v>
      </c>
    </row>
    <row r="5204" spans="1:3" x14ac:dyDescent="0.25">
      <c r="A5204">
        <v>255384</v>
      </c>
      <c r="B5204" t="s">
        <v>2</v>
      </c>
      <c r="C5204" t="str">
        <f>LEFT(Table4[[#This Row],[Policy Type]],1)</f>
        <v>1</v>
      </c>
    </row>
    <row r="5205" spans="1:3" x14ac:dyDescent="0.25">
      <c r="A5205">
        <v>255387</v>
      </c>
      <c r="B5205" t="s">
        <v>3</v>
      </c>
      <c r="C5205" t="str">
        <f>LEFT(Table4[[#This Row],[Policy Type]],1)</f>
        <v>2</v>
      </c>
    </row>
    <row r="5206" spans="1:3" x14ac:dyDescent="0.25">
      <c r="A5206">
        <v>255394</v>
      </c>
      <c r="B5206" t="s">
        <v>2</v>
      </c>
      <c r="C5206" t="str">
        <f>LEFT(Table4[[#This Row],[Policy Type]],1)</f>
        <v>1</v>
      </c>
    </row>
    <row r="5207" spans="1:3" x14ac:dyDescent="0.25">
      <c r="A5207">
        <v>190387</v>
      </c>
      <c r="B5207" t="s">
        <v>3</v>
      </c>
      <c r="C5207" t="str">
        <f>LEFT(Table4[[#This Row],[Policy Type]],1)</f>
        <v>2</v>
      </c>
    </row>
    <row r="5208" spans="1:3" x14ac:dyDescent="0.25">
      <c r="A5208">
        <v>224120</v>
      </c>
      <c r="B5208" t="s">
        <v>3</v>
      </c>
      <c r="C5208" t="str">
        <f>LEFT(Table4[[#This Row],[Policy Type]],1)</f>
        <v>2</v>
      </c>
    </row>
    <row r="5209" spans="1:3" x14ac:dyDescent="0.25">
      <c r="A5209">
        <v>248477</v>
      </c>
      <c r="B5209" t="s">
        <v>2</v>
      </c>
      <c r="C5209" t="str">
        <f>LEFT(Table4[[#This Row],[Policy Type]],1)</f>
        <v>1</v>
      </c>
    </row>
    <row r="5210" spans="1:3" x14ac:dyDescent="0.25">
      <c r="A5210">
        <v>255412</v>
      </c>
      <c r="B5210" t="s">
        <v>3</v>
      </c>
      <c r="C5210" t="str">
        <f>LEFT(Table4[[#This Row],[Policy Type]],1)</f>
        <v>2</v>
      </c>
    </row>
    <row r="5211" spans="1:3" x14ac:dyDescent="0.25">
      <c r="A5211">
        <v>255413</v>
      </c>
      <c r="B5211" t="s">
        <v>2</v>
      </c>
      <c r="C5211" t="str">
        <f>LEFT(Table4[[#This Row],[Policy Type]],1)</f>
        <v>1</v>
      </c>
    </row>
    <row r="5212" spans="1:3" x14ac:dyDescent="0.25">
      <c r="A5212">
        <v>255445</v>
      </c>
      <c r="B5212" t="s">
        <v>2</v>
      </c>
      <c r="C5212" t="str">
        <f>LEFT(Table4[[#This Row],[Policy Type]],1)</f>
        <v>1</v>
      </c>
    </row>
    <row r="5213" spans="1:3" x14ac:dyDescent="0.25">
      <c r="A5213">
        <v>255418</v>
      </c>
      <c r="B5213" t="s">
        <v>3</v>
      </c>
      <c r="C5213" t="str">
        <f>LEFT(Table4[[#This Row],[Policy Type]],1)</f>
        <v>2</v>
      </c>
    </row>
    <row r="5214" spans="1:3" x14ac:dyDescent="0.25">
      <c r="A5214">
        <v>255419</v>
      </c>
      <c r="B5214" t="s">
        <v>2</v>
      </c>
      <c r="C5214" t="str">
        <f>LEFT(Table4[[#This Row],[Policy Type]],1)</f>
        <v>1</v>
      </c>
    </row>
    <row r="5215" spans="1:3" x14ac:dyDescent="0.25">
      <c r="A5215">
        <v>255424</v>
      </c>
      <c r="B5215" t="s">
        <v>3</v>
      </c>
      <c r="C5215" t="str">
        <f>LEFT(Table4[[#This Row],[Policy Type]],1)</f>
        <v>2</v>
      </c>
    </row>
    <row r="5216" spans="1:3" x14ac:dyDescent="0.25">
      <c r="A5216">
        <v>255434</v>
      </c>
      <c r="B5216" t="s">
        <v>2</v>
      </c>
      <c r="C5216" t="str">
        <f>LEFT(Table4[[#This Row],[Policy Type]],1)</f>
        <v>1</v>
      </c>
    </row>
    <row r="5217" spans="1:3" x14ac:dyDescent="0.25">
      <c r="A5217">
        <v>255441</v>
      </c>
      <c r="B5217" t="s">
        <v>2</v>
      </c>
      <c r="C5217" t="str">
        <f>LEFT(Table4[[#This Row],[Policy Type]],1)</f>
        <v>1</v>
      </c>
    </row>
    <row r="5218" spans="1:3" x14ac:dyDescent="0.25">
      <c r="A5218">
        <v>255443</v>
      </c>
      <c r="B5218" t="s">
        <v>2</v>
      </c>
      <c r="C5218" t="str">
        <f>LEFT(Table4[[#This Row],[Policy Type]],1)</f>
        <v>1</v>
      </c>
    </row>
    <row r="5219" spans="1:3" x14ac:dyDescent="0.25">
      <c r="A5219">
        <v>195085</v>
      </c>
      <c r="B5219" t="s">
        <v>3</v>
      </c>
      <c r="C5219" t="str">
        <f>LEFT(Table4[[#This Row],[Policy Type]],1)</f>
        <v>2</v>
      </c>
    </row>
    <row r="5220" spans="1:3" x14ac:dyDescent="0.25">
      <c r="A5220">
        <v>179370</v>
      </c>
      <c r="B5220" t="s">
        <v>2</v>
      </c>
      <c r="C5220" t="str">
        <f>LEFT(Table4[[#This Row],[Policy Type]],1)</f>
        <v>1</v>
      </c>
    </row>
    <row r="5221" spans="1:3" x14ac:dyDescent="0.25">
      <c r="A5221">
        <v>181195</v>
      </c>
      <c r="B5221" t="s">
        <v>2</v>
      </c>
      <c r="C5221" t="str">
        <f>LEFT(Table4[[#This Row],[Policy Type]],1)</f>
        <v>1</v>
      </c>
    </row>
    <row r="5222" spans="1:3" x14ac:dyDescent="0.25">
      <c r="A5222">
        <v>255452</v>
      </c>
      <c r="B5222" t="s">
        <v>2</v>
      </c>
      <c r="C5222" t="str">
        <f>LEFT(Table4[[#This Row],[Policy Type]],1)</f>
        <v>1</v>
      </c>
    </row>
    <row r="5223" spans="1:3" x14ac:dyDescent="0.25">
      <c r="A5223">
        <v>255460</v>
      </c>
      <c r="B5223" t="s">
        <v>2</v>
      </c>
      <c r="C5223" t="str">
        <f>LEFT(Table4[[#This Row],[Policy Type]],1)</f>
        <v>1</v>
      </c>
    </row>
    <row r="5224" spans="1:3" x14ac:dyDescent="0.25">
      <c r="A5224">
        <v>255472</v>
      </c>
      <c r="B5224" t="s">
        <v>2</v>
      </c>
      <c r="C5224" t="str">
        <f>LEFT(Table4[[#This Row],[Policy Type]],1)</f>
        <v>1</v>
      </c>
    </row>
    <row r="5225" spans="1:3" x14ac:dyDescent="0.25">
      <c r="A5225">
        <v>255474</v>
      </c>
      <c r="B5225" t="s">
        <v>3</v>
      </c>
      <c r="C5225" t="str">
        <f>LEFT(Table4[[#This Row],[Policy Type]],1)</f>
        <v>2</v>
      </c>
    </row>
    <row r="5226" spans="1:3" x14ac:dyDescent="0.25">
      <c r="A5226">
        <v>255475</v>
      </c>
      <c r="B5226" t="s">
        <v>3</v>
      </c>
      <c r="C5226" t="str">
        <f>LEFT(Table4[[#This Row],[Policy Type]],1)</f>
        <v>2</v>
      </c>
    </row>
    <row r="5227" spans="1:3" x14ac:dyDescent="0.25">
      <c r="A5227">
        <v>255485</v>
      </c>
      <c r="B5227" t="s">
        <v>3</v>
      </c>
      <c r="C5227" t="str">
        <f>LEFT(Table4[[#This Row],[Policy Type]],1)</f>
        <v>2</v>
      </c>
    </row>
    <row r="5228" spans="1:3" x14ac:dyDescent="0.25">
      <c r="A5228">
        <v>255489</v>
      </c>
      <c r="B5228" t="s">
        <v>2</v>
      </c>
      <c r="C5228" t="str">
        <f>LEFT(Table4[[#This Row],[Policy Type]],1)</f>
        <v>1</v>
      </c>
    </row>
    <row r="5229" spans="1:3" x14ac:dyDescent="0.25">
      <c r="A5229">
        <v>222807</v>
      </c>
      <c r="B5229" t="s">
        <v>2</v>
      </c>
      <c r="C5229" t="str">
        <f>LEFT(Table4[[#This Row],[Policy Type]],1)</f>
        <v>1</v>
      </c>
    </row>
    <row r="5230" spans="1:3" x14ac:dyDescent="0.25">
      <c r="A5230">
        <v>231148</v>
      </c>
      <c r="B5230" t="s">
        <v>2</v>
      </c>
      <c r="C5230" t="str">
        <f>LEFT(Table4[[#This Row],[Policy Type]],1)</f>
        <v>1</v>
      </c>
    </row>
    <row r="5231" spans="1:3" x14ac:dyDescent="0.25">
      <c r="A5231">
        <v>191728</v>
      </c>
      <c r="B5231" t="s">
        <v>3</v>
      </c>
      <c r="C5231" t="str">
        <f>LEFT(Table4[[#This Row],[Policy Type]],1)</f>
        <v>2</v>
      </c>
    </row>
    <row r="5232" spans="1:3" x14ac:dyDescent="0.25">
      <c r="A5232">
        <v>173762</v>
      </c>
      <c r="B5232" t="s">
        <v>2</v>
      </c>
      <c r="C5232" t="str">
        <f>LEFT(Table4[[#This Row],[Policy Type]],1)</f>
        <v>1</v>
      </c>
    </row>
    <row r="5233" spans="1:3" x14ac:dyDescent="0.25">
      <c r="A5233">
        <v>255507</v>
      </c>
      <c r="B5233" t="s">
        <v>2</v>
      </c>
      <c r="C5233" t="str">
        <f>LEFT(Table4[[#This Row],[Policy Type]],1)</f>
        <v>1</v>
      </c>
    </row>
    <row r="5234" spans="1:3" x14ac:dyDescent="0.25">
      <c r="A5234">
        <v>255510</v>
      </c>
      <c r="B5234" t="s">
        <v>3</v>
      </c>
      <c r="C5234" t="str">
        <f>LEFT(Table4[[#This Row],[Policy Type]],1)</f>
        <v>2</v>
      </c>
    </row>
    <row r="5235" spans="1:3" x14ac:dyDescent="0.25">
      <c r="A5235">
        <v>255511</v>
      </c>
      <c r="B5235" t="s">
        <v>3</v>
      </c>
      <c r="C5235" t="str">
        <f>LEFT(Table4[[#This Row],[Policy Type]],1)</f>
        <v>2</v>
      </c>
    </row>
    <row r="5236" spans="1:3" x14ac:dyDescent="0.25">
      <c r="A5236">
        <v>255513</v>
      </c>
      <c r="B5236" t="s">
        <v>2</v>
      </c>
      <c r="C5236" t="str">
        <f>LEFT(Table4[[#This Row],[Policy Type]],1)</f>
        <v>1</v>
      </c>
    </row>
    <row r="5237" spans="1:3" x14ac:dyDescent="0.25">
      <c r="A5237">
        <v>248884</v>
      </c>
      <c r="B5237" t="s">
        <v>2</v>
      </c>
      <c r="C5237" t="str">
        <f>LEFT(Table4[[#This Row],[Policy Type]],1)</f>
        <v>1</v>
      </c>
    </row>
    <row r="5238" spans="1:3" x14ac:dyDescent="0.25">
      <c r="A5238">
        <v>255537</v>
      </c>
      <c r="B5238" t="s">
        <v>3</v>
      </c>
      <c r="C5238" t="str">
        <f>LEFT(Table4[[#This Row],[Policy Type]],1)</f>
        <v>2</v>
      </c>
    </row>
    <row r="5239" spans="1:3" x14ac:dyDescent="0.25">
      <c r="A5239">
        <v>255538</v>
      </c>
      <c r="B5239" t="s">
        <v>2</v>
      </c>
      <c r="C5239" t="str">
        <f>LEFT(Table4[[#This Row],[Policy Type]],1)</f>
        <v>1</v>
      </c>
    </row>
    <row r="5240" spans="1:3" x14ac:dyDescent="0.25">
      <c r="A5240">
        <v>255539</v>
      </c>
      <c r="B5240" t="s">
        <v>3</v>
      </c>
      <c r="C5240" t="str">
        <f>LEFT(Table4[[#This Row],[Policy Type]],1)</f>
        <v>2</v>
      </c>
    </row>
    <row r="5241" spans="1:3" x14ac:dyDescent="0.25">
      <c r="A5241">
        <v>255541</v>
      </c>
      <c r="B5241" t="s">
        <v>3</v>
      </c>
      <c r="C5241" t="str">
        <f>LEFT(Table4[[#This Row],[Policy Type]],1)</f>
        <v>2</v>
      </c>
    </row>
    <row r="5242" spans="1:3" x14ac:dyDescent="0.25">
      <c r="A5242">
        <v>255558</v>
      </c>
      <c r="B5242" t="s">
        <v>3</v>
      </c>
      <c r="C5242" t="str">
        <f>LEFT(Table4[[#This Row],[Policy Type]],1)</f>
        <v>2</v>
      </c>
    </row>
    <row r="5243" spans="1:3" x14ac:dyDescent="0.25">
      <c r="A5243">
        <v>255563</v>
      </c>
      <c r="B5243" t="s">
        <v>2</v>
      </c>
      <c r="C5243" t="str">
        <f>LEFT(Table4[[#This Row],[Policy Type]],1)</f>
        <v>1</v>
      </c>
    </row>
    <row r="5244" spans="1:3" x14ac:dyDescent="0.25">
      <c r="A5244">
        <v>214056</v>
      </c>
      <c r="B5244" t="s">
        <v>2</v>
      </c>
      <c r="C5244" t="str">
        <f>LEFT(Table4[[#This Row],[Policy Type]],1)</f>
        <v>1</v>
      </c>
    </row>
    <row r="5245" spans="1:3" x14ac:dyDescent="0.25">
      <c r="A5245">
        <v>195392</v>
      </c>
      <c r="B5245" t="s">
        <v>3</v>
      </c>
      <c r="C5245" t="str">
        <f>LEFT(Table4[[#This Row],[Policy Type]],1)</f>
        <v>2</v>
      </c>
    </row>
    <row r="5246" spans="1:3" x14ac:dyDescent="0.25">
      <c r="A5246">
        <v>250357</v>
      </c>
      <c r="B5246" t="s">
        <v>3</v>
      </c>
      <c r="C5246" t="str">
        <f>LEFT(Table4[[#This Row],[Policy Type]],1)</f>
        <v>2</v>
      </c>
    </row>
    <row r="5247" spans="1:3" x14ac:dyDescent="0.25">
      <c r="A5247">
        <v>230729</v>
      </c>
      <c r="B5247" t="s">
        <v>3</v>
      </c>
      <c r="C5247" t="str">
        <f>LEFT(Table4[[#This Row],[Policy Type]],1)</f>
        <v>2</v>
      </c>
    </row>
    <row r="5248" spans="1:3" x14ac:dyDescent="0.25">
      <c r="A5248">
        <v>187806</v>
      </c>
      <c r="B5248" t="s">
        <v>2</v>
      </c>
      <c r="C5248" t="str">
        <f>LEFT(Table4[[#This Row],[Policy Type]],1)</f>
        <v>1</v>
      </c>
    </row>
    <row r="5249" spans="1:3" x14ac:dyDescent="0.25">
      <c r="A5249">
        <v>246607</v>
      </c>
      <c r="B5249" t="s">
        <v>2</v>
      </c>
      <c r="C5249" t="str">
        <f>LEFT(Table4[[#This Row],[Policy Type]],1)</f>
        <v>1</v>
      </c>
    </row>
    <row r="5250" spans="1:3" x14ac:dyDescent="0.25">
      <c r="A5250">
        <v>255582</v>
      </c>
      <c r="B5250" t="s">
        <v>3</v>
      </c>
      <c r="C5250" t="str">
        <f>LEFT(Table4[[#This Row],[Policy Type]],1)</f>
        <v>2</v>
      </c>
    </row>
    <row r="5251" spans="1:3" x14ac:dyDescent="0.25">
      <c r="A5251">
        <v>255586</v>
      </c>
      <c r="B5251" t="s">
        <v>3</v>
      </c>
      <c r="C5251" t="str">
        <f>LEFT(Table4[[#This Row],[Policy Type]],1)</f>
        <v>2</v>
      </c>
    </row>
    <row r="5252" spans="1:3" x14ac:dyDescent="0.25">
      <c r="A5252">
        <v>192732</v>
      </c>
      <c r="B5252" t="s">
        <v>3</v>
      </c>
      <c r="C5252" t="str">
        <f>LEFT(Table4[[#This Row],[Policy Type]],1)</f>
        <v>2</v>
      </c>
    </row>
    <row r="5253" spans="1:3" x14ac:dyDescent="0.25">
      <c r="A5253">
        <v>255592</v>
      </c>
      <c r="B5253" t="s">
        <v>3</v>
      </c>
      <c r="C5253" t="str">
        <f>LEFT(Table4[[#This Row],[Policy Type]],1)</f>
        <v>2</v>
      </c>
    </row>
    <row r="5254" spans="1:3" x14ac:dyDescent="0.25">
      <c r="A5254">
        <v>255594</v>
      </c>
      <c r="B5254" t="s">
        <v>3</v>
      </c>
      <c r="C5254" t="str">
        <f>LEFT(Table4[[#This Row],[Policy Type]],1)</f>
        <v>2</v>
      </c>
    </row>
    <row r="5255" spans="1:3" x14ac:dyDescent="0.25">
      <c r="A5255">
        <v>255597</v>
      </c>
      <c r="B5255" t="s">
        <v>2</v>
      </c>
      <c r="C5255" t="str">
        <f>LEFT(Table4[[#This Row],[Policy Type]],1)</f>
        <v>1</v>
      </c>
    </row>
    <row r="5256" spans="1:3" x14ac:dyDescent="0.25">
      <c r="A5256">
        <v>255601</v>
      </c>
      <c r="B5256" t="s">
        <v>2</v>
      </c>
      <c r="C5256" t="str">
        <f>LEFT(Table4[[#This Row],[Policy Type]],1)</f>
        <v>1</v>
      </c>
    </row>
    <row r="5257" spans="1:3" x14ac:dyDescent="0.25">
      <c r="A5257">
        <v>246735</v>
      </c>
      <c r="B5257" t="s">
        <v>3</v>
      </c>
      <c r="C5257" t="str">
        <f>LEFT(Table4[[#This Row],[Policy Type]],1)</f>
        <v>2</v>
      </c>
    </row>
    <row r="5258" spans="1:3" x14ac:dyDescent="0.25">
      <c r="A5258">
        <v>249134</v>
      </c>
      <c r="B5258" t="s">
        <v>3</v>
      </c>
      <c r="C5258" t="str">
        <f>LEFT(Table4[[#This Row],[Policy Type]],1)</f>
        <v>2</v>
      </c>
    </row>
    <row r="5259" spans="1:3" x14ac:dyDescent="0.25">
      <c r="A5259">
        <v>253441</v>
      </c>
      <c r="B5259" t="s">
        <v>2</v>
      </c>
      <c r="C5259" t="str">
        <f>LEFT(Table4[[#This Row],[Policy Type]],1)</f>
        <v>1</v>
      </c>
    </row>
    <row r="5260" spans="1:3" x14ac:dyDescent="0.25">
      <c r="A5260">
        <v>255625</v>
      </c>
      <c r="B5260" t="s">
        <v>3</v>
      </c>
      <c r="C5260" t="str">
        <f>LEFT(Table4[[#This Row],[Policy Type]],1)</f>
        <v>2</v>
      </c>
    </row>
    <row r="5261" spans="1:3" x14ac:dyDescent="0.25">
      <c r="A5261">
        <v>255629</v>
      </c>
      <c r="B5261" t="s">
        <v>3</v>
      </c>
      <c r="C5261" t="str">
        <f>LEFT(Table4[[#This Row],[Policy Type]],1)</f>
        <v>2</v>
      </c>
    </row>
    <row r="5262" spans="1:3" x14ac:dyDescent="0.25">
      <c r="A5262">
        <v>255630</v>
      </c>
      <c r="B5262" t="s">
        <v>3</v>
      </c>
      <c r="C5262" t="str">
        <f>LEFT(Table4[[#This Row],[Policy Type]],1)</f>
        <v>2</v>
      </c>
    </row>
    <row r="5263" spans="1:3" x14ac:dyDescent="0.25">
      <c r="A5263">
        <v>255632</v>
      </c>
      <c r="B5263" t="s">
        <v>3</v>
      </c>
      <c r="C5263" t="str">
        <f>LEFT(Table4[[#This Row],[Policy Type]],1)</f>
        <v>2</v>
      </c>
    </row>
    <row r="5264" spans="1:3" x14ac:dyDescent="0.25">
      <c r="A5264">
        <v>255633</v>
      </c>
      <c r="B5264" t="s">
        <v>2</v>
      </c>
      <c r="C5264" t="str">
        <f>LEFT(Table4[[#This Row],[Policy Type]],1)</f>
        <v>1</v>
      </c>
    </row>
    <row r="5265" spans="1:3" x14ac:dyDescent="0.25">
      <c r="A5265">
        <v>255634</v>
      </c>
      <c r="B5265" t="s">
        <v>2</v>
      </c>
      <c r="C5265" t="str">
        <f>LEFT(Table4[[#This Row],[Policy Type]],1)</f>
        <v>1</v>
      </c>
    </row>
    <row r="5266" spans="1:3" x14ac:dyDescent="0.25">
      <c r="A5266">
        <v>255660</v>
      </c>
      <c r="B5266" t="s">
        <v>2</v>
      </c>
      <c r="C5266" t="str">
        <f>LEFT(Table4[[#This Row],[Policy Type]],1)</f>
        <v>1</v>
      </c>
    </row>
    <row r="5267" spans="1:3" x14ac:dyDescent="0.25">
      <c r="A5267">
        <v>255658</v>
      </c>
      <c r="B5267" t="s">
        <v>3</v>
      </c>
      <c r="C5267" t="str">
        <f>LEFT(Table4[[#This Row],[Policy Type]],1)</f>
        <v>2</v>
      </c>
    </row>
    <row r="5268" spans="1:3" x14ac:dyDescent="0.25">
      <c r="A5268">
        <v>255659</v>
      </c>
      <c r="B5268" t="s">
        <v>2</v>
      </c>
      <c r="C5268" t="str">
        <f>LEFT(Table4[[#This Row],[Policy Type]],1)</f>
        <v>1</v>
      </c>
    </row>
    <row r="5269" spans="1:3" x14ac:dyDescent="0.25">
      <c r="A5269">
        <v>180487</v>
      </c>
      <c r="B5269" t="s">
        <v>2</v>
      </c>
      <c r="C5269" t="str">
        <f>LEFT(Table4[[#This Row],[Policy Type]],1)</f>
        <v>1</v>
      </c>
    </row>
    <row r="5270" spans="1:3" x14ac:dyDescent="0.25">
      <c r="A5270">
        <v>255688</v>
      </c>
      <c r="B5270" t="s">
        <v>3</v>
      </c>
      <c r="C5270" t="str">
        <f>LEFT(Table4[[#This Row],[Policy Type]],1)</f>
        <v>2</v>
      </c>
    </row>
    <row r="5271" spans="1:3" x14ac:dyDescent="0.25">
      <c r="A5271">
        <v>255684</v>
      </c>
      <c r="B5271" t="s">
        <v>3</v>
      </c>
      <c r="C5271" t="str">
        <f>LEFT(Table4[[#This Row],[Policy Type]],1)</f>
        <v>2</v>
      </c>
    </row>
    <row r="5272" spans="1:3" x14ac:dyDescent="0.25">
      <c r="A5272">
        <v>255692</v>
      </c>
      <c r="B5272" t="s">
        <v>3</v>
      </c>
      <c r="C5272" t="str">
        <f>LEFT(Table4[[#This Row],[Policy Type]],1)</f>
        <v>2</v>
      </c>
    </row>
    <row r="5273" spans="1:3" x14ac:dyDescent="0.25">
      <c r="C5273" s="29"/>
    </row>
  </sheetData>
  <pageMargins left="0.7" right="0.7" top="0.75" bottom="0.75" header="0.3" footer="0.3"/>
  <customProperties>
    <customPr name="%get_maps%" r:id="rId1"/>
  </customPropertie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xr:uid="{D3E17597-D02A-458A-9D1F-AEE584A0BB26}">
          <x14:formula1>
            <xm:f>Enabler4Excel_Picklist_Values!$A$2:$A$3</xm:f>
          </x14:formula1>
          <xm:sqref>B2:B5272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4239-0C67-4430-8A4E-FC2DA3011479}">
  <dimension ref="A1:N9009"/>
  <sheetViews>
    <sheetView tabSelected="1" topLeftCell="B1" zoomScale="85" zoomScaleNormal="85" workbookViewId="0">
      <pane ySplit="1" topLeftCell="A2" activePane="bottomLeft" state="frozen"/>
      <selection pane="bottomLeft" activeCell="B1" sqref="A1:XFD1048576"/>
    </sheetView>
  </sheetViews>
  <sheetFormatPr defaultRowHeight="15" x14ac:dyDescent="0.25"/>
  <cols>
    <col min="1" max="1" width="20.5703125" style="14" hidden="1" customWidth="1"/>
    <col min="2" max="2" width="38.5703125" style="14" bestFit="1" customWidth="1"/>
    <col min="3" max="3" width="15.85546875" style="20" bestFit="1" customWidth="1"/>
    <col min="4" max="4" width="18.28515625" style="14" bestFit="1" customWidth="1"/>
    <col min="5" max="5" width="8.85546875" style="14" bestFit="1" customWidth="1"/>
    <col min="6" max="6" width="18" style="5" bestFit="1" customWidth="1"/>
    <col min="7" max="9" width="9.5703125" style="14" customWidth="1"/>
    <col min="10" max="11" width="14.85546875" style="14" bestFit="1" customWidth="1"/>
    <col min="12" max="12" width="36.42578125" style="14" bestFit="1" customWidth="1"/>
    <col min="13" max="13" width="19" style="14" bestFit="1" customWidth="1"/>
    <col min="14" max="14" width="20.5703125" style="14" bestFit="1" customWidth="1"/>
    <col min="15" max="16384" width="9.140625" style="14"/>
  </cols>
  <sheetData>
    <row r="1" spans="1:13" s="21" customFormat="1" x14ac:dyDescent="0.25">
      <c r="A1" s="11" t="s">
        <v>36</v>
      </c>
      <c r="B1" s="11" t="s">
        <v>34</v>
      </c>
      <c r="C1" s="12" t="s">
        <v>35</v>
      </c>
      <c r="D1" s="11" t="s">
        <v>36</v>
      </c>
      <c r="E1" s="11" t="s">
        <v>22</v>
      </c>
      <c r="F1" s="7" t="s">
        <v>6</v>
      </c>
      <c r="G1" s="11" t="s">
        <v>37</v>
      </c>
      <c r="H1" s="11" t="s">
        <v>49</v>
      </c>
      <c r="I1" s="13" t="s">
        <v>24</v>
      </c>
      <c r="J1" s="11" t="s">
        <v>28</v>
      </c>
      <c r="K1" s="11" t="s">
        <v>26</v>
      </c>
      <c r="L1" s="11" t="s">
        <v>27</v>
      </c>
      <c r="M1" s="11" t="s">
        <v>38</v>
      </c>
    </row>
    <row r="2" spans="1:13" s="21" customFormat="1" x14ac:dyDescent="0.25">
      <c r="A2" s="11"/>
      <c r="B2" s="11"/>
      <c r="C2" s="12"/>
      <c r="D2" s="11"/>
      <c r="E2" s="11"/>
      <c r="F2" s="8">
        <f>SUM(F3:F4522)</f>
        <v>289723.19000000152</v>
      </c>
      <c r="G2" s="11"/>
      <c r="H2" s="11"/>
      <c r="I2" s="11"/>
      <c r="J2" s="13"/>
      <c r="K2" s="11"/>
      <c r="L2" s="11"/>
      <c r="M2" s="11"/>
    </row>
    <row r="3" spans="1:13" s="21" customFormat="1" x14ac:dyDescent="0.25">
      <c r="A3" s="14">
        <f t="shared" ref="A3:A7" si="0">D3</f>
        <v>255700</v>
      </c>
      <c r="B3" s="14" t="str">
        <f t="shared" ref="B3:B65" si="1">IF(AND(E3="BILL",F3&lt;0),"Billing &amp; Direct Debit - Refunds",(IF(AND(E3="BILL",F3&gt;0),"Billing - Credits (from TPA)",(IF(AND(E3="CC",F3&lt;0),"Credit Cards (UMB) - Refunds",(IF(AND(E3="CC",F3&gt;0),"Credit Cards (UMB) - Credits",(IF(AND(E3="ACH",F3&gt;0),"Direct Debit (UMB Bank) - Credits","Direct Debit (UMB Bank) - Returned Items")))))))))</f>
        <v>Direct Debit (UMB Bank) - Credits</v>
      </c>
      <c r="C3" s="37">
        <v>46155</v>
      </c>
      <c r="D3" s="31">
        <v>255700</v>
      </c>
      <c r="E3" s="33" t="str">
        <f>IF(Table3[[#This Row],[Type Received]]=2,"CC",(IF(Table3[[#This Row],[Type Received]]=3,"BILL","ACH")))</f>
        <v>ACH</v>
      </c>
      <c r="F3" s="32">
        <v>57.55</v>
      </c>
      <c r="G3" s="14" t="str">
        <f>VLOOKUP(D3,Table4[],3,FALSE)</f>
        <v>2</v>
      </c>
      <c r="H3" s="15"/>
      <c r="I3" s="15">
        <v>90005</v>
      </c>
      <c r="J3" s="15" t="s">
        <v>28</v>
      </c>
      <c r="K3" s="15">
        <v>669424768</v>
      </c>
      <c r="L3" s="15" t="s">
        <v>29</v>
      </c>
      <c r="M3" s="14"/>
    </row>
    <row r="4" spans="1:13" s="21" customFormat="1" x14ac:dyDescent="0.25">
      <c r="A4" s="14">
        <f t="shared" si="0"/>
        <v>255703</v>
      </c>
      <c r="B4" s="14" t="str">
        <f t="shared" si="1"/>
        <v>Billing - Credits (from TPA)</v>
      </c>
      <c r="C4" s="38">
        <v>46143</v>
      </c>
      <c r="D4" s="34">
        <v>255703</v>
      </c>
      <c r="E4" s="36" t="str">
        <f>IF(Table3[[#This Row],[Type Received]]=2,"CC",(IF(Table3[[#This Row],[Type Received]]=3,"BILL","ACH")))</f>
        <v>BILL</v>
      </c>
      <c r="F4" s="35">
        <v>53.37</v>
      </c>
      <c r="G4" s="14" t="str">
        <f>VLOOKUP(D4,Table4[],3,FALSE)</f>
        <v>1</v>
      </c>
      <c r="H4" s="15"/>
      <c r="I4" s="15"/>
      <c r="J4" s="15" t="s">
        <v>84</v>
      </c>
      <c r="K4" s="15">
        <v>522152026</v>
      </c>
      <c r="L4" s="15" t="s">
        <v>29</v>
      </c>
      <c r="M4" s="15" t="s">
        <v>29</v>
      </c>
    </row>
    <row r="5" spans="1:13" s="21" customFormat="1" x14ac:dyDescent="0.25">
      <c r="A5" s="23">
        <f t="shared" si="0"/>
        <v>255704</v>
      </c>
      <c r="B5" s="14" t="str">
        <f t="shared" si="1"/>
        <v>Direct Debit (UMB Bank) - Credits</v>
      </c>
      <c r="C5" s="37">
        <v>46149</v>
      </c>
      <c r="D5" s="31">
        <v>255704</v>
      </c>
      <c r="E5" s="33" t="str">
        <f>IF(Table3[[#This Row],[Type Received]]=2,"CC",(IF(Table3[[#This Row],[Type Received]]=3,"BILL","ACH")))</f>
        <v>ACH</v>
      </c>
      <c r="F5" s="32">
        <v>71.099999999999994</v>
      </c>
      <c r="G5" s="14" t="str">
        <f>VLOOKUP(D5,Table4[],3,FALSE)</f>
        <v>2</v>
      </c>
      <c r="H5" s="15">
        <v>2787</v>
      </c>
      <c r="I5" s="15"/>
      <c r="J5" s="15"/>
      <c r="K5" s="15"/>
      <c r="L5" s="15"/>
      <c r="M5" s="15" t="s">
        <v>29</v>
      </c>
    </row>
    <row r="6" spans="1:13" x14ac:dyDescent="0.25">
      <c r="A6" s="23">
        <f t="shared" si="0"/>
        <v>255722</v>
      </c>
      <c r="B6" s="14" t="str">
        <f t="shared" si="1"/>
        <v>Direct Debit (UMB Bank) - Credits</v>
      </c>
      <c r="C6" s="38">
        <v>46167</v>
      </c>
      <c r="D6" s="34">
        <v>255722</v>
      </c>
      <c r="E6" s="36" t="str">
        <f>IF(Table3[[#This Row],[Type Received]]=2,"CC",(IF(Table3[[#This Row],[Type Received]]=3,"BILL","ACH")))</f>
        <v>ACH</v>
      </c>
      <c r="F6" s="35">
        <v>84.61</v>
      </c>
      <c r="G6" s="14" t="str">
        <f>VLOOKUP(D6,Table4[],3,FALSE)</f>
        <v>2</v>
      </c>
      <c r="H6" s="15"/>
      <c r="I6" s="15"/>
      <c r="J6" s="15" t="s">
        <v>85</v>
      </c>
      <c r="K6" s="15">
        <v>818313346</v>
      </c>
      <c r="L6" s="15" t="s">
        <v>29</v>
      </c>
      <c r="M6" s="15" t="s">
        <v>29</v>
      </c>
    </row>
    <row r="7" spans="1:13" x14ac:dyDescent="0.25">
      <c r="A7" s="23">
        <f t="shared" si="0"/>
        <v>255723</v>
      </c>
      <c r="B7" s="14" t="str">
        <f t="shared" si="1"/>
        <v>Billing - Credits (from TPA)</v>
      </c>
      <c r="C7" s="37">
        <v>46167</v>
      </c>
      <c r="D7" s="31">
        <v>255723</v>
      </c>
      <c r="E7" s="33" t="str">
        <f>IF(Table3[[#This Row],[Type Received]]=2,"CC",(IF(Table3[[#This Row],[Type Received]]=3,"BILL","ACH")))</f>
        <v>BILL</v>
      </c>
      <c r="F7" s="32">
        <v>134.44</v>
      </c>
      <c r="G7" s="14" t="str">
        <f>VLOOKUP(D7,Table4[],3,FALSE)</f>
        <v>2</v>
      </c>
      <c r="H7" s="15"/>
      <c r="I7" s="15"/>
      <c r="J7" s="15" t="s">
        <v>85</v>
      </c>
      <c r="K7" s="15">
        <v>818318192</v>
      </c>
      <c r="L7" s="15" t="s">
        <v>29</v>
      </c>
      <c r="M7" s="15" t="s">
        <v>29</v>
      </c>
    </row>
    <row r="8" spans="1:13" x14ac:dyDescent="0.25">
      <c r="A8" s="23"/>
      <c r="B8" s="14" t="str">
        <f t="shared" si="1"/>
        <v>Billing - Credits (from TPA)</v>
      </c>
      <c r="C8" s="38">
        <v>46168</v>
      </c>
      <c r="D8" s="34">
        <v>255728</v>
      </c>
      <c r="E8" s="36" t="str">
        <f>IF(Table3[[#This Row],[Type Received]]=2,"CC",(IF(Table3[[#This Row],[Type Received]]=3,"BILL","ACH")))</f>
        <v>BILL</v>
      </c>
      <c r="F8" s="35">
        <v>98.49</v>
      </c>
      <c r="G8" s="14" t="str">
        <f>VLOOKUP(D8,Table4[],3,FALSE)</f>
        <v>1</v>
      </c>
      <c r="H8" s="15">
        <v>11723</v>
      </c>
      <c r="I8" s="15"/>
      <c r="J8" s="15"/>
      <c r="K8" s="15"/>
      <c r="L8" s="15"/>
      <c r="M8" s="15"/>
    </row>
    <row r="9" spans="1:13" x14ac:dyDescent="0.25">
      <c r="A9" s="23"/>
      <c r="B9" s="14" t="str">
        <f t="shared" si="1"/>
        <v>Billing - Credits (from TPA)</v>
      </c>
      <c r="C9" s="37">
        <v>46146</v>
      </c>
      <c r="D9" s="31">
        <v>255728</v>
      </c>
      <c r="E9" s="33" t="str">
        <f>IF(Table3[[#This Row],[Type Received]]=2,"CC",(IF(Table3[[#This Row],[Type Received]]=3,"BILL","ACH")))</f>
        <v>BILL</v>
      </c>
      <c r="F9" s="32">
        <v>98.49</v>
      </c>
      <c r="G9" s="14" t="str">
        <f>VLOOKUP(D9,Table4[],3,FALSE)</f>
        <v>1</v>
      </c>
      <c r="H9" s="15">
        <v>11704</v>
      </c>
      <c r="I9" s="15"/>
      <c r="J9" s="15"/>
      <c r="K9" s="15"/>
      <c r="L9" s="15"/>
      <c r="M9" s="15" t="s">
        <v>29</v>
      </c>
    </row>
    <row r="10" spans="1:13" x14ac:dyDescent="0.25">
      <c r="A10" s="23">
        <f t="shared" ref="A10:A41" si="2">D10</f>
        <v>255730</v>
      </c>
      <c r="B10" s="14" t="str">
        <f t="shared" si="1"/>
        <v>Direct Debit (UMB Bank) - Credits</v>
      </c>
      <c r="C10" s="38">
        <v>46155</v>
      </c>
      <c r="D10" s="34">
        <v>255730</v>
      </c>
      <c r="E10" s="36" t="str">
        <f>IF(Table3[[#This Row],[Type Received]]=2,"CC",(IF(Table3[[#This Row],[Type Received]]=3,"BILL","ACH")))</f>
        <v>ACH</v>
      </c>
      <c r="F10" s="35">
        <v>101.35</v>
      </c>
      <c r="G10" s="14" t="str">
        <f>VLOOKUP(D10,Table4[],3,FALSE)</f>
        <v>1</v>
      </c>
      <c r="H10" s="15">
        <v>10714</v>
      </c>
      <c r="I10" s="15"/>
      <c r="J10" s="15"/>
      <c r="K10" s="15"/>
      <c r="L10" s="15"/>
      <c r="M10" s="15" t="s">
        <v>29</v>
      </c>
    </row>
    <row r="11" spans="1:13" x14ac:dyDescent="0.25">
      <c r="A11" s="23">
        <f t="shared" si="2"/>
        <v>255732</v>
      </c>
      <c r="B11" s="14" t="str">
        <f t="shared" si="1"/>
        <v>Direct Debit (UMB Bank) - Credits</v>
      </c>
      <c r="C11" s="37">
        <v>46147</v>
      </c>
      <c r="D11" s="31">
        <v>255732</v>
      </c>
      <c r="E11" s="33" t="str">
        <f>IF(Table3[[#This Row],[Type Received]]=2,"CC",(IF(Table3[[#This Row],[Type Received]]=3,"BILL","ACH")))</f>
        <v>ACH</v>
      </c>
      <c r="F11" s="32">
        <v>93.52</v>
      </c>
      <c r="G11" s="14" t="str">
        <f>VLOOKUP(D11,Table4[],3,FALSE)</f>
        <v>2</v>
      </c>
      <c r="H11" s="15"/>
      <c r="I11" s="15"/>
      <c r="J11" s="15" t="s">
        <v>86</v>
      </c>
      <c r="K11" s="15">
        <v>569459911</v>
      </c>
      <c r="L11" s="15" t="s">
        <v>29</v>
      </c>
      <c r="M11" s="15" t="s">
        <v>29</v>
      </c>
    </row>
    <row r="12" spans="1:13" x14ac:dyDescent="0.25">
      <c r="A12" s="23">
        <f t="shared" si="2"/>
        <v>255735</v>
      </c>
      <c r="B12" s="14" t="str">
        <f t="shared" si="1"/>
        <v>Direct Debit (UMB Bank) - Credits</v>
      </c>
      <c r="C12" s="38">
        <v>46167</v>
      </c>
      <c r="D12" s="34">
        <v>255735</v>
      </c>
      <c r="E12" s="36" t="str">
        <f>IF(Table3[[#This Row],[Type Received]]=2,"CC",(IF(Table3[[#This Row],[Type Received]]=3,"BILL","ACH")))</f>
        <v>ACH</v>
      </c>
      <c r="F12" s="35">
        <v>39.729999999999997</v>
      </c>
      <c r="G12" s="14" t="str">
        <f>VLOOKUP(D12,Table4[],3,FALSE)</f>
        <v>1</v>
      </c>
      <c r="H12" s="15"/>
      <c r="I12" s="15"/>
      <c r="J12" s="15" t="s">
        <v>85</v>
      </c>
      <c r="K12" s="15">
        <v>818310349</v>
      </c>
      <c r="L12" s="15" t="s">
        <v>29</v>
      </c>
      <c r="M12" s="15" t="s">
        <v>29</v>
      </c>
    </row>
    <row r="13" spans="1:13" x14ac:dyDescent="0.25">
      <c r="A13" s="23">
        <f t="shared" si="2"/>
        <v>255737</v>
      </c>
      <c r="B13" s="14" t="str">
        <f t="shared" si="1"/>
        <v>Direct Debit (UMB Bank) - Credits</v>
      </c>
      <c r="C13" s="37">
        <v>46143</v>
      </c>
      <c r="D13" s="31">
        <v>255737</v>
      </c>
      <c r="E13" s="33" t="str">
        <f>IF(Table3[[#This Row],[Type Received]]=2,"CC",(IF(Table3[[#This Row],[Type Received]]=3,"BILL","ACH")))</f>
        <v>ACH</v>
      </c>
      <c r="F13" s="32">
        <v>109.03</v>
      </c>
      <c r="G13" s="14" t="str">
        <f>VLOOKUP(D13,Table4[],3,FALSE)</f>
        <v>2</v>
      </c>
      <c r="H13" s="15"/>
      <c r="I13" s="15"/>
      <c r="J13" s="24" t="s">
        <v>84</v>
      </c>
      <c r="K13" s="15">
        <v>522173379</v>
      </c>
      <c r="L13" s="15" t="s">
        <v>29</v>
      </c>
      <c r="M13" s="15" t="s">
        <v>29</v>
      </c>
    </row>
    <row r="14" spans="1:13" x14ac:dyDescent="0.25">
      <c r="A14" s="23">
        <f t="shared" si="2"/>
        <v>255738</v>
      </c>
      <c r="B14" s="14" t="str">
        <f t="shared" si="1"/>
        <v>Direct Debit (UMB Bank) - Credits</v>
      </c>
      <c r="C14" s="38">
        <v>46143</v>
      </c>
      <c r="D14" s="34">
        <v>255738</v>
      </c>
      <c r="E14" s="36" t="str">
        <f>IF(Table3[[#This Row],[Type Received]]=2,"CC",(IF(Table3[[#This Row],[Type Received]]=3,"BILL","ACH")))</f>
        <v>ACH</v>
      </c>
      <c r="F14" s="35">
        <v>91.87</v>
      </c>
      <c r="G14" s="14" t="str">
        <f>VLOOKUP(D14,Table4[],3,FALSE)</f>
        <v>2</v>
      </c>
      <c r="H14" s="15"/>
      <c r="I14" s="15"/>
      <c r="J14" s="15" t="s">
        <v>84</v>
      </c>
      <c r="K14" s="15">
        <v>522174388</v>
      </c>
      <c r="L14" s="15" t="s">
        <v>29</v>
      </c>
      <c r="M14" s="15"/>
    </row>
    <row r="15" spans="1:13" x14ac:dyDescent="0.25">
      <c r="A15" s="23">
        <f t="shared" si="2"/>
        <v>255740</v>
      </c>
      <c r="B15" s="14" t="str">
        <f t="shared" si="1"/>
        <v>Direct Debit (UMB Bank) - Credits</v>
      </c>
      <c r="C15" s="37">
        <v>46143</v>
      </c>
      <c r="D15" s="31">
        <v>255740</v>
      </c>
      <c r="E15" s="33" t="str">
        <f>IF(Table3[[#This Row],[Type Received]]=2,"CC",(IF(Table3[[#This Row],[Type Received]]=3,"BILL","ACH")))</f>
        <v>ACH</v>
      </c>
      <c r="F15" s="32">
        <v>45.23</v>
      </c>
      <c r="G15" s="14" t="str">
        <f>VLOOKUP(D15,Table4[],3,FALSE)</f>
        <v>1</v>
      </c>
      <c r="H15" s="15"/>
      <c r="I15" s="15"/>
      <c r="J15" s="15" t="s">
        <v>84</v>
      </c>
      <c r="K15" s="15">
        <v>522174413</v>
      </c>
      <c r="L15" s="15" t="s">
        <v>29</v>
      </c>
      <c r="M15" s="15" t="s">
        <v>29</v>
      </c>
    </row>
    <row r="16" spans="1:13" x14ac:dyDescent="0.25">
      <c r="A16" s="23">
        <f t="shared" si="2"/>
        <v>255741</v>
      </c>
      <c r="B16" s="14" t="str">
        <f t="shared" si="1"/>
        <v>Direct Debit (UMB Bank) - Credits</v>
      </c>
      <c r="C16" s="38">
        <v>46157</v>
      </c>
      <c r="D16" s="34">
        <v>255741</v>
      </c>
      <c r="E16" s="36" t="str">
        <f>IF(Table3[[#This Row],[Type Received]]=2,"CC",(IF(Table3[[#This Row],[Type Received]]=3,"BILL","ACH")))</f>
        <v>ACH</v>
      </c>
      <c r="F16" s="35">
        <v>49.63</v>
      </c>
      <c r="G16" s="14" t="str">
        <f>VLOOKUP(D16,Table4[],3,FALSE)</f>
        <v>2</v>
      </c>
      <c r="H16" s="15"/>
      <c r="I16" s="15"/>
      <c r="J16" s="15" t="s">
        <v>87</v>
      </c>
      <c r="K16" s="15">
        <v>696580803</v>
      </c>
      <c r="L16" s="15" t="s">
        <v>29</v>
      </c>
      <c r="M16" s="15" t="s">
        <v>29</v>
      </c>
    </row>
    <row r="17" spans="1:13" x14ac:dyDescent="0.25">
      <c r="A17" s="23">
        <f t="shared" si="2"/>
        <v>255743</v>
      </c>
      <c r="B17" s="14" t="str">
        <f t="shared" si="1"/>
        <v>Billing - Credits (from TPA)</v>
      </c>
      <c r="C17" s="37">
        <v>46157</v>
      </c>
      <c r="D17" s="31">
        <v>255743</v>
      </c>
      <c r="E17" s="33" t="str">
        <f>IF(Table3[[#This Row],[Type Received]]=2,"CC",(IF(Table3[[#This Row],[Type Received]]=3,"BILL","ACH")))</f>
        <v>BILL</v>
      </c>
      <c r="F17" s="32">
        <v>55.24</v>
      </c>
      <c r="G17" s="14" t="str">
        <f>VLOOKUP(D17,Table4[],3,FALSE)</f>
        <v>2</v>
      </c>
      <c r="H17" s="15"/>
      <c r="I17" s="15"/>
      <c r="J17" s="15" t="s">
        <v>87</v>
      </c>
      <c r="K17" s="15">
        <v>696572089</v>
      </c>
      <c r="L17" s="15" t="s">
        <v>29</v>
      </c>
      <c r="M17" s="15" t="s">
        <v>29</v>
      </c>
    </row>
    <row r="18" spans="1:13" x14ac:dyDescent="0.25">
      <c r="A18" s="23">
        <f t="shared" si="2"/>
        <v>255748</v>
      </c>
      <c r="B18" s="14" t="str">
        <f t="shared" si="1"/>
        <v>Direct Debit (UMB Bank) - Credits</v>
      </c>
      <c r="C18" s="38">
        <v>46146</v>
      </c>
      <c r="D18" s="34">
        <v>255748</v>
      </c>
      <c r="E18" s="36" t="str">
        <f>IF(Table3[[#This Row],[Type Received]]=2,"CC",(IF(Table3[[#This Row],[Type Received]]=3,"BILL","ACH")))</f>
        <v>ACH</v>
      </c>
      <c r="F18" s="35">
        <v>135.12</v>
      </c>
      <c r="G18" s="14" t="str">
        <f>VLOOKUP(D18,Table4[],3,FALSE)</f>
        <v>2</v>
      </c>
      <c r="H18" s="15">
        <v>1371</v>
      </c>
      <c r="I18" s="15"/>
      <c r="J18" s="15"/>
      <c r="K18" s="15"/>
      <c r="L18" s="15"/>
      <c r="M18" s="15" t="s">
        <v>29</v>
      </c>
    </row>
    <row r="19" spans="1:13" x14ac:dyDescent="0.25">
      <c r="A19" s="23">
        <f t="shared" si="2"/>
        <v>255755</v>
      </c>
      <c r="B19" s="14" t="str">
        <f t="shared" si="1"/>
        <v>Direct Debit (UMB Bank) - Credits</v>
      </c>
      <c r="C19" s="37">
        <v>46157</v>
      </c>
      <c r="D19" s="31">
        <v>255755</v>
      </c>
      <c r="E19" s="33" t="str">
        <f>IF(Table3[[#This Row],[Type Received]]=2,"CC",(IF(Table3[[#This Row],[Type Received]]=3,"BILL","ACH")))</f>
        <v>ACH</v>
      </c>
      <c r="F19" s="32">
        <v>79.33</v>
      </c>
      <c r="G19" s="14" t="str">
        <f>VLOOKUP(D19,Table4[],3,FALSE)</f>
        <v>2</v>
      </c>
      <c r="H19" s="15"/>
      <c r="I19" s="15"/>
      <c r="J19" s="24" t="s">
        <v>87</v>
      </c>
      <c r="K19" s="15">
        <v>696583689</v>
      </c>
      <c r="L19" s="15" t="s">
        <v>29</v>
      </c>
      <c r="M19" s="15" t="s">
        <v>29</v>
      </c>
    </row>
    <row r="20" spans="1:13" x14ac:dyDescent="0.25">
      <c r="A20" s="23">
        <f t="shared" si="2"/>
        <v>255771</v>
      </c>
      <c r="B20" s="14" t="str">
        <f t="shared" si="1"/>
        <v>Direct Debit (UMB Bank) - Credits</v>
      </c>
      <c r="C20" s="38">
        <v>46143</v>
      </c>
      <c r="D20" s="34">
        <v>255771</v>
      </c>
      <c r="E20" s="36" t="str">
        <f>IF(Table3[[#This Row],[Type Received]]=2,"CC",(IF(Table3[[#This Row],[Type Received]]=3,"BILL","ACH")))</f>
        <v>ACH</v>
      </c>
      <c r="F20" s="35">
        <v>42.37</v>
      </c>
      <c r="G20" s="14" t="str">
        <f>VLOOKUP(D20,Table4[],3,FALSE)</f>
        <v>1</v>
      </c>
      <c r="H20" s="15"/>
      <c r="I20" s="15"/>
      <c r="J20" s="24" t="s">
        <v>84</v>
      </c>
      <c r="K20" s="15">
        <v>522178282</v>
      </c>
      <c r="L20" s="15" t="s">
        <v>29</v>
      </c>
      <c r="M20" s="15" t="s">
        <v>29</v>
      </c>
    </row>
    <row r="21" spans="1:13" x14ac:dyDescent="0.25">
      <c r="A21" s="23">
        <f t="shared" si="2"/>
        <v>255772</v>
      </c>
      <c r="B21" s="14" t="str">
        <f t="shared" si="1"/>
        <v>Credit Cards (UMB) - Credits</v>
      </c>
      <c r="C21" s="37">
        <v>46143</v>
      </c>
      <c r="D21" s="31">
        <v>255772</v>
      </c>
      <c r="E21" s="33" t="str">
        <f>IF(Table3[[#This Row],[Type Received]]=2,"CC",(IF(Table3[[#This Row],[Type Received]]=3,"BILL","ACH")))</f>
        <v>CC</v>
      </c>
      <c r="F21" s="32">
        <v>79.33</v>
      </c>
      <c r="G21" s="14" t="str">
        <f>VLOOKUP(D21,Table4[],3,FALSE)</f>
        <v>1</v>
      </c>
      <c r="H21" s="15"/>
      <c r="I21" s="15"/>
      <c r="J21" s="24" t="s">
        <v>84</v>
      </c>
      <c r="K21" s="15">
        <v>522176349</v>
      </c>
      <c r="L21" s="15" t="s">
        <v>29</v>
      </c>
      <c r="M21" s="15"/>
    </row>
    <row r="22" spans="1:13" x14ac:dyDescent="0.25">
      <c r="A22" s="23">
        <f t="shared" si="2"/>
        <v>255777</v>
      </c>
      <c r="B22" s="14" t="str">
        <f t="shared" si="1"/>
        <v>Credit Cards (UMB) - Credits</v>
      </c>
      <c r="C22" s="38">
        <v>46143</v>
      </c>
      <c r="D22" s="34">
        <v>255777</v>
      </c>
      <c r="E22" s="36" t="str">
        <f>IF(Table3[[#This Row],[Type Received]]=2,"CC",(IF(Table3[[#This Row],[Type Received]]=3,"BILL","ACH")))</f>
        <v>CC</v>
      </c>
      <c r="F22" s="35">
        <v>57.24</v>
      </c>
      <c r="G22" s="14" t="str">
        <f>VLOOKUP(D22,Table4[],3,FALSE)</f>
        <v>2</v>
      </c>
      <c r="H22" s="15"/>
      <c r="I22" s="15">
        <v>229370</v>
      </c>
      <c r="J22" s="24" t="s">
        <v>28</v>
      </c>
      <c r="K22" s="15">
        <v>525616351</v>
      </c>
      <c r="L22" s="15" t="s">
        <v>29</v>
      </c>
      <c r="M22" s="15" t="s">
        <v>29</v>
      </c>
    </row>
    <row r="23" spans="1:13" x14ac:dyDescent="0.25">
      <c r="A23" s="23">
        <f t="shared" si="2"/>
        <v>255791</v>
      </c>
      <c r="B23" s="14" t="str">
        <f t="shared" si="1"/>
        <v>Credit Cards (UMB) - Credits</v>
      </c>
      <c r="C23" s="37">
        <v>46155</v>
      </c>
      <c r="D23" s="31">
        <v>255791</v>
      </c>
      <c r="E23" s="33" t="str">
        <f>IF(Table3[[#This Row],[Type Received]]=2,"CC",(IF(Table3[[#This Row],[Type Received]]=3,"BILL","ACH")))</f>
        <v>CC</v>
      </c>
      <c r="F23" s="32">
        <v>50.95</v>
      </c>
      <c r="G23" s="14" t="str">
        <f>VLOOKUP(D23,Table4[],3,FALSE)</f>
        <v>1</v>
      </c>
      <c r="H23" s="15"/>
      <c r="I23" s="15" t="s">
        <v>88</v>
      </c>
      <c r="J23" s="15" t="s">
        <v>28</v>
      </c>
      <c r="K23" s="15">
        <v>669451235</v>
      </c>
      <c r="L23" s="15" t="s">
        <v>29</v>
      </c>
      <c r="M23" s="15"/>
    </row>
    <row r="24" spans="1:13" x14ac:dyDescent="0.25">
      <c r="A24" s="23">
        <f t="shared" si="2"/>
        <v>255807</v>
      </c>
      <c r="B24" s="14" t="str">
        <f t="shared" si="1"/>
        <v>Direct Debit (UMB Bank) - Credits</v>
      </c>
      <c r="C24" s="38">
        <v>46156</v>
      </c>
      <c r="D24" s="34">
        <v>255807</v>
      </c>
      <c r="E24" s="36" t="str">
        <f>IF(Table3[[#This Row],[Type Received]]=2,"CC",(IF(Table3[[#This Row],[Type Received]]=3,"BILL","ACH")))</f>
        <v>ACH</v>
      </c>
      <c r="F24" s="35">
        <v>25.01</v>
      </c>
      <c r="G24" s="14" t="str">
        <f>VLOOKUP(D24,Table4[],3,FALSE)</f>
        <v>1</v>
      </c>
      <c r="H24" s="15"/>
      <c r="I24" s="15">
        <v>60713</v>
      </c>
      <c r="J24" s="15" t="s">
        <v>28</v>
      </c>
      <c r="K24" s="15">
        <v>688255354</v>
      </c>
      <c r="L24" s="15" t="s">
        <v>29</v>
      </c>
      <c r="M24" s="15"/>
    </row>
    <row r="25" spans="1:13" x14ac:dyDescent="0.25">
      <c r="A25" s="23">
        <f t="shared" si="2"/>
        <v>255811</v>
      </c>
      <c r="B25" s="14" t="str">
        <f t="shared" si="1"/>
        <v>Direct Debit (UMB Bank) - Credits</v>
      </c>
      <c r="C25" s="37">
        <v>46143</v>
      </c>
      <c r="D25" s="31">
        <v>255811</v>
      </c>
      <c r="E25" s="33" t="str">
        <f>IF(Table3[[#This Row],[Type Received]]=2,"CC",(IF(Table3[[#This Row],[Type Received]]=3,"BILL","ACH")))</f>
        <v>ACH</v>
      </c>
      <c r="F25" s="32">
        <v>37.97</v>
      </c>
      <c r="G25" s="14" t="str">
        <f>VLOOKUP(D25,Table4[],3,FALSE)</f>
        <v>1</v>
      </c>
      <c r="H25" s="15"/>
      <c r="I25" s="15"/>
      <c r="J25" s="15" t="s">
        <v>84</v>
      </c>
      <c r="K25" s="15">
        <v>522162831</v>
      </c>
      <c r="L25" s="15" t="s">
        <v>29</v>
      </c>
      <c r="M25" s="15"/>
    </row>
    <row r="26" spans="1:13" x14ac:dyDescent="0.25">
      <c r="A26" s="23">
        <f t="shared" si="2"/>
        <v>255815</v>
      </c>
      <c r="B26" s="14" t="str">
        <f t="shared" si="1"/>
        <v>Direct Debit (UMB Bank) - Credits</v>
      </c>
      <c r="C26" s="38">
        <v>46147</v>
      </c>
      <c r="D26" s="34">
        <v>255815</v>
      </c>
      <c r="E26" s="36" t="str">
        <f>IF(Table3[[#This Row],[Type Received]]=2,"CC",(IF(Table3[[#This Row],[Type Received]]=3,"BILL","ACH")))</f>
        <v>ACH</v>
      </c>
      <c r="F26" s="35">
        <v>76.36</v>
      </c>
      <c r="G26" s="14" t="str">
        <f>VLOOKUP(D26,Table4[],3,FALSE)</f>
        <v>2</v>
      </c>
      <c r="H26" s="15"/>
      <c r="I26" s="15"/>
      <c r="J26" s="15" t="s">
        <v>86</v>
      </c>
      <c r="K26" s="15">
        <v>569473520</v>
      </c>
      <c r="L26" s="15" t="s">
        <v>29</v>
      </c>
      <c r="M26" s="15" t="s">
        <v>29</v>
      </c>
    </row>
    <row r="27" spans="1:13" x14ac:dyDescent="0.25">
      <c r="A27" s="23">
        <f t="shared" si="2"/>
        <v>255822</v>
      </c>
      <c r="B27" s="14" t="str">
        <f t="shared" si="1"/>
        <v>Billing - Credits (from TPA)</v>
      </c>
      <c r="C27" s="37">
        <v>46157</v>
      </c>
      <c r="D27" s="31">
        <v>255822</v>
      </c>
      <c r="E27" s="33" t="str">
        <f>IF(Table3[[#This Row],[Type Received]]=2,"CC",(IF(Table3[[#This Row],[Type Received]]=3,"BILL","ACH")))</f>
        <v>BILL</v>
      </c>
      <c r="F27" s="32">
        <v>89.67</v>
      </c>
      <c r="G27" s="14" t="str">
        <f>VLOOKUP(D27,Table4[],3,FALSE)</f>
        <v>1</v>
      </c>
      <c r="H27" s="15"/>
      <c r="I27" s="15"/>
      <c r="J27" s="15" t="s">
        <v>87</v>
      </c>
      <c r="K27" s="15">
        <v>696601134</v>
      </c>
      <c r="L27" s="15" t="s">
        <v>29</v>
      </c>
      <c r="M27" s="15"/>
    </row>
    <row r="28" spans="1:13" x14ac:dyDescent="0.25">
      <c r="A28" s="23">
        <f t="shared" si="2"/>
        <v>255830</v>
      </c>
      <c r="B28" s="14" t="str">
        <f t="shared" si="1"/>
        <v>Direct Debit (UMB Bank) - Credits</v>
      </c>
      <c r="C28" s="38">
        <v>46146</v>
      </c>
      <c r="D28" s="34">
        <v>255830</v>
      </c>
      <c r="E28" s="36" t="str">
        <f>IF(Table3[[#This Row],[Type Received]]=2,"CC",(IF(Table3[[#This Row],[Type Received]]=3,"BILL","ACH")))</f>
        <v>ACH</v>
      </c>
      <c r="F28" s="35">
        <v>236.9</v>
      </c>
      <c r="G28" s="14" t="str">
        <f>VLOOKUP(D28,Table4[],3,FALSE)</f>
        <v>1</v>
      </c>
      <c r="H28" s="15">
        <v>1590</v>
      </c>
      <c r="I28" s="15"/>
      <c r="J28" s="15"/>
      <c r="K28" s="15"/>
      <c r="L28" s="15"/>
      <c r="M28" s="15"/>
    </row>
    <row r="29" spans="1:13" x14ac:dyDescent="0.25">
      <c r="A29" s="23">
        <f t="shared" si="2"/>
        <v>255846</v>
      </c>
      <c r="B29" s="14" t="str">
        <f t="shared" si="1"/>
        <v>Credit Cards (UMB) - Credits</v>
      </c>
      <c r="C29" s="37">
        <v>46143</v>
      </c>
      <c r="D29" s="31">
        <v>255846</v>
      </c>
      <c r="E29" s="33" t="str">
        <f>IF(Table3[[#This Row],[Type Received]]=2,"CC",(IF(Table3[[#This Row],[Type Received]]=3,"BILL","ACH")))</f>
        <v>CC</v>
      </c>
      <c r="F29" s="32">
        <v>52.49</v>
      </c>
      <c r="G29" s="14" t="str">
        <f>VLOOKUP(D29,Table4[],3,FALSE)</f>
        <v>1</v>
      </c>
      <c r="H29" s="15"/>
      <c r="I29" s="15"/>
      <c r="J29" s="24" t="s">
        <v>84</v>
      </c>
      <c r="K29" s="15">
        <v>522169400</v>
      </c>
      <c r="L29" s="15" t="s">
        <v>29</v>
      </c>
      <c r="M29" s="15" t="s">
        <v>29</v>
      </c>
    </row>
    <row r="30" spans="1:13" x14ac:dyDescent="0.25">
      <c r="A30" s="23">
        <f t="shared" si="2"/>
        <v>255847</v>
      </c>
      <c r="B30" s="14" t="str">
        <f t="shared" si="1"/>
        <v>Direct Debit (UMB Bank) - Credits</v>
      </c>
      <c r="C30" s="38">
        <v>46161</v>
      </c>
      <c r="D30" s="34">
        <v>255847</v>
      </c>
      <c r="E30" s="36" t="str">
        <f>IF(Table3[[#This Row],[Type Received]]=2,"CC",(IF(Table3[[#This Row],[Type Received]]=3,"BILL","ACH")))</f>
        <v>ACH</v>
      </c>
      <c r="F30" s="35">
        <v>81.97</v>
      </c>
      <c r="G30" s="14" t="str">
        <f>VLOOKUP(D30,Table4[],3,FALSE)</f>
        <v>2</v>
      </c>
      <c r="H30" s="15"/>
      <c r="I30" s="15">
        <v>108996</v>
      </c>
      <c r="J30" s="15" t="s">
        <v>28</v>
      </c>
      <c r="K30" s="15">
        <v>745048945</v>
      </c>
      <c r="L30" s="15" t="s">
        <v>29</v>
      </c>
      <c r="M30" s="15" t="s">
        <v>29</v>
      </c>
    </row>
    <row r="31" spans="1:13" x14ac:dyDescent="0.25">
      <c r="A31" s="23">
        <f t="shared" si="2"/>
        <v>255855</v>
      </c>
      <c r="B31" s="14" t="str">
        <f t="shared" si="1"/>
        <v>Direct Debit (UMB Bank) - Credits</v>
      </c>
      <c r="C31" s="37">
        <v>46167</v>
      </c>
      <c r="D31" s="31">
        <v>255855</v>
      </c>
      <c r="E31" s="33" t="str">
        <f>IF(Table3[[#This Row],[Type Received]]=2,"CC",(IF(Table3[[#This Row],[Type Received]]=3,"BILL","ACH")))</f>
        <v>ACH</v>
      </c>
      <c r="F31" s="32">
        <v>113.32</v>
      </c>
      <c r="G31" s="14" t="str">
        <f>VLOOKUP(D31,Table4[],3,FALSE)</f>
        <v>2</v>
      </c>
      <c r="H31" s="15"/>
      <c r="I31" s="15"/>
      <c r="J31" s="15" t="s">
        <v>85</v>
      </c>
      <c r="K31" s="15">
        <v>818308498</v>
      </c>
      <c r="L31" s="15" t="s">
        <v>29</v>
      </c>
      <c r="M31" s="15"/>
    </row>
    <row r="32" spans="1:13" x14ac:dyDescent="0.25">
      <c r="A32" s="23">
        <f t="shared" si="2"/>
        <v>255863</v>
      </c>
      <c r="B32" s="14" t="str">
        <f t="shared" si="1"/>
        <v>Direct Debit (UMB Bank) - Credits</v>
      </c>
      <c r="C32" s="38">
        <v>46157</v>
      </c>
      <c r="D32" s="34">
        <v>255863</v>
      </c>
      <c r="E32" s="36" t="str">
        <f>IF(Table3[[#This Row],[Type Received]]=2,"CC",(IF(Table3[[#This Row],[Type Received]]=3,"BILL","ACH")))</f>
        <v>ACH</v>
      </c>
      <c r="F32" s="35">
        <v>95.39</v>
      </c>
      <c r="G32" s="14" t="str">
        <f>VLOOKUP(D32,Table4[],3,FALSE)</f>
        <v>1</v>
      </c>
      <c r="H32" s="15"/>
      <c r="I32" s="15"/>
      <c r="J32" s="15" t="s">
        <v>87</v>
      </c>
      <c r="K32" s="15">
        <v>696602131</v>
      </c>
      <c r="L32" s="15" t="s">
        <v>29</v>
      </c>
      <c r="M32" s="15" t="s">
        <v>29</v>
      </c>
    </row>
    <row r="33" spans="1:13" x14ac:dyDescent="0.25">
      <c r="A33" s="23">
        <f t="shared" si="2"/>
        <v>255864</v>
      </c>
      <c r="B33" s="14" t="str">
        <f t="shared" si="1"/>
        <v>Direct Debit (UMB Bank) - Credits</v>
      </c>
      <c r="C33" s="37">
        <v>46157</v>
      </c>
      <c r="D33" s="31">
        <v>255864</v>
      </c>
      <c r="E33" s="33" t="str">
        <f>IF(Table3[[#This Row],[Type Received]]=2,"CC",(IF(Table3[[#This Row],[Type Received]]=3,"BILL","ACH")))</f>
        <v>ACH</v>
      </c>
      <c r="F33" s="32">
        <v>66.13</v>
      </c>
      <c r="G33" s="14" t="str">
        <f>VLOOKUP(D33,Table4[],3,FALSE)</f>
        <v>1</v>
      </c>
      <c r="H33" s="15"/>
      <c r="I33" s="15"/>
      <c r="J33" s="15" t="s">
        <v>87</v>
      </c>
      <c r="K33" s="15">
        <v>696581903</v>
      </c>
      <c r="L33" s="15" t="s">
        <v>29</v>
      </c>
      <c r="M33" s="15" t="s">
        <v>29</v>
      </c>
    </row>
    <row r="34" spans="1:13" x14ac:dyDescent="0.25">
      <c r="A34" s="23">
        <f t="shared" si="2"/>
        <v>255867</v>
      </c>
      <c r="B34" s="14" t="str">
        <f t="shared" si="1"/>
        <v>Direct Debit (UMB Bank) - Credits</v>
      </c>
      <c r="C34" s="38">
        <v>46144</v>
      </c>
      <c r="D34" s="34">
        <v>255867</v>
      </c>
      <c r="E34" s="36" t="str">
        <f>IF(Table3[[#This Row],[Type Received]]=2,"CC",(IF(Table3[[#This Row],[Type Received]]=3,"BILL","ACH")))</f>
        <v>ACH</v>
      </c>
      <c r="F34" s="35">
        <v>85.05</v>
      </c>
      <c r="G34" s="14" t="str">
        <f>VLOOKUP(D34,Table4[],3,FALSE)</f>
        <v>1</v>
      </c>
      <c r="H34" s="15"/>
      <c r="I34" s="15"/>
      <c r="J34" s="15" t="s">
        <v>89</v>
      </c>
      <c r="K34" s="15">
        <v>535376584</v>
      </c>
      <c r="L34" s="15" t="s">
        <v>29</v>
      </c>
      <c r="M34" s="15" t="s">
        <v>29</v>
      </c>
    </row>
    <row r="35" spans="1:13" x14ac:dyDescent="0.25">
      <c r="A35" s="23">
        <f t="shared" si="2"/>
        <v>255870</v>
      </c>
      <c r="B35" s="14" t="str">
        <f t="shared" si="1"/>
        <v>Credit Cards (UMB) - Credits</v>
      </c>
      <c r="C35" s="37">
        <v>46155</v>
      </c>
      <c r="D35" s="31">
        <v>255870</v>
      </c>
      <c r="E35" s="33" t="str">
        <f>IF(Table3[[#This Row],[Type Received]]=2,"CC",(IF(Table3[[#This Row],[Type Received]]=3,"BILL","ACH")))</f>
        <v>CC</v>
      </c>
      <c r="F35" s="32">
        <v>106.39</v>
      </c>
      <c r="G35" s="14" t="str">
        <f>VLOOKUP(D35,Table4[],3,FALSE)</f>
        <v>2</v>
      </c>
      <c r="H35" s="15"/>
      <c r="I35" s="15"/>
      <c r="J35" s="15" t="s">
        <v>90</v>
      </c>
      <c r="K35" s="15">
        <v>669427730</v>
      </c>
      <c r="L35" s="15" t="s">
        <v>29</v>
      </c>
      <c r="M35" s="15"/>
    </row>
    <row r="36" spans="1:13" x14ac:dyDescent="0.25">
      <c r="A36" s="23">
        <f t="shared" si="2"/>
        <v>255871</v>
      </c>
      <c r="B36" s="14" t="str">
        <f t="shared" si="1"/>
        <v>Direct Debit (UMB Bank) - Credits</v>
      </c>
      <c r="C36" s="38">
        <v>46155</v>
      </c>
      <c r="D36" s="34">
        <v>255871</v>
      </c>
      <c r="E36" s="36" t="str">
        <f>IF(Table3[[#This Row],[Type Received]]=2,"CC",(IF(Table3[[#This Row],[Type Received]]=3,"BILL","ACH")))</f>
        <v>ACH</v>
      </c>
      <c r="F36" s="35">
        <v>98.8</v>
      </c>
      <c r="G36" s="14" t="str">
        <f>VLOOKUP(D36,Table4[],3,FALSE)</f>
        <v>2</v>
      </c>
      <c r="H36" s="15"/>
      <c r="I36" s="15">
        <v>126950</v>
      </c>
      <c r="J36" s="15" t="s">
        <v>28</v>
      </c>
      <c r="K36" s="15">
        <v>669430683</v>
      </c>
      <c r="L36" s="15" t="s">
        <v>29</v>
      </c>
      <c r="M36" s="15" t="s">
        <v>29</v>
      </c>
    </row>
    <row r="37" spans="1:13" x14ac:dyDescent="0.25">
      <c r="A37" s="23">
        <f t="shared" si="2"/>
        <v>255881</v>
      </c>
      <c r="B37" s="14" t="str">
        <f t="shared" si="1"/>
        <v>Direct Debit (UMB Bank) - Credits</v>
      </c>
      <c r="C37" s="37">
        <v>46170</v>
      </c>
      <c r="D37" s="31">
        <v>255881</v>
      </c>
      <c r="E37" s="33" t="str">
        <f>IF(Table3[[#This Row],[Type Received]]=2,"CC",(IF(Table3[[#This Row],[Type Received]]=3,"BILL","ACH")))</f>
        <v>ACH</v>
      </c>
      <c r="F37" s="32">
        <v>93.19</v>
      </c>
      <c r="G37" s="14" t="str">
        <f>VLOOKUP(D37,Table4[],3,FALSE)</f>
        <v>2</v>
      </c>
      <c r="H37" s="15"/>
      <c r="I37" s="15"/>
      <c r="J37" s="15" t="s">
        <v>91</v>
      </c>
      <c r="K37" s="15">
        <v>853926605</v>
      </c>
      <c r="L37" s="15" t="s">
        <v>29</v>
      </c>
      <c r="M37" s="15"/>
    </row>
    <row r="38" spans="1:13" x14ac:dyDescent="0.25">
      <c r="A38" s="23">
        <f t="shared" si="2"/>
        <v>255887</v>
      </c>
      <c r="B38" s="14" t="str">
        <f t="shared" si="1"/>
        <v>Credit Cards (UMB) - Credits</v>
      </c>
      <c r="C38" s="38">
        <v>46157</v>
      </c>
      <c r="D38" s="34">
        <v>255887</v>
      </c>
      <c r="E38" s="36" t="str">
        <f>IF(Table3[[#This Row],[Type Received]]=2,"CC",(IF(Table3[[#This Row],[Type Received]]=3,"BILL","ACH")))</f>
        <v>CC</v>
      </c>
      <c r="F38" s="35">
        <v>64.81</v>
      </c>
      <c r="G38" s="14" t="str">
        <f>VLOOKUP(D38,Table4[],3,FALSE)</f>
        <v>2</v>
      </c>
      <c r="H38" s="15"/>
      <c r="I38" s="15"/>
      <c r="J38" s="15" t="s">
        <v>87</v>
      </c>
      <c r="K38" s="15">
        <v>696574087</v>
      </c>
      <c r="L38" s="15" t="s">
        <v>29</v>
      </c>
      <c r="M38" s="15" t="s">
        <v>29</v>
      </c>
    </row>
    <row r="39" spans="1:13" x14ac:dyDescent="0.25">
      <c r="A39" s="23">
        <f t="shared" si="2"/>
        <v>255903</v>
      </c>
      <c r="B39" s="14" t="str">
        <f t="shared" si="1"/>
        <v>Direct Debit (UMB Bank) - Credits</v>
      </c>
      <c r="C39" s="37">
        <v>46156</v>
      </c>
      <c r="D39" s="31">
        <v>255903</v>
      </c>
      <c r="E39" s="33" t="str">
        <f>IF(Table3[[#This Row],[Type Received]]=2,"CC",(IF(Table3[[#This Row],[Type Received]]=3,"BILL","ACH")))</f>
        <v>ACH</v>
      </c>
      <c r="F39" s="32">
        <v>60.63</v>
      </c>
      <c r="G39" s="14" t="str">
        <f>VLOOKUP(D39,Table4[],3,FALSE)</f>
        <v>1</v>
      </c>
      <c r="H39" s="15"/>
      <c r="I39" s="15">
        <v>100606</v>
      </c>
      <c r="J39" s="24" t="s">
        <v>28</v>
      </c>
      <c r="K39" s="15">
        <v>682511005</v>
      </c>
      <c r="L39" s="15" t="s">
        <v>29</v>
      </c>
      <c r="M39" s="15" t="s">
        <v>29</v>
      </c>
    </row>
    <row r="40" spans="1:13" x14ac:dyDescent="0.25">
      <c r="A40" s="23">
        <f t="shared" si="2"/>
        <v>255907</v>
      </c>
      <c r="B40" s="14" t="str">
        <f t="shared" si="1"/>
        <v>Direct Debit (UMB Bank) - Credits</v>
      </c>
      <c r="C40" s="38">
        <v>46157</v>
      </c>
      <c r="D40" s="34">
        <v>255907</v>
      </c>
      <c r="E40" s="36" t="str">
        <f>IF(Table3[[#This Row],[Type Received]]=2,"CC",(IF(Table3[[#This Row],[Type Received]]=3,"BILL","ACH")))</f>
        <v>ACH</v>
      </c>
      <c r="F40" s="35">
        <v>106.17</v>
      </c>
      <c r="G40" s="14" t="str">
        <f>VLOOKUP(D40,Table4[],3,FALSE)</f>
        <v>1</v>
      </c>
      <c r="H40" s="15"/>
      <c r="I40" s="15"/>
      <c r="J40" s="15" t="s">
        <v>87</v>
      </c>
      <c r="K40" s="15">
        <v>696593510</v>
      </c>
      <c r="L40" s="15" t="s">
        <v>29</v>
      </c>
      <c r="M40" s="15" t="s">
        <v>29</v>
      </c>
    </row>
    <row r="41" spans="1:13" x14ac:dyDescent="0.25">
      <c r="A41" s="23">
        <f t="shared" si="2"/>
        <v>255912</v>
      </c>
      <c r="B41" s="14" t="str">
        <f t="shared" si="1"/>
        <v>Direct Debit (UMB Bank) - Credits</v>
      </c>
      <c r="C41" s="37">
        <v>46157</v>
      </c>
      <c r="D41" s="31">
        <v>255912</v>
      </c>
      <c r="E41" s="33" t="str">
        <f>IF(Table3[[#This Row],[Type Received]]=2,"CC",(IF(Table3[[#This Row],[Type Received]]=3,"BILL","ACH")))</f>
        <v>ACH</v>
      </c>
      <c r="F41" s="32">
        <v>56.89</v>
      </c>
      <c r="G41" s="14" t="str">
        <f>VLOOKUP(D41,Table4[],3,FALSE)</f>
        <v>1</v>
      </c>
      <c r="H41" s="15"/>
      <c r="I41" s="15"/>
      <c r="J41" s="15" t="s">
        <v>87</v>
      </c>
      <c r="K41" s="15">
        <v>696596321</v>
      </c>
      <c r="L41" s="15" t="s">
        <v>29</v>
      </c>
      <c r="M41" s="15"/>
    </row>
    <row r="42" spans="1:13" x14ac:dyDescent="0.25">
      <c r="A42" s="23">
        <f t="shared" ref="A42:A73" si="3">D42</f>
        <v>255916</v>
      </c>
      <c r="B42" s="14" t="str">
        <f t="shared" si="1"/>
        <v>Direct Debit (UMB Bank) - Credits</v>
      </c>
      <c r="C42" s="38">
        <v>46143</v>
      </c>
      <c r="D42" s="34">
        <v>255916</v>
      </c>
      <c r="E42" s="36" t="str">
        <f>IF(Table3[[#This Row],[Type Received]]=2,"CC",(IF(Table3[[#This Row],[Type Received]]=3,"BILL","ACH")))</f>
        <v>ACH</v>
      </c>
      <c r="F42" s="35">
        <v>43.25</v>
      </c>
      <c r="G42" s="14" t="str">
        <f>VLOOKUP(D42,Table4[],3,FALSE)</f>
        <v>1</v>
      </c>
      <c r="H42" s="15"/>
      <c r="I42" s="15"/>
      <c r="J42" s="15" t="s">
        <v>84</v>
      </c>
      <c r="K42" s="15">
        <v>522185164</v>
      </c>
      <c r="L42" s="15" t="s">
        <v>29</v>
      </c>
      <c r="M42" s="15"/>
    </row>
    <row r="43" spans="1:13" x14ac:dyDescent="0.25">
      <c r="A43" s="23">
        <f t="shared" si="3"/>
        <v>255933</v>
      </c>
      <c r="B43" s="14" t="str">
        <f t="shared" si="1"/>
        <v>Direct Debit (UMB Bank) - Credits</v>
      </c>
      <c r="C43" s="37">
        <v>46157</v>
      </c>
      <c r="D43" s="31">
        <v>255933</v>
      </c>
      <c r="E43" s="33" t="str">
        <f>IF(Table3[[#This Row],[Type Received]]=2,"CC",(IF(Table3[[#This Row],[Type Received]]=3,"BILL","ACH")))</f>
        <v>ACH</v>
      </c>
      <c r="F43" s="32">
        <v>76.03</v>
      </c>
      <c r="G43" s="14" t="str">
        <f>VLOOKUP(D43,Table4[],3,FALSE)</f>
        <v>1</v>
      </c>
      <c r="H43" s="15"/>
      <c r="I43" s="15"/>
      <c r="J43" s="15" t="s">
        <v>87</v>
      </c>
      <c r="K43" s="15">
        <v>696581962</v>
      </c>
      <c r="L43" s="15" t="s">
        <v>29</v>
      </c>
      <c r="M43" s="15"/>
    </row>
    <row r="44" spans="1:13" x14ac:dyDescent="0.25">
      <c r="A44" s="23">
        <f t="shared" si="3"/>
        <v>255934</v>
      </c>
      <c r="B44" s="14" t="str">
        <f t="shared" si="1"/>
        <v>Direct Debit (UMB Bank) - Credits</v>
      </c>
      <c r="C44" s="38">
        <v>46146</v>
      </c>
      <c r="D44" s="34">
        <v>255934</v>
      </c>
      <c r="E44" s="36" t="str">
        <f>IF(Table3[[#This Row],[Type Received]]=2,"CC",(IF(Table3[[#This Row],[Type Received]]=3,"BILL","ACH")))</f>
        <v>ACH</v>
      </c>
      <c r="F44" s="35">
        <v>65.69</v>
      </c>
      <c r="G44" s="14" t="str">
        <f>VLOOKUP(D44,Table4[],3,FALSE)</f>
        <v>1</v>
      </c>
      <c r="H44" s="15"/>
      <c r="I44" s="15"/>
      <c r="J44" s="15" t="s">
        <v>92</v>
      </c>
      <c r="K44" s="15">
        <v>557088444</v>
      </c>
      <c r="L44" s="15" t="s">
        <v>29</v>
      </c>
      <c r="M44" s="15" t="s">
        <v>29</v>
      </c>
    </row>
    <row r="45" spans="1:13" x14ac:dyDescent="0.25">
      <c r="A45" s="23">
        <f t="shared" si="3"/>
        <v>255935</v>
      </c>
      <c r="B45" s="14" t="str">
        <f t="shared" si="1"/>
        <v>Direct Debit (UMB Bank) - Credits</v>
      </c>
      <c r="C45" s="37">
        <v>46167</v>
      </c>
      <c r="D45" s="31">
        <v>255935</v>
      </c>
      <c r="E45" s="33" t="str">
        <f>IF(Table3[[#This Row],[Type Received]]=2,"CC",(IF(Table3[[#This Row],[Type Received]]=3,"BILL","ACH")))</f>
        <v>ACH</v>
      </c>
      <c r="F45" s="32">
        <v>39.950000000000003</v>
      </c>
      <c r="G45" s="14" t="str">
        <f>VLOOKUP(D45,Table4[],3,FALSE)</f>
        <v>1</v>
      </c>
      <c r="H45" s="15"/>
      <c r="I45" s="15"/>
      <c r="J45" s="15" t="s">
        <v>85</v>
      </c>
      <c r="K45" s="15">
        <v>818296858</v>
      </c>
      <c r="L45" s="15" t="s">
        <v>29</v>
      </c>
      <c r="M45" s="15" t="s">
        <v>29</v>
      </c>
    </row>
    <row r="46" spans="1:13" x14ac:dyDescent="0.25">
      <c r="A46" s="23">
        <f t="shared" si="3"/>
        <v>255938</v>
      </c>
      <c r="B46" s="14" t="str">
        <f t="shared" si="1"/>
        <v>Direct Debit (UMB Bank) - Credits</v>
      </c>
      <c r="C46" s="38">
        <v>46157</v>
      </c>
      <c r="D46" s="34">
        <v>255938</v>
      </c>
      <c r="E46" s="36" t="str">
        <f>IF(Table3[[#This Row],[Type Received]]=2,"CC",(IF(Table3[[#This Row],[Type Received]]=3,"BILL","ACH")))</f>
        <v>ACH</v>
      </c>
      <c r="F46" s="35">
        <v>72.73</v>
      </c>
      <c r="G46" s="14" t="str">
        <f>VLOOKUP(D46,Table4[],3,FALSE)</f>
        <v>2</v>
      </c>
      <c r="H46" s="15"/>
      <c r="I46" s="15"/>
      <c r="J46" s="15" t="s">
        <v>87</v>
      </c>
      <c r="K46" s="15">
        <v>696602223</v>
      </c>
      <c r="L46" s="15" t="s">
        <v>29</v>
      </c>
      <c r="M46" s="15" t="s">
        <v>29</v>
      </c>
    </row>
    <row r="47" spans="1:13" x14ac:dyDescent="0.25">
      <c r="A47" s="23">
        <f t="shared" si="3"/>
        <v>255939</v>
      </c>
      <c r="B47" s="14" t="str">
        <f t="shared" si="1"/>
        <v>Direct Debit (UMB Bank) - Credits</v>
      </c>
      <c r="C47" s="37">
        <v>46143</v>
      </c>
      <c r="D47" s="31">
        <v>255939</v>
      </c>
      <c r="E47" s="33" t="str">
        <f>IF(Table3[[#This Row],[Type Received]]=2,"CC",(IF(Table3[[#This Row],[Type Received]]=3,"BILL","ACH")))</f>
        <v>ACH</v>
      </c>
      <c r="F47" s="32">
        <v>65.14</v>
      </c>
      <c r="G47" s="14" t="str">
        <f>VLOOKUP(D47,Table4[],3,FALSE)</f>
        <v>2</v>
      </c>
      <c r="H47" s="15"/>
      <c r="I47" s="15"/>
      <c r="J47" s="15" t="s">
        <v>84</v>
      </c>
      <c r="K47" s="15">
        <v>522160038</v>
      </c>
      <c r="L47" s="15" t="s">
        <v>29</v>
      </c>
      <c r="M47" s="15" t="s">
        <v>29</v>
      </c>
    </row>
    <row r="48" spans="1:13" x14ac:dyDescent="0.25">
      <c r="A48" s="23">
        <f t="shared" si="3"/>
        <v>255941</v>
      </c>
      <c r="B48" s="14" t="str">
        <f t="shared" si="1"/>
        <v>Direct Debit (UMB Bank) - Credits</v>
      </c>
      <c r="C48" s="38">
        <v>46167</v>
      </c>
      <c r="D48" s="34">
        <v>255941</v>
      </c>
      <c r="E48" s="36" t="str">
        <f>IF(Table3[[#This Row],[Type Received]]=2,"CC",(IF(Table3[[#This Row],[Type Received]]=3,"BILL","ACH")))</f>
        <v>ACH</v>
      </c>
      <c r="F48" s="35">
        <v>111.67</v>
      </c>
      <c r="G48" s="14" t="str">
        <f>VLOOKUP(D48,Table4[],3,FALSE)</f>
        <v>2</v>
      </c>
      <c r="H48" s="15"/>
      <c r="I48" s="15"/>
      <c r="J48" s="15" t="s">
        <v>85</v>
      </c>
      <c r="K48" s="15">
        <v>818318237</v>
      </c>
      <c r="L48" s="15" t="s">
        <v>29</v>
      </c>
      <c r="M48" s="15" t="s">
        <v>29</v>
      </c>
    </row>
    <row r="49" spans="1:13" x14ac:dyDescent="0.25">
      <c r="A49" s="23">
        <f t="shared" si="3"/>
        <v>255944</v>
      </c>
      <c r="B49" s="14" t="str">
        <f t="shared" si="1"/>
        <v>Credit Cards (UMB) - Credits</v>
      </c>
      <c r="C49" s="37">
        <v>46167</v>
      </c>
      <c r="D49" s="31">
        <v>255944</v>
      </c>
      <c r="E49" s="33" t="str">
        <f>IF(Table3[[#This Row],[Type Received]]=2,"CC",(IF(Table3[[#This Row],[Type Received]]=3,"BILL","ACH")))</f>
        <v>CC</v>
      </c>
      <c r="F49" s="32">
        <v>52.27</v>
      </c>
      <c r="G49" s="14" t="str">
        <f>VLOOKUP(D49,Table4[],3,FALSE)</f>
        <v>2</v>
      </c>
      <c r="H49" s="15"/>
      <c r="I49" s="15"/>
      <c r="J49" s="15" t="s">
        <v>85</v>
      </c>
      <c r="K49" s="15">
        <v>818299838</v>
      </c>
      <c r="L49" s="15" t="s">
        <v>29</v>
      </c>
      <c r="M49" s="15" t="s">
        <v>29</v>
      </c>
    </row>
    <row r="50" spans="1:13" x14ac:dyDescent="0.25">
      <c r="A50" s="23">
        <f t="shared" si="3"/>
        <v>255945</v>
      </c>
      <c r="B50" s="14" t="str">
        <f t="shared" si="1"/>
        <v>Direct Debit (UMB Bank) - Credits</v>
      </c>
      <c r="C50" s="38">
        <v>46143</v>
      </c>
      <c r="D50" s="34">
        <v>255945</v>
      </c>
      <c r="E50" s="36" t="str">
        <f>IF(Table3[[#This Row],[Type Received]]=2,"CC",(IF(Table3[[#This Row],[Type Received]]=3,"BILL","ACH")))</f>
        <v>ACH</v>
      </c>
      <c r="F50" s="35">
        <v>139.72</v>
      </c>
      <c r="G50" s="14" t="str">
        <f>VLOOKUP(D50,Table4[],3,FALSE)</f>
        <v>2</v>
      </c>
      <c r="H50" s="15"/>
      <c r="I50" s="15">
        <v>1374</v>
      </c>
      <c r="J50" s="15" t="s">
        <v>28</v>
      </c>
      <c r="K50" s="15">
        <v>522218007</v>
      </c>
      <c r="L50" s="15" t="s">
        <v>29</v>
      </c>
      <c r="M50" s="15" t="s">
        <v>29</v>
      </c>
    </row>
    <row r="51" spans="1:13" x14ac:dyDescent="0.25">
      <c r="A51" s="23">
        <f t="shared" si="3"/>
        <v>255947</v>
      </c>
      <c r="B51" s="14" t="str">
        <f t="shared" si="1"/>
        <v>Direct Debit (UMB Bank) - Credits</v>
      </c>
      <c r="C51" s="37">
        <v>46157</v>
      </c>
      <c r="D51" s="31">
        <v>255947</v>
      </c>
      <c r="E51" s="33" t="str">
        <f>IF(Table3[[#This Row],[Type Received]]=2,"CC",(IF(Table3[[#This Row],[Type Received]]=3,"BILL","ACH")))</f>
        <v>ACH</v>
      </c>
      <c r="F51" s="32">
        <v>49.63</v>
      </c>
      <c r="G51" s="14" t="str">
        <f>VLOOKUP(D51,Table4[],3,FALSE)</f>
        <v>2</v>
      </c>
      <c r="H51" s="15"/>
      <c r="I51" s="15"/>
      <c r="J51" s="15" t="s">
        <v>87</v>
      </c>
      <c r="K51" s="15">
        <v>696579059</v>
      </c>
      <c r="L51" s="15" t="s">
        <v>29</v>
      </c>
      <c r="M51" s="15" t="s">
        <v>29</v>
      </c>
    </row>
    <row r="52" spans="1:13" x14ac:dyDescent="0.25">
      <c r="A52" s="23">
        <f t="shared" si="3"/>
        <v>255951</v>
      </c>
      <c r="B52" s="14" t="str">
        <f t="shared" si="1"/>
        <v>Credit Cards (UMB) - Credits</v>
      </c>
      <c r="C52" s="38">
        <v>46143</v>
      </c>
      <c r="D52" s="34">
        <v>255951</v>
      </c>
      <c r="E52" s="36" t="str">
        <f>IF(Table3[[#This Row],[Type Received]]=2,"CC",(IF(Table3[[#This Row],[Type Received]]=3,"BILL","ACH")))</f>
        <v>CC</v>
      </c>
      <c r="F52" s="35">
        <v>74.38</v>
      </c>
      <c r="G52" s="14" t="str">
        <f>VLOOKUP(D52,Table4[],3,FALSE)</f>
        <v>2</v>
      </c>
      <c r="H52" s="15"/>
      <c r="I52" s="15"/>
      <c r="J52" s="15" t="s">
        <v>84</v>
      </c>
      <c r="K52" s="15">
        <v>522179418</v>
      </c>
      <c r="L52" s="15" t="s">
        <v>29</v>
      </c>
      <c r="M52" s="15" t="s">
        <v>29</v>
      </c>
    </row>
    <row r="53" spans="1:13" x14ac:dyDescent="0.25">
      <c r="A53" s="23">
        <f t="shared" si="3"/>
        <v>255960</v>
      </c>
      <c r="B53" s="14" t="str">
        <f t="shared" si="1"/>
        <v>Direct Debit (UMB Bank) - Credits</v>
      </c>
      <c r="C53" s="37">
        <v>46143</v>
      </c>
      <c r="D53" s="31">
        <v>255960</v>
      </c>
      <c r="E53" s="33" t="str">
        <f>IF(Table3[[#This Row],[Type Received]]=2,"CC",(IF(Table3[[#This Row],[Type Received]]=3,"BILL","ACH")))</f>
        <v>ACH</v>
      </c>
      <c r="F53" s="32">
        <v>157.56</v>
      </c>
      <c r="G53" s="14" t="str">
        <f>VLOOKUP(D53,Table4[],3,FALSE)</f>
        <v>2</v>
      </c>
      <c r="H53" s="15"/>
      <c r="I53" s="15">
        <v>83416</v>
      </c>
      <c r="J53" s="15">
        <v>741374152</v>
      </c>
      <c r="K53" s="15">
        <v>353157716</v>
      </c>
      <c r="L53" s="15"/>
      <c r="M53" s="15"/>
    </row>
    <row r="54" spans="1:13" x14ac:dyDescent="0.25">
      <c r="A54" s="23">
        <f t="shared" si="3"/>
        <v>255964</v>
      </c>
      <c r="B54" s="14" t="str">
        <f t="shared" si="1"/>
        <v>Direct Debit (UMB Bank) - Credits</v>
      </c>
      <c r="C54" s="38">
        <v>46143</v>
      </c>
      <c r="D54" s="34">
        <v>255964</v>
      </c>
      <c r="E54" s="36" t="str">
        <f>IF(Table3[[#This Row],[Type Received]]=2,"CC",(IF(Table3[[#This Row],[Type Received]]=3,"BILL","ACH")))</f>
        <v>ACH</v>
      </c>
      <c r="F54" s="35">
        <v>49.41</v>
      </c>
      <c r="G54" s="14" t="str">
        <f>VLOOKUP(D54,Table4[],3,FALSE)</f>
        <v>1</v>
      </c>
      <c r="H54" s="15"/>
      <c r="I54" s="15"/>
      <c r="J54" s="15" t="s">
        <v>84</v>
      </c>
      <c r="K54" s="15">
        <v>522162990</v>
      </c>
      <c r="L54" s="15" t="s">
        <v>29</v>
      </c>
      <c r="M54" s="15" t="s">
        <v>29</v>
      </c>
    </row>
    <row r="55" spans="1:13" x14ac:dyDescent="0.25">
      <c r="A55" s="23">
        <f t="shared" si="3"/>
        <v>255978</v>
      </c>
      <c r="B55" s="14" t="str">
        <f t="shared" si="1"/>
        <v>Direct Debit (UMB Bank) - Credits</v>
      </c>
      <c r="C55" s="37">
        <v>46157</v>
      </c>
      <c r="D55" s="31">
        <v>255978</v>
      </c>
      <c r="E55" s="33" t="str">
        <f>IF(Table3[[#This Row],[Type Received]]=2,"CC",(IF(Table3[[#This Row],[Type Received]]=3,"BILL","ACH")))</f>
        <v>ACH</v>
      </c>
      <c r="F55" s="32">
        <v>156.55000000000001</v>
      </c>
      <c r="G55" s="14" t="str">
        <f>VLOOKUP(D55,Table4[],3,FALSE)</f>
        <v>2</v>
      </c>
      <c r="H55" s="15"/>
      <c r="I55" s="15"/>
      <c r="J55" s="15" t="s">
        <v>87</v>
      </c>
      <c r="K55" s="15">
        <v>696581000</v>
      </c>
      <c r="L55" s="15" t="s">
        <v>29</v>
      </c>
      <c r="M55" s="15" t="s">
        <v>29</v>
      </c>
    </row>
    <row r="56" spans="1:13" x14ac:dyDescent="0.25">
      <c r="A56" s="23">
        <f t="shared" si="3"/>
        <v>255979</v>
      </c>
      <c r="B56" s="14" t="str">
        <f t="shared" si="1"/>
        <v>Direct Debit (UMB Bank) - Credits</v>
      </c>
      <c r="C56" s="38">
        <v>46157</v>
      </c>
      <c r="D56" s="34">
        <v>255979</v>
      </c>
      <c r="E56" s="36" t="str">
        <f>IF(Table3[[#This Row],[Type Received]]=2,"CC",(IF(Table3[[#This Row],[Type Received]]=3,"BILL","ACH")))</f>
        <v>ACH</v>
      </c>
      <c r="F56" s="35">
        <v>135.1</v>
      </c>
      <c r="G56" s="14" t="str">
        <f>VLOOKUP(D56,Table4[],3,FALSE)</f>
        <v>2</v>
      </c>
      <c r="H56" s="15"/>
      <c r="I56" s="15"/>
      <c r="J56" s="15" t="s">
        <v>87</v>
      </c>
      <c r="K56" s="15">
        <v>696580059</v>
      </c>
      <c r="L56" s="15" t="s">
        <v>29</v>
      </c>
      <c r="M56" s="15" t="s">
        <v>29</v>
      </c>
    </row>
    <row r="57" spans="1:13" x14ac:dyDescent="0.25">
      <c r="A57" s="23">
        <f t="shared" si="3"/>
        <v>255980</v>
      </c>
      <c r="B57" s="14" t="str">
        <f t="shared" si="1"/>
        <v>Direct Debit (UMB Bank) - Credits</v>
      </c>
      <c r="C57" s="37">
        <v>46157</v>
      </c>
      <c r="D57" s="31">
        <v>255980</v>
      </c>
      <c r="E57" s="33" t="str">
        <f>IF(Table3[[#This Row],[Type Received]]=2,"CC",(IF(Table3[[#This Row],[Type Received]]=3,"BILL","ACH")))</f>
        <v>ACH</v>
      </c>
      <c r="F57" s="32">
        <v>82.3</v>
      </c>
      <c r="G57" s="14" t="str">
        <f>VLOOKUP(D57,Table4[],3,FALSE)</f>
        <v>2</v>
      </c>
      <c r="H57" s="15"/>
      <c r="I57" s="15"/>
      <c r="J57" s="15" t="s">
        <v>87</v>
      </c>
      <c r="K57" s="15">
        <v>696598360</v>
      </c>
      <c r="L57" s="15" t="s">
        <v>29</v>
      </c>
      <c r="M57" s="15"/>
    </row>
    <row r="58" spans="1:13" x14ac:dyDescent="0.25">
      <c r="A58" s="23">
        <f t="shared" si="3"/>
        <v>255981</v>
      </c>
      <c r="B58" s="14" t="str">
        <f t="shared" si="1"/>
        <v>Direct Debit (UMB Bank) - Credits</v>
      </c>
      <c r="C58" s="38">
        <v>46157</v>
      </c>
      <c r="D58" s="34">
        <v>255981</v>
      </c>
      <c r="E58" s="36" t="str">
        <f>IF(Table3[[#This Row],[Type Received]]=2,"CC",(IF(Table3[[#This Row],[Type Received]]=3,"BILL","ACH")))</f>
        <v>ACH</v>
      </c>
      <c r="F58" s="35">
        <v>61.29</v>
      </c>
      <c r="G58" s="14" t="str">
        <f>VLOOKUP(D58,Table4[],3,FALSE)</f>
        <v>1</v>
      </c>
      <c r="H58" s="15"/>
      <c r="I58" s="15"/>
      <c r="J58" s="24" t="s">
        <v>87</v>
      </c>
      <c r="K58" s="15">
        <v>696583889</v>
      </c>
      <c r="L58" s="15" t="s">
        <v>29</v>
      </c>
      <c r="M58" s="15"/>
    </row>
    <row r="59" spans="1:13" x14ac:dyDescent="0.25">
      <c r="A59" s="23">
        <f t="shared" si="3"/>
        <v>255985</v>
      </c>
      <c r="B59" s="14" t="str">
        <f t="shared" si="1"/>
        <v>Direct Debit (UMB Bank) - Credits</v>
      </c>
      <c r="C59" s="37">
        <v>46143</v>
      </c>
      <c r="D59" s="31">
        <v>255985</v>
      </c>
      <c r="E59" s="33" t="str">
        <f>IF(Table3[[#This Row],[Type Received]]=2,"CC",(IF(Table3[[#This Row],[Type Received]]=3,"BILL","ACH")))</f>
        <v>ACH</v>
      </c>
      <c r="F59" s="32">
        <v>90.88</v>
      </c>
      <c r="G59" s="14" t="str">
        <f>VLOOKUP(D59,Table4[],3,FALSE)</f>
        <v>2</v>
      </c>
      <c r="H59" s="15"/>
      <c r="I59" s="15"/>
      <c r="J59" s="15" t="s">
        <v>84</v>
      </c>
      <c r="K59" s="15">
        <v>522186163</v>
      </c>
      <c r="L59" s="15" t="s">
        <v>29</v>
      </c>
      <c r="M59" s="15" t="s">
        <v>29</v>
      </c>
    </row>
    <row r="60" spans="1:13" x14ac:dyDescent="0.25">
      <c r="A60" s="23">
        <f t="shared" si="3"/>
        <v>255988</v>
      </c>
      <c r="B60" s="14" t="str">
        <f t="shared" si="1"/>
        <v>Direct Debit (UMB Bank) - Credits</v>
      </c>
      <c r="C60" s="38">
        <v>46167</v>
      </c>
      <c r="D60" s="34">
        <v>255988</v>
      </c>
      <c r="E60" s="36" t="str">
        <f>IF(Table3[[#This Row],[Type Received]]=2,"CC",(IF(Table3[[#This Row],[Type Received]]=3,"BILL","ACH")))</f>
        <v>ACH</v>
      </c>
      <c r="F60" s="35">
        <v>97.48</v>
      </c>
      <c r="G60" s="14" t="str">
        <f>VLOOKUP(D60,Table4[],3,FALSE)</f>
        <v>2</v>
      </c>
      <c r="H60" s="15"/>
      <c r="I60" s="15"/>
      <c r="J60" s="15" t="s">
        <v>85</v>
      </c>
      <c r="K60" s="15">
        <v>818313449</v>
      </c>
      <c r="L60" s="15" t="s">
        <v>29</v>
      </c>
      <c r="M60" s="15" t="s">
        <v>29</v>
      </c>
    </row>
    <row r="61" spans="1:13" x14ac:dyDescent="0.25">
      <c r="A61" s="23">
        <f t="shared" si="3"/>
        <v>255991</v>
      </c>
      <c r="B61" s="14" t="str">
        <f t="shared" si="1"/>
        <v>Billing - Credits (from TPA)</v>
      </c>
      <c r="C61" s="37">
        <v>46143</v>
      </c>
      <c r="D61" s="31">
        <v>255991</v>
      </c>
      <c r="E61" s="33" t="str">
        <f>IF(Table3[[#This Row],[Type Received]]=2,"CC",(IF(Table3[[#This Row],[Type Received]]=3,"BILL","ACH")))</f>
        <v>BILL</v>
      </c>
      <c r="F61" s="32">
        <v>62.17</v>
      </c>
      <c r="G61" s="14" t="str">
        <f>VLOOKUP(D61,Table4[],3,FALSE)</f>
        <v>2</v>
      </c>
      <c r="H61" s="15"/>
      <c r="I61" s="15"/>
      <c r="J61" s="15" t="s">
        <v>84</v>
      </c>
      <c r="K61" s="15">
        <v>522191108</v>
      </c>
      <c r="L61" s="15" t="s">
        <v>29</v>
      </c>
      <c r="M61" s="15"/>
    </row>
    <row r="62" spans="1:13" x14ac:dyDescent="0.25">
      <c r="A62" s="23">
        <f t="shared" si="3"/>
        <v>255995</v>
      </c>
      <c r="B62" s="14" t="str">
        <f t="shared" si="1"/>
        <v>Direct Debit (UMB Bank) - Credits</v>
      </c>
      <c r="C62" s="38">
        <v>46169</v>
      </c>
      <c r="D62" s="34">
        <v>255995</v>
      </c>
      <c r="E62" s="36" t="str">
        <f>IF(Table3[[#This Row],[Type Received]]=2,"CC",(IF(Table3[[#This Row],[Type Received]]=3,"BILL","ACH")))</f>
        <v>ACH</v>
      </c>
      <c r="F62" s="35">
        <v>61.31</v>
      </c>
      <c r="G62" s="14" t="str">
        <f>VLOOKUP(D62,Table4[],3,FALSE)</f>
        <v>1</v>
      </c>
      <c r="H62" s="15">
        <v>2904</v>
      </c>
      <c r="I62" s="15"/>
      <c r="J62" s="15"/>
      <c r="K62" s="15"/>
      <c r="L62" s="15"/>
      <c r="M62" s="15" t="s">
        <v>29</v>
      </c>
    </row>
    <row r="63" spans="1:13" x14ac:dyDescent="0.25">
      <c r="A63" s="23">
        <f t="shared" si="3"/>
        <v>255998</v>
      </c>
      <c r="B63" s="14" t="str">
        <f t="shared" si="1"/>
        <v>Credit Cards (UMB) - Credits</v>
      </c>
      <c r="C63" s="37">
        <v>46167</v>
      </c>
      <c r="D63" s="31">
        <v>255998</v>
      </c>
      <c r="E63" s="33" t="str">
        <f>IF(Table3[[#This Row],[Type Received]]=2,"CC",(IF(Table3[[#This Row],[Type Received]]=3,"BILL","ACH")))</f>
        <v>CC</v>
      </c>
      <c r="F63" s="32">
        <v>166.45</v>
      </c>
      <c r="G63" s="14" t="str">
        <f>VLOOKUP(D63,Table4[],3,FALSE)</f>
        <v>2</v>
      </c>
      <c r="H63" s="15"/>
      <c r="I63" s="15"/>
      <c r="J63" s="15" t="s">
        <v>85</v>
      </c>
      <c r="K63" s="15">
        <v>818301821</v>
      </c>
      <c r="L63" s="15" t="s">
        <v>29</v>
      </c>
      <c r="M63" s="15" t="s">
        <v>29</v>
      </c>
    </row>
    <row r="64" spans="1:13" x14ac:dyDescent="0.25">
      <c r="A64" s="23">
        <f t="shared" si="3"/>
        <v>256003</v>
      </c>
      <c r="B64" s="14" t="str">
        <f t="shared" si="1"/>
        <v>Billing - Credits (from TPA)</v>
      </c>
      <c r="C64" s="38">
        <v>46154</v>
      </c>
      <c r="D64" s="34">
        <v>256003</v>
      </c>
      <c r="E64" s="36" t="str">
        <f>IF(Table3[[#This Row],[Type Received]]=2,"CC",(IF(Table3[[#This Row],[Type Received]]=3,"BILL","ACH")))</f>
        <v>BILL</v>
      </c>
      <c r="F64" s="35">
        <v>151.54</v>
      </c>
      <c r="G64" s="14" t="str">
        <f>VLOOKUP(D64,Table4[],3,FALSE)</f>
        <v>1</v>
      </c>
      <c r="H64" s="15"/>
      <c r="I64" s="15">
        <v>76651</v>
      </c>
      <c r="J64" s="15" t="s">
        <v>28</v>
      </c>
      <c r="K64" s="15">
        <v>657568886</v>
      </c>
      <c r="L64" s="15" t="s">
        <v>29</v>
      </c>
      <c r="M64" s="15" t="s">
        <v>29</v>
      </c>
    </row>
    <row r="65" spans="1:13" x14ac:dyDescent="0.25">
      <c r="A65" s="23">
        <f t="shared" si="3"/>
        <v>256005</v>
      </c>
      <c r="B65" s="14" t="str">
        <f t="shared" si="1"/>
        <v>Credit Cards (UMB) - Credits</v>
      </c>
      <c r="C65" s="37">
        <v>46150</v>
      </c>
      <c r="D65" s="31">
        <v>256005</v>
      </c>
      <c r="E65" s="33" t="str">
        <f>IF(Table3[[#This Row],[Type Received]]=2,"CC",(IF(Table3[[#This Row],[Type Received]]=3,"BILL","ACH")))</f>
        <v>CC</v>
      </c>
      <c r="F65" s="32">
        <v>307.42</v>
      </c>
      <c r="G65" s="14" t="str">
        <f>VLOOKUP(D65,Table4[],3,FALSE)</f>
        <v>1</v>
      </c>
      <c r="H65" s="15">
        <v>3752</v>
      </c>
      <c r="I65" s="15"/>
      <c r="J65" s="24"/>
      <c r="K65" s="15"/>
      <c r="L65" s="15"/>
      <c r="M65" s="15" t="s">
        <v>29</v>
      </c>
    </row>
    <row r="66" spans="1:13" x14ac:dyDescent="0.25">
      <c r="A66" s="23">
        <f t="shared" si="3"/>
        <v>256017</v>
      </c>
      <c r="B66" s="14" t="str">
        <f t="shared" ref="B66:B129" si="4">IF(AND(E66="BILL",F66&lt;0),"Billing &amp; Direct Debit - Refunds",(IF(AND(E66="BILL",F66&gt;0),"Billing - Credits (from TPA)",(IF(AND(E66="CC",F66&lt;0),"Credit Cards (UMB) - Refunds",(IF(AND(E66="CC",F66&gt;0),"Credit Cards (UMB) - Credits",(IF(AND(E66="ACH",F66&gt;0),"Direct Debit (UMB Bank) - Credits","Direct Debit (UMB Bank) - Returned Items")))))))))</f>
        <v>Direct Debit (UMB Bank) - Credits</v>
      </c>
      <c r="C66" s="38">
        <v>46164</v>
      </c>
      <c r="D66" s="34">
        <v>256017</v>
      </c>
      <c r="E66" s="36" t="str">
        <f>IF(Table3[[#This Row],[Type Received]]=2,"CC",(IF(Table3[[#This Row],[Type Received]]=3,"BILL","ACH")))</f>
        <v>ACH</v>
      </c>
      <c r="F66" s="35">
        <v>75.81</v>
      </c>
      <c r="G66" s="14" t="str">
        <f>VLOOKUP(D66,Table4[],3,FALSE)</f>
        <v>1</v>
      </c>
      <c r="H66" s="15"/>
      <c r="I66" s="15">
        <v>49643</v>
      </c>
      <c r="J66" s="15" t="s">
        <v>28</v>
      </c>
      <c r="K66" s="15">
        <v>784405196</v>
      </c>
      <c r="L66" s="15" t="s">
        <v>29</v>
      </c>
      <c r="M66" s="15" t="s">
        <v>29</v>
      </c>
    </row>
    <row r="67" spans="1:13" x14ac:dyDescent="0.25">
      <c r="A67" s="23">
        <f t="shared" si="3"/>
        <v>256018</v>
      </c>
      <c r="B67" s="14" t="str">
        <f t="shared" si="4"/>
        <v>Direct Debit (UMB Bank) - Credits</v>
      </c>
      <c r="C67" s="37">
        <v>46156</v>
      </c>
      <c r="D67" s="31">
        <v>256018</v>
      </c>
      <c r="E67" s="33" t="str">
        <f>IF(Table3[[#This Row],[Type Received]]=2,"CC",(IF(Table3[[#This Row],[Type Received]]=3,"BILL","ACH")))</f>
        <v>ACH</v>
      </c>
      <c r="F67" s="32">
        <v>34.01</v>
      </c>
      <c r="G67" s="14" t="str">
        <f>VLOOKUP(D67,Table4[],3,FALSE)</f>
        <v>1</v>
      </c>
      <c r="H67" s="15"/>
      <c r="I67" s="15"/>
      <c r="J67" s="15" t="s">
        <v>93</v>
      </c>
      <c r="K67" s="15">
        <v>682535235</v>
      </c>
      <c r="L67" s="15" t="s">
        <v>29</v>
      </c>
      <c r="M67" s="15" t="s">
        <v>29</v>
      </c>
    </row>
    <row r="68" spans="1:13" x14ac:dyDescent="0.25">
      <c r="A68" s="23">
        <f t="shared" si="3"/>
        <v>256019</v>
      </c>
      <c r="B68" s="14" t="str">
        <f t="shared" si="4"/>
        <v>Direct Debit (UMB Bank) - Credits</v>
      </c>
      <c r="C68" s="38">
        <v>46167</v>
      </c>
      <c r="D68" s="34">
        <v>256019</v>
      </c>
      <c r="E68" s="36" t="str">
        <f>IF(Table3[[#This Row],[Type Received]]=2,"CC",(IF(Table3[[#This Row],[Type Received]]=3,"BILL","ACH")))</f>
        <v>ACH</v>
      </c>
      <c r="F68" s="35">
        <v>124.21</v>
      </c>
      <c r="G68" s="14" t="str">
        <f>VLOOKUP(D68,Table4[],3,FALSE)</f>
        <v>2</v>
      </c>
      <c r="H68" s="15"/>
      <c r="I68" s="15"/>
      <c r="J68" s="15" t="s">
        <v>85</v>
      </c>
      <c r="K68" s="15">
        <v>818301843</v>
      </c>
      <c r="L68" s="15" t="s">
        <v>29</v>
      </c>
      <c r="M68" s="15" t="s">
        <v>29</v>
      </c>
    </row>
    <row r="69" spans="1:13" x14ac:dyDescent="0.25">
      <c r="A69" s="23">
        <f t="shared" si="3"/>
        <v>256020</v>
      </c>
      <c r="B69" s="14" t="str">
        <f t="shared" si="4"/>
        <v>Direct Debit (UMB Bank) - Credits</v>
      </c>
      <c r="C69" s="37">
        <v>46167</v>
      </c>
      <c r="D69" s="31">
        <v>256020</v>
      </c>
      <c r="E69" s="33" t="str">
        <f>IF(Table3[[#This Row],[Type Received]]=2,"CC",(IF(Table3[[#This Row],[Type Received]]=3,"BILL","ACH")))</f>
        <v>ACH</v>
      </c>
      <c r="F69" s="32">
        <v>147.97</v>
      </c>
      <c r="G69" s="14" t="str">
        <f>VLOOKUP(D69,Table4[],3,FALSE)</f>
        <v>2</v>
      </c>
      <c r="H69" s="15"/>
      <c r="I69" s="15"/>
      <c r="J69" s="15" t="s">
        <v>85</v>
      </c>
      <c r="K69" s="15">
        <v>818321210</v>
      </c>
      <c r="L69" s="15" t="s">
        <v>29</v>
      </c>
      <c r="M69" s="15" t="s">
        <v>29</v>
      </c>
    </row>
    <row r="70" spans="1:13" x14ac:dyDescent="0.25">
      <c r="A70" s="23">
        <f t="shared" si="3"/>
        <v>256022</v>
      </c>
      <c r="B70" s="14" t="str">
        <f t="shared" si="4"/>
        <v>Direct Debit (UMB Bank) - Credits</v>
      </c>
      <c r="C70" s="38">
        <v>46167</v>
      </c>
      <c r="D70" s="34">
        <v>256022</v>
      </c>
      <c r="E70" s="36" t="str">
        <f>IF(Table3[[#This Row],[Type Received]]=2,"CC",(IF(Table3[[#This Row],[Type Received]]=3,"BILL","ACH")))</f>
        <v>ACH</v>
      </c>
      <c r="F70" s="35">
        <v>39.950000000000003</v>
      </c>
      <c r="G70" s="14" t="str">
        <f>VLOOKUP(D70,Table4[],3,FALSE)</f>
        <v>1</v>
      </c>
      <c r="H70" s="15"/>
      <c r="I70" s="15"/>
      <c r="J70" s="15" t="s">
        <v>85</v>
      </c>
      <c r="K70" s="15">
        <v>818302859</v>
      </c>
      <c r="L70" s="15" t="s">
        <v>29</v>
      </c>
      <c r="M70" s="15" t="s">
        <v>29</v>
      </c>
    </row>
    <row r="71" spans="1:13" x14ac:dyDescent="0.25">
      <c r="A71" s="23">
        <f t="shared" si="3"/>
        <v>256027</v>
      </c>
      <c r="B71" s="14" t="str">
        <f t="shared" si="4"/>
        <v>Direct Debit (UMB Bank) - Credits</v>
      </c>
      <c r="C71" s="37">
        <v>46143</v>
      </c>
      <c r="D71" s="31">
        <v>256027</v>
      </c>
      <c r="E71" s="33" t="str">
        <f>IF(Table3[[#This Row],[Type Received]]=2,"CC",(IF(Table3[[#This Row],[Type Received]]=3,"BILL","ACH")))</f>
        <v>ACH</v>
      </c>
      <c r="F71" s="32">
        <v>58.87</v>
      </c>
      <c r="G71" s="14" t="str">
        <f>VLOOKUP(D71,Table4[],3,FALSE)</f>
        <v>1</v>
      </c>
      <c r="H71" s="15"/>
      <c r="I71" s="15"/>
      <c r="J71" s="15" t="s">
        <v>84</v>
      </c>
      <c r="K71" s="15">
        <v>522169907</v>
      </c>
      <c r="L71" s="15" t="s">
        <v>29</v>
      </c>
      <c r="M71" s="15"/>
    </row>
    <row r="72" spans="1:13" x14ac:dyDescent="0.25">
      <c r="A72" s="23">
        <f t="shared" si="3"/>
        <v>256028</v>
      </c>
      <c r="B72" s="14" t="str">
        <f t="shared" si="4"/>
        <v>Direct Debit (UMB Bank) - Credits</v>
      </c>
      <c r="C72" s="38">
        <v>46157</v>
      </c>
      <c r="D72" s="34">
        <v>256028</v>
      </c>
      <c r="E72" s="36" t="str">
        <f>IF(Table3[[#This Row],[Type Received]]=2,"CC",(IF(Table3[[#This Row],[Type Received]]=3,"BILL","ACH")))</f>
        <v>ACH</v>
      </c>
      <c r="F72" s="35">
        <v>68.44</v>
      </c>
      <c r="G72" s="14" t="str">
        <f>VLOOKUP(D72,Table4[],3,FALSE)</f>
        <v>2</v>
      </c>
      <c r="H72" s="15"/>
      <c r="I72" s="15"/>
      <c r="J72" s="15" t="s">
        <v>87</v>
      </c>
      <c r="K72" s="15">
        <v>696588727</v>
      </c>
      <c r="L72" s="15" t="s">
        <v>29</v>
      </c>
      <c r="M72" s="15" t="s">
        <v>29</v>
      </c>
    </row>
    <row r="73" spans="1:13" x14ac:dyDescent="0.25">
      <c r="A73" s="23">
        <f t="shared" si="3"/>
        <v>256029</v>
      </c>
      <c r="B73" s="14" t="str">
        <f t="shared" si="4"/>
        <v>Direct Debit (UMB Bank) - Credits</v>
      </c>
      <c r="C73" s="37">
        <v>46157</v>
      </c>
      <c r="D73" s="31">
        <v>256029</v>
      </c>
      <c r="E73" s="33" t="str">
        <f>IF(Table3[[#This Row],[Type Received]]=2,"CC",(IF(Table3[[#This Row],[Type Received]]=3,"BILL","ACH")))</f>
        <v>ACH</v>
      </c>
      <c r="F73" s="32">
        <v>122.23</v>
      </c>
      <c r="G73" s="14" t="str">
        <f>VLOOKUP(D73,Table4[],3,FALSE)</f>
        <v>2</v>
      </c>
      <c r="H73" s="15"/>
      <c r="I73" s="15"/>
      <c r="J73" s="15" t="s">
        <v>87</v>
      </c>
      <c r="K73" s="15">
        <v>696605291</v>
      </c>
      <c r="L73" s="15" t="s">
        <v>29</v>
      </c>
      <c r="M73" s="15" t="s">
        <v>29</v>
      </c>
    </row>
    <row r="74" spans="1:13" x14ac:dyDescent="0.25">
      <c r="A74" s="23">
        <f t="shared" ref="A74:A88" si="5">D74</f>
        <v>256030</v>
      </c>
      <c r="B74" s="14" t="str">
        <f t="shared" si="4"/>
        <v>Direct Debit (UMB Bank) - Credits</v>
      </c>
      <c r="C74" s="38">
        <v>46157</v>
      </c>
      <c r="D74" s="34">
        <v>256030</v>
      </c>
      <c r="E74" s="36" t="str">
        <f>IF(Table3[[#This Row],[Type Received]]=2,"CC",(IF(Table3[[#This Row],[Type Received]]=3,"BILL","ACH")))</f>
        <v>ACH</v>
      </c>
      <c r="F74" s="35">
        <v>56.01</v>
      </c>
      <c r="G74" s="14" t="str">
        <f>VLOOKUP(D74,Table4[],3,FALSE)</f>
        <v>1</v>
      </c>
      <c r="H74" s="15"/>
      <c r="I74" s="15"/>
      <c r="J74" s="15" t="s">
        <v>87</v>
      </c>
      <c r="K74" s="15">
        <v>696601374</v>
      </c>
      <c r="L74" s="15" t="s">
        <v>29</v>
      </c>
      <c r="M74" s="15"/>
    </row>
    <row r="75" spans="1:13" x14ac:dyDescent="0.25">
      <c r="A75" s="23">
        <f t="shared" si="5"/>
        <v>256041</v>
      </c>
      <c r="B75" s="14" t="str">
        <f t="shared" si="4"/>
        <v>Credit Cards (UMB) - Credits</v>
      </c>
      <c r="C75" s="37">
        <v>46143</v>
      </c>
      <c r="D75" s="31">
        <v>256041</v>
      </c>
      <c r="E75" s="33" t="str">
        <f>IF(Table3[[#This Row],[Type Received]]=2,"CC",(IF(Table3[[#This Row],[Type Received]]=3,"BILL","ACH")))</f>
        <v>CC</v>
      </c>
      <c r="F75" s="32">
        <v>56.91</v>
      </c>
      <c r="G75" s="14" t="str">
        <f>VLOOKUP(D75,Table4[],3,FALSE)</f>
        <v>1</v>
      </c>
      <c r="H75" s="15"/>
      <c r="I75" s="15"/>
      <c r="J75" s="15" t="s">
        <v>84</v>
      </c>
      <c r="K75" s="15">
        <v>526888683</v>
      </c>
      <c r="L75" s="15" t="s">
        <v>29</v>
      </c>
      <c r="M75" s="15" t="s">
        <v>29</v>
      </c>
    </row>
    <row r="76" spans="1:13" x14ac:dyDescent="0.25">
      <c r="A76" s="23">
        <f t="shared" si="5"/>
        <v>256046</v>
      </c>
      <c r="B76" s="14" t="str">
        <f t="shared" si="4"/>
        <v>Direct Debit (UMB Bank) - Credits</v>
      </c>
      <c r="C76" s="38">
        <v>46162</v>
      </c>
      <c r="D76" s="34">
        <v>256046</v>
      </c>
      <c r="E76" s="36" t="str">
        <f>IF(Table3[[#This Row],[Type Received]]=2,"CC",(IF(Table3[[#This Row],[Type Received]]=3,"BILL","ACH")))</f>
        <v>ACH</v>
      </c>
      <c r="F76" s="35">
        <v>175.74</v>
      </c>
      <c r="G76" s="14" t="str">
        <f>VLOOKUP(D76,Table4[],3,FALSE)</f>
        <v>1</v>
      </c>
      <c r="H76" s="15"/>
      <c r="I76" s="15" t="s">
        <v>94</v>
      </c>
      <c r="J76" s="15" t="s">
        <v>28</v>
      </c>
      <c r="K76" s="15">
        <v>759790732</v>
      </c>
      <c r="L76" s="15" t="s">
        <v>29</v>
      </c>
      <c r="M76" s="15" t="s">
        <v>29</v>
      </c>
    </row>
    <row r="77" spans="1:13" x14ac:dyDescent="0.25">
      <c r="A77" s="23">
        <f t="shared" si="5"/>
        <v>256051</v>
      </c>
      <c r="B77" s="14" t="str">
        <f t="shared" si="4"/>
        <v>Credit Cards (UMB) - Credits</v>
      </c>
      <c r="C77" s="37">
        <v>46157</v>
      </c>
      <c r="D77" s="31">
        <v>256051</v>
      </c>
      <c r="E77" s="33" t="str">
        <f>IF(Table3[[#This Row],[Type Received]]=2,"CC",(IF(Table3[[#This Row],[Type Received]]=3,"BILL","ACH")))</f>
        <v>CC</v>
      </c>
      <c r="F77" s="32">
        <v>50.95</v>
      </c>
      <c r="G77" s="14" t="str">
        <f>VLOOKUP(D77,Table4[],3,FALSE)</f>
        <v>2</v>
      </c>
      <c r="H77" s="15"/>
      <c r="I77" s="15"/>
      <c r="J77" s="15" t="s">
        <v>87</v>
      </c>
      <c r="K77" s="15">
        <v>696589781</v>
      </c>
      <c r="L77" s="15" t="s">
        <v>29</v>
      </c>
      <c r="M77" s="15" t="s">
        <v>29</v>
      </c>
    </row>
    <row r="78" spans="1:13" x14ac:dyDescent="0.25">
      <c r="A78" s="23">
        <f t="shared" si="5"/>
        <v>256059</v>
      </c>
      <c r="B78" s="14" t="str">
        <f t="shared" si="4"/>
        <v>Direct Debit (UMB Bank) - Credits</v>
      </c>
      <c r="C78" s="38">
        <v>46155</v>
      </c>
      <c r="D78" s="34">
        <v>256059</v>
      </c>
      <c r="E78" s="36" t="str">
        <f>IF(Table3[[#This Row],[Type Received]]=2,"CC",(IF(Table3[[#This Row],[Type Received]]=3,"BILL","ACH")))</f>
        <v>ACH</v>
      </c>
      <c r="F78" s="35">
        <v>43.69</v>
      </c>
      <c r="G78" s="14" t="str">
        <f>VLOOKUP(D78,Table4[],3,FALSE)</f>
        <v>1</v>
      </c>
      <c r="H78" s="15"/>
      <c r="I78" s="15">
        <v>106910</v>
      </c>
      <c r="J78" s="15" t="s">
        <v>28</v>
      </c>
      <c r="K78" s="15">
        <v>669440409</v>
      </c>
      <c r="L78" s="15" t="s">
        <v>29</v>
      </c>
      <c r="M78" s="15" t="s">
        <v>29</v>
      </c>
    </row>
    <row r="79" spans="1:13" x14ac:dyDescent="0.25">
      <c r="A79" s="23">
        <f t="shared" si="5"/>
        <v>256060</v>
      </c>
      <c r="B79" s="14" t="str">
        <f t="shared" si="4"/>
        <v>Direct Debit (UMB Bank) - Credits</v>
      </c>
      <c r="C79" s="37">
        <v>46143</v>
      </c>
      <c r="D79" s="31">
        <v>256060</v>
      </c>
      <c r="E79" s="33" t="str">
        <f>IF(Table3[[#This Row],[Type Received]]=2,"CC",(IF(Table3[[#This Row],[Type Received]]=3,"BILL","ACH")))</f>
        <v>ACH</v>
      </c>
      <c r="F79" s="32">
        <v>111.89</v>
      </c>
      <c r="G79" s="14" t="str">
        <f>VLOOKUP(D79,Table4[],3,FALSE)</f>
        <v>1</v>
      </c>
      <c r="H79" s="15"/>
      <c r="I79" s="15"/>
      <c r="J79" s="15" t="s">
        <v>84</v>
      </c>
      <c r="K79" s="15">
        <v>522186258</v>
      </c>
      <c r="L79" s="15" t="s">
        <v>29</v>
      </c>
      <c r="M79" s="15" t="s">
        <v>29</v>
      </c>
    </row>
    <row r="80" spans="1:13" x14ac:dyDescent="0.25">
      <c r="A80" s="23">
        <f t="shared" si="5"/>
        <v>256061</v>
      </c>
      <c r="B80" s="14" t="str">
        <f t="shared" si="4"/>
        <v>Direct Debit (UMB Bank) - Credits</v>
      </c>
      <c r="C80" s="38">
        <v>46143</v>
      </c>
      <c r="D80" s="34">
        <v>256061</v>
      </c>
      <c r="E80" s="36" t="str">
        <f>IF(Table3[[#This Row],[Type Received]]=2,"CC",(IF(Table3[[#This Row],[Type Received]]=3,"BILL","ACH")))</f>
        <v>ACH</v>
      </c>
      <c r="F80" s="35">
        <v>68.11</v>
      </c>
      <c r="G80" s="14" t="str">
        <f>VLOOKUP(D80,Table4[],3,FALSE)</f>
        <v>2</v>
      </c>
      <c r="H80" s="15"/>
      <c r="I80" s="15"/>
      <c r="J80" s="15" t="s">
        <v>84</v>
      </c>
      <c r="K80" s="15">
        <v>522183452</v>
      </c>
      <c r="L80" s="15" t="s">
        <v>29</v>
      </c>
      <c r="M80" s="15"/>
    </row>
    <row r="81" spans="1:13" x14ac:dyDescent="0.25">
      <c r="A81" s="23">
        <f t="shared" si="5"/>
        <v>256065</v>
      </c>
      <c r="B81" s="14" t="str">
        <f t="shared" si="4"/>
        <v>Direct Debit (UMB Bank) - Credits</v>
      </c>
      <c r="C81" s="37">
        <v>46143</v>
      </c>
      <c r="D81" s="31">
        <v>256065</v>
      </c>
      <c r="E81" s="33" t="str">
        <f>IF(Table3[[#This Row],[Type Received]]=2,"CC",(IF(Table3[[#This Row],[Type Received]]=3,"BILL","ACH")))</f>
        <v>ACH</v>
      </c>
      <c r="F81" s="32">
        <v>69.87</v>
      </c>
      <c r="G81" s="14" t="str">
        <f>VLOOKUP(D81,Table4[],3,FALSE)</f>
        <v>1</v>
      </c>
      <c r="H81" s="15"/>
      <c r="I81" s="15"/>
      <c r="J81" s="15" t="s">
        <v>84</v>
      </c>
      <c r="K81" s="15">
        <v>522173928</v>
      </c>
      <c r="L81" s="15" t="s">
        <v>29</v>
      </c>
      <c r="M81" s="15" t="s">
        <v>29</v>
      </c>
    </row>
    <row r="82" spans="1:13" x14ac:dyDescent="0.25">
      <c r="A82" s="23">
        <f t="shared" si="5"/>
        <v>256067</v>
      </c>
      <c r="B82" s="14" t="str">
        <f t="shared" si="4"/>
        <v>Direct Debit (UMB Bank) - Credits</v>
      </c>
      <c r="C82" s="38">
        <v>46157</v>
      </c>
      <c r="D82" s="34">
        <v>256067</v>
      </c>
      <c r="E82" s="36" t="str">
        <f>IF(Table3[[#This Row],[Type Received]]=2,"CC",(IF(Table3[[#This Row],[Type Received]]=3,"BILL","ACH")))</f>
        <v>ACH</v>
      </c>
      <c r="F82" s="35">
        <v>61.51</v>
      </c>
      <c r="G82" s="14" t="str">
        <f>VLOOKUP(D82,Table4[],3,FALSE)</f>
        <v>2</v>
      </c>
      <c r="H82" s="15"/>
      <c r="I82" s="15"/>
      <c r="J82" s="15" t="s">
        <v>87</v>
      </c>
      <c r="K82" s="15">
        <v>696602370</v>
      </c>
      <c r="L82" s="15" t="s">
        <v>29</v>
      </c>
      <c r="M82" s="15"/>
    </row>
    <row r="83" spans="1:13" x14ac:dyDescent="0.25">
      <c r="A83" s="23">
        <f t="shared" si="5"/>
        <v>256069</v>
      </c>
      <c r="B83" s="14" t="str">
        <f t="shared" si="4"/>
        <v>Direct Debit (UMB Bank) - Credits</v>
      </c>
      <c r="C83" s="37">
        <v>46157</v>
      </c>
      <c r="D83" s="31">
        <v>256069</v>
      </c>
      <c r="E83" s="33" t="str">
        <f>IF(Table3[[#This Row],[Type Received]]=2,"CC",(IF(Table3[[#This Row],[Type Received]]=3,"BILL","ACH")))</f>
        <v>ACH</v>
      </c>
      <c r="F83" s="32">
        <v>99.46</v>
      </c>
      <c r="G83" s="14" t="str">
        <f>VLOOKUP(D83,Table4[],3,FALSE)</f>
        <v>2</v>
      </c>
      <c r="H83" s="15"/>
      <c r="I83" s="15"/>
      <c r="J83" s="15" t="s">
        <v>87</v>
      </c>
      <c r="K83" s="15">
        <v>696608219</v>
      </c>
      <c r="L83" s="15" t="s">
        <v>29</v>
      </c>
      <c r="M83" s="15" t="s">
        <v>29</v>
      </c>
    </row>
    <row r="84" spans="1:13" x14ac:dyDescent="0.25">
      <c r="A84" s="23">
        <f t="shared" si="5"/>
        <v>256070</v>
      </c>
      <c r="B84" s="14" t="str">
        <f t="shared" si="4"/>
        <v>Direct Debit (UMB Bank) - Credits</v>
      </c>
      <c r="C84" s="38">
        <v>46157</v>
      </c>
      <c r="D84" s="34">
        <v>256070</v>
      </c>
      <c r="E84" s="36" t="str">
        <f>IF(Table3[[#This Row],[Type Received]]=2,"CC",(IF(Table3[[#This Row],[Type Received]]=3,"BILL","ACH")))</f>
        <v>ACH</v>
      </c>
      <c r="F84" s="35">
        <v>133.78</v>
      </c>
      <c r="G84" s="14" t="str">
        <f>VLOOKUP(D84,Table4[],3,FALSE)</f>
        <v>2</v>
      </c>
      <c r="H84" s="15"/>
      <c r="I84" s="15"/>
      <c r="J84" s="24" t="s">
        <v>87</v>
      </c>
      <c r="K84" s="15">
        <v>696602396</v>
      </c>
      <c r="L84" s="15" t="s">
        <v>29</v>
      </c>
      <c r="M84" s="15"/>
    </row>
    <row r="85" spans="1:13" x14ac:dyDescent="0.25">
      <c r="A85" s="23">
        <f t="shared" si="5"/>
        <v>256072</v>
      </c>
      <c r="B85" s="14" t="str">
        <f t="shared" si="4"/>
        <v>Direct Debit (UMB Bank) - Credits</v>
      </c>
      <c r="C85" s="37">
        <v>46157</v>
      </c>
      <c r="D85" s="31">
        <v>256072</v>
      </c>
      <c r="E85" s="33" t="str">
        <f>IF(Table3[[#This Row],[Type Received]]=2,"CC",(IF(Table3[[#This Row],[Type Received]]=3,"BILL","ACH")))</f>
        <v>ACH</v>
      </c>
      <c r="F85" s="32">
        <v>83.95</v>
      </c>
      <c r="G85" s="14" t="str">
        <f>VLOOKUP(D85,Table4[],3,FALSE)</f>
        <v>1</v>
      </c>
      <c r="H85" s="15"/>
      <c r="I85" s="15"/>
      <c r="J85" s="15" t="s">
        <v>87</v>
      </c>
      <c r="K85" s="15">
        <v>696598515</v>
      </c>
      <c r="L85" s="15" t="s">
        <v>29</v>
      </c>
      <c r="M85" s="15" t="s">
        <v>29</v>
      </c>
    </row>
    <row r="86" spans="1:13" x14ac:dyDescent="0.25">
      <c r="A86" s="23">
        <f t="shared" si="5"/>
        <v>256073</v>
      </c>
      <c r="B86" s="14" t="str">
        <f t="shared" si="4"/>
        <v>Direct Debit (UMB Bank) - Credits</v>
      </c>
      <c r="C86" s="38">
        <v>46157</v>
      </c>
      <c r="D86" s="34">
        <v>256073</v>
      </c>
      <c r="E86" s="36" t="str">
        <f>IF(Table3[[#This Row],[Type Received]]=2,"CC",(IF(Table3[[#This Row],[Type Received]]=3,"BILL","ACH")))</f>
        <v>ACH</v>
      </c>
      <c r="F86" s="35">
        <v>45.67</v>
      </c>
      <c r="G86" s="14" t="str">
        <f>VLOOKUP(D86,Table4[],3,FALSE)</f>
        <v>1</v>
      </c>
      <c r="H86" s="15"/>
      <c r="I86" s="15"/>
      <c r="J86" s="15" t="s">
        <v>87</v>
      </c>
      <c r="K86" s="15">
        <v>696598534</v>
      </c>
      <c r="L86" s="15" t="s">
        <v>29</v>
      </c>
      <c r="M86" s="15" t="s">
        <v>29</v>
      </c>
    </row>
    <row r="87" spans="1:13" x14ac:dyDescent="0.25">
      <c r="A87" s="23">
        <f t="shared" si="5"/>
        <v>256074</v>
      </c>
      <c r="B87" s="14" t="str">
        <f t="shared" si="4"/>
        <v>Direct Debit (UMB Bank) - Credits</v>
      </c>
      <c r="C87" s="37">
        <v>46157</v>
      </c>
      <c r="D87" s="31">
        <v>256074</v>
      </c>
      <c r="E87" s="33" t="str">
        <f>IF(Table3[[#This Row],[Type Received]]=2,"CC",(IF(Table3[[#This Row],[Type Received]]=3,"BILL","ACH")))</f>
        <v>ACH</v>
      </c>
      <c r="F87" s="32">
        <v>70.97</v>
      </c>
      <c r="G87" s="14" t="str">
        <f>VLOOKUP(D87,Table4[],3,FALSE)</f>
        <v>1</v>
      </c>
      <c r="H87" s="15"/>
      <c r="I87" s="15"/>
      <c r="J87" s="15" t="s">
        <v>87</v>
      </c>
      <c r="K87" s="15">
        <v>696585878</v>
      </c>
      <c r="L87" s="15" t="s">
        <v>29</v>
      </c>
      <c r="M87" s="15" t="s">
        <v>29</v>
      </c>
    </row>
    <row r="88" spans="1:13" x14ac:dyDescent="0.25">
      <c r="A88" s="23">
        <f t="shared" si="5"/>
        <v>256075</v>
      </c>
      <c r="B88" s="14" t="str">
        <f t="shared" si="4"/>
        <v>Credit Cards (UMB) - Credits</v>
      </c>
      <c r="C88" s="38">
        <v>46167</v>
      </c>
      <c r="D88" s="34">
        <v>256075</v>
      </c>
      <c r="E88" s="36" t="str">
        <f>IF(Table3[[#This Row],[Type Received]]=2,"CC",(IF(Table3[[#This Row],[Type Received]]=3,"BILL","ACH")))</f>
        <v>CC</v>
      </c>
      <c r="F88" s="35">
        <v>62.5</v>
      </c>
      <c r="G88" s="14" t="str">
        <f>VLOOKUP(D88,Table4[],3,FALSE)</f>
        <v>2</v>
      </c>
      <c r="H88" s="15"/>
      <c r="I88" s="15"/>
      <c r="J88" s="15" t="s">
        <v>85</v>
      </c>
      <c r="K88" s="15">
        <v>818313529</v>
      </c>
      <c r="L88" s="15" t="s">
        <v>29</v>
      </c>
      <c r="M88" s="15"/>
    </row>
    <row r="89" spans="1:13" x14ac:dyDescent="0.25">
      <c r="A89" s="23"/>
      <c r="B89" s="14" t="str">
        <f t="shared" si="4"/>
        <v>Direct Debit (UMB Bank) - Credits</v>
      </c>
      <c r="C89" s="37">
        <v>46169</v>
      </c>
      <c r="D89" s="31">
        <v>256087</v>
      </c>
      <c r="E89" s="33" t="str">
        <f>IF(Table3[[#This Row],[Type Received]]=2,"CC",(IF(Table3[[#This Row],[Type Received]]=3,"BILL","ACH")))</f>
        <v>ACH</v>
      </c>
      <c r="F89" s="32">
        <v>168.07</v>
      </c>
      <c r="G89" s="14" t="str">
        <f>VLOOKUP(D89,Table4[],3,FALSE)</f>
        <v>1</v>
      </c>
      <c r="H89" s="15"/>
      <c r="I89" s="15">
        <v>50335</v>
      </c>
      <c r="J89" s="15" t="s">
        <v>28</v>
      </c>
      <c r="K89" s="15">
        <v>844517834</v>
      </c>
      <c r="L89" s="15" t="s">
        <v>29</v>
      </c>
      <c r="M89" s="15" t="s">
        <v>29</v>
      </c>
    </row>
    <row r="90" spans="1:13" x14ac:dyDescent="0.25">
      <c r="A90" s="23">
        <f t="shared" ref="A90:A136" si="6">D90</f>
        <v>256095</v>
      </c>
      <c r="B90" s="14" t="str">
        <f t="shared" si="4"/>
        <v>Direct Debit (UMB Bank) - Credits</v>
      </c>
      <c r="C90" s="38">
        <v>46143</v>
      </c>
      <c r="D90" s="34">
        <v>256095</v>
      </c>
      <c r="E90" s="36" t="str">
        <f>IF(Table3[[#This Row],[Type Received]]=2,"CC",(IF(Table3[[#This Row],[Type Received]]=3,"BILL","ACH")))</f>
        <v>ACH</v>
      </c>
      <c r="F90" s="35">
        <v>63.82</v>
      </c>
      <c r="G90" s="14" t="str">
        <f>VLOOKUP(D90,Table4[],3,FALSE)</f>
        <v>2</v>
      </c>
      <c r="H90" s="15"/>
      <c r="I90" s="15"/>
      <c r="J90" s="15" t="s">
        <v>84</v>
      </c>
      <c r="K90" s="15">
        <v>522169091</v>
      </c>
      <c r="L90" s="15" t="s">
        <v>29</v>
      </c>
      <c r="M90" s="15" t="s">
        <v>29</v>
      </c>
    </row>
    <row r="91" spans="1:13" x14ac:dyDescent="0.25">
      <c r="A91" s="23">
        <f t="shared" si="6"/>
        <v>256096</v>
      </c>
      <c r="B91" s="14" t="str">
        <f t="shared" si="4"/>
        <v>Billing - Credits (from TPA)</v>
      </c>
      <c r="C91" s="37">
        <v>46143</v>
      </c>
      <c r="D91" s="31">
        <v>256096</v>
      </c>
      <c r="E91" s="33" t="str">
        <f>IF(Table3[[#This Row],[Type Received]]=2,"CC",(IF(Table3[[#This Row],[Type Received]]=3,"BILL","ACH")))</f>
        <v>BILL</v>
      </c>
      <c r="F91" s="32">
        <v>56.89</v>
      </c>
      <c r="G91" s="14" t="str">
        <f>VLOOKUP(D91,Table4[],3,FALSE)</f>
        <v>1</v>
      </c>
      <c r="H91" s="15"/>
      <c r="I91" s="15"/>
      <c r="J91" s="15" t="s">
        <v>84</v>
      </c>
      <c r="K91" s="15">
        <v>522195194</v>
      </c>
      <c r="L91" s="15" t="s">
        <v>29</v>
      </c>
      <c r="M91" s="15" t="s">
        <v>29</v>
      </c>
    </row>
    <row r="92" spans="1:13" x14ac:dyDescent="0.25">
      <c r="A92" s="23">
        <f t="shared" si="6"/>
        <v>256109</v>
      </c>
      <c r="B92" s="14" t="str">
        <f t="shared" si="4"/>
        <v>Direct Debit (UMB Bank) - Credits</v>
      </c>
      <c r="C92" s="38">
        <v>46161</v>
      </c>
      <c r="D92" s="34">
        <v>256109</v>
      </c>
      <c r="E92" s="36" t="str">
        <f>IF(Table3[[#This Row],[Type Received]]=2,"CC",(IF(Table3[[#This Row],[Type Received]]=3,"BILL","ACH")))</f>
        <v>ACH</v>
      </c>
      <c r="F92" s="35">
        <v>91.26</v>
      </c>
      <c r="G92" s="14" t="str">
        <f>VLOOKUP(D92,Table4[],3,FALSE)</f>
        <v>1</v>
      </c>
      <c r="H92" s="15">
        <v>642</v>
      </c>
      <c r="I92" s="15"/>
      <c r="J92" s="15"/>
      <c r="K92" s="15"/>
      <c r="L92" s="15"/>
      <c r="M92" s="15"/>
    </row>
    <row r="93" spans="1:13" x14ac:dyDescent="0.25">
      <c r="A93" s="23">
        <f t="shared" si="6"/>
        <v>256115</v>
      </c>
      <c r="B93" s="14" t="str">
        <f t="shared" si="4"/>
        <v>Credit Cards (UMB) - Credits</v>
      </c>
      <c r="C93" s="37">
        <v>46157</v>
      </c>
      <c r="D93" s="31">
        <v>256115</v>
      </c>
      <c r="E93" s="33" t="str">
        <f>IF(Table3[[#This Row],[Type Received]]=2,"CC",(IF(Table3[[#This Row],[Type Received]]=3,"BILL","ACH")))</f>
        <v>CC</v>
      </c>
      <c r="F93" s="32">
        <v>47.87</v>
      </c>
      <c r="G93" s="14" t="str">
        <f>VLOOKUP(D93,Table4[],3,FALSE)</f>
        <v>1</v>
      </c>
      <c r="H93" s="15"/>
      <c r="I93" s="15"/>
      <c r="J93" s="15" t="s">
        <v>87</v>
      </c>
      <c r="K93" s="15">
        <v>696601492</v>
      </c>
      <c r="L93" s="15" t="s">
        <v>29</v>
      </c>
      <c r="M93" s="15" t="s">
        <v>29</v>
      </c>
    </row>
    <row r="94" spans="1:13" x14ac:dyDescent="0.25">
      <c r="A94" s="23">
        <f t="shared" si="6"/>
        <v>256120</v>
      </c>
      <c r="B94" s="14" t="str">
        <f t="shared" si="4"/>
        <v>Direct Debit (UMB Bank) - Credits</v>
      </c>
      <c r="C94" s="38">
        <v>46170</v>
      </c>
      <c r="D94" s="34">
        <v>256120</v>
      </c>
      <c r="E94" s="36" t="str">
        <f>IF(Table3[[#This Row],[Type Received]]=2,"CC",(IF(Table3[[#This Row],[Type Received]]=3,"BILL","ACH")))</f>
        <v>ACH</v>
      </c>
      <c r="F94" s="35">
        <v>54.27</v>
      </c>
      <c r="G94" s="14" t="str">
        <f>VLOOKUP(D94,Table4[],3,FALSE)</f>
        <v>1</v>
      </c>
      <c r="H94" s="15"/>
      <c r="I94" s="15">
        <v>420646</v>
      </c>
      <c r="J94" s="24" t="s">
        <v>28</v>
      </c>
      <c r="K94" s="15">
        <v>855907019</v>
      </c>
      <c r="L94" s="15" t="s">
        <v>29</v>
      </c>
      <c r="M94" s="15" t="s">
        <v>29</v>
      </c>
    </row>
    <row r="95" spans="1:13" x14ac:dyDescent="0.25">
      <c r="A95" s="23">
        <f t="shared" si="6"/>
        <v>256125</v>
      </c>
      <c r="B95" s="14" t="str">
        <f t="shared" si="4"/>
        <v>Credit Cards (UMB) - Credits</v>
      </c>
      <c r="C95" s="37">
        <v>46157</v>
      </c>
      <c r="D95" s="31">
        <v>256125</v>
      </c>
      <c r="E95" s="33" t="str">
        <f>IF(Table3[[#This Row],[Type Received]]=2,"CC",(IF(Table3[[#This Row],[Type Received]]=3,"BILL","ACH")))</f>
        <v>CC</v>
      </c>
      <c r="F95" s="32">
        <v>60.52</v>
      </c>
      <c r="G95" s="14" t="str">
        <f>VLOOKUP(D95,Table4[],3,FALSE)</f>
        <v>2</v>
      </c>
      <c r="H95" s="15"/>
      <c r="I95" s="15"/>
      <c r="J95" s="15" t="s">
        <v>87</v>
      </c>
      <c r="K95" s="15">
        <v>696592805</v>
      </c>
      <c r="L95" s="15" t="s">
        <v>29</v>
      </c>
      <c r="M95" s="15" t="s">
        <v>29</v>
      </c>
    </row>
    <row r="96" spans="1:13" x14ac:dyDescent="0.25">
      <c r="A96" s="23">
        <f t="shared" si="6"/>
        <v>256131</v>
      </c>
      <c r="B96" s="14" t="str">
        <f t="shared" si="4"/>
        <v>Direct Debit (UMB Bank) - Credits</v>
      </c>
      <c r="C96" s="38">
        <v>46155</v>
      </c>
      <c r="D96" s="34">
        <v>256131</v>
      </c>
      <c r="E96" s="36" t="str">
        <f>IF(Table3[[#This Row],[Type Received]]=2,"CC",(IF(Table3[[#This Row],[Type Received]]=3,"BILL","ACH")))</f>
        <v>ACH</v>
      </c>
      <c r="F96" s="35">
        <v>70.75</v>
      </c>
      <c r="G96" s="14" t="str">
        <f>VLOOKUP(D96,Table4[],3,FALSE)</f>
        <v>2</v>
      </c>
      <c r="H96" s="15"/>
      <c r="I96" s="15">
        <v>13339</v>
      </c>
      <c r="J96" s="15" t="s">
        <v>28</v>
      </c>
      <c r="K96" s="15">
        <v>669431705</v>
      </c>
      <c r="L96" s="15" t="s">
        <v>29</v>
      </c>
      <c r="M96" s="15" t="s">
        <v>29</v>
      </c>
    </row>
    <row r="97" spans="1:13" x14ac:dyDescent="0.25">
      <c r="A97" s="23">
        <f t="shared" si="6"/>
        <v>256134</v>
      </c>
      <c r="B97" s="14" t="str">
        <f t="shared" si="4"/>
        <v>Direct Debit (UMB Bank) - Credits</v>
      </c>
      <c r="C97" s="37">
        <v>46157</v>
      </c>
      <c r="D97" s="31">
        <v>256134</v>
      </c>
      <c r="E97" s="33" t="str">
        <f>IF(Table3[[#This Row],[Type Received]]=2,"CC",(IF(Table3[[#This Row],[Type Received]]=3,"BILL","ACH")))</f>
        <v>ACH</v>
      </c>
      <c r="F97" s="32">
        <v>68.11</v>
      </c>
      <c r="G97" s="14" t="str">
        <f>VLOOKUP(D97,Table4[],3,FALSE)</f>
        <v>2</v>
      </c>
      <c r="H97" s="15"/>
      <c r="I97" s="15"/>
      <c r="J97" s="15" t="s">
        <v>87</v>
      </c>
      <c r="K97" s="15">
        <v>696598599</v>
      </c>
      <c r="L97" s="15" t="s">
        <v>29</v>
      </c>
      <c r="M97" s="15"/>
    </row>
    <row r="98" spans="1:13" x14ac:dyDescent="0.25">
      <c r="A98" s="23">
        <f t="shared" si="6"/>
        <v>256135</v>
      </c>
      <c r="B98" s="14" t="str">
        <f t="shared" si="4"/>
        <v>Direct Debit (UMB Bank) - Credits</v>
      </c>
      <c r="C98" s="38">
        <v>46157</v>
      </c>
      <c r="D98" s="34">
        <v>256135</v>
      </c>
      <c r="E98" s="36" t="str">
        <f>IF(Table3[[#This Row],[Type Received]]=2,"CC",(IF(Table3[[#This Row],[Type Received]]=3,"BILL","ACH")))</f>
        <v>ACH</v>
      </c>
      <c r="F98" s="35">
        <v>58.54</v>
      </c>
      <c r="G98" s="14" t="str">
        <f>VLOOKUP(D98,Table4[],3,FALSE)</f>
        <v>2</v>
      </c>
      <c r="H98" s="15"/>
      <c r="I98" s="15"/>
      <c r="J98" s="24" t="s">
        <v>87</v>
      </c>
      <c r="K98" s="15">
        <v>696611229</v>
      </c>
      <c r="L98" s="15" t="s">
        <v>29</v>
      </c>
      <c r="M98" s="15"/>
    </row>
    <row r="99" spans="1:13" x14ac:dyDescent="0.25">
      <c r="A99" s="23">
        <f t="shared" si="6"/>
        <v>256136</v>
      </c>
      <c r="B99" s="14" t="str">
        <f t="shared" si="4"/>
        <v>Direct Debit (UMB Bank) - Credits</v>
      </c>
      <c r="C99" s="37">
        <v>46167</v>
      </c>
      <c r="D99" s="31">
        <v>256136</v>
      </c>
      <c r="E99" s="33" t="str">
        <f>IF(Table3[[#This Row],[Type Received]]=2,"CC",(IF(Table3[[#This Row],[Type Received]]=3,"BILL","ACH")))</f>
        <v>ACH</v>
      </c>
      <c r="F99" s="32">
        <v>181.96</v>
      </c>
      <c r="G99" s="14" t="str">
        <f>VLOOKUP(D99,Table4[],3,FALSE)</f>
        <v>2</v>
      </c>
      <c r="H99" s="15"/>
      <c r="I99" s="15"/>
      <c r="J99" s="24" t="s">
        <v>85</v>
      </c>
      <c r="K99" s="15">
        <v>818347383</v>
      </c>
      <c r="L99" s="15" t="s">
        <v>29</v>
      </c>
      <c r="M99" s="15" t="s">
        <v>29</v>
      </c>
    </row>
    <row r="100" spans="1:13" x14ac:dyDescent="0.25">
      <c r="A100" s="23">
        <f t="shared" si="6"/>
        <v>256138</v>
      </c>
      <c r="B100" s="14" t="str">
        <f t="shared" si="4"/>
        <v>Credit Cards (UMB) - Credits</v>
      </c>
      <c r="C100" s="38">
        <v>46143</v>
      </c>
      <c r="D100" s="34">
        <v>256138</v>
      </c>
      <c r="E100" s="36" t="str">
        <f>IF(Table3[[#This Row],[Type Received]]=2,"CC",(IF(Table3[[#This Row],[Type Received]]=3,"BILL","ACH")))</f>
        <v>CC</v>
      </c>
      <c r="F100" s="35">
        <v>44.57</v>
      </c>
      <c r="G100" s="14" t="str">
        <f>VLOOKUP(D100,Table4[],3,FALSE)</f>
        <v>1</v>
      </c>
      <c r="H100" s="15"/>
      <c r="I100" s="15"/>
      <c r="J100" s="24" t="s">
        <v>84</v>
      </c>
      <c r="K100" s="15">
        <v>522184603</v>
      </c>
      <c r="L100" s="15" t="s">
        <v>29</v>
      </c>
      <c r="M100" s="15" t="s">
        <v>29</v>
      </c>
    </row>
    <row r="101" spans="1:13" x14ac:dyDescent="0.25">
      <c r="A101" s="23">
        <f t="shared" si="6"/>
        <v>256144</v>
      </c>
      <c r="B101" s="14" t="str">
        <f t="shared" si="4"/>
        <v>Credit Cards (UMB) - Credits</v>
      </c>
      <c r="C101" s="37">
        <v>46155</v>
      </c>
      <c r="D101" s="31">
        <v>256144</v>
      </c>
      <c r="E101" s="33" t="str">
        <f>IF(Table3[[#This Row],[Type Received]]=2,"CC",(IF(Table3[[#This Row],[Type Received]]=3,"BILL","ACH")))</f>
        <v>CC</v>
      </c>
      <c r="F101" s="32">
        <v>158.86000000000001</v>
      </c>
      <c r="G101" s="14" t="str">
        <f>VLOOKUP(D101,Table4[],3,FALSE)</f>
        <v>2</v>
      </c>
      <c r="H101" s="15"/>
      <c r="I101" s="15">
        <v>13710</v>
      </c>
      <c r="J101" s="24" t="s">
        <v>28</v>
      </c>
      <c r="K101" s="15">
        <v>669497115</v>
      </c>
      <c r="L101" s="15" t="s">
        <v>29</v>
      </c>
      <c r="M101" s="15" t="s">
        <v>29</v>
      </c>
    </row>
    <row r="102" spans="1:13" x14ac:dyDescent="0.25">
      <c r="A102" s="23">
        <f t="shared" si="6"/>
        <v>256145</v>
      </c>
      <c r="B102" s="14" t="str">
        <f t="shared" si="4"/>
        <v>Direct Debit (UMB Bank) - Credits</v>
      </c>
      <c r="C102" s="38">
        <v>46144</v>
      </c>
      <c r="D102" s="34">
        <v>256145</v>
      </c>
      <c r="E102" s="36" t="str">
        <f>IF(Table3[[#This Row],[Type Received]]=2,"CC",(IF(Table3[[#This Row],[Type Received]]=3,"BILL","ACH")))</f>
        <v>ACH</v>
      </c>
      <c r="F102" s="35">
        <v>115.32</v>
      </c>
      <c r="G102" s="14" t="str">
        <f>VLOOKUP(D102,Table4[],3,FALSE)</f>
        <v>2</v>
      </c>
      <c r="H102" s="15"/>
      <c r="I102" s="15">
        <v>655356</v>
      </c>
      <c r="J102" s="15">
        <v>741651752</v>
      </c>
      <c r="K102" s="15">
        <v>353293253</v>
      </c>
      <c r="L102" s="15"/>
      <c r="M102" s="15" t="s">
        <v>29</v>
      </c>
    </row>
    <row r="103" spans="1:13" x14ac:dyDescent="0.25">
      <c r="A103" s="23">
        <f t="shared" si="6"/>
        <v>256148</v>
      </c>
      <c r="B103" s="14" t="str">
        <f t="shared" si="4"/>
        <v>Direct Debit (UMB Bank) - Credits</v>
      </c>
      <c r="C103" s="37">
        <v>46157</v>
      </c>
      <c r="D103" s="31">
        <v>256148</v>
      </c>
      <c r="E103" s="33" t="str">
        <f>IF(Table3[[#This Row],[Type Received]]=2,"CC",(IF(Table3[[#This Row],[Type Received]]=3,"BILL","ACH")))</f>
        <v>ACH</v>
      </c>
      <c r="F103" s="32">
        <v>103.09</v>
      </c>
      <c r="G103" s="14" t="str">
        <f>VLOOKUP(D103,Table4[],3,FALSE)</f>
        <v>1</v>
      </c>
      <c r="H103" s="15"/>
      <c r="I103" s="15"/>
      <c r="J103" s="15" t="s">
        <v>87</v>
      </c>
      <c r="K103" s="15">
        <v>696612230</v>
      </c>
      <c r="L103" s="15" t="s">
        <v>29</v>
      </c>
      <c r="M103" s="15"/>
    </row>
    <row r="104" spans="1:13" x14ac:dyDescent="0.25">
      <c r="A104" s="23">
        <f t="shared" si="6"/>
        <v>256150</v>
      </c>
      <c r="B104" s="14" t="str">
        <f t="shared" si="4"/>
        <v>Billing - Credits (from TPA)</v>
      </c>
      <c r="C104" s="38">
        <v>46155</v>
      </c>
      <c r="D104" s="34">
        <v>256150</v>
      </c>
      <c r="E104" s="36" t="str">
        <f>IF(Table3[[#This Row],[Type Received]]=2,"CC",(IF(Table3[[#This Row],[Type Received]]=3,"BILL","ACH")))</f>
        <v>BILL</v>
      </c>
      <c r="F104" s="35">
        <v>106.06</v>
      </c>
      <c r="G104" s="14" t="str">
        <f>VLOOKUP(D104,Table4[],3,FALSE)</f>
        <v>2</v>
      </c>
      <c r="H104" s="15"/>
      <c r="I104" s="15"/>
      <c r="J104" s="24" t="s">
        <v>90</v>
      </c>
      <c r="K104" s="15">
        <v>669425099</v>
      </c>
      <c r="L104" s="15" t="s">
        <v>29</v>
      </c>
      <c r="M104" s="15"/>
    </row>
    <row r="105" spans="1:13" x14ac:dyDescent="0.25">
      <c r="A105" s="23">
        <f t="shared" si="6"/>
        <v>256154</v>
      </c>
      <c r="B105" s="14" t="str">
        <f t="shared" si="4"/>
        <v>Direct Debit (UMB Bank) - Credits</v>
      </c>
      <c r="C105" s="37">
        <v>46146</v>
      </c>
      <c r="D105" s="31">
        <v>256154</v>
      </c>
      <c r="E105" s="33" t="str">
        <f>IF(Table3[[#This Row],[Type Received]]=2,"CC",(IF(Table3[[#This Row],[Type Received]]=3,"BILL","ACH")))</f>
        <v>ACH</v>
      </c>
      <c r="F105" s="32">
        <v>84.63</v>
      </c>
      <c r="G105" s="14" t="str">
        <f>VLOOKUP(D105,Table4[],3,FALSE)</f>
        <v>2</v>
      </c>
      <c r="H105" s="15">
        <v>2597</v>
      </c>
      <c r="I105" s="15"/>
      <c r="J105" s="15"/>
      <c r="K105" s="15"/>
      <c r="L105" s="15"/>
      <c r="M105" s="15"/>
    </row>
    <row r="106" spans="1:13" x14ac:dyDescent="0.25">
      <c r="A106" s="23">
        <f t="shared" si="6"/>
        <v>256159</v>
      </c>
      <c r="B106" s="14" t="str">
        <f t="shared" si="4"/>
        <v>Credit Cards (UMB) - Credits</v>
      </c>
      <c r="C106" s="38">
        <v>46143</v>
      </c>
      <c r="D106" s="34">
        <v>256159</v>
      </c>
      <c r="E106" s="36" t="str">
        <f>IF(Table3[[#This Row],[Type Received]]=2,"CC",(IF(Table3[[#This Row],[Type Received]]=3,"BILL","ACH")))</f>
        <v>CC</v>
      </c>
      <c r="F106" s="35">
        <v>71.849999999999994</v>
      </c>
      <c r="G106" s="14" t="str">
        <f>VLOOKUP(D106,Table4[],3,FALSE)</f>
        <v>1</v>
      </c>
      <c r="H106" s="15"/>
      <c r="I106" s="15"/>
      <c r="J106" s="15" t="s">
        <v>84</v>
      </c>
      <c r="K106" s="15">
        <v>522180752</v>
      </c>
      <c r="L106" s="15" t="s">
        <v>29</v>
      </c>
      <c r="M106" s="15" t="s">
        <v>29</v>
      </c>
    </row>
    <row r="107" spans="1:13" x14ac:dyDescent="0.25">
      <c r="A107" s="23">
        <f t="shared" si="6"/>
        <v>256168</v>
      </c>
      <c r="B107" s="14" t="str">
        <f t="shared" si="4"/>
        <v>Credit Cards (UMB) - Credits</v>
      </c>
      <c r="C107" s="37">
        <v>46155</v>
      </c>
      <c r="D107" s="31">
        <v>256168</v>
      </c>
      <c r="E107" s="33" t="str">
        <f>IF(Table3[[#This Row],[Type Received]]=2,"CC",(IF(Table3[[#This Row],[Type Received]]=3,"BILL","ACH")))</f>
        <v>CC</v>
      </c>
      <c r="F107" s="32">
        <v>46.66</v>
      </c>
      <c r="G107" s="14" t="str">
        <f>VLOOKUP(D107,Table4[],3,FALSE)</f>
        <v>2</v>
      </c>
      <c r="H107" s="15"/>
      <c r="I107" s="15" t="s">
        <v>95</v>
      </c>
      <c r="J107" s="15" t="s">
        <v>28</v>
      </c>
      <c r="K107" s="15">
        <v>669438565</v>
      </c>
      <c r="L107" s="15" t="s">
        <v>29</v>
      </c>
      <c r="M107" s="15" t="s">
        <v>29</v>
      </c>
    </row>
    <row r="108" spans="1:13" x14ac:dyDescent="0.25">
      <c r="A108" s="23">
        <f t="shared" si="6"/>
        <v>256172</v>
      </c>
      <c r="B108" s="14" t="str">
        <f t="shared" si="4"/>
        <v>Credit Cards (UMB) - Credits</v>
      </c>
      <c r="C108" s="38">
        <v>46144</v>
      </c>
      <c r="D108" s="34">
        <v>256172</v>
      </c>
      <c r="E108" s="36" t="str">
        <f>IF(Table3[[#This Row],[Type Received]]=2,"CC",(IF(Table3[[#This Row],[Type Received]]=3,"BILL","ACH")))</f>
        <v>CC</v>
      </c>
      <c r="F108" s="35">
        <v>89.89</v>
      </c>
      <c r="G108" s="14" t="str">
        <f>VLOOKUP(D108,Table4[],3,FALSE)</f>
        <v>1</v>
      </c>
      <c r="H108" s="15"/>
      <c r="I108" s="15">
        <v>2668</v>
      </c>
      <c r="J108" s="15" t="s">
        <v>28</v>
      </c>
      <c r="K108" s="15">
        <v>535336383</v>
      </c>
      <c r="L108" s="15" t="s">
        <v>29</v>
      </c>
      <c r="M108" s="15" t="s">
        <v>29</v>
      </c>
    </row>
    <row r="109" spans="1:13" x14ac:dyDescent="0.25">
      <c r="A109" s="23">
        <f t="shared" si="6"/>
        <v>256175</v>
      </c>
      <c r="B109" s="14" t="str">
        <f t="shared" si="4"/>
        <v>Billing - Credits (from TPA)</v>
      </c>
      <c r="C109" s="37">
        <v>46155</v>
      </c>
      <c r="D109" s="31">
        <v>256175</v>
      </c>
      <c r="E109" s="33" t="str">
        <f>IF(Table3[[#This Row],[Type Received]]=2,"CC",(IF(Table3[[#This Row],[Type Received]]=3,"BILL","ACH")))</f>
        <v>BILL</v>
      </c>
      <c r="F109" s="32">
        <v>53.59</v>
      </c>
      <c r="G109" s="14" t="str">
        <f>VLOOKUP(D109,Table4[],3,FALSE)</f>
        <v>1</v>
      </c>
      <c r="H109" s="15"/>
      <c r="I109" s="15">
        <v>120606</v>
      </c>
      <c r="J109" s="15" t="s">
        <v>28</v>
      </c>
      <c r="K109" s="15">
        <v>669439584</v>
      </c>
      <c r="L109" s="15" t="s">
        <v>29</v>
      </c>
      <c r="M109" s="15" t="s">
        <v>29</v>
      </c>
    </row>
    <row r="110" spans="1:13" x14ac:dyDescent="0.25">
      <c r="A110" s="23">
        <f t="shared" si="6"/>
        <v>256176</v>
      </c>
      <c r="B110" s="14" t="str">
        <f t="shared" si="4"/>
        <v>Direct Debit (UMB Bank) - Credits</v>
      </c>
      <c r="C110" s="38">
        <v>46147</v>
      </c>
      <c r="D110" s="34">
        <v>256176</v>
      </c>
      <c r="E110" s="36" t="str">
        <f>IF(Table3[[#This Row],[Type Received]]=2,"CC",(IF(Table3[[#This Row],[Type Received]]=3,"BILL","ACH")))</f>
        <v>ACH</v>
      </c>
      <c r="F110" s="35">
        <v>48.99</v>
      </c>
      <c r="G110" s="14" t="str">
        <f>VLOOKUP(D110,Table4[],3,FALSE)</f>
        <v>1</v>
      </c>
      <c r="H110" s="15">
        <v>1096</v>
      </c>
      <c r="I110" s="15"/>
      <c r="J110" s="15"/>
      <c r="K110" s="15"/>
      <c r="L110" s="15"/>
      <c r="M110" s="15" t="s">
        <v>29</v>
      </c>
    </row>
    <row r="111" spans="1:13" x14ac:dyDescent="0.25">
      <c r="A111" s="23">
        <f t="shared" si="6"/>
        <v>256178</v>
      </c>
      <c r="B111" s="14" t="str">
        <f t="shared" si="4"/>
        <v>Direct Debit (UMB Bank) - Credits</v>
      </c>
      <c r="C111" s="37">
        <v>46144</v>
      </c>
      <c r="D111" s="31">
        <v>256178</v>
      </c>
      <c r="E111" s="33" t="str">
        <f>IF(Table3[[#This Row],[Type Received]]=2,"CC",(IF(Table3[[#This Row],[Type Received]]=3,"BILL","ACH")))</f>
        <v>ACH</v>
      </c>
      <c r="F111" s="32">
        <v>47.65</v>
      </c>
      <c r="G111" s="14" t="str">
        <f>VLOOKUP(D111,Table4[],3,FALSE)</f>
        <v>1</v>
      </c>
      <c r="H111" s="15"/>
      <c r="I111" s="15"/>
      <c r="J111" s="15" t="s">
        <v>89</v>
      </c>
      <c r="K111" s="15">
        <v>535328680</v>
      </c>
      <c r="L111" s="15" t="s">
        <v>29</v>
      </c>
      <c r="M111" s="15" t="s">
        <v>29</v>
      </c>
    </row>
    <row r="112" spans="1:13" x14ac:dyDescent="0.25">
      <c r="A112" s="23">
        <f t="shared" si="6"/>
        <v>256179</v>
      </c>
      <c r="B112" s="14" t="str">
        <f t="shared" si="4"/>
        <v>Direct Debit (UMB Bank) - Credits</v>
      </c>
      <c r="C112" s="38">
        <v>46144</v>
      </c>
      <c r="D112" s="34">
        <v>256179</v>
      </c>
      <c r="E112" s="36" t="str">
        <f>IF(Table3[[#This Row],[Type Received]]=2,"CC",(IF(Table3[[#This Row],[Type Received]]=3,"BILL","ACH")))</f>
        <v>ACH</v>
      </c>
      <c r="F112" s="35">
        <v>41.49</v>
      </c>
      <c r="G112" s="14" t="str">
        <f>VLOOKUP(D112,Table4[],3,FALSE)</f>
        <v>1</v>
      </c>
      <c r="H112" s="15"/>
      <c r="I112" s="15"/>
      <c r="J112" s="15" t="s">
        <v>89</v>
      </c>
      <c r="K112" s="15">
        <v>535321868</v>
      </c>
      <c r="L112" s="15" t="s">
        <v>29</v>
      </c>
      <c r="M112" s="15" t="s">
        <v>29</v>
      </c>
    </row>
    <row r="113" spans="1:13" x14ac:dyDescent="0.25">
      <c r="A113" s="23">
        <f t="shared" si="6"/>
        <v>256181</v>
      </c>
      <c r="B113" s="14" t="str">
        <f t="shared" si="4"/>
        <v>Direct Debit (UMB Bank) - Credits</v>
      </c>
      <c r="C113" s="37">
        <v>46144</v>
      </c>
      <c r="D113" s="31">
        <v>256181</v>
      </c>
      <c r="E113" s="33" t="str">
        <f>IF(Table3[[#This Row],[Type Received]]=2,"CC",(IF(Table3[[#This Row],[Type Received]]=3,"BILL","ACH")))</f>
        <v>ACH</v>
      </c>
      <c r="F113" s="32">
        <v>47.43</v>
      </c>
      <c r="G113" s="14" t="str">
        <f>VLOOKUP(D113,Table4[],3,FALSE)</f>
        <v>1</v>
      </c>
      <c r="H113" s="15"/>
      <c r="I113" s="15"/>
      <c r="J113" s="15" t="s">
        <v>89</v>
      </c>
      <c r="K113" s="15">
        <v>535335487</v>
      </c>
      <c r="L113" s="15" t="s">
        <v>29</v>
      </c>
      <c r="M113" s="15" t="s">
        <v>29</v>
      </c>
    </row>
    <row r="114" spans="1:13" x14ac:dyDescent="0.25">
      <c r="A114" s="23">
        <f t="shared" si="6"/>
        <v>256182</v>
      </c>
      <c r="B114" s="14" t="str">
        <f t="shared" si="4"/>
        <v>Credit Cards (UMB) - Credits</v>
      </c>
      <c r="C114" s="38">
        <v>46157</v>
      </c>
      <c r="D114" s="34">
        <v>256182</v>
      </c>
      <c r="E114" s="36" t="str">
        <f>IF(Table3[[#This Row],[Type Received]]=2,"CC",(IF(Table3[[#This Row],[Type Received]]=3,"BILL","ACH")))</f>
        <v>CC</v>
      </c>
      <c r="F114" s="35">
        <v>52.6</v>
      </c>
      <c r="G114" s="14" t="str">
        <f>VLOOKUP(D114,Table4[],3,FALSE)</f>
        <v>2</v>
      </c>
      <c r="H114" s="15"/>
      <c r="I114" s="15"/>
      <c r="J114" s="15" t="s">
        <v>87</v>
      </c>
      <c r="K114" s="15">
        <v>696603488</v>
      </c>
      <c r="L114" s="15" t="s">
        <v>29</v>
      </c>
      <c r="M114" s="15" t="s">
        <v>29</v>
      </c>
    </row>
    <row r="115" spans="1:13" x14ac:dyDescent="0.25">
      <c r="A115" s="23">
        <f t="shared" si="6"/>
        <v>256183</v>
      </c>
      <c r="B115" s="14" t="str">
        <f t="shared" si="4"/>
        <v>Direct Debit (UMB Bank) - Credits</v>
      </c>
      <c r="C115" s="37">
        <v>46169</v>
      </c>
      <c r="D115" s="31">
        <v>256183</v>
      </c>
      <c r="E115" s="33" t="str">
        <f>IF(Table3[[#This Row],[Type Received]]=2,"CC",(IF(Table3[[#This Row],[Type Received]]=3,"BILL","ACH")))</f>
        <v>ACH</v>
      </c>
      <c r="F115" s="32">
        <v>229.64</v>
      </c>
      <c r="G115" s="14" t="str">
        <f>VLOOKUP(D115,Table4[],3,FALSE)</f>
        <v>2</v>
      </c>
      <c r="H115" s="15"/>
      <c r="I115" s="15">
        <v>53222</v>
      </c>
      <c r="J115" s="15">
        <v>749271671</v>
      </c>
      <c r="K115" s="15">
        <v>355969077</v>
      </c>
      <c r="L115" s="15"/>
      <c r="M115" s="15" t="s">
        <v>29</v>
      </c>
    </row>
    <row r="116" spans="1:13" x14ac:dyDescent="0.25">
      <c r="A116" s="23">
        <f t="shared" si="6"/>
        <v>256185</v>
      </c>
      <c r="B116" s="14" t="str">
        <f t="shared" si="4"/>
        <v>Credit Cards (UMB) - Credits</v>
      </c>
      <c r="C116" s="38">
        <v>46167</v>
      </c>
      <c r="D116" s="34">
        <v>256185</v>
      </c>
      <c r="E116" s="36" t="str">
        <f>IF(Table3[[#This Row],[Type Received]]=2,"CC",(IF(Table3[[#This Row],[Type Received]]=3,"BILL","ACH")))</f>
        <v>CC</v>
      </c>
      <c r="F116" s="35">
        <v>72.73</v>
      </c>
      <c r="G116" s="14" t="str">
        <f>VLOOKUP(D116,Table4[],3,FALSE)</f>
        <v>1</v>
      </c>
      <c r="H116" s="15"/>
      <c r="I116" s="15"/>
      <c r="J116" s="15" t="s">
        <v>85</v>
      </c>
      <c r="K116" s="15">
        <v>818310529</v>
      </c>
      <c r="L116" s="15" t="s">
        <v>29</v>
      </c>
      <c r="M116" s="15"/>
    </row>
    <row r="117" spans="1:13" x14ac:dyDescent="0.25">
      <c r="A117" s="23">
        <f t="shared" si="6"/>
        <v>256188</v>
      </c>
      <c r="B117" s="14" t="str">
        <f t="shared" si="4"/>
        <v>Direct Debit (UMB Bank) - Credits</v>
      </c>
      <c r="C117" s="37">
        <v>46145</v>
      </c>
      <c r="D117" s="31">
        <v>256188</v>
      </c>
      <c r="E117" s="33" t="str">
        <f>IF(Table3[[#This Row],[Type Received]]=2,"CC",(IF(Table3[[#This Row],[Type Received]]=3,"BILL","ACH")))</f>
        <v>ACH</v>
      </c>
      <c r="F117" s="32">
        <v>317.23</v>
      </c>
      <c r="G117" s="14" t="str">
        <f>VLOOKUP(D117,Table4[],3,FALSE)</f>
        <v>2</v>
      </c>
      <c r="H117" s="15"/>
      <c r="I117" s="15">
        <v>98407</v>
      </c>
      <c r="J117" s="15">
        <v>742039970</v>
      </c>
      <c r="K117" s="15">
        <v>353337623</v>
      </c>
      <c r="L117" s="15"/>
      <c r="M117" s="15"/>
    </row>
    <row r="118" spans="1:13" x14ac:dyDescent="0.25">
      <c r="A118" s="23">
        <f t="shared" si="6"/>
        <v>256204</v>
      </c>
      <c r="B118" s="14" t="str">
        <f t="shared" si="4"/>
        <v>Direct Debit (UMB Bank) - Credits</v>
      </c>
      <c r="C118" s="38">
        <v>46157</v>
      </c>
      <c r="D118" s="34">
        <v>256204</v>
      </c>
      <c r="E118" s="36" t="str">
        <f>IF(Table3[[#This Row],[Type Received]]=2,"CC",(IF(Table3[[#This Row],[Type Received]]=3,"BILL","ACH")))</f>
        <v>ACH</v>
      </c>
      <c r="F118" s="35">
        <v>83.29</v>
      </c>
      <c r="G118" s="14" t="str">
        <f>VLOOKUP(D118,Table4[],3,FALSE)</f>
        <v>2</v>
      </c>
      <c r="H118" s="15"/>
      <c r="I118" s="15"/>
      <c r="J118" s="24" t="s">
        <v>87</v>
      </c>
      <c r="K118" s="15">
        <v>696610297</v>
      </c>
      <c r="L118" s="15" t="s">
        <v>29</v>
      </c>
      <c r="M118" s="15" t="s">
        <v>29</v>
      </c>
    </row>
    <row r="119" spans="1:13" x14ac:dyDescent="0.25">
      <c r="A119" s="23">
        <f t="shared" si="6"/>
        <v>256207</v>
      </c>
      <c r="B119" s="14" t="str">
        <f t="shared" si="4"/>
        <v>Credit Cards (UMB) - Credits</v>
      </c>
      <c r="C119" s="37">
        <v>46144</v>
      </c>
      <c r="D119" s="31">
        <v>256207</v>
      </c>
      <c r="E119" s="33" t="str">
        <f>IF(Table3[[#This Row],[Type Received]]=2,"CC",(IF(Table3[[#This Row],[Type Received]]=3,"BILL","ACH")))</f>
        <v>CC</v>
      </c>
      <c r="F119" s="32">
        <v>39.29</v>
      </c>
      <c r="G119" s="14" t="str">
        <f>VLOOKUP(D119,Table4[],3,FALSE)</f>
        <v>1</v>
      </c>
      <c r="H119" s="15"/>
      <c r="I119" s="15"/>
      <c r="J119" s="15" t="s">
        <v>89</v>
      </c>
      <c r="K119" s="15">
        <v>535325775</v>
      </c>
      <c r="L119" s="15" t="s">
        <v>29</v>
      </c>
      <c r="M119" s="15" t="s">
        <v>29</v>
      </c>
    </row>
    <row r="120" spans="1:13" x14ac:dyDescent="0.25">
      <c r="A120" s="23">
        <f t="shared" si="6"/>
        <v>256209</v>
      </c>
      <c r="B120" s="14" t="str">
        <f t="shared" si="4"/>
        <v>Credit Cards (UMB) - Credits</v>
      </c>
      <c r="C120" s="38">
        <v>46169</v>
      </c>
      <c r="D120" s="34">
        <v>256209</v>
      </c>
      <c r="E120" s="36" t="str">
        <f>IF(Table3[[#This Row],[Type Received]]=2,"CC",(IF(Table3[[#This Row],[Type Received]]=3,"BILL","ACH")))</f>
        <v>CC</v>
      </c>
      <c r="F120" s="35">
        <v>110.04</v>
      </c>
      <c r="G120" s="14" t="str">
        <f>VLOOKUP(D120,Table4[],3,FALSE)</f>
        <v>2</v>
      </c>
      <c r="H120" s="15"/>
      <c r="I120" s="15">
        <v>520013</v>
      </c>
      <c r="J120" s="15" t="s">
        <v>28</v>
      </c>
      <c r="K120" s="15">
        <v>843018444</v>
      </c>
      <c r="L120" s="15" t="s">
        <v>29</v>
      </c>
      <c r="M120" s="15" t="s">
        <v>29</v>
      </c>
    </row>
    <row r="121" spans="1:13" x14ac:dyDescent="0.25">
      <c r="A121" s="23">
        <f t="shared" si="6"/>
        <v>256216</v>
      </c>
      <c r="B121" s="14" t="str">
        <f t="shared" si="4"/>
        <v>Direct Debit (UMB Bank) - Credits</v>
      </c>
      <c r="C121" s="37">
        <v>46155</v>
      </c>
      <c r="D121" s="31">
        <v>256216</v>
      </c>
      <c r="E121" s="33" t="str">
        <f>IF(Table3[[#This Row],[Type Received]]=2,"CC",(IF(Table3[[#This Row],[Type Received]]=3,"BILL","ACH")))</f>
        <v>ACH</v>
      </c>
      <c r="F121" s="32">
        <v>34.450000000000003</v>
      </c>
      <c r="G121" s="14" t="str">
        <f>VLOOKUP(D121,Table4[],3,FALSE)</f>
        <v>2</v>
      </c>
      <c r="H121" s="15"/>
      <c r="I121" s="15">
        <v>182854</v>
      </c>
      <c r="J121" s="15" t="s">
        <v>28</v>
      </c>
      <c r="K121" s="15">
        <v>669426833</v>
      </c>
      <c r="L121" s="15" t="s">
        <v>29</v>
      </c>
      <c r="M121" s="15" t="s">
        <v>29</v>
      </c>
    </row>
    <row r="122" spans="1:13" x14ac:dyDescent="0.25">
      <c r="A122" s="23">
        <f t="shared" si="6"/>
        <v>256220</v>
      </c>
      <c r="B122" s="14" t="str">
        <f t="shared" si="4"/>
        <v>Direct Debit (UMB Bank) - Credits</v>
      </c>
      <c r="C122" s="38">
        <v>46157</v>
      </c>
      <c r="D122" s="34">
        <v>256220</v>
      </c>
      <c r="E122" s="36" t="str">
        <f>IF(Table3[[#This Row],[Type Received]]=2,"CC",(IF(Table3[[#This Row],[Type Received]]=3,"BILL","ACH")))</f>
        <v>ACH</v>
      </c>
      <c r="F122" s="35">
        <v>50.95</v>
      </c>
      <c r="G122" s="14" t="str">
        <f>VLOOKUP(D122,Table4[],3,FALSE)</f>
        <v>2</v>
      </c>
      <c r="H122" s="15"/>
      <c r="I122" s="15"/>
      <c r="J122" s="24" t="s">
        <v>87</v>
      </c>
      <c r="K122" s="15">
        <v>696601617</v>
      </c>
      <c r="L122" s="15" t="s">
        <v>29</v>
      </c>
      <c r="M122" s="15" t="s">
        <v>29</v>
      </c>
    </row>
    <row r="123" spans="1:13" x14ac:dyDescent="0.25">
      <c r="A123" s="23">
        <f t="shared" si="6"/>
        <v>256241</v>
      </c>
      <c r="B123" s="14" t="str">
        <f t="shared" si="4"/>
        <v>Direct Debit (UMB Bank) - Credits</v>
      </c>
      <c r="C123" s="37">
        <v>46167</v>
      </c>
      <c r="D123" s="31">
        <v>256241</v>
      </c>
      <c r="E123" s="33" t="str">
        <f>IF(Table3[[#This Row],[Type Received]]=2,"CC",(IF(Table3[[#This Row],[Type Received]]=3,"BILL","ACH")))</f>
        <v>ACH</v>
      </c>
      <c r="F123" s="32">
        <v>41.38</v>
      </c>
      <c r="G123" s="14" t="str">
        <f>VLOOKUP(D123,Table4[],3,FALSE)</f>
        <v>2</v>
      </c>
      <c r="H123" s="15"/>
      <c r="I123" s="15"/>
      <c r="J123" s="15" t="s">
        <v>85</v>
      </c>
      <c r="K123" s="15">
        <v>818322154</v>
      </c>
      <c r="L123" s="15" t="s">
        <v>29</v>
      </c>
      <c r="M123" s="15" t="s">
        <v>29</v>
      </c>
    </row>
    <row r="124" spans="1:13" x14ac:dyDescent="0.25">
      <c r="A124" s="23">
        <f t="shared" si="6"/>
        <v>256242</v>
      </c>
      <c r="B124" s="14" t="str">
        <f t="shared" si="4"/>
        <v>Direct Debit (UMB Bank) - Credits</v>
      </c>
      <c r="C124" s="38">
        <v>46144</v>
      </c>
      <c r="D124" s="34">
        <v>256242</v>
      </c>
      <c r="E124" s="36" t="str">
        <f>IF(Table3[[#This Row],[Type Received]]=2,"CC",(IF(Table3[[#This Row],[Type Received]]=3,"BILL","ACH")))</f>
        <v>ACH</v>
      </c>
      <c r="F124" s="35">
        <v>118.6</v>
      </c>
      <c r="G124" s="14" t="str">
        <f>VLOOKUP(D124,Table4[],3,FALSE)</f>
        <v>2</v>
      </c>
      <c r="H124" s="15"/>
      <c r="I124" s="15"/>
      <c r="J124" s="15" t="s">
        <v>89</v>
      </c>
      <c r="K124" s="15">
        <v>535328731</v>
      </c>
      <c r="L124" s="15" t="s">
        <v>29</v>
      </c>
      <c r="M124" s="15" t="s">
        <v>29</v>
      </c>
    </row>
    <row r="125" spans="1:13" x14ac:dyDescent="0.25">
      <c r="A125" s="23">
        <f t="shared" si="6"/>
        <v>256251</v>
      </c>
      <c r="B125" s="14" t="str">
        <f t="shared" si="4"/>
        <v>Credit Cards (UMB) - Credits</v>
      </c>
      <c r="C125" s="37">
        <v>46147</v>
      </c>
      <c r="D125" s="31">
        <v>256251</v>
      </c>
      <c r="E125" s="33" t="str">
        <f>IF(Table3[[#This Row],[Type Received]]=2,"CC",(IF(Table3[[#This Row],[Type Received]]=3,"BILL","ACH")))</f>
        <v>CC</v>
      </c>
      <c r="F125" s="32">
        <v>43.25</v>
      </c>
      <c r="G125" s="14" t="str">
        <f>VLOOKUP(D125,Table4[],3,FALSE)</f>
        <v>1</v>
      </c>
      <c r="H125" s="15"/>
      <c r="I125" s="15"/>
      <c r="J125" s="15" t="s">
        <v>86</v>
      </c>
      <c r="K125" s="15">
        <v>569465936</v>
      </c>
      <c r="L125" s="15" t="s">
        <v>29</v>
      </c>
      <c r="M125" s="15" t="s">
        <v>29</v>
      </c>
    </row>
    <row r="126" spans="1:13" x14ac:dyDescent="0.25">
      <c r="A126" s="23">
        <f t="shared" si="6"/>
        <v>256253</v>
      </c>
      <c r="B126" s="14" t="str">
        <f t="shared" si="4"/>
        <v>Direct Debit (UMB Bank) - Credits</v>
      </c>
      <c r="C126" s="38">
        <v>46155</v>
      </c>
      <c r="D126" s="34">
        <v>256253</v>
      </c>
      <c r="E126" s="36" t="str">
        <f>IF(Table3[[#This Row],[Type Received]]=2,"CC",(IF(Table3[[#This Row],[Type Received]]=3,"BILL","ACH")))</f>
        <v>ACH</v>
      </c>
      <c r="F126" s="35">
        <v>58.43</v>
      </c>
      <c r="G126" s="14" t="str">
        <f>VLOOKUP(D126,Table4[],3,FALSE)</f>
        <v>1</v>
      </c>
      <c r="H126" s="15"/>
      <c r="I126" s="15">
        <v>142472</v>
      </c>
      <c r="J126" s="15" t="s">
        <v>28</v>
      </c>
      <c r="K126" s="15">
        <v>669434738</v>
      </c>
      <c r="L126" s="15" t="s">
        <v>29</v>
      </c>
      <c r="M126" s="15" t="s">
        <v>29</v>
      </c>
    </row>
    <row r="127" spans="1:13" x14ac:dyDescent="0.25">
      <c r="A127" s="23">
        <f t="shared" si="6"/>
        <v>256254</v>
      </c>
      <c r="B127" s="14" t="str">
        <f t="shared" si="4"/>
        <v>Direct Debit (UMB Bank) - Credits</v>
      </c>
      <c r="C127" s="37">
        <v>46144</v>
      </c>
      <c r="D127" s="31">
        <v>256254</v>
      </c>
      <c r="E127" s="33" t="str">
        <f>IF(Table3[[#This Row],[Type Received]]=2,"CC",(IF(Table3[[#This Row],[Type Received]]=3,"BILL","ACH")))</f>
        <v>ACH</v>
      </c>
      <c r="F127" s="32">
        <v>105.07</v>
      </c>
      <c r="G127" s="14" t="str">
        <f>VLOOKUP(D127,Table4[],3,FALSE)</f>
        <v>2</v>
      </c>
      <c r="H127" s="15"/>
      <c r="I127" s="15"/>
      <c r="J127" s="15" t="s">
        <v>89</v>
      </c>
      <c r="K127" s="15">
        <v>535336444</v>
      </c>
      <c r="L127" s="15" t="s">
        <v>29</v>
      </c>
      <c r="M127" s="15"/>
    </row>
    <row r="128" spans="1:13" x14ac:dyDescent="0.25">
      <c r="A128" s="23">
        <f t="shared" si="6"/>
        <v>256257</v>
      </c>
      <c r="B128" s="14" t="str">
        <f t="shared" si="4"/>
        <v>Direct Debit (UMB Bank) - Credits</v>
      </c>
      <c r="C128" s="38">
        <v>46157</v>
      </c>
      <c r="D128" s="34">
        <v>256257</v>
      </c>
      <c r="E128" s="36" t="str">
        <f>IF(Table3[[#This Row],[Type Received]]=2,"CC",(IF(Table3[[#This Row],[Type Received]]=3,"BILL","ACH")))</f>
        <v>ACH</v>
      </c>
      <c r="F128" s="35">
        <v>43.25</v>
      </c>
      <c r="G128" s="14" t="str">
        <f>VLOOKUP(D128,Table4[],3,FALSE)</f>
        <v>1</v>
      </c>
      <c r="H128" s="15"/>
      <c r="I128" s="15"/>
      <c r="J128" s="24" t="s">
        <v>87</v>
      </c>
      <c r="K128" s="15">
        <v>696607463</v>
      </c>
      <c r="L128" s="15" t="s">
        <v>29</v>
      </c>
      <c r="M128" s="15"/>
    </row>
    <row r="129" spans="1:13" x14ac:dyDescent="0.25">
      <c r="A129" s="23">
        <f t="shared" si="6"/>
        <v>256258</v>
      </c>
      <c r="B129" s="14" t="str">
        <f t="shared" si="4"/>
        <v>Credit Cards (UMB) - Credits</v>
      </c>
      <c r="C129" s="37">
        <v>46157</v>
      </c>
      <c r="D129" s="31">
        <v>256258</v>
      </c>
      <c r="E129" s="33" t="str">
        <f>IF(Table3[[#This Row],[Type Received]]=2,"CC",(IF(Table3[[#This Row],[Type Received]]=3,"BILL","ACH")))</f>
        <v>CC</v>
      </c>
      <c r="F129" s="32">
        <v>49.41</v>
      </c>
      <c r="G129" s="14" t="str">
        <f>VLOOKUP(D129,Table4[],3,FALSE)</f>
        <v>1</v>
      </c>
      <c r="H129" s="15"/>
      <c r="I129" s="15"/>
      <c r="J129" s="24" t="s">
        <v>87</v>
      </c>
      <c r="K129" s="15">
        <v>696600610</v>
      </c>
      <c r="L129" s="15" t="s">
        <v>29</v>
      </c>
      <c r="M129" s="15" t="s">
        <v>29</v>
      </c>
    </row>
    <row r="130" spans="1:13" x14ac:dyDescent="0.25">
      <c r="A130" s="23">
        <f t="shared" si="6"/>
        <v>256264</v>
      </c>
      <c r="B130" s="14" t="str">
        <f t="shared" ref="B130:B193" si="7">IF(AND(E130="BILL",F130&lt;0),"Billing &amp; Direct Debit - Refunds",(IF(AND(E130="BILL",F130&gt;0),"Billing - Credits (from TPA)",(IF(AND(E130="CC",F130&lt;0),"Credit Cards (UMB) - Refunds",(IF(AND(E130="CC",F130&gt;0),"Credit Cards (UMB) - Credits",(IF(AND(E130="ACH",F130&gt;0),"Direct Debit (UMB Bank) - Credits","Direct Debit (UMB Bank) - Returned Items")))))))))</f>
        <v>Direct Debit (UMB Bank) - Credits</v>
      </c>
      <c r="C130" s="38">
        <v>46155</v>
      </c>
      <c r="D130" s="34">
        <v>256264</v>
      </c>
      <c r="E130" s="36" t="str">
        <f>IF(Table3[[#This Row],[Type Received]]=2,"CC",(IF(Table3[[#This Row],[Type Received]]=3,"BILL","ACH")))</f>
        <v>ACH</v>
      </c>
      <c r="F130" s="35">
        <v>87.03</v>
      </c>
      <c r="G130" s="14" t="str">
        <f>VLOOKUP(D130,Table4[],3,FALSE)</f>
        <v>1</v>
      </c>
      <c r="H130" s="15"/>
      <c r="I130" s="15">
        <v>246777</v>
      </c>
      <c r="J130" s="15" t="s">
        <v>28</v>
      </c>
      <c r="K130" s="15">
        <v>669434740</v>
      </c>
      <c r="L130" s="15" t="s">
        <v>29</v>
      </c>
      <c r="M130" s="15" t="s">
        <v>29</v>
      </c>
    </row>
    <row r="131" spans="1:13" x14ac:dyDescent="0.25">
      <c r="A131" s="23">
        <f t="shared" si="6"/>
        <v>256269</v>
      </c>
      <c r="B131" s="14" t="str">
        <f t="shared" si="7"/>
        <v>Direct Debit (UMB Bank) - Credits</v>
      </c>
      <c r="C131" s="37">
        <v>46167</v>
      </c>
      <c r="D131" s="31">
        <v>256269</v>
      </c>
      <c r="E131" s="33" t="str">
        <f>IF(Table3[[#This Row],[Type Received]]=2,"CC",(IF(Table3[[#This Row],[Type Received]]=3,"BILL","ACH")))</f>
        <v>ACH</v>
      </c>
      <c r="F131" s="32">
        <v>74.27</v>
      </c>
      <c r="G131" s="14" t="str">
        <f>VLOOKUP(D131,Table4[],3,FALSE)</f>
        <v>1</v>
      </c>
      <c r="H131" s="15"/>
      <c r="I131" s="15"/>
      <c r="J131" s="15" t="s">
        <v>85</v>
      </c>
      <c r="K131" s="15">
        <v>818297045</v>
      </c>
      <c r="L131" s="15" t="s">
        <v>29</v>
      </c>
      <c r="M131" s="15" t="s">
        <v>29</v>
      </c>
    </row>
    <row r="132" spans="1:13" x14ac:dyDescent="0.25">
      <c r="A132" s="23">
        <f t="shared" si="6"/>
        <v>256270</v>
      </c>
      <c r="B132" s="14" t="str">
        <f t="shared" si="7"/>
        <v>Direct Debit (UMB Bank) - Credits</v>
      </c>
      <c r="C132" s="38">
        <v>46157</v>
      </c>
      <c r="D132" s="34">
        <v>256270</v>
      </c>
      <c r="E132" s="36" t="str">
        <f>IF(Table3[[#This Row],[Type Received]]=2,"CC",(IF(Table3[[#This Row],[Type Received]]=3,"BILL","ACH")))</f>
        <v>ACH</v>
      </c>
      <c r="F132" s="35">
        <v>77.680000000000007</v>
      </c>
      <c r="G132" s="14" t="str">
        <f>VLOOKUP(D132,Table4[],3,FALSE)</f>
        <v>2</v>
      </c>
      <c r="H132" s="15"/>
      <c r="I132" s="15"/>
      <c r="J132" s="15" t="s">
        <v>87</v>
      </c>
      <c r="K132" s="15">
        <v>696609382</v>
      </c>
      <c r="L132" s="15" t="s">
        <v>29</v>
      </c>
      <c r="M132" s="15" t="s">
        <v>29</v>
      </c>
    </row>
    <row r="133" spans="1:13" x14ac:dyDescent="0.25">
      <c r="A133" s="23">
        <f t="shared" si="6"/>
        <v>256272</v>
      </c>
      <c r="B133" s="14" t="str">
        <f t="shared" si="7"/>
        <v>Direct Debit (UMB Bank) - Credits</v>
      </c>
      <c r="C133" s="37">
        <v>46157</v>
      </c>
      <c r="D133" s="31">
        <v>256272</v>
      </c>
      <c r="E133" s="33" t="str">
        <f>IF(Table3[[#This Row],[Type Received]]=2,"CC",(IF(Table3[[#This Row],[Type Received]]=3,"BILL","ACH")))</f>
        <v>ACH</v>
      </c>
      <c r="F133" s="32">
        <v>55.9</v>
      </c>
      <c r="G133" s="14" t="str">
        <f>VLOOKUP(D133,Table4[],3,FALSE)</f>
        <v>2</v>
      </c>
      <c r="H133" s="15"/>
      <c r="I133" s="15"/>
      <c r="J133" s="24" t="s">
        <v>87</v>
      </c>
      <c r="K133" s="15">
        <v>696614179</v>
      </c>
      <c r="L133" s="15" t="s">
        <v>29</v>
      </c>
      <c r="M133" s="15" t="s">
        <v>29</v>
      </c>
    </row>
    <row r="134" spans="1:13" x14ac:dyDescent="0.25">
      <c r="A134" s="23">
        <f t="shared" si="6"/>
        <v>256281</v>
      </c>
      <c r="B134" s="14" t="str">
        <f t="shared" si="7"/>
        <v>Direct Debit (UMB Bank) - Credits</v>
      </c>
      <c r="C134" s="38">
        <v>46157</v>
      </c>
      <c r="D134" s="34">
        <v>256281</v>
      </c>
      <c r="E134" s="36" t="str">
        <f>IF(Table3[[#This Row],[Type Received]]=2,"CC",(IF(Table3[[#This Row],[Type Received]]=3,"BILL","ACH")))</f>
        <v>ACH</v>
      </c>
      <c r="F134" s="35">
        <v>114.09</v>
      </c>
      <c r="G134" s="14" t="str">
        <f>VLOOKUP(D134,Table4[],3,FALSE)</f>
        <v>1</v>
      </c>
      <c r="H134" s="15"/>
      <c r="I134" s="15"/>
      <c r="J134" s="15" t="s">
        <v>87</v>
      </c>
      <c r="K134" s="15">
        <v>696694154</v>
      </c>
      <c r="L134" s="15" t="s">
        <v>29</v>
      </c>
      <c r="M134" s="15" t="s">
        <v>29</v>
      </c>
    </row>
    <row r="135" spans="1:13" x14ac:dyDescent="0.25">
      <c r="A135" s="23">
        <f t="shared" si="6"/>
        <v>256282</v>
      </c>
      <c r="B135" s="14" t="str">
        <f t="shared" si="7"/>
        <v>Direct Debit (UMB Bank) - Credits</v>
      </c>
      <c r="C135" s="37">
        <v>46157</v>
      </c>
      <c r="D135" s="31">
        <v>256282</v>
      </c>
      <c r="E135" s="33" t="str">
        <f>IF(Table3[[#This Row],[Type Received]]=2,"CC",(IF(Table3[[#This Row],[Type Received]]=3,"BILL","ACH")))</f>
        <v>ACH</v>
      </c>
      <c r="F135" s="32">
        <v>52.93</v>
      </c>
      <c r="G135" s="14" t="str">
        <f>VLOOKUP(D135,Table4[],3,FALSE)</f>
        <v>2</v>
      </c>
      <c r="H135" s="15"/>
      <c r="I135" s="15"/>
      <c r="J135" s="15" t="s">
        <v>87</v>
      </c>
      <c r="K135" s="15">
        <v>696594969</v>
      </c>
      <c r="L135" s="15" t="s">
        <v>29</v>
      </c>
      <c r="M135" s="15" t="s">
        <v>29</v>
      </c>
    </row>
    <row r="136" spans="1:13" x14ac:dyDescent="0.25">
      <c r="A136" s="23">
        <f t="shared" si="6"/>
        <v>256291</v>
      </c>
      <c r="B136" s="14" t="str">
        <f t="shared" si="7"/>
        <v>Direct Debit (UMB Bank) - Credits</v>
      </c>
      <c r="C136" s="38">
        <v>46144</v>
      </c>
      <c r="D136" s="34">
        <v>256291</v>
      </c>
      <c r="E136" s="36" t="str">
        <f>IF(Table3[[#This Row],[Type Received]]=2,"CC",(IF(Table3[[#This Row],[Type Received]]=3,"BILL","ACH")))</f>
        <v>ACH</v>
      </c>
      <c r="F136" s="35">
        <v>62.17</v>
      </c>
      <c r="G136" s="14" t="str">
        <f>VLOOKUP(D136,Table4[],3,FALSE)</f>
        <v>1</v>
      </c>
      <c r="H136" s="15"/>
      <c r="I136" s="15"/>
      <c r="J136" s="15" t="s">
        <v>89</v>
      </c>
      <c r="K136" s="15">
        <v>535332692</v>
      </c>
      <c r="L136" s="15" t="s">
        <v>29</v>
      </c>
      <c r="M136" s="15" t="s">
        <v>29</v>
      </c>
    </row>
    <row r="137" spans="1:13" x14ac:dyDescent="0.25">
      <c r="A137" s="23"/>
      <c r="B137" s="14" t="str">
        <f t="shared" si="7"/>
        <v>Direct Debit (UMB Bank) - Credits</v>
      </c>
      <c r="C137" s="37">
        <v>46167</v>
      </c>
      <c r="D137" s="31">
        <v>256295</v>
      </c>
      <c r="E137" s="33" t="str">
        <f>IF(Table3[[#This Row],[Type Received]]=2,"CC",(IF(Table3[[#This Row],[Type Received]]=3,"BILL","ACH")))</f>
        <v>ACH</v>
      </c>
      <c r="F137" s="32">
        <v>72.400000000000006</v>
      </c>
      <c r="G137" s="14" t="str">
        <f>VLOOKUP(D137,Table4[],3,FALSE)</f>
        <v>2</v>
      </c>
      <c r="H137" s="15"/>
      <c r="I137" s="15"/>
      <c r="J137" s="15" t="s">
        <v>85</v>
      </c>
      <c r="K137" s="15">
        <v>818319392</v>
      </c>
      <c r="L137" s="15" t="s">
        <v>29</v>
      </c>
      <c r="M137" s="15" t="s">
        <v>29</v>
      </c>
    </row>
    <row r="138" spans="1:13" x14ac:dyDescent="0.25">
      <c r="A138" s="23"/>
      <c r="B138" s="14" t="str">
        <f t="shared" si="7"/>
        <v>Direct Debit (UMB Bank) - Credits</v>
      </c>
      <c r="C138" s="38">
        <v>46167</v>
      </c>
      <c r="D138" s="34">
        <v>256317</v>
      </c>
      <c r="E138" s="36" t="str">
        <f>IF(Table3[[#This Row],[Type Received]]=2,"CC",(IF(Table3[[#This Row],[Type Received]]=3,"BILL","ACH")))</f>
        <v>ACH</v>
      </c>
      <c r="F138" s="35">
        <v>77.02</v>
      </c>
      <c r="G138" s="14" t="str">
        <f>VLOOKUP(D138,Table4[],3,FALSE)</f>
        <v>2</v>
      </c>
      <c r="H138" s="15"/>
      <c r="I138" s="15"/>
      <c r="J138" s="15" t="s">
        <v>85</v>
      </c>
      <c r="K138" s="15">
        <v>818317477</v>
      </c>
      <c r="L138" s="15" t="s">
        <v>29</v>
      </c>
      <c r="M138" s="15"/>
    </row>
    <row r="139" spans="1:13" x14ac:dyDescent="0.25">
      <c r="A139" s="23">
        <f t="shared" ref="A139:A175" si="8">D139</f>
        <v>256318</v>
      </c>
      <c r="B139" s="14" t="str">
        <f t="shared" si="7"/>
        <v>Direct Debit (UMB Bank) - Credits</v>
      </c>
      <c r="C139" s="37">
        <v>46144</v>
      </c>
      <c r="D139" s="31">
        <v>256318</v>
      </c>
      <c r="E139" s="33" t="str">
        <f>IF(Table3[[#This Row],[Type Received]]=2,"CC",(IF(Table3[[#This Row],[Type Received]]=3,"BILL","ACH")))</f>
        <v>ACH</v>
      </c>
      <c r="F139" s="32">
        <v>59.86</v>
      </c>
      <c r="G139" s="14" t="str">
        <f>VLOOKUP(D139,Table4[],3,FALSE)</f>
        <v>2</v>
      </c>
      <c r="H139" s="15"/>
      <c r="I139" s="15"/>
      <c r="J139" s="15" t="s">
        <v>89</v>
      </c>
      <c r="K139" s="15">
        <v>535339402</v>
      </c>
      <c r="L139" s="15" t="s">
        <v>29</v>
      </c>
      <c r="M139" s="15"/>
    </row>
    <row r="140" spans="1:13" x14ac:dyDescent="0.25">
      <c r="A140" s="23">
        <f t="shared" si="8"/>
        <v>256327</v>
      </c>
      <c r="B140" s="14" t="str">
        <f t="shared" si="7"/>
        <v>Direct Debit (UMB Bank) - Credits</v>
      </c>
      <c r="C140" s="38">
        <v>46144</v>
      </c>
      <c r="D140" s="34">
        <v>256327</v>
      </c>
      <c r="E140" s="36" t="str">
        <f>IF(Table3[[#This Row],[Type Received]]=2,"CC",(IF(Table3[[#This Row],[Type Received]]=3,"BILL","ACH")))</f>
        <v>ACH</v>
      </c>
      <c r="F140" s="35">
        <v>46.55</v>
      </c>
      <c r="G140" s="14" t="str">
        <f>VLOOKUP(D140,Table4[],3,FALSE)</f>
        <v>1</v>
      </c>
      <c r="H140" s="15"/>
      <c r="I140" s="15"/>
      <c r="J140" s="15" t="s">
        <v>89</v>
      </c>
      <c r="K140" s="15">
        <v>535345201</v>
      </c>
      <c r="L140" s="15" t="s">
        <v>29</v>
      </c>
      <c r="M140" s="15" t="s">
        <v>29</v>
      </c>
    </row>
    <row r="141" spans="1:13" x14ac:dyDescent="0.25">
      <c r="A141" s="23">
        <f t="shared" si="8"/>
        <v>256333</v>
      </c>
      <c r="B141" s="14" t="str">
        <f t="shared" si="7"/>
        <v>Direct Debit (UMB Bank) - Credits</v>
      </c>
      <c r="C141" s="37">
        <v>46157</v>
      </c>
      <c r="D141" s="31">
        <v>256333</v>
      </c>
      <c r="E141" s="33" t="str">
        <f>IF(Table3[[#This Row],[Type Received]]=2,"CC",(IF(Table3[[#This Row],[Type Received]]=3,"BILL","ACH")))</f>
        <v>ACH</v>
      </c>
      <c r="F141" s="32">
        <v>85.93</v>
      </c>
      <c r="G141" s="14" t="str">
        <f>VLOOKUP(D141,Table4[],3,FALSE)</f>
        <v>2</v>
      </c>
      <c r="H141" s="15"/>
      <c r="I141" s="15"/>
      <c r="J141" s="15" t="s">
        <v>87</v>
      </c>
      <c r="K141" s="15">
        <v>696619102</v>
      </c>
      <c r="L141" s="15" t="s">
        <v>29</v>
      </c>
      <c r="M141" s="15" t="s">
        <v>29</v>
      </c>
    </row>
    <row r="142" spans="1:13" x14ac:dyDescent="0.25">
      <c r="A142" s="23">
        <f t="shared" si="8"/>
        <v>256334</v>
      </c>
      <c r="B142" s="14" t="str">
        <f t="shared" si="7"/>
        <v>Credit Cards (UMB) - Credits</v>
      </c>
      <c r="C142" s="38">
        <v>46157</v>
      </c>
      <c r="D142" s="34">
        <v>256334</v>
      </c>
      <c r="E142" s="36" t="str">
        <f>IF(Table3[[#This Row],[Type Received]]=2,"CC",(IF(Table3[[#This Row],[Type Received]]=3,"BILL","ACH")))</f>
        <v>CC</v>
      </c>
      <c r="F142" s="35">
        <v>68.77</v>
      </c>
      <c r="G142" s="14" t="str">
        <f>VLOOKUP(D142,Table4[],3,FALSE)</f>
        <v>2</v>
      </c>
      <c r="H142" s="15"/>
      <c r="I142" s="15"/>
      <c r="J142" s="15" t="s">
        <v>87</v>
      </c>
      <c r="K142" s="15">
        <v>696596822</v>
      </c>
      <c r="L142" s="15" t="s">
        <v>29</v>
      </c>
      <c r="M142" s="15" t="s">
        <v>29</v>
      </c>
    </row>
    <row r="143" spans="1:13" x14ac:dyDescent="0.25">
      <c r="A143" s="23">
        <f t="shared" si="8"/>
        <v>256341</v>
      </c>
      <c r="B143" s="14" t="str">
        <f t="shared" si="7"/>
        <v>Direct Debit (UMB Bank) - Credits</v>
      </c>
      <c r="C143" s="37">
        <v>46155</v>
      </c>
      <c r="D143" s="31">
        <v>256341</v>
      </c>
      <c r="E143" s="33" t="str">
        <f>IF(Table3[[#This Row],[Type Received]]=2,"CC",(IF(Table3[[#This Row],[Type Received]]=3,"BILL","ACH")))</f>
        <v>ACH</v>
      </c>
      <c r="F143" s="32">
        <v>150.28</v>
      </c>
      <c r="G143" s="14" t="str">
        <f>VLOOKUP(D143,Table4[],3,FALSE)</f>
        <v>2</v>
      </c>
      <c r="H143" s="15"/>
      <c r="I143" s="15">
        <v>169834</v>
      </c>
      <c r="J143" s="24" t="s">
        <v>28</v>
      </c>
      <c r="K143" s="15">
        <v>669446241</v>
      </c>
      <c r="L143" s="15" t="s">
        <v>29</v>
      </c>
      <c r="M143" s="15" t="s">
        <v>29</v>
      </c>
    </row>
    <row r="144" spans="1:13" x14ac:dyDescent="0.25">
      <c r="A144" s="23">
        <f t="shared" si="8"/>
        <v>256344</v>
      </c>
      <c r="B144" s="14" t="str">
        <f t="shared" si="7"/>
        <v>Direct Debit (UMB Bank) - Credits</v>
      </c>
      <c r="C144" s="38">
        <v>46167</v>
      </c>
      <c r="D144" s="34">
        <v>256344</v>
      </c>
      <c r="E144" s="36" t="str">
        <f>IF(Table3[[#This Row],[Type Received]]=2,"CC",(IF(Table3[[#This Row],[Type Received]]=3,"BILL","ACH")))</f>
        <v>ACH</v>
      </c>
      <c r="F144" s="35">
        <v>178.66</v>
      </c>
      <c r="G144" s="14" t="str">
        <f>VLOOKUP(D144,Table4[],3,FALSE)</f>
        <v>2</v>
      </c>
      <c r="H144" s="15"/>
      <c r="I144" s="15"/>
      <c r="J144" s="24" t="s">
        <v>85</v>
      </c>
      <c r="K144" s="15">
        <v>818325178</v>
      </c>
      <c r="L144" s="15" t="s">
        <v>29</v>
      </c>
      <c r="M144" s="15" t="s">
        <v>29</v>
      </c>
    </row>
    <row r="145" spans="1:13" x14ac:dyDescent="0.25">
      <c r="A145" s="23">
        <f t="shared" si="8"/>
        <v>256356</v>
      </c>
      <c r="B145" s="14" t="str">
        <f t="shared" si="7"/>
        <v>Credit Cards (UMB) - Credits</v>
      </c>
      <c r="C145" s="37">
        <v>46144</v>
      </c>
      <c r="D145" s="31">
        <v>256356</v>
      </c>
      <c r="E145" s="33" t="str">
        <f>IF(Table3[[#This Row],[Type Received]]=2,"CC",(IF(Table3[[#This Row],[Type Received]]=3,"BILL","ACH")))</f>
        <v>CC</v>
      </c>
      <c r="F145" s="32">
        <v>38.409999999999997</v>
      </c>
      <c r="G145" s="14" t="str">
        <f>VLOOKUP(D145,Table4[],3,FALSE)</f>
        <v>1</v>
      </c>
      <c r="H145" s="15"/>
      <c r="I145" s="15"/>
      <c r="J145" s="15" t="s">
        <v>89</v>
      </c>
      <c r="K145" s="15">
        <v>535330732</v>
      </c>
      <c r="L145" s="15" t="s">
        <v>29</v>
      </c>
      <c r="M145" s="15"/>
    </row>
    <row r="146" spans="1:13" x14ac:dyDescent="0.25">
      <c r="A146" s="23">
        <f t="shared" si="8"/>
        <v>256364</v>
      </c>
      <c r="B146" s="14" t="str">
        <f t="shared" si="7"/>
        <v>Credit Cards (UMB) - Credits</v>
      </c>
      <c r="C146" s="38">
        <v>46155</v>
      </c>
      <c r="D146" s="34">
        <v>256364</v>
      </c>
      <c r="E146" s="36" t="str">
        <f>IF(Table3[[#This Row],[Type Received]]=2,"CC",(IF(Table3[[#This Row],[Type Received]]=3,"BILL","ACH")))</f>
        <v>CC</v>
      </c>
      <c r="F146" s="35">
        <v>116.95</v>
      </c>
      <c r="G146" s="14" t="str">
        <f>VLOOKUP(D146,Table4[],3,FALSE)</f>
        <v>1</v>
      </c>
      <c r="H146" s="15"/>
      <c r="I146" s="15" t="s">
        <v>96</v>
      </c>
      <c r="J146" s="15" t="s">
        <v>28</v>
      </c>
      <c r="K146" s="15">
        <v>669420070</v>
      </c>
      <c r="L146" s="15" t="s">
        <v>29</v>
      </c>
      <c r="M146" s="15" t="s">
        <v>29</v>
      </c>
    </row>
    <row r="147" spans="1:13" x14ac:dyDescent="0.25">
      <c r="A147" s="23">
        <f t="shared" si="8"/>
        <v>256366</v>
      </c>
      <c r="B147" s="14" t="str">
        <f t="shared" si="7"/>
        <v>Billing - Credits (from TPA)</v>
      </c>
      <c r="C147" s="37">
        <v>46155</v>
      </c>
      <c r="D147" s="31">
        <v>256366</v>
      </c>
      <c r="E147" s="33" t="str">
        <f>IF(Table3[[#This Row],[Type Received]]=2,"CC",(IF(Table3[[#This Row],[Type Received]]=3,"BILL","ACH")))</f>
        <v>BILL</v>
      </c>
      <c r="F147" s="32">
        <v>105.51</v>
      </c>
      <c r="G147" s="14" t="str">
        <f>VLOOKUP(D147,Table4[],3,FALSE)</f>
        <v>1</v>
      </c>
      <c r="H147" s="15"/>
      <c r="I147" s="15">
        <v>38487</v>
      </c>
      <c r="J147" s="15" t="s">
        <v>28</v>
      </c>
      <c r="K147" s="15">
        <v>669422993</v>
      </c>
      <c r="L147" s="15" t="s">
        <v>29</v>
      </c>
      <c r="M147" s="15" t="s">
        <v>29</v>
      </c>
    </row>
    <row r="148" spans="1:13" x14ac:dyDescent="0.25">
      <c r="A148" s="23">
        <f t="shared" si="8"/>
        <v>256369</v>
      </c>
      <c r="B148" s="14" t="str">
        <f t="shared" si="7"/>
        <v>Credit Cards (UMB) - Credits</v>
      </c>
      <c r="C148" s="38">
        <v>46169</v>
      </c>
      <c r="D148" s="34">
        <v>256369</v>
      </c>
      <c r="E148" s="36" t="str">
        <f>IF(Table3[[#This Row],[Type Received]]=2,"CC",(IF(Table3[[#This Row],[Type Received]]=3,"BILL","ACH")))</f>
        <v>CC</v>
      </c>
      <c r="F148" s="35">
        <v>117.3</v>
      </c>
      <c r="G148" s="14" t="str">
        <f>VLOOKUP(D148,Table4[],3,FALSE)</f>
        <v>2</v>
      </c>
      <c r="H148" s="15">
        <v>7306</v>
      </c>
      <c r="I148" s="15"/>
      <c r="J148" s="15"/>
      <c r="K148" s="15"/>
      <c r="L148" s="15"/>
      <c r="M148" s="15"/>
    </row>
    <row r="149" spans="1:13" x14ac:dyDescent="0.25">
      <c r="A149" s="23">
        <f t="shared" si="8"/>
        <v>256378</v>
      </c>
      <c r="B149" s="14" t="str">
        <f t="shared" si="7"/>
        <v>Direct Debit (UMB Bank) - Credits</v>
      </c>
      <c r="C149" s="37">
        <v>46144</v>
      </c>
      <c r="D149" s="31">
        <v>256378</v>
      </c>
      <c r="E149" s="33" t="str">
        <f>IF(Table3[[#This Row],[Type Received]]=2,"CC",(IF(Table3[[#This Row],[Type Received]]=3,"BILL","ACH")))</f>
        <v>ACH</v>
      </c>
      <c r="F149" s="32">
        <v>39.950000000000003</v>
      </c>
      <c r="G149" s="14" t="str">
        <f>VLOOKUP(D149,Table4[],3,FALSE)</f>
        <v>1</v>
      </c>
      <c r="H149" s="15"/>
      <c r="I149" s="15" t="s">
        <v>97</v>
      </c>
      <c r="J149" s="24" t="s">
        <v>28</v>
      </c>
      <c r="K149" s="15">
        <v>535346154</v>
      </c>
      <c r="L149" s="15" t="s">
        <v>29</v>
      </c>
      <c r="M149" s="15" t="s">
        <v>29</v>
      </c>
    </row>
    <row r="150" spans="1:13" x14ac:dyDescent="0.25">
      <c r="A150" s="23">
        <f t="shared" si="8"/>
        <v>256381</v>
      </c>
      <c r="B150" s="14" t="str">
        <f t="shared" si="7"/>
        <v>Credit Cards (UMB) - Credits</v>
      </c>
      <c r="C150" s="38">
        <v>46157</v>
      </c>
      <c r="D150" s="34">
        <v>256381</v>
      </c>
      <c r="E150" s="36" t="str">
        <f>IF(Table3[[#This Row],[Type Received]]=2,"CC",(IF(Table3[[#This Row],[Type Received]]=3,"BILL","ACH")))</f>
        <v>CC</v>
      </c>
      <c r="F150" s="35">
        <v>109.36</v>
      </c>
      <c r="G150" s="14" t="str">
        <f>VLOOKUP(D150,Table4[],3,FALSE)</f>
        <v>2</v>
      </c>
      <c r="H150" s="15"/>
      <c r="I150" s="15"/>
      <c r="J150" s="15" t="s">
        <v>87</v>
      </c>
      <c r="K150" s="15">
        <v>696617152</v>
      </c>
      <c r="L150" s="15" t="s">
        <v>29</v>
      </c>
      <c r="M150" s="15" t="s">
        <v>29</v>
      </c>
    </row>
    <row r="151" spans="1:13" x14ac:dyDescent="0.25">
      <c r="A151" s="23">
        <f t="shared" si="8"/>
        <v>256387</v>
      </c>
      <c r="B151" s="14" t="str">
        <f t="shared" si="7"/>
        <v>Credit Cards (UMB) - Credits</v>
      </c>
      <c r="C151" s="37">
        <v>46143</v>
      </c>
      <c r="D151" s="31">
        <v>256387</v>
      </c>
      <c r="E151" s="33" t="str">
        <f>IF(Table3[[#This Row],[Type Received]]=2,"CC",(IF(Table3[[#This Row],[Type Received]]=3,"BILL","ACH")))</f>
        <v>CC</v>
      </c>
      <c r="F151" s="32">
        <v>75.040000000000006</v>
      </c>
      <c r="G151" s="14" t="str">
        <f>VLOOKUP(D151,Table4[],3,FALSE)</f>
        <v>2</v>
      </c>
      <c r="H151" s="15"/>
      <c r="I151" s="15" t="s">
        <v>98</v>
      </c>
      <c r="J151" s="15" t="s">
        <v>28</v>
      </c>
      <c r="K151" s="15">
        <v>522223936</v>
      </c>
      <c r="L151" s="15" t="s">
        <v>29</v>
      </c>
      <c r="M151" s="15" t="s">
        <v>29</v>
      </c>
    </row>
    <row r="152" spans="1:13" x14ac:dyDescent="0.25">
      <c r="A152" s="23">
        <f t="shared" si="8"/>
        <v>256388</v>
      </c>
      <c r="B152" s="14" t="str">
        <f t="shared" si="7"/>
        <v>Direct Debit (UMB Bank) - Credits</v>
      </c>
      <c r="C152" s="38">
        <v>46155</v>
      </c>
      <c r="D152" s="34">
        <v>256388</v>
      </c>
      <c r="E152" s="36" t="str">
        <f>IF(Table3[[#This Row],[Type Received]]=2,"CC",(IF(Table3[[#This Row],[Type Received]]=3,"BILL","ACH")))</f>
        <v>ACH</v>
      </c>
      <c r="F152" s="35">
        <v>160.51</v>
      </c>
      <c r="G152" s="14" t="str">
        <f>VLOOKUP(D152,Table4[],3,FALSE)</f>
        <v>2</v>
      </c>
      <c r="H152" s="15"/>
      <c r="I152" s="15" t="s">
        <v>99</v>
      </c>
      <c r="J152" s="15" t="s">
        <v>28</v>
      </c>
      <c r="K152" s="15">
        <v>669442442</v>
      </c>
      <c r="L152" s="15" t="s">
        <v>29</v>
      </c>
      <c r="M152" s="15" t="s">
        <v>29</v>
      </c>
    </row>
    <row r="153" spans="1:13" x14ac:dyDescent="0.25">
      <c r="A153" s="23">
        <f t="shared" si="8"/>
        <v>256393</v>
      </c>
      <c r="B153" s="14" t="str">
        <f t="shared" si="7"/>
        <v>Direct Debit (UMB Bank) - Credits</v>
      </c>
      <c r="C153" s="37">
        <v>46144</v>
      </c>
      <c r="D153" s="31">
        <v>256393</v>
      </c>
      <c r="E153" s="33" t="str">
        <f>IF(Table3[[#This Row],[Type Received]]=2,"CC",(IF(Table3[[#This Row],[Type Received]]=3,"BILL","ACH")))</f>
        <v>ACH</v>
      </c>
      <c r="F153" s="32">
        <v>67.45</v>
      </c>
      <c r="G153" s="14" t="str">
        <f>VLOOKUP(D153,Table4[],3,FALSE)</f>
        <v>1</v>
      </c>
      <c r="H153" s="15"/>
      <c r="I153" s="15"/>
      <c r="J153" s="15" t="s">
        <v>89</v>
      </c>
      <c r="K153" s="15">
        <v>535326855</v>
      </c>
      <c r="L153" s="15" t="s">
        <v>29</v>
      </c>
      <c r="M153" s="15" t="s">
        <v>29</v>
      </c>
    </row>
    <row r="154" spans="1:13" x14ac:dyDescent="0.25">
      <c r="A154" s="23">
        <f t="shared" si="8"/>
        <v>256394</v>
      </c>
      <c r="B154" s="14" t="str">
        <f t="shared" si="7"/>
        <v>Direct Debit (UMB Bank) - Credits</v>
      </c>
      <c r="C154" s="38">
        <v>46155</v>
      </c>
      <c r="D154" s="34">
        <v>256394</v>
      </c>
      <c r="E154" s="36" t="str">
        <f>IF(Table3[[#This Row],[Type Received]]=2,"CC",(IF(Table3[[#This Row],[Type Received]]=3,"BILL","ACH")))</f>
        <v>ACH</v>
      </c>
      <c r="F154" s="35">
        <v>40.83</v>
      </c>
      <c r="G154" s="14" t="str">
        <f>VLOOKUP(D154,Table4[],3,FALSE)</f>
        <v>1</v>
      </c>
      <c r="H154" s="15"/>
      <c r="I154" s="15"/>
      <c r="J154" s="15" t="s">
        <v>90</v>
      </c>
      <c r="K154" s="15">
        <v>669440494</v>
      </c>
      <c r="L154" s="15" t="s">
        <v>29</v>
      </c>
      <c r="M154" s="15" t="s">
        <v>29</v>
      </c>
    </row>
    <row r="155" spans="1:13" x14ac:dyDescent="0.25">
      <c r="A155" s="23">
        <f t="shared" si="8"/>
        <v>256397</v>
      </c>
      <c r="B155" s="14" t="str">
        <f t="shared" si="7"/>
        <v>Direct Debit (UMB Bank) - Credits</v>
      </c>
      <c r="C155" s="37">
        <v>46167</v>
      </c>
      <c r="D155" s="31">
        <v>256397</v>
      </c>
      <c r="E155" s="33" t="str">
        <f>IF(Table3[[#This Row],[Type Received]]=2,"CC",(IF(Table3[[#This Row],[Type Received]]=3,"BILL","ACH")))</f>
        <v>ACH</v>
      </c>
      <c r="F155" s="32">
        <v>61.18</v>
      </c>
      <c r="G155" s="14" t="str">
        <f>VLOOKUP(D155,Table4[],3,FALSE)</f>
        <v>2</v>
      </c>
      <c r="H155" s="15"/>
      <c r="I155" s="15"/>
      <c r="J155" s="15" t="s">
        <v>85</v>
      </c>
      <c r="K155" s="15">
        <v>818306840</v>
      </c>
      <c r="L155" s="15" t="s">
        <v>29</v>
      </c>
      <c r="M155" s="15"/>
    </row>
    <row r="156" spans="1:13" x14ac:dyDescent="0.25">
      <c r="A156" s="23">
        <f t="shared" si="8"/>
        <v>256401</v>
      </c>
      <c r="B156" s="14" t="str">
        <f t="shared" si="7"/>
        <v>Credit Cards (UMB) - Credits</v>
      </c>
      <c r="C156" s="38">
        <v>46147</v>
      </c>
      <c r="D156" s="34">
        <v>256401</v>
      </c>
      <c r="E156" s="36" t="str">
        <f>IF(Table3[[#This Row],[Type Received]]=2,"CC",(IF(Table3[[#This Row],[Type Received]]=3,"BILL","ACH")))</f>
        <v>CC</v>
      </c>
      <c r="F156" s="35">
        <v>71.41</v>
      </c>
      <c r="G156" s="14" t="str">
        <f>VLOOKUP(D156,Table4[],3,FALSE)</f>
        <v>1</v>
      </c>
      <c r="H156" s="15"/>
      <c r="I156" s="15"/>
      <c r="J156" s="15" t="s">
        <v>86</v>
      </c>
      <c r="K156" s="15">
        <v>569474585</v>
      </c>
      <c r="L156" s="15" t="s">
        <v>29</v>
      </c>
      <c r="M156" s="15" t="s">
        <v>29</v>
      </c>
    </row>
    <row r="157" spans="1:13" x14ac:dyDescent="0.25">
      <c r="A157" s="23">
        <f t="shared" si="8"/>
        <v>256409</v>
      </c>
      <c r="B157" s="14" t="str">
        <f t="shared" si="7"/>
        <v>Direct Debit (UMB Bank) - Credits</v>
      </c>
      <c r="C157" s="37">
        <v>46143</v>
      </c>
      <c r="D157" s="31">
        <v>256409</v>
      </c>
      <c r="E157" s="33" t="str">
        <f>IF(Table3[[#This Row],[Type Received]]=2,"CC",(IF(Table3[[#This Row],[Type Received]]=3,"BILL","ACH")))</f>
        <v>ACH</v>
      </c>
      <c r="F157" s="32">
        <v>31.5</v>
      </c>
      <c r="G157" s="14" t="str">
        <f>VLOOKUP(D157,Table4[],3,FALSE)</f>
        <v>2</v>
      </c>
      <c r="H157" s="15"/>
      <c r="I157" s="15">
        <v>391455</v>
      </c>
      <c r="J157" s="15">
        <v>741374152</v>
      </c>
      <c r="K157" s="15">
        <v>353121600</v>
      </c>
      <c r="L157" s="15"/>
      <c r="M157" s="15" t="s">
        <v>29</v>
      </c>
    </row>
    <row r="158" spans="1:13" x14ac:dyDescent="0.25">
      <c r="A158" s="23">
        <f t="shared" si="8"/>
        <v>256412</v>
      </c>
      <c r="B158" s="14" t="str">
        <f t="shared" si="7"/>
        <v>Credit Cards (UMB) - Credits</v>
      </c>
      <c r="C158" s="38">
        <v>46144</v>
      </c>
      <c r="D158" s="34">
        <v>256412</v>
      </c>
      <c r="E158" s="36" t="str">
        <f>IF(Table3[[#This Row],[Type Received]]=2,"CC",(IF(Table3[[#This Row],[Type Received]]=3,"BILL","ACH")))</f>
        <v>CC</v>
      </c>
      <c r="F158" s="35">
        <v>64.150000000000006</v>
      </c>
      <c r="G158" s="14" t="str">
        <f>VLOOKUP(D158,Table4[],3,FALSE)</f>
        <v>1</v>
      </c>
      <c r="H158" s="15"/>
      <c r="I158" s="15"/>
      <c r="J158" s="15" t="s">
        <v>89</v>
      </c>
      <c r="K158" s="15">
        <v>535380357</v>
      </c>
      <c r="L158" s="15" t="s">
        <v>29</v>
      </c>
      <c r="M158" s="15" t="s">
        <v>29</v>
      </c>
    </row>
    <row r="159" spans="1:13" x14ac:dyDescent="0.25">
      <c r="A159" s="23">
        <f t="shared" si="8"/>
        <v>256414</v>
      </c>
      <c r="B159" s="14" t="str">
        <f t="shared" si="7"/>
        <v>Direct Debit (UMB Bank) - Credits</v>
      </c>
      <c r="C159" s="37">
        <v>46144</v>
      </c>
      <c r="D159" s="31">
        <v>256414</v>
      </c>
      <c r="E159" s="33" t="str">
        <f>IF(Table3[[#This Row],[Type Received]]=2,"CC",(IF(Table3[[#This Row],[Type Received]]=3,"BILL","ACH")))</f>
        <v>ACH</v>
      </c>
      <c r="F159" s="32">
        <v>181.96</v>
      </c>
      <c r="G159" s="14" t="str">
        <f>VLOOKUP(D159,Table4[],3,FALSE)</f>
        <v>2</v>
      </c>
      <c r="H159" s="15"/>
      <c r="I159" s="15">
        <v>165877</v>
      </c>
      <c r="J159" s="24" t="s">
        <v>28</v>
      </c>
      <c r="K159" s="15">
        <v>535380549</v>
      </c>
      <c r="L159" s="15" t="s">
        <v>29</v>
      </c>
      <c r="M159" s="15" t="s">
        <v>29</v>
      </c>
    </row>
    <row r="160" spans="1:13" x14ac:dyDescent="0.25">
      <c r="A160" s="23">
        <f t="shared" si="8"/>
        <v>256422</v>
      </c>
      <c r="B160" s="14" t="str">
        <f t="shared" si="7"/>
        <v>Direct Debit (UMB Bank) - Credits</v>
      </c>
      <c r="C160" s="38">
        <v>46144</v>
      </c>
      <c r="D160" s="34">
        <v>256422</v>
      </c>
      <c r="E160" s="36" t="str">
        <f>IF(Table3[[#This Row],[Type Received]]=2,"CC",(IF(Table3[[#This Row],[Type Received]]=3,"BILL","ACH")))</f>
        <v>ACH</v>
      </c>
      <c r="F160" s="35">
        <v>70.53</v>
      </c>
      <c r="G160" s="14" t="str">
        <f>VLOOKUP(D160,Table4[],3,FALSE)</f>
        <v>1</v>
      </c>
      <c r="H160" s="15"/>
      <c r="I160" s="15"/>
      <c r="J160" s="15" t="s">
        <v>89</v>
      </c>
      <c r="K160" s="15">
        <v>535333655</v>
      </c>
      <c r="L160" s="15" t="s">
        <v>29</v>
      </c>
      <c r="M160" s="15" t="s">
        <v>29</v>
      </c>
    </row>
    <row r="161" spans="1:13" x14ac:dyDescent="0.25">
      <c r="A161" s="23">
        <f t="shared" si="8"/>
        <v>256431</v>
      </c>
      <c r="B161" s="14" t="str">
        <f t="shared" si="7"/>
        <v>Direct Debit (UMB Bank) - Credits</v>
      </c>
      <c r="C161" s="37">
        <v>46167</v>
      </c>
      <c r="D161" s="31">
        <v>256431</v>
      </c>
      <c r="E161" s="33" t="str">
        <f>IF(Table3[[#This Row],[Type Received]]=2,"CC",(IF(Table3[[#This Row],[Type Received]]=3,"BILL","ACH")))</f>
        <v>ACH</v>
      </c>
      <c r="F161" s="32">
        <v>72.95</v>
      </c>
      <c r="G161" s="14" t="str">
        <f>VLOOKUP(D161,Table4[],3,FALSE)</f>
        <v>1</v>
      </c>
      <c r="H161" s="15"/>
      <c r="I161" s="15"/>
      <c r="J161" s="15" t="s">
        <v>85</v>
      </c>
      <c r="K161" s="15">
        <v>818350160</v>
      </c>
      <c r="L161" s="15" t="s">
        <v>29</v>
      </c>
      <c r="M161" s="15" t="s">
        <v>29</v>
      </c>
    </row>
    <row r="162" spans="1:13" x14ac:dyDescent="0.25">
      <c r="A162" s="23">
        <f t="shared" si="8"/>
        <v>256467</v>
      </c>
      <c r="B162" s="14" t="str">
        <f t="shared" si="7"/>
        <v>Credit Cards (UMB) - Credits</v>
      </c>
      <c r="C162" s="38">
        <v>46157</v>
      </c>
      <c r="D162" s="34">
        <v>256467</v>
      </c>
      <c r="E162" s="36" t="str">
        <f>IF(Table3[[#This Row],[Type Received]]=2,"CC",(IF(Table3[[#This Row],[Type Received]]=3,"BILL","ACH")))</f>
        <v>CC</v>
      </c>
      <c r="F162" s="35">
        <v>72.069999999999993</v>
      </c>
      <c r="G162" s="14" t="str">
        <f>VLOOKUP(D162,Table4[],3,FALSE)</f>
        <v>2</v>
      </c>
      <c r="H162" s="15"/>
      <c r="I162" s="15"/>
      <c r="J162" s="15" t="s">
        <v>87</v>
      </c>
      <c r="K162" s="15">
        <v>696608590</v>
      </c>
      <c r="L162" s="15" t="s">
        <v>29</v>
      </c>
      <c r="M162" s="15"/>
    </row>
    <row r="163" spans="1:13" x14ac:dyDescent="0.25">
      <c r="A163" s="23">
        <f t="shared" si="8"/>
        <v>256478</v>
      </c>
      <c r="B163" s="14" t="str">
        <f t="shared" si="7"/>
        <v>Direct Debit (UMB Bank) - Credits</v>
      </c>
      <c r="C163" s="37">
        <v>46155</v>
      </c>
      <c r="D163" s="31">
        <v>256478</v>
      </c>
      <c r="E163" s="33" t="str">
        <f>IF(Table3[[#This Row],[Type Received]]=2,"CC",(IF(Table3[[#This Row],[Type Received]]=3,"BILL","ACH")))</f>
        <v>ACH</v>
      </c>
      <c r="F163" s="32">
        <v>70.75</v>
      </c>
      <c r="G163" s="14" t="str">
        <f>VLOOKUP(D163,Table4[],3,FALSE)</f>
        <v>1</v>
      </c>
      <c r="H163" s="15"/>
      <c r="I163" s="15" t="s">
        <v>100</v>
      </c>
      <c r="J163" s="15" t="s">
        <v>28</v>
      </c>
      <c r="K163" s="15">
        <v>669438637</v>
      </c>
      <c r="L163" s="15" t="s">
        <v>29</v>
      </c>
      <c r="M163" s="15"/>
    </row>
    <row r="164" spans="1:13" x14ac:dyDescent="0.25">
      <c r="A164" s="23">
        <f t="shared" si="8"/>
        <v>256485</v>
      </c>
      <c r="B164" s="14" t="str">
        <f t="shared" si="7"/>
        <v>Direct Debit (UMB Bank) - Credits</v>
      </c>
      <c r="C164" s="38">
        <v>46157</v>
      </c>
      <c r="D164" s="34">
        <v>256485</v>
      </c>
      <c r="E164" s="36" t="str">
        <f>IF(Table3[[#This Row],[Type Received]]=2,"CC",(IF(Table3[[#This Row],[Type Received]]=3,"BILL","ACH")))</f>
        <v>ACH</v>
      </c>
      <c r="F164" s="35">
        <v>66.13</v>
      </c>
      <c r="G164" s="14" t="str">
        <f>VLOOKUP(D164,Table4[],3,FALSE)</f>
        <v>2</v>
      </c>
      <c r="H164" s="15"/>
      <c r="I164" s="15"/>
      <c r="J164" s="15" t="s">
        <v>87</v>
      </c>
      <c r="K164" s="15">
        <v>696596904</v>
      </c>
      <c r="L164" s="15" t="s">
        <v>29</v>
      </c>
      <c r="M164" s="15" t="s">
        <v>29</v>
      </c>
    </row>
    <row r="165" spans="1:13" x14ac:dyDescent="0.25">
      <c r="A165" s="23">
        <f t="shared" si="8"/>
        <v>256488</v>
      </c>
      <c r="B165" s="14" t="str">
        <f t="shared" si="7"/>
        <v>Direct Debit (UMB Bank) - Credits</v>
      </c>
      <c r="C165" s="37">
        <v>46157</v>
      </c>
      <c r="D165" s="31">
        <v>256488</v>
      </c>
      <c r="E165" s="33" t="str">
        <f>IF(Table3[[#This Row],[Type Received]]=2,"CC",(IF(Table3[[#This Row],[Type Received]]=3,"BILL","ACH")))</f>
        <v>ACH</v>
      </c>
      <c r="F165" s="32">
        <v>72.290000000000006</v>
      </c>
      <c r="G165" s="14" t="str">
        <f>VLOOKUP(D165,Table4[],3,FALSE)</f>
        <v>1</v>
      </c>
      <c r="H165" s="15"/>
      <c r="I165" s="15"/>
      <c r="J165" s="15" t="s">
        <v>87</v>
      </c>
      <c r="K165" s="15">
        <v>696621150</v>
      </c>
      <c r="L165" s="15" t="s">
        <v>29</v>
      </c>
      <c r="M165" s="15" t="s">
        <v>29</v>
      </c>
    </row>
    <row r="166" spans="1:13" x14ac:dyDescent="0.25">
      <c r="A166" s="23">
        <f t="shared" si="8"/>
        <v>256491</v>
      </c>
      <c r="B166" s="14" t="str">
        <f t="shared" si="7"/>
        <v>Direct Debit (UMB Bank) - Credits</v>
      </c>
      <c r="C166" s="38">
        <v>46167</v>
      </c>
      <c r="D166" s="34">
        <v>256491</v>
      </c>
      <c r="E166" s="36" t="str">
        <f>IF(Table3[[#This Row],[Type Received]]=2,"CC",(IF(Table3[[#This Row],[Type Received]]=3,"BILL","ACH")))</f>
        <v>ACH</v>
      </c>
      <c r="F166" s="35">
        <v>70.75</v>
      </c>
      <c r="G166" s="14" t="str">
        <f>VLOOKUP(D166,Table4[],3,FALSE)</f>
        <v>2</v>
      </c>
      <c r="H166" s="15"/>
      <c r="I166" s="15"/>
      <c r="J166" s="15" t="s">
        <v>85</v>
      </c>
      <c r="K166" s="15">
        <v>818311712</v>
      </c>
      <c r="L166" s="15" t="s">
        <v>29</v>
      </c>
      <c r="M166" s="15" t="s">
        <v>29</v>
      </c>
    </row>
    <row r="167" spans="1:13" x14ac:dyDescent="0.25">
      <c r="A167" s="23">
        <f t="shared" si="8"/>
        <v>256496</v>
      </c>
      <c r="B167" s="14" t="str">
        <f t="shared" si="7"/>
        <v>Direct Debit (UMB Bank) - Credits</v>
      </c>
      <c r="C167" s="37">
        <v>46144</v>
      </c>
      <c r="D167" s="31">
        <v>256496</v>
      </c>
      <c r="E167" s="33" t="str">
        <f>IF(Table3[[#This Row],[Type Received]]=2,"CC",(IF(Table3[[#This Row],[Type Received]]=3,"BILL","ACH")))</f>
        <v>ACH</v>
      </c>
      <c r="F167" s="32">
        <v>78.67</v>
      </c>
      <c r="G167" s="14" t="str">
        <f>VLOOKUP(D167,Table4[],3,FALSE)</f>
        <v>2</v>
      </c>
      <c r="H167" s="15"/>
      <c r="I167" s="15"/>
      <c r="J167" s="24" t="s">
        <v>89</v>
      </c>
      <c r="K167" s="15">
        <v>535332765</v>
      </c>
      <c r="L167" s="15" t="s">
        <v>29</v>
      </c>
      <c r="M167" s="15" t="s">
        <v>29</v>
      </c>
    </row>
    <row r="168" spans="1:13" x14ac:dyDescent="0.25">
      <c r="A168" s="23">
        <f t="shared" si="8"/>
        <v>256500</v>
      </c>
      <c r="B168" s="14" t="str">
        <f t="shared" si="7"/>
        <v>Direct Debit (UMB Bank) - Credits</v>
      </c>
      <c r="C168" s="38">
        <v>46144</v>
      </c>
      <c r="D168" s="34">
        <v>256500</v>
      </c>
      <c r="E168" s="36" t="str">
        <f>IF(Table3[[#This Row],[Type Received]]=2,"CC",(IF(Table3[[#This Row],[Type Received]]=3,"BILL","ACH")))</f>
        <v>ACH</v>
      </c>
      <c r="F168" s="35">
        <v>79.989999999999995</v>
      </c>
      <c r="G168" s="14" t="str">
        <f>VLOOKUP(D168,Table4[],3,FALSE)</f>
        <v>2</v>
      </c>
      <c r="H168" s="15"/>
      <c r="I168" s="15"/>
      <c r="J168" s="15" t="s">
        <v>89</v>
      </c>
      <c r="K168" s="15">
        <v>535327855</v>
      </c>
      <c r="L168" s="15" t="s">
        <v>29</v>
      </c>
      <c r="M168" s="15" t="s">
        <v>29</v>
      </c>
    </row>
    <row r="169" spans="1:13" x14ac:dyDescent="0.25">
      <c r="A169" s="23">
        <f t="shared" si="8"/>
        <v>256502</v>
      </c>
      <c r="B169" s="14" t="str">
        <f t="shared" si="7"/>
        <v>Billing - Credits (from TPA)</v>
      </c>
      <c r="C169" s="37">
        <v>46144</v>
      </c>
      <c r="D169" s="31">
        <v>256502</v>
      </c>
      <c r="E169" s="33" t="str">
        <f>IF(Table3[[#This Row],[Type Received]]=2,"CC",(IF(Table3[[#This Row],[Type Received]]=3,"BILL","ACH")))</f>
        <v>BILL</v>
      </c>
      <c r="F169" s="32">
        <v>71.19</v>
      </c>
      <c r="G169" s="14" t="str">
        <f>VLOOKUP(D169,Table4[],3,FALSE)</f>
        <v>1</v>
      </c>
      <c r="H169" s="15"/>
      <c r="I169" s="15"/>
      <c r="J169" s="24" t="s">
        <v>89</v>
      </c>
      <c r="K169" s="15">
        <v>535334592</v>
      </c>
      <c r="L169" s="15" t="s">
        <v>29</v>
      </c>
      <c r="M169" s="15" t="s">
        <v>29</v>
      </c>
    </row>
    <row r="170" spans="1:13" x14ac:dyDescent="0.25">
      <c r="A170" s="23">
        <f t="shared" si="8"/>
        <v>256510</v>
      </c>
      <c r="B170" s="14" t="str">
        <f t="shared" si="7"/>
        <v>Direct Debit (UMB Bank) - Credits</v>
      </c>
      <c r="C170" s="38">
        <v>46168</v>
      </c>
      <c r="D170" s="34">
        <v>256510</v>
      </c>
      <c r="E170" s="36" t="str">
        <f>IF(Table3[[#This Row],[Type Received]]=2,"CC",(IF(Table3[[#This Row],[Type Received]]=3,"BILL","ACH")))</f>
        <v>ACH</v>
      </c>
      <c r="F170" s="35">
        <v>123.93</v>
      </c>
      <c r="G170" s="14" t="str">
        <f>VLOOKUP(D170,Table4[],3,FALSE)</f>
        <v>2</v>
      </c>
      <c r="H170" s="15">
        <v>50518</v>
      </c>
      <c r="I170" s="15"/>
      <c r="J170" s="15"/>
      <c r="K170" s="15"/>
      <c r="L170" s="15"/>
      <c r="M170" s="15"/>
    </row>
    <row r="171" spans="1:13" x14ac:dyDescent="0.25">
      <c r="A171" s="23">
        <f t="shared" si="8"/>
        <v>256527</v>
      </c>
      <c r="B171" s="14" t="str">
        <f t="shared" si="7"/>
        <v>Credit Cards (UMB) - Credits</v>
      </c>
      <c r="C171" s="37">
        <v>46167</v>
      </c>
      <c r="D171" s="31">
        <v>256527</v>
      </c>
      <c r="E171" s="33" t="str">
        <f>IF(Table3[[#This Row],[Type Received]]=2,"CC",(IF(Table3[[#This Row],[Type Received]]=3,"BILL","ACH")))</f>
        <v>CC</v>
      </c>
      <c r="F171" s="32">
        <v>118.27</v>
      </c>
      <c r="G171" s="14" t="str">
        <f>VLOOKUP(D171,Table4[],3,FALSE)</f>
        <v>2</v>
      </c>
      <c r="H171" s="15"/>
      <c r="I171" s="15"/>
      <c r="J171" s="15" t="s">
        <v>85</v>
      </c>
      <c r="K171" s="15">
        <v>818314640</v>
      </c>
      <c r="L171" s="15" t="s">
        <v>29</v>
      </c>
      <c r="M171" s="15" t="s">
        <v>29</v>
      </c>
    </row>
    <row r="172" spans="1:13" x14ac:dyDescent="0.25">
      <c r="A172" s="23">
        <f t="shared" si="8"/>
        <v>256534</v>
      </c>
      <c r="B172" s="14" t="str">
        <f t="shared" si="7"/>
        <v>Direct Debit (UMB Bank) - Credits</v>
      </c>
      <c r="C172" s="38">
        <v>46160</v>
      </c>
      <c r="D172" s="34">
        <v>256534</v>
      </c>
      <c r="E172" s="36" t="str">
        <f>IF(Table3[[#This Row],[Type Received]]=2,"CC",(IF(Table3[[#This Row],[Type Received]]=3,"BILL","ACH")))</f>
        <v>ACH</v>
      </c>
      <c r="F172" s="35">
        <v>94.06</v>
      </c>
      <c r="G172" s="14" t="str">
        <f>VLOOKUP(D172,Table4[],3,FALSE)</f>
        <v>1</v>
      </c>
      <c r="H172" s="15"/>
      <c r="I172" s="15">
        <v>91306</v>
      </c>
      <c r="J172" s="15" t="s">
        <v>28</v>
      </c>
      <c r="K172" s="15">
        <v>731788134</v>
      </c>
      <c r="L172" s="15" t="s">
        <v>29</v>
      </c>
      <c r="M172" s="15"/>
    </row>
    <row r="173" spans="1:13" x14ac:dyDescent="0.25">
      <c r="A173" s="23">
        <f t="shared" si="8"/>
        <v>256546</v>
      </c>
      <c r="B173" s="14" t="str">
        <f t="shared" si="7"/>
        <v>Direct Debit (UMB Bank) - Credits</v>
      </c>
      <c r="C173" s="37">
        <v>46167</v>
      </c>
      <c r="D173" s="31">
        <v>256546</v>
      </c>
      <c r="E173" s="33" t="str">
        <f>IF(Table3[[#This Row],[Type Received]]=2,"CC",(IF(Table3[[#This Row],[Type Received]]=3,"BILL","ACH")))</f>
        <v>ACH</v>
      </c>
      <c r="F173" s="32">
        <v>81.09</v>
      </c>
      <c r="G173" s="14" t="str">
        <f>VLOOKUP(D173,Table4[],3,FALSE)</f>
        <v>1</v>
      </c>
      <c r="H173" s="15"/>
      <c r="I173" s="15"/>
      <c r="J173" s="15" t="s">
        <v>85</v>
      </c>
      <c r="K173" s="15">
        <v>818305025</v>
      </c>
      <c r="L173" s="15" t="s">
        <v>29</v>
      </c>
      <c r="M173" s="15"/>
    </row>
    <row r="174" spans="1:13" x14ac:dyDescent="0.25">
      <c r="A174" s="23">
        <f t="shared" si="8"/>
        <v>256548</v>
      </c>
      <c r="B174" s="14" t="str">
        <f t="shared" si="7"/>
        <v>Credit Cards (UMB) - Credits</v>
      </c>
      <c r="C174" s="38">
        <v>46157</v>
      </c>
      <c r="D174" s="34">
        <v>256548</v>
      </c>
      <c r="E174" s="36" t="str">
        <f>IF(Table3[[#This Row],[Type Received]]=2,"CC",(IF(Table3[[#This Row],[Type Received]]=3,"BILL","ACH")))</f>
        <v>CC</v>
      </c>
      <c r="F174" s="35">
        <v>70.75</v>
      </c>
      <c r="G174" s="14" t="str">
        <f>VLOOKUP(D174,Table4[],3,FALSE)</f>
        <v>2</v>
      </c>
      <c r="H174" s="15"/>
      <c r="I174" s="15"/>
      <c r="J174" s="15" t="s">
        <v>87</v>
      </c>
      <c r="K174" s="15">
        <v>696610543</v>
      </c>
      <c r="L174" s="15" t="s">
        <v>29</v>
      </c>
      <c r="M174" s="15" t="s">
        <v>29</v>
      </c>
    </row>
    <row r="175" spans="1:13" x14ac:dyDescent="0.25">
      <c r="A175" s="23">
        <f t="shared" si="8"/>
        <v>256558</v>
      </c>
      <c r="B175" s="14" t="str">
        <f t="shared" si="7"/>
        <v>Credit Cards (UMB) - Credits</v>
      </c>
      <c r="C175" s="37">
        <v>46155</v>
      </c>
      <c r="D175" s="31">
        <v>256558</v>
      </c>
      <c r="E175" s="33" t="str">
        <f>IF(Table3[[#This Row],[Type Received]]=2,"CC",(IF(Table3[[#This Row],[Type Received]]=3,"BILL","ACH")))</f>
        <v>CC</v>
      </c>
      <c r="F175" s="32">
        <v>62.83</v>
      </c>
      <c r="G175" s="14" t="str">
        <f>VLOOKUP(D175,Table4[],3,FALSE)</f>
        <v>2</v>
      </c>
      <c r="H175" s="15"/>
      <c r="I175" s="15" t="s">
        <v>101</v>
      </c>
      <c r="J175" s="15" t="s">
        <v>28</v>
      </c>
      <c r="K175" s="15">
        <v>669431792</v>
      </c>
      <c r="L175" s="15" t="s">
        <v>29</v>
      </c>
      <c r="M175" s="15" t="s">
        <v>29</v>
      </c>
    </row>
    <row r="176" spans="1:13" x14ac:dyDescent="0.25">
      <c r="A176" s="23"/>
      <c r="B176" s="14" t="str">
        <f t="shared" si="7"/>
        <v>Credit Cards (UMB) - Credits</v>
      </c>
      <c r="C176" s="38">
        <v>46144</v>
      </c>
      <c r="D176" s="34">
        <v>256563</v>
      </c>
      <c r="E176" s="36" t="str">
        <f>IF(Table3[[#This Row],[Type Received]]=2,"CC",(IF(Table3[[#This Row],[Type Received]]=3,"BILL","ACH")))</f>
        <v>CC</v>
      </c>
      <c r="F176" s="35">
        <v>43.69</v>
      </c>
      <c r="G176" s="14" t="str">
        <f>VLOOKUP(D176,Table4[],3,FALSE)</f>
        <v>1</v>
      </c>
      <c r="H176" s="15"/>
      <c r="I176" s="15">
        <v>70107</v>
      </c>
      <c r="J176" s="15" t="s">
        <v>28</v>
      </c>
      <c r="K176" s="15">
        <v>535344288</v>
      </c>
      <c r="L176" s="15" t="s">
        <v>29</v>
      </c>
      <c r="M176" s="15"/>
    </row>
    <row r="177" spans="1:13" x14ac:dyDescent="0.25">
      <c r="A177" s="23">
        <f t="shared" ref="A177:A202" si="9">D177</f>
        <v>256566</v>
      </c>
      <c r="B177" s="14" t="str">
        <f t="shared" si="7"/>
        <v>Direct Debit (UMB Bank) - Credits</v>
      </c>
      <c r="C177" s="37">
        <v>46150</v>
      </c>
      <c r="D177" s="31">
        <v>256566</v>
      </c>
      <c r="E177" s="33" t="str">
        <f>IF(Table3[[#This Row],[Type Received]]=2,"CC",(IF(Table3[[#This Row],[Type Received]]=3,"BILL","ACH")))</f>
        <v>ACH</v>
      </c>
      <c r="F177" s="32">
        <v>83.64</v>
      </c>
      <c r="G177" s="14" t="str">
        <f>VLOOKUP(D177,Table4[],3,FALSE)</f>
        <v>2</v>
      </c>
      <c r="H177" s="15"/>
      <c r="I177" s="15">
        <v>720434</v>
      </c>
      <c r="J177" s="15" t="s">
        <v>28</v>
      </c>
      <c r="K177" s="15">
        <v>613192309</v>
      </c>
      <c r="L177" s="15" t="s">
        <v>29</v>
      </c>
      <c r="M177" s="15"/>
    </row>
    <row r="178" spans="1:13" x14ac:dyDescent="0.25">
      <c r="A178" s="23">
        <f t="shared" si="9"/>
        <v>256572</v>
      </c>
      <c r="B178" s="14" t="str">
        <f t="shared" si="7"/>
        <v>Credit Cards (UMB) - Credits</v>
      </c>
      <c r="C178" s="38">
        <v>46157</v>
      </c>
      <c r="D178" s="34">
        <v>256572</v>
      </c>
      <c r="E178" s="36" t="str">
        <f>IF(Table3[[#This Row],[Type Received]]=2,"CC",(IF(Table3[[#This Row],[Type Received]]=3,"BILL","ACH")))</f>
        <v>CC</v>
      </c>
      <c r="F178" s="35">
        <v>48.53</v>
      </c>
      <c r="G178" s="14" t="str">
        <f>VLOOKUP(D178,Table4[],3,FALSE)</f>
        <v>1</v>
      </c>
      <c r="H178" s="15"/>
      <c r="I178" s="15"/>
      <c r="J178" s="15" t="s">
        <v>87</v>
      </c>
      <c r="K178" s="15">
        <v>696612545</v>
      </c>
      <c r="L178" s="15" t="s">
        <v>29</v>
      </c>
      <c r="M178" s="15" t="s">
        <v>29</v>
      </c>
    </row>
    <row r="179" spans="1:13" x14ac:dyDescent="0.25">
      <c r="A179" s="23">
        <f t="shared" si="9"/>
        <v>256575</v>
      </c>
      <c r="B179" s="14" t="str">
        <f t="shared" si="7"/>
        <v>Direct Debit (UMB Bank) - Credits</v>
      </c>
      <c r="C179" s="37">
        <v>46161</v>
      </c>
      <c r="D179" s="31">
        <v>256575</v>
      </c>
      <c r="E179" s="33" t="str">
        <f>IF(Table3[[#This Row],[Type Received]]=2,"CC",(IF(Table3[[#This Row],[Type Received]]=3,"BILL","ACH")))</f>
        <v>ACH</v>
      </c>
      <c r="F179" s="32">
        <v>197.11</v>
      </c>
      <c r="G179" s="14" t="str">
        <f>VLOOKUP(D179,Table4[],3,FALSE)</f>
        <v>1</v>
      </c>
      <c r="H179" s="15"/>
      <c r="I179" s="15" t="s">
        <v>102</v>
      </c>
      <c r="J179" s="15" t="s">
        <v>28</v>
      </c>
      <c r="K179" s="15">
        <v>747491846</v>
      </c>
      <c r="L179" s="15" t="s">
        <v>29</v>
      </c>
      <c r="M179" s="15" t="s">
        <v>29</v>
      </c>
    </row>
    <row r="180" spans="1:13" x14ac:dyDescent="0.25">
      <c r="A180" s="23">
        <f t="shared" si="9"/>
        <v>256579</v>
      </c>
      <c r="B180" s="14" t="str">
        <f t="shared" si="7"/>
        <v>Direct Debit (UMB Bank) - Credits</v>
      </c>
      <c r="C180" s="38">
        <v>46167</v>
      </c>
      <c r="D180" s="34">
        <v>256579</v>
      </c>
      <c r="E180" s="36" t="str">
        <f>IF(Table3[[#This Row],[Type Received]]=2,"CC",(IF(Table3[[#This Row],[Type Received]]=3,"BILL","ACH")))</f>
        <v>ACH</v>
      </c>
      <c r="F180" s="35">
        <v>60.85</v>
      </c>
      <c r="G180" s="14" t="str">
        <f>VLOOKUP(D180,Table4[],3,FALSE)</f>
        <v>2</v>
      </c>
      <c r="H180" s="15"/>
      <c r="I180" s="15"/>
      <c r="J180" s="15" t="s">
        <v>85</v>
      </c>
      <c r="K180" s="15">
        <v>818310737</v>
      </c>
      <c r="L180" s="15" t="s">
        <v>29</v>
      </c>
      <c r="M180" s="15" t="s">
        <v>29</v>
      </c>
    </row>
    <row r="181" spans="1:13" x14ac:dyDescent="0.25">
      <c r="A181" s="23">
        <f t="shared" si="9"/>
        <v>256580</v>
      </c>
      <c r="B181" s="14" t="str">
        <f t="shared" si="7"/>
        <v>Credit Cards (UMB) - Credits</v>
      </c>
      <c r="C181" s="37">
        <v>46143</v>
      </c>
      <c r="D181" s="31">
        <v>256580</v>
      </c>
      <c r="E181" s="33" t="str">
        <f>IF(Table3[[#This Row],[Type Received]]=2,"CC",(IF(Table3[[#This Row],[Type Received]]=3,"BILL","ACH")))</f>
        <v>CC</v>
      </c>
      <c r="F181" s="32">
        <v>111.34</v>
      </c>
      <c r="G181" s="14" t="str">
        <f>VLOOKUP(D181,Table4[],3,FALSE)</f>
        <v>2</v>
      </c>
      <c r="H181" s="15"/>
      <c r="I181" s="15"/>
      <c r="J181" s="15" t="s">
        <v>84</v>
      </c>
      <c r="K181" s="15">
        <v>522222946</v>
      </c>
      <c r="L181" s="15" t="s">
        <v>29</v>
      </c>
      <c r="M181" s="15" t="s">
        <v>29</v>
      </c>
    </row>
    <row r="182" spans="1:13" x14ac:dyDescent="0.25">
      <c r="A182" s="23">
        <f t="shared" si="9"/>
        <v>256584</v>
      </c>
      <c r="B182" s="14" t="str">
        <f t="shared" si="7"/>
        <v>Direct Debit (UMB Bank) - Credits</v>
      </c>
      <c r="C182" s="38">
        <v>46155</v>
      </c>
      <c r="D182" s="34">
        <v>256584</v>
      </c>
      <c r="E182" s="36" t="str">
        <f>IF(Table3[[#This Row],[Type Received]]=2,"CC",(IF(Table3[[#This Row],[Type Received]]=3,"BILL","ACH")))</f>
        <v>ACH</v>
      </c>
      <c r="F182" s="35">
        <v>112.66</v>
      </c>
      <c r="G182" s="14" t="str">
        <f>VLOOKUP(D182,Table4[],3,FALSE)</f>
        <v>2</v>
      </c>
      <c r="H182" s="15"/>
      <c r="I182" s="15" t="s">
        <v>103</v>
      </c>
      <c r="J182" s="15" t="s">
        <v>28</v>
      </c>
      <c r="K182" s="15">
        <v>669430810</v>
      </c>
      <c r="L182" s="15" t="s">
        <v>29</v>
      </c>
      <c r="M182" s="15" t="s">
        <v>29</v>
      </c>
    </row>
    <row r="183" spans="1:13" x14ac:dyDescent="0.25">
      <c r="A183" s="23">
        <f t="shared" si="9"/>
        <v>256585</v>
      </c>
      <c r="B183" s="14" t="str">
        <f t="shared" si="7"/>
        <v>Direct Debit (UMB Bank) - Credits</v>
      </c>
      <c r="C183" s="37">
        <v>46144</v>
      </c>
      <c r="D183" s="31">
        <v>256585</v>
      </c>
      <c r="E183" s="33" t="str">
        <f>IF(Table3[[#This Row],[Type Received]]=2,"CC",(IF(Table3[[#This Row],[Type Received]]=3,"BILL","ACH")))</f>
        <v>ACH</v>
      </c>
      <c r="F183" s="32">
        <v>77.349999999999994</v>
      </c>
      <c r="G183" s="14" t="str">
        <f>VLOOKUP(D183,Table4[],3,FALSE)</f>
        <v>1</v>
      </c>
      <c r="H183" s="15"/>
      <c r="I183" s="15"/>
      <c r="J183" s="15" t="s">
        <v>89</v>
      </c>
      <c r="K183" s="15">
        <v>535363489</v>
      </c>
      <c r="L183" s="15" t="s">
        <v>29</v>
      </c>
      <c r="M183" s="15" t="s">
        <v>29</v>
      </c>
    </row>
    <row r="184" spans="1:13" x14ac:dyDescent="0.25">
      <c r="A184" s="23">
        <f t="shared" si="9"/>
        <v>256589</v>
      </c>
      <c r="B184" s="14" t="str">
        <f t="shared" si="7"/>
        <v>Direct Debit (UMB Bank) - Credits</v>
      </c>
      <c r="C184" s="38">
        <v>46167</v>
      </c>
      <c r="D184" s="34">
        <v>256589</v>
      </c>
      <c r="E184" s="36" t="str">
        <f>IF(Table3[[#This Row],[Type Received]]=2,"CC",(IF(Table3[[#This Row],[Type Received]]=3,"BILL","ACH")))</f>
        <v>ACH</v>
      </c>
      <c r="F184" s="35">
        <v>110.02</v>
      </c>
      <c r="G184" s="14" t="str">
        <f>VLOOKUP(D184,Table4[],3,FALSE)</f>
        <v>2</v>
      </c>
      <c r="H184" s="15"/>
      <c r="I184" s="15"/>
      <c r="J184" s="24" t="s">
        <v>85</v>
      </c>
      <c r="K184" s="15">
        <v>818322566</v>
      </c>
      <c r="L184" s="15" t="s">
        <v>29</v>
      </c>
      <c r="M184" s="15" t="s">
        <v>29</v>
      </c>
    </row>
    <row r="185" spans="1:13" x14ac:dyDescent="0.25">
      <c r="A185" s="23">
        <f t="shared" si="9"/>
        <v>256590</v>
      </c>
      <c r="B185" s="14" t="str">
        <f t="shared" si="7"/>
        <v>Direct Debit (UMB Bank) - Credits</v>
      </c>
      <c r="C185" s="37">
        <v>46167</v>
      </c>
      <c r="D185" s="31">
        <v>256590</v>
      </c>
      <c r="E185" s="33" t="str">
        <f>IF(Table3[[#This Row],[Type Received]]=2,"CC",(IF(Table3[[#This Row],[Type Received]]=3,"BILL","ACH")))</f>
        <v>ACH</v>
      </c>
      <c r="F185" s="32">
        <v>72.400000000000006</v>
      </c>
      <c r="G185" s="14" t="str">
        <f>VLOOKUP(D185,Table4[],3,FALSE)</f>
        <v>2</v>
      </c>
      <c r="H185" s="15"/>
      <c r="I185" s="15"/>
      <c r="J185" s="15" t="s">
        <v>85</v>
      </c>
      <c r="K185" s="15">
        <v>818308879</v>
      </c>
      <c r="L185" s="15" t="s">
        <v>29</v>
      </c>
      <c r="M185" s="15" t="s">
        <v>29</v>
      </c>
    </row>
    <row r="186" spans="1:13" x14ac:dyDescent="0.25">
      <c r="A186" s="23">
        <f t="shared" si="9"/>
        <v>256591</v>
      </c>
      <c r="B186" s="14" t="str">
        <f t="shared" si="7"/>
        <v>Direct Debit (UMB Bank) - Credits</v>
      </c>
      <c r="C186" s="38">
        <v>46167</v>
      </c>
      <c r="D186" s="34">
        <v>256591</v>
      </c>
      <c r="E186" s="36" t="str">
        <f>IF(Table3[[#This Row],[Type Received]]=2,"CC",(IF(Table3[[#This Row],[Type Received]]=3,"BILL","ACH")))</f>
        <v>ACH</v>
      </c>
      <c r="F186" s="35">
        <v>115.63</v>
      </c>
      <c r="G186" s="14" t="str">
        <f>VLOOKUP(D186,Table4[],3,FALSE)</f>
        <v>2</v>
      </c>
      <c r="H186" s="15"/>
      <c r="I186" s="15"/>
      <c r="J186" s="15" t="s">
        <v>85</v>
      </c>
      <c r="K186" s="15">
        <v>818307940</v>
      </c>
      <c r="L186" s="15" t="s">
        <v>29</v>
      </c>
      <c r="M186" s="15" t="s">
        <v>29</v>
      </c>
    </row>
    <row r="187" spans="1:13" x14ac:dyDescent="0.25">
      <c r="A187" s="23">
        <f t="shared" si="9"/>
        <v>256592</v>
      </c>
      <c r="B187" s="14" t="str">
        <f t="shared" si="7"/>
        <v>Direct Debit (UMB Bank) - Credits</v>
      </c>
      <c r="C187" s="37">
        <v>46167</v>
      </c>
      <c r="D187" s="31">
        <v>256592</v>
      </c>
      <c r="E187" s="33" t="str">
        <f>IF(Table3[[#This Row],[Type Received]]=2,"CC",(IF(Table3[[#This Row],[Type Received]]=3,"BILL","ACH")))</f>
        <v>ACH</v>
      </c>
      <c r="F187" s="32">
        <v>57.99</v>
      </c>
      <c r="G187" s="14" t="str">
        <f>VLOOKUP(D187,Table4[],3,FALSE)</f>
        <v>1</v>
      </c>
      <c r="H187" s="15"/>
      <c r="I187" s="15"/>
      <c r="J187" s="15" t="s">
        <v>85</v>
      </c>
      <c r="K187" s="15">
        <v>818327250</v>
      </c>
      <c r="L187" s="15" t="s">
        <v>29</v>
      </c>
      <c r="M187" s="15" t="s">
        <v>29</v>
      </c>
    </row>
    <row r="188" spans="1:13" x14ac:dyDescent="0.25">
      <c r="A188" s="23">
        <f t="shared" si="9"/>
        <v>256596</v>
      </c>
      <c r="B188" s="14" t="str">
        <f t="shared" si="7"/>
        <v>Credit Cards (UMB) - Credits</v>
      </c>
      <c r="C188" s="38">
        <v>46144</v>
      </c>
      <c r="D188" s="34">
        <v>256596</v>
      </c>
      <c r="E188" s="36" t="str">
        <f>IF(Table3[[#This Row],[Type Received]]=2,"CC",(IF(Table3[[#This Row],[Type Received]]=3,"BILL","ACH")))</f>
        <v>CC</v>
      </c>
      <c r="F188" s="35">
        <v>53.59</v>
      </c>
      <c r="G188" s="14" t="str">
        <f>VLOOKUP(D188,Table4[],3,FALSE)</f>
        <v>1</v>
      </c>
      <c r="H188" s="15"/>
      <c r="I188" s="15"/>
      <c r="J188" s="15" t="s">
        <v>89</v>
      </c>
      <c r="K188" s="15">
        <v>535332806</v>
      </c>
      <c r="L188" s="15" t="s">
        <v>29</v>
      </c>
      <c r="M188" s="15"/>
    </row>
    <row r="189" spans="1:13" x14ac:dyDescent="0.25">
      <c r="A189" s="23">
        <f t="shared" si="9"/>
        <v>256607</v>
      </c>
      <c r="B189" s="14" t="str">
        <f t="shared" si="7"/>
        <v>Credit Cards (UMB) - Credits</v>
      </c>
      <c r="C189" s="37">
        <v>46156</v>
      </c>
      <c r="D189" s="31">
        <v>256607</v>
      </c>
      <c r="E189" s="33" t="str">
        <f>IF(Table3[[#This Row],[Type Received]]=2,"CC",(IF(Table3[[#This Row],[Type Received]]=3,"BILL","ACH")))</f>
        <v>CC</v>
      </c>
      <c r="F189" s="32">
        <v>140.97999999999999</v>
      </c>
      <c r="G189" s="14" t="str">
        <f>VLOOKUP(D189,Table4[],3,FALSE)</f>
        <v>1</v>
      </c>
      <c r="H189" s="15"/>
      <c r="I189" s="15">
        <v>141038</v>
      </c>
      <c r="J189" s="24" t="s">
        <v>28</v>
      </c>
      <c r="K189" s="15">
        <v>682408957</v>
      </c>
      <c r="L189" s="15" t="s">
        <v>29</v>
      </c>
      <c r="M189" s="15"/>
    </row>
    <row r="190" spans="1:13" x14ac:dyDescent="0.25">
      <c r="A190" s="23">
        <f t="shared" si="9"/>
        <v>256619</v>
      </c>
      <c r="B190" s="14" t="str">
        <f t="shared" si="7"/>
        <v>Direct Debit (UMB Bank) - Credits</v>
      </c>
      <c r="C190" s="38">
        <v>46150</v>
      </c>
      <c r="D190" s="34">
        <v>256619</v>
      </c>
      <c r="E190" s="36" t="str">
        <f>IF(Table3[[#This Row],[Type Received]]=2,"CC",(IF(Table3[[#This Row],[Type Received]]=3,"BILL","ACH")))</f>
        <v>ACH</v>
      </c>
      <c r="F190" s="35">
        <v>83.53</v>
      </c>
      <c r="G190" s="14" t="str">
        <f>VLOOKUP(D190,Table4[],3,FALSE)</f>
        <v>1</v>
      </c>
      <c r="H190" s="15"/>
      <c r="I190" s="15">
        <v>43331</v>
      </c>
      <c r="J190" s="15">
        <v>743671591</v>
      </c>
      <c r="K190" s="15">
        <v>354010616</v>
      </c>
      <c r="L190" s="15"/>
      <c r="M190" s="15"/>
    </row>
    <row r="191" spans="1:13" x14ac:dyDescent="0.25">
      <c r="A191" s="23">
        <f t="shared" si="9"/>
        <v>256628</v>
      </c>
      <c r="B191" s="14" t="str">
        <f t="shared" si="7"/>
        <v>Billing - Credits (from TPA)</v>
      </c>
      <c r="C191" s="37">
        <v>46167</v>
      </c>
      <c r="D191" s="31">
        <v>256628</v>
      </c>
      <c r="E191" s="33" t="str">
        <f>IF(Table3[[#This Row],[Type Received]]=2,"CC",(IF(Table3[[#This Row],[Type Received]]=3,"BILL","ACH")))</f>
        <v>BILL</v>
      </c>
      <c r="F191" s="32">
        <v>42.15</v>
      </c>
      <c r="G191" s="14" t="str">
        <f>VLOOKUP(D191,Table4[],3,FALSE)</f>
        <v>1</v>
      </c>
      <c r="H191" s="15"/>
      <c r="I191" s="15"/>
      <c r="J191" s="15" t="s">
        <v>85</v>
      </c>
      <c r="K191" s="15">
        <v>818314739</v>
      </c>
      <c r="L191" s="15" t="s">
        <v>29</v>
      </c>
      <c r="M191" s="15" t="s">
        <v>29</v>
      </c>
    </row>
    <row r="192" spans="1:13" x14ac:dyDescent="0.25">
      <c r="A192" s="23">
        <f t="shared" si="9"/>
        <v>256632</v>
      </c>
      <c r="B192" s="14" t="str">
        <f t="shared" si="7"/>
        <v>Billing - Credits (from TPA)</v>
      </c>
      <c r="C192" s="38">
        <v>46146</v>
      </c>
      <c r="D192" s="34">
        <v>256632</v>
      </c>
      <c r="E192" s="36" t="str">
        <f>IF(Table3[[#This Row],[Type Received]]=2,"CC",(IF(Table3[[#This Row],[Type Received]]=3,"BILL","ACH")))</f>
        <v>BILL</v>
      </c>
      <c r="F192" s="35">
        <v>62.85</v>
      </c>
      <c r="G192" s="14" t="str">
        <f>VLOOKUP(D192,Table4[],3,FALSE)</f>
        <v>2</v>
      </c>
      <c r="H192" s="15">
        <v>921579156</v>
      </c>
      <c r="I192" s="15"/>
      <c r="J192" s="15"/>
      <c r="K192" s="15"/>
      <c r="L192" s="15"/>
      <c r="M192" s="15" t="s">
        <v>29</v>
      </c>
    </row>
    <row r="193" spans="1:13" x14ac:dyDescent="0.25">
      <c r="A193" s="23">
        <f t="shared" si="9"/>
        <v>256633</v>
      </c>
      <c r="B193" s="14" t="str">
        <f t="shared" si="7"/>
        <v>Billing - Credits (from TPA)</v>
      </c>
      <c r="C193" s="37">
        <v>46161</v>
      </c>
      <c r="D193" s="31">
        <v>256633</v>
      </c>
      <c r="E193" s="33" t="str">
        <f>IF(Table3[[#This Row],[Type Received]]=2,"CC",(IF(Table3[[#This Row],[Type Received]]=3,"BILL","ACH")))</f>
        <v>BILL</v>
      </c>
      <c r="F193" s="32">
        <v>103.11</v>
      </c>
      <c r="G193" s="14" t="str">
        <f>VLOOKUP(D193,Table4[],3,FALSE)</f>
        <v>2</v>
      </c>
      <c r="H193" s="15">
        <v>995614</v>
      </c>
      <c r="I193" s="15"/>
      <c r="J193" s="24"/>
      <c r="K193" s="15"/>
      <c r="L193" s="15"/>
      <c r="M193" s="15" t="s">
        <v>29</v>
      </c>
    </row>
    <row r="194" spans="1:13" x14ac:dyDescent="0.25">
      <c r="A194" s="23">
        <f t="shared" si="9"/>
        <v>256638</v>
      </c>
      <c r="B194" s="14" t="str">
        <f t="shared" ref="B194:B257" si="10">IF(AND(E194="BILL",F194&lt;0),"Billing &amp; Direct Debit - Refunds",(IF(AND(E194="BILL",F194&gt;0),"Billing - Credits (from TPA)",(IF(AND(E194="CC",F194&lt;0),"Credit Cards (UMB) - Refunds",(IF(AND(E194="CC",F194&gt;0),"Credit Cards (UMB) - Credits",(IF(AND(E194="ACH",F194&gt;0),"Direct Debit (UMB Bank) - Credits","Direct Debit (UMB Bank) - Returned Items")))))))))</f>
        <v>Credit Cards (UMB) - Credits</v>
      </c>
      <c r="C194" s="38">
        <v>46150</v>
      </c>
      <c r="D194" s="34">
        <v>256638</v>
      </c>
      <c r="E194" s="36" t="str">
        <f>IF(Table3[[#This Row],[Type Received]]=2,"CC",(IF(Table3[[#This Row],[Type Received]]=3,"BILL","ACH")))</f>
        <v>CC</v>
      </c>
      <c r="F194" s="35">
        <v>156.19999999999999</v>
      </c>
      <c r="G194" s="14" t="str">
        <f>VLOOKUP(D194,Table4[],3,FALSE)</f>
        <v>2</v>
      </c>
      <c r="H194" s="15">
        <v>75545090</v>
      </c>
      <c r="I194" s="15"/>
      <c r="J194" s="15"/>
      <c r="K194" s="15"/>
      <c r="L194" s="15"/>
      <c r="M194" s="15" t="s">
        <v>29</v>
      </c>
    </row>
    <row r="195" spans="1:13" x14ac:dyDescent="0.25">
      <c r="A195" s="23">
        <f t="shared" si="9"/>
        <v>256651</v>
      </c>
      <c r="B195" s="14" t="str">
        <f t="shared" si="10"/>
        <v>Credit Cards (UMB) - Credits</v>
      </c>
      <c r="C195" s="37">
        <v>46155</v>
      </c>
      <c r="D195" s="31">
        <v>256651</v>
      </c>
      <c r="E195" s="33" t="str">
        <f>IF(Table3[[#This Row],[Type Received]]=2,"CC",(IF(Table3[[#This Row],[Type Received]]=3,"BILL","ACH")))</f>
        <v>CC</v>
      </c>
      <c r="F195" s="32">
        <v>137.41</v>
      </c>
      <c r="G195" s="14" t="str">
        <f>VLOOKUP(D195,Table4[],3,FALSE)</f>
        <v>2</v>
      </c>
      <c r="H195" s="15"/>
      <c r="I195" s="15">
        <v>248050</v>
      </c>
      <c r="J195" s="15" t="s">
        <v>28</v>
      </c>
      <c r="K195" s="15">
        <v>669435726</v>
      </c>
      <c r="L195" s="15" t="s">
        <v>29</v>
      </c>
      <c r="M195" s="15" t="s">
        <v>29</v>
      </c>
    </row>
    <row r="196" spans="1:13" x14ac:dyDescent="0.25">
      <c r="A196" s="23">
        <f t="shared" si="9"/>
        <v>256663</v>
      </c>
      <c r="B196" s="14" t="str">
        <f t="shared" si="10"/>
        <v>Billing - Credits (from TPA)</v>
      </c>
      <c r="C196" s="38">
        <v>46155</v>
      </c>
      <c r="D196" s="34">
        <v>256663</v>
      </c>
      <c r="E196" s="36" t="str">
        <f>IF(Table3[[#This Row],[Type Received]]=2,"CC",(IF(Table3[[#This Row],[Type Received]]=3,"BILL","ACH")))</f>
        <v>BILL</v>
      </c>
      <c r="F196" s="35">
        <v>71.739999999999995</v>
      </c>
      <c r="G196" s="14" t="str">
        <f>VLOOKUP(D196,Table4[],3,FALSE)</f>
        <v>2</v>
      </c>
      <c r="H196" s="15"/>
      <c r="I196" s="15">
        <v>16919</v>
      </c>
      <c r="J196" s="15" t="s">
        <v>28</v>
      </c>
      <c r="K196" s="15">
        <v>669432781</v>
      </c>
      <c r="L196" s="15" t="s">
        <v>29</v>
      </c>
      <c r="M196" s="15"/>
    </row>
    <row r="197" spans="1:13" x14ac:dyDescent="0.25">
      <c r="A197" s="23">
        <f t="shared" si="9"/>
        <v>256665</v>
      </c>
      <c r="B197" s="14" t="str">
        <f t="shared" si="10"/>
        <v>Billing - Credits (from TPA)</v>
      </c>
      <c r="C197" s="37">
        <v>46160</v>
      </c>
      <c r="D197" s="31">
        <v>256665</v>
      </c>
      <c r="E197" s="33" t="str">
        <f>IF(Table3[[#This Row],[Type Received]]=2,"CC",(IF(Table3[[#This Row],[Type Received]]=3,"BILL","ACH")))</f>
        <v>BILL</v>
      </c>
      <c r="F197" s="32">
        <v>30.93</v>
      </c>
      <c r="G197" s="14" t="str">
        <f>VLOOKUP(D197,Table4[],3,FALSE)</f>
        <v>2</v>
      </c>
      <c r="H197" s="15">
        <v>77139490</v>
      </c>
      <c r="I197" s="15"/>
      <c r="J197" s="15"/>
      <c r="K197" s="15"/>
      <c r="L197" s="15"/>
      <c r="M197" s="15"/>
    </row>
    <row r="198" spans="1:13" x14ac:dyDescent="0.25">
      <c r="A198" s="23">
        <f t="shared" si="9"/>
        <v>256665</v>
      </c>
      <c r="B198" s="14" t="str">
        <f t="shared" si="10"/>
        <v>Direct Debit (UMB Bank) - Credits</v>
      </c>
      <c r="C198" s="38">
        <v>46143</v>
      </c>
      <c r="D198" s="34">
        <v>256665</v>
      </c>
      <c r="E198" s="36" t="str">
        <f>IF(Table3[[#This Row],[Type Received]]=2,"CC",(IF(Table3[[#This Row],[Type Received]]=3,"BILL","ACH")))</f>
        <v>ACH</v>
      </c>
      <c r="F198" s="35">
        <v>30.93</v>
      </c>
      <c r="G198" s="14" t="str">
        <f>VLOOKUP(D198,Table4[],3,FALSE)</f>
        <v>2</v>
      </c>
      <c r="H198" s="15">
        <v>74376728</v>
      </c>
      <c r="I198" s="15"/>
      <c r="J198" s="15"/>
      <c r="K198" s="15"/>
      <c r="L198" s="15"/>
      <c r="M198" s="15"/>
    </row>
    <row r="199" spans="1:13" x14ac:dyDescent="0.25">
      <c r="A199" s="23">
        <f t="shared" si="9"/>
        <v>256670</v>
      </c>
      <c r="B199" s="14" t="str">
        <f t="shared" si="10"/>
        <v>Direct Debit (UMB Bank) - Credits</v>
      </c>
      <c r="C199" s="37">
        <v>46157</v>
      </c>
      <c r="D199" s="31">
        <v>256670</v>
      </c>
      <c r="E199" s="33" t="str">
        <f>IF(Table3[[#This Row],[Type Received]]=2,"CC",(IF(Table3[[#This Row],[Type Received]]=3,"BILL","ACH")))</f>
        <v>ACH</v>
      </c>
      <c r="F199" s="32">
        <v>81.53</v>
      </c>
      <c r="G199" s="14" t="str">
        <f>VLOOKUP(D199,Table4[],3,FALSE)</f>
        <v>1</v>
      </c>
      <c r="H199" s="15"/>
      <c r="I199" s="15"/>
      <c r="J199" s="15" t="s">
        <v>87</v>
      </c>
      <c r="K199" s="15">
        <v>696596948</v>
      </c>
      <c r="L199" s="15" t="s">
        <v>29</v>
      </c>
      <c r="M199" s="15"/>
    </row>
    <row r="200" spans="1:13" x14ac:dyDescent="0.25">
      <c r="A200" s="23">
        <f t="shared" si="9"/>
        <v>256672</v>
      </c>
      <c r="B200" s="14" t="str">
        <f t="shared" si="10"/>
        <v>Direct Debit (UMB Bank) - Credits</v>
      </c>
      <c r="C200" s="38">
        <v>46167</v>
      </c>
      <c r="D200" s="34">
        <v>256672</v>
      </c>
      <c r="E200" s="36" t="str">
        <f>IF(Table3[[#This Row],[Type Received]]=2,"CC",(IF(Table3[[#This Row],[Type Received]]=3,"BILL","ACH")))</f>
        <v>ACH</v>
      </c>
      <c r="F200" s="35">
        <v>92.2</v>
      </c>
      <c r="G200" s="14" t="str">
        <f>VLOOKUP(D200,Table4[],3,FALSE)</f>
        <v>2</v>
      </c>
      <c r="H200" s="15"/>
      <c r="I200" s="15"/>
      <c r="J200" s="15" t="s">
        <v>85</v>
      </c>
      <c r="K200" s="15">
        <v>818339866</v>
      </c>
      <c r="L200" s="15" t="s">
        <v>29</v>
      </c>
      <c r="M200" s="15" t="s">
        <v>29</v>
      </c>
    </row>
    <row r="201" spans="1:13" x14ac:dyDescent="0.25">
      <c r="A201" s="23">
        <f t="shared" si="9"/>
        <v>256689</v>
      </c>
      <c r="B201" s="14" t="str">
        <f t="shared" si="10"/>
        <v>Direct Debit (UMB Bank) - Credits</v>
      </c>
      <c r="C201" s="37">
        <v>46150</v>
      </c>
      <c r="D201" s="31">
        <v>256689</v>
      </c>
      <c r="E201" s="33" t="str">
        <f>IF(Table3[[#This Row],[Type Received]]=2,"CC",(IF(Table3[[#This Row],[Type Received]]=3,"BILL","ACH")))</f>
        <v>ACH</v>
      </c>
      <c r="F201" s="32">
        <v>39.950000000000003</v>
      </c>
      <c r="G201" s="14" t="str">
        <f>VLOOKUP(D201,Table4[],3,FALSE)</f>
        <v>1</v>
      </c>
      <c r="H201" s="15"/>
      <c r="I201" s="15"/>
      <c r="J201" s="24" t="s">
        <v>104</v>
      </c>
      <c r="K201" s="15">
        <v>608657251</v>
      </c>
      <c r="L201" s="15" t="s">
        <v>29</v>
      </c>
      <c r="M201" s="15"/>
    </row>
    <row r="202" spans="1:13" x14ac:dyDescent="0.25">
      <c r="A202" s="23">
        <f t="shared" si="9"/>
        <v>256689</v>
      </c>
      <c r="B202" s="14" t="str">
        <f t="shared" si="10"/>
        <v>Direct Debit (UMB Bank) - Credits</v>
      </c>
      <c r="C202" s="38">
        <v>46144</v>
      </c>
      <c r="D202" s="34">
        <v>256689</v>
      </c>
      <c r="E202" s="36" t="str">
        <f>IF(Table3[[#This Row],[Type Received]]=2,"CC",(IF(Table3[[#This Row],[Type Received]]=3,"BILL","ACH")))</f>
        <v>ACH</v>
      </c>
      <c r="F202" s="35">
        <v>39.950000000000003</v>
      </c>
      <c r="G202" s="14" t="str">
        <f>VLOOKUP(D202,Table4[],3,FALSE)</f>
        <v>1</v>
      </c>
      <c r="H202" s="15"/>
      <c r="I202" s="15"/>
      <c r="J202" s="15" t="s">
        <v>89</v>
      </c>
      <c r="K202" s="15">
        <v>535339517</v>
      </c>
      <c r="L202" s="15" t="s">
        <v>29</v>
      </c>
      <c r="M202" s="15" t="s">
        <v>29</v>
      </c>
    </row>
    <row r="203" spans="1:13" x14ac:dyDescent="0.25">
      <c r="A203" s="23"/>
      <c r="B203" s="14" t="str">
        <f t="shared" si="10"/>
        <v>Direct Debit (UMB Bank) - Credits</v>
      </c>
      <c r="C203" s="37">
        <v>46157</v>
      </c>
      <c r="D203" s="31">
        <v>256695</v>
      </c>
      <c r="E203" s="33" t="str">
        <f>IF(Table3[[#This Row],[Type Received]]=2,"CC",(IF(Table3[[#This Row],[Type Received]]=3,"BILL","ACH")))</f>
        <v>ACH</v>
      </c>
      <c r="F203" s="32">
        <v>132.79</v>
      </c>
      <c r="G203" s="14" t="str">
        <f>VLOOKUP(D203,Table4[],3,FALSE)</f>
        <v>2</v>
      </c>
      <c r="H203" s="15"/>
      <c r="I203" s="15"/>
      <c r="J203" s="15" t="s">
        <v>87</v>
      </c>
      <c r="K203" s="15">
        <v>696635378</v>
      </c>
      <c r="L203" s="15" t="s">
        <v>29</v>
      </c>
      <c r="M203" s="15"/>
    </row>
    <row r="204" spans="1:13" x14ac:dyDescent="0.25">
      <c r="A204" s="23">
        <f t="shared" ref="A204:A217" si="11">D204</f>
        <v>256713</v>
      </c>
      <c r="B204" s="14" t="str">
        <f t="shared" si="10"/>
        <v>Credit Cards (UMB) - Credits</v>
      </c>
      <c r="C204" s="38">
        <v>46167</v>
      </c>
      <c r="D204" s="34">
        <v>256713</v>
      </c>
      <c r="E204" s="36" t="str">
        <f>IF(Table3[[#This Row],[Type Received]]=2,"CC",(IF(Table3[[#This Row],[Type Received]]=3,"BILL","ACH")))</f>
        <v>CC</v>
      </c>
      <c r="F204" s="35">
        <v>43.47</v>
      </c>
      <c r="G204" s="14" t="str">
        <f>VLOOKUP(D204,Table4[],3,FALSE)</f>
        <v>1</v>
      </c>
      <c r="H204" s="15"/>
      <c r="I204" s="15"/>
      <c r="J204" s="15" t="s">
        <v>85</v>
      </c>
      <c r="K204" s="15">
        <v>818307983</v>
      </c>
      <c r="L204" s="15" t="s">
        <v>29</v>
      </c>
      <c r="M204" s="15"/>
    </row>
    <row r="205" spans="1:13" x14ac:dyDescent="0.25">
      <c r="A205" s="23">
        <f t="shared" si="11"/>
        <v>256723</v>
      </c>
      <c r="B205" s="14" t="str">
        <f t="shared" si="10"/>
        <v>Direct Debit (UMB Bank) - Credits</v>
      </c>
      <c r="C205" s="37">
        <v>46143</v>
      </c>
      <c r="D205" s="31">
        <v>256723</v>
      </c>
      <c r="E205" s="33" t="str">
        <f>IF(Table3[[#This Row],[Type Received]]=2,"CC",(IF(Table3[[#This Row],[Type Received]]=3,"BILL","ACH")))</f>
        <v>ACH</v>
      </c>
      <c r="F205" s="32">
        <v>82.43</v>
      </c>
      <c r="G205" s="14" t="str">
        <f>VLOOKUP(D205,Table4[],3,FALSE)</f>
        <v>1</v>
      </c>
      <c r="H205" s="15"/>
      <c r="I205" s="15" t="s">
        <v>105</v>
      </c>
      <c r="J205" s="15">
        <v>741374152</v>
      </c>
      <c r="K205" s="15">
        <v>353212516</v>
      </c>
      <c r="L205" s="15"/>
      <c r="M205" s="15"/>
    </row>
    <row r="206" spans="1:13" x14ac:dyDescent="0.25">
      <c r="A206" s="23">
        <f t="shared" si="11"/>
        <v>256725</v>
      </c>
      <c r="B206" s="14" t="str">
        <f t="shared" si="10"/>
        <v>Billing - Credits (from TPA)</v>
      </c>
      <c r="C206" s="38">
        <v>46157</v>
      </c>
      <c r="D206" s="34">
        <v>256725</v>
      </c>
      <c r="E206" s="36" t="str">
        <f>IF(Table3[[#This Row],[Type Received]]=2,"CC",(IF(Table3[[#This Row],[Type Received]]=3,"BILL","ACH")))</f>
        <v>BILL</v>
      </c>
      <c r="F206" s="35">
        <v>68.77</v>
      </c>
      <c r="G206" s="14" t="str">
        <f>VLOOKUP(D206,Table4[],3,FALSE)</f>
        <v>2</v>
      </c>
      <c r="H206" s="15"/>
      <c r="I206" s="15"/>
      <c r="J206" s="24" t="s">
        <v>87</v>
      </c>
      <c r="K206" s="15">
        <v>696619293</v>
      </c>
      <c r="L206" s="15" t="s">
        <v>29</v>
      </c>
      <c r="M206" s="15" t="s">
        <v>29</v>
      </c>
    </row>
    <row r="207" spans="1:13" x14ac:dyDescent="0.25">
      <c r="A207" s="23">
        <f t="shared" si="11"/>
        <v>256734</v>
      </c>
      <c r="B207" s="14" t="str">
        <f t="shared" si="10"/>
        <v>Direct Debit (UMB Bank) - Credits</v>
      </c>
      <c r="C207" s="37">
        <v>46168</v>
      </c>
      <c r="D207" s="31">
        <v>256734</v>
      </c>
      <c r="E207" s="33" t="str">
        <f>IF(Table3[[#This Row],[Type Received]]=2,"CC",(IF(Table3[[#This Row],[Type Received]]=3,"BILL","ACH")))</f>
        <v>ACH</v>
      </c>
      <c r="F207" s="32">
        <v>71.430000000000007</v>
      </c>
      <c r="G207" s="14" t="str">
        <f>VLOOKUP(D207,Table4[],3,FALSE)</f>
        <v>2</v>
      </c>
      <c r="H207" s="15">
        <v>2466</v>
      </c>
      <c r="I207" s="15"/>
      <c r="J207" s="15"/>
      <c r="K207" s="15"/>
      <c r="L207" s="15"/>
      <c r="M207" s="15" t="s">
        <v>29</v>
      </c>
    </row>
    <row r="208" spans="1:13" x14ac:dyDescent="0.25">
      <c r="A208" s="23">
        <f t="shared" si="11"/>
        <v>256744</v>
      </c>
      <c r="B208" s="14" t="str">
        <f t="shared" si="10"/>
        <v>Direct Debit (UMB Bank) - Credits</v>
      </c>
      <c r="C208" s="38">
        <v>46157</v>
      </c>
      <c r="D208" s="34">
        <v>256744</v>
      </c>
      <c r="E208" s="36" t="str">
        <f>IF(Table3[[#This Row],[Type Received]]=2,"CC",(IF(Table3[[#This Row],[Type Received]]=3,"BILL","ACH")))</f>
        <v>ACH</v>
      </c>
      <c r="F208" s="35">
        <v>77.13</v>
      </c>
      <c r="G208" s="14" t="str">
        <f>VLOOKUP(D208,Table4[],3,FALSE)</f>
        <v>1</v>
      </c>
      <c r="H208" s="15"/>
      <c r="I208" s="15"/>
      <c r="J208" s="15" t="s">
        <v>87</v>
      </c>
      <c r="K208" s="15">
        <v>696606743</v>
      </c>
      <c r="L208" s="15" t="s">
        <v>29</v>
      </c>
      <c r="M208" s="15"/>
    </row>
    <row r="209" spans="1:13" x14ac:dyDescent="0.25">
      <c r="A209" s="23">
        <f t="shared" si="11"/>
        <v>256745</v>
      </c>
      <c r="B209" s="14" t="str">
        <f t="shared" si="10"/>
        <v>Direct Debit (UMB Bank) - Credits</v>
      </c>
      <c r="C209" s="37">
        <v>46157</v>
      </c>
      <c r="D209" s="31">
        <v>256745</v>
      </c>
      <c r="E209" s="33" t="str">
        <f>IF(Table3[[#This Row],[Type Received]]=2,"CC",(IF(Table3[[#This Row],[Type Received]]=3,"BILL","ACH")))</f>
        <v>ACH</v>
      </c>
      <c r="F209" s="32">
        <v>68.33</v>
      </c>
      <c r="G209" s="14" t="str">
        <f>VLOOKUP(D209,Table4[],3,FALSE)</f>
        <v>1</v>
      </c>
      <c r="H209" s="15"/>
      <c r="I209" s="15"/>
      <c r="J209" s="15" t="s">
        <v>87</v>
      </c>
      <c r="K209" s="15">
        <v>696612617</v>
      </c>
      <c r="L209" s="15" t="s">
        <v>29</v>
      </c>
      <c r="M209" s="15" t="s">
        <v>29</v>
      </c>
    </row>
    <row r="210" spans="1:13" x14ac:dyDescent="0.25">
      <c r="A210" s="23">
        <f t="shared" si="11"/>
        <v>256748</v>
      </c>
      <c r="B210" s="14" t="str">
        <f t="shared" si="10"/>
        <v>Direct Debit (UMB Bank) - Credits</v>
      </c>
      <c r="C210" s="38">
        <v>46144</v>
      </c>
      <c r="D210" s="34">
        <v>256748</v>
      </c>
      <c r="E210" s="36" t="str">
        <f>IF(Table3[[#This Row],[Type Received]]=2,"CC",(IF(Table3[[#This Row],[Type Received]]=3,"BILL","ACH")))</f>
        <v>ACH</v>
      </c>
      <c r="F210" s="35">
        <v>75.7</v>
      </c>
      <c r="G210" s="14" t="str">
        <f>VLOOKUP(D210,Table4[],3,FALSE)</f>
        <v>2</v>
      </c>
      <c r="H210" s="15"/>
      <c r="I210" s="15"/>
      <c r="J210" s="15" t="s">
        <v>89</v>
      </c>
      <c r="K210" s="15">
        <v>535344330</v>
      </c>
      <c r="L210" s="15" t="s">
        <v>29</v>
      </c>
      <c r="M210" s="15"/>
    </row>
    <row r="211" spans="1:13" x14ac:dyDescent="0.25">
      <c r="A211" s="23">
        <f t="shared" si="11"/>
        <v>256758</v>
      </c>
      <c r="B211" s="14" t="str">
        <f t="shared" si="10"/>
        <v>Credit Cards (UMB) - Credits</v>
      </c>
      <c r="C211" s="37">
        <v>46144</v>
      </c>
      <c r="D211" s="31">
        <v>256758</v>
      </c>
      <c r="E211" s="33" t="str">
        <f>IF(Table3[[#This Row],[Type Received]]=2,"CC",(IF(Table3[[#This Row],[Type Received]]=3,"BILL","ACH")))</f>
        <v>CC</v>
      </c>
      <c r="F211" s="32">
        <v>93.85</v>
      </c>
      <c r="G211" s="14" t="str">
        <f>VLOOKUP(D211,Table4[],3,FALSE)</f>
        <v>2</v>
      </c>
      <c r="H211" s="15"/>
      <c r="I211" s="15"/>
      <c r="J211" s="15" t="s">
        <v>89</v>
      </c>
      <c r="K211" s="15">
        <v>535324029</v>
      </c>
      <c r="L211" s="15" t="s">
        <v>29</v>
      </c>
      <c r="M211" s="15" t="s">
        <v>29</v>
      </c>
    </row>
    <row r="212" spans="1:13" x14ac:dyDescent="0.25">
      <c r="A212" s="23">
        <f t="shared" si="11"/>
        <v>256760</v>
      </c>
      <c r="B212" s="14" t="str">
        <f t="shared" si="10"/>
        <v>Direct Debit (UMB Bank) - Credits</v>
      </c>
      <c r="C212" s="38">
        <v>46155</v>
      </c>
      <c r="D212" s="34">
        <v>256760</v>
      </c>
      <c r="E212" s="36" t="str">
        <f>IF(Table3[[#This Row],[Type Received]]=2,"CC",(IF(Table3[[#This Row],[Type Received]]=3,"BILL","ACH")))</f>
        <v>ACH</v>
      </c>
      <c r="F212" s="35">
        <v>134.11000000000001</v>
      </c>
      <c r="G212" s="14" t="str">
        <f>VLOOKUP(D212,Table4[],3,FALSE)</f>
        <v>2</v>
      </c>
      <c r="H212" s="15"/>
      <c r="I212" s="15">
        <v>186956</v>
      </c>
      <c r="J212" s="15" t="s">
        <v>28</v>
      </c>
      <c r="K212" s="15">
        <v>669445424</v>
      </c>
      <c r="L212" s="15" t="s">
        <v>29</v>
      </c>
      <c r="M212" s="15" t="s">
        <v>29</v>
      </c>
    </row>
    <row r="213" spans="1:13" x14ac:dyDescent="0.25">
      <c r="A213" s="23">
        <f t="shared" si="11"/>
        <v>256766</v>
      </c>
      <c r="B213" s="14" t="str">
        <f t="shared" si="10"/>
        <v>Direct Debit (UMB Bank) - Credits</v>
      </c>
      <c r="C213" s="37">
        <v>46147</v>
      </c>
      <c r="D213" s="31">
        <v>256766</v>
      </c>
      <c r="E213" s="33" t="str">
        <f>IF(Table3[[#This Row],[Type Received]]=2,"CC",(IF(Table3[[#This Row],[Type Received]]=3,"BILL","ACH")))</f>
        <v>ACH</v>
      </c>
      <c r="F213" s="32">
        <v>50.95</v>
      </c>
      <c r="G213" s="14" t="str">
        <f>VLOOKUP(D213,Table4[],3,FALSE)</f>
        <v>1</v>
      </c>
      <c r="H213" s="15"/>
      <c r="I213" s="15"/>
      <c r="J213" s="15" t="s">
        <v>86</v>
      </c>
      <c r="K213" s="15">
        <v>569459897</v>
      </c>
      <c r="L213" s="15" t="s">
        <v>29</v>
      </c>
      <c r="M213" s="15" t="s">
        <v>29</v>
      </c>
    </row>
    <row r="214" spans="1:13" x14ac:dyDescent="0.25">
      <c r="A214" s="23">
        <f t="shared" si="11"/>
        <v>256779</v>
      </c>
      <c r="B214" s="14" t="str">
        <f t="shared" si="10"/>
        <v>Direct Debit (UMB Bank) - Credits</v>
      </c>
      <c r="C214" s="38">
        <v>46158</v>
      </c>
      <c r="D214" s="34">
        <v>256779</v>
      </c>
      <c r="E214" s="36" t="str">
        <f>IF(Table3[[#This Row],[Type Received]]=2,"CC",(IF(Table3[[#This Row],[Type Received]]=3,"BILL","ACH")))</f>
        <v>ACH</v>
      </c>
      <c r="F214" s="35">
        <v>111.67</v>
      </c>
      <c r="G214" s="14" t="str">
        <f>VLOOKUP(D214,Table4[],3,FALSE)</f>
        <v>2</v>
      </c>
      <c r="H214" s="15"/>
      <c r="I214" s="15"/>
      <c r="J214" s="15" t="s">
        <v>106</v>
      </c>
      <c r="K214" s="15">
        <v>710056134</v>
      </c>
      <c r="L214" s="15" t="s">
        <v>29</v>
      </c>
      <c r="M214" s="15" t="s">
        <v>29</v>
      </c>
    </row>
    <row r="215" spans="1:13" x14ac:dyDescent="0.25">
      <c r="A215" s="23">
        <f t="shared" si="11"/>
        <v>256788</v>
      </c>
      <c r="B215" s="14" t="str">
        <f t="shared" si="10"/>
        <v>Credit Cards (UMB) - Credits</v>
      </c>
      <c r="C215" s="37">
        <v>46162</v>
      </c>
      <c r="D215" s="31">
        <v>256788</v>
      </c>
      <c r="E215" s="33" t="str">
        <f>IF(Table3[[#This Row],[Type Received]]=2,"CC",(IF(Table3[[#This Row],[Type Received]]=3,"BILL","ACH")))</f>
        <v>CC</v>
      </c>
      <c r="F215" s="32">
        <v>59.2</v>
      </c>
      <c r="G215" s="14" t="str">
        <f>VLOOKUP(D215,Table4[],3,FALSE)</f>
        <v>2</v>
      </c>
      <c r="H215" s="15"/>
      <c r="I215" s="15"/>
      <c r="J215" s="24" t="s">
        <v>107</v>
      </c>
      <c r="K215" s="15">
        <v>757824698</v>
      </c>
      <c r="L215" s="15" t="s">
        <v>29</v>
      </c>
      <c r="M215" s="15" t="s">
        <v>29</v>
      </c>
    </row>
    <row r="216" spans="1:13" x14ac:dyDescent="0.25">
      <c r="A216" s="23">
        <f t="shared" si="11"/>
        <v>256790</v>
      </c>
      <c r="B216" s="14" t="str">
        <f t="shared" si="10"/>
        <v>Direct Debit (UMB Bank) - Credits</v>
      </c>
      <c r="C216" s="38">
        <v>46163</v>
      </c>
      <c r="D216" s="34">
        <v>256790</v>
      </c>
      <c r="E216" s="36" t="str">
        <f>IF(Table3[[#This Row],[Type Received]]=2,"CC",(IF(Table3[[#This Row],[Type Received]]=3,"BILL","ACH")))</f>
        <v>ACH</v>
      </c>
      <c r="F216" s="35">
        <v>63.27</v>
      </c>
      <c r="G216" s="14" t="str">
        <f>VLOOKUP(D216,Table4[],3,FALSE)</f>
        <v>1</v>
      </c>
      <c r="H216" s="15"/>
      <c r="I216" s="15">
        <v>15518</v>
      </c>
      <c r="J216" s="24" t="s">
        <v>28</v>
      </c>
      <c r="K216" s="15">
        <v>772393846</v>
      </c>
      <c r="L216" s="15" t="s">
        <v>29</v>
      </c>
      <c r="M216" s="15"/>
    </row>
    <row r="217" spans="1:13" x14ac:dyDescent="0.25">
      <c r="A217" s="23">
        <f t="shared" si="11"/>
        <v>256797</v>
      </c>
      <c r="B217" s="14" t="str">
        <f t="shared" si="10"/>
        <v>Direct Debit (UMB Bank) - Credits</v>
      </c>
      <c r="C217" s="37">
        <v>46155</v>
      </c>
      <c r="D217" s="31">
        <v>256797</v>
      </c>
      <c r="E217" s="33" t="str">
        <f>IF(Table3[[#This Row],[Type Received]]=2,"CC",(IF(Table3[[#This Row],[Type Received]]=3,"BILL","ACH")))</f>
        <v>ACH</v>
      </c>
      <c r="F217" s="32">
        <v>45.67</v>
      </c>
      <c r="G217" s="14" t="str">
        <f>VLOOKUP(D217,Table4[],3,FALSE)</f>
        <v>2</v>
      </c>
      <c r="H217" s="15"/>
      <c r="I217" s="15"/>
      <c r="J217" s="15" t="s">
        <v>90</v>
      </c>
      <c r="K217" s="15">
        <v>669445436</v>
      </c>
      <c r="L217" s="15" t="s">
        <v>29</v>
      </c>
      <c r="M217" s="15"/>
    </row>
    <row r="218" spans="1:13" x14ac:dyDescent="0.25">
      <c r="A218" s="23"/>
      <c r="B218" s="14" t="str">
        <f t="shared" si="10"/>
        <v>Direct Debit (UMB Bank) - Credits</v>
      </c>
      <c r="C218" s="38">
        <v>46157</v>
      </c>
      <c r="D218" s="34">
        <v>256803</v>
      </c>
      <c r="E218" s="36" t="str">
        <f>IF(Table3[[#This Row],[Type Received]]=2,"CC",(IF(Table3[[#This Row],[Type Received]]=3,"BILL","ACH")))</f>
        <v>ACH</v>
      </c>
      <c r="F218" s="35">
        <v>61.73</v>
      </c>
      <c r="G218" s="14" t="str">
        <f>VLOOKUP(D218,Table4[],3,FALSE)</f>
        <v>1</v>
      </c>
      <c r="H218" s="15"/>
      <c r="I218" s="15"/>
      <c r="J218" s="15" t="s">
        <v>87</v>
      </c>
      <c r="K218" s="15">
        <v>696602922</v>
      </c>
      <c r="L218" s="15" t="s">
        <v>29</v>
      </c>
      <c r="M218" s="15"/>
    </row>
    <row r="219" spans="1:13" x14ac:dyDescent="0.25">
      <c r="A219" s="23">
        <f t="shared" ref="A219:A250" si="12">D219</f>
        <v>256805</v>
      </c>
      <c r="B219" s="14" t="str">
        <f t="shared" si="10"/>
        <v>Direct Debit (UMB Bank) - Credits</v>
      </c>
      <c r="C219" s="37">
        <v>46157</v>
      </c>
      <c r="D219" s="31">
        <v>256805</v>
      </c>
      <c r="E219" s="33" t="str">
        <f>IF(Table3[[#This Row],[Type Received]]=2,"CC",(IF(Table3[[#This Row],[Type Received]]=3,"BILL","ACH")))</f>
        <v>ACH</v>
      </c>
      <c r="F219" s="32">
        <v>62.17</v>
      </c>
      <c r="G219" s="14" t="str">
        <f>VLOOKUP(D219,Table4[],3,FALSE)</f>
        <v>1</v>
      </c>
      <c r="H219" s="15"/>
      <c r="I219" s="15"/>
      <c r="J219" s="15" t="s">
        <v>87</v>
      </c>
      <c r="K219" s="15">
        <v>696616427</v>
      </c>
      <c r="L219" s="15" t="s">
        <v>29</v>
      </c>
      <c r="M219" s="15" t="s">
        <v>29</v>
      </c>
    </row>
    <row r="220" spans="1:13" x14ac:dyDescent="0.25">
      <c r="A220" s="23">
        <f t="shared" si="12"/>
        <v>256807</v>
      </c>
      <c r="B220" s="14" t="str">
        <f t="shared" si="10"/>
        <v>Credit Cards (UMB) - Credits</v>
      </c>
      <c r="C220" s="38">
        <v>46144</v>
      </c>
      <c r="D220" s="34">
        <v>256807</v>
      </c>
      <c r="E220" s="36" t="str">
        <f>IF(Table3[[#This Row],[Type Received]]=2,"CC",(IF(Table3[[#This Row],[Type Received]]=3,"BILL","ACH")))</f>
        <v>CC</v>
      </c>
      <c r="F220" s="35">
        <v>78.67</v>
      </c>
      <c r="G220" s="14" t="str">
        <f>VLOOKUP(D220,Table4[],3,FALSE)</f>
        <v>2</v>
      </c>
      <c r="H220" s="15"/>
      <c r="I220" s="15"/>
      <c r="J220" s="15" t="s">
        <v>89</v>
      </c>
      <c r="K220" s="15">
        <v>535327963</v>
      </c>
      <c r="L220" s="15" t="s">
        <v>29</v>
      </c>
      <c r="M220" s="15" t="s">
        <v>29</v>
      </c>
    </row>
    <row r="221" spans="1:13" x14ac:dyDescent="0.25">
      <c r="A221" s="23">
        <f t="shared" si="12"/>
        <v>256813</v>
      </c>
      <c r="B221" s="14" t="str">
        <f t="shared" si="10"/>
        <v>Direct Debit (UMB Bank) - Credits</v>
      </c>
      <c r="C221" s="37">
        <v>46143</v>
      </c>
      <c r="D221" s="31">
        <v>256813</v>
      </c>
      <c r="E221" s="33" t="str">
        <f>IF(Table3[[#This Row],[Type Received]]=2,"CC",(IF(Table3[[#This Row],[Type Received]]=3,"BILL","ACH")))</f>
        <v>ACH</v>
      </c>
      <c r="F221" s="32">
        <v>100.69</v>
      </c>
      <c r="G221" s="14" t="str">
        <f>VLOOKUP(D221,Table4[],3,FALSE)</f>
        <v>1</v>
      </c>
      <c r="H221" s="15"/>
      <c r="I221" s="15">
        <v>92816</v>
      </c>
      <c r="J221" s="15">
        <v>741374152</v>
      </c>
      <c r="K221" s="15">
        <v>353116545</v>
      </c>
      <c r="L221" s="15"/>
      <c r="M221" s="15" t="s">
        <v>29</v>
      </c>
    </row>
    <row r="222" spans="1:13" x14ac:dyDescent="0.25">
      <c r="A222" s="23">
        <f t="shared" si="12"/>
        <v>256815</v>
      </c>
      <c r="B222" s="14" t="str">
        <f t="shared" si="10"/>
        <v>Direct Debit (UMB Bank) - Credits</v>
      </c>
      <c r="C222" s="38">
        <v>46157</v>
      </c>
      <c r="D222" s="34">
        <v>256815</v>
      </c>
      <c r="E222" s="36" t="str">
        <f>IF(Table3[[#This Row],[Type Received]]=2,"CC",(IF(Table3[[#This Row],[Type Received]]=3,"BILL","ACH")))</f>
        <v>ACH</v>
      </c>
      <c r="F222" s="35">
        <v>107.71</v>
      </c>
      <c r="G222" s="14" t="str">
        <f>VLOOKUP(D222,Table4[],3,FALSE)</f>
        <v>2</v>
      </c>
      <c r="H222" s="15"/>
      <c r="I222" s="15"/>
      <c r="J222" s="24" t="s">
        <v>87</v>
      </c>
      <c r="K222" s="15">
        <v>696606832</v>
      </c>
      <c r="L222" s="15" t="s">
        <v>29</v>
      </c>
      <c r="M222" s="15" t="s">
        <v>29</v>
      </c>
    </row>
    <row r="223" spans="1:13" x14ac:dyDescent="0.25">
      <c r="A223" s="23">
        <f t="shared" si="12"/>
        <v>256817</v>
      </c>
      <c r="B223" s="14" t="str">
        <f t="shared" si="10"/>
        <v>Credit Cards (UMB) - Credits</v>
      </c>
      <c r="C223" s="37">
        <v>46167</v>
      </c>
      <c r="D223" s="31">
        <v>256817</v>
      </c>
      <c r="E223" s="33" t="str">
        <f>IF(Table3[[#This Row],[Type Received]]=2,"CC",(IF(Table3[[#This Row],[Type Received]]=3,"BILL","ACH")))</f>
        <v>CC</v>
      </c>
      <c r="F223" s="32">
        <v>40.39</v>
      </c>
      <c r="G223" s="14" t="str">
        <f>VLOOKUP(D223,Table4[],3,FALSE)</f>
        <v>1</v>
      </c>
      <c r="H223" s="15"/>
      <c r="I223" s="15"/>
      <c r="J223" s="15" t="s">
        <v>85</v>
      </c>
      <c r="K223" s="15">
        <v>818311842</v>
      </c>
      <c r="L223" s="15" t="s">
        <v>29</v>
      </c>
      <c r="M223" s="15" t="s">
        <v>29</v>
      </c>
    </row>
    <row r="224" spans="1:13" x14ac:dyDescent="0.25">
      <c r="A224" s="23">
        <f t="shared" si="12"/>
        <v>256818</v>
      </c>
      <c r="B224" s="14" t="str">
        <f t="shared" si="10"/>
        <v>Direct Debit (UMB Bank) - Credits</v>
      </c>
      <c r="C224" s="38">
        <v>46145</v>
      </c>
      <c r="D224" s="34">
        <v>256818</v>
      </c>
      <c r="E224" s="36" t="str">
        <f>IF(Table3[[#This Row],[Type Received]]=2,"CC",(IF(Table3[[#This Row],[Type Received]]=3,"BILL","ACH")))</f>
        <v>ACH</v>
      </c>
      <c r="F224" s="35">
        <v>57.55</v>
      </c>
      <c r="G224" s="14" t="str">
        <f>VLOOKUP(D224,Table4[],3,FALSE)</f>
        <v>1</v>
      </c>
      <c r="H224" s="15"/>
      <c r="I224" s="15" t="s">
        <v>108</v>
      </c>
      <c r="J224" s="15" t="s">
        <v>28</v>
      </c>
      <c r="K224" s="15">
        <v>546417814</v>
      </c>
      <c r="L224" s="15" t="s">
        <v>29</v>
      </c>
      <c r="M224" s="15" t="s">
        <v>29</v>
      </c>
    </row>
    <row r="225" spans="1:13" x14ac:dyDescent="0.25">
      <c r="A225" s="23">
        <f t="shared" si="12"/>
        <v>256830</v>
      </c>
      <c r="B225" s="14" t="str">
        <f t="shared" si="10"/>
        <v>Direct Debit (UMB Bank) - Credits</v>
      </c>
      <c r="C225" s="37">
        <v>46157</v>
      </c>
      <c r="D225" s="31">
        <v>256830</v>
      </c>
      <c r="E225" s="33" t="str">
        <f>IF(Table3[[#This Row],[Type Received]]=2,"CC",(IF(Table3[[#This Row],[Type Received]]=3,"BILL","ACH")))</f>
        <v>ACH</v>
      </c>
      <c r="F225" s="32">
        <v>48.97</v>
      </c>
      <c r="G225" s="14" t="str">
        <f>VLOOKUP(D225,Table4[],3,FALSE)</f>
        <v>2</v>
      </c>
      <c r="H225" s="15"/>
      <c r="I225" s="15"/>
      <c r="J225" s="24" t="s">
        <v>87</v>
      </c>
      <c r="K225" s="15">
        <v>696626141</v>
      </c>
      <c r="L225" s="15" t="s">
        <v>29</v>
      </c>
      <c r="M225" s="15"/>
    </row>
    <row r="226" spans="1:13" x14ac:dyDescent="0.25">
      <c r="A226" s="23">
        <f t="shared" si="12"/>
        <v>256845</v>
      </c>
      <c r="B226" s="14" t="str">
        <f t="shared" si="10"/>
        <v>Direct Debit (UMB Bank) - Credits</v>
      </c>
      <c r="C226" s="38">
        <v>46144</v>
      </c>
      <c r="D226" s="34">
        <v>256845</v>
      </c>
      <c r="E226" s="36" t="str">
        <f>IF(Table3[[#This Row],[Type Received]]=2,"CC",(IF(Table3[[#This Row],[Type Received]]=3,"BILL","ACH")))</f>
        <v>ACH</v>
      </c>
      <c r="F226" s="35">
        <v>83.29</v>
      </c>
      <c r="G226" s="14" t="str">
        <f>VLOOKUP(D226,Table4[],3,FALSE)</f>
        <v>1</v>
      </c>
      <c r="H226" s="15"/>
      <c r="I226" s="15"/>
      <c r="J226" s="15" t="s">
        <v>89</v>
      </c>
      <c r="K226" s="15">
        <v>535368545</v>
      </c>
      <c r="L226" s="15" t="s">
        <v>29</v>
      </c>
      <c r="M226" s="15" t="s">
        <v>29</v>
      </c>
    </row>
    <row r="227" spans="1:13" x14ac:dyDescent="0.25">
      <c r="A227" s="23">
        <f t="shared" si="12"/>
        <v>256846</v>
      </c>
      <c r="B227" s="14" t="str">
        <f t="shared" si="10"/>
        <v>Direct Debit (UMB Bank) - Credits</v>
      </c>
      <c r="C227" s="37">
        <v>46144</v>
      </c>
      <c r="D227" s="31">
        <v>256846</v>
      </c>
      <c r="E227" s="33" t="str">
        <f>IF(Table3[[#This Row],[Type Received]]=2,"CC",(IF(Table3[[#This Row],[Type Received]]=3,"BILL","ACH")))</f>
        <v>ACH</v>
      </c>
      <c r="F227" s="32">
        <v>67.45</v>
      </c>
      <c r="G227" s="14" t="str">
        <f>VLOOKUP(D227,Table4[],3,FALSE)</f>
        <v>1</v>
      </c>
      <c r="H227" s="15"/>
      <c r="I227" s="15"/>
      <c r="J227" s="15" t="s">
        <v>89</v>
      </c>
      <c r="K227" s="15">
        <v>535324076</v>
      </c>
      <c r="L227" s="15" t="s">
        <v>29</v>
      </c>
      <c r="M227" s="15" t="s">
        <v>29</v>
      </c>
    </row>
    <row r="228" spans="1:13" x14ac:dyDescent="0.25">
      <c r="A228" s="23">
        <f t="shared" si="12"/>
        <v>256853</v>
      </c>
      <c r="B228" s="14" t="str">
        <f t="shared" si="10"/>
        <v>Credit Cards (UMB) - Credits</v>
      </c>
      <c r="C228" s="38">
        <v>46149</v>
      </c>
      <c r="D228" s="34">
        <v>256853</v>
      </c>
      <c r="E228" s="36" t="str">
        <f>IF(Table3[[#This Row],[Type Received]]=2,"CC",(IF(Table3[[#This Row],[Type Received]]=3,"BILL","ACH")))</f>
        <v>CC</v>
      </c>
      <c r="F228" s="35">
        <v>37.75</v>
      </c>
      <c r="G228" s="14" t="str">
        <f>VLOOKUP(D228,Table4[],3,FALSE)</f>
        <v>2</v>
      </c>
      <c r="H228" s="15"/>
      <c r="I228" s="15"/>
      <c r="J228" s="24" t="s">
        <v>109</v>
      </c>
      <c r="K228" s="15">
        <v>594881025</v>
      </c>
      <c r="L228" s="15" t="s">
        <v>29</v>
      </c>
      <c r="M228" s="15" t="s">
        <v>29</v>
      </c>
    </row>
    <row r="229" spans="1:13" x14ac:dyDescent="0.25">
      <c r="A229" s="23">
        <f t="shared" si="12"/>
        <v>256855</v>
      </c>
      <c r="B229" s="14" t="str">
        <f t="shared" si="10"/>
        <v>Direct Debit (UMB Bank) - Credits</v>
      </c>
      <c r="C229" s="37">
        <v>46155</v>
      </c>
      <c r="D229" s="31">
        <v>256855</v>
      </c>
      <c r="E229" s="33" t="str">
        <f>IF(Table3[[#This Row],[Type Received]]=2,"CC",(IF(Table3[[#This Row],[Type Received]]=3,"BILL","ACH")))</f>
        <v>ACH</v>
      </c>
      <c r="F229" s="32">
        <v>98.8</v>
      </c>
      <c r="G229" s="14" t="str">
        <f>VLOOKUP(D229,Table4[],3,FALSE)</f>
        <v>2</v>
      </c>
      <c r="H229" s="15"/>
      <c r="I229" s="15">
        <v>3559</v>
      </c>
      <c r="J229" s="15" t="s">
        <v>28</v>
      </c>
      <c r="K229" s="15">
        <v>669424996</v>
      </c>
      <c r="L229" s="15" t="s">
        <v>29</v>
      </c>
      <c r="M229" s="15" t="s">
        <v>29</v>
      </c>
    </row>
    <row r="230" spans="1:13" x14ac:dyDescent="0.25">
      <c r="A230" s="23">
        <f t="shared" si="12"/>
        <v>256857</v>
      </c>
      <c r="B230" s="14" t="str">
        <f t="shared" si="10"/>
        <v>Direct Debit (UMB Bank) - Credits</v>
      </c>
      <c r="C230" s="38">
        <v>46144</v>
      </c>
      <c r="D230" s="34">
        <v>256857</v>
      </c>
      <c r="E230" s="36" t="str">
        <f>IF(Table3[[#This Row],[Type Received]]=2,"CC",(IF(Table3[[#This Row],[Type Received]]=3,"BILL","ACH")))</f>
        <v>ACH</v>
      </c>
      <c r="F230" s="35">
        <v>113.98</v>
      </c>
      <c r="G230" s="14" t="str">
        <f>VLOOKUP(D230,Table4[],3,FALSE)</f>
        <v>2</v>
      </c>
      <c r="H230" s="15"/>
      <c r="I230" s="15"/>
      <c r="J230" s="15" t="s">
        <v>89</v>
      </c>
      <c r="K230" s="15">
        <v>535346337</v>
      </c>
      <c r="L230" s="15" t="s">
        <v>29</v>
      </c>
      <c r="M230" s="15" t="s">
        <v>29</v>
      </c>
    </row>
    <row r="231" spans="1:13" x14ac:dyDescent="0.25">
      <c r="A231" s="23">
        <f t="shared" si="12"/>
        <v>256860</v>
      </c>
      <c r="B231" s="14" t="str">
        <f t="shared" si="10"/>
        <v>Credit Cards (UMB) - Credits</v>
      </c>
      <c r="C231" s="37">
        <v>46144</v>
      </c>
      <c r="D231" s="31">
        <v>256860</v>
      </c>
      <c r="E231" s="33" t="str">
        <f>IF(Table3[[#This Row],[Type Received]]=2,"CC",(IF(Table3[[#This Row],[Type Received]]=3,"BILL","ACH")))</f>
        <v>CC</v>
      </c>
      <c r="F231" s="32">
        <v>93.52</v>
      </c>
      <c r="G231" s="14" t="str">
        <f>VLOOKUP(D231,Table4[],3,FALSE)</f>
        <v>2</v>
      </c>
      <c r="H231" s="15"/>
      <c r="I231" s="15"/>
      <c r="J231" s="15" t="s">
        <v>89</v>
      </c>
      <c r="K231" s="15">
        <v>535335779</v>
      </c>
      <c r="L231" s="15" t="s">
        <v>29</v>
      </c>
      <c r="M231" s="15"/>
    </row>
    <row r="232" spans="1:13" x14ac:dyDescent="0.25">
      <c r="A232" s="23">
        <f t="shared" si="12"/>
        <v>256861</v>
      </c>
      <c r="B232" s="14" t="str">
        <f t="shared" si="10"/>
        <v>Direct Debit (UMB Bank) - Credits</v>
      </c>
      <c r="C232" s="38">
        <v>46149</v>
      </c>
      <c r="D232" s="34">
        <v>256861</v>
      </c>
      <c r="E232" s="36" t="str">
        <f>IF(Table3[[#This Row],[Type Received]]=2,"CC",(IF(Table3[[#This Row],[Type Received]]=3,"BILL","ACH")))</f>
        <v>ACH</v>
      </c>
      <c r="F232" s="35">
        <v>120.27</v>
      </c>
      <c r="G232" s="14" t="str">
        <f>VLOOKUP(D232,Table4[],3,FALSE)</f>
        <v>2</v>
      </c>
      <c r="H232" s="15"/>
      <c r="I232" s="15">
        <v>97054</v>
      </c>
      <c r="J232" s="24" t="s">
        <v>28</v>
      </c>
      <c r="K232" s="15">
        <v>595774878</v>
      </c>
      <c r="L232" s="15" t="s">
        <v>29</v>
      </c>
      <c r="M232" s="15"/>
    </row>
    <row r="233" spans="1:13" x14ac:dyDescent="0.25">
      <c r="A233" s="23">
        <f t="shared" si="12"/>
        <v>256863</v>
      </c>
      <c r="B233" s="14" t="str">
        <f t="shared" si="10"/>
        <v>Direct Debit (UMB Bank) - Credits</v>
      </c>
      <c r="C233" s="37">
        <v>46157</v>
      </c>
      <c r="D233" s="31">
        <v>256863</v>
      </c>
      <c r="E233" s="33" t="str">
        <f>IF(Table3[[#This Row],[Type Received]]=2,"CC",(IF(Table3[[#This Row],[Type Received]]=3,"BILL","ACH")))</f>
        <v>ACH</v>
      </c>
      <c r="F233" s="32">
        <v>65.14</v>
      </c>
      <c r="G233" s="14" t="str">
        <f>VLOOKUP(D233,Table4[],3,FALSE)</f>
        <v>2</v>
      </c>
      <c r="H233" s="15"/>
      <c r="I233" s="15"/>
      <c r="J233" s="15" t="s">
        <v>87</v>
      </c>
      <c r="K233" s="15">
        <v>696607887</v>
      </c>
      <c r="L233" s="15" t="s">
        <v>29</v>
      </c>
      <c r="M233" s="15" t="s">
        <v>29</v>
      </c>
    </row>
    <row r="234" spans="1:13" x14ac:dyDescent="0.25">
      <c r="A234" s="23">
        <f t="shared" si="12"/>
        <v>256875</v>
      </c>
      <c r="B234" s="14" t="str">
        <f t="shared" si="10"/>
        <v>Direct Debit (UMB Bank) - Credits</v>
      </c>
      <c r="C234" s="38">
        <v>46144</v>
      </c>
      <c r="D234" s="34">
        <v>256875</v>
      </c>
      <c r="E234" s="36" t="str">
        <f>IF(Table3[[#This Row],[Type Received]]=2,"CC",(IF(Table3[[#This Row],[Type Received]]=3,"BILL","ACH")))</f>
        <v>ACH</v>
      </c>
      <c r="F234" s="35">
        <v>149.94999999999999</v>
      </c>
      <c r="G234" s="14" t="str">
        <f>VLOOKUP(D234,Table4[],3,FALSE)</f>
        <v>2</v>
      </c>
      <c r="H234" s="15"/>
      <c r="I234" s="15"/>
      <c r="J234" s="15" t="s">
        <v>89</v>
      </c>
      <c r="K234" s="15">
        <v>535350252</v>
      </c>
      <c r="L234" s="15" t="s">
        <v>29</v>
      </c>
      <c r="M234" s="15" t="s">
        <v>29</v>
      </c>
    </row>
    <row r="235" spans="1:13" x14ac:dyDescent="0.25">
      <c r="A235" s="23">
        <f t="shared" si="12"/>
        <v>256888</v>
      </c>
      <c r="B235" s="14" t="str">
        <f t="shared" si="10"/>
        <v>Direct Debit (UMB Bank) - Credits</v>
      </c>
      <c r="C235" s="37">
        <v>46158</v>
      </c>
      <c r="D235" s="31">
        <v>256888</v>
      </c>
      <c r="E235" s="33" t="str">
        <f>IF(Table3[[#This Row],[Type Received]]=2,"CC",(IF(Table3[[#This Row],[Type Received]]=3,"BILL","ACH")))</f>
        <v>ACH</v>
      </c>
      <c r="F235" s="32">
        <v>46.77</v>
      </c>
      <c r="G235" s="14" t="str">
        <f>VLOOKUP(D235,Table4[],3,FALSE)</f>
        <v>1</v>
      </c>
      <c r="H235" s="15"/>
      <c r="I235" s="15"/>
      <c r="J235" s="24" t="s">
        <v>106</v>
      </c>
      <c r="K235" s="15">
        <v>710027551</v>
      </c>
      <c r="L235" s="15" t="s">
        <v>29</v>
      </c>
      <c r="M235" s="15" t="s">
        <v>29</v>
      </c>
    </row>
    <row r="236" spans="1:13" x14ac:dyDescent="0.25">
      <c r="A236" s="23">
        <f t="shared" si="12"/>
        <v>256893</v>
      </c>
      <c r="B236" s="14" t="str">
        <f t="shared" si="10"/>
        <v>Direct Debit (UMB Bank) - Credits</v>
      </c>
      <c r="C236" s="38">
        <v>46144</v>
      </c>
      <c r="D236" s="34">
        <v>256893</v>
      </c>
      <c r="E236" s="36" t="str">
        <f>IF(Table3[[#This Row],[Type Received]]=2,"CC",(IF(Table3[[#This Row],[Type Received]]=3,"BILL","ACH")))</f>
        <v>ACH</v>
      </c>
      <c r="F236" s="35">
        <v>31.81</v>
      </c>
      <c r="G236" s="14" t="str">
        <f>VLOOKUP(D236,Table4[],3,FALSE)</f>
        <v>1</v>
      </c>
      <c r="H236" s="15"/>
      <c r="I236" s="15"/>
      <c r="J236" s="24" t="s">
        <v>89</v>
      </c>
      <c r="K236" s="15">
        <v>535349321</v>
      </c>
      <c r="L236" s="15" t="s">
        <v>29</v>
      </c>
      <c r="M236" s="15" t="s">
        <v>29</v>
      </c>
    </row>
    <row r="237" spans="1:13" x14ac:dyDescent="0.25">
      <c r="A237" s="23">
        <f t="shared" si="12"/>
        <v>256894</v>
      </c>
      <c r="B237" s="14" t="str">
        <f t="shared" si="10"/>
        <v>Direct Debit (UMB Bank) - Credits</v>
      </c>
      <c r="C237" s="37">
        <v>46158</v>
      </c>
      <c r="D237" s="31">
        <v>256894</v>
      </c>
      <c r="E237" s="33" t="str">
        <f>IF(Table3[[#This Row],[Type Received]]=2,"CC",(IF(Table3[[#This Row],[Type Received]]=3,"BILL","ACH")))</f>
        <v>ACH</v>
      </c>
      <c r="F237" s="32">
        <v>39.51</v>
      </c>
      <c r="G237" s="14" t="str">
        <f>VLOOKUP(D237,Table4[],3,FALSE)</f>
        <v>1</v>
      </c>
      <c r="H237" s="15"/>
      <c r="I237" s="15"/>
      <c r="J237" s="15" t="s">
        <v>106</v>
      </c>
      <c r="K237" s="15">
        <v>710019871</v>
      </c>
      <c r="L237" s="15" t="s">
        <v>29</v>
      </c>
      <c r="M237" s="15" t="s">
        <v>29</v>
      </c>
    </row>
    <row r="238" spans="1:13" x14ac:dyDescent="0.25">
      <c r="A238" s="23">
        <f t="shared" si="12"/>
        <v>256916</v>
      </c>
      <c r="B238" s="14" t="str">
        <f t="shared" si="10"/>
        <v>Direct Debit (UMB Bank) - Credits</v>
      </c>
      <c r="C238" s="38">
        <v>46168</v>
      </c>
      <c r="D238" s="34">
        <v>256916</v>
      </c>
      <c r="E238" s="36" t="str">
        <f>IF(Table3[[#This Row],[Type Received]]=2,"CC",(IF(Table3[[#This Row],[Type Received]]=3,"BILL","ACH")))</f>
        <v>ACH</v>
      </c>
      <c r="F238" s="35">
        <v>48.53</v>
      </c>
      <c r="G238" s="14" t="str">
        <f>VLOOKUP(D238,Table4[],3,FALSE)</f>
        <v>1</v>
      </c>
      <c r="H238" s="15"/>
      <c r="I238" s="15"/>
      <c r="J238" s="24" t="s">
        <v>110</v>
      </c>
      <c r="K238" s="15">
        <v>828226152</v>
      </c>
      <c r="L238" s="15" t="s">
        <v>29</v>
      </c>
      <c r="M238" s="15"/>
    </row>
    <row r="239" spans="1:13" x14ac:dyDescent="0.25">
      <c r="A239" s="23">
        <f t="shared" si="12"/>
        <v>256919</v>
      </c>
      <c r="B239" s="14" t="str">
        <f t="shared" si="10"/>
        <v>Credit Cards (UMB) - Credits</v>
      </c>
      <c r="C239" s="37">
        <v>46156</v>
      </c>
      <c r="D239" s="31">
        <v>256919</v>
      </c>
      <c r="E239" s="33" t="str">
        <f>IF(Table3[[#This Row],[Type Received]]=2,"CC",(IF(Table3[[#This Row],[Type Received]]=3,"BILL","ACH")))</f>
        <v>CC</v>
      </c>
      <c r="F239" s="32">
        <v>34.119999999999997</v>
      </c>
      <c r="G239" s="14" t="str">
        <f>VLOOKUP(D239,Table4[],3,FALSE)</f>
        <v>2</v>
      </c>
      <c r="H239" s="15"/>
      <c r="I239" s="15"/>
      <c r="J239" s="15" t="s">
        <v>93</v>
      </c>
      <c r="K239" s="15">
        <v>682512812</v>
      </c>
      <c r="L239" s="15" t="s">
        <v>29</v>
      </c>
      <c r="M239" s="15" t="s">
        <v>29</v>
      </c>
    </row>
    <row r="240" spans="1:13" x14ac:dyDescent="0.25">
      <c r="A240" s="23">
        <f t="shared" si="12"/>
        <v>256920</v>
      </c>
      <c r="B240" s="14" t="str">
        <f t="shared" si="10"/>
        <v>Credit Cards (UMB) - Credits</v>
      </c>
      <c r="C240" s="38">
        <v>46149</v>
      </c>
      <c r="D240" s="34">
        <v>256920</v>
      </c>
      <c r="E240" s="36" t="str">
        <f>IF(Table3[[#This Row],[Type Received]]=2,"CC",(IF(Table3[[#This Row],[Type Received]]=3,"BILL","ACH")))</f>
        <v>CC</v>
      </c>
      <c r="F240" s="35">
        <v>74.73</v>
      </c>
      <c r="G240" s="14" t="str">
        <f>VLOOKUP(D240,Table4[],3,FALSE)</f>
        <v>2</v>
      </c>
      <c r="H240" s="15"/>
      <c r="I240" s="15" t="s">
        <v>111</v>
      </c>
      <c r="J240" s="15" t="s">
        <v>28</v>
      </c>
      <c r="K240" s="15">
        <v>597343536</v>
      </c>
      <c r="L240" s="15" t="s">
        <v>29</v>
      </c>
      <c r="M240" s="15"/>
    </row>
    <row r="241" spans="1:13" x14ac:dyDescent="0.25">
      <c r="A241" s="23">
        <f t="shared" si="12"/>
        <v>256930</v>
      </c>
      <c r="B241" s="14" t="str">
        <f t="shared" si="10"/>
        <v>Direct Debit (UMB Bank) - Credits</v>
      </c>
      <c r="C241" s="37">
        <v>46155</v>
      </c>
      <c r="D241" s="31">
        <v>256930</v>
      </c>
      <c r="E241" s="33" t="str">
        <f>IF(Table3[[#This Row],[Type Received]]=2,"CC",(IF(Table3[[#This Row],[Type Received]]=3,"BILL","ACH")))</f>
        <v>ACH</v>
      </c>
      <c r="F241" s="32">
        <v>87.58</v>
      </c>
      <c r="G241" s="14" t="str">
        <f>VLOOKUP(D241,Table4[],3,FALSE)</f>
        <v>2</v>
      </c>
      <c r="H241" s="15"/>
      <c r="I241" s="15">
        <v>100601</v>
      </c>
      <c r="J241" s="15" t="s">
        <v>28</v>
      </c>
      <c r="K241" s="15">
        <v>669429887</v>
      </c>
      <c r="L241" s="15" t="s">
        <v>29</v>
      </c>
      <c r="M241" s="15"/>
    </row>
    <row r="242" spans="1:13" x14ac:dyDescent="0.25">
      <c r="A242" s="23">
        <f t="shared" si="12"/>
        <v>256932</v>
      </c>
      <c r="B242" s="14" t="str">
        <f t="shared" si="10"/>
        <v>Direct Debit (UMB Bank) - Credits</v>
      </c>
      <c r="C242" s="38">
        <v>46144</v>
      </c>
      <c r="D242" s="34">
        <v>256932</v>
      </c>
      <c r="E242" s="36" t="str">
        <f>IF(Table3[[#This Row],[Type Received]]=2,"CC",(IF(Table3[[#This Row],[Type Received]]=3,"BILL","ACH")))</f>
        <v>ACH</v>
      </c>
      <c r="F242" s="35">
        <v>67.45</v>
      </c>
      <c r="G242" s="14" t="str">
        <f>VLOOKUP(D242,Table4[],3,FALSE)</f>
        <v>2</v>
      </c>
      <c r="H242" s="15"/>
      <c r="I242" s="15"/>
      <c r="J242" s="15" t="s">
        <v>89</v>
      </c>
      <c r="K242" s="15">
        <v>535350309</v>
      </c>
      <c r="L242" s="15" t="s">
        <v>29</v>
      </c>
      <c r="M242" s="15" t="s">
        <v>29</v>
      </c>
    </row>
    <row r="243" spans="1:13" x14ac:dyDescent="0.25">
      <c r="A243" s="23">
        <f t="shared" si="12"/>
        <v>256933</v>
      </c>
      <c r="B243" s="14" t="str">
        <f t="shared" si="10"/>
        <v>Direct Debit (UMB Bank) - Credits</v>
      </c>
      <c r="C243" s="37">
        <v>46144</v>
      </c>
      <c r="D243" s="31">
        <v>256933</v>
      </c>
      <c r="E243" s="33" t="str">
        <f>IF(Table3[[#This Row],[Type Received]]=2,"CC",(IF(Table3[[#This Row],[Type Received]]=3,"BILL","ACH")))</f>
        <v>ACH</v>
      </c>
      <c r="F243" s="32">
        <v>53.26</v>
      </c>
      <c r="G243" s="14" t="str">
        <f>VLOOKUP(D243,Table4[],3,FALSE)</f>
        <v>2</v>
      </c>
      <c r="H243" s="15"/>
      <c r="I243" s="15"/>
      <c r="J243" s="15" t="s">
        <v>89</v>
      </c>
      <c r="K243" s="15">
        <v>535346493</v>
      </c>
      <c r="L243" s="15" t="s">
        <v>29</v>
      </c>
      <c r="M243" s="15" t="s">
        <v>29</v>
      </c>
    </row>
    <row r="244" spans="1:13" x14ac:dyDescent="0.25">
      <c r="A244" s="23">
        <f t="shared" si="12"/>
        <v>256940</v>
      </c>
      <c r="B244" s="14" t="str">
        <f t="shared" si="10"/>
        <v>Direct Debit (UMB Bank) - Credits</v>
      </c>
      <c r="C244" s="38">
        <v>46158</v>
      </c>
      <c r="D244" s="34">
        <v>256940</v>
      </c>
      <c r="E244" s="36" t="str">
        <f>IF(Table3[[#This Row],[Type Received]]=2,"CC",(IF(Table3[[#This Row],[Type Received]]=3,"BILL","ACH")))</f>
        <v>ACH</v>
      </c>
      <c r="F244" s="35">
        <v>88.9</v>
      </c>
      <c r="G244" s="14" t="str">
        <f>VLOOKUP(D244,Table4[],3,FALSE)</f>
        <v>2</v>
      </c>
      <c r="H244" s="15"/>
      <c r="I244" s="15"/>
      <c r="J244" s="15" t="s">
        <v>106</v>
      </c>
      <c r="K244" s="15">
        <v>710026649</v>
      </c>
      <c r="L244" s="15" t="s">
        <v>29</v>
      </c>
      <c r="M244" s="15" t="s">
        <v>29</v>
      </c>
    </row>
    <row r="245" spans="1:13" x14ac:dyDescent="0.25">
      <c r="A245" s="23">
        <f t="shared" si="12"/>
        <v>256942</v>
      </c>
      <c r="B245" s="14" t="str">
        <f t="shared" si="10"/>
        <v>Billing - Credits (from TPA)</v>
      </c>
      <c r="C245" s="37">
        <v>46144</v>
      </c>
      <c r="D245" s="31">
        <v>256942</v>
      </c>
      <c r="E245" s="33" t="str">
        <f>IF(Table3[[#This Row],[Type Received]]=2,"CC",(IF(Table3[[#This Row],[Type Received]]=3,"BILL","ACH")))</f>
        <v>BILL</v>
      </c>
      <c r="F245" s="32">
        <v>47.65</v>
      </c>
      <c r="G245" s="14" t="str">
        <f>VLOOKUP(D245,Table4[],3,FALSE)</f>
        <v>1</v>
      </c>
      <c r="H245" s="15"/>
      <c r="I245" s="15"/>
      <c r="J245" s="15" t="s">
        <v>89</v>
      </c>
      <c r="K245" s="15">
        <v>535358171</v>
      </c>
      <c r="L245" s="15" t="s">
        <v>29</v>
      </c>
      <c r="M245" s="15" t="s">
        <v>29</v>
      </c>
    </row>
    <row r="246" spans="1:13" x14ac:dyDescent="0.25">
      <c r="A246" s="23">
        <f t="shared" si="12"/>
        <v>256946</v>
      </c>
      <c r="B246" s="14" t="str">
        <f t="shared" si="10"/>
        <v>Direct Debit (UMB Bank) - Credits</v>
      </c>
      <c r="C246" s="38">
        <v>46146</v>
      </c>
      <c r="D246" s="34">
        <v>256946</v>
      </c>
      <c r="E246" s="36" t="str">
        <f>IF(Table3[[#This Row],[Type Received]]=2,"CC",(IF(Table3[[#This Row],[Type Received]]=3,"BILL","ACH")))</f>
        <v>ACH</v>
      </c>
      <c r="F246" s="35">
        <v>89.5</v>
      </c>
      <c r="G246" s="14" t="str">
        <f>VLOOKUP(D246,Table4[],3,FALSE)</f>
        <v>1</v>
      </c>
      <c r="H246" s="15">
        <v>2497</v>
      </c>
      <c r="I246" s="15"/>
      <c r="J246" s="15"/>
      <c r="K246" s="15"/>
      <c r="L246" s="15"/>
      <c r="M246" s="15" t="s">
        <v>29</v>
      </c>
    </row>
    <row r="247" spans="1:13" x14ac:dyDescent="0.25">
      <c r="A247" s="23">
        <f t="shared" si="12"/>
        <v>256970</v>
      </c>
      <c r="B247" s="14" t="str">
        <f t="shared" si="10"/>
        <v>Direct Debit (UMB Bank) - Credits</v>
      </c>
      <c r="C247" s="37">
        <v>46146</v>
      </c>
      <c r="D247" s="31">
        <v>256970</v>
      </c>
      <c r="E247" s="33" t="str">
        <f>IF(Table3[[#This Row],[Type Received]]=2,"CC",(IF(Table3[[#This Row],[Type Received]]=3,"BILL","ACH")))</f>
        <v>ACH</v>
      </c>
      <c r="F247" s="32">
        <v>71.41</v>
      </c>
      <c r="G247" s="14" t="str">
        <f>VLOOKUP(D247,Table4[],3,FALSE)</f>
        <v>1</v>
      </c>
      <c r="H247" s="15"/>
      <c r="I247" s="15"/>
      <c r="J247" s="15" t="s">
        <v>92</v>
      </c>
      <c r="K247" s="15">
        <v>557084281</v>
      </c>
      <c r="L247" s="15" t="s">
        <v>29</v>
      </c>
      <c r="M247" s="15" t="s">
        <v>29</v>
      </c>
    </row>
    <row r="248" spans="1:13" x14ac:dyDescent="0.25">
      <c r="A248" s="23">
        <f t="shared" si="12"/>
        <v>256971</v>
      </c>
      <c r="B248" s="14" t="str">
        <f t="shared" si="10"/>
        <v>Credit Cards (UMB) - Credits</v>
      </c>
      <c r="C248" s="38">
        <v>46157</v>
      </c>
      <c r="D248" s="34">
        <v>256971</v>
      </c>
      <c r="E248" s="36" t="str">
        <f>IF(Table3[[#This Row],[Type Received]]=2,"CC",(IF(Table3[[#This Row],[Type Received]]=3,"BILL","ACH")))</f>
        <v>CC</v>
      </c>
      <c r="F248" s="35">
        <v>54.91</v>
      </c>
      <c r="G248" s="14" t="str">
        <f>VLOOKUP(D248,Table4[],3,FALSE)</f>
        <v>1</v>
      </c>
      <c r="H248" s="15"/>
      <c r="I248" s="15"/>
      <c r="J248" s="15" t="s">
        <v>87</v>
      </c>
      <c r="K248" s="15">
        <v>696672224</v>
      </c>
      <c r="L248" s="15" t="s">
        <v>29</v>
      </c>
      <c r="M248" s="15"/>
    </row>
    <row r="249" spans="1:13" x14ac:dyDescent="0.25">
      <c r="A249" s="23">
        <f t="shared" si="12"/>
        <v>256979</v>
      </c>
      <c r="B249" s="14" t="str">
        <f t="shared" si="10"/>
        <v>Credit Cards (UMB) - Credits</v>
      </c>
      <c r="C249" s="37">
        <v>46155</v>
      </c>
      <c r="D249" s="31">
        <v>256979</v>
      </c>
      <c r="E249" s="33" t="str">
        <f>IF(Table3[[#This Row],[Type Received]]=2,"CC",(IF(Table3[[#This Row],[Type Received]]=3,"BILL","ACH")))</f>
        <v>CC</v>
      </c>
      <c r="F249" s="32">
        <v>56.45</v>
      </c>
      <c r="G249" s="14" t="str">
        <f>VLOOKUP(D249,Table4[],3,FALSE)</f>
        <v>1</v>
      </c>
      <c r="H249" s="15"/>
      <c r="I249" s="15" t="s">
        <v>112</v>
      </c>
      <c r="J249" s="24" t="s">
        <v>28</v>
      </c>
      <c r="K249" s="15">
        <v>669437752</v>
      </c>
      <c r="L249" s="15" t="s">
        <v>29</v>
      </c>
      <c r="M249" s="15"/>
    </row>
    <row r="250" spans="1:13" x14ac:dyDescent="0.25">
      <c r="A250" s="23">
        <f t="shared" si="12"/>
        <v>256980</v>
      </c>
      <c r="B250" s="14" t="str">
        <f t="shared" si="10"/>
        <v>Direct Debit (UMB Bank) - Credits</v>
      </c>
      <c r="C250" s="38">
        <v>46155</v>
      </c>
      <c r="D250" s="34">
        <v>256980</v>
      </c>
      <c r="E250" s="36" t="str">
        <f>IF(Table3[[#This Row],[Type Received]]=2,"CC",(IF(Table3[[#This Row],[Type Received]]=3,"BILL","ACH")))</f>
        <v>ACH</v>
      </c>
      <c r="F250" s="35">
        <v>86.37</v>
      </c>
      <c r="G250" s="14" t="str">
        <f>VLOOKUP(D250,Table4[],3,FALSE)</f>
        <v>1</v>
      </c>
      <c r="H250" s="15"/>
      <c r="I250" s="15">
        <v>139373</v>
      </c>
      <c r="J250" s="15" t="s">
        <v>28</v>
      </c>
      <c r="K250" s="15">
        <v>669441612</v>
      </c>
      <c r="L250" s="15" t="s">
        <v>29</v>
      </c>
      <c r="M250" s="15" t="s">
        <v>29</v>
      </c>
    </row>
    <row r="251" spans="1:13" x14ac:dyDescent="0.25">
      <c r="A251" s="23">
        <f t="shared" ref="A251:A278" si="13">D251</f>
        <v>256984</v>
      </c>
      <c r="B251" s="14" t="str">
        <f t="shared" si="10"/>
        <v>Direct Debit (UMB Bank) - Credits</v>
      </c>
      <c r="C251" s="37">
        <v>46146</v>
      </c>
      <c r="D251" s="31">
        <v>256984</v>
      </c>
      <c r="E251" s="33" t="str">
        <f>IF(Table3[[#This Row],[Type Received]]=2,"CC",(IF(Table3[[#This Row],[Type Received]]=3,"BILL","ACH")))</f>
        <v>ACH</v>
      </c>
      <c r="F251" s="32">
        <v>185.56</v>
      </c>
      <c r="G251" s="14" t="str">
        <f>VLOOKUP(D251,Table4[],3,FALSE)</f>
        <v>2</v>
      </c>
      <c r="H251" s="15"/>
      <c r="I251" s="15"/>
      <c r="J251" s="15" t="s">
        <v>92</v>
      </c>
      <c r="K251" s="15">
        <v>562611346</v>
      </c>
      <c r="L251" s="15" t="s">
        <v>29</v>
      </c>
      <c r="M251" s="15" t="s">
        <v>29</v>
      </c>
    </row>
    <row r="252" spans="1:13" x14ac:dyDescent="0.25">
      <c r="A252" s="23">
        <f t="shared" si="13"/>
        <v>256985</v>
      </c>
      <c r="B252" s="14" t="str">
        <f t="shared" si="10"/>
        <v>Direct Debit (UMB Bank) - Credits</v>
      </c>
      <c r="C252" s="38">
        <v>46145</v>
      </c>
      <c r="D252" s="34">
        <v>256985</v>
      </c>
      <c r="E252" s="36" t="str">
        <f>IF(Table3[[#This Row],[Type Received]]=2,"CC",(IF(Table3[[#This Row],[Type Received]]=3,"BILL","ACH")))</f>
        <v>ACH</v>
      </c>
      <c r="F252" s="35">
        <v>116.51</v>
      </c>
      <c r="G252" s="14" t="str">
        <f>VLOOKUP(D252,Table4[],3,FALSE)</f>
        <v>1</v>
      </c>
      <c r="H252" s="15"/>
      <c r="I252" s="15"/>
      <c r="J252" s="15" t="s">
        <v>113</v>
      </c>
      <c r="K252" s="15">
        <v>546423595</v>
      </c>
      <c r="L252" s="15" t="s">
        <v>29</v>
      </c>
      <c r="M252" s="15" t="s">
        <v>29</v>
      </c>
    </row>
    <row r="253" spans="1:13" x14ac:dyDescent="0.25">
      <c r="A253" s="23">
        <f t="shared" si="13"/>
        <v>256986</v>
      </c>
      <c r="B253" s="14" t="str">
        <f t="shared" si="10"/>
        <v>Direct Debit (UMB Bank) - Credits</v>
      </c>
      <c r="C253" s="37">
        <v>46144</v>
      </c>
      <c r="D253" s="31">
        <v>256986</v>
      </c>
      <c r="E253" s="33" t="str">
        <f>IF(Table3[[#This Row],[Type Received]]=2,"CC",(IF(Table3[[#This Row],[Type Received]]=3,"BILL","ACH")))</f>
        <v>ACH</v>
      </c>
      <c r="F253" s="32">
        <v>106.83</v>
      </c>
      <c r="G253" s="14" t="str">
        <f>VLOOKUP(D253,Table4[],3,FALSE)</f>
        <v>1</v>
      </c>
      <c r="H253" s="15"/>
      <c r="I253" s="15"/>
      <c r="J253" s="15" t="s">
        <v>89</v>
      </c>
      <c r="K253" s="15">
        <v>535360137</v>
      </c>
      <c r="L253" s="15" t="s">
        <v>29</v>
      </c>
      <c r="M253" s="15" t="s">
        <v>29</v>
      </c>
    </row>
    <row r="254" spans="1:13" x14ac:dyDescent="0.25">
      <c r="A254" s="23">
        <f t="shared" si="13"/>
        <v>256990</v>
      </c>
      <c r="B254" s="14" t="str">
        <f t="shared" si="10"/>
        <v>Direct Debit (UMB Bank) - Credits</v>
      </c>
      <c r="C254" s="38">
        <v>46158</v>
      </c>
      <c r="D254" s="34">
        <v>256990</v>
      </c>
      <c r="E254" s="36" t="str">
        <f>IF(Table3[[#This Row],[Type Received]]=2,"CC",(IF(Table3[[#This Row],[Type Received]]=3,"BILL","ACH")))</f>
        <v>ACH</v>
      </c>
      <c r="F254" s="35">
        <v>77.569999999999993</v>
      </c>
      <c r="G254" s="14" t="str">
        <f>VLOOKUP(D254,Table4[],3,FALSE)</f>
        <v>1</v>
      </c>
      <c r="H254" s="15"/>
      <c r="I254" s="15"/>
      <c r="J254" s="15" t="s">
        <v>106</v>
      </c>
      <c r="K254" s="15">
        <v>710038382</v>
      </c>
      <c r="L254" s="15" t="s">
        <v>29</v>
      </c>
      <c r="M254" s="15" t="s">
        <v>29</v>
      </c>
    </row>
    <row r="255" spans="1:13" x14ac:dyDescent="0.25">
      <c r="A255" s="23">
        <f t="shared" si="13"/>
        <v>256993</v>
      </c>
      <c r="B255" s="14" t="str">
        <f t="shared" si="10"/>
        <v>Direct Debit (UMB Bank) - Credits</v>
      </c>
      <c r="C255" s="37">
        <v>46168</v>
      </c>
      <c r="D255" s="31">
        <v>256993</v>
      </c>
      <c r="E255" s="33" t="str">
        <f>IF(Table3[[#This Row],[Type Received]]=2,"CC",(IF(Table3[[#This Row],[Type Received]]=3,"BILL","ACH")))</f>
        <v>ACH</v>
      </c>
      <c r="F255" s="32">
        <v>50.95</v>
      </c>
      <c r="G255" s="14" t="str">
        <f>VLOOKUP(D255,Table4[],3,FALSE)</f>
        <v>1</v>
      </c>
      <c r="H255" s="15"/>
      <c r="I255" s="15"/>
      <c r="J255" s="15" t="s">
        <v>110</v>
      </c>
      <c r="K255" s="15">
        <v>828221484</v>
      </c>
      <c r="L255" s="15" t="s">
        <v>29</v>
      </c>
      <c r="M255" s="15" t="s">
        <v>29</v>
      </c>
    </row>
    <row r="256" spans="1:13" x14ac:dyDescent="0.25">
      <c r="A256" s="23">
        <f t="shared" si="13"/>
        <v>256994</v>
      </c>
      <c r="B256" s="14" t="str">
        <f t="shared" si="10"/>
        <v>Direct Debit (UMB Bank) - Credits</v>
      </c>
      <c r="C256" s="38">
        <v>46144</v>
      </c>
      <c r="D256" s="34">
        <v>256994</v>
      </c>
      <c r="E256" s="36" t="str">
        <f>IF(Table3[[#This Row],[Type Received]]=2,"CC",(IF(Table3[[#This Row],[Type Received]]=3,"BILL","ACH")))</f>
        <v>ACH</v>
      </c>
      <c r="F256" s="35">
        <v>49.85</v>
      </c>
      <c r="G256" s="14" t="str">
        <f>VLOOKUP(D256,Table4[],3,FALSE)</f>
        <v>1</v>
      </c>
      <c r="H256" s="15"/>
      <c r="I256" s="15"/>
      <c r="J256" s="24" t="s">
        <v>89</v>
      </c>
      <c r="K256" s="15">
        <v>535334016</v>
      </c>
      <c r="L256" s="15" t="s">
        <v>29</v>
      </c>
      <c r="M256" s="15" t="s">
        <v>29</v>
      </c>
    </row>
    <row r="257" spans="1:13" x14ac:dyDescent="0.25">
      <c r="A257" s="23">
        <f t="shared" si="13"/>
        <v>257010</v>
      </c>
      <c r="B257" s="14" t="str">
        <f t="shared" si="10"/>
        <v>Direct Debit (UMB Bank) - Credits</v>
      </c>
      <c r="C257" s="37">
        <v>46155</v>
      </c>
      <c r="D257" s="31">
        <v>257010</v>
      </c>
      <c r="E257" s="33" t="str">
        <f>IF(Table3[[#This Row],[Type Received]]=2,"CC",(IF(Table3[[#This Row],[Type Received]]=3,"BILL","ACH")))</f>
        <v>ACH</v>
      </c>
      <c r="F257" s="32">
        <v>48.97</v>
      </c>
      <c r="G257" s="14" t="str">
        <f>VLOOKUP(D257,Table4[],3,FALSE)</f>
        <v>1</v>
      </c>
      <c r="H257" s="15"/>
      <c r="I257" s="15"/>
      <c r="J257" s="15" t="s">
        <v>90</v>
      </c>
      <c r="K257" s="15">
        <v>669426978</v>
      </c>
      <c r="L257" s="15" t="s">
        <v>29</v>
      </c>
      <c r="M257" s="15" t="s">
        <v>29</v>
      </c>
    </row>
    <row r="258" spans="1:13" x14ac:dyDescent="0.25">
      <c r="A258" s="23">
        <f t="shared" si="13"/>
        <v>257012</v>
      </c>
      <c r="B258" s="14" t="str">
        <f t="shared" ref="B258:B321" si="14">IF(AND(E258="BILL",F258&lt;0),"Billing &amp; Direct Debit - Refunds",(IF(AND(E258="BILL",F258&gt;0),"Billing - Credits (from TPA)",(IF(AND(E258="CC",F258&lt;0),"Credit Cards (UMB) - Refunds",(IF(AND(E258="CC",F258&gt;0),"Credit Cards (UMB) - Credits",(IF(AND(E258="ACH",F258&gt;0),"Direct Debit (UMB Bank) - Credits","Direct Debit (UMB Bank) - Returned Items")))))))))</f>
        <v>Direct Debit (UMB Bank) - Credits</v>
      </c>
      <c r="C258" s="38">
        <v>46157</v>
      </c>
      <c r="D258" s="34">
        <v>257012</v>
      </c>
      <c r="E258" s="36" t="str">
        <f>IF(Table3[[#This Row],[Type Received]]=2,"CC",(IF(Table3[[#This Row],[Type Received]]=3,"BILL","ACH")))</f>
        <v>ACH</v>
      </c>
      <c r="F258" s="35">
        <v>40.83</v>
      </c>
      <c r="G258" s="14" t="str">
        <f>VLOOKUP(D258,Table4[],3,FALSE)</f>
        <v>1</v>
      </c>
      <c r="H258" s="15"/>
      <c r="I258" s="15"/>
      <c r="J258" s="15" t="s">
        <v>87</v>
      </c>
      <c r="K258" s="15">
        <v>696665315</v>
      </c>
      <c r="L258" s="15" t="s">
        <v>29</v>
      </c>
      <c r="M258" s="15" t="s">
        <v>29</v>
      </c>
    </row>
    <row r="259" spans="1:13" x14ac:dyDescent="0.25">
      <c r="A259" s="23">
        <f t="shared" si="13"/>
        <v>257014</v>
      </c>
      <c r="B259" s="14" t="str">
        <f t="shared" si="14"/>
        <v>Direct Debit (UMB Bank) - Credits</v>
      </c>
      <c r="C259" s="37">
        <v>46168</v>
      </c>
      <c r="D259" s="31">
        <v>257014</v>
      </c>
      <c r="E259" s="33" t="str">
        <f>IF(Table3[[#This Row],[Type Received]]=2,"CC",(IF(Table3[[#This Row],[Type Received]]=3,"BILL","ACH")))</f>
        <v>ACH</v>
      </c>
      <c r="F259" s="32">
        <v>61.18</v>
      </c>
      <c r="G259" s="14" t="str">
        <f>VLOOKUP(D259,Table4[],3,FALSE)</f>
        <v>2</v>
      </c>
      <c r="H259" s="15"/>
      <c r="I259" s="15"/>
      <c r="J259" s="15" t="s">
        <v>110</v>
      </c>
      <c r="K259" s="15">
        <v>828214822</v>
      </c>
      <c r="L259" s="15" t="s">
        <v>29</v>
      </c>
      <c r="M259" s="15" t="s">
        <v>29</v>
      </c>
    </row>
    <row r="260" spans="1:13" x14ac:dyDescent="0.25">
      <c r="A260" s="23">
        <f t="shared" si="13"/>
        <v>257019</v>
      </c>
      <c r="B260" s="14" t="str">
        <f t="shared" si="14"/>
        <v>Direct Debit (UMB Bank) - Credits</v>
      </c>
      <c r="C260" s="38">
        <v>46158</v>
      </c>
      <c r="D260" s="34">
        <v>257019</v>
      </c>
      <c r="E260" s="36" t="str">
        <f>IF(Table3[[#This Row],[Type Received]]=2,"CC",(IF(Table3[[#This Row],[Type Received]]=3,"BILL","ACH")))</f>
        <v>ACH</v>
      </c>
      <c r="F260" s="35">
        <v>75.59</v>
      </c>
      <c r="G260" s="14" t="str">
        <f>VLOOKUP(D260,Table4[],3,FALSE)</f>
        <v>1</v>
      </c>
      <c r="H260" s="15"/>
      <c r="I260" s="15"/>
      <c r="J260" s="15" t="s">
        <v>106</v>
      </c>
      <c r="K260" s="15">
        <v>710029735</v>
      </c>
      <c r="L260" s="15" t="s">
        <v>29</v>
      </c>
      <c r="M260" s="15" t="s">
        <v>29</v>
      </c>
    </row>
    <row r="261" spans="1:13" x14ac:dyDescent="0.25">
      <c r="A261" s="23">
        <f t="shared" si="13"/>
        <v>257021</v>
      </c>
      <c r="B261" s="14" t="str">
        <f t="shared" si="14"/>
        <v>Direct Debit (UMB Bank) - Credits</v>
      </c>
      <c r="C261" s="37">
        <v>46145</v>
      </c>
      <c r="D261" s="31">
        <v>257021</v>
      </c>
      <c r="E261" s="33" t="str">
        <f>IF(Table3[[#This Row],[Type Received]]=2,"CC",(IF(Table3[[#This Row],[Type Received]]=3,"BILL","ACH")))</f>
        <v>ACH</v>
      </c>
      <c r="F261" s="32">
        <v>77.349999999999994</v>
      </c>
      <c r="G261" s="14" t="str">
        <f>VLOOKUP(D261,Table4[],3,FALSE)</f>
        <v>2</v>
      </c>
      <c r="H261" s="15"/>
      <c r="I261" s="15"/>
      <c r="J261" s="15" t="s">
        <v>113</v>
      </c>
      <c r="K261" s="15">
        <v>546395949</v>
      </c>
      <c r="L261" s="15" t="s">
        <v>29</v>
      </c>
      <c r="M261" s="15"/>
    </row>
    <row r="262" spans="1:13" x14ac:dyDescent="0.25">
      <c r="A262" s="23">
        <f t="shared" si="13"/>
        <v>257023</v>
      </c>
      <c r="B262" s="14" t="str">
        <f t="shared" si="14"/>
        <v>Direct Debit (UMB Bank) - Credits</v>
      </c>
      <c r="C262" s="38">
        <v>46158</v>
      </c>
      <c r="D262" s="34">
        <v>257023</v>
      </c>
      <c r="E262" s="36" t="str">
        <f>IF(Table3[[#This Row],[Type Received]]=2,"CC",(IF(Table3[[#This Row],[Type Received]]=3,"BILL","ACH")))</f>
        <v>ACH</v>
      </c>
      <c r="F262" s="35">
        <v>39.950000000000003</v>
      </c>
      <c r="G262" s="14" t="str">
        <f>VLOOKUP(D262,Table4[],3,FALSE)</f>
        <v>1</v>
      </c>
      <c r="H262" s="15"/>
      <c r="I262" s="15"/>
      <c r="J262" s="15" t="s">
        <v>106</v>
      </c>
      <c r="K262" s="15">
        <v>710041384</v>
      </c>
      <c r="L262" s="15" t="s">
        <v>29</v>
      </c>
      <c r="M262" s="15" t="s">
        <v>29</v>
      </c>
    </row>
    <row r="263" spans="1:13" x14ac:dyDescent="0.25">
      <c r="A263" s="23">
        <f t="shared" si="13"/>
        <v>257031</v>
      </c>
      <c r="B263" s="14" t="str">
        <f t="shared" si="14"/>
        <v>Credit Cards (UMB) - Credits</v>
      </c>
      <c r="C263" s="37">
        <v>46145</v>
      </c>
      <c r="D263" s="31">
        <v>257031</v>
      </c>
      <c r="E263" s="33" t="str">
        <f>IF(Table3[[#This Row],[Type Received]]=2,"CC",(IF(Table3[[#This Row],[Type Received]]=3,"BILL","ACH")))</f>
        <v>CC</v>
      </c>
      <c r="F263" s="32">
        <v>97.81</v>
      </c>
      <c r="G263" s="14" t="str">
        <f>VLOOKUP(D263,Table4[],3,FALSE)</f>
        <v>2</v>
      </c>
      <c r="H263" s="15"/>
      <c r="I263" s="15"/>
      <c r="J263" s="15" t="s">
        <v>113</v>
      </c>
      <c r="K263" s="15">
        <v>546406542</v>
      </c>
      <c r="L263" s="15" t="s">
        <v>29</v>
      </c>
      <c r="M263" s="15" t="s">
        <v>29</v>
      </c>
    </row>
    <row r="264" spans="1:13" x14ac:dyDescent="0.25">
      <c r="A264" s="23">
        <f t="shared" si="13"/>
        <v>257034</v>
      </c>
      <c r="B264" s="14" t="str">
        <f t="shared" si="14"/>
        <v>Direct Debit (UMB Bank) - Credits</v>
      </c>
      <c r="C264" s="38">
        <v>46147</v>
      </c>
      <c r="D264" s="34">
        <v>257034</v>
      </c>
      <c r="E264" s="36" t="str">
        <f>IF(Table3[[#This Row],[Type Received]]=2,"CC",(IF(Table3[[#This Row],[Type Received]]=3,"BILL","ACH")))</f>
        <v>ACH</v>
      </c>
      <c r="F264" s="35">
        <v>107.07</v>
      </c>
      <c r="G264" s="14" t="str">
        <f>VLOOKUP(D264,Table4[],3,FALSE)</f>
        <v>2</v>
      </c>
      <c r="H264" s="15"/>
      <c r="I264" s="15">
        <v>40133</v>
      </c>
      <c r="J264" s="24">
        <v>742576419</v>
      </c>
      <c r="K264" s="15">
        <v>353574606</v>
      </c>
      <c r="L264" s="15"/>
      <c r="M264" s="15" t="s">
        <v>29</v>
      </c>
    </row>
    <row r="265" spans="1:13" x14ac:dyDescent="0.25">
      <c r="A265" s="23">
        <f t="shared" si="13"/>
        <v>257035</v>
      </c>
      <c r="B265" s="14" t="str">
        <f t="shared" si="14"/>
        <v>Billing - Credits (from TPA)</v>
      </c>
      <c r="C265" s="37">
        <v>46158</v>
      </c>
      <c r="D265" s="31">
        <v>257035</v>
      </c>
      <c r="E265" s="33" t="str">
        <f>IF(Table3[[#This Row],[Type Received]]=2,"CC",(IF(Table3[[#This Row],[Type Received]]=3,"BILL","ACH")))</f>
        <v>BILL</v>
      </c>
      <c r="F265" s="32">
        <v>130.15</v>
      </c>
      <c r="G265" s="14" t="str">
        <f>VLOOKUP(D265,Table4[],3,FALSE)</f>
        <v>2</v>
      </c>
      <c r="H265" s="15"/>
      <c r="I265" s="15"/>
      <c r="J265" s="15" t="s">
        <v>106</v>
      </c>
      <c r="K265" s="15">
        <v>710023819</v>
      </c>
      <c r="L265" s="15" t="s">
        <v>29</v>
      </c>
      <c r="M265" s="15" t="s">
        <v>29</v>
      </c>
    </row>
    <row r="266" spans="1:13" x14ac:dyDescent="0.25">
      <c r="A266" s="23">
        <f t="shared" si="13"/>
        <v>257039</v>
      </c>
      <c r="B266" s="14" t="str">
        <f t="shared" si="14"/>
        <v>Direct Debit (UMB Bank) - Credits</v>
      </c>
      <c r="C266" s="38">
        <v>46168</v>
      </c>
      <c r="D266" s="34">
        <v>257039</v>
      </c>
      <c r="E266" s="36" t="str">
        <f>IF(Table3[[#This Row],[Type Received]]=2,"CC",(IF(Table3[[#This Row],[Type Received]]=3,"BILL","ACH")))</f>
        <v>ACH</v>
      </c>
      <c r="F266" s="35">
        <v>404.35</v>
      </c>
      <c r="G266" s="14" t="str">
        <f>VLOOKUP(D266,Table4[],3,FALSE)</f>
        <v>2</v>
      </c>
      <c r="H266" s="15">
        <v>6143</v>
      </c>
      <c r="I266" s="15"/>
      <c r="J266" s="24"/>
      <c r="K266" s="15"/>
      <c r="L266" s="15"/>
      <c r="M266" s="15" t="s">
        <v>29</v>
      </c>
    </row>
    <row r="267" spans="1:13" x14ac:dyDescent="0.25">
      <c r="A267" s="23">
        <f t="shared" si="13"/>
        <v>257045</v>
      </c>
      <c r="B267" s="14" t="str">
        <f t="shared" si="14"/>
        <v>Credit Cards (UMB) - Credits</v>
      </c>
      <c r="C267" s="37">
        <v>46158</v>
      </c>
      <c r="D267" s="31">
        <v>257045</v>
      </c>
      <c r="E267" s="33" t="str">
        <f>IF(Table3[[#This Row],[Type Received]]=2,"CC",(IF(Table3[[#This Row],[Type Received]]=3,"BILL","ACH")))</f>
        <v>CC</v>
      </c>
      <c r="F267" s="32">
        <v>64.150000000000006</v>
      </c>
      <c r="G267" s="14" t="str">
        <f>VLOOKUP(D267,Table4[],3,FALSE)</f>
        <v>1</v>
      </c>
      <c r="H267" s="15"/>
      <c r="I267" s="15"/>
      <c r="J267" s="15" t="s">
        <v>106</v>
      </c>
      <c r="K267" s="15">
        <v>710021873</v>
      </c>
      <c r="L267" s="15" t="s">
        <v>29</v>
      </c>
      <c r="M267" s="15" t="s">
        <v>29</v>
      </c>
    </row>
    <row r="268" spans="1:13" x14ac:dyDescent="0.25">
      <c r="A268" s="23">
        <f t="shared" si="13"/>
        <v>257047</v>
      </c>
      <c r="B268" s="14" t="str">
        <f t="shared" si="14"/>
        <v>Direct Debit (UMB Bank) - Credits</v>
      </c>
      <c r="C268" s="38">
        <v>46170</v>
      </c>
      <c r="D268" s="34">
        <v>257047</v>
      </c>
      <c r="E268" s="36" t="str">
        <f>IF(Table3[[#This Row],[Type Received]]=2,"CC",(IF(Table3[[#This Row],[Type Received]]=3,"BILL","ACH")))</f>
        <v>ACH</v>
      </c>
      <c r="F268" s="35">
        <v>87.91</v>
      </c>
      <c r="G268" s="14" t="str">
        <f>VLOOKUP(D268,Table4[],3,FALSE)</f>
        <v>2</v>
      </c>
      <c r="H268" s="15"/>
      <c r="I268" s="15" t="s">
        <v>114</v>
      </c>
      <c r="J268" s="15" t="s">
        <v>28</v>
      </c>
      <c r="K268" s="15">
        <v>853926633</v>
      </c>
      <c r="L268" s="15" t="s">
        <v>29</v>
      </c>
      <c r="M268" s="15"/>
    </row>
    <row r="269" spans="1:13" x14ac:dyDescent="0.25">
      <c r="A269" s="23">
        <f t="shared" si="13"/>
        <v>257049</v>
      </c>
      <c r="B269" s="14" t="str">
        <f t="shared" si="14"/>
        <v>Billing - Credits (from TPA)</v>
      </c>
      <c r="C269" s="37">
        <v>46168</v>
      </c>
      <c r="D269" s="31">
        <v>257049</v>
      </c>
      <c r="E269" s="33" t="str">
        <f>IF(Table3[[#This Row],[Type Received]]=2,"CC",(IF(Table3[[#This Row],[Type Received]]=3,"BILL","ACH")))</f>
        <v>BILL</v>
      </c>
      <c r="F269" s="32">
        <v>67.78</v>
      </c>
      <c r="G269" s="14" t="str">
        <f>VLOOKUP(D269,Table4[],3,FALSE)</f>
        <v>2</v>
      </c>
      <c r="H269" s="15"/>
      <c r="I269" s="15"/>
      <c r="J269" s="15" t="s">
        <v>110</v>
      </c>
      <c r="K269" s="15">
        <v>828207068</v>
      </c>
      <c r="L269" s="15" t="s">
        <v>29</v>
      </c>
      <c r="M269" s="15" t="s">
        <v>29</v>
      </c>
    </row>
    <row r="270" spans="1:13" x14ac:dyDescent="0.25">
      <c r="A270" s="23">
        <f t="shared" si="13"/>
        <v>257057</v>
      </c>
      <c r="B270" s="14" t="str">
        <f t="shared" si="14"/>
        <v>Direct Debit (UMB Bank) - Credits</v>
      </c>
      <c r="C270" s="38">
        <v>46168</v>
      </c>
      <c r="D270" s="34">
        <v>257057</v>
      </c>
      <c r="E270" s="36" t="str">
        <f>IF(Table3[[#This Row],[Type Received]]=2,"CC",(IF(Table3[[#This Row],[Type Received]]=3,"BILL","ACH")))</f>
        <v>ACH</v>
      </c>
      <c r="F270" s="35">
        <v>663.82</v>
      </c>
      <c r="G270" s="14" t="str">
        <f>VLOOKUP(D270,Table4[],3,FALSE)</f>
        <v>2</v>
      </c>
      <c r="H270" s="15">
        <v>4500828640</v>
      </c>
      <c r="I270" s="15"/>
      <c r="J270" s="15"/>
      <c r="K270" s="15"/>
      <c r="L270" s="15"/>
      <c r="M270" s="15" t="s">
        <v>29</v>
      </c>
    </row>
    <row r="271" spans="1:13" x14ac:dyDescent="0.25">
      <c r="A271" s="23">
        <f t="shared" si="13"/>
        <v>257058</v>
      </c>
      <c r="B271" s="14" t="str">
        <f t="shared" si="14"/>
        <v>Credit Cards (UMB) - Credits</v>
      </c>
      <c r="C271" s="37">
        <v>46158</v>
      </c>
      <c r="D271" s="31">
        <v>257058</v>
      </c>
      <c r="E271" s="33" t="str">
        <f>IF(Table3[[#This Row],[Type Received]]=2,"CC",(IF(Table3[[#This Row],[Type Received]]=3,"BILL","ACH")))</f>
        <v>CC</v>
      </c>
      <c r="F271" s="32">
        <v>48.31</v>
      </c>
      <c r="G271" s="14" t="str">
        <f>VLOOKUP(D271,Table4[],3,FALSE)</f>
        <v>2</v>
      </c>
      <c r="H271" s="15"/>
      <c r="I271" s="15"/>
      <c r="J271" s="15" t="s">
        <v>106</v>
      </c>
      <c r="K271" s="15">
        <v>710043300</v>
      </c>
      <c r="L271" s="15" t="s">
        <v>29</v>
      </c>
      <c r="M271" s="15"/>
    </row>
    <row r="272" spans="1:13" x14ac:dyDescent="0.25">
      <c r="A272" s="23">
        <f t="shared" si="13"/>
        <v>257060</v>
      </c>
      <c r="B272" s="14" t="str">
        <f t="shared" si="14"/>
        <v>Direct Debit (UMB Bank) - Credits</v>
      </c>
      <c r="C272" s="38">
        <v>46151</v>
      </c>
      <c r="D272" s="34">
        <v>257060</v>
      </c>
      <c r="E272" s="36" t="str">
        <f>IF(Table3[[#This Row],[Type Received]]=2,"CC",(IF(Table3[[#This Row],[Type Received]]=3,"BILL","ACH")))</f>
        <v>ACH</v>
      </c>
      <c r="F272" s="35">
        <v>110.37</v>
      </c>
      <c r="G272" s="14" t="str">
        <f>VLOOKUP(D272,Table4[],3,FALSE)</f>
        <v>2</v>
      </c>
      <c r="H272" s="15"/>
      <c r="I272" s="15">
        <v>682129</v>
      </c>
      <c r="J272" s="15">
        <v>744033001</v>
      </c>
      <c r="K272" s="15">
        <v>354078893</v>
      </c>
      <c r="L272" s="15"/>
      <c r="M272" s="15" t="s">
        <v>29</v>
      </c>
    </row>
    <row r="273" spans="1:13" x14ac:dyDescent="0.25">
      <c r="A273" s="23">
        <f t="shared" si="13"/>
        <v>257061</v>
      </c>
      <c r="B273" s="14" t="str">
        <f t="shared" si="14"/>
        <v>Direct Debit (UMB Bank) - Credits</v>
      </c>
      <c r="C273" s="37">
        <v>46145</v>
      </c>
      <c r="D273" s="31">
        <v>257061</v>
      </c>
      <c r="E273" s="33" t="str">
        <f>IF(Table3[[#This Row],[Type Received]]=2,"CC",(IF(Table3[[#This Row],[Type Received]]=3,"BILL","ACH")))</f>
        <v>ACH</v>
      </c>
      <c r="F273" s="32">
        <v>128.5</v>
      </c>
      <c r="G273" s="14" t="str">
        <f>VLOOKUP(D273,Table4[],3,FALSE)</f>
        <v>2</v>
      </c>
      <c r="H273" s="15"/>
      <c r="I273" s="15"/>
      <c r="J273" s="24" t="s">
        <v>113</v>
      </c>
      <c r="K273" s="15">
        <v>546396944</v>
      </c>
      <c r="L273" s="15" t="s">
        <v>29</v>
      </c>
      <c r="M273" s="15" t="s">
        <v>29</v>
      </c>
    </row>
    <row r="274" spans="1:13" x14ac:dyDescent="0.25">
      <c r="A274" s="23">
        <f t="shared" si="13"/>
        <v>257069</v>
      </c>
      <c r="B274" s="14" t="str">
        <f t="shared" si="14"/>
        <v>Credit Cards (UMB) - Credits</v>
      </c>
      <c r="C274" s="38">
        <v>46152</v>
      </c>
      <c r="D274" s="34">
        <v>257069</v>
      </c>
      <c r="E274" s="36" t="str">
        <f>IF(Table3[[#This Row],[Type Received]]=2,"CC",(IF(Table3[[#This Row],[Type Received]]=3,"BILL","ACH")))</f>
        <v>CC</v>
      </c>
      <c r="F274" s="35">
        <v>52.27</v>
      </c>
      <c r="G274" s="14" t="str">
        <f>VLOOKUP(D274,Table4[],3,FALSE)</f>
        <v>1</v>
      </c>
      <c r="H274" s="15"/>
      <c r="I274" s="15"/>
      <c r="J274" s="24" t="s">
        <v>115</v>
      </c>
      <c r="K274" s="15">
        <v>632877024</v>
      </c>
      <c r="L274" s="15" t="s">
        <v>29</v>
      </c>
      <c r="M274" s="15"/>
    </row>
    <row r="275" spans="1:13" x14ac:dyDescent="0.25">
      <c r="A275" s="23">
        <f t="shared" si="13"/>
        <v>257072</v>
      </c>
      <c r="B275" s="14" t="str">
        <f t="shared" si="14"/>
        <v>Credit Cards (UMB) - Credits</v>
      </c>
      <c r="C275" s="37">
        <v>46161</v>
      </c>
      <c r="D275" s="31">
        <v>257072</v>
      </c>
      <c r="E275" s="33" t="str">
        <f>IF(Table3[[#This Row],[Type Received]]=2,"CC",(IF(Table3[[#This Row],[Type Received]]=3,"BILL","ACH")))</f>
        <v>CC</v>
      </c>
      <c r="F275" s="32">
        <v>126.52</v>
      </c>
      <c r="G275" s="14" t="str">
        <f>VLOOKUP(D275,Table4[],3,FALSE)</f>
        <v>2</v>
      </c>
      <c r="H275" s="15"/>
      <c r="I275" s="15">
        <v>62532</v>
      </c>
      <c r="J275" s="15" t="s">
        <v>28</v>
      </c>
      <c r="K275" s="15">
        <v>745068285</v>
      </c>
      <c r="L275" s="15" t="s">
        <v>29</v>
      </c>
      <c r="M275" s="15" t="s">
        <v>29</v>
      </c>
    </row>
    <row r="276" spans="1:13" x14ac:dyDescent="0.25">
      <c r="A276" s="23">
        <f t="shared" si="13"/>
        <v>257077</v>
      </c>
      <c r="B276" s="14" t="str">
        <f t="shared" si="14"/>
        <v>Direct Debit (UMB Bank) - Credits</v>
      </c>
      <c r="C276" s="38">
        <v>46170</v>
      </c>
      <c r="D276" s="34">
        <v>257077</v>
      </c>
      <c r="E276" s="36" t="str">
        <f>IF(Table3[[#This Row],[Type Received]]=2,"CC",(IF(Table3[[#This Row],[Type Received]]=3,"BILL","ACH")))</f>
        <v>ACH</v>
      </c>
      <c r="F276" s="35">
        <v>200.82</v>
      </c>
      <c r="G276" s="14" t="str">
        <f>VLOOKUP(D276,Table4[],3,FALSE)</f>
        <v>1</v>
      </c>
      <c r="H276" s="15"/>
      <c r="I276" s="15">
        <v>647058</v>
      </c>
      <c r="J276" s="15" t="s">
        <v>28</v>
      </c>
      <c r="K276" s="15">
        <v>858772164</v>
      </c>
      <c r="L276" s="15" t="s">
        <v>29</v>
      </c>
      <c r="M276" s="15" t="s">
        <v>29</v>
      </c>
    </row>
    <row r="277" spans="1:13" x14ac:dyDescent="0.25">
      <c r="A277" s="23">
        <f t="shared" si="13"/>
        <v>257081</v>
      </c>
      <c r="B277" s="14" t="str">
        <f t="shared" si="14"/>
        <v>Direct Debit (UMB Bank) - Credits</v>
      </c>
      <c r="C277" s="37">
        <v>46145</v>
      </c>
      <c r="D277" s="31">
        <v>257081</v>
      </c>
      <c r="E277" s="33" t="str">
        <f>IF(Table3[[#This Row],[Type Received]]=2,"CC",(IF(Table3[[#This Row],[Type Received]]=3,"BILL","ACH")))</f>
        <v>ACH</v>
      </c>
      <c r="F277" s="32">
        <v>48.09</v>
      </c>
      <c r="G277" s="14" t="str">
        <f>VLOOKUP(D277,Table4[],3,FALSE)</f>
        <v>1</v>
      </c>
      <c r="H277" s="15"/>
      <c r="I277" s="15"/>
      <c r="J277" s="15" t="s">
        <v>113</v>
      </c>
      <c r="K277" s="15">
        <v>546421130</v>
      </c>
      <c r="L277" s="15" t="s">
        <v>29</v>
      </c>
      <c r="M277" s="15"/>
    </row>
    <row r="278" spans="1:13" x14ac:dyDescent="0.25">
      <c r="A278" s="23">
        <f t="shared" si="13"/>
        <v>257094</v>
      </c>
      <c r="B278" s="14" t="str">
        <f t="shared" si="14"/>
        <v>Direct Debit (UMB Bank) - Credits</v>
      </c>
      <c r="C278" s="38">
        <v>46168</v>
      </c>
      <c r="D278" s="34">
        <v>257094</v>
      </c>
      <c r="E278" s="36" t="str">
        <f>IF(Table3[[#This Row],[Type Received]]=2,"CC",(IF(Table3[[#This Row],[Type Received]]=3,"BILL","ACH")))</f>
        <v>ACH</v>
      </c>
      <c r="F278" s="35">
        <v>83.95</v>
      </c>
      <c r="G278" s="14" t="str">
        <f>VLOOKUP(D278,Table4[],3,FALSE)</f>
        <v>2</v>
      </c>
      <c r="H278" s="15"/>
      <c r="I278" s="15"/>
      <c r="J278" s="24" t="s">
        <v>110</v>
      </c>
      <c r="K278" s="15">
        <v>828212979</v>
      </c>
      <c r="L278" s="15" t="s">
        <v>29</v>
      </c>
      <c r="M278" s="15" t="s">
        <v>29</v>
      </c>
    </row>
    <row r="279" spans="1:13" x14ac:dyDescent="0.25">
      <c r="A279" s="23"/>
      <c r="B279" s="14" t="str">
        <f t="shared" si="14"/>
        <v>Direct Debit (UMB Bank) - Credits</v>
      </c>
      <c r="C279" s="37">
        <v>46168</v>
      </c>
      <c r="D279" s="31">
        <v>257105</v>
      </c>
      <c r="E279" s="33" t="str">
        <f>IF(Table3[[#This Row],[Type Received]]=2,"CC",(IF(Table3[[#This Row],[Type Received]]=3,"BILL","ACH")))</f>
        <v>ACH</v>
      </c>
      <c r="F279" s="32">
        <v>100.45</v>
      </c>
      <c r="G279" s="14" t="str">
        <f>VLOOKUP(D279,Table4[],3,FALSE)</f>
        <v>2</v>
      </c>
      <c r="H279" s="15"/>
      <c r="I279" s="15"/>
      <c r="J279" s="15" t="s">
        <v>110</v>
      </c>
      <c r="K279" s="15">
        <v>828208063</v>
      </c>
      <c r="L279" s="15" t="s">
        <v>29</v>
      </c>
      <c r="M279" s="15" t="s">
        <v>29</v>
      </c>
    </row>
    <row r="280" spans="1:13" x14ac:dyDescent="0.25">
      <c r="A280" s="23">
        <f t="shared" ref="A280:A311" si="15">D280</f>
        <v>257106</v>
      </c>
      <c r="B280" s="14" t="str">
        <f t="shared" si="14"/>
        <v>Direct Debit (UMB Bank) - Credits</v>
      </c>
      <c r="C280" s="38">
        <v>46167</v>
      </c>
      <c r="D280" s="34">
        <v>257106</v>
      </c>
      <c r="E280" s="36" t="str">
        <f>IF(Table3[[#This Row],[Type Received]]=2,"CC",(IF(Table3[[#This Row],[Type Received]]=3,"BILL","ACH")))</f>
        <v>ACH</v>
      </c>
      <c r="F280" s="35">
        <v>153.25</v>
      </c>
      <c r="G280" s="14" t="str">
        <f>VLOOKUP(D280,Table4[],3,FALSE)</f>
        <v>2</v>
      </c>
      <c r="H280" s="15"/>
      <c r="I280" s="15"/>
      <c r="J280" s="15" t="s">
        <v>85</v>
      </c>
      <c r="K280" s="15">
        <v>818352361</v>
      </c>
      <c r="L280" s="15" t="s">
        <v>29</v>
      </c>
      <c r="M280" s="15" t="s">
        <v>29</v>
      </c>
    </row>
    <row r="281" spans="1:13" x14ac:dyDescent="0.25">
      <c r="A281" s="23">
        <f t="shared" si="15"/>
        <v>257109</v>
      </c>
      <c r="B281" s="14" t="str">
        <f t="shared" si="14"/>
        <v>Direct Debit (UMB Bank) - Credits</v>
      </c>
      <c r="C281" s="37">
        <v>46143</v>
      </c>
      <c r="D281" s="31">
        <v>257109</v>
      </c>
      <c r="E281" s="33" t="str">
        <f>IF(Table3[[#This Row],[Type Received]]=2,"CC",(IF(Table3[[#This Row],[Type Received]]=3,"BILL","ACH")))</f>
        <v>ACH</v>
      </c>
      <c r="F281" s="32">
        <v>48.75</v>
      </c>
      <c r="G281" s="14" t="str">
        <f>VLOOKUP(D281,Table4[],3,FALSE)</f>
        <v>1</v>
      </c>
      <c r="H281" s="15"/>
      <c r="I281" s="15"/>
      <c r="J281" s="24" t="s">
        <v>84</v>
      </c>
      <c r="K281" s="15">
        <v>522246384</v>
      </c>
      <c r="L281" s="15" t="s">
        <v>29</v>
      </c>
      <c r="M281" s="15"/>
    </row>
    <row r="282" spans="1:13" x14ac:dyDescent="0.25">
      <c r="A282" s="23">
        <f t="shared" si="15"/>
        <v>257110</v>
      </c>
      <c r="B282" s="14" t="str">
        <f t="shared" si="14"/>
        <v>Direct Debit (UMB Bank) - Credits</v>
      </c>
      <c r="C282" s="38">
        <v>46158</v>
      </c>
      <c r="D282" s="34">
        <v>257110</v>
      </c>
      <c r="E282" s="36" t="str">
        <f>IF(Table3[[#This Row],[Type Received]]=2,"CC",(IF(Table3[[#This Row],[Type Received]]=3,"BILL","ACH")))</f>
        <v>ACH</v>
      </c>
      <c r="F282" s="35">
        <v>78.67</v>
      </c>
      <c r="G282" s="14" t="str">
        <f>VLOOKUP(D282,Table4[],3,FALSE)</f>
        <v>2</v>
      </c>
      <c r="H282" s="15"/>
      <c r="I282" s="15"/>
      <c r="J282" s="15" t="s">
        <v>106</v>
      </c>
      <c r="K282" s="15">
        <v>710034538</v>
      </c>
      <c r="L282" s="15" t="s">
        <v>29</v>
      </c>
      <c r="M282" s="15"/>
    </row>
    <row r="283" spans="1:13" x14ac:dyDescent="0.25">
      <c r="A283" s="23">
        <f t="shared" si="15"/>
        <v>257112</v>
      </c>
      <c r="B283" s="14" t="str">
        <f t="shared" si="14"/>
        <v>Direct Debit (UMB Bank) - Credits</v>
      </c>
      <c r="C283" s="37">
        <v>46158</v>
      </c>
      <c r="D283" s="31">
        <v>257112</v>
      </c>
      <c r="E283" s="33" t="str">
        <f>IF(Table3[[#This Row],[Type Received]]=2,"CC",(IF(Table3[[#This Row],[Type Received]]=3,"BILL","ACH")))</f>
        <v>ACH</v>
      </c>
      <c r="F283" s="32">
        <v>42.81</v>
      </c>
      <c r="G283" s="14" t="str">
        <f>VLOOKUP(D283,Table4[],3,FALSE)</f>
        <v>1</v>
      </c>
      <c r="H283" s="15"/>
      <c r="I283" s="15"/>
      <c r="J283" s="15" t="s">
        <v>106</v>
      </c>
      <c r="K283" s="15">
        <v>710042435</v>
      </c>
      <c r="L283" s="15" t="s">
        <v>29</v>
      </c>
      <c r="M283" s="15" t="s">
        <v>29</v>
      </c>
    </row>
    <row r="284" spans="1:13" x14ac:dyDescent="0.25">
      <c r="A284" s="23">
        <f t="shared" si="15"/>
        <v>257123</v>
      </c>
      <c r="B284" s="14" t="str">
        <f t="shared" si="14"/>
        <v>Direct Debit (UMB Bank) - Credits</v>
      </c>
      <c r="C284" s="38">
        <v>46145</v>
      </c>
      <c r="D284" s="34">
        <v>257123</v>
      </c>
      <c r="E284" s="36" t="str">
        <f>IF(Table3[[#This Row],[Type Received]]=2,"CC",(IF(Table3[[#This Row],[Type Received]]=3,"BILL","ACH")))</f>
        <v>ACH</v>
      </c>
      <c r="F284" s="35">
        <v>116.29</v>
      </c>
      <c r="G284" s="14" t="str">
        <f>VLOOKUP(D284,Table4[],3,FALSE)</f>
        <v>2</v>
      </c>
      <c r="H284" s="15"/>
      <c r="I284" s="15"/>
      <c r="J284" s="15" t="s">
        <v>113</v>
      </c>
      <c r="K284" s="15">
        <v>546420223</v>
      </c>
      <c r="L284" s="15" t="s">
        <v>29</v>
      </c>
      <c r="M284" s="15" t="s">
        <v>29</v>
      </c>
    </row>
    <row r="285" spans="1:13" x14ac:dyDescent="0.25">
      <c r="A285" s="23">
        <f t="shared" si="15"/>
        <v>257133</v>
      </c>
      <c r="B285" s="14" t="str">
        <f t="shared" si="14"/>
        <v>Billing - Credits (from TPA)</v>
      </c>
      <c r="C285" s="37">
        <v>46145</v>
      </c>
      <c r="D285" s="31">
        <v>257133</v>
      </c>
      <c r="E285" s="33" t="str">
        <f>IF(Table3[[#This Row],[Type Received]]=2,"CC",(IF(Table3[[#This Row],[Type Received]]=3,"BILL","ACH")))</f>
        <v>BILL</v>
      </c>
      <c r="F285" s="32">
        <v>46.55</v>
      </c>
      <c r="G285" s="14" t="str">
        <f>VLOOKUP(D285,Table4[],3,FALSE)</f>
        <v>1</v>
      </c>
      <c r="H285" s="15"/>
      <c r="I285" s="15"/>
      <c r="J285" s="15" t="s">
        <v>113</v>
      </c>
      <c r="K285" s="15">
        <v>546418315</v>
      </c>
      <c r="L285" s="15" t="s">
        <v>29</v>
      </c>
      <c r="M285" s="15"/>
    </row>
    <row r="286" spans="1:13" x14ac:dyDescent="0.25">
      <c r="A286" s="23">
        <f t="shared" si="15"/>
        <v>257144</v>
      </c>
      <c r="B286" s="14" t="str">
        <f t="shared" si="14"/>
        <v>Billing - Credits (from TPA)</v>
      </c>
      <c r="C286" s="38">
        <v>46143</v>
      </c>
      <c r="D286" s="34">
        <v>257144</v>
      </c>
      <c r="E286" s="36" t="str">
        <f>IF(Table3[[#This Row],[Type Received]]=2,"CC",(IF(Table3[[#This Row],[Type Received]]=3,"BILL","ACH")))</f>
        <v>BILL</v>
      </c>
      <c r="F286" s="35">
        <v>166.5</v>
      </c>
      <c r="G286" s="14" t="str">
        <f>VLOOKUP(D286,Table4[],3,FALSE)</f>
        <v>1</v>
      </c>
      <c r="H286" s="15">
        <v>278</v>
      </c>
      <c r="I286" s="15"/>
      <c r="J286" s="15"/>
      <c r="K286" s="15"/>
      <c r="L286" s="15"/>
      <c r="M286" s="15" t="s">
        <v>29</v>
      </c>
    </row>
    <row r="287" spans="1:13" x14ac:dyDescent="0.25">
      <c r="A287" s="23">
        <f t="shared" si="15"/>
        <v>257147</v>
      </c>
      <c r="B287" s="14" t="str">
        <f t="shared" si="14"/>
        <v>Direct Debit (UMB Bank) - Credits</v>
      </c>
      <c r="C287" s="37">
        <v>46150</v>
      </c>
      <c r="D287" s="31">
        <v>257147</v>
      </c>
      <c r="E287" s="33" t="str">
        <f>IF(Table3[[#This Row],[Type Received]]=2,"CC",(IF(Table3[[#This Row],[Type Received]]=3,"BILL","ACH")))</f>
        <v>ACH</v>
      </c>
      <c r="F287" s="32">
        <v>200</v>
      </c>
      <c r="G287" s="14" t="str">
        <f>VLOOKUP(D287,Table4[],3,FALSE)</f>
        <v>1</v>
      </c>
      <c r="H287" s="15">
        <v>988229</v>
      </c>
      <c r="I287" s="15"/>
      <c r="J287" s="15"/>
      <c r="K287" s="15"/>
      <c r="L287" s="15"/>
      <c r="M287" s="15"/>
    </row>
    <row r="288" spans="1:13" x14ac:dyDescent="0.25">
      <c r="A288" s="23">
        <f t="shared" si="15"/>
        <v>257162</v>
      </c>
      <c r="B288" s="14" t="str">
        <f t="shared" si="14"/>
        <v>Direct Debit (UMB Bank) - Credits</v>
      </c>
      <c r="C288" s="38">
        <v>46147</v>
      </c>
      <c r="D288" s="34">
        <v>257162</v>
      </c>
      <c r="E288" s="36" t="str">
        <f>IF(Table3[[#This Row],[Type Received]]=2,"CC",(IF(Table3[[#This Row],[Type Received]]=3,"BILL","ACH")))</f>
        <v>ACH</v>
      </c>
      <c r="F288" s="35">
        <v>115.3</v>
      </c>
      <c r="G288" s="14" t="str">
        <f>VLOOKUP(D288,Table4[],3,FALSE)</f>
        <v>2</v>
      </c>
      <c r="H288" s="15"/>
      <c r="I288" s="15"/>
      <c r="J288" s="15" t="s">
        <v>86</v>
      </c>
      <c r="K288" s="15">
        <v>569462855</v>
      </c>
      <c r="L288" s="15" t="s">
        <v>29</v>
      </c>
      <c r="M288" s="15" t="s">
        <v>29</v>
      </c>
    </row>
    <row r="289" spans="1:13" x14ac:dyDescent="0.25">
      <c r="A289" s="23">
        <f t="shared" si="15"/>
        <v>257166</v>
      </c>
      <c r="B289" s="14" t="str">
        <f t="shared" si="14"/>
        <v>Direct Debit (UMB Bank) - Credits</v>
      </c>
      <c r="C289" s="37">
        <v>46158</v>
      </c>
      <c r="D289" s="31">
        <v>257166</v>
      </c>
      <c r="E289" s="33" t="str">
        <f>IF(Table3[[#This Row],[Type Received]]=2,"CC",(IF(Table3[[#This Row],[Type Received]]=3,"BILL","ACH")))</f>
        <v>ACH</v>
      </c>
      <c r="F289" s="32">
        <v>152.59</v>
      </c>
      <c r="G289" s="14" t="str">
        <f>VLOOKUP(D289,Table4[],3,FALSE)</f>
        <v>2</v>
      </c>
      <c r="H289" s="15"/>
      <c r="I289" s="15"/>
      <c r="J289" s="24" t="s">
        <v>106</v>
      </c>
      <c r="K289" s="15">
        <v>710020937</v>
      </c>
      <c r="L289" s="15" t="s">
        <v>29</v>
      </c>
      <c r="M289" s="15" t="s">
        <v>29</v>
      </c>
    </row>
    <row r="290" spans="1:13" x14ac:dyDescent="0.25">
      <c r="A290" s="23">
        <f t="shared" si="15"/>
        <v>257167</v>
      </c>
      <c r="B290" s="14" t="str">
        <f t="shared" si="14"/>
        <v>Direct Debit (UMB Bank) - Credits</v>
      </c>
      <c r="C290" s="38">
        <v>46158</v>
      </c>
      <c r="D290" s="34">
        <v>257167</v>
      </c>
      <c r="E290" s="36" t="str">
        <f>IF(Table3[[#This Row],[Type Received]]=2,"CC",(IF(Table3[[#This Row],[Type Received]]=3,"BILL","ACH")))</f>
        <v>ACH</v>
      </c>
      <c r="F290" s="35">
        <v>51.61</v>
      </c>
      <c r="G290" s="14" t="str">
        <f>VLOOKUP(D290,Table4[],3,FALSE)</f>
        <v>2</v>
      </c>
      <c r="H290" s="15"/>
      <c r="I290" s="15"/>
      <c r="J290" s="15" t="s">
        <v>106</v>
      </c>
      <c r="K290" s="15">
        <v>710022978</v>
      </c>
      <c r="L290" s="15" t="s">
        <v>29</v>
      </c>
      <c r="M290" s="15" t="s">
        <v>29</v>
      </c>
    </row>
    <row r="291" spans="1:13" x14ac:dyDescent="0.25">
      <c r="A291" s="23">
        <f t="shared" si="15"/>
        <v>257168</v>
      </c>
      <c r="B291" s="14" t="str">
        <f t="shared" si="14"/>
        <v>Direct Debit (UMB Bank) - Credits</v>
      </c>
      <c r="C291" s="37">
        <v>46145</v>
      </c>
      <c r="D291" s="31">
        <v>257168</v>
      </c>
      <c r="E291" s="33" t="str">
        <f>IF(Table3[[#This Row],[Type Received]]=2,"CC",(IF(Table3[[#This Row],[Type Received]]=3,"BILL","ACH")))</f>
        <v>ACH</v>
      </c>
      <c r="F291" s="32">
        <v>75.7</v>
      </c>
      <c r="G291" s="14" t="str">
        <f>VLOOKUP(D291,Table4[],3,FALSE)</f>
        <v>2</v>
      </c>
      <c r="H291" s="15"/>
      <c r="I291" s="15"/>
      <c r="J291" s="15" t="s">
        <v>113</v>
      </c>
      <c r="K291" s="15">
        <v>546409444</v>
      </c>
      <c r="L291" s="15" t="s">
        <v>29</v>
      </c>
      <c r="M291" s="15"/>
    </row>
    <row r="292" spans="1:13" x14ac:dyDescent="0.25">
      <c r="A292" s="23">
        <f t="shared" si="15"/>
        <v>257172</v>
      </c>
      <c r="B292" s="14" t="str">
        <f t="shared" si="14"/>
        <v>Billing - Credits (from TPA)</v>
      </c>
      <c r="C292" s="38">
        <v>46145</v>
      </c>
      <c r="D292" s="34">
        <v>257172</v>
      </c>
      <c r="E292" s="36" t="str">
        <f>IF(Table3[[#This Row],[Type Received]]=2,"CC",(IF(Table3[[#This Row],[Type Received]]=3,"BILL","ACH")))</f>
        <v>BILL</v>
      </c>
      <c r="F292" s="35">
        <v>50.95</v>
      </c>
      <c r="G292" s="14" t="str">
        <f>VLOOKUP(D292,Table4[],3,FALSE)</f>
        <v>1</v>
      </c>
      <c r="H292" s="15"/>
      <c r="I292" s="15"/>
      <c r="J292" s="15" t="s">
        <v>113</v>
      </c>
      <c r="K292" s="15">
        <v>546411455</v>
      </c>
      <c r="L292" s="15" t="s">
        <v>29</v>
      </c>
      <c r="M292" s="15" t="s">
        <v>29</v>
      </c>
    </row>
    <row r="293" spans="1:13" x14ac:dyDescent="0.25">
      <c r="A293" s="23">
        <f t="shared" si="15"/>
        <v>257175</v>
      </c>
      <c r="B293" s="14" t="str">
        <f t="shared" si="14"/>
        <v>Billing - Credits (from TPA)</v>
      </c>
      <c r="C293" s="37">
        <v>46169</v>
      </c>
      <c r="D293" s="31">
        <v>257175</v>
      </c>
      <c r="E293" s="33" t="str">
        <f>IF(Table3[[#This Row],[Type Received]]=2,"CC",(IF(Table3[[#This Row],[Type Received]]=3,"BILL","ACH")))</f>
        <v>BILL</v>
      </c>
      <c r="F293" s="32">
        <v>60.87</v>
      </c>
      <c r="G293" s="14" t="str">
        <f>VLOOKUP(D293,Table4[],3,FALSE)</f>
        <v>2</v>
      </c>
      <c r="H293" s="15">
        <v>647</v>
      </c>
      <c r="I293" s="15"/>
      <c r="J293" s="15"/>
      <c r="K293" s="15"/>
      <c r="L293" s="15"/>
      <c r="M293" s="15" t="s">
        <v>29</v>
      </c>
    </row>
    <row r="294" spans="1:13" x14ac:dyDescent="0.25">
      <c r="A294" s="23">
        <f t="shared" si="15"/>
        <v>257175</v>
      </c>
      <c r="B294" s="14" t="str">
        <f t="shared" si="14"/>
        <v>Direct Debit (UMB Bank) - Credits</v>
      </c>
      <c r="C294" s="38">
        <v>46147</v>
      </c>
      <c r="D294" s="34">
        <v>257175</v>
      </c>
      <c r="E294" s="36" t="str">
        <f>IF(Table3[[#This Row],[Type Received]]=2,"CC",(IF(Table3[[#This Row],[Type Received]]=3,"BILL","ACH")))</f>
        <v>ACH</v>
      </c>
      <c r="F294" s="35">
        <v>60.87</v>
      </c>
      <c r="G294" s="14" t="str">
        <f>VLOOKUP(D294,Table4[],3,FALSE)</f>
        <v>2</v>
      </c>
      <c r="H294" s="15">
        <v>576</v>
      </c>
      <c r="I294" s="15"/>
      <c r="J294" s="24"/>
      <c r="K294" s="15"/>
      <c r="L294" s="15"/>
      <c r="M294" s="15" t="s">
        <v>29</v>
      </c>
    </row>
    <row r="295" spans="1:13" x14ac:dyDescent="0.25">
      <c r="A295" s="23">
        <f t="shared" si="15"/>
        <v>257181</v>
      </c>
      <c r="B295" s="14" t="str">
        <f t="shared" si="14"/>
        <v>Direct Debit (UMB Bank) - Credits</v>
      </c>
      <c r="C295" s="37">
        <v>46155</v>
      </c>
      <c r="D295" s="31">
        <v>257181</v>
      </c>
      <c r="E295" s="33" t="str">
        <f>IF(Table3[[#This Row],[Type Received]]=2,"CC",(IF(Table3[[#This Row],[Type Received]]=3,"BILL","ACH")))</f>
        <v>ACH</v>
      </c>
      <c r="F295" s="32">
        <v>154.24</v>
      </c>
      <c r="G295" s="14" t="str">
        <f>VLOOKUP(D295,Table4[],3,FALSE)</f>
        <v>2</v>
      </c>
      <c r="H295" s="15"/>
      <c r="I295" s="15"/>
      <c r="J295" s="15" t="s">
        <v>90</v>
      </c>
      <c r="K295" s="15">
        <v>669447312</v>
      </c>
      <c r="L295" s="15" t="s">
        <v>29</v>
      </c>
      <c r="M295" s="15" t="s">
        <v>29</v>
      </c>
    </row>
    <row r="296" spans="1:13" x14ac:dyDescent="0.25">
      <c r="A296" s="23">
        <f t="shared" si="15"/>
        <v>257184</v>
      </c>
      <c r="B296" s="14" t="str">
        <f t="shared" si="14"/>
        <v>Credit Cards (UMB) - Credits</v>
      </c>
      <c r="C296" s="38">
        <v>46145</v>
      </c>
      <c r="D296" s="34">
        <v>257184</v>
      </c>
      <c r="E296" s="36" t="str">
        <f>IF(Table3[[#This Row],[Type Received]]=2,"CC",(IF(Table3[[#This Row],[Type Received]]=3,"BILL","ACH")))</f>
        <v>CC</v>
      </c>
      <c r="F296" s="35">
        <v>43.03</v>
      </c>
      <c r="G296" s="14" t="str">
        <f>VLOOKUP(D296,Table4[],3,FALSE)</f>
        <v>1</v>
      </c>
      <c r="H296" s="15"/>
      <c r="I296" s="15"/>
      <c r="J296" s="15" t="s">
        <v>113</v>
      </c>
      <c r="K296" s="15">
        <v>546408525</v>
      </c>
      <c r="L296" s="15" t="s">
        <v>29</v>
      </c>
      <c r="M296" s="15" t="s">
        <v>29</v>
      </c>
    </row>
    <row r="297" spans="1:13" x14ac:dyDescent="0.25">
      <c r="A297" s="23">
        <f t="shared" si="15"/>
        <v>257186</v>
      </c>
      <c r="B297" s="14" t="str">
        <f t="shared" si="14"/>
        <v>Direct Debit (UMB Bank) - Credits</v>
      </c>
      <c r="C297" s="37">
        <v>46143</v>
      </c>
      <c r="D297" s="31">
        <v>257186</v>
      </c>
      <c r="E297" s="33" t="str">
        <f>IF(Table3[[#This Row],[Type Received]]=2,"CC",(IF(Table3[[#This Row],[Type Received]]=3,"BILL","ACH")))</f>
        <v>ACH</v>
      </c>
      <c r="F297" s="32">
        <v>68.790000000000006</v>
      </c>
      <c r="G297" s="14" t="str">
        <f>VLOOKUP(D297,Table4[],3,FALSE)</f>
        <v>2</v>
      </c>
      <c r="H297" s="15"/>
      <c r="I297" s="15">
        <v>1979</v>
      </c>
      <c r="J297" s="15" t="s">
        <v>28</v>
      </c>
      <c r="K297" s="15">
        <v>524061544</v>
      </c>
      <c r="L297" s="15" t="s">
        <v>29</v>
      </c>
      <c r="M297" s="15"/>
    </row>
    <row r="298" spans="1:13" x14ac:dyDescent="0.25">
      <c r="A298" s="23">
        <f t="shared" si="15"/>
        <v>257192</v>
      </c>
      <c r="B298" s="14" t="str">
        <f t="shared" si="14"/>
        <v>Direct Debit (UMB Bank) - Credits</v>
      </c>
      <c r="C298" s="38">
        <v>46168</v>
      </c>
      <c r="D298" s="34">
        <v>257192</v>
      </c>
      <c r="E298" s="36" t="str">
        <f>IF(Table3[[#This Row],[Type Received]]=2,"CC",(IF(Table3[[#This Row],[Type Received]]=3,"BILL","ACH")))</f>
        <v>ACH</v>
      </c>
      <c r="F298" s="35">
        <v>173.38</v>
      </c>
      <c r="G298" s="14" t="str">
        <f>VLOOKUP(D298,Table4[],3,FALSE)</f>
        <v>2</v>
      </c>
      <c r="H298" s="15"/>
      <c r="I298" s="15"/>
      <c r="J298" s="15" t="s">
        <v>110</v>
      </c>
      <c r="K298" s="15">
        <v>828242102</v>
      </c>
      <c r="L298" s="15" t="s">
        <v>29</v>
      </c>
      <c r="M298" s="15" t="s">
        <v>29</v>
      </c>
    </row>
    <row r="299" spans="1:13" x14ac:dyDescent="0.25">
      <c r="A299" s="23">
        <f t="shared" si="15"/>
        <v>257197</v>
      </c>
      <c r="B299" s="14" t="str">
        <f t="shared" si="14"/>
        <v>Direct Debit (UMB Bank) - Credits</v>
      </c>
      <c r="C299" s="37">
        <v>46143</v>
      </c>
      <c r="D299" s="31">
        <v>257197</v>
      </c>
      <c r="E299" s="33" t="str">
        <f>IF(Table3[[#This Row],[Type Received]]=2,"CC",(IF(Table3[[#This Row],[Type Received]]=3,"BILL","ACH")))</f>
        <v>ACH</v>
      </c>
      <c r="F299" s="32">
        <v>44.57</v>
      </c>
      <c r="G299" s="14" t="str">
        <f>VLOOKUP(D299,Table4[],3,FALSE)</f>
        <v>1</v>
      </c>
      <c r="H299" s="15"/>
      <c r="I299" s="15"/>
      <c r="J299" s="24" t="s">
        <v>84</v>
      </c>
      <c r="K299" s="15">
        <v>522176095</v>
      </c>
      <c r="L299" s="15" t="s">
        <v>29</v>
      </c>
      <c r="M299" s="15" t="s">
        <v>29</v>
      </c>
    </row>
    <row r="300" spans="1:13" x14ac:dyDescent="0.25">
      <c r="A300" s="23">
        <f t="shared" si="15"/>
        <v>257198</v>
      </c>
      <c r="B300" s="14" t="str">
        <f t="shared" si="14"/>
        <v>Direct Debit (UMB Bank) - Credits</v>
      </c>
      <c r="C300" s="38">
        <v>46158</v>
      </c>
      <c r="D300" s="34">
        <v>257198</v>
      </c>
      <c r="E300" s="36" t="str">
        <f>IF(Table3[[#This Row],[Type Received]]=2,"CC",(IF(Table3[[#This Row],[Type Received]]=3,"BILL","ACH")))</f>
        <v>ACH</v>
      </c>
      <c r="F300" s="35">
        <v>122.89</v>
      </c>
      <c r="G300" s="14" t="str">
        <f>VLOOKUP(D300,Table4[],3,FALSE)</f>
        <v>2</v>
      </c>
      <c r="H300" s="15"/>
      <c r="I300" s="15"/>
      <c r="J300" s="15" t="s">
        <v>106</v>
      </c>
      <c r="K300" s="15">
        <v>710021959</v>
      </c>
      <c r="L300" s="15" t="s">
        <v>29</v>
      </c>
      <c r="M300" s="15" t="s">
        <v>29</v>
      </c>
    </row>
    <row r="301" spans="1:13" x14ac:dyDescent="0.25">
      <c r="A301" s="23">
        <f t="shared" si="15"/>
        <v>257202</v>
      </c>
      <c r="B301" s="14" t="str">
        <f t="shared" si="14"/>
        <v>Direct Debit (UMB Bank) - Credits</v>
      </c>
      <c r="C301" s="37">
        <v>46143</v>
      </c>
      <c r="D301" s="31">
        <v>257202</v>
      </c>
      <c r="E301" s="33" t="str">
        <f>IF(Table3[[#This Row],[Type Received]]=2,"CC",(IF(Table3[[#This Row],[Type Received]]=3,"BILL","ACH")))</f>
        <v>ACH</v>
      </c>
      <c r="F301" s="32">
        <v>55.57</v>
      </c>
      <c r="G301" s="14" t="str">
        <f>VLOOKUP(D301,Table4[],3,FALSE)</f>
        <v>2</v>
      </c>
      <c r="H301" s="15"/>
      <c r="I301" s="15"/>
      <c r="J301" s="15" t="s">
        <v>84</v>
      </c>
      <c r="K301" s="15">
        <v>522179942</v>
      </c>
      <c r="L301" s="15" t="s">
        <v>29</v>
      </c>
      <c r="M301" s="15" t="s">
        <v>29</v>
      </c>
    </row>
    <row r="302" spans="1:13" x14ac:dyDescent="0.25">
      <c r="A302" s="23">
        <f t="shared" si="15"/>
        <v>257206</v>
      </c>
      <c r="B302" s="14" t="str">
        <f t="shared" si="14"/>
        <v>Direct Debit (UMB Bank) - Credits</v>
      </c>
      <c r="C302" s="38">
        <v>46158</v>
      </c>
      <c r="D302" s="34">
        <v>257206</v>
      </c>
      <c r="E302" s="36" t="str">
        <f>IF(Table3[[#This Row],[Type Received]]=2,"CC",(IF(Table3[[#This Row],[Type Received]]=3,"BILL","ACH")))</f>
        <v>ACH</v>
      </c>
      <c r="F302" s="35">
        <v>59.75</v>
      </c>
      <c r="G302" s="14" t="str">
        <f>VLOOKUP(D302,Table4[],3,FALSE)</f>
        <v>1</v>
      </c>
      <c r="H302" s="15"/>
      <c r="I302" s="15"/>
      <c r="J302" s="15" t="s">
        <v>106</v>
      </c>
      <c r="K302" s="15">
        <v>710033612</v>
      </c>
      <c r="L302" s="15" t="s">
        <v>29</v>
      </c>
      <c r="M302" s="15"/>
    </row>
    <row r="303" spans="1:13" x14ac:dyDescent="0.25">
      <c r="A303" s="23">
        <f t="shared" si="15"/>
        <v>257207</v>
      </c>
      <c r="B303" s="14" t="str">
        <f t="shared" si="14"/>
        <v>Direct Debit (UMB Bank) - Credits</v>
      </c>
      <c r="C303" s="37">
        <v>46143</v>
      </c>
      <c r="D303" s="31">
        <v>257207</v>
      </c>
      <c r="E303" s="33" t="str">
        <f>IF(Table3[[#This Row],[Type Received]]=2,"CC",(IF(Table3[[#This Row],[Type Received]]=3,"BILL","ACH")))</f>
        <v>ACH</v>
      </c>
      <c r="F303" s="32">
        <v>106.39</v>
      </c>
      <c r="G303" s="14" t="str">
        <f>VLOOKUP(D303,Table4[],3,FALSE)</f>
        <v>2</v>
      </c>
      <c r="H303" s="15"/>
      <c r="I303" s="15"/>
      <c r="J303" s="15" t="s">
        <v>84</v>
      </c>
      <c r="K303" s="15">
        <v>522194493</v>
      </c>
      <c r="L303" s="15" t="s">
        <v>29</v>
      </c>
      <c r="M303" s="15"/>
    </row>
    <row r="304" spans="1:13" x14ac:dyDescent="0.25">
      <c r="A304" s="23">
        <f t="shared" si="15"/>
        <v>257215</v>
      </c>
      <c r="B304" s="14" t="str">
        <f t="shared" si="14"/>
        <v>Direct Debit (UMB Bank) - Credits</v>
      </c>
      <c r="C304" s="38">
        <v>46143</v>
      </c>
      <c r="D304" s="34">
        <v>257215</v>
      </c>
      <c r="E304" s="36" t="str">
        <f>IF(Table3[[#This Row],[Type Received]]=2,"CC",(IF(Table3[[#This Row],[Type Received]]=3,"BILL","ACH")))</f>
        <v>ACH</v>
      </c>
      <c r="F304" s="35">
        <v>99.13</v>
      </c>
      <c r="G304" s="14" t="str">
        <f>VLOOKUP(D304,Table4[],3,FALSE)</f>
        <v>2</v>
      </c>
      <c r="H304" s="15"/>
      <c r="I304" s="15"/>
      <c r="J304" s="15" t="s">
        <v>84</v>
      </c>
      <c r="K304" s="15">
        <v>522183881</v>
      </c>
      <c r="L304" s="15" t="s">
        <v>29</v>
      </c>
      <c r="M304" s="15" t="s">
        <v>29</v>
      </c>
    </row>
    <row r="305" spans="1:13" x14ac:dyDescent="0.25">
      <c r="A305" s="23">
        <f t="shared" si="15"/>
        <v>257219</v>
      </c>
      <c r="B305" s="14" t="str">
        <f t="shared" si="14"/>
        <v>Credit Cards (UMB) - Credits</v>
      </c>
      <c r="C305" s="37">
        <v>46143</v>
      </c>
      <c r="D305" s="31">
        <v>257219</v>
      </c>
      <c r="E305" s="33" t="str">
        <f>IF(Table3[[#This Row],[Type Received]]=2,"CC",(IF(Table3[[#This Row],[Type Received]]=3,"BILL","ACH")))</f>
        <v>CC</v>
      </c>
      <c r="F305" s="32">
        <v>88.79</v>
      </c>
      <c r="G305" s="14" t="str">
        <f>VLOOKUP(D305,Table4[],3,FALSE)</f>
        <v>1</v>
      </c>
      <c r="H305" s="15"/>
      <c r="I305" s="15"/>
      <c r="J305" s="15" t="s">
        <v>84</v>
      </c>
      <c r="K305" s="15">
        <v>522180055</v>
      </c>
      <c r="L305" s="15" t="s">
        <v>29</v>
      </c>
      <c r="M305" s="15" t="s">
        <v>29</v>
      </c>
    </row>
    <row r="306" spans="1:13" x14ac:dyDescent="0.25">
      <c r="A306" s="23">
        <f t="shared" si="15"/>
        <v>257224</v>
      </c>
      <c r="B306" s="14" t="str">
        <f t="shared" si="14"/>
        <v>Billing - Credits (from TPA)</v>
      </c>
      <c r="C306" s="38">
        <v>46155</v>
      </c>
      <c r="D306" s="34">
        <v>257224</v>
      </c>
      <c r="E306" s="36" t="str">
        <f>IF(Table3[[#This Row],[Type Received]]=2,"CC",(IF(Table3[[#This Row],[Type Received]]=3,"BILL","ACH")))</f>
        <v>BILL</v>
      </c>
      <c r="F306" s="35">
        <v>63.05</v>
      </c>
      <c r="G306" s="14" t="str">
        <f>VLOOKUP(D306,Table4[],3,FALSE)</f>
        <v>1</v>
      </c>
      <c r="H306" s="15"/>
      <c r="I306" s="15">
        <v>415887</v>
      </c>
      <c r="J306" s="15" t="s">
        <v>28</v>
      </c>
      <c r="K306" s="15">
        <v>669462571</v>
      </c>
      <c r="L306" s="15" t="s">
        <v>29</v>
      </c>
      <c r="M306" s="15" t="s">
        <v>29</v>
      </c>
    </row>
    <row r="307" spans="1:13" x14ac:dyDescent="0.25">
      <c r="A307" s="23">
        <f t="shared" si="15"/>
        <v>257236</v>
      </c>
      <c r="B307" s="14" t="str">
        <f t="shared" si="14"/>
        <v>Direct Debit (UMB Bank) - Credits</v>
      </c>
      <c r="C307" s="37">
        <v>46150</v>
      </c>
      <c r="D307" s="31">
        <v>257236</v>
      </c>
      <c r="E307" s="33" t="str">
        <f>IF(Table3[[#This Row],[Type Received]]=2,"CC",(IF(Table3[[#This Row],[Type Received]]=3,"BILL","ACH")))</f>
        <v>ACH</v>
      </c>
      <c r="F307" s="32">
        <v>105.09</v>
      </c>
      <c r="G307" s="14" t="str">
        <f>VLOOKUP(D307,Table4[],3,FALSE)</f>
        <v>1</v>
      </c>
      <c r="H307" s="15">
        <v>75613354</v>
      </c>
      <c r="I307" s="15"/>
      <c r="J307" s="15"/>
      <c r="K307" s="15"/>
      <c r="L307" s="15"/>
      <c r="M307" s="15" t="s">
        <v>29</v>
      </c>
    </row>
    <row r="308" spans="1:13" x14ac:dyDescent="0.25">
      <c r="A308" s="23">
        <f t="shared" si="15"/>
        <v>257251</v>
      </c>
      <c r="B308" s="14" t="str">
        <f t="shared" si="14"/>
        <v>Credit Cards (UMB) - Credits</v>
      </c>
      <c r="C308" s="38">
        <v>46158</v>
      </c>
      <c r="D308" s="34">
        <v>257251</v>
      </c>
      <c r="E308" s="36" t="str">
        <f>IF(Table3[[#This Row],[Type Received]]=2,"CC",(IF(Table3[[#This Row],[Type Received]]=3,"BILL","ACH")))</f>
        <v>CC</v>
      </c>
      <c r="F308" s="35">
        <v>79.55</v>
      </c>
      <c r="G308" s="14" t="str">
        <f>VLOOKUP(D308,Table4[],3,FALSE)</f>
        <v>1</v>
      </c>
      <c r="H308" s="15"/>
      <c r="I308" s="15"/>
      <c r="J308" s="15" t="s">
        <v>106</v>
      </c>
      <c r="K308" s="15">
        <v>710023941</v>
      </c>
      <c r="L308" s="15" t="s">
        <v>29</v>
      </c>
      <c r="M308" s="15" t="s">
        <v>29</v>
      </c>
    </row>
    <row r="309" spans="1:13" x14ac:dyDescent="0.25">
      <c r="A309" s="23">
        <f t="shared" si="15"/>
        <v>257274</v>
      </c>
      <c r="B309" s="14" t="str">
        <f t="shared" si="14"/>
        <v>Credit Cards (UMB) - Credits</v>
      </c>
      <c r="C309" s="37">
        <v>46144</v>
      </c>
      <c r="D309" s="31">
        <v>257274</v>
      </c>
      <c r="E309" s="33" t="str">
        <f>IF(Table3[[#This Row],[Type Received]]=2,"CC",(IF(Table3[[#This Row],[Type Received]]=3,"BILL","ACH")))</f>
        <v>CC</v>
      </c>
      <c r="F309" s="32">
        <v>85.29</v>
      </c>
      <c r="G309" s="14" t="str">
        <f>VLOOKUP(D309,Table4[],3,FALSE)</f>
        <v>1</v>
      </c>
      <c r="H309" s="15"/>
      <c r="I309" s="15">
        <v>39725</v>
      </c>
      <c r="J309" s="15">
        <v>741651752</v>
      </c>
      <c r="K309" s="15">
        <v>353271534</v>
      </c>
      <c r="L309" s="15"/>
      <c r="M309" s="15" t="s">
        <v>29</v>
      </c>
    </row>
    <row r="310" spans="1:13" x14ac:dyDescent="0.25">
      <c r="A310" s="23">
        <f t="shared" si="15"/>
        <v>257276</v>
      </c>
      <c r="B310" s="14" t="str">
        <f t="shared" si="14"/>
        <v>Credit Cards (UMB) - Credits</v>
      </c>
      <c r="C310" s="38">
        <v>46155</v>
      </c>
      <c r="D310" s="34">
        <v>257276</v>
      </c>
      <c r="E310" s="36" t="str">
        <f>IF(Table3[[#This Row],[Type Received]]=2,"CC",(IF(Table3[[#This Row],[Type Received]]=3,"BILL","ACH")))</f>
        <v>CC</v>
      </c>
      <c r="F310" s="35">
        <v>166.45</v>
      </c>
      <c r="G310" s="14" t="str">
        <f>VLOOKUP(D310,Table4[],3,FALSE)</f>
        <v>2</v>
      </c>
      <c r="H310" s="15"/>
      <c r="I310" s="15">
        <v>120700</v>
      </c>
      <c r="J310" s="15" t="s">
        <v>28</v>
      </c>
      <c r="K310" s="15">
        <v>669434918</v>
      </c>
      <c r="L310" s="15" t="s">
        <v>29</v>
      </c>
      <c r="M310" s="15" t="s">
        <v>29</v>
      </c>
    </row>
    <row r="311" spans="1:13" x14ac:dyDescent="0.25">
      <c r="A311" s="23">
        <f t="shared" si="15"/>
        <v>257278</v>
      </c>
      <c r="B311" s="14" t="str">
        <f t="shared" si="14"/>
        <v>Credit Cards (UMB) - Credits</v>
      </c>
      <c r="C311" s="37">
        <v>46155</v>
      </c>
      <c r="D311" s="31">
        <v>257278</v>
      </c>
      <c r="E311" s="33" t="str">
        <f>IF(Table3[[#This Row],[Type Received]]=2,"CC",(IF(Table3[[#This Row],[Type Received]]=3,"BILL","ACH")))</f>
        <v>CC</v>
      </c>
      <c r="F311" s="32">
        <v>104.08</v>
      </c>
      <c r="G311" s="14" t="str">
        <f>VLOOKUP(D311,Table4[],3,FALSE)</f>
        <v>2</v>
      </c>
      <c r="H311" s="15"/>
      <c r="I311" s="15" t="s">
        <v>116</v>
      </c>
      <c r="J311" s="24" t="s">
        <v>28</v>
      </c>
      <c r="K311" s="15">
        <v>669450185</v>
      </c>
      <c r="L311" s="15" t="s">
        <v>29</v>
      </c>
      <c r="M311" s="15"/>
    </row>
    <row r="312" spans="1:13" x14ac:dyDescent="0.25">
      <c r="A312" s="23">
        <f t="shared" ref="A312:A343" si="16">D312</f>
        <v>257279</v>
      </c>
      <c r="B312" s="14" t="str">
        <f t="shared" si="14"/>
        <v>Credit Cards (UMB) - Credits</v>
      </c>
      <c r="C312" s="38">
        <v>46171</v>
      </c>
      <c r="D312" s="34">
        <v>257279</v>
      </c>
      <c r="E312" s="36" t="str">
        <f>IF(Table3[[#This Row],[Type Received]]=2,"CC",(IF(Table3[[#This Row],[Type Received]]=3,"BILL","ACH")))</f>
        <v>CC</v>
      </c>
      <c r="F312" s="35">
        <v>96.51</v>
      </c>
      <c r="G312" s="14" t="str">
        <f>VLOOKUP(D312,Table4[],3,FALSE)</f>
        <v>2</v>
      </c>
      <c r="H312" s="15"/>
      <c r="I312" s="15">
        <v>90792</v>
      </c>
      <c r="J312" s="15" t="s">
        <v>28</v>
      </c>
      <c r="K312" s="15">
        <v>869822992</v>
      </c>
      <c r="L312" s="15" t="s">
        <v>29</v>
      </c>
      <c r="M312" s="15"/>
    </row>
    <row r="313" spans="1:13" x14ac:dyDescent="0.25">
      <c r="A313" s="23">
        <f t="shared" si="16"/>
        <v>257279</v>
      </c>
      <c r="B313" s="14" t="str">
        <f t="shared" si="14"/>
        <v>Direct Debit (UMB Bank) - Credits</v>
      </c>
      <c r="C313" s="37">
        <v>46143</v>
      </c>
      <c r="D313" s="31">
        <v>257279</v>
      </c>
      <c r="E313" s="33" t="str">
        <f>IF(Table3[[#This Row],[Type Received]]=2,"CC",(IF(Table3[[#This Row],[Type Received]]=3,"BILL","ACH")))</f>
        <v>ACH</v>
      </c>
      <c r="F313" s="32">
        <v>96.51</v>
      </c>
      <c r="G313" s="14" t="str">
        <f>VLOOKUP(D313,Table4[],3,FALSE)</f>
        <v>2</v>
      </c>
      <c r="H313" s="15"/>
      <c r="I313" s="15">
        <v>658860</v>
      </c>
      <c r="J313" s="15" t="s">
        <v>28</v>
      </c>
      <c r="K313" s="15">
        <v>523559040</v>
      </c>
      <c r="L313" s="15" t="s">
        <v>29</v>
      </c>
      <c r="M313" s="15" t="s">
        <v>29</v>
      </c>
    </row>
    <row r="314" spans="1:13" x14ac:dyDescent="0.25">
      <c r="A314" s="23">
        <f t="shared" si="16"/>
        <v>257283</v>
      </c>
      <c r="B314" s="14" t="str">
        <f t="shared" si="14"/>
        <v>Direct Debit (UMB Bank) - Credits</v>
      </c>
      <c r="C314" s="38">
        <v>46158</v>
      </c>
      <c r="D314" s="34">
        <v>257283</v>
      </c>
      <c r="E314" s="36" t="str">
        <f>IF(Table3[[#This Row],[Type Received]]=2,"CC",(IF(Table3[[#This Row],[Type Received]]=3,"BILL","ACH")))</f>
        <v>ACH</v>
      </c>
      <c r="F314" s="35">
        <v>135.76</v>
      </c>
      <c r="G314" s="14" t="str">
        <f>VLOOKUP(D314,Table4[],3,FALSE)</f>
        <v>2</v>
      </c>
      <c r="H314" s="15"/>
      <c r="I314" s="15"/>
      <c r="J314" s="15" t="s">
        <v>106</v>
      </c>
      <c r="K314" s="15">
        <v>710039552</v>
      </c>
      <c r="L314" s="15" t="s">
        <v>29</v>
      </c>
      <c r="M314" s="15"/>
    </row>
    <row r="315" spans="1:13" x14ac:dyDescent="0.25">
      <c r="A315" s="23">
        <f t="shared" si="16"/>
        <v>257284</v>
      </c>
      <c r="B315" s="14" t="str">
        <f t="shared" si="14"/>
        <v>Direct Debit (UMB Bank) - Credits</v>
      </c>
      <c r="C315" s="37">
        <v>46157</v>
      </c>
      <c r="D315" s="31">
        <v>257284</v>
      </c>
      <c r="E315" s="33" t="str">
        <f>IF(Table3[[#This Row],[Type Received]]=2,"CC",(IF(Table3[[#This Row],[Type Received]]=3,"BILL","ACH")))</f>
        <v>ACH</v>
      </c>
      <c r="F315" s="32">
        <v>74.930000000000007</v>
      </c>
      <c r="G315" s="14" t="str">
        <f>VLOOKUP(D315,Table4[],3,FALSE)</f>
        <v>1</v>
      </c>
      <c r="H315" s="15"/>
      <c r="I315" s="15"/>
      <c r="J315" s="15" t="s">
        <v>87</v>
      </c>
      <c r="K315" s="15">
        <v>696612852</v>
      </c>
      <c r="L315" s="15" t="s">
        <v>29</v>
      </c>
      <c r="M315" s="15" t="s">
        <v>29</v>
      </c>
    </row>
    <row r="316" spans="1:13" x14ac:dyDescent="0.25">
      <c r="A316" s="23">
        <f t="shared" si="16"/>
        <v>257285</v>
      </c>
      <c r="B316" s="14" t="str">
        <f t="shared" si="14"/>
        <v>Direct Debit (UMB Bank) - Credits</v>
      </c>
      <c r="C316" s="38">
        <v>46168</v>
      </c>
      <c r="D316" s="34">
        <v>257285</v>
      </c>
      <c r="E316" s="36" t="str">
        <f>IF(Table3[[#This Row],[Type Received]]=2,"CC",(IF(Table3[[#This Row],[Type Received]]=3,"BILL","ACH")))</f>
        <v>ACH</v>
      </c>
      <c r="F316" s="35">
        <v>53.15</v>
      </c>
      <c r="G316" s="14" t="str">
        <f>VLOOKUP(D316,Table4[],3,FALSE)</f>
        <v>1</v>
      </c>
      <c r="H316" s="15"/>
      <c r="I316" s="15"/>
      <c r="J316" s="15" t="s">
        <v>110</v>
      </c>
      <c r="K316" s="15">
        <v>828237296</v>
      </c>
      <c r="L316" s="15" t="s">
        <v>29</v>
      </c>
      <c r="M316" s="15" t="s">
        <v>29</v>
      </c>
    </row>
    <row r="317" spans="1:13" x14ac:dyDescent="0.25">
      <c r="A317" s="23">
        <f t="shared" si="16"/>
        <v>257286</v>
      </c>
      <c r="B317" s="14" t="str">
        <f t="shared" si="14"/>
        <v>Credit Cards (UMB) - Credits</v>
      </c>
      <c r="C317" s="37">
        <v>46168</v>
      </c>
      <c r="D317" s="31">
        <v>257286</v>
      </c>
      <c r="E317" s="33" t="str">
        <f>IF(Table3[[#This Row],[Type Received]]=2,"CC",(IF(Table3[[#This Row],[Type Received]]=3,"BILL","ACH")))</f>
        <v>CC</v>
      </c>
      <c r="F317" s="32">
        <v>45.45</v>
      </c>
      <c r="G317" s="14" t="str">
        <f>VLOOKUP(D317,Table4[],3,FALSE)</f>
        <v>1</v>
      </c>
      <c r="H317" s="15"/>
      <c r="I317" s="15"/>
      <c r="J317" s="15" t="s">
        <v>110</v>
      </c>
      <c r="K317" s="15">
        <v>828228530</v>
      </c>
      <c r="L317" s="15" t="s">
        <v>29</v>
      </c>
      <c r="M317" s="15"/>
    </row>
    <row r="318" spans="1:13" x14ac:dyDescent="0.25">
      <c r="A318" s="23">
        <f t="shared" si="16"/>
        <v>257292</v>
      </c>
      <c r="B318" s="14" t="str">
        <f t="shared" si="14"/>
        <v>Credit Cards (UMB) - Credits</v>
      </c>
      <c r="C318" s="38">
        <v>46170</v>
      </c>
      <c r="D318" s="34">
        <v>257292</v>
      </c>
      <c r="E318" s="36" t="str">
        <f>IF(Table3[[#This Row],[Type Received]]=2,"CC",(IF(Table3[[#This Row],[Type Received]]=3,"BILL","ACH")))</f>
        <v>CC</v>
      </c>
      <c r="F318" s="35">
        <v>86.94</v>
      </c>
      <c r="G318" s="14" t="str">
        <f>VLOOKUP(D318,Table4[],3,FALSE)</f>
        <v>2</v>
      </c>
      <c r="H318" s="15"/>
      <c r="I318" s="15">
        <v>686091</v>
      </c>
      <c r="J318" s="15" t="s">
        <v>28</v>
      </c>
      <c r="K318" s="15">
        <v>856236317</v>
      </c>
      <c r="L318" s="15" t="s">
        <v>29</v>
      </c>
      <c r="M318" s="15" t="s">
        <v>29</v>
      </c>
    </row>
    <row r="319" spans="1:13" x14ac:dyDescent="0.25">
      <c r="A319" s="23">
        <f t="shared" si="16"/>
        <v>257293</v>
      </c>
      <c r="B319" s="14" t="str">
        <f t="shared" si="14"/>
        <v>Credit Cards (UMB) - Credits</v>
      </c>
      <c r="C319" s="37">
        <v>46155</v>
      </c>
      <c r="D319" s="31">
        <v>257293</v>
      </c>
      <c r="E319" s="33" t="str">
        <f>IF(Table3[[#This Row],[Type Received]]=2,"CC",(IF(Table3[[#This Row],[Type Received]]=3,"BILL","ACH")))</f>
        <v>CC</v>
      </c>
      <c r="F319" s="32">
        <v>209.18</v>
      </c>
      <c r="G319" s="14" t="str">
        <f>VLOOKUP(D319,Table4[],3,FALSE)</f>
        <v>2</v>
      </c>
      <c r="H319" s="15"/>
      <c r="I319" s="15">
        <v>125857</v>
      </c>
      <c r="J319" s="15" t="s">
        <v>28</v>
      </c>
      <c r="K319" s="15">
        <v>669392112</v>
      </c>
      <c r="L319" s="15" t="s">
        <v>29</v>
      </c>
      <c r="M319" s="15" t="s">
        <v>29</v>
      </c>
    </row>
    <row r="320" spans="1:13" x14ac:dyDescent="0.25">
      <c r="A320" s="23">
        <f t="shared" si="16"/>
        <v>257294</v>
      </c>
      <c r="B320" s="14" t="str">
        <f t="shared" si="14"/>
        <v>Credit Cards (UMB) - Credits</v>
      </c>
      <c r="C320" s="38">
        <v>46162</v>
      </c>
      <c r="D320" s="34">
        <v>257294</v>
      </c>
      <c r="E320" s="36" t="str">
        <f>IF(Table3[[#This Row],[Type Received]]=2,"CC",(IF(Table3[[#This Row],[Type Received]]=3,"BILL","ACH")))</f>
        <v>CC</v>
      </c>
      <c r="F320" s="35">
        <v>49.32</v>
      </c>
      <c r="G320" s="14" t="str">
        <f>VLOOKUP(D320,Table4[],3,FALSE)</f>
        <v>2</v>
      </c>
      <c r="H320" s="15"/>
      <c r="I320" s="15">
        <v>11724</v>
      </c>
      <c r="J320" s="15" t="s">
        <v>28</v>
      </c>
      <c r="K320" s="15">
        <v>758559129</v>
      </c>
      <c r="L320" s="15" t="s">
        <v>29</v>
      </c>
      <c r="M320" s="15" t="s">
        <v>29</v>
      </c>
    </row>
    <row r="321" spans="1:13" x14ac:dyDescent="0.25">
      <c r="A321" s="23">
        <f t="shared" si="16"/>
        <v>257295</v>
      </c>
      <c r="B321" s="14" t="str">
        <f t="shared" si="14"/>
        <v>Credit Cards (UMB) - Credits</v>
      </c>
      <c r="C321" s="37">
        <v>46144</v>
      </c>
      <c r="D321" s="31">
        <v>257295</v>
      </c>
      <c r="E321" s="33" t="str">
        <f>IF(Table3[[#This Row],[Type Received]]=2,"CC",(IF(Table3[[#This Row],[Type Received]]=3,"BILL","ACH")))</f>
        <v>CC</v>
      </c>
      <c r="F321" s="32">
        <v>119.15</v>
      </c>
      <c r="G321" s="14" t="str">
        <f>VLOOKUP(D321,Table4[],3,FALSE)</f>
        <v>1</v>
      </c>
      <c r="H321" s="15"/>
      <c r="I321" s="15">
        <v>628747</v>
      </c>
      <c r="J321" s="15" t="s">
        <v>28</v>
      </c>
      <c r="K321" s="15">
        <v>535378592</v>
      </c>
      <c r="L321" s="15" t="s">
        <v>29</v>
      </c>
      <c r="M321" s="15"/>
    </row>
    <row r="322" spans="1:13" x14ac:dyDescent="0.25">
      <c r="A322" s="23">
        <f t="shared" si="16"/>
        <v>257302</v>
      </c>
      <c r="B322" s="14" t="str">
        <f t="shared" ref="B322:B385" si="17">IF(AND(E322="BILL",F322&lt;0),"Billing &amp; Direct Debit - Refunds",(IF(AND(E322="BILL",F322&gt;0),"Billing - Credits (from TPA)",(IF(AND(E322="CC",F322&lt;0),"Credit Cards (UMB) - Refunds",(IF(AND(E322="CC",F322&gt;0),"Credit Cards (UMB) - Credits",(IF(AND(E322="ACH",F322&gt;0),"Direct Debit (UMB Bank) - Credits","Direct Debit (UMB Bank) - Returned Items")))))))))</f>
        <v>Direct Debit (UMB Bank) - Credits</v>
      </c>
      <c r="C322" s="38">
        <v>46155</v>
      </c>
      <c r="D322" s="34">
        <v>257302</v>
      </c>
      <c r="E322" s="36" t="str">
        <f>IF(Table3[[#This Row],[Type Received]]=2,"CC",(IF(Table3[[#This Row],[Type Received]]=3,"BILL","ACH")))</f>
        <v>ACH</v>
      </c>
      <c r="F322" s="35">
        <v>67.45</v>
      </c>
      <c r="G322" s="14" t="str">
        <f>VLOOKUP(D322,Table4[],3,FALSE)</f>
        <v>1</v>
      </c>
      <c r="H322" s="15"/>
      <c r="I322" s="15">
        <v>245464</v>
      </c>
      <c r="J322" s="15" t="s">
        <v>28</v>
      </c>
      <c r="K322" s="15">
        <v>669428965</v>
      </c>
      <c r="L322" s="15" t="s">
        <v>29</v>
      </c>
      <c r="M322" s="15" t="s">
        <v>29</v>
      </c>
    </row>
    <row r="323" spans="1:13" x14ac:dyDescent="0.25">
      <c r="A323" s="23">
        <f t="shared" si="16"/>
        <v>257306</v>
      </c>
      <c r="B323" s="14" t="str">
        <f t="shared" si="17"/>
        <v>Direct Debit (UMB Bank) - Credits</v>
      </c>
      <c r="C323" s="37">
        <v>46157</v>
      </c>
      <c r="D323" s="31">
        <v>257306</v>
      </c>
      <c r="E323" s="33" t="str">
        <f>IF(Table3[[#This Row],[Type Received]]=2,"CC",(IF(Table3[[#This Row],[Type Received]]=3,"BILL","ACH")))</f>
        <v>ACH</v>
      </c>
      <c r="F323" s="32">
        <v>44.35</v>
      </c>
      <c r="G323" s="14" t="str">
        <f>VLOOKUP(D323,Table4[],3,FALSE)</f>
        <v>1</v>
      </c>
      <c r="H323" s="15"/>
      <c r="I323" s="15"/>
      <c r="J323" s="15" t="s">
        <v>87</v>
      </c>
      <c r="K323" s="15">
        <v>696610870</v>
      </c>
      <c r="L323" s="15" t="s">
        <v>29</v>
      </c>
      <c r="M323" s="15" t="s">
        <v>29</v>
      </c>
    </row>
    <row r="324" spans="1:13" x14ac:dyDescent="0.25">
      <c r="A324" s="23">
        <f t="shared" si="16"/>
        <v>257308</v>
      </c>
      <c r="B324" s="14" t="str">
        <f t="shared" si="17"/>
        <v>Direct Debit (UMB Bank) - Credits</v>
      </c>
      <c r="C324" s="38">
        <v>46168</v>
      </c>
      <c r="D324" s="34">
        <v>257308</v>
      </c>
      <c r="E324" s="36" t="str">
        <f>IF(Table3[[#This Row],[Type Received]]=2,"CC",(IF(Table3[[#This Row],[Type Received]]=3,"BILL","ACH")))</f>
        <v>ACH</v>
      </c>
      <c r="F324" s="35">
        <v>54.03</v>
      </c>
      <c r="G324" s="14" t="str">
        <f>VLOOKUP(D324,Table4[],3,FALSE)</f>
        <v>1</v>
      </c>
      <c r="H324" s="15"/>
      <c r="I324" s="15"/>
      <c r="J324" s="15" t="s">
        <v>110</v>
      </c>
      <c r="K324" s="15">
        <v>828228557</v>
      </c>
      <c r="L324" s="15" t="s">
        <v>29</v>
      </c>
      <c r="M324" s="15"/>
    </row>
    <row r="325" spans="1:13" x14ac:dyDescent="0.25">
      <c r="A325" s="23">
        <f t="shared" si="16"/>
        <v>257312</v>
      </c>
      <c r="B325" s="14" t="str">
        <f t="shared" si="17"/>
        <v>Direct Debit (UMB Bank) - Credits</v>
      </c>
      <c r="C325" s="37">
        <v>46143</v>
      </c>
      <c r="D325" s="31">
        <v>257312</v>
      </c>
      <c r="E325" s="33" t="str">
        <f>IF(Table3[[#This Row],[Type Received]]=2,"CC",(IF(Table3[[#This Row],[Type Received]]=3,"BILL","ACH")))</f>
        <v>ACH</v>
      </c>
      <c r="F325" s="32">
        <v>89.23</v>
      </c>
      <c r="G325" s="14" t="str">
        <f>VLOOKUP(D325,Table4[],3,FALSE)</f>
        <v>1</v>
      </c>
      <c r="H325" s="15"/>
      <c r="I325" s="15"/>
      <c r="J325" s="15" t="s">
        <v>84</v>
      </c>
      <c r="K325" s="15">
        <v>522204316</v>
      </c>
      <c r="L325" s="15" t="s">
        <v>29</v>
      </c>
      <c r="M325" s="15" t="s">
        <v>29</v>
      </c>
    </row>
    <row r="326" spans="1:13" x14ac:dyDescent="0.25">
      <c r="A326" s="23">
        <f t="shared" si="16"/>
        <v>257313</v>
      </c>
      <c r="B326" s="14" t="str">
        <f t="shared" si="17"/>
        <v>Credit Cards (UMB) - Credits</v>
      </c>
      <c r="C326" s="38">
        <v>46143</v>
      </c>
      <c r="D326" s="34">
        <v>257313</v>
      </c>
      <c r="E326" s="36" t="str">
        <f>IF(Table3[[#This Row],[Type Received]]=2,"CC",(IF(Table3[[#This Row],[Type Received]]=3,"BILL","ACH")))</f>
        <v>CC</v>
      </c>
      <c r="F326" s="35">
        <v>48.31</v>
      </c>
      <c r="G326" s="14" t="str">
        <f>VLOOKUP(D326,Table4[],3,FALSE)</f>
        <v>1</v>
      </c>
      <c r="H326" s="15"/>
      <c r="I326" s="15"/>
      <c r="J326" s="15" t="s">
        <v>84</v>
      </c>
      <c r="K326" s="15">
        <v>522197546</v>
      </c>
      <c r="L326" s="15" t="s">
        <v>29</v>
      </c>
      <c r="M326" s="15"/>
    </row>
    <row r="327" spans="1:13" x14ac:dyDescent="0.25">
      <c r="A327" s="23">
        <f t="shared" si="16"/>
        <v>257324</v>
      </c>
      <c r="B327" s="14" t="str">
        <f t="shared" si="17"/>
        <v>Billing - Credits (from TPA)</v>
      </c>
      <c r="C327" s="37">
        <v>46157</v>
      </c>
      <c r="D327" s="31">
        <v>257324</v>
      </c>
      <c r="E327" s="33" t="str">
        <f>IF(Table3[[#This Row],[Type Received]]=2,"CC",(IF(Table3[[#This Row],[Type Received]]=3,"BILL","ACH")))</f>
        <v>BILL</v>
      </c>
      <c r="F327" s="32">
        <v>84</v>
      </c>
      <c r="G327" s="14" t="str">
        <f>VLOOKUP(D327,Table4[],3,FALSE)</f>
        <v>1</v>
      </c>
      <c r="H327" s="15"/>
      <c r="I327" s="15">
        <v>143511</v>
      </c>
      <c r="J327" s="15">
        <v>745623440</v>
      </c>
      <c r="K327" s="15">
        <v>354651344</v>
      </c>
      <c r="L327" s="15"/>
      <c r="M327" s="15" t="s">
        <v>29</v>
      </c>
    </row>
    <row r="328" spans="1:13" x14ac:dyDescent="0.25">
      <c r="A328" s="23">
        <f t="shared" si="16"/>
        <v>257330</v>
      </c>
      <c r="B328" s="14" t="str">
        <f t="shared" si="17"/>
        <v>Direct Debit (UMB Bank) - Credits</v>
      </c>
      <c r="C328" s="38">
        <v>46146</v>
      </c>
      <c r="D328" s="34">
        <v>257330</v>
      </c>
      <c r="E328" s="36" t="str">
        <f>IF(Table3[[#This Row],[Type Received]]=2,"CC",(IF(Table3[[#This Row],[Type Received]]=3,"BILL","ACH")))</f>
        <v>ACH</v>
      </c>
      <c r="F328" s="35">
        <v>170.9</v>
      </c>
      <c r="G328" s="14" t="str">
        <f>VLOOKUP(D328,Table4[],3,FALSE)</f>
        <v>1</v>
      </c>
      <c r="H328" s="15">
        <v>1432</v>
      </c>
      <c r="I328" s="15"/>
      <c r="J328" s="15"/>
      <c r="K328" s="15"/>
      <c r="L328" s="15"/>
      <c r="M328" s="15" t="s">
        <v>29</v>
      </c>
    </row>
    <row r="329" spans="1:13" x14ac:dyDescent="0.25">
      <c r="A329" s="23">
        <f t="shared" si="16"/>
        <v>257331</v>
      </c>
      <c r="B329" s="14" t="str">
        <f t="shared" si="17"/>
        <v>Credit Cards (UMB) - Credits</v>
      </c>
      <c r="C329" s="37">
        <v>46145</v>
      </c>
      <c r="D329" s="31">
        <v>257331</v>
      </c>
      <c r="E329" s="33" t="str">
        <f>IF(Table3[[#This Row],[Type Received]]=2,"CC",(IF(Table3[[#This Row],[Type Received]]=3,"BILL","ACH")))</f>
        <v>CC</v>
      </c>
      <c r="F329" s="32">
        <v>80.430000000000007</v>
      </c>
      <c r="G329" s="14" t="str">
        <f>VLOOKUP(D329,Table4[],3,FALSE)</f>
        <v>1</v>
      </c>
      <c r="H329" s="15"/>
      <c r="I329" s="15"/>
      <c r="J329" s="15" t="s">
        <v>113</v>
      </c>
      <c r="K329" s="15">
        <v>546408533</v>
      </c>
      <c r="L329" s="15" t="s">
        <v>29</v>
      </c>
      <c r="M329" s="15" t="s">
        <v>29</v>
      </c>
    </row>
    <row r="330" spans="1:13" x14ac:dyDescent="0.25">
      <c r="A330" s="23">
        <f t="shared" si="16"/>
        <v>257347</v>
      </c>
      <c r="B330" s="14" t="str">
        <f t="shared" si="17"/>
        <v>Credit Cards (UMB) - Credits</v>
      </c>
      <c r="C330" s="38">
        <v>46156</v>
      </c>
      <c r="D330" s="34">
        <v>257347</v>
      </c>
      <c r="E330" s="36" t="str">
        <f>IF(Table3[[#This Row],[Type Received]]=2,"CC",(IF(Table3[[#This Row],[Type Received]]=3,"BILL","ACH")))</f>
        <v>CC</v>
      </c>
      <c r="F330" s="35">
        <v>39.729999999999997</v>
      </c>
      <c r="G330" s="14" t="str">
        <f>VLOOKUP(D330,Table4[],3,FALSE)</f>
        <v>1</v>
      </c>
      <c r="H330" s="15"/>
      <c r="I330" s="15">
        <v>108200</v>
      </c>
      <c r="J330" s="15" t="s">
        <v>28</v>
      </c>
      <c r="K330" s="15">
        <v>682529472</v>
      </c>
      <c r="L330" s="15" t="s">
        <v>29</v>
      </c>
      <c r="M330" s="15" t="s">
        <v>29</v>
      </c>
    </row>
    <row r="331" spans="1:13" x14ac:dyDescent="0.25">
      <c r="A331" s="23">
        <f t="shared" si="16"/>
        <v>257351</v>
      </c>
      <c r="B331" s="14" t="str">
        <f t="shared" si="17"/>
        <v>Direct Debit (UMB Bank) - Credits</v>
      </c>
      <c r="C331" s="37">
        <v>46155</v>
      </c>
      <c r="D331" s="31">
        <v>257351</v>
      </c>
      <c r="E331" s="33" t="str">
        <f>IF(Table3[[#This Row],[Type Received]]=2,"CC",(IF(Table3[[#This Row],[Type Received]]=3,"BILL","ACH")))</f>
        <v>ACH</v>
      </c>
      <c r="F331" s="32">
        <v>49.41</v>
      </c>
      <c r="G331" s="14" t="str">
        <f>VLOOKUP(D331,Table4[],3,FALSE)</f>
        <v>1</v>
      </c>
      <c r="H331" s="15"/>
      <c r="I331" s="15">
        <v>13547</v>
      </c>
      <c r="J331" s="15" t="s">
        <v>28</v>
      </c>
      <c r="K331" s="15">
        <v>669428980</v>
      </c>
      <c r="L331" s="15" t="s">
        <v>29</v>
      </c>
      <c r="M331" s="15" t="s">
        <v>29</v>
      </c>
    </row>
    <row r="332" spans="1:13" x14ac:dyDescent="0.25">
      <c r="A332" s="23">
        <f t="shared" si="16"/>
        <v>257352</v>
      </c>
      <c r="B332" s="14" t="str">
        <f t="shared" si="17"/>
        <v>Direct Debit (UMB Bank) - Credits</v>
      </c>
      <c r="C332" s="38">
        <v>46143</v>
      </c>
      <c r="D332" s="34">
        <v>257352</v>
      </c>
      <c r="E332" s="36" t="str">
        <f>IF(Table3[[#This Row],[Type Received]]=2,"CC",(IF(Table3[[#This Row],[Type Received]]=3,"BILL","ACH")))</f>
        <v>ACH</v>
      </c>
      <c r="F332" s="35">
        <v>124.54</v>
      </c>
      <c r="G332" s="14" t="str">
        <f>VLOOKUP(D332,Table4[],3,FALSE)</f>
        <v>2</v>
      </c>
      <c r="H332" s="15"/>
      <c r="I332" s="15"/>
      <c r="J332" s="24" t="s">
        <v>84</v>
      </c>
      <c r="K332" s="15">
        <v>522194688</v>
      </c>
      <c r="L332" s="15" t="s">
        <v>29</v>
      </c>
      <c r="M332" s="15" t="s">
        <v>29</v>
      </c>
    </row>
    <row r="333" spans="1:13" x14ac:dyDescent="0.25">
      <c r="A333" s="23">
        <f t="shared" si="16"/>
        <v>257353</v>
      </c>
      <c r="B333" s="14" t="str">
        <f t="shared" si="17"/>
        <v>Direct Debit (UMB Bank) - Credits</v>
      </c>
      <c r="C333" s="37">
        <v>46157</v>
      </c>
      <c r="D333" s="31">
        <v>257353</v>
      </c>
      <c r="E333" s="33" t="str">
        <f>IF(Table3[[#This Row],[Type Received]]=2,"CC",(IF(Table3[[#This Row],[Type Received]]=3,"BILL","ACH")))</f>
        <v>ACH</v>
      </c>
      <c r="F333" s="32">
        <v>75.7</v>
      </c>
      <c r="G333" s="14" t="str">
        <f>VLOOKUP(D333,Table4[],3,FALSE)</f>
        <v>2</v>
      </c>
      <c r="H333" s="15"/>
      <c r="I333" s="15"/>
      <c r="J333" s="15" t="s">
        <v>87</v>
      </c>
      <c r="K333" s="15">
        <v>696629284</v>
      </c>
      <c r="L333" s="15" t="s">
        <v>29</v>
      </c>
      <c r="M333" s="15" t="s">
        <v>29</v>
      </c>
    </row>
    <row r="334" spans="1:13" x14ac:dyDescent="0.25">
      <c r="A334" s="23">
        <f t="shared" si="16"/>
        <v>257354</v>
      </c>
      <c r="B334" s="14" t="str">
        <f t="shared" si="17"/>
        <v>Direct Debit (UMB Bank) - Credits</v>
      </c>
      <c r="C334" s="38">
        <v>46157</v>
      </c>
      <c r="D334" s="34">
        <v>257354</v>
      </c>
      <c r="E334" s="36" t="str">
        <f>IF(Table3[[#This Row],[Type Received]]=2,"CC",(IF(Table3[[#This Row],[Type Received]]=3,"BILL","ACH")))</f>
        <v>ACH</v>
      </c>
      <c r="F334" s="35">
        <v>47.65</v>
      </c>
      <c r="G334" s="14" t="str">
        <f>VLOOKUP(D334,Table4[],3,FALSE)</f>
        <v>2</v>
      </c>
      <c r="H334" s="15"/>
      <c r="I334" s="15"/>
      <c r="J334" s="15" t="s">
        <v>87</v>
      </c>
      <c r="K334" s="15">
        <v>696607061</v>
      </c>
      <c r="L334" s="15" t="s">
        <v>29</v>
      </c>
      <c r="M334" s="15"/>
    </row>
    <row r="335" spans="1:13" x14ac:dyDescent="0.25">
      <c r="A335" s="23">
        <f t="shared" si="16"/>
        <v>257355</v>
      </c>
      <c r="B335" s="14" t="str">
        <f t="shared" si="17"/>
        <v>Direct Debit (UMB Bank) - Credits</v>
      </c>
      <c r="C335" s="37">
        <v>46157</v>
      </c>
      <c r="D335" s="31">
        <v>257355</v>
      </c>
      <c r="E335" s="33" t="str">
        <f>IF(Table3[[#This Row],[Type Received]]=2,"CC",(IF(Table3[[#This Row],[Type Received]]=3,"BILL","ACH")))</f>
        <v>ACH</v>
      </c>
      <c r="F335" s="32">
        <v>115.96</v>
      </c>
      <c r="G335" s="14" t="str">
        <f>VLOOKUP(D335,Table4[],3,FALSE)</f>
        <v>2</v>
      </c>
      <c r="H335" s="15"/>
      <c r="I335" s="15"/>
      <c r="J335" s="15" t="s">
        <v>87</v>
      </c>
      <c r="K335" s="15">
        <v>696616680</v>
      </c>
      <c r="L335" s="15" t="s">
        <v>29</v>
      </c>
      <c r="M335" s="15" t="s">
        <v>29</v>
      </c>
    </row>
    <row r="336" spans="1:13" x14ac:dyDescent="0.25">
      <c r="A336" s="23">
        <f t="shared" si="16"/>
        <v>257357</v>
      </c>
      <c r="B336" s="14" t="str">
        <f t="shared" si="17"/>
        <v>Direct Debit (UMB Bank) - Credits</v>
      </c>
      <c r="C336" s="38">
        <v>46157</v>
      </c>
      <c r="D336" s="34">
        <v>257357</v>
      </c>
      <c r="E336" s="36" t="str">
        <f>IF(Table3[[#This Row],[Type Received]]=2,"CC",(IF(Table3[[#This Row],[Type Received]]=3,"BILL","ACH")))</f>
        <v>ACH</v>
      </c>
      <c r="F336" s="35">
        <v>180.97</v>
      </c>
      <c r="G336" s="14" t="str">
        <f>VLOOKUP(D336,Table4[],3,FALSE)</f>
        <v>2</v>
      </c>
      <c r="H336" s="15"/>
      <c r="I336" s="15"/>
      <c r="J336" s="24" t="s">
        <v>87</v>
      </c>
      <c r="K336" s="15">
        <v>696631268</v>
      </c>
      <c r="L336" s="15" t="s">
        <v>29</v>
      </c>
      <c r="M336" s="15" t="s">
        <v>29</v>
      </c>
    </row>
    <row r="337" spans="1:13" x14ac:dyDescent="0.25">
      <c r="A337" s="23">
        <f t="shared" si="16"/>
        <v>257359</v>
      </c>
      <c r="B337" s="14" t="str">
        <f t="shared" si="17"/>
        <v>Direct Debit (UMB Bank) - Credits</v>
      </c>
      <c r="C337" s="37">
        <v>46157</v>
      </c>
      <c r="D337" s="31">
        <v>257359</v>
      </c>
      <c r="E337" s="33" t="str">
        <f>IF(Table3[[#This Row],[Type Received]]=2,"CC",(IF(Table3[[#This Row],[Type Received]]=3,"BILL","ACH")))</f>
        <v>ACH</v>
      </c>
      <c r="F337" s="32">
        <v>92.09</v>
      </c>
      <c r="G337" s="14" t="str">
        <f>VLOOKUP(D337,Table4[],3,FALSE)</f>
        <v>1</v>
      </c>
      <c r="H337" s="15"/>
      <c r="I337" s="15"/>
      <c r="J337" s="15" t="s">
        <v>87</v>
      </c>
      <c r="K337" s="15">
        <v>696625487</v>
      </c>
      <c r="L337" s="15" t="s">
        <v>29</v>
      </c>
      <c r="M337" s="15"/>
    </row>
    <row r="338" spans="1:13" x14ac:dyDescent="0.25">
      <c r="A338" s="23">
        <f t="shared" si="16"/>
        <v>257360</v>
      </c>
      <c r="B338" s="14" t="str">
        <f t="shared" si="17"/>
        <v>Direct Debit (UMB Bank) - Credits</v>
      </c>
      <c r="C338" s="38">
        <v>46168</v>
      </c>
      <c r="D338" s="34">
        <v>257360</v>
      </c>
      <c r="E338" s="36" t="str">
        <f>IF(Table3[[#This Row],[Type Received]]=2,"CC",(IF(Table3[[#This Row],[Type Received]]=3,"BILL","ACH")))</f>
        <v>ACH</v>
      </c>
      <c r="F338" s="35">
        <v>165.79</v>
      </c>
      <c r="G338" s="14" t="str">
        <f>VLOOKUP(D338,Table4[],3,FALSE)</f>
        <v>2</v>
      </c>
      <c r="H338" s="15"/>
      <c r="I338" s="15"/>
      <c r="J338" s="15" t="s">
        <v>110</v>
      </c>
      <c r="K338" s="15">
        <v>828220961</v>
      </c>
      <c r="L338" s="15" t="s">
        <v>29</v>
      </c>
      <c r="M338" s="15" t="s">
        <v>29</v>
      </c>
    </row>
    <row r="339" spans="1:13" x14ac:dyDescent="0.25">
      <c r="A339" s="23">
        <f t="shared" si="16"/>
        <v>257364</v>
      </c>
      <c r="B339" s="14" t="str">
        <f t="shared" si="17"/>
        <v>Billing - Credits (from TPA)</v>
      </c>
      <c r="C339" s="37">
        <v>46143</v>
      </c>
      <c r="D339" s="31">
        <v>257364</v>
      </c>
      <c r="E339" s="33" t="str">
        <f>IF(Table3[[#This Row],[Type Received]]=2,"CC",(IF(Table3[[#This Row],[Type Received]]=3,"BILL","ACH")))</f>
        <v>BILL</v>
      </c>
      <c r="F339" s="32">
        <v>100.78</v>
      </c>
      <c r="G339" s="14" t="str">
        <f>VLOOKUP(D339,Table4[],3,FALSE)</f>
        <v>2</v>
      </c>
      <c r="H339" s="15"/>
      <c r="I339" s="15"/>
      <c r="J339" s="15" t="s">
        <v>84</v>
      </c>
      <c r="K339" s="15">
        <v>522190837</v>
      </c>
      <c r="L339" s="15" t="s">
        <v>29</v>
      </c>
      <c r="M339" s="15" t="s">
        <v>29</v>
      </c>
    </row>
    <row r="340" spans="1:13" x14ac:dyDescent="0.25">
      <c r="A340" s="23">
        <f t="shared" si="16"/>
        <v>257367</v>
      </c>
      <c r="B340" s="14" t="str">
        <f t="shared" si="17"/>
        <v>Credit Cards (UMB) - Credits</v>
      </c>
      <c r="C340" s="38">
        <v>46154</v>
      </c>
      <c r="D340" s="34">
        <v>257367</v>
      </c>
      <c r="E340" s="36" t="str">
        <f>IF(Table3[[#This Row],[Type Received]]=2,"CC",(IF(Table3[[#This Row],[Type Received]]=3,"BILL","ACH")))</f>
        <v>CC</v>
      </c>
      <c r="F340" s="35">
        <v>52.95</v>
      </c>
      <c r="G340" s="14" t="str">
        <f>VLOOKUP(D340,Table4[],3,FALSE)</f>
        <v>2</v>
      </c>
      <c r="H340" s="15">
        <v>6270</v>
      </c>
      <c r="I340" s="15"/>
      <c r="J340" s="24"/>
      <c r="K340" s="15"/>
      <c r="L340" s="15"/>
      <c r="M340" s="15" t="s">
        <v>29</v>
      </c>
    </row>
    <row r="341" spans="1:13" x14ac:dyDescent="0.25">
      <c r="A341" s="23">
        <f t="shared" si="16"/>
        <v>257375</v>
      </c>
      <c r="B341" s="14" t="str">
        <f t="shared" si="17"/>
        <v>Direct Debit (UMB Bank) - Credits</v>
      </c>
      <c r="C341" s="37">
        <v>46155</v>
      </c>
      <c r="D341" s="31">
        <v>257375</v>
      </c>
      <c r="E341" s="33" t="str">
        <f>IF(Table3[[#This Row],[Type Received]]=2,"CC",(IF(Table3[[#This Row],[Type Received]]=3,"BILL","ACH")))</f>
        <v>ACH</v>
      </c>
      <c r="F341" s="32">
        <v>70</v>
      </c>
      <c r="G341" s="14" t="str">
        <f>VLOOKUP(D341,Table4[],3,FALSE)</f>
        <v>1</v>
      </c>
      <c r="H341" s="15"/>
      <c r="I341" s="15">
        <v>205044</v>
      </c>
      <c r="J341" s="15">
        <v>744917848</v>
      </c>
      <c r="K341" s="15">
        <v>354509527</v>
      </c>
      <c r="L341" s="15"/>
      <c r="M341" s="15" t="s">
        <v>29</v>
      </c>
    </row>
    <row r="342" spans="1:13" x14ac:dyDescent="0.25">
      <c r="A342" s="23">
        <f t="shared" si="16"/>
        <v>257379</v>
      </c>
      <c r="B342" s="14" t="str">
        <f t="shared" si="17"/>
        <v>Credit Cards (UMB) - Credits</v>
      </c>
      <c r="C342" s="38">
        <v>46157</v>
      </c>
      <c r="D342" s="34">
        <v>257379</v>
      </c>
      <c r="E342" s="36" t="str">
        <f>IF(Table3[[#This Row],[Type Received]]=2,"CC",(IF(Table3[[#This Row],[Type Received]]=3,"BILL","ACH")))</f>
        <v>CC</v>
      </c>
      <c r="F342" s="35">
        <v>127.18</v>
      </c>
      <c r="G342" s="14" t="str">
        <f>VLOOKUP(D342,Table4[],3,FALSE)</f>
        <v>2</v>
      </c>
      <c r="H342" s="15"/>
      <c r="I342" s="15"/>
      <c r="J342" s="24" t="s">
        <v>87</v>
      </c>
      <c r="K342" s="15">
        <v>696622614</v>
      </c>
      <c r="L342" s="15" t="s">
        <v>29</v>
      </c>
      <c r="M342" s="15" t="s">
        <v>29</v>
      </c>
    </row>
    <row r="343" spans="1:13" x14ac:dyDescent="0.25">
      <c r="A343" s="23">
        <f t="shared" si="16"/>
        <v>257380</v>
      </c>
      <c r="B343" s="14" t="str">
        <f t="shared" si="17"/>
        <v>Credit Cards (UMB) - Credits</v>
      </c>
      <c r="C343" s="37">
        <v>46163</v>
      </c>
      <c r="D343" s="31">
        <v>257380</v>
      </c>
      <c r="E343" s="33" t="str">
        <f>IF(Table3[[#This Row],[Type Received]]=2,"CC",(IF(Table3[[#This Row],[Type Received]]=3,"BILL","ACH")))</f>
        <v>CC</v>
      </c>
      <c r="F343" s="32">
        <v>121.26</v>
      </c>
      <c r="G343" s="14" t="str">
        <f>VLOOKUP(D343,Table4[],3,FALSE)</f>
        <v>2</v>
      </c>
      <c r="H343" s="15"/>
      <c r="I343" s="15">
        <v>502220</v>
      </c>
      <c r="J343" s="15" t="s">
        <v>28</v>
      </c>
      <c r="K343" s="15">
        <v>775576130</v>
      </c>
      <c r="L343" s="15" t="s">
        <v>29</v>
      </c>
      <c r="M343" s="15" t="s">
        <v>29</v>
      </c>
    </row>
    <row r="344" spans="1:13" x14ac:dyDescent="0.25">
      <c r="A344" s="23">
        <f t="shared" ref="A344:A375" si="18">D344</f>
        <v>257380</v>
      </c>
      <c r="B344" s="14" t="str">
        <f t="shared" si="17"/>
        <v>Direct Debit (UMB Bank) - Credits</v>
      </c>
      <c r="C344" s="38">
        <v>46146</v>
      </c>
      <c r="D344" s="34">
        <v>257380</v>
      </c>
      <c r="E344" s="36" t="str">
        <f>IF(Table3[[#This Row],[Type Received]]=2,"CC",(IF(Table3[[#This Row],[Type Received]]=3,"BILL","ACH")))</f>
        <v>ACH</v>
      </c>
      <c r="F344" s="35">
        <v>121.26</v>
      </c>
      <c r="G344" s="14" t="str">
        <f>VLOOKUP(D344,Table4[],3,FALSE)</f>
        <v>2</v>
      </c>
      <c r="H344" s="15"/>
      <c r="I344" s="15">
        <v>717827</v>
      </c>
      <c r="J344" s="15" t="s">
        <v>28</v>
      </c>
      <c r="K344" s="15">
        <v>556749148</v>
      </c>
      <c r="L344" s="15" t="s">
        <v>29</v>
      </c>
      <c r="M344" s="15" t="s">
        <v>29</v>
      </c>
    </row>
    <row r="345" spans="1:13" x14ac:dyDescent="0.25">
      <c r="A345" s="23">
        <f t="shared" si="18"/>
        <v>257391</v>
      </c>
      <c r="B345" s="14" t="str">
        <f t="shared" si="17"/>
        <v>Direct Debit (UMB Bank) - Credits</v>
      </c>
      <c r="C345" s="37">
        <v>46157</v>
      </c>
      <c r="D345" s="31">
        <v>257391</v>
      </c>
      <c r="E345" s="33" t="str">
        <f>IF(Table3[[#This Row],[Type Received]]=2,"CC",(IF(Table3[[#This Row],[Type Received]]=3,"BILL","ACH")))</f>
        <v>ACH</v>
      </c>
      <c r="F345" s="32">
        <v>57.55</v>
      </c>
      <c r="G345" s="14" t="str">
        <f>VLOOKUP(D345,Table4[],3,FALSE)</f>
        <v>2</v>
      </c>
      <c r="H345" s="15"/>
      <c r="I345" s="15"/>
      <c r="J345" s="15" t="s">
        <v>87</v>
      </c>
      <c r="K345" s="15">
        <v>696631352</v>
      </c>
      <c r="L345" s="15" t="s">
        <v>29</v>
      </c>
      <c r="M345" s="15" t="s">
        <v>29</v>
      </c>
    </row>
    <row r="346" spans="1:13" x14ac:dyDescent="0.25">
      <c r="A346" s="23">
        <f t="shared" si="18"/>
        <v>257392</v>
      </c>
      <c r="B346" s="14" t="str">
        <f t="shared" si="17"/>
        <v>Direct Debit (UMB Bank) - Credits</v>
      </c>
      <c r="C346" s="38">
        <v>46157</v>
      </c>
      <c r="D346" s="34">
        <v>257392</v>
      </c>
      <c r="E346" s="36" t="str">
        <f>IF(Table3[[#This Row],[Type Received]]=2,"CC",(IF(Table3[[#This Row],[Type Received]]=3,"BILL","ACH")))</f>
        <v>ACH</v>
      </c>
      <c r="F346" s="35">
        <v>64.48</v>
      </c>
      <c r="G346" s="14" t="str">
        <f>VLOOKUP(D346,Table4[],3,FALSE)</f>
        <v>2</v>
      </c>
      <c r="H346" s="15"/>
      <c r="I346" s="15"/>
      <c r="J346" s="15" t="s">
        <v>87</v>
      </c>
      <c r="K346" s="15">
        <v>696619781</v>
      </c>
      <c r="L346" s="15" t="s">
        <v>29</v>
      </c>
      <c r="M346" s="15" t="s">
        <v>29</v>
      </c>
    </row>
    <row r="347" spans="1:13" x14ac:dyDescent="0.25">
      <c r="A347" s="23">
        <f t="shared" si="18"/>
        <v>257398</v>
      </c>
      <c r="B347" s="14" t="str">
        <f t="shared" si="17"/>
        <v>Direct Debit (UMB Bank) - Credits</v>
      </c>
      <c r="C347" s="37">
        <v>46143</v>
      </c>
      <c r="D347" s="31">
        <v>257398</v>
      </c>
      <c r="E347" s="33" t="str">
        <f>IF(Table3[[#This Row],[Type Received]]=2,"CC",(IF(Table3[[#This Row],[Type Received]]=3,"BILL","ACH")))</f>
        <v>ACH</v>
      </c>
      <c r="F347" s="32">
        <v>60.85</v>
      </c>
      <c r="G347" s="14" t="str">
        <f>VLOOKUP(D347,Table4[],3,FALSE)</f>
        <v>1</v>
      </c>
      <c r="H347" s="15"/>
      <c r="I347" s="15"/>
      <c r="J347" s="24" t="s">
        <v>84</v>
      </c>
      <c r="K347" s="15">
        <v>522187945</v>
      </c>
      <c r="L347" s="15" t="s">
        <v>29</v>
      </c>
      <c r="M347" s="15" t="s">
        <v>29</v>
      </c>
    </row>
    <row r="348" spans="1:13" x14ac:dyDescent="0.25">
      <c r="A348" s="23">
        <f t="shared" si="18"/>
        <v>257405</v>
      </c>
      <c r="B348" s="14" t="str">
        <f t="shared" si="17"/>
        <v>Credit Cards (UMB) - Credits</v>
      </c>
      <c r="C348" s="38">
        <v>46169</v>
      </c>
      <c r="D348" s="34">
        <v>257405</v>
      </c>
      <c r="E348" s="36" t="str">
        <f>IF(Table3[[#This Row],[Type Received]]=2,"CC",(IF(Table3[[#This Row],[Type Received]]=3,"BILL","ACH")))</f>
        <v>CC</v>
      </c>
      <c r="F348" s="35">
        <v>53.59</v>
      </c>
      <c r="G348" s="14" t="str">
        <f>VLOOKUP(D348,Table4[],3,FALSE)</f>
        <v>2</v>
      </c>
      <c r="H348" s="15"/>
      <c r="I348" s="15"/>
      <c r="J348" s="24" t="s">
        <v>117</v>
      </c>
      <c r="K348" s="15">
        <v>840807027</v>
      </c>
      <c r="L348" s="15" t="s">
        <v>29</v>
      </c>
      <c r="M348" s="15" t="s">
        <v>29</v>
      </c>
    </row>
    <row r="349" spans="1:13" x14ac:dyDescent="0.25">
      <c r="A349" s="23">
        <f t="shared" si="18"/>
        <v>257415</v>
      </c>
      <c r="B349" s="14" t="str">
        <f t="shared" si="17"/>
        <v>Billing - Credits (from TPA)</v>
      </c>
      <c r="C349" s="37">
        <v>46157</v>
      </c>
      <c r="D349" s="31">
        <v>257415</v>
      </c>
      <c r="E349" s="33" t="str">
        <f>IF(Table3[[#This Row],[Type Received]]=2,"CC",(IF(Table3[[#This Row],[Type Received]]=3,"BILL","ACH")))</f>
        <v>BILL</v>
      </c>
      <c r="F349" s="32">
        <v>89.23</v>
      </c>
      <c r="G349" s="14" t="str">
        <f>VLOOKUP(D349,Table4[],3,FALSE)</f>
        <v>1</v>
      </c>
      <c r="H349" s="15"/>
      <c r="I349" s="15">
        <v>80740</v>
      </c>
      <c r="J349" s="15" t="s">
        <v>28</v>
      </c>
      <c r="K349" s="15">
        <v>696621734</v>
      </c>
      <c r="L349" s="15" t="s">
        <v>29</v>
      </c>
      <c r="M349" s="15" t="s">
        <v>29</v>
      </c>
    </row>
    <row r="350" spans="1:13" x14ac:dyDescent="0.25">
      <c r="A350" s="23">
        <f t="shared" si="18"/>
        <v>257420</v>
      </c>
      <c r="B350" s="14" t="str">
        <f t="shared" si="17"/>
        <v>Credit Cards (UMB) - Credits</v>
      </c>
      <c r="C350" s="38">
        <v>46150</v>
      </c>
      <c r="D350" s="34">
        <v>257420</v>
      </c>
      <c r="E350" s="36" t="str">
        <f>IF(Table3[[#This Row],[Type Received]]=2,"CC",(IF(Table3[[#This Row],[Type Received]]=3,"BILL","ACH")))</f>
        <v>CC</v>
      </c>
      <c r="F350" s="35">
        <v>130</v>
      </c>
      <c r="G350" s="14" t="str">
        <f>VLOOKUP(D350,Table4[],3,FALSE)</f>
        <v>2</v>
      </c>
      <c r="H350" s="15">
        <v>75945466</v>
      </c>
      <c r="I350" s="15"/>
      <c r="J350" s="15"/>
      <c r="K350" s="15"/>
      <c r="L350" s="15"/>
      <c r="M350" s="15"/>
    </row>
    <row r="351" spans="1:13" x14ac:dyDescent="0.25">
      <c r="A351" s="23">
        <f t="shared" si="18"/>
        <v>257428</v>
      </c>
      <c r="B351" s="14" t="str">
        <f t="shared" si="17"/>
        <v>Direct Debit (UMB Bank) - Credits</v>
      </c>
      <c r="C351" s="37">
        <v>46155</v>
      </c>
      <c r="D351" s="31">
        <v>257428</v>
      </c>
      <c r="E351" s="33" t="str">
        <f>IF(Table3[[#This Row],[Type Received]]=2,"CC",(IF(Table3[[#This Row],[Type Received]]=3,"BILL","ACH")))</f>
        <v>ACH</v>
      </c>
      <c r="F351" s="32">
        <v>44.35</v>
      </c>
      <c r="G351" s="14" t="str">
        <f>VLOOKUP(D351,Table4[],3,FALSE)</f>
        <v>1</v>
      </c>
      <c r="H351" s="15"/>
      <c r="I351" s="15">
        <v>718394</v>
      </c>
      <c r="J351" s="15" t="s">
        <v>28</v>
      </c>
      <c r="K351" s="15">
        <v>669454115</v>
      </c>
      <c r="L351" s="15" t="s">
        <v>29</v>
      </c>
      <c r="M351" s="15" t="s">
        <v>29</v>
      </c>
    </row>
    <row r="352" spans="1:13" x14ac:dyDescent="0.25">
      <c r="A352" s="23">
        <f t="shared" si="18"/>
        <v>257430</v>
      </c>
      <c r="B352" s="14" t="str">
        <f t="shared" si="17"/>
        <v>Credit Cards (UMB) - Credits</v>
      </c>
      <c r="C352" s="38">
        <v>46157</v>
      </c>
      <c r="D352" s="34">
        <v>257430</v>
      </c>
      <c r="E352" s="36" t="str">
        <f>IF(Table3[[#This Row],[Type Received]]=2,"CC",(IF(Table3[[#This Row],[Type Received]]=3,"BILL","ACH")))</f>
        <v>CC</v>
      </c>
      <c r="F352" s="35">
        <v>38.630000000000003</v>
      </c>
      <c r="G352" s="14" t="str">
        <f>VLOOKUP(D352,Table4[],3,FALSE)</f>
        <v>1</v>
      </c>
      <c r="H352" s="15"/>
      <c r="I352" s="15"/>
      <c r="J352" s="15" t="s">
        <v>87</v>
      </c>
      <c r="K352" s="15">
        <v>696640119</v>
      </c>
      <c r="L352" s="15" t="s">
        <v>29</v>
      </c>
      <c r="M352" s="15" t="s">
        <v>29</v>
      </c>
    </row>
    <row r="353" spans="1:13" x14ac:dyDescent="0.25">
      <c r="A353" s="23">
        <f t="shared" si="18"/>
        <v>257442</v>
      </c>
      <c r="B353" s="14" t="str">
        <f t="shared" si="17"/>
        <v>Billing - Credits (from TPA)</v>
      </c>
      <c r="C353" s="37">
        <v>46144</v>
      </c>
      <c r="D353" s="31">
        <v>257442</v>
      </c>
      <c r="E353" s="33" t="str">
        <f>IF(Table3[[#This Row],[Type Received]]=2,"CC",(IF(Table3[[#This Row],[Type Received]]=3,"BILL","ACH")))</f>
        <v>BILL</v>
      </c>
      <c r="F353" s="32">
        <v>58.65</v>
      </c>
      <c r="G353" s="14" t="str">
        <f>VLOOKUP(D353,Table4[],3,FALSE)</f>
        <v>1</v>
      </c>
      <c r="H353" s="15"/>
      <c r="I353" s="15">
        <v>966459</v>
      </c>
      <c r="J353" s="15" t="s">
        <v>28</v>
      </c>
      <c r="K353" s="15">
        <v>535339655</v>
      </c>
      <c r="L353" s="15" t="s">
        <v>29</v>
      </c>
      <c r="M353" s="15" t="s">
        <v>29</v>
      </c>
    </row>
    <row r="354" spans="1:13" x14ac:dyDescent="0.25">
      <c r="A354" s="23">
        <f t="shared" si="18"/>
        <v>257443</v>
      </c>
      <c r="B354" s="14" t="str">
        <f t="shared" si="17"/>
        <v>Credit Cards (UMB) - Credits</v>
      </c>
      <c r="C354" s="38">
        <v>46143</v>
      </c>
      <c r="D354" s="34">
        <v>257443</v>
      </c>
      <c r="E354" s="36" t="str">
        <f>IF(Table3[[#This Row],[Type Received]]=2,"CC",(IF(Table3[[#This Row],[Type Received]]=3,"BILL","ACH")))</f>
        <v>CC</v>
      </c>
      <c r="F354" s="35">
        <v>67.8</v>
      </c>
      <c r="G354" s="14" t="str">
        <f>VLOOKUP(D354,Table4[],3,FALSE)</f>
        <v>2</v>
      </c>
      <c r="H354" s="15">
        <v>4454760897</v>
      </c>
      <c r="I354" s="15"/>
      <c r="J354" s="15"/>
      <c r="K354" s="15"/>
      <c r="L354" s="15"/>
      <c r="M354" s="15" t="s">
        <v>29</v>
      </c>
    </row>
    <row r="355" spans="1:13" x14ac:dyDescent="0.25">
      <c r="A355" s="23">
        <f t="shared" si="18"/>
        <v>257446</v>
      </c>
      <c r="B355" s="14" t="str">
        <f t="shared" si="17"/>
        <v>Direct Debit (UMB Bank) - Credits</v>
      </c>
      <c r="C355" s="37">
        <v>46144</v>
      </c>
      <c r="D355" s="31">
        <v>257446</v>
      </c>
      <c r="E355" s="33" t="str">
        <f>IF(Table3[[#This Row],[Type Received]]=2,"CC",(IF(Table3[[#This Row],[Type Received]]=3,"BILL","ACH")))</f>
        <v>ACH</v>
      </c>
      <c r="F355" s="32">
        <v>101.44</v>
      </c>
      <c r="G355" s="14" t="str">
        <f>VLOOKUP(D355,Table4[],3,FALSE)</f>
        <v>2</v>
      </c>
      <c r="H355" s="15"/>
      <c r="I355" s="15">
        <v>31065</v>
      </c>
      <c r="J355" s="15" t="s">
        <v>28</v>
      </c>
      <c r="K355" s="15">
        <v>535330981</v>
      </c>
      <c r="L355" s="15" t="s">
        <v>29</v>
      </c>
      <c r="M355" s="15" t="s">
        <v>29</v>
      </c>
    </row>
    <row r="356" spans="1:13" x14ac:dyDescent="0.25">
      <c r="A356" s="23">
        <f t="shared" si="18"/>
        <v>257448</v>
      </c>
      <c r="B356" s="14" t="str">
        <f t="shared" si="17"/>
        <v>Direct Debit (UMB Bank) - Credits</v>
      </c>
      <c r="C356" s="38">
        <v>46144</v>
      </c>
      <c r="D356" s="34">
        <v>257448</v>
      </c>
      <c r="E356" s="36" t="str">
        <f>IF(Table3[[#This Row],[Type Received]]=2,"CC",(IF(Table3[[#This Row],[Type Received]]=3,"BILL","ACH")))</f>
        <v>ACH</v>
      </c>
      <c r="F356" s="35">
        <v>61.51</v>
      </c>
      <c r="G356" s="14" t="str">
        <f>VLOOKUP(D356,Table4[],3,FALSE)</f>
        <v>2</v>
      </c>
      <c r="H356" s="15"/>
      <c r="I356" s="15"/>
      <c r="J356" s="15" t="s">
        <v>89</v>
      </c>
      <c r="K356" s="15">
        <v>535354149</v>
      </c>
      <c r="L356" s="15" t="s">
        <v>29</v>
      </c>
      <c r="M356" s="15" t="s">
        <v>29</v>
      </c>
    </row>
    <row r="357" spans="1:13" x14ac:dyDescent="0.25">
      <c r="A357" s="23">
        <f t="shared" si="18"/>
        <v>257449</v>
      </c>
      <c r="B357" s="14" t="str">
        <f t="shared" si="17"/>
        <v>Direct Debit (UMB Bank) - Credits</v>
      </c>
      <c r="C357" s="37">
        <v>46144</v>
      </c>
      <c r="D357" s="31">
        <v>257449</v>
      </c>
      <c r="E357" s="33" t="str">
        <f>IF(Table3[[#This Row],[Type Received]]=2,"CC",(IF(Table3[[#This Row],[Type Received]]=3,"BILL","ACH")))</f>
        <v>ACH</v>
      </c>
      <c r="F357" s="32">
        <v>67.89</v>
      </c>
      <c r="G357" s="14" t="str">
        <f>VLOOKUP(D357,Table4[],3,FALSE)</f>
        <v>1</v>
      </c>
      <c r="H357" s="15"/>
      <c r="I357" s="15"/>
      <c r="J357" s="15" t="s">
        <v>89</v>
      </c>
      <c r="K357" s="15">
        <v>535334780</v>
      </c>
      <c r="L357" s="15" t="s">
        <v>29</v>
      </c>
      <c r="M357" s="15" t="s">
        <v>29</v>
      </c>
    </row>
    <row r="358" spans="1:13" x14ac:dyDescent="0.25">
      <c r="A358" s="23">
        <f t="shared" si="18"/>
        <v>257450</v>
      </c>
      <c r="B358" s="14" t="str">
        <f t="shared" si="17"/>
        <v>Direct Debit (UMB Bank) - Credits</v>
      </c>
      <c r="C358" s="38">
        <v>46164</v>
      </c>
      <c r="D358" s="34">
        <v>257450</v>
      </c>
      <c r="E358" s="36" t="str">
        <f>IF(Table3[[#This Row],[Type Received]]=2,"CC",(IF(Table3[[#This Row],[Type Received]]=3,"BILL","ACH")))</f>
        <v>ACH</v>
      </c>
      <c r="F358" s="35">
        <v>41.27</v>
      </c>
      <c r="G358" s="14" t="str">
        <f>VLOOKUP(D358,Table4[],3,FALSE)</f>
        <v>1</v>
      </c>
      <c r="H358" s="15"/>
      <c r="I358" s="15"/>
      <c r="J358" s="15" t="s">
        <v>118</v>
      </c>
      <c r="K358" s="15">
        <v>784592378</v>
      </c>
      <c r="L358" s="15" t="s">
        <v>29</v>
      </c>
      <c r="M358" s="15" t="s">
        <v>29</v>
      </c>
    </row>
    <row r="359" spans="1:13" x14ac:dyDescent="0.25">
      <c r="A359" s="23">
        <f t="shared" si="18"/>
        <v>257450</v>
      </c>
      <c r="B359" s="14" t="str">
        <f t="shared" si="17"/>
        <v>Direct Debit (UMB Bank) - Credits</v>
      </c>
      <c r="C359" s="37">
        <v>46157</v>
      </c>
      <c r="D359" s="31">
        <v>257450</v>
      </c>
      <c r="E359" s="33" t="str">
        <f>IF(Table3[[#This Row],[Type Received]]=2,"CC",(IF(Table3[[#This Row],[Type Received]]=3,"BILL","ACH")))</f>
        <v>ACH</v>
      </c>
      <c r="F359" s="32">
        <v>41.27</v>
      </c>
      <c r="G359" s="14" t="str">
        <f>VLOOKUP(D359,Table4[],3,FALSE)</f>
        <v>1</v>
      </c>
      <c r="H359" s="15"/>
      <c r="I359" s="15"/>
      <c r="J359" s="15" t="s">
        <v>87</v>
      </c>
      <c r="K359" s="15">
        <v>696614564</v>
      </c>
      <c r="L359" s="15" t="s">
        <v>29</v>
      </c>
      <c r="M359" s="15"/>
    </row>
    <row r="360" spans="1:13" x14ac:dyDescent="0.25">
      <c r="A360" s="23">
        <f t="shared" si="18"/>
        <v>257451</v>
      </c>
      <c r="B360" s="14" t="str">
        <f t="shared" si="17"/>
        <v>Direct Debit (UMB Bank) - Credits</v>
      </c>
      <c r="C360" s="38">
        <v>46157</v>
      </c>
      <c r="D360" s="34">
        <v>257451</v>
      </c>
      <c r="E360" s="36" t="str">
        <f>IF(Table3[[#This Row],[Type Received]]=2,"CC",(IF(Table3[[#This Row],[Type Received]]=3,"BILL","ACH")))</f>
        <v>ACH</v>
      </c>
      <c r="F360" s="35">
        <v>119.15</v>
      </c>
      <c r="G360" s="14" t="str">
        <f>VLOOKUP(D360,Table4[],3,FALSE)</f>
        <v>1</v>
      </c>
      <c r="H360" s="15"/>
      <c r="I360" s="15"/>
      <c r="J360" s="15" t="s">
        <v>87</v>
      </c>
      <c r="K360" s="15">
        <v>696601072</v>
      </c>
      <c r="L360" s="15" t="s">
        <v>29</v>
      </c>
      <c r="M360" s="15"/>
    </row>
    <row r="361" spans="1:13" x14ac:dyDescent="0.25">
      <c r="A361" s="23">
        <f t="shared" si="18"/>
        <v>257452</v>
      </c>
      <c r="B361" s="14" t="str">
        <f t="shared" si="17"/>
        <v>Credit Cards (UMB) - Credits</v>
      </c>
      <c r="C361" s="37">
        <v>46168</v>
      </c>
      <c r="D361" s="31">
        <v>257452</v>
      </c>
      <c r="E361" s="33" t="str">
        <f>IF(Table3[[#This Row],[Type Received]]=2,"CC",(IF(Table3[[#This Row],[Type Received]]=3,"BILL","ACH")))</f>
        <v>CC</v>
      </c>
      <c r="F361" s="32">
        <v>55.9</v>
      </c>
      <c r="G361" s="14" t="str">
        <f>VLOOKUP(D361,Table4[],3,FALSE)</f>
        <v>2</v>
      </c>
      <c r="H361" s="15"/>
      <c r="I361" s="15"/>
      <c r="J361" s="15" t="s">
        <v>110</v>
      </c>
      <c r="K361" s="15">
        <v>828209740</v>
      </c>
      <c r="L361" s="15" t="s">
        <v>29</v>
      </c>
      <c r="M361" s="15"/>
    </row>
    <row r="362" spans="1:13" x14ac:dyDescent="0.25">
      <c r="A362" s="23">
        <f t="shared" si="18"/>
        <v>257453</v>
      </c>
      <c r="B362" s="14" t="str">
        <f t="shared" si="17"/>
        <v>Billing - Credits (from TPA)</v>
      </c>
      <c r="C362" s="38">
        <v>46170</v>
      </c>
      <c r="D362" s="34">
        <v>257453</v>
      </c>
      <c r="E362" s="36" t="str">
        <f>IF(Table3[[#This Row],[Type Received]]=2,"CC",(IF(Table3[[#This Row],[Type Received]]=3,"BILL","ACH")))</f>
        <v>BILL</v>
      </c>
      <c r="F362" s="35">
        <v>70.11</v>
      </c>
      <c r="G362" s="14" t="str">
        <f>VLOOKUP(D362,Table4[],3,FALSE)</f>
        <v>2</v>
      </c>
      <c r="H362" s="15"/>
      <c r="I362" s="15">
        <v>60947</v>
      </c>
      <c r="J362" s="24" t="s">
        <v>28</v>
      </c>
      <c r="K362" s="15">
        <v>858632390</v>
      </c>
      <c r="L362" s="15" t="s">
        <v>29</v>
      </c>
      <c r="M362" s="15" t="s">
        <v>29</v>
      </c>
    </row>
    <row r="363" spans="1:13" x14ac:dyDescent="0.25">
      <c r="A363" s="23">
        <f t="shared" si="18"/>
        <v>257456</v>
      </c>
      <c r="B363" s="14" t="str">
        <f t="shared" si="17"/>
        <v>Credit Cards (UMB) - Credits</v>
      </c>
      <c r="C363" s="37">
        <v>46143</v>
      </c>
      <c r="D363" s="31">
        <v>257456</v>
      </c>
      <c r="E363" s="33" t="str">
        <f>IF(Table3[[#This Row],[Type Received]]=2,"CC",(IF(Table3[[#This Row],[Type Received]]=3,"BILL","ACH")))</f>
        <v>CC</v>
      </c>
      <c r="F363" s="32">
        <v>100.14</v>
      </c>
      <c r="G363" s="14" t="str">
        <f>VLOOKUP(D363,Table4[],3,FALSE)</f>
        <v>2</v>
      </c>
      <c r="H363" s="15">
        <v>883647</v>
      </c>
      <c r="I363" s="15"/>
      <c r="J363" s="15"/>
      <c r="K363" s="15"/>
      <c r="L363" s="15"/>
      <c r="M363" s="15" t="s">
        <v>29</v>
      </c>
    </row>
    <row r="364" spans="1:13" x14ac:dyDescent="0.25">
      <c r="A364" s="23">
        <f t="shared" si="18"/>
        <v>257459</v>
      </c>
      <c r="B364" s="14" t="str">
        <f t="shared" si="17"/>
        <v>Direct Debit (UMB Bank) - Credits</v>
      </c>
      <c r="C364" s="38">
        <v>46171</v>
      </c>
      <c r="D364" s="34">
        <v>257459</v>
      </c>
      <c r="E364" s="36" t="str">
        <f>IF(Table3[[#This Row],[Type Received]]=2,"CC",(IF(Table3[[#This Row],[Type Received]]=3,"BILL","ACH")))</f>
        <v>ACH</v>
      </c>
      <c r="F364" s="35">
        <v>142.33000000000001</v>
      </c>
      <c r="G364" s="14" t="str">
        <f>VLOOKUP(D364,Table4[],3,FALSE)</f>
        <v>1</v>
      </c>
      <c r="H364" s="15"/>
      <c r="I364" s="15">
        <v>39552</v>
      </c>
      <c r="J364" s="15" t="s">
        <v>28</v>
      </c>
      <c r="K364" s="15">
        <v>872384177</v>
      </c>
      <c r="L364" s="15" t="s">
        <v>29</v>
      </c>
      <c r="M364" s="15"/>
    </row>
    <row r="365" spans="1:13" x14ac:dyDescent="0.25">
      <c r="A365" s="23">
        <f t="shared" si="18"/>
        <v>257463</v>
      </c>
      <c r="B365" s="14" t="str">
        <f t="shared" si="17"/>
        <v>Credit Cards (UMB) - Credits</v>
      </c>
      <c r="C365" s="37">
        <v>46155</v>
      </c>
      <c r="D365" s="31">
        <v>257463</v>
      </c>
      <c r="E365" s="33" t="str">
        <f>IF(Table3[[#This Row],[Type Received]]=2,"CC",(IF(Table3[[#This Row],[Type Received]]=3,"BILL","ACH")))</f>
        <v>CC</v>
      </c>
      <c r="F365" s="32">
        <v>58.21</v>
      </c>
      <c r="G365" s="14" t="str">
        <f>VLOOKUP(D365,Table4[],3,FALSE)</f>
        <v>2</v>
      </c>
      <c r="H365" s="15"/>
      <c r="I365" s="15"/>
      <c r="J365" s="15" t="s">
        <v>90</v>
      </c>
      <c r="K365" s="15">
        <v>669425985</v>
      </c>
      <c r="L365" s="15" t="s">
        <v>29</v>
      </c>
      <c r="M365" s="15" t="s">
        <v>29</v>
      </c>
    </row>
    <row r="366" spans="1:13" x14ac:dyDescent="0.25">
      <c r="A366" s="23">
        <f t="shared" si="18"/>
        <v>257464</v>
      </c>
      <c r="B366" s="14" t="str">
        <f t="shared" si="17"/>
        <v>Direct Debit (UMB Bank) - Credits</v>
      </c>
      <c r="C366" s="38">
        <v>46155</v>
      </c>
      <c r="D366" s="34">
        <v>257464</v>
      </c>
      <c r="E366" s="36" t="str">
        <f>IF(Table3[[#This Row],[Type Received]]=2,"CC",(IF(Table3[[#This Row],[Type Received]]=3,"BILL","ACH")))</f>
        <v>ACH</v>
      </c>
      <c r="F366" s="35">
        <v>102.21</v>
      </c>
      <c r="G366" s="14" t="str">
        <f>VLOOKUP(D366,Table4[],3,FALSE)</f>
        <v>1</v>
      </c>
      <c r="H366" s="15"/>
      <c r="I366" s="15">
        <v>131929</v>
      </c>
      <c r="J366" s="15" t="s">
        <v>28</v>
      </c>
      <c r="K366" s="15">
        <v>669442540</v>
      </c>
      <c r="L366" s="15" t="s">
        <v>29</v>
      </c>
      <c r="M366" s="15" t="s">
        <v>29</v>
      </c>
    </row>
    <row r="367" spans="1:13" x14ac:dyDescent="0.25">
      <c r="A367" s="23">
        <f t="shared" si="18"/>
        <v>257468</v>
      </c>
      <c r="B367" s="14" t="str">
        <f t="shared" si="17"/>
        <v>Direct Debit (UMB Bank) - Credits</v>
      </c>
      <c r="C367" s="37">
        <v>46158</v>
      </c>
      <c r="D367" s="31">
        <v>257468</v>
      </c>
      <c r="E367" s="33" t="str">
        <f>IF(Table3[[#This Row],[Type Received]]=2,"CC",(IF(Table3[[#This Row],[Type Received]]=3,"BILL","ACH")))</f>
        <v>ACH</v>
      </c>
      <c r="F367" s="32">
        <v>29.61</v>
      </c>
      <c r="G367" s="14" t="str">
        <f>VLOOKUP(D367,Table4[],3,FALSE)</f>
        <v>1</v>
      </c>
      <c r="H367" s="15"/>
      <c r="I367" s="15"/>
      <c r="J367" s="15" t="s">
        <v>106</v>
      </c>
      <c r="K367" s="15">
        <v>710027524</v>
      </c>
      <c r="L367" s="15" t="s">
        <v>29</v>
      </c>
      <c r="M367" s="15"/>
    </row>
    <row r="368" spans="1:13" x14ac:dyDescent="0.25">
      <c r="A368" s="23">
        <f t="shared" si="18"/>
        <v>257469</v>
      </c>
      <c r="B368" s="14" t="str">
        <f t="shared" si="17"/>
        <v>Direct Debit (UMB Bank) - Credits</v>
      </c>
      <c r="C368" s="38">
        <v>46144</v>
      </c>
      <c r="D368" s="34">
        <v>257469</v>
      </c>
      <c r="E368" s="36" t="str">
        <f>IF(Table3[[#This Row],[Type Received]]=2,"CC",(IF(Table3[[#This Row],[Type Received]]=3,"BILL","ACH")))</f>
        <v>ACH</v>
      </c>
      <c r="F368" s="35">
        <v>41.05</v>
      </c>
      <c r="G368" s="14" t="str">
        <f>VLOOKUP(D368,Table4[],3,FALSE)</f>
        <v>1</v>
      </c>
      <c r="H368" s="15"/>
      <c r="I368" s="15"/>
      <c r="J368" s="15" t="s">
        <v>89</v>
      </c>
      <c r="K368" s="15">
        <v>535336764</v>
      </c>
      <c r="L368" s="15" t="s">
        <v>29</v>
      </c>
      <c r="M368" s="15"/>
    </row>
    <row r="369" spans="1:13" x14ac:dyDescent="0.25">
      <c r="A369" s="23">
        <f t="shared" si="18"/>
        <v>257470</v>
      </c>
      <c r="B369" s="14" t="str">
        <f t="shared" si="17"/>
        <v>Direct Debit (UMB Bank) - Credits</v>
      </c>
      <c r="C369" s="37">
        <v>46168</v>
      </c>
      <c r="D369" s="31">
        <v>257470</v>
      </c>
      <c r="E369" s="33" t="str">
        <f>IF(Table3[[#This Row],[Type Received]]=2,"CC",(IF(Table3[[#This Row],[Type Received]]=3,"BILL","ACH")))</f>
        <v>ACH</v>
      </c>
      <c r="F369" s="32">
        <v>132.79</v>
      </c>
      <c r="G369" s="14" t="str">
        <f>VLOOKUP(D369,Table4[],3,FALSE)</f>
        <v>2</v>
      </c>
      <c r="H369" s="15"/>
      <c r="I369" s="15"/>
      <c r="J369" s="15" t="s">
        <v>110</v>
      </c>
      <c r="K369" s="15">
        <v>828220370</v>
      </c>
      <c r="L369" s="15" t="s">
        <v>29</v>
      </c>
      <c r="M369" s="15"/>
    </row>
    <row r="370" spans="1:13" x14ac:dyDescent="0.25">
      <c r="A370" s="23">
        <f t="shared" si="18"/>
        <v>257479</v>
      </c>
      <c r="B370" s="14" t="str">
        <f t="shared" si="17"/>
        <v>Credit Cards (UMB) - Credits</v>
      </c>
      <c r="C370" s="38">
        <v>46162</v>
      </c>
      <c r="D370" s="34">
        <v>257479</v>
      </c>
      <c r="E370" s="36" t="str">
        <f>IF(Table3[[#This Row],[Type Received]]=2,"CC",(IF(Table3[[#This Row],[Type Received]]=3,"BILL","ACH")))</f>
        <v>CC</v>
      </c>
      <c r="F370" s="35">
        <v>62.5</v>
      </c>
      <c r="G370" s="14" t="str">
        <f>VLOOKUP(D370,Table4[],3,FALSE)</f>
        <v>2</v>
      </c>
      <c r="H370" s="15"/>
      <c r="I370" s="15"/>
      <c r="J370" s="15" t="s">
        <v>107</v>
      </c>
      <c r="K370" s="15">
        <v>759554262</v>
      </c>
      <c r="L370" s="15" t="s">
        <v>29</v>
      </c>
      <c r="M370" s="15"/>
    </row>
    <row r="371" spans="1:13" x14ac:dyDescent="0.25">
      <c r="A371" s="23">
        <f t="shared" si="18"/>
        <v>257490</v>
      </c>
      <c r="B371" s="14" t="str">
        <f t="shared" si="17"/>
        <v>Direct Debit (UMB Bank) - Credits</v>
      </c>
      <c r="C371" s="37">
        <v>46155</v>
      </c>
      <c r="D371" s="31">
        <v>257490</v>
      </c>
      <c r="E371" s="33" t="str">
        <f>IF(Table3[[#This Row],[Type Received]]=2,"CC",(IF(Table3[[#This Row],[Type Received]]=3,"BILL","ACH")))</f>
        <v>ACH</v>
      </c>
      <c r="F371" s="32">
        <v>56.45</v>
      </c>
      <c r="G371" s="14" t="str">
        <f>VLOOKUP(D371,Table4[],3,FALSE)</f>
        <v>1</v>
      </c>
      <c r="H371" s="15"/>
      <c r="I371" s="15">
        <v>13628</v>
      </c>
      <c r="J371" s="15" t="s">
        <v>28</v>
      </c>
      <c r="K371" s="15">
        <v>669440686</v>
      </c>
      <c r="L371" s="15" t="s">
        <v>29</v>
      </c>
      <c r="M371" s="15" t="s">
        <v>29</v>
      </c>
    </row>
    <row r="372" spans="1:13" x14ac:dyDescent="0.25">
      <c r="A372" s="23">
        <f t="shared" si="18"/>
        <v>257491</v>
      </c>
      <c r="B372" s="14" t="str">
        <f t="shared" si="17"/>
        <v>Credit Cards (UMB) - Credits</v>
      </c>
      <c r="C372" s="38">
        <v>46143</v>
      </c>
      <c r="D372" s="34">
        <v>257491</v>
      </c>
      <c r="E372" s="36" t="str">
        <f>IF(Table3[[#This Row],[Type Received]]=2,"CC",(IF(Table3[[#This Row],[Type Received]]=3,"BILL","ACH")))</f>
        <v>CC</v>
      </c>
      <c r="F372" s="35">
        <v>68.33</v>
      </c>
      <c r="G372" s="14" t="str">
        <f>VLOOKUP(D372,Table4[],3,FALSE)</f>
        <v>1</v>
      </c>
      <c r="H372" s="15"/>
      <c r="I372" s="15"/>
      <c r="J372" s="15" t="s">
        <v>84</v>
      </c>
      <c r="K372" s="15">
        <v>522208388</v>
      </c>
      <c r="L372" s="15" t="s">
        <v>29</v>
      </c>
      <c r="M372" s="15" t="s">
        <v>29</v>
      </c>
    </row>
    <row r="373" spans="1:13" x14ac:dyDescent="0.25">
      <c r="A373" s="23">
        <f t="shared" si="18"/>
        <v>257499</v>
      </c>
      <c r="B373" s="14" t="str">
        <f t="shared" si="17"/>
        <v>Direct Debit (UMB Bank) - Credits</v>
      </c>
      <c r="C373" s="37">
        <v>46166</v>
      </c>
      <c r="D373" s="31">
        <v>257499</v>
      </c>
      <c r="E373" s="33" t="str">
        <f>IF(Table3[[#This Row],[Type Received]]=2,"CC",(IF(Table3[[#This Row],[Type Received]]=3,"BILL","ACH")))</f>
        <v>ACH</v>
      </c>
      <c r="F373" s="32">
        <v>77.7</v>
      </c>
      <c r="G373" s="14" t="str">
        <f>VLOOKUP(D373,Table4[],3,FALSE)</f>
        <v>2</v>
      </c>
      <c r="H373" s="15"/>
      <c r="I373" s="15">
        <v>34444</v>
      </c>
      <c r="J373" s="15">
        <v>748427872</v>
      </c>
      <c r="K373" s="15">
        <v>355665379</v>
      </c>
      <c r="L373" s="15"/>
      <c r="M373" s="15" t="s">
        <v>29</v>
      </c>
    </row>
    <row r="374" spans="1:13" x14ac:dyDescent="0.25">
      <c r="A374" s="23">
        <f t="shared" si="18"/>
        <v>257510</v>
      </c>
      <c r="B374" s="14" t="str">
        <f t="shared" si="17"/>
        <v>Direct Debit (UMB Bank) - Credits</v>
      </c>
      <c r="C374" s="38">
        <v>46168</v>
      </c>
      <c r="D374" s="34">
        <v>257510</v>
      </c>
      <c r="E374" s="36" t="str">
        <f>IF(Table3[[#This Row],[Type Received]]=2,"CC",(IF(Table3[[#This Row],[Type Received]]=3,"BILL","ACH")))</f>
        <v>ACH</v>
      </c>
      <c r="F374" s="35">
        <v>85.6</v>
      </c>
      <c r="G374" s="14" t="str">
        <f>VLOOKUP(D374,Table4[],3,FALSE)</f>
        <v>2</v>
      </c>
      <c r="H374" s="15"/>
      <c r="I374" s="15"/>
      <c r="J374" s="15" t="s">
        <v>110</v>
      </c>
      <c r="K374" s="15">
        <v>828221931</v>
      </c>
      <c r="L374" s="15" t="s">
        <v>29</v>
      </c>
      <c r="M374" s="15" t="s">
        <v>29</v>
      </c>
    </row>
    <row r="375" spans="1:13" x14ac:dyDescent="0.25">
      <c r="A375" s="23">
        <f t="shared" si="18"/>
        <v>257512</v>
      </c>
      <c r="B375" s="14" t="str">
        <f t="shared" si="17"/>
        <v>Credit Cards (UMB) - Credits</v>
      </c>
      <c r="C375" s="37">
        <v>46168</v>
      </c>
      <c r="D375" s="31">
        <v>257512</v>
      </c>
      <c r="E375" s="33" t="str">
        <f>IF(Table3[[#This Row],[Type Received]]=2,"CC",(IF(Table3[[#This Row],[Type Received]]=3,"BILL","ACH")))</f>
        <v>CC</v>
      </c>
      <c r="F375" s="32">
        <v>130.47999999999999</v>
      </c>
      <c r="G375" s="14" t="str">
        <f>VLOOKUP(D375,Table4[],3,FALSE)</f>
        <v>2</v>
      </c>
      <c r="H375" s="15"/>
      <c r="I375" s="15"/>
      <c r="J375" s="15" t="s">
        <v>110</v>
      </c>
      <c r="K375" s="15">
        <v>828241378</v>
      </c>
      <c r="L375" s="15" t="s">
        <v>29</v>
      </c>
      <c r="M375" s="15"/>
    </row>
    <row r="376" spans="1:13" x14ac:dyDescent="0.25">
      <c r="A376" s="23">
        <f t="shared" ref="A376:A403" si="19">D376</f>
        <v>257516</v>
      </c>
      <c r="B376" s="14" t="str">
        <f t="shared" si="17"/>
        <v>Billing - Credits (from TPA)</v>
      </c>
      <c r="C376" s="38">
        <v>46146</v>
      </c>
      <c r="D376" s="34">
        <v>257516</v>
      </c>
      <c r="E376" s="36" t="str">
        <f>IF(Table3[[#This Row],[Type Received]]=2,"CC",(IF(Table3[[#This Row],[Type Received]]=3,"BILL","ACH")))</f>
        <v>BILL</v>
      </c>
      <c r="F376" s="35">
        <v>40.4</v>
      </c>
      <c r="G376" s="14" t="str">
        <f>VLOOKUP(D376,Table4[],3,FALSE)</f>
        <v>2</v>
      </c>
      <c r="H376" s="15"/>
      <c r="I376" s="15">
        <v>11849</v>
      </c>
      <c r="J376" s="15">
        <v>742259380</v>
      </c>
      <c r="K376" s="15">
        <v>353488522</v>
      </c>
      <c r="L376" s="15"/>
      <c r="M376" s="15" t="s">
        <v>29</v>
      </c>
    </row>
    <row r="377" spans="1:13" x14ac:dyDescent="0.25">
      <c r="A377" s="23">
        <f t="shared" si="19"/>
        <v>257517</v>
      </c>
      <c r="B377" s="14" t="str">
        <f t="shared" si="17"/>
        <v>Credit Cards (UMB) - Credits</v>
      </c>
      <c r="C377" s="37">
        <v>46171</v>
      </c>
      <c r="D377" s="31">
        <v>257517</v>
      </c>
      <c r="E377" s="33" t="str">
        <f>IF(Table3[[#This Row],[Type Received]]=2,"CC",(IF(Table3[[#This Row],[Type Received]]=3,"BILL","ACH")))</f>
        <v>CC</v>
      </c>
      <c r="F377" s="32">
        <v>46.68</v>
      </c>
      <c r="G377" s="14" t="str">
        <f>VLOOKUP(D377,Table4[],3,FALSE)</f>
        <v>2</v>
      </c>
      <c r="H377" s="15">
        <v>266</v>
      </c>
      <c r="I377" s="15"/>
      <c r="J377" s="15"/>
      <c r="K377" s="15"/>
      <c r="L377" s="15"/>
      <c r="M377" s="15" t="s">
        <v>29</v>
      </c>
    </row>
    <row r="378" spans="1:13" x14ac:dyDescent="0.25">
      <c r="A378" s="23">
        <f t="shared" si="19"/>
        <v>257521</v>
      </c>
      <c r="B378" s="14" t="str">
        <f t="shared" si="17"/>
        <v>Direct Debit (UMB Bank) - Credits</v>
      </c>
      <c r="C378" s="38">
        <v>46143</v>
      </c>
      <c r="D378" s="34">
        <v>257521</v>
      </c>
      <c r="E378" s="36" t="str">
        <f>IF(Table3[[#This Row],[Type Received]]=2,"CC",(IF(Table3[[#This Row],[Type Received]]=3,"BILL","ACH")))</f>
        <v>ACH</v>
      </c>
      <c r="F378" s="35">
        <v>102.43</v>
      </c>
      <c r="G378" s="14" t="str">
        <f>VLOOKUP(D378,Table4[],3,FALSE)</f>
        <v>2</v>
      </c>
      <c r="H378" s="15"/>
      <c r="I378" s="15">
        <v>130136</v>
      </c>
      <c r="J378" s="15" t="s">
        <v>28</v>
      </c>
      <c r="K378" s="15">
        <v>522190952</v>
      </c>
      <c r="L378" s="15" t="s">
        <v>29</v>
      </c>
      <c r="M378" s="15" t="s">
        <v>29</v>
      </c>
    </row>
    <row r="379" spans="1:13" x14ac:dyDescent="0.25">
      <c r="A379" s="23">
        <f t="shared" si="19"/>
        <v>257527</v>
      </c>
      <c r="B379" s="14" t="str">
        <f t="shared" si="17"/>
        <v>Credit Cards (UMB) - Credits</v>
      </c>
      <c r="C379" s="37">
        <v>46168</v>
      </c>
      <c r="D379" s="31">
        <v>257527</v>
      </c>
      <c r="E379" s="33" t="str">
        <f>IF(Table3[[#This Row],[Type Received]]=2,"CC",(IF(Table3[[#This Row],[Type Received]]=3,"BILL","ACH")))</f>
        <v>CC</v>
      </c>
      <c r="F379" s="32">
        <v>47.65</v>
      </c>
      <c r="G379" s="14" t="str">
        <f>VLOOKUP(D379,Table4[],3,FALSE)</f>
        <v>1</v>
      </c>
      <c r="H379" s="15"/>
      <c r="I379" s="15"/>
      <c r="J379" s="15" t="s">
        <v>110</v>
      </c>
      <c r="K379" s="15">
        <v>828242389</v>
      </c>
      <c r="L379" s="15" t="s">
        <v>29</v>
      </c>
      <c r="M379" s="15" t="s">
        <v>29</v>
      </c>
    </row>
    <row r="380" spans="1:13" x14ac:dyDescent="0.25">
      <c r="A380" s="23">
        <f t="shared" si="19"/>
        <v>257534</v>
      </c>
      <c r="B380" s="14" t="str">
        <f t="shared" si="17"/>
        <v>Direct Debit (UMB Bank) - Credits</v>
      </c>
      <c r="C380" s="38">
        <v>46143</v>
      </c>
      <c r="D380" s="34">
        <v>257534</v>
      </c>
      <c r="E380" s="36" t="str">
        <f>IF(Table3[[#This Row],[Type Received]]=2,"CC",(IF(Table3[[#This Row],[Type Received]]=3,"BILL","ACH")))</f>
        <v>ACH</v>
      </c>
      <c r="F380" s="35">
        <v>79.55</v>
      </c>
      <c r="G380" s="14" t="str">
        <f>VLOOKUP(D380,Table4[],3,FALSE)</f>
        <v>1</v>
      </c>
      <c r="H380" s="15"/>
      <c r="I380" s="15">
        <v>803</v>
      </c>
      <c r="J380" s="15" t="s">
        <v>28</v>
      </c>
      <c r="K380" s="15">
        <v>522263383</v>
      </c>
      <c r="L380" s="15" t="s">
        <v>29</v>
      </c>
      <c r="M380" s="15" t="s">
        <v>29</v>
      </c>
    </row>
    <row r="381" spans="1:13" x14ac:dyDescent="0.25">
      <c r="A381" s="23">
        <f t="shared" si="19"/>
        <v>257536</v>
      </c>
      <c r="B381" s="14" t="str">
        <f t="shared" si="17"/>
        <v>Direct Debit (UMB Bank) - Credits</v>
      </c>
      <c r="C381" s="37">
        <v>46157</v>
      </c>
      <c r="D381" s="31">
        <v>257536</v>
      </c>
      <c r="E381" s="33" t="str">
        <f>IF(Table3[[#This Row],[Type Received]]=2,"CC",(IF(Table3[[#This Row],[Type Received]]=3,"BILL","ACH")))</f>
        <v>ACH</v>
      </c>
      <c r="F381" s="32">
        <v>47.21</v>
      </c>
      <c r="G381" s="14" t="str">
        <f>VLOOKUP(D381,Table4[],3,FALSE)</f>
        <v>1</v>
      </c>
      <c r="H381" s="15"/>
      <c r="I381" s="15"/>
      <c r="J381" s="15" t="s">
        <v>87</v>
      </c>
      <c r="K381" s="15">
        <v>696620783</v>
      </c>
      <c r="L381" s="15" t="s">
        <v>29</v>
      </c>
      <c r="M381" s="15" t="s">
        <v>29</v>
      </c>
    </row>
    <row r="382" spans="1:13" x14ac:dyDescent="0.25">
      <c r="A382" s="23">
        <f t="shared" si="19"/>
        <v>257547</v>
      </c>
      <c r="B382" s="14" t="str">
        <f t="shared" si="17"/>
        <v>Direct Debit (UMB Bank) - Credits</v>
      </c>
      <c r="C382" s="38">
        <v>46168</v>
      </c>
      <c r="D382" s="34">
        <v>257547</v>
      </c>
      <c r="E382" s="36" t="str">
        <f>IF(Table3[[#This Row],[Type Received]]=2,"CC",(IF(Table3[[#This Row],[Type Received]]=3,"BILL","ACH")))</f>
        <v>ACH</v>
      </c>
      <c r="F382" s="35">
        <v>51.94</v>
      </c>
      <c r="G382" s="14" t="str">
        <f>VLOOKUP(D382,Table4[],3,FALSE)</f>
        <v>2</v>
      </c>
      <c r="H382" s="15"/>
      <c r="I382" s="15"/>
      <c r="J382" s="15" t="s">
        <v>110</v>
      </c>
      <c r="K382" s="15">
        <v>828237504</v>
      </c>
      <c r="L382" s="15" t="s">
        <v>29</v>
      </c>
      <c r="M382" s="15" t="s">
        <v>29</v>
      </c>
    </row>
    <row r="383" spans="1:13" x14ac:dyDescent="0.25">
      <c r="A383" s="23">
        <f t="shared" si="19"/>
        <v>257548</v>
      </c>
      <c r="B383" s="14" t="str">
        <f t="shared" si="17"/>
        <v>Credit Cards (UMB) - Credits</v>
      </c>
      <c r="C383" s="37">
        <v>46168</v>
      </c>
      <c r="D383" s="31">
        <v>257548</v>
      </c>
      <c r="E383" s="33" t="str">
        <f>IF(Table3[[#This Row],[Type Received]]=2,"CC",(IF(Table3[[#This Row],[Type Received]]=3,"BILL","ACH")))</f>
        <v>CC</v>
      </c>
      <c r="F383" s="32">
        <v>69.099999999999994</v>
      </c>
      <c r="G383" s="14" t="str">
        <f>VLOOKUP(D383,Table4[],3,FALSE)</f>
        <v>2</v>
      </c>
      <c r="H383" s="15"/>
      <c r="I383" s="15"/>
      <c r="J383" s="15" t="s">
        <v>110</v>
      </c>
      <c r="K383" s="15">
        <v>828223925</v>
      </c>
      <c r="L383" s="15" t="s">
        <v>29</v>
      </c>
      <c r="M383" s="15"/>
    </row>
    <row r="384" spans="1:13" x14ac:dyDescent="0.25">
      <c r="A384" s="23">
        <f t="shared" si="19"/>
        <v>257551</v>
      </c>
      <c r="B384" s="14" t="str">
        <f t="shared" si="17"/>
        <v>Direct Debit (UMB Bank) - Credits</v>
      </c>
      <c r="C384" s="38">
        <v>46145</v>
      </c>
      <c r="D384" s="34">
        <v>257551</v>
      </c>
      <c r="E384" s="36" t="str">
        <f>IF(Table3[[#This Row],[Type Received]]=2,"CC",(IF(Table3[[#This Row],[Type Received]]=3,"BILL","ACH")))</f>
        <v>ACH</v>
      </c>
      <c r="F384" s="35">
        <v>126.19</v>
      </c>
      <c r="G384" s="14" t="str">
        <f>VLOOKUP(D384,Table4[],3,FALSE)</f>
        <v>2</v>
      </c>
      <c r="H384" s="15"/>
      <c r="I384" s="15">
        <v>842805</v>
      </c>
      <c r="J384" s="24" t="s">
        <v>28</v>
      </c>
      <c r="K384" s="15">
        <v>546402817</v>
      </c>
      <c r="L384" s="15" t="s">
        <v>29</v>
      </c>
      <c r="M384" s="15" t="s">
        <v>29</v>
      </c>
    </row>
    <row r="385" spans="1:13" x14ac:dyDescent="0.25">
      <c r="A385" s="23">
        <f t="shared" si="19"/>
        <v>257565</v>
      </c>
      <c r="B385" s="14" t="str">
        <f t="shared" si="17"/>
        <v>Credit Cards (UMB) - Credits</v>
      </c>
      <c r="C385" s="37">
        <v>46157</v>
      </c>
      <c r="D385" s="31">
        <v>257565</v>
      </c>
      <c r="E385" s="33" t="str">
        <f>IF(Table3[[#This Row],[Type Received]]=2,"CC",(IF(Table3[[#This Row],[Type Received]]=3,"BILL","ACH")))</f>
        <v>CC</v>
      </c>
      <c r="F385" s="32">
        <v>52.27</v>
      </c>
      <c r="G385" s="14" t="str">
        <f>VLOOKUP(D385,Table4[],3,FALSE)</f>
        <v>1</v>
      </c>
      <c r="H385" s="15"/>
      <c r="I385" s="15"/>
      <c r="J385" s="15" t="s">
        <v>87</v>
      </c>
      <c r="K385" s="15">
        <v>696627538</v>
      </c>
      <c r="L385" s="15" t="s">
        <v>29</v>
      </c>
      <c r="M385" s="15" t="s">
        <v>29</v>
      </c>
    </row>
    <row r="386" spans="1:13" x14ac:dyDescent="0.25">
      <c r="A386" s="23">
        <f t="shared" si="19"/>
        <v>257573</v>
      </c>
      <c r="B386" s="14" t="str">
        <f t="shared" ref="B386:B449" si="20">IF(AND(E386="BILL",F386&lt;0),"Billing &amp; Direct Debit - Refunds",(IF(AND(E386="BILL",F386&gt;0),"Billing - Credits (from TPA)",(IF(AND(E386="CC",F386&lt;0),"Credit Cards (UMB) - Refunds",(IF(AND(E386="CC",F386&gt;0),"Credit Cards (UMB) - Credits",(IF(AND(E386="ACH",F386&gt;0),"Direct Debit (UMB Bank) - Credits","Direct Debit (UMB Bank) - Returned Items")))))))))</f>
        <v>Direct Debit (UMB Bank) - Credits</v>
      </c>
      <c r="C386" s="38">
        <v>46143</v>
      </c>
      <c r="D386" s="34">
        <v>257573</v>
      </c>
      <c r="E386" s="36" t="str">
        <f>IF(Table3[[#This Row],[Type Received]]=2,"CC",(IF(Table3[[#This Row],[Type Received]]=3,"BILL","ACH")))</f>
        <v>ACH</v>
      </c>
      <c r="F386" s="35">
        <v>39.29</v>
      </c>
      <c r="G386" s="14" t="str">
        <f>VLOOKUP(D386,Table4[],3,FALSE)</f>
        <v>1</v>
      </c>
      <c r="H386" s="15"/>
      <c r="I386" s="15">
        <v>19200</v>
      </c>
      <c r="J386" s="15" t="s">
        <v>28</v>
      </c>
      <c r="K386" s="15">
        <v>522234253</v>
      </c>
      <c r="L386" s="15" t="s">
        <v>29</v>
      </c>
      <c r="M386" s="15" t="s">
        <v>29</v>
      </c>
    </row>
    <row r="387" spans="1:13" x14ac:dyDescent="0.25">
      <c r="A387" s="23">
        <f t="shared" si="19"/>
        <v>257574</v>
      </c>
      <c r="B387" s="14" t="str">
        <f t="shared" si="20"/>
        <v>Credit Cards (UMB) - Credits</v>
      </c>
      <c r="C387" s="37">
        <v>46157</v>
      </c>
      <c r="D387" s="31">
        <v>257574</v>
      </c>
      <c r="E387" s="33" t="str">
        <f>IF(Table3[[#This Row],[Type Received]]=2,"CC",(IF(Table3[[#This Row],[Type Received]]=3,"BILL","ACH")))</f>
        <v>CC</v>
      </c>
      <c r="F387" s="32">
        <v>50.29</v>
      </c>
      <c r="G387" s="14" t="str">
        <f>VLOOKUP(D387,Table4[],3,FALSE)</f>
        <v>2</v>
      </c>
      <c r="H387" s="15"/>
      <c r="I387" s="15"/>
      <c r="J387" s="15" t="s">
        <v>87</v>
      </c>
      <c r="K387" s="15">
        <v>696625682</v>
      </c>
      <c r="L387" s="15" t="s">
        <v>29</v>
      </c>
      <c r="M387" s="15" t="s">
        <v>29</v>
      </c>
    </row>
    <row r="388" spans="1:13" x14ac:dyDescent="0.25">
      <c r="A388" s="23">
        <f t="shared" si="19"/>
        <v>257584</v>
      </c>
      <c r="B388" s="14" t="str">
        <f t="shared" si="20"/>
        <v>Credit Cards (UMB) - Credits</v>
      </c>
      <c r="C388" s="38">
        <v>46155</v>
      </c>
      <c r="D388" s="34">
        <v>257584</v>
      </c>
      <c r="E388" s="36" t="str">
        <f>IF(Table3[[#This Row],[Type Received]]=2,"CC",(IF(Table3[[#This Row],[Type Received]]=3,"BILL","ACH")))</f>
        <v>CC</v>
      </c>
      <c r="F388" s="35">
        <v>101.55</v>
      </c>
      <c r="G388" s="14" t="str">
        <f>VLOOKUP(D388,Table4[],3,FALSE)</f>
        <v>1</v>
      </c>
      <c r="H388" s="15"/>
      <c r="I388" s="15">
        <v>161963</v>
      </c>
      <c r="J388" s="15" t="s">
        <v>28</v>
      </c>
      <c r="K388" s="15">
        <v>669454133</v>
      </c>
      <c r="L388" s="15" t="s">
        <v>29</v>
      </c>
      <c r="M388" s="15" t="s">
        <v>29</v>
      </c>
    </row>
    <row r="389" spans="1:13" x14ac:dyDescent="0.25">
      <c r="A389" s="23">
        <f t="shared" si="19"/>
        <v>257586</v>
      </c>
      <c r="B389" s="14" t="str">
        <f t="shared" si="20"/>
        <v>Credit Cards (UMB) - Credits</v>
      </c>
      <c r="C389" s="37">
        <v>46156</v>
      </c>
      <c r="D389" s="31">
        <v>257586</v>
      </c>
      <c r="E389" s="33" t="str">
        <f>IF(Table3[[#This Row],[Type Received]]=2,"CC",(IF(Table3[[#This Row],[Type Received]]=3,"BILL","ACH")))</f>
        <v>CC</v>
      </c>
      <c r="F389" s="32">
        <v>52.6</v>
      </c>
      <c r="G389" s="14" t="str">
        <f>VLOOKUP(D389,Table4[],3,FALSE)</f>
        <v>2</v>
      </c>
      <c r="H389" s="15"/>
      <c r="I389" s="15">
        <v>120802</v>
      </c>
      <c r="J389" s="24" t="s">
        <v>28</v>
      </c>
      <c r="K389" s="15">
        <v>682525554</v>
      </c>
      <c r="L389" s="15" t="s">
        <v>29</v>
      </c>
      <c r="M389" s="15"/>
    </row>
    <row r="390" spans="1:13" x14ac:dyDescent="0.25">
      <c r="A390" s="23">
        <f t="shared" si="19"/>
        <v>257588</v>
      </c>
      <c r="B390" s="14" t="str">
        <f t="shared" si="20"/>
        <v>Direct Debit (UMB Bank) - Credits</v>
      </c>
      <c r="C390" s="38">
        <v>46143</v>
      </c>
      <c r="D390" s="34">
        <v>257588</v>
      </c>
      <c r="E390" s="36" t="str">
        <f>IF(Table3[[#This Row],[Type Received]]=2,"CC",(IF(Table3[[#This Row],[Type Received]]=3,"BILL","ACH")))</f>
        <v>ACH</v>
      </c>
      <c r="F390" s="35">
        <v>98.8</v>
      </c>
      <c r="G390" s="14" t="str">
        <f>VLOOKUP(D390,Table4[],3,FALSE)</f>
        <v>2</v>
      </c>
      <c r="H390" s="15"/>
      <c r="I390" s="15">
        <v>110805</v>
      </c>
      <c r="J390" s="15" t="s">
        <v>28</v>
      </c>
      <c r="K390" s="15">
        <v>522207510</v>
      </c>
      <c r="L390" s="15" t="s">
        <v>29</v>
      </c>
      <c r="M390" s="15" t="s">
        <v>29</v>
      </c>
    </row>
    <row r="391" spans="1:13" x14ac:dyDescent="0.25">
      <c r="A391" s="23">
        <f t="shared" si="19"/>
        <v>257589</v>
      </c>
      <c r="B391" s="14" t="str">
        <f t="shared" si="20"/>
        <v>Credit Cards (UMB) - Credits</v>
      </c>
      <c r="C391" s="37">
        <v>46143</v>
      </c>
      <c r="D391" s="31">
        <v>257589</v>
      </c>
      <c r="E391" s="33" t="str">
        <f>IF(Table3[[#This Row],[Type Received]]=2,"CC",(IF(Table3[[#This Row],[Type Received]]=3,"BILL","ACH")))</f>
        <v>CC</v>
      </c>
      <c r="F391" s="32">
        <v>54.25</v>
      </c>
      <c r="G391" s="14" t="str">
        <f>VLOOKUP(D391,Table4[],3,FALSE)</f>
        <v>2</v>
      </c>
      <c r="H391" s="15"/>
      <c r="I391" s="15"/>
      <c r="J391" s="15" t="s">
        <v>84</v>
      </c>
      <c r="K391" s="15">
        <v>522207517</v>
      </c>
      <c r="L391" s="15" t="s">
        <v>29</v>
      </c>
      <c r="M391" s="15" t="s">
        <v>29</v>
      </c>
    </row>
    <row r="392" spans="1:13" x14ac:dyDescent="0.25">
      <c r="A392" s="23">
        <f t="shared" si="19"/>
        <v>257593</v>
      </c>
      <c r="B392" s="14" t="str">
        <f t="shared" si="20"/>
        <v>Credit Cards (UMB) - Credits</v>
      </c>
      <c r="C392" s="38">
        <v>46153</v>
      </c>
      <c r="D392" s="34">
        <v>257593</v>
      </c>
      <c r="E392" s="36" t="str">
        <f>IF(Table3[[#This Row],[Type Received]]=2,"CC",(IF(Table3[[#This Row],[Type Received]]=3,"BILL","ACH")))</f>
        <v>CC</v>
      </c>
      <c r="F392" s="35">
        <v>123.9</v>
      </c>
      <c r="G392" s="14" t="str">
        <f>VLOOKUP(D392,Table4[],3,FALSE)</f>
        <v>2</v>
      </c>
      <c r="H392" s="15"/>
      <c r="I392" s="15">
        <v>278136</v>
      </c>
      <c r="J392" s="15" t="s">
        <v>28</v>
      </c>
      <c r="K392" s="15">
        <v>644600576</v>
      </c>
      <c r="L392" s="15" t="s">
        <v>29</v>
      </c>
      <c r="M392" s="15"/>
    </row>
    <row r="393" spans="1:13" x14ac:dyDescent="0.25">
      <c r="A393" s="23">
        <f t="shared" si="19"/>
        <v>257603</v>
      </c>
      <c r="B393" s="14" t="str">
        <f t="shared" si="20"/>
        <v>Direct Debit (UMB Bank) - Credits</v>
      </c>
      <c r="C393" s="37">
        <v>46155</v>
      </c>
      <c r="D393" s="31">
        <v>257603</v>
      </c>
      <c r="E393" s="33" t="str">
        <f>IF(Table3[[#This Row],[Type Received]]=2,"CC",(IF(Table3[[#This Row],[Type Received]]=3,"BILL","ACH")))</f>
        <v>ACH</v>
      </c>
      <c r="F393" s="32">
        <v>120.25</v>
      </c>
      <c r="G393" s="14" t="str">
        <f>VLOOKUP(D393,Table4[],3,FALSE)</f>
        <v>2</v>
      </c>
      <c r="H393" s="15"/>
      <c r="I393" s="15">
        <v>229328</v>
      </c>
      <c r="J393" s="15" t="s">
        <v>28</v>
      </c>
      <c r="K393" s="15">
        <v>669427074</v>
      </c>
      <c r="L393" s="15" t="s">
        <v>29</v>
      </c>
      <c r="M393" s="15"/>
    </row>
    <row r="394" spans="1:13" x14ac:dyDescent="0.25">
      <c r="A394" s="23">
        <f t="shared" si="19"/>
        <v>257611</v>
      </c>
      <c r="B394" s="14" t="str">
        <f t="shared" si="20"/>
        <v>Direct Debit (UMB Bank) - Credits</v>
      </c>
      <c r="C394" s="38">
        <v>46168</v>
      </c>
      <c r="D394" s="34">
        <v>257611</v>
      </c>
      <c r="E394" s="36" t="str">
        <f>IF(Table3[[#This Row],[Type Received]]=2,"CC",(IF(Table3[[#This Row],[Type Received]]=3,"BILL","ACH")))</f>
        <v>ACH</v>
      </c>
      <c r="F394" s="35">
        <v>104.41</v>
      </c>
      <c r="G394" s="14" t="str">
        <f>VLOOKUP(D394,Table4[],3,FALSE)</f>
        <v>2</v>
      </c>
      <c r="H394" s="15"/>
      <c r="I394" s="15"/>
      <c r="J394" s="15" t="s">
        <v>110</v>
      </c>
      <c r="K394" s="15">
        <v>828232649</v>
      </c>
      <c r="L394" s="15" t="s">
        <v>29</v>
      </c>
      <c r="M394" s="15" t="s">
        <v>29</v>
      </c>
    </row>
    <row r="395" spans="1:13" x14ac:dyDescent="0.25">
      <c r="A395" s="23">
        <f t="shared" si="19"/>
        <v>257612</v>
      </c>
      <c r="B395" s="14" t="str">
        <f t="shared" si="20"/>
        <v>Direct Debit (UMB Bank) - Credits</v>
      </c>
      <c r="C395" s="37">
        <v>46169</v>
      </c>
      <c r="D395" s="31">
        <v>257612</v>
      </c>
      <c r="E395" s="33" t="str">
        <f>IF(Table3[[#This Row],[Type Received]]=2,"CC",(IF(Table3[[#This Row],[Type Received]]=3,"BILL","ACH")))</f>
        <v>ACH</v>
      </c>
      <c r="F395" s="32">
        <v>80.319999999999993</v>
      </c>
      <c r="G395" s="14" t="str">
        <f>VLOOKUP(D395,Table4[],3,FALSE)</f>
        <v>2</v>
      </c>
      <c r="H395" s="15"/>
      <c r="I395" s="15"/>
      <c r="J395" s="15" t="s">
        <v>117</v>
      </c>
      <c r="K395" s="15">
        <v>840832185</v>
      </c>
      <c r="L395" s="15" t="s">
        <v>29</v>
      </c>
      <c r="M395" s="15"/>
    </row>
    <row r="396" spans="1:13" x14ac:dyDescent="0.25">
      <c r="A396" s="23">
        <f t="shared" si="19"/>
        <v>257613</v>
      </c>
      <c r="B396" s="14" t="str">
        <f t="shared" si="20"/>
        <v>Direct Debit (UMB Bank) - Credits</v>
      </c>
      <c r="C396" s="38">
        <v>46169</v>
      </c>
      <c r="D396" s="34">
        <v>257613</v>
      </c>
      <c r="E396" s="36" t="str">
        <f>IF(Table3[[#This Row],[Type Received]]=2,"CC",(IF(Table3[[#This Row],[Type Received]]=3,"BILL","ACH")))</f>
        <v>ACH</v>
      </c>
      <c r="F396" s="35">
        <v>56.45</v>
      </c>
      <c r="G396" s="14" t="str">
        <f>VLOOKUP(D396,Table4[],3,FALSE)</f>
        <v>1</v>
      </c>
      <c r="H396" s="15"/>
      <c r="I396" s="15"/>
      <c r="J396" s="15" t="s">
        <v>117</v>
      </c>
      <c r="K396" s="15">
        <v>840809971</v>
      </c>
      <c r="L396" s="15" t="s">
        <v>29</v>
      </c>
      <c r="M396" s="15"/>
    </row>
    <row r="397" spans="1:13" x14ac:dyDescent="0.25">
      <c r="A397" s="23">
        <f t="shared" si="19"/>
        <v>257614</v>
      </c>
      <c r="B397" s="14" t="str">
        <f t="shared" si="20"/>
        <v>Billing - Credits (from TPA)</v>
      </c>
      <c r="C397" s="37">
        <v>46169</v>
      </c>
      <c r="D397" s="31">
        <v>257614</v>
      </c>
      <c r="E397" s="33" t="str">
        <f>IF(Table3[[#This Row],[Type Received]]=2,"CC",(IF(Table3[[#This Row],[Type Received]]=3,"BILL","ACH")))</f>
        <v>BILL</v>
      </c>
      <c r="F397" s="32">
        <v>75.81</v>
      </c>
      <c r="G397" s="14" t="str">
        <f>VLOOKUP(D397,Table4[],3,FALSE)</f>
        <v>1</v>
      </c>
      <c r="H397" s="15"/>
      <c r="I397" s="15"/>
      <c r="J397" s="15" t="s">
        <v>117</v>
      </c>
      <c r="K397" s="15">
        <v>840810936</v>
      </c>
      <c r="L397" s="15" t="s">
        <v>29</v>
      </c>
      <c r="M397" s="15" t="s">
        <v>29</v>
      </c>
    </row>
    <row r="398" spans="1:13" x14ac:dyDescent="0.25">
      <c r="A398" s="23">
        <f t="shared" si="19"/>
        <v>257617</v>
      </c>
      <c r="B398" s="14" t="str">
        <f t="shared" si="20"/>
        <v>Direct Debit (UMB Bank) - Credits</v>
      </c>
      <c r="C398" s="38">
        <v>46147</v>
      </c>
      <c r="D398" s="34">
        <v>257617</v>
      </c>
      <c r="E398" s="36" t="str">
        <f>IF(Table3[[#This Row],[Type Received]]=2,"CC",(IF(Table3[[#This Row],[Type Received]]=3,"BILL","ACH")))</f>
        <v>ACH</v>
      </c>
      <c r="F398" s="35">
        <v>83.97</v>
      </c>
      <c r="G398" s="14" t="str">
        <f>VLOOKUP(D398,Table4[],3,FALSE)</f>
        <v>1</v>
      </c>
      <c r="H398" s="15">
        <v>1056</v>
      </c>
      <c r="I398" s="15"/>
      <c r="J398" s="15"/>
      <c r="K398" s="15"/>
      <c r="L398" s="15"/>
      <c r="M398" s="15" t="s">
        <v>29</v>
      </c>
    </row>
    <row r="399" spans="1:13" x14ac:dyDescent="0.25">
      <c r="A399" s="23">
        <f t="shared" si="19"/>
        <v>257619</v>
      </c>
      <c r="B399" s="14" t="str">
        <f t="shared" si="20"/>
        <v>Direct Debit (UMB Bank) - Credits</v>
      </c>
      <c r="C399" s="37">
        <v>46156</v>
      </c>
      <c r="D399" s="31">
        <v>257619</v>
      </c>
      <c r="E399" s="33" t="str">
        <f>IF(Table3[[#This Row],[Type Received]]=2,"CC",(IF(Table3[[#This Row],[Type Received]]=3,"BILL","ACH")))</f>
        <v>ACH</v>
      </c>
      <c r="F399" s="32">
        <v>80.87</v>
      </c>
      <c r="G399" s="14" t="str">
        <f>VLOOKUP(D399,Table4[],3,FALSE)</f>
        <v>1</v>
      </c>
      <c r="H399" s="15"/>
      <c r="I399" s="15"/>
      <c r="J399" s="15" t="s">
        <v>93</v>
      </c>
      <c r="K399" s="15">
        <v>682526474</v>
      </c>
      <c r="L399" s="15" t="s">
        <v>29</v>
      </c>
      <c r="M399" s="15" t="s">
        <v>29</v>
      </c>
    </row>
    <row r="400" spans="1:13" x14ac:dyDescent="0.25">
      <c r="A400" s="23">
        <f t="shared" si="19"/>
        <v>257620</v>
      </c>
      <c r="B400" s="14" t="str">
        <f t="shared" si="20"/>
        <v>Direct Debit (UMB Bank) - Credits</v>
      </c>
      <c r="C400" s="38">
        <v>46143</v>
      </c>
      <c r="D400" s="34">
        <v>257620</v>
      </c>
      <c r="E400" s="36" t="str">
        <f>IF(Table3[[#This Row],[Type Received]]=2,"CC",(IF(Table3[[#This Row],[Type Received]]=3,"BILL","ACH")))</f>
        <v>ACH</v>
      </c>
      <c r="F400" s="35">
        <v>106.83</v>
      </c>
      <c r="G400" s="14" t="str">
        <f>VLOOKUP(D400,Table4[],3,FALSE)</f>
        <v>1</v>
      </c>
      <c r="H400" s="15"/>
      <c r="I400" s="15"/>
      <c r="J400" s="15" t="s">
        <v>84</v>
      </c>
      <c r="K400" s="15">
        <v>522196884</v>
      </c>
      <c r="L400" s="15" t="s">
        <v>29</v>
      </c>
      <c r="M400" s="15" t="s">
        <v>29</v>
      </c>
    </row>
    <row r="401" spans="1:13" x14ac:dyDescent="0.25">
      <c r="A401" s="23">
        <f t="shared" si="19"/>
        <v>257621</v>
      </c>
      <c r="B401" s="14" t="str">
        <f t="shared" si="20"/>
        <v>Direct Debit (UMB Bank) - Credits</v>
      </c>
      <c r="C401" s="37">
        <v>46155</v>
      </c>
      <c r="D401" s="31">
        <v>257621</v>
      </c>
      <c r="E401" s="33" t="str">
        <f>IF(Table3[[#This Row],[Type Received]]=2,"CC",(IF(Table3[[#This Row],[Type Received]]=3,"BILL","ACH")))</f>
        <v>ACH</v>
      </c>
      <c r="F401" s="32">
        <v>81.97</v>
      </c>
      <c r="G401" s="14" t="str">
        <f>VLOOKUP(D401,Table4[],3,FALSE)</f>
        <v>2</v>
      </c>
      <c r="H401" s="15"/>
      <c r="I401" s="15"/>
      <c r="J401" s="15" t="s">
        <v>90</v>
      </c>
      <c r="K401" s="15">
        <v>669485162</v>
      </c>
      <c r="L401" s="15" t="s">
        <v>29</v>
      </c>
      <c r="M401" s="15"/>
    </row>
    <row r="402" spans="1:13" x14ac:dyDescent="0.25">
      <c r="A402" s="23">
        <f t="shared" si="19"/>
        <v>257624</v>
      </c>
      <c r="B402" s="14" t="str">
        <f t="shared" si="20"/>
        <v>Direct Debit (UMB Bank) - Credits</v>
      </c>
      <c r="C402" s="38">
        <v>46157</v>
      </c>
      <c r="D402" s="34">
        <v>257624</v>
      </c>
      <c r="E402" s="36" t="str">
        <f>IF(Table3[[#This Row],[Type Received]]=2,"CC",(IF(Table3[[#This Row],[Type Received]]=3,"BILL","ACH")))</f>
        <v>ACH</v>
      </c>
      <c r="F402" s="35">
        <v>49.19</v>
      </c>
      <c r="G402" s="14" t="str">
        <f>VLOOKUP(D402,Table4[],3,FALSE)</f>
        <v>1</v>
      </c>
      <c r="H402" s="15"/>
      <c r="I402" s="15"/>
      <c r="J402" s="15" t="s">
        <v>87</v>
      </c>
      <c r="K402" s="15">
        <v>696634455</v>
      </c>
      <c r="L402" s="15" t="s">
        <v>29</v>
      </c>
      <c r="M402" s="15" t="s">
        <v>29</v>
      </c>
    </row>
    <row r="403" spans="1:13" x14ac:dyDescent="0.25">
      <c r="A403" s="23">
        <f t="shared" si="19"/>
        <v>257649</v>
      </c>
      <c r="B403" s="14" t="str">
        <f t="shared" si="20"/>
        <v>Direct Debit (UMB Bank) - Credits</v>
      </c>
      <c r="C403" s="37">
        <v>46143</v>
      </c>
      <c r="D403" s="31">
        <v>257649</v>
      </c>
      <c r="E403" s="33" t="str">
        <f>IF(Table3[[#This Row],[Type Received]]=2,"CC",(IF(Table3[[#This Row],[Type Received]]=3,"BILL","ACH")))</f>
        <v>ACH</v>
      </c>
      <c r="F403" s="32">
        <v>152.91999999999999</v>
      </c>
      <c r="G403" s="14" t="str">
        <f>VLOOKUP(D403,Table4[],3,FALSE)</f>
        <v>2</v>
      </c>
      <c r="H403" s="15"/>
      <c r="I403" s="15"/>
      <c r="J403" s="15" t="s">
        <v>84</v>
      </c>
      <c r="K403" s="15">
        <v>522211416</v>
      </c>
      <c r="L403" s="15" t="s">
        <v>29</v>
      </c>
      <c r="M403" s="15" t="s">
        <v>29</v>
      </c>
    </row>
    <row r="404" spans="1:13" x14ac:dyDescent="0.25">
      <c r="A404" s="23"/>
      <c r="B404" s="14" t="str">
        <f t="shared" si="20"/>
        <v>Direct Debit (UMB Bank) - Credits</v>
      </c>
      <c r="C404" s="38">
        <v>46169</v>
      </c>
      <c r="D404" s="34">
        <v>257656</v>
      </c>
      <c r="E404" s="36" t="str">
        <f>IF(Table3[[#This Row],[Type Received]]=2,"CC",(IF(Table3[[#This Row],[Type Received]]=3,"BILL","ACH")))</f>
        <v>ACH</v>
      </c>
      <c r="F404" s="35">
        <v>53.15</v>
      </c>
      <c r="G404" s="14" t="str">
        <f>VLOOKUP(D404,Table4[],3,FALSE)</f>
        <v>1</v>
      </c>
      <c r="H404" s="15"/>
      <c r="I404" s="15"/>
      <c r="J404" s="15" t="s">
        <v>117</v>
      </c>
      <c r="K404" s="15">
        <v>840808095</v>
      </c>
      <c r="L404" s="15" t="s">
        <v>29</v>
      </c>
      <c r="M404" s="15" t="s">
        <v>29</v>
      </c>
    </row>
    <row r="405" spans="1:13" x14ac:dyDescent="0.25">
      <c r="A405" s="23">
        <f t="shared" ref="A405:A415" si="21">D405</f>
        <v>257659</v>
      </c>
      <c r="B405" s="14" t="str">
        <f t="shared" si="20"/>
        <v>Credit Cards (UMB) - Credits</v>
      </c>
      <c r="C405" s="37">
        <v>46143</v>
      </c>
      <c r="D405" s="31">
        <v>257659</v>
      </c>
      <c r="E405" s="33" t="str">
        <f>IF(Table3[[#This Row],[Type Received]]=2,"CC",(IF(Table3[[#This Row],[Type Received]]=3,"BILL","ACH")))</f>
        <v>CC</v>
      </c>
      <c r="F405" s="32">
        <v>83.29</v>
      </c>
      <c r="G405" s="14" t="str">
        <f>VLOOKUP(D405,Table4[],3,FALSE)</f>
        <v>2</v>
      </c>
      <c r="H405" s="15"/>
      <c r="I405" s="15"/>
      <c r="J405" s="15" t="s">
        <v>84</v>
      </c>
      <c r="K405" s="15">
        <v>522198899</v>
      </c>
      <c r="L405" s="15" t="s">
        <v>29</v>
      </c>
      <c r="M405" s="15" t="s">
        <v>29</v>
      </c>
    </row>
    <row r="406" spans="1:13" x14ac:dyDescent="0.25">
      <c r="A406" s="23">
        <f t="shared" si="21"/>
        <v>257665</v>
      </c>
      <c r="B406" s="14" t="str">
        <f t="shared" si="20"/>
        <v>Direct Debit (UMB Bank) - Credits</v>
      </c>
      <c r="C406" s="38">
        <v>46143</v>
      </c>
      <c r="D406" s="34">
        <v>257665</v>
      </c>
      <c r="E406" s="36" t="str">
        <f>IF(Table3[[#This Row],[Type Received]]=2,"CC",(IF(Table3[[#This Row],[Type Received]]=3,"BILL","ACH")))</f>
        <v>ACH</v>
      </c>
      <c r="F406" s="35">
        <v>39.97</v>
      </c>
      <c r="G406" s="14" t="str">
        <f>VLOOKUP(D406,Table4[],3,FALSE)</f>
        <v>1</v>
      </c>
      <c r="H406" s="15"/>
      <c r="I406" s="15">
        <v>473870</v>
      </c>
      <c r="J406" s="15" t="s">
        <v>28</v>
      </c>
      <c r="K406" s="15">
        <v>522826673</v>
      </c>
      <c r="L406" s="15" t="s">
        <v>29</v>
      </c>
      <c r="M406" s="15" t="s">
        <v>29</v>
      </c>
    </row>
    <row r="407" spans="1:13" x14ac:dyDescent="0.25">
      <c r="A407" s="23">
        <f t="shared" si="21"/>
        <v>257673</v>
      </c>
      <c r="B407" s="14" t="str">
        <f t="shared" si="20"/>
        <v>Direct Debit (UMB Bank) - Credits</v>
      </c>
      <c r="C407" s="37">
        <v>46169</v>
      </c>
      <c r="D407" s="31">
        <v>257673</v>
      </c>
      <c r="E407" s="33" t="str">
        <f>IF(Table3[[#This Row],[Type Received]]=2,"CC",(IF(Table3[[#This Row],[Type Received]]=3,"BILL","ACH")))</f>
        <v>ACH</v>
      </c>
      <c r="F407" s="32">
        <v>62.5</v>
      </c>
      <c r="G407" s="14" t="str">
        <f>VLOOKUP(D407,Table4[],3,FALSE)</f>
        <v>2</v>
      </c>
      <c r="H407" s="15"/>
      <c r="I407" s="15"/>
      <c r="J407" s="15" t="s">
        <v>117</v>
      </c>
      <c r="K407" s="15">
        <v>840820518</v>
      </c>
      <c r="L407" s="15" t="s">
        <v>29</v>
      </c>
      <c r="M407" s="15"/>
    </row>
    <row r="408" spans="1:13" x14ac:dyDescent="0.25">
      <c r="A408" s="23">
        <f t="shared" si="21"/>
        <v>257674</v>
      </c>
      <c r="B408" s="14" t="str">
        <f t="shared" si="20"/>
        <v>Direct Debit (UMB Bank) - Credits</v>
      </c>
      <c r="C408" s="38">
        <v>46169</v>
      </c>
      <c r="D408" s="34">
        <v>257674</v>
      </c>
      <c r="E408" s="36" t="str">
        <f>IF(Table3[[#This Row],[Type Received]]=2,"CC",(IF(Table3[[#This Row],[Type Received]]=3,"BILL","ACH")))</f>
        <v>ACH</v>
      </c>
      <c r="F408" s="35">
        <v>45.45</v>
      </c>
      <c r="G408" s="14" t="str">
        <f>VLOOKUP(D408,Table4[],3,FALSE)</f>
        <v>1</v>
      </c>
      <c r="H408" s="15"/>
      <c r="I408" s="15"/>
      <c r="J408" s="15" t="s">
        <v>117</v>
      </c>
      <c r="K408" s="15">
        <v>840811940</v>
      </c>
      <c r="L408" s="15" t="s">
        <v>29</v>
      </c>
      <c r="M408" s="15"/>
    </row>
    <row r="409" spans="1:13" x14ac:dyDescent="0.25">
      <c r="A409" s="23">
        <f t="shared" si="21"/>
        <v>257678</v>
      </c>
      <c r="B409" s="14" t="str">
        <f t="shared" si="20"/>
        <v>Credit Cards (UMB) - Credits</v>
      </c>
      <c r="C409" s="37">
        <v>46143</v>
      </c>
      <c r="D409" s="31">
        <v>257678</v>
      </c>
      <c r="E409" s="33" t="str">
        <f>IF(Table3[[#This Row],[Type Received]]=2,"CC",(IF(Table3[[#This Row],[Type Received]]=3,"BILL","ACH")))</f>
        <v>CC</v>
      </c>
      <c r="F409" s="32">
        <v>76.25</v>
      </c>
      <c r="G409" s="14" t="str">
        <f>VLOOKUP(D409,Table4[],3,FALSE)</f>
        <v>1</v>
      </c>
      <c r="H409" s="15"/>
      <c r="I409" s="15"/>
      <c r="J409" s="15" t="s">
        <v>84</v>
      </c>
      <c r="K409" s="15">
        <v>522208619</v>
      </c>
      <c r="L409" s="15" t="s">
        <v>29</v>
      </c>
      <c r="M409" s="15"/>
    </row>
    <row r="410" spans="1:13" x14ac:dyDescent="0.25">
      <c r="A410" s="23">
        <f t="shared" si="21"/>
        <v>257680</v>
      </c>
      <c r="B410" s="14" t="str">
        <f t="shared" si="20"/>
        <v>Credit Cards (UMB) - Credits</v>
      </c>
      <c r="C410" s="38">
        <v>46143</v>
      </c>
      <c r="D410" s="34">
        <v>257680</v>
      </c>
      <c r="E410" s="36" t="str">
        <f>IF(Table3[[#This Row],[Type Received]]=2,"CC",(IF(Table3[[#This Row],[Type Received]]=3,"BILL","ACH")))</f>
        <v>CC</v>
      </c>
      <c r="F410" s="35">
        <v>122.25</v>
      </c>
      <c r="G410" s="14" t="str">
        <f>VLOOKUP(D410,Table4[],3,FALSE)</f>
        <v>2</v>
      </c>
      <c r="H410" s="15"/>
      <c r="I410" s="15">
        <v>125132</v>
      </c>
      <c r="J410" s="15">
        <v>741374152</v>
      </c>
      <c r="K410" s="15">
        <v>353162990</v>
      </c>
      <c r="L410" s="15"/>
      <c r="M410" s="15" t="s">
        <v>29</v>
      </c>
    </row>
    <row r="411" spans="1:13" x14ac:dyDescent="0.25">
      <c r="A411" s="23">
        <f t="shared" si="21"/>
        <v>257686</v>
      </c>
      <c r="B411" s="14" t="str">
        <f t="shared" si="20"/>
        <v>Credit Cards (UMB) - Credits</v>
      </c>
      <c r="C411" s="37">
        <v>46160</v>
      </c>
      <c r="D411" s="31">
        <v>257686</v>
      </c>
      <c r="E411" s="33" t="str">
        <f>IF(Table3[[#This Row],[Type Received]]=2,"CC",(IF(Table3[[#This Row],[Type Received]]=3,"BILL","ACH")))</f>
        <v>CC</v>
      </c>
      <c r="F411" s="32">
        <v>93.9</v>
      </c>
      <c r="G411" s="14" t="str">
        <f>VLOOKUP(D411,Table4[],3,FALSE)</f>
        <v>1</v>
      </c>
      <c r="H411" s="15"/>
      <c r="I411" s="15">
        <v>72901</v>
      </c>
      <c r="J411" s="24" t="s">
        <v>28</v>
      </c>
      <c r="K411" s="15">
        <v>738013398</v>
      </c>
      <c r="L411" s="15" t="s">
        <v>29</v>
      </c>
      <c r="M411" s="15" t="s">
        <v>29</v>
      </c>
    </row>
    <row r="412" spans="1:13" x14ac:dyDescent="0.25">
      <c r="A412" s="23">
        <f t="shared" si="21"/>
        <v>257688</v>
      </c>
      <c r="B412" s="14" t="str">
        <f t="shared" si="20"/>
        <v>Credit Cards (UMB) - Credits</v>
      </c>
      <c r="C412" s="38">
        <v>46155</v>
      </c>
      <c r="D412" s="34">
        <v>257688</v>
      </c>
      <c r="E412" s="36" t="str">
        <f>IF(Table3[[#This Row],[Type Received]]=2,"CC",(IF(Table3[[#This Row],[Type Received]]=3,"BILL","ACH")))</f>
        <v>CC</v>
      </c>
      <c r="F412" s="35">
        <v>54.25</v>
      </c>
      <c r="G412" s="14" t="str">
        <f>VLOOKUP(D412,Table4[],3,FALSE)</f>
        <v>2</v>
      </c>
      <c r="H412" s="15"/>
      <c r="I412" s="15">
        <v>7098</v>
      </c>
      <c r="J412" s="15" t="s">
        <v>28</v>
      </c>
      <c r="K412" s="15">
        <v>669455134</v>
      </c>
      <c r="L412" s="15" t="s">
        <v>29</v>
      </c>
      <c r="M412" s="15" t="s">
        <v>29</v>
      </c>
    </row>
    <row r="413" spans="1:13" x14ac:dyDescent="0.25">
      <c r="A413" s="23">
        <f t="shared" si="21"/>
        <v>257698</v>
      </c>
      <c r="B413" s="14" t="str">
        <f t="shared" si="20"/>
        <v>Credit Cards (UMB) - Credits</v>
      </c>
      <c r="C413" s="37">
        <v>46155</v>
      </c>
      <c r="D413" s="31">
        <v>257698</v>
      </c>
      <c r="E413" s="33" t="str">
        <f>IF(Table3[[#This Row],[Type Received]]=2,"CC",(IF(Table3[[#This Row],[Type Received]]=3,"BILL","ACH")))</f>
        <v>CC</v>
      </c>
      <c r="F413" s="32">
        <v>122.56</v>
      </c>
      <c r="G413" s="14" t="str">
        <f>VLOOKUP(D413,Table4[],3,FALSE)</f>
        <v>2</v>
      </c>
      <c r="H413" s="15"/>
      <c r="I413" s="15">
        <v>881837</v>
      </c>
      <c r="J413" s="15" t="s">
        <v>28</v>
      </c>
      <c r="K413" s="15">
        <v>669447452</v>
      </c>
      <c r="L413" s="15" t="s">
        <v>29</v>
      </c>
      <c r="M413" s="15" t="s">
        <v>29</v>
      </c>
    </row>
    <row r="414" spans="1:13" x14ac:dyDescent="0.25">
      <c r="A414" s="23">
        <f t="shared" si="21"/>
        <v>257700</v>
      </c>
      <c r="B414" s="14" t="str">
        <f t="shared" si="20"/>
        <v>Direct Debit (UMB Bank) - Credits</v>
      </c>
      <c r="C414" s="38">
        <v>46155</v>
      </c>
      <c r="D414" s="34">
        <v>257700</v>
      </c>
      <c r="E414" s="36" t="str">
        <f>IF(Table3[[#This Row],[Type Received]]=2,"CC",(IF(Table3[[#This Row],[Type Received]]=3,"BILL","ACH")))</f>
        <v>ACH</v>
      </c>
      <c r="F414" s="35">
        <v>136.75</v>
      </c>
      <c r="G414" s="14" t="str">
        <f>VLOOKUP(D414,Table4[],3,FALSE)</f>
        <v>2</v>
      </c>
      <c r="H414" s="15"/>
      <c r="I414" s="15">
        <v>182917</v>
      </c>
      <c r="J414" s="15" t="s">
        <v>28</v>
      </c>
      <c r="K414" s="15">
        <v>669428081</v>
      </c>
      <c r="L414" s="15" t="s">
        <v>29</v>
      </c>
      <c r="M414" s="15" t="s">
        <v>29</v>
      </c>
    </row>
    <row r="415" spans="1:13" x14ac:dyDescent="0.25">
      <c r="A415" s="23">
        <f t="shared" si="21"/>
        <v>257701</v>
      </c>
      <c r="B415" s="14" t="str">
        <f t="shared" si="20"/>
        <v>Direct Debit (UMB Bank) - Credits</v>
      </c>
      <c r="C415" s="37">
        <v>46143</v>
      </c>
      <c r="D415" s="31">
        <v>257701</v>
      </c>
      <c r="E415" s="33" t="str">
        <f>IF(Table3[[#This Row],[Type Received]]=2,"CC",(IF(Table3[[#This Row],[Type Received]]=3,"BILL","ACH")))</f>
        <v>ACH</v>
      </c>
      <c r="F415" s="32">
        <v>94.95</v>
      </c>
      <c r="G415" s="14" t="str">
        <f>VLOOKUP(D415,Table4[],3,FALSE)</f>
        <v>1</v>
      </c>
      <c r="H415" s="15"/>
      <c r="I415" s="15"/>
      <c r="J415" s="15" t="s">
        <v>84</v>
      </c>
      <c r="K415" s="15">
        <v>522216274</v>
      </c>
      <c r="L415" s="15" t="s">
        <v>29</v>
      </c>
      <c r="M415" s="15" t="s">
        <v>29</v>
      </c>
    </row>
    <row r="416" spans="1:13" x14ac:dyDescent="0.25">
      <c r="A416" s="23"/>
      <c r="B416" s="14" t="str">
        <f t="shared" si="20"/>
        <v>Direct Debit (UMB Bank) - Credits</v>
      </c>
      <c r="C416" s="38">
        <v>46157</v>
      </c>
      <c r="D416" s="34">
        <v>257704</v>
      </c>
      <c r="E416" s="36" t="str">
        <f>IF(Table3[[#This Row],[Type Received]]=2,"CC",(IF(Table3[[#This Row],[Type Received]]=3,"BILL","ACH")))</f>
        <v>ACH</v>
      </c>
      <c r="F416" s="35">
        <v>59.75</v>
      </c>
      <c r="G416" s="14" t="str">
        <f>VLOOKUP(D416,Table4[],3,FALSE)</f>
        <v>1</v>
      </c>
      <c r="H416" s="15"/>
      <c r="I416" s="15"/>
      <c r="J416" s="15" t="s">
        <v>87</v>
      </c>
      <c r="K416" s="15">
        <v>696641229</v>
      </c>
      <c r="L416" s="15" t="s">
        <v>29</v>
      </c>
      <c r="M416" s="15" t="s">
        <v>29</v>
      </c>
    </row>
    <row r="417" spans="1:13" x14ac:dyDescent="0.25">
      <c r="A417" s="23">
        <f t="shared" ref="A417:A442" si="22">D417</f>
        <v>257716</v>
      </c>
      <c r="B417" s="14" t="str">
        <f t="shared" si="20"/>
        <v>Direct Debit (UMB Bank) - Credits</v>
      </c>
      <c r="C417" s="37">
        <v>46143</v>
      </c>
      <c r="D417" s="31">
        <v>257716</v>
      </c>
      <c r="E417" s="33" t="str">
        <f>IF(Table3[[#This Row],[Type Received]]=2,"CC",(IF(Table3[[#This Row],[Type Received]]=3,"BILL","ACH")))</f>
        <v>ACH</v>
      </c>
      <c r="F417" s="32">
        <v>89.56</v>
      </c>
      <c r="G417" s="14" t="str">
        <f>VLOOKUP(D417,Table4[],3,FALSE)</f>
        <v>2</v>
      </c>
      <c r="H417" s="15"/>
      <c r="I417" s="15"/>
      <c r="J417" s="15" t="s">
        <v>84</v>
      </c>
      <c r="K417" s="15">
        <v>522195097</v>
      </c>
      <c r="L417" s="15" t="s">
        <v>29</v>
      </c>
      <c r="M417" s="15" t="s">
        <v>29</v>
      </c>
    </row>
    <row r="418" spans="1:13" x14ac:dyDescent="0.25">
      <c r="A418" s="23">
        <f t="shared" si="22"/>
        <v>257722</v>
      </c>
      <c r="B418" s="14" t="str">
        <f t="shared" si="20"/>
        <v>Direct Debit (UMB Bank) - Credits</v>
      </c>
      <c r="C418" s="38">
        <v>46169</v>
      </c>
      <c r="D418" s="34">
        <v>257722</v>
      </c>
      <c r="E418" s="36" t="str">
        <f>IF(Table3[[#This Row],[Type Received]]=2,"CC",(IF(Table3[[#This Row],[Type Received]]=3,"BILL","ACH")))</f>
        <v>ACH</v>
      </c>
      <c r="F418" s="35">
        <v>58.21</v>
      </c>
      <c r="G418" s="14" t="str">
        <f>VLOOKUP(D418,Table4[],3,FALSE)</f>
        <v>2</v>
      </c>
      <c r="H418" s="15"/>
      <c r="I418" s="15"/>
      <c r="J418" s="15" t="s">
        <v>117</v>
      </c>
      <c r="K418" s="15">
        <v>840813898</v>
      </c>
      <c r="L418" s="15" t="s">
        <v>29</v>
      </c>
      <c r="M418" s="15"/>
    </row>
    <row r="419" spans="1:13" x14ac:dyDescent="0.25">
      <c r="A419" s="23">
        <f t="shared" si="22"/>
        <v>257724</v>
      </c>
      <c r="B419" s="14" t="str">
        <f t="shared" si="20"/>
        <v>Credit Cards (UMB) - Credits</v>
      </c>
      <c r="C419" s="37">
        <v>46169</v>
      </c>
      <c r="D419" s="31">
        <v>257724</v>
      </c>
      <c r="E419" s="33" t="str">
        <f>IF(Table3[[#This Row],[Type Received]]=2,"CC",(IF(Table3[[#This Row],[Type Received]]=3,"BILL","ACH")))</f>
        <v>CC</v>
      </c>
      <c r="F419" s="32">
        <v>72.290000000000006</v>
      </c>
      <c r="G419" s="14" t="str">
        <f>VLOOKUP(D419,Table4[],3,FALSE)</f>
        <v>1</v>
      </c>
      <c r="H419" s="15"/>
      <c r="I419" s="15"/>
      <c r="J419" s="15" t="s">
        <v>117</v>
      </c>
      <c r="K419" s="15">
        <v>840831299</v>
      </c>
      <c r="L419" s="15" t="s">
        <v>29</v>
      </c>
      <c r="M419" s="15"/>
    </row>
    <row r="420" spans="1:13" x14ac:dyDescent="0.25">
      <c r="A420" s="23">
        <f t="shared" si="22"/>
        <v>257739</v>
      </c>
      <c r="B420" s="14" t="str">
        <f t="shared" si="20"/>
        <v>Direct Debit (UMB Bank) - Credits</v>
      </c>
      <c r="C420" s="38">
        <v>46157</v>
      </c>
      <c r="D420" s="34">
        <v>257739</v>
      </c>
      <c r="E420" s="36" t="str">
        <f>IF(Table3[[#This Row],[Type Received]]=2,"CC",(IF(Table3[[#This Row],[Type Received]]=3,"BILL","ACH")))</f>
        <v>ACH</v>
      </c>
      <c r="F420" s="35">
        <v>97.81</v>
      </c>
      <c r="G420" s="14" t="str">
        <f>VLOOKUP(D420,Table4[],3,FALSE)</f>
        <v>1</v>
      </c>
      <c r="H420" s="15"/>
      <c r="I420" s="15" t="s">
        <v>119</v>
      </c>
      <c r="J420" s="24" t="s">
        <v>28</v>
      </c>
      <c r="K420" s="15">
        <v>696638345</v>
      </c>
      <c r="L420" s="15" t="s">
        <v>29</v>
      </c>
      <c r="M420" s="15" t="s">
        <v>29</v>
      </c>
    </row>
    <row r="421" spans="1:13" x14ac:dyDescent="0.25">
      <c r="A421" s="23">
        <f t="shared" si="22"/>
        <v>257740</v>
      </c>
      <c r="B421" s="14" t="str">
        <f t="shared" si="20"/>
        <v>Direct Debit (UMB Bank) - Credits</v>
      </c>
      <c r="C421" s="37">
        <v>46157</v>
      </c>
      <c r="D421" s="31">
        <v>257740</v>
      </c>
      <c r="E421" s="33" t="str">
        <f>IF(Table3[[#This Row],[Type Received]]=2,"CC",(IF(Table3[[#This Row],[Type Received]]=3,"BILL","ACH")))</f>
        <v>ACH</v>
      </c>
      <c r="F421" s="32">
        <v>45.45</v>
      </c>
      <c r="G421" s="14" t="str">
        <f>VLOOKUP(D421,Table4[],3,FALSE)</f>
        <v>1</v>
      </c>
      <c r="H421" s="15"/>
      <c r="I421" s="15"/>
      <c r="J421" s="24" t="s">
        <v>87</v>
      </c>
      <c r="K421" s="15">
        <v>696634511</v>
      </c>
      <c r="L421" s="15" t="s">
        <v>29</v>
      </c>
      <c r="M421" s="15" t="s">
        <v>29</v>
      </c>
    </row>
    <row r="422" spans="1:13" x14ac:dyDescent="0.25">
      <c r="A422" s="23">
        <f t="shared" si="22"/>
        <v>257741</v>
      </c>
      <c r="B422" s="14" t="str">
        <f t="shared" si="20"/>
        <v>Credit Cards (UMB) - Credits</v>
      </c>
      <c r="C422" s="38">
        <v>46157</v>
      </c>
      <c r="D422" s="34">
        <v>257741</v>
      </c>
      <c r="E422" s="36" t="str">
        <f>IF(Table3[[#This Row],[Type Received]]=2,"CC",(IF(Table3[[#This Row],[Type Received]]=3,"BILL","ACH")))</f>
        <v>CC</v>
      </c>
      <c r="F422" s="35">
        <v>67.23</v>
      </c>
      <c r="G422" s="14" t="str">
        <f>VLOOKUP(D422,Table4[],3,FALSE)</f>
        <v>1</v>
      </c>
      <c r="H422" s="15"/>
      <c r="I422" s="15"/>
      <c r="J422" s="15" t="s">
        <v>87</v>
      </c>
      <c r="K422" s="15">
        <v>696634531</v>
      </c>
      <c r="L422" s="15" t="s">
        <v>29</v>
      </c>
      <c r="M422" s="15"/>
    </row>
    <row r="423" spans="1:13" x14ac:dyDescent="0.25">
      <c r="A423" s="23">
        <f t="shared" si="22"/>
        <v>257748</v>
      </c>
      <c r="B423" s="14" t="str">
        <f t="shared" si="20"/>
        <v>Direct Debit (UMB Bank) - Credits</v>
      </c>
      <c r="C423" s="37">
        <v>46143</v>
      </c>
      <c r="D423" s="31">
        <v>257748</v>
      </c>
      <c r="E423" s="33" t="str">
        <f>IF(Table3[[#This Row],[Type Received]]=2,"CC",(IF(Table3[[#This Row],[Type Received]]=3,"BILL","ACH")))</f>
        <v>ACH</v>
      </c>
      <c r="F423" s="32">
        <v>93.41</v>
      </c>
      <c r="G423" s="14" t="str">
        <f>VLOOKUP(D423,Table4[],3,FALSE)</f>
        <v>1</v>
      </c>
      <c r="H423" s="15"/>
      <c r="I423" s="15">
        <v>49736</v>
      </c>
      <c r="J423" s="15" t="s">
        <v>28</v>
      </c>
      <c r="K423" s="15">
        <v>522221273</v>
      </c>
      <c r="L423" s="15" t="s">
        <v>29</v>
      </c>
      <c r="M423" s="15"/>
    </row>
    <row r="424" spans="1:13" x14ac:dyDescent="0.25">
      <c r="A424" s="23">
        <f t="shared" si="22"/>
        <v>257749</v>
      </c>
      <c r="B424" s="14" t="str">
        <f t="shared" si="20"/>
        <v>Direct Debit (UMB Bank) - Credits</v>
      </c>
      <c r="C424" s="38">
        <v>46157</v>
      </c>
      <c r="D424" s="34">
        <v>257749</v>
      </c>
      <c r="E424" s="36" t="str">
        <f>IF(Table3[[#This Row],[Type Received]]=2,"CC",(IF(Table3[[#This Row],[Type Received]]=3,"BILL","ACH")))</f>
        <v>ACH</v>
      </c>
      <c r="F424" s="35">
        <v>50.95</v>
      </c>
      <c r="G424" s="14" t="str">
        <f>VLOOKUP(D424,Table4[],3,FALSE)</f>
        <v>1</v>
      </c>
      <c r="H424" s="15"/>
      <c r="I424" s="15"/>
      <c r="J424" s="15" t="s">
        <v>87</v>
      </c>
      <c r="K424" s="15">
        <v>696625778</v>
      </c>
      <c r="L424" s="15" t="s">
        <v>29</v>
      </c>
      <c r="M424" s="15" t="s">
        <v>29</v>
      </c>
    </row>
    <row r="425" spans="1:13" x14ac:dyDescent="0.25">
      <c r="A425" s="23">
        <f t="shared" si="22"/>
        <v>257750</v>
      </c>
      <c r="B425" s="14" t="str">
        <f t="shared" si="20"/>
        <v>Direct Debit (UMB Bank) - Credits</v>
      </c>
      <c r="C425" s="37">
        <v>46169</v>
      </c>
      <c r="D425" s="31">
        <v>257750</v>
      </c>
      <c r="E425" s="33" t="str">
        <f>IF(Table3[[#This Row],[Type Received]]=2,"CC",(IF(Table3[[#This Row],[Type Received]]=3,"BILL","ACH")))</f>
        <v>ACH</v>
      </c>
      <c r="F425" s="32">
        <v>103.42</v>
      </c>
      <c r="G425" s="14" t="str">
        <f>VLOOKUP(D425,Table4[],3,FALSE)</f>
        <v>2</v>
      </c>
      <c r="H425" s="15"/>
      <c r="I425" s="15"/>
      <c r="J425" s="15" t="s">
        <v>117</v>
      </c>
      <c r="K425" s="15">
        <v>840823482</v>
      </c>
      <c r="L425" s="15" t="s">
        <v>29</v>
      </c>
      <c r="M425" s="15" t="s">
        <v>29</v>
      </c>
    </row>
    <row r="426" spans="1:13" x14ac:dyDescent="0.25">
      <c r="A426" s="23">
        <f t="shared" si="22"/>
        <v>257751</v>
      </c>
      <c r="B426" s="14" t="str">
        <f t="shared" si="20"/>
        <v>Direct Debit (UMB Bank) - Credits</v>
      </c>
      <c r="C426" s="38">
        <v>46169</v>
      </c>
      <c r="D426" s="34">
        <v>257751</v>
      </c>
      <c r="E426" s="36" t="str">
        <f>IF(Table3[[#This Row],[Type Received]]=2,"CC",(IF(Table3[[#This Row],[Type Received]]=3,"BILL","ACH")))</f>
        <v>ACH</v>
      </c>
      <c r="F426" s="35">
        <v>49.63</v>
      </c>
      <c r="G426" s="14" t="str">
        <f>VLOOKUP(D426,Table4[],3,FALSE)</f>
        <v>1</v>
      </c>
      <c r="H426" s="15"/>
      <c r="I426" s="15"/>
      <c r="J426" s="15" t="s">
        <v>117</v>
      </c>
      <c r="K426" s="15">
        <v>840831328</v>
      </c>
      <c r="L426" s="15" t="s">
        <v>29</v>
      </c>
      <c r="M426" s="15" t="s">
        <v>29</v>
      </c>
    </row>
    <row r="427" spans="1:13" x14ac:dyDescent="0.25">
      <c r="A427" s="23">
        <f t="shared" si="22"/>
        <v>257760</v>
      </c>
      <c r="B427" s="14" t="str">
        <f t="shared" si="20"/>
        <v>Direct Debit (UMB Bank) - Credits</v>
      </c>
      <c r="C427" s="37">
        <v>46167</v>
      </c>
      <c r="D427" s="31">
        <v>257760</v>
      </c>
      <c r="E427" s="33" t="str">
        <f>IF(Table3[[#This Row],[Type Received]]=2,"CC",(IF(Table3[[#This Row],[Type Received]]=3,"BILL","ACH")))</f>
        <v>ACH</v>
      </c>
      <c r="F427" s="32">
        <v>48.75</v>
      </c>
      <c r="G427" s="14" t="str">
        <f>VLOOKUP(D427,Table4[],3,FALSE)</f>
        <v>1</v>
      </c>
      <c r="H427" s="15"/>
      <c r="I427" s="15"/>
      <c r="J427" s="15" t="s">
        <v>85</v>
      </c>
      <c r="K427" s="15">
        <v>818347250</v>
      </c>
      <c r="L427" s="15" t="s">
        <v>29</v>
      </c>
      <c r="M427" s="15" t="s">
        <v>29</v>
      </c>
    </row>
    <row r="428" spans="1:13" x14ac:dyDescent="0.25">
      <c r="A428" s="23">
        <f t="shared" si="22"/>
        <v>257766</v>
      </c>
      <c r="B428" s="14" t="str">
        <f t="shared" si="20"/>
        <v>Credit Cards (UMB) - Credits</v>
      </c>
      <c r="C428" s="38">
        <v>46169</v>
      </c>
      <c r="D428" s="34">
        <v>257766</v>
      </c>
      <c r="E428" s="36" t="str">
        <f>IF(Table3[[#This Row],[Type Received]]=2,"CC",(IF(Table3[[#This Row],[Type Received]]=3,"BILL","ACH")))</f>
        <v>CC</v>
      </c>
      <c r="F428" s="35">
        <v>107.05</v>
      </c>
      <c r="G428" s="14" t="str">
        <f>VLOOKUP(D428,Table4[],3,FALSE)</f>
        <v>2</v>
      </c>
      <c r="H428" s="15"/>
      <c r="I428" s="15"/>
      <c r="J428" s="15" t="s">
        <v>117</v>
      </c>
      <c r="K428" s="15">
        <v>840811097</v>
      </c>
      <c r="L428" s="15" t="s">
        <v>29</v>
      </c>
      <c r="M428" s="15"/>
    </row>
    <row r="429" spans="1:13" x14ac:dyDescent="0.25">
      <c r="A429" s="23">
        <f t="shared" si="22"/>
        <v>257768</v>
      </c>
      <c r="B429" s="14" t="str">
        <f t="shared" si="20"/>
        <v>Credit Cards (UMB) - Credits</v>
      </c>
      <c r="C429" s="37">
        <v>46155</v>
      </c>
      <c r="D429" s="31">
        <v>257768</v>
      </c>
      <c r="E429" s="33" t="str">
        <f>IF(Table3[[#This Row],[Type Received]]=2,"CC",(IF(Table3[[#This Row],[Type Received]]=3,"BILL","ACH")))</f>
        <v>CC</v>
      </c>
      <c r="F429" s="32">
        <v>66.459999999999994</v>
      </c>
      <c r="G429" s="14" t="str">
        <f>VLOOKUP(D429,Table4[],3,FALSE)</f>
        <v>2</v>
      </c>
      <c r="H429" s="15"/>
      <c r="I429" s="15">
        <v>90058</v>
      </c>
      <c r="J429" s="15" t="s">
        <v>28</v>
      </c>
      <c r="K429" s="15">
        <v>669431008</v>
      </c>
      <c r="L429" s="15" t="s">
        <v>29</v>
      </c>
      <c r="M429" s="15" t="s">
        <v>29</v>
      </c>
    </row>
    <row r="430" spans="1:13" x14ac:dyDescent="0.25">
      <c r="A430" s="23">
        <f t="shared" si="22"/>
        <v>257770</v>
      </c>
      <c r="B430" s="14" t="str">
        <f t="shared" si="20"/>
        <v>Direct Debit (UMB Bank) - Credits</v>
      </c>
      <c r="C430" s="38">
        <v>46155</v>
      </c>
      <c r="D430" s="34">
        <v>257770</v>
      </c>
      <c r="E430" s="36" t="str">
        <f>IF(Table3[[#This Row],[Type Received]]=2,"CC",(IF(Table3[[#This Row],[Type Received]]=3,"BILL","ACH")))</f>
        <v>ACH</v>
      </c>
      <c r="F430" s="35">
        <v>48.53</v>
      </c>
      <c r="G430" s="14" t="str">
        <f>VLOOKUP(D430,Table4[],3,FALSE)</f>
        <v>1</v>
      </c>
      <c r="H430" s="15"/>
      <c r="I430" s="15">
        <v>91175</v>
      </c>
      <c r="J430" s="15" t="s">
        <v>28</v>
      </c>
      <c r="K430" s="15">
        <v>669435906</v>
      </c>
      <c r="L430" s="15" t="s">
        <v>29</v>
      </c>
      <c r="M430" s="15" t="s">
        <v>29</v>
      </c>
    </row>
    <row r="431" spans="1:13" x14ac:dyDescent="0.25">
      <c r="A431" s="23">
        <f t="shared" si="22"/>
        <v>257775</v>
      </c>
      <c r="B431" s="14" t="str">
        <f t="shared" si="20"/>
        <v>Credit Cards (UMB) - Credits</v>
      </c>
      <c r="C431" s="37">
        <v>46143</v>
      </c>
      <c r="D431" s="31">
        <v>257775</v>
      </c>
      <c r="E431" s="33" t="str">
        <f>IF(Table3[[#This Row],[Type Received]]=2,"CC",(IF(Table3[[#This Row],[Type Received]]=3,"BILL","ACH")))</f>
        <v>CC</v>
      </c>
      <c r="F431" s="32">
        <v>60.19</v>
      </c>
      <c r="G431" s="14" t="str">
        <f>VLOOKUP(D431,Table4[],3,FALSE)</f>
        <v>1</v>
      </c>
      <c r="H431" s="15"/>
      <c r="I431" s="15"/>
      <c r="J431" s="15" t="s">
        <v>84</v>
      </c>
      <c r="K431" s="15">
        <v>522218579</v>
      </c>
      <c r="L431" s="15" t="s">
        <v>29</v>
      </c>
      <c r="M431" s="15" t="s">
        <v>29</v>
      </c>
    </row>
    <row r="432" spans="1:13" x14ac:dyDescent="0.25">
      <c r="A432" s="23">
        <f t="shared" si="22"/>
        <v>257783</v>
      </c>
      <c r="B432" s="14" t="str">
        <f t="shared" si="20"/>
        <v>Credit Cards (UMB) - Credits</v>
      </c>
      <c r="C432" s="38">
        <v>46143</v>
      </c>
      <c r="D432" s="34">
        <v>257783</v>
      </c>
      <c r="E432" s="36" t="str">
        <f>IF(Table3[[#This Row],[Type Received]]=2,"CC",(IF(Table3[[#This Row],[Type Received]]=3,"BILL","ACH")))</f>
        <v>CC</v>
      </c>
      <c r="F432" s="35">
        <v>67.45</v>
      </c>
      <c r="G432" s="14" t="str">
        <f>VLOOKUP(D432,Table4[],3,FALSE)</f>
        <v>2</v>
      </c>
      <c r="H432" s="15"/>
      <c r="I432" s="15">
        <v>91797</v>
      </c>
      <c r="J432" s="24" t="s">
        <v>28</v>
      </c>
      <c r="K432" s="15">
        <v>522215736</v>
      </c>
      <c r="L432" s="15" t="s">
        <v>29</v>
      </c>
      <c r="M432" s="15" t="s">
        <v>29</v>
      </c>
    </row>
    <row r="433" spans="1:13" x14ac:dyDescent="0.25">
      <c r="A433" s="23">
        <f t="shared" si="22"/>
        <v>257795</v>
      </c>
      <c r="B433" s="14" t="str">
        <f t="shared" si="20"/>
        <v>Credit Cards (UMB) - Credits</v>
      </c>
      <c r="C433" s="37">
        <v>46155</v>
      </c>
      <c r="D433" s="31">
        <v>257795</v>
      </c>
      <c r="E433" s="33" t="str">
        <f>IF(Table3[[#This Row],[Type Received]]=2,"CC",(IF(Table3[[#This Row],[Type Received]]=3,"BILL","ACH")))</f>
        <v>CC</v>
      </c>
      <c r="F433" s="32">
        <v>73.06</v>
      </c>
      <c r="G433" s="14" t="e">
        <f>VLOOKUP(D433,Table4[],3,FALSE)</f>
        <v>#N/A</v>
      </c>
      <c r="H433" s="15"/>
      <c r="I433" s="15">
        <v>270392</v>
      </c>
      <c r="J433" s="15" t="s">
        <v>28</v>
      </c>
      <c r="K433" s="15">
        <v>669474851</v>
      </c>
      <c r="L433" s="15" t="s">
        <v>29</v>
      </c>
      <c r="M433" s="15" t="s">
        <v>29</v>
      </c>
    </row>
    <row r="434" spans="1:13" x14ac:dyDescent="0.25">
      <c r="A434" s="23">
        <f t="shared" si="22"/>
        <v>257797</v>
      </c>
      <c r="B434" s="14" t="str">
        <f t="shared" si="20"/>
        <v>Direct Debit (UMB Bank) - Credits</v>
      </c>
      <c r="C434" s="38">
        <v>46143</v>
      </c>
      <c r="D434" s="34">
        <v>257797</v>
      </c>
      <c r="E434" s="36" t="str">
        <f>IF(Table3[[#This Row],[Type Received]]=2,"CC",(IF(Table3[[#This Row],[Type Received]]=3,"BILL","ACH")))</f>
        <v>ACH</v>
      </c>
      <c r="F434" s="35">
        <v>85.73</v>
      </c>
      <c r="G434" s="14" t="str">
        <f>VLOOKUP(D434,Table4[],3,FALSE)</f>
        <v>1</v>
      </c>
      <c r="H434" s="15"/>
      <c r="I434" s="15">
        <v>430952</v>
      </c>
      <c r="J434" s="15" t="s">
        <v>28</v>
      </c>
      <c r="K434" s="15">
        <v>521643583</v>
      </c>
      <c r="L434" s="15" t="s">
        <v>29</v>
      </c>
      <c r="M434" s="15" t="s">
        <v>29</v>
      </c>
    </row>
    <row r="435" spans="1:13" x14ac:dyDescent="0.25">
      <c r="A435" s="23">
        <f t="shared" si="22"/>
        <v>257800</v>
      </c>
      <c r="B435" s="14" t="str">
        <f t="shared" si="20"/>
        <v>Direct Debit (UMB Bank) - Credits</v>
      </c>
      <c r="C435" s="37">
        <v>46143</v>
      </c>
      <c r="D435" s="31">
        <v>257800</v>
      </c>
      <c r="E435" s="33" t="str">
        <f>IF(Table3[[#This Row],[Type Received]]=2,"CC",(IF(Table3[[#This Row],[Type Received]]=3,"BILL","ACH")))</f>
        <v>ACH</v>
      </c>
      <c r="F435" s="32">
        <v>73.72</v>
      </c>
      <c r="G435" s="14" t="str">
        <f>VLOOKUP(D435,Table4[],3,FALSE)</f>
        <v>2</v>
      </c>
      <c r="H435" s="15"/>
      <c r="I435" s="15"/>
      <c r="J435" s="15" t="s">
        <v>84</v>
      </c>
      <c r="K435" s="15">
        <v>522219554</v>
      </c>
      <c r="L435" s="15" t="s">
        <v>29</v>
      </c>
      <c r="M435" s="15" t="s">
        <v>29</v>
      </c>
    </row>
    <row r="436" spans="1:13" x14ac:dyDescent="0.25">
      <c r="A436" s="23">
        <f t="shared" si="22"/>
        <v>257814</v>
      </c>
      <c r="B436" s="14" t="str">
        <f t="shared" si="20"/>
        <v>Direct Debit (UMB Bank) - Credits</v>
      </c>
      <c r="C436" s="38">
        <v>46169</v>
      </c>
      <c r="D436" s="34">
        <v>257814</v>
      </c>
      <c r="E436" s="36" t="str">
        <f>IF(Table3[[#This Row],[Type Received]]=2,"CC",(IF(Table3[[#This Row],[Type Received]]=3,"BILL","ACH")))</f>
        <v>ACH</v>
      </c>
      <c r="F436" s="35">
        <v>49.3</v>
      </c>
      <c r="G436" s="14" t="str">
        <f>VLOOKUP(D436,Table4[],3,FALSE)</f>
        <v>2</v>
      </c>
      <c r="H436" s="15"/>
      <c r="I436" s="15"/>
      <c r="J436" s="15" t="s">
        <v>117</v>
      </c>
      <c r="K436" s="15">
        <v>840838180</v>
      </c>
      <c r="L436" s="15" t="s">
        <v>29</v>
      </c>
      <c r="M436" s="15"/>
    </row>
    <row r="437" spans="1:13" x14ac:dyDescent="0.25">
      <c r="A437" s="23">
        <f t="shared" si="22"/>
        <v>257815</v>
      </c>
      <c r="B437" s="14" t="str">
        <f t="shared" si="20"/>
        <v>Credit Cards (UMB) - Credits</v>
      </c>
      <c r="C437" s="37">
        <v>46169</v>
      </c>
      <c r="D437" s="31">
        <v>257815</v>
      </c>
      <c r="E437" s="33" t="str">
        <f>IF(Table3[[#This Row],[Type Received]]=2,"CC",(IF(Table3[[#This Row],[Type Received]]=3,"BILL","ACH")))</f>
        <v>CC</v>
      </c>
      <c r="F437" s="32">
        <v>45.23</v>
      </c>
      <c r="G437" s="14" t="str">
        <f>VLOOKUP(D437,Table4[],3,FALSE)</f>
        <v>1</v>
      </c>
      <c r="H437" s="15"/>
      <c r="I437" s="15"/>
      <c r="J437" s="15" t="s">
        <v>117</v>
      </c>
      <c r="K437" s="15">
        <v>840828507</v>
      </c>
      <c r="L437" s="15" t="s">
        <v>29</v>
      </c>
      <c r="M437" s="15" t="s">
        <v>29</v>
      </c>
    </row>
    <row r="438" spans="1:13" x14ac:dyDescent="0.25">
      <c r="A438" s="23">
        <f t="shared" si="22"/>
        <v>257824</v>
      </c>
      <c r="B438" s="14" t="str">
        <f t="shared" si="20"/>
        <v>Billing - Credits (from TPA)</v>
      </c>
      <c r="C438" s="38">
        <v>46155</v>
      </c>
      <c r="D438" s="34">
        <v>257824</v>
      </c>
      <c r="E438" s="36" t="str">
        <f>IF(Table3[[#This Row],[Type Received]]=2,"CC",(IF(Table3[[#This Row],[Type Received]]=3,"BILL","ACH")))</f>
        <v>BILL</v>
      </c>
      <c r="F438" s="35">
        <v>114.64</v>
      </c>
      <c r="G438" s="14" t="str">
        <f>VLOOKUP(D438,Table4[],3,FALSE)</f>
        <v>2</v>
      </c>
      <c r="H438" s="15"/>
      <c r="I438" s="15">
        <v>670392</v>
      </c>
      <c r="J438" s="15" t="s">
        <v>28</v>
      </c>
      <c r="K438" s="15">
        <v>669438842</v>
      </c>
      <c r="L438" s="15" t="s">
        <v>29</v>
      </c>
      <c r="M438" s="15" t="s">
        <v>29</v>
      </c>
    </row>
    <row r="439" spans="1:13" x14ac:dyDescent="0.25">
      <c r="A439" s="23">
        <f t="shared" si="22"/>
        <v>257826</v>
      </c>
      <c r="B439" s="14" t="str">
        <f t="shared" si="20"/>
        <v>Direct Debit (UMB Bank) - Credits</v>
      </c>
      <c r="C439" s="37">
        <v>46148</v>
      </c>
      <c r="D439" s="31">
        <v>257826</v>
      </c>
      <c r="E439" s="33" t="str">
        <f>IF(Table3[[#This Row],[Type Received]]=2,"CC",(IF(Table3[[#This Row],[Type Received]]=3,"BILL","ACH")))</f>
        <v>ACH</v>
      </c>
      <c r="F439" s="32">
        <v>120.11</v>
      </c>
      <c r="G439" s="14" t="str">
        <f>VLOOKUP(D439,Table4[],3,FALSE)</f>
        <v>2</v>
      </c>
      <c r="H439" s="15">
        <v>234212961</v>
      </c>
      <c r="I439" s="15"/>
      <c r="J439" s="15"/>
      <c r="K439" s="15"/>
      <c r="L439" s="15"/>
      <c r="M439" s="15" t="s">
        <v>29</v>
      </c>
    </row>
    <row r="440" spans="1:13" x14ac:dyDescent="0.25">
      <c r="A440" s="23">
        <f t="shared" si="22"/>
        <v>257831</v>
      </c>
      <c r="B440" s="14" t="str">
        <f t="shared" si="20"/>
        <v>Credit Cards (UMB) - Credits</v>
      </c>
      <c r="C440" s="38">
        <v>46157</v>
      </c>
      <c r="D440" s="34">
        <v>257831</v>
      </c>
      <c r="E440" s="36" t="str">
        <f>IF(Table3[[#This Row],[Type Received]]=2,"CC",(IF(Table3[[#This Row],[Type Received]]=3,"BILL","ACH")))</f>
        <v>CC</v>
      </c>
      <c r="F440" s="35">
        <v>45.45</v>
      </c>
      <c r="G440" s="14" t="str">
        <f>VLOOKUP(D440,Table4[],3,FALSE)</f>
        <v>1</v>
      </c>
      <c r="H440" s="15"/>
      <c r="I440" s="15"/>
      <c r="J440" s="15" t="s">
        <v>87</v>
      </c>
      <c r="K440" s="15">
        <v>696644176</v>
      </c>
      <c r="L440" s="15" t="s">
        <v>29</v>
      </c>
      <c r="M440" s="15" t="s">
        <v>29</v>
      </c>
    </row>
    <row r="441" spans="1:13" x14ac:dyDescent="0.25">
      <c r="A441" s="23">
        <f t="shared" si="22"/>
        <v>257845</v>
      </c>
      <c r="B441" s="14" t="str">
        <f t="shared" si="20"/>
        <v>Direct Debit (UMB Bank) - Credits</v>
      </c>
      <c r="C441" s="37">
        <v>46146</v>
      </c>
      <c r="D441" s="31">
        <v>257845</v>
      </c>
      <c r="E441" s="33" t="str">
        <f>IF(Table3[[#This Row],[Type Received]]=2,"CC",(IF(Table3[[#This Row],[Type Received]]=3,"BILL","ACH")))</f>
        <v>ACH</v>
      </c>
      <c r="F441" s="32">
        <v>56.69</v>
      </c>
      <c r="G441" s="14" t="str">
        <f>VLOOKUP(D441,Table4[],3,FALSE)</f>
        <v>1</v>
      </c>
      <c r="H441" s="15"/>
      <c r="I441" s="15">
        <v>4593</v>
      </c>
      <c r="J441" s="15">
        <v>742259380</v>
      </c>
      <c r="K441" s="15">
        <v>353429068</v>
      </c>
      <c r="L441" s="15"/>
      <c r="M441" s="15" t="s">
        <v>29</v>
      </c>
    </row>
    <row r="442" spans="1:13" x14ac:dyDescent="0.25">
      <c r="A442" s="23">
        <f t="shared" si="22"/>
        <v>257853</v>
      </c>
      <c r="B442" s="14" t="str">
        <f t="shared" si="20"/>
        <v>Direct Debit (UMB Bank) - Credits</v>
      </c>
      <c r="C442" s="38">
        <v>46143</v>
      </c>
      <c r="D442" s="34">
        <v>257853</v>
      </c>
      <c r="E442" s="36" t="str">
        <f>IF(Table3[[#This Row],[Type Received]]=2,"CC",(IF(Table3[[#This Row],[Type Received]]=3,"BILL","ACH")))</f>
        <v>ACH</v>
      </c>
      <c r="F442" s="35">
        <v>57.33</v>
      </c>
      <c r="G442" s="14" t="str">
        <f>VLOOKUP(D442,Table4[],3,FALSE)</f>
        <v>1</v>
      </c>
      <c r="H442" s="15"/>
      <c r="I442" s="15"/>
      <c r="J442" s="15" t="s">
        <v>84</v>
      </c>
      <c r="K442" s="15">
        <v>522209072</v>
      </c>
      <c r="L442" s="15" t="s">
        <v>29</v>
      </c>
      <c r="M442" s="15" t="s">
        <v>29</v>
      </c>
    </row>
    <row r="443" spans="1:13" x14ac:dyDescent="0.25">
      <c r="A443" s="23"/>
      <c r="B443" s="14" t="str">
        <f t="shared" si="20"/>
        <v>Credit Cards (UMB) - Credits</v>
      </c>
      <c r="C443" s="37">
        <v>46157</v>
      </c>
      <c r="D443" s="31">
        <v>257861</v>
      </c>
      <c r="E443" s="33" t="str">
        <f>IF(Table3[[#This Row],[Type Received]]=2,"CC",(IF(Table3[[#This Row],[Type Received]]=3,"BILL","ACH")))</f>
        <v>CC</v>
      </c>
      <c r="F443" s="32">
        <v>102.1</v>
      </c>
      <c r="G443" s="14" t="str">
        <f>VLOOKUP(D443,Table4[],3,FALSE)</f>
        <v>2</v>
      </c>
      <c r="H443" s="15"/>
      <c r="I443" s="15"/>
      <c r="J443" s="24" t="s">
        <v>87</v>
      </c>
      <c r="K443" s="15">
        <v>696623975</v>
      </c>
      <c r="L443" s="15" t="s">
        <v>29</v>
      </c>
      <c r="M443" s="15" t="s">
        <v>29</v>
      </c>
    </row>
    <row r="444" spans="1:13" x14ac:dyDescent="0.25">
      <c r="A444" s="23"/>
      <c r="B444" s="14" t="str">
        <f t="shared" si="20"/>
        <v>Direct Debit (UMB Bank) - Credits</v>
      </c>
      <c r="C444" s="38">
        <v>46169</v>
      </c>
      <c r="D444" s="34">
        <v>257864</v>
      </c>
      <c r="E444" s="36" t="str">
        <f>IF(Table3[[#This Row],[Type Received]]=2,"CC",(IF(Table3[[#This Row],[Type Received]]=3,"BILL","ACH")))</f>
        <v>ACH</v>
      </c>
      <c r="F444" s="35">
        <v>60.52</v>
      </c>
      <c r="G444" s="14" t="str">
        <f>VLOOKUP(D444,Table4[],3,FALSE)</f>
        <v>2</v>
      </c>
      <c r="H444" s="15"/>
      <c r="I444" s="15">
        <v>659958</v>
      </c>
      <c r="J444" s="15" t="s">
        <v>28</v>
      </c>
      <c r="K444" s="15">
        <v>840824620</v>
      </c>
      <c r="L444" s="15" t="s">
        <v>29</v>
      </c>
      <c r="M444" s="15" t="s">
        <v>29</v>
      </c>
    </row>
    <row r="445" spans="1:13" x14ac:dyDescent="0.25">
      <c r="A445" s="23">
        <f t="shared" ref="A445:A460" si="23">D445</f>
        <v>257878</v>
      </c>
      <c r="B445" s="14" t="str">
        <f t="shared" si="20"/>
        <v>Direct Debit (UMB Bank) - Credits</v>
      </c>
      <c r="C445" s="37">
        <v>46157</v>
      </c>
      <c r="D445" s="31">
        <v>257878</v>
      </c>
      <c r="E445" s="33" t="str">
        <f>IF(Table3[[#This Row],[Type Received]]=2,"CC",(IF(Table3[[#This Row],[Type Received]]=3,"BILL","ACH")))</f>
        <v>ACH</v>
      </c>
      <c r="F445" s="32">
        <v>109.03</v>
      </c>
      <c r="G445" s="14" t="str">
        <f>VLOOKUP(D445,Table4[],3,FALSE)</f>
        <v>2</v>
      </c>
      <c r="H445" s="15"/>
      <c r="I445" s="15"/>
      <c r="J445" s="15" t="s">
        <v>87</v>
      </c>
      <c r="K445" s="15">
        <v>696623995</v>
      </c>
      <c r="L445" s="15" t="s">
        <v>29</v>
      </c>
      <c r="M445" s="15" t="s">
        <v>29</v>
      </c>
    </row>
    <row r="446" spans="1:13" x14ac:dyDescent="0.25">
      <c r="A446" s="23">
        <f t="shared" si="23"/>
        <v>257882</v>
      </c>
      <c r="B446" s="14" t="str">
        <f t="shared" si="20"/>
        <v>Direct Debit (UMB Bank) - Credits</v>
      </c>
      <c r="C446" s="38">
        <v>46143</v>
      </c>
      <c r="D446" s="34">
        <v>257882</v>
      </c>
      <c r="E446" s="36" t="str">
        <f>IF(Table3[[#This Row],[Type Received]]=2,"CC",(IF(Table3[[#This Row],[Type Received]]=3,"BILL","ACH")))</f>
        <v>ACH</v>
      </c>
      <c r="F446" s="35">
        <v>85.6</v>
      </c>
      <c r="G446" s="14" t="str">
        <f>VLOOKUP(D446,Table4[],3,FALSE)</f>
        <v>2</v>
      </c>
      <c r="H446" s="15"/>
      <c r="I446" s="15"/>
      <c r="J446" s="15" t="s">
        <v>84</v>
      </c>
      <c r="K446" s="15">
        <v>522224609</v>
      </c>
      <c r="L446" s="15" t="s">
        <v>29</v>
      </c>
      <c r="M446" s="15" t="s">
        <v>29</v>
      </c>
    </row>
    <row r="447" spans="1:13" x14ac:dyDescent="0.25">
      <c r="A447" s="23">
        <f t="shared" si="23"/>
        <v>257888</v>
      </c>
      <c r="B447" s="14" t="str">
        <f t="shared" si="20"/>
        <v>Billing - Credits (from TPA)</v>
      </c>
      <c r="C447" s="37">
        <v>46143</v>
      </c>
      <c r="D447" s="31">
        <v>257888</v>
      </c>
      <c r="E447" s="33" t="str">
        <f>IF(Table3[[#This Row],[Type Received]]=2,"CC",(IF(Table3[[#This Row],[Type Received]]=3,"BILL","ACH")))</f>
        <v>BILL</v>
      </c>
      <c r="F447" s="32">
        <v>34.450000000000003</v>
      </c>
      <c r="G447" s="14" t="str">
        <f>VLOOKUP(D447,Table4[],3,FALSE)</f>
        <v>2</v>
      </c>
      <c r="H447" s="15"/>
      <c r="I447" s="15"/>
      <c r="J447" s="15" t="s">
        <v>84</v>
      </c>
      <c r="K447" s="15">
        <v>522227482</v>
      </c>
      <c r="L447" s="15" t="s">
        <v>29</v>
      </c>
      <c r="M447" s="15" t="s">
        <v>29</v>
      </c>
    </row>
    <row r="448" spans="1:13" x14ac:dyDescent="0.25">
      <c r="A448" s="23">
        <f t="shared" si="23"/>
        <v>257894</v>
      </c>
      <c r="B448" s="14" t="str">
        <f t="shared" si="20"/>
        <v>Direct Debit (UMB Bank) - Credits</v>
      </c>
      <c r="C448" s="38">
        <v>46168</v>
      </c>
      <c r="D448" s="34">
        <v>257894</v>
      </c>
      <c r="E448" s="36" t="str">
        <f>IF(Table3[[#This Row],[Type Received]]=2,"CC",(IF(Table3[[#This Row],[Type Received]]=3,"BILL","ACH")))</f>
        <v>ACH</v>
      </c>
      <c r="F448" s="35">
        <v>93.43</v>
      </c>
      <c r="G448" s="14" t="str">
        <f>VLOOKUP(D448,Table4[],3,FALSE)</f>
        <v>1</v>
      </c>
      <c r="H448" s="15">
        <v>22123573791</v>
      </c>
      <c r="I448" s="15"/>
      <c r="J448" s="24"/>
      <c r="K448" s="15"/>
      <c r="L448" s="15"/>
      <c r="M448" s="15" t="s">
        <v>29</v>
      </c>
    </row>
    <row r="449" spans="1:13" x14ac:dyDescent="0.25">
      <c r="A449" s="23">
        <f t="shared" si="23"/>
        <v>257897</v>
      </c>
      <c r="B449" s="14" t="str">
        <f t="shared" si="20"/>
        <v>Direct Debit (UMB Bank) - Credits</v>
      </c>
      <c r="C449" s="37">
        <v>46157</v>
      </c>
      <c r="D449" s="31">
        <v>257897</v>
      </c>
      <c r="E449" s="33" t="str">
        <f>IF(Table3[[#This Row],[Type Received]]=2,"CC",(IF(Table3[[#This Row],[Type Received]]=3,"BILL","ACH")))</f>
        <v>ACH</v>
      </c>
      <c r="F449" s="32">
        <v>120.69</v>
      </c>
      <c r="G449" s="14" t="str">
        <f>VLOOKUP(D449,Table4[],3,FALSE)</f>
        <v>1</v>
      </c>
      <c r="H449" s="15"/>
      <c r="I449" s="15"/>
      <c r="J449" s="15" t="s">
        <v>87</v>
      </c>
      <c r="K449" s="15">
        <v>696632674</v>
      </c>
      <c r="L449" s="15" t="s">
        <v>29</v>
      </c>
      <c r="M449" s="15" t="s">
        <v>29</v>
      </c>
    </row>
    <row r="450" spans="1:13" x14ac:dyDescent="0.25">
      <c r="A450" s="23">
        <f t="shared" si="23"/>
        <v>257898</v>
      </c>
      <c r="B450" s="14" t="str">
        <f t="shared" ref="B450:B513" si="24">IF(AND(E450="BILL",F450&lt;0),"Billing &amp; Direct Debit - Refunds",(IF(AND(E450="BILL",F450&gt;0),"Billing - Credits (from TPA)",(IF(AND(E450="CC",F450&lt;0),"Credit Cards (UMB) - Refunds",(IF(AND(E450="CC",F450&gt;0),"Credit Cards (UMB) - Credits",(IF(AND(E450="ACH",F450&gt;0),"Direct Debit (UMB Bank) - Credits","Direct Debit (UMB Bank) - Returned Items")))))))))</f>
        <v>Credit Cards (UMB) - Credits</v>
      </c>
      <c r="C450" s="38">
        <v>46169</v>
      </c>
      <c r="D450" s="34">
        <v>257898</v>
      </c>
      <c r="E450" s="36" t="str">
        <f>IF(Table3[[#This Row],[Type Received]]=2,"CC",(IF(Table3[[#This Row],[Type Received]]=3,"BILL","ACH")))</f>
        <v>CC</v>
      </c>
      <c r="F450" s="35">
        <v>93.85</v>
      </c>
      <c r="G450" s="14" t="str">
        <f>VLOOKUP(D450,Table4[],3,FALSE)</f>
        <v>2</v>
      </c>
      <c r="H450" s="15"/>
      <c r="I450" s="15"/>
      <c r="J450" s="15" t="s">
        <v>117</v>
      </c>
      <c r="K450" s="15">
        <v>840823648</v>
      </c>
      <c r="L450" s="15" t="s">
        <v>29</v>
      </c>
      <c r="M450" s="15" t="s">
        <v>29</v>
      </c>
    </row>
    <row r="451" spans="1:13" x14ac:dyDescent="0.25">
      <c r="A451" s="23">
        <f t="shared" si="23"/>
        <v>257900</v>
      </c>
      <c r="B451" s="14" t="str">
        <f t="shared" si="24"/>
        <v>Credit Cards (UMB) - Credits</v>
      </c>
      <c r="C451" s="37">
        <v>46149</v>
      </c>
      <c r="D451" s="31">
        <v>257900</v>
      </c>
      <c r="E451" s="33" t="str">
        <f>IF(Table3[[#This Row],[Type Received]]=2,"CC",(IF(Table3[[#This Row],[Type Received]]=3,"BILL","ACH")))</f>
        <v>CC</v>
      </c>
      <c r="F451" s="32">
        <v>38.1</v>
      </c>
      <c r="G451" s="14" t="str">
        <f>VLOOKUP(D451,Table4[],3,FALSE)</f>
        <v>2</v>
      </c>
      <c r="H451" s="15"/>
      <c r="I451" s="15">
        <v>10208</v>
      </c>
      <c r="J451" s="15" t="s">
        <v>28</v>
      </c>
      <c r="K451" s="15">
        <v>596272196</v>
      </c>
      <c r="L451" s="15" t="s">
        <v>29</v>
      </c>
      <c r="M451" s="15" t="s">
        <v>29</v>
      </c>
    </row>
    <row r="452" spans="1:13" x14ac:dyDescent="0.25">
      <c r="A452" s="23">
        <f t="shared" si="23"/>
        <v>257924</v>
      </c>
      <c r="B452" s="14" t="str">
        <f t="shared" si="24"/>
        <v>Credit Cards (UMB) - Credits</v>
      </c>
      <c r="C452" s="38">
        <v>46143</v>
      </c>
      <c r="D452" s="34">
        <v>257924</v>
      </c>
      <c r="E452" s="36" t="str">
        <f>IF(Table3[[#This Row],[Type Received]]=2,"CC",(IF(Table3[[#This Row],[Type Received]]=3,"BILL","ACH")))</f>
        <v>CC</v>
      </c>
      <c r="F452" s="35">
        <v>128</v>
      </c>
      <c r="G452" s="14" t="str">
        <f>VLOOKUP(D452,Table4[],3,FALSE)</f>
        <v>1</v>
      </c>
      <c r="H452" s="15"/>
      <c r="I452" s="15" t="s">
        <v>120</v>
      </c>
      <c r="J452" s="15">
        <v>741374152</v>
      </c>
      <c r="K452" s="15">
        <v>353154318</v>
      </c>
      <c r="L452" s="15"/>
      <c r="M452" s="15" t="s">
        <v>29</v>
      </c>
    </row>
    <row r="453" spans="1:13" x14ac:dyDescent="0.25">
      <c r="A453" s="23">
        <f t="shared" si="23"/>
        <v>257926</v>
      </c>
      <c r="B453" s="14" t="str">
        <f t="shared" si="24"/>
        <v>Credit Cards (UMB) - Credits</v>
      </c>
      <c r="C453" s="37">
        <v>46160</v>
      </c>
      <c r="D453" s="31">
        <v>257926</v>
      </c>
      <c r="E453" s="33" t="str">
        <f>IF(Table3[[#This Row],[Type Received]]=2,"CC",(IF(Table3[[#This Row],[Type Received]]=3,"BILL","ACH")))</f>
        <v>CC</v>
      </c>
      <c r="F453" s="32">
        <v>33.369999999999997</v>
      </c>
      <c r="G453" s="14" t="str">
        <f>VLOOKUP(D453,Table4[],3,FALSE)</f>
        <v>1</v>
      </c>
      <c r="H453" s="15"/>
      <c r="I453" s="15">
        <v>45212</v>
      </c>
      <c r="J453" s="24" t="s">
        <v>28</v>
      </c>
      <c r="K453" s="15">
        <v>736161150</v>
      </c>
      <c r="L453" s="15" t="s">
        <v>29</v>
      </c>
      <c r="M453" s="15"/>
    </row>
    <row r="454" spans="1:13" x14ac:dyDescent="0.25">
      <c r="A454" s="23">
        <f t="shared" si="23"/>
        <v>257935</v>
      </c>
      <c r="B454" s="14" t="str">
        <f t="shared" si="24"/>
        <v>Direct Debit (UMB Bank) - Credits</v>
      </c>
      <c r="C454" s="38">
        <v>46144</v>
      </c>
      <c r="D454" s="34">
        <v>257935</v>
      </c>
      <c r="E454" s="36" t="str">
        <f>IF(Table3[[#This Row],[Type Received]]=2,"CC",(IF(Table3[[#This Row],[Type Received]]=3,"BILL","ACH")))</f>
        <v>ACH</v>
      </c>
      <c r="F454" s="35">
        <v>100</v>
      </c>
      <c r="G454" s="14" t="str">
        <f>VLOOKUP(D454,Table4[],3,FALSE)</f>
        <v>2</v>
      </c>
      <c r="H454" s="15"/>
      <c r="I454" s="15">
        <v>701690</v>
      </c>
      <c r="J454" s="15">
        <v>741651752</v>
      </c>
      <c r="K454" s="15">
        <v>353302677</v>
      </c>
      <c r="L454" s="15"/>
      <c r="M454" s="15"/>
    </row>
    <row r="455" spans="1:13" x14ac:dyDescent="0.25">
      <c r="A455" s="23">
        <f t="shared" si="23"/>
        <v>257939</v>
      </c>
      <c r="B455" s="14" t="str">
        <f t="shared" si="24"/>
        <v>Direct Debit (UMB Bank) - Credits</v>
      </c>
      <c r="C455" s="37">
        <v>46157</v>
      </c>
      <c r="D455" s="31">
        <v>257939</v>
      </c>
      <c r="E455" s="33" t="str">
        <f>IF(Table3[[#This Row],[Type Received]]=2,"CC",(IF(Table3[[#This Row],[Type Received]]=3,"BILL","ACH")))</f>
        <v>ACH</v>
      </c>
      <c r="F455" s="32">
        <v>120.47</v>
      </c>
      <c r="G455" s="14" t="str">
        <f>VLOOKUP(D455,Table4[],3,FALSE)</f>
        <v>1</v>
      </c>
      <c r="H455" s="15"/>
      <c r="I455" s="15"/>
      <c r="J455" s="15" t="s">
        <v>87</v>
      </c>
      <c r="K455" s="15">
        <v>696631732</v>
      </c>
      <c r="L455" s="15" t="s">
        <v>29</v>
      </c>
      <c r="M455" s="15" t="s">
        <v>29</v>
      </c>
    </row>
    <row r="456" spans="1:13" x14ac:dyDescent="0.25">
      <c r="A456" s="23">
        <f t="shared" si="23"/>
        <v>257941</v>
      </c>
      <c r="B456" s="14" t="str">
        <f t="shared" si="24"/>
        <v>Direct Debit (UMB Bank) - Credits</v>
      </c>
      <c r="C456" s="38">
        <v>46147</v>
      </c>
      <c r="D456" s="34">
        <v>257941</v>
      </c>
      <c r="E456" s="36" t="str">
        <f>IF(Table3[[#This Row],[Type Received]]=2,"CC",(IF(Table3[[#This Row],[Type Received]]=3,"BILL","ACH")))</f>
        <v>ACH</v>
      </c>
      <c r="F456" s="35">
        <v>80.430000000000007</v>
      </c>
      <c r="G456" s="14" t="str">
        <f>VLOOKUP(D456,Table4[],3,FALSE)</f>
        <v>1</v>
      </c>
      <c r="H456" s="15"/>
      <c r="I456" s="15"/>
      <c r="J456" s="15" t="s">
        <v>86</v>
      </c>
      <c r="K456" s="15">
        <v>569475510</v>
      </c>
      <c r="L456" s="15" t="s">
        <v>29</v>
      </c>
      <c r="M456" s="15" t="s">
        <v>29</v>
      </c>
    </row>
    <row r="457" spans="1:13" x14ac:dyDescent="0.25">
      <c r="A457" s="23">
        <f t="shared" si="23"/>
        <v>257942</v>
      </c>
      <c r="B457" s="14" t="str">
        <f t="shared" si="24"/>
        <v>Direct Debit (UMB Bank) - Credits</v>
      </c>
      <c r="C457" s="37">
        <v>46169</v>
      </c>
      <c r="D457" s="31">
        <v>257942</v>
      </c>
      <c r="E457" s="33" t="str">
        <f>IF(Table3[[#This Row],[Type Received]]=2,"CC",(IF(Table3[[#This Row],[Type Received]]=3,"BILL","ACH")))</f>
        <v>ACH</v>
      </c>
      <c r="F457" s="32">
        <v>141.69999999999999</v>
      </c>
      <c r="G457" s="14" t="str">
        <f>VLOOKUP(D457,Table4[],3,FALSE)</f>
        <v>2</v>
      </c>
      <c r="H457" s="15"/>
      <c r="I457" s="15"/>
      <c r="J457" s="15" t="s">
        <v>117</v>
      </c>
      <c r="K457" s="15">
        <v>840830531</v>
      </c>
      <c r="L457" s="15" t="s">
        <v>29</v>
      </c>
      <c r="M457" s="15" t="s">
        <v>29</v>
      </c>
    </row>
    <row r="458" spans="1:13" x14ac:dyDescent="0.25">
      <c r="A458" s="23">
        <f t="shared" si="23"/>
        <v>257944</v>
      </c>
      <c r="B458" s="14" t="str">
        <f t="shared" si="24"/>
        <v>Direct Debit (UMB Bank) - Credits</v>
      </c>
      <c r="C458" s="38">
        <v>46169</v>
      </c>
      <c r="D458" s="34">
        <v>257944</v>
      </c>
      <c r="E458" s="36" t="str">
        <f>IF(Table3[[#This Row],[Type Received]]=2,"CC",(IF(Table3[[#This Row],[Type Received]]=3,"BILL","ACH")))</f>
        <v>ACH</v>
      </c>
      <c r="F458" s="35">
        <v>97.15</v>
      </c>
      <c r="G458" s="14" t="str">
        <f>VLOOKUP(D458,Table4[],3,FALSE)</f>
        <v>2</v>
      </c>
      <c r="H458" s="15"/>
      <c r="I458" s="15"/>
      <c r="J458" s="15" t="s">
        <v>117</v>
      </c>
      <c r="K458" s="15">
        <v>840841199</v>
      </c>
      <c r="L458" s="15" t="s">
        <v>29</v>
      </c>
      <c r="M458" s="15" t="s">
        <v>29</v>
      </c>
    </row>
    <row r="459" spans="1:13" x14ac:dyDescent="0.25">
      <c r="A459" s="23">
        <f t="shared" si="23"/>
        <v>257947</v>
      </c>
      <c r="B459" s="14" t="str">
        <f t="shared" si="24"/>
        <v>Credit Cards (UMB) - Credits</v>
      </c>
      <c r="C459" s="37">
        <v>46143</v>
      </c>
      <c r="D459" s="31">
        <v>257947</v>
      </c>
      <c r="E459" s="33" t="str">
        <f>IF(Table3[[#This Row],[Type Received]]=2,"CC",(IF(Table3[[#This Row],[Type Received]]=3,"BILL","ACH")))</f>
        <v>CC</v>
      </c>
      <c r="F459" s="32">
        <v>58.21</v>
      </c>
      <c r="G459" s="14" t="str">
        <f>VLOOKUP(D459,Table4[],3,FALSE)</f>
        <v>2</v>
      </c>
      <c r="H459" s="15"/>
      <c r="I459" s="15"/>
      <c r="J459" s="24" t="s">
        <v>84</v>
      </c>
      <c r="K459" s="15">
        <v>522223989</v>
      </c>
      <c r="L459" s="15" t="s">
        <v>29</v>
      </c>
      <c r="M459" s="15" t="s">
        <v>29</v>
      </c>
    </row>
    <row r="460" spans="1:13" x14ac:dyDescent="0.25">
      <c r="A460" s="23">
        <f t="shared" si="23"/>
        <v>257950</v>
      </c>
      <c r="B460" s="14" t="str">
        <f t="shared" si="24"/>
        <v>Direct Debit (UMB Bank) - Credits</v>
      </c>
      <c r="C460" s="38">
        <v>46169</v>
      </c>
      <c r="D460" s="34">
        <v>257950</v>
      </c>
      <c r="E460" s="36" t="str">
        <f>IF(Table3[[#This Row],[Type Received]]=2,"CC",(IF(Table3[[#This Row],[Type Received]]=3,"BILL","ACH")))</f>
        <v>ACH</v>
      </c>
      <c r="F460" s="35">
        <v>174.7</v>
      </c>
      <c r="G460" s="14" t="str">
        <f>VLOOKUP(D460,Table4[],3,FALSE)</f>
        <v>2</v>
      </c>
      <c r="H460" s="15"/>
      <c r="I460" s="15">
        <v>66188</v>
      </c>
      <c r="J460" s="15" t="s">
        <v>28</v>
      </c>
      <c r="K460" s="15">
        <v>840821794</v>
      </c>
      <c r="L460" s="15" t="s">
        <v>29</v>
      </c>
      <c r="M460" s="15"/>
    </row>
    <row r="461" spans="1:13" x14ac:dyDescent="0.25">
      <c r="A461" s="23"/>
      <c r="B461" s="14" t="str">
        <f t="shared" si="24"/>
        <v>Direct Debit (UMB Bank) - Credits</v>
      </c>
      <c r="C461" s="37">
        <v>46169</v>
      </c>
      <c r="D461" s="31">
        <v>257951</v>
      </c>
      <c r="E461" s="33" t="str">
        <f>IF(Table3[[#This Row],[Type Received]]=2,"CC",(IF(Table3[[#This Row],[Type Received]]=3,"BILL","ACH")))</f>
        <v>ACH</v>
      </c>
      <c r="F461" s="32">
        <v>47.32</v>
      </c>
      <c r="G461" s="14" t="str">
        <f>VLOOKUP(D461,Table4[],3,FALSE)</f>
        <v>2</v>
      </c>
      <c r="H461" s="15"/>
      <c r="I461" s="15"/>
      <c r="J461" s="15" t="s">
        <v>117</v>
      </c>
      <c r="K461" s="15">
        <v>840826719</v>
      </c>
      <c r="L461" s="15" t="s">
        <v>29</v>
      </c>
      <c r="M461" s="15" t="s">
        <v>29</v>
      </c>
    </row>
    <row r="462" spans="1:13" x14ac:dyDescent="0.25">
      <c r="A462" s="23"/>
      <c r="B462" s="14" t="str">
        <f t="shared" si="24"/>
        <v>Direct Debit (UMB Bank) - Credits</v>
      </c>
      <c r="C462" s="38">
        <v>46169</v>
      </c>
      <c r="D462" s="34">
        <v>257954</v>
      </c>
      <c r="E462" s="36" t="str">
        <f>IF(Table3[[#This Row],[Type Received]]=2,"CC",(IF(Table3[[#This Row],[Type Received]]=3,"BILL","ACH")))</f>
        <v>ACH</v>
      </c>
      <c r="F462" s="35">
        <v>26.97</v>
      </c>
      <c r="G462" s="14" t="str">
        <f>VLOOKUP(D462,Table4[],3,FALSE)</f>
        <v>1</v>
      </c>
      <c r="H462" s="15"/>
      <c r="I462" s="15"/>
      <c r="J462" s="24" t="s">
        <v>117</v>
      </c>
      <c r="K462" s="15">
        <v>840816067</v>
      </c>
      <c r="L462" s="15" t="s">
        <v>29</v>
      </c>
      <c r="M462" s="15"/>
    </row>
    <row r="463" spans="1:13" x14ac:dyDescent="0.25">
      <c r="A463" s="23">
        <f t="shared" ref="A463:A499" si="25">D463</f>
        <v>257955</v>
      </c>
      <c r="B463" s="14" t="str">
        <f t="shared" si="24"/>
        <v>Billing - Credits (from TPA)</v>
      </c>
      <c r="C463" s="37">
        <v>46169</v>
      </c>
      <c r="D463" s="31">
        <v>257955</v>
      </c>
      <c r="E463" s="33" t="str">
        <f>IF(Table3[[#This Row],[Type Received]]=2,"CC",(IF(Table3[[#This Row],[Type Received]]=3,"BILL","ACH")))</f>
        <v>BILL</v>
      </c>
      <c r="F463" s="32">
        <v>40.83</v>
      </c>
      <c r="G463" s="14" t="str">
        <f>VLOOKUP(D463,Table4[],3,FALSE)</f>
        <v>1</v>
      </c>
      <c r="H463" s="15"/>
      <c r="I463" s="15"/>
      <c r="J463" s="15" t="s">
        <v>117</v>
      </c>
      <c r="K463" s="15">
        <v>840831595</v>
      </c>
      <c r="L463" s="15" t="s">
        <v>29</v>
      </c>
      <c r="M463" s="15" t="s">
        <v>29</v>
      </c>
    </row>
    <row r="464" spans="1:13" x14ac:dyDescent="0.25">
      <c r="A464" s="23">
        <f t="shared" si="25"/>
        <v>257964</v>
      </c>
      <c r="B464" s="14" t="str">
        <f t="shared" si="24"/>
        <v>Direct Debit (UMB Bank) - Credits</v>
      </c>
      <c r="C464" s="38">
        <v>46147</v>
      </c>
      <c r="D464" s="34">
        <v>257964</v>
      </c>
      <c r="E464" s="36" t="str">
        <f>IF(Table3[[#This Row],[Type Received]]=2,"CC",(IF(Table3[[#This Row],[Type Received]]=3,"BILL","ACH")))</f>
        <v>ACH</v>
      </c>
      <c r="F464" s="35">
        <v>96.18</v>
      </c>
      <c r="G464" s="14" t="str">
        <f>VLOOKUP(D464,Table4[],3,FALSE)</f>
        <v>2</v>
      </c>
      <c r="H464" s="15">
        <v>2893</v>
      </c>
      <c r="I464" s="15"/>
      <c r="J464" s="24"/>
      <c r="K464" s="15"/>
      <c r="L464" s="15"/>
      <c r="M464" s="15" t="s">
        <v>29</v>
      </c>
    </row>
    <row r="465" spans="1:13" x14ac:dyDescent="0.25">
      <c r="A465" s="23">
        <f t="shared" si="25"/>
        <v>257958</v>
      </c>
      <c r="B465" s="14" t="str">
        <f t="shared" si="24"/>
        <v>Credit Cards (UMB) - Credits</v>
      </c>
      <c r="C465" s="37">
        <v>46145</v>
      </c>
      <c r="D465" s="31">
        <v>257958</v>
      </c>
      <c r="E465" s="33" t="str">
        <f>IF(Table3[[#This Row],[Type Received]]=2,"CC",(IF(Table3[[#This Row],[Type Received]]=3,"BILL","ACH")))</f>
        <v>CC</v>
      </c>
      <c r="F465" s="32">
        <v>166.45</v>
      </c>
      <c r="G465" s="14" t="str">
        <f>VLOOKUP(D465,Table4[],3,FALSE)</f>
        <v>2</v>
      </c>
      <c r="H465" s="15"/>
      <c r="I465" s="15"/>
      <c r="J465" s="15" t="s">
        <v>113</v>
      </c>
      <c r="K465" s="15">
        <v>546399847</v>
      </c>
      <c r="L465" s="15" t="s">
        <v>29</v>
      </c>
      <c r="M465" s="15" t="s">
        <v>29</v>
      </c>
    </row>
    <row r="466" spans="1:13" x14ac:dyDescent="0.25">
      <c r="A466" s="23">
        <f t="shared" si="25"/>
        <v>257961</v>
      </c>
      <c r="B466" s="14" t="str">
        <f t="shared" si="24"/>
        <v>Direct Debit (UMB Bank) - Credits</v>
      </c>
      <c r="C466" s="38">
        <v>46157</v>
      </c>
      <c r="D466" s="34">
        <v>257961</v>
      </c>
      <c r="E466" s="36" t="str">
        <f>IF(Table3[[#This Row],[Type Received]]=2,"CC",(IF(Table3[[#This Row],[Type Received]]=3,"BILL","ACH")))</f>
        <v>ACH</v>
      </c>
      <c r="F466" s="35">
        <v>136.75</v>
      </c>
      <c r="G466" s="14" t="str">
        <f>VLOOKUP(D466,Table4[],3,FALSE)</f>
        <v>2</v>
      </c>
      <c r="H466" s="15"/>
      <c r="I466" s="15">
        <v>96821</v>
      </c>
      <c r="J466" s="15" t="s">
        <v>28</v>
      </c>
      <c r="K466" s="15">
        <v>696633675</v>
      </c>
      <c r="L466" s="15" t="s">
        <v>29</v>
      </c>
      <c r="M466" s="15" t="s">
        <v>29</v>
      </c>
    </row>
    <row r="467" spans="1:13" x14ac:dyDescent="0.25">
      <c r="A467" s="23">
        <f t="shared" si="25"/>
        <v>257967</v>
      </c>
      <c r="B467" s="14" t="str">
        <f t="shared" si="24"/>
        <v>Direct Debit (UMB Bank) - Credits</v>
      </c>
      <c r="C467" s="37">
        <v>46169</v>
      </c>
      <c r="D467" s="31">
        <v>257967</v>
      </c>
      <c r="E467" s="33" t="str">
        <f>IF(Table3[[#This Row],[Type Received]]=2,"CC",(IF(Table3[[#This Row],[Type Received]]=3,"BILL","ACH")))</f>
        <v>ACH</v>
      </c>
      <c r="F467" s="32">
        <v>51.83</v>
      </c>
      <c r="G467" s="14" t="str">
        <f>VLOOKUP(D467,Table4[],3,FALSE)</f>
        <v>1</v>
      </c>
      <c r="H467" s="15"/>
      <c r="I467" s="15"/>
      <c r="J467" s="15" t="s">
        <v>117</v>
      </c>
      <c r="K467" s="15">
        <v>840822788</v>
      </c>
      <c r="L467" s="15" t="s">
        <v>29</v>
      </c>
      <c r="M467" s="15"/>
    </row>
    <row r="468" spans="1:13" x14ac:dyDescent="0.25">
      <c r="A468" s="23">
        <f t="shared" si="25"/>
        <v>257968</v>
      </c>
      <c r="B468" s="14" t="str">
        <f t="shared" si="24"/>
        <v>Direct Debit (UMB Bank) - Credits</v>
      </c>
      <c r="C468" s="38">
        <v>46169</v>
      </c>
      <c r="D468" s="34">
        <v>257968</v>
      </c>
      <c r="E468" s="36" t="str">
        <f>IF(Table3[[#This Row],[Type Received]]=2,"CC",(IF(Table3[[#This Row],[Type Received]]=3,"BILL","ACH")))</f>
        <v>ACH</v>
      </c>
      <c r="F468" s="35">
        <v>43.03</v>
      </c>
      <c r="G468" s="14" t="str">
        <f>VLOOKUP(D468,Table4[],3,FALSE)</f>
        <v>1</v>
      </c>
      <c r="H468" s="15"/>
      <c r="I468" s="15"/>
      <c r="J468" s="24" t="s">
        <v>117</v>
      </c>
      <c r="K468" s="15">
        <v>840817952</v>
      </c>
      <c r="L468" s="15" t="s">
        <v>29</v>
      </c>
      <c r="M468" s="15" t="s">
        <v>29</v>
      </c>
    </row>
    <row r="469" spans="1:13" x14ac:dyDescent="0.25">
      <c r="A469" s="23">
        <f t="shared" si="25"/>
        <v>257980</v>
      </c>
      <c r="B469" s="14" t="str">
        <f t="shared" si="24"/>
        <v>Direct Debit (UMB Bank) - Credits</v>
      </c>
      <c r="C469" s="37">
        <v>46145</v>
      </c>
      <c r="D469" s="31">
        <v>257980</v>
      </c>
      <c r="E469" s="33" t="str">
        <f>IF(Table3[[#This Row],[Type Received]]=2,"CC",(IF(Table3[[#This Row],[Type Received]]=3,"BILL","ACH")))</f>
        <v>ACH</v>
      </c>
      <c r="F469" s="32">
        <v>67.45</v>
      </c>
      <c r="G469" s="14" t="str">
        <f>VLOOKUP(D469,Table4[],3,FALSE)</f>
        <v>2</v>
      </c>
      <c r="H469" s="15"/>
      <c r="I469" s="15"/>
      <c r="J469" s="15" t="s">
        <v>113</v>
      </c>
      <c r="K469" s="15">
        <v>546418352</v>
      </c>
      <c r="L469" s="15" t="s">
        <v>29</v>
      </c>
      <c r="M469" s="15" t="s">
        <v>29</v>
      </c>
    </row>
    <row r="470" spans="1:13" x14ac:dyDescent="0.25">
      <c r="A470" s="23">
        <f t="shared" si="25"/>
        <v>257992</v>
      </c>
      <c r="B470" s="14" t="str">
        <f t="shared" si="24"/>
        <v>Credit Cards (UMB) - Credits</v>
      </c>
      <c r="C470" s="38">
        <v>46145</v>
      </c>
      <c r="D470" s="34">
        <v>257992</v>
      </c>
      <c r="E470" s="36" t="str">
        <f>IF(Table3[[#This Row],[Type Received]]=2,"CC",(IF(Table3[[#This Row],[Type Received]]=3,"BILL","ACH")))</f>
        <v>CC</v>
      </c>
      <c r="F470" s="35">
        <v>101.77</v>
      </c>
      <c r="G470" s="14" t="str">
        <f>VLOOKUP(D470,Table4[],3,FALSE)</f>
        <v>2</v>
      </c>
      <c r="H470" s="15"/>
      <c r="I470" s="15"/>
      <c r="J470" s="24" t="s">
        <v>113</v>
      </c>
      <c r="K470" s="15">
        <v>546396037</v>
      </c>
      <c r="L470" s="15" t="s">
        <v>29</v>
      </c>
      <c r="M470" s="15"/>
    </row>
    <row r="471" spans="1:13" x14ac:dyDescent="0.25">
      <c r="A471" s="23">
        <f t="shared" si="25"/>
        <v>257997</v>
      </c>
      <c r="B471" s="14" t="str">
        <f t="shared" si="24"/>
        <v>Direct Debit (UMB Bank) - Credits</v>
      </c>
      <c r="C471" s="37">
        <v>46155</v>
      </c>
      <c r="D471" s="31">
        <v>257997</v>
      </c>
      <c r="E471" s="33" t="str">
        <f>IF(Table3[[#This Row],[Type Received]]=2,"CC",(IF(Table3[[#This Row],[Type Received]]=3,"BILL","ACH")))</f>
        <v>ACH</v>
      </c>
      <c r="F471" s="32">
        <v>69.650000000000006</v>
      </c>
      <c r="G471" s="14" t="str">
        <f>VLOOKUP(D471,Table4[],3,FALSE)</f>
        <v>1</v>
      </c>
      <c r="H471" s="15"/>
      <c r="I471" s="15" t="s">
        <v>121</v>
      </c>
      <c r="J471" s="15" t="s">
        <v>28</v>
      </c>
      <c r="K471" s="15">
        <v>669454213</v>
      </c>
      <c r="L471" s="15" t="s">
        <v>29</v>
      </c>
      <c r="M471" s="15" t="s">
        <v>29</v>
      </c>
    </row>
    <row r="472" spans="1:13" x14ac:dyDescent="0.25">
      <c r="A472" s="23">
        <f t="shared" si="25"/>
        <v>257999</v>
      </c>
      <c r="B472" s="14" t="str">
        <f t="shared" si="24"/>
        <v>Credit Cards (UMB) - Credits</v>
      </c>
      <c r="C472" s="38">
        <v>46145</v>
      </c>
      <c r="D472" s="34">
        <v>257999</v>
      </c>
      <c r="E472" s="36" t="str">
        <f>IF(Table3[[#This Row],[Type Received]]=2,"CC",(IF(Table3[[#This Row],[Type Received]]=3,"BILL","ACH")))</f>
        <v>CC</v>
      </c>
      <c r="F472" s="35">
        <v>52.93</v>
      </c>
      <c r="G472" s="14" t="str">
        <f>VLOOKUP(D472,Table4[],3,FALSE)</f>
        <v>2</v>
      </c>
      <c r="H472" s="15"/>
      <c r="I472" s="15"/>
      <c r="J472" s="15" t="s">
        <v>113</v>
      </c>
      <c r="K472" s="15">
        <v>546414498</v>
      </c>
      <c r="L472" s="15" t="s">
        <v>29</v>
      </c>
      <c r="M472" s="15" t="s">
        <v>29</v>
      </c>
    </row>
    <row r="473" spans="1:13" x14ac:dyDescent="0.25">
      <c r="A473" s="23">
        <f t="shared" si="25"/>
        <v>258007</v>
      </c>
      <c r="B473" s="14" t="str">
        <f t="shared" si="24"/>
        <v>Direct Debit (UMB Bank) - Credits</v>
      </c>
      <c r="C473" s="37">
        <v>46145</v>
      </c>
      <c r="D473" s="31">
        <v>258007</v>
      </c>
      <c r="E473" s="33" t="str">
        <f>IF(Table3[[#This Row],[Type Received]]=2,"CC",(IF(Table3[[#This Row],[Type Received]]=3,"BILL","ACH")))</f>
        <v>ACH</v>
      </c>
      <c r="F473" s="32">
        <v>116.29</v>
      </c>
      <c r="G473" s="14" t="str">
        <f>VLOOKUP(D473,Table4[],3,FALSE)</f>
        <v>2</v>
      </c>
      <c r="H473" s="15"/>
      <c r="I473" s="15">
        <v>530</v>
      </c>
      <c r="J473" s="15" t="s">
        <v>28</v>
      </c>
      <c r="K473" s="15">
        <v>546422555</v>
      </c>
      <c r="L473" s="15" t="s">
        <v>29</v>
      </c>
      <c r="M473" s="15" t="s">
        <v>29</v>
      </c>
    </row>
    <row r="474" spans="1:13" x14ac:dyDescent="0.25">
      <c r="A474" s="23">
        <f t="shared" si="25"/>
        <v>258009</v>
      </c>
      <c r="B474" s="14" t="str">
        <f t="shared" si="24"/>
        <v>Direct Debit (UMB Bank) - Credits</v>
      </c>
      <c r="C474" s="38">
        <v>46169</v>
      </c>
      <c r="D474" s="34">
        <v>258009</v>
      </c>
      <c r="E474" s="36" t="str">
        <f>IF(Table3[[#This Row],[Type Received]]=2,"CC",(IF(Table3[[#This Row],[Type Received]]=3,"BILL","ACH")))</f>
        <v>ACH</v>
      </c>
      <c r="F474" s="35">
        <v>29.5</v>
      </c>
      <c r="G474" s="14" t="str">
        <f>VLOOKUP(D474,Table4[],3,FALSE)</f>
        <v>2</v>
      </c>
      <c r="H474" s="15"/>
      <c r="I474" s="15"/>
      <c r="J474" s="15" t="s">
        <v>117</v>
      </c>
      <c r="K474" s="15">
        <v>840841313</v>
      </c>
      <c r="L474" s="15" t="s">
        <v>29</v>
      </c>
      <c r="M474" s="15" t="s">
        <v>29</v>
      </c>
    </row>
    <row r="475" spans="1:13" x14ac:dyDescent="0.25">
      <c r="A475" s="23">
        <f t="shared" si="25"/>
        <v>258011</v>
      </c>
      <c r="B475" s="14" t="str">
        <f t="shared" si="24"/>
        <v>Credit Cards (UMB) - Credits</v>
      </c>
      <c r="C475" s="37">
        <v>46157</v>
      </c>
      <c r="D475" s="31">
        <v>258011</v>
      </c>
      <c r="E475" s="33" t="str">
        <f>IF(Table3[[#This Row],[Type Received]]=2,"CC",(IF(Table3[[#This Row],[Type Received]]=3,"BILL","ACH")))</f>
        <v>CC</v>
      </c>
      <c r="F475" s="32">
        <v>80.319999999999993</v>
      </c>
      <c r="G475" s="14" t="str">
        <f>VLOOKUP(D475,Table4[],3,FALSE)</f>
        <v>2</v>
      </c>
      <c r="H475" s="15"/>
      <c r="I475" s="15"/>
      <c r="J475" s="15" t="s">
        <v>87</v>
      </c>
      <c r="K475" s="15">
        <v>696652812</v>
      </c>
      <c r="L475" s="15" t="s">
        <v>29</v>
      </c>
      <c r="M475" s="15" t="s">
        <v>29</v>
      </c>
    </row>
    <row r="476" spans="1:13" x14ac:dyDescent="0.25">
      <c r="A476" s="23">
        <f t="shared" si="25"/>
        <v>258012</v>
      </c>
      <c r="B476" s="14" t="str">
        <f t="shared" si="24"/>
        <v>Credit Cards (UMB) - Credits</v>
      </c>
      <c r="C476" s="38">
        <v>46160</v>
      </c>
      <c r="D476" s="34">
        <v>258012</v>
      </c>
      <c r="E476" s="36" t="str">
        <f>IF(Table3[[#This Row],[Type Received]]=2,"CC",(IF(Table3[[#This Row],[Type Received]]=3,"BILL","ACH")))</f>
        <v>CC</v>
      </c>
      <c r="F476" s="35">
        <v>95.85</v>
      </c>
      <c r="G476" s="14" t="str">
        <f>VLOOKUP(D476,Table4[],3,FALSE)</f>
        <v>1</v>
      </c>
      <c r="H476" s="15"/>
      <c r="I476" s="15">
        <v>56604</v>
      </c>
      <c r="J476" s="15" t="s">
        <v>28</v>
      </c>
      <c r="K476" s="15">
        <v>738891833</v>
      </c>
      <c r="L476" s="15" t="s">
        <v>29</v>
      </c>
      <c r="M476" s="15" t="s">
        <v>29</v>
      </c>
    </row>
    <row r="477" spans="1:13" x14ac:dyDescent="0.25">
      <c r="A477" s="23">
        <f t="shared" si="25"/>
        <v>258016</v>
      </c>
      <c r="B477" s="14" t="str">
        <f t="shared" si="24"/>
        <v>Direct Debit (UMB Bank) - Credits</v>
      </c>
      <c r="C477" s="37">
        <v>46155</v>
      </c>
      <c r="D477" s="31">
        <v>258016</v>
      </c>
      <c r="E477" s="33" t="str">
        <f>IF(Table3[[#This Row],[Type Received]]=2,"CC",(IF(Table3[[#This Row],[Type Received]]=3,"BILL","ACH")))</f>
        <v>ACH</v>
      </c>
      <c r="F477" s="32">
        <v>35.11</v>
      </c>
      <c r="G477" s="14" t="str">
        <f>VLOOKUP(D477,Table4[],3,FALSE)</f>
        <v>2</v>
      </c>
      <c r="H477" s="15"/>
      <c r="I477" s="15" t="s">
        <v>122</v>
      </c>
      <c r="J477" s="15" t="s">
        <v>28</v>
      </c>
      <c r="K477" s="15">
        <v>669441810</v>
      </c>
      <c r="L477" s="15" t="s">
        <v>29</v>
      </c>
      <c r="M477" s="15" t="s">
        <v>29</v>
      </c>
    </row>
    <row r="478" spans="1:13" x14ac:dyDescent="0.25">
      <c r="A478" s="23">
        <f t="shared" si="25"/>
        <v>258018</v>
      </c>
      <c r="B478" s="14" t="str">
        <f t="shared" si="24"/>
        <v>Direct Debit (UMB Bank) - Credits</v>
      </c>
      <c r="C478" s="38">
        <v>46145</v>
      </c>
      <c r="D478" s="34">
        <v>258018</v>
      </c>
      <c r="E478" s="36" t="str">
        <f>IF(Table3[[#This Row],[Type Received]]=2,"CC",(IF(Table3[[#This Row],[Type Received]]=3,"BILL","ACH")))</f>
        <v>ACH</v>
      </c>
      <c r="F478" s="35">
        <v>83.95</v>
      </c>
      <c r="G478" s="14" t="str">
        <f>VLOOKUP(D478,Table4[],3,FALSE)</f>
        <v>2</v>
      </c>
      <c r="H478" s="15"/>
      <c r="I478" s="15"/>
      <c r="J478" s="24" t="s">
        <v>113</v>
      </c>
      <c r="K478" s="15">
        <v>546411526</v>
      </c>
      <c r="L478" s="15" t="s">
        <v>29</v>
      </c>
      <c r="M478" s="15"/>
    </row>
    <row r="479" spans="1:13" x14ac:dyDescent="0.25">
      <c r="A479" s="23">
        <f t="shared" si="25"/>
        <v>258021</v>
      </c>
      <c r="B479" s="14" t="str">
        <f t="shared" si="24"/>
        <v>Direct Debit (UMB Bank) - Credits</v>
      </c>
      <c r="C479" s="37">
        <v>46145</v>
      </c>
      <c r="D479" s="31">
        <v>258021</v>
      </c>
      <c r="E479" s="33" t="str">
        <f>IF(Table3[[#This Row],[Type Received]]=2,"CC",(IF(Table3[[#This Row],[Type Received]]=3,"BILL","ACH")))</f>
        <v>ACH</v>
      </c>
      <c r="F479" s="32">
        <v>46.55</v>
      </c>
      <c r="G479" s="14" t="str">
        <f>VLOOKUP(D479,Table4[],3,FALSE)</f>
        <v>1</v>
      </c>
      <c r="H479" s="15"/>
      <c r="I479" s="15"/>
      <c r="J479" s="15" t="s">
        <v>113</v>
      </c>
      <c r="K479" s="15">
        <v>546410544</v>
      </c>
      <c r="L479" s="15" t="s">
        <v>29</v>
      </c>
      <c r="M479" s="15"/>
    </row>
    <row r="480" spans="1:13" x14ac:dyDescent="0.25">
      <c r="A480" s="23">
        <f t="shared" si="25"/>
        <v>258022</v>
      </c>
      <c r="B480" s="14" t="str">
        <f t="shared" si="24"/>
        <v>Direct Debit (UMB Bank) - Credits</v>
      </c>
      <c r="C480" s="38">
        <v>46157</v>
      </c>
      <c r="D480" s="34">
        <v>258022</v>
      </c>
      <c r="E480" s="36" t="str">
        <f>IF(Table3[[#This Row],[Type Received]]=2,"CC",(IF(Table3[[#This Row],[Type Received]]=3,"BILL","ACH")))</f>
        <v>ACH</v>
      </c>
      <c r="F480" s="35">
        <v>58.54</v>
      </c>
      <c r="G480" s="14" t="str">
        <f>VLOOKUP(D480,Table4[],3,FALSE)</f>
        <v>2</v>
      </c>
      <c r="H480" s="15"/>
      <c r="I480" s="15"/>
      <c r="J480" s="15" t="s">
        <v>87</v>
      </c>
      <c r="K480" s="15">
        <v>696627821</v>
      </c>
      <c r="L480" s="15" t="s">
        <v>29</v>
      </c>
      <c r="M480" s="15" t="s">
        <v>29</v>
      </c>
    </row>
    <row r="481" spans="1:13" x14ac:dyDescent="0.25">
      <c r="A481" s="23">
        <f t="shared" si="25"/>
        <v>258023</v>
      </c>
      <c r="B481" s="14" t="str">
        <f t="shared" si="24"/>
        <v>Direct Debit (UMB Bank) - Credits</v>
      </c>
      <c r="C481" s="37">
        <v>46157</v>
      </c>
      <c r="D481" s="31">
        <v>258023</v>
      </c>
      <c r="E481" s="33" t="str">
        <f>IF(Table3[[#This Row],[Type Received]]=2,"CC",(IF(Table3[[#This Row],[Type Received]]=3,"BILL","ACH")))</f>
        <v>ACH</v>
      </c>
      <c r="F481" s="32">
        <v>119.81</v>
      </c>
      <c r="G481" s="14" t="str">
        <f>VLOOKUP(D481,Table4[],3,FALSE)</f>
        <v>1</v>
      </c>
      <c r="H481" s="15"/>
      <c r="I481" s="15"/>
      <c r="J481" s="15" t="s">
        <v>87</v>
      </c>
      <c r="K481" s="15">
        <v>696648245</v>
      </c>
      <c r="L481" s="15" t="s">
        <v>29</v>
      </c>
      <c r="M481" s="15" t="s">
        <v>29</v>
      </c>
    </row>
    <row r="482" spans="1:13" x14ac:dyDescent="0.25">
      <c r="A482" s="23">
        <f t="shared" si="25"/>
        <v>258026</v>
      </c>
      <c r="B482" s="14" t="str">
        <f t="shared" si="24"/>
        <v>Direct Debit (UMB Bank) - Credits</v>
      </c>
      <c r="C482" s="38">
        <v>46157</v>
      </c>
      <c r="D482" s="34">
        <v>258026</v>
      </c>
      <c r="E482" s="36" t="str">
        <f>IF(Table3[[#This Row],[Type Received]]=2,"CC",(IF(Table3[[#This Row],[Type Received]]=3,"BILL","ACH")))</f>
        <v>ACH</v>
      </c>
      <c r="F482" s="35">
        <v>39.729999999999997</v>
      </c>
      <c r="G482" s="14" t="str">
        <f>VLOOKUP(D482,Table4[],3,FALSE)</f>
        <v>1</v>
      </c>
      <c r="H482" s="15"/>
      <c r="I482" s="15"/>
      <c r="J482" s="15" t="s">
        <v>87</v>
      </c>
      <c r="K482" s="15">
        <v>696647243</v>
      </c>
      <c r="L482" s="15" t="s">
        <v>29</v>
      </c>
      <c r="M482" s="15"/>
    </row>
    <row r="483" spans="1:13" x14ac:dyDescent="0.25">
      <c r="A483" s="23">
        <f t="shared" si="25"/>
        <v>258028</v>
      </c>
      <c r="B483" s="14" t="str">
        <f t="shared" si="24"/>
        <v>Billing - Credits (from TPA)</v>
      </c>
      <c r="C483" s="37">
        <v>46169</v>
      </c>
      <c r="D483" s="31">
        <v>258028</v>
      </c>
      <c r="E483" s="33" t="str">
        <f>IF(Table3[[#This Row],[Type Received]]=2,"CC",(IF(Table3[[#This Row],[Type Received]]=3,"BILL","ACH")))</f>
        <v>BILL</v>
      </c>
      <c r="F483" s="32">
        <v>126.85</v>
      </c>
      <c r="G483" s="14" t="str">
        <f>VLOOKUP(D483,Table4[],3,FALSE)</f>
        <v>2</v>
      </c>
      <c r="H483" s="15"/>
      <c r="I483" s="15"/>
      <c r="J483" s="15" t="s">
        <v>117</v>
      </c>
      <c r="K483" s="15">
        <v>840828721</v>
      </c>
      <c r="L483" s="15" t="s">
        <v>29</v>
      </c>
      <c r="M483" s="15" t="s">
        <v>29</v>
      </c>
    </row>
    <row r="484" spans="1:13" x14ac:dyDescent="0.25">
      <c r="A484" s="23">
        <f t="shared" si="25"/>
        <v>258043</v>
      </c>
      <c r="B484" s="14" t="str">
        <f t="shared" si="24"/>
        <v>Direct Debit (UMB Bank) - Credits</v>
      </c>
      <c r="C484" s="38">
        <v>46153</v>
      </c>
      <c r="D484" s="34">
        <v>258043</v>
      </c>
      <c r="E484" s="36" t="str">
        <f>IF(Table3[[#This Row],[Type Received]]=2,"CC",(IF(Table3[[#This Row],[Type Received]]=3,"BILL","ACH")))</f>
        <v>ACH</v>
      </c>
      <c r="F484" s="35">
        <v>91.45</v>
      </c>
      <c r="G484" s="14" t="str">
        <f>VLOOKUP(D484,Table4[],3,FALSE)</f>
        <v>1</v>
      </c>
      <c r="H484" s="15">
        <v>379</v>
      </c>
      <c r="I484" s="15"/>
      <c r="J484" s="15"/>
      <c r="K484" s="15"/>
      <c r="L484" s="15"/>
      <c r="M484" s="15" t="s">
        <v>29</v>
      </c>
    </row>
    <row r="485" spans="1:13" x14ac:dyDescent="0.25">
      <c r="A485" s="23">
        <f t="shared" si="25"/>
        <v>258052</v>
      </c>
      <c r="B485" s="14" t="str">
        <f t="shared" si="24"/>
        <v>Billing - Credits (from TPA)</v>
      </c>
      <c r="C485" s="37">
        <v>46153</v>
      </c>
      <c r="D485" s="31">
        <v>258052</v>
      </c>
      <c r="E485" s="33" t="str">
        <f>IF(Table3[[#This Row],[Type Received]]=2,"CC",(IF(Table3[[#This Row],[Type Received]]=3,"BILL","ACH")))</f>
        <v>BILL</v>
      </c>
      <c r="F485" s="32">
        <v>73.61</v>
      </c>
      <c r="G485" s="14" t="str">
        <f>VLOOKUP(D485,Table4[],3,FALSE)</f>
        <v>1</v>
      </c>
      <c r="H485" s="15"/>
      <c r="I485" s="15"/>
      <c r="J485" s="15" t="s">
        <v>123</v>
      </c>
      <c r="K485" s="15">
        <v>644692116</v>
      </c>
      <c r="L485" s="15" t="s">
        <v>29</v>
      </c>
      <c r="M485" s="15" t="s">
        <v>29</v>
      </c>
    </row>
    <row r="486" spans="1:13" x14ac:dyDescent="0.25">
      <c r="A486" s="23">
        <f t="shared" si="25"/>
        <v>258057</v>
      </c>
      <c r="B486" s="14" t="str">
        <f t="shared" si="24"/>
        <v>Direct Debit (UMB Bank) - Credits</v>
      </c>
      <c r="C486" s="38">
        <v>46163</v>
      </c>
      <c r="D486" s="34">
        <v>258057</v>
      </c>
      <c r="E486" s="36" t="str">
        <f>IF(Table3[[#This Row],[Type Received]]=2,"CC",(IF(Table3[[#This Row],[Type Received]]=3,"BILL","ACH")))</f>
        <v>ACH</v>
      </c>
      <c r="F486" s="35">
        <v>46.35</v>
      </c>
      <c r="G486" s="14" t="str">
        <f>VLOOKUP(D486,Table4[],3,FALSE)</f>
        <v>1</v>
      </c>
      <c r="H486" s="15">
        <v>58831038</v>
      </c>
      <c r="I486" s="15"/>
      <c r="J486" s="15"/>
      <c r="K486" s="15"/>
      <c r="L486" s="15"/>
      <c r="M486" s="15" t="s">
        <v>29</v>
      </c>
    </row>
    <row r="487" spans="1:13" x14ac:dyDescent="0.25">
      <c r="A487" s="23">
        <f t="shared" si="25"/>
        <v>258060</v>
      </c>
      <c r="B487" s="14" t="str">
        <f t="shared" si="24"/>
        <v>Direct Debit (UMB Bank) - Credits</v>
      </c>
      <c r="C487" s="37">
        <v>46157</v>
      </c>
      <c r="D487" s="31">
        <v>258060</v>
      </c>
      <c r="E487" s="33" t="str">
        <f>IF(Table3[[#This Row],[Type Received]]=2,"CC",(IF(Table3[[#This Row],[Type Received]]=3,"BILL","ACH")))</f>
        <v>ACH</v>
      </c>
      <c r="F487" s="32">
        <v>32.25</v>
      </c>
      <c r="G487" s="14" t="str">
        <f>VLOOKUP(D487,Table4[],3,FALSE)</f>
        <v>1</v>
      </c>
      <c r="H487" s="15"/>
      <c r="I487" s="15"/>
      <c r="J487" s="15" t="s">
        <v>87</v>
      </c>
      <c r="K487" s="15">
        <v>696645329</v>
      </c>
      <c r="L487" s="15" t="s">
        <v>29</v>
      </c>
      <c r="M487" s="15" t="s">
        <v>29</v>
      </c>
    </row>
    <row r="488" spans="1:13" x14ac:dyDescent="0.25">
      <c r="A488" s="23">
        <f t="shared" si="25"/>
        <v>258061</v>
      </c>
      <c r="B488" s="14" t="str">
        <f t="shared" si="24"/>
        <v>Credit Cards (UMB) - Credits</v>
      </c>
      <c r="C488" s="38">
        <v>46157</v>
      </c>
      <c r="D488" s="34">
        <v>258061</v>
      </c>
      <c r="E488" s="36" t="str">
        <f>IF(Table3[[#This Row],[Type Received]]=2,"CC",(IF(Table3[[#This Row],[Type Received]]=3,"BILL","ACH")))</f>
        <v>CC</v>
      </c>
      <c r="F488" s="35">
        <v>34.450000000000003</v>
      </c>
      <c r="G488" s="14" t="str">
        <f>VLOOKUP(D488,Table4[],3,FALSE)</f>
        <v>1</v>
      </c>
      <c r="H488" s="15"/>
      <c r="I488" s="15"/>
      <c r="J488" s="15" t="s">
        <v>87</v>
      </c>
      <c r="K488" s="15">
        <v>696641526</v>
      </c>
      <c r="L488" s="15" t="s">
        <v>29</v>
      </c>
      <c r="M488" s="15" t="s">
        <v>29</v>
      </c>
    </row>
    <row r="489" spans="1:13" x14ac:dyDescent="0.25">
      <c r="A489" s="23">
        <f t="shared" si="25"/>
        <v>258062</v>
      </c>
      <c r="B489" s="14" t="str">
        <f t="shared" si="24"/>
        <v>Direct Debit (UMB Bank) - Credits</v>
      </c>
      <c r="C489" s="37">
        <v>46169</v>
      </c>
      <c r="D489" s="31">
        <v>258062</v>
      </c>
      <c r="E489" s="33" t="str">
        <f>IF(Table3[[#This Row],[Type Received]]=2,"CC",(IF(Table3[[#This Row],[Type Received]]=3,"BILL","ACH")))</f>
        <v>ACH</v>
      </c>
      <c r="F489" s="32">
        <v>95.5</v>
      </c>
      <c r="G489" s="14" t="str">
        <f>VLOOKUP(D489,Table4[],3,FALSE)</f>
        <v>2</v>
      </c>
      <c r="H489" s="15"/>
      <c r="I489" s="15" t="s">
        <v>124</v>
      </c>
      <c r="J489" s="24" t="s">
        <v>28</v>
      </c>
      <c r="K489" s="15">
        <v>840827780</v>
      </c>
      <c r="L489" s="15" t="s">
        <v>29</v>
      </c>
      <c r="M489" s="15" t="s">
        <v>29</v>
      </c>
    </row>
    <row r="490" spans="1:13" x14ac:dyDescent="0.25">
      <c r="A490" s="23">
        <f t="shared" si="25"/>
        <v>258063</v>
      </c>
      <c r="B490" s="14" t="str">
        <f t="shared" si="24"/>
        <v>Billing - Credits (from TPA)</v>
      </c>
      <c r="C490" s="38">
        <v>46169</v>
      </c>
      <c r="D490" s="34">
        <v>258063</v>
      </c>
      <c r="E490" s="36" t="str">
        <f>IF(Table3[[#This Row],[Type Received]]=2,"CC",(IF(Table3[[#This Row],[Type Received]]=3,"BILL","ACH")))</f>
        <v>BILL</v>
      </c>
      <c r="F490" s="35">
        <v>37.090000000000003</v>
      </c>
      <c r="G490" s="14" t="str">
        <f>VLOOKUP(D490,Table4[],3,FALSE)</f>
        <v>1</v>
      </c>
      <c r="H490" s="15"/>
      <c r="I490" s="15"/>
      <c r="J490" s="15" t="s">
        <v>117</v>
      </c>
      <c r="K490" s="15">
        <v>840822861</v>
      </c>
      <c r="L490" s="15" t="s">
        <v>29</v>
      </c>
      <c r="M490" s="15"/>
    </row>
    <row r="491" spans="1:13" x14ac:dyDescent="0.25">
      <c r="A491" s="23">
        <f t="shared" si="25"/>
        <v>258067</v>
      </c>
      <c r="B491" s="14" t="str">
        <f t="shared" si="24"/>
        <v>Credit Cards (UMB) - Credits</v>
      </c>
      <c r="C491" s="37">
        <v>46143</v>
      </c>
      <c r="D491" s="31">
        <v>258067</v>
      </c>
      <c r="E491" s="33" t="str">
        <f>IF(Table3[[#This Row],[Type Received]]=2,"CC",(IF(Table3[[#This Row],[Type Received]]=3,"BILL","ACH")))</f>
        <v>CC</v>
      </c>
      <c r="F491" s="32">
        <v>132.1</v>
      </c>
      <c r="G491" s="14" t="str">
        <f>VLOOKUP(D491,Table4[],3,FALSE)</f>
        <v>2</v>
      </c>
      <c r="H491" s="15">
        <v>6296</v>
      </c>
      <c r="I491" s="15"/>
      <c r="J491" s="15"/>
      <c r="K491" s="15"/>
      <c r="L491" s="15"/>
      <c r="M491" s="15"/>
    </row>
    <row r="492" spans="1:13" x14ac:dyDescent="0.25">
      <c r="A492" s="23">
        <f t="shared" si="25"/>
        <v>258070</v>
      </c>
      <c r="B492" s="14" t="str">
        <f t="shared" si="24"/>
        <v>Direct Debit (UMB Bank) - Credits</v>
      </c>
      <c r="C492" s="38">
        <v>46144</v>
      </c>
      <c r="D492" s="34">
        <v>258070</v>
      </c>
      <c r="E492" s="36" t="str">
        <f>IF(Table3[[#This Row],[Type Received]]=2,"CC",(IF(Table3[[#This Row],[Type Received]]=3,"BILL","ACH")))</f>
        <v>ACH</v>
      </c>
      <c r="F492" s="35">
        <v>98.16</v>
      </c>
      <c r="G492" s="14" t="str">
        <f>VLOOKUP(D492,Table4[],3,FALSE)</f>
        <v>2</v>
      </c>
      <c r="H492" s="15"/>
      <c r="I492" s="15" t="s">
        <v>125</v>
      </c>
      <c r="J492" s="15">
        <v>741651752</v>
      </c>
      <c r="K492" s="15">
        <v>353227033</v>
      </c>
      <c r="L492" s="15"/>
      <c r="M492" s="15" t="s">
        <v>29</v>
      </c>
    </row>
    <row r="493" spans="1:13" x14ac:dyDescent="0.25">
      <c r="A493" s="23">
        <f t="shared" si="25"/>
        <v>258076</v>
      </c>
      <c r="B493" s="14" t="str">
        <f t="shared" si="24"/>
        <v>Direct Debit (UMB Bank) - Credits</v>
      </c>
      <c r="C493" s="37">
        <v>46167</v>
      </c>
      <c r="D493" s="31">
        <v>258076</v>
      </c>
      <c r="E493" s="33" t="str">
        <f>IF(Table3[[#This Row],[Type Received]]=2,"CC",(IF(Table3[[#This Row],[Type Received]]=3,"BILL","ACH")))</f>
        <v>ACH</v>
      </c>
      <c r="F493" s="32">
        <v>66.569999999999993</v>
      </c>
      <c r="G493" s="14" t="str">
        <f>VLOOKUP(D493,Table4[],3,FALSE)</f>
        <v>1</v>
      </c>
      <c r="H493" s="15"/>
      <c r="I493" s="15"/>
      <c r="J493" s="15" t="s">
        <v>85</v>
      </c>
      <c r="K493" s="15">
        <v>818315804</v>
      </c>
      <c r="L493" s="15" t="s">
        <v>29</v>
      </c>
      <c r="M493" s="15"/>
    </row>
    <row r="494" spans="1:13" x14ac:dyDescent="0.25">
      <c r="A494" s="23">
        <f t="shared" si="25"/>
        <v>258077</v>
      </c>
      <c r="B494" s="14" t="str">
        <f t="shared" si="24"/>
        <v>Billing - Credits (from TPA)</v>
      </c>
      <c r="C494" s="38">
        <v>46145</v>
      </c>
      <c r="D494" s="34">
        <v>258077</v>
      </c>
      <c r="E494" s="36" t="str">
        <f>IF(Table3[[#This Row],[Type Received]]=2,"CC",(IF(Table3[[#This Row],[Type Received]]=3,"BILL","ACH")))</f>
        <v>BILL</v>
      </c>
      <c r="F494" s="35">
        <v>135.1</v>
      </c>
      <c r="G494" s="14" t="str">
        <f>VLOOKUP(D494,Table4[],3,FALSE)</f>
        <v>2</v>
      </c>
      <c r="H494" s="15"/>
      <c r="I494" s="15"/>
      <c r="J494" s="15" t="s">
        <v>113</v>
      </c>
      <c r="K494" s="15">
        <v>546400891</v>
      </c>
      <c r="L494" s="15" t="s">
        <v>29</v>
      </c>
      <c r="M494" s="15"/>
    </row>
    <row r="495" spans="1:13" x14ac:dyDescent="0.25">
      <c r="A495" s="23">
        <f t="shared" si="25"/>
        <v>258082</v>
      </c>
      <c r="B495" s="14" t="str">
        <f t="shared" si="24"/>
        <v>Direct Debit (UMB Bank) - Credits</v>
      </c>
      <c r="C495" s="37">
        <v>46168</v>
      </c>
      <c r="D495" s="31">
        <v>258082</v>
      </c>
      <c r="E495" s="33" t="str">
        <f>IF(Table3[[#This Row],[Type Received]]=2,"CC",(IF(Table3[[#This Row],[Type Received]]=3,"BILL","ACH")))</f>
        <v>ACH</v>
      </c>
      <c r="F495" s="32">
        <v>60.9</v>
      </c>
      <c r="G495" s="14" t="str">
        <f>VLOOKUP(D495,Table4[],3,FALSE)</f>
        <v>1</v>
      </c>
      <c r="H495" s="15">
        <v>4889</v>
      </c>
      <c r="I495" s="15"/>
      <c r="J495" s="24"/>
      <c r="K495" s="15"/>
      <c r="L495" s="15"/>
      <c r="M495" s="15" t="s">
        <v>29</v>
      </c>
    </row>
    <row r="496" spans="1:13" x14ac:dyDescent="0.25">
      <c r="A496" s="23">
        <f t="shared" si="25"/>
        <v>258085</v>
      </c>
      <c r="B496" s="14" t="str">
        <f t="shared" si="24"/>
        <v>Direct Debit (UMB Bank) - Credits</v>
      </c>
      <c r="C496" s="38">
        <v>46167</v>
      </c>
      <c r="D496" s="34">
        <v>258085</v>
      </c>
      <c r="E496" s="36" t="str">
        <f>IF(Table3[[#This Row],[Type Received]]=2,"CC",(IF(Table3[[#This Row],[Type Received]]=3,"BILL","ACH")))</f>
        <v>ACH</v>
      </c>
      <c r="F496" s="35">
        <v>54.25</v>
      </c>
      <c r="G496" s="14" t="str">
        <f>VLOOKUP(D496,Table4[],3,FALSE)</f>
        <v>2</v>
      </c>
      <c r="H496" s="15"/>
      <c r="I496" s="15"/>
      <c r="J496" s="15" t="s">
        <v>85</v>
      </c>
      <c r="K496" s="15">
        <v>818311905</v>
      </c>
      <c r="L496" s="15" t="s">
        <v>29</v>
      </c>
      <c r="M496" s="15" t="s">
        <v>29</v>
      </c>
    </row>
    <row r="497" spans="1:13" x14ac:dyDescent="0.25">
      <c r="A497" s="23">
        <f t="shared" si="25"/>
        <v>258086</v>
      </c>
      <c r="B497" s="14" t="str">
        <f t="shared" si="24"/>
        <v>Direct Debit (UMB Bank) - Credits</v>
      </c>
      <c r="C497" s="37">
        <v>46167</v>
      </c>
      <c r="D497" s="31">
        <v>258086</v>
      </c>
      <c r="E497" s="33" t="str">
        <f>IF(Table3[[#This Row],[Type Received]]=2,"CC",(IF(Table3[[#This Row],[Type Received]]=3,"BILL","ACH")))</f>
        <v>ACH</v>
      </c>
      <c r="F497" s="32">
        <v>100.45</v>
      </c>
      <c r="G497" s="14" t="str">
        <f>VLOOKUP(D497,Table4[],3,FALSE)</f>
        <v>2</v>
      </c>
      <c r="H497" s="15"/>
      <c r="I497" s="15"/>
      <c r="J497" s="15" t="s">
        <v>85</v>
      </c>
      <c r="K497" s="15">
        <v>818318738</v>
      </c>
      <c r="L497" s="15" t="s">
        <v>29</v>
      </c>
      <c r="M497" s="15"/>
    </row>
    <row r="498" spans="1:13" x14ac:dyDescent="0.25">
      <c r="A498" s="23">
        <f t="shared" si="25"/>
        <v>258087</v>
      </c>
      <c r="B498" s="14" t="str">
        <f t="shared" si="24"/>
        <v>Direct Debit (UMB Bank) - Credits</v>
      </c>
      <c r="C498" s="38">
        <v>46169</v>
      </c>
      <c r="D498" s="34">
        <v>258087</v>
      </c>
      <c r="E498" s="36" t="str">
        <f>IF(Table3[[#This Row],[Type Received]]=2,"CC",(IF(Table3[[#This Row],[Type Received]]=3,"BILL","ACH")))</f>
        <v>ACH</v>
      </c>
      <c r="F498" s="35">
        <v>50.29</v>
      </c>
      <c r="G498" s="14" t="str">
        <f>VLOOKUP(D498,Table4[],3,FALSE)</f>
        <v>1</v>
      </c>
      <c r="H498" s="15"/>
      <c r="I498" s="15"/>
      <c r="J498" s="15" t="s">
        <v>117</v>
      </c>
      <c r="K498" s="15">
        <v>840828085</v>
      </c>
      <c r="L498" s="15" t="s">
        <v>29</v>
      </c>
      <c r="M498" s="15" t="s">
        <v>29</v>
      </c>
    </row>
    <row r="499" spans="1:13" x14ac:dyDescent="0.25">
      <c r="A499" s="23">
        <f t="shared" si="25"/>
        <v>258088</v>
      </c>
      <c r="B499" s="14" t="str">
        <f t="shared" si="24"/>
        <v>Direct Debit (UMB Bank) - Credits</v>
      </c>
      <c r="C499" s="37">
        <v>46145</v>
      </c>
      <c r="D499" s="31">
        <v>258088</v>
      </c>
      <c r="E499" s="33" t="str">
        <f>IF(Table3[[#This Row],[Type Received]]=2,"CC",(IF(Table3[[#This Row],[Type Received]]=3,"BILL","ACH")))</f>
        <v>ACH</v>
      </c>
      <c r="F499" s="32">
        <v>125.2</v>
      </c>
      <c r="G499" s="14" t="str">
        <f>VLOOKUP(D499,Table4[],3,FALSE)</f>
        <v>2</v>
      </c>
      <c r="H499" s="15"/>
      <c r="I499" s="15"/>
      <c r="J499" s="24" t="s">
        <v>113</v>
      </c>
      <c r="K499" s="15">
        <v>546423174</v>
      </c>
      <c r="L499" s="15" t="s">
        <v>29</v>
      </c>
      <c r="M499" s="15" t="s">
        <v>29</v>
      </c>
    </row>
    <row r="500" spans="1:13" x14ac:dyDescent="0.25">
      <c r="A500" s="23"/>
      <c r="B500" s="14" t="str">
        <f t="shared" si="24"/>
        <v>Direct Debit (UMB Bank) - Credits</v>
      </c>
      <c r="C500" s="38">
        <v>46157</v>
      </c>
      <c r="D500" s="34">
        <v>258091</v>
      </c>
      <c r="E500" s="36" t="str">
        <f>IF(Table3[[#This Row],[Type Received]]=2,"CC",(IF(Table3[[#This Row],[Type Received]]=3,"BILL","ACH")))</f>
        <v>ACH</v>
      </c>
      <c r="F500" s="35">
        <v>54.91</v>
      </c>
      <c r="G500" s="14" t="str">
        <f>VLOOKUP(D500,Table4[],3,FALSE)</f>
        <v>2</v>
      </c>
      <c r="H500" s="15"/>
      <c r="I500" s="15"/>
      <c r="J500" s="15" t="s">
        <v>87</v>
      </c>
      <c r="K500" s="15">
        <v>696626018</v>
      </c>
      <c r="L500" s="15" t="s">
        <v>29</v>
      </c>
      <c r="M500" s="15" t="s">
        <v>29</v>
      </c>
    </row>
    <row r="501" spans="1:13" x14ac:dyDescent="0.25">
      <c r="A501" s="23">
        <f t="shared" ref="A501:A514" si="26">D501</f>
        <v>258093</v>
      </c>
      <c r="B501" s="14" t="str">
        <f t="shared" si="24"/>
        <v>Direct Debit (UMB Bank) - Credits</v>
      </c>
      <c r="C501" s="37">
        <v>46157</v>
      </c>
      <c r="D501" s="31">
        <v>258093</v>
      </c>
      <c r="E501" s="33" t="str">
        <f>IF(Table3[[#This Row],[Type Received]]=2,"CC",(IF(Table3[[#This Row],[Type Received]]=3,"BILL","ACH")))</f>
        <v>ACH</v>
      </c>
      <c r="F501" s="32">
        <v>41.71</v>
      </c>
      <c r="G501" s="14" t="str">
        <f>VLOOKUP(D501,Table4[],3,FALSE)</f>
        <v>2</v>
      </c>
      <c r="H501" s="15"/>
      <c r="I501" s="15"/>
      <c r="J501" s="15" t="s">
        <v>87</v>
      </c>
      <c r="K501" s="15">
        <v>696627926</v>
      </c>
      <c r="L501" s="15" t="s">
        <v>29</v>
      </c>
      <c r="M501" s="15" t="s">
        <v>29</v>
      </c>
    </row>
    <row r="502" spans="1:13" x14ac:dyDescent="0.25">
      <c r="A502" s="23">
        <f t="shared" si="26"/>
        <v>258095</v>
      </c>
      <c r="B502" s="14" t="str">
        <f t="shared" si="24"/>
        <v>Direct Debit (UMB Bank) - Credits</v>
      </c>
      <c r="C502" s="38">
        <v>46157</v>
      </c>
      <c r="D502" s="34">
        <v>258095</v>
      </c>
      <c r="E502" s="36" t="str">
        <f>IF(Table3[[#This Row],[Type Received]]=2,"CC",(IF(Table3[[#This Row],[Type Received]]=3,"BILL","ACH")))</f>
        <v>ACH</v>
      </c>
      <c r="F502" s="35">
        <v>81.75</v>
      </c>
      <c r="G502" s="14" t="str">
        <f>VLOOKUP(D502,Table4[],3,FALSE)</f>
        <v>1</v>
      </c>
      <c r="H502" s="15"/>
      <c r="I502" s="15"/>
      <c r="J502" s="24" t="s">
        <v>87</v>
      </c>
      <c r="K502" s="15">
        <v>696628917</v>
      </c>
      <c r="L502" s="15" t="s">
        <v>29</v>
      </c>
      <c r="M502" s="15" t="s">
        <v>29</v>
      </c>
    </row>
    <row r="503" spans="1:13" x14ac:dyDescent="0.25">
      <c r="A503" s="23">
        <f t="shared" si="26"/>
        <v>258096</v>
      </c>
      <c r="B503" s="14" t="str">
        <f t="shared" si="24"/>
        <v>Direct Debit (UMB Bank) - Credits</v>
      </c>
      <c r="C503" s="37">
        <v>46145</v>
      </c>
      <c r="D503" s="31">
        <v>258096</v>
      </c>
      <c r="E503" s="33" t="str">
        <f>IF(Table3[[#This Row],[Type Received]]=2,"CC",(IF(Table3[[#This Row],[Type Received]]=3,"BILL","ACH")))</f>
        <v>ACH</v>
      </c>
      <c r="F503" s="32">
        <v>46.55</v>
      </c>
      <c r="G503" s="14" t="str">
        <f>VLOOKUP(D503,Table4[],3,FALSE)</f>
        <v>1</v>
      </c>
      <c r="H503" s="15"/>
      <c r="I503" s="15"/>
      <c r="J503" s="15" t="s">
        <v>113</v>
      </c>
      <c r="K503" s="15">
        <v>546424120</v>
      </c>
      <c r="L503" s="15" t="s">
        <v>29</v>
      </c>
      <c r="M503" s="15" t="s">
        <v>29</v>
      </c>
    </row>
    <row r="504" spans="1:13" x14ac:dyDescent="0.25">
      <c r="A504" s="23">
        <f t="shared" si="26"/>
        <v>258102</v>
      </c>
      <c r="B504" s="14" t="str">
        <f t="shared" si="24"/>
        <v>Billing - Credits (from TPA)</v>
      </c>
      <c r="C504" s="38">
        <v>46148</v>
      </c>
      <c r="D504" s="34">
        <v>258102</v>
      </c>
      <c r="E504" s="36" t="str">
        <f>IF(Table3[[#This Row],[Type Received]]=2,"CC",(IF(Table3[[#This Row],[Type Received]]=3,"BILL","ACH")))</f>
        <v>BILL</v>
      </c>
      <c r="F504" s="35">
        <v>107.18</v>
      </c>
      <c r="G504" s="14" t="str">
        <f>VLOOKUP(D504,Table4[],3,FALSE)</f>
        <v>1</v>
      </c>
      <c r="H504" s="15"/>
      <c r="I504" s="15"/>
      <c r="J504" s="15" t="s">
        <v>126</v>
      </c>
      <c r="K504" s="15">
        <v>584949221</v>
      </c>
      <c r="L504" s="15" t="s">
        <v>29</v>
      </c>
      <c r="M504" s="15" t="s">
        <v>29</v>
      </c>
    </row>
    <row r="505" spans="1:13" x14ac:dyDescent="0.25">
      <c r="A505" s="23">
        <f t="shared" si="26"/>
        <v>258104</v>
      </c>
      <c r="B505" s="14" t="str">
        <f t="shared" si="24"/>
        <v>Direct Debit (UMB Bank) - Credits</v>
      </c>
      <c r="C505" s="37">
        <v>46146</v>
      </c>
      <c r="D505" s="31">
        <v>258104</v>
      </c>
      <c r="E505" s="33" t="str">
        <f>IF(Table3[[#This Row],[Type Received]]=2,"CC",(IF(Table3[[#This Row],[Type Received]]=3,"BILL","ACH")))</f>
        <v>ACH</v>
      </c>
      <c r="F505" s="32">
        <v>34.69</v>
      </c>
      <c r="G505" s="14" t="str">
        <f>VLOOKUP(D505,Table4[],3,FALSE)</f>
        <v>1</v>
      </c>
      <c r="H505" s="15">
        <v>4281</v>
      </c>
      <c r="I505" s="15"/>
      <c r="J505" s="15"/>
      <c r="K505" s="15"/>
      <c r="L505" s="15"/>
      <c r="M505" s="15" t="s">
        <v>29</v>
      </c>
    </row>
    <row r="506" spans="1:13" x14ac:dyDescent="0.25">
      <c r="A506" s="23">
        <f t="shared" si="26"/>
        <v>258133</v>
      </c>
      <c r="B506" s="14" t="str">
        <f t="shared" si="24"/>
        <v>Direct Debit (UMB Bank) - Credits</v>
      </c>
      <c r="C506" s="38">
        <v>46157</v>
      </c>
      <c r="D506" s="34">
        <v>258133</v>
      </c>
      <c r="E506" s="36" t="str">
        <f>IF(Table3[[#This Row],[Type Received]]=2,"CC",(IF(Table3[[#This Row],[Type Received]]=3,"BILL","ACH")))</f>
        <v>ACH</v>
      </c>
      <c r="F506" s="35">
        <v>154.24</v>
      </c>
      <c r="G506" s="14" t="str">
        <f>VLOOKUP(D506,Table4[],3,FALSE)</f>
        <v>2</v>
      </c>
      <c r="H506" s="15"/>
      <c r="I506" s="15"/>
      <c r="J506" s="15" t="s">
        <v>87</v>
      </c>
      <c r="K506" s="15">
        <v>696654191</v>
      </c>
      <c r="L506" s="15" t="s">
        <v>29</v>
      </c>
      <c r="M506" s="15"/>
    </row>
    <row r="507" spans="1:13" x14ac:dyDescent="0.25">
      <c r="A507" s="23">
        <f t="shared" si="26"/>
        <v>258139</v>
      </c>
      <c r="B507" s="14" t="str">
        <f t="shared" si="24"/>
        <v>Billing - Credits (from TPA)</v>
      </c>
      <c r="C507" s="37">
        <v>46145</v>
      </c>
      <c r="D507" s="31">
        <v>258139</v>
      </c>
      <c r="E507" s="33" t="str">
        <f>IF(Table3[[#This Row],[Type Received]]=2,"CC",(IF(Table3[[#This Row],[Type Received]]=3,"BILL","ACH")))</f>
        <v>BILL</v>
      </c>
      <c r="F507" s="32">
        <v>137.74</v>
      </c>
      <c r="G507" s="14" t="str">
        <f>VLOOKUP(D507,Table4[],3,FALSE)</f>
        <v>2</v>
      </c>
      <c r="H507" s="15"/>
      <c r="I507" s="15"/>
      <c r="J507" s="15" t="s">
        <v>113</v>
      </c>
      <c r="K507" s="15">
        <v>546411572</v>
      </c>
      <c r="L507" s="15" t="s">
        <v>29</v>
      </c>
      <c r="M507" s="15" t="s">
        <v>29</v>
      </c>
    </row>
    <row r="508" spans="1:13" x14ac:dyDescent="0.25">
      <c r="A508" s="23">
        <f t="shared" si="26"/>
        <v>258144</v>
      </c>
      <c r="B508" s="14" t="str">
        <f t="shared" si="24"/>
        <v>Direct Debit (UMB Bank) - Credits</v>
      </c>
      <c r="C508" s="38">
        <v>46147</v>
      </c>
      <c r="D508" s="34">
        <v>258144</v>
      </c>
      <c r="E508" s="36" t="str">
        <f>IF(Table3[[#This Row],[Type Received]]=2,"CC",(IF(Table3[[#This Row],[Type Received]]=3,"BILL","ACH")))</f>
        <v>ACH</v>
      </c>
      <c r="F508" s="35">
        <v>34.799999999999997</v>
      </c>
      <c r="G508" s="14" t="str">
        <f>VLOOKUP(D508,Table4[],3,FALSE)</f>
        <v>2</v>
      </c>
      <c r="H508" s="15">
        <v>4426510590</v>
      </c>
      <c r="I508" s="15"/>
      <c r="J508" s="15"/>
      <c r="K508" s="15"/>
      <c r="L508" s="15"/>
      <c r="M508" s="15" t="s">
        <v>29</v>
      </c>
    </row>
    <row r="509" spans="1:13" x14ac:dyDescent="0.25">
      <c r="A509" s="23">
        <f t="shared" si="26"/>
        <v>258149</v>
      </c>
      <c r="B509" s="14" t="str">
        <f t="shared" si="24"/>
        <v>Billing - Credits (from TPA)</v>
      </c>
      <c r="C509" s="37">
        <v>46147</v>
      </c>
      <c r="D509" s="31">
        <v>258149</v>
      </c>
      <c r="E509" s="33" t="str">
        <f>IF(Table3[[#This Row],[Type Received]]=2,"CC",(IF(Table3[[#This Row],[Type Received]]=3,"BILL","ACH")))</f>
        <v>BILL</v>
      </c>
      <c r="F509" s="32">
        <v>127.29</v>
      </c>
      <c r="G509" s="14" t="str">
        <f>VLOOKUP(D509,Table4[],3,FALSE)</f>
        <v>1</v>
      </c>
      <c r="H509" s="15"/>
      <c r="I509" s="15"/>
      <c r="J509" s="15" t="s">
        <v>86</v>
      </c>
      <c r="K509" s="15">
        <v>569462088</v>
      </c>
      <c r="L509" s="15" t="s">
        <v>29</v>
      </c>
      <c r="M509" s="15" t="s">
        <v>29</v>
      </c>
    </row>
    <row r="510" spans="1:13" x14ac:dyDescent="0.25">
      <c r="A510" s="23">
        <f t="shared" si="26"/>
        <v>258150</v>
      </c>
      <c r="B510" s="14" t="str">
        <f t="shared" si="24"/>
        <v>Direct Debit (UMB Bank) - Credits</v>
      </c>
      <c r="C510" s="38">
        <v>46149</v>
      </c>
      <c r="D510" s="34">
        <v>258150</v>
      </c>
      <c r="E510" s="36" t="str">
        <f>IF(Table3[[#This Row],[Type Received]]=2,"CC",(IF(Table3[[#This Row],[Type Received]]=3,"BILL","ACH")))</f>
        <v>ACH</v>
      </c>
      <c r="F510" s="35">
        <v>63.1</v>
      </c>
      <c r="G510" s="14" t="str">
        <f>VLOOKUP(D510,Table4[],3,FALSE)</f>
        <v>1</v>
      </c>
      <c r="H510" s="15">
        <v>2368</v>
      </c>
      <c r="I510" s="15"/>
      <c r="J510" s="15"/>
      <c r="K510" s="15"/>
      <c r="L510" s="15"/>
      <c r="M510" s="15" t="s">
        <v>29</v>
      </c>
    </row>
    <row r="511" spans="1:13" x14ac:dyDescent="0.25">
      <c r="A511" s="23">
        <f t="shared" si="26"/>
        <v>258158</v>
      </c>
      <c r="B511" s="14" t="str">
        <f t="shared" si="24"/>
        <v>Direct Debit (UMB Bank) - Credits</v>
      </c>
      <c r="C511" s="37">
        <v>46157</v>
      </c>
      <c r="D511" s="31">
        <v>258158</v>
      </c>
      <c r="E511" s="33" t="str">
        <f>IF(Table3[[#This Row],[Type Received]]=2,"CC",(IF(Table3[[#This Row],[Type Received]]=3,"BILL","ACH")))</f>
        <v>ACH</v>
      </c>
      <c r="F511" s="32">
        <v>58.54</v>
      </c>
      <c r="G511" s="14" t="str">
        <f>VLOOKUP(D511,Table4[],3,FALSE)</f>
        <v>2</v>
      </c>
      <c r="H511" s="15"/>
      <c r="I511" s="15"/>
      <c r="J511" s="15" t="s">
        <v>87</v>
      </c>
      <c r="K511" s="15">
        <v>696643428</v>
      </c>
      <c r="L511" s="15" t="s">
        <v>29</v>
      </c>
      <c r="M511" s="15"/>
    </row>
    <row r="512" spans="1:13" x14ac:dyDescent="0.25">
      <c r="A512" s="23">
        <f t="shared" si="26"/>
        <v>258161</v>
      </c>
      <c r="B512" s="14" t="str">
        <f t="shared" si="24"/>
        <v>Direct Debit (UMB Bank) - Credits</v>
      </c>
      <c r="C512" s="38">
        <v>46145</v>
      </c>
      <c r="D512" s="34">
        <v>258161</v>
      </c>
      <c r="E512" s="36" t="str">
        <f>IF(Table3[[#This Row],[Type Received]]=2,"CC",(IF(Table3[[#This Row],[Type Received]]=3,"BILL","ACH")))</f>
        <v>ACH</v>
      </c>
      <c r="F512" s="35">
        <v>89.23</v>
      </c>
      <c r="G512" s="14" t="str">
        <f>VLOOKUP(D512,Table4[],3,FALSE)</f>
        <v>2</v>
      </c>
      <c r="H512" s="15"/>
      <c r="I512" s="15"/>
      <c r="J512" s="15" t="s">
        <v>113</v>
      </c>
      <c r="K512" s="15">
        <v>546417445</v>
      </c>
      <c r="L512" s="15" t="s">
        <v>29</v>
      </c>
      <c r="M512" s="15" t="s">
        <v>29</v>
      </c>
    </row>
    <row r="513" spans="1:13" x14ac:dyDescent="0.25">
      <c r="A513" s="23">
        <f t="shared" si="26"/>
        <v>258162</v>
      </c>
      <c r="B513" s="14" t="str">
        <f t="shared" si="24"/>
        <v>Direct Debit (UMB Bank) - Credits</v>
      </c>
      <c r="C513" s="37">
        <v>46145</v>
      </c>
      <c r="D513" s="31">
        <v>258162</v>
      </c>
      <c r="E513" s="33" t="str">
        <f>IF(Table3[[#This Row],[Type Received]]=2,"CC",(IF(Table3[[#This Row],[Type Received]]=3,"BILL","ACH")))</f>
        <v>ACH</v>
      </c>
      <c r="F513" s="32">
        <v>58.54</v>
      </c>
      <c r="G513" s="14" t="str">
        <f>VLOOKUP(D513,Table4[],3,FALSE)</f>
        <v>2</v>
      </c>
      <c r="H513" s="15"/>
      <c r="I513" s="15"/>
      <c r="J513" s="15" t="s">
        <v>113</v>
      </c>
      <c r="K513" s="15">
        <v>546421287</v>
      </c>
      <c r="L513" s="15" t="s">
        <v>29</v>
      </c>
      <c r="M513" s="15" t="s">
        <v>29</v>
      </c>
    </row>
    <row r="514" spans="1:13" x14ac:dyDescent="0.25">
      <c r="A514" s="23">
        <f t="shared" si="26"/>
        <v>258163</v>
      </c>
      <c r="B514" s="14" t="str">
        <f t="shared" ref="B514:B577" si="27">IF(AND(E514="BILL",F514&lt;0),"Billing &amp; Direct Debit - Refunds",(IF(AND(E514="BILL",F514&gt;0),"Billing - Credits (from TPA)",(IF(AND(E514="CC",F514&lt;0),"Credit Cards (UMB) - Refunds",(IF(AND(E514="CC",F514&gt;0),"Credit Cards (UMB) - Credits",(IF(AND(E514="ACH",F514&gt;0),"Direct Debit (UMB Bank) - Credits","Direct Debit (UMB Bank) - Returned Items")))))))))</f>
        <v>Credit Cards (UMB) - Credits</v>
      </c>
      <c r="C514" s="38">
        <v>46145</v>
      </c>
      <c r="D514" s="34">
        <v>258163</v>
      </c>
      <c r="E514" s="36" t="str">
        <f>IF(Table3[[#This Row],[Type Received]]=2,"CC",(IF(Table3[[#This Row],[Type Received]]=3,"BILL","ACH")))</f>
        <v>CC</v>
      </c>
      <c r="F514" s="35">
        <v>54.25</v>
      </c>
      <c r="G514" s="14" t="str">
        <f>VLOOKUP(D514,Table4[],3,FALSE)</f>
        <v>1</v>
      </c>
      <c r="H514" s="15"/>
      <c r="I514" s="15"/>
      <c r="J514" s="15" t="s">
        <v>113</v>
      </c>
      <c r="K514" s="15">
        <v>546405753</v>
      </c>
      <c r="L514" s="15" t="s">
        <v>29</v>
      </c>
      <c r="M514" s="15"/>
    </row>
    <row r="515" spans="1:13" x14ac:dyDescent="0.25">
      <c r="A515" s="23"/>
      <c r="B515" s="14" t="str">
        <f t="shared" si="27"/>
        <v>Credit Cards (UMB) - Credits</v>
      </c>
      <c r="C515" s="37">
        <v>46155</v>
      </c>
      <c r="D515" s="31">
        <v>258175</v>
      </c>
      <c r="E515" s="33" t="str">
        <f>IF(Table3[[#This Row],[Type Received]]=2,"CC",(IF(Table3[[#This Row],[Type Received]]=3,"BILL","ACH")))</f>
        <v>CC</v>
      </c>
      <c r="F515" s="32">
        <v>116.95</v>
      </c>
      <c r="G515" s="14" t="str">
        <f>VLOOKUP(D515,Table4[],3,FALSE)</f>
        <v>2</v>
      </c>
      <c r="H515" s="15"/>
      <c r="I515" s="15">
        <v>172037</v>
      </c>
      <c r="J515" s="15" t="s">
        <v>28</v>
      </c>
      <c r="K515" s="15">
        <v>669433038</v>
      </c>
      <c r="L515" s="15" t="s">
        <v>29</v>
      </c>
      <c r="M515" s="15" t="s">
        <v>29</v>
      </c>
    </row>
    <row r="516" spans="1:13" x14ac:dyDescent="0.25">
      <c r="A516" s="23"/>
      <c r="B516" s="14" t="str">
        <f t="shared" si="27"/>
        <v>Credit Cards (UMB) - Credits</v>
      </c>
      <c r="C516" s="38">
        <v>46163</v>
      </c>
      <c r="D516" s="34">
        <v>258177</v>
      </c>
      <c r="E516" s="36" t="str">
        <f>IF(Table3[[#This Row],[Type Received]]=2,"CC",(IF(Table3[[#This Row],[Type Received]]=3,"BILL","ACH")))</f>
        <v>CC</v>
      </c>
      <c r="F516" s="35">
        <v>138.56</v>
      </c>
      <c r="G516" s="14" t="str">
        <f>VLOOKUP(D516,Table4[],3,FALSE)</f>
        <v>2</v>
      </c>
      <c r="H516" s="15"/>
      <c r="I516" s="15">
        <v>728791</v>
      </c>
      <c r="J516" s="15">
        <v>747461115</v>
      </c>
      <c r="K516" s="15">
        <v>355334537</v>
      </c>
      <c r="L516" s="15"/>
      <c r="M516" s="15"/>
    </row>
    <row r="517" spans="1:13" x14ac:dyDescent="0.25">
      <c r="A517" s="23"/>
      <c r="B517" s="14" t="str">
        <f t="shared" si="27"/>
        <v>Credit Cards (UMB) - Credits</v>
      </c>
      <c r="C517" s="37">
        <v>46157</v>
      </c>
      <c r="D517" s="31">
        <v>258180</v>
      </c>
      <c r="E517" s="33" t="str">
        <f>IF(Table3[[#This Row],[Type Received]]=2,"CC",(IF(Table3[[#This Row],[Type Received]]=3,"BILL","ACH")))</f>
        <v>CC</v>
      </c>
      <c r="F517" s="32">
        <v>65.91</v>
      </c>
      <c r="G517" s="14" t="str">
        <f>VLOOKUP(D517,Table4[],3,FALSE)</f>
        <v>1</v>
      </c>
      <c r="H517" s="15"/>
      <c r="I517" s="15">
        <v>51945</v>
      </c>
      <c r="J517" s="15" t="s">
        <v>28</v>
      </c>
      <c r="K517" s="15">
        <v>696680164</v>
      </c>
      <c r="L517" s="15" t="s">
        <v>29</v>
      </c>
      <c r="M517" s="15" t="s">
        <v>29</v>
      </c>
    </row>
    <row r="518" spans="1:13" x14ac:dyDescent="0.25">
      <c r="A518" s="23"/>
      <c r="B518" s="14" t="str">
        <f t="shared" si="27"/>
        <v>Direct Debit (UMB Bank) - Credits</v>
      </c>
      <c r="C518" s="38">
        <v>46155</v>
      </c>
      <c r="D518" s="34">
        <v>258181</v>
      </c>
      <c r="E518" s="36" t="str">
        <f>IF(Table3[[#This Row],[Type Received]]=2,"CC",(IF(Table3[[#This Row],[Type Received]]=3,"BILL","ACH")))</f>
        <v>ACH</v>
      </c>
      <c r="F518" s="35">
        <v>61.95</v>
      </c>
      <c r="G518" s="14" t="str">
        <f>VLOOKUP(D518,Table4[],3,FALSE)</f>
        <v>1</v>
      </c>
      <c r="H518" s="15"/>
      <c r="I518" s="15">
        <v>903110</v>
      </c>
      <c r="J518" s="15" t="s">
        <v>28</v>
      </c>
      <c r="K518" s="15">
        <v>669449388</v>
      </c>
      <c r="L518" s="15" t="s">
        <v>29</v>
      </c>
      <c r="M518" s="15"/>
    </row>
    <row r="519" spans="1:13" x14ac:dyDescent="0.25">
      <c r="A519" s="23"/>
      <c r="B519" s="14" t="str">
        <f t="shared" si="27"/>
        <v>Direct Debit (UMB Bank) - Credits</v>
      </c>
      <c r="C519" s="37">
        <v>46157</v>
      </c>
      <c r="D519" s="31">
        <v>258183</v>
      </c>
      <c r="E519" s="33" t="str">
        <f>IF(Table3[[#This Row],[Type Received]]=2,"CC",(IF(Table3[[#This Row],[Type Received]]=3,"BILL","ACH")))</f>
        <v>ACH</v>
      </c>
      <c r="F519" s="32">
        <v>69.760000000000005</v>
      </c>
      <c r="G519" s="14" t="str">
        <f>VLOOKUP(D519,Table4[],3,FALSE)</f>
        <v>2</v>
      </c>
      <c r="H519" s="15"/>
      <c r="I519" s="15"/>
      <c r="J519" s="15" t="s">
        <v>87</v>
      </c>
      <c r="K519" s="15">
        <v>696648386</v>
      </c>
      <c r="L519" s="15" t="s">
        <v>29</v>
      </c>
      <c r="M519" s="15"/>
    </row>
    <row r="520" spans="1:13" x14ac:dyDescent="0.25">
      <c r="A520" s="23"/>
      <c r="B520" s="14" t="str">
        <f t="shared" si="27"/>
        <v>Direct Debit (UMB Bank) - Credits</v>
      </c>
      <c r="C520" s="38">
        <v>46145</v>
      </c>
      <c r="D520" s="34">
        <v>258185</v>
      </c>
      <c r="E520" s="36" t="str">
        <f>IF(Table3[[#This Row],[Type Received]]=2,"CC",(IF(Table3[[#This Row],[Type Received]]=3,"BILL","ACH")))</f>
        <v>ACH</v>
      </c>
      <c r="F520" s="35">
        <v>50.95</v>
      </c>
      <c r="G520" s="14" t="str">
        <f>VLOOKUP(D520,Table4[],3,FALSE)</f>
        <v>2</v>
      </c>
      <c r="H520" s="15"/>
      <c r="I520" s="15"/>
      <c r="J520" s="15" t="s">
        <v>113</v>
      </c>
      <c r="K520" s="15">
        <v>546413561</v>
      </c>
      <c r="L520" s="15" t="s">
        <v>29</v>
      </c>
      <c r="M520" s="15"/>
    </row>
    <row r="521" spans="1:13" x14ac:dyDescent="0.25">
      <c r="A521" s="23"/>
      <c r="B521" s="14" t="str">
        <f t="shared" si="27"/>
        <v>Direct Debit (UMB Bank) - Credits</v>
      </c>
      <c r="C521" s="37">
        <v>46157</v>
      </c>
      <c r="D521" s="31">
        <v>258188</v>
      </c>
      <c r="E521" s="33" t="str">
        <f>IF(Table3[[#This Row],[Type Received]]=2,"CC",(IF(Table3[[#This Row],[Type Received]]=3,"BILL","ACH")))</f>
        <v>ACH</v>
      </c>
      <c r="F521" s="32">
        <v>77.569999999999993</v>
      </c>
      <c r="G521" s="14" t="str">
        <f>VLOOKUP(D521,Table4[],3,FALSE)</f>
        <v>1</v>
      </c>
      <c r="H521" s="15"/>
      <c r="I521" s="15"/>
      <c r="J521" s="15" t="s">
        <v>87</v>
      </c>
      <c r="K521" s="15">
        <v>696646402</v>
      </c>
      <c r="L521" s="15" t="s">
        <v>29</v>
      </c>
      <c r="M521" s="15" t="s">
        <v>29</v>
      </c>
    </row>
    <row r="522" spans="1:13" x14ac:dyDescent="0.25">
      <c r="A522" s="23"/>
      <c r="B522" s="14" t="str">
        <f t="shared" si="27"/>
        <v>Direct Debit (UMB Bank) - Credits</v>
      </c>
      <c r="C522" s="38">
        <v>46167</v>
      </c>
      <c r="D522" s="34">
        <v>258191</v>
      </c>
      <c r="E522" s="36" t="str">
        <f>IF(Table3[[#This Row],[Type Received]]=2,"CC",(IF(Table3[[#This Row],[Type Received]]=3,"BILL","ACH")))</f>
        <v>ACH</v>
      </c>
      <c r="F522" s="35">
        <v>112.11</v>
      </c>
      <c r="G522" s="14" t="str">
        <f>VLOOKUP(D522,Table4[],3,FALSE)</f>
        <v>1</v>
      </c>
      <c r="H522" s="15"/>
      <c r="I522" s="15"/>
      <c r="J522" s="15" t="s">
        <v>85</v>
      </c>
      <c r="K522" s="15">
        <v>818327382</v>
      </c>
      <c r="L522" s="15" t="s">
        <v>29</v>
      </c>
      <c r="M522" s="15" t="s">
        <v>29</v>
      </c>
    </row>
    <row r="523" spans="1:13" x14ac:dyDescent="0.25">
      <c r="A523" s="23"/>
      <c r="B523" s="14" t="str">
        <f t="shared" si="27"/>
        <v>Direct Debit (UMB Bank) - Credits</v>
      </c>
      <c r="C523" s="37">
        <v>46145</v>
      </c>
      <c r="D523" s="31">
        <v>258192</v>
      </c>
      <c r="E523" s="33" t="str">
        <f>IF(Table3[[#This Row],[Type Received]]=2,"CC",(IF(Table3[[#This Row],[Type Received]]=3,"BILL","ACH")))</f>
        <v>ACH</v>
      </c>
      <c r="F523" s="32">
        <v>50.95</v>
      </c>
      <c r="G523" s="14" t="str">
        <f>VLOOKUP(D523,Table4[],3,FALSE)</f>
        <v>2</v>
      </c>
      <c r="H523" s="15"/>
      <c r="I523" s="15"/>
      <c r="J523" s="15" t="s">
        <v>113</v>
      </c>
      <c r="K523" s="15">
        <v>546412558</v>
      </c>
      <c r="L523" s="15" t="s">
        <v>29</v>
      </c>
      <c r="M523" s="15" t="s">
        <v>29</v>
      </c>
    </row>
    <row r="524" spans="1:13" x14ac:dyDescent="0.25">
      <c r="A524" s="23">
        <f t="shared" ref="A524:A551" si="28">D524</f>
        <v>258193</v>
      </c>
      <c r="B524" s="14" t="str">
        <f t="shared" si="27"/>
        <v>Direct Debit (UMB Bank) - Credits</v>
      </c>
      <c r="C524" s="38">
        <v>46145</v>
      </c>
      <c r="D524" s="34">
        <v>258193</v>
      </c>
      <c r="E524" s="36" t="str">
        <f>IF(Table3[[#This Row],[Type Received]]=2,"CC",(IF(Table3[[#This Row],[Type Received]]=3,"BILL","ACH")))</f>
        <v>ACH</v>
      </c>
      <c r="F524" s="35">
        <v>79.66</v>
      </c>
      <c r="G524" s="14" t="str">
        <f>VLOOKUP(D524,Table4[],3,FALSE)</f>
        <v>2</v>
      </c>
      <c r="H524" s="15"/>
      <c r="I524" s="15"/>
      <c r="J524" s="24" t="s">
        <v>113</v>
      </c>
      <c r="K524" s="15">
        <v>546398009</v>
      </c>
      <c r="L524" s="15" t="s">
        <v>29</v>
      </c>
      <c r="M524" s="15" t="s">
        <v>29</v>
      </c>
    </row>
    <row r="525" spans="1:13" x14ac:dyDescent="0.25">
      <c r="A525" s="23">
        <f t="shared" si="28"/>
        <v>258195</v>
      </c>
      <c r="B525" s="14" t="str">
        <f t="shared" si="27"/>
        <v>Billing - Credits (from TPA)</v>
      </c>
      <c r="C525" s="37">
        <v>46145</v>
      </c>
      <c r="D525" s="31">
        <v>258195</v>
      </c>
      <c r="E525" s="33" t="str">
        <f>IF(Table3[[#This Row],[Type Received]]=2,"CC",(IF(Table3[[#This Row],[Type Received]]=3,"BILL","ACH")))</f>
        <v>BILL</v>
      </c>
      <c r="F525" s="32">
        <v>111.01</v>
      </c>
      <c r="G525" s="14" t="str">
        <f>VLOOKUP(D525,Table4[],3,FALSE)</f>
        <v>2</v>
      </c>
      <c r="H525" s="15"/>
      <c r="I525" s="15"/>
      <c r="J525" s="15" t="s">
        <v>113</v>
      </c>
      <c r="K525" s="15">
        <v>546424177</v>
      </c>
      <c r="L525" s="15" t="s">
        <v>29</v>
      </c>
      <c r="M525" s="15" t="s">
        <v>29</v>
      </c>
    </row>
    <row r="526" spans="1:13" x14ac:dyDescent="0.25">
      <c r="A526" s="23">
        <f t="shared" si="28"/>
        <v>258212</v>
      </c>
      <c r="B526" s="14" t="str">
        <f t="shared" si="27"/>
        <v>Direct Debit (UMB Bank) - Credits</v>
      </c>
      <c r="C526" s="38">
        <v>46146</v>
      </c>
      <c r="D526" s="34">
        <v>258212</v>
      </c>
      <c r="E526" s="36" t="str">
        <f>IF(Table3[[#This Row],[Type Received]]=2,"CC",(IF(Table3[[#This Row],[Type Received]]=3,"BILL","ACH")))</f>
        <v>ACH</v>
      </c>
      <c r="F526" s="35">
        <v>121.81</v>
      </c>
      <c r="G526" s="14" t="str">
        <f>VLOOKUP(D526,Table4[],3,FALSE)</f>
        <v>1</v>
      </c>
      <c r="H526" s="15">
        <v>1456</v>
      </c>
      <c r="I526" s="15"/>
      <c r="J526" s="15"/>
      <c r="K526" s="15"/>
      <c r="L526" s="15"/>
      <c r="M526" s="15" t="s">
        <v>29</v>
      </c>
    </row>
    <row r="527" spans="1:13" x14ac:dyDescent="0.25">
      <c r="A527" s="23">
        <f t="shared" si="28"/>
        <v>258214</v>
      </c>
      <c r="B527" s="14" t="str">
        <f t="shared" si="27"/>
        <v>Credit Cards (UMB) - Credits</v>
      </c>
      <c r="C527" s="37">
        <v>46145</v>
      </c>
      <c r="D527" s="31">
        <v>258214</v>
      </c>
      <c r="E527" s="33" t="str">
        <f>IF(Table3[[#This Row],[Type Received]]=2,"CC",(IF(Table3[[#This Row],[Type Received]]=3,"BILL","ACH")))</f>
        <v>CC</v>
      </c>
      <c r="F527" s="32">
        <v>44.35</v>
      </c>
      <c r="G527" s="14" t="str">
        <f>VLOOKUP(D527,Table4[],3,FALSE)</f>
        <v>1</v>
      </c>
      <c r="H527" s="15"/>
      <c r="I527" s="15"/>
      <c r="J527" s="24" t="s">
        <v>113</v>
      </c>
      <c r="K527" s="15">
        <v>546409615</v>
      </c>
      <c r="L527" s="15" t="s">
        <v>29</v>
      </c>
      <c r="M527" s="15" t="s">
        <v>29</v>
      </c>
    </row>
    <row r="528" spans="1:13" x14ac:dyDescent="0.25">
      <c r="A528" s="23">
        <f t="shared" si="28"/>
        <v>258217</v>
      </c>
      <c r="B528" s="14" t="str">
        <f t="shared" si="27"/>
        <v>Credit Cards (UMB) - Credits</v>
      </c>
      <c r="C528" s="38">
        <v>46155</v>
      </c>
      <c r="D528" s="34">
        <v>258217</v>
      </c>
      <c r="E528" s="36" t="str">
        <f>IF(Table3[[#This Row],[Type Received]]=2,"CC",(IF(Table3[[#This Row],[Type Received]]=3,"BILL","ACH")))</f>
        <v>CC</v>
      </c>
      <c r="F528" s="35">
        <v>63.49</v>
      </c>
      <c r="G528" s="14" t="str">
        <f>VLOOKUP(D528,Table4[],3,FALSE)</f>
        <v>2</v>
      </c>
      <c r="H528" s="15"/>
      <c r="I528" s="15" t="s">
        <v>127</v>
      </c>
      <c r="J528" s="15" t="s">
        <v>28</v>
      </c>
      <c r="K528" s="15">
        <v>669430097</v>
      </c>
      <c r="L528" s="15" t="s">
        <v>29</v>
      </c>
      <c r="M528" s="15" t="s">
        <v>29</v>
      </c>
    </row>
    <row r="529" spans="1:13" x14ac:dyDescent="0.25">
      <c r="A529" s="23">
        <f t="shared" si="28"/>
        <v>258220</v>
      </c>
      <c r="B529" s="14" t="str">
        <f t="shared" si="27"/>
        <v>Direct Debit (UMB Bank) - Credits</v>
      </c>
      <c r="C529" s="37">
        <v>46155</v>
      </c>
      <c r="D529" s="31">
        <v>258220</v>
      </c>
      <c r="E529" s="33" t="str">
        <f>IF(Table3[[#This Row],[Type Received]]=2,"CC",(IF(Table3[[#This Row],[Type Received]]=3,"BILL","ACH")))</f>
        <v>ACH</v>
      </c>
      <c r="F529" s="32">
        <v>79.11</v>
      </c>
      <c r="G529" s="14" t="str">
        <f>VLOOKUP(D529,Table4[],3,FALSE)</f>
        <v>1</v>
      </c>
      <c r="H529" s="15"/>
      <c r="I529" s="15" t="s">
        <v>128</v>
      </c>
      <c r="J529" s="15" t="s">
        <v>28</v>
      </c>
      <c r="K529" s="15">
        <v>669436945</v>
      </c>
      <c r="L529" s="15" t="s">
        <v>29</v>
      </c>
      <c r="M529" s="15" t="s">
        <v>29</v>
      </c>
    </row>
    <row r="530" spans="1:13" x14ac:dyDescent="0.25">
      <c r="A530" s="23">
        <f t="shared" si="28"/>
        <v>258223</v>
      </c>
      <c r="B530" s="14" t="str">
        <f t="shared" si="27"/>
        <v>Direct Debit (UMB Bank) - Credits</v>
      </c>
      <c r="C530" s="38">
        <v>46169</v>
      </c>
      <c r="D530" s="34">
        <v>258223</v>
      </c>
      <c r="E530" s="36" t="str">
        <f>IF(Table3[[#This Row],[Type Received]]=2,"CC",(IF(Table3[[#This Row],[Type Received]]=3,"BILL","ACH")))</f>
        <v>ACH</v>
      </c>
      <c r="F530" s="35">
        <v>129.82</v>
      </c>
      <c r="G530" s="14" t="str">
        <f>VLOOKUP(D530,Table4[],3,FALSE)</f>
        <v>2</v>
      </c>
      <c r="H530" s="15"/>
      <c r="I530" s="15"/>
      <c r="J530" s="15" t="s">
        <v>117</v>
      </c>
      <c r="K530" s="15">
        <v>840823516</v>
      </c>
      <c r="L530" s="15" t="s">
        <v>29</v>
      </c>
      <c r="M530" s="15" t="s">
        <v>29</v>
      </c>
    </row>
    <row r="531" spans="1:13" x14ac:dyDescent="0.25">
      <c r="A531" s="23">
        <f t="shared" si="28"/>
        <v>258226</v>
      </c>
      <c r="B531" s="14" t="str">
        <f t="shared" si="27"/>
        <v>Direct Debit (UMB Bank) - Credits</v>
      </c>
      <c r="C531" s="37">
        <v>46143</v>
      </c>
      <c r="D531" s="31">
        <v>258226</v>
      </c>
      <c r="E531" s="33" t="str">
        <f>IF(Table3[[#This Row],[Type Received]]=2,"CC",(IF(Table3[[#This Row],[Type Received]]=3,"BILL","ACH")))</f>
        <v>ACH</v>
      </c>
      <c r="F531" s="32">
        <v>86.15</v>
      </c>
      <c r="G531" s="14" t="str">
        <f>VLOOKUP(D531,Table4[],3,FALSE)</f>
        <v>1</v>
      </c>
      <c r="H531" s="15"/>
      <c r="I531" s="15"/>
      <c r="J531" s="15" t="s">
        <v>84</v>
      </c>
      <c r="K531" s="15">
        <v>522204932</v>
      </c>
      <c r="L531" s="15" t="s">
        <v>29</v>
      </c>
      <c r="M531" s="15" t="s">
        <v>29</v>
      </c>
    </row>
    <row r="532" spans="1:13" x14ac:dyDescent="0.25">
      <c r="A532" s="23">
        <f t="shared" si="28"/>
        <v>258227</v>
      </c>
      <c r="B532" s="14" t="str">
        <f t="shared" si="27"/>
        <v>Direct Debit (UMB Bank) - Credits</v>
      </c>
      <c r="C532" s="38">
        <v>46157</v>
      </c>
      <c r="D532" s="34">
        <v>258227</v>
      </c>
      <c r="E532" s="36" t="str">
        <f>IF(Table3[[#This Row],[Type Received]]=2,"CC",(IF(Table3[[#This Row],[Type Received]]=3,"BILL","ACH")))</f>
        <v>ACH</v>
      </c>
      <c r="F532" s="35">
        <v>61.51</v>
      </c>
      <c r="G532" s="14" t="str">
        <f>VLOOKUP(D532,Table4[],3,FALSE)</f>
        <v>2</v>
      </c>
      <c r="H532" s="15"/>
      <c r="I532" s="15"/>
      <c r="J532" s="15" t="s">
        <v>87</v>
      </c>
      <c r="K532" s="15">
        <v>696616096</v>
      </c>
      <c r="L532" s="15" t="s">
        <v>29</v>
      </c>
      <c r="M532" s="15"/>
    </row>
    <row r="533" spans="1:13" x14ac:dyDescent="0.25">
      <c r="A533" s="23">
        <f t="shared" si="28"/>
        <v>258232</v>
      </c>
      <c r="B533" s="14" t="str">
        <f t="shared" si="27"/>
        <v>Billing - Credits (from TPA)</v>
      </c>
      <c r="C533" s="37">
        <v>46143</v>
      </c>
      <c r="D533" s="31">
        <v>258232</v>
      </c>
      <c r="E533" s="33" t="str">
        <f>IF(Table3[[#This Row],[Type Received]]=2,"CC",(IF(Table3[[#This Row],[Type Received]]=3,"BILL","ACH")))</f>
        <v>BILL</v>
      </c>
      <c r="F533" s="32">
        <v>51.28</v>
      </c>
      <c r="G533" s="14" t="str">
        <f>VLOOKUP(D533,Table4[],3,FALSE)</f>
        <v>2</v>
      </c>
      <c r="H533" s="15"/>
      <c r="I533" s="15"/>
      <c r="J533" s="15" t="s">
        <v>84</v>
      </c>
      <c r="K533" s="15">
        <v>522212636</v>
      </c>
      <c r="L533" s="15" t="s">
        <v>29</v>
      </c>
      <c r="M533" s="15" t="s">
        <v>29</v>
      </c>
    </row>
    <row r="534" spans="1:13" x14ac:dyDescent="0.25">
      <c r="A534" s="23">
        <f t="shared" si="28"/>
        <v>258236</v>
      </c>
      <c r="B534" s="14" t="str">
        <f t="shared" si="27"/>
        <v>Direct Debit (UMB Bank) - Credits</v>
      </c>
      <c r="C534" s="38">
        <v>46169</v>
      </c>
      <c r="D534" s="34">
        <v>258236</v>
      </c>
      <c r="E534" s="36" t="str">
        <f>IF(Table3[[#This Row],[Type Received]]=2,"CC",(IF(Table3[[#This Row],[Type Received]]=3,"BILL","ACH")))</f>
        <v>ACH</v>
      </c>
      <c r="F534" s="35">
        <v>201.26</v>
      </c>
      <c r="G534" s="14" t="str">
        <f>VLOOKUP(D534,Table4[],3,FALSE)</f>
        <v>1</v>
      </c>
      <c r="H534" s="15">
        <v>5486</v>
      </c>
      <c r="I534" s="15"/>
      <c r="J534" s="15"/>
      <c r="K534" s="15"/>
      <c r="L534" s="15"/>
      <c r="M534" s="15"/>
    </row>
    <row r="535" spans="1:13" x14ac:dyDescent="0.25">
      <c r="A535" s="23">
        <f t="shared" si="28"/>
        <v>258243</v>
      </c>
      <c r="B535" s="14" t="str">
        <f t="shared" si="27"/>
        <v>Credit Cards (UMB) - Credits</v>
      </c>
      <c r="C535" s="37">
        <v>46157</v>
      </c>
      <c r="D535" s="31">
        <v>258243</v>
      </c>
      <c r="E535" s="33" t="str">
        <f>IF(Table3[[#This Row],[Type Received]]=2,"CC",(IF(Table3[[#This Row],[Type Received]]=3,"BILL","ACH")))</f>
        <v>CC</v>
      </c>
      <c r="F535" s="32">
        <v>74.489999999999995</v>
      </c>
      <c r="G535" s="14" t="str">
        <f>VLOOKUP(D535,Table4[],3,FALSE)</f>
        <v>1</v>
      </c>
      <c r="H535" s="15"/>
      <c r="I535" s="15"/>
      <c r="J535" s="15" t="s">
        <v>87</v>
      </c>
      <c r="K535" s="15">
        <v>696624912</v>
      </c>
      <c r="L535" s="15" t="s">
        <v>29</v>
      </c>
      <c r="M535" s="15"/>
    </row>
    <row r="536" spans="1:13" x14ac:dyDescent="0.25">
      <c r="A536" s="23">
        <f t="shared" si="28"/>
        <v>258245</v>
      </c>
      <c r="B536" s="14" t="str">
        <f t="shared" si="27"/>
        <v>Direct Debit (UMB Bank) - Credits</v>
      </c>
      <c r="C536" s="38">
        <v>46143</v>
      </c>
      <c r="D536" s="34">
        <v>258245</v>
      </c>
      <c r="E536" s="36" t="str">
        <f>IF(Table3[[#This Row],[Type Received]]=2,"CC",(IF(Table3[[#This Row],[Type Received]]=3,"BILL","ACH")))</f>
        <v>ACH</v>
      </c>
      <c r="F536" s="35">
        <v>84.61</v>
      </c>
      <c r="G536" s="14" t="str">
        <f>VLOOKUP(D536,Table4[],3,FALSE)</f>
        <v>2</v>
      </c>
      <c r="H536" s="15"/>
      <c r="I536" s="15">
        <v>130444</v>
      </c>
      <c r="J536" s="15" t="s">
        <v>28</v>
      </c>
      <c r="K536" s="15">
        <v>522225260</v>
      </c>
      <c r="L536" s="15" t="s">
        <v>29</v>
      </c>
      <c r="M536" s="15"/>
    </row>
    <row r="537" spans="1:13" x14ac:dyDescent="0.25">
      <c r="A537" s="23">
        <f t="shared" si="28"/>
        <v>258246</v>
      </c>
      <c r="B537" s="14" t="str">
        <f t="shared" si="27"/>
        <v>Direct Debit (UMB Bank) - Credits</v>
      </c>
      <c r="C537" s="37">
        <v>46170</v>
      </c>
      <c r="D537" s="31">
        <v>258246</v>
      </c>
      <c r="E537" s="33" t="str">
        <f>IF(Table3[[#This Row],[Type Received]]=2,"CC",(IF(Table3[[#This Row],[Type Received]]=3,"BILL","ACH")))</f>
        <v>ACH</v>
      </c>
      <c r="F537" s="32">
        <v>112.11</v>
      </c>
      <c r="G537" s="14" t="str">
        <f>VLOOKUP(D537,Table4[],3,FALSE)</f>
        <v>1</v>
      </c>
      <c r="H537" s="15"/>
      <c r="I537" s="15"/>
      <c r="J537" s="15" t="s">
        <v>91</v>
      </c>
      <c r="K537" s="15">
        <v>853941146</v>
      </c>
      <c r="L537" s="15" t="s">
        <v>29</v>
      </c>
      <c r="M537" s="15"/>
    </row>
    <row r="538" spans="1:13" x14ac:dyDescent="0.25">
      <c r="A538" s="23">
        <f t="shared" si="28"/>
        <v>258249</v>
      </c>
      <c r="B538" s="14" t="str">
        <f t="shared" si="27"/>
        <v>Billing - Credits (from TPA)</v>
      </c>
      <c r="C538" s="38">
        <v>46169</v>
      </c>
      <c r="D538" s="34">
        <v>258249</v>
      </c>
      <c r="E538" s="36" t="str">
        <f>IF(Table3[[#This Row],[Type Received]]=2,"CC",(IF(Table3[[#This Row],[Type Received]]=3,"BILL","ACH")))</f>
        <v>BILL</v>
      </c>
      <c r="F538" s="35">
        <v>70.42</v>
      </c>
      <c r="G538" s="14" t="str">
        <f>VLOOKUP(D538,Table4[],3,FALSE)</f>
        <v>2</v>
      </c>
      <c r="H538" s="15"/>
      <c r="I538" s="15"/>
      <c r="J538" s="15" t="s">
        <v>117</v>
      </c>
      <c r="K538" s="15">
        <v>840825523</v>
      </c>
      <c r="L538" s="15" t="s">
        <v>29</v>
      </c>
      <c r="M538" s="15"/>
    </row>
    <row r="539" spans="1:13" x14ac:dyDescent="0.25">
      <c r="A539" s="23">
        <f t="shared" si="28"/>
        <v>258252</v>
      </c>
      <c r="B539" s="14" t="str">
        <f t="shared" si="27"/>
        <v>Direct Debit (UMB Bank) - Credits</v>
      </c>
      <c r="C539" s="37">
        <v>46150</v>
      </c>
      <c r="D539" s="31">
        <v>258252</v>
      </c>
      <c r="E539" s="33" t="str">
        <f>IF(Table3[[#This Row],[Type Received]]=2,"CC",(IF(Table3[[#This Row],[Type Received]]=3,"BILL","ACH")))</f>
        <v>ACH</v>
      </c>
      <c r="F539" s="32">
        <v>32.159999999999997</v>
      </c>
      <c r="G539" s="14" t="str">
        <f>VLOOKUP(D539,Table4[],3,FALSE)</f>
        <v>2</v>
      </c>
      <c r="H539" s="15">
        <v>1378</v>
      </c>
      <c r="I539" s="15"/>
      <c r="J539" s="24"/>
      <c r="K539" s="15"/>
      <c r="L539" s="15"/>
      <c r="M539" s="15" t="s">
        <v>29</v>
      </c>
    </row>
    <row r="540" spans="1:13" x14ac:dyDescent="0.25">
      <c r="A540" s="23">
        <f t="shared" si="28"/>
        <v>258261</v>
      </c>
      <c r="B540" s="14" t="str">
        <f t="shared" si="27"/>
        <v>Direct Debit (UMB Bank) - Credits</v>
      </c>
      <c r="C540" s="38">
        <v>46147</v>
      </c>
      <c r="D540" s="34">
        <v>258261</v>
      </c>
      <c r="E540" s="36" t="str">
        <f>IF(Table3[[#This Row],[Type Received]]=2,"CC",(IF(Table3[[#This Row],[Type Received]]=3,"BILL","ACH")))</f>
        <v>ACH</v>
      </c>
      <c r="F540" s="35">
        <v>46.66</v>
      </c>
      <c r="G540" s="14" t="str">
        <f>VLOOKUP(D540,Table4[],3,FALSE)</f>
        <v>2</v>
      </c>
      <c r="H540" s="15"/>
      <c r="I540" s="15"/>
      <c r="J540" s="15" t="s">
        <v>86</v>
      </c>
      <c r="K540" s="15">
        <v>569463865</v>
      </c>
      <c r="L540" s="15" t="s">
        <v>29</v>
      </c>
      <c r="M540" s="15" t="s">
        <v>29</v>
      </c>
    </row>
    <row r="541" spans="1:13" x14ac:dyDescent="0.25">
      <c r="A541" s="23">
        <f t="shared" si="28"/>
        <v>258267</v>
      </c>
      <c r="B541" s="14" t="str">
        <f t="shared" si="27"/>
        <v>Credit Cards (UMB) - Credits</v>
      </c>
      <c r="C541" s="37">
        <v>46143</v>
      </c>
      <c r="D541" s="31">
        <v>258267</v>
      </c>
      <c r="E541" s="33" t="str">
        <f>IF(Table3[[#This Row],[Type Received]]=2,"CC",(IF(Table3[[#This Row],[Type Received]]=3,"BILL","ACH")))</f>
        <v>CC</v>
      </c>
      <c r="F541" s="32">
        <v>101.44</v>
      </c>
      <c r="G541" s="14" t="str">
        <f>VLOOKUP(D541,Table4[],3,FALSE)</f>
        <v>2</v>
      </c>
      <c r="H541" s="15"/>
      <c r="I541" s="15"/>
      <c r="J541" s="15" t="s">
        <v>84</v>
      </c>
      <c r="K541" s="15">
        <v>522215633</v>
      </c>
      <c r="L541" s="15" t="s">
        <v>29</v>
      </c>
      <c r="M541" s="15" t="s">
        <v>29</v>
      </c>
    </row>
    <row r="542" spans="1:13" x14ac:dyDescent="0.25">
      <c r="A542" s="23">
        <f t="shared" si="28"/>
        <v>258281</v>
      </c>
      <c r="B542" s="14" t="str">
        <f t="shared" si="27"/>
        <v>Credit Cards (UMB) - Credits</v>
      </c>
      <c r="C542" s="38">
        <v>46157</v>
      </c>
      <c r="D542" s="34">
        <v>258281</v>
      </c>
      <c r="E542" s="36" t="str">
        <f>IF(Table3[[#This Row],[Type Received]]=2,"CC",(IF(Table3[[#This Row],[Type Received]]=3,"BILL","ACH")))</f>
        <v>CC</v>
      </c>
      <c r="F542" s="35">
        <v>55.57</v>
      </c>
      <c r="G542" s="14" t="str">
        <f>VLOOKUP(D542,Table4[],3,FALSE)</f>
        <v>1</v>
      </c>
      <c r="H542" s="15"/>
      <c r="I542" s="15">
        <v>102069</v>
      </c>
      <c r="J542" s="15" t="s">
        <v>28</v>
      </c>
      <c r="K542" s="15">
        <v>696630618</v>
      </c>
      <c r="L542" s="15" t="s">
        <v>29</v>
      </c>
      <c r="M542" s="15" t="s">
        <v>29</v>
      </c>
    </row>
    <row r="543" spans="1:13" x14ac:dyDescent="0.25">
      <c r="A543" s="23">
        <f t="shared" si="28"/>
        <v>258282</v>
      </c>
      <c r="B543" s="14" t="str">
        <f t="shared" si="27"/>
        <v>Direct Debit (UMB Bank) - Credits</v>
      </c>
      <c r="C543" s="37">
        <v>46163</v>
      </c>
      <c r="D543" s="31">
        <v>258282</v>
      </c>
      <c r="E543" s="33" t="str">
        <f>IF(Table3[[#This Row],[Type Received]]=2,"CC",(IF(Table3[[#This Row],[Type Received]]=3,"BILL","ACH")))</f>
        <v>ACH</v>
      </c>
      <c r="F543" s="32">
        <v>97.15</v>
      </c>
      <c r="G543" s="14" t="str">
        <f>VLOOKUP(D543,Table4[],3,FALSE)</f>
        <v>1</v>
      </c>
      <c r="H543" s="15"/>
      <c r="I543" s="15" t="s">
        <v>129</v>
      </c>
      <c r="J543" s="15" t="s">
        <v>28</v>
      </c>
      <c r="K543" s="15">
        <v>772535764</v>
      </c>
      <c r="L543" s="15" t="s">
        <v>29</v>
      </c>
      <c r="M543" s="15" t="s">
        <v>29</v>
      </c>
    </row>
    <row r="544" spans="1:13" x14ac:dyDescent="0.25">
      <c r="A544" s="23">
        <f t="shared" si="28"/>
        <v>258285</v>
      </c>
      <c r="B544" s="14" t="str">
        <f t="shared" si="27"/>
        <v>Direct Debit (UMB Bank) - Credits</v>
      </c>
      <c r="C544" s="38">
        <v>46157</v>
      </c>
      <c r="D544" s="34">
        <v>258285</v>
      </c>
      <c r="E544" s="36" t="str">
        <f>IF(Table3[[#This Row],[Type Received]]=2,"CC",(IF(Table3[[#This Row],[Type Received]]=3,"BILL","ACH")))</f>
        <v>ACH</v>
      </c>
      <c r="F544" s="35">
        <v>181.96</v>
      </c>
      <c r="G544" s="14" t="str">
        <f>VLOOKUP(D544,Table4[],3,FALSE)</f>
        <v>2</v>
      </c>
      <c r="H544" s="15"/>
      <c r="I544" s="15"/>
      <c r="J544" s="15" t="s">
        <v>87</v>
      </c>
      <c r="K544" s="15">
        <v>696621966</v>
      </c>
      <c r="L544" s="15" t="s">
        <v>29</v>
      </c>
      <c r="M544" s="15"/>
    </row>
    <row r="545" spans="1:13" x14ac:dyDescent="0.25">
      <c r="A545" s="23">
        <f t="shared" si="28"/>
        <v>258288</v>
      </c>
      <c r="B545" s="14" t="str">
        <f t="shared" si="27"/>
        <v>Billing - Credits (from TPA)</v>
      </c>
      <c r="C545" s="37">
        <v>46143</v>
      </c>
      <c r="D545" s="31">
        <v>258288</v>
      </c>
      <c r="E545" s="33" t="str">
        <f>IF(Table3[[#This Row],[Type Received]]=2,"CC",(IF(Table3[[#This Row],[Type Received]]=3,"BILL","ACH")))</f>
        <v>BILL</v>
      </c>
      <c r="F545" s="32">
        <v>48.75</v>
      </c>
      <c r="G545" s="14" t="str">
        <f>VLOOKUP(D545,Table4[],3,FALSE)</f>
        <v>1</v>
      </c>
      <c r="H545" s="15"/>
      <c r="I545" s="15"/>
      <c r="J545" s="15" t="s">
        <v>84</v>
      </c>
      <c r="K545" s="15">
        <v>522204060</v>
      </c>
      <c r="L545" s="15" t="s">
        <v>29</v>
      </c>
      <c r="M545" s="15" t="s">
        <v>29</v>
      </c>
    </row>
    <row r="546" spans="1:13" x14ac:dyDescent="0.25">
      <c r="A546" s="23">
        <f t="shared" si="28"/>
        <v>258289</v>
      </c>
      <c r="B546" s="14" t="str">
        <f t="shared" si="27"/>
        <v>Credit Cards (UMB) - Credits</v>
      </c>
      <c r="C546" s="38">
        <v>46146</v>
      </c>
      <c r="D546" s="34">
        <v>258289</v>
      </c>
      <c r="E546" s="36" t="str">
        <f>IF(Table3[[#This Row],[Type Received]]=2,"CC",(IF(Table3[[#This Row],[Type Received]]=3,"BILL","ACH")))</f>
        <v>CC</v>
      </c>
      <c r="F546" s="35">
        <v>106.66</v>
      </c>
      <c r="G546" s="14" t="str">
        <f>VLOOKUP(D546,Table4[],3,FALSE)</f>
        <v>1</v>
      </c>
      <c r="H546" s="15">
        <v>3538</v>
      </c>
      <c r="I546" s="15"/>
      <c r="J546" s="15"/>
      <c r="K546" s="15"/>
      <c r="L546" s="15"/>
      <c r="M546" s="15"/>
    </row>
    <row r="547" spans="1:13" x14ac:dyDescent="0.25">
      <c r="A547" s="23">
        <f t="shared" si="28"/>
        <v>258291</v>
      </c>
      <c r="B547" s="14" t="str">
        <f t="shared" si="27"/>
        <v>Direct Debit (UMB Bank) - Credits</v>
      </c>
      <c r="C547" s="37">
        <v>46171</v>
      </c>
      <c r="D547" s="31">
        <v>258291</v>
      </c>
      <c r="E547" s="33" t="str">
        <f>IF(Table3[[#This Row],[Type Received]]=2,"CC",(IF(Table3[[#This Row],[Type Received]]=3,"BILL","ACH")))</f>
        <v>ACH</v>
      </c>
      <c r="F547" s="32">
        <v>56.25</v>
      </c>
      <c r="G547" s="14" t="str">
        <f>VLOOKUP(D547,Table4[],3,FALSE)</f>
        <v>1</v>
      </c>
      <c r="H547" s="15"/>
      <c r="I547" s="15">
        <v>427919</v>
      </c>
      <c r="J547" s="15" t="s">
        <v>28</v>
      </c>
      <c r="K547" s="15">
        <v>866937547</v>
      </c>
      <c r="L547" s="15" t="s">
        <v>29</v>
      </c>
      <c r="M547" s="15" t="s">
        <v>29</v>
      </c>
    </row>
    <row r="548" spans="1:13" x14ac:dyDescent="0.25">
      <c r="A548" s="23">
        <f t="shared" si="28"/>
        <v>258293</v>
      </c>
      <c r="B548" s="14" t="str">
        <f t="shared" si="27"/>
        <v>Credit Cards (UMB) - Credits</v>
      </c>
      <c r="C548" s="38">
        <v>46168</v>
      </c>
      <c r="D548" s="34">
        <v>258293</v>
      </c>
      <c r="E548" s="36" t="str">
        <f>IF(Table3[[#This Row],[Type Received]]=2,"CC",(IF(Table3[[#This Row],[Type Received]]=3,"BILL","ACH")))</f>
        <v>CC</v>
      </c>
      <c r="F548" s="35">
        <v>129.79</v>
      </c>
      <c r="G548" s="14" t="str">
        <f>VLOOKUP(D548,Table4[],3,FALSE)</f>
        <v>1</v>
      </c>
      <c r="H548" s="15"/>
      <c r="I548" s="15"/>
      <c r="J548" s="24" t="s">
        <v>110</v>
      </c>
      <c r="K548" s="15">
        <v>833579067</v>
      </c>
      <c r="L548" s="15" t="s">
        <v>29</v>
      </c>
      <c r="M548" s="15" t="s">
        <v>29</v>
      </c>
    </row>
    <row r="549" spans="1:13" x14ac:dyDescent="0.25">
      <c r="A549" s="23">
        <f t="shared" si="28"/>
        <v>258302</v>
      </c>
      <c r="B549" s="14" t="str">
        <f t="shared" si="27"/>
        <v>Credit Cards (UMB) - Credits</v>
      </c>
      <c r="C549" s="37">
        <v>46149</v>
      </c>
      <c r="D549" s="31">
        <v>258302</v>
      </c>
      <c r="E549" s="33" t="str">
        <f>IF(Table3[[#This Row],[Type Received]]=2,"CC",(IF(Table3[[#This Row],[Type Received]]=3,"BILL","ACH")))</f>
        <v>CC</v>
      </c>
      <c r="F549" s="32">
        <v>87.91</v>
      </c>
      <c r="G549" s="14" t="str">
        <f>VLOOKUP(D549,Table4[],3,FALSE)</f>
        <v>2</v>
      </c>
      <c r="H549" s="15"/>
      <c r="I549" s="15" t="s">
        <v>130</v>
      </c>
      <c r="J549" s="24" t="s">
        <v>28</v>
      </c>
      <c r="K549" s="15">
        <v>594883989</v>
      </c>
      <c r="L549" s="15" t="s">
        <v>29</v>
      </c>
      <c r="M549" s="15"/>
    </row>
    <row r="550" spans="1:13" x14ac:dyDescent="0.25">
      <c r="A550" s="23">
        <f t="shared" si="28"/>
        <v>258307</v>
      </c>
      <c r="B550" s="14" t="str">
        <f t="shared" si="27"/>
        <v>Direct Debit (UMB Bank) - Credits</v>
      </c>
      <c r="C550" s="38">
        <v>46163</v>
      </c>
      <c r="D550" s="34">
        <v>258307</v>
      </c>
      <c r="E550" s="36" t="str">
        <f>IF(Table3[[#This Row],[Type Received]]=2,"CC",(IF(Table3[[#This Row],[Type Received]]=3,"BILL","ACH")))</f>
        <v>ACH</v>
      </c>
      <c r="F550" s="35">
        <v>96.1</v>
      </c>
      <c r="G550" s="14" t="str">
        <f>VLOOKUP(D550,Table4[],3,FALSE)</f>
        <v>1</v>
      </c>
      <c r="H550" s="15"/>
      <c r="I550" s="15">
        <v>392</v>
      </c>
      <c r="J550" s="15" t="s">
        <v>28</v>
      </c>
      <c r="K550" s="15">
        <v>773297755</v>
      </c>
      <c r="L550" s="15" t="s">
        <v>29</v>
      </c>
      <c r="M550" s="15" t="s">
        <v>29</v>
      </c>
    </row>
    <row r="551" spans="1:13" x14ac:dyDescent="0.25">
      <c r="A551" s="23">
        <f t="shared" si="28"/>
        <v>258309</v>
      </c>
      <c r="B551" s="14" t="str">
        <f t="shared" si="27"/>
        <v>Direct Debit (UMB Bank) - Credits</v>
      </c>
      <c r="C551" s="37">
        <v>46157</v>
      </c>
      <c r="D551" s="31">
        <v>258309</v>
      </c>
      <c r="E551" s="33" t="str">
        <f>IF(Table3[[#This Row],[Type Received]]=2,"CC",(IF(Table3[[#This Row],[Type Received]]=3,"BILL","ACH")))</f>
        <v>ACH</v>
      </c>
      <c r="F551" s="32">
        <v>98.14</v>
      </c>
      <c r="G551" s="14" t="str">
        <f>VLOOKUP(D551,Table4[],3,FALSE)</f>
        <v>2</v>
      </c>
      <c r="H551" s="15"/>
      <c r="I551" s="15"/>
      <c r="J551" s="15" t="s">
        <v>87</v>
      </c>
      <c r="K551" s="15">
        <v>696637736</v>
      </c>
      <c r="L551" s="15" t="s">
        <v>29</v>
      </c>
      <c r="M551" s="15"/>
    </row>
    <row r="552" spans="1:13" x14ac:dyDescent="0.25">
      <c r="A552" s="23"/>
      <c r="B552" s="14" t="str">
        <f t="shared" si="27"/>
        <v>Direct Debit (UMB Bank) - Credits</v>
      </c>
      <c r="C552" s="38">
        <v>46167</v>
      </c>
      <c r="D552" s="34">
        <v>258310</v>
      </c>
      <c r="E552" s="36" t="str">
        <f>IF(Table3[[#This Row],[Type Received]]=2,"CC",(IF(Table3[[#This Row],[Type Received]]=3,"BILL","ACH")))</f>
        <v>ACH</v>
      </c>
      <c r="F552" s="35">
        <v>61.84</v>
      </c>
      <c r="G552" s="14" t="str">
        <f>VLOOKUP(D552,Table4[],3,FALSE)</f>
        <v>2</v>
      </c>
      <c r="H552" s="15"/>
      <c r="I552" s="15"/>
      <c r="J552" s="15" t="s">
        <v>85</v>
      </c>
      <c r="K552" s="15">
        <v>818336124</v>
      </c>
      <c r="L552" s="15" t="s">
        <v>29</v>
      </c>
      <c r="M552" s="15" t="s">
        <v>29</v>
      </c>
    </row>
    <row r="553" spans="1:13" x14ac:dyDescent="0.25">
      <c r="A553" s="23">
        <f t="shared" ref="A553:A562" si="29">D553</f>
        <v>258312</v>
      </c>
      <c r="B553" s="14" t="str">
        <f t="shared" si="27"/>
        <v>Direct Debit (UMB Bank) - Credits</v>
      </c>
      <c r="C553" s="37">
        <v>46146</v>
      </c>
      <c r="D553" s="31">
        <v>258312</v>
      </c>
      <c r="E553" s="33" t="str">
        <f>IF(Table3[[#This Row],[Type Received]]=2,"CC",(IF(Table3[[#This Row],[Type Received]]=3,"BILL","ACH")))</f>
        <v>ACH</v>
      </c>
      <c r="F553" s="32">
        <v>38.409999999999997</v>
      </c>
      <c r="G553" s="14" t="str">
        <f>VLOOKUP(D553,Table4[],3,FALSE)</f>
        <v>2</v>
      </c>
      <c r="H553" s="15"/>
      <c r="I553" s="15"/>
      <c r="J553" s="15" t="s">
        <v>92</v>
      </c>
      <c r="K553" s="15">
        <v>557080454</v>
      </c>
      <c r="L553" s="15" t="s">
        <v>29</v>
      </c>
      <c r="M553" s="15" t="s">
        <v>29</v>
      </c>
    </row>
    <row r="554" spans="1:13" x14ac:dyDescent="0.25">
      <c r="A554" s="23">
        <f t="shared" si="29"/>
        <v>258315</v>
      </c>
      <c r="B554" s="14" t="str">
        <f t="shared" si="27"/>
        <v>Credit Cards (UMB) - Credits</v>
      </c>
      <c r="C554" s="38">
        <v>46144</v>
      </c>
      <c r="D554" s="34">
        <v>258315</v>
      </c>
      <c r="E554" s="36" t="str">
        <f>IF(Table3[[#This Row],[Type Received]]=2,"CC",(IF(Table3[[#This Row],[Type Received]]=3,"BILL","ACH")))</f>
        <v>CC</v>
      </c>
      <c r="F554" s="35">
        <v>51.39</v>
      </c>
      <c r="G554" s="14" t="str">
        <f>VLOOKUP(D554,Table4[],3,FALSE)</f>
        <v>1</v>
      </c>
      <c r="H554" s="15"/>
      <c r="I554" s="15"/>
      <c r="J554" s="24" t="s">
        <v>89</v>
      </c>
      <c r="K554" s="15">
        <v>535359423</v>
      </c>
      <c r="L554" s="15" t="s">
        <v>29</v>
      </c>
      <c r="M554" s="15"/>
    </row>
    <row r="555" spans="1:13" x14ac:dyDescent="0.25">
      <c r="A555" s="23">
        <f t="shared" si="29"/>
        <v>258320</v>
      </c>
      <c r="B555" s="14" t="str">
        <f t="shared" si="27"/>
        <v>Direct Debit (UMB Bank) - Credits</v>
      </c>
      <c r="C555" s="37">
        <v>46170</v>
      </c>
      <c r="D555" s="31">
        <v>258320</v>
      </c>
      <c r="E555" s="33" t="str">
        <f>IF(Table3[[#This Row],[Type Received]]=2,"CC",(IF(Table3[[#This Row],[Type Received]]=3,"BILL","ACH")))</f>
        <v>ACH</v>
      </c>
      <c r="F555" s="32">
        <v>72.78</v>
      </c>
      <c r="G555" s="14" t="str">
        <f>VLOOKUP(D555,Table4[],3,FALSE)</f>
        <v>1</v>
      </c>
      <c r="H555" s="15"/>
      <c r="I555" s="15">
        <v>175757</v>
      </c>
      <c r="J555" s="15">
        <v>749514569</v>
      </c>
      <c r="K555" s="15">
        <v>356116903</v>
      </c>
      <c r="L555" s="15"/>
      <c r="M555" s="15"/>
    </row>
    <row r="556" spans="1:13" x14ac:dyDescent="0.25">
      <c r="A556" s="23">
        <f t="shared" si="29"/>
        <v>258324</v>
      </c>
      <c r="B556" s="14" t="str">
        <f t="shared" si="27"/>
        <v>Credit Cards (UMB) - Credits</v>
      </c>
      <c r="C556" s="38">
        <v>46157</v>
      </c>
      <c r="D556" s="34">
        <v>258324</v>
      </c>
      <c r="E556" s="36" t="str">
        <f>IF(Table3[[#This Row],[Type Received]]=2,"CC",(IF(Table3[[#This Row],[Type Received]]=3,"BILL","ACH")))</f>
        <v>CC</v>
      </c>
      <c r="F556" s="35">
        <v>87.69</v>
      </c>
      <c r="G556" s="14" t="str">
        <f>VLOOKUP(D556,Table4[],3,FALSE)</f>
        <v>1</v>
      </c>
      <c r="H556" s="15"/>
      <c r="I556" s="15"/>
      <c r="J556" s="15" t="s">
        <v>87</v>
      </c>
      <c r="K556" s="15">
        <v>696643486</v>
      </c>
      <c r="L556" s="15" t="s">
        <v>29</v>
      </c>
      <c r="M556" s="15" t="s">
        <v>29</v>
      </c>
    </row>
    <row r="557" spans="1:13" x14ac:dyDescent="0.25">
      <c r="A557" s="23">
        <f t="shared" si="29"/>
        <v>258327</v>
      </c>
      <c r="B557" s="14" t="str">
        <f t="shared" si="27"/>
        <v>Direct Debit (UMB Bank) - Credits</v>
      </c>
      <c r="C557" s="37">
        <v>46155</v>
      </c>
      <c r="D557" s="31">
        <v>258327</v>
      </c>
      <c r="E557" s="33" t="str">
        <f>IF(Table3[[#This Row],[Type Received]]=2,"CC",(IF(Table3[[#This Row],[Type Received]]=3,"BILL","ACH")))</f>
        <v>ACH</v>
      </c>
      <c r="F557" s="32">
        <v>33.79</v>
      </c>
      <c r="G557" s="14" t="str">
        <f>VLOOKUP(D557,Table4[],3,FALSE)</f>
        <v>2</v>
      </c>
      <c r="H557" s="15"/>
      <c r="I557" s="15">
        <v>85470</v>
      </c>
      <c r="J557" s="15" t="s">
        <v>28</v>
      </c>
      <c r="K557" s="15">
        <v>669458149</v>
      </c>
      <c r="L557" s="15" t="s">
        <v>29</v>
      </c>
      <c r="M557" s="15"/>
    </row>
    <row r="558" spans="1:13" x14ac:dyDescent="0.25">
      <c r="A558" s="23">
        <f t="shared" si="29"/>
        <v>258332</v>
      </c>
      <c r="B558" s="14" t="str">
        <f t="shared" si="27"/>
        <v>Direct Debit (UMB Bank) - Credits</v>
      </c>
      <c r="C558" s="38">
        <v>46157</v>
      </c>
      <c r="D558" s="34">
        <v>258332</v>
      </c>
      <c r="E558" s="36" t="str">
        <f>IF(Table3[[#This Row],[Type Received]]=2,"CC",(IF(Table3[[#This Row],[Type Received]]=3,"BILL","ACH")))</f>
        <v>ACH</v>
      </c>
      <c r="F558" s="35">
        <v>81.64</v>
      </c>
      <c r="G558" s="14" t="str">
        <f>VLOOKUP(D558,Table4[],3,FALSE)</f>
        <v>2</v>
      </c>
      <c r="H558" s="15"/>
      <c r="I558" s="15"/>
      <c r="J558" s="15" t="s">
        <v>87</v>
      </c>
      <c r="K558" s="15">
        <v>696650361</v>
      </c>
      <c r="L558" s="15" t="s">
        <v>29</v>
      </c>
      <c r="M558" s="15"/>
    </row>
    <row r="559" spans="1:13" x14ac:dyDescent="0.25">
      <c r="A559" s="23">
        <f t="shared" si="29"/>
        <v>258333</v>
      </c>
      <c r="B559" s="14" t="str">
        <f t="shared" si="27"/>
        <v>Direct Debit (UMB Bank) - Credits</v>
      </c>
      <c r="C559" s="37">
        <v>46157</v>
      </c>
      <c r="D559" s="31">
        <v>258333</v>
      </c>
      <c r="E559" s="33" t="str">
        <f>IF(Table3[[#This Row],[Type Received]]=2,"CC",(IF(Table3[[#This Row],[Type Received]]=3,"BILL","ACH")))</f>
        <v>ACH</v>
      </c>
      <c r="F559" s="32">
        <v>52.27</v>
      </c>
      <c r="G559" s="14" t="str">
        <f>VLOOKUP(D559,Table4[],3,FALSE)</f>
        <v>2</v>
      </c>
      <c r="H559" s="15"/>
      <c r="I559" s="15"/>
      <c r="J559" s="15" t="s">
        <v>87</v>
      </c>
      <c r="K559" s="15">
        <v>696646465</v>
      </c>
      <c r="L559" s="15" t="s">
        <v>29</v>
      </c>
      <c r="M559" s="15" t="s">
        <v>29</v>
      </c>
    </row>
    <row r="560" spans="1:13" x14ac:dyDescent="0.25">
      <c r="A560" s="23">
        <f t="shared" si="29"/>
        <v>258355</v>
      </c>
      <c r="B560" s="14" t="str">
        <f t="shared" si="27"/>
        <v>Direct Debit (UMB Bank) - Credits</v>
      </c>
      <c r="C560" s="38">
        <v>46167</v>
      </c>
      <c r="D560" s="34">
        <v>258355</v>
      </c>
      <c r="E560" s="36" t="str">
        <f>IF(Table3[[#This Row],[Type Received]]=2,"CC",(IF(Table3[[#This Row],[Type Received]]=3,"BILL","ACH")))</f>
        <v>ACH</v>
      </c>
      <c r="F560" s="35">
        <v>32.909999999999997</v>
      </c>
      <c r="G560" s="14" t="str">
        <f>VLOOKUP(D560,Table4[],3,FALSE)</f>
        <v>1</v>
      </c>
      <c r="H560" s="15"/>
      <c r="I560" s="15"/>
      <c r="J560" s="15" t="s">
        <v>85</v>
      </c>
      <c r="K560" s="15">
        <v>818320699</v>
      </c>
      <c r="L560" s="15" t="s">
        <v>29</v>
      </c>
      <c r="M560" s="15"/>
    </row>
    <row r="561" spans="1:13" x14ac:dyDescent="0.25">
      <c r="A561" s="23">
        <f t="shared" si="29"/>
        <v>258359</v>
      </c>
      <c r="B561" s="14" t="str">
        <f t="shared" si="27"/>
        <v>Direct Debit (UMB Bank) - Credits</v>
      </c>
      <c r="C561" s="37">
        <v>46143</v>
      </c>
      <c r="D561" s="31">
        <v>258359</v>
      </c>
      <c r="E561" s="33" t="str">
        <f>IF(Table3[[#This Row],[Type Received]]=2,"CC",(IF(Table3[[#This Row],[Type Received]]=3,"BILL","ACH")))</f>
        <v>ACH</v>
      </c>
      <c r="F561" s="32">
        <v>48.55</v>
      </c>
      <c r="G561" s="14" t="str">
        <f>VLOOKUP(D561,Table4[],3,FALSE)</f>
        <v>1</v>
      </c>
      <c r="H561" s="15"/>
      <c r="I561" s="15"/>
      <c r="J561" s="15" t="s">
        <v>84</v>
      </c>
      <c r="K561" s="15">
        <v>527716699</v>
      </c>
      <c r="L561" s="15" t="s">
        <v>29</v>
      </c>
      <c r="M561" s="15" t="s">
        <v>29</v>
      </c>
    </row>
    <row r="562" spans="1:13" x14ac:dyDescent="0.25">
      <c r="A562" s="23">
        <f t="shared" si="29"/>
        <v>258370</v>
      </c>
      <c r="B562" s="14" t="str">
        <f t="shared" si="27"/>
        <v>Credit Cards (UMB) - Credits</v>
      </c>
      <c r="C562" s="38">
        <v>46145</v>
      </c>
      <c r="D562" s="34">
        <v>258370</v>
      </c>
      <c r="E562" s="36" t="str">
        <f>IF(Table3[[#This Row],[Type Received]]=2,"CC",(IF(Table3[[#This Row],[Type Received]]=3,"BILL","ACH")))</f>
        <v>CC</v>
      </c>
      <c r="F562" s="35">
        <v>43.25</v>
      </c>
      <c r="G562" s="14" t="str">
        <f>VLOOKUP(D562,Table4[],3,FALSE)</f>
        <v>1</v>
      </c>
      <c r="H562" s="15"/>
      <c r="I562" s="15"/>
      <c r="J562" s="15" t="s">
        <v>113</v>
      </c>
      <c r="K562" s="15">
        <v>546412584</v>
      </c>
      <c r="L562" s="15" t="s">
        <v>29</v>
      </c>
      <c r="M562" s="15" t="s">
        <v>29</v>
      </c>
    </row>
    <row r="563" spans="1:13" x14ac:dyDescent="0.25">
      <c r="A563" s="23"/>
      <c r="B563" s="14" t="str">
        <f t="shared" si="27"/>
        <v>Direct Debit (UMB Bank) - Credits</v>
      </c>
      <c r="C563" s="37">
        <v>46149</v>
      </c>
      <c r="D563" s="31">
        <v>258373</v>
      </c>
      <c r="E563" s="33" t="str">
        <f>IF(Table3[[#This Row],[Type Received]]=2,"CC",(IF(Table3[[#This Row],[Type Received]]=3,"BILL","ACH")))</f>
        <v>ACH</v>
      </c>
      <c r="F563" s="32">
        <v>150.96</v>
      </c>
      <c r="G563" s="14" t="str">
        <f>VLOOKUP(D563,Table4[],3,FALSE)</f>
        <v>2</v>
      </c>
      <c r="H563" s="15"/>
      <c r="I563" s="15">
        <v>434190</v>
      </c>
      <c r="J563" s="15" t="s">
        <v>28</v>
      </c>
      <c r="K563" s="15">
        <v>595649274</v>
      </c>
      <c r="L563" s="15" t="s">
        <v>29</v>
      </c>
      <c r="M563" s="15" t="s">
        <v>29</v>
      </c>
    </row>
    <row r="564" spans="1:13" x14ac:dyDescent="0.25">
      <c r="A564" s="23">
        <f t="shared" ref="A564:A571" si="30">D564</f>
        <v>258385</v>
      </c>
      <c r="B564" s="14" t="str">
        <f t="shared" si="27"/>
        <v>Direct Debit (UMB Bank) - Credits</v>
      </c>
      <c r="C564" s="38">
        <v>46145</v>
      </c>
      <c r="D564" s="34">
        <v>258385</v>
      </c>
      <c r="E564" s="36" t="str">
        <f>IF(Table3[[#This Row],[Type Received]]=2,"CC",(IF(Table3[[#This Row],[Type Received]]=3,"BILL","ACH")))</f>
        <v>ACH</v>
      </c>
      <c r="F564" s="35">
        <v>42.81</v>
      </c>
      <c r="G564" s="14" t="str">
        <f>VLOOKUP(D564,Table4[],3,FALSE)</f>
        <v>1</v>
      </c>
      <c r="H564" s="15"/>
      <c r="I564" s="15"/>
      <c r="J564" s="15" t="s">
        <v>113</v>
      </c>
      <c r="K564" s="15">
        <v>546407751</v>
      </c>
      <c r="L564" s="15" t="s">
        <v>29</v>
      </c>
      <c r="M564" s="15"/>
    </row>
    <row r="565" spans="1:13" x14ac:dyDescent="0.25">
      <c r="A565" s="23">
        <f t="shared" si="30"/>
        <v>258389</v>
      </c>
      <c r="B565" s="14" t="str">
        <f t="shared" si="27"/>
        <v>Direct Debit (UMB Bank) - Credits</v>
      </c>
      <c r="C565" s="37">
        <v>46155</v>
      </c>
      <c r="D565" s="31">
        <v>258389</v>
      </c>
      <c r="E565" s="33" t="str">
        <f>IF(Table3[[#This Row],[Type Received]]=2,"CC",(IF(Table3[[#This Row],[Type Received]]=3,"BILL","ACH")))</f>
        <v>ACH</v>
      </c>
      <c r="F565" s="32">
        <v>42.7</v>
      </c>
      <c r="G565" s="14" t="str">
        <f>VLOOKUP(D565,Table4[],3,FALSE)</f>
        <v>2</v>
      </c>
      <c r="H565" s="15"/>
      <c r="I565" s="15"/>
      <c r="J565" s="15" t="s">
        <v>90</v>
      </c>
      <c r="K565" s="15">
        <v>669459119</v>
      </c>
      <c r="L565" s="15" t="s">
        <v>29</v>
      </c>
      <c r="M565" s="15" t="s">
        <v>29</v>
      </c>
    </row>
    <row r="566" spans="1:13" x14ac:dyDescent="0.25">
      <c r="A566" s="23">
        <f t="shared" si="30"/>
        <v>258392</v>
      </c>
      <c r="B566" s="14" t="str">
        <f t="shared" si="27"/>
        <v>Direct Debit (UMB Bank) - Credits</v>
      </c>
      <c r="C566" s="38">
        <v>46167</v>
      </c>
      <c r="D566" s="34">
        <v>258392</v>
      </c>
      <c r="E566" s="36" t="str">
        <f>IF(Table3[[#This Row],[Type Received]]=2,"CC",(IF(Table3[[#This Row],[Type Received]]=3,"BILL","ACH")))</f>
        <v>ACH</v>
      </c>
      <c r="F566" s="35">
        <v>79</v>
      </c>
      <c r="G566" s="14" t="str">
        <f>VLOOKUP(D566,Table4[],3,FALSE)</f>
        <v>2</v>
      </c>
      <c r="H566" s="15"/>
      <c r="I566" s="15"/>
      <c r="J566" s="15" t="s">
        <v>85</v>
      </c>
      <c r="K566" s="15">
        <v>818320722</v>
      </c>
      <c r="L566" s="15" t="s">
        <v>29</v>
      </c>
      <c r="M566" s="15" t="s">
        <v>29</v>
      </c>
    </row>
    <row r="567" spans="1:13" x14ac:dyDescent="0.25">
      <c r="A567" s="23">
        <f t="shared" si="30"/>
        <v>258393</v>
      </c>
      <c r="B567" s="14" t="str">
        <f t="shared" si="27"/>
        <v>Direct Debit (UMB Bank) - Credits</v>
      </c>
      <c r="C567" s="37">
        <v>46167</v>
      </c>
      <c r="D567" s="31">
        <v>258393</v>
      </c>
      <c r="E567" s="33" t="str">
        <f>IF(Table3[[#This Row],[Type Received]]=2,"CC",(IF(Table3[[#This Row],[Type Received]]=3,"BILL","ACH")))</f>
        <v>ACH</v>
      </c>
      <c r="F567" s="32">
        <v>44.35</v>
      </c>
      <c r="G567" s="14" t="str">
        <f>VLOOKUP(D567,Table4[],3,FALSE)</f>
        <v>2</v>
      </c>
      <c r="H567" s="15"/>
      <c r="I567" s="15"/>
      <c r="J567" s="15" t="s">
        <v>85</v>
      </c>
      <c r="K567" s="15">
        <v>818316866</v>
      </c>
      <c r="L567" s="15" t="s">
        <v>29</v>
      </c>
      <c r="M567" s="15" t="s">
        <v>29</v>
      </c>
    </row>
    <row r="568" spans="1:13" x14ac:dyDescent="0.25">
      <c r="A568" s="23">
        <f t="shared" si="30"/>
        <v>258394</v>
      </c>
      <c r="B568" s="14" t="str">
        <f t="shared" si="27"/>
        <v>Direct Debit (UMB Bank) - Credits</v>
      </c>
      <c r="C568" s="38">
        <v>46167</v>
      </c>
      <c r="D568" s="34">
        <v>258394</v>
      </c>
      <c r="E568" s="36" t="str">
        <f>IF(Table3[[#This Row],[Type Received]]=2,"CC",(IF(Table3[[#This Row],[Type Received]]=3,"BILL","ACH")))</f>
        <v>ACH</v>
      </c>
      <c r="F568" s="35">
        <v>28.95</v>
      </c>
      <c r="G568" s="14" t="str">
        <f>VLOOKUP(D568,Table4[],3,FALSE)</f>
        <v>1</v>
      </c>
      <c r="H568" s="15"/>
      <c r="I568" s="15"/>
      <c r="J568" s="15" t="s">
        <v>85</v>
      </c>
      <c r="K568" s="15">
        <v>818317841</v>
      </c>
      <c r="L568" s="15" t="s">
        <v>29</v>
      </c>
      <c r="M568" s="15"/>
    </row>
    <row r="569" spans="1:13" x14ac:dyDescent="0.25">
      <c r="A569" s="23">
        <f t="shared" si="30"/>
        <v>258400</v>
      </c>
      <c r="B569" s="14" t="str">
        <f t="shared" si="27"/>
        <v>Direct Debit (UMB Bank) - Credits</v>
      </c>
      <c r="C569" s="37">
        <v>46157</v>
      </c>
      <c r="D569" s="31">
        <v>258400</v>
      </c>
      <c r="E569" s="33" t="str">
        <f>IF(Table3[[#This Row],[Type Received]]=2,"CC",(IF(Table3[[#This Row],[Type Received]]=3,"BILL","ACH")))</f>
        <v>ACH</v>
      </c>
      <c r="F569" s="32">
        <v>27.85</v>
      </c>
      <c r="G569" s="14" t="str">
        <f>VLOOKUP(D569,Table4[],3,FALSE)</f>
        <v>2</v>
      </c>
      <c r="H569" s="15"/>
      <c r="I569" s="15"/>
      <c r="J569" s="15" t="s">
        <v>87</v>
      </c>
      <c r="K569" s="15">
        <v>696635954</v>
      </c>
      <c r="L569" s="15" t="s">
        <v>29</v>
      </c>
      <c r="M569" s="15" t="s">
        <v>29</v>
      </c>
    </row>
    <row r="570" spans="1:13" x14ac:dyDescent="0.25">
      <c r="A570" s="23">
        <f t="shared" si="30"/>
        <v>258402</v>
      </c>
      <c r="B570" s="14" t="str">
        <f t="shared" si="27"/>
        <v>Billing - Credits (from TPA)</v>
      </c>
      <c r="C570" s="38">
        <v>46157</v>
      </c>
      <c r="D570" s="34">
        <v>258402</v>
      </c>
      <c r="E570" s="36" t="str">
        <f>IF(Table3[[#This Row],[Type Received]]=2,"CC",(IF(Table3[[#This Row],[Type Received]]=3,"BILL","ACH")))</f>
        <v>BILL</v>
      </c>
      <c r="F570" s="35">
        <v>31.37</v>
      </c>
      <c r="G570" s="14" t="str">
        <f>VLOOKUP(D570,Table4[],3,FALSE)</f>
        <v>1</v>
      </c>
      <c r="H570" s="15"/>
      <c r="I570" s="15"/>
      <c r="J570" s="15" t="s">
        <v>87</v>
      </c>
      <c r="K570" s="15">
        <v>696633037</v>
      </c>
      <c r="L570" s="15" t="s">
        <v>29</v>
      </c>
      <c r="M570" s="15" t="s">
        <v>29</v>
      </c>
    </row>
    <row r="571" spans="1:13" x14ac:dyDescent="0.25">
      <c r="A571" s="23">
        <f t="shared" si="30"/>
        <v>258418</v>
      </c>
      <c r="B571" s="14" t="str">
        <f t="shared" si="27"/>
        <v>Credit Cards (UMB) - Credits</v>
      </c>
      <c r="C571" s="37">
        <v>46169</v>
      </c>
      <c r="D571" s="31">
        <v>258418</v>
      </c>
      <c r="E571" s="33" t="str">
        <f>IF(Table3[[#This Row],[Type Received]]=2,"CC",(IF(Table3[[#This Row],[Type Received]]=3,"BILL","ACH")))</f>
        <v>CC</v>
      </c>
      <c r="F571" s="32">
        <v>34.69</v>
      </c>
      <c r="G571" s="14" t="str">
        <f>VLOOKUP(D571,Table4[],3,FALSE)</f>
        <v>1</v>
      </c>
      <c r="H571" s="15">
        <v>7060</v>
      </c>
      <c r="I571" s="15"/>
      <c r="J571" s="15"/>
      <c r="K571" s="15"/>
      <c r="L571" s="15"/>
      <c r="M571" s="15" t="s">
        <v>29</v>
      </c>
    </row>
    <row r="572" spans="1:13" x14ac:dyDescent="0.25">
      <c r="A572" s="23"/>
      <c r="B572" s="14" t="str">
        <f t="shared" si="27"/>
        <v>Credit Cards (UMB) - Credits</v>
      </c>
      <c r="C572" s="38">
        <v>46155</v>
      </c>
      <c r="D572" s="34">
        <v>258423</v>
      </c>
      <c r="E572" s="36" t="str">
        <f>IF(Table3[[#This Row],[Type Received]]=2,"CC",(IF(Table3[[#This Row],[Type Received]]=3,"BILL","ACH")))</f>
        <v>CC</v>
      </c>
      <c r="F572" s="35">
        <v>30.16</v>
      </c>
      <c r="G572" s="14" t="str">
        <f>VLOOKUP(D572,Table4[],3,FALSE)</f>
        <v>2</v>
      </c>
      <c r="H572" s="15"/>
      <c r="I572" s="15" t="s">
        <v>131</v>
      </c>
      <c r="J572" s="15" t="s">
        <v>28</v>
      </c>
      <c r="K572" s="15">
        <v>669439948</v>
      </c>
      <c r="L572" s="15" t="s">
        <v>29</v>
      </c>
      <c r="M572" s="15" t="s">
        <v>29</v>
      </c>
    </row>
    <row r="573" spans="1:13" x14ac:dyDescent="0.25">
      <c r="A573" s="23">
        <f>D573</f>
        <v>258424</v>
      </c>
      <c r="B573" s="14" t="str">
        <f t="shared" si="27"/>
        <v>Credit Cards (UMB) - Credits</v>
      </c>
      <c r="C573" s="37">
        <v>46144</v>
      </c>
      <c r="D573" s="31">
        <v>258424</v>
      </c>
      <c r="E573" s="33" t="str">
        <f>IF(Table3[[#This Row],[Type Received]]=2,"CC",(IF(Table3[[#This Row],[Type Received]]=3,"BILL","ACH")))</f>
        <v>CC</v>
      </c>
      <c r="F573" s="32">
        <v>34.450000000000003</v>
      </c>
      <c r="G573" s="14" t="str">
        <f>VLOOKUP(D573,Table4[],3,FALSE)</f>
        <v>1</v>
      </c>
      <c r="H573" s="15"/>
      <c r="I573" s="15">
        <v>780101</v>
      </c>
      <c r="J573" s="15" t="s">
        <v>28</v>
      </c>
      <c r="K573" s="15">
        <v>535361660</v>
      </c>
      <c r="L573" s="15" t="s">
        <v>29</v>
      </c>
      <c r="M573" s="15" t="s">
        <v>29</v>
      </c>
    </row>
    <row r="574" spans="1:13" x14ac:dyDescent="0.25">
      <c r="A574" s="23">
        <f>D574</f>
        <v>258427</v>
      </c>
      <c r="B574" s="14" t="str">
        <f t="shared" si="27"/>
        <v>Credit Cards (UMB) - Credits</v>
      </c>
      <c r="C574" s="38">
        <v>46155</v>
      </c>
      <c r="D574" s="34">
        <v>258427</v>
      </c>
      <c r="E574" s="36" t="str">
        <f>IF(Table3[[#This Row],[Type Received]]=2,"CC",(IF(Table3[[#This Row],[Type Received]]=3,"BILL","ACH")))</f>
        <v>CC</v>
      </c>
      <c r="F574" s="35">
        <v>105.29</v>
      </c>
      <c r="G574" s="14" t="str">
        <f>VLOOKUP(D574,Table4[],3,FALSE)</f>
        <v>1</v>
      </c>
      <c r="H574" s="15"/>
      <c r="I574" s="15">
        <v>92892</v>
      </c>
      <c r="J574" s="15" t="s">
        <v>28</v>
      </c>
      <c r="K574" s="15">
        <v>669440842</v>
      </c>
      <c r="L574" s="15" t="s">
        <v>29</v>
      </c>
      <c r="M574" s="15"/>
    </row>
    <row r="575" spans="1:13" x14ac:dyDescent="0.25">
      <c r="A575" s="23">
        <f>D575</f>
        <v>258430</v>
      </c>
      <c r="B575" s="14" t="str">
        <f t="shared" si="27"/>
        <v>Credit Cards (UMB) - Credits</v>
      </c>
      <c r="C575" s="37">
        <v>46163</v>
      </c>
      <c r="D575" s="31">
        <v>258430</v>
      </c>
      <c r="E575" s="33" t="str">
        <f>IF(Table3[[#This Row],[Type Received]]=2,"CC",(IF(Table3[[#This Row],[Type Received]]=3,"BILL","ACH")))</f>
        <v>CC</v>
      </c>
      <c r="F575" s="32">
        <v>114.09</v>
      </c>
      <c r="G575" s="14" t="str">
        <f>VLOOKUP(D575,Table4[],3,FALSE)</f>
        <v>1</v>
      </c>
      <c r="H575" s="15"/>
      <c r="I575" s="15">
        <v>142057</v>
      </c>
      <c r="J575" s="15" t="s">
        <v>28</v>
      </c>
      <c r="K575" s="15">
        <v>774364654</v>
      </c>
      <c r="L575" s="15" t="s">
        <v>29</v>
      </c>
      <c r="M575" s="15"/>
    </row>
    <row r="576" spans="1:13" x14ac:dyDescent="0.25">
      <c r="A576" s="23">
        <f>D576</f>
        <v>258431</v>
      </c>
      <c r="B576" s="14" t="str">
        <f t="shared" si="27"/>
        <v>Credit Cards (UMB) - Credits</v>
      </c>
      <c r="C576" s="38">
        <v>46155</v>
      </c>
      <c r="D576" s="34">
        <v>258431</v>
      </c>
      <c r="E576" s="36" t="str">
        <f>IF(Table3[[#This Row],[Type Received]]=2,"CC",(IF(Table3[[#This Row],[Type Received]]=3,"BILL","ACH")))</f>
        <v>CC</v>
      </c>
      <c r="F576" s="35">
        <v>84.83</v>
      </c>
      <c r="G576" s="14" t="str">
        <f>VLOOKUP(D576,Table4[],3,FALSE)</f>
        <v>1</v>
      </c>
      <c r="H576" s="15"/>
      <c r="I576" s="15" t="s">
        <v>132</v>
      </c>
      <c r="J576" s="15" t="s">
        <v>28</v>
      </c>
      <c r="K576" s="15">
        <v>669450396</v>
      </c>
      <c r="L576" s="15" t="s">
        <v>29</v>
      </c>
      <c r="M576" s="15" t="s">
        <v>29</v>
      </c>
    </row>
    <row r="577" spans="1:13" x14ac:dyDescent="0.25">
      <c r="A577" s="23">
        <f>D577</f>
        <v>258432</v>
      </c>
      <c r="B577" s="14" t="str">
        <f t="shared" si="27"/>
        <v>Direct Debit (UMB Bank) - Credits</v>
      </c>
      <c r="C577" s="37">
        <v>46155</v>
      </c>
      <c r="D577" s="31">
        <v>258432</v>
      </c>
      <c r="E577" s="33" t="str">
        <f>IF(Table3[[#This Row],[Type Received]]=2,"CC",(IF(Table3[[#This Row],[Type Received]]=3,"BILL","ACH")))</f>
        <v>ACH</v>
      </c>
      <c r="F577" s="32">
        <v>83.95</v>
      </c>
      <c r="G577" s="14" t="str">
        <f>VLOOKUP(D577,Table4[],3,FALSE)</f>
        <v>1</v>
      </c>
      <c r="H577" s="15"/>
      <c r="I577" s="15" t="s">
        <v>133</v>
      </c>
      <c r="J577" s="15" t="s">
        <v>28</v>
      </c>
      <c r="K577" s="15">
        <v>669450402</v>
      </c>
      <c r="L577" s="15" t="s">
        <v>29</v>
      </c>
      <c r="M577" s="15" t="s">
        <v>29</v>
      </c>
    </row>
    <row r="578" spans="1:13" x14ac:dyDescent="0.25">
      <c r="A578" s="23"/>
      <c r="B578" s="14" t="str">
        <f t="shared" ref="B578:B641" si="31">IF(AND(E578="BILL",F578&lt;0),"Billing &amp; Direct Debit - Refunds",(IF(AND(E578="BILL",F578&gt;0),"Billing - Credits (from TPA)",(IF(AND(E578="CC",F578&lt;0),"Credit Cards (UMB) - Refunds",(IF(AND(E578="CC",F578&gt;0),"Credit Cards (UMB) - Credits",(IF(AND(E578="ACH",F578&gt;0),"Direct Debit (UMB Bank) - Credits","Direct Debit (UMB Bank) - Returned Items")))))))))</f>
        <v>Direct Debit (UMB Bank) - Credits</v>
      </c>
      <c r="C578" s="38">
        <v>46145</v>
      </c>
      <c r="D578" s="34">
        <v>258434</v>
      </c>
      <c r="E578" s="36" t="str">
        <f>IF(Table3[[#This Row],[Type Received]]=2,"CC",(IF(Table3[[#This Row],[Type Received]]=3,"BILL","ACH")))</f>
        <v>ACH</v>
      </c>
      <c r="F578" s="35">
        <v>101.77</v>
      </c>
      <c r="G578" s="14" t="str">
        <f>VLOOKUP(D578,Table4[],3,FALSE)</f>
        <v>2</v>
      </c>
      <c r="H578" s="15"/>
      <c r="I578" s="15"/>
      <c r="J578" s="24" t="s">
        <v>113</v>
      </c>
      <c r="K578" s="15">
        <v>546404887</v>
      </c>
      <c r="L578" s="15" t="s">
        <v>29</v>
      </c>
      <c r="M578" s="15" t="s">
        <v>29</v>
      </c>
    </row>
    <row r="579" spans="1:13" x14ac:dyDescent="0.25">
      <c r="A579" s="23">
        <f t="shared" ref="A579:A618" si="32">D579</f>
        <v>258436</v>
      </c>
      <c r="B579" s="14" t="str">
        <f t="shared" si="31"/>
        <v>Direct Debit (UMB Bank) - Credits</v>
      </c>
      <c r="C579" s="37">
        <v>46145</v>
      </c>
      <c r="D579" s="31">
        <v>258436</v>
      </c>
      <c r="E579" s="33" t="str">
        <f>IF(Table3[[#This Row],[Type Received]]=2,"CC",(IF(Table3[[#This Row],[Type Received]]=3,"BILL","ACH")))</f>
        <v>ACH</v>
      </c>
      <c r="F579" s="32">
        <v>32.47</v>
      </c>
      <c r="G579" s="14" t="str">
        <f>VLOOKUP(D579,Table4[],3,FALSE)</f>
        <v>1</v>
      </c>
      <c r="H579" s="15"/>
      <c r="I579" s="15"/>
      <c r="J579" s="24" t="s">
        <v>113</v>
      </c>
      <c r="K579" s="15">
        <v>546407766</v>
      </c>
      <c r="L579" s="15" t="s">
        <v>29</v>
      </c>
      <c r="M579" s="15"/>
    </row>
    <row r="580" spans="1:13" x14ac:dyDescent="0.25">
      <c r="A580" s="23">
        <f t="shared" si="32"/>
        <v>258440</v>
      </c>
      <c r="B580" s="14" t="str">
        <f t="shared" si="31"/>
        <v>Direct Debit (UMB Bank) - Credits</v>
      </c>
      <c r="C580" s="38">
        <v>46157</v>
      </c>
      <c r="D580" s="34">
        <v>258440</v>
      </c>
      <c r="E580" s="36" t="str">
        <f>IF(Table3[[#This Row],[Type Received]]=2,"CC",(IF(Table3[[#This Row],[Type Received]]=3,"BILL","ACH")))</f>
        <v>ACH</v>
      </c>
      <c r="F580" s="35">
        <v>43.25</v>
      </c>
      <c r="G580" s="14" t="str">
        <f>VLOOKUP(D580,Table4[],3,FALSE)</f>
        <v>1</v>
      </c>
      <c r="H580" s="15"/>
      <c r="I580" s="15"/>
      <c r="J580" s="15" t="s">
        <v>87</v>
      </c>
      <c r="K580" s="15">
        <v>696646499</v>
      </c>
      <c r="L580" s="15" t="s">
        <v>29</v>
      </c>
      <c r="M580" s="15" t="s">
        <v>29</v>
      </c>
    </row>
    <row r="581" spans="1:13" x14ac:dyDescent="0.25">
      <c r="A581" s="23">
        <f t="shared" si="32"/>
        <v>258443</v>
      </c>
      <c r="B581" s="14" t="str">
        <f t="shared" si="31"/>
        <v>Direct Debit (UMB Bank) - Credits</v>
      </c>
      <c r="C581" s="37">
        <v>46167</v>
      </c>
      <c r="D581" s="31">
        <v>258443</v>
      </c>
      <c r="E581" s="33" t="str">
        <f>IF(Table3[[#This Row],[Type Received]]=2,"CC",(IF(Table3[[#This Row],[Type Received]]=3,"BILL","ACH")))</f>
        <v>ACH</v>
      </c>
      <c r="F581" s="32">
        <v>47.65</v>
      </c>
      <c r="G581" s="14" t="str">
        <f>VLOOKUP(D581,Table4[],3,FALSE)</f>
        <v>1</v>
      </c>
      <c r="H581" s="15"/>
      <c r="I581" s="15"/>
      <c r="J581" s="15" t="s">
        <v>85</v>
      </c>
      <c r="K581" s="15">
        <v>818331414</v>
      </c>
      <c r="L581" s="15" t="s">
        <v>29</v>
      </c>
      <c r="M581" s="15"/>
    </row>
    <row r="582" spans="1:13" x14ac:dyDescent="0.25">
      <c r="A582" s="23">
        <f t="shared" si="32"/>
        <v>258444</v>
      </c>
      <c r="B582" s="14" t="str">
        <f t="shared" si="31"/>
        <v>Direct Debit (UMB Bank) - Credits</v>
      </c>
      <c r="C582" s="38">
        <v>46167</v>
      </c>
      <c r="D582" s="34">
        <v>258444</v>
      </c>
      <c r="E582" s="36" t="str">
        <f>IF(Table3[[#This Row],[Type Received]]=2,"CC",(IF(Table3[[#This Row],[Type Received]]=3,"BILL","ACH")))</f>
        <v>ACH</v>
      </c>
      <c r="F582" s="35">
        <v>35.549999999999997</v>
      </c>
      <c r="G582" s="14" t="str">
        <f>VLOOKUP(D582,Table4[],3,FALSE)</f>
        <v>1</v>
      </c>
      <c r="H582" s="15"/>
      <c r="I582" s="15"/>
      <c r="J582" s="15" t="s">
        <v>85</v>
      </c>
      <c r="K582" s="15">
        <v>818322623</v>
      </c>
      <c r="L582" s="15" t="s">
        <v>29</v>
      </c>
      <c r="M582" s="15" t="s">
        <v>29</v>
      </c>
    </row>
    <row r="583" spans="1:13" x14ac:dyDescent="0.25">
      <c r="A583" s="23">
        <f t="shared" si="32"/>
        <v>258460</v>
      </c>
      <c r="B583" s="14" t="str">
        <f t="shared" si="31"/>
        <v>Direct Debit (UMB Bank) - Credits</v>
      </c>
      <c r="C583" s="37">
        <v>46157</v>
      </c>
      <c r="D583" s="31">
        <v>258460</v>
      </c>
      <c r="E583" s="33" t="str">
        <f>IF(Table3[[#This Row],[Type Received]]=2,"CC",(IF(Table3[[#This Row],[Type Received]]=3,"BILL","ACH")))</f>
        <v>ACH</v>
      </c>
      <c r="F583" s="32">
        <v>34.450000000000003</v>
      </c>
      <c r="G583" s="14" t="str">
        <f>VLOOKUP(D583,Table4[],3,FALSE)</f>
        <v>2</v>
      </c>
      <c r="H583" s="15"/>
      <c r="I583" s="15"/>
      <c r="J583" s="15" t="s">
        <v>87</v>
      </c>
      <c r="K583" s="15">
        <v>696650425</v>
      </c>
      <c r="L583" s="15" t="s">
        <v>29</v>
      </c>
      <c r="M583" s="15" t="s">
        <v>29</v>
      </c>
    </row>
    <row r="584" spans="1:13" x14ac:dyDescent="0.25">
      <c r="A584" s="23">
        <f t="shared" si="32"/>
        <v>258464</v>
      </c>
      <c r="B584" s="14" t="str">
        <f t="shared" si="31"/>
        <v>Direct Debit (UMB Bank) - Credits</v>
      </c>
      <c r="C584" s="38">
        <v>46167</v>
      </c>
      <c r="D584" s="34">
        <v>258464</v>
      </c>
      <c r="E584" s="36" t="str">
        <f>IF(Table3[[#This Row],[Type Received]]=2,"CC",(IF(Table3[[#This Row],[Type Received]]=3,"BILL","ACH")))</f>
        <v>ACH</v>
      </c>
      <c r="F584" s="35">
        <v>73.72</v>
      </c>
      <c r="G584" s="14" t="str">
        <f>VLOOKUP(D584,Table4[],3,FALSE)</f>
        <v>2</v>
      </c>
      <c r="H584" s="15"/>
      <c r="I584" s="15"/>
      <c r="J584" s="15" t="s">
        <v>85</v>
      </c>
      <c r="K584" s="15">
        <v>818318875</v>
      </c>
      <c r="L584" s="15" t="s">
        <v>29</v>
      </c>
      <c r="M584" s="15" t="s">
        <v>29</v>
      </c>
    </row>
    <row r="585" spans="1:13" x14ac:dyDescent="0.25">
      <c r="A585" s="23">
        <f t="shared" si="32"/>
        <v>258465</v>
      </c>
      <c r="B585" s="14" t="str">
        <f t="shared" si="31"/>
        <v>Direct Debit (UMB Bank) - Credits</v>
      </c>
      <c r="C585" s="37">
        <v>46144</v>
      </c>
      <c r="D585" s="31">
        <v>258465</v>
      </c>
      <c r="E585" s="33" t="str">
        <f>IF(Table3[[#This Row],[Type Received]]=2,"CC",(IF(Table3[[#This Row],[Type Received]]=3,"BILL","ACH")))</f>
        <v>ACH</v>
      </c>
      <c r="F585" s="32">
        <v>42.37</v>
      </c>
      <c r="G585" s="14" t="str">
        <f>VLOOKUP(D585,Table4[],3,FALSE)</f>
        <v>2</v>
      </c>
      <c r="H585" s="15"/>
      <c r="I585" s="15"/>
      <c r="J585" s="24" t="s">
        <v>89</v>
      </c>
      <c r="K585" s="15">
        <v>535338908</v>
      </c>
      <c r="L585" s="15" t="s">
        <v>29</v>
      </c>
      <c r="M585" s="15"/>
    </row>
    <row r="586" spans="1:13" x14ac:dyDescent="0.25">
      <c r="A586" s="23">
        <f t="shared" si="32"/>
        <v>258466</v>
      </c>
      <c r="B586" s="14" t="str">
        <f t="shared" si="31"/>
        <v>Credit Cards (UMB) - Credits</v>
      </c>
      <c r="C586" s="38">
        <v>46144</v>
      </c>
      <c r="D586" s="34">
        <v>258466</v>
      </c>
      <c r="E586" s="36" t="str">
        <f>IF(Table3[[#This Row],[Type Received]]=2,"CC",(IF(Table3[[#This Row],[Type Received]]=3,"BILL","ACH")))</f>
        <v>CC</v>
      </c>
      <c r="F586" s="35">
        <v>115.3</v>
      </c>
      <c r="G586" s="14" t="str">
        <f>VLOOKUP(D586,Table4[],3,FALSE)</f>
        <v>2</v>
      </c>
      <c r="H586" s="15"/>
      <c r="I586" s="15"/>
      <c r="J586" s="24" t="s">
        <v>89</v>
      </c>
      <c r="K586" s="15">
        <v>535361190</v>
      </c>
      <c r="L586" s="15" t="s">
        <v>29</v>
      </c>
      <c r="M586" s="15"/>
    </row>
    <row r="587" spans="1:13" x14ac:dyDescent="0.25">
      <c r="A587" s="23">
        <f t="shared" si="32"/>
        <v>258476</v>
      </c>
      <c r="B587" s="14" t="str">
        <f t="shared" si="31"/>
        <v>Credit Cards (UMB) - Credits</v>
      </c>
      <c r="C587" s="37">
        <v>46168</v>
      </c>
      <c r="D587" s="31">
        <v>258476</v>
      </c>
      <c r="E587" s="33" t="str">
        <f>IF(Table3[[#This Row],[Type Received]]=2,"CC",(IF(Table3[[#This Row],[Type Received]]=3,"BILL","ACH")))</f>
        <v>CC</v>
      </c>
      <c r="F587" s="32">
        <v>170.9</v>
      </c>
      <c r="G587" s="14" t="str">
        <f>VLOOKUP(D587,Table4[],3,FALSE)</f>
        <v>2</v>
      </c>
      <c r="H587" s="15"/>
      <c r="I587" s="15">
        <v>475228</v>
      </c>
      <c r="J587" s="24" t="s">
        <v>28</v>
      </c>
      <c r="K587" s="15">
        <v>829142779</v>
      </c>
      <c r="L587" s="15" t="s">
        <v>29</v>
      </c>
      <c r="M587" s="15" t="s">
        <v>29</v>
      </c>
    </row>
    <row r="588" spans="1:13" x14ac:dyDescent="0.25">
      <c r="A588" s="23">
        <f t="shared" si="32"/>
        <v>258476</v>
      </c>
      <c r="B588" s="14" t="str">
        <f t="shared" si="31"/>
        <v>Direct Debit (UMB Bank) - Credits</v>
      </c>
      <c r="C588" s="38">
        <v>46147</v>
      </c>
      <c r="D588" s="34">
        <v>258476</v>
      </c>
      <c r="E588" s="36" t="str">
        <f>IF(Table3[[#This Row],[Type Received]]=2,"CC",(IF(Table3[[#This Row],[Type Received]]=3,"BILL","ACH")))</f>
        <v>ACH</v>
      </c>
      <c r="F588" s="35">
        <v>85.95</v>
      </c>
      <c r="G588" s="14" t="str">
        <f>VLOOKUP(D588,Table4[],3,FALSE)</f>
        <v>2</v>
      </c>
      <c r="H588" s="15"/>
      <c r="I588" s="15">
        <v>993159</v>
      </c>
      <c r="J588" s="15" t="s">
        <v>28</v>
      </c>
      <c r="K588" s="15">
        <v>571893908</v>
      </c>
      <c r="L588" s="15" t="s">
        <v>29</v>
      </c>
      <c r="M588" s="15" t="s">
        <v>29</v>
      </c>
    </row>
    <row r="589" spans="1:13" x14ac:dyDescent="0.25">
      <c r="A589" s="23">
        <f t="shared" si="32"/>
        <v>258479</v>
      </c>
      <c r="B589" s="14" t="str">
        <f t="shared" si="31"/>
        <v>Direct Debit (UMB Bank) - Credits</v>
      </c>
      <c r="C589" s="37">
        <v>46167</v>
      </c>
      <c r="D589" s="31">
        <v>258479</v>
      </c>
      <c r="E589" s="33" t="str">
        <f>IF(Table3[[#This Row],[Type Received]]=2,"CC",(IF(Table3[[#This Row],[Type Received]]=3,"BILL","ACH")))</f>
        <v>ACH</v>
      </c>
      <c r="F589" s="32">
        <v>64.150000000000006</v>
      </c>
      <c r="G589" s="14" t="str">
        <f>VLOOKUP(D589,Table4[],3,FALSE)</f>
        <v>2</v>
      </c>
      <c r="H589" s="15"/>
      <c r="I589" s="15"/>
      <c r="J589" s="15" t="s">
        <v>85</v>
      </c>
      <c r="K589" s="15">
        <v>818315024</v>
      </c>
      <c r="L589" s="15" t="s">
        <v>29</v>
      </c>
      <c r="M589" s="15" t="s">
        <v>29</v>
      </c>
    </row>
    <row r="590" spans="1:13" x14ac:dyDescent="0.25">
      <c r="A590" s="23">
        <f t="shared" si="32"/>
        <v>258480</v>
      </c>
      <c r="B590" s="14" t="str">
        <f t="shared" si="31"/>
        <v>Direct Debit (UMB Bank) - Credits</v>
      </c>
      <c r="C590" s="38">
        <v>46167</v>
      </c>
      <c r="D590" s="34">
        <v>258480</v>
      </c>
      <c r="E590" s="36" t="str">
        <f>IF(Table3[[#This Row],[Type Received]]=2,"CC",(IF(Table3[[#This Row],[Type Received]]=3,"BILL","ACH")))</f>
        <v>ACH</v>
      </c>
      <c r="F590" s="35">
        <v>116.95</v>
      </c>
      <c r="G590" s="14" t="str">
        <f>VLOOKUP(D590,Table4[],3,FALSE)</f>
        <v>2</v>
      </c>
      <c r="H590" s="15"/>
      <c r="I590" s="15"/>
      <c r="J590" s="24" t="s">
        <v>85</v>
      </c>
      <c r="K590" s="15">
        <v>818328465</v>
      </c>
      <c r="L590" s="15" t="s">
        <v>29</v>
      </c>
      <c r="M590" s="15" t="s">
        <v>29</v>
      </c>
    </row>
    <row r="591" spans="1:13" x14ac:dyDescent="0.25">
      <c r="A591" s="23">
        <f t="shared" si="32"/>
        <v>258482</v>
      </c>
      <c r="B591" s="14" t="str">
        <f t="shared" si="31"/>
        <v>Direct Debit (UMB Bank) - Credits</v>
      </c>
      <c r="C591" s="37">
        <v>46167</v>
      </c>
      <c r="D591" s="31">
        <v>258482</v>
      </c>
      <c r="E591" s="33" t="str">
        <f>IF(Table3[[#This Row],[Type Received]]=2,"CC",(IF(Table3[[#This Row],[Type Received]]=3,"BILL","ACH")))</f>
        <v>ACH</v>
      </c>
      <c r="F591" s="32">
        <v>35.549999999999997</v>
      </c>
      <c r="G591" s="14" t="str">
        <f>VLOOKUP(D591,Table4[],3,FALSE)</f>
        <v>1</v>
      </c>
      <c r="H591" s="15"/>
      <c r="I591" s="15"/>
      <c r="J591" s="15" t="s">
        <v>85</v>
      </c>
      <c r="K591" s="15">
        <v>818320837</v>
      </c>
      <c r="L591" s="15" t="s">
        <v>29</v>
      </c>
      <c r="M591" s="15" t="s">
        <v>29</v>
      </c>
    </row>
    <row r="592" spans="1:13" x14ac:dyDescent="0.25">
      <c r="A592" s="23">
        <f t="shared" si="32"/>
        <v>258483</v>
      </c>
      <c r="B592" s="14" t="str">
        <f t="shared" si="31"/>
        <v>Direct Debit (UMB Bank) - Credits</v>
      </c>
      <c r="C592" s="38">
        <v>46167</v>
      </c>
      <c r="D592" s="34">
        <v>258483</v>
      </c>
      <c r="E592" s="36" t="str">
        <f>IF(Table3[[#This Row],[Type Received]]=2,"CC",(IF(Table3[[#This Row],[Type Received]]=3,"BILL","ACH")))</f>
        <v>ACH</v>
      </c>
      <c r="F592" s="35">
        <v>60.85</v>
      </c>
      <c r="G592" s="14" t="str">
        <f>VLOOKUP(D592,Table4[],3,FALSE)</f>
        <v>1</v>
      </c>
      <c r="H592" s="15"/>
      <c r="I592" s="15"/>
      <c r="J592" s="24" t="s">
        <v>85</v>
      </c>
      <c r="K592" s="15">
        <v>818330484</v>
      </c>
      <c r="L592" s="15" t="s">
        <v>29</v>
      </c>
      <c r="M592" s="15" t="s">
        <v>29</v>
      </c>
    </row>
    <row r="593" spans="1:13" x14ac:dyDescent="0.25">
      <c r="A593" s="23">
        <f t="shared" si="32"/>
        <v>258485</v>
      </c>
      <c r="B593" s="14" t="str">
        <f t="shared" si="31"/>
        <v>Direct Debit (UMB Bank) - Credits</v>
      </c>
      <c r="C593" s="37">
        <v>46144</v>
      </c>
      <c r="D593" s="31">
        <v>258485</v>
      </c>
      <c r="E593" s="33" t="str">
        <f>IF(Table3[[#This Row],[Type Received]]=2,"CC",(IF(Table3[[#This Row],[Type Received]]=3,"BILL","ACH")))</f>
        <v>ACH</v>
      </c>
      <c r="F593" s="32">
        <v>84.94</v>
      </c>
      <c r="G593" s="14" t="str">
        <f>VLOOKUP(D593,Table4[],3,FALSE)</f>
        <v>2</v>
      </c>
      <c r="H593" s="15"/>
      <c r="I593" s="15"/>
      <c r="J593" s="15" t="s">
        <v>89</v>
      </c>
      <c r="K593" s="15">
        <v>535361196</v>
      </c>
      <c r="L593" s="15" t="s">
        <v>29</v>
      </c>
      <c r="M593" s="15"/>
    </row>
    <row r="594" spans="1:13" x14ac:dyDescent="0.25">
      <c r="A594" s="23">
        <f t="shared" si="32"/>
        <v>258486</v>
      </c>
      <c r="B594" s="14" t="str">
        <f t="shared" si="31"/>
        <v>Direct Debit (UMB Bank) - Credits</v>
      </c>
      <c r="C594" s="38">
        <v>46144</v>
      </c>
      <c r="D594" s="34">
        <v>258486</v>
      </c>
      <c r="E594" s="36" t="str">
        <f>IF(Table3[[#This Row],[Type Received]]=2,"CC",(IF(Table3[[#This Row],[Type Received]]=3,"BILL","ACH")))</f>
        <v>ACH</v>
      </c>
      <c r="F594" s="35">
        <v>87.91</v>
      </c>
      <c r="G594" s="14" t="str">
        <f>VLOOKUP(D594,Table4[],3,FALSE)</f>
        <v>2</v>
      </c>
      <c r="H594" s="15"/>
      <c r="I594" s="15"/>
      <c r="J594" s="15" t="s">
        <v>89</v>
      </c>
      <c r="K594" s="15">
        <v>535336967</v>
      </c>
      <c r="L594" s="15" t="s">
        <v>29</v>
      </c>
      <c r="M594" s="15" t="s">
        <v>29</v>
      </c>
    </row>
    <row r="595" spans="1:13" x14ac:dyDescent="0.25">
      <c r="A595" s="23">
        <f t="shared" si="32"/>
        <v>258488</v>
      </c>
      <c r="B595" s="14" t="str">
        <f t="shared" si="31"/>
        <v>Credit Cards (UMB) - Credits</v>
      </c>
      <c r="C595" s="37">
        <v>46157</v>
      </c>
      <c r="D595" s="31">
        <v>258488</v>
      </c>
      <c r="E595" s="33" t="str">
        <f>IF(Table3[[#This Row],[Type Received]]=2,"CC",(IF(Table3[[#This Row],[Type Received]]=3,"BILL","ACH")))</f>
        <v>CC</v>
      </c>
      <c r="F595" s="32">
        <v>63.82</v>
      </c>
      <c r="G595" s="14" t="str">
        <f>VLOOKUP(D595,Table4[],3,FALSE)</f>
        <v>2</v>
      </c>
      <c r="H595" s="15"/>
      <c r="I595" s="15"/>
      <c r="J595" s="15" t="s">
        <v>87</v>
      </c>
      <c r="K595" s="15">
        <v>696641777</v>
      </c>
      <c r="L595" s="15" t="s">
        <v>29</v>
      </c>
      <c r="M595" s="15"/>
    </row>
    <row r="596" spans="1:13" x14ac:dyDescent="0.25">
      <c r="A596" s="23">
        <f t="shared" si="32"/>
        <v>258504</v>
      </c>
      <c r="B596" s="14" t="str">
        <f t="shared" si="31"/>
        <v>Credit Cards (UMB) - Credits</v>
      </c>
      <c r="C596" s="38">
        <v>46157</v>
      </c>
      <c r="D596" s="34">
        <v>258504</v>
      </c>
      <c r="E596" s="36" t="str">
        <f>IF(Table3[[#This Row],[Type Received]]=2,"CC",(IF(Table3[[#This Row],[Type Received]]=3,"BILL","ACH")))</f>
        <v>CC</v>
      </c>
      <c r="F596" s="35">
        <v>77.569999999999993</v>
      </c>
      <c r="G596" s="14" t="str">
        <f>VLOOKUP(D596,Table4[],3,FALSE)</f>
        <v>1</v>
      </c>
      <c r="H596" s="15"/>
      <c r="I596" s="15" t="s">
        <v>134</v>
      </c>
      <c r="J596" s="15" t="s">
        <v>28</v>
      </c>
      <c r="K596" s="15">
        <v>696636957</v>
      </c>
      <c r="L596" s="15" t="s">
        <v>29</v>
      </c>
      <c r="M596" s="15" t="s">
        <v>29</v>
      </c>
    </row>
    <row r="597" spans="1:13" x14ac:dyDescent="0.25">
      <c r="A597" s="23">
        <f t="shared" si="32"/>
        <v>258508</v>
      </c>
      <c r="B597" s="14" t="str">
        <f t="shared" si="31"/>
        <v>Billing - Credits (from TPA)</v>
      </c>
      <c r="C597" s="37">
        <v>46155</v>
      </c>
      <c r="D597" s="31">
        <v>258508</v>
      </c>
      <c r="E597" s="33" t="str">
        <f>IF(Table3[[#This Row],[Type Received]]=2,"CC",(IF(Table3[[#This Row],[Type Received]]=3,"BILL","ACH")))</f>
        <v>BILL</v>
      </c>
      <c r="F597" s="32">
        <v>104.08</v>
      </c>
      <c r="G597" s="14" t="str">
        <f>VLOOKUP(D597,Table4[],3,FALSE)</f>
        <v>2</v>
      </c>
      <c r="H597" s="15"/>
      <c r="I597" s="15" t="s">
        <v>135</v>
      </c>
      <c r="J597" s="15" t="s">
        <v>28</v>
      </c>
      <c r="K597" s="15">
        <v>669436999</v>
      </c>
      <c r="L597" s="15" t="s">
        <v>29</v>
      </c>
      <c r="M597" s="15" t="s">
        <v>29</v>
      </c>
    </row>
    <row r="598" spans="1:13" x14ac:dyDescent="0.25">
      <c r="A598" s="23">
        <f t="shared" si="32"/>
        <v>258512</v>
      </c>
      <c r="B598" s="14" t="str">
        <f t="shared" si="31"/>
        <v>Direct Debit (UMB Bank) - Credits</v>
      </c>
      <c r="C598" s="38">
        <v>46147</v>
      </c>
      <c r="D598" s="34">
        <v>258512</v>
      </c>
      <c r="E598" s="36" t="str">
        <f>IF(Table3[[#This Row],[Type Received]]=2,"CC",(IF(Table3[[#This Row],[Type Received]]=3,"BILL","ACH")))</f>
        <v>ACH</v>
      </c>
      <c r="F598" s="35">
        <v>41.95</v>
      </c>
      <c r="G598" s="14" t="str">
        <f>VLOOKUP(D598,Table4[],3,FALSE)</f>
        <v>1</v>
      </c>
      <c r="H598" s="15">
        <v>7904</v>
      </c>
      <c r="I598" s="15"/>
      <c r="J598" s="15"/>
      <c r="K598" s="15"/>
      <c r="L598" s="15"/>
      <c r="M598" s="15" t="s">
        <v>29</v>
      </c>
    </row>
    <row r="599" spans="1:13" x14ac:dyDescent="0.25">
      <c r="A599" s="23">
        <f t="shared" si="32"/>
        <v>258514</v>
      </c>
      <c r="B599" s="14" t="str">
        <f t="shared" si="31"/>
        <v>Credit Cards (UMB) - Credits</v>
      </c>
      <c r="C599" s="37">
        <v>46144</v>
      </c>
      <c r="D599" s="31">
        <v>258514</v>
      </c>
      <c r="E599" s="33" t="str">
        <f>IF(Table3[[#This Row],[Type Received]]=2,"CC",(IF(Table3[[#This Row],[Type Received]]=3,"BILL","ACH")))</f>
        <v>CC</v>
      </c>
      <c r="F599" s="32">
        <v>53.15</v>
      </c>
      <c r="G599" s="14" t="str">
        <f>VLOOKUP(D599,Table4[],3,FALSE)</f>
        <v>1</v>
      </c>
      <c r="H599" s="15"/>
      <c r="I599" s="15"/>
      <c r="J599" s="15" t="s">
        <v>89</v>
      </c>
      <c r="K599" s="15">
        <v>535362173</v>
      </c>
      <c r="L599" s="15" t="s">
        <v>29</v>
      </c>
      <c r="M599" s="15" t="s">
        <v>29</v>
      </c>
    </row>
    <row r="600" spans="1:13" x14ac:dyDescent="0.25">
      <c r="A600" s="23">
        <f t="shared" si="32"/>
        <v>258518</v>
      </c>
      <c r="B600" s="14" t="str">
        <f t="shared" si="31"/>
        <v>Billing - Credits (from TPA)</v>
      </c>
      <c r="C600" s="38">
        <v>46143</v>
      </c>
      <c r="D600" s="34">
        <v>258518</v>
      </c>
      <c r="E600" s="36" t="str">
        <f>IF(Table3[[#This Row],[Type Received]]=2,"CC",(IF(Table3[[#This Row],[Type Received]]=3,"BILL","ACH")))</f>
        <v>BILL</v>
      </c>
      <c r="F600" s="35">
        <v>44.79</v>
      </c>
      <c r="G600" s="14" t="str">
        <f>VLOOKUP(D600,Table4[],3,FALSE)</f>
        <v>1</v>
      </c>
      <c r="H600" s="15"/>
      <c r="I600" s="15">
        <v>1308</v>
      </c>
      <c r="J600" s="15" t="s">
        <v>28</v>
      </c>
      <c r="K600" s="15">
        <v>522276598</v>
      </c>
      <c r="L600" s="15" t="s">
        <v>29</v>
      </c>
      <c r="M600" s="15"/>
    </row>
    <row r="601" spans="1:13" x14ac:dyDescent="0.25">
      <c r="A601" s="23">
        <f t="shared" si="32"/>
        <v>258526</v>
      </c>
      <c r="B601" s="14" t="str">
        <f t="shared" si="31"/>
        <v>Credit Cards (UMB) - Credits</v>
      </c>
      <c r="C601" s="37">
        <v>46147</v>
      </c>
      <c r="D601" s="31">
        <v>258526</v>
      </c>
      <c r="E601" s="33" t="str">
        <f>IF(Table3[[#This Row],[Type Received]]=2,"CC",(IF(Table3[[#This Row],[Type Received]]=3,"BILL","ACH")))</f>
        <v>CC</v>
      </c>
      <c r="F601" s="32">
        <v>128.19</v>
      </c>
      <c r="G601" s="14" t="str">
        <f>VLOOKUP(D601,Table4[],3,FALSE)</f>
        <v>2</v>
      </c>
      <c r="H601" s="15">
        <v>8102</v>
      </c>
      <c r="I601" s="15"/>
      <c r="J601" s="15"/>
      <c r="K601" s="15"/>
      <c r="L601" s="15"/>
      <c r="M601" s="15" t="s">
        <v>29</v>
      </c>
    </row>
    <row r="602" spans="1:13" x14ac:dyDescent="0.25">
      <c r="A602" s="23">
        <f t="shared" si="32"/>
        <v>258541</v>
      </c>
      <c r="B602" s="14" t="str">
        <f t="shared" si="31"/>
        <v>Direct Debit (UMB Bank) - Credits</v>
      </c>
      <c r="C602" s="38">
        <v>46162</v>
      </c>
      <c r="D602" s="34">
        <v>258541</v>
      </c>
      <c r="E602" s="36" t="str">
        <f>IF(Table3[[#This Row],[Type Received]]=2,"CC",(IF(Table3[[#This Row],[Type Received]]=3,"BILL","ACH")))</f>
        <v>ACH</v>
      </c>
      <c r="F602" s="35">
        <v>116.95</v>
      </c>
      <c r="G602" s="14" t="str">
        <f>VLOOKUP(D602,Table4[],3,FALSE)</f>
        <v>1</v>
      </c>
      <c r="H602" s="15"/>
      <c r="I602" s="15">
        <v>726684</v>
      </c>
      <c r="J602" s="24" t="s">
        <v>28</v>
      </c>
      <c r="K602" s="15">
        <v>757840297</v>
      </c>
      <c r="L602" s="15" t="s">
        <v>29</v>
      </c>
      <c r="M602" s="15" t="s">
        <v>29</v>
      </c>
    </row>
    <row r="603" spans="1:13" x14ac:dyDescent="0.25">
      <c r="A603" s="23">
        <f t="shared" si="32"/>
        <v>258542</v>
      </c>
      <c r="B603" s="14" t="str">
        <f t="shared" si="31"/>
        <v>Direct Debit (UMB Bank) - Credits</v>
      </c>
      <c r="C603" s="37">
        <v>46167</v>
      </c>
      <c r="D603" s="31">
        <v>258542</v>
      </c>
      <c r="E603" s="33" t="str">
        <f>IF(Table3[[#This Row],[Type Received]]=2,"CC",(IF(Table3[[#This Row],[Type Received]]=3,"BILL","ACH")))</f>
        <v>ACH</v>
      </c>
      <c r="F603" s="32">
        <v>68.44</v>
      </c>
      <c r="G603" s="14" t="str">
        <f>VLOOKUP(D603,Table4[],3,FALSE)</f>
        <v>2</v>
      </c>
      <c r="H603" s="15"/>
      <c r="I603" s="15"/>
      <c r="J603" s="15" t="s">
        <v>85</v>
      </c>
      <c r="K603" s="15">
        <v>818322682</v>
      </c>
      <c r="L603" s="15" t="s">
        <v>29</v>
      </c>
      <c r="M603" s="15" t="s">
        <v>29</v>
      </c>
    </row>
    <row r="604" spans="1:13" x14ac:dyDescent="0.25">
      <c r="A604" s="23">
        <f t="shared" si="32"/>
        <v>258544</v>
      </c>
      <c r="B604" s="14" t="str">
        <f t="shared" si="31"/>
        <v>Direct Debit (UMB Bank) - Credits</v>
      </c>
      <c r="C604" s="38">
        <v>46144</v>
      </c>
      <c r="D604" s="34">
        <v>258544</v>
      </c>
      <c r="E604" s="36" t="str">
        <f>IF(Table3[[#This Row],[Type Received]]=2,"CC",(IF(Table3[[#This Row],[Type Received]]=3,"BILL","ACH")))</f>
        <v>ACH</v>
      </c>
      <c r="F604" s="35">
        <v>98.91</v>
      </c>
      <c r="G604" s="14" t="str">
        <f>VLOOKUP(D604,Table4[],3,FALSE)</f>
        <v>1</v>
      </c>
      <c r="H604" s="15"/>
      <c r="I604" s="15"/>
      <c r="J604" s="15" t="s">
        <v>89</v>
      </c>
      <c r="K604" s="15">
        <v>535357336</v>
      </c>
      <c r="L604" s="15" t="s">
        <v>29</v>
      </c>
      <c r="M604" s="15" t="s">
        <v>29</v>
      </c>
    </row>
    <row r="605" spans="1:13" x14ac:dyDescent="0.25">
      <c r="A605" s="23">
        <f t="shared" si="32"/>
        <v>258546</v>
      </c>
      <c r="B605" s="14" t="str">
        <f t="shared" si="31"/>
        <v>Direct Debit (UMB Bank) - Credits</v>
      </c>
      <c r="C605" s="37">
        <v>46157</v>
      </c>
      <c r="D605" s="31">
        <v>258546</v>
      </c>
      <c r="E605" s="33" t="str">
        <f>IF(Table3[[#This Row],[Type Received]]=2,"CC",(IF(Table3[[#This Row],[Type Received]]=3,"BILL","ACH")))</f>
        <v>ACH</v>
      </c>
      <c r="F605" s="32">
        <v>83.62</v>
      </c>
      <c r="G605" s="14" t="str">
        <f>VLOOKUP(D605,Table4[],3,FALSE)</f>
        <v>2</v>
      </c>
      <c r="H605" s="15"/>
      <c r="I605" s="15"/>
      <c r="J605" s="15" t="s">
        <v>87</v>
      </c>
      <c r="K605" s="15">
        <v>696638903</v>
      </c>
      <c r="L605" s="15" t="s">
        <v>29</v>
      </c>
      <c r="M605" s="15" t="s">
        <v>29</v>
      </c>
    </row>
    <row r="606" spans="1:13" x14ac:dyDescent="0.25">
      <c r="A606" s="23">
        <f t="shared" si="32"/>
        <v>258571</v>
      </c>
      <c r="B606" s="14" t="str">
        <f t="shared" si="31"/>
        <v>Direct Debit (UMB Bank) - Credits</v>
      </c>
      <c r="C606" s="38">
        <v>46157</v>
      </c>
      <c r="D606" s="34">
        <v>258571</v>
      </c>
      <c r="E606" s="36" t="str">
        <f>IF(Table3[[#This Row],[Type Received]]=2,"CC",(IF(Table3[[#This Row],[Type Received]]=3,"BILL","ACH")))</f>
        <v>ACH</v>
      </c>
      <c r="F606" s="35">
        <v>95.17</v>
      </c>
      <c r="G606" s="14" t="str">
        <f>VLOOKUP(D606,Table4[],3,FALSE)</f>
        <v>2</v>
      </c>
      <c r="H606" s="15"/>
      <c r="I606" s="15"/>
      <c r="J606" s="24" t="s">
        <v>87</v>
      </c>
      <c r="K606" s="15">
        <v>696656311</v>
      </c>
      <c r="L606" s="15" t="s">
        <v>29</v>
      </c>
      <c r="M606" s="15"/>
    </row>
    <row r="607" spans="1:13" x14ac:dyDescent="0.25">
      <c r="A607" s="23">
        <f t="shared" si="32"/>
        <v>258564</v>
      </c>
      <c r="B607" s="14" t="str">
        <f t="shared" si="31"/>
        <v>Direct Debit (UMB Bank) - Credits</v>
      </c>
      <c r="C607" s="37">
        <v>46157</v>
      </c>
      <c r="D607" s="31">
        <v>258564</v>
      </c>
      <c r="E607" s="33" t="str">
        <f>IF(Table3[[#This Row],[Type Received]]=2,"CC",(IF(Table3[[#This Row],[Type Received]]=3,"BILL","ACH")))</f>
        <v>ACH</v>
      </c>
      <c r="F607" s="32">
        <v>29.61</v>
      </c>
      <c r="G607" s="14" t="str">
        <f>VLOOKUP(D607,Table4[],3,FALSE)</f>
        <v>1</v>
      </c>
      <c r="H607" s="15"/>
      <c r="I607" s="15"/>
      <c r="J607" s="15" t="s">
        <v>87</v>
      </c>
      <c r="K607" s="15">
        <v>696635056</v>
      </c>
      <c r="L607" s="15" t="s">
        <v>29</v>
      </c>
      <c r="M607" s="15" t="s">
        <v>29</v>
      </c>
    </row>
    <row r="608" spans="1:13" x14ac:dyDescent="0.25">
      <c r="A608" s="23">
        <f t="shared" si="32"/>
        <v>258572</v>
      </c>
      <c r="B608" s="14" t="str">
        <f t="shared" si="31"/>
        <v>Direct Debit (UMB Bank) - Credits</v>
      </c>
      <c r="C608" s="38">
        <v>46167</v>
      </c>
      <c r="D608" s="34">
        <v>258572</v>
      </c>
      <c r="E608" s="36" t="str">
        <f>IF(Table3[[#This Row],[Type Received]]=2,"CC",(IF(Table3[[#This Row],[Type Received]]=3,"BILL","ACH")))</f>
        <v>ACH</v>
      </c>
      <c r="F608" s="35">
        <v>97.15</v>
      </c>
      <c r="G608" s="14" t="str">
        <f>VLOOKUP(D608,Table4[],3,FALSE)</f>
        <v>1</v>
      </c>
      <c r="H608" s="15"/>
      <c r="I608" s="15"/>
      <c r="J608" s="15" t="s">
        <v>85</v>
      </c>
      <c r="K608" s="15">
        <v>818336317</v>
      </c>
      <c r="L608" s="15" t="s">
        <v>29</v>
      </c>
      <c r="M608" s="15" t="s">
        <v>29</v>
      </c>
    </row>
    <row r="609" spans="1:13" x14ac:dyDescent="0.25">
      <c r="A609" s="23">
        <f t="shared" si="32"/>
        <v>258580</v>
      </c>
      <c r="B609" s="14" t="str">
        <f t="shared" si="31"/>
        <v>Credit Cards (UMB) - Credits</v>
      </c>
      <c r="C609" s="37">
        <v>46157</v>
      </c>
      <c r="D609" s="31">
        <v>258580</v>
      </c>
      <c r="E609" s="33" t="str">
        <f>IF(Table3[[#This Row],[Type Received]]=2,"CC",(IF(Table3[[#This Row],[Type Received]]=3,"BILL","ACH")))</f>
        <v>CC</v>
      </c>
      <c r="F609" s="32">
        <v>106.06</v>
      </c>
      <c r="G609" s="14" t="str">
        <f>VLOOKUP(D609,Table4[],3,FALSE)</f>
        <v>2</v>
      </c>
      <c r="H609" s="15"/>
      <c r="I609" s="15"/>
      <c r="J609" s="15" t="s">
        <v>87</v>
      </c>
      <c r="K609" s="15">
        <v>696654432</v>
      </c>
      <c r="L609" s="15" t="s">
        <v>29</v>
      </c>
      <c r="M609" s="15" t="s">
        <v>29</v>
      </c>
    </row>
    <row r="610" spans="1:13" x14ac:dyDescent="0.25">
      <c r="A610" s="23">
        <f t="shared" si="32"/>
        <v>258579</v>
      </c>
      <c r="B610" s="14" t="str">
        <f t="shared" si="31"/>
        <v>Direct Debit (UMB Bank) - Credits</v>
      </c>
      <c r="C610" s="38">
        <v>46155</v>
      </c>
      <c r="D610" s="34">
        <v>258579</v>
      </c>
      <c r="E610" s="36" t="str">
        <f>IF(Table3[[#This Row],[Type Received]]=2,"CC",(IF(Table3[[#This Row],[Type Received]]=3,"BILL","ACH")))</f>
        <v>ACH</v>
      </c>
      <c r="F610" s="35">
        <v>138.4</v>
      </c>
      <c r="G610" s="14" t="str">
        <f>VLOOKUP(D610,Table4[],3,FALSE)</f>
        <v>2</v>
      </c>
      <c r="H610" s="15"/>
      <c r="I610" s="15">
        <v>639673</v>
      </c>
      <c r="J610" s="15" t="s">
        <v>28</v>
      </c>
      <c r="K610" s="15">
        <v>669439995</v>
      </c>
      <c r="L610" s="15" t="s">
        <v>29</v>
      </c>
      <c r="M610" s="15" t="s">
        <v>29</v>
      </c>
    </row>
    <row r="611" spans="1:13" x14ac:dyDescent="0.25">
      <c r="A611" s="23">
        <f t="shared" si="32"/>
        <v>258581</v>
      </c>
      <c r="B611" s="14" t="str">
        <f t="shared" si="31"/>
        <v>Direct Debit (UMB Bank) - Credits</v>
      </c>
      <c r="C611" s="37">
        <v>46167</v>
      </c>
      <c r="D611" s="31">
        <v>258581</v>
      </c>
      <c r="E611" s="33" t="str">
        <f>IF(Table3[[#This Row],[Type Received]]=2,"CC",(IF(Table3[[#This Row],[Type Received]]=3,"BILL","ACH")))</f>
        <v>ACH</v>
      </c>
      <c r="F611" s="32">
        <v>65.25</v>
      </c>
      <c r="G611" s="14" t="str">
        <f>VLOOKUP(D611,Table4[],3,FALSE)</f>
        <v>1</v>
      </c>
      <c r="H611" s="15"/>
      <c r="I611" s="15"/>
      <c r="J611" s="15" t="s">
        <v>85</v>
      </c>
      <c r="K611" s="15">
        <v>818333486</v>
      </c>
      <c r="L611" s="15" t="s">
        <v>29</v>
      </c>
      <c r="M611" s="15" t="s">
        <v>29</v>
      </c>
    </row>
    <row r="612" spans="1:13" x14ac:dyDescent="0.25">
      <c r="A612" s="23">
        <f t="shared" si="32"/>
        <v>258589</v>
      </c>
      <c r="B612" s="14" t="str">
        <f t="shared" si="31"/>
        <v>Billing - Credits (from TPA)</v>
      </c>
      <c r="C612" s="38">
        <v>46157</v>
      </c>
      <c r="D612" s="34">
        <v>258589</v>
      </c>
      <c r="E612" s="36" t="str">
        <f>IF(Table3[[#This Row],[Type Received]]=2,"CC",(IF(Table3[[#This Row],[Type Received]]=3,"BILL","ACH")))</f>
        <v>BILL</v>
      </c>
      <c r="F612" s="35">
        <v>163.47999999999999</v>
      </c>
      <c r="G612" s="14" t="str">
        <f>VLOOKUP(D612,Table4[],3,FALSE)</f>
        <v>2</v>
      </c>
      <c r="H612" s="15"/>
      <c r="I612" s="15"/>
      <c r="J612" s="15" t="s">
        <v>87</v>
      </c>
      <c r="K612" s="15">
        <v>696642853</v>
      </c>
      <c r="L612" s="15" t="s">
        <v>29</v>
      </c>
      <c r="M612" s="15" t="s">
        <v>29</v>
      </c>
    </row>
    <row r="613" spans="1:13" x14ac:dyDescent="0.25">
      <c r="A613" s="23">
        <f t="shared" si="32"/>
        <v>258593</v>
      </c>
      <c r="B613" s="14" t="str">
        <f t="shared" si="31"/>
        <v>Direct Debit (UMB Bank) - Credits</v>
      </c>
      <c r="C613" s="37">
        <v>46149</v>
      </c>
      <c r="D613" s="31">
        <v>258593</v>
      </c>
      <c r="E613" s="33" t="str">
        <f>IF(Table3[[#This Row],[Type Received]]=2,"CC",(IF(Table3[[#This Row],[Type Received]]=3,"BILL","ACH")))</f>
        <v>ACH</v>
      </c>
      <c r="F613" s="32">
        <v>75.72</v>
      </c>
      <c r="G613" s="14" t="str">
        <f>VLOOKUP(D613,Table4[],3,FALSE)</f>
        <v>2</v>
      </c>
      <c r="H613" s="15">
        <v>1015</v>
      </c>
      <c r="I613" s="15"/>
      <c r="J613" s="15"/>
      <c r="K613" s="15"/>
      <c r="L613" s="15"/>
      <c r="M613" s="15"/>
    </row>
    <row r="614" spans="1:13" x14ac:dyDescent="0.25">
      <c r="A614" s="23">
        <f t="shared" si="32"/>
        <v>258599</v>
      </c>
      <c r="B614" s="14" t="str">
        <f t="shared" si="31"/>
        <v>Direct Debit (UMB Bank) - Credits</v>
      </c>
      <c r="C614" s="38">
        <v>46167</v>
      </c>
      <c r="D614" s="34">
        <v>258599</v>
      </c>
      <c r="E614" s="36" t="str">
        <f>IF(Table3[[#This Row],[Type Received]]=2,"CC",(IF(Table3[[#This Row],[Type Received]]=3,"BILL","ACH")))</f>
        <v>ACH</v>
      </c>
      <c r="F614" s="35">
        <v>105.95</v>
      </c>
      <c r="G614" s="14" t="str">
        <f>VLOOKUP(D614,Table4[],3,FALSE)</f>
        <v>1</v>
      </c>
      <c r="H614" s="15"/>
      <c r="I614" s="15"/>
      <c r="J614" s="15" t="s">
        <v>85</v>
      </c>
      <c r="K614" s="15">
        <v>818336342</v>
      </c>
      <c r="L614" s="15" t="s">
        <v>29</v>
      </c>
      <c r="M614" s="15"/>
    </row>
    <row r="615" spans="1:13" x14ac:dyDescent="0.25">
      <c r="A615" s="23">
        <f t="shared" si="32"/>
        <v>258600</v>
      </c>
      <c r="B615" s="14" t="str">
        <f t="shared" si="31"/>
        <v>Direct Debit (UMB Bank) - Credits</v>
      </c>
      <c r="C615" s="37">
        <v>46157</v>
      </c>
      <c r="D615" s="31">
        <v>258600</v>
      </c>
      <c r="E615" s="33" t="str">
        <f>IF(Table3[[#This Row],[Type Received]]=2,"CC",(IF(Table3[[#This Row],[Type Received]]=3,"BILL","ACH")))</f>
        <v>ACH</v>
      </c>
      <c r="F615" s="32">
        <v>45.01</v>
      </c>
      <c r="G615" s="14" t="str">
        <f>VLOOKUP(D615,Table4[],3,FALSE)</f>
        <v>2</v>
      </c>
      <c r="H615" s="15"/>
      <c r="I615" s="15"/>
      <c r="J615" s="15" t="s">
        <v>87</v>
      </c>
      <c r="K615" s="15">
        <v>696660189</v>
      </c>
      <c r="L615" s="15" t="s">
        <v>29</v>
      </c>
      <c r="M615" s="15" t="s">
        <v>29</v>
      </c>
    </row>
    <row r="616" spans="1:13" x14ac:dyDescent="0.25">
      <c r="A616" s="23">
        <f t="shared" si="32"/>
        <v>258604</v>
      </c>
      <c r="B616" s="14" t="str">
        <f t="shared" si="31"/>
        <v>Billing - Credits (from TPA)</v>
      </c>
      <c r="C616" s="38">
        <v>46144</v>
      </c>
      <c r="D616" s="34">
        <v>258604</v>
      </c>
      <c r="E616" s="36" t="str">
        <f>IF(Table3[[#This Row],[Type Received]]=2,"CC",(IF(Table3[[#This Row],[Type Received]]=3,"BILL","ACH")))</f>
        <v>BILL</v>
      </c>
      <c r="F616" s="35">
        <v>51.61</v>
      </c>
      <c r="G616" s="14" t="str">
        <f>VLOOKUP(D616,Table4[],3,FALSE)</f>
        <v>2</v>
      </c>
      <c r="H616" s="15"/>
      <c r="I616" s="15"/>
      <c r="J616" s="24" t="s">
        <v>89</v>
      </c>
      <c r="K616" s="15">
        <v>535361242</v>
      </c>
      <c r="L616" s="15" t="s">
        <v>29</v>
      </c>
      <c r="M616" s="15" t="s">
        <v>29</v>
      </c>
    </row>
    <row r="617" spans="1:13" x14ac:dyDescent="0.25">
      <c r="A617" s="23">
        <f t="shared" si="32"/>
        <v>258609</v>
      </c>
      <c r="B617" s="14" t="str">
        <f t="shared" si="31"/>
        <v>Direct Debit (UMB Bank) - Credits</v>
      </c>
      <c r="C617" s="37">
        <v>46169</v>
      </c>
      <c r="D617" s="31">
        <v>258609</v>
      </c>
      <c r="E617" s="33" t="str">
        <f>IF(Table3[[#This Row],[Type Received]]=2,"CC",(IF(Table3[[#This Row],[Type Received]]=3,"BILL","ACH")))</f>
        <v>ACH</v>
      </c>
      <c r="F617" s="32">
        <v>138.78</v>
      </c>
      <c r="G617" s="14" t="str">
        <f>VLOOKUP(D617,Table4[],3,FALSE)</f>
        <v>1</v>
      </c>
      <c r="H617" s="15">
        <v>19830276575</v>
      </c>
      <c r="I617" s="15"/>
      <c r="J617" s="15"/>
      <c r="K617" s="15"/>
      <c r="L617" s="15"/>
      <c r="M617" s="15" t="s">
        <v>29</v>
      </c>
    </row>
    <row r="618" spans="1:13" x14ac:dyDescent="0.25">
      <c r="A618" s="23">
        <f t="shared" si="32"/>
        <v>258612</v>
      </c>
      <c r="B618" s="14" t="str">
        <f t="shared" si="31"/>
        <v>Direct Debit (UMB Bank) - Credits</v>
      </c>
      <c r="C618" s="38">
        <v>46144</v>
      </c>
      <c r="D618" s="34">
        <v>258612</v>
      </c>
      <c r="E618" s="36" t="str">
        <f>IF(Table3[[#This Row],[Type Received]]=2,"CC",(IF(Table3[[#This Row],[Type Received]]=3,"BILL","ACH")))</f>
        <v>ACH</v>
      </c>
      <c r="F618" s="35">
        <v>51.61</v>
      </c>
      <c r="G618" s="14" t="str">
        <f>VLOOKUP(D618,Table4[],3,FALSE)</f>
        <v>1</v>
      </c>
      <c r="H618" s="15"/>
      <c r="I618" s="15"/>
      <c r="J618" s="15" t="s">
        <v>89</v>
      </c>
      <c r="K618" s="15">
        <v>535338024</v>
      </c>
      <c r="L618" s="15" t="s">
        <v>29</v>
      </c>
      <c r="M618" s="15" t="s">
        <v>29</v>
      </c>
    </row>
    <row r="619" spans="1:13" x14ac:dyDescent="0.25">
      <c r="A619" s="23"/>
      <c r="B619" s="14" t="str">
        <f t="shared" si="31"/>
        <v>Direct Debit (UMB Bank) - Credits</v>
      </c>
      <c r="C619" s="37">
        <v>46144</v>
      </c>
      <c r="D619" s="31">
        <v>258617</v>
      </c>
      <c r="E619" s="33" t="str">
        <f>IF(Table3[[#This Row],[Type Received]]=2,"CC",(IF(Table3[[#This Row],[Type Received]]=3,"BILL","ACH")))</f>
        <v>ACH</v>
      </c>
      <c r="F619" s="32">
        <v>34.450000000000003</v>
      </c>
      <c r="G619" s="14" t="str">
        <f>VLOOKUP(D619,Table4[],3,FALSE)</f>
        <v>2</v>
      </c>
      <c r="H619" s="15"/>
      <c r="I619" s="15"/>
      <c r="J619" s="24" t="s">
        <v>89</v>
      </c>
      <c r="K619" s="15">
        <v>535338033</v>
      </c>
      <c r="L619" s="15" t="s">
        <v>29</v>
      </c>
      <c r="M619" s="15"/>
    </row>
    <row r="620" spans="1:13" x14ac:dyDescent="0.25">
      <c r="A620" s="23"/>
      <c r="B620" s="14" t="str">
        <f t="shared" si="31"/>
        <v>Direct Debit (UMB Bank) - Credits</v>
      </c>
      <c r="C620" s="38">
        <v>46167</v>
      </c>
      <c r="D620" s="34">
        <v>258621</v>
      </c>
      <c r="E620" s="36" t="str">
        <f>IF(Table3[[#This Row],[Type Received]]=2,"CC",(IF(Table3[[#This Row],[Type Received]]=3,"BILL","ACH")))</f>
        <v>ACH</v>
      </c>
      <c r="F620" s="35">
        <v>66.459999999999994</v>
      </c>
      <c r="G620" s="14" t="str">
        <f>VLOOKUP(D620,Table4[],3,FALSE)</f>
        <v>2</v>
      </c>
      <c r="H620" s="15"/>
      <c r="I620" s="15"/>
      <c r="J620" s="15" t="s">
        <v>85</v>
      </c>
      <c r="K620" s="15">
        <v>818316053</v>
      </c>
      <c r="L620" s="15" t="s">
        <v>29</v>
      </c>
      <c r="M620" s="15"/>
    </row>
    <row r="621" spans="1:13" x14ac:dyDescent="0.25">
      <c r="A621" s="23">
        <f t="shared" ref="A621:A653" si="33">D621</f>
        <v>258628</v>
      </c>
      <c r="B621" s="14" t="str">
        <f t="shared" si="31"/>
        <v>Direct Debit (UMB Bank) - Credits</v>
      </c>
      <c r="C621" s="37">
        <v>46144</v>
      </c>
      <c r="D621" s="31">
        <v>258628</v>
      </c>
      <c r="E621" s="33" t="str">
        <f>IF(Table3[[#This Row],[Type Received]]=2,"CC",(IF(Table3[[#This Row],[Type Received]]=3,"BILL","ACH")))</f>
        <v>ACH</v>
      </c>
      <c r="F621" s="32">
        <v>46.99</v>
      </c>
      <c r="G621" s="14" t="str">
        <f>VLOOKUP(D621,Table4[],3,FALSE)</f>
        <v>1</v>
      </c>
      <c r="H621" s="15"/>
      <c r="I621" s="15"/>
      <c r="J621" s="15" t="s">
        <v>89</v>
      </c>
      <c r="K621" s="15">
        <v>535363183</v>
      </c>
      <c r="L621" s="15" t="s">
        <v>29</v>
      </c>
      <c r="M621" s="15" t="s">
        <v>29</v>
      </c>
    </row>
    <row r="622" spans="1:13" x14ac:dyDescent="0.25">
      <c r="A622" s="23">
        <f t="shared" si="33"/>
        <v>258634</v>
      </c>
      <c r="B622" s="14" t="str">
        <f t="shared" si="31"/>
        <v>Billing - Credits (from TPA)</v>
      </c>
      <c r="C622" s="38">
        <v>46167</v>
      </c>
      <c r="D622" s="34">
        <v>258634</v>
      </c>
      <c r="E622" s="36" t="str">
        <f>IF(Table3[[#This Row],[Type Received]]=2,"CC",(IF(Table3[[#This Row],[Type Received]]=3,"BILL","ACH")))</f>
        <v>BILL</v>
      </c>
      <c r="F622" s="35">
        <v>82.63</v>
      </c>
      <c r="G622" s="14" t="str">
        <f>VLOOKUP(D622,Table4[],3,FALSE)</f>
        <v>2</v>
      </c>
      <c r="H622" s="15"/>
      <c r="I622" s="15"/>
      <c r="J622" s="15" t="s">
        <v>85</v>
      </c>
      <c r="K622" s="15">
        <v>818341181</v>
      </c>
      <c r="L622" s="15" t="s">
        <v>29</v>
      </c>
      <c r="M622" s="15"/>
    </row>
    <row r="623" spans="1:13" x14ac:dyDescent="0.25">
      <c r="A623" s="23">
        <f t="shared" si="33"/>
        <v>258636</v>
      </c>
      <c r="B623" s="14" t="str">
        <f t="shared" si="31"/>
        <v>Credit Cards (UMB) - Credits</v>
      </c>
      <c r="C623" s="37">
        <v>46164</v>
      </c>
      <c r="D623" s="31">
        <v>258636</v>
      </c>
      <c r="E623" s="33" t="str">
        <f>IF(Table3[[#This Row],[Type Received]]=2,"CC",(IF(Table3[[#This Row],[Type Received]]=3,"BILL","ACH")))</f>
        <v>CC</v>
      </c>
      <c r="F623" s="32">
        <v>145</v>
      </c>
      <c r="G623" s="14" t="str">
        <f>VLOOKUP(D623,Table4[],3,FALSE)</f>
        <v>2</v>
      </c>
      <c r="H623" s="15">
        <v>923196158</v>
      </c>
      <c r="I623" s="15"/>
      <c r="J623" s="15"/>
      <c r="K623" s="15"/>
      <c r="L623" s="15"/>
      <c r="M623" s="15" t="s">
        <v>29</v>
      </c>
    </row>
    <row r="624" spans="1:13" x14ac:dyDescent="0.25">
      <c r="A624" s="23">
        <f t="shared" si="33"/>
        <v>258652</v>
      </c>
      <c r="B624" s="14" t="str">
        <f t="shared" si="31"/>
        <v>Direct Debit (UMB Bank) - Credits</v>
      </c>
      <c r="C624" s="38">
        <v>46155</v>
      </c>
      <c r="D624" s="34">
        <v>258652</v>
      </c>
      <c r="E624" s="36" t="str">
        <f>IF(Table3[[#This Row],[Type Received]]=2,"CC",(IF(Table3[[#This Row],[Type Received]]=3,"BILL","ACH")))</f>
        <v>ACH</v>
      </c>
      <c r="F624" s="35">
        <v>35.770000000000003</v>
      </c>
      <c r="G624" s="14" t="str">
        <f>VLOOKUP(D624,Table4[],3,FALSE)</f>
        <v>1</v>
      </c>
      <c r="H624" s="15"/>
      <c r="I624" s="15">
        <v>135326</v>
      </c>
      <c r="J624" s="15" t="s">
        <v>28</v>
      </c>
      <c r="K624" s="15">
        <v>669459183</v>
      </c>
      <c r="L624" s="15" t="s">
        <v>29</v>
      </c>
      <c r="M624" s="15" t="s">
        <v>29</v>
      </c>
    </row>
    <row r="625" spans="1:13" x14ac:dyDescent="0.25">
      <c r="A625" s="23">
        <f t="shared" si="33"/>
        <v>258653</v>
      </c>
      <c r="B625" s="14" t="str">
        <f t="shared" si="31"/>
        <v>Direct Debit (UMB Bank) - Credits</v>
      </c>
      <c r="C625" s="37">
        <v>46157</v>
      </c>
      <c r="D625" s="31">
        <v>258653</v>
      </c>
      <c r="E625" s="33" t="str">
        <f>IF(Table3[[#This Row],[Type Received]]=2,"CC",(IF(Table3[[#This Row],[Type Received]]=3,"BILL","ACH")))</f>
        <v>ACH</v>
      </c>
      <c r="F625" s="32">
        <v>153.25</v>
      </c>
      <c r="G625" s="14" t="str">
        <f>VLOOKUP(D625,Table4[],3,FALSE)</f>
        <v>2</v>
      </c>
      <c r="H625" s="15"/>
      <c r="I625" s="15"/>
      <c r="J625" s="15" t="s">
        <v>87</v>
      </c>
      <c r="K625" s="15">
        <v>696664153</v>
      </c>
      <c r="L625" s="15" t="s">
        <v>29</v>
      </c>
      <c r="M625" s="15" t="s">
        <v>29</v>
      </c>
    </row>
    <row r="626" spans="1:13" x14ac:dyDescent="0.25">
      <c r="A626" s="23">
        <f t="shared" si="33"/>
        <v>258663</v>
      </c>
      <c r="B626" s="14" t="str">
        <f t="shared" si="31"/>
        <v>Direct Debit (UMB Bank) - Credits</v>
      </c>
      <c r="C626" s="38">
        <v>46167</v>
      </c>
      <c r="D626" s="34">
        <v>258663</v>
      </c>
      <c r="E626" s="36" t="str">
        <f>IF(Table3[[#This Row],[Type Received]]=2,"CC",(IF(Table3[[#This Row],[Type Received]]=3,"BILL","ACH")))</f>
        <v>ACH</v>
      </c>
      <c r="F626" s="35">
        <v>47.21</v>
      </c>
      <c r="G626" s="14" t="e">
        <f>VLOOKUP(D626,Table4[],3,FALSE)</f>
        <v>#N/A</v>
      </c>
      <c r="H626" s="15"/>
      <c r="I626" s="15"/>
      <c r="J626" s="15" t="s">
        <v>85</v>
      </c>
      <c r="K626" s="15">
        <v>818320929</v>
      </c>
      <c r="L626" s="15" t="s">
        <v>29</v>
      </c>
      <c r="M626" s="15" t="s">
        <v>29</v>
      </c>
    </row>
    <row r="627" spans="1:13" x14ac:dyDescent="0.25">
      <c r="A627" s="23">
        <f t="shared" si="33"/>
        <v>258662</v>
      </c>
      <c r="B627" s="14" t="str">
        <f t="shared" si="31"/>
        <v>Direct Debit (UMB Bank) - Credits</v>
      </c>
      <c r="C627" s="37">
        <v>46144</v>
      </c>
      <c r="D627" s="31">
        <v>258662</v>
      </c>
      <c r="E627" s="33" t="str">
        <f>IF(Table3[[#This Row],[Type Received]]=2,"CC",(IF(Table3[[#This Row],[Type Received]]=3,"BILL","ACH")))</f>
        <v>ACH</v>
      </c>
      <c r="F627" s="32">
        <v>31.15</v>
      </c>
      <c r="G627" s="14" t="str">
        <f>VLOOKUP(D627,Table4[],3,FALSE)</f>
        <v>1</v>
      </c>
      <c r="H627" s="15"/>
      <c r="I627" s="15"/>
      <c r="J627" s="15" t="s">
        <v>89</v>
      </c>
      <c r="K627" s="15">
        <v>535355447</v>
      </c>
      <c r="L627" s="15" t="s">
        <v>29</v>
      </c>
      <c r="M627" s="15" t="s">
        <v>29</v>
      </c>
    </row>
    <row r="628" spans="1:13" x14ac:dyDescent="0.25">
      <c r="A628" s="23">
        <f t="shared" si="33"/>
        <v>258664</v>
      </c>
      <c r="B628" s="14" t="str">
        <f t="shared" si="31"/>
        <v>Direct Debit (UMB Bank) - Credits</v>
      </c>
      <c r="C628" s="38">
        <v>46167</v>
      </c>
      <c r="D628" s="34">
        <v>258664</v>
      </c>
      <c r="E628" s="36" t="str">
        <f>IF(Table3[[#This Row],[Type Received]]=2,"CC",(IF(Table3[[#This Row],[Type Received]]=3,"BILL","ACH")))</f>
        <v>ACH</v>
      </c>
      <c r="F628" s="35">
        <v>55.57</v>
      </c>
      <c r="G628" s="14" t="str">
        <f>VLOOKUP(D628,Table4[],3,FALSE)</f>
        <v>2</v>
      </c>
      <c r="H628" s="15"/>
      <c r="I628" s="15"/>
      <c r="J628" s="15" t="s">
        <v>85</v>
      </c>
      <c r="K628" s="15">
        <v>818335459</v>
      </c>
      <c r="L628" s="15" t="s">
        <v>29</v>
      </c>
      <c r="M628" s="15" t="s">
        <v>29</v>
      </c>
    </row>
    <row r="629" spans="1:13" x14ac:dyDescent="0.25">
      <c r="A629" s="23">
        <f t="shared" si="33"/>
        <v>258665</v>
      </c>
      <c r="B629" s="14" t="str">
        <f t="shared" si="31"/>
        <v>Direct Debit (UMB Bank) - Credits</v>
      </c>
      <c r="C629" s="37">
        <v>46167</v>
      </c>
      <c r="D629" s="31">
        <v>258665</v>
      </c>
      <c r="E629" s="33" t="str">
        <f>IF(Table3[[#This Row],[Type Received]]=2,"CC",(IF(Table3[[#This Row],[Type Received]]=3,"BILL","ACH")))</f>
        <v>ACH</v>
      </c>
      <c r="F629" s="32">
        <v>50.95</v>
      </c>
      <c r="G629" s="14" t="str">
        <f>VLOOKUP(D629,Table4[],3,FALSE)</f>
        <v>2</v>
      </c>
      <c r="H629" s="15"/>
      <c r="I629" s="15"/>
      <c r="J629" s="15" t="s">
        <v>85</v>
      </c>
      <c r="K629" s="15">
        <v>818333541</v>
      </c>
      <c r="L629" s="15" t="s">
        <v>29</v>
      </c>
      <c r="M629" s="15" t="s">
        <v>29</v>
      </c>
    </row>
    <row r="630" spans="1:13" x14ac:dyDescent="0.25">
      <c r="A630" s="23">
        <f t="shared" si="33"/>
        <v>258670</v>
      </c>
      <c r="B630" s="14" t="str">
        <f t="shared" si="31"/>
        <v>Credit Cards (UMB) - Credits</v>
      </c>
      <c r="C630" s="38">
        <v>46157</v>
      </c>
      <c r="D630" s="34">
        <v>258670</v>
      </c>
      <c r="E630" s="36" t="str">
        <f>IF(Table3[[#This Row],[Type Received]]=2,"CC",(IF(Table3[[#This Row],[Type Received]]=3,"BILL","ACH")))</f>
        <v>CC</v>
      </c>
      <c r="F630" s="35">
        <v>74.709999999999994</v>
      </c>
      <c r="G630" s="14" t="str">
        <f>VLOOKUP(D630,Table4[],3,FALSE)</f>
        <v>2</v>
      </c>
      <c r="H630" s="15"/>
      <c r="I630" s="15"/>
      <c r="J630" s="15" t="s">
        <v>87</v>
      </c>
      <c r="K630" s="15">
        <v>696639970</v>
      </c>
      <c r="L630" s="15" t="s">
        <v>29</v>
      </c>
      <c r="M630" s="15" t="s">
        <v>29</v>
      </c>
    </row>
    <row r="631" spans="1:13" x14ac:dyDescent="0.25">
      <c r="A631" s="23">
        <f t="shared" si="33"/>
        <v>258683</v>
      </c>
      <c r="B631" s="14" t="str">
        <f t="shared" si="31"/>
        <v>Direct Debit (UMB Bank) - Credits</v>
      </c>
      <c r="C631" s="37">
        <v>46158</v>
      </c>
      <c r="D631" s="31">
        <v>258683</v>
      </c>
      <c r="E631" s="33" t="str">
        <f>IF(Table3[[#This Row],[Type Received]]=2,"CC",(IF(Table3[[#This Row],[Type Received]]=3,"BILL","ACH")))</f>
        <v>ACH</v>
      </c>
      <c r="F631" s="32">
        <v>145</v>
      </c>
      <c r="G631" s="14" t="str">
        <f>VLOOKUP(D631,Table4[],3,FALSE)</f>
        <v>1</v>
      </c>
      <c r="H631" s="15"/>
      <c r="I631" s="15">
        <v>14226</v>
      </c>
      <c r="J631" s="15">
        <v>746001048</v>
      </c>
      <c r="K631" s="15">
        <v>354854127</v>
      </c>
      <c r="L631" s="15"/>
      <c r="M631" s="15" t="s">
        <v>29</v>
      </c>
    </row>
    <row r="632" spans="1:13" x14ac:dyDescent="0.25">
      <c r="A632" s="23">
        <f t="shared" si="33"/>
        <v>258686</v>
      </c>
      <c r="B632" s="14" t="str">
        <f t="shared" si="31"/>
        <v>Direct Debit (UMB Bank) - Credits</v>
      </c>
      <c r="C632" s="38">
        <v>46157</v>
      </c>
      <c r="D632" s="34">
        <v>258686</v>
      </c>
      <c r="E632" s="36" t="str">
        <f>IF(Table3[[#This Row],[Type Received]]=2,"CC",(IF(Table3[[#This Row],[Type Received]]=3,"BILL","ACH")))</f>
        <v>ACH</v>
      </c>
      <c r="F632" s="35">
        <v>30.05</v>
      </c>
      <c r="G632" s="14" t="str">
        <f>VLOOKUP(D632,Table4[],3,FALSE)</f>
        <v>1</v>
      </c>
      <c r="H632" s="15"/>
      <c r="I632" s="15"/>
      <c r="J632" s="15" t="s">
        <v>87</v>
      </c>
      <c r="K632" s="15">
        <v>696646709</v>
      </c>
      <c r="L632" s="15" t="s">
        <v>29</v>
      </c>
      <c r="M632" s="15" t="s">
        <v>29</v>
      </c>
    </row>
    <row r="633" spans="1:13" x14ac:dyDescent="0.25">
      <c r="A633" s="23">
        <f t="shared" si="33"/>
        <v>258690</v>
      </c>
      <c r="B633" s="14" t="str">
        <f t="shared" si="31"/>
        <v>Direct Debit (UMB Bank) - Credits</v>
      </c>
      <c r="C633" s="37">
        <v>46167</v>
      </c>
      <c r="D633" s="31">
        <v>258690</v>
      </c>
      <c r="E633" s="33" t="str">
        <f>IF(Table3[[#This Row],[Type Received]]=2,"CC",(IF(Table3[[#This Row],[Type Received]]=3,"BILL","ACH")))</f>
        <v>ACH</v>
      </c>
      <c r="F633" s="32">
        <v>44.35</v>
      </c>
      <c r="G633" s="14" t="str">
        <f>VLOOKUP(D633,Table4[],3,FALSE)</f>
        <v>2</v>
      </c>
      <c r="H633" s="15"/>
      <c r="I633" s="15"/>
      <c r="J633" s="15" t="s">
        <v>85</v>
      </c>
      <c r="K633" s="15">
        <v>818318019</v>
      </c>
      <c r="L633" s="15" t="s">
        <v>29</v>
      </c>
      <c r="M633" s="15" t="s">
        <v>29</v>
      </c>
    </row>
    <row r="634" spans="1:13" x14ac:dyDescent="0.25">
      <c r="A634" s="23">
        <f t="shared" si="33"/>
        <v>258687</v>
      </c>
      <c r="B634" s="14" t="str">
        <f t="shared" si="31"/>
        <v>Direct Debit (UMB Bank) - Credits</v>
      </c>
      <c r="C634" s="38">
        <v>46164</v>
      </c>
      <c r="D634" s="34">
        <v>258687</v>
      </c>
      <c r="E634" s="36" t="str">
        <f>IF(Table3[[#This Row],[Type Received]]=2,"CC",(IF(Table3[[#This Row],[Type Received]]=3,"BILL","ACH")))</f>
        <v>ACH</v>
      </c>
      <c r="F634" s="35">
        <v>72.510000000000005</v>
      </c>
      <c r="G634" s="14" t="str">
        <f>VLOOKUP(D634,Table4[],3,FALSE)</f>
        <v>1</v>
      </c>
      <c r="H634" s="15"/>
      <c r="I634" s="15"/>
      <c r="J634" s="15" t="s">
        <v>118</v>
      </c>
      <c r="K634" s="15">
        <v>784580782</v>
      </c>
      <c r="L634" s="15" t="s">
        <v>29</v>
      </c>
      <c r="M634" s="15" t="s">
        <v>29</v>
      </c>
    </row>
    <row r="635" spans="1:13" x14ac:dyDescent="0.25">
      <c r="A635" s="23">
        <f t="shared" si="33"/>
        <v>258687</v>
      </c>
      <c r="B635" s="14" t="str">
        <f t="shared" si="31"/>
        <v>Credit Cards (UMB) - Credits</v>
      </c>
      <c r="C635" s="37">
        <v>46157</v>
      </c>
      <c r="D635" s="31">
        <v>258687</v>
      </c>
      <c r="E635" s="33" t="str">
        <f>IF(Table3[[#This Row],[Type Received]]=2,"CC",(IF(Table3[[#This Row],[Type Received]]=3,"BILL","ACH")))</f>
        <v>CC</v>
      </c>
      <c r="F635" s="32">
        <v>72.510000000000005</v>
      </c>
      <c r="G635" s="14" t="str">
        <f>VLOOKUP(D635,Table4[],3,FALSE)</f>
        <v>1</v>
      </c>
      <c r="H635" s="15"/>
      <c r="I635" s="15"/>
      <c r="J635" s="15" t="s">
        <v>87</v>
      </c>
      <c r="K635" s="15">
        <v>696665158</v>
      </c>
      <c r="L635" s="15" t="s">
        <v>29</v>
      </c>
      <c r="M635" s="15" t="s">
        <v>29</v>
      </c>
    </row>
    <row r="636" spans="1:13" x14ac:dyDescent="0.25">
      <c r="A636" s="23">
        <f t="shared" si="33"/>
        <v>258688</v>
      </c>
      <c r="B636" s="14" t="str">
        <f t="shared" si="31"/>
        <v>Direct Debit (UMB Bank) - Credits</v>
      </c>
      <c r="C636" s="38">
        <v>46155</v>
      </c>
      <c r="D636" s="34">
        <v>258688</v>
      </c>
      <c r="E636" s="36" t="str">
        <f>IF(Table3[[#This Row],[Type Received]]=2,"CC",(IF(Table3[[#This Row],[Type Received]]=3,"BILL","ACH")))</f>
        <v>ACH</v>
      </c>
      <c r="F636" s="35">
        <v>123.33</v>
      </c>
      <c r="G636" s="14" t="str">
        <f>VLOOKUP(D636,Table4[],3,FALSE)</f>
        <v>1</v>
      </c>
      <c r="H636" s="15"/>
      <c r="I636" s="15" t="s">
        <v>136</v>
      </c>
      <c r="J636" s="15" t="s">
        <v>28</v>
      </c>
      <c r="K636" s="15">
        <v>669448519</v>
      </c>
      <c r="L636" s="15" t="s">
        <v>29</v>
      </c>
      <c r="M636" s="15" t="s">
        <v>29</v>
      </c>
    </row>
    <row r="637" spans="1:13" x14ac:dyDescent="0.25">
      <c r="A637" s="23">
        <f t="shared" si="33"/>
        <v>258693</v>
      </c>
      <c r="B637" s="14" t="str">
        <f t="shared" si="31"/>
        <v>Billing - Credits (from TPA)</v>
      </c>
      <c r="C637" s="37">
        <v>46167</v>
      </c>
      <c r="D637" s="31">
        <v>258693</v>
      </c>
      <c r="E637" s="33" t="str">
        <f>IF(Table3[[#This Row],[Type Received]]=2,"CC",(IF(Table3[[#This Row],[Type Received]]=3,"BILL","ACH")))</f>
        <v>BILL</v>
      </c>
      <c r="F637" s="32">
        <v>34.450000000000003</v>
      </c>
      <c r="G637" s="14" t="str">
        <f>VLOOKUP(D637,Table4[],3,FALSE)</f>
        <v>1</v>
      </c>
      <c r="H637" s="15"/>
      <c r="I637" s="15"/>
      <c r="J637" s="15" t="s">
        <v>85</v>
      </c>
      <c r="K637" s="15">
        <v>818327631</v>
      </c>
      <c r="L637" s="15" t="s">
        <v>29</v>
      </c>
      <c r="M637" s="15"/>
    </row>
    <row r="638" spans="1:13" x14ac:dyDescent="0.25">
      <c r="A638" s="23">
        <f t="shared" si="33"/>
        <v>258694</v>
      </c>
      <c r="B638" s="14" t="str">
        <f t="shared" si="31"/>
        <v>Direct Debit (UMB Bank) - Credits</v>
      </c>
      <c r="C638" s="38">
        <v>46156</v>
      </c>
      <c r="D638" s="34">
        <v>258694</v>
      </c>
      <c r="E638" s="36" t="str">
        <f>IF(Table3[[#This Row],[Type Received]]=2,"CC",(IF(Table3[[#This Row],[Type Received]]=3,"BILL","ACH")))</f>
        <v>ACH</v>
      </c>
      <c r="F638" s="35">
        <v>151.62</v>
      </c>
      <c r="G638" s="14" t="str">
        <f>VLOOKUP(D638,Table4[],3,FALSE)</f>
        <v>2</v>
      </c>
      <c r="H638" s="15">
        <v>1478</v>
      </c>
      <c r="I638" s="15"/>
      <c r="J638" s="15"/>
      <c r="K638" s="15"/>
      <c r="L638" s="15"/>
      <c r="M638" s="15" t="s">
        <v>29</v>
      </c>
    </row>
    <row r="639" spans="1:13" x14ac:dyDescent="0.25">
      <c r="A639" s="23">
        <f t="shared" si="33"/>
        <v>258704</v>
      </c>
      <c r="B639" s="14" t="str">
        <f t="shared" si="31"/>
        <v>Billing - Credits (from TPA)</v>
      </c>
      <c r="C639" s="37">
        <v>46157</v>
      </c>
      <c r="D639" s="31">
        <v>258704</v>
      </c>
      <c r="E639" s="33" t="str">
        <f>IF(Table3[[#This Row],[Type Received]]=2,"CC",(IF(Table3[[#This Row],[Type Received]]=3,"BILL","ACH")))</f>
        <v>BILL</v>
      </c>
      <c r="F639" s="32">
        <v>70.09</v>
      </c>
      <c r="G639" s="14" t="str">
        <f>VLOOKUP(D639,Table4[],3,FALSE)</f>
        <v>1</v>
      </c>
      <c r="H639" s="15"/>
      <c r="I639" s="15"/>
      <c r="J639" s="15" t="s">
        <v>87</v>
      </c>
      <c r="K639" s="15">
        <v>696706172</v>
      </c>
      <c r="L639" s="15" t="s">
        <v>29</v>
      </c>
      <c r="M639" s="15"/>
    </row>
    <row r="640" spans="1:13" x14ac:dyDescent="0.25">
      <c r="A640" s="23">
        <f t="shared" si="33"/>
        <v>258703</v>
      </c>
      <c r="B640" s="14" t="str">
        <f t="shared" si="31"/>
        <v>Direct Debit (UMB Bank) - Credits</v>
      </c>
      <c r="C640" s="38">
        <v>46153</v>
      </c>
      <c r="D640" s="34">
        <v>258703</v>
      </c>
      <c r="E640" s="36" t="str">
        <f>IF(Table3[[#This Row],[Type Received]]=2,"CC",(IF(Table3[[#This Row],[Type Received]]=3,"BILL","ACH")))</f>
        <v>ACH</v>
      </c>
      <c r="F640" s="35">
        <v>307.33</v>
      </c>
      <c r="G640" s="14" t="str">
        <f>VLOOKUP(D640,Table4[],3,FALSE)</f>
        <v>1</v>
      </c>
      <c r="H640" s="15">
        <v>318</v>
      </c>
      <c r="I640" s="15"/>
      <c r="J640" s="15"/>
      <c r="K640" s="15"/>
      <c r="L640" s="15"/>
      <c r="M640" s="15" t="s">
        <v>29</v>
      </c>
    </row>
    <row r="641" spans="1:13" x14ac:dyDescent="0.25">
      <c r="A641" s="23">
        <f t="shared" si="33"/>
        <v>258702</v>
      </c>
      <c r="B641" s="14" t="str">
        <f t="shared" si="31"/>
        <v>Direct Debit (UMB Bank) - Credits</v>
      </c>
      <c r="C641" s="37">
        <v>46144</v>
      </c>
      <c r="D641" s="31">
        <v>258702</v>
      </c>
      <c r="E641" s="33" t="str">
        <f>IF(Table3[[#This Row],[Type Received]]=2,"CC",(IF(Table3[[#This Row],[Type Received]]=3,"BILL","ACH")))</f>
        <v>ACH</v>
      </c>
      <c r="F641" s="32">
        <v>66.790000000000006</v>
      </c>
      <c r="G641" s="14" t="str">
        <f>VLOOKUP(D641,Table4[],3,FALSE)</f>
        <v>1</v>
      </c>
      <c r="H641" s="15"/>
      <c r="I641" s="15"/>
      <c r="J641" s="15" t="s">
        <v>89</v>
      </c>
      <c r="K641" s="15">
        <v>535343813</v>
      </c>
      <c r="L641" s="15" t="s">
        <v>29</v>
      </c>
      <c r="M641" s="15" t="s">
        <v>29</v>
      </c>
    </row>
    <row r="642" spans="1:13" x14ac:dyDescent="0.25">
      <c r="A642" s="23">
        <f t="shared" si="33"/>
        <v>258727</v>
      </c>
      <c r="B642" s="14" t="str">
        <f t="shared" ref="B642:B705" si="34">IF(AND(E642="BILL",F642&lt;0),"Billing &amp; Direct Debit - Refunds",(IF(AND(E642="BILL",F642&gt;0),"Billing - Credits (from TPA)",(IF(AND(E642="CC",F642&lt;0),"Credit Cards (UMB) - Refunds",(IF(AND(E642="CC",F642&gt;0),"Credit Cards (UMB) - Credits",(IF(AND(E642="ACH",F642&gt;0),"Direct Debit (UMB Bank) - Credits","Direct Debit (UMB Bank) - Returned Items")))))))))</f>
        <v>Direct Debit (UMB Bank) - Credits</v>
      </c>
      <c r="C642" s="38">
        <v>46157</v>
      </c>
      <c r="D642" s="34">
        <v>258727</v>
      </c>
      <c r="E642" s="36" t="str">
        <f>IF(Table3[[#This Row],[Type Received]]=2,"CC",(IF(Table3[[#This Row],[Type Received]]=3,"BILL","ACH")))</f>
        <v>ACH</v>
      </c>
      <c r="F642" s="35">
        <v>42.04</v>
      </c>
      <c r="G642" s="14" t="str">
        <f>VLOOKUP(D642,Table4[],3,FALSE)</f>
        <v>2</v>
      </c>
      <c r="H642" s="15"/>
      <c r="I642" s="15"/>
      <c r="J642" s="15" t="s">
        <v>87</v>
      </c>
      <c r="K642" s="15">
        <v>696640001</v>
      </c>
      <c r="L642" s="15" t="s">
        <v>29</v>
      </c>
      <c r="M642" s="15" t="s">
        <v>29</v>
      </c>
    </row>
    <row r="643" spans="1:13" x14ac:dyDescent="0.25">
      <c r="A643" s="23">
        <f t="shared" si="33"/>
        <v>258719</v>
      </c>
      <c r="B643" s="14" t="str">
        <f t="shared" si="34"/>
        <v>Credit Cards (UMB) - Credits</v>
      </c>
      <c r="C643" s="37">
        <v>46167</v>
      </c>
      <c r="D643" s="31">
        <v>258719</v>
      </c>
      <c r="E643" s="33" t="str">
        <f>IF(Table3[[#This Row],[Type Received]]=2,"CC",(IF(Table3[[#This Row],[Type Received]]=3,"BILL","ACH")))</f>
        <v>CC</v>
      </c>
      <c r="F643" s="32">
        <v>48.97</v>
      </c>
      <c r="G643" s="14" t="str">
        <f>VLOOKUP(D643,Table4[],3,FALSE)</f>
        <v>1</v>
      </c>
      <c r="H643" s="15"/>
      <c r="I643" s="15"/>
      <c r="J643" s="15" t="s">
        <v>85</v>
      </c>
      <c r="K643" s="15">
        <v>818334523</v>
      </c>
      <c r="L643" s="15" t="s">
        <v>29</v>
      </c>
      <c r="M643" s="15" t="s">
        <v>29</v>
      </c>
    </row>
    <row r="644" spans="1:13" x14ac:dyDescent="0.25">
      <c r="A644" s="23">
        <f t="shared" si="33"/>
        <v>258715</v>
      </c>
      <c r="B644" s="14" t="str">
        <f t="shared" si="34"/>
        <v>Direct Debit (UMB Bank) - Credits</v>
      </c>
      <c r="C644" s="38">
        <v>46144</v>
      </c>
      <c r="D644" s="34">
        <v>258715</v>
      </c>
      <c r="E644" s="36" t="str">
        <f>IF(Table3[[#This Row],[Type Received]]=2,"CC",(IF(Table3[[#This Row],[Type Received]]=3,"BILL","ACH")))</f>
        <v>ACH</v>
      </c>
      <c r="F644" s="35">
        <v>159.85</v>
      </c>
      <c r="G644" s="14" t="str">
        <f>VLOOKUP(D644,Table4[],3,FALSE)</f>
        <v>2</v>
      </c>
      <c r="H644" s="15"/>
      <c r="I644" s="15">
        <v>519364</v>
      </c>
      <c r="J644" s="15" t="s">
        <v>28</v>
      </c>
      <c r="K644" s="15">
        <v>535355495</v>
      </c>
      <c r="L644" s="15" t="s">
        <v>29</v>
      </c>
      <c r="M644" s="15" t="s">
        <v>29</v>
      </c>
    </row>
    <row r="645" spans="1:13" x14ac:dyDescent="0.25">
      <c r="A645" s="23">
        <f t="shared" si="33"/>
        <v>258742</v>
      </c>
      <c r="B645" s="14" t="str">
        <f t="shared" si="34"/>
        <v>Direct Debit (UMB Bank) - Credits</v>
      </c>
      <c r="C645" s="37">
        <v>46165</v>
      </c>
      <c r="D645" s="31">
        <v>258742</v>
      </c>
      <c r="E645" s="33" t="str">
        <f>IF(Table3[[#This Row],[Type Received]]=2,"CC",(IF(Table3[[#This Row],[Type Received]]=3,"BILL","ACH")))</f>
        <v>ACH</v>
      </c>
      <c r="F645" s="32">
        <v>125.31</v>
      </c>
      <c r="G645" s="14" t="str">
        <f>VLOOKUP(D645,Table4[],3,FALSE)</f>
        <v>1</v>
      </c>
      <c r="H645" s="15"/>
      <c r="I645" s="15"/>
      <c r="J645" s="24" t="s">
        <v>137</v>
      </c>
      <c r="K645" s="15">
        <v>797277854</v>
      </c>
      <c r="L645" s="15" t="s">
        <v>29</v>
      </c>
      <c r="M645" s="15"/>
    </row>
    <row r="646" spans="1:13" x14ac:dyDescent="0.25">
      <c r="A646" s="23">
        <f t="shared" si="33"/>
        <v>258725</v>
      </c>
      <c r="B646" s="14" t="str">
        <f t="shared" si="34"/>
        <v>Direct Debit (UMB Bank) - Credits</v>
      </c>
      <c r="C646" s="38">
        <v>46167</v>
      </c>
      <c r="D646" s="34">
        <v>258725</v>
      </c>
      <c r="E646" s="36" t="str">
        <f>IF(Table3[[#This Row],[Type Received]]=2,"CC",(IF(Table3[[#This Row],[Type Received]]=3,"BILL","ACH")))</f>
        <v>ACH</v>
      </c>
      <c r="F646" s="35">
        <v>56.45</v>
      </c>
      <c r="G646" s="14" t="str">
        <f>VLOOKUP(D646,Table4[],3,FALSE)</f>
        <v>1</v>
      </c>
      <c r="H646" s="15"/>
      <c r="I646" s="15"/>
      <c r="J646" s="15" t="s">
        <v>85</v>
      </c>
      <c r="K646" s="15">
        <v>818322799</v>
      </c>
      <c r="L646" s="15" t="s">
        <v>29</v>
      </c>
      <c r="M646" s="15"/>
    </row>
    <row r="647" spans="1:13" x14ac:dyDescent="0.25">
      <c r="A647" s="23">
        <f t="shared" si="33"/>
        <v>258735</v>
      </c>
      <c r="B647" s="14" t="str">
        <f t="shared" si="34"/>
        <v>Direct Debit (UMB Bank) - Credits</v>
      </c>
      <c r="C647" s="37">
        <v>46144</v>
      </c>
      <c r="D647" s="31">
        <v>258735</v>
      </c>
      <c r="E647" s="33" t="str">
        <f>IF(Table3[[#This Row],[Type Received]]=2,"CC",(IF(Table3[[#This Row],[Type Received]]=3,"BILL","ACH")))</f>
        <v>ACH</v>
      </c>
      <c r="F647" s="32">
        <v>82.85</v>
      </c>
      <c r="G647" s="14" t="str">
        <f>VLOOKUP(D647,Table4[],3,FALSE)</f>
        <v>1</v>
      </c>
      <c r="H647" s="15"/>
      <c r="I647" s="15"/>
      <c r="J647" s="15" t="s">
        <v>89</v>
      </c>
      <c r="K647" s="15">
        <v>535344833</v>
      </c>
      <c r="L647" s="15" t="s">
        <v>29</v>
      </c>
      <c r="M647" s="15" t="s">
        <v>29</v>
      </c>
    </row>
    <row r="648" spans="1:13" x14ac:dyDescent="0.25">
      <c r="A648" s="23">
        <f t="shared" si="33"/>
        <v>258728</v>
      </c>
      <c r="B648" s="14" t="str">
        <f t="shared" si="34"/>
        <v>Direct Debit (UMB Bank) - Credits</v>
      </c>
      <c r="C648" s="38">
        <v>46144</v>
      </c>
      <c r="D648" s="34">
        <v>258728</v>
      </c>
      <c r="E648" s="36" t="str">
        <f>IF(Table3[[#This Row],[Type Received]]=2,"CC",(IF(Table3[[#This Row],[Type Received]]=3,"BILL","ACH")))</f>
        <v>ACH</v>
      </c>
      <c r="F648" s="35">
        <v>38.74</v>
      </c>
      <c r="G648" s="14" t="str">
        <f>VLOOKUP(D648,Table4[],3,FALSE)</f>
        <v>2</v>
      </c>
      <c r="H648" s="15"/>
      <c r="I648" s="15"/>
      <c r="J648" s="15" t="s">
        <v>89</v>
      </c>
      <c r="K648" s="15">
        <v>535360341</v>
      </c>
      <c r="L648" s="15" t="s">
        <v>29</v>
      </c>
      <c r="M648" s="15"/>
    </row>
    <row r="649" spans="1:13" x14ac:dyDescent="0.25">
      <c r="A649" s="23">
        <f t="shared" si="33"/>
        <v>258730</v>
      </c>
      <c r="B649" s="14" t="str">
        <f t="shared" si="34"/>
        <v>Direct Debit (UMB Bank) - Credits</v>
      </c>
      <c r="C649" s="37">
        <v>46146</v>
      </c>
      <c r="D649" s="31">
        <v>258730</v>
      </c>
      <c r="E649" s="33" t="str">
        <f>IF(Table3[[#This Row],[Type Received]]=2,"CC",(IF(Table3[[#This Row],[Type Received]]=3,"BILL","ACH")))</f>
        <v>ACH</v>
      </c>
      <c r="F649" s="32">
        <v>39.729999999999997</v>
      </c>
      <c r="G649" s="14" t="str">
        <f>VLOOKUP(D649,Table4[],3,FALSE)</f>
        <v>1</v>
      </c>
      <c r="H649" s="15"/>
      <c r="I649" s="15"/>
      <c r="J649" s="15" t="s">
        <v>92</v>
      </c>
      <c r="K649" s="15">
        <v>557083442</v>
      </c>
      <c r="L649" s="15" t="s">
        <v>29</v>
      </c>
      <c r="M649" s="15" t="s">
        <v>29</v>
      </c>
    </row>
    <row r="650" spans="1:13" x14ac:dyDescent="0.25">
      <c r="A650" s="23">
        <f t="shared" si="33"/>
        <v>258732</v>
      </c>
      <c r="B650" s="14" t="str">
        <f t="shared" si="34"/>
        <v>Direct Debit (UMB Bank) - Credits</v>
      </c>
      <c r="C650" s="38">
        <v>46157</v>
      </c>
      <c r="D650" s="34">
        <v>258732</v>
      </c>
      <c r="E650" s="36" t="str">
        <f>IF(Table3[[#This Row],[Type Received]]=2,"CC",(IF(Table3[[#This Row],[Type Received]]=3,"BILL","ACH")))</f>
        <v>ACH</v>
      </c>
      <c r="F650" s="35">
        <v>102.21</v>
      </c>
      <c r="G650" s="14" t="str">
        <f>VLOOKUP(D650,Table4[],3,FALSE)</f>
        <v>1</v>
      </c>
      <c r="H650" s="15"/>
      <c r="I650" s="15"/>
      <c r="J650" s="15" t="s">
        <v>87</v>
      </c>
      <c r="K650" s="15">
        <v>696640009</v>
      </c>
      <c r="L650" s="15" t="s">
        <v>29</v>
      </c>
      <c r="M650" s="15"/>
    </row>
    <row r="651" spans="1:13" x14ac:dyDescent="0.25">
      <c r="A651" s="23">
        <f t="shared" si="33"/>
        <v>258747</v>
      </c>
      <c r="B651" s="14" t="str">
        <f t="shared" si="34"/>
        <v>Credit Cards (UMB) - Credits</v>
      </c>
      <c r="C651" s="37">
        <v>46144</v>
      </c>
      <c r="D651" s="31">
        <v>258747</v>
      </c>
      <c r="E651" s="33" t="str">
        <f>IF(Table3[[#This Row],[Type Received]]=2,"CC",(IF(Table3[[#This Row],[Type Received]]=3,"BILL","ACH")))</f>
        <v>CC</v>
      </c>
      <c r="F651" s="32">
        <v>34.450000000000003</v>
      </c>
      <c r="G651" s="14" t="str">
        <f>VLOOKUP(D651,Table4[],3,FALSE)</f>
        <v>1</v>
      </c>
      <c r="H651" s="15"/>
      <c r="I651" s="15"/>
      <c r="J651" s="15" t="s">
        <v>89</v>
      </c>
      <c r="K651" s="15">
        <v>535353570</v>
      </c>
      <c r="L651" s="15" t="s">
        <v>29</v>
      </c>
      <c r="M651" s="15"/>
    </row>
    <row r="652" spans="1:13" x14ac:dyDescent="0.25">
      <c r="A652" s="23">
        <f t="shared" si="33"/>
        <v>258751</v>
      </c>
      <c r="B652" s="14" t="str">
        <f t="shared" si="34"/>
        <v>Direct Debit (UMB Bank) - Credits</v>
      </c>
      <c r="C652" s="38">
        <v>46155</v>
      </c>
      <c r="D652" s="34">
        <v>258751</v>
      </c>
      <c r="E652" s="36" t="str">
        <f>IF(Table3[[#This Row],[Type Received]]=2,"CC",(IF(Table3[[#This Row],[Type Received]]=3,"BILL","ACH")))</f>
        <v>ACH</v>
      </c>
      <c r="F652" s="35">
        <v>65.03</v>
      </c>
      <c r="G652" s="14" t="str">
        <f>VLOOKUP(D652,Table4[],3,FALSE)</f>
        <v>1</v>
      </c>
      <c r="H652" s="15"/>
      <c r="I652" s="15" t="s">
        <v>138</v>
      </c>
      <c r="J652" s="15" t="s">
        <v>28</v>
      </c>
      <c r="K652" s="15">
        <v>669460183</v>
      </c>
      <c r="L652" s="15" t="s">
        <v>29</v>
      </c>
      <c r="M652" s="15" t="s">
        <v>29</v>
      </c>
    </row>
    <row r="653" spans="1:13" x14ac:dyDescent="0.25">
      <c r="A653" s="23">
        <f t="shared" si="33"/>
        <v>258752</v>
      </c>
      <c r="B653" s="14" t="str">
        <f t="shared" si="34"/>
        <v>Credit Cards (UMB) - Credits</v>
      </c>
      <c r="C653" s="37">
        <v>46167</v>
      </c>
      <c r="D653" s="31">
        <v>258752</v>
      </c>
      <c r="E653" s="33" t="str">
        <f>IF(Table3[[#This Row],[Type Received]]=2,"CC",(IF(Table3[[#This Row],[Type Received]]=3,"BILL","ACH")))</f>
        <v>CC</v>
      </c>
      <c r="F653" s="32">
        <v>93.85</v>
      </c>
      <c r="G653" s="14" t="str">
        <f>VLOOKUP(D653,Table4[],3,FALSE)</f>
        <v>2</v>
      </c>
      <c r="H653" s="15"/>
      <c r="I653" s="15"/>
      <c r="J653" s="24" t="s">
        <v>85</v>
      </c>
      <c r="K653" s="15">
        <v>818342248</v>
      </c>
      <c r="L653" s="15" t="s">
        <v>29</v>
      </c>
      <c r="M653" s="15" t="s">
        <v>29</v>
      </c>
    </row>
    <row r="654" spans="1:13" x14ac:dyDescent="0.25">
      <c r="A654" s="23"/>
      <c r="B654" s="14" t="str">
        <f t="shared" si="34"/>
        <v>Credit Cards (UMB) - Credits</v>
      </c>
      <c r="C654" s="38">
        <v>46157</v>
      </c>
      <c r="D654" s="34">
        <v>258749</v>
      </c>
      <c r="E654" s="36" t="str">
        <f>IF(Table3[[#This Row],[Type Received]]=2,"CC",(IF(Table3[[#This Row],[Type Received]]=3,"BILL","ACH")))</f>
        <v>CC</v>
      </c>
      <c r="F654" s="35">
        <v>61.18</v>
      </c>
      <c r="G654" s="14" t="str">
        <f>VLOOKUP(D654,Table4[],3,FALSE)</f>
        <v>2</v>
      </c>
      <c r="H654" s="15"/>
      <c r="I654" s="15">
        <v>58932</v>
      </c>
      <c r="J654" s="15" t="s">
        <v>28</v>
      </c>
      <c r="K654" s="15">
        <v>696661377</v>
      </c>
      <c r="L654" s="15" t="s">
        <v>29</v>
      </c>
      <c r="M654" s="15" t="s">
        <v>29</v>
      </c>
    </row>
    <row r="655" spans="1:13" x14ac:dyDescent="0.25">
      <c r="A655" s="23">
        <f t="shared" ref="A655:A672" si="35">D655</f>
        <v>258757</v>
      </c>
      <c r="B655" s="14" t="str">
        <f t="shared" si="34"/>
        <v>Direct Debit (UMB Bank) - Credits</v>
      </c>
      <c r="C655" s="37">
        <v>46146</v>
      </c>
      <c r="D655" s="31">
        <v>258757</v>
      </c>
      <c r="E655" s="33" t="str">
        <f>IF(Table3[[#This Row],[Type Received]]=2,"CC",(IF(Table3[[#This Row],[Type Received]]=3,"BILL","ACH")))</f>
        <v>ACH</v>
      </c>
      <c r="F655" s="32">
        <v>149.78</v>
      </c>
      <c r="G655" s="14" t="str">
        <f>VLOOKUP(D655,Table4[],3,FALSE)</f>
        <v>2</v>
      </c>
      <c r="H655" s="15"/>
      <c r="I655" s="15">
        <v>14692</v>
      </c>
      <c r="J655" s="24">
        <v>742259380</v>
      </c>
      <c r="K655" s="15">
        <v>353417583</v>
      </c>
      <c r="L655" s="15"/>
      <c r="M655" s="15" t="s">
        <v>29</v>
      </c>
    </row>
    <row r="656" spans="1:13" x14ac:dyDescent="0.25">
      <c r="A656" s="23">
        <f t="shared" si="35"/>
        <v>258766</v>
      </c>
      <c r="B656" s="14" t="str">
        <f t="shared" si="34"/>
        <v>Direct Debit (UMB Bank) - Credits</v>
      </c>
      <c r="C656" s="38">
        <v>46144</v>
      </c>
      <c r="D656" s="34">
        <v>258766</v>
      </c>
      <c r="E656" s="36" t="str">
        <f>IF(Table3[[#This Row],[Type Received]]=2,"CC",(IF(Table3[[#This Row],[Type Received]]=3,"BILL","ACH")))</f>
        <v>ACH</v>
      </c>
      <c r="F656" s="35">
        <v>53.92</v>
      </c>
      <c r="G656" s="14" t="e">
        <f>VLOOKUP(D656,Table4[],3,FALSE)</f>
        <v>#N/A</v>
      </c>
      <c r="H656" s="15"/>
      <c r="I656" s="15"/>
      <c r="J656" s="15" t="s">
        <v>89</v>
      </c>
      <c r="K656" s="15">
        <v>535361366</v>
      </c>
      <c r="L656" s="15" t="s">
        <v>29</v>
      </c>
      <c r="M656" s="15" t="s">
        <v>29</v>
      </c>
    </row>
    <row r="657" spans="1:13" x14ac:dyDescent="0.25">
      <c r="A657" s="23">
        <f t="shared" si="35"/>
        <v>258786</v>
      </c>
      <c r="B657" s="14" t="str">
        <f t="shared" si="34"/>
        <v>Direct Debit (UMB Bank) - Credits</v>
      </c>
      <c r="C657" s="37">
        <v>46157</v>
      </c>
      <c r="D657" s="31">
        <v>258786</v>
      </c>
      <c r="E657" s="33" t="str">
        <f>IF(Table3[[#This Row],[Type Received]]=2,"CC",(IF(Table3[[#This Row],[Type Received]]=3,"BILL","ACH")))</f>
        <v>ACH</v>
      </c>
      <c r="F657" s="32">
        <v>122.23</v>
      </c>
      <c r="G657" s="14" t="str">
        <f>VLOOKUP(D657,Table4[],3,FALSE)</f>
        <v>2</v>
      </c>
      <c r="H657" s="15"/>
      <c r="I657" s="15"/>
      <c r="J657" s="15" t="s">
        <v>87</v>
      </c>
      <c r="K657" s="15">
        <v>696659358</v>
      </c>
      <c r="L657" s="15" t="s">
        <v>29</v>
      </c>
      <c r="M657" s="15"/>
    </row>
    <row r="658" spans="1:13" x14ac:dyDescent="0.25">
      <c r="A658" s="23">
        <f t="shared" si="35"/>
        <v>258793</v>
      </c>
      <c r="B658" s="14" t="str">
        <f t="shared" si="34"/>
        <v>Direct Debit (UMB Bank) - Credits</v>
      </c>
      <c r="C658" s="38">
        <v>46167</v>
      </c>
      <c r="D658" s="34">
        <v>258793</v>
      </c>
      <c r="E658" s="36" t="str">
        <f>IF(Table3[[#This Row],[Type Received]]=2,"CC",(IF(Table3[[#This Row],[Type Received]]=3,"BILL","ACH")))</f>
        <v>ACH</v>
      </c>
      <c r="F658" s="35">
        <v>59.53</v>
      </c>
      <c r="G658" s="14" t="str">
        <f>VLOOKUP(D658,Table4[],3,FALSE)</f>
        <v>1</v>
      </c>
      <c r="H658" s="15"/>
      <c r="I658" s="15"/>
      <c r="J658" s="15" t="s">
        <v>85</v>
      </c>
      <c r="K658" s="15">
        <v>818341281</v>
      </c>
      <c r="L658" s="15" t="s">
        <v>29</v>
      </c>
      <c r="M658" s="15" t="s">
        <v>29</v>
      </c>
    </row>
    <row r="659" spans="1:13" x14ac:dyDescent="0.25">
      <c r="A659" s="23">
        <f t="shared" si="35"/>
        <v>258796</v>
      </c>
      <c r="B659" s="14" t="str">
        <f t="shared" si="34"/>
        <v>Direct Debit (UMB Bank) - Credits</v>
      </c>
      <c r="C659" s="37">
        <v>46144</v>
      </c>
      <c r="D659" s="31">
        <v>258796</v>
      </c>
      <c r="E659" s="33" t="str">
        <f>IF(Table3[[#This Row],[Type Received]]=2,"CC",(IF(Table3[[#This Row],[Type Received]]=3,"BILL","ACH")))</f>
        <v>ACH</v>
      </c>
      <c r="F659" s="32">
        <v>81.64</v>
      </c>
      <c r="G659" s="14" t="str">
        <f>VLOOKUP(D659,Table4[],3,FALSE)</f>
        <v>2</v>
      </c>
      <c r="H659" s="15"/>
      <c r="I659" s="15"/>
      <c r="J659" s="24" t="s">
        <v>89</v>
      </c>
      <c r="K659" s="15">
        <v>535369103</v>
      </c>
      <c r="L659" s="15" t="s">
        <v>29</v>
      </c>
      <c r="M659" s="15" t="s">
        <v>29</v>
      </c>
    </row>
    <row r="660" spans="1:13" x14ac:dyDescent="0.25">
      <c r="A660" s="23">
        <f t="shared" si="35"/>
        <v>258795</v>
      </c>
      <c r="B660" s="14" t="str">
        <f t="shared" si="34"/>
        <v>Direct Debit (UMB Bank) - Credits</v>
      </c>
      <c r="C660" s="38">
        <v>46144</v>
      </c>
      <c r="D660" s="34">
        <v>258795</v>
      </c>
      <c r="E660" s="36" t="str">
        <f>IF(Table3[[#This Row],[Type Received]]=2,"CC",(IF(Table3[[#This Row],[Type Received]]=3,"BILL","ACH")))</f>
        <v>ACH</v>
      </c>
      <c r="F660" s="35">
        <v>64.150000000000006</v>
      </c>
      <c r="G660" s="14" t="str">
        <f>VLOOKUP(D660,Table4[],3,FALSE)</f>
        <v>2</v>
      </c>
      <c r="H660" s="15"/>
      <c r="I660" s="15"/>
      <c r="J660" s="15" t="s">
        <v>89</v>
      </c>
      <c r="K660" s="15">
        <v>535344914</v>
      </c>
      <c r="L660" s="15" t="s">
        <v>29</v>
      </c>
      <c r="M660" s="15"/>
    </row>
    <row r="661" spans="1:13" x14ac:dyDescent="0.25">
      <c r="A661" s="23">
        <f t="shared" si="35"/>
        <v>258787</v>
      </c>
      <c r="B661" s="14" t="str">
        <f t="shared" si="34"/>
        <v>Credit Cards (UMB) - Credits</v>
      </c>
      <c r="C661" s="37">
        <v>46158</v>
      </c>
      <c r="D661" s="31">
        <v>258787</v>
      </c>
      <c r="E661" s="33" t="str">
        <f>IF(Table3[[#This Row],[Type Received]]=2,"CC",(IF(Table3[[#This Row],[Type Received]]=3,"BILL","ACH")))</f>
        <v>CC</v>
      </c>
      <c r="F661" s="32">
        <v>43.69</v>
      </c>
      <c r="G661" s="14" t="str">
        <f>VLOOKUP(D661,Table4[],3,FALSE)</f>
        <v>2</v>
      </c>
      <c r="H661" s="15"/>
      <c r="I661" s="15"/>
      <c r="J661" s="15" t="s">
        <v>106</v>
      </c>
      <c r="K661" s="15">
        <v>710034681</v>
      </c>
      <c r="L661" s="15" t="s">
        <v>29</v>
      </c>
      <c r="M661" s="15"/>
    </row>
    <row r="662" spans="1:13" x14ac:dyDescent="0.25">
      <c r="A662" s="23">
        <f t="shared" si="35"/>
        <v>258791</v>
      </c>
      <c r="B662" s="14" t="str">
        <f t="shared" si="34"/>
        <v>Direct Debit (UMB Bank) - Credits</v>
      </c>
      <c r="C662" s="38">
        <v>46158</v>
      </c>
      <c r="D662" s="34">
        <v>258791</v>
      </c>
      <c r="E662" s="36" t="str">
        <f>IF(Table3[[#This Row],[Type Received]]=2,"CC",(IF(Table3[[#This Row],[Type Received]]=3,"BILL","ACH")))</f>
        <v>ACH</v>
      </c>
      <c r="F662" s="35">
        <v>45.01</v>
      </c>
      <c r="G662" s="14" t="str">
        <f>VLOOKUP(D662,Table4[],3,FALSE)</f>
        <v>2</v>
      </c>
      <c r="H662" s="15"/>
      <c r="I662" s="15">
        <v>263793</v>
      </c>
      <c r="J662" s="15" t="s">
        <v>28</v>
      </c>
      <c r="K662" s="15">
        <v>710024031</v>
      </c>
      <c r="L662" s="15" t="s">
        <v>29</v>
      </c>
      <c r="M662" s="15" t="s">
        <v>29</v>
      </c>
    </row>
    <row r="663" spans="1:13" x14ac:dyDescent="0.25">
      <c r="A663" s="23">
        <f t="shared" si="35"/>
        <v>258799</v>
      </c>
      <c r="B663" s="14" t="str">
        <f t="shared" si="34"/>
        <v>Credit Cards (UMB) - Credits</v>
      </c>
      <c r="C663" s="37">
        <v>46144</v>
      </c>
      <c r="D663" s="31">
        <v>258799</v>
      </c>
      <c r="E663" s="33" t="str">
        <f>IF(Table3[[#This Row],[Type Received]]=2,"CC",(IF(Table3[[#This Row],[Type Received]]=3,"BILL","ACH")))</f>
        <v>CC</v>
      </c>
      <c r="F663" s="32">
        <v>30.05</v>
      </c>
      <c r="G663" s="14" t="str">
        <f>VLOOKUP(D663,Table4[],3,FALSE)</f>
        <v>1</v>
      </c>
      <c r="H663" s="15"/>
      <c r="I663" s="15"/>
      <c r="J663" s="15" t="s">
        <v>89</v>
      </c>
      <c r="K663" s="15">
        <v>535341000</v>
      </c>
      <c r="L663" s="15" t="s">
        <v>29</v>
      </c>
      <c r="M663" s="15"/>
    </row>
    <row r="664" spans="1:13" x14ac:dyDescent="0.25">
      <c r="A664" s="23">
        <f t="shared" si="35"/>
        <v>258782</v>
      </c>
      <c r="B664" s="14" t="str">
        <f t="shared" si="34"/>
        <v>Direct Debit (UMB Bank) - Credits</v>
      </c>
      <c r="C664" s="38">
        <v>46155</v>
      </c>
      <c r="D664" s="34">
        <v>258782</v>
      </c>
      <c r="E664" s="36" t="str">
        <f>IF(Table3[[#This Row],[Type Received]]=2,"CC",(IF(Table3[[#This Row],[Type Received]]=3,"BILL","ACH")))</f>
        <v>ACH</v>
      </c>
      <c r="F664" s="35">
        <v>170.74</v>
      </c>
      <c r="G664" s="14" t="str">
        <f>VLOOKUP(D664,Table4[],3,FALSE)</f>
        <v>2</v>
      </c>
      <c r="H664" s="15"/>
      <c r="I664" s="15" t="s">
        <v>139</v>
      </c>
      <c r="J664" s="15" t="s">
        <v>28</v>
      </c>
      <c r="K664" s="15">
        <v>669457257</v>
      </c>
      <c r="L664" s="15" t="s">
        <v>29</v>
      </c>
      <c r="M664" s="15" t="s">
        <v>29</v>
      </c>
    </row>
    <row r="665" spans="1:13" x14ac:dyDescent="0.25">
      <c r="A665" s="23">
        <f t="shared" si="35"/>
        <v>258789</v>
      </c>
      <c r="B665" s="14" t="str">
        <f t="shared" si="34"/>
        <v>Direct Debit (UMB Bank) - Credits</v>
      </c>
      <c r="C665" s="37">
        <v>46158</v>
      </c>
      <c r="D665" s="31">
        <v>258789</v>
      </c>
      <c r="E665" s="33" t="str">
        <f>IF(Table3[[#This Row],[Type Received]]=2,"CC",(IF(Table3[[#This Row],[Type Received]]=3,"BILL","ACH")))</f>
        <v>ACH</v>
      </c>
      <c r="F665" s="32">
        <v>164.47</v>
      </c>
      <c r="G665" s="14" t="str">
        <f>VLOOKUP(D665,Table4[],3,FALSE)</f>
        <v>2</v>
      </c>
      <c r="H665" s="15"/>
      <c r="I665" s="15"/>
      <c r="J665" s="15" t="s">
        <v>106</v>
      </c>
      <c r="K665" s="15">
        <v>710027790</v>
      </c>
      <c r="L665" s="15" t="s">
        <v>29</v>
      </c>
      <c r="M665" s="15" t="s">
        <v>29</v>
      </c>
    </row>
    <row r="666" spans="1:13" x14ac:dyDescent="0.25">
      <c r="A666" s="23">
        <f t="shared" si="35"/>
        <v>258798</v>
      </c>
      <c r="B666" s="14" t="str">
        <f t="shared" si="34"/>
        <v>Credit Cards (UMB) - Credits</v>
      </c>
      <c r="C666" s="38">
        <v>46144</v>
      </c>
      <c r="D666" s="34">
        <v>258798</v>
      </c>
      <c r="E666" s="36" t="str">
        <f>IF(Table3[[#This Row],[Type Received]]=2,"CC",(IF(Table3[[#This Row],[Type Received]]=3,"BILL","ACH")))</f>
        <v>CC</v>
      </c>
      <c r="F666" s="35">
        <v>34.450000000000003</v>
      </c>
      <c r="G666" s="14" t="str">
        <f>VLOOKUP(D666,Table4[],3,FALSE)</f>
        <v>1</v>
      </c>
      <c r="H666" s="15"/>
      <c r="I666" s="15"/>
      <c r="J666" s="15" t="s">
        <v>89</v>
      </c>
      <c r="K666" s="15">
        <v>535365193</v>
      </c>
      <c r="L666" s="15" t="s">
        <v>29</v>
      </c>
      <c r="M666" s="15" t="s">
        <v>29</v>
      </c>
    </row>
    <row r="667" spans="1:13" x14ac:dyDescent="0.25">
      <c r="A667" s="23">
        <f t="shared" si="35"/>
        <v>258810</v>
      </c>
      <c r="B667" s="14" t="str">
        <f t="shared" si="34"/>
        <v>Credit Cards (UMB) - Credits</v>
      </c>
      <c r="C667" s="37">
        <v>46156</v>
      </c>
      <c r="D667" s="31">
        <v>258810</v>
      </c>
      <c r="E667" s="33" t="str">
        <f>IF(Table3[[#This Row],[Type Received]]=2,"CC",(IF(Table3[[#This Row],[Type Received]]=3,"BILL","ACH")))</f>
        <v>CC</v>
      </c>
      <c r="F667" s="32">
        <v>39.090000000000003</v>
      </c>
      <c r="G667" s="14" t="str">
        <f>VLOOKUP(D667,Table4[],3,FALSE)</f>
        <v>1</v>
      </c>
      <c r="H667" s="15"/>
      <c r="I667" s="15">
        <v>996</v>
      </c>
      <c r="J667" s="15">
        <v>745301931</v>
      </c>
      <c r="K667" s="15">
        <v>354599375</v>
      </c>
      <c r="L667" s="15"/>
      <c r="M667" s="15" t="s">
        <v>29</v>
      </c>
    </row>
    <row r="668" spans="1:13" x14ac:dyDescent="0.25">
      <c r="A668" s="23">
        <f t="shared" si="35"/>
        <v>258810</v>
      </c>
      <c r="B668" s="14" t="str">
        <f t="shared" si="34"/>
        <v>Credit Cards (UMB) - Credits</v>
      </c>
      <c r="C668" s="38">
        <v>46147</v>
      </c>
      <c r="D668" s="34">
        <v>258810</v>
      </c>
      <c r="E668" s="36" t="str">
        <f>IF(Table3[[#This Row],[Type Received]]=2,"CC",(IF(Table3[[#This Row],[Type Received]]=3,"BILL","ACH")))</f>
        <v>CC</v>
      </c>
      <c r="F668" s="35">
        <v>39.090000000000003</v>
      </c>
      <c r="G668" s="14" t="str">
        <f>VLOOKUP(D668,Table4[],3,FALSE)</f>
        <v>1</v>
      </c>
      <c r="H668" s="15"/>
      <c r="I668" s="15" t="s">
        <v>140</v>
      </c>
      <c r="J668" s="15">
        <v>742576419</v>
      </c>
      <c r="K668" s="15">
        <v>353611186</v>
      </c>
      <c r="L668" s="15"/>
      <c r="M668" s="15"/>
    </row>
    <row r="669" spans="1:13" x14ac:dyDescent="0.25">
      <c r="A669" s="23">
        <f t="shared" si="35"/>
        <v>258807</v>
      </c>
      <c r="B669" s="14" t="str">
        <f t="shared" si="34"/>
        <v>Direct Debit (UMB Bank) - Credits</v>
      </c>
      <c r="C669" s="37">
        <v>46155</v>
      </c>
      <c r="D669" s="31">
        <v>258807</v>
      </c>
      <c r="E669" s="33" t="str">
        <f>IF(Table3[[#This Row],[Type Received]]=2,"CC",(IF(Table3[[#This Row],[Type Received]]=3,"BILL","ACH")))</f>
        <v>ACH</v>
      </c>
      <c r="F669" s="32">
        <v>117.94</v>
      </c>
      <c r="G669" s="14" t="str">
        <f>VLOOKUP(D669,Table4[],3,FALSE)</f>
        <v>2</v>
      </c>
      <c r="H669" s="15"/>
      <c r="I669" s="15">
        <v>37228</v>
      </c>
      <c r="J669" s="15" t="s">
        <v>28</v>
      </c>
      <c r="K669" s="15">
        <v>669436085</v>
      </c>
      <c r="L669" s="15" t="s">
        <v>29</v>
      </c>
      <c r="M669" s="15" t="s">
        <v>29</v>
      </c>
    </row>
    <row r="670" spans="1:13" x14ac:dyDescent="0.25">
      <c r="A670" s="23">
        <f t="shared" si="35"/>
        <v>258815</v>
      </c>
      <c r="B670" s="14" t="str">
        <f t="shared" si="34"/>
        <v>Direct Debit (UMB Bank) - Credits</v>
      </c>
      <c r="C670" s="38">
        <v>46167</v>
      </c>
      <c r="D670" s="34">
        <v>258815</v>
      </c>
      <c r="E670" s="36" t="str">
        <f>IF(Table3[[#This Row],[Type Received]]=2,"CC",(IF(Table3[[#This Row],[Type Received]]=3,"BILL","ACH")))</f>
        <v>ACH</v>
      </c>
      <c r="F670" s="35">
        <v>83.73</v>
      </c>
      <c r="G670" s="14" t="str">
        <f>VLOOKUP(D670,Table4[],3,FALSE)</f>
        <v>1</v>
      </c>
      <c r="H670" s="15"/>
      <c r="I670" s="15"/>
      <c r="J670" s="24" t="s">
        <v>85</v>
      </c>
      <c r="K670" s="15">
        <v>818337389</v>
      </c>
      <c r="L670" s="15" t="s">
        <v>29</v>
      </c>
      <c r="M670" s="15" t="s">
        <v>29</v>
      </c>
    </row>
    <row r="671" spans="1:13" x14ac:dyDescent="0.25">
      <c r="A671" s="23">
        <f t="shared" si="35"/>
        <v>258818</v>
      </c>
      <c r="B671" s="14" t="str">
        <f t="shared" si="34"/>
        <v>Billing - Credits (from TPA)</v>
      </c>
      <c r="C671" s="37">
        <v>46144</v>
      </c>
      <c r="D671" s="31">
        <v>258818</v>
      </c>
      <c r="E671" s="33" t="str">
        <f>IF(Table3[[#This Row],[Type Received]]=2,"CC",(IF(Table3[[#This Row],[Type Received]]=3,"BILL","ACH")))</f>
        <v>BILL</v>
      </c>
      <c r="F671" s="32">
        <v>62.17</v>
      </c>
      <c r="G671" s="14" t="str">
        <f>VLOOKUP(D671,Table4[],3,FALSE)</f>
        <v>1</v>
      </c>
      <c r="H671" s="15"/>
      <c r="I671" s="15"/>
      <c r="J671" s="15" t="s">
        <v>89</v>
      </c>
      <c r="K671" s="15">
        <v>535350692</v>
      </c>
      <c r="L671" s="15" t="s">
        <v>29</v>
      </c>
      <c r="M671" s="15" t="s">
        <v>29</v>
      </c>
    </row>
    <row r="672" spans="1:13" x14ac:dyDescent="0.25">
      <c r="A672" s="23">
        <f t="shared" si="35"/>
        <v>258822</v>
      </c>
      <c r="B672" s="14" t="str">
        <f t="shared" si="34"/>
        <v>Direct Debit (UMB Bank) - Credits</v>
      </c>
      <c r="C672" s="38">
        <v>46143</v>
      </c>
      <c r="D672" s="34">
        <v>258822</v>
      </c>
      <c r="E672" s="36" t="str">
        <f>IF(Table3[[#This Row],[Type Received]]=2,"CC",(IF(Table3[[#This Row],[Type Received]]=3,"BILL","ACH")))</f>
        <v>ACH</v>
      </c>
      <c r="F672" s="35">
        <v>130.16999999999999</v>
      </c>
      <c r="G672" s="14" t="str">
        <f>VLOOKUP(D672,Table4[],3,FALSE)</f>
        <v>2</v>
      </c>
      <c r="H672" s="15">
        <v>9581</v>
      </c>
      <c r="I672" s="15"/>
      <c r="J672" s="15"/>
      <c r="K672" s="15"/>
      <c r="L672" s="15"/>
      <c r="M672" s="15" t="s">
        <v>29</v>
      </c>
    </row>
    <row r="673" spans="1:13" x14ac:dyDescent="0.25">
      <c r="A673" s="23"/>
      <c r="B673" s="14" t="str">
        <f t="shared" si="34"/>
        <v>Direct Debit (UMB Bank) - Credits</v>
      </c>
      <c r="C673" s="37">
        <v>46167</v>
      </c>
      <c r="D673" s="31">
        <v>258814</v>
      </c>
      <c r="E673" s="33" t="str">
        <f>IF(Table3[[#This Row],[Type Received]]=2,"CC",(IF(Table3[[#This Row],[Type Received]]=3,"BILL","ACH")))</f>
        <v>ACH</v>
      </c>
      <c r="F673" s="32">
        <v>74.05</v>
      </c>
      <c r="G673" s="14" t="str">
        <f>VLOOKUP(D673,Table4[],3,FALSE)</f>
        <v>2</v>
      </c>
      <c r="H673" s="15"/>
      <c r="I673" s="15"/>
      <c r="J673" s="24" t="s">
        <v>85</v>
      </c>
      <c r="K673" s="15">
        <v>818320041</v>
      </c>
      <c r="L673" s="15" t="s">
        <v>29</v>
      </c>
      <c r="M673" s="15" t="s">
        <v>29</v>
      </c>
    </row>
    <row r="674" spans="1:13" x14ac:dyDescent="0.25">
      <c r="A674" s="23">
        <f t="shared" ref="A674:A682" si="36">D674</f>
        <v>258816</v>
      </c>
      <c r="B674" s="14" t="str">
        <f t="shared" si="34"/>
        <v>Billing - Credits (from TPA)</v>
      </c>
      <c r="C674" s="38">
        <v>46144</v>
      </c>
      <c r="D674" s="34">
        <v>258816</v>
      </c>
      <c r="E674" s="36" t="str">
        <f>IF(Table3[[#This Row],[Type Received]]=2,"CC",(IF(Table3[[#This Row],[Type Received]]=3,"BILL","ACH")))</f>
        <v>BILL</v>
      </c>
      <c r="F674" s="35">
        <v>62.5</v>
      </c>
      <c r="G674" s="14" t="str">
        <f>VLOOKUP(D674,Table4[],3,FALSE)</f>
        <v>2</v>
      </c>
      <c r="H674" s="15"/>
      <c r="I674" s="15"/>
      <c r="J674" s="15" t="s">
        <v>89</v>
      </c>
      <c r="K674" s="15">
        <v>535363343</v>
      </c>
      <c r="L674" s="15" t="s">
        <v>29</v>
      </c>
      <c r="M674" s="15" t="s">
        <v>29</v>
      </c>
    </row>
    <row r="675" spans="1:13" x14ac:dyDescent="0.25">
      <c r="A675" s="23">
        <f t="shared" si="36"/>
        <v>258826</v>
      </c>
      <c r="B675" s="14" t="str">
        <f t="shared" si="34"/>
        <v>Direct Debit (UMB Bank) - Credits</v>
      </c>
      <c r="C675" s="37">
        <v>46147</v>
      </c>
      <c r="D675" s="31">
        <v>258826</v>
      </c>
      <c r="E675" s="33" t="str">
        <f>IF(Table3[[#This Row],[Type Received]]=2,"CC",(IF(Table3[[#This Row],[Type Received]]=3,"BILL","ACH")))</f>
        <v>ACH</v>
      </c>
      <c r="F675" s="32">
        <v>75.2</v>
      </c>
      <c r="G675" s="14" t="str">
        <f>VLOOKUP(D675,Table4[],3,FALSE)</f>
        <v>2</v>
      </c>
      <c r="H675" s="15">
        <v>2417</v>
      </c>
      <c r="I675" s="15"/>
      <c r="J675" s="24"/>
      <c r="K675" s="15"/>
      <c r="L675" s="15"/>
      <c r="M675" s="15" t="s">
        <v>29</v>
      </c>
    </row>
    <row r="676" spans="1:13" x14ac:dyDescent="0.25">
      <c r="A676" s="23">
        <f t="shared" si="36"/>
        <v>258840</v>
      </c>
      <c r="B676" s="14" t="str">
        <f t="shared" si="34"/>
        <v>Direct Debit (UMB Bank) - Credits</v>
      </c>
      <c r="C676" s="38">
        <v>46167</v>
      </c>
      <c r="D676" s="34">
        <v>258840</v>
      </c>
      <c r="E676" s="36" t="str">
        <f>IF(Table3[[#This Row],[Type Received]]=2,"CC",(IF(Table3[[#This Row],[Type Received]]=3,"BILL","ACH")))</f>
        <v>ACH</v>
      </c>
      <c r="F676" s="35">
        <v>59.53</v>
      </c>
      <c r="G676" s="14" t="str">
        <f>VLOOKUP(D676,Table4[],3,FALSE)</f>
        <v>1</v>
      </c>
      <c r="H676" s="15"/>
      <c r="I676" s="15"/>
      <c r="J676" s="15" t="s">
        <v>85</v>
      </c>
      <c r="K676" s="15">
        <v>818330639</v>
      </c>
      <c r="L676" s="15" t="s">
        <v>29</v>
      </c>
      <c r="M676" s="15" t="s">
        <v>29</v>
      </c>
    </row>
    <row r="677" spans="1:13" x14ac:dyDescent="0.25">
      <c r="A677" s="23">
        <f t="shared" si="36"/>
        <v>258848</v>
      </c>
      <c r="B677" s="14" t="str">
        <f t="shared" si="34"/>
        <v>Credit Cards (UMB) - Credits</v>
      </c>
      <c r="C677" s="37">
        <v>46158</v>
      </c>
      <c r="D677" s="31">
        <v>258848</v>
      </c>
      <c r="E677" s="33" t="str">
        <f>IF(Table3[[#This Row],[Type Received]]=2,"CC",(IF(Table3[[#This Row],[Type Received]]=3,"BILL","ACH")))</f>
        <v>CC</v>
      </c>
      <c r="F677" s="32">
        <v>51.39</v>
      </c>
      <c r="G677" s="14" t="str">
        <f>VLOOKUP(D677,Table4[],3,FALSE)</f>
        <v>1</v>
      </c>
      <c r="H677" s="15"/>
      <c r="I677" s="15"/>
      <c r="J677" s="15" t="s">
        <v>106</v>
      </c>
      <c r="K677" s="15">
        <v>710022089</v>
      </c>
      <c r="L677" s="15" t="s">
        <v>29</v>
      </c>
      <c r="M677" s="15" t="s">
        <v>29</v>
      </c>
    </row>
    <row r="678" spans="1:13" x14ac:dyDescent="0.25">
      <c r="A678" s="23">
        <f t="shared" si="36"/>
        <v>258857</v>
      </c>
      <c r="B678" s="14" t="str">
        <f t="shared" si="34"/>
        <v>Direct Debit (UMB Bank) - Credits</v>
      </c>
      <c r="C678" s="38">
        <v>46160</v>
      </c>
      <c r="D678" s="34">
        <v>258857</v>
      </c>
      <c r="E678" s="36" t="str">
        <f>IF(Table3[[#This Row],[Type Received]]=2,"CC",(IF(Table3[[#This Row],[Type Received]]=3,"BILL","ACH")))</f>
        <v>ACH</v>
      </c>
      <c r="F678" s="35">
        <v>55.26</v>
      </c>
      <c r="G678" s="14" t="str">
        <f>VLOOKUP(D678,Table4[],3,FALSE)</f>
        <v>2</v>
      </c>
      <c r="H678" s="15"/>
      <c r="I678" s="15" t="s">
        <v>141</v>
      </c>
      <c r="J678" s="15">
        <v>746573029</v>
      </c>
      <c r="K678" s="15">
        <v>355067132</v>
      </c>
      <c r="L678" s="15"/>
      <c r="M678" s="15"/>
    </row>
    <row r="679" spans="1:13" x14ac:dyDescent="0.25">
      <c r="A679" s="23">
        <f t="shared" si="36"/>
        <v>258853</v>
      </c>
      <c r="B679" s="14" t="str">
        <f t="shared" si="34"/>
        <v>Credit Cards (UMB) - Credits</v>
      </c>
      <c r="C679" s="37">
        <v>46167</v>
      </c>
      <c r="D679" s="31">
        <v>258853</v>
      </c>
      <c r="E679" s="33" t="str">
        <f>IF(Table3[[#This Row],[Type Received]]=2,"CC",(IF(Table3[[#This Row],[Type Received]]=3,"BILL","ACH")))</f>
        <v>CC</v>
      </c>
      <c r="F679" s="32">
        <v>31.15</v>
      </c>
      <c r="G679" s="14" t="str">
        <f>VLOOKUP(D679,Table4[],3,FALSE)</f>
        <v>1</v>
      </c>
      <c r="H679" s="15"/>
      <c r="I679" s="15"/>
      <c r="J679" s="24" t="s">
        <v>85</v>
      </c>
      <c r="K679" s="15">
        <v>818320062</v>
      </c>
      <c r="L679" s="15" t="s">
        <v>29</v>
      </c>
      <c r="M679" s="15"/>
    </row>
    <row r="680" spans="1:13" x14ac:dyDescent="0.25">
      <c r="A680" s="23">
        <f t="shared" si="36"/>
        <v>258862</v>
      </c>
      <c r="B680" s="14" t="str">
        <f t="shared" si="34"/>
        <v>Credit Cards (UMB) - Credits</v>
      </c>
      <c r="C680" s="38">
        <v>46144</v>
      </c>
      <c r="D680" s="34">
        <v>258862</v>
      </c>
      <c r="E680" s="36" t="str">
        <f>IF(Table3[[#This Row],[Type Received]]=2,"CC",(IF(Table3[[#This Row],[Type Received]]=3,"BILL","ACH")))</f>
        <v>CC</v>
      </c>
      <c r="F680" s="35">
        <v>54.25</v>
      </c>
      <c r="G680" s="14" t="str">
        <f>VLOOKUP(D680,Table4[],3,FALSE)</f>
        <v>2</v>
      </c>
      <c r="H680" s="15"/>
      <c r="I680" s="15">
        <v>598949</v>
      </c>
      <c r="J680" s="24" t="s">
        <v>28</v>
      </c>
      <c r="K680" s="15">
        <v>535356597</v>
      </c>
      <c r="L680" s="15" t="s">
        <v>29</v>
      </c>
      <c r="M680" s="15" t="s">
        <v>29</v>
      </c>
    </row>
    <row r="681" spans="1:13" x14ac:dyDescent="0.25">
      <c r="A681" s="23">
        <f t="shared" si="36"/>
        <v>258869</v>
      </c>
      <c r="B681" s="14" t="str">
        <f t="shared" si="34"/>
        <v>Direct Debit (UMB Bank) - Credits</v>
      </c>
      <c r="C681" s="37">
        <v>46155</v>
      </c>
      <c r="D681" s="31">
        <v>258869</v>
      </c>
      <c r="E681" s="33" t="str">
        <f>IF(Table3[[#This Row],[Type Received]]=2,"CC",(IF(Table3[[#This Row],[Type Received]]=3,"BILL","ACH")))</f>
        <v>ACH</v>
      </c>
      <c r="F681" s="32">
        <v>48.75</v>
      </c>
      <c r="G681" s="14" t="str">
        <f>VLOOKUP(D681,Table4[],3,FALSE)</f>
        <v>1</v>
      </c>
      <c r="H681" s="15"/>
      <c r="I681" s="15" t="s">
        <v>142</v>
      </c>
      <c r="J681" s="15" t="s">
        <v>28</v>
      </c>
      <c r="K681" s="15">
        <v>669469149</v>
      </c>
      <c r="L681" s="15" t="s">
        <v>29</v>
      </c>
      <c r="M681" s="15" t="s">
        <v>29</v>
      </c>
    </row>
    <row r="682" spans="1:13" x14ac:dyDescent="0.25">
      <c r="A682" s="23">
        <f t="shared" si="36"/>
        <v>258872</v>
      </c>
      <c r="B682" s="14" t="str">
        <f t="shared" si="34"/>
        <v>Direct Debit (UMB Bank) - Credits</v>
      </c>
      <c r="C682" s="38">
        <v>46143</v>
      </c>
      <c r="D682" s="34">
        <v>258872</v>
      </c>
      <c r="E682" s="36" t="str">
        <f>IF(Table3[[#This Row],[Type Received]]=2,"CC",(IF(Table3[[#This Row],[Type Received]]=3,"BILL","ACH")))</f>
        <v>ACH</v>
      </c>
      <c r="F682" s="35">
        <v>59.86</v>
      </c>
      <c r="G682" s="14" t="str">
        <f>VLOOKUP(D682,Table4[],3,FALSE)</f>
        <v>2</v>
      </c>
      <c r="H682" s="15"/>
      <c r="I682" s="15"/>
      <c r="J682" s="24" t="s">
        <v>84</v>
      </c>
      <c r="K682" s="15">
        <v>522220719</v>
      </c>
      <c r="L682" s="15" t="s">
        <v>29</v>
      </c>
      <c r="M682" s="15" t="s">
        <v>29</v>
      </c>
    </row>
    <row r="683" spans="1:13" x14ac:dyDescent="0.25">
      <c r="A683" s="23"/>
      <c r="B683" s="14" t="str">
        <f t="shared" si="34"/>
        <v>Direct Debit (UMB Bank) - Credits</v>
      </c>
      <c r="C683" s="37">
        <v>46144</v>
      </c>
      <c r="D683" s="31">
        <v>258874</v>
      </c>
      <c r="E683" s="33" t="str">
        <f>IF(Table3[[#This Row],[Type Received]]=2,"CC",(IF(Table3[[#This Row],[Type Received]]=3,"BILL","ACH")))</f>
        <v>ACH</v>
      </c>
      <c r="F683" s="32">
        <v>50.95</v>
      </c>
      <c r="G683" s="14" t="str">
        <f>VLOOKUP(D683,Table4[],3,FALSE)</f>
        <v>1</v>
      </c>
      <c r="H683" s="15"/>
      <c r="I683" s="15"/>
      <c r="J683" s="15" t="s">
        <v>89</v>
      </c>
      <c r="K683" s="15">
        <v>535350748</v>
      </c>
      <c r="L683" s="15" t="s">
        <v>29</v>
      </c>
      <c r="M683" s="15" t="s">
        <v>29</v>
      </c>
    </row>
    <row r="684" spans="1:13" x14ac:dyDescent="0.25">
      <c r="A684" s="23">
        <f>D684</f>
        <v>258870</v>
      </c>
      <c r="B684" s="14" t="str">
        <f t="shared" si="34"/>
        <v>Credit Cards (UMB) - Credits</v>
      </c>
      <c r="C684" s="38">
        <v>46167</v>
      </c>
      <c r="D684" s="34">
        <v>258870</v>
      </c>
      <c r="E684" s="36" t="str">
        <f>IF(Table3[[#This Row],[Type Received]]=2,"CC",(IF(Table3[[#This Row],[Type Received]]=3,"BILL","ACH")))</f>
        <v>CC</v>
      </c>
      <c r="F684" s="35">
        <v>95.17</v>
      </c>
      <c r="G684" s="14" t="str">
        <f>VLOOKUP(D684,Table4[],3,FALSE)</f>
        <v>2</v>
      </c>
      <c r="H684" s="15"/>
      <c r="I684" s="15"/>
      <c r="J684" s="15" t="s">
        <v>85</v>
      </c>
      <c r="K684" s="15">
        <v>818336495</v>
      </c>
      <c r="L684" s="15" t="s">
        <v>29</v>
      </c>
      <c r="M684" s="15" t="s">
        <v>29</v>
      </c>
    </row>
    <row r="685" spans="1:13" x14ac:dyDescent="0.25">
      <c r="A685" s="23">
        <f>D685</f>
        <v>258866</v>
      </c>
      <c r="B685" s="14" t="str">
        <f t="shared" si="34"/>
        <v>Direct Debit (UMB Bank) - Credits</v>
      </c>
      <c r="C685" s="37">
        <v>46155</v>
      </c>
      <c r="D685" s="31">
        <v>258866</v>
      </c>
      <c r="E685" s="33" t="str">
        <f>IF(Table3[[#This Row],[Type Received]]=2,"CC",(IF(Table3[[#This Row],[Type Received]]=3,"BILL","ACH")))</f>
        <v>ACH</v>
      </c>
      <c r="F685" s="32">
        <v>161.5</v>
      </c>
      <c r="G685" s="14" t="str">
        <f>VLOOKUP(D685,Table4[],3,FALSE)</f>
        <v>2</v>
      </c>
      <c r="H685" s="15"/>
      <c r="I685" s="15" t="s">
        <v>143</v>
      </c>
      <c r="J685" s="15" t="s">
        <v>28</v>
      </c>
      <c r="K685" s="15">
        <v>669447711</v>
      </c>
      <c r="L685" s="15" t="s">
        <v>29</v>
      </c>
      <c r="M685" s="15" t="s">
        <v>29</v>
      </c>
    </row>
    <row r="686" spans="1:13" x14ac:dyDescent="0.25">
      <c r="A686" s="23">
        <f>D686</f>
        <v>258873</v>
      </c>
      <c r="B686" s="14" t="str">
        <f t="shared" si="34"/>
        <v>Direct Debit (UMB Bank) - Credits</v>
      </c>
      <c r="C686" s="38">
        <v>46144</v>
      </c>
      <c r="D686" s="34">
        <v>258873</v>
      </c>
      <c r="E686" s="36" t="str">
        <f>IF(Table3[[#This Row],[Type Received]]=2,"CC",(IF(Table3[[#This Row],[Type Received]]=3,"BILL","ACH")))</f>
        <v>ACH</v>
      </c>
      <c r="F686" s="35">
        <v>133.44999999999999</v>
      </c>
      <c r="G686" s="14" t="str">
        <f>VLOOKUP(D686,Table4[],3,FALSE)</f>
        <v>2</v>
      </c>
      <c r="H686" s="15"/>
      <c r="I686" s="15"/>
      <c r="J686" s="15" t="s">
        <v>89</v>
      </c>
      <c r="K686" s="15">
        <v>535343997</v>
      </c>
      <c r="L686" s="15" t="s">
        <v>29</v>
      </c>
      <c r="M686" s="15" t="s">
        <v>29</v>
      </c>
    </row>
    <row r="687" spans="1:13" x14ac:dyDescent="0.25">
      <c r="A687" s="23"/>
      <c r="B687" s="14" t="str">
        <f t="shared" si="34"/>
        <v>Direct Debit (UMB Bank) - Credits</v>
      </c>
      <c r="C687" s="37">
        <v>46158</v>
      </c>
      <c r="D687" s="31">
        <v>258875</v>
      </c>
      <c r="E687" s="33" t="str">
        <f>IF(Table3[[#This Row],[Type Received]]=2,"CC",(IF(Table3[[#This Row],[Type Received]]=3,"BILL","ACH")))</f>
        <v>ACH</v>
      </c>
      <c r="F687" s="32">
        <v>73.39</v>
      </c>
      <c r="G687" s="14" t="str">
        <f>VLOOKUP(D687,Table4[],3,FALSE)</f>
        <v>2</v>
      </c>
      <c r="H687" s="15"/>
      <c r="I687" s="15"/>
      <c r="J687" s="15" t="s">
        <v>106</v>
      </c>
      <c r="K687" s="15">
        <v>710044576</v>
      </c>
      <c r="L687" s="15" t="s">
        <v>29</v>
      </c>
      <c r="M687" s="15" t="s">
        <v>29</v>
      </c>
    </row>
    <row r="688" spans="1:13" x14ac:dyDescent="0.25">
      <c r="A688" s="23"/>
      <c r="B688" s="14" t="str">
        <f t="shared" si="34"/>
        <v>Direct Debit (UMB Bank) - Credits</v>
      </c>
      <c r="C688" s="38">
        <v>46155</v>
      </c>
      <c r="D688" s="34">
        <v>258893</v>
      </c>
      <c r="E688" s="36" t="str">
        <f>IF(Table3[[#This Row],[Type Received]]=2,"CC",(IF(Table3[[#This Row],[Type Received]]=3,"BILL","ACH")))</f>
        <v>ACH</v>
      </c>
      <c r="F688" s="35">
        <v>75.040000000000006</v>
      </c>
      <c r="G688" s="14" t="str">
        <f>VLOOKUP(D688,Table4[],3,FALSE)</f>
        <v>2</v>
      </c>
      <c r="H688" s="15"/>
      <c r="I688" s="15"/>
      <c r="J688" s="15" t="s">
        <v>90</v>
      </c>
      <c r="K688" s="15">
        <v>669456440</v>
      </c>
      <c r="L688" s="15" t="s">
        <v>29</v>
      </c>
      <c r="M688" s="15" t="s">
        <v>29</v>
      </c>
    </row>
    <row r="689" spans="1:13" x14ac:dyDescent="0.25">
      <c r="A689" s="23"/>
      <c r="B689" s="14" t="str">
        <f t="shared" si="34"/>
        <v>Direct Debit (UMB Bank) - Credits</v>
      </c>
      <c r="C689" s="37">
        <v>46158</v>
      </c>
      <c r="D689" s="31">
        <v>258899</v>
      </c>
      <c r="E689" s="33" t="str">
        <f>IF(Table3[[#This Row],[Type Received]]=2,"CC",(IF(Table3[[#This Row],[Type Received]]=3,"BILL","ACH")))</f>
        <v>ACH</v>
      </c>
      <c r="F689" s="32">
        <v>123.22</v>
      </c>
      <c r="G689" s="14" t="str">
        <f>VLOOKUP(D689,Table4[],3,FALSE)</f>
        <v>2</v>
      </c>
      <c r="H689" s="15"/>
      <c r="I689" s="15"/>
      <c r="J689" s="15" t="s">
        <v>106</v>
      </c>
      <c r="K689" s="15">
        <v>710041702</v>
      </c>
      <c r="L689" s="15" t="s">
        <v>29</v>
      </c>
      <c r="M689" s="15" t="s">
        <v>29</v>
      </c>
    </row>
    <row r="690" spans="1:13" x14ac:dyDescent="0.25">
      <c r="A690" s="23">
        <f t="shared" ref="A690:A721" si="37">D690</f>
        <v>258907</v>
      </c>
      <c r="B690" s="14" t="str">
        <f t="shared" si="34"/>
        <v>Direct Debit (UMB Bank) - Credits</v>
      </c>
      <c r="C690" s="38">
        <v>46167</v>
      </c>
      <c r="D690" s="34">
        <v>258907</v>
      </c>
      <c r="E690" s="36" t="str">
        <f>IF(Table3[[#This Row],[Type Received]]=2,"CC",(IF(Table3[[#This Row],[Type Received]]=3,"BILL","ACH")))</f>
        <v>ACH</v>
      </c>
      <c r="F690" s="35">
        <v>45.89</v>
      </c>
      <c r="G690" s="14" t="str">
        <f>VLOOKUP(D690,Table4[],3,FALSE)</f>
        <v>1</v>
      </c>
      <c r="H690" s="15"/>
      <c r="I690" s="15"/>
      <c r="J690" s="15" t="s">
        <v>85</v>
      </c>
      <c r="K690" s="15">
        <v>818341333</v>
      </c>
      <c r="L690" s="15" t="s">
        <v>29</v>
      </c>
      <c r="M690" s="15" t="s">
        <v>29</v>
      </c>
    </row>
    <row r="691" spans="1:13" x14ac:dyDescent="0.25">
      <c r="A691" s="23">
        <f t="shared" si="37"/>
        <v>258904</v>
      </c>
      <c r="B691" s="14" t="str">
        <f t="shared" si="34"/>
        <v>Direct Debit (UMB Bank) - Credits</v>
      </c>
      <c r="C691" s="37">
        <v>46164</v>
      </c>
      <c r="D691" s="31">
        <v>258904</v>
      </c>
      <c r="E691" s="33" t="str">
        <f>IF(Table3[[#This Row],[Type Received]]=2,"CC",(IF(Table3[[#This Row],[Type Received]]=3,"BILL","ACH")))</f>
        <v>ACH</v>
      </c>
      <c r="F691" s="32">
        <v>56.23</v>
      </c>
      <c r="G691" s="14" t="str">
        <f>VLOOKUP(D691,Table4[],3,FALSE)</f>
        <v>2</v>
      </c>
      <c r="H691" s="15"/>
      <c r="I691" s="15"/>
      <c r="J691" s="15" t="s">
        <v>118</v>
      </c>
      <c r="K691" s="15">
        <v>784604362</v>
      </c>
      <c r="L691" s="15" t="s">
        <v>29</v>
      </c>
      <c r="M691" s="15"/>
    </row>
    <row r="692" spans="1:13" x14ac:dyDescent="0.25">
      <c r="A692" s="23">
        <f t="shared" si="37"/>
        <v>258904</v>
      </c>
      <c r="B692" s="14" t="str">
        <f t="shared" si="34"/>
        <v>Direct Debit (UMB Bank) - Credits</v>
      </c>
      <c r="C692" s="38">
        <v>46157</v>
      </c>
      <c r="D692" s="34">
        <v>258904</v>
      </c>
      <c r="E692" s="36" t="str">
        <f>IF(Table3[[#This Row],[Type Received]]=2,"CC",(IF(Table3[[#This Row],[Type Received]]=3,"BILL","ACH")))</f>
        <v>ACH</v>
      </c>
      <c r="F692" s="35">
        <v>56.23</v>
      </c>
      <c r="G692" s="14" t="str">
        <f>VLOOKUP(D692,Table4[],3,FALSE)</f>
        <v>2</v>
      </c>
      <c r="H692" s="15"/>
      <c r="I692" s="15"/>
      <c r="J692" s="15" t="s">
        <v>87</v>
      </c>
      <c r="K692" s="15">
        <v>696697464</v>
      </c>
      <c r="L692" s="15" t="s">
        <v>29</v>
      </c>
      <c r="M692" s="15" t="s">
        <v>29</v>
      </c>
    </row>
    <row r="693" spans="1:13" x14ac:dyDescent="0.25">
      <c r="A693" s="23">
        <f t="shared" si="37"/>
        <v>258905</v>
      </c>
      <c r="B693" s="14" t="str">
        <f t="shared" si="34"/>
        <v>Direct Debit (UMB Bank) - Credits</v>
      </c>
      <c r="C693" s="37">
        <v>46167</v>
      </c>
      <c r="D693" s="31">
        <v>258905</v>
      </c>
      <c r="E693" s="33" t="str">
        <f>IF(Table3[[#This Row],[Type Received]]=2,"CC",(IF(Table3[[#This Row],[Type Received]]=3,"BILL","ACH")))</f>
        <v>ACH</v>
      </c>
      <c r="F693" s="32">
        <v>83.95</v>
      </c>
      <c r="G693" s="14" t="str">
        <f>VLOOKUP(D693,Table4[],3,FALSE)</f>
        <v>2</v>
      </c>
      <c r="H693" s="15"/>
      <c r="I693" s="15"/>
      <c r="J693" s="15" t="s">
        <v>85</v>
      </c>
      <c r="K693" s="15">
        <v>818341327</v>
      </c>
      <c r="L693" s="15" t="s">
        <v>29</v>
      </c>
      <c r="M693" s="15"/>
    </row>
    <row r="694" spans="1:13" x14ac:dyDescent="0.25">
      <c r="A694" s="23">
        <f t="shared" si="37"/>
        <v>258906</v>
      </c>
      <c r="B694" s="14" t="str">
        <f t="shared" si="34"/>
        <v>Direct Debit (UMB Bank) - Credits</v>
      </c>
      <c r="C694" s="38">
        <v>46167</v>
      </c>
      <c r="D694" s="34">
        <v>258906</v>
      </c>
      <c r="E694" s="36" t="str">
        <f>IF(Table3[[#This Row],[Type Received]]=2,"CC",(IF(Table3[[#This Row],[Type Received]]=3,"BILL","ACH")))</f>
        <v>ACH</v>
      </c>
      <c r="F694" s="35">
        <v>74.489999999999995</v>
      </c>
      <c r="G694" s="14" t="str">
        <f>VLOOKUP(D694,Table4[],3,FALSE)</f>
        <v>1</v>
      </c>
      <c r="H694" s="15"/>
      <c r="I694" s="15"/>
      <c r="J694" s="15" t="s">
        <v>85</v>
      </c>
      <c r="K694" s="15">
        <v>818347152</v>
      </c>
      <c r="L694" s="15" t="s">
        <v>29</v>
      </c>
      <c r="M694" s="15"/>
    </row>
    <row r="695" spans="1:13" x14ac:dyDescent="0.25">
      <c r="A695" s="23">
        <f t="shared" si="37"/>
        <v>258898</v>
      </c>
      <c r="B695" s="14" t="str">
        <f t="shared" si="34"/>
        <v>Billing - Credits (from TPA)</v>
      </c>
      <c r="C695" s="37">
        <v>46143</v>
      </c>
      <c r="D695" s="31">
        <v>258898</v>
      </c>
      <c r="E695" s="33" t="str">
        <f>IF(Table3[[#This Row],[Type Received]]=2,"CC",(IF(Table3[[#This Row],[Type Received]]=3,"BILL","ACH")))</f>
        <v>BILL</v>
      </c>
      <c r="F695" s="32">
        <v>52.6</v>
      </c>
      <c r="G695" s="14" t="str">
        <f>VLOOKUP(D695,Table4[],3,FALSE)</f>
        <v>2</v>
      </c>
      <c r="H695" s="15"/>
      <c r="I695" s="15"/>
      <c r="J695" s="15" t="s">
        <v>84</v>
      </c>
      <c r="K695" s="15">
        <v>522226602</v>
      </c>
      <c r="L695" s="15" t="s">
        <v>29</v>
      </c>
      <c r="M695" s="15" t="s">
        <v>29</v>
      </c>
    </row>
    <row r="696" spans="1:13" x14ac:dyDescent="0.25">
      <c r="A696" s="23">
        <f t="shared" si="37"/>
        <v>258929</v>
      </c>
      <c r="B696" s="14" t="str">
        <f t="shared" si="34"/>
        <v>Direct Debit (UMB Bank) - Credits</v>
      </c>
      <c r="C696" s="38">
        <v>46147</v>
      </c>
      <c r="D696" s="34">
        <v>258929</v>
      </c>
      <c r="E696" s="36" t="str">
        <f>IF(Table3[[#This Row],[Type Received]]=2,"CC",(IF(Table3[[#This Row],[Type Received]]=3,"BILL","ACH")))</f>
        <v>ACH</v>
      </c>
      <c r="F696" s="35">
        <v>46.13</v>
      </c>
      <c r="G696" s="14" t="str">
        <f>VLOOKUP(D696,Table4[],3,FALSE)</f>
        <v>1</v>
      </c>
      <c r="H696" s="15">
        <v>1384</v>
      </c>
      <c r="I696" s="15"/>
      <c r="J696" s="15"/>
      <c r="K696" s="15"/>
      <c r="L696" s="15"/>
      <c r="M696" s="15" t="s">
        <v>29</v>
      </c>
    </row>
    <row r="697" spans="1:13" x14ac:dyDescent="0.25">
      <c r="A697" s="23">
        <f t="shared" si="37"/>
        <v>258900</v>
      </c>
      <c r="B697" s="14" t="str">
        <f t="shared" si="34"/>
        <v>Credit Cards (UMB) - Credits</v>
      </c>
      <c r="C697" s="37">
        <v>46158</v>
      </c>
      <c r="D697" s="31">
        <v>258900</v>
      </c>
      <c r="E697" s="33" t="str">
        <f>IF(Table3[[#This Row],[Type Received]]=2,"CC",(IF(Table3[[#This Row],[Type Received]]=3,"BILL","ACH")))</f>
        <v>CC</v>
      </c>
      <c r="F697" s="32">
        <v>60.85</v>
      </c>
      <c r="G697" s="14" t="str">
        <f>VLOOKUP(D697,Table4[],3,FALSE)</f>
        <v>2</v>
      </c>
      <c r="H697" s="15"/>
      <c r="I697" s="15"/>
      <c r="J697" s="15" t="s">
        <v>106</v>
      </c>
      <c r="K697" s="15">
        <v>710026033</v>
      </c>
      <c r="L697" s="15" t="s">
        <v>29</v>
      </c>
      <c r="M697" s="15" t="s">
        <v>29</v>
      </c>
    </row>
    <row r="698" spans="1:13" x14ac:dyDescent="0.25">
      <c r="A698" s="23">
        <f t="shared" si="37"/>
        <v>258911</v>
      </c>
      <c r="B698" s="14" t="str">
        <f t="shared" si="34"/>
        <v>Credit Cards (UMB) - Credits</v>
      </c>
      <c r="C698" s="38">
        <v>46143</v>
      </c>
      <c r="D698" s="34">
        <v>258911</v>
      </c>
      <c r="E698" s="36" t="str">
        <f>IF(Table3[[#This Row],[Type Received]]=2,"CC",(IF(Table3[[#This Row],[Type Received]]=3,"BILL","ACH")))</f>
        <v>CC</v>
      </c>
      <c r="F698" s="35">
        <v>107.73</v>
      </c>
      <c r="G698" s="14" t="str">
        <f>VLOOKUP(D698,Table4[],3,FALSE)</f>
        <v>2</v>
      </c>
      <c r="H698" s="15"/>
      <c r="I698" s="15">
        <v>765410</v>
      </c>
      <c r="J698" s="15" t="s">
        <v>28</v>
      </c>
      <c r="K698" s="15">
        <v>522245496</v>
      </c>
      <c r="L698" s="15" t="s">
        <v>29</v>
      </c>
      <c r="M698" s="15"/>
    </row>
    <row r="699" spans="1:13" x14ac:dyDescent="0.25">
      <c r="A699" s="23">
        <f t="shared" si="37"/>
        <v>258912</v>
      </c>
      <c r="B699" s="14" t="str">
        <f t="shared" si="34"/>
        <v>Credit Cards (UMB) - Credits</v>
      </c>
      <c r="C699" s="37">
        <v>46143</v>
      </c>
      <c r="D699" s="31">
        <v>258912</v>
      </c>
      <c r="E699" s="33" t="str">
        <f>IF(Table3[[#This Row],[Type Received]]=2,"CC",(IF(Table3[[#This Row],[Type Received]]=3,"BILL","ACH")))</f>
        <v>CC</v>
      </c>
      <c r="F699" s="32">
        <v>74.709999999999994</v>
      </c>
      <c r="G699" s="14" t="str">
        <f>VLOOKUP(D699,Table4[],3,FALSE)</f>
        <v>2</v>
      </c>
      <c r="H699" s="15"/>
      <c r="I699" s="15">
        <v>128584</v>
      </c>
      <c r="J699" s="15" t="s">
        <v>28</v>
      </c>
      <c r="K699" s="15">
        <v>522237286</v>
      </c>
      <c r="L699" s="15" t="s">
        <v>29</v>
      </c>
      <c r="M699" s="15" t="s">
        <v>29</v>
      </c>
    </row>
    <row r="700" spans="1:13" x14ac:dyDescent="0.25">
      <c r="A700" s="23">
        <f t="shared" si="37"/>
        <v>258919</v>
      </c>
      <c r="B700" s="14" t="str">
        <f t="shared" si="34"/>
        <v>Credit Cards (UMB) - Credits</v>
      </c>
      <c r="C700" s="38">
        <v>46164</v>
      </c>
      <c r="D700" s="34">
        <v>258919</v>
      </c>
      <c r="E700" s="36" t="str">
        <f>IF(Table3[[#This Row],[Type Received]]=2,"CC",(IF(Table3[[#This Row],[Type Received]]=3,"BILL","ACH")))</f>
        <v>CC</v>
      </c>
      <c r="F700" s="35">
        <v>130.63999999999999</v>
      </c>
      <c r="G700" s="14" t="str">
        <f>VLOOKUP(D700,Table4[],3,FALSE)</f>
        <v>2</v>
      </c>
      <c r="H700" s="15"/>
      <c r="I700" s="15">
        <v>413519</v>
      </c>
      <c r="J700" s="24" t="s">
        <v>28</v>
      </c>
      <c r="K700" s="15">
        <v>788411684</v>
      </c>
      <c r="L700" s="15" t="s">
        <v>29</v>
      </c>
      <c r="M700" s="15" t="s">
        <v>29</v>
      </c>
    </row>
    <row r="701" spans="1:13" x14ac:dyDescent="0.25">
      <c r="A701" s="23">
        <f t="shared" si="37"/>
        <v>258932</v>
      </c>
      <c r="B701" s="14" t="str">
        <f t="shared" si="34"/>
        <v>Direct Debit (UMB Bank) - Credits</v>
      </c>
      <c r="C701" s="37">
        <v>46155</v>
      </c>
      <c r="D701" s="31">
        <v>258932</v>
      </c>
      <c r="E701" s="33" t="str">
        <f>IF(Table3[[#This Row],[Type Received]]=2,"CC",(IF(Table3[[#This Row],[Type Received]]=3,"BILL","ACH")))</f>
        <v>ACH</v>
      </c>
      <c r="F701" s="32">
        <v>70.75</v>
      </c>
      <c r="G701" s="14" t="str">
        <f>VLOOKUP(D701,Table4[],3,FALSE)</f>
        <v>2</v>
      </c>
      <c r="H701" s="15"/>
      <c r="I701" s="15">
        <v>126554</v>
      </c>
      <c r="J701" s="15" t="s">
        <v>28</v>
      </c>
      <c r="K701" s="15">
        <v>669451599</v>
      </c>
      <c r="L701" s="15" t="s">
        <v>29</v>
      </c>
      <c r="M701" s="15" t="s">
        <v>29</v>
      </c>
    </row>
    <row r="702" spans="1:13" x14ac:dyDescent="0.25">
      <c r="A702" s="23">
        <f t="shared" si="37"/>
        <v>258934</v>
      </c>
      <c r="B702" s="14" t="str">
        <f t="shared" si="34"/>
        <v>Direct Debit (UMB Bank) - Credits</v>
      </c>
      <c r="C702" s="38">
        <v>46155</v>
      </c>
      <c r="D702" s="34">
        <v>258934</v>
      </c>
      <c r="E702" s="36" t="str">
        <f>IF(Table3[[#This Row],[Type Received]]=2,"CC",(IF(Table3[[#This Row],[Type Received]]=3,"BILL","ACH")))</f>
        <v>ACH</v>
      </c>
      <c r="F702" s="35">
        <v>72.290000000000006</v>
      </c>
      <c r="G702" s="14" t="str">
        <f>VLOOKUP(D702,Table4[],3,FALSE)</f>
        <v>1</v>
      </c>
      <c r="H702" s="15"/>
      <c r="I702" s="15"/>
      <c r="J702" s="15" t="s">
        <v>90</v>
      </c>
      <c r="K702" s="15">
        <v>669491203</v>
      </c>
      <c r="L702" s="15" t="s">
        <v>29</v>
      </c>
      <c r="M702" s="15"/>
    </row>
    <row r="703" spans="1:13" x14ac:dyDescent="0.25">
      <c r="A703" s="23">
        <f t="shared" si="37"/>
        <v>258935</v>
      </c>
      <c r="B703" s="14" t="str">
        <f t="shared" si="34"/>
        <v>Credit Cards (UMB) - Credits</v>
      </c>
      <c r="C703" s="37">
        <v>46158</v>
      </c>
      <c r="D703" s="31">
        <v>258935</v>
      </c>
      <c r="E703" s="33" t="str">
        <f>IF(Table3[[#This Row],[Type Received]]=2,"CC",(IF(Table3[[#This Row],[Type Received]]=3,"BILL","ACH")))</f>
        <v>CC</v>
      </c>
      <c r="F703" s="32">
        <v>142.36000000000001</v>
      </c>
      <c r="G703" s="14" t="str">
        <f>VLOOKUP(D703,Table4[],3,FALSE)</f>
        <v>2</v>
      </c>
      <c r="H703" s="15"/>
      <c r="I703" s="15"/>
      <c r="J703" s="24" t="s">
        <v>106</v>
      </c>
      <c r="K703" s="15">
        <v>710029886</v>
      </c>
      <c r="L703" s="15" t="s">
        <v>29</v>
      </c>
      <c r="M703" s="15" t="s">
        <v>29</v>
      </c>
    </row>
    <row r="704" spans="1:13" x14ac:dyDescent="0.25">
      <c r="A704" s="23">
        <f t="shared" si="37"/>
        <v>258939</v>
      </c>
      <c r="B704" s="14" t="str">
        <f t="shared" si="34"/>
        <v>Credit Cards (UMB) - Credits</v>
      </c>
      <c r="C704" s="38">
        <v>46143</v>
      </c>
      <c r="D704" s="34">
        <v>258939</v>
      </c>
      <c r="E704" s="36" t="str">
        <f>IF(Table3[[#This Row],[Type Received]]=2,"CC",(IF(Table3[[#This Row],[Type Received]]=3,"BILL","ACH")))</f>
        <v>CC</v>
      </c>
      <c r="F704" s="35">
        <v>59.53</v>
      </c>
      <c r="G704" s="14" t="str">
        <f>VLOOKUP(D704,Table4[],3,FALSE)</f>
        <v>2</v>
      </c>
      <c r="H704" s="15"/>
      <c r="I704" s="15">
        <v>55263</v>
      </c>
      <c r="J704" s="15" t="s">
        <v>28</v>
      </c>
      <c r="K704" s="15">
        <v>522230491</v>
      </c>
      <c r="L704" s="15" t="s">
        <v>29</v>
      </c>
      <c r="M704" s="15"/>
    </row>
    <row r="705" spans="1:13" x14ac:dyDescent="0.25">
      <c r="A705" s="23">
        <f t="shared" si="37"/>
        <v>258948</v>
      </c>
      <c r="B705" s="14" t="str">
        <f t="shared" si="34"/>
        <v>Direct Debit (UMB Bank) - Credits</v>
      </c>
      <c r="C705" s="37">
        <v>46143</v>
      </c>
      <c r="D705" s="31">
        <v>258948</v>
      </c>
      <c r="E705" s="33" t="str">
        <f>IF(Table3[[#This Row],[Type Received]]=2,"CC",(IF(Table3[[#This Row],[Type Received]]=3,"BILL","ACH")))</f>
        <v>ACH</v>
      </c>
      <c r="F705" s="32">
        <v>47.21</v>
      </c>
      <c r="G705" s="14" t="str">
        <f>VLOOKUP(D705,Table4[],3,FALSE)</f>
        <v>1</v>
      </c>
      <c r="H705" s="15"/>
      <c r="I705" s="15">
        <v>78101</v>
      </c>
      <c r="J705" s="15" t="s">
        <v>28</v>
      </c>
      <c r="K705" s="15">
        <v>522234428</v>
      </c>
      <c r="L705" s="15" t="s">
        <v>29</v>
      </c>
      <c r="M705" s="15" t="s">
        <v>29</v>
      </c>
    </row>
    <row r="706" spans="1:13" x14ac:dyDescent="0.25">
      <c r="A706" s="23">
        <f t="shared" si="37"/>
        <v>258961</v>
      </c>
      <c r="B706" s="14" t="str">
        <f t="shared" ref="B706:B769" si="38">IF(AND(E706="BILL",F706&lt;0),"Billing &amp; Direct Debit - Refunds",(IF(AND(E706="BILL",F706&gt;0),"Billing - Credits (from TPA)",(IF(AND(E706="CC",F706&lt;0),"Credit Cards (UMB) - Refunds",(IF(AND(E706="CC",F706&gt;0),"Credit Cards (UMB) - Credits",(IF(AND(E706="ACH",F706&gt;0),"Direct Debit (UMB Bank) - Credits","Direct Debit (UMB Bank) - Returned Items")))))))))</f>
        <v>Direct Debit (UMB Bank) - Credits</v>
      </c>
      <c r="C706" s="38">
        <v>46167</v>
      </c>
      <c r="D706" s="34">
        <v>258961</v>
      </c>
      <c r="E706" s="36" t="str">
        <f>IF(Table3[[#This Row],[Type Received]]=2,"CC",(IF(Table3[[#This Row],[Type Received]]=3,"BILL","ACH")))</f>
        <v>ACH</v>
      </c>
      <c r="F706" s="35">
        <v>123.55</v>
      </c>
      <c r="G706" s="14" t="str">
        <f>VLOOKUP(D706,Table4[],3,FALSE)</f>
        <v>2</v>
      </c>
      <c r="H706" s="15"/>
      <c r="I706" s="15"/>
      <c r="J706" s="15" t="s">
        <v>85</v>
      </c>
      <c r="K706" s="15">
        <v>818339349</v>
      </c>
      <c r="L706" s="15" t="s">
        <v>29</v>
      </c>
      <c r="M706" s="15" t="s">
        <v>29</v>
      </c>
    </row>
    <row r="707" spans="1:13" x14ac:dyDescent="0.25">
      <c r="A707" s="23">
        <f t="shared" si="37"/>
        <v>258958</v>
      </c>
      <c r="B707" s="14" t="str">
        <f t="shared" si="38"/>
        <v>Direct Debit (UMB Bank) - Credits</v>
      </c>
      <c r="C707" s="37">
        <v>46143</v>
      </c>
      <c r="D707" s="31">
        <v>258958</v>
      </c>
      <c r="E707" s="33" t="str">
        <f>IF(Table3[[#This Row],[Type Received]]=2,"CC",(IF(Table3[[#This Row],[Type Received]]=3,"BILL","ACH")))</f>
        <v>ACH</v>
      </c>
      <c r="F707" s="32">
        <v>63.05</v>
      </c>
      <c r="G707" s="14" t="str">
        <f>VLOOKUP(D707,Table4[],3,FALSE)</f>
        <v>1</v>
      </c>
      <c r="H707" s="15"/>
      <c r="I707" s="15"/>
      <c r="J707" s="15" t="s">
        <v>84</v>
      </c>
      <c r="K707" s="15">
        <v>522240240</v>
      </c>
      <c r="L707" s="15" t="s">
        <v>29</v>
      </c>
      <c r="M707" s="15" t="s">
        <v>29</v>
      </c>
    </row>
    <row r="708" spans="1:13" x14ac:dyDescent="0.25">
      <c r="A708" s="23">
        <f t="shared" si="37"/>
        <v>258952</v>
      </c>
      <c r="B708" s="14" t="str">
        <f t="shared" si="38"/>
        <v>Direct Debit (UMB Bank) - Credits</v>
      </c>
      <c r="C708" s="38">
        <v>46143</v>
      </c>
      <c r="D708" s="34">
        <v>258952</v>
      </c>
      <c r="E708" s="36" t="str">
        <f>IF(Table3[[#This Row],[Type Received]]=2,"CC",(IF(Table3[[#This Row],[Type Received]]=3,"BILL","ACH")))</f>
        <v>ACH</v>
      </c>
      <c r="F708" s="35">
        <v>84.83</v>
      </c>
      <c r="G708" s="14" t="str">
        <f>VLOOKUP(D708,Table4[],3,FALSE)</f>
        <v>1</v>
      </c>
      <c r="H708" s="15"/>
      <c r="I708" s="15"/>
      <c r="J708" s="15" t="s">
        <v>84</v>
      </c>
      <c r="K708" s="15">
        <v>522224770</v>
      </c>
      <c r="L708" s="15" t="s">
        <v>29</v>
      </c>
      <c r="M708" s="15" t="s">
        <v>29</v>
      </c>
    </row>
    <row r="709" spans="1:13" x14ac:dyDescent="0.25">
      <c r="A709" s="23">
        <f t="shared" si="37"/>
        <v>258953</v>
      </c>
      <c r="B709" s="14" t="str">
        <f t="shared" si="38"/>
        <v>Billing - Credits (from TPA)</v>
      </c>
      <c r="C709" s="37">
        <v>46143</v>
      </c>
      <c r="D709" s="31">
        <v>258953</v>
      </c>
      <c r="E709" s="33" t="str">
        <f>IF(Table3[[#This Row],[Type Received]]=2,"CC",(IF(Table3[[#This Row],[Type Received]]=3,"BILL","ACH")))</f>
        <v>BILL</v>
      </c>
      <c r="F709" s="32">
        <v>39.950000000000003</v>
      </c>
      <c r="G709" s="14" t="str">
        <f>VLOOKUP(D709,Table4[],3,FALSE)</f>
        <v>1</v>
      </c>
      <c r="H709" s="15"/>
      <c r="I709" s="15"/>
      <c r="J709" s="15" t="s">
        <v>84</v>
      </c>
      <c r="K709" s="15">
        <v>522235488</v>
      </c>
      <c r="L709" s="15" t="s">
        <v>29</v>
      </c>
      <c r="M709" s="15" t="s">
        <v>29</v>
      </c>
    </row>
    <row r="710" spans="1:13" x14ac:dyDescent="0.25">
      <c r="A710" s="23">
        <f t="shared" si="37"/>
        <v>258966</v>
      </c>
      <c r="B710" s="14" t="str">
        <f t="shared" si="38"/>
        <v>Direct Debit (UMB Bank) - Credits</v>
      </c>
      <c r="C710" s="38">
        <v>46147</v>
      </c>
      <c r="D710" s="34">
        <v>258966</v>
      </c>
      <c r="E710" s="36" t="str">
        <f>IF(Table3[[#This Row],[Type Received]]=2,"CC",(IF(Table3[[#This Row],[Type Received]]=3,"BILL","ACH")))</f>
        <v>ACH</v>
      </c>
      <c r="F710" s="35">
        <v>130.41999999999999</v>
      </c>
      <c r="G710" s="14" t="str">
        <f>VLOOKUP(D710,Table4[],3,FALSE)</f>
        <v>1</v>
      </c>
      <c r="H710" s="15">
        <v>357</v>
      </c>
      <c r="I710" s="15"/>
      <c r="J710" s="15"/>
      <c r="K710" s="15"/>
      <c r="L710" s="15"/>
      <c r="M710" s="15" t="s">
        <v>29</v>
      </c>
    </row>
    <row r="711" spans="1:13" x14ac:dyDescent="0.25">
      <c r="A711" s="23">
        <f t="shared" si="37"/>
        <v>258976</v>
      </c>
      <c r="B711" s="14" t="str">
        <f t="shared" si="38"/>
        <v>Direct Debit (UMB Bank) - Credits</v>
      </c>
      <c r="C711" s="37">
        <v>46145</v>
      </c>
      <c r="D711" s="31">
        <v>258976</v>
      </c>
      <c r="E711" s="33" t="str">
        <f>IF(Table3[[#This Row],[Type Received]]=2,"CC",(IF(Table3[[#This Row],[Type Received]]=3,"BILL","ACH")))</f>
        <v>ACH</v>
      </c>
      <c r="F711" s="32">
        <v>43.03</v>
      </c>
      <c r="G711" s="14" t="str">
        <f>VLOOKUP(D711,Table4[],3,FALSE)</f>
        <v>2</v>
      </c>
      <c r="H711" s="15"/>
      <c r="I711" s="15"/>
      <c r="J711" s="15" t="s">
        <v>113</v>
      </c>
      <c r="K711" s="15">
        <v>546421353</v>
      </c>
      <c r="L711" s="15" t="s">
        <v>29</v>
      </c>
      <c r="M711" s="15" t="s">
        <v>29</v>
      </c>
    </row>
    <row r="712" spans="1:13" x14ac:dyDescent="0.25">
      <c r="A712" s="23">
        <f t="shared" si="37"/>
        <v>258962</v>
      </c>
      <c r="B712" s="14" t="str">
        <f t="shared" si="38"/>
        <v>Direct Debit (UMB Bank) - Credits</v>
      </c>
      <c r="C712" s="38">
        <v>46143</v>
      </c>
      <c r="D712" s="34">
        <v>258962</v>
      </c>
      <c r="E712" s="36" t="str">
        <f>IF(Table3[[#This Row],[Type Received]]=2,"CC",(IF(Table3[[#This Row],[Type Received]]=3,"BILL","ACH")))</f>
        <v>ACH</v>
      </c>
      <c r="F712" s="35">
        <v>54.58</v>
      </c>
      <c r="G712" s="14" t="str">
        <f>VLOOKUP(D712,Table4[],3,FALSE)</f>
        <v>2</v>
      </c>
      <c r="H712" s="15"/>
      <c r="I712" s="15"/>
      <c r="J712" s="15" t="s">
        <v>84</v>
      </c>
      <c r="K712" s="15">
        <v>522238394</v>
      </c>
      <c r="L712" s="15" t="s">
        <v>29</v>
      </c>
      <c r="M712" s="15" t="s">
        <v>29</v>
      </c>
    </row>
    <row r="713" spans="1:13" x14ac:dyDescent="0.25">
      <c r="A713" s="23">
        <f t="shared" si="37"/>
        <v>258973</v>
      </c>
      <c r="B713" s="14" t="str">
        <f t="shared" si="38"/>
        <v>Direct Debit (UMB Bank) - Credits</v>
      </c>
      <c r="C713" s="37">
        <v>46158</v>
      </c>
      <c r="D713" s="31">
        <v>258973</v>
      </c>
      <c r="E713" s="33" t="str">
        <f>IF(Table3[[#This Row],[Type Received]]=2,"CC",(IF(Table3[[#This Row],[Type Received]]=3,"BILL","ACH")))</f>
        <v>ACH</v>
      </c>
      <c r="F713" s="32">
        <v>70.09</v>
      </c>
      <c r="G713" s="14" t="str">
        <f>VLOOKUP(D713,Table4[],3,FALSE)</f>
        <v>2</v>
      </c>
      <c r="H713" s="15"/>
      <c r="I713" s="15"/>
      <c r="J713" s="24" t="s">
        <v>106</v>
      </c>
      <c r="K713" s="15">
        <v>710037746</v>
      </c>
      <c r="L713" s="15" t="s">
        <v>29</v>
      </c>
      <c r="M713" s="15" t="s">
        <v>29</v>
      </c>
    </row>
    <row r="714" spans="1:13" x14ac:dyDescent="0.25">
      <c r="A714" s="23">
        <f t="shared" si="37"/>
        <v>258978</v>
      </c>
      <c r="B714" s="14" t="str">
        <f t="shared" si="38"/>
        <v>Billing - Credits (from TPA)</v>
      </c>
      <c r="C714" s="38">
        <v>46167</v>
      </c>
      <c r="D714" s="34">
        <v>258978</v>
      </c>
      <c r="E714" s="36" t="str">
        <f>IF(Table3[[#This Row],[Type Received]]=2,"CC",(IF(Table3[[#This Row],[Type Received]]=3,"BILL","ACH")))</f>
        <v>BILL</v>
      </c>
      <c r="F714" s="35">
        <v>152.59</v>
      </c>
      <c r="G714" s="14" t="str">
        <f>VLOOKUP(D714,Table4[],3,FALSE)</f>
        <v>2</v>
      </c>
      <c r="H714" s="15"/>
      <c r="I714" s="15"/>
      <c r="J714" s="15" t="s">
        <v>85</v>
      </c>
      <c r="K714" s="15">
        <v>818340358</v>
      </c>
      <c r="L714" s="15" t="s">
        <v>29</v>
      </c>
      <c r="M714" s="15" t="s">
        <v>29</v>
      </c>
    </row>
    <row r="715" spans="1:13" x14ac:dyDescent="0.25">
      <c r="A715" s="23">
        <f t="shared" si="37"/>
        <v>258982</v>
      </c>
      <c r="B715" s="14" t="str">
        <f t="shared" si="38"/>
        <v>Direct Debit (UMB Bank) - Credits</v>
      </c>
      <c r="C715" s="37">
        <v>46168</v>
      </c>
      <c r="D715" s="31">
        <v>258982</v>
      </c>
      <c r="E715" s="33" t="str">
        <f>IF(Table3[[#This Row],[Type Received]]=2,"CC",(IF(Table3[[#This Row],[Type Received]]=3,"BILL","ACH")))</f>
        <v>ACH</v>
      </c>
      <c r="F715" s="32">
        <v>115.9</v>
      </c>
      <c r="G715" s="14" t="str">
        <f>VLOOKUP(D715,Table4[],3,FALSE)</f>
        <v>1</v>
      </c>
      <c r="H715" s="15">
        <v>2865</v>
      </c>
      <c r="I715" s="15"/>
      <c r="J715" s="15"/>
      <c r="K715" s="15"/>
      <c r="L715" s="15"/>
      <c r="M715" s="15" t="s">
        <v>29</v>
      </c>
    </row>
    <row r="716" spans="1:13" x14ac:dyDescent="0.25">
      <c r="A716" s="23">
        <f t="shared" si="37"/>
        <v>258980</v>
      </c>
      <c r="B716" s="14" t="str">
        <f t="shared" si="38"/>
        <v>Direct Debit (UMB Bank) - Credits</v>
      </c>
      <c r="C716" s="38">
        <v>46158</v>
      </c>
      <c r="D716" s="34">
        <v>258980</v>
      </c>
      <c r="E716" s="36" t="str">
        <f>IF(Table3[[#This Row],[Type Received]]=2,"CC",(IF(Table3[[#This Row],[Type Received]]=3,"BILL","ACH")))</f>
        <v>ACH</v>
      </c>
      <c r="F716" s="35">
        <v>100.89</v>
      </c>
      <c r="G716" s="14" t="str">
        <f>VLOOKUP(D716,Table4[],3,FALSE)</f>
        <v>1</v>
      </c>
      <c r="H716" s="15"/>
      <c r="I716" s="15"/>
      <c r="J716" s="15" t="s">
        <v>106</v>
      </c>
      <c r="K716" s="15">
        <v>710041743</v>
      </c>
      <c r="L716" s="15" t="s">
        <v>29</v>
      </c>
      <c r="M716" s="15"/>
    </row>
    <row r="717" spans="1:13" x14ac:dyDescent="0.25">
      <c r="A717" s="23">
        <f t="shared" si="37"/>
        <v>258979</v>
      </c>
      <c r="B717" s="14" t="str">
        <f t="shared" si="38"/>
        <v>Direct Debit (UMB Bank) - Credits</v>
      </c>
      <c r="C717" s="37">
        <v>46158</v>
      </c>
      <c r="D717" s="31">
        <v>258979</v>
      </c>
      <c r="E717" s="33" t="str">
        <f>IF(Table3[[#This Row],[Type Received]]=2,"CC",(IF(Table3[[#This Row],[Type Received]]=3,"BILL","ACH")))</f>
        <v>ACH</v>
      </c>
      <c r="F717" s="32">
        <v>98.8</v>
      </c>
      <c r="G717" s="14" t="str">
        <f>VLOOKUP(D717,Table4[],3,FALSE)</f>
        <v>2</v>
      </c>
      <c r="H717" s="15"/>
      <c r="I717" s="15"/>
      <c r="J717" s="15" t="s">
        <v>106</v>
      </c>
      <c r="K717" s="15">
        <v>710051217</v>
      </c>
      <c r="L717" s="15" t="s">
        <v>29</v>
      </c>
      <c r="M717" s="15"/>
    </row>
    <row r="718" spans="1:13" x14ac:dyDescent="0.25">
      <c r="A718" s="23">
        <f t="shared" si="37"/>
        <v>258986</v>
      </c>
      <c r="B718" s="14" t="str">
        <f t="shared" si="38"/>
        <v>Direct Debit (UMB Bank) - Credits</v>
      </c>
      <c r="C718" s="38">
        <v>46167</v>
      </c>
      <c r="D718" s="34">
        <v>258986</v>
      </c>
      <c r="E718" s="36" t="str">
        <f>IF(Table3[[#This Row],[Type Received]]=2,"CC",(IF(Table3[[#This Row],[Type Received]]=3,"BILL","ACH")))</f>
        <v>ACH</v>
      </c>
      <c r="F718" s="35">
        <v>80.98</v>
      </c>
      <c r="G718" s="14" t="str">
        <f>VLOOKUP(D718,Table4[],3,FALSE)</f>
        <v>2</v>
      </c>
      <c r="H718" s="15"/>
      <c r="I718" s="15"/>
      <c r="J718" s="15" t="s">
        <v>85</v>
      </c>
      <c r="K718" s="15">
        <v>818335650</v>
      </c>
      <c r="L718" s="15" t="s">
        <v>29</v>
      </c>
      <c r="M718" s="15" t="s">
        <v>29</v>
      </c>
    </row>
    <row r="719" spans="1:13" x14ac:dyDescent="0.25">
      <c r="A719" s="23">
        <f t="shared" si="37"/>
        <v>258994</v>
      </c>
      <c r="B719" s="14" t="str">
        <f t="shared" si="38"/>
        <v>Direct Debit (UMB Bank) - Credits</v>
      </c>
      <c r="C719" s="37">
        <v>46158</v>
      </c>
      <c r="D719" s="31">
        <v>258994</v>
      </c>
      <c r="E719" s="33" t="str">
        <f>IF(Table3[[#This Row],[Type Received]]=2,"CC",(IF(Table3[[#This Row],[Type Received]]=3,"BILL","ACH")))</f>
        <v>ACH</v>
      </c>
      <c r="F719" s="32">
        <v>53.92</v>
      </c>
      <c r="G719" s="14" t="str">
        <f>VLOOKUP(D719,Table4[],3,FALSE)</f>
        <v>2</v>
      </c>
      <c r="H719" s="15"/>
      <c r="I719" s="15"/>
      <c r="J719" s="15" t="s">
        <v>106</v>
      </c>
      <c r="K719" s="15">
        <v>710027062</v>
      </c>
      <c r="L719" s="15" t="s">
        <v>29</v>
      </c>
      <c r="M719" s="15"/>
    </row>
    <row r="720" spans="1:13" x14ac:dyDescent="0.25">
      <c r="A720" s="23">
        <f t="shared" si="37"/>
        <v>258987</v>
      </c>
      <c r="B720" s="14" t="str">
        <f t="shared" si="38"/>
        <v>Direct Debit (UMB Bank) - Credits</v>
      </c>
      <c r="C720" s="38">
        <v>46167</v>
      </c>
      <c r="D720" s="34">
        <v>258987</v>
      </c>
      <c r="E720" s="36" t="str">
        <f>IF(Table3[[#This Row],[Type Received]]=2,"CC",(IF(Table3[[#This Row],[Type Received]]=3,"BILL","ACH")))</f>
        <v>ACH</v>
      </c>
      <c r="F720" s="35">
        <v>50.95</v>
      </c>
      <c r="G720" s="14" t="str">
        <f>VLOOKUP(D720,Table4[],3,FALSE)</f>
        <v>2</v>
      </c>
      <c r="H720" s="15"/>
      <c r="I720" s="15"/>
      <c r="J720" s="15" t="s">
        <v>85</v>
      </c>
      <c r="K720" s="15">
        <v>818342372</v>
      </c>
      <c r="L720" s="15" t="s">
        <v>29</v>
      </c>
      <c r="M720" s="15" t="s">
        <v>29</v>
      </c>
    </row>
    <row r="721" spans="1:13" x14ac:dyDescent="0.25">
      <c r="A721" s="23">
        <f t="shared" si="37"/>
        <v>258985</v>
      </c>
      <c r="B721" s="14" t="str">
        <f t="shared" si="38"/>
        <v>Credit Cards (UMB) - Credits</v>
      </c>
      <c r="C721" s="37">
        <v>46167</v>
      </c>
      <c r="D721" s="31">
        <v>258985</v>
      </c>
      <c r="E721" s="33" t="str">
        <f>IF(Table3[[#This Row],[Type Received]]=2,"CC",(IF(Table3[[#This Row],[Type Received]]=3,"BILL","ACH")))</f>
        <v>CC</v>
      </c>
      <c r="F721" s="32">
        <v>153.25</v>
      </c>
      <c r="G721" s="14" t="str">
        <f>VLOOKUP(D721,Table4[],3,FALSE)</f>
        <v>2</v>
      </c>
      <c r="H721" s="15"/>
      <c r="I721" s="15"/>
      <c r="J721" s="15" t="s">
        <v>85</v>
      </c>
      <c r="K721" s="15">
        <v>818325875</v>
      </c>
      <c r="L721" s="15" t="s">
        <v>29</v>
      </c>
      <c r="M721" s="15" t="s">
        <v>29</v>
      </c>
    </row>
    <row r="722" spans="1:13" x14ac:dyDescent="0.25">
      <c r="A722" s="23">
        <f t="shared" ref="A722:A750" si="39">D722</f>
        <v>258989</v>
      </c>
      <c r="B722" s="14" t="str">
        <f t="shared" si="38"/>
        <v>Direct Debit (UMB Bank) - Credits</v>
      </c>
      <c r="C722" s="38">
        <v>46148</v>
      </c>
      <c r="D722" s="34">
        <v>258989</v>
      </c>
      <c r="E722" s="36" t="str">
        <f>IF(Table3[[#This Row],[Type Received]]=2,"CC",(IF(Table3[[#This Row],[Type Received]]=3,"BILL","ACH")))</f>
        <v>ACH</v>
      </c>
      <c r="F722" s="35">
        <v>119.26</v>
      </c>
      <c r="G722" s="14" t="str">
        <f>VLOOKUP(D722,Table4[],3,FALSE)</f>
        <v>2</v>
      </c>
      <c r="H722" s="15"/>
      <c r="I722" s="15" t="s">
        <v>144</v>
      </c>
      <c r="J722" s="15" t="s">
        <v>28</v>
      </c>
      <c r="K722" s="15">
        <v>582136533</v>
      </c>
      <c r="L722" s="15" t="s">
        <v>29</v>
      </c>
      <c r="M722" s="15" t="s">
        <v>29</v>
      </c>
    </row>
    <row r="723" spans="1:13" x14ac:dyDescent="0.25">
      <c r="A723" s="23">
        <f t="shared" si="39"/>
        <v>259011</v>
      </c>
      <c r="B723" s="14" t="str">
        <f t="shared" si="38"/>
        <v>Direct Debit (UMB Bank) - Credits</v>
      </c>
      <c r="C723" s="37">
        <v>46167</v>
      </c>
      <c r="D723" s="31">
        <v>259011</v>
      </c>
      <c r="E723" s="33" t="str">
        <f>IF(Table3[[#This Row],[Type Received]]=2,"CC",(IF(Table3[[#This Row],[Type Received]]=3,"BILL","ACH")))</f>
        <v>ACH</v>
      </c>
      <c r="F723" s="32">
        <v>126.19</v>
      </c>
      <c r="G723" s="14" t="str">
        <f>VLOOKUP(D723,Table4[],3,FALSE)</f>
        <v>2</v>
      </c>
      <c r="H723" s="15"/>
      <c r="I723" s="15"/>
      <c r="J723" s="15" t="s">
        <v>85</v>
      </c>
      <c r="K723" s="15">
        <v>818331752</v>
      </c>
      <c r="L723" s="15" t="s">
        <v>29</v>
      </c>
      <c r="M723" s="15" t="s">
        <v>29</v>
      </c>
    </row>
    <row r="724" spans="1:13" x14ac:dyDescent="0.25">
      <c r="A724" s="23">
        <f t="shared" si="39"/>
        <v>259007</v>
      </c>
      <c r="B724" s="14" t="str">
        <f t="shared" si="38"/>
        <v>Direct Debit (UMB Bank) - Credits</v>
      </c>
      <c r="C724" s="38">
        <v>46158</v>
      </c>
      <c r="D724" s="34">
        <v>259007</v>
      </c>
      <c r="E724" s="36" t="str">
        <f>IF(Table3[[#This Row],[Type Received]]=2,"CC",(IF(Table3[[#This Row],[Type Received]]=3,"BILL","ACH")))</f>
        <v>ACH</v>
      </c>
      <c r="F724" s="35">
        <v>148.63</v>
      </c>
      <c r="G724" s="14" t="str">
        <f>VLOOKUP(D724,Table4[],3,FALSE)</f>
        <v>2</v>
      </c>
      <c r="H724" s="15"/>
      <c r="I724" s="15"/>
      <c r="J724" s="15" t="s">
        <v>106</v>
      </c>
      <c r="K724" s="15">
        <v>710035822</v>
      </c>
      <c r="L724" s="15" t="s">
        <v>29</v>
      </c>
      <c r="M724" s="15"/>
    </row>
    <row r="725" spans="1:13" x14ac:dyDescent="0.25">
      <c r="A725" s="23">
        <f t="shared" si="39"/>
        <v>259008</v>
      </c>
      <c r="B725" s="14" t="str">
        <f t="shared" si="38"/>
        <v>Credit Cards (UMB) - Credits</v>
      </c>
      <c r="C725" s="37">
        <v>46167</v>
      </c>
      <c r="D725" s="31">
        <v>259008</v>
      </c>
      <c r="E725" s="33" t="str">
        <f>IF(Table3[[#This Row],[Type Received]]=2,"CC",(IF(Table3[[#This Row],[Type Received]]=3,"BILL","ACH")))</f>
        <v>CC</v>
      </c>
      <c r="F725" s="32">
        <v>174.04</v>
      </c>
      <c r="G725" s="14" t="str">
        <f>VLOOKUP(D725,Table4[],3,FALSE)</f>
        <v>2</v>
      </c>
      <c r="H725" s="15"/>
      <c r="I725" s="15"/>
      <c r="J725" s="15" t="s">
        <v>85</v>
      </c>
      <c r="K725" s="15">
        <v>818337498</v>
      </c>
      <c r="L725" s="15" t="s">
        <v>29</v>
      </c>
      <c r="M725" s="15" t="s">
        <v>29</v>
      </c>
    </row>
    <row r="726" spans="1:13" x14ac:dyDescent="0.25">
      <c r="A726" s="23">
        <f t="shared" si="39"/>
        <v>259013</v>
      </c>
      <c r="B726" s="14" t="str">
        <f t="shared" si="38"/>
        <v>Credit Cards (UMB) - Credits</v>
      </c>
      <c r="C726" s="38">
        <v>46155</v>
      </c>
      <c r="D726" s="34">
        <v>259013</v>
      </c>
      <c r="E726" s="36" t="str">
        <f>IF(Table3[[#This Row],[Type Received]]=2,"CC",(IF(Table3[[#This Row],[Type Received]]=3,"BILL","ACH")))</f>
        <v>CC</v>
      </c>
      <c r="F726" s="35">
        <v>99.35</v>
      </c>
      <c r="G726" s="14" t="str">
        <f>VLOOKUP(D726,Table4[],3,FALSE)</f>
        <v>1</v>
      </c>
      <c r="H726" s="15"/>
      <c r="I726" s="15" t="s">
        <v>145</v>
      </c>
      <c r="J726" s="15" t="s">
        <v>28</v>
      </c>
      <c r="K726" s="15">
        <v>669452604</v>
      </c>
      <c r="L726" s="15" t="s">
        <v>29</v>
      </c>
      <c r="M726" s="15" t="s">
        <v>29</v>
      </c>
    </row>
    <row r="727" spans="1:13" x14ac:dyDescent="0.25">
      <c r="A727" s="23">
        <f t="shared" si="39"/>
        <v>259015</v>
      </c>
      <c r="B727" s="14" t="str">
        <f t="shared" si="38"/>
        <v>Direct Debit (UMB Bank) - Credits</v>
      </c>
      <c r="C727" s="37">
        <v>46143</v>
      </c>
      <c r="D727" s="31">
        <v>259015</v>
      </c>
      <c r="E727" s="33" t="str">
        <f>IF(Table3[[#This Row],[Type Received]]=2,"CC",(IF(Table3[[#This Row],[Type Received]]=3,"BILL","ACH")))</f>
        <v>ACH</v>
      </c>
      <c r="F727" s="32">
        <v>93.21</v>
      </c>
      <c r="G727" s="14" t="str">
        <f>VLOOKUP(D727,Table4[],3,FALSE)</f>
        <v>1</v>
      </c>
      <c r="H727" s="15"/>
      <c r="I727" s="15">
        <v>416475</v>
      </c>
      <c r="J727" s="15">
        <v>741374152</v>
      </c>
      <c r="K727" s="15">
        <v>353178471</v>
      </c>
      <c r="L727" s="15"/>
      <c r="M727" s="15" t="s">
        <v>29</v>
      </c>
    </row>
    <row r="728" spans="1:13" x14ac:dyDescent="0.25">
      <c r="A728" s="23">
        <f t="shared" si="39"/>
        <v>259006</v>
      </c>
      <c r="B728" s="14" t="str">
        <f t="shared" si="38"/>
        <v>Direct Debit (UMB Bank) - Credits</v>
      </c>
      <c r="C728" s="38">
        <v>46143</v>
      </c>
      <c r="D728" s="34">
        <v>259006</v>
      </c>
      <c r="E728" s="36" t="str">
        <f>IF(Table3[[#This Row],[Type Received]]=2,"CC",(IF(Table3[[#This Row],[Type Received]]=3,"BILL","ACH")))</f>
        <v>ACH</v>
      </c>
      <c r="F728" s="35">
        <v>53.92</v>
      </c>
      <c r="G728" s="14" t="str">
        <f>VLOOKUP(D728,Table4[],3,FALSE)</f>
        <v>2</v>
      </c>
      <c r="H728" s="15"/>
      <c r="I728" s="15"/>
      <c r="J728" s="24" t="s">
        <v>84</v>
      </c>
      <c r="K728" s="15">
        <v>522241288</v>
      </c>
      <c r="L728" s="15" t="s">
        <v>29</v>
      </c>
      <c r="M728" s="15" t="s">
        <v>29</v>
      </c>
    </row>
    <row r="729" spans="1:13" x14ac:dyDescent="0.25">
      <c r="A729" s="23">
        <f t="shared" si="39"/>
        <v>259009</v>
      </c>
      <c r="B729" s="14" t="str">
        <f t="shared" si="38"/>
        <v>Direct Debit (UMB Bank) - Credits</v>
      </c>
      <c r="C729" s="37">
        <v>46167</v>
      </c>
      <c r="D729" s="31">
        <v>259009</v>
      </c>
      <c r="E729" s="33" t="str">
        <f>IF(Table3[[#This Row],[Type Received]]=2,"CC",(IF(Table3[[#This Row],[Type Received]]=3,"BILL","ACH")))</f>
        <v>ACH</v>
      </c>
      <c r="F729" s="32">
        <v>50.95</v>
      </c>
      <c r="G729" s="14" t="str">
        <f>VLOOKUP(D729,Table4[],3,FALSE)</f>
        <v>2</v>
      </c>
      <c r="H729" s="15"/>
      <c r="I729" s="15"/>
      <c r="J729" s="15" t="s">
        <v>85</v>
      </c>
      <c r="K729" s="15">
        <v>818338499</v>
      </c>
      <c r="L729" s="15" t="s">
        <v>29</v>
      </c>
      <c r="M729" s="15"/>
    </row>
    <row r="730" spans="1:13" x14ac:dyDescent="0.25">
      <c r="A730" s="23">
        <f t="shared" si="39"/>
        <v>259022</v>
      </c>
      <c r="B730" s="14" t="str">
        <f t="shared" si="38"/>
        <v>Credit Cards (UMB) - Credits</v>
      </c>
      <c r="C730" s="38">
        <v>46157</v>
      </c>
      <c r="D730" s="34">
        <v>259022</v>
      </c>
      <c r="E730" s="36" t="str">
        <f>IF(Table3[[#This Row],[Type Received]]=2,"CC",(IF(Table3[[#This Row],[Type Received]]=3,"BILL","ACH")))</f>
        <v>CC</v>
      </c>
      <c r="F730" s="35">
        <v>120.47</v>
      </c>
      <c r="G730" s="14" t="str">
        <f>VLOOKUP(D730,Table4[],3,FALSE)</f>
        <v>1</v>
      </c>
      <c r="H730" s="15"/>
      <c r="I730" s="15"/>
      <c r="J730" s="15" t="s">
        <v>87</v>
      </c>
      <c r="K730" s="15">
        <v>696656577</v>
      </c>
      <c r="L730" s="15" t="s">
        <v>29</v>
      </c>
      <c r="M730" s="15"/>
    </row>
    <row r="731" spans="1:13" x14ac:dyDescent="0.25">
      <c r="A731" s="23">
        <f t="shared" si="39"/>
        <v>259028</v>
      </c>
      <c r="B731" s="14" t="str">
        <f t="shared" si="38"/>
        <v>Credit Cards (UMB) - Credits</v>
      </c>
      <c r="C731" s="37">
        <v>46155</v>
      </c>
      <c r="D731" s="31">
        <v>259028</v>
      </c>
      <c r="E731" s="33" t="str">
        <f>IF(Table3[[#This Row],[Type Received]]=2,"CC",(IF(Table3[[#This Row],[Type Received]]=3,"BILL","ACH")))</f>
        <v>CC</v>
      </c>
      <c r="F731" s="32">
        <v>72.400000000000006</v>
      </c>
      <c r="G731" s="14" t="str">
        <f>VLOOKUP(D731,Table4[],3,FALSE)</f>
        <v>2</v>
      </c>
      <c r="H731" s="15"/>
      <c r="I731" s="15" t="s">
        <v>146</v>
      </c>
      <c r="J731" s="15" t="s">
        <v>28</v>
      </c>
      <c r="K731" s="15">
        <v>669464377</v>
      </c>
      <c r="L731" s="15" t="s">
        <v>29</v>
      </c>
      <c r="M731" s="15" t="s">
        <v>29</v>
      </c>
    </row>
    <row r="732" spans="1:13" x14ac:dyDescent="0.25">
      <c r="A732" s="23">
        <f t="shared" si="39"/>
        <v>259029</v>
      </c>
      <c r="B732" s="14" t="str">
        <f t="shared" si="38"/>
        <v>Credit Cards (UMB) - Credits</v>
      </c>
      <c r="C732" s="38">
        <v>46155</v>
      </c>
      <c r="D732" s="34">
        <v>259029</v>
      </c>
      <c r="E732" s="36" t="str">
        <f>IF(Table3[[#This Row],[Type Received]]=2,"CC",(IF(Table3[[#This Row],[Type Received]]=3,"BILL","ACH")))</f>
        <v>CC</v>
      </c>
      <c r="F732" s="35">
        <v>70.75</v>
      </c>
      <c r="G732" s="14" t="str">
        <f>VLOOKUP(D732,Table4[],3,FALSE)</f>
        <v>2</v>
      </c>
      <c r="H732" s="15"/>
      <c r="I732" s="15" t="s">
        <v>147</v>
      </c>
      <c r="J732" s="15" t="s">
        <v>28</v>
      </c>
      <c r="K732" s="15">
        <v>669464372</v>
      </c>
      <c r="L732" s="15" t="s">
        <v>29</v>
      </c>
      <c r="M732" s="15" t="s">
        <v>29</v>
      </c>
    </row>
    <row r="733" spans="1:13" x14ac:dyDescent="0.25">
      <c r="A733" s="23">
        <f t="shared" si="39"/>
        <v>259035</v>
      </c>
      <c r="B733" s="14" t="str">
        <f t="shared" si="38"/>
        <v>Credit Cards (UMB) - Credits</v>
      </c>
      <c r="C733" s="37">
        <v>46155</v>
      </c>
      <c r="D733" s="31">
        <v>259035</v>
      </c>
      <c r="E733" s="33" t="str">
        <f>IF(Table3[[#This Row],[Type Received]]=2,"CC",(IF(Table3[[#This Row],[Type Received]]=3,"BILL","ACH")))</f>
        <v>CC</v>
      </c>
      <c r="F733" s="32">
        <v>96.49</v>
      </c>
      <c r="G733" s="14" t="str">
        <f>VLOOKUP(D733,Table4[],3,FALSE)</f>
        <v>1</v>
      </c>
      <c r="H733" s="15"/>
      <c r="I733" s="15">
        <v>903110</v>
      </c>
      <c r="J733" s="15" t="s">
        <v>28</v>
      </c>
      <c r="K733" s="15">
        <v>669456526</v>
      </c>
      <c r="L733" s="15" t="s">
        <v>29</v>
      </c>
      <c r="M733" s="15"/>
    </row>
    <row r="734" spans="1:13" x14ac:dyDescent="0.25">
      <c r="A734" s="23">
        <f t="shared" si="39"/>
        <v>259042</v>
      </c>
      <c r="B734" s="14" t="str">
        <f t="shared" si="38"/>
        <v>Direct Debit (UMB Bank) - Credits</v>
      </c>
      <c r="C734" s="38">
        <v>46146</v>
      </c>
      <c r="D734" s="34">
        <v>259042</v>
      </c>
      <c r="E734" s="36" t="str">
        <f>IF(Table3[[#This Row],[Type Received]]=2,"CC",(IF(Table3[[#This Row],[Type Received]]=3,"BILL","ACH")))</f>
        <v>ACH</v>
      </c>
      <c r="F734" s="35">
        <v>40.630000000000003</v>
      </c>
      <c r="G734" s="14" t="str">
        <f>VLOOKUP(D734,Table4[],3,FALSE)</f>
        <v>1</v>
      </c>
      <c r="H734" s="15"/>
      <c r="I734" s="15">
        <v>3176</v>
      </c>
      <c r="J734" s="24" t="s">
        <v>28</v>
      </c>
      <c r="K734" s="15">
        <v>556765072</v>
      </c>
      <c r="L734" s="15" t="s">
        <v>29</v>
      </c>
      <c r="M734" s="15"/>
    </row>
    <row r="735" spans="1:13" x14ac:dyDescent="0.25">
      <c r="A735" s="23">
        <f t="shared" si="39"/>
        <v>259045</v>
      </c>
      <c r="B735" s="14" t="str">
        <f t="shared" si="38"/>
        <v>Credit Cards (UMB) - Credits</v>
      </c>
      <c r="C735" s="37">
        <v>46167</v>
      </c>
      <c r="D735" s="31">
        <v>259045</v>
      </c>
      <c r="E735" s="33" t="str">
        <f>IF(Table3[[#This Row],[Type Received]]=2,"CC",(IF(Table3[[#This Row],[Type Received]]=3,"BILL","ACH")))</f>
        <v>CC</v>
      </c>
      <c r="F735" s="32">
        <v>50.29</v>
      </c>
      <c r="G735" s="14" t="str">
        <f>VLOOKUP(D735,Table4[],3,FALSE)</f>
        <v>1</v>
      </c>
      <c r="H735" s="15"/>
      <c r="I735" s="15"/>
      <c r="J735" s="15" t="s">
        <v>85</v>
      </c>
      <c r="K735" s="15">
        <v>818336612</v>
      </c>
      <c r="L735" s="15" t="s">
        <v>29</v>
      </c>
      <c r="M735" s="15" t="s">
        <v>29</v>
      </c>
    </row>
    <row r="736" spans="1:13" x14ac:dyDescent="0.25">
      <c r="A736" s="23">
        <f t="shared" si="39"/>
        <v>259047</v>
      </c>
      <c r="B736" s="14" t="str">
        <f t="shared" si="38"/>
        <v>Direct Debit (UMB Bank) - Credits</v>
      </c>
      <c r="C736" s="38">
        <v>46170</v>
      </c>
      <c r="D736" s="34">
        <v>259047</v>
      </c>
      <c r="E736" s="36" t="str">
        <f>IF(Table3[[#This Row],[Type Received]]=2,"CC",(IF(Table3[[#This Row],[Type Received]]=3,"BILL","ACH")))</f>
        <v>ACH</v>
      </c>
      <c r="F736" s="35">
        <v>165.92</v>
      </c>
      <c r="G736" s="14" t="str">
        <f>VLOOKUP(D736,Table4[],3,FALSE)</f>
        <v>2</v>
      </c>
      <c r="H736" s="15"/>
      <c r="I736" s="15">
        <v>743161</v>
      </c>
      <c r="J736" s="15" t="s">
        <v>28</v>
      </c>
      <c r="K736" s="15">
        <v>856737770</v>
      </c>
      <c r="L736" s="15" t="s">
        <v>29</v>
      </c>
      <c r="M736" s="15"/>
    </row>
    <row r="737" spans="1:13" x14ac:dyDescent="0.25">
      <c r="A737" s="23">
        <f t="shared" si="39"/>
        <v>259046</v>
      </c>
      <c r="B737" s="14" t="str">
        <f t="shared" si="38"/>
        <v>Credit Cards (UMB) - Credits</v>
      </c>
      <c r="C737" s="37">
        <v>46167</v>
      </c>
      <c r="D737" s="31">
        <v>259046</v>
      </c>
      <c r="E737" s="33" t="str">
        <f>IF(Table3[[#This Row],[Type Received]]=2,"CC",(IF(Table3[[#This Row],[Type Received]]=3,"BILL","ACH")))</f>
        <v>CC</v>
      </c>
      <c r="F737" s="32">
        <v>49.3</v>
      </c>
      <c r="G737" s="14" t="str">
        <f>VLOOKUP(D737,Table4[],3,FALSE)</f>
        <v>2</v>
      </c>
      <c r="H737" s="15"/>
      <c r="I737" s="15"/>
      <c r="J737" s="24" t="s">
        <v>85</v>
      </c>
      <c r="K737" s="15">
        <v>818334721</v>
      </c>
      <c r="L737" s="15" t="s">
        <v>29</v>
      </c>
      <c r="M737" s="15" t="s">
        <v>29</v>
      </c>
    </row>
    <row r="738" spans="1:13" x14ac:dyDescent="0.25">
      <c r="A738" s="23">
        <f t="shared" si="39"/>
        <v>259048</v>
      </c>
      <c r="B738" s="14" t="str">
        <f t="shared" si="38"/>
        <v>Credit Cards (UMB) - Credits</v>
      </c>
      <c r="C738" s="38">
        <v>46143</v>
      </c>
      <c r="D738" s="34">
        <v>259048</v>
      </c>
      <c r="E738" s="36" t="str">
        <f>IF(Table3[[#This Row],[Type Received]]=2,"CC",(IF(Table3[[#This Row],[Type Received]]=3,"BILL","ACH")))</f>
        <v>CC</v>
      </c>
      <c r="F738" s="35">
        <v>72.95</v>
      </c>
      <c r="G738" s="14" t="str">
        <f>VLOOKUP(D738,Table4[],3,FALSE)</f>
        <v>1</v>
      </c>
      <c r="H738" s="15"/>
      <c r="I738" s="15">
        <v>1644</v>
      </c>
      <c r="J738" s="15" t="s">
        <v>28</v>
      </c>
      <c r="K738" s="15">
        <v>522275596</v>
      </c>
      <c r="L738" s="15" t="s">
        <v>29</v>
      </c>
      <c r="M738" s="15" t="s">
        <v>29</v>
      </c>
    </row>
    <row r="739" spans="1:13" x14ac:dyDescent="0.25">
      <c r="A739" s="23">
        <f t="shared" si="39"/>
        <v>259050</v>
      </c>
      <c r="B739" s="14" t="str">
        <f t="shared" si="38"/>
        <v>Direct Debit (UMB Bank) - Credits</v>
      </c>
      <c r="C739" s="37">
        <v>46155</v>
      </c>
      <c r="D739" s="31">
        <v>259050</v>
      </c>
      <c r="E739" s="33" t="str">
        <f>IF(Table3[[#This Row],[Type Received]]=2,"CC",(IF(Table3[[#This Row],[Type Received]]=3,"BILL","ACH")))</f>
        <v>ACH</v>
      </c>
      <c r="F739" s="32">
        <v>110.35</v>
      </c>
      <c r="G739" s="14" t="str">
        <f>VLOOKUP(D739,Table4[],3,FALSE)</f>
        <v>1</v>
      </c>
      <c r="H739" s="15"/>
      <c r="I739" s="15">
        <v>82155</v>
      </c>
      <c r="J739" s="15" t="s">
        <v>28</v>
      </c>
      <c r="K739" s="15">
        <v>669444090</v>
      </c>
      <c r="L739" s="15" t="s">
        <v>29</v>
      </c>
      <c r="M739" s="15" t="s">
        <v>29</v>
      </c>
    </row>
    <row r="740" spans="1:13" x14ac:dyDescent="0.25">
      <c r="A740" s="23">
        <f t="shared" si="39"/>
        <v>259051</v>
      </c>
      <c r="B740" s="14" t="str">
        <f t="shared" si="38"/>
        <v>Direct Debit (UMB Bank) - Credits</v>
      </c>
      <c r="C740" s="38">
        <v>46143</v>
      </c>
      <c r="D740" s="34">
        <v>259051</v>
      </c>
      <c r="E740" s="36" t="str">
        <f>IF(Table3[[#This Row],[Type Received]]=2,"CC",(IF(Table3[[#This Row],[Type Received]]=3,"BILL","ACH")))</f>
        <v>ACH</v>
      </c>
      <c r="F740" s="35">
        <v>149.94999999999999</v>
      </c>
      <c r="G740" s="14" t="str">
        <f>VLOOKUP(D740,Table4[],3,FALSE)</f>
        <v>2</v>
      </c>
      <c r="H740" s="15"/>
      <c r="I740" s="15"/>
      <c r="J740" s="15" t="s">
        <v>84</v>
      </c>
      <c r="K740" s="15">
        <v>522241337</v>
      </c>
      <c r="L740" s="15" t="s">
        <v>29</v>
      </c>
      <c r="M740" s="15" t="s">
        <v>29</v>
      </c>
    </row>
    <row r="741" spans="1:13" x14ac:dyDescent="0.25">
      <c r="A741" s="23">
        <f t="shared" si="39"/>
        <v>259054</v>
      </c>
      <c r="B741" s="14" t="str">
        <f t="shared" si="38"/>
        <v>Credit Cards (UMB) - Credits</v>
      </c>
      <c r="C741" s="37">
        <v>46157</v>
      </c>
      <c r="D741" s="31">
        <v>259054</v>
      </c>
      <c r="E741" s="33" t="str">
        <f>IF(Table3[[#This Row],[Type Received]]=2,"CC",(IF(Table3[[#This Row],[Type Received]]=3,"BILL","ACH")))</f>
        <v>CC</v>
      </c>
      <c r="F741" s="32">
        <v>181.96</v>
      </c>
      <c r="G741" s="14" t="str">
        <f>VLOOKUP(D741,Table4[],3,FALSE)</f>
        <v>2</v>
      </c>
      <c r="H741" s="15"/>
      <c r="I741" s="15"/>
      <c r="J741" s="15" t="s">
        <v>87</v>
      </c>
      <c r="K741" s="15">
        <v>696657472</v>
      </c>
      <c r="L741" s="15" t="s">
        <v>29</v>
      </c>
      <c r="M741" s="15" t="s">
        <v>29</v>
      </c>
    </row>
    <row r="742" spans="1:13" x14ac:dyDescent="0.25">
      <c r="A742" s="23">
        <f t="shared" si="39"/>
        <v>259068</v>
      </c>
      <c r="B742" s="14" t="str">
        <f t="shared" si="38"/>
        <v>Direct Debit (UMB Bank) - Credits</v>
      </c>
      <c r="C742" s="38">
        <v>46143</v>
      </c>
      <c r="D742" s="34">
        <v>259068</v>
      </c>
      <c r="E742" s="36" t="str">
        <f>IF(Table3[[#This Row],[Type Received]]=2,"CC",(IF(Table3[[#This Row],[Type Received]]=3,"BILL","ACH")))</f>
        <v>ACH</v>
      </c>
      <c r="F742" s="35">
        <v>54.93</v>
      </c>
      <c r="G742" s="14" t="str">
        <f>VLOOKUP(D742,Table4[],3,FALSE)</f>
        <v>2</v>
      </c>
      <c r="H742" s="15"/>
      <c r="I742" s="15">
        <v>12346</v>
      </c>
      <c r="J742" s="15">
        <v>741374152</v>
      </c>
      <c r="K742" s="15">
        <v>353115372</v>
      </c>
      <c r="L742" s="15"/>
      <c r="M742" s="15"/>
    </row>
    <row r="743" spans="1:13" x14ac:dyDescent="0.25">
      <c r="A743" s="23">
        <f t="shared" si="39"/>
        <v>259061</v>
      </c>
      <c r="B743" s="14" t="str">
        <f t="shared" si="38"/>
        <v>Direct Debit (UMB Bank) - Credits</v>
      </c>
      <c r="C743" s="37">
        <v>46157</v>
      </c>
      <c r="D743" s="31">
        <v>259061</v>
      </c>
      <c r="E743" s="33" t="str">
        <f>IF(Table3[[#This Row],[Type Received]]=2,"CC",(IF(Table3[[#This Row],[Type Received]]=3,"BILL","ACH")))</f>
        <v>ACH</v>
      </c>
      <c r="F743" s="32">
        <v>78.67</v>
      </c>
      <c r="G743" s="14" t="str">
        <f>VLOOKUP(D743,Table4[],3,FALSE)</f>
        <v>1</v>
      </c>
      <c r="H743" s="15"/>
      <c r="I743" s="15"/>
      <c r="J743" s="15" t="s">
        <v>87</v>
      </c>
      <c r="K743" s="15">
        <v>696643927</v>
      </c>
      <c r="L743" s="15" t="s">
        <v>29</v>
      </c>
      <c r="M743" s="15" t="s">
        <v>29</v>
      </c>
    </row>
    <row r="744" spans="1:13" x14ac:dyDescent="0.25">
      <c r="A744" s="23">
        <f t="shared" si="39"/>
        <v>259063</v>
      </c>
      <c r="B744" s="14" t="str">
        <f t="shared" si="38"/>
        <v>Direct Debit (UMB Bank) - Credits</v>
      </c>
      <c r="C744" s="38">
        <v>46143</v>
      </c>
      <c r="D744" s="34">
        <v>259063</v>
      </c>
      <c r="E744" s="36" t="str">
        <f>IF(Table3[[#This Row],[Type Received]]=2,"CC",(IF(Table3[[#This Row],[Type Received]]=3,"BILL","ACH")))</f>
        <v>ACH</v>
      </c>
      <c r="F744" s="35">
        <v>47.65</v>
      </c>
      <c r="G744" s="14" t="str">
        <f>VLOOKUP(D744,Table4[],3,FALSE)</f>
        <v>2</v>
      </c>
      <c r="H744" s="15"/>
      <c r="I744" s="15"/>
      <c r="J744" s="15" t="s">
        <v>84</v>
      </c>
      <c r="K744" s="15">
        <v>522242354</v>
      </c>
      <c r="L744" s="15" t="s">
        <v>29</v>
      </c>
      <c r="M744" s="15" t="s">
        <v>29</v>
      </c>
    </row>
    <row r="745" spans="1:13" x14ac:dyDescent="0.25">
      <c r="A745" s="23">
        <f t="shared" si="39"/>
        <v>259065</v>
      </c>
      <c r="B745" s="14" t="str">
        <f t="shared" si="38"/>
        <v>Direct Debit (UMB Bank) - Credits</v>
      </c>
      <c r="C745" s="37">
        <v>46144</v>
      </c>
      <c r="D745" s="31">
        <v>259065</v>
      </c>
      <c r="E745" s="33" t="str">
        <f>IF(Table3[[#This Row],[Type Received]]=2,"CC",(IF(Table3[[#This Row],[Type Received]]=3,"BILL","ACH")))</f>
        <v>ACH</v>
      </c>
      <c r="F745" s="32">
        <v>52.93</v>
      </c>
      <c r="G745" s="14" t="str">
        <f>VLOOKUP(D745,Table4[],3,FALSE)</f>
        <v>1</v>
      </c>
      <c r="H745" s="15"/>
      <c r="I745" s="15"/>
      <c r="J745" s="15" t="s">
        <v>89</v>
      </c>
      <c r="K745" s="15">
        <v>535375665</v>
      </c>
      <c r="L745" s="15" t="s">
        <v>29</v>
      </c>
      <c r="M745" s="15" t="s">
        <v>29</v>
      </c>
    </row>
    <row r="746" spans="1:13" x14ac:dyDescent="0.25">
      <c r="A746" s="23">
        <f t="shared" si="39"/>
        <v>259084</v>
      </c>
      <c r="B746" s="14" t="str">
        <f t="shared" si="38"/>
        <v>Direct Debit (UMB Bank) - Credits</v>
      </c>
      <c r="C746" s="38">
        <v>46157</v>
      </c>
      <c r="D746" s="34">
        <v>259084</v>
      </c>
      <c r="E746" s="36" t="str">
        <f>IF(Table3[[#This Row],[Type Received]]=2,"CC",(IF(Table3[[#This Row],[Type Received]]=3,"BILL","ACH")))</f>
        <v>ACH</v>
      </c>
      <c r="F746" s="35">
        <v>123.55</v>
      </c>
      <c r="G746" s="14" t="str">
        <f>VLOOKUP(D746,Table4[],3,FALSE)</f>
        <v>2</v>
      </c>
      <c r="H746" s="15"/>
      <c r="I746" s="15"/>
      <c r="J746" s="15" t="s">
        <v>87</v>
      </c>
      <c r="K746" s="15">
        <v>696665343</v>
      </c>
      <c r="L746" s="15" t="s">
        <v>29</v>
      </c>
      <c r="M746" s="15" t="s">
        <v>29</v>
      </c>
    </row>
    <row r="747" spans="1:13" x14ac:dyDescent="0.25">
      <c r="A747" s="23">
        <f t="shared" si="39"/>
        <v>259081</v>
      </c>
      <c r="B747" s="14" t="str">
        <f t="shared" si="38"/>
        <v>Direct Debit (UMB Bank) - Credits</v>
      </c>
      <c r="C747" s="37">
        <v>46143</v>
      </c>
      <c r="D747" s="31">
        <v>259081</v>
      </c>
      <c r="E747" s="33" t="str">
        <f>IF(Table3[[#This Row],[Type Received]]=2,"CC",(IF(Table3[[#This Row],[Type Received]]=3,"BILL","ACH")))</f>
        <v>ACH</v>
      </c>
      <c r="F747" s="32">
        <v>49.96</v>
      </c>
      <c r="G747" s="14" t="str">
        <f>VLOOKUP(D747,Table4[],3,FALSE)</f>
        <v>2</v>
      </c>
      <c r="H747" s="15"/>
      <c r="I747" s="15"/>
      <c r="J747" s="15" t="s">
        <v>84</v>
      </c>
      <c r="K747" s="15">
        <v>522238592</v>
      </c>
      <c r="L747" s="15" t="s">
        <v>29</v>
      </c>
      <c r="M747" s="15" t="s">
        <v>29</v>
      </c>
    </row>
    <row r="748" spans="1:13" x14ac:dyDescent="0.25">
      <c r="A748" s="23">
        <f t="shared" si="39"/>
        <v>259105</v>
      </c>
      <c r="B748" s="14" t="str">
        <f t="shared" si="38"/>
        <v>Direct Debit (UMB Bank) - Credits</v>
      </c>
      <c r="C748" s="38">
        <v>46143</v>
      </c>
      <c r="D748" s="34">
        <v>259105</v>
      </c>
      <c r="E748" s="36" t="str">
        <f>IF(Table3[[#This Row],[Type Received]]=2,"CC",(IF(Table3[[#This Row],[Type Received]]=3,"BILL","ACH")))</f>
        <v>ACH</v>
      </c>
      <c r="F748" s="35">
        <v>39.950000000000003</v>
      </c>
      <c r="G748" s="14" t="str">
        <f>VLOOKUP(D748,Table4[],3,FALSE)</f>
        <v>1</v>
      </c>
      <c r="H748" s="15"/>
      <c r="I748" s="15"/>
      <c r="J748" s="15" t="s">
        <v>84</v>
      </c>
      <c r="K748" s="15">
        <v>522227021</v>
      </c>
      <c r="L748" s="15" t="s">
        <v>29</v>
      </c>
      <c r="M748" s="15" t="s">
        <v>29</v>
      </c>
    </row>
    <row r="749" spans="1:13" x14ac:dyDescent="0.25">
      <c r="A749" s="23">
        <f t="shared" si="39"/>
        <v>259100</v>
      </c>
      <c r="B749" s="14" t="str">
        <f t="shared" si="38"/>
        <v>Direct Debit (UMB Bank) - Credits</v>
      </c>
      <c r="C749" s="37">
        <v>46169</v>
      </c>
      <c r="D749" s="31">
        <v>259100</v>
      </c>
      <c r="E749" s="33" t="str">
        <f>IF(Table3[[#This Row],[Type Received]]=2,"CC",(IF(Table3[[#This Row],[Type Received]]=3,"BILL","ACH")))</f>
        <v>ACH</v>
      </c>
      <c r="F749" s="32">
        <v>103.75</v>
      </c>
      <c r="G749" s="14" t="str">
        <f>VLOOKUP(D749,Table4[],3,FALSE)</f>
        <v>2</v>
      </c>
      <c r="H749" s="15"/>
      <c r="I749" s="15"/>
      <c r="J749" s="15" t="s">
        <v>117</v>
      </c>
      <c r="K749" s="15">
        <v>840824885</v>
      </c>
      <c r="L749" s="15" t="s">
        <v>29</v>
      </c>
      <c r="M749" s="15" t="s">
        <v>29</v>
      </c>
    </row>
    <row r="750" spans="1:13" x14ac:dyDescent="0.25">
      <c r="A750" s="23">
        <f t="shared" si="39"/>
        <v>259107</v>
      </c>
      <c r="B750" s="14" t="str">
        <f t="shared" si="38"/>
        <v>Direct Debit (UMB Bank) - Credits</v>
      </c>
      <c r="C750" s="38">
        <v>46157</v>
      </c>
      <c r="D750" s="34">
        <v>259107</v>
      </c>
      <c r="E750" s="36" t="str">
        <f>IF(Table3[[#This Row],[Type Received]]=2,"CC",(IF(Table3[[#This Row],[Type Received]]=3,"BILL","ACH")))</f>
        <v>ACH</v>
      </c>
      <c r="F750" s="35">
        <v>58.43</v>
      </c>
      <c r="G750" s="14" t="str">
        <f>VLOOKUP(D750,Table4[],3,FALSE)</f>
        <v>1</v>
      </c>
      <c r="H750" s="15"/>
      <c r="I750" s="15"/>
      <c r="J750" s="15" t="s">
        <v>87</v>
      </c>
      <c r="K750" s="15">
        <v>696656651</v>
      </c>
      <c r="L750" s="15" t="s">
        <v>29</v>
      </c>
      <c r="M750" s="15" t="s">
        <v>29</v>
      </c>
    </row>
    <row r="751" spans="1:13" x14ac:dyDescent="0.25">
      <c r="A751" s="23"/>
      <c r="B751" s="14" t="str">
        <f t="shared" si="38"/>
        <v>Direct Debit (UMB Bank) - Credits</v>
      </c>
      <c r="C751" s="37">
        <v>46167</v>
      </c>
      <c r="D751" s="31">
        <v>259104</v>
      </c>
      <c r="E751" s="33" t="str">
        <f>IF(Table3[[#This Row],[Type Received]]=2,"CC",(IF(Table3[[#This Row],[Type Received]]=3,"BILL","ACH")))</f>
        <v>ACH</v>
      </c>
      <c r="F751" s="32">
        <v>57.33</v>
      </c>
      <c r="G751" s="14" t="str">
        <f>VLOOKUP(D751,Table4[],3,FALSE)</f>
        <v>1</v>
      </c>
      <c r="H751" s="15"/>
      <c r="I751" s="15"/>
      <c r="J751" s="15" t="s">
        <v>85</v>
      </c>
      <c r="K751" s="15">
        <v>818327843</v>
      </c>
      <c r="L751" s="15" t="s">
        <v>29</v>
      </c>
      <c r="M751" s="15" t="s">
        <v>29</v>
      </c>
    </row>
    <row r="752" spans="1:13" x14ac:dyDescent="0.25">
      <c r="A752" s="23">
        <f t="shared" ref="A752:A783" si="40">D752</f>
        <v>259095</v>
      </c>
      <c r="B752" s="14" t="str">
        <f t="shared" si="38"/>
        <v>Credit Cards (UMB) - Credits</v>
      </c>
      <c r="C752" s="38">
        <v>46157</v>
      </c>
      <c r="D752" s="34">
        <v>259095</v>
      </c>
      <c r="E752" s="36" t="str">
        <f>IF(Table3[[#This Row],[Type Received]]=2,"CC",(IF(Table3[[#This Row],[Type Received]]=3,"BILL","ACH")))</f>
        <v>CC</v>
      </c>
      <c r="F752" s="35">
        <v>134.44</v>
      </c>
      <c r="G752" s="14" t="str">
        <f>VLOOKUP(D752,Table4[],3,FALSE)</f>
        <v>2</v>
      </c>
      <c r="H752" s="15"/>
      <c r="I752" s="15"/>
      <c r="J752" s="15" t="s">
        <v>87</v>
      </c>
      <c r="K752" s="15">
        <v>696664739</v>
      </c>
      <c r="L752" s="15" t="s">
        <v>29</v>
      </c>
      <c r="M752" s="15" t="s">
        <v>29</v>
      </c>
    </row>
    <row r="753" spans="1:13" x14ac:dyDescent="0.25">
      <c r="A753" s="23">
        <f t="shared" si="40"/>
        <v>259097</v>
      </c>
      <c r="B753" s="14" t="str">
        <f t="shared" si="38"/>
        <v>Direct Debit (UMB Bank) - Credits</v>
      </c>
      <c r="C753" s="37">
        <v>46155</v>
      </c>
      <c r="D753" s="31">
        <v>259097</v>
      </c>
      <c r="E753" s="33" t="str">
        <f>IF(Table3[[#This Row],[Type Received]]=2,"CC",(IF(Table3[[#This Row],[Type Received]]=3,"BILL","ACH")))</f>
        <v>ACH</v>
      </c>
      <c r="F753" s="32">
        <v>80.98</v>
      </c>
      <c r="G753" s="14" t="str">
        <f>VLOOKUP(D753,Table4[],3,FALSE)</f>
        <v>2</v>
      </c>
      <c r="H753" s="15"/>
      <c r="I753" s="15">
        <v>673336</v>
      </c>
      <c r="J753" s="15" t="s">
        <v>28</v>
      </c>
      <c r="K753" s="15">
        <v>669446038</v>
      </c>
      <c r="L753" s="15" t="s">
        <v>29</v>
      </c>
      <c r="M753" s="15" t="s">
        <v>29</v>
      </c>
    </row>
    <row r="754" spans="1:13" x14ac:dyDescent="0.25">
      <c r="A754" s="23">
        <f t="shared" si="40"/>
        <v>259101</v>
      </c>
      <c r="B754" s="14" t="str">
        <f t="shared" si="38"/>
        <v>Billing - Credits (from TPA)</v>
      </c>
      <c r="C754" s="38">
        <v>46167</v>
      </c>
      <c r="D754" s="34">
        <v>259101</v>
      </c>
      <c r="E754" s="36" t="str">
        <f>IF(Table3[[#This Row],[Type Received]]=2,"CC",(IF(Table3[[#This Row],[Type Received]]=3,"BILL","ACH")))</f>
        <v>BILL</v>
      </c>
      <c r="F754" s="35">
        <v>67.45</v>
      </c>
      <c r="G754" s="14" t="str">
        <f>VLOOKUP(D754,Table4[],3,FALSE)</f>
        <v>2</v>
      </c>
      <c r="H754" s="15"/>
      <c r="I754" s="15"/>
      <c r="J754" s="15" t="s">
        <v>85</v>
      </c>
      <c r="K754" s="15">
        <v>818345326</v>
      </c>
      <c r="L754" s="15" t="s">
        <v>29</v>
      </c>
      <c r="M754" s="15"/>
    </row>
    <row r="755" spans="1:13" x14ac:dyDescent="0.25">
      <c r="A755" s="23">
        <f t="shared" si="40"/>
        <v>259112</v>
      </c>
      <c r="B755" s="14" t="str">
        <f t="shared" si="38"/>
        <v>Credit Cards (UMB) - Credits</v>
      </c>
      <c r="C755" s="37">
        <v>46170</v>
      </c>
      <c r="D755" s="31">
        <v>259112</v>
      </c>
      <c r="E755" s="33" t="str">
        <f>IF(Table3[[#This Row],[Type Received]]=2,"CC",(IF(Table3[[#This Row],[Type Received]]=3,"BILL","ACH")))</f>
        <v>CC</v>
      </c>
      <c r="F755" s="32">
        <v>62.85</v>
      </c>
      <c r="G755" s="14" t="str">
        <f>VLOOKUP(D755,Table4[],3,FALSE)</f>
        <v>2</v>
      </c>
      <c r="H755" s="15">
        <v>2244235972</v>
      </c>
      <c r="I755" s="15"/>
      <c r="J755" s="15"/>
      <c r="K755" s="15"/>
      <c r="L755" s="15"/>
      <c r="M755" s="15" t="s">
        <v>29</v>
      </c>
    </row>
    <row r="756" spans="1:13" x14ac:dyDescent="0.25">
      <c r="A756" s="23">
        <f t="shared" si="40"/>
        <v>259125</v>
      </c>
      <c r="B756" s="14" t="str">
        <f t="shared" si="38"/>
        <v>Direct Debit (UMB Bank) - Credits</v>
      </c>
      <c r="C756" s="38">
        <v>46143</v>
      </c>
      <c r="D756" s="34">
        <v>259125</v>
      </c>
      <c r="E756" s="36" t="str">
        <f>IF(Table3[[#This Row],[Type Received]]=2,"CC",(IF(Table3[[#This Row],[Type Received]]=3,"BILL","ACH")))</f>
        <v>ACH</v>
      </c>
      <c r="F756" s="35">
        <v>51.28</v>
      </c>
      <c r="G756" s="14" t="str">
        <f>VLOOKUP(D756,Table4[],3,FALSE)</f>
        <v>2</v>
      </c>
      <c r="H756" s="15"/>
      <c r="I756" s="15">
        <v>840</v>
      </c>
      <c r="J756" s="15" t="s">
        <v>28</v>
      </c>
      <c r="K756" s="15">
        <v>522246355</v>
      </c>
      <c r="L756" s="15" t="s">
        <v>29</v>
      </c>
      <c r="M756" s="15" t="s">
        <v>29</v>
      </c>
    </row>
    <row r="757" spans="1:13" x14ac:dyDescent="0.25">
      <c r="A757" s="23">
        <f t="shared" si="40"/>
        <v>259128</v>
      </c>
      <c r="B757" s="14" t="str">
        <f t="shared" si="38"/>
        <v>Billing - Credits (from TPA)</v>
      </c>
      <c r="C757" s="37">
        <v>46143</v>
      </c>
      <c r="D757" s="31">
        <v>259128</v>
      </c>
      <c r="E757" s="33" t="str">
        <f>IF(Table3[[#This Row],[Type Received]]=2,"CC",(IF(Table3[[#This Row],[Type Received]]=3,"BILL","ACH")))</f>
        <v>BILL</v>
      </c>
      <c r="F757" s="32">
        <v>55.24</v>
      </c>
      <c r="G757" s="14" t="str">
        <f>VLOOKUP(D757,Table4[],3,FALSE)</f>
        <v>2</v>
      </c>
      <c r="H757" s="15"/>
      <c r="I757" s="15"/>
      <c r="J757" s="15" t="s">
        <v>84</v>
      </c>
      <c r="K757" s="15">
        <v>522230038</v>
      </c>
      <c r="L757" s="15" t="s">
        <v>29</v>
      </c>
      <c r="M757" s="15" t="s">
        <v>29</v>
      </c>
    </row>
    <row r="758" spans="1:13" x14ac:dyDescent="0.25">
      <c r="A758" s="23">
        <f t="shared" si="40"/>
        <v>259138</v>
      </c>
      <c r="B758" s="14" t="str">
        <f t="shared" si="38"/>
        <v>Credit Cards (UMB) - Credits</v>
      </c>
      <c r="C758" s="38">
        <v>46150</v>
      </c>
      <c r="D758" s="34">
        <v>259138</v>
      </c>
      <c r="E758" s="36" t="str">
        <f>IF(Table3[[#This Row],[Type Received]]=2,"CC",(IF(Table3[[#This Row],[Type Received]]=3,"BILL","ACH")))</f>
        <v>CC</v>
      </c>
      <c r="F758" s="35">
        <v>97.83</v>
      </c>
      <c r="G758" s="14" t="str">
        <f>VLOOKUP(D758,Table4[],3,FALSE)</f>
        <v>1</v>
      </c>
      <c r="H758" s="15">
        <v>58089918</v>
      </c>
      <c r="I758" s="15"/>
      <c r="J758" s="15"/>
      <c r="K758" s="15"/>
      <c r="L758" s="15"/>
      <c r="M758" s="15" t="s">
        <v>29</v>
      </c>
    </row>
    <row r="759" spans="1:13" x14ac:dyDescent="0.25">
      <c r="A759" s="23">
        <f t="shared" si="40"/>
        <v>259122</v>
      </c>
      <c r="B759" s="14" t="str">
        <f t="shared" si="38"/>
        <v>Direct Debit (UMB Bank) - Credits</v>
      </c>
      <c r="C759" s="37">
        <v>46155</v>
      </c>
      <c r="D759" s="31">
        <v>259122</v>
      </c>
      <c r="E759" s="33" t="str">
        <f>IF(Table3[[#This Row],[Type Received]]=2,"CC",(IF(Table3[[#This Row],[Type Received]]=3,"BILL","ACH")))</f>
        <v>ACH</v>
      </c>
      <c r="F759" s="32">
        <v>141.04</v>
      </c>
      <c r="G759" s="14" t="str">
        <f>VLOOKUP(D759,Table4[],3,FALSE)</f>
        <v>2</v>
      </c>
      <c r="H759" s="15"/>
      <c r="I759" s="15" t="s">
        <v>148</v>
      </c>
      <c r="J759" s="15" t="s">
        <v>28</v>
      </c>
      <c r="K759" s="15">
        <v>669445062</v>
      </c>
      <c r="L759" s="15" t="s">
        <v>29</v>
      </c>
      <c r="M759" s="15" t="s">
        <v>29</v>
      </c>
    </row>
    <row r="760" spans="1:13" x14ac:dyDescent="0.25">
      <c r="A760" s="23">
        <f t="shared" si="40"/>
        <v>259127</v>
      </c>
      <c r="B760" s="14" t="str">
        <f t="shared" si="38"/>
        <v>Credit Cards (UMB) - Credits</v>
      </c>
      <c r="C760" s="38">
        <v>46143</v>
      </c>
      <c r="D760" s="34">
        <v>259127</v>
      </c>
      <c r="E760" s="36" t="str">
        <f>IF(Table3[[#This Row],[Type Received]]=2,"CC",(IF(Table3[[#This Row],[Type Received]]=3,"BILL","ACH")))</f>
        <v>CC</v>
      </c>
      <c r="F760" s="35">
        <v>50.95</v>
      </c>
      <c r="G760" s="14" t="str">
        <f>VLOOKUP(D760,Table4[],3,FALSE)</f>
        <v>2</v>
      </c>
      <c r="H760" s="15"/>
      <c r="I760" s="15"/>
      <c r="J760" s="15" t="s">
        <v>84</v>
      </c>
      <c r="K760" s="15">
        <v>522253152</v>
      </c>
      <c r="L760" s="15" t="s">
        <v>29</v>
      </c>
      <c r="M760" s="15" t="s">
        <v>29</v>
      </c>
    </row>
    <row r="761" spans="1:13" x14ac:dyDescent="0.25">
      <c r="A761" s="23">
        <f t="shared" si="40"/>
        <v>259123</v>
      </c>
      <c r="B761" s="14" t="str">
        <f t="shared" si="38"/>
        <v>Direct Debit (UMB Bank) - Credits</v>
      </c>
      <c r="C761" s="37">
        <v>46145</v>
      </c>
      <c r="D761" s="31">
        <v>259123</v>
      </c>
      <c r="E761" s="33" t="str">
        <f>IF(Table3[[#This Row],[Type Received]]=2,"CC",(IF(Table3[[#This Row],[Type Received]]=3,"BILL","ACH")))</f>
        <v>ACH</v>
      </c>
      <c r="F761" s="32">
        <v>154.9</v>
      </c>
      <c r="G761" s="14" t="str">
        <f>VLOOKUP(D761,Table4[],3,FALSE)</f>
        <v>2</v>
      </c>
      <c r="H761" s="15"/>
      <c r="I761" s="15">
        <v>3342</v>
      </c>
      <c r="J761" s="15" t="s">
        <v>28</v>
      </c>
      <c r="K761" s="15">
        <v>546423350</v>
      </c>
      <c r="L761" s="15" t="s">
        <v>29</v>
      </c>
      <c r="M761" s="15" t="s">
        <v>29</v>
      </c>
    </row>
    <row r="762" spans="1:13" x14ac:dyDescent="0.25">
      <c r="A762" s="23">
        <f t="shared" si="40"/>
        <v>259156</v>
      </c>
      <c r="B762" s="14" t="str">
        <f t="shared" si="38"/>
        <v>Credit Cards (UMB) - Credits</v>
      </c>
      <c r="C762" s="38">
        <v>46143</v>
      </c>
      <c r="D762" s="34">
        <v>259156</v>
      </c>
      <c r="E762" s="36" t="str">
        <f>IF(Table3[[#This Row],[Type Received]]=2,"CC",(IF(Table3[[#This Row],[Type Received]]=3,"BILL","ACH")))</f>
        <v>CC</v>
      </c>
      <c r="F762" s="35">
        <v>138.4</v>
      </c>
      <c r="G762" s="14" t="str">
        <f>VLOOKUP(D762,Table4[],3,FALSE)</f>
        <v>2</v>
      </c>
      <c r="H762" s="15"/>
      <c r="I762" s="15"/>
      <c r="J762" s="15" t="s">
        <v>84</v>
      </c>
      <c r="K762" s="15">
        <v>522258177</v>
      </c>
      <c r="L762" s="15" t="s">
        <v>29</v>
      </c>
      <c r="M762" s="15"/>
    </row>
    <row r="763" spans="1:13" x14ac:dyDescent="0.25">
      <c r="A763" s="23">
        <f t="shared" si="40"/>
        <v>259143</v>
      </c>
      <c r="B763" s="14" t="str">
        <f t="shared" si="38"/>
        <v>Credit Cards (UMB) - Credits</v>
      </c>
      <c r="C763" s="37">
        <v>46155</v>
      </c>
      <c r="D763" s="31">
        <v>259143</v>
      </c>
      <c r="E763" s="33" t="str">
        <f>IF(Table3[[#This Row],[Type Received]]=2,"CC",(IF(Table3[[#This Row],[Type Received]]=3,"BILL","ACH")))</f>
        <v>CC</v>
      </c>
      <c r="F763" s="32">
        <v>75.7</v>
      </c>
      <c r="G763" s="14" t="str">
        <f>VLOOKUP(D763,Table4[],3,FALSE)</f>
        <v>2</v>
      </c>
      <c r="H763" s="15"/>
      <c r="I763" s="15" t="s">
        <v>149</v>
      </c>
      <c r="J763" s="15" t="s">
        <v>28</v>
      </c>
      <c r="K763" s="15">
        <v>669446926</v>
      </c>
      <c r="L763" s="15" t="s">
        <v>29</v>
      </c>
      <c r="M763" s="15" t="s">
        <v>29</v>
      </c>
    </row>
    <row r="764" spans="1:13" x14ac:dyDescent="0.25">
      <c r="A764" s="23">
        <f t="shared" si="40"/>
        <v>259147</v>
      </c>
      <c r="B764" s="14" t="str">
        <f t="shared" si="38"/>
        <v>Direct Debit (UMB Bank) - Credits</v>
      </c>
      <c r="C764" s="38">
        <v>46149</v>
      </c>
      <c r="D764" s="34">
        <v>259147</v>
      </c>
      <c r="E764" s="36" t="str">
        <f>IF(Table3[[#This Row],[Type Received]]=2,"CC",(IF(Table3[[#This Row],[Type Received]]=3,"BILL","ACH")))</f>
        <v>ACH</v>
      </c>
      <c r="F764" s="35">
        <v>59.75</v>
      </c>
      <c r="G764" s="14" t="str">
        <f>VLOOKUP(D764,Table4[],3,FALSE)</f>
        <v>1</v>
      </c>
      <c r="H764" s="15"/>
      <c r="I764" s="15">
        <v>90020</v>
      </c>
      <c r="J764" s="15" t="s">
        <v>28</v>
      </c>
      <c r="K764" s="15">
        <v>594886965</v>
      </c>
      <c r="L764" s="15" t="s">
        <v>29</v>
      </c>
      <c r="M764" s="15" t="s">
        <v>29</v>
      </c>
    </row>
    <row r="765" spans="1:13" x14ac:dyDescent="0.25">
      <c r="A765" s="23">
        <f t="shared" si="40"/>
        <v>259152</v>
      </c>
      <c r="B765" s="14" t="str">
        <f t="shared" si="38"/>
        <v>Credit Cards (UMB) - Credits</v>
      </c>
      <c r="C765" s="37">
        <v>46143</v>
      </c>
      <c r="D765" s="31">
        <v>259152</v>
      </c>
      <c r="E765" s="33" t="str">
        <f>IF(Table3[[#This Row],[Type Received]]=2,"CC",(IF(Table3[[#This Row],[Type Received]]=3,"BILL","ACH")))</f>
        <v>CC</v>
      </c>
      <c r="F765" s="32">
        <v>153.58000000000001</v>
      </c>
      <c r="G765" s="14" t="str">
        <f>VLOOKUP(D765,Table4[],3,FALSE)</f>
        <v>2</v>
      </c>
      <c r="H765" s="15"/>
      <c r="I765" s="15"/>
      <c r="J765" s="15" t="s">
        <v>84</v>
      </c>
      <c r="K765" s="15">
        <v>522256155</v>
      </c>
      <c r="L765" s="15" t="s">
        <v>29</v>
      </c>
      <c r="M765" s="15" t="s">
        <v>29</v>
      </c>
    </row>
    <row r="766" spans="1:13" x14ac:dyDescent="0.25">
      <c r="A766" s="23">
        <f t="shared" si="40"/>
        <v>259145</v>
      </c>
      <c r="B766" s="14" t="str">
        <f t="shared" si="38"/>
        <v>Direct Debit (UMB Bank) - Credits</v>
      </c>
      <c r="C766" s="38">
        <v>46155</v>
      </c>
      <c r="D766" s="34">
        <v>259145</v>
      </c>
      <c r="E766" s="36" t="str">
        <f>IF(Table3[[#This Row],[Type Received]]=2,"CC",(IF(Table3[[#This Row],[Type Received]]=3,"BILL","ACH")))</f>
        <v>ACH</v>
      </c>
      <c r="F766" s="35">
        <v>58.21</v>
      </c>
      <c r="G766" s="14" t="str">
        <f>VLOOKUP(D766,Table4[],3,FALSE)</f>
        <v>2</v>
      </c>
      <c r="H766" s="15"/>
      <c r="I766" s="15">
        <v>436932</v>
      </c>
      <c r="J766" s="15" t="s">
        <v>28</v>
      </c>
      <c r="K766" s="15">
        <v>669466321</v>
      </c>
      <c r="L766" s="15" t="s">
        <v>29</v>
      </c>
      <c r="M766" s="15"/>
    </row>
    <row r="767" spans="1:13" x14ac:dyDescent="0.25">
      <c r="A767" s="23">
        <f t="shared" si="40"/>
        <v>259158</v>
      </c>
      <c r="B767" s="14" t="str">
        <f t="shared" si="38"/>
        <v>Direct Debit (UMB Bank) - Credits</v>
      </c>
      <c r="C767" s="37">
        <v>46157</v>
      </c>
      <c r="D767" s="31">
        <v>259158</v>
      </c>
      <c r="E767" s="33" t="str">
        <f>IF(Table3[[#This Row],[Type Received]]=2,"CC",(IF(Table3[[#This Row],[Type Received]]=3,"BILL","ACH")))</f>
        <v>ACH</v>
      </c>
      <c r="F767" s="32">
        <v>82.3</v>
      </c>
      <c r="G767" s="14" t="str">
        <f>VLOOKUP(D767,Table4[],3,FALSE)</f>
        <v>2</v>
      </c>
      <c r="H767" s="15"/>
      <c r="I767" s="15"/>
      <c r="J767" s="24" t="s">
        <v>87</v>
      </c>
      <c r="K767" s="15">
        <v>696665384</v>
      </c>
      <c r="L767" s="15" t="s">
        <v>29</v>
      </c>
      <c r="M767" s="15"/>
    </row>
    <row r="768" spans="1:13" x14ac:dyDescent="0.25">
      <c r="A768" s="23">
        <f t="shared" si="40"/>
        <v>259167</v>
      </c>
      <c r="B768" s="14" t="str">
        <f t="shared" si="38"/>
        <v>Billing - Credits (from TPA)</v>
      </c>
      <c r="C768" s="38">
        <v>46143</v>
      </c>
      <c r="D768" s="34">
        <v>259167</v>
      </c>
      <c r="E768" s="36" t="str">
        <f>IF(Table3[[#This Row],[Type Received]]=2,"CC",(IF(Table3[[#This Row],[Type Received]]=3,"BILL","ACH")))</f>
        <v>BILL</v>
      </c>
      <c r="F768" s="35">
        <v>67.45</v>
      </c>
      <c r="G768" s="14" t="str">
        <f>VLOOKUP(D768,Table4[],3,FALSE)</f>
        <v>1</v>
      </c>
      <c r="H768" s="15"/>
      <c r="I768" s="15"/>
      <c r="J768" s="15" t="s">
        <v>84</v>
      </c>
      <c r="K768" s="15">
        <v>522231023</v>
      </c>
      <c r="L768" s="15" t="s">
        <v>29</v>
      </c>
      <c r="M768" s="15" t="s">
        <v>29</v>
      </c>
    </row>
    <row r="769" spans="1:13" x14ac:dyDescent="0.25">
      <c r="A769" s="23">
        <f t="shared" si="40"/>
        <v>259150</v>
      </c>
      <c r="B769" s="14" t="str">
        <f t="shared" si="38"/>
        <v>Direct Debit (UMB Bank) - Credits</v>
      </c>
      <c r="C769" s="37">
        <v>46147</v>
      </c>
      <c r="D769" s="31">
        <v>259150</v>
      </c>
      <c r="E769" s="33" t="str">
        <f>IF(Table3[[#This Row],[Type Received]]=2,"CC",(IF(Table3[[#This Row],[Type Received]]=3,"BILL","ACH")))</f>
        <v>ACH</v>
      </c>
      <c r="F769" s="32">
        <v>159.21</v>
      </c>
      <c r="G769" s="14" t="str">
        <f>VLOOKUP(D769,Table4[],3,FALSE)</f>
        <v>2</v>
      </c>
      <c r="H769" s="15">
        <v>2449</v>
      </c>
      <c r="I769" s="15"/>
      <c r="J769" s="15"/>
      <c r="K769" s="15"/>
      <c r="L769" s="15"/>
      <c r="M769" s="15" t="s">
        <v>29</v>
      </c>
    </row>
    <row r="770" spans="1:13" x14ac:dyDescent="0.25">
      <c r="A770" s="23">
        <f t="shared" si="40"/>
        <v>259160</v>
      </c>
      <c r="B770" s="14" t="str">
        <f t="shared" ref="B770:B833" si="41">IF(AND(E770="BILL",F770&lt;0),"Billing &amp; Direct Debit - Refunds",(IF(AND(E770="BILL",F770&gt;0),"Billing - Credits (from TPA)",(IF(AND(E770="CC",F770&lt;0),"Credit Cards (UMB) - Refunds",(IF(AND(E770="CC",F770&gt;0),"Credit Cards (UMB) - Credits",(IF(AND(E770="ACH",F770&gt;0),"Direct Debit (UMB Bank) - Credits","Direct Debit (UMB Bank) - Returned Items")))))))))</f>
        <v>Direct Debit (UMB Bank) - Credits</v>
      </c>
      <c r="C770" s="38">
        <v>46157</v>
      </c>
      <c r="D770" s="34">
        <v>259160</v>
      </c>
      <c r="E770" s="36" t="str">
        <f>IF(Table3[[#This Row],[Type Received]]=2,"CC",(IF(Table3[[#This Row],[Type Received]]=3,"BILL","ACH")))</f>
        <v>ACH</v>
      </c>
      <c r="F770" s="35">
        <v>92.53</v>
      </c>
      <c r="G770" s="14" t="str">
        <f>VLOOKUP(D770,Table4[],3,FALSE)</f>
        <v>2</v>
      </c>
      <c r="H770" s="15"/>
      <c r="I770" s="15"/>
      <c r="J770" s="24" t="s">
        <v>87</v>
      </c>
      <c r="K770" s="15">
        <v>696644025</v>
      </c>
      <c r="L770" s="15" t="s">
        <v>29</v>
      </c>
      <c r="M770" s="15" t="s">
        <v>29</v>
      </c>
    </row>
    <row r="771" spans="1:13" x14ac:dyDescent="0.25">
      <c r="A771" s="23">
        <f t="shared" si="40"/>
        <v>259154</v>
      </c>
      <c r="B771" s="14" t="str">
        <f t="shared" si="41"/>
        <v>Direct Debit (UMB Bank) - Credits</v>
      </c>
      <c r="C771" s="37">
        <v>46143</v>
      </c>
      <c r="D771" s="31">
        <v>259154</v>
      </c>
      <c r="E771" s="33" t="str">
        <f>IF(Table3[[#This Row],[Type Received]]=2,"CC",(IF(Table3[[#This Row],[Type Received]]=3,"BILL","ACH")))</f>
        <v>ACH</v>
      </c>
      <c r="F771" s="32">
        <v>87.58</v>
      </c>
      <c r="G771" s="14" t="str">
        <f>VLOOKUP(D771,Table4[],3,FALSE)</f>
        <v>2</v>
      </c>
      <c r="H771" s="15"/>
      <c r="I771" s="15"/>
      <c r="J771" s="15" t="s">
        <v>84</v>
      </c>
      <c r="K771" s="15">
        <v>522257127</v>
      </c>
      <c r="L771" s="15" t="s">
        <v>29</v>
      </c>
      <c r="M771" s="15" t="s">
        <v>29</v>
      </c>
    </row>
    <row r="772" spans="1:13" x14ac:dyDescent="0.25">
      <c r="A772" s="23">
        <f t="shared" si="40"/>
        <v>259169</v>
      </c>
      <c r="B772" s="14" t="str">
        <f t="shared" si="41"/>
        <v>Direct Debit (UMB Bank) - Credits</v>
      </c>
      <c r="C772" s="38">
        <v>46165</v>
      </c>
      <c r="D772" s="34">
        <v>259169</v>
      </c>
      <c r="E772" s="36" t="str">
        <f>IF(Table3[[#This Row],[Type Received]]=2,"CC",(IF(Table3[[#This Row],[Type Received]]=3,"BILL","ACH")))</f>
        <v>ACH</v>
      </c>
      <c r="F772" s="35">
        <v>107.71</v>
      </c>
      <c r="G772" s="14" t="str">
        <f>VLOOKUP(D772,Table4[],3,FALSE)</f>
        <v>1</v>
      </c>
      <c r="H772" s="15"/>
      <c r="I772" s="15"/>
      <c r="J772" s="15" t="s">
        <v>137</v>
      </c>
      <c r="K772" s="15">
        <v>797271923</v>
      </c>
      <c r="L772" s="15" t="s">
        <v>29</v>
      </c>
      <c r="M772" s="15" t="s">
        <v>29</v>
      </c>
    </row>
    <row r="773" spans="1:13" x14ac:dyDescent="0.25">
      <c r="A773" s="23">
        <f t="shared" si="40"/>
        <v>259177</v>
      </c>
      <c r="B773" s="14" t="str">
        <f t="shared" si="41"/>
        <v>Direct Debit (UMB Bank) - Credits</v>
      </c>
      <c r="C773" s="37">
        <v>46157</v>
      </c>
      <c r="D773" s="31">
        <v>259177</v>
      </c>
      <c r="E773" s="33" t="str">
        <f>IF(Table3[[#This Row],[Type Received]]=2,"CC",(IF(Table3[[#This Row],[Type Received]]=3,"BILL","ACH")))</f>
        <v>ACH</v>
      </c>
      <c r="F773" s="32">
        <v>86.26</v>
      </c>
      <c r="G773" s="14" t="str">
        <f>VLOOKUP(D773,Table4[],3,FALSE)</f>
        <v>2</v>
      </c>
      <c r="H773" s="15"/>
      <c r="I773" s="15"/>
      <c r="J773" s="15" t="s">
        <v>87</v>
      </c>
      <c r="K773" s="15">
        <v>696664413</v>
      </c>
      <c r="L773" s="15" t="s">
        <v>29</v>
      </c>
      <c r="M773" s="15" t="s">
        <v>29</v>
      </c>
    </row>
    <row r="774" spans="1:13" x14ac:dyDescent="0.25">
      <c r="A774" s="23">
        <f t="shared" si="40"/>
        <v>259178</v>
      </c>
      <c r="B774" s="14" t="str">
        <f t="shared" si="41"/>
        <v>Credit Cards (UMB) - Credits</v>
      </c>
      <c r="C774" s="38">
        <v>46157</v>
      </c>
      <c r="D774" s="34">
        <v>259178</v>
      </c>
      <c r="E774" s="36" t="str">
        <f>IF(Table3[[#This Row],[Type Received]]=2,"CC",(IF(Table3[[#This Row],[Type Received]]=3,"BILL","ACH")))</f>
        <v>CC</v>
      </c>
      <c r="F774" s="35">
        <v>83.73</v>
      </c>
      <c r="G774" s="14" t="str">
        <f>VLOOKUP(D774,Table4[],3,FALSE)</f>
        <v>1</v>
      </c>
      <c r="H774" s="15"/>
      <c r="I774" s="15"/>
      <c r="J774" s="15" t="s">
        <v>87</v>
      </c>
      <c r="K774" s="15">
        <v>696650871</v>
      </c>
      <c r="L774" s="15" t="s">
        <v>29</v>
      </c>
      <c r="M774" s="15" t="s">
        <v>29</v>
      </c>
    </row>
    <row r="775" spans="1:13" x14ac:dyDescent="0.25">
      <c r="A775" s="23">
        <f t="shared" si="40"/>
        <v>259187</v>
      </c>
      <c r="B775" s="14" t="str">
        <f t="shared" si="41"/>
        <v>Direct Debit (UMB Bank) - Credits</v>
      </c>
      <c r="C775" s="37">
        <v>46169</v>
      </c>
      <c r="D775" s="31">
        <v>259187</v>
      </c>
      <c r="E775" s="33" t="str">
        <f>IF(Table3[[#This Row],[Type Received]]=2,"CC",(IF(Table3[[#This Row],[Type Received]]=3,"BILL","ACH")))</f>
        <v>ACH</v>
      </c>
      <c r="F775" s="32">
        <v>58.89</v>
      </c>
      <c r="G775" s="14" t="str">
        <f>VLOOKUP(D775,Table4[],3,FALSE)</f>
        <v>2</v>
      </c>
      <c r="H775" s="15"/>
      <c r="I775" s="15">
        <v>162250</v>
      </c>
      <c r="J775" s="15">
        <v>749271671</v>
      </c>
      <c r="K775" s="15">
        <v>355979957</v>
      </c>
      <c r="L775" s="15"/>
      <c r="M775" s="15" t="s">
        <v>29</v>
      </c>
    </row>
    <row r="776" spans="1:13" x14ac:dyDescent="0.25">
      <c r="A776" s="23">
        <f t="shared" si="40"/>
        <v>259181</v>
      </c>
      <c r="B776" s="14" t="str">
        <f t="shared" si="41"/>
        <v>Direct Debit (UMB Bank) - Credits</v>
      </c>
      <c r="C776" s="38">
        <v>46143</v>
      </c>
      <c r="D776" s="34">
        <v>259181</v>
      </c>
      <c r="E776" s="36" t="str">
        <f>IF(Table3[[#This Row],[Type Received]]=2,"CC",(IF(Table3[[#This Row],[Type Received]]=3,"BILL","ACH")))</f>
        <v>ACH</v>
      </c>
      <c r="F776" s="35">
        <v>83.29</v>
      </c>
      <c r="G776" s="14" t="str">
        <f>VLOOKUP(D776,Table4[],3,FALSE)</f>
        <v>2</v>
      </c>
      <c r="H776" s="15"/>
      <c r="I776" s="15"/>
      <c r="J776" s="15" t="s">
        <v>84</v>
      </c>
      <c r="K776" s="15">
        <v>522246525</v>
      </c>
      <c r="L776" s="15" t="s">
        <v>29</v>
      </c>
      <c r="M776" s="15"/>
    </row>
    <row r="777" spans="1:13" x14ac:dyDescent="0.25">
      <c r="A777" s="23">
        <f t="shared" si="40"/>
        <v>259180</v>
      </c>
      <c r="B777" s="14" t="str">
        <f t="shared" si="41"/>
        <v>Direct Debit (UMB Bank) - Credits</v>
      </c>
      <c r="C777" s="37">
        <v>46169</v>
      </c>
      <c r="D777" s="31">
        <v>259180</v>
      </c>
      <c r="E777" s="33" t="str">
        <f>IF(Table3[[#This Row],[Type Received]]=2,"CC",(IF(Table3[[#This Row],[Type Received]]=3,"BILL","ACH")))</f>
        <v>ACH</v>
      </c>
      <c r="F777" s="32">
        <v>43.91</v>
      </c>
      <c r="G777" s="14" t="str">
        <f>VLOOKUP(D777,Table4[],3,FALSE)</f>
        <v>1</v>
      </c>
      <c r="H777" s="15"/>
      <c r="I777" s="15"/>
      <c r="J777" s="15" t="s">
        <v>117</v>
      </c>
      <c r="K777" s="15">
        <v>840826924</v>
      </c>
      <c r="L777" s="15" t="s">
        <v>29</v>
      </c>
      <c r="M777" s="15"/>
    </row>
    <row r="778" spans="1:13" x14ac:dyDescent="0.25">
      <c r="A778" s="23">
        <f t="shared" si="40"/>
        <v>259192</v>
      </c>
      <c r="B778" s="14" t="str">
        <f t="shared" si="41"/>
        <v>Direct Debit (UMB Bank) - Credits</v>
      </c>
      <c r="C778" s="38">
        <v>46157</v>
      </c>
      <c r="D778" s="34">
        <v>259192</v>
      </c>
      <c r="E778" s="36" t="str">
        <f>IF(Table3[[#This Row],[Type Received]]=2,"CC",(IF(Table3[[#This Row],[Type Received]]=3,"BILL","ACH")))</f>
        <v>ACH</v>
      </c>
      <c r="F778" s="35">
        <v>44.35</v>
      </c>
      <c r="G778" s="14" t="str">
        <f>VLOOKUP(D778,Table4[],3,FALSE)</f>
        <v>1</v>
      </c>
      <c r="H778" s="15"/>
      <c r="I778" s="15"/>
      <c r="J778" s="15" t="s">
        <v>87</v>
      </c>
      <c r="K778" s="15">
        <v>696651849</v>
      </c>
      <c r="L778" s="15" t="s">
        <v>29</v>
      </c>
      <c r="M778" s="15" t="s">
        <v>29</v>
      </c>
    </row>
    <row r="779" spans="1:13" x14ac:dyDescent="0.25">
      <c r="A779" s="23">
        <f t="shared" si="40"/>
        <v>259193</v>
      </c>
      <c r="B779" s="14" t="str">
        <f t="shared" si="41"/>
        <v>Credit Cards (UMB) - Credits</v>
      </c>
      <c r="C779" s="37">
        <v>46169</v>
      </c>
      <c r="D779" s="31">
        <v>259193</v>
      </c>
      <c r="E779" s="33" t="str">
        <f>IF(Table3[[#This Row],[Type Received]]=2,"CC",(IF(Table3[[#This Row],[Type Received]]=3,"BILL","ACH")))</f>
        <v>CC</v>
      </c>
      <c r="F779" s="32">
        <v>152.26</v>
      </c>
      <c r="G779" s="14" t="str">
        <f>VLOOKUP(D779,Table4[],3,FALSE)</f>
        <v>2</v>
      </c>
      <c r="H779" s="15"/>
      <c r="I779" s="15"/>
      <c r="J779" s="15" t="s">
        <v>117</v>
      </c>
      <c r="K779" s="15">
        <v>840819077</v>
      </c>
      <c r="L779" s="15" t="s">
        <v>29</v>
      </c>
      <c r="M779" s="15" t="s">
        <v>29</v>
      </c>
    </row>
    <row r="780" spans="1:13" x14ac:dyDescent="0.25">
      <c r="A780" s="23">
        <f t="shared" si="40"/>
        <v>259198</v>
      </c>
      <c r="B780" s="14" t="str">
        <f t="shared" si="41"/>
        <v>Credit Cards (UMB) - Credits</v>
      </c>
      <c r="C780" s="38">
        <v>46171</v>
      </c>
      <c r="D780" s="34">
        <v>259198</v>
      </c>
      <c r="E780" s="36" t="str">
        <f>IF(Table3[[#This Row],[Type Received]]=2,"CC",(IF(Table3[[#This Row],[Type Received]]=3,"BILL","ACH")))</f>
        <v>CC</v>
      </c>
      <c r="F780" s="35">
        <v>123.35</v>
      </c>
      <c r="G780" s="14" t="str">
        <f>VLOOKUP(D780,Table4[],3,FALSE)</f>
        <v>1</v>
      </c>
      <c r="H780" s="15"/>
      <c r="I780" s="15">
        <v>206069</v>
      </c>
      <c r="J780" s="15" t="s">
        <v>28</v>
      </c>
      <c r="K780" s="15">
        <v>867231586</v>
      </c>
      <c r="L780" s="15" t="s">
        <v>29</v>
      </c>
      <c r="M780" s="15" t="s">
        <v>29</v>
      </c>
    </row>
    <row r="781" spans="1:13" x14ac:dyDescent="0.25">
      <c r="A781" s="23">
        <f t="shared" si="40"/>
        <v>259198</v>
      </c>
      <c r="B781" s="14" t="str">
        <f t="shared" si="41"/>
        <v>Credit Cards (UMB) - Credits</v>
      </c>
      <c r="C781" s="37">
        <v>46143</v>
      </c>
      <c r="D781" s="31">
        <v>259198</v>
      </c>
      <c r="E781" s="33" t="str">
        <f>IF(Table3[[#This Row],[Type Received]]=2,"CC",(IF(Table3[[#This Row],[Type Received]]=3,"BILL","ACH")))</f>
        <v>CC</v>
      </c>
      <c r="F781" s="32">
        <v>123.35</v>
      </c>
      <c r="G781" s="14" t="str">
        <f>VLOOKUP(D781,Table4[],3,FALSE)</f>
        <v>1</v>
      </c>
      <c r="H781" s="15"/>
      <c r="I781" s="15">
        <v>262910</v>
      </c>
      <c r="J781" s="24" t="s">
        <v>28</v>
      </c>
      <c r="K781" s="15">
        <v>525170303</v>
      </c>
      <c r="L781" s="15" t="s">
        <v>29</v>
      </c>
      <c r="M781" s="15" t="s">
        <v>29</v>
      </c>
    </row>
    <row r="782" spans="1:13" x14ac:dyDescent="0.25">
      <c r="A782" s="23">
        <f t="shared" si="40"/>
        <v>259203</v>
      </c>
      <c r="B782" s="14" t="str">
        <f t="shared" si="41"/>
        <v>Credit Cards (UMB) - Credits</v>
      </c>
      <c r="C782" s="38">
        <v>46155</v>
      </c>
      <c r="D782" s="34">
        <v>259203</v>
      </c>
      <c r="E782" s="36" t="str">
        <f>IF(Table3[[#This Row],[Type Received]]=2,"CC",(IF(Table3[[#This Row],[Type Received]]=3,"BILL","ACH")))</f>
        <v>CC</v>
      </c>
      <c r="F782" s="35">
        <v>63.71</v>
      </c>
      <c r="G782" s="14" t="str">
        <f>VLOOKUP(D782,Table4[],3,FALSE)</f>
        <v>1</v>
      </c>
      <c r="H782" s="15"/>
      <c r="I782" s="15">
        <v>747013</v>
      </c>
      <c r="J782" s="15" t="s">
        <v>28</v>
      </c>
      <c r="K782" s="15">
        <v>669473147</v>
      </c>
      <c r="L782" s="15" t="s">
        <v>29</v>
      </c>
      <c r="M782" s="15" t="s">
        <v>29</v>
      </c>
    </row>
    <row r="783" spans="1:13" x14ac:dyDescent="0.25">
      <c r="A783" s="23">
        <f t="shared" si="40"/>
        <v>259218</v>
      </c>
      <c r="B783" s="14" t="str">
        <f t="shared" si="41"/>
        <v>Credit Cards (UMB) - Credits</v>
      </c>
      <c r="C783" s="37">
        <v>46146</v>
      </c>
      <c r="D783" s="31">
        <v>259218</v>
      </c>
      <c r="E783" s="33" t="str">
        <f>IF(Table3[[#This Row],[Type Received]]=2,"CC",(IF(Table3[[#This Row],[Type Received]]=3,"BILL","ACH")))</f>
        <v>CC</v>
      </c>
      <c r="F783" s="32">
        <v>99.79</v>
      </c>
      <c r="G783" s="14" t="str">
        <f>VLOOKUP(D783,Table4[],3,FALSE)</f>
        <v>2</v>
      </c>
      <c r="H783" s="15"/>
      <c r="I783" s="15">
        <v>835148</v>
      </c>
      <c r="J783" s="15" t="s">
        <v>28</v>
      </c>
      <c r="K783" s="15">
        <v>557095210</v>
      </c>
      <c r="L783" s="15" t="s">
        <v>29</v>
      </c>
      <c r="M783" s="15"/>
    </row>
    <row r="784" spans="1:13" x14ac:dyDescent="0.25">
      <c r="A784" s="23">
        <f t="shared" ref="A784:A815" si="42">D784</f>
        <v>259214</v>
      </c>
      <c r="B784" s="14" t="str">
        <f t="shared" si="41"/>
        <v>Credit Cards (UMB) - Credits</v>
      </c>
      <c r="C784" s="38">
        <v>46155</v>
      </c>
      <c r="D784" s="34">
        <v>259214</v>
      </c>
      <c r="E784" s="36" t="str">
        <f>IF(Table3[[#This Row],[Type Received]]=2,"CC",(IF(Table3[[#This Row],[Type Received]]=3,"BILL","ACH")))</f>
        <v>CC</v>
      </c>
      <c r="F784" s="35">
        <v>92.09</v>
      </c>
      <c r="G784" s="14" t="str">
        <f>VLOOKUP(D784,Table4[],3,FALSE)</f>
        <v>1</v>
      </c>
      <c r="H784" s="15"/>
      <c r="I784" s="15" t="s">
        <v>150</v>
      </c>
      <c r="J784" s="15" t="s">
        <v>28</v>
      </c>
      <c r="K784" s="15">
        <v>669454658</v>
      </c>
      <c r="L784" s="15" t="s">
        <v>29</v>
      </c>
      <c r="M784" s="15"/>
    </row>
    <row r="785" spans="1:13" x14ac:dyDescent="0.25">
      <c r="A785" s="23">
        <f t="shared" si="42"/>
        <v>259207</v>
      </c>
      <c r="B785" s="14" t="str">
        <f t="shared" si="41"/>
        <v>Credit Cards (UMB) - Credits</v>
      </c>
      <c r="C785" s="37">
        <v>46155</v>
      </c>
      <c r="D785" s="31">
        <v>259207</v>
      </c>
      <c r="E785" s="33" t="str">
        <f>IF(Table3[[#This Row],[Type Received]]=2,"CC",(IF(Table3[[#This Row],[Type Received]]=3,"BILL","ACH")))</f>
        <v>CC</v>
      </c>
      <c r="F785" s="32">
        <v>76.69</v>
      </c>
      <c r="G785" s="14" t="str">
        <f>VLOOKUP(D785,Table4[],3,FALSE)</f>
        <v>2</v>
      </c>
      <c r="H785" s="15"/>
      <c r="I785" s="15">
        <v>13079</v>
      </c>
      <c r="J785" s="15" t="s">
        <v>28</v>
      </c>
      <c r="K785" s="15">
        <v>669454655</v>
      </c>
      <c r="L785" s="15" t="s">
        <v>29</v>
      </c>
      <c r="M785" s="15" t="s">
        <v>29</v>
      </c>
    </row>
    <row r="786" spans="1:13" x14ac:dyDescent="0.25">
      <c r="A786" s="23">
        <f t="shared" si="42"/>
        <v>259209</v>
      </c>
      <c r="B786" s="14" t="str">
        <f t="shared" si="41"/>
        <v>Credit Cards (UMB) - Credits</v>
      </c>
      <c r="C786" s="38">
        <v>46155</v>
      </c>
      <c r="D786" s="34">
        <v>259209</v>
      </c>
      <c r="E786" s="36" t="str">
        <f>IF(Table3[[#This Row],[Type Received]]=2,"CC",(IF(Table3[[#This Row],[Type Received]]=3,"BILL","ACH")))</f>
        <v>CC</v>
      </c>
      <c r="F786" s="35">
        <v>112.55</v>
      </c>
      <c r="G786" s="14" t="str">
        <f>VLOOKUP(D786,Table4[],3,FALSE)</f>
        <v>1</v>
      </c>
      <c r="H786" s="15"/>
      <c r="I786" s="15" t="s">
        <v>151</v>
      </c>
      <c r="J786" s="15" t="s">
        <v>28</v>
      </c>
      <c r="K786" s="15">
        <v>669446075</v>
      </c>
      <c r="L786" s="15" t="s">
        <v>29</v>
      </c>
      <c r="M786" s="15" t="s">
        <v>29</v>
      </c>
    </row>
    <row r="787" spans="1:13" x14ac:dyDescent="0.25">
      <c r="A787" s="23">
        <f t="shared" si="42"/>
        <v>259231</v>
      </c>
      <c r="B787" s="14" t="str">
        <f t="shared" si="41"/>
        <v>Credit Cards (UMB) - Credits</v>
      </c>
      <c r="C787" s="37">
        <v>46156</v>
      </c>
      <c r="D787" s="31">
        <v>259231</v>
      </c>
      <c r="E787" s="33" t="str">
        <f>IF(Table3[[#This Row],[Type Received]]=2,"CC",(IF(Table3[[#This Row],[Type Received]]=3,"BILL","ACH")))</f>
        <v>CC</v>
      </c>
      <c r="F787" s="32">
        <v>108.15</v>
      </c>
      <c r="G787" s="14" t="str">
        <f>VLOOKUP(D787,Table4[],3,FALSE)</f>
        <v>1</v>
      </c>
      <c r="H787" s="15"/>
      <c r="I787" s="15" t="s">
        <v>152</v>
      </c>
      <c r="J787" s="15" t="s">
        <v>28</v>
      </c>
      <c r="K787" s="15">
        <v>682522737</v>
      </c>
      <c r="L787" s="15" t="s">
        <v>29</v>
      </c>
      <c r="M787" s="15"/>
    </row>
    <row r="788" spans="1:13" x14ac:dyDescent="0.25">
      <c r="A788" s="23">
        <f t="shared" si="42"/>
        <v>259238</v>
      </c>
      <c r="B788" s="14" t="str">
        <f t="shared" si="41"/>
        <v>Credit Cards (UMB) - Credits</v>
      </c>
      <c r="C788" s="38">
        <v>46143</v>
      </c>
      <c r="D788" s="34">
        <v>259238</v>
      </c>
      <c r="E788" s="36" t="str">
        <f>IF(Table3[[#This Row],[Type Received]]=2,"CC",(IF(Table3[[#This Row],[Type Received]]=3,"BILL","ACH")))</f>
        <v>CC</v>
      </c>
      <c r="F788" s="35">
        <v>96.82</v>
      </c>
      <c r="G788" s="14" t="str">
        <f>VLOOKUP(D788,Table4[],3,FALSE)</f>
        <v>2</v>
      </c>
      <c r="H788" s="15"/>
      <c r="I788" s="15">
        <v>616020</v>
      </c>
      <c r="J788" s="15" t="s">
        <v>28</v>
      </c>
      <c r="K788" s="15">
        <v>522257283</v>
      </c>
      <c r="L788" s="15" t="s">
        <v>29</v>
      </c>
      <c r="M788" s="15" t="s">
        <v>29</v>
      </c>
    </row>
    <row r="789" spans="1:13" x14ac:dyDescent="0.25">
      <c r="A789" s="23">
        <f t="shared" si="42"/>
        <v>259237</v>
      </c>
      <c r="B789" s="14" t="str">
        <f t="shared" si="41"/>
        <v>Credit Cards (UMB) - Credits</v>
      </c>
      <c r="C789" s="37">
        <v>46170</v>
      </c>
      <c r="D789" s="31">
        <v>259237</v>
      </c>
      <c r="E789" s="33" t="str">
        <f>IF(Table3[[#This Row],[Type Received]]=2,"CC",(IF(Table3[[#This Row],[Type Received]]=3,"BILL","ACH")))</f>
        <v>CC</v>
      </c>
      <c r="F789" s="32">
        <v>57.24</v>
      </c>
      <c r="G789" s="14" t="str">
        <f>VLOOKUP(D789,Table4[],3,FALSE)</f>
        <v>2</v>
      </c>
      <c r="H789" s="15"/>
      <c r="I789" s="15">
        <v>28097</v>
      </c>
      <c r="J789" s="15">
        <v>749514569</v>
      </c>
      <c r="K789" s="15">
        <v>356053360</v>
      </c>
      <c r="L789" s="15"/>
      <c r="M789" s="15" t="s">
        <v>29</v>
      </c>
    </row>
    <row r="790" spans="1:13" x14ac:dyDescent="0.25">
      <c r="A790" s="23">
        <f t="shared" si="42"/>
        <v>259236</v>
      </c>
      <c r="B790" s="14" t="str">
        <f t="shared" si="41"/>
        <v>Direct Debit (UMB Bank) - Credits</v>
      </c>
      <c r="C790" s="38">
        <v>46146</v>
      </c>
      <c r="D790" s="34">
        <v>259236</v>
      </c>
      <c r="E790" s="36" t="str">
        <f>IF(Table3[[#This Row],[Type Received]]=2,"CC",(IF(Table3[[#This Row],[Type Received]]=3,"BILL","ACH")))</f>
        <v>ACH</v>
      </c>
      <c r="F790" s="35">
        <v>134.79</v>
      </c>
      <c r="G790" s="14" t="str">
        <f>VLOOKUP(D790,Table4[],3,FALSE)</f>
        <v>2</v>
      </c>
      <c r="H790" s="15"/>
      <c r="I790" s="15">
        <v>81474</v>
      </c>
      <c r="J790" s="24">
        <v>742259380</v>
      </c>
      <c r="K790" s="15">
        <v>353392146</v>
      </c>
      <c r="L790" s="15"/>
      <c r="M790" s="15" t="s">
        <v>29</v>
      </c>
    </row>
    <row r="791" spans="1:13" x14ac:dyDescent="0.25">
      <c r="A791" s="23">
        <f t="shared" si="42"/>
        <v>259235</v>
      </c>
      <c r="B791" s="14" t="str">
        <f t="shared" si="41"/>
        <v>Direct Debit (UMB Bank) - Credits</v>
      </c>
      <c r="C791" s="37">
        <v>46157</v>
      </c>
      <c r="D791" s="31">
        <v>259235</v>
      </c>
      <c r="E791" s="33" t="str">
        <f>IF(Table3[[#This Row],[Type Received]]=2,"CC",(IF(Table3[[#This Row],[Type Received]]=3,"BILL","ACH")))</f>
        <v>ACH</v>
      </c>
      <c r="F791" s="32">
        <v>73.72</v>
      </c>
      <c r="G791" s="14" t="str">
        <f>VLOOKUP(D791,Table4[],3,FALSE)</f>
        <v>2</v>
      </c>
      <c r="H791" s="15"/>
      <c r="I791" s="15"/>
      <c r="J791" s="15" t="s">
        <v>87</v>
      </c>
      <c r="K791" s="15">
        <v>696662517</v>
      </c>
      <c r="L791" s="15" t="s">
        <v>29</v>
      </c>
      <c r="M791" s="15" t="s">
        <v>29</v>
      </c>
    </row>
    <row r="792" spans="1:13" x14ac:dyDescent="0.25">
      <c r="A792" s="23">
        <f t="shared" si="42"/>
        <v>259244</v>
      </c>
      <c r="B792" s="14" t="str">
        <f t="shared" si="41"/>
        <v>Credit Cards (UMB) - Credits</v>
      </c>
      <c r="C792" s="38">
        <v>46143</v>
      </c>
      <c r="D792" s="34">
        <v>259244</v>
      </c>
      <c r="E792" s="36" t="str">
        <f>IF(Table3[[#This Row],[Type Received]]=2,"CC",(IF(Table3[[#This Row],[Type Received]]=3,"BILL","ACH")))</f>
        <v>CC</v>
      </c>
      <c r="F792" s="35">
        <v>66.13</v>
      </c>
      <c r="G792" s="14" t="str">
        <f>VLOOKUP(D792,Table4[],3,FALSE)</f>
        <v>2</v>
      </c>
      <c r="H792" s="15"/>
      <c r="I792" s="15"/>
      <c r="J792" s="15" t="s">
        <v>84</v>
      </c>
      <c r="K792" s="15">
        <v>522246562</v>
      </c>
      <c r="L792" s="15" t="s">
        <v>29</v>
      </c>
      <c r="M792" s="15" t="s">
        <v>29</v>
      </c>
    </row>
    <row r="793" spans="1:13" x14ac:dyDescent="0.25">
      <c r="A793" s="23">
        <f t="shared" si="42"/>
        <v>259240</v>
      </c>
      <c r="B793" s="14" t="str">
        <f t="shared" si="41"/>
        <v>Direct Debit (UMB Bank) - Credits</v>
      </c>
      <c r="C793" s="37">
        <v>46155</v>
      </c>
      <c r="D793" s="31">
        <v>259240</v>
      </c>
      <c r="E793" s="33" t="str">
        <f>IF(Table3[[#This Row],[Type Received]]=2,"CC",(IF(Table3[[#This Row],[Type Received]]=3,"BILL","ACH")))</f>
        <v>ACH</v>
      </c>
      <c r="F793" s="32">
        <v>141.69999999999999</v>
      </c>
      <c r="G793" s="14" t="str">
        <f>VLOOKUP(D793,Table4[],3,FALSE)</f>
        <v>2</v>
      </c>
      <c r="H793" s="15"/>
      <c r="I793" s="15" t="s">
        <v>153</v>
      </c>
      <c r="J793" s="15" t="s">
        <v>28</v>
      </c>
      <c r="K793" s="15">
        <v>669446095</v>
      </c>
      <c r="L793" s="15" t="s">
        <v>29</v>
      </c>
      <c r="M793" s="15" t="s">
        <v>29</v>
      </c>
    </row>
    <row r="794" spans="1:13" x14ac:dyDescent="0.25">
      <c r="A794" s="23">
        <f t="shared" si="42"/>
        <v>259248</v>
      </c>
      <c r="B794" s="14" t="str">
        <f t="shared" si="41"/>
        <v>Direct Debit (UMB Bank) - Credits</v>
      </c>
      <c r="C794" s="38">
        <v>46169</v>
      </c>
      <c r="D794" s="34">
        <v>259248</v>
      </c>
      <c r="E794" s="36" t="str">
        <f>IF(Table3[[#This Row],[Type Received]]=2,"CC",(IF(Table3[[#This Row],[Type Received]]=3,"BILL","ACH")))</f>
        <v>ACH</v>
      </c>
      <c r="F794" s="35">
        <v>79.989999999999995</v>
      </c>
      <c r="G794" s="14" t="str">
        <f>VLOOKUP(D794,Table4[],3,FALSE)</f>
        <v>2</v>
      </c>
      <c r="H794" s="15"/>
      <c r="I794" s="15"/>
      <c r="J794" s="15" t="s">
        <v>117</v>
      </c>
      <c r="K794" s="15">
        <v>840827939</v>
      </c>
      <c r="L794" s="15" t="s">
        <v>29</v>
      </c>
      <c r="M794" s="15" t="s">
        <v>29</v>
      </c>
    </row>
    <row r="795" spans="1:13" x14ac:dyDescent="0.25">
      <c r="A795" s="23">
        <f t="shared" si="42"/>
        <v>259245</v>
      </c>
      <c r="B795" s="14" t="str">
        <f t="shared" si="41"/>
        <v>Direct Debit (UMB Bank) - Credits</v>
      </c>
      <c r="C795" s="37">
        <v>46143</v>
      </c>
      <c r="D795" s="31">
        <v>259245</v>
      </c>
      <c r="E795" s="33" t="str">
        <f>IF(Table3[[#This Row],[Type Received]]=2,"CC",(IF(Table3[[#This Row],[Type Received]]=3,"BILL","ACH")))</f>
        <v>ACH</v>
      </c>
      <c r="F795" s="32">
        <v>72.400000000000006</v>
      </c>
      <c r="G795" s="14" t="str">
        <f>VLOOKUP(D795,Table4[],3,FALSE)</f>
        <v>2</v>
      </c>
      <c r="H795" s="15"/>
      <c r="I795" s="15"/>
      <c r="J795" s="15" t="s">
        <v>84</v>
      </c>
      <c r="K795" s="15">
        <v>522248592</v>
      </c>
      <c r="L795" s="15" t="s">
        <v>29</v>
      </c>
      <c r="M795" s="15" t="s">
        <v>29</v>
      </c>
    </row>
    <row r="796" spans="1:13" x14ac:dyDescent="0.25">
      <c r="A796" s="23">
        <f t="shared" si="42"/>
        <v>259249</v>
      </c>
      <c r="B796" s="14" t="str">
        <f t="shared" si="41"/>
        <v>Billing - Credits (from TPA)</v>
      </c>
      <c r="C796" s="38">
        <v>46169</v>
      </c>
      <c r="D796" s="34">
        <v>259249</v>
      </c>
      <c r="E796" s="36" t="str">
        <f>IF(Table3[[#This Row],[Type Received]]=2,"CC",(IF(Table3[[#This Row],[Type Received]]=3,"BILL","ACH")))</f>
        <v>BILL</v>
      </c>
      <c r="F796" s="35">
        <v>50.95</v>
      </c>
      <c r="G796" s="14" t="str">
        <f>VLOOKUP(D796,Table4[],3,FALSE)</f>
        <v>2</v>
      </c>
      <c r="H796" s="15"/>
      <c r="I796" s="15"/>
      <c r="J796" s="15" t="s">
        <v>117</v>
      </c>
      <c r="K796" s="15">
        <v>840847124</v>
      </c>
      <c r="L796" s="15" t="s">
        <v>29</v>
      </c>
      <c r="M796" s="15"/>
    </row>
    <row r="797" spans="1:13" x14ac:dyDescent="0.25">
      <c r="A797" s="23">
        <f t="shared" si="42"/>
        <v>259250</v>
      </c>
      <c r="B797" s="14" t="str">
        <f t="shared" si="41"/>
        <v>Direct Debit (UMB Bank) - Credits</v>
      </c>
      <c r="C797" s="37">
        <v>46168</v>
      </c>
      <c r="D797" s="31">
        <v>259250</v>
      </c>
      <c r="E797" s="33" t="str">
        <f>IF(Table3[[#This Row],[Type Received]]=2,"CC",(IF(Table3[[#This Row],[Type Received]]=3,"BILL","ACH")))</f>
        <v>ACH</v>
      </c>
      <c r="F797" s="32">
        <v>57.9</v>
      </c>
      <c r="G797" s="14" t="str">
        <f>VLOOKUP(D797,Table4[],3,FALSE)</f>
        <v>2</v>
      </c>
      <c r="H797" s="15">
        <v>6154</v>
      </c>
      <c r="I797" s="15"/>
      <c r="J797" s="15"/>
      <c r="K797" s="15"/>
      <c r="L797" s="15"/>
      <c r="M797" s="15" t="s">
        <v>29</v>
      </c>
    </row>
    <row r="798" spans="1:13" x14ac:dyDescent="0.25">
      <c r="A798" s="23">
        <f t="shared" si="42"/>
        <v>259264</v>
      </c>
      <c r="B798" s="14" t="str">
        <f t="shared" si="41"/>
        <v>Direct Debit (UMB Bank) - Credits</v>
      </c>
      <c r="C798" s="38">
        <v>46146</v>
      </c>
      <c r="D798" s="34">
        <v>259264</v>
      </c>
      <c r="E798" s="36" t="str">
        <f>IF(Table3[[#This Row],[Type Received]]=2,"CC",(IF(Table3[[#This Row],[Type Received]]=3,"BILL","ACH")))</f>
        <v>ACH</v>
      </c>
      <c r="F798" s="35">
        <v>104.1</v>
      </c>
      <c r="G798" s="14" t="str">
        <f>VLOOKUP(D798,Table4[],3,FALSE)</f>
        <v>2</v>
      </c>
      <c r="H798" s="15"/>
      <c r="I798" s="15"/>
      <c r="J798" s="15" t="s">
        <v>92</v>
      </c>
      <c r="K798" s="15">
        <v>562051305</v>
      </c>
      <c r="L798" s="15" t="s">
        <v>29</v>
      </c>
      <c r="M798" s="15" t="s">
        <v>29</v>
      </c>
    </row>
    <row r="799" spans="1:13" x14ac:dyDescent="0.25">
      <c r="A799" s="23">
        <f t="shared" si="42"/>
        <v>259263</v>
      </c>
      <c r="B799" s="14" t="str">
        <f t="shared" si="41"/>
        <v>Direct Debit (UMB Bank) - Credits</v>
      </c>
      <c r="C799" s="37">
        <v>46169</v>
      </c>
      <c r="D799" s="31">
        <v>259263</v>
      </c>
      <c r="E799" s="33" t="str">
        <f>IF(Table3[[#This Row],[Type Received]]=2,"CC",(IF(Table3[[#This Row],[Type Received]]=3,"BILL","ACH")))</f>
        <v>ACH</v>
      </c>
      <c r="F799" s="32">
        <v>72.400000000000006</v>
      </c>
      <c r="G799" s="14" t="str">
        <f>VLOOKUP(D799,Table4[],3,FALSE)</f>
        <v>2</v>
      </c>
      <c r="H799" s="15"/>
      <c r="I799" s="15"/>
      <c r="J799" s="15" t="s">
        <v>117</v>
      </c>
      <c r="K799" s="15">
        <v>840827953</v>
      </c>
      <c r="L799" s="15" t="s">
        <v>29</v>
      </c>
      <c r="M799" s="15"/>
    </row>
    <row r="800" spans="1:13" x14ac:dyDescent="0.25">
      <c r="A800" s="23">
        <f t="shared" si="42"/>
        <v>259262</v>
      </c>
      <c r="B800" s="14" t="str">
        <f t="shared" si="41"/>
        <v>Direct Debit (UMB Bank) - Credits</v>
      </c>
      <c r="C800" s="38">
        <v>46157</v>
      </c>
      <c r="D800" s="34">
        <v>259262</v>
      </c>
      <c r="E800" s="36" t="str">
        <f>IF(Table3[[#This Row],[Type Received]]=2,"CC",(IF(Table3[[#This Row],[Type Received]]=3,"BILL","ACH")))</f>
        <v>ACH</v>
      </c>
      <c r="F800" s="35">
        <v>76.91</v>
      </c>
      <c r="G800" s="14" t="str">
        <f>VLOOKUP(D800,Table4[],3,FALSE)</f>
        <v>1</v>
      </c>
      <c r="H800" s="15"/>
      <c r="I800" s="15"/>
      <c r="J800" s="15" t="s">
        <v>87</v>
      </c>
      <c r="K800" s="15">
        <v>696664492</v>
      </c>
      <c r="L800" s="15" t="s">
        <v>29</v>
      </c>
      <c r="M800" s="15" t="s">
        <v>29</v>
      </c>
    </row>
    <row r="801" spans="1:13" x14ac:dyDescent="0.25">
      <c r="A801" s="23">
        <f t="shared" si="42"/>
        <v>259278</v>
      </c>
      <c r="B801" s="14" t="str">
        <f t="shared" si="41"/>
        <v>Credit Cards (UMB) - Credits</v>
      </c>
      <c r="C801" s="37">
        <v>46169</v>
      </c>
      <c r="D801" s="31">
        <v>259278</v>
      </c>
      <c r="E801" s="33" t="str">
        <f>IF(Table3[[#This Row],[Type Received]]=2,"CC",(IF(Table3[[#This Row],[Type Received]]=3,"BILL","ACH")))</f>
        <v>CC</v>
      </c>
      <c r="F801" s="32">
        <v>44.79</v>
      </c>
      <c r="G801" s="14" t="str">
        <f>VLOOKUP(D801,Table4[],3,FALSE)</f>
        <v>1</v>
      </c>
      <c r="H801" s="15"/>
      <c r="I801" s="15"/>
      <c r="J801" s="15" t="s">
        <v>117</v>
      </c>
      <c r="K801" s="15">
        <v>840833779</v>
      </c>
      <c r="L801" s="15" t="s">
        <v>29</v>
      </c>
      <c r="M801" s="15" t="s">
        <v>29</v>
      </c>
    </row>
    <row r="802" spans="1:13" x14ac:dyDescent="0.25">
      <c r="A802" s="23">
        <f t="shared" si="42"/>
        <v>259271</v>
      </c>
      <c r="B802" s="14" t="str">
        <f t="shared" si="41"/>
        <v>Direct Debit (UMB Bank) - Credits</v>
      </c>
      <c r="C802" s="38">
        <v>46155</v>
      </c>
      <c r="D802" s="34">
        <v>259271</v>
      </c>
      <c r="E802" s="36" t="str">
        <f>IF(Table3[[#This Row],[Type Received]]=2,"CC",(IF(Table3[[#This Row],[Type Received]]=3,"BILL","ACH")))</f>
        <v>ACH</v>
      </c>
      <c r="F802" s="35">
        <v>65.69</v>
      </c>
      <c r="G802" s="14" t="str">
        <f>VLOOKUP(D802,Table4[],3,FALSE)</f>
        <v>1</v>
      </c>
      <c r="H802" s="15"/>
      <c r="I802" s="15">
        <v>13089</v>
      </c>
      <c r="J802" s="15" t="s">
        <v>28</v>
      </c>
      <c r="K802" s="15">
        <v>669470243</v>
      </c>
      <c r="L802" s="15" t="s">
        <v>29</v>
      </c>
      <c r="M802" s="15" t="s">
        <v>29</v>
      </c>
    </row>
    <row r="803" spans="1:13" x14ac:dyDescent="0.25">
      <c r="A803" s="23">
        <f t="shared" si="42"/>
        <v>259275</v>
      </c>
      <c r="B803" s="14" t="str">
        <f t="shared" si="41"/>
        <v>Direct Debit (UMB Bank) - Credits</v>
      </c>
      <c r="C803" s="37">
        <v>46169</v>
      </c>
      <c r="D803" s="31">
        <v>259275</v>
      </c>
      <c r="E803" s="33" t="str">
        <f>IF(Table3[[#This Row],[Type Received]]=2,"CC",(IF(Table3[[#This Row],[Type Received]]=3,"BILL","ACH")))</f>
        <v>ACH</v>
      </c>
      <c r="F803" s="32">
        <v>67.45</v>
      </c>
      <c r="G803" s="14" t="str">
        <f>VLOOKUP(D803,Table4[],3,FALSE)</f>
        <v>2</v>
      </c>
      <c r="H803" s="15"/>
      <c r="I803" s="15"/>
      <c r="J803" s="15" t="s">
        <v>117</v>
      </c>
      <c r="K803" s="15">
        <v>840844413</v>
      </c>
      <c r="L803" s="15" t="s">
        <v>29</v>
      </c>
      <c r="M803" s="15" t="s">
        <v>29</v>
      </c>
    </row>
    <row r="804" spans="1:13" x14ac:dyDescent="0.25">
      <c r="A804" s="23">
        <f t="shared" si="42"/>
        <v>259276</v>
      </c>
      <c r="B804" s="14" t="str">
        <f t="shared" si="41"/>
        <v>Direct Debit (UMB Bank) - Credits</v>
      </c>
      <c r="C804" s="38">
        <v>46169</v>
      </c>
      <c r="D804" s="34">
        <v>259276</v>
      </c>
      <c r="E804" s="36" t="str">
        <f>IF(Table3[[#This Row],[Type Received]]=2,"CC",(IF(Table3[[#This Row],[Type Received]]=3,"BILL","ACH")))</f>
        <v>ACH</v>
      </c>
      <c r="F804" s="35">
        <v>47.65</v>
      </c>
      <c r="G804" s="14" t="str">
        <f>VLOOKUP(D804,Table4[],3,FALSE)</f>
        <v>2</v>
      </c>
      <c r="H804" s="15"/>
      <c r="I804" s="15"/>
      <c r="J804" s="15" t="s">
        <v>117</v>
      </c>
      <c r="K804" s="15">
        <v>840830932</v>
      </c>
      <c r="L804" s="15" t="s">
        <v>29</v>
      </c>
      <c r="M804" s="15" t="s">
        <v>29</v>
      </c>
    </row>
    <row r="805" spans="1:13" x14ac:dyDescent="0.25">
      <c r="A805" s="23">
        <f t="shared" si="42"/>
        <v>259281</v>
      </c>
      <c r="B805" s="14" t="str">
        <f t="shared" si="41"/>
        <v>Direct Debit (UMB Bank) - Credits</v>
      </c>
      <c r="C805" s="37">
        <v>46143</v>
      </c>
      <c r="D805" s="31">
        <v>259281</v>
      </c>
      <c r="E805" s="33" t="str">
        <f>IF(Table3[[#This Row],[Type Received]]=2,"CC",(IF(Table3[[#This Row],[Type Received]]=3,"BILL","ACH")))</f>
        <v>ACH</v>
      </c>
      <c r="F805" s="32">
        <v>53.59</v>
      </c>
      <c r="G805" s="14" t="str">
        <f>VLOOKUP(D805,Table4[],3,FALSE)</f>
        <v>1</v>
      </c>
      <c r="H805" s="15"/>
      <c r="I805" s="15"/>
      <c r="J805" s="15" t="s">
        <v>84</v>
      </c>
      <c r="K805" s="15">
        <v>522239878</v>
      </c>
      <c r="L805" s="15" t="s">
        <v>29</v>
      </c>
      <c r="M805" s="15" t="s">
        <v>29</v>
      </c>
    </row>
    <row r="806" spans="1:13" x14ac:dyDescent="0.25">
      <c r="A806" s="23">
        <f t="shared" si="42"/>
        <v>259273</v>
      </c>
      <c r="B806" s="14" t="str">
        <f t="shared" si="41"/>
        <v>Direct Debit (UMB Bank) - Credits</v>
      </c>
      <c r="C806" s="38">
        <v>46157</v>
      </c>
      <c r="D806" s="34">
        <v>259273</v>
      </c>
      <c r="E806" s="36" t="str">
        <f>IF(Table3[[#This Row],[Type Received]]=2,"CC",(IF(Table3[[#This Row],[Type Received]]=3,"BILL","ACH")))</f>
        <v>ACH</v>
      </c>
      <c r="F806" s="35">
        <v>60.19</v>
      </c>
      <c r="G806" s="14" t="str">
        <f>VLOOKUP(D806,Table4[],3,FALSE)</f>
        <v>2</v>
      </c>
      <c r="H806" s="15"/>
      <c r="I806" s="15"/>
      <c r="J806" s="15" t="s">
        <v>87</v>
      </c>
      <c r="K806" s="15">
        <v>696647048</v>
      </c>
      <c r="L806" s="15" t="s">
        <v>29</v>
      </c>
      <c r="M806" s="15" t="s">
        <v>29</v>
      </c>
    </row>
    <row r="807" spans="1:13" x14ac:dyDescent="0.25">
      <c r="A807" s="23">
        <f t="shared" si="42"/>
        <v>259274</v>
      </c>
      <c r="B807" s="14" t="str">
        <f t="shared" si="41"/>
        <v>Credit Cards (UMB) - Credits</v>
      </c>
      <c r="C807" s="37">
        <v>46157</v>
      </c>
      <c r="D807" s="31">
        <v>259274</v>
      </c>
      <c r="E807" s="33" t="str">
        <f>IF(Table3[[#This Row],[Type Received]]=2,"CC",(IF(Table3[[#This Row],[Type Received]]=3,"BILL","ACH")))</f>
        <v>CC</v>
      </c>
      <c r="F807" s="32">
        <v>56.23</v>
      </c>
      <c r="G807" s="14" t="str">
        <f>VLOOKUP(D807,Table4[],3,FALSE)</f>
        <v>1</v>
      </c>
      <c r="H807" s="15"/>
      <c r="I807" s="15"/>
      <c r="J807" s="15" t="s">
        <v>87</v>
      </c>
      <c r="K807" s="15">
        <v>696666467</v>
      </c>
      <c r="L807" s="15" t="s">
        <v>29</v>
      </c>
      <c r="M807" s="15"/>
    </row>
    <row r="808" spans="1:13" x14ac:dyDescent="0.25">
      <c r="A808" s="23">
        <f t="shared" si="42"/>
        <v>259292</v>
      </c>
      <c r="B808" s="14" t="str">
        <f t="shared" si="41"/>
        <v>Direct Debit (UMB Bank) - Credits</v>
      </c>
      <c r="C808" s="38">
        <v>46150</v>
      </c>
      <c r="D808" s="34">
        <v>259292</v>
      </c>
      <c r="E808" s="36" t="str">
        <f>IF(Table3[[#This Row],[Type Received]]=2,"CC",(IF(Table3[[#This Row],[Type Received]]=3,"BILL","ACH")))</f>
        <v>ACH</v>
      </c>
      <c r="F808" s="35">
        <v>93.54</v>
      </c>
      <c r="G808" s="14" t="str">
        <f>VLOOKUP(D808,Table4[],3,FALSE)</f>
        <v>2</v>
      </c>
      <c r="H808" s="15"/>
      <c r="I808" s="15">
        <v>241317</v>
      </c>
      <c r="J808" s="15" t="s">
        <v>28</v>
      </c>
      <c r="K808" s="15">
        <v>612300261</v>
      </c>
      <c r="L808" s="15" t="s">
        <v>29</v>
      </c>
      <c r="M808" s="15" t="s">
        <v>29</v>
      </c>
    </row>
    <row r="809" spans="1:13" x14ac:dyDescent="0.25">
      <c r="A809" s="23">
        <f t="shared" si="42"/>
        <v>259296</v>
      </c>
      <c r="B809" s="14" t="str">
        <f t="shared" si="41"/>
        <v>Credit Cards (UMB) - Credits</v>
      </c>
      <c r="C809" s="37">
        <v>46169</v>
      </c>
      <c r="D809" s="31">
        <v>259296</v>
      </c>
      <c r="E809" s="33" t="str">
        <f>IF(Table3[[#This Row],[Type Received]]=2,"CC",(IF(Table3[[#This Row],[Type Received]]=3,"BILL","ACH")))</f>
        <v>CC</v>
      </c>
      <c r="F809" s="32">
        <v>79</v>
      </c>
      <c r="G809" s="14" t="str">
        <f>VLOOKUP(D809,Table4[],3,FALSE)</f>
        <v>2</v>
      </c>
      <c r="H809" s="15"/>
      <c r="I809" s="15"/>
      <c r="J809" s="15" t="s">
        <v>117</v>
      </c>
      <c r="K809" s="15">
        <v>840852122</v>
      </c>
      <c r="L809" s="15" t="s">
        <v>29</v>
      </c>
      <c r="M809" s="15"/>
    </row>
    <row r="810" spans="1:13" x14ac:dyDescent="0.25">
      <c r="A810" s="23">
        <f t="shared" si="42"/>
        <v>259295</v>
      </c>
      <c r="B810" s="14" t="str">
        <f t="shared" si="41"/>
        <v>Billing - Credits (from TPA)</v>
      </c>
      <c r="C810" s="38">
        <v>46155</v>
      </c>
      <c r="D810" s="34">
        <v>259295</v>
      </c>
      <c r="E810" s="36" t="str">
        <f>IF(Table3[[#This Row],[Type Received]]=2,"CC",(IF(Table3[[#This Row],[Type Received]]=3,"BILL","ACH")))</f>
        <v>BILL</v>
      </c>
      <c r="F810" s="35">
        <v>50.29</v>
      </c>
      <c r="G810" s="14" t="str">
        <f>VLOOKUP(D810,Table4[],3,FALSE)</f>
        <v>1</v>
      </c>
      <c r="H810" s="15"/>
      <c r="I810" s="15">
        <v>90205</v>
      </c>
      <c r="J810" s="15" t="s">
        <v>28</v>
      </c>
      <c r="K810" s="15">
        <v>669453710</v>
      </c>
      <c r="L810" s="15" t="s">
        <v>29</v>
      </c>
      <c r="M810" s="15" t="s">
        <v>29</v>
      </c>
    </row>
    <row r="811" spans="1:13" x14ac:dyDescent="0.25">
      <c r="A811" s="23">
        <f t="shared" si="42"/>
        <v>259293</v>
      </c>
      <c r="B811" s="14" t="str">
        <f t="shared" si="41"/>
        <v>Credit Cards (UMB) - Credits</v>
      </c>
      <c r="C811" s="37">
        <v>46163</v>
      </c>
      <c r="D811" s="31">
        <v>259293</v>
      </c>
      <c r="E811" s="33" t="str">
        <f>IF(Table3[[#This Row],[Type Received]]=2,"CC",(IF(Table3[[#This Row],[Type Received]]=3,"BILL","ACH")))</f>
        <v>CC</v>
      </c>
      <c r="F811" s="32">
        <v>52.95</v>
      </c>
      <c r="G811" s="14" t="str">
        <f>VLOOKUP(D811,Table4[],3,FALSE)</f>
        <v>2</v>
      </c>
      <c r="H811" s="15">
        <v>7108</v>
      </c>
      <c r="I811" s="15"/>
      <c r="J811" s="15"/>
      <c r="K811" s="15"/>
      <c r="L811" s="15"/>
      <c r="M811" s="15"/>
    </row>
    <row r="812" spans="1:13" x14ac:dyDescent="0.25">
      <c r="A812" s="23">
        <f t="shared" si="42"/>
        <v>259304</v>
      </c>
      <c r="B812" s="14" t="str">
        <f t="shared" si="41"/>
        <v>Direct Debit (UMB Bank) - Credits</v>
      </c>
      <c r="C812" s="38">
        <v>46143</v>
      </c>
      <c r="D812" s="34">
        <v>259304</v>
      </c>
      <c r="E812" s="36" t="str">
        <f>IF(Table3[[#This Row],[Type Received]]=2,"CC",(IF(Table3[[#This Row],[Type Received]]=3,"BILL","ACH")))</f>
        <v>ACH</v>
      </c>
      <c r="F812" s="35">
        <v>79.33</v>
      </c>
      <c r="G812" s="14" t="str">
        <f>VLOOKUP(D812,Table4[],3,FALSE)</f>
        <v>1</v>
      </c>
      <c r="H812" s="15"/>
      <c r="I812" s="15">
        <v>489477</v>
      </c>
      <c r="J812" s="15" t="s">
        <v>28</v>
      </c>
      <c r="K812" s="15">
        <v>522241861</v>
      </c>
      <c r="L812" s="15" t="s">
        <v>29</v>
      </c>
      <c r="M812" s="15" t="s">
        <v>29</v>
      </c>
    </row>
    <row r="813" spans="1:13" x14ac:dyDescent="0.25">
      <c r="A813" s="23">
        <f t="shared" si="42"/>
        <v>259302</v>
      </c>
      <c r="B813" s="14" t="str">
        <f t="shared" si="41"/>
        <v>Direct Debit (UMB Bank) - Credits</v>
      </c>
      <c r="C813" s="37">
        <v>46157</v>
      </c>
      <c r="D813" s="31">
        <v>259302</v>
      </c>
      <c r="E813" s="33" t="str">
        <f>IF(Table3[[#This Row],[Type Received]]=2,"CC",(IF(Table3[[#This Row],[Type Received]]=3,"BILL","ACH")))</f>
        <v>ACH</v>
      </c>
      <c r="F813" s="32">
        <v>75.7</v>
      </c>
      <c r="G813" s="14" t="str">
        <f>VLOOKUP(D813,Table4[],3,FALSE)</f>
        <v>2</v>
      </c>
      <c r="H813" s="15"/>
      <c r="I813" s="15"/>
      <c r="J813" s="15" t="s">
        <v>87</v>
      </c>
      <c r="K813" s="15">
        <v>696673175</v>
      </c>
      <c r="L813" s="15" t="s">
        <v>29</v>
      </c>
      <c r="M813" s="15" t="s">
        <v>29</v>
      </c>
    </row>
    <row r="814" spans="1:13" x14ac:dyDescent="0.25">
      <c r="A814" s="23">
        <f t="shared" si="42"/>
        <v>259307</v>
      </c>
      <c r="B814" s="14" t="str">
        <f t="shared" si="41"/>
        <v>Credit Cards (UMB) - Credits</v>
      </c>
      <c r="C814" s="38">
        <v>46143</v>
      </c>
      <c r="D814" s="34">
        <v>259307</v>
      </c>
      <c r="E814" s="36" t="str">
        <f>IF(Table3[[#This Row],[Type Received]]=2,"CC",(IF(Table3[[#This Row],[Type Received]]=3,"BILL","ACH")))</f>
        <v>CC</v>
      </c>
      <c r="F814" s="35">
        <v>60.85</v>
      </c>
      <c r="G814" s="14" t="str">
        <f>VLOOKUP(D814,Table4[],3,FALSE)</f>
        <v>2</v>
      </c>
      <c r="H814" s="15"/>
      <c r="I814" s="15"/>
      <c r="J814" s="15" t="s">
        <v>84</v>
      </c>
      <c r="K814" s="15">
        <v>522263189</v>
      </c>
      <c r="L814" s="15" t="s">
        <v>29</v>
      </c>
      <c r="M814" s="15" t="s">
        <v>29</v>
      </c>
    </row>
    <row r="815" spans="1:13" x14ac:dyDescent="0.25">
      <c r="A815" s="23">
        <f t="shared" si="42"/>
        <v>259310</v>
      </c>
      <c r="B815" s="14" t="str">
        <f t="shared" si="41"/>
        <v>Direct Debit (UMB Bank) - Credits</v>
      </c>
      <c r="C815" s="37">
        <v>46162</v>
      </c>
      <c r="D815" s="31">
        <v>259310</v>
      </c>
      <c r="E815" s="33" t="str">
        <f>IF(Table3[[#This Row],[Type Received]]=2,"CC",(IF(Table3[[#This Row],[Type Received]]=3,"BILL","ACH")))</f>
        <v>ACH</v>
      </c>
      <c r="F815" s="32">
        <v>66.150000000000006</v>
      </c>
      <c r="G815" s="14" t="str">
        <f>VLOOKUP(D815,Table4[],3,FALSE)</f>
        <v>2</v>
      </c>
      <c r="H815" s="15"/>
      <c r="I815" s="15">
        <v>90845</v>
      </c>
      <c r="J815" s="15" t="s">
        <v>28</v>
      </c>
      <c r="K815" s="15">
        <v>757259215</v>
      </c>
      <c r="L815" s="15" t="s">
        <v>29</v>
      </c>
      <c r="M815" s="15"/>
    </row>
    <row r="816" spans="1:13" x14ac:dyDescent="0.25">
      <c r="A816" s="23">
        <f t="shared" ref="A816:A823" si="43">D816</f>
        <v>259308</v>
      </c>
      <c r="B816" s="14" t="str">
        <f t="shared" si="41"/>
        <v>Credit Cards (UMB) - Credits</v>
      </c>
      <c r="C816" s="38">
        <v>46157</v>
      </c>
      <c r="D816" s="34">
        <v>259308</v>
      </c>
      <c r="E816" s="36" t="str">
        <f>IF(Table3[[#This Row],[Type Received]]=2,"CC",(IF(Table3[[#This Row],[Type Received]]=3,"BILL","ACH")))</f>
        <v>CC</v>
      </c>
      <c r="F816" s="35">
        <v>77.349999999999994</v>
      </c>
      <c r="G816" s="14" t="str">
        <f>VLOOKUP(D816,Table4[],3,FALSE)</f>
        <v>1</v>
      </c>
      <c r="H816" s="15"/>
      <c r="I816" s="15"/>
      <c r="J816" s="15" t="s">
        <v>87</v>
      </c>
      <c r="K816" s="15">
        <v>696656861</v>
      </c>
      <c r="L816" s="15" t="s">
        <v>29</v>
      </c>
      <c r="M816" s="15"/>
    </row>
    <row r="817" spans="1:13" x14ac:dyDescent="0.25">
      <c r="A817" s="23">
        <f t="shared" si="43"/>
        <v>259306</v>
      </c>
      <c r="B817" s="14" t="str">
        <f t="shared" si="41"/>
        <v>Credit Cards (UMB) - Credits</v>
      </c>
      <c r="C817" s="37">
        <v>46155</v>
      </c>
      <c r="D817" s="31">
        <v>259306</v>
      </c>
      <c r="E817" s="33" t="str">
        <f>IF(Table3[[#This Row],[Type Received]]=2,"CC",(IF(Table3[[#This Row],[Type Received]]=3,"BILL","ACH")))</f>
        <v>CC</v>
      </c>
      <c r="F817" s="32">
        <v>74.05</v>
      </c>
      <c r="G817" s="14" t="str">
        <f>VLOOKUP(D817,Table4[],3,FALSE)</f>
        <v>1</v>
      </c>
      <c r="H817" s="15"/>
      <c r="I817" s="15">
        <v>205</v>
      </c>
      <c r="J817" s="24" t="s">
        <v>28</v>
      </c>
      <c r="K817" s="15">
        <v>669452731</v>
      </c>
      <c r="L817" s="15" t="s">
        <v>29</v>
      </c>
      <c r="M817" s="15"/>
    </row>
    <row r="818" spans="1:13" x14ac:dyDescent="0.25">
      <c r="A818" s="23">
        <f t="shared" si="43"/>
        <v>259305</v>
      </c>
      <c r="B818" s="14" t="str">
        <f t="shared" si="41"/>
        <v>Direct Debit (UMB Bank) - Credits</v>
      </c>
      <c r="C818" s="38">
        <v>46155</v>
      </c>
      <c r="D818" s="34">
        <v>259305</v>
      </c>
      <c r="E818" s="36" t="str">
        <f>IF(Table3[[#This Row],[Type Received]]=2,"CC",(IF(Table3[[#This Row],[Type Received]]=3,"BILL","ACH")))</f>
        <v>ACH</v>
      </c>
      <c r="F818" s="35">
        <v>86.81</v>
      </c>
      <c r="G818" s="14" t="str">
        <f>VLOOKUP(D818,Table4[],3,FALSE)</f>
        <v>1</v>
      </c>
      <c r="H818" s="15"/>
      <c r="I818" s="15" t="s">
        <v>154</v>
      </c>
      <c r="J818" s="15" t="s">
        <v>28</v>
      </c>
      <c r="K818" s="15">
        <v>669458582</v>
      </c>
      <c r="L818" s="15" t="s">
        <v>29</v>
      </c>
      <c r="M818" s="15"/>
    </row>
    <row r="819" spans="1:13" x14ac:dyDescent="0.25">
      <c r="A819" s="23">
        <f t="shared" si="43"/>
        <v>259317</v>
      </c>
      <c r="B819" s="14" t="str">
        <f t="shared" si="41"/>
        <v>Credit Cards (UMB) - Credits</v>
      </c>
      <c r="C819" s="37">
        <v>46143</v>
      </c>
      <c r="D819" s="31">
        <v>259317</v>
      </c>
      <c r="E819" s="33" t="str">
        <f>IF(Table3[[#This Row],[Type Received]]=2,"CC",(IF(Table3[[#This Row],[Type Received]]=3,"BILL","ACH")))</f>
        <v>CC</v>
      </c>
      <c r="F819" s="32">
        <v>48.31</v>
      </c>
      <c r="G819" s="14" t="str">
        <f>VLOOKUP(D819,Table4[],3,FALSE)</f>
        <v>2</v>
      </c>
      <c r="H819" s="15"/>
      <c r="I819" s="15"/>
      <c r="J819" s="15" t="s">
        <v>84</v>
      </c>
      <c r="K819" s="15">
        <v>522264238</v>
      </c>
      <c r="L819" s="15" t="s">
        <v>29</v>
      </c>
      <c r="M819" s="15" t="s">
        <v>29</v>
      </c>
    </row>
    <row r="820" spans="1:13" x14ac:dyDescent="0.25">
      <c r="A820" s="23">
        <f t="shared" si="43"/>
        <v>259313</v>
      </c>
      <c r="B820" s="14" t="str">
        <f t="shared" si="41"/>
        <v>Direct Debit (UMB Bank) - Credits</v>
      </c>
      <c r="C820" s="38">
        <v>46155</v>
      </c>
      <c r="D820" s="34">
        <v>259313</v>
      </c>
      <c r="E820" s="36" t="str">
        <f>IF(Table3[[#This Row],[Type Received]]=2,"CC",(IF(Table3[[#This Row],[Type Received]]=3,"BILL","ACH")))</f>
        <v>ACH</v>
      </c>
      <c r="F820" s="35">
        <v>57.88</v>
      </c>
      <c r="G820" s="14" t="str">
        <f>VLOOKUP(D820,Table4[],3,FALSE)</f>
        <v>2</v>
      </c>
      <c r="H820" s="15"/>
      <c r="I820" s="15">
        <v>20151</v>
      </c>
      <c r="J820" s="24" t="s">
        <v>28</v>
      </c>
      <c r="K820" s="15">
        <v>669471236</v>
      </c>
      <c r="L820" s="15" t="s">
        <v>29</v>
      </c>
      <c r="M820" s="15" t="s">
        <v>29</v>
      </c>
    </row>
    <row r="821" spans="1:13" x14ac:dyDescent="0.25">
      <c r="A821" s="23">
        <f t="shared" si="43"/>
        <v>259323</v>
      </c>
      <c r="B821" s="14" t="str">
        <f t="shared" si="41"/>
        <v>Credit Cards (UMB) - Credits</v>
      </c>
      <c r="C821" s="37">
        <v>46145</v>
      </c>
      <c r="D821" s="31">
        <v>259323</v>
      </c>
      <c r="E821" s="33" t="str">
        <f>IF(Table3[[#This Row],[Type Received]]=2,"CC",(IF(Table3[[#This Row],[Type Received]]=3,"BILL","ACH")))</f>
        <v>CC</v>
      </c>
      <c r="F821" s="32">
        <v>54.47</v>
      </c>
      <c r="G821" s="14" t="str">
        <f>VLOOKUP(D821,Table4[],3,FALSE)</f>
        <v>1</v>
      </c>
      <c r="H821" s="15"/>
      <c r="I821" s="15"/>
      <c r="J821" s="15" t="s">
        <v>113</v>
      </c>
      <c r="K821" s="15">
        <v>546425226</v>
      </c>
      <c r="L821" s="15" t="s">
        <v>29</v>
      </c>
      <c r="M821" s="15" t="s">
        <v>29</v>
      </c>
    </row>
    <row r="822" spans="1:13" x14ac:dyDescent="0.25">
      <c r="A822" s="23">
        <f t="shared" si="43"/>
        <v>259324</v>
      </c>
      <c r="B822" s="14" t="str">
        <f t="shared" si="41"/>
        <v>Direct Debit (UMB Bank) - Credits</v>
      </c>
      <c r="C822" s="38">
        <v>46157</v>
      </c>
      <c r="D822" s="34">
        <v>259324</v>
      </c>
      <c r="E822" s="36" t="str">
        <f>IF(Table3[[#This Row],[Type Received]]=2,"CC",(IF(Table3[[#This Row],[Type Received]]=3,"BILL","ACH")))</f>
        <v>ACH</v>
      </c>
      <c r="F822" s="35">
        <v>101.46</v>
      </c>
      <c r="G822" s="14" t="str">
        <f>VLOOKUP(D822,Table4[],3,FALSE)</f>
        <v>2</v>
      </c>
      <c r="H822" s="15"/>
      <c r="I822" s="15">
        <v>78038</v>
      </c>
      <c r="J822" s="15" t="s">
        <v>28</v>
      </c>
      <c r="K822" s="15">
        <v>697952937</v>
      </c>
      <c r="L822" s="15" t="s">
        <v>29</v>
      </c>
      <c r="M822" s="15" t="s">
        <v>29</v>
      </c>
    </row>
    <row r="823" spans="1:13" x14ac:dyDescent="0.25">
      <c r="A823" s="23">
        <f t="shared" si="43"/>
        <v>259316</v>
      </c>
      <c r="B823" s="14" t="str">
        <f t="shared" si="41"/>
        <v>Direct Debit (UMB Bank) - Credits</v>
      </c>
      <c r="C823" s="37">
        <v>46143</v>
      </c>
      <c r="D823" s="31">
        <v>259316</v>
      </c>
      <c r="E823" s="33" t="str">
        <f>IF(Table3[[#This Row],[Type Received]]=2,"CC",(IF(Table3[[#This Row],[Type Received]]=3,"BILL","ACH")))</f>
        <v>ACH</v>
      </c>
      <c r="F823" s="32">
        <v>57.55</v>
      </c>
      <c r="G823" s="14" t="str">
        <f>VLOOKUP(D823,Table4[],3,FALSE)</f>
        <v>2</v>
      </c>
      <c r="H823" s="15"/>
      <c r="I823" s="15"/>
      <c r="J823" s="15" t="s">
        <v>84</v>
      </c>
      <c r="K823" s="15">
        <v>522239970</v>
      </c>
      <c r="L823" s="15" t="s">
        <v>29</v>
      </c>
      <c r="M823" s="15" t="s">
        <v>29</v>
      </c>
    </row>
    <row r="824" spans="1:13" x14ac:dyDescent="0.25">
      <c r="A824" s="23"/>
      <c r="B824" s="14" t="str">
        <f t="shared" si="41"/>
        <v>Credit Cards (UMB) - Credits</v>
      </c>
      <c r="C824" s="38">
        <v>46157</v>
      </c>
      <c r="D824" s="34">
        <v>259321</v>
      </c>
      <c r="E824" s="36" t="str">
        <f>IF(Table3[[#This Row],[Type Received]]=2,"CC",(IF(Table3[[#This Row],[Type Received]]=3,"BILL","ACH")))</f>
        <v>CC</v>
      </c>
      <c r="F824" s="35">
        <v>62.5</v>
      </c>
      <c r="G824" s="14" t="str">
        <f>VLOOKUP(D824,Table4[],3,FALSE)</f>
        <v>2</v>
      </c>
      <c r="H824" s="15"/>
      <c r="I824" s="15"/>
      <c r="J824" s="15" t="s">
        <v>87</v>
      </c>
      <c r="K824" s="15">
        <v>696671298</v>
      </c>
      <c r="L824" s="15" t="s">
        <v>29</v>
      </c>
      <c r="M824" s="15"/>
    </row>
    <row r="825" spans="1:13" x14ac:dyDescent="0.25">
      <c r="A825" s="23">
        <f t="shared" ref="A825:A856" si="44">D825</f>
        <v>259312</v>
      </c>
      <c r="B825" s="14" t="str">
        <f t="shared" si="41"/>
        <v>Direct Debit (UMB Bank) - Credits</v>
      </c>
      <c r="C825" s="37">
        <v>46155</v>
      </c>
      <c r="D825" s="31">
        <v>259312</v>
      </c>
      <c r="E825" s="33" t="str">
        <f>IF(Table3[[#This Row],[Type Received]]=2,"CC",(IF(Table3[[#This Row],[Type Received]]=3,"BILL","ACH")))</f>
        <v>ACH</v>
      </c>
      <c r="F825" s="32">
        <v>105.4</v>
      </c>
      <c r="G825" s="14" t="str">
        <f>VLOOKUP(D825,Table4[],3,FALSE)</f>
        <v>2</v>
      </c>
      <c r="H825" s="15"/>
      <c r="I825" s="15" t="s">
        <v>155</v>
      </c>
      <c r="J825" s="15" t="s">
        <v>28</v>
      </c>
      <c r="K825" s="15">
        <v>669458598</v>
      </c>
      <c r="L825" s="15" t="s">
        <v>29</v>
      </c>
      <c r="M825" s="15" t="s">
        <v>29</v>
      </c>
    </row>
    <row r="826" spans="1:13" x14ac:dyDescent="0.25">
      <c r="A826" s="23">
        <f t="shared" si="44"/>
        <v>259318</v>
      </c>
      <c r="B826" s="14" t="str">
        <f t="shared" si="41"/>
        <v>Credit Cards (UMB) - Credits</v>
      </c>
      <c r="C826" s="38">
        <v>46143</v>
      </c>
      <c r="D826" s="34">
        <v>259318</v>
      </c>
      <c r="E826" s="36" t="str">
        <f>IF(Table3[[#This Row],[Type Received]]=2,"CC",(IF(Table3[[#This Row],[Type Received]]=3,"BILL","ACH")))</f>
        <v>CC</v>
      </c>
      <c r="F826" s="35">
        <v>117.28</v>
      </c>
      <c r="G826" s="14" t="str">
        <f>VLOOKUP(D826,Table4[],3,FALSE)</f>
        <v>2</v>
      </c>
      <c r="H826" s="15"/>
      <c r="I826" s="15"/>
      <c r="J826" s="15" t="s">
        <v>84</v>
      </c>
      <c r="K826" s="15">
        <v>522249735</v>
      </c>
      <c r="L826" s="15" t="s">
        <v>29</v>
      </c>
      <c r="M826" s="15" t="s">
        <v>29</v>
      </c>
    </row>
    <row r="827" spans="1:13" x14ac:dyDescent="0.25">
      <c r="A827" s="23">
        <f t="shared" si="44"/>
        <v>259335</v>
      </c>
      <c r="B827" s="14" t="str">
        <f t="shared" si="41"/>
        <v>Credit Cards (UMB) - Credits</v>
      </c>
      <c r="C827" s="37">
        <v>46155</v>
      </c>
      <c r="D827" s="31">
        <v>259335</v>
      </c>
      <c r="E827" s="33" t="str">
        <f>IF(Table3[[#This Row],[Type Received]]=2,"CC",(IF(Table3[[#This Row],[Type Received]]=3,"BILL","ACH")))</f>
        <v>CC</v>
      </c>
      <c r="F827" s="32">
        <v>112.99</v>
      </c>
      <c r="G827" s="14" t="str">
        <f>VLOOKUP(D827,Table4[],3,FALSE)</f>
        <v>2</v>
      </c>
      <c r="H827" s="15"/>
      <c r="I827" s="15">
        <v>9221</v>
      </c>
      <c r="J827" s="15" t="s">
        <v>28</v>
      </c>
      <c r="K827" s="15">
        <v>669454705</v>
      </c>
      <c r="L827" s="15" t="s">
        <v>29</v>
      </c>
      <c r="M827" s="15"/>
    </row>
    <row r="828" spans="1:13" x14ac:dyDescent="0.25">
      <c r="A828" s="23">
        <f t="shared" si="44"/>
        <v>259338</v>
      </c>
      <c r="B828" s="14" t="str">
        <f t="shared" si="41"/>
        <v>Direct Debit (UMB Bank) - Credits</v>
      </c>
      <c r="C828" s="38">
        <v>46170</v>
      </c>
      <c r="D828" s="34">
        <v>259338</v>
      </c>
      <c r="E828" s="36" t="str">
        <f>IF(Table3[[#This Row],[Type Received]]=2,"CC",(IF(Table3[[#This Row],[Type Received]]=3,"BILL","ACH")))</f>
        <v>ACH</v>
      </c>
      <c r="F828" s="35">
        <v>55.37</v>
      </c>
      <c r="G828" s="14" t="str">
        <f>VLOOKUP(D828,Table4[],3,FALSE)</f>
        <v>1</v>
      </c>
      <c r="H828" s="15"/>
      <c r="I828" s="15">
        <v>76108</v>
      </c>
      <c r="J828" s="15" t="s">
        <v>28</v>
      </c>
      <c r="K828" s="15">
        <v>859354480</v>
      </c>
      <c r="L828" s="15" t="s">
        <v>29</v>
      </c>
      <c r="M828" s="15" t="s">
        <v>29</v>
      </c>
    </row>
    <row r="829" spans="1:13" x14ac:dyDescent="0.25">
      <c r="A829" s="23">
        <f t="shared" si="44"/>
        <v>259346</v>
      </c>
      <c r="B829" s="14" t="str">
        <f t="shared" si="41"/>
        <v>Credit Cards (UMB) - Credits</v>
      </c>
      <c r="C829" s="37">
        <v>46169</v>
      </c>
      <c r="D829" s="31">
        <v>259346</v>
      </c>
      <c r="E829" s="33" t="str">
        <f>IF(Table3[[#This Row],[Type Received]]=2,"CC",(IF(Table3[[#This Row],[Type Received]]=3,"BILL","ACH")))</f>
        <v>CC</v>
      </c>
      <c r="F829" s="32">
        <v>90.22</v>
      </c>
      <c r="G829" s="14" t="str">
        <f>VLOOKUP(D829,Table4[],3,FALSE)</f>
        <v>2</v>
      </c>
      <c r="H829" s="15"/>
      <c r="I829" s="15"/>
      <c r="J829" s="15" t="s">
        <v>117</v>
      </c>
      <c r="K829" s="15">
        <v>840829023</v>
      </c>
      <c r="L829" s="15" t="s">
        <v>29</v>
      </c>
      <c r="M829" s="15"/>
    </row>
    <row r="830" spans="1:13" x14ac:dyDescent="0.25">
      <c r="A830" s="23">
        <f t="shared" si="44"/>
        <v>259352</v>
      </c>
      <c r="B830" s="14" t="str">
        <f t="shared" si="41"/>
        <v>Credit Cards (UMB) - Credits</v>
      </c>
      <c r="C830" s="38">
        <v>46145</v>
      </c>
      <c r="D830" s="34">
        <v>259352</v>
      </c>
      <c r="E830" s="36" t="str">
        <f>IF(Table3[[#This Row],[Type Received]]=2,"CC",(IF(Table3[[#This Row],[Type Received]]=3,"BILL","ACH")))</f>
        <v>CC</v>
      </c>
      <c r="F830" s="35">
        <v>64.48</v>
      </c>
      <c r="G830" s="14" t="str">
        <f>VLOOKUP(D830,Table4[],3,FALSE)</f>
        <v>2</v>
      </c>
      <c r="H830" s="15"/>
      <c r="I830" s="15">
        <v>584930</v>
      </c>
      <c r="J830" s="15" t="s">
        <v>28</v>
      </c>
      <c r="K830" s="15">
        <v>546420586</v>
      </c>
      <c r="L830" s="15" t="s">
        <v>29</v>
      </c>
      <c r="M830" s="15"/>
    </row>
    <row r="831" spans="1:13" x14ac:dyDescent="0.25">
      <c r="A831" s="23">
        <f t="shared" si="44"/>
        <v>259343</v>
      </c>
      <c r="B831" s="14" t="str">
        <f t="shared" si="41"/>
        <v>Direct Debit (UMB Bank) - Credits</v>
      </c>
      <c r="C831" s="37">
        <v>46155</v>
      </c>
      <c r="D831" s="31">
        <v>259343</v>
      </c>
      <c r="E831" s="33" t="str">
        <f>IF(Table3[[#This Row],[Type Received]]=2,"CC",(IF(Table3[[#This Row],[Type Received]]=3,"BILL","ACH")))</f>
        <v>ACH</v>
      </c>
      <c r="F831" s="32">
        <v>50.95</v>
      </c>
      <c r="G831" s="14" t="str">
        <f>VLOOKUP(D831,Table4[],3,FALSE)</f>
        <v>2</v>
      </c>
      <c r="H831" s="15"/>
      <c r="I831" s="15" t="s">
        <v>156</v>
      </c>
      <c r="J831" s="15" t="s">
        <v>28</v>
      </c>
      <c r="K831" s="15">
        <v>669458603</v>
      </c>
      <c r="L831" s="15" t="s">
        <v>29</v>
      </c>
      <c r="M831" s="15" t="s">
        <v>29</v>
      </c>
    </row>
    <row r="832" spans="1:13" x14ac:dyDescent="0.25">
      <c r="A832" s="23">
        <f t="shared" si="44"/>
        <v>259348</v>
      </c>
      <c r="B832" s="14" t="str">
        <f t="shared" si="41"/>
        <v>Direct Debit (UMB Bank) - Credits</v>
      </c>
      <c r="C832" s="38">
        <v>46143</v>
      </c>
      <c r="D832" s="34">
        <v>259348</v>
      </c>
      <c r="E832" s="36" t="str">
        <f>IF(Table3[[#This Row],[Type Received]]=2,"CC",(IF(Table3[[#This Row],[Type Received]]=3,"BILL","ACH")))</f>
        <v>ACH</v>
      </c>
      <c r="F832" s="35">
        <v>170.74</v>
      </c>
      <c r="G832" s="14" t="str">
        <f>VLOOKUP(D832,Table4[],3,FALSE)</f>
        <v>2</v>
      </c>
      <c r="H832" s="15"/>
      <c r="I832" s="15"/>
      <c r="J832" s="15" t="s">
        <v>84</v>
      </c>
      <c r="K832" s="15">
        <v>522262338</v>
      </c>
      <c r="L832" s="15" t="s">
        <v>29</v>
      </c>
      <c r="M832" s="15" t="s">
        <v>29</v>
      </c>
    </row>
    <row r="833" spans="1:13" x14ac:dyDescent="0.25">
      <c r="A833" s="23">
        <f t="shared" si="44"/>
        <v>259358</v>
      </c>
      <c r="B833" s="14" t="str">
        <f t="shared" si="41"/>
        <v>Direct Debit (UMB Bank) - Credits</v>
      </c>
      <c r="C833" s="37">
        <v>46169</v>
      </c>
      <c r="D833" s="31">
        <v>259358</v>
      </c>
      <c r="E833" s="33" t="str">
        <f>IF(Table3[[#This Row],[Type Received]]=2,"CC",(IF(Table3[[#This Row],[Type Received]]=3,"BILL","ACH")))</f>
        <v>ACH</v>
      </c>
      <c r="F833" s="32">
        <v>71.08</v>
      </c>
      <c r="G833" s="14" t="str">
        <f>VLOOKUP(D833,Table4[],3,FALSE)</f>
        <v>2</v>
      </c>
      <c r="H833" s="15"/>
      <c r="I833" s="15"/>
      <c r="J833" s="15" t="s">
        <v>117</v>
      </c>
      <c r="K833" s="15">
        <v>840842542</v>
      </c>
      <c r="L833" s="15" t="s">
        <v>29</v>
      </c>
      <c r="M833" s="15" t="s">
        <v>29</v>
      </c>
    </row>
    <row r="834" spans="1:13" x14ac:dyDescent="0.25">
      <c r="A834" s="23">
        <f t="shared" si="44"/>
        <v>259360</v>
      </c>
      <c r="B834" s="14" t="str">
        <f t="shared" ref="B834:B897" si="45">IF(AND(E834="BILL",F834&lt;0),"Billing &amp; Direct Debit - Refunds",(IF(AND(E834="BILL",F834&gt;0),"Billing - Credits (from TPA)",(IF(AND(E834="CC",F834&lt;0),"Credit Cards (UMB) - Refunds",(IF(AND(E834="CC",F834&gt;0),"Credit Cards (UMB) - Credits",(IF(AND(E834="ACH",F834&gt;0),"Direct Debit (UMB Bank) - Credits","Direct Debit (UMB Bank) - Returned Items")))))))))</f>
        <v>Credit Cards (UMB) - Credits</v>
      </c>
      <c r="C834" s="38">
        <v>46144</v>
      </c>
      <c r="D834" s="34">
        <v>259360</v>
      </c>
      <c r="E834" s="36" t="str">
        <f>IF(Table3[[#This Row],[Type Received]]=2,"CC",(IF(Table3[[#This Row],[Type Received]]=3,"BILL","ACH")))</f>
        <v>CC</v>
      </c>
      <c r="F834" s="35">
        <v>39.950000000000003</v>
      </c>
      <c r="G834" s="14" t="str">
        <f>VLOOKUP(D834,Table4[],3,FALSE)</f>
        <v>1</v>
      </c>
      <c r="H834" s="15"/>
      <c r="I834" s="15"/>
      <c r="J834" s="15" t="s">
        <v>89</v>
      </c>
      <c r="K834" s="15">
        <v>535350794</v>
      </c>
      <c r="L834" s="15" t="s">
        <v>29</v>
      </c>
      <c r="M834" s="15" t="s">
        <v>29</v>
      </c>
    </row>
    <row r="835" spans="1:13" x14ac:dyDescent="0.25">
      <c r="A835" s="23">
        <f t="shared" si="44"/>
        <v>259357</v>
      </c>
      <c r="B835" s="14" t="str">
        <f t="shared" si="45"/>
        <v>Credit Cards (UMB) - Credits</v>
      </c>
      <c r="C835" s="37">
        <v>46155</v>
      </c>
      <c r="D835" s="31">
        <v>259357</v>
      </c>
      <c r="E835" s="33" t="str">
        <f>IF(Table3[[#This Row],[Type Received]]=2,"CC",(IF(Table3[[#This Row],[Type Received]]=3,"BILL","ACH")))</f>
        <v>CC</v>
      </c>
      <c r="F835" s="32">
        <v>34.450000000000003</v>
      </c>
      <c r="G835" s="14" t="str">
        <f>VLOOKUP(D835,Table4[],3,FALSE)</f>
        <v>2</v>
      </c>
      <c r="H835" s="15"/>
      <c r="I835" s="15" t="s">
        <v>157</v>
      </c>
      <c r="J835" s="15" t="s">
        <v>28</v>
      </c>
      <c r="K835" s="15">
        <v>669452755</v>
      </c>
      <c r="L835" s="15" t="s">
        <v>29</v>
      </c>
      <c r="M835" s="15" t="s">
        <v>29</v>
      </c>
    </row>
    <row r="836" spans="1:13" x14ac:dyDescent="0.25">
      <c r="A836" s="23">
        <f t="shared" si="44"/>
        <v>259364</v>
      </c>
      <c r="B836" s="14" t="str">
        <f t="shared" si="45"/>
        <v>Direct Debit (UMB Bank) - Credits</v>
      </c>
      <c r="C836" s="38">
        <v>46155</v>
      </c>
      <c r="D836" s="34">
        <v>259364</v>
      </c>
      <c r="E836" s="36" t="str">
        <f>IF(Table3[[#This Row],[Type Received]]=2,"CC",(IF(Table3[[#This Row],[Type Received]]=3,"BILL","ACH")))</f>
        <v>ACH</v>
      </c>
      <c r="F836" s="35">
        <v>57.55</v>
      </c>
      <c r="G836" s="14" t="str">
        <f>VLOOKUP(D836,Table4[],3,FALSE)</f>
        <v>2</v>
      </c>
      <c r="H836" s="15"/>
      <c r="I836" s="15">
        <v>743377</v>
      </c>
      <c r="J836" s="15" t="s">
        <v>28</v>
      </c>
      <c r="K836" s="15">
        <v>669460550</v>
      </c>
      <c r="L836" s="15" t="s">
        <v>29</v>
      </c>
      <c r="M836" s="15"/>
    </row>
    <row r="837" spans="1:13" x14ac:dyDescent="0.25">
      <c r="A837" s="23">
        <f t="shared" si="44"/>
        <v>259368</v>
      </c>
      <c r="B837" s="14" t="str">
        <f t="shared" si="45"/>
        <v>Direct Debit (UMB Bank) - Credits</v>
      </c>
      <c r="C837" s="37">
        <v>46157</v>
      </c>
      <c r="D837" s="31">
        <v>259368</v>
      </c>
      <c r="E837" s="33" t="str">
        <f>IF(Table3[[#This Row],[Type Received]]=2,"CC",(IF(Table3[[#This Row],[Type Received]]=3,"BILL","ACH")))</f>
        <v>ACH</v>
      </c>
      <c r="F837" s="32">
        <v>71.41</v>
      </c>
      <c r="G837" s="14" t="str">
        <f>VLOOKUP(D837,Table4[],3,FALSE)</f>
        <v>1</v>
      </c>
      <c r="H837" s="15"/>
      <c r="I837" s="15"/>
      <c r="J837" s="15" t="s">
        <v>87</v>
      </c>
      <c r="K837" s="15">
        <v>696678121</v>
      </c>
      <c r="L837" s="15" t="s">
        <v>29</v>
      </c>
      <c r="M837" s="15"/>
    </row>
    <row r="838" spans="1:13" x14ac:dyDescent="0.25">
      <c r="A838" s="23">
        <f t="shared" si="44"/>
        <v>259370</v>
      </c>
      <c r="B838" s="14" t="str">
        <f t="shared" si="45"/>
        <v>Billing - Credits (from TPA)</v>
      </c>
      <c r="C838" s="38">
        <v>46169</v>
      </c>
      <c r="D838" s="34">
        <v>259370</v>
      </c>
      <c r="E838" s="36" t="str">
        <f>IF(Table3[[#This Row],[Type Received]]=2,"CC",(IF(Table3[[#This Row],[Type Received]]=3,"BILL","ACH")))</f>
        <v>BILL</v>
      </c>
      <c r="F838" s="35">
        <v>36.65</v>
      </c>
      <c r="G838" s="14" t="str">
        <f>VLOOKUP(D838,Table4[],3,FALSE)</f>
        <v>1</v>
      </c>
      <c r="H838" s="15"/>
      <c r="I838" s="15"/>
      <c r="J838" s="15" t="s">
        <v>117</v>
      </c>
      <c r="K838" s="15">
        <v>840830034</v>
      </c>
      <c r="L838" s="15" t="s">
        <v>29</v>
      </c>
      <c r="M838" s="15" t="s">
        <v>29</v>
      </c>
    </row>
    <row r="839" spans="1:13" x14ac:dyDescent="0.25">
      <c r="A839" s="23">
        <f t="shared" si="44"/>
        <v>259374</v>
      </c>
      <c r="B839" s="14" t="str">
        <f t="shared" si="45"/>
        <v>Direct Debit (UMB Bank) - Credits</v>
      </c>
      <c r="C839" s="37">
        <v>46146</v>
      </c>
      <c r="D839" s="31">
        <v>259374</v>
      </c>
      <c r="E839" s="33" t="str">
        <f>IF(Table3[[#This Row],[Type Received]]=2,"CC",(IF(Table3[[#This Row],[Type Received]]=3,"BILL","ACH")))</f>
        <v>ACH</v>
      </c>
      <c r="F839" s="32">
        <v>53.28</v>
      </c>
      <c r="G839" s="14" t="str">
        <f>VLOOKUP(D839,Table4[],3,FALSE)</f>
        <v>2</v>
      </c>
      <c r="H839" s="15">
        <v>40053023</v>
      </c>
      <c r="I839" s="15"/>
      <c r="J839" s="24"/>
      <c r="K839" s="15"/>
      <c r="L839" s="15"/>
      <c r="M839" s="15" t="s">
        <v>29</v>
      </c>
    </row>
    <row r="840" spans="1:13" x14ac:dyDescent="0.25">
      <c r="A840" s="23">
        <f t="shared" si="44"/>
        <v>259386</v>
      </c>
      <c r="B840" s="14" t="str">
        <f t="shared" si="45"/>
        <v>Direct Debit (UMB Bank) - Credits</v>
      </c>
      <c r="C840" s="38">
        <v>46155</v>
      </c>
      <c r="D840" s="34">
        <v>259386</v>
      </c>
      <c r="E840" s="36" t="str">
        <f>IF(Table3[[#This Row],[Type Received]]=2,"CC",(IF(Table3[[#This Row],[Type Received]]=3,"BILL","ACH")))</f>
        <v>ACH</v>
      </c>
      <c r="F840" s="35">
        <v>54.03</v>
      </c>
      <c r="G840" s="14" t="str">
        <f>VLOOKUP(D840,Table4[],3,FALSE)</f>
        <v>1</v>
      </c>
      <c r="H840" s="15"/>
      <c r="I840" s="15"/>
      <c r="J840" s="15" t="s">
        <v>90</v>
      </c>
      <c r="K840" s="15">
        <v>669454732</v>
      </c>
      <c r="L840" s="15" t="s">
        <v>29</v>
      </c>
      <c r="M840" s="15"/>
    </row>
    <row r="841" spans="1:13" x14ac:dyDescent="0.25">
      <c r="A841" s="23">
        <f t="shared" si="44"/>
        <v>259390</v>
      </c>
      <c r="B841" s="14" t="str">
        <f t="shared" si="45"/>
        <v>Direct Debit (UMB Bank) - Credits</v>
      </c>
      <c r="C841" s="37">
        <v>46157</v>
      </c>
      <c r="D841" s="31">
        <v>259390</v>
      </c>
      <c r="E841" s="33" t="str">
        <f>IF(Table3[[#This Row],[Type Received]]=2,"CC",(IF(Table3[[#This Row],[Type Received]]=3,"BILL","ACH")))</f>
        <v>ACH</v>
      </c>
      <c r="F841" s="32">
        <v>52.71</v>
      </c>
      <c r="G841" s="14" t="str">
        <f>VLOOKUP(D841,Table4[],3,FALSE)</f>
        <v>1</v>
      </c>
      <c r="H841" s="15"/>
      <c r="I841" s="15"/>
      <c r="J841" s="24" t="s">
        <v>87</v>
      </c>
      <c r="K841" s="15">
        <v>696661722</v>
      </c>
      <c r="L841" s="15" t="s">
        <v>29</v>
      </c>
      <c r="M841" s="15" t="s">
        <v>29</v>
      </c>
    </row>
    <row r="842" spans="1:13" x14ac:dyDescent="0.25">
      <c r="A842" s="23">
        <f t="shared" si="44"/>
        <v>259391</v>
      </c>
      <c r="B842" s="14" t="str">
        <f t="shared" si="45"/>
        <v>Direct Debit (UMB Bank) - Credits</v>
      </c>
      <c r="C842" s="38">
        <v>46144</v>
      </c>
      <c r="D842" s="34">
        <v>259391</v>
      </c>
      <c r="E842" s="36" t="str">
        <f>IF(Table3[[#This Row],[Type Received]]=2,"CC",(IF(Table3[[#This Row],[Type Received]]=3,"BILL","ACH")))</f>
        <v>ACH</v>
      </c>
      <c r="F842" s="35">
        <v>110.35</v>
      </c>
      <c r="G842" s="14" t="str">
        <f>VLOOKUP(D842,Table4[],3,FALSE)</f>
        <v>2</v>
      </c>
      <c r="H842" s="15"/>
      <c r="I842" s="15"/>
      <c r="J842" s="15" t="s">
        <v>89</v>
      </c>
      <c r="K842" s="15">
        <v>535363427</v>
      </c>
      <c r="L842" s="15" t="s">
        <v>29</v>
      </c>
      <c r="M842" s="15" t="s">
        <v>29</v>
      </c>
    </row>
    <row r="843" spans="1:13" x14ac:dyDescent="0.25">
      <c r="A843" s="23">
        <f t="shared" si="44"/>
        <v>259392</v>
      </c>
      <c r="B843" s="14" t="str">
        <f t="shared" si="45"/>
        <v>Direct Debit (UMB Bank) - Credits</v>
      </c>
      <c r="C843" s="37">
        <v>46169</v>
      </c>
      <c r="D843" s="31">
        <v>259392</v>
      </c>
      <c r="E843" s="33" t="str">
        <f>IF(Table3[[#This Row],[Type Received]]=2,"CC",(IF(Table3[[#This Row],[Type Received]]=3,"BILL","ACH")))</f>
        <v>ACH</v>
      </c>
      <c r="F843" s="32">
        <v>124.21</v>
      </c>
      <c r="G843" s="14" t="str">
        <f>VLOOKUP(D843,Table4[],3,FALSE)</f>
        <v>2</v>
      </c>
      <c r="H843" s="15"/>
      <c r="I843" s="15"/>
      <c r="J843" s="15" t="s">
        <v>117</v>
      </c>
      <c r="K843" s="15">
        <v>840841692</v>
      </c>
      <c r="L843" s="15" t="s">
        <v>29</v>
      </c>
      <c r="M843" s="15" t="s">
        <v>29</v>
      </c>
    </row>
    <row r="844" spans="1:13" x14ac:dyDescent="0.25">
      <c r="A844" s="23">
        <f t="shared" si="44"/>
        <v>259387</v>
      </c>
      <c r="B844" s="14" t="str">
        <f t="shared" si="45"/>
        <v>Credit Cards (UMB) - Credits</v>
      </c>
      <c r="C844" s="38">
        <v>46157</v>
      </c>
      <c r="D844" s="34">
        <v>259387</v>
      </c>
      <c r="E844" s="36" t="str">
        <f>IF(Table3[[#This Row],[Type Received]]=2,"CC",(IF(Table3[[#This Row],[Type Received]]=3,"BILL","ACH")))</f>
        <v>CC</v>
      </c>
      <c r="F844" s="35">
        <v>90.55</v>
      </c>
      <c r="G844" s="14" t="str">
        <f>VLOOKUP(D844,Table4[],3,FALSE)</f>
        <v>2</v>
      </c>
      <c r="H844" s="15"/>
      <c r="I844" s="15"/>
      <c r="J844" s="15" t="s">
        <v>87</v>
      </c>
      <c r="K844" s="15">
        <v>696666576</v>
      </c>
      <c r="L844" s="15" t="s">
        <v>29</v>
      </c>
      <c r="M844" s="15" t="s">
        <v>29</v>
      </c>
    </row>
    <row r="845" spans="1:13" x14ac:dyDescent="0.25">
      <c r="A845" s="23">
        <f t="shared" si="44"/>
        <v>259384</v>
      </c>
      <c r="B845" s="14" t="str">
        <f t="shared" si="45"/>
        <v>Direct Debit (UMB Bank) - Credits</v>
      </c>
      <c r="C845" s="37">
        <v>46163</v>
      </c>
      <c r="D845" s="31">
        <v>259384</v>
      </c>
      <c r="E845" s="33" t="str">
        <f>IF(Table3[[#This Row],[Type Received]]=2,"CC",(IF(Table3[[#This Row],[Type Received]]=3,"BILL","ACH")))</f>
        <v>ACH</v>
      </c>
      <c r="F845" s="32">
        <v>28.95</v>
      </c>
      <c r="G845" s="14" t="str">
        <f>VLOOKUP(D845,Table4[],3,FALSE)</f>
        <v>1</v>
      </c>
      <c r="H845" s="15"/>
      <c r="I845" s="15">
        <v>21122</v>
      </c>
      <c r="J845" s="15" t="s">
        <v>28</v>
      </c>
      <c r="K845" s="15">
        <v>774740921</v>
      </c>
      <c r="L845" s="15" t="s">
        <v>29</v>
      </c>
      <c r="M845" s="15" t="s">
        <v>29</v>
      </c>
    </row>
    <row r="846" spans="1:13" x14ac:dyDescent="0.25">
      <c r="A846" s="23">
        <f t="shared" si="44"/>
        <v>259388</v>
      </c>
      <c r="B846" s="14" t="str">
        <f t="shared" si="45"/>
        <v>Direct Debit (UMB Bank) - Credits</v>
      </c>
      <c r="C846" s="38">
        <v>46157</v>
      </c>
      <c r="D846" s="34">
        <v>259388</v>
      </c>
      <c r="E846" s="36" t="str">
        <f>IF(Table3[[#This Row],[Type Received]]=2,"CC",(IF(Table3[[#This Row],[Type Received]]=3,"BILL","ACH")))</f>
        <v>ACH</v>
      </c>
      <c r="F846" s="35">
        <v>105.4</v>
      </c>
      <c r="G846" s="14" t="str">
        <f>VLOOKUP(D846,Table4[],3,FALSE)</f>
        <v>2</v>
      </c>
      <c r="H846" s="15"/>
      <c r="I846" s="15"/>
      <c r="J846" s="15" t="s">
        <v>87</v>
      </c>
      <c r="K846" s="15">
        <v>696656916</v>
      </c>
      <c r="L846" s="15" t="s">
        <v>29</v>
      </c>
      <c r="M846" s="15" t="s">
        <v>29</v>
      </c>
    </row>
    <row r="847" spans="1:13" x14ac:dyDescent="0.25">
      <c r="A847" s="23">
        <f t="shared" si="44"/>
        <v>259394</v>
      </c>
      <c r="B847" s="14" t="str">
        <f t="shared" si="45"/>
        <v>Direct Debit (UMB Bank) - Credits</v>
      </c>
      <c r="C847" s="37">
        <v>46169</v>
      </c>
      <c r="D847" s="31">
        <v>259394</v>
      </c>
      <c r="E847" s="33" t="str">
        <f>IF(Table3[[#This Row],[Type Received]]=2,"CC",(IF(Table3[[#This Row],[Type Received]]=3,"BILL","ACH")))</f>
        <v>ACH</v>
      </c>
      <c r="F847" s="32">
        <v>75.59</v>
      </c>
      <c r="G847" s="14" t="str">
        <f>VLOOKUP(D847,Table4[],3,FALSE)</f>
        <v>1</v>
      </c>
      <c r="H847" s="15"/>
      <c r="I847" s="15"/>
      <c r="J847" s="15" t="s">
        <v>117</v>
      </c>
      <c r="K847" s="15">
        <v>840851263</v>
      </c>
      <c r="L847" s="15" t="s">
        <v>29</v>
      </c>
      <c r="M847" s="15" t="s">
        <v>29</v>
      </c>
    </row>
    <row r="848" spans="1:13" x14ac:dyDescent="0.25">
      <c r="A848" s="23">
        <f t="shared" si="44"/>
        <v>259393</v>
      </c>
      <c r="B848" s="14" t="str">
        <f t="shared" si="45"/>
        <v>Direct Debit (UMB Bank) - Credits</v>
      </c>
      <c r="C848" s="38">
        <v>46169</v>
      </c>
      <c r="D848" s="34">
        <v>259393</v>
      </c>
      <c r="E848" s="36" t="str">
        <f>IF(Table3[[#This Row],[Type Received]]=2,"CC",(IF(Table3[[#This Row],[Type Received]]=3,"BILL","ACH")))</f>
        <v>ACH</v>
      </c>
      <c r="F848" s="35">
        <v>28.95</v>
      </c>
      <c r="G848" s="14" t="str">
        <f>VLOOKUP(D848,Table4[],3,FALSE)</f>
        <v>1</v>
      </c>
      <c r="H848" s="15"/>
      <c r="I848" s="15"/>
      <c r="J848" s="15" t="s">
        <v>117</v>
      </c>
      <c r="K848" s="15">
        <v>840834873</v>
      </c>
      <c r="L848" s="15" t="s">
        <v>29</v>
      </c>
      <c r="M848" s="15"/>
    </row>
    <row r="849" spans="1:13" x14ac:dyDescent="0.25">
      <c r="A849" s="23">
        <f t="shared" si="44"/>
        <v>259410</v>
      </c>
      <c r="B849" s="14" t="str">
        <f t="shared" si="45"/>
        <v>Credit Cards (UMB) - Credits</v>
      </c>
      <c r="C849" s="37">
        <v>46169</v>
      </c>
      <c r="D849" s="31">
        <v>259410</v>
      </c>
      <c r="E849" s="33" t="str">
        <f>IF(Table3[[#This Row],[Type Received]]=2,"CC",(IF(Table3[[#This Row],[Type Received]]=3,"BILL","ACH")))</f>
        <v>CC</v>
      </c>
      <c r="F849" s="32">
        <v>42.7</v>
      </c>
      <c r="G849" s="14" t="str">
        <f>VLOOKUP(D849,Table4[],3,FALSE)</f>
        <v>2</v>
      </c>
      <c r="H849" s="15"/>
      <c r="I849" s="15"/>
      <c r="J849" s="24" t="s">
        <v>117</v>
      </c>
      <c r="K849" s="15">
        <v>840840758</v>
      </c>
      <c r="L849" s="15" t="s">
        <v>29</v>
      </c>
      <c r="M849" s="15"/>
    </row>
    <row r="850" spans="1:13" x14ac:dyDescent="0.25">
      <c r="A850" s="23">
        <f t="shared" si="44"/>
        <v>259416</v>
      </c>
      <c r="B850" s="14" t="str">
        <f t="shared" si="45"/>
        <v>Credit Cards (UMB) - Credits</v>
      </c>
      <c r="C850" s="38">
        <v>46155</v>
      </c>
      <c r="D850" s="34">
        <v>259416</v>
      </c>
      <c r="E850" s="36" t="str">
        <f>IF(Table3[[#This Row],[Type Received]]=2,"CC",(IF(Table3[[#This Row],[Type Received]]=3,"BILL","ACH")))</f>
        <v>CC</v>
      </c>
      <c r="F850" s="35">
        <v>111.67</v>
      </c>
      <c r="G850" s="14" t="str">
        <f>VLOOKUP(D850,Table4[],3,FALSE)</f>
        <v>2</v>
      </c>
      <c r="H850" s="15"/>
      <c r="I850" s="15">
        <v>9898</v>
      </c>
      <c r="J850" s="15" t="s">
        <v>28</v>
      </c>
      <c r="K850" s="15">
        <v>669470335</v>
      </c>
      <c r="L850" s="15" t="s">
        <v>29</v>
      </c>
      <c r="M850" s="15" t="s">
        <v>29</v>
      </c>
    </row>
    <row r="851" spans="1:13" x14ac:dyDescent="0.25">
      <c r="A851" s="23">
        <f t="shared" si="44"/>
        <v>259419</v>
      </c>
      <c r="B851" s="14" t="str">
        <f t="shared" si="45"/>
        <v>Credit Cards (UMB) - Credits</v>
      </c>
      <c r="C851" s="37">
        <v>46147</v>
      </c>
      <c r="D851" s="31">
        <v>259419</v>
      </c>
      <c r="E851" s="33" t="str">
        <f>IF(Table3[[#This Row],[Type Received]]=2,"CC",(IF(Table3[[#This Row],[Type Received]]=3,"BILL","ACH")))</f>
        <v>CC</v>
      </c>
      <c r="F851" s="32">
        <v>100.45</v>
      </c>
      <c r="G851" s="14" t="str">
        <f>VLOOKUP(D851,Table4[],3,FALSE)</f>
        <v>1</v>
      </c>
      <c r="H851" s="15"/>
      <c r="I851" s="15" t="s">
        <v>158</v>
      </c>
      <c r="J851" s="15" t="s">
        <v>28</v>
      </c>
      <c r="K851" s="15">
        <v>569484331</v>
      </c>
      <c r="L851" s="15" t="s">
        <v>29</v>
      </c>
      <c r="M851" s="15" t="s">
        <v>29</v>
      </c>
    </row>
    <row r="852" spans="1:13" x14ac:dyDescent="0.25">
      <c r="A852" s="23">
        <f t="shared" si="44"/>
        <v>259418</v>
      </c>
      <c r="B852" s="14" t="str">
        <f t="shared" si="45"/>
        <v>Direct Debit (UMB Bank) - Credits</v>
      </c>
      <c r="C852" s="38">
        <v>46155</v>
      </c>
      <c r="D852" s="34">
        <v>259418</v>
      </c>
      <c r="E852" s="36" t="str">
        <f>IF(Table3[[#This Row],[Type Received]]=2,"CC",(IF(Table3[[#This Row],[Type Received]]=3,"BILL","ACH")))</f>
        <v>ACH</v>
      </c>
      <c r="F852" s="35">
        <v>83.95</v>
      </c>
      <c r="G852" s="14" t="str">
        <f>VLOOKUP(D852,Table4[],3,FALSE)</f>
        <v>1</v>
      </c>
      <c r="H852" s="15"/>
      <c r="I852" s="15" t="s">
        <v>159</v>
      </c>
      <c r="J852" s="15" t="s">
        <v>28</v>
      </c>
      <c r="K852" s="15">
        <v>669454771</v>
      </c>
      <c r="L852" s="15" t="s">
        <v>29</v>
      </c>
      <c r="M852" s="15" t="s">
        <v>29</v>
      </c>
    </row>
    <row r="853" spans="1:13" x14ac:dyDescent="0.25">
      <c r="A853" s="23">
        <f t="shared" si="44"/>
        <v>259430</v>
      </c>
      <c r="B853" s="14" t="str">
        <f t="shared" si="45"/>
        <v>Direct Debit (UMB Bank) - Credits</v>
      </c>
      <c r="C853" s="37">
        <v>46169</v>
      </c>
      <c r="D853" s="31">
        <v>259430</v>
      </c>
      <c r="E853" s="33" t="str">
        <f>IF(Table3[[#This Row],[Type Received]]=2,"CC",(IF(Table3[[#This Row],[Type Received]]=3,"BILL","ACH")))</f>
        <v>ACH</v>
      </c>
      <c r="F853" s="32">
        <v>123.22</v>
      </c>
      <c r="G853" s="14" t="str">
        <f>VLOOKUP(D853,Table4[],3,FALSE)</f>
        <v>2</v>
      </c>
      <c r="H853" s="15"/>
      <c r="I853" s="15"/>
      <c r="J853" s="24" t="s">
        <v>117</v>
      </c>
      <c r="K853" s="15">
        <v>842215339</v>
      </c>
      <c r="L853" s="15" t="s">
        <v>29</v>
      </c>
      <c r="M853" s="15" t="s">
        <v>29</v>
      </c>
    </row>
    <row r="854" spans="1:13" x14ac:dyDescent="0.25">
      <c r="A854" s="23">
        <f t="shared" si="44"/>
        <v>259439</v>
      </c>
      <c r="B854" s="14" t="str">
        <f t="shared" si="45"/>
        <v>Credit Cards (UMB) - Credits</v>
      </c>
      <c r="C854" s="38">
        <v>46169</v>
      </c>
      <c r="D854" s="34">
        <v>259439</v>
      </c>
      <c r="E854" s="36" t="str">
        <f>IF(Table3[[#This Row],[Type Received]]=2,"CC",(IF(Table3[[#This Row],[Type Received]]=3,"BILL","ACH")))</f>
        <v>CC</v>
      </c>
      <c r="F854" s="35">
        <v>77.349999999999994</v>
      </c>
      <c r="G854" s="14" t="str">
        <f>VLOOKUP(D854,Table4[],3,FALSE)</f>
        <v>2</v>
      </c>
      <c r="H854" s="15"/>
      <c r="I854" s="15"/>
      <c r="J854" s="24" t="s">
        <v>117</v>
      </c>
      <c r="K854" s="15">
        <v>842213503</v>
      </c>
      <c r="L854" s="15" t="s">
        <v>29</v>
      </c>
      <c r="M854" s="15"/>
    </row>
    <row r="855" spans="1:13" x14ac:dyDescent="0.25">
      <c r="A855" s="23">
        <f t="shared" si="44"/>
        <v>259429</v>
      </c>
      <c r="B855" s="14" t="str">
        <f t="shared" si="45"/>
        <v>Direct Debit (UMB Bank) - Credits</v>
      </c>
      <c r="C855" s="37">
        <v>46155</v>
      </c>
      <c r="D855" s="31">
        <v>259429</v>
      </c>
      <c r="E855" s="33" t="str">
        <f>IF(Table3[[#This Row],[Type Received]]=2,"CC",(IF(Table3[[#This Row],[Type Received]]=3,"BILL","ACH")))</f>
        <v>ACH</v>
      </c>
      <c r="F855" s="32">
        <v>93.63</v>
      </c>
      <c r="G855" s="14" t="str">
        <f>VLOOKUP(D855,Table4[],3,FALSE)</f>
        <v>1</v>
      </c>
      <c r="H855" s="15"/>
      <c r="I855" s="15">
        <v>761820</v>
      </c>
      <c r="J855" s="15" t="s">
        <v>28</v>
      </c>
      <c r="K855" s="15">
        <v>669467457</v>
      </c>
      <c r="L855" s="15" t="s">
        <v>29</v>
      </c>
      <c r="M855" s="15" t="s">
        <v>29</v>
      </c>
    </row>
    <row r="856" spans="1:13" x14ac:dyDescent="0.25">
      <c r="A856" s="23">
        <f t="shared" si="44"/>
        <v>259438</v>
      </c>
      <c r="B856" s="14" t="str">
        <f t="shared" si="45"/>
        <v>Direct Debit (UMB Bank) - Credits</v>
      </c>
      <c r="C856" s="38">
        <v>46157</v>
      </c>
      <c r="D856" s="34">
        <v>259438</v>
      </c>
      <c r="E856" s="36" t="str">
        <f>IF(Table3[[#This Row],[Type Received]]=2,"CC",(IF(Table3[[#This Row],[Type Received]]=3,"BILL","ACH")))</f>
        <v>ACH</v>
      </c>
      <c r="F856" s="35">
        <v>59.2</v>
      </c>
      <c r="G856" s="14" t="str">
        <f>VLOOKUP(D856,Table4[],3,FALSE)</f>
        <v>2</v>
      </c>
      <c r="H856" s="15"/>
      <c r="I856" s="15"/>
      <c r="J856" s="24" t="s">
        <v>87</v>
      </c>
      <c r="K856" s="15">
        <v>696672407</v>
      </c>
      <c r="L856" s="15" t="s">
        <v>29</v>
      </c>
      <c r="M856" s="15" t="s">
        <v>29</v>
      </c>
    </row>
    <row r="857" spans="1:13" x14ac:dyDescent="0.25">
      <c r="A857" s="23">
        <f t="shared" ref="A857:A888" si="46">D857</f>
        <v>259432</v>
      </c>
      <c r="B857" s="14" t="str">
        <f t="shared" si="45"/>
        <v>Direct Debit (UMB Bank) - Credits</v>
      </c>
      <c r="C857" s="37">
        <v>46157</v>
      </c>
      <c r="D857" s="31">
        <v>259432</v>
      </c>
      <c r="E857" s="33" t="str">
        <f>IF(Table3[[#This Row],[Type Received]]=2,"CC",(IF(Table3[[#This Row],[Type Received]]=3,"BILL","ACH")))</f>
        <v>ACH</v>
      </c>
      <c r="F857" s="32">
        <v>91.54</v>
      </c>
      <c r="G857" s="14" t="str">
        <f>VLOOKUP(D857,Table4[],3,FALSE)</f>
        <v>2</v>
      </c>
      <c r="H857" s="15"/>
      <c r="I857" s="15"/>
      <c r="J857" s="24" t="s">
        <v>87</v>
      </c>
      <c r="K857" s="15">
        <v>696660817</v>
      </c>
      <c r="L857" s="15" t="s">
        <v>29</v>
      </c>
      <c r="M857" s="15" t="s">
        <v>29</v>
      </c>
    </row>
    <row r="858" spans="1:13" x14ac:dyDescent="0.25">
      <c r="A858" s="23">
        <f t="shared" si="46"/>
        <v>259435</v>
      </c>
      <c r="B858" s="14" t="str">
        <f t="shared" si="45"/>
        <v>Direct Debit (UMB Bank) - Credits</v>
      </c>
      <c r="C858" s="38">
        <v>46144</v>
      </c>
      <c r="D858" s="34">
        <v>259435</v>
      </c>
      <c r="E858" s="36" t="str">
        <f>IF(Table3[[#This Row],[Type Received]]=2,"CC",(IF(Table3[[#This Row],[Type Received]]=3,"BILL","ACH")))</f>
        <v>ACH</v>
      </c>
      <c r="F858" s="35">
        <v>111.45</v>
      </c>
      <c r="G858" s="14" t="str">
        <f>VLOOKUP(D858,Table4[],3,FALSE)</f>
        <v>1</v>
      </c>
      <c r="H858" s="15"/>
      <c r="I858" s="15"/>
      <c r="J858" s="15" t="s">
        <v>89</v>
      </c>
      <c r="K858" s="15">
        <v>535363475</v>
      </c>
      <c r="L858" s="15" t="s">
        <v>29</v>
      </c>
      <c r="M858" s="15" t="s">
        <v>29</v>
      </c>
    </row>
    <row r="859" spans="1:13" x14ac:dyDescent="0.25">
      <c r="A859" s="23">
        <f t="shared" si="46"/>
        <v>259440</v>
      </c>
      <c r="B859" s="14" t="str">
        <f t="shared" si="45"/>
        <v>Credit Cards (UMB) - Credits</v>
      </c>
      <c r="C859" s="37">
        <v>46169</v>
      </c>
      <c r="D859" s="31">
        <v>259440</v>
      </c>
      <c r="E859" s="33" t="str">
        <f>IF(Table3[[#This Row],[Type Received]]=2,"CC",(IF(Table3[[#This Row],[Type Received]]=3,"BILL","ACH")))</f>
        <v>CC</v>
      </c>
      <c r="F859" s="32">
        <v>57.88</v>
      </c>
      <c r="G859" s="14" t="str">
        <f>VLOOKUP(D859,Table4[],3,FALSE)</f>
        <v>2</v>
      </c>
      <c r="H859" s="15"/>
      <c r="I859" s="15"/>
      <c r="J859" s="15" t="s">
        <v>117</v>
      </c>
      <c r="K859" s="15">
        <v>842221209</v>
      </c>
      <c r="L859" s="15" t="s">
        <v>29</v>
      </c>
      <c r="M859" s="15" t="s">
        <v>29</v>
      </c>
    </row>
    <row r="860" spans="1:13" x14ac:dyDescent="0.25">
      <c r="A860" s="23">
        <f t="shared" si="46"/>
        <v>259444</v>
      </c>
      <c r="B860" s="14" t="str">
        <f t="shared" si="45"/>
        <v>Credit Cards (UMB) - Credits</v>
      </c>
      <c r="C860" s="38">
        <v>46155</v>
      </c>
      <c r="D860" s="34">
        <v>259444</v>
      </c>
      <c r="E860" s="36" t="str">
        <f>IF(Table3[[#This Row],[Type Received]]=2,"CC",(IF(Table3[[#This Row],[Type Received]]=3,"BILL","ACH")))</f>
        <v>CC</v>
      </c>
      <c r="F860" s="35">
        <v>83.95</v>
      </c>
      <c r="G860" s="14" t="str">
        <f>VLOOKUP(D860,Table4[],3,FALSE)</f>
        <v>2</v>
      </c>
      <c r="H860" s="15"/>
      <c r="I860" s="15" t="s">
        <v>160</v>
      </c>
      <c r="J860" s="15" t="s">
        <v>28</v>
      </c>
      <c r="K860" s="15">
        <v>669452830</v>
      </c>
      <c r="L860" s="15" t="s">
        <v>29</v>
      </c>
      <c r="M860" s="15" t="s">
        <v>29</v>
      </c>
    </row>
    <row r="861" spans="1:13" x14ac:dyDescent="0.25">
      <c r="A861" s="23">
        <f t="shared" si="46"/>
        <v>259447</v>
      </c>
      <c r="B861" s="14" t="str">
        <f t="shared" si="45"/>
        <v>Direct Debit (UMB Bank) - Credits</v>
      </c>
      <c r="C861" s="37">
        <v>46157</v>
      </c>
      <c r="D861" s="31">
        <v>259447</v>
      </c>
      <c r="E861" s="33" t="str">
        <f>IF(Table3[[#This Row],[Type Received]]=2,"CC",(IF(Table3[[#This Row],[Type Received]]=3,"BILL","ACH")))</f>
        <v>ACH</v>
      </c>
      <c r="F861" s="32">
        <v>54.91</v>
      </c>
      <c r="G861" s="14" t="str">
        <f>VLOOKUP(D861,Table4[],3,FALSE)</f>
        <v>1</v>
      </c>
      <c r="H861" s="15"/>
      <c r="I861" s="15" t="s">
        <v>161</v>
      </c>
      <c r="J861" s="15" t="s">
        <v>28</v>
      </c>
      <c r="K861" s="15">
        <v>696710118</v>
      </c>
      <c r="L861" s="15" t="s">
        <v>29</v>
      </c>
      <c r="M861" s="15"/>
    </row>
    <row r="862" spans="1:13" x14ac:dyDescent="0.25">
      <c r="A862" s="23">
        <f t="shared" si="46"/>
        <v>259448</v>
      </c>
      <c r="B862" s="14" t="str">
        <f t="shared" si="45"/>
        <v>Direct Debit (UMB Bank) - Credits</v>
      </c>
      <c r="C862" s="38">
        <v>46157</v>
      </c>
      <c r="D862" s="34">
        <v>259448</v>
      </c>
      <c r="E862" s="36" t="str">
        <f>IF(Table3[[#This Row],[Type Received]]=2,"CC",(IF(Table3[[#This Row],[Type Received]]=3,"BILL","ACH")))</f>
        <v>ACH</v>
      </c>
      <c r="F862" s="35">
        <v>51.61</v>
      </c>
      <c r="G862" s="14" t="str">
        <f>VLOOKUP(D862,Table4[],3,FALSE)</f>
        <v>1</v>
      </c>
      <c r="H862" s="15"/>
      <c r="I862" s="15"/>
      <c r="J862" s="15" t="s">
        <v>87</v>
      </c>
      <c r="K862" s="15">
        <v>696667552</v>
      </c>
      <c r="L862" s="15" t="s">
        <v>29</v>
      </c>
      <c r="M862" s="15" t="s">
        <v>29</v>
      </c>
    </row>
    <row r="863" spans="1:13" x14ac:dyDescent="0.25">
      <c r="A863" s="23">
        <f t="shared" si="46"/>
        <v>259459</v>
      </c>
      <c r="B863" s="14" t="str">
        <f t="shared" si="45"/>
        <v>Direct Debit (UMB Bank) - Credits</v>
      </c>
      <c r="C863" s="37">
        <v>46169</v>
      </c>
      <c r="D863" s="31">
        <v>259459</v>
      </c>
      <c r="E863" s="33" t="str">
        <f>IF(Table3[[#This Row],[Type Received]]=2,"CC",(IF(Table3[[#This Row],[Type Received]]=3,"BILL","ACH")))</f>
        <v>ACH</v>
      </c>
      <c r="F863" s="32">
        <v>34.450000000000003</v>
      </c>
      <c r="G863" s="14" t="str">
        <f>VLOOKUP(D863,Table4[],3,FALSE)</f>
        <v>1</v>
      </c>
      <c r="H863" s="15"/>
      <c r="I863" s="15"/>
      <c r="J863" s="15" t="s">
        <v>117</v>
      </c>
      <c r="K863" s="15">
        <v>842207796</v>
      </c>
      <c r="L863" s="15" t="s">
        <v>29</v>
      </c>
      <c r="M863" s="15" t="s">
        <v>29</v>
      </c>
    </row>
    <row r="864" spans="1:13" x14ac:dyDescent="0.25">
      <c r="A864" s="23">
        <f t="shared" si="46"/>
        <v>259458</v>
      </c>
      <c r="B864" s="14" t="str">
        <f t="shared" si="45"/>
        <v>Credit Cards (UMB) - Credits</v>
      </c>
      <c r="C864" s="38">
        <v>46169</v>
      </c>
      <c r="D864" s="34">
        <v>259458</v>
      </c>
      <c r="E864" s="36" t="str">
        <f>IF(Table3[[#This Row],[Type Received]]=2,"CC",(IF(Table3[[#This Row],[Type Received]]=3,"BILL","ACH")))</f>
        <v>CC</v>
      </c>
      <c r="F864" s="35">
        <v>119.26</v>
      </c>
      <c r="G864" s="14" t="str">
        <f>VLOOKUP(D864,Table4[],3,FALSE)</f>
        <v>2</v>
      </c>
      <c r="H864" s="15"/>
      <c r="I864" s="15"/>
      <c r="J864" s="15" t="s">
        <v>117</v>
      </c>
      <c r="K864" s="15">
        <v>842223246</v>
      </c>
      <c r="L864" s="15" t="s">
        <v>29</v>
      </c>
      <c r="M864" s="15" t="s">
        <v>29</v>
      </c>
    </row>
    <row r="865" spans="1:13" x14ac:dyDescent="0.25">
      <c r="A865" s="23">
        <f t="shared" si="46"/>
        <v>259456</v>
      </c>
      <c r="B865" s="14" t="str">
        <f t="shared" si="45"/>
        <v>Direct Debit (UMB Bank) - Credits</v>
      </c>
      <c r="C865" s="37">
        <v>46155</v>
      </c>
      <c r="D865" s="31">
        <v>259456</v>
      </c>
      <c r="E865" s="33" t="str">
        <f>IF(Table3[[#This Row],[Type Received]]=2,"CC",(IF(Table3[[#This Row],[Type Received]]=3,"BILL","ACH")))</f>
        <v>ACH</v>
      </c>
      <c r="F865" s="32">
        <v>54.58</v>
      </c>
      <c r="G865" s="14" t="str">
        <f>VLOOKUP(D865,Table4[],3,FALSE)</f>
        <v>2</v>
      </c>
      <c r="H865" s="15"/>
      <c r="I865" s="15">
        <v>140227</v>
      </c>
      <c r="J865" s="15" t="s">
        <v>28</v>
      </c>
      <c r="K865" s="15">
        <v>669472294</v>
      </c>
      <c r="L865" s="15" t="s">
        <v>29</v>
      </c>
      <c r="M865" s="15" t="s">
        <v>29</v>
      </c>
    </row>
    <row r="866" spans="1:13" x14ac:dyDescent="0.25">
      <c r="A866" s="23">
        <f t="shared" si="46"/>
        <v>259464</v>
      </c>
      <c r="B866" s="14" t="str">
        <f t="shared" si="45"/>
        <v>Direct Debit (UMB Bank) - Credits</v>
      </c>
      <c r="C866" s="38">
        <v>46157</v>
      </c>
      <c r="D866" s="34">
        <v>259464</v>
      </c>
      <c r="E866" s="36" t="str">
        <f>IF(Table3[[#This Row],[Type Received]]=2,"CC",(IF(Table3[[#This Row],[Type Received]]=3,"BILL","ACH")))</f>
        <v>ACH</v>
      </c>
      <c r="F866" s="35">
        <v>149.62</v>
      </c>
      <c r="G866" s="14" t="str">
        <f>VLOOKUP(D866,Table4[],3,FALSE)</f>
        <v>2</v>
      </c>
      <c r="H866" s="15"/>
      <c r="I866" s="15"/>
      <c r="J866" s="15" t="s">
        <v>87</v>
      </c>
      <c r="K866" s="15">
        <v>696674306</v>
      </c>
      <c r="L866" s="15" t="s">
        <v>29</v>
      </c>
      <c r="M866" s="15"/>
    </row>
    <row r="867" spans="1:13" x14ac:dyDescent="0.25">
      <c r="A867" s="23">
        <f t="shared" si="46"/>
        <v>259470</v>
      </c>
      <c r="B867" s="14" t="str">
        <f t="shared" si="45"/>
        <v>Credit Cards (UMB) - Credits</v>
      </c>
      <c r="C867" s="37">
        <v>46157</v>
      </c>
      <c r="D867" s="31">
        <v>259470</v>
      </c>
      <c r="E867" s="33" t="str">
        <f>IF(Table3[[#This Row],[Type Received]]=2,"CC",(IF(Table3[[#This Row],[Type Received]]=3,"BILL","ACH")))</f>
        <v>CC</v>
      </c>
      <c r="F867" s="32">
        <v>40.17</v>
      </c>
      <c r="G867" s="14" t="str">
        <f>VLOOKUP(D867,Table4[],3,FALSE)</f>
        <v>1</v>
      </c>
      <c r="H867" s="15"/>
      <c r="I867" s="15"/>
      <c r="J867" s="15" t="s">
        <v>87</v>
      </c>
      <c r="K867" s="15">
        <v>696667602</v>
      </c>
      <c r="L867" s="15" t="s">
        <v>29</v>
      </c>
      <c r="M867" s="15"/>
    </row>
    <row r="868" spans="1:13" x14ac:dyDescent="0.25">
      <c r="A868" s="23">
        <f t="shared" si="46"/>
        <v>259475</v>
      </c>
      <c r="B868" s="14" t="str">
        <f t="shared" si="45"/>
        <v>Direct Debit (UMB Bank) - Credits</v>
      </c>
      <c r="C868" s="38">
        <v>46155</v>
      </c>
      <c r="D868" s="34">
        <v>259475</v>
      </c>
      <c r="E868" s="36" t="str">
        <f>IF(Table3[[#This Row],[Type Received]]=2,"CC",(IF(Table3[[#This Row],[Type Received]]=3,"BILL","ACH")))</f>
        <v>ACH</v>
      </c>
      <c r="F868" s="35">
        <v>72.73</v>
      </c>
      <c r="G868" s="14" t="str">
        <f>VLOOKUP(D868,Table4[],3,FALSE)</f>
        <v>1</v>
      </c>
      <c r="H868" s="15"/>
      <c r="I868" s="15" t="s">
        <v>162</v>
      </c>
      <c r="J868" s="15" t="s">
        <v>28</v>
      </c>
      <c r="K868" s="15">
        <v>669460652</v>
      </c>
      <c r="L868" s="15" t="s">
        <v>29</v>
      </c>
      <c r="M868" s="15" t="s">
        <v>29</v>
      </c>
    </row>
    <row r="869" spans="1:13" x14ac:dyDescent="0.25">
      <c r="A869" s="23">
        <f t="shared" si="46"/>
        <v>259476</v>
      </c>
      <c r="B869" s="14" t="str">
        <f t="shared" si="45"/>
        <v>Credit Cards (UMB) - Credits</v>
      </c>
      <c r="C869" s="37">
        <v>46144</v>
      </c>
      <c r="D869" s="31">
        <v>259476</v>
      </c>
      <c r="E869" s="33" t="str">
        <f>IF(Table3[[#This Row],[Type Received]]=2,"CC",(IF(Table3[[#This Row],[Type Received]]=3,"BILL","ACH")))</f>
        <v>CC</v>
      </c>
      <c r="F869" s="32">
        <v>43.03</v>
      </c>
      <c r="G869" s="14" t="str">
        <f>VLOOKUP(D869,Table4[],3,FALSE)</f>
        <v>2</v>
      </c>
      <c r="H869" s="15"/>
      <c r="I869" s="15"/>
      <c r="J869" s="15" t="s">
        <v>89</v>
      </c>
      <c r="K869" s="15">
        <v>535349906</v>
      </c>
      <c r="L869" s="15" t="s">
        <v>29</v>
      </c>
      <c r="M869" s="15" t="s">
        <v>29</v>
      </c>
    </row>
    <row r="870" spans="1:13" x14ac:dyDescent="0.25">
      <c r="A870" s="23">
        <f t="shared" si="46"/>
        <v>259477</v>
      </c>
      <c r="B870" s="14" t="str">
        <f t="shared" si="45"/>
        <v>Credit Cards (UMB) - Credits</v>
      </c>
      <c r="C870" s="38">
        <v>46144</v>
      </c>
      <c r="D870" s="34">
        <v>259477</v>
      </c>
      <c r="E870" s="36" t="str">
        <f>IF(Table3[[#This Row],[Type Received]]=2,"CC",(IF(Table3[[#This Row],[Type Received]]=3,"BILL","ACH")))</f>
        <v>CC</v>
      </c>
      <c r="F870" s="35">
        <v>114.31</v>
      </c>
      <c r="G870" s="14" t="str">
        <f>VLOOKUP(D870,Table4[],3,FALSE)</f>
        <v>2</v>
      </c>
      <c r="H870" s="15"/>
      <c r="I870" s="15">
        <v>140149</v>
      </c>
      <c r="J870" s="15" t="s">
        <v>28</v>
      </c>
      <c r="K870" s="15">
        <v>535348012</v>
      </c>
      <c r="L870" s="15" t="s">
        <v>29</v>
      </c>
      <c r="M870" s="15" t="s">
        <v>29</v>
      </c>
    </row>
    <row r="871" spans="1:13" x14ac:dyDescent="0.25">
      <c r="A871" s="23">
        <f t="shared" si="46"/>
        <v>259478</v>
      </c>
      <c r="B871" s="14" t="str">
        <f t="shared" si="45"/>
        <v>Billing - Credits (from TPA)</v>
      </c>
      <c r="C871" s="37">
        <v>46147</v>
      </c>
      <c r="D871" s="31">
        <v>259478</v>
      </c>
      <c r="E871" s="33" t="str">
        <f>IF(Table3[[#This Row],[Type Received]]=2,"CC",(IF(Table3[[#This Row],[Type Received]]=3,"BILL","ACH")))</f>
        <v>BILL</v>
      </c>
      <c r="F871" s="32">
        <v>74.709999999999994</v>
      </c>
      <c r="G871" s="14" t="str">
        <f>VLOOKUP(D871,Table4[],3,FALSE)</f>
        <v>2</v>
      </c>
      <c r="H871" s="15"/>
      <c r="I871" s="15">
        <v>310775</v>
      </c>
      <c r="J871" s="15" t="s">
        <v>28</v>
      </c>
      <c r="K871" s="15">
        <v>569481388</v>
      </c>
      <c r="L871" s="15" t="s">
        <v>29</v>
      </c>
      <c r="M871" s="15" t="s">
        <v>29</v>
      </c>
    </row>
    <row r="872" spans="1:13" x14ac:dyDescent="0.25">
      <c r="A872" s="23">
        <f t="shared" si="46"/>
        <v>259479</v>
      </c>
      <c r="B872" s="14" t="str">
        <f t="shared" si="45"/>
        <v>Credit Cards (UMB) - Credits</v>
      </c>
      <c r="C872" s="38">
        <v>46143</v>
      </c>
      <c r="D872" s="34">
        <v>259479</v>
      </c>
      <c r="E872" s="36" t="str">
        <f>IF(Table3[[#This Row],[Type Received]]=2,"CC",(IF(Table3[[#This Row],[Type Received]]=3,"BILL","ACH")))</f>
        <v>CC</v>
      </c>
      <c r="F872" s="35">
        <v>87.6</v>
      </c>
      <c r="G872" s="14" t="str">
        <f>VLOOKUP(D872,Table4[],3,FALSE)</f>
        <v>2</v>
      </c>
      <c r="H872" s="15">
        <v>6995</v>
      </c>
      <c r="I872" s="15"/>
      <c r="J872" s="15"/>
      <c r="K872" s="15"/>
      <c r="L872" s="15"/>
      <c r="M872" s="15" t="s">
        <v>29</v>
      </c>
    </row>
    <row r="873" spans="1:13" x14ac:dyDescent="0.25">
      <c r="A873" s="23">
        <f t="shared" si="46"/>
        <v>259492</v>
      </c>
      <c r="B873" s="14" t="str">
        <f t="shared" si="45"/>
        <v>Direct Debit (UMB Bank) - Credits</v>
      </c>
      <c r="C873" s="37">
        <v>46143</v>
      </c>
      <c r="D873" s="31">
        <v>259492</v>
      </c>
      <c r="E873" s="33" t="str">
        <f>IF(Table3[[#This Row],[Type Received]]=2,"CC",(IF(Table3[[#This Row],[Type Received]]=3,"BILL","ACH")))</f>
        <v>ACH</v>
      </c>
      <c r="F873" s="32">
        <v>39.97</v>
      </c>
      <c r="G873" s="14" t="str">
        <f>VLOOKUP(D873,Table4[],3,FALSE)</f>
        <v>1</v>
      </c>
      <c r="H873" s="15"/>
      <c r="I873" s="15">
        <v>652632</v>
      </c>
      <c r="J873" s="15" t="s">
        <v>28</v>
      </c>
      <c r="K873" s="15">
        <v>522937842</v>
      </c>
      <c r="L873" s="15" t="s">
        <v>29</v>
      </c>
      <c r="M873" s="15" t="s">
        <v>29</v>
      </c>
    </row>
    <row r="874" spans="1:13" x14ac:dyDescent="0.25">
      <c r="A874" s="23">
        <f t="shared" si="46"/>
        <v>259484</v>
      </c>
      <c r="B874" s="14" t="str">
        <f t="shared" si="45"/>
        <v>Direct Debit (UMB Bank) - Credits</v>
      </c>
      <c r="C874" s="38">
        <v>46168</v>
      </c>
      <c r="D874" s="34">
        <v>259484</v>
      </c>
      <c r="E874" s="36" t="str">
        <f>IF(Table3[[#This Row],[Type Received]]=2,"CC",(IF(Table3[[#This Row],[Type Received]]=3,"BILL","ACH")))</f>
        <v>ACH</v>
      </c>
      <c r="F874" s="35">
        <v>83.95</v>
      </c>
      <c r="G874" s="14" t="str">
        <f>VLOOKUP(D874,Table4[],3,FALSE)</f>
        <v>2</v>
      </c>
      <c r="H874" s="15"/>
      <c r="I874" s="15"/>
      <c r="J874" s="24" t="s">
        <v>110</v>
      </c>
      <c r="K874" s="15">
        <v>828248292</v>
      </c>
      <c r="L874" s="15" t="s">
        <v>29</v>
      </c>
      <c r="M874" s="15" t="s">
        <v>29</v>
      </c>
    </row>
    <row r="875" spans="1:13" x14ac:dyDescent="0.25">
      <c r="A875" s="23">
        <f t="shared" si="46"/>
        <v>259486</v>
      </c>
      <c r="B875" s="14" t="str">
        <f t="shared" si="45"/>
        <v>Credit Cards (UMB) - Credits</v>
      </c>
      <c r="C875" s="37">
        <v>46157</v>
      </c>
      <c r="D875" s="31">
        <v>259486</v>
      </c>
      <c r="E875" s="33" t="str">
        <f>IF(Table3[[#This Row],[Type Received]]=2,"CC",(IF(Table3[[#This Row],[Type Received]]=3,"BILL","ACH")))</f>
        <v>CC</v>
      </c>
      <c r="F875" s="32">
        <v>97.59</v>
      </c>
      <c r="G875" s="14" t="str">
        <f>VLOOKUP(D875,Table4[],3,FALSE)</f>
        <v>1</v>
      </c>
      <c r="H875" s="15"/>
      <c r="I875" s="15"/>
      <c r="J875" s="15" t="s">
        <v>87</v>
      </c>
      <c r="K875" s="15">
        <v>696679265</v>
      </c>
      <c r="L875" s="15" t="s">
        <v>29</v>
      </c>
      <c r="M875" s="15" t="s">
        <v>29</v>
      </c>
    </row>
    <row r="876" spans="1:13" x14ac:dyDescent="0.25">
      <c r="A876" s="23">
        <f t="shared" si="46"/>
        <v>259497</v>
      </c>
      <c r="B876" s="14" t="str">
        <f t="shared" si="45"/>
        <v>Direct Debit (UMB Bank) - Credits</v>
      </c>
      <c r="C876" s="38">
        <v>46155</v>
      </c>
      <c r="D876" s="34">
        <v>259497</v>
      </c>
      <c r="E876" s="36" t="str">
        <f>IF(Table3[[#This Row],[Type Received]]=2,"CC",(IF(Table3[[#This Row],[Type Received]]=3,"BILL","ACH")))</f>
        <v>ACH</v>
      </c>
      <c r="F876" s="35">
        <v>34.450000000000003</v>
      </c>
      <c r="G876" s="14" t="str">
        <f>VLOOKUP(D876,Table4[],3,FALSE)</f>
        <v>1</v>
      </c>
      <c r="H876" s="15"/>
      <c r="I876" s="15">
        <v>3726</v>
      </c>
      <c r="J876" s="15" t="s">
        <v>28</v>
      </c>
      <c r="K876" s="15">
        <v>669461659</v>
      </c>
      <c r="L876" s="15" t="s">
        <v>29</v>
      </c>
      <c r="M876" s="15" t="s">
        <v>29</v>
      </c>
    </row>
    <row r="877" spans="1:13" x14ac:dyDescent="0.25">
      <c r="A877" s="23">
        <f t="shared" si="46"/>
        <v>259508</v>
      </c>
      <c r="B877" s="14" t="str">
        <f t="shared" si="45"/>
        <v>Billing - Credits (from TPA)</v>
      </c>
      <c r="C877" s="37">
        <v>46146</v>
      </c>
      <c r="D877" s="31">
        <v>259508</v>
      </c>
      <c r="E877" s="33" t="str">
        <f>IF(Table3[[#This Row],[Type Received]]=2,"CC",(IF(Table3[[#This Row],[Type Received]]=3,"BILL","ACH")))</f>
        <v>BILL</v>
      </c>
      <c r="F877" s="32">
        <v>67.45</v>
      </c>
      <c r="G877" s="14" t="str">
        <f>VLOOKUP(D877,Table4[],3,FALSE)</f>
        <v>2</v>
      </c>
      <c r="H877" s="15"/>
      <c r="I877" s="15"/>
      <c r="J877" s="15" t="s">
        <v>92</v>
      </c>
      <c r="K877" s="15">
        <v>557086396</v>
      </c>
      <c r="L877" s="15" t="s">
        <v>29</v>
      </c>
      <c r="M877" s="15" t="s">
        <v>29</v>
      </c>
    </row>
    <row r="878" spans="1:13" x14ac:dyDescent="0.25">
      <c r="A878" s="23">
        <f t="shared" si="46"/>
        <v>259507</v>
      </c>
      <c r="B878" s="14" t="str">
        <f t="shared" si="45"/>
        <v>Credit Cards (UMB) - Credits</v>
      </c>
      <c r="C878" s="38">
        <v>46147</v>
      </c>
      <c r="D878" s="34">
        <v>259507</v>
      </c>
      <c r="E878" s="36" t="str">
        <f>IF(Table3[[#This Row],[Type Received]]=2,"CC",(IF(Table3[[#This Row],[Type Received]]=3,"BILL","ACH")))</f>
        <v>CC</v>
      </c>
      <c r="F878" s="35">
        <v>107.35</v>
      </c>
      <c r="G878" s="14" t="str">
        <f>VLOOKUP(D878,Table4[],3,FALSE)</f>
        <v>2</v>
      </c>
      <c r="H878" s="15">
        <v>6444</v>
      </c>
      <c r="I878" s="15"/>
      <c r="J878" s="15"/>
      <c r="K878" s="15"/>
      <c r="L878" s="15"/>
      <c r="M878" s="15" t="s">
        <v>29</v>
      </c>
    </row>
    <row r="879" spans="1:13" x14ac:dyDescent="0.25">
      <c r="A879" s="23">
        <f t="shared" si="46"/>
        <v>259499</v>
      </c>
      <c r="B879" s="14" t="str">
        <f t="shared" si="45"/>
        <v>Credit Cards (UMB) - Credits</v>
      </c>
      <c r="C879" s="37">
        <v>46155</v>
      </c>
      <c r="D879" s="31">
        <v>259499</v>
      </c>
      <c r="E879" s="33" t="str">
        <f>IF(Table3[[#This Row],[Type Received]]=2,"CC",(IF(Table3[[#This Row],[Type Received]]=3,"BILL","ACH")))</f>
        <v>CC</v>
      </c>
      <c r="F879" s="32">
        <v>167.11</v>
      </c>
      <c r="G879" s="14" t="str">
        <f>VLOOKUP(D879,Table4[],3,FALSE)</f>
        <v>2</v>
      </c>
      <c r="H879" s="15"/>
      <c r="I879" s="15" t="s">
        <v>163</v>
      </c>
      <c r="J879" s="15" t="s">
        <v>28</v>
      </c>
      <c r="K879" s="15">
        <v>669457706</v>
      </c>
      <c r="L879" s="15" t="s">
        <v>29</v>
      </c>
      <c r="M879" s="15" t="s">
        <v>29</v>
      </c>
    </row>
    <row r="880" spans="1:13" x14ac:dyDescent="0.25">
      <c r="A880" s="23">
        <f t="shared" si="46"/>
        <v>259511</v>
      </c>
      <c r="B880" s="14" t="str">
        <f t="shared" si="45"/>
        <v>Direct Debit (UMB Bank) - Credits</v>
      </c>
      <c r="C880" s="38">
        <v>46155</v>
      </c>
      <c r="D880" s="34">
        <v>259511</v>
      </c>
      <c r="E880" s="36" t="str">
        <f>IF(Table3[[#This Row],[Type Received]]=2,"CC",(IF(Table3[[#This Row],[Type Received]]=3,"BILL","ACH")))</f>
        <v>ACH</v>
      </c>
      <c r="F880" s="35">
        <v>28.75</v>
      </c>
      <c r="G880" s="14" t="str">
        <f>VLOOKUP(D880,Table4[],3,FALSE)</f>
        <v>1</v>
      </c>
      <c r="H880" s="15"/>
      <c r="I880" s="15">
        <v>81815</v>
      </c>
      <c r="J880" s="24">
        <v>744917848</v>
      </c>
      <c r="K880" s="15">
        <v>354497312</v>
      </c>
      <c r="L880" s="15"/>
      <c r="M880" s="15"/>
    </row>
    <row r="881" spans="1:13" x14ac:dyDescent="0.25">
      <c r="A881" s="23">
        <f t="shared" si="46"/>
        <v>259509</v>
      </c>
      <c r="B881" s="14" t="str">
        <f t="shared" si="45"/>
        <v>Direct Debit (UMB Bank) - Credits</v>
      </c>
      <c r="C881" s="37">
        <v>46144</v>
      </c>
      <c r="D881" s="31">
        <v>259509</v>
      </c>
      <c r="E881" s="33" t="str">
        <f>IF(Table3[[#This Row],[Type Received]]=2,"CC",(IF(Table3[[#This Row],[Type Received]]=3,"BILL","ACH")))</f>
        <v>ACH</v>
      </c>
      <c r="F881" s="32">
        <v>48.97</v>
      </c>
      <c r="G881" s="14" t="str">
        <f>VLOOKUP(D881,Table4[],3,FALSE)</f>
        <v>1</v>
      </c>
      <c r="H881" s="15"/>
      <c r="I881" s="15"/>
      <c r="J881" s="15" t="s">
        <v>89</v>
      </c>
      <c r="K881" s="15">
        <v>535355816</v>
      </c>
      <c r="L881" s="15" t="s">
        <v>29</v>
      </c>
      <c r="M881" s="15" t="s">
        <v>29</v>
      </c>
    </row>
    <row r="882" spans="1:13" x14ac:dyDescent="0.25">
      <c r="A882" s="23">
        <f t="shared" si="46"/>
        <v>259510</v>
      </c>
      <c r="B882" s="14" t="str">
        <f t="shared" si="45"/>
        <v>Credit Cards (UMB) - Credits</v>
      </c>
      <c r="C882" s="38">
        <v>46157</v>
      </c>
      <c r="D882" s="34">
        <v>259510</v>
      </c>
      <c r="E882" s="36" t="str">
        <f>IF(Table3[[#This Row],[Type Received]]=2,"CC",(IF(Table3[[#This Row],[Type Received]]=3,"BILL","ACH")))</f>
        <v>CC</v>
      </c>
      <c r="F882" s="35">
        <v>62.17</v>
      </c>
      <c r="G882" s="14" t="str">
        <f>VLOOKUP(D882,Table4[],3,FALSE)</f>
        <v>1</v>
      </c>
      <c r="H882" s="15"/>
      <c r="I882" s="15"/>
      <c r="J882" s="15" t="s">
        <v>87</v>
      </c>
      <c r="K882" s="15">
        <v>696663790</v>
      </c>
      <c r="L882" s="15" t="s">
        <v>29</v>
      </c>
      <c r="M882" s="15" t="s">
        <v>29</v>
      </c>
    </row>
    <row r="883" spans="1:13" x14ac:dyDescent="0.25">
      <c r="A883" s="23">
        <f t="shared" si="46"/>
        <v>259519</v>
      </c>
      <c r="B883" s="14" t="str">
        <f t="shared" si="45"/>
        <v>Direct Debit (UMB Bank) - Credits</v>
      </c>
      <c r="C883" s="37">
        <v>46155</v>
      </c>
      <c r="D883" s="31">
        <v>259519</v>
      </c>
      <c r="E883" s="33" t="str">
        <f>IF(Table3[[#This Row],[Type Received]]=2,"CC",(IF(Table3[[#This Row],[Type Received]]=3,"BILL","ACH")))</f>
        <v>ACH</v>
      </c>
      <c r="F883" s="32">
        <v>132.13</v>
      </c>
      <c r="G883" s="14" t="str">
        <f>VLOOKUP(D883,Table4[],3,FALSE)</f>
        <v>2</v>
      </c>
      <c r="H883" s="15"/>
      <c r="I883" s="15" t="s">
        <v>164</v>
      </c>
      <c r="J883" s="15" t="s">
        <v>28</v>
      </c>
      <c r="K883" s="15">
        <v>669460668</v>
      </c>
      <c r="L883" s="15" t="s">
        <v>29</v>
      </c>
      <c r="M883" s="15" t="s">
        <v>29</v>
      </c>
    </row>
    <row r="884" spans="1:13" x14ac:dyDescent="0.25">
      <c r="A884" s="23">
        <f t="shared" si="46"/>
        <v>259527</v>
      </c>
      <c r="B884" s="14" t="str">
        <f t="shared" si="45"/>
        <v>Direct Debit (UMB Bank) - Credits</v>
      </c>
      <c r="C884" s="38">
        <v>46144</v>
      </c>
      <c r="D884" s="34">
        <v>259527</v>
      </c>
      <c r="E884" s="36" t="str">
        <f>IF(Table3[[#This Row],[Type Received]]=2,"CC",(IF(Table3[[#This Row],[Type Received]]=3,"BILL","ACH")))</f>
        <v>ACH</v>
      </c>
      <c r="F884" s="35">
        <v>44.68</v>
      </c>
      <c r="G884" s="14" t="str">
        <f>VLOOKUP(D884,Table4[],3,FALSE)</f>
        <v>2</v>
      </c>
      <c r="H884" s="15"/>
      <c r="I884" s="15"/>
      <c r="J884" s="15" t="s">
        <v>89</v>
      </c>
      <c r="K884" s="15">
        <v>535374172</v>
      </c>
      <c r="L884" s="15" t="s">
        <v>29</v>
      </c>
      <c r="M884" s="15" t="s">
        <v>29</v>
      </c>
    </row>
    <row r="885" spans="1:13" x14ac:dyDescent="0.25">
      <c r="A885" s="23">
        <f t="shared" si="46"/>
        <v>259530</v>
      </c>
      <c r="B885" s="14" t="str">
        <f t="shared" si="45"/>
        <v>Direct Debit (UMB Bank) - Credits</v>
      </c>
      <c r="C885" s="37">
        <v>46144</v>
      </c>
      <c r="D885" s="31">
        <v>259530</v>
      </c>
      <c r="E885" s="33" t="str">
        <f>IF(Table3[[#This Row],[Type Received]]=2,"CC",(IF(Table3[[#This Row],[Type Received]]=3,"BILL","ACH")))</f>
        <v>ACH</v>
      </c>
      <c r="F885" s="32">
        <v>85.49</v>
      </c>
      <c r="G885" s="14" t="str">
        <f>VLOOKUP(D885,Table4[],3,FALSE)</f>
        <v>1</v>
      </c>
      <c r="H885" s="15"/>
      <c r="I885" s="15"/>
      <c r="J885" s="15" t="s">
        <v>89</v>
      </c>
      <c r="K885" s="15">
        <v>535361723</v>
      </c>
      <c r="L885" s="15" t="s">
        <v>29</v>
      </c>
      <c r="M885" s="15" t="s">
        <v>29</v>
      </c>
    </row>
    <row r="886" spans="1:13" x14ac:dyDescent="0.25">
      <c r="A886" s="23">
        <f t="shared" si="46"/>
        <v>259523</v>
      </c>
      <c r="B886" s="14" t="str">
        <f t="shared" si="45"/>
        <v>Direct Debit (UMB Bank) - Credits</v>
      </c>
      <c r="C886" s="38">
        <v>46157</v>
      </c>
      <c r="D886" s="34">
        <v>259523</v>
      </c>
      <c r="E886" s="36" t="str">
        <f>IF(Table3[[#This Row],[Type Received]]=2,"CC",(IF(Table3[[#This Row],[Type Received]]=3,"BILL","ACH")))</f>
        <v>ACH</v>
      </c>
      <c r="F886" s="35">
        <v>59.53</v>
      </c>
      <c r="G886" s="14" t="str">
        <f>VLOOKUP(D886,Table4[],3,FALSE)</f>
        <v>2</v>
      </c>
      <c r="H886" s="15"/>
      <c r="I886" s="15"/>
      <c r="J886" s="15" t="s">
        <v>87</v>
      </c>
      <c r="K886" s="15">
        <v>696675365</v>
      </c>
      <c r="L886" s="15" t="s">
        <v>29</v>
      </c>
      <c r="M886" s="15" t="s">
        <v>29</v>
      </c>
    </row>
    <row r="887" spans="1:13" x14ac:dyDescent="0.25">
      <c r="A887" s="23">
        <f t="shared" si="46"/>
        <v>259524</v>
      </c>
      <c r="B887" s="14" t="str">
        <f t="shared" si="45"/>
        <v>Credit Cards (UMB) - Credits</v>
      </c>
      <c r="C887" s="37">
        <v>46157</v>
      </c>
      <c r="D887" s="31">
        <v>259524</v>
      </c>
      <c r="E887" s="33" t="str">
        <f>IF(Table3[[#This Row],[Type Received]]=2,"CC",(IF(Table3[[#This Row],[Type Received]]=3,"BILL","ACH")))</f>
        <v>CC</v>
      </c>
      <c r="F887" s="32">
        <v>31.15</v>
      </c>
      <c r="G887" s="14" t="str">
        <f>VLOOKUP(D887,Table4[],3,FALSE)</f>
        <v>1</v>
      </c>
      <c r="H887" s="15"/>
      <c r="I887" s="15"/>
      <c r="J887" s="15" t="s">
        <v>87</v>
      </c>
      <c r="K887" s="15">
        <v>696666730</v>
      </c>
      <c r="L887" s="15" t="s">
        <v>29</v>
      </c>
      <c r="M887" s="15" t="s">
        <v>29</v>
      </c>
    </row>
    <row r="888" spans="1:13" x14ac:dyDescent="0.25">
      <c r="A888" s="23">
        <f t="shared" si="46"/>
        <v>259521</v>
      </c>
      <c r="B888" s="14" t="str">
        <f t="shared" si="45"/>
        <v>Direct Debit (UMB Bank) - Credits</v>
      </c>
      <c r="C888" s="38">
        <v>46144</v>
      </c>
      <c r="D888" s="34">
        <v>259521</v>
      </c>
      <c r="E888" s="36" t="str">
        <f>IF(Table3[[#This Row],[Type Received]]=2,"CC",(IF(Table3[[#This Row],[Type Received]]=3,"BILL","ACH")))</f>
        <v>ACH</v>
      </c>
      <c r="F888" s="35">
        <v>58.65</v>
      </c>
      <c r="G888" s="14" t="str">
        <f>VLOOKUP(D888,Table4[],3,FALSE)</f>
        <v>1</v>
      </c>
      <c r="H888" s="15"/>
      <c r="I888" s="15" t="s">
        <v>165</v>
      </c>
      <c r="J888" s="15" t="s">
        <v>28</v>
      </c>
      <c r="K888" s="15">
        <v>535361707</v>
      </c>
      <c r="L888" s="15" t="s">
        <v>29</v>
      </c>
      <c r="M888" s="15" t="s">
        <v>29</v>
      </c>
    </row>
    <row r="889" spans="1:13" x14ac:dyDescent="0.25">
      <c r="A889" s="23">
        <f t="shared" ref="A889:A911" si="47">D889</f>
        <v>259529</v>
      </c>
      <c r="B889" s="14" t="str">
        <f t="shared" si="45"/>
        <v>Credit Cards (UMB) - Credits</v>
      </c>
      <c r="C889" s="37">
        <v>46144</v>
      </c>
      <c r="D889" s="31">
        <v>259529</v>
      </c>
      <c r="E889" s="33" t="str">
        <f>IF(Table3[[#This Row],[Type Received]]=2,"CC",(IF(Table3[[#This Row],[Type Received]]=3,"BILL","ACH")))</f>
        <v>CC</v>
      </c>
      <c r="F889" s="32">
        <v>103.75</v>
      </c>
      <c r="G889" s="14" t="str">
        <f>VLOOKUP(D889,Table4[],3,FALSE)</f>
        <v>1</v>
      </c>
      <c r="H889" s="15"/>
      <c r="I889" s="15"/>
      <c r="J889" s="24" t="s">
        <v>89</v>
      </c>
      <c r="K889" s="15">
        <v>535373160</v>
      </c>
      <c r="L889" s="15" t="s">
        <v>29</v>
      </c>
      <c r="M889" s="15" t="s">
        <v>29</v>
      </c>
    </row>
    <row r="890" spans="1:13" x14ac:dyDescent="0.25">
      <c r="A890" s="23">
        <f t="shared" si="47"/>
        <v>259538</v>
      </c>
      <c r="B890" s="14" t="str">
        <f t="shared" si="45"/>
        <v>Credit Cards (UMB) - Credits</v>
      </c>
      <c r="C890" s="38">
        <v>46169</v>
      </c>
      <c r="D890" s="34">
        <v>259538</v>
      </c>
      <c r="E890" s="36" t="str">
        <f>IF(Table3[[#This Row],[Type Received]]=2,"CC",(IF(Table3[[#This Row],[Type Received]]=3,"BILL","ACH")))</f>
        <v>CC</v>
      </c>
      <c r="F890" s="35">
        <v>86.39</v>
      </c>
      <c r="G890" s="14" t="str">
        <f>VLOOKUP(D890,Table4[],3,FALSE)</f>
        <v>1</v>
      </c>
      <c r="H890" s="15"/>
      <c r="I890" s="15">
        <v>80553</v>
      </c>
      <c r="J890" s="15" t="s">
        <v>28</v>
      </c>
      <c r="K890" s="15">
        <v>840893641</v>
      </c>
      <c r="L890" s="15" t="s">
        <v>29</v>
      </c>
      <c r="M890" s="15" t="s">
        <v>29</v>
      </c>
    </row>
    <row r="891" spans="1:13" x14ac:dyDescent="0.25">
      <c r="A891" s="23">
        <f t="shared" si="47"/>
        <v>259542</v>
      </c>
      <c r="B891" s="14" t="str">
        <f t="shared" si="45"/>
        <v>Credit Cards (UMB) - Credits</v>
      </c>
      <c r="C891" s="37">
        <v>46144</v>
      </c>
      <c r="D891" s="31">
        <v>259542</v>
      </c>
      <c r="E891" s="33" t="str">
        <f>IF(Table3[[#This Row],[Type Received]]=2,"CC",(IF(Table3[[#This Row],[Type Received]]=3,"BILL","ACH")))</f>
        <v>CC</v>
      </c>
      <c r="F891" s="32">
        <v>83.95</v>
      </c>
      <c r="G891" s="14" t="str">
        <f>VLOOKUP(D891,Table4[],3,FALSE)</f>
        <v>2</v>
      </c>
      <c r="H891" s="15"/>
      <c r="I891" s="15">
        <v>438785</v>
      </c>
      <c r="J891" s="15" t="s">
        <v>28</v>
      </c>
      <c r="K891" s="15">
        <v>535356831</v>
      </c>
      <c r="L891" s="15" t="s">
        <v>29</v>
      </c>
      <c r="M891" s="15"/>
    </row>
    <row r="892" spans="1:13" x14ac:dyDescent="0.25">
      <c r="A892" s="23">
        <f t="shared" si="47"/>
        <v>259546</v>
      </c>
      <c r="B892" s="14" t="str">
        <f t="shared" si="45"/>
        <v>Credit Cards (UMB) - Credits</v>
      </c>
      <c r="C892" s="38">
        <v>46170</v>
      </c>
      <c r="D892" s="34">
        <v>259546</v>
      </c>
      <c r="E892" s="36" t="str">
        <f>IF(Table3[[#This Row],[Type Received]]=2,"CC",(IF(Table3[[#This Row],[Type Received]]=3,"BILL","ACH")))</f>
        <v>CC</v>
      </c>
      <c r="F892" s="35">
        <v>183.58</v>
      </c>
      <c r="G892" s="14" t="str">
        <f>VLOOKUP(D892,Table4[],3,FALSE)</f>
        <v>2</v>
      </c>
      <c r="H892" s="15"/>
      <c r="I892" s="15">
        <v>82521</v>
      </c>
      <c r="J892" s="15">
        <v>749514569</v>
      </c>
      <c r="K892" s="15">
        <v>356134084</v>
      </c>
      <c r="L892" s="15"/>
      <c r="M892" s="15" t="s">
        <v>29</v>
      </c>
    </row>
    <row r="893" spans="1:13" x14ac:dyDescent="0.25">
      <c r="A893" s="23">
        <f t="shared" si="47"/>
        <v>259541</v>
      </c>
      <c r="B893" s="14" t="str">
        <f t="shared" si="45"/>
        <v>Credit Cards (UMB) - Credits</v>
      </c>
      <c r="C893" s="37">
        <v>46155</v>
      </c>
      <c r="D893" s="31">
        <v>259541</v>
      </c>
      <c r="E893" s="33" t="str">
        <f>IF(Table3[[#This Row],[Type Received]]=2,"CC",(IF(Table3[[#This Row],[Type Received]]=3,"BILL","ACH")))</f>
        <v>CC</v>
      </c>
      <c r="F893" s="32">
        <v>62.5</v>
      </c>
      <c r="G893" s="14" t="str">
        <f>VLOOKUP(D893,Table4[],3,FALSE)</f>
        <v>2</v>
      </c>
      <c r="H893" s="15"/>
      <c r="I893" s="15" t="s">
        <v>166</v>
      </c>
      <c r="J893" s="15" t="s">
        <v>28</v>
      </c>
      <c r="K893" s="15">
        <v>669454843</v>
      </c>
      <c r="L893" s="15" t="s">
        <v>29</v>
      </c>
      <c r="M893" s="15" t="s">
        <v>29</v>
      </c>
    </row>
    <row r="894" spans="1:13" x14ac:dyDescent="0.25">
      <c r="A894" s="23">
        <f t="shared" si="47"/>
        <v>259543</v>
      </c>
      <c r="B894" s="14" t="str">
        <f t="shared" si="45"/>
        <v>Direct Debit (UMB Bank) - Credits</v>
      </c>
      <c r="C894" s="38">
        <v>46155</v>
      </c>
      <c r="D894" s="34">
        <v>259543</v>
      </c>
      <c r="E894" s="36" t="str">
        <f>IF(Table3[[#This Row],[Type Received]]=2,"CC",(IF(Table3[[#This Row],[Type Received]]=3,"BILL","ACH")))</f>
        <v>ACH</v>
      </c>
      <c r="F894" s="35">
        <v>63.49</v>
      </c>
      <c r="G894" s="14" t="str">
        <f>VLOOKUP(D894,Table4[],3,FALSE)</f>
        <v>2</v>
      </c>
      <c r="H894" s="15"/>
      <c r="I894" s="15" t="s">
        <v>167</v>
      </c>
      <c r="J894" s="24" t="s">
        <v>28</v>
      </c>
      <c r="K894" s="15">
        <v>669463647</v>
      </c>
      <c r="L894" s="15" t="s">
        <v>29</v>
      </c>
      <c r="M894" s="15" t="s">
        <v>29</v>
      </c>
    </row>
    <row r="895" spans="1:13" x14ac:dyDescent="0.25">
      <c r="A895" s="23">
        <f t="shared" si="47"/>
        <v>259544</v>
      </c>
      <c r="B895" s="14" t="str">
        <f t="shared" si="45"/>
        <v>Direct Debit (UMB Bank) - Credits</v>
      </c>
      <c r="C895" s="37">
        <v>46157</v>
      </c>
      <c r="D895" s="31">
        <v>259544</v>
      </c>
      <c r="E895" s="33" t="str">
        <f>IF(Table3[[#This Row],[Type Received]]=2,"CC",(IF(Table3[[#This Row],[Type Received]]=3,"BILL","ACH")))</f>
        <v>ACH</v>
      </c>
      <c r="F895" s="32">
        <v>168.76</v>
      </c>
      <c r="G895" s="14" t="str">
        <f>VLOOKUP(D895,Table4[],3,FALSE)</f>
        <v>2</v>
      </c>
      <c r="H895" s="15"/>
      <c r="I895" s="15"/>
      <c r="J895" s="15" t="s">
        <v>87</v>
      </c>
      <c r="K895" s="15">
        <v>696666764</v>
      </c>
      <c r="L895" s="15" t="s">
        <v>29</v>
      </c>
      <c r="M895" s="15"/>
    </row>
    <row r="896" spans="1:13" x14ac:dyDescent="0.25">
      <c r="A896" s="23">
        <f t="shared" si="47"/>
        <v>259551</v>
      </c>
      <c r="B896" s="14" t="str">
        <f t="shared" si="45"/>
        <v>Credit Cards (UMB) - Credits</v>
      </c>
      <c r="C896" s="38">
        <v>46144</v>
      </c>
      <c r="D896" s="34">
        <v>259551</v>
      </c>
      <c r="E896" s="36" t="str">
        <f>IF(Table3[[#This Row],[Type Received]]=2,"CC",(IF(Table3[[#This Row],[Type Received]]=3,"BILL","ACH")))</f>
        <v>CC</v>
      </c>
      <c r="F896" s="35">
        <v>54.25</v>
      </c>
      <c r="G896" s="14" t="str">
        <f>VLOOKUP(D896,Table4[],3,FALSE)</f>
        <v>1</v>
      </c>
      <c r="H896" s="15"/>
      <c r="I896" s="15"/>
      <c r="J896" s="24" t="s">
        <v>89</v>
      </c>
      <c r="K896" s="15">
        <v>535349984</v>
      </c>
      <c r="L896" s="15" t="s">
        <v>29</v>
      </c>
      <c r="M896" s="15" t="s">
        <v>29</v>
      </c>
    </row>
    <row r="897" spans="1:13" x14ac:dyDescent="0.25">
      <c r="A897" s="23">
        <f t="shared" si="47"/>
        <v>259549</v>
      </c>
      <c r="B897" s="14" t="str">
        <f t="shared" si="45"/>
        <v>Credit Cards (UMB) - Credits</v>
      </c>
      <c r="C897" s="37">
        <v>46155</v>
      </c>
      <c r="D897" s="31">
        <v>259549</v>
      </c>
      <c r="E897" s="33" t="str">
        <f>IF(Table3[[#This Row],[Type Received]]=2,"CC",(IF(Table3[[#This Row],[Type Received]]=3,"BILL","ACH")))</f>
        <v>CC</v>
      </c>
      <c r="F897" s="32">
        <v>80.209999999999994</v>
      </c>
      <c r="G897" s="14" t="str">
        <f>VLOOKUP(D897,Table4[],3,FALSE)</f>
        <v>1</v>
      </c>
      <c r="H897" s="15"/>
      <c r="I897" s="15">
        <v>90329</v>
      </c>
      <c r="J897" s="24" t="s">
        <v>28</v>
      </c>
      <c r="K897" s="15">
        <v>669472331</v>
      </c>
      <c r="L897" s="15" t="s">
        <v>29</v>
      </c>
      <c r="M897" s="15" t="s">
        <v>29</v>
      </c>
    </row>
    <row r="898" spans="1:13" x14ac:dyDescent="0.25">
      <c r="A898" s="23">
        <f t="shared" si="47"/>
        <v>259570</v>
      </c>
      <c r="B898" s="14" t="str">
        <f t="shared" ref="B898:B961" si="48">IF(AND(E898="BILL",F898&lt;0),"Billing &amp; Direct Debit - Refunds",(IF(AND(E898="BILL",F898&gt;0),"Billing - Credits (from TPA)",(IF(AND(E898="CC",F898&lt;0),"Credit Cards (UMB) - Refunds",(IF(AND(E898="CC",F898&gt;0),"Credit Cards (UMB) - Credits",(IF(AND(E898="ACH",F898&gt;0),"Direct Debit (UMB Bank) - Credits","Direct Debit (UMB Bank) - Returned Items")))))))))</f>
        <v>Direct Debit (UMB Bank) - Credits</v>
      </c>
      <c r="C898" s="38">
        <v>46144</v>
      </c>
      <c r="D898" s="34">
        <v>259570</v>
      </c>
      <c r="E898" s="36" t="str">
        <f>IF(Table3[[#This Row],[Type Received]]=2,"CC",(IF(Table3[[#This Row],[Type Received]]=3,"BILL","ACH")))</f>
        <v>ACH</v>
      </c>
      <c r="F898" s="35">
        <v>51.83</v>
      </c>
      <c r="G898" s="14" t="str">
        <f>VLOOKUP(D898,Table4[],3,FALSE)</f>
        <v>1</v>
      </c>
      <c r="H898" s="15"/>
      <c r="I898" s="15">
        <v>160262</v>
      </c>
      <c r="J898" s="15" t="s">
        <v>28</v>
      </c>
      <c r="K898" s="15">
        <v>535384457</v>
      </c>
      <c r="L898" s="15" t="s">
        <v>29</v>
      </c>
      <c r="M898" s="15"/>
    </row>
    <row r="899" spans="1:13" x14ac:dyDescent="0.25">
      <c r="A899" s="23">
        <f t="shared" si="47"/>
        <v>259554</v>
      </c>
      <c r="B899" s="14" t="str">
        <f t="shared" si="48"/>
        <v>Direct Debit (UMB Bank) - Credits</v>
      </c>
      <c r="C899" s="37">
        <v>46157</v>
      </c>
      <c r="D899" s="31">
        <v>259554</v>
      </c>
      <c r="E899" s="33" t="str">
        <f>IF(Table3[[#This Row],[Type Received]]=2,"CC",(IF(Table3[[#This Row],[Type Received]]=3,"BILL","ACH")))</f>
        <v>ACH</v>
      </c>
      <c r="F899" s="32">
        <v>78.34</v>
      </c>
      <c r="G899" s="14" t="str">
        <f>VLOOKUP(D899,Table4[],3,FALSE)</f>
        <v>2</v>
      </c>
      <c r="H899" s="15"/>
      <c r="I899" s="15"/>
      <c r="J899" s="15" t="s">
        <v>87</v>
      </c>
      <c r="K899" s="15">
        <v>696682175</v>
      </c>
      <c r="L899" s="15" t="s">
        <v>29</v>
      </c>
      <c r="M899" s="15" t="s">
        <v>29</v>
      </c>
    </row>
    <row r="900" spans="1:13" x14ac:dyDescent="0.25">
      <c r="A900" s="23">
        <f t="shared" si="47"/>
        <v>259555</v>
      </c>
      <c r="B900" s="14" t="str">
        <f t="shared" si="48"/>
        <v>Direct Debit (UMB Bank) - Credits</v>
      </c>
      <c r="C900" s="38">
        <v>46157</v>
      </c>
      <c r="D900" s="34">
        <v>259555</v>
      </c>
      <c r="E900" s="36" t="str">
        <f>IF(Table3[[#This Row],[Type Received]]=2,"CC",(IF(Table3[[#This Row],[Type Received]]=3,"BILL","ACH")))</f>
        <v>ACH</v>
      </c>
      <c r="F900" s="35">
        <v>125.2</v>
      </c>
      <c r="G900" s="14" t="str">
        <f>VLOOKUP(D900,Table4[],3,FALSE)</f>
        <v>2</v>
      </c>
      <c r="H900" s="15"/>
      <c r="I900" s="15"/>
      <c r="J900" s="15" t="s">
        <v>87</v>
      </c>
      <c r="K900" s="15">
        <v>696682207</v>
      </c>
      <c r="L900" s="15" t="s">
        <v>29</v>
      </c>
      <c r="M900" s="15" t="s">
        <v>29</v>
      </c>
    </row>
    <row r="901" spans="1:13" x14ac:dyDescent="0.25">
      <c r="A901" s="23">
        <f t="shared" si="47"/>
        <v>259557</v>
      </c>
      <c r="B901" s="14" t="str">
        <f t="shared" si="48"/>
        <v>Direct Debit (UMB Bank) - Credits</v>
      </c>
      <c r="C901" s="37">
        <v>46157</v>
      </c>
      <c r="D901" s="31">
        <v>259557</v>
      </c>
      <c r="E901" s="33" t="str">
        <f>IF(Table3[[#This Row],[Type Received]]=2,"CC",(IF(Table3[[#This Row],[Type Received]]=3,"BILL","ACH")))</f>
        <v>ACH</v>
      </c>
      <c r="F901" s="32">
        <v>95.5</v>
      </c>
      <c r="G901" s="14" t="str">
        <f>VLOOKUP(D901,Table4[],3,FALSE)</f>
        <v>2</v>
      </c>
      <c r="H901" s="15"/>
      <c r="I901" s="15"/>
      <c r="J901" s="24" t="s">
        <v>87</v>
      </c>
      <c r="K901" s="15">
        <v>696661006</v>
      </c>
      <c r="L901" s="15" t="s">
        <v>29</v>
      </c>
      <c r="M901" s="15"/>
    </row>
    <row r="902" spans="1:13" x14ac:dyDescent="0.25">
      <c r="A902" s="23">
        <f t="shared" si="47"/>
        <v>259559</v>
      </c>
      <c r="B902" s="14" t="str">
        <f t="shared" si="48"/>
        <v>Direct Debit (UMB Bank) - Credits</v>
      </c>
      <c r="C902" s="38">
        <v>46168</v>
      </c>
      <c r="D902" s="34">
        <v>259559</v>
      </c>
      <c r="E902" s="36" t="str">
        <f>IF(Table3[[#This Row],[Type Received]]=2,"CC",(IF(Table3[[#This Row],[Type Received]]=3,"BILL","ACH")))</f>
        <v>ACH</v>
      </c>
      <c r="F902" s="35">
        <v>31.15</v>
      </c>
      <c r="G902" s="14" t="str">
        <f>VLOOKUP(D902,Table4[],3,FALSE)</f>
        <v>1</v>
      </c>
      <c r="H902" s="15"/>
      <c r="I902" s="15"/>
      <c r="J902" s="15" t="s">
        <v>110</v>
      </c>
      <c r="K902" s="15">
        <v>828231843</v>
      </c>
      <c r="L902" s="15" t="s">
        <v>29</v>
      </c>
      <c r="M902" s="15"/>
    </row>
    <row r="903" spans="1:13" x14ac:dyDescent="0.25">
      <c r="A903" s="23">
        <f t="shared" si="47"/>
        <v>259560</v>
      </c>
      <c r="B903" s="14" t="str">
        <f t="shared" si="48"/>
        <v>Billing - Credits (from TPA)</v>
      </c>
      <c r="C903" s="37">
        <v>46168</v>
      </c>
      <c r="D903" s="31">
        <v>259560</v>
      </c>
      <c r="E903" s="33" t="str">
        <f>IF(Table3[[#This Row],[Type Received]]=2,"CC",(IF(Table3[[#This Row],[Type Received]]=3,"BILL","ACH")))</f>
        <v>BILL</v>
      </c>
      <c r="F903" s="32">
        <v>45.45</v>
      </c>
      <c r="G903" s="14" t="str">
        <f>VLOOKUP(D903,Table4[],3,FALSE)</f>
        <v>1</v>
      </c>
      <c r="H903" s="15"/>
      <c r="I903" s="15"/>
      <c r="J903" s="15" t="s">
        <v>110</v>
      </c>
      <c r="K903" s="15">
        <v>828247459</v>
      </c>
      <c r="L903" s="15" t="s">
        <v>29</v>
      </c>
      <c r="M903" s="15" t="s">
        <v>29</v>
      </c>
    </row>
    <row r="904" spans="1:13" x14ac:dyDescent="0.25">
      <c r="A904" s="23">
        <f t="shared" si="47"/>
        <v>259569</v>
      </c>
      <c r="B904" s="14" t="str">
        <f t="shared" si="48"/>
        <v>Credit Cards (UMB) - Credits</v>
      </c>
      <c r="C904" s="38">
        <v>46160</v>
      </c>
      <c r="D904" s="34">
        <v>259569</v>
      </c>
      <c r="E904" s="36" t="str">
        <f>IF(Table3[[#This Row],[Type Received]]=2,"CC",(IF(Table3[[#This Row],[Type Received]]=3,"BILL","ACH")))</f>
        <v>CC</v>
      </c>
      <c r="F904" s="35">
        <v>39.97</v>
      </c>
      <c r="G904" s="14" t="str">
        <f>VLOOKUP(D904,Table4[],3,FALSE)</f>
        <v>1</v>
      </c>
      <c r="H904" s="15">
        <v>5137</v>
      </c>
      <c r="I904" s="15"/>
      <c r="J904" s="15"/>
      <c r="K904" s="15"/>
      <c r="L904" s="15"/>
      <c r="M904" s="15" t="s">
        <v>29</v>
      </c>
    </row>
    <row r="905" spans="1:13" x14ac:dyDescent="0.25">
      <c r="A905" s="23">
        <f t="shared" si="47"/>
        <v>259572</v>
      </c>
      <c r="B905" s="14" t="str">
        <f t="shared" si="48"/>
        <v>Credit Cards (UMB) - Credits</v>
      </c>
      <c r="C905" s="37">
        <v>46157</v>
      </c>
      <c r="D905" s="31">
        <v>259572</v>
      </c>
      <c r="E905" s="33" t="str">
        <f>IF(Table3[[#This Row],[Type Received]]=2,"CC",(IF(Table3[[#This Row],[Type Received]]=3,"BILL","ACH")))</f>
        <v>CC</v>
      </c>
      <c r="F905" s="32">
        <v>59.75</v>
      </c>
      <c r="G905" s="14" t="str">
        <f>VLOOKUP(D905,Table4[],3,FALSE)</f>
        <v>1</v>
      </c>
      <c r="H905" s="15"/>
      <c r="I905" s="15">
        <v>334780</v>
      </c>
      <c r="J905" s="15" t="s">
        <v>28</v>
      </c>
      <c r="K905" s="15">
        <v>696685195</v>
      </c>
      <c r="L905" s="15" t="s">
        <v>29</v>
      </c>
      <c r="M905" s="15" t="s">
        <v>29</v>
      </c>
    </row>
    <row r="906" spans="1:13" x14ac:dyDescent="0.25">
      <c r="A906" s="23">
        <f t="shared" si="47"/>
        <v>259571</v>
      </c>
      <c r="B906" s="14" t="str">
        <f t="shared" si="48"/>
        <v>Billing - Credits (from TPA)</v>
      </c>
      <c r="C906" s="38">
        <v>46161</v>
      </c>
      <c r="D906" s="34">
        <v>259571</v>
      </c>
      <c r="E906" s="36" t="str">
        <f>IF(Table3[[#This Row],[Type Received]]=2,"CC",(IF(Table3[[#This Row],[Type Received]]=3,"BILL","ACH")))</f>
        <v>BILL</v>
      </c>
      <c r="F906" s="35">
        <v>167.13</v>
      </c>
      <c r="G906" s="14" t="str">
        <f>VLOOKUP(D906,Table4[],3,FALSE)</f>
        <v>2</v>
      </c>
      <c r="H906" s="15"/>
      <c r="I906" s="15">
        <v>35924</v>
      </c>
      <c r="J906" s="15" t="s">
        <v>28</v>
      </c>
      <c r="K906" s="15">
        <v>748734190</v>
      </c>
      <c r="L906" s="15" t="s">
        <v>29</v>
      </c>
      <c r="M906" s="15" t="s">
        <v>29</v>
      </c>
    </row>
    <row r="907" spans="1:13" x14ac:dyDescent="0.25">
      <c r="A907" s="23">
        <f t="shared" si="47"/>
        <v>259576</v>
      </c>
      <c r="B907" s="14" t="str">
        <f t="shared" si="48"/>
        <v>Direct Debit (UMB Bank) - Credits</v>
      </c>
      <c r="C907" s="37">
        <v>46147</v>
      </c>
      <c r="D907" s="31">
        <v>259576</v>
      </c>
      <c r="E907" s="33" t="str">
        <f>IF(Table3[[#This Row],[Type Received]]=2,"CC",(IF(Table3[[#This Row],[Type Received]]=3,"BILL","ACH")))</f>
        <v>ACH</v>
      </c>
      <c r="F907" s="32">
        <v>118.95</v>
      </c>
      <c r="G907" s="14" t="str">
        <f>VLOOKUP(D907,Table4[],3,FALSE)</f>
        <v>2</v>
      </c>
      <c r="H907" s="15">
        <v>1081</v>
      </c>
      <c r="I907" s="15"/>
      <c r="J907" s="15"/>
      <c r="K907" s="15"/>
      <c r="L907" s="15"/>
      <c r="M907" s="15" t="s">
        <v>29</v>
      </c>
    </row>
    <row r="908" spans="1:13" x14ac:dyDescent="0.25">
      <c r="A908" s="23">
        <f t="shared" si="47"/>
        <v>259586</v>
      </c>
      <c r="B908" s="14" t="str">
        <f t="shared" si="48"/>
        <v>Direct Debit (UMB Bank) - Credits</v>
      </c>
      <c r="C908" s="38">
        <v>46157</v>
      </c>
      <c r="D908" s="34">
        <v>259586</v>
      </c>
      <c r="E908" s="36" t="str">
        <f>IF(Table3[[#This Row],[Type Received]]=2,"CC",(IF(Table3[[#This Row],[Type Received]]=3,"BILL","ACH")))</f>
        <v>ACH</v>
      </c>
      <c r="F908" s="35">
        <v>67.45</v>
      </c>
      <c r="G908" s="14" t="str">
        <f>VLOOKUP(D908,Table4[],3,FALSE)</f>
        <v>2</v>
      </c>
      <c r="H908" s="15"/>
      <c r="I908" s="15"/>
      <c r="J908" s="15" t="s">
        <v>87</v>
      </c>
      <c r="K908" s="15">
        <v>696660030</v>
      </c>
      <c r="L908" s="15" t="s">
        <v>29</v>
      </c>
      <c r="M908" s="15" t="s">
        <v>29</v>
      </c>
    </row>
    <row r="909" spans="1:13" x14ac:dyDescent="0.25">
      <c r="A909" s="23">
        <f t="shared" si="47"/>
        <v>259575</v>
      </c>
      <c r="B909" s="14" t="str">
        <f t="shared" si="48"/>
        <v>Direct Debit (UMB Bank) - Credits</v>
      </c>
      <c r="C909" s="37">
        <v>46144</v>
      </c>
      <c r="D909" s="31">
        <v>259575</v>
      </c>
      <c r="E909" s="33" t="str">
        <f>IF(Table3[[#This Row],[Type Received]]=2,"CC",(IF(Table3[[#This Row],[Type Received]]=3,"BILL","ACH")))</f>
        <v>ACH</v>
      </c>
      <c r="F909" s="32">
        <v>32.799999999999997</v>
      </c>
      <c r="G909" s="14" t="str">
        <f>VLOOKUP(D909,Table4[],3,FALSE)</f>
        <v>2</v>
      </c>
      <c r="H909" s="15"/>
      <c r="I909" s="15"/>
      <c r="J909" s="15" t="s">
        <v>89</v>
      </c>
      <c r="K909" s="15">
        <v>535352977</v>
      </c>
      <c r="L909" s="15" t="s">
        <v>29</v>
      </c>
      <c r="M909" s="15" t="s">
        <v>29</v>
      </c>
    </row>
    <row r="910" spans="1:13" x14ac:dyDescent="0.25">
      <c r="A910" s="23">
        <f t="shared" si="47"/>
        <v>259582</v>
      </c>
      <c r="B910" s="14" t="str">
        <f t="shared" si="48"/>
        <v>Credit Cards (UMB) - Credits</v>
      </c>
      <c r="C910" s="38">
        <v>46157</v>
      </c>
      <c r="D910" s="34">
        <v>259582</v>
      </c>
      <c r="E910" s="36" t="str">
        <f>IF(Table3[[#This Row],[Type Received]]=2,"CC",(IF(Table3[[#This Row],[Type Received]]=3,"BILL","ACH")))</f>
        <v>CC</v>
      </c>
      <c r="F910" s="35">
        <v>67.67</v>
      </c>
      <c r="G910" s="14" t="str">
        <f>VLOOKUP(D910,Table4[],3,FALSE)</f>
        <v>1</v>
      </c>
      <c r="H910" s="15"/>
      <c r="I910" s="15"/>
      <c r="J910" s="24" t="s">
        <v>87</v>
      </c>
      <c r="K910" s="15">
        <v>696661950</v>
      </c>
      <c r="L910" s="15" t="s">
        <v>29</v>
      </c>
      <c r="M910" s="15" t="s">
        <v>29</v>
      </c>
    </row>
    <row r="911" spans="1:13" x14ac:dyDescent="0.25">
      <c r="A911" s="23">
        <f t="shared" si="47"/>
        <v>259595</v>
      </c>
      <c r="B911" s="14" t="str">
        <f t="shared" si="48"/>
        <v>Credit Cards (UMB) - Credits</v>
      </c>
      <c r="C911" s="37">
        <v>46155</v>
      </c>
      <c r="D911" s="31">
        <v>259595</v>
      </c>
      <c r="E911" s="33" t="str">
        <f>IF(Table3[[#This Row],[Type Received]]=2,"CC",(IF(Table3[[#This Row],[Type Received]]=3,"BILL","ACH")))</f>
        <v>CC</v>
      </c>
      <c r="F911" s="32">
        <v>66.459999999999994</v>
      </c>
      <c r="G911" s="14" t="str">
        <f>VLOOKUP(D911,Table4[],3,FALSE)</f>
        <v>2</v>
      </c>
      <c r="H911" s="15"/>
      <c r="I911" s="15">
        <v>925176</v>
      </c>
      <c r="J911" s="15" t="s">
        <v>28</v>
      </c>
      <c r="K911" s="15">
        <v>669454851</v>
      </c>
      <c r="L911" s="15" t="s">
        <v>29</v>
      </c>
      <c r="M911" s="15" t="s">
        <v>29</v>
      </c>
    </row>
    <row r="912" spans="1:13" x14ac:dyDescent="0.25">
      <c r="A912" s="23"/>
      <c r="B912" s="14" t="str">
        <f t="shared" si="48"/>
        <v>Billing - Credits (from TPA)</v>
      </c>
      <c r="C912" s="38">
        <v>46144</v>
      </c>
      <c r="D912" s="34">
        <v>259599</v>
      </c>
      <c r="E912" s="36" t="str">
        <f>IF(Table3[[#This Row],[Type Received]]=2,"CC",(IF(Table3[[#This Row],[Type Received]]=3,"BILL","ACH")))</f>
        <v>BILL</v>
      </c>
      <c r="F912" s="35">
        <v>47.21</v>
      </c>
      <c r="G912" s="14" t="str">
        <f>VLOOKUP(D912,Table4[],3,FALSE)</f>
        <v>1</v>
      </c>
      <c r="H912" s="15"/>
      <c r="I912" s="15" t="s">
        <v>168</v>
      </c>
      <c r="J912" s="15" t="s">
        <v>28</v>
      </c>
      <c r="K912" s="15">
        <v>535356867</v>
      </c>
      <c r="L912" s="15" t="s">
        <v>29</v>
      </c>
      <c r="M912" s="15" t="s">
        <v>29</v>
      </c>
    </row>
    <row r="913" spans="1:13" x14ac:dyDescent="0.25">
      <c r="A913" s="23"/>
      <c r="B913" s="14" t="str">
        <f t="shared" si="48"/>
        <v>Billing - Credits (from TPA)</v>
      </c>
      <c r="C913" s="37">
        <v>46170</v>
      </c>
      <c r="D913" s="31">
        <v>259589</v>
      </c>
      <c r="E913" s="33" t="str">
        <f>IF(Table3[[#This Row],[Type Received]]=2,"CC",(IF(Table3[[#This Row],[Type Received]]=3,"BILL","ACH")))</f>
        <v>BILL</v>
      </c>
      <c r="F913" s="32">
        <v>40.630000000000003</v>
      </c>
      <c r="G913" s="14" t="str">
        <f>VLOOKUP(D913,Table4[],3,FALSE)</f>
        <v>1</v>
      </c>
      <c r="H913" s="15">
        <v>8597</v>
      </c>
      <c r="I913" s="15"/>
      <c r="J913" s="15"/>
      <c r="K913" s="15"/>
      <c r="L913" s="15"/>
      <c r="M913" s="15" t="s">
        <v>29</v>
      </c>
    </row>
    <row r="914" spans="1:13" x14ac:dyDescent="0.25">
      <c r="A914" s="23">
        <f t="shared" ref="A914:A935" si="49">D914</f>
        <v>259581</v>
      </c>
      <c r="B914" s="14" t="str">
        <f t="shared" si="48"/>
        <v>Direct Debit (UMB Bank) - Credits</v>
      </c>
      <c r="C914" s="38">
        <v>46168</v>
      </c>
      <c r="D914" s="34">
        <v>259581</v>
      </c>
      <c r="E914" s="36" t="str">
        <f>IF(Table3[[#This Row],[Type Received]]=2,"CC",(IF(Table3[[#This Row],[Type Received]]=3,"BILL","ACH")))</f>
        <v>ACH</v>
      </c>
      <c r="F914" s="35">
        <v>107.35</v>
      </c>
      <c r="G914" s="14" t="str">
        <f>VLOOKUP(D914,Table4[],3,FALSE)</f>
        <v>1</v>
      </c>
      <c r="H914" s="15">
        <v>254</v>
      </c>
      <c r="I914" s="15"/>
      <c r="J914" s="15"/>
      <c r="K914" s="15"/>
      <c r="L914" s="15"/>
      <c r="M914" s="15" t="s">
        <v>29</v>
      </c>
    </row>
    <row r="915" spans="1:13" x14ac:dyDescent="0.25">
      <c r="A915" s="23">
        <f t="shared" si="49"/>
        <v>259600</v>
      </c>
      <c r="B915" s="14" t="str">
        <f t="shared" si="48"/>
        <v>Credit Cards (UMB) - Credits</v>
      </c>
      <c r="C915" s="37">
        <v>46168</v>
      </c>
      <c r="D915" s="31">
        <v>259600</v>
      </c>
      <c r="E915" s="33" t="str">
        <f>IF(Table3[[#This Row],[Type Received]]=2,"CC",(IF(Table3[[#This Row],[Type Received]]=3,"BILL","ACH")))</f>
        <v>CC</v>
      </c>
      <c r="F915" s="32">
        <v>83.51</v>
      </c>
      <c r="G915" s="14" t="str">
        <f>VLOOKUP(D915,Table4[],3,FALSE)</f>
        <v>1</v>
      </c>
      <c r="H915" s="15"/>
      <c r="I915" s="15"/>
      <c r="J915" s="15" t="s">
        <v>110</v>
      </c>
      <c r="K915" s="15">
        <v>828228043</v>
      </c>
      <c r="L915" s="15" t="s">
        <v>29</v>
      </c>
      <c r="M915" s="15" t="s">
        <v>29</v>
      </c>
    </row>
    <row r="916" spans="1:13" x14ac:dyDescent="0.25">
      <c r="A916" s="23">
        <f t="shared" si="49"/>
        <v>259579</v>
      </c>
      <c r="B916" s="14" t="str">
        <f t="shared" si="48"/>
        <v>Direct Debit (UMB Bank) - Credits</v>
      </c>
      <c r="C916" s="38">
        <v>46157</v>
      </c>
      <c r="D916" s="34">
        <v>259579</v>
      </c>
      <c r="E916" s="36" t="str">
        <f>IF(Table3[[#This Row],[Type Received]]=2,"CC",(IF(Table3[[#This Row],[Type Received]]=3,"BILL","ACH")))</f>
        <v>ACH</v>
      </c>
      <c r="F916" s="35">
        <v>83.95</v>
      </c>
      <c r="G916" s="14" t="str">
        <f>VLOOKUP(D916,Table4[],3,FALSE)</f>
        <v>1</v>
      </c>
      <c r="H916" s="15"/>
      <c r="I916" s="15">
        <v>437546</v>
      </c>
      <c r="J916" s="15" t="s">
        <v>28</v>
      </c>
      <c r="K916" s="15">
        <v>696680338</v>
      </c>
      <c r="L916" s="15" t="s">
        <v>29</v>
      </c>
      <c r="M916" s="15" t="s">
        <v>29</v>
      </c>
    </row>
    <row r="917" spans="1:13" x14ac:dyDescent="0.25">
      <c r="A917" s="23">
        <f t="shared" si="49"/>
        <v>259629</v>
      </c>
      <c r="B917" s="14" t="str">
        <f t="shared" si="48"/>
        <v>Credit Cards (UMB) - Credits</v>
      </c>
      <c r="C917" s="37">
        <v>46144</v>
      </c>
      <c r="D917" s="31">
        <v>259629</v>
      </c>
      <c r="E917" s="33" t="str">
        <f>IF(Table3[[#This Row],[Type Received]]=2,"CC",(IF(Table3[[#This Row],[Type Received]]=3,"BILL","ACH")))</f>
        <v>CC</v>
      </c>
      <c r="F917" s="32">
        <v>34.229999999999997</v>
      </c>
      <c r="G917" s="14" t="str">
        <f>VLOOKUP(D917,Table4[],3,FALSE)</f>
        <v>1</v>
      </c>
      <c r="H917" s="15"/>
      <c r="I917" s="15"/>
      <c r="J917" s="15" t="s">
        <v>89</v>
      </c>
      <c r="K917" s="15">
        <v>535348097</v>
      </c>
      <c r="L917" s="15" t="s">
        <v>29</v>
      </c>
      <c r="M917" s="15" t="s">
        <v>29</v>
      </c>
    </row>
    <row r="918" spans="1:13" x14ac:dyDescent="0.25">
      <c r="A918" s="23">
        <f t="shared" si="49"/>
        <v>259632</v>
      </c>
      <c r="B918" s="14" t="str">
        <f t="shared" si="48"/>
        <v>Credit Cards (UMB) - Credits</v>
      </c>
      <c r="C918" s="38">
        <v>46161</v>
      </c>
      <c r="D918" s="34">
        <v>259632</v>
      </c>
      <c r="E918" s="36" t="str">
        <f>IF(Table3[[#This Row],[Type Received]]=2,"CC",(IF(Table3[[#This Row],[Type Received]]=3,"BILL","ACH")))</f>
        <v>CC</v>
      </c>
      <c r="F918" s="35">
        <v>69.12</v>
      </c>
      <c r="G918" s="14" t="str">
        <f>VLOOKUP(D918,Table4[],3,FALSE)</f>
        <v>2</v>
      </c>
      <c r="H918" s="15"/>
      <c r="I918" s="15" t="s">
        <v>169</v>
      </c>
      <c r="J918" s="15">
        <v>746805329</v>
      </c>
      <c r="K918" s="15">
        <v>355097119</v>
      </c>
      <c r="L918" s="15"/>
      <c r="M918" s="15" t="s">
        <v>29</v>
      </c>
    </row>
    <row r="919" spans="1:13" x14ac:dyDescent="0.25">
      <c r="A919" s="23">
        <f t="shared" si="49"/>
        <v>259610</v>
      </c>
      <c r="B919" s="14" t="str">
        <f t="shared" si="48"/>
        <v>Direct Debit (UMB Bank) - Credits</v>
      </c>
      <c r="C919" s="37">
        <v>46147</v>
      </c>
      <c r="D919" s="31">
        <v>259610</v>
      </c>
      <c r="E919" s="33" t="str">
        <f>IF(Table3[[#This Row],[Type Received]]=2,"CC",(IF(Table3[[#This Row],[Type Received]]=3,"BILL","ACH")))</f>
        <v>ACH</v>
      </c>
      <c r="F919" s="32">
        <v>123.22</v>
      </c>
      <c r="G919" s="14" t="str">
        <f>VLOOKUP(D919,Table4[],3,FALSE)</f>
        <v>2</v>
      </c>
      <c r="H919" s="15"/>
      <c r="I919" s="15">
        <v>113135</v>
      </c>
      <c r="J919" s="15" t="s">
        <v>28</v>
      </c>
      <c r="K919" s="15">
        <v>569466016</v>
      </c>
      <c r="L919" s="15" t="s">
        <v>29</v>
      </c>
      <c r="M919" s="15"/>
    </row>
    <row r="920" spans="1:13" x14ac:dyDescent="0.25">
      <c r="A920" s="23">
        <f t="shared" si="49"/>
        <v>259626</v>
      </c>
      <c r="B920" s="14" t="str">
        <f t="shared" si="48"/>
        <v>Credit Cards (UMB) - Credits</v>
      </c>
      <c r="C920" s="38">
        <v>46144</v>
      </c>
      <c r="D920" s="34">
        <v>259626</v>
      </c>
      <c r="E920" s="36" t="str">
        <f>IF(Table3[[#This Row],[Type Received]]=2,"CC",(IF(Table3[[#This Row],[Type Received]]=3,"BILL","ACH")))</f>
        <v>CC</v>
      </c>
      <c r="F920" s="35">
        <v>60.85</v>
      </c>
      <c r="G920" s="14" t="str">
        <f>VLOOKUP(D920,Table4[],3,FALSE)</f>
        <v>2</v>
      </c>
      <c r="H920" s="15"/>
      <c r="I920" s="15"/>
      <c r="J920" s="15" t="s">
        <v>89</v>
      </c>
      <c r="K920" s="15">
        <v>535352083</v>
      </c>
      <c r="L920" s="15" t="s">
        <v>29</v>
      </c>
      <c r="M920" s="15" t="s">
        <v>29</v>
      </c>
    </row>
    <row r="921" spans="1:13" x14ac:dyDescent="0.25">
      <c r="A921" s="23">
        <f t="shared" si="49"/>
        <v>259628</v>
      </c>
      <c r="B921" s="14" t="str">
        <f t="shared" si="48"/>
        <v>Direct Debit (UMB Bank) - Credits</v>
      </c>
      <c r="C921" s="37">
        <v>46168</v>
      </c>
      <c r="D921" s="31">
        <v>259628</v>
      </c>
      <c r="E921" s="33" t="str">
        <f>IF(Table3[[#This Row],[Type Received]]=2,"CC",(IF(Table3[[#This Row],[Type Received]]=3,"BILL","ACH")))</f>
        <v>ACH</v>
      </c>
      <c r="F921" s="32">
        <v>67.45</v>
      </c>
      <c r="G921" s="14" t="str">
        <f>VLOOKUP(D921,Table4[],3,FALSE)</f>
        <v>2</v>
      </c>
      <c r="H921" s="15"/>
      <c r="I921" s="15">
        <v>413909</v>
      </c>
      <c r="J921" s="15" t="s">
        <v>28</v>
      </c>
      <c r="K921" s="15">
        <v>828230038</v>
      </c>
      <c r="L921" s="15" t="s">
        <v>29</v>
      </c>
      <c r="M921" s="15" t="s">
        <v>29</v>
      </c>
    </row>
    <row r="922" spans="1:13" x14ac:dyDescent="0.25">
      <c r="A922" s="23">
        <f t="shared" si="49"/>
        <v>259623</v>
      </c>
      <c r="B922" s="14" t="str">
        <f t="shared" si="48"/>
        <v>Direct Debit (UMB Bank) - Credits</v>
      </c>
      <c r="C922" s="38">
        <v>46168</v>
      </c>
      <c r="D922" s="34">
        <v>259623</v>
      </c>
      <c r="E922" s="36" t="str">
        <f>IF(Table3[[#This Row],[Type Received]]=2,"CC",(IF(Table3[[#This Row],[Type Received]]=3,"BILL","ACH")))</f>
        <v>ACH</v>
      </c>
      <c r="F922" s="35">
        <v>132.13</v>
      </c>
      <c r="G922" s="14" t="str">
        <f>VLOOKUP(D922,Table4[],3,FALSE)</f>
        <v>2</v>
      </c>
      <c r="H922" s="15"/>
      <c r="I922" s="15"/>
      <c r="J922" s="15" t="s">
        <v>110</v>
      </c>
      <c r="K922" s="15">
        <v>828247603</v>
      </c>
      <c r="L922" s="15" t="s">
        <v>29</v>
      </c>
      <c r="M922" s="15" t="s">
        <v>29</v>
      </c>
    </row>
    <row r="923" spans="1:13" x14ac:dyDescent="0.25">
      <c r="A923" s="23">
        <f t="shared" si="49"/>
        <v>259612</v>
      </c>
      <c r="B923" s="14" t="str">
        <f t="shared" si="48"/>
        <v>Direct Debit (UMB Bank) - Credits</v>
      </c>
      <c r="C923" s="37">
        <v>46168</v>
      </c>
      <c r="D923" s="31">
        <v>259612</v>
      </c>
      <c r="E923" s="33" t="str">
        <f>IF(Table3[[#This Row],[Type Received]]=2,"CC",(IF(Table3[[#This Row],[Type Received]]=3,"BILL","ACH")))</f>
        <v>ACH</v>
      </c>
      <c r="F923" s="32">
        <v>54.03</v>
      </c>
      <c r="G923" s="14" t="str">
        <f>VLOOKUP(D923,Table4[],3,FALSE)</f>
        <v>1</v>
      </c>
      <c r="H923" s="15"/>
      <c r="I923" s="15"/>
      <c r="J923" s="24" t="s">
        <v>110</v>
      </c>
      <c r="K923" s="15">
        <v>828244679</v>
      </c>
      <c r="L923" s="15" t="s">
        <v>29</v>
      </c>
      <c r="M923" s="15" t="s">
        <v>29</v>
      </c>
    </row>
    <row r="924" spans="1:13" x14ac:dyDescent="0.25">
      <c r="A924" s="23">
        <f t="shared" si="49"/>
        <v>259616</v>
      </c>
      <c r="B924" s="14" t="str">
        <f t="shared" si="48"/>
        <v>Credit Cards (UMB) - Credits</v>
      </c>
      <c r="C924" s="38">
        <v>46168</v>
      </c>
      <c r="D924" s="34">
        <v>259616</v>
      </c>
      <c r="E924" s="36" t="str">
        <f>IF(Table3[[#This Row],[Type Received]]=2,"CC",(IF(Table3[[#This Row],[Type Received]]=3,"BILL","ACH")))</f>
        <v>CC</v>
      </c>
      <c r="F924" s="35">
        <v>71.41</v>
      </c>
      <c r="G924" s="14" t="str">
        <f>VLOOKUP(D924,Table4[],3,FALSE)</f>
        <v>2</v>
      </c>
      <c r="H924" s="15"/>
      <c r="I924" s="15"/>
      <c r="J924" s="15" t="s">
        <v>110</v>
      </c>
      <c r="K924" s="15">
        <v>828235940</v>
      </c>
      <c r="L924" s="15" t="s">
        <v>29</v>
      </c>
      <c r="M924" s="15"/>
    </row>
    <row r="925" spans="1:13" x14ac:dyDescent="0.25">
      <c r="A925" s="23">
        <f t="shared" si="49"/>
        <v>259624</v>
      </c>
      <c r="B925" s="14" t="str">
        <f t="shared" si="48"/>
        <v>Credit Cards (UMB) - Credits</v>
      </c>
      <c r="C925" s="37">
        <v>46155</v>
      </c>
      <c r="D925" s="31">
        <v>259624</v>
      </c>
      <c r="E925" s="33" t="str">
        <f>IF(Table3[[#This Row],[Type Received]]=2,"CC",(IF(Table3[[#This Row],[Type Received]]=3,"BILL","ACH")))</f>
        <v>CC</v>
      </c>
      <c r="F925" s="32">
        <v>45.67</v>
      </c>
      <c r="G925" s="14" t="str">
        <f>VLOOKUP(D925,Table4[],3,FALSE)</f>
        <v>2</v>
      </c>
      <c r="H925" s="15"/>
      <c r="I925" s="15" t="s">
        <v>170</v>
      </c>
      <c r="J925" s="15" t="s">
        <v>28</v>
      </c>
      <c r="K925" s="15">
        <v>669463665</v>
      </c>
      <c r="L925" s="15" t="s">
        <v>29</v>
      </c>
      <c r="M925" s="15" t="s">
        <v>29</v>
      </c>
    </row>
    <row r="926" spans="1:13" x14ac:dyDescent="0.25">
      <c r="A926" s="23">
        <f t="shared" si="49"/>
        <v>259625</v>
      </c>
      <c r="B926" s="14" t="str">
        <f t="shared" si="48"/>
        <v>Credit Cards (UMB) - Credits</v>
      </c>
      <c r="C926" s="38">
        <v>46143</v>
      </c>
      <c r="D926" s="34">
        <v>259625</v>
      </c>
      <c r="E926" s="36" t="str">
        <f>IF(Table3[[#This Row],[Type Received]]=2,"CC",(IF(Table3[[#This Row],[Type Received]]=3,"BILL","ACH")))</f>
        <v>CC</v>
      </c>
      <c r="F926" s="35">
        <v>49.32</v>
      </c>
      <c r="G926" s="14" t="str">
        <f>VLOOKUP(D926,Table4[],3,FALSE)</f>
        <v>2</v>
      </c>
      <c r="H926" s="15"/>
      <c r="I926" s="15">
        <v>243593</v>
      </c>
      <c r="J926" s="15">
        <v>741374152</v>
      </c>
      <c r="K926" s="15">
        <v>353136937</v>
      </c>
      <c r="L926" s="15"/>
      <c r="M926" s="15" t="s">
        <v>29</v>
      </c>
    </row>
    <row r="927" spans="1:13" x14ac:dyDescent="0.25">
      <c r="A927" s="23">
        <f t="shared" si="49"/>
        <v>259637</v>
      </c>
      <c r="B927" s="14" t="str">
        <f t="shared" si="48"/>
        <v>Direct Debit (UMB Bank) - Credits</v>
      </c>
      <c r="C927" s="37">
        <v>46155</v>
      </c>
      <c r="D927" s="31">
        <v>259637</v>
      </c>
      <c r="E927" s="33" t="str">
        <f>IF(Table3[[#This Row],[Type Received]]=2,"CC",(IF(Table3[[#This Row],[Type Received]]=3,"BILL","ACH")))</f>
        <v>ACH</v>
      </c>
      <c r="F927" s="32">
        <v>60.19</v>
      </c>
      <c r="G927" s="14" t="str">
        <f>VLOOKUP(D927,Table4[],3,FALSE)</f>
        <v>2</v>
      </c>
      <c r="H927" s="15"/>
      <c r="I927" s="15" t="s">
        <v>171</v>
      </c>
      <c r="J927" s="15" t="s">
        <v>28</v>
      </c>
      <c r="K927" s="15">
        <v>669449977</v>
      </c>
      <c r="L927" s="15" t="s">
        <v>29</v>
      </c>
      <c r="M927" s="15" t="s">
        <v>29</v>
      </c>
    </row>
    <row r="928" spans="1:13" x14ac:dyDescent="0.25">
      <c r="A928" s="23">
        <f t="shared" si="49"/>
        <v>259645</v>
      </c>
      <c r="B928" s="14" t="str">
        <f t="shared" si="48"/>
        <v>Billing - Credits (from TPA)</v>
      </c>
      <c r="C928" s="38">
        <v>46145</v>
      </c>
      <c r="D928" s="34">
        <v>259645</v>
      </c>
      <c r="E928" s="36" t="str">
        <f>IF(Table3[[#This Row],[Type Received]]=2,"CC",(IF(Table3[[#This Row],[Type Received]]=3,"BILL","ACH")))</f>
        <v>BILL</v>
      </c>
      <c r="F928" s="35">
        <v>46</v>
      </c>
      <c r="G928" s="14" t="str">
        <f>VLOOKUP(D928,Table4[],3,FALSE)</f>
        <v>2</v>
      </c>
      <c r="H928" s="15"/>
      <c r="I928" s="15"/>
      <c r="J928" s="24" t="s">
        <v>113</v>
      </c>
      <c r="K928" s="15">
        <v>546427108</v>
      </c>
      <c r="L928" s="15" t="s">
        <v>29</v>
      </c>
      <c r="M928" s="15" t="s">
        <v>29</v>
      </c>
    </row>
    <row r="929" spans="1:13" x14ac:dyDescent="0.25">
      <c r="A929" s="23">
        <f t="shared" si="49"/>
        <v>259654</v>
      </c>
      <c r="B929" s="14" t="str">
        <f t="shared" si="48"/>
        <v>Credit Cards (UMB) - Credits</v>
      </c>
      <c r="C929" s="37">
        <v>46147</v>
      </c>
      <c r="D929" s="31">
        <v>259654</v>
      </c>
      <c r="E929" s="33" t="str">
        <f>IF(Table3[[#This Row],[Type Received]]=2,"CC",(IF(Table3[[#This Row],[Type Received]]=3,"BILL","ACH")))</f>
        <v>CC</v>
      </c>
      <c r="F929" s="32">
        <v>44.04</v>
      </c>
      <c r="G929" s="14" t="str">
        <f>VLOOKUP(D929,Table4[],3,FALSE)</f>
        <v>2</v>
      </c>
      <c r="H929" s="15">
        <v>997410</v>
      </c>
      <c r="I929" s="15"/>
      <c r="J929" s="15"/>
      <c r="K929" s="15"/>
      <c r="L929" s="15"/>
      <c r="M929" s="15" t="s">
        <v>29</v>
      </c>
    </row>
    <row r="930" spans="1:13" x14ac:dyDescent="0.25">
      <c r="A930" s="23">
        <f t="shared" si="49"/>
        <v>259640</v>
      </c>
      <c r="B930" s="14" t="str">
        <f t="shared" si="48"/>
        <v>Credit Cards (UMB) - Credits</v>
      </c>
      <c r="C930" s="38">
        <v>46155</v>
      </c>
      <c r="D930" s="34">
        <v>259640</v>
      </c>
      <c r="E930" s="36" t="str">
        <f>IF(Table3[[#This Row],[Type Received]]=2,"CC",(IF(Table3[[#This Row],[Type Received]]=3,"BILL","ACH")))</f>
        <v>CC</v>
      </c>
      <c r="F930" s="35">
        <v>50.73</v>
      </c>
      <c r="G930" s="14" t="str">
        <f>VLOOKUP(D930,Table4[],3,FALSE)</f>
        <v>1</v>
      </c>
      <c r="H930" s="15"/>
      <c r="I930" s="15" t="s">
        <v>172</v>
      </c>
      <c r="J930" s="15" t="s">
        <v>28</v>
      </c>
      <c r="K930" s="15">
        <v>669449042</v>
      </c>
      <c r="L930" s="15" t="s">
        <v>29</v>
      </c>
      <c r="M930" s="15"/>
    </row>
    <row r="931" spans="1:13" x14ac:dyDescent="0.25">
      <c r="A931" s="23">
        <f t="shared" si="49"/>
        <v>259639</v>
      </c>
      <c r="B931" s="14" t="str">
        <f t="shared" si="48"/>
        <v>Direct Debit (UMB Bank) - Credits</v>
      </c>
      <c r="C931" s="37">
        <v>46155</v>
      </c>
      <c r="D931" s="31">
        <v>259639</v>
      </c>
      <c r="E931" s="33" t="str">
        <f>IF(Table3[[#This Row],[Type Received]]=2,"CC",(IF(Table3[[#This Row],[Type Received]]=3,"BILL","ACH")))</f>
        <v>ACH</v>
      </c>
      <c r="F931" s="32">
        <v>38.630000000000003</v>
      </c>
      <c r="G931" s="14" t="str">
        <f>VLOOKUP(D931,Table4[],3,FALSE)</f>
        <v>1</v>
      </c>
      <c r="H931" s="15"/>
      <c r="I931" s="15" t="s">
        <v>173</v>
      </c>
      <c r="J931" s="15" t="s">
        <v>28</v>
      </c>
      <c r="K931" s="15">
        <v>669452899</v>
      </c>
      <c r="L931" s="15" t="s">
        <v>29</v>
      </c>
      <c r="M931" s="15" t="s">
        <v>29</v>
      </c>
    </row>
    <row r="932" spans="1:13" x14ac:dyDescent="0.25">
      <c r="A932" s="23">
        <f t="shared" si="49"/>
        <v>259648</v>
      </c>
      <c r="B932" s="14" t="str">
        <f t="shared" si="48"/>
        <v>Direct Debit (UMB Bank) - Credits</v>
      </c>
      <c r="C932" s="38">
        <v>46167</v>
      </c>
      <c r="D932" s="34">
        <v>259648</v>
      </c>
      <c r="E932" s="36" t="str">
        <f>IF(Table3[[#This Row],[Type Received]]=2,"CC",(IF(Table3[[#This Row],[Type Received]]=3,"BILL","ACH")))</f>
        <v>ACH</v>
      </c>
      <c r="F932" s="35">
        <v>79</v>
      </c>
      <c r="G932" s="14" t="str">
        <f>VLOOKUP(D932,Table4[],3,FALSE)</f>
        <v>2</v>
      </c>
      <c r="H932" s="15"/>
      <c r="I932" s="15"/>
      <c r="J932" s="15" t="s">
        <v>85</v>
      </c>
      <c r="K932" s="15">
        <v>818330830</v>
      </c>
      <c r="L932" s="15" t="s">
        <v>29</v>
      </c>
      <c r="M932" s="15" t="s">
        <v>29</v>
      </c>
    </row>
    <row r="933" spans="1:13" x14ac:dyDescent="0.25">
      <c r="A933" s="23">
        <f t="shared" si="49"/>
        <v>259646</v>
      </c>
      <c r="B933" s="14" t="str">
        <f t="shared" si="48"/>
        <v>Direct Debit (UMB Bank) - Credits</v>
      </c>
      <c r="C933" s="37">
        <v>46145</v>
      </c>
      <c r="D933" s="31">
        <v>259646</v>
      </c>
      <c r="E933" s="33" t="str">
        <f>IF(Table3[[#This Row],[Type Received]]=2,"CC",(IF(Table3[[#This Row],[Type Received]]=3,"BILL","ACH")))</f>
        <v>ACH</v>
      </c>
      <c r="F933" s="32">
        <v>110.35</v>
      </c>
      <c r="G933" s="14" t="str">
        <f>VLOOKUP(D933,Table4[],3,FALSE)</f>
        <v>2</v>
      </c>
      <c r="H933" s="15"/>
      <c r="I933" s="15"/>
      <c r="J933" s="15" t="s">
        <v>113</v>
      </c>
      <c r="K933" s="15">
        <v>546421410</v>
      </c>
      <c r="L933" s="15" t="s">
        <v>29</v>
      </c>
      <c r="M933" s="15" t="s">
        <v>29</v>
      </c>
    </row>
    <row r="934" spans="1:13" x14ac:dyDescent="0.25">
      <c r="A934" s="23">
        <f t="shared" si="49"/>
        <v>259643</v>
      </c>
      <c r="B934" s="14" t="str">
        <f t="shared" si="48"/>
        <v>Direct Debit (UMB Bank) - Credits</v>
      </c>
      <c r="C934" s="38">
        <v>46145</v>
      </c>
      <c r="D934" s="34">
        <v>259643</v>
      </c>
      <c r="E934" s="36" t="str">
        <f>IF(Table3[[#This Row],[Type Received]]=2,"CC",(IF(Table3[[#This Row],[Type Received]]=3,"BILL","ACH")))</f>
        <v>ACH</v>
      </c>
      <c r="F934" s="35">
        <v>120.58</v>
      </c>
      <c r="G934" s="14" t="str">
        <f>VLOOKUP(D934,Table4[],3,FALSE)</f>
        <v>2</v>
      </c>
      <c r="H934" s="15"/>
      <c r="I934" s="15"/>
      <c r="J934" s="15" t="s">
        <v>113</v>
      </c>
      <c r="K934" s="15">
        <v>546407827</v>
      </c>
      <c r="L934" s="15" t="s">
        <v>29</v>
      </c>
      <c r="M934" s="15" t="s">
        <v>29</v>
      </c>
    </row>
    <row r="935" spans="1:13" x14ac:dyDescent="0.25">
      <c r="A935" s="23">
        <f t="shared" si="49"/>
        <v>259644</v>
      </c>
      <c r="B935" s="14" t="str">
        <f t="shared" si="48"/>
        <v>Credit Cards (UMB) - Credits</v>
      </c>
      <c r="C935" s="37">
        <v>46145</v>
      </c>
      <c r="D935" s="31">
        <v>259644</v>
      </c>
      <c r="E935" s="33" t="str">
        <f>IF(Table3[[#This Row],[Type Received]]=2,"CC",(IF(Table3[[#This Row],[Type Received]]=3,"BILL","ACH")))</f>
        <v>CC</v>
      </c>
      <c r="F935" s="32">
        <v>71.08</v>
      </c>
      <c r="G935" s="14" t="str">
        <f>VLOOKUP(D935,Table4[],3,FALSE)</f>
        <v>2</v>
      </c>
      <c r="H935" s="15"/>
      <c r="I935" s="15"/>
      <c r="J935" s="15" t="s">
        <v>113</v>
      </c>
      <c r="K935" s="15">
        <v>546401956</v>
      </c>
      <c r="L935" s="15" t="s">
        <v>29</v>
      </c>
      <c r="M935" s="15"/>
    </row>
    <row r="936" spans="1:13" x14ac:dyDescent="0.25">
      <c r="A936" s="23"/>
      <c r="B936" s="14" t="str">
        <f t="shared" si="48"/>
        <v>Credit Cards (UMB) - Credits</v>
      </c>
      <c r="C936" s="38">
        <v>46145</v>
      </c>
      <c r="D936" s="34">
        <v>259660</v>
      </c>
      <c r="E936" s="36" t="str">
        <f>IF(Table3[[#This Row],[Type Received]]=2,"CC",(IF(Table3[[#This Row],[Type Received]]=3,"BILL","ACH")))</f>
        <v>CC</v>
      </c>
      <c r="F936" s="35">
        <v>89.01</v>
      </c>
      <c r="G936" s="14" t="str">
        <f>VLOOKUP(D936,Table4[],3,FALSE)</f>
        <v>1</v>
      </c>
      <c r="H936" s="15"/>
      <c r="I936" s="15">
        <v>269924</v>
      </c>
      <c r="J936" s="15" t="s">
        <v>28</v>
      </c>
      <c r="K936" s="15">
        <v>546424293</v>
      </c>
      <c r="L936" s="15" t="s">
        <v>29</v>
      </c>
      <c r="M936" s="15"/>
    </row>
    <row r="937" spans="1:13" x14ac:dyDescent="0.25">
      <c r="A937" s="23"/>
      <c r="B937" s="14" t="str">
        <f t="shared" si="48"/>
        <v>Direct Debit (UMB Bank) - Credits</v>
      </c>
      <c r="C937" s="37">
        <v>46155</v>
      </c>
      <c r="D937" s="31">
        <v>259661</v>
      </c>
      <c r="E937" s="33" t="str">
        <f>IF(Table3[[#This Row],[Type Received]]=2,"CC",(IF(Table3[[#This Row],[Type Received]]=3,"BILL","ACH")))</f>
        <v>ACH</v>
      </c>
      <c r="F937" s="32">
        <v>94.07</v>
      </c>
      <c r="G937" s="14" t="str">
        <f>VLOOKUP(D937,Table4[],3,FALSE)</f>
        <v>1</v>
      </c>
      <c r="H937" s="15"/>
      <c r="I937" s="15" t="s">
        <v>174</v>
      </c>
      <c r="J937" s="15" t="s">
        <v>28</v>
      </c>
      <c r="K937" s="15">
        <v>669462687</v>
      </c>
      <c r="L937" s="15" t="s">
        <v>29</v>
      </c>
      <c r="M937" s="15" t="s">
        <v>29</v>
      </c>
    </row>
    <row r="938" spans="1:13" x14ac:dyDescent="0.25">
      <c r="A938" s="23">
        <f t="shared" ref="A938:A962" si="50">D938</f>
        <v>259662</v>
      </c>
      <c r="B938" s="14" t="str">
        <f t="shared" si="48"/>
        <v>Direct Debit (UMB Bank) - Credits</v>
      </c>
      <c r="C938" s="38">
        <v>46145</v>
      </c>
      <c r="D938" s="34">
        <v>259662</v>
      </c>
      <c r="E938" s="36" t="str">
        <f>IF(Table3[[#This Row],[Type Received]]=2,"CC",(IF(Table3[[#This Row],[Type Received]]=3,"BILL","ACH")))</f>
        <v>ACH</v>
      </c>
      <c r="F938" s="35">
        <v>80.319999999999993</v>
      </c>
      <c r="G938" s="14" t="str">
        <f>VLOOKUP(D938,Table4[],3,FALSE)</f>
        <v>2</v>
      </c>
      <c r="H938" s="15"/>
      <c r="I938" s="15"/>
      <c r="J938" s="15" t="s">
        <v>113</v>
      </c>
      <c r="K938" s="15">
        <v>546401962</v>
      </c>
      <c r="L938" s="15" t="s">
        <v>29</v>
      </c>
      <c r="M938" s="15"/>
    </row>
    <row r="939" spans="1:13" x14ac:dyDescent="0.25">
      <c r="A939" s="23">
        <f t="shared" si="50"/>
        <v>259672</v>
      </c>
      <c r="B939" s="14" t="str">
        <f t="shared" si="48"/>
        <v>Direct Debit (UMB Bank) - Credits</v>
      </c>
      <c r="C939" s="37">
        <v>46145</v>
      </c>
      <c r="D939" s="31">
        <v>259672</v>
      </c>
      <c r="E939" s="33" t="str">
        <f>IF(Table3[[#This Row],[Type Received]]=2,"CC",(IF(Table3[[#This Row],[Type Received]]=3,"BILL","ACH")))</f>
        <v>ACH</v>
      </c>
      <c r="F939" s="32">
        <v>62.61</v>
      </c>
      <c r="G939" s="14" t="str">
        <f>VLOOKUP(D939,Table4[],3,FALSE)</f>
        <v>1</v>
      </c>
      <c r="H939" s="15"/>
      <c r="I939" s="15"/>
      <c r="J939" s="15" t="s">
        <v>113</v>
      </c>
      <c r="K939" s="15">
        <v>546411752</v>
      </c>
      <c r="L939" s="15" t="s">
        <v>29</v>
      </c>
      <c r="M939" s="15" t="s">
        <v>29</v>
      </c>
    </row>
    <row r="940" spans="1:13" x14ac:dyDescent="0.25">
      <c r="A940" s="23">
        <f t="shared" si="50"/>
        <v>259683</v>
      </c>
      <c r="B940" s="14" t="str">
        <f t="shared" si="48"/>
        <v>Credit Cards (UMB) - Credits</v>
      </c>
      <c r="C940" s="38">
        <v>46145</v>
      </c>
      <c r="D940" s="34">
        <v>259683</v>
      </c>
      <c r="E940" s="36" t="str">
        <f>IF(Table3[[#This Row],[Type Received]]=2,"CC",(IF(Table3[[#This Row],[Type Received]]=3,"BILL","ACH")))</f>
        <v>CC</v>
      </c>
      <c r="F940" s="35">
        <v>65.03</v>
      </c>
      <c r="G940" s="14" t="str">
        <f>VLOOKUP(D940,Table4[],3,FALSE)</f>
        <v>1</v>
      </c>
      <c r="H940" s="15"/>
      <c r="I940" s="15"/>
      <c r="J940" s="24" t="s">
        <v>113</v>
      </c>
      <c r="K940" s="15">
        <v>546423394</v>
      </c>
      <c r="L940" s="15" t="s">
        <v>29</v>
      </c>
      <c r="M940" s="15" t="s">
        <v>29</v>
      </c>
    </row>
    <row r="941" spans="1:13" x14ac:dyDescent="0.25">
      <c r="A941" s="23">
        <f t="shared" si="50"/>
        <v>259665</v>
      </c>
      <c r="B941" s="14" t="str">
        <f t="shared" si="48"/>
        <v>Direct Debit (UMB Bank) - Credits</v>
      </c>
      <c r="C941" s="37">
        <v>46155</v>
      </c>
      <c r="D941" s="31">
        <v>259665</v>
      </c>
      <c r="E941" s="33" t="str">
        <f>IF(Table3[[#This Row],[Type Received]]=2,"CC",(IF(Table3[[#This Row],[Type Received]]=3,"BILL","ACH")))</f>
        <v>ACH</v>
      </c>
      <c r="F941" s="32">
        <v>115.96</v>
      </c>
      <c r="G941" s="14" t="str">
        <f>VLOOKUP(D941,Table4[],3,FALSE)</f>
        <v>2</v>
      </c>
      <c r="H941" s="15"/>
      <c r="I941" s="15">
        <v>13360</v>
      </c>
      <c r="J941" s="15" t="s">
        <v>28</v>
      </c>
      <c r="K941" s="15">
        <v>669473899</v>
      </c>
      <c r="L941" s="15" t="s">
        <v>29</v>
      </c>
      <c r="M941" s="15" t="s">
        <v>29</v>
      </c>
    </row>
    <row r="942" spans="1:13" x14ac:dyDescent="0.25">
      <c r="A942" s="23">
        <f t="shared" si="50"/>
        <v>259676</v>
      </c>
      <c r="B942" s="14" t="str">
        <f t="shared" si="48"/>
        <v>Credit Cards (UMB) - Credits</v>
      </c>
      <c r="C942" s="38">
        <v>46167</v>
      </c>
      <c r="D942" s="34">
        <v>259676</v>
      </c>
      <c r="E942" s="36" t="str">
        <f>IF(Table3[[#This Row],[Type Received]]=2,"CC",(IF(Table3[[#This Row],[Type Received]]=3,"BILL","ACH")))</f>
        <v>CC</v>
      </c>
      <c r="F942" s="35">
        <v>65.8</v>
      </c>
      <c r="G942" s="14" t="str">
        <f>VLOOKUP(D942,Table4[],3,FALSE)</f>
        <v>2</v>
      </c>
      <c r="H942" s="15"/>
      <c r="I942" s="15"/>
      <c r="J942" s="24" t="s">
        <v>85</v>
      </c>
      <c r="K942" s="15">
        <v>818329864</v>
      </c>
      <c r="L942" s="15" t="s">
        <v>29</v>
      </c>
      <c r="M942" s="15" t="s">
        <v>29</v>
      </c>
    </row>
    <row r="943" spans="1:13" x14ac:dyDescent="0.25">
      <c r="A943" s="23">
        <f t="shared" si="50"/>
        <v>259690</v>
      </c>
      <c r="B943" s="14" t="str">
        <f t="shared" si="48"/>
        <v>Direct Debit (UMB Bank) - Credits</v>
      </c>
      <c r="C943" s="37">
        <v>46155</v>
      </c>
      <c r="D943" s="31">
        <v>259690</v>
      </c>
      <c r="E943" s="33" t="str">
        <f>IF(Table3[[#This Row],[Type Received]]=2,"CC",(IF(Table3[[#This Row],[Type Received]]=3,"BILL","ACH")))</f>
        <v>ACH</v>
      </c>
      <c r="F943" s="32">
        <v>72.73</v>
      </c>
      <c r="G943" s="14" t="str">
        <f>VLOOKUP(D943,Table4[],3,FALSE)</f>
        <v>2</v>
      </c>
      <c r="H943" s="15"/>
      <c r="I943" s="15">
        <v>90232</v>
      </c>
      <c r="J943" s="24" t="s">
        <v>28</v>
      </c>
      <c r="K943" s="15">
        <v>669452912</v>
      </c>
      <c r="L943" s="15" t="s">
        <v>29</v>
      </c>
      <c r="M943" s="15" t="s">
        <v>29</v>
      </c>
    </row>
    <row r="944" spans="1:13" x14ac:dyDescent="0.25">
      <c r="A944" s="23">
        <f t="shared" si="50"/>
        <v>259696</v>
      </c>
      <c r="B944" s="14" t="str">
        <f t="shared" si="48"/>
        <v>Direct Debit (UMB Bank) - Credits</v>
      </c>
      <c r="C944" s="38">
        <v>46157</v>
      </c>
      <c r="D944" s="34">
        <v>259696</v>
      </c>
      <c r="E944" s="36" t="str">
        <f>IF(Table3[[#This Row],[Type Received]]=2,"CC",(IF(Table3[[#This Row],[Type Received]]=3,"BILL","ACH")))</f>
        <v>ACH</v>
      </c>
      <c r="F944" s="35">
        <v>124.54</v>
      </c>
      <c r="G944" s="14" t="str">
        <f>VLOOKUP(D944,Table4[],3,FALSE)</f>
        <v>2</v>
      </c>
      <c r="H944" s="15"/>
      <c r="I944" s="15"/>
      <c r="J944" s="15" t="s">
        <v>87</v>
      </c>
      <c r="K944" s="15">
        <v>696658100</v>
      </c>
      <c r="L944" s="15" t="s">
        <v>29</v>
      </c>
      <c r="M944" s="15" t="s">
        <v>29</v>
      </c>
    </row>
    <row r="945" spans="1:13" x14ac:dyDescent="0.25">
      <c r="A945" s="23">
        <f t="shared" si="50"/>
        <v>259705</v>
      </c>
      <c r="B945" s="14" t="str">
        <f t="shared" si="48"/>
        <v>Credit Cards (UMB) - Credits</v>
      </c>
      <c r="C945" s="37">
        <v>46145</v>
      </c>
      <c r="D945" s="31">
        <v>259705</v>
      </c>
      <c r="E945" s="33" t="str">
        <f>IF(Table3[[#This Row],[Type Received]]=2,"CC",(IF(Table3[[#This Row],[Type Received]]=3,"BILL","ACH")))</f>
        <v>CC</v>
      </c>
      <c r="F945" s="32">
        <v>113.98</v>
      </c>
      <c r="G945" s="14" t="str">
        <f>VLOOKUP(D945,Table4[],3,FALSE)</f>
        <v>2</v>
      </c>
      <c r="H945" s="15"/>
      <c r="I945" s="15"/>
      <c r="J945" s="15" t="s">
        <v>113</v>
      </c>
      <c r="K945" s="15">
        <v>546424355</v>
      </c>
      <c r="L945" s="15" t="s">
        <v>29</v>
      </c>
      <c r="M945" s="15" t="s">
        <v>29</v>
      </c>
    </row>
    <row r="946" spans="1:13" x14ac:dyDescent="0.25">
      <c r="A946" s="23">
        <f t="shared" si="50"/>
        <v>259691</v>
      </c>
      <c r="B946" s="14" t="str">
        <f t="shared" si="48"/>
        <v>Direct Debit (UMB Bank) - Credits</v>
      </c>
      <c r="C946" s="38">
        <v>46155</v>
      </c>
      <c r="D946" s="34">
        <v>259691</v>
      </c>
      <c r="E946" s="36" t="str">
        <f>IF(Table3[[#This Row],[Type Received]]=2,"CC",(IF(Table3[[#This Row],[Type Received]]=3,"BILL","ACH")))</f>
        <v>ACH</v>
      </c>
      <c r="F946" s="35">
        <v>96.16</v>
      </c>
      <c r="G946" s="14" t="str">
        <f>VLOOKUP(D946,Table4[],3,FALSE)</f>
        <v>2</v>
      </c>
      <c r="H946" s="15"/>
      <c r="I946" s="15">
        <v>515013</v>
      </c>
      <c r="J946" s="15" t="s">
        <v>28</v>
      </c>
      <c r="K946" s="15">
        <v>669471422</v>
      </c>
      <c r="L946" s="15" t="s">
        <v>29</v>
      </c>
      <c r="M946" s="15" t="s">
        <v>29</v>
      </c>
    </row>
    <row r="947" spans="1:13" x14ac:dyDescent="0.25">
      <c r="A947" s="23">
        <f t="shared" si="50"/>
        <v>259699</v>
      </c>
      <c r="B947" s="14" t="str">
        <f t="shared" si="48"/>
        <v>Billing - Credits (from TPA)</v>
      </c>
      <c r="C947" s="37">
        <v>46167</v>
      </c>
      <c r="D947" s="31">
        <v>259699</v>
      </c>
      <c r="E947" s="33" t="str">
        <f>IF(Table3[[#This Row],[Type Received]]=2,"CC",(IF(Table3[[#This Row],[Type Received]]=3,"BILL","ACH")))</f>
        <v>BILL</v>
      </c>
      <c r="F947" s="32">
        <v>121.57</v>
      </c>
      <c r="G947" s="14" t="str">
        <f>VLOOKUP(D947,Table4[],3,FALSE)</f>
        <v>2</v>
      </c>
      <c r="H947" s="15"/>
      <c r="I947" s="15"/>
      <c r="J947" s="15" t="s">
        <v>85</v>
      </c>
      <c r="K947" s="15">
        <v>818328834</v>
      </c>
      <c r="L947" s="15" t="s">
        <v>29</v>
      </c>
      <c r="M947" s="15"/>
    </row>
    <row r="948" spans="1:13" x14ac:dyDescent="0.25">
      <c r="A948" s="23">
        <f t="shared" si="50"/>
        <v>259712</v>
      </c>
      <c r="B948" s="14" t="str">
        <f t="shared" si="48"/>
        <v>Direct Debit (UMB Bank) - Credits</v>
      </c>
      <c r="C948" s="38">
        <v>46160</v>
      </c>
      <c r="D948" s="34">
        <v>259712</v>
      </c>
      <c r="E948" s="36" t="str">
        <f>IF(Table3[[#This Row],[Type Received]]=2,"CC",(IF(Table3[[#This Row],[Type Received]]=3,"BILL","ACH")))</f>
        <v>ACH</v>
      </c>
      <c r="F948" s="35">
        <v>67.91</v>
      </c>
      <c r="G948" s="14" t="str">
        <f>VLOOKUP(D948,Table4[],3,FALSE)</f>
        <v>1</v>
      </c>
      <c r="H948" s="15">
        <v>77488577</v>
      </c>
      <c r="I948" s="15"/>
      <c r="J948" s="15"/>
      <c r="K948" s="15"/>
      <c r="L948" s="15"/>
      <c r="M948" s="15" t="s">
        <v>29</v>
      </c>
    </row>
    <row r="949" spans="1:13" x14ac:dyDescent="0.25">
      <c r="A949" s="23">
        <f t="shared" si="50"/>
        <v>259694</v>
      </c>
      <c r="B949" s="14" t="str">
        <f t="shared" si="48"/>
        <v>Direct Debit (UMB Bank) - Credits</v>
      </c>
      <c r="C949" s="37">
        <v>46145</v>
      </c>
      <c r="D949" s="31">
        <v>259694</v>
      </c>
      <c r="E949" s="33" t="str">
        <f>IF(Table3[[#This Row],[Type Received]]=2,"CC",(IF(Table3[[#This Row],[Type Received]]=3,"BILL","ACH")))</f>
        <v>ACH</v>
      </c>
      <c r="F949" s="32">
        <v>67.67</v>
      </c>
      <c r="G949" s="14" t="str">
        <f>VLOOKUP(D949,Table4[],3,FALSE)</f>
        <v>1</v>
      </c>
      <c r="H949" s="15"/>
      <c r="I949" s="15"/>
      <c r="J949" s="15" t="s">
        <v>113</v>
      </c>
      <c r="K949" s="15">
        <v>546407879</v>
      </c>
      <c r="L949" s="15" t="s">
        <v>29</v>
      </c>
      <c r="M949" s="15"/>
    </row>
    <row r="950" spans="1:13" x14ac:dyDescent="0.25">
      <c r="A950" s="23">
        <f t="shared" si="50"/>
        <v>259700</v>
      </c>
      <c r="B950" s="14" t="str">
        <f t="shared" si="48"/>
        <v>Billing - Credits (from TPA)</v>
      </c>
      <c r="C950" s="38">
        <v>46167</v>
      </c>
      <c r="D950" s="34">
        <v>259700</v>
      </c>
      <c r="E950" s="36" t="str">
        <f>IF(Table3[[#This Row],[Type Received]]=2,"CC",(IF(Table3[[#This Row],[Type Received]]=3,"BILL","ACH")))</f>
        <v>BILL</v>
      </c>
      <c r="F950" s="35">
        <v>116.95</v>
      </c>
      <c r="G950" s="14" t="str">
        <f>VLOOKUP(D950,Table4[],3,FALSE)</f>
        <v>2</v>
      </c>
      <c r="H950" s="15"/>
      <c r="I950" s="15"/>
      <c r="J950" s="15" t="s">
        <v>85</v>
      </c>
      <c r="K950" s="15">
        <v>818333867</v>
      </c>
      <c r="L950" s="15" t="s">
        <v>29</v>
      </c>
      <c r="M950" s="15" t="s">
        <v>29</v>
      </c>
    </row>
    <row r="951" spans="1:13" x14ac:dyDescent="0.25">
      <c r="A951" s="23">
        <f t="shared" si="50"/>
        <v>259702</v>
      </c>
      <c r="B951" s="14" t="str">
        <f t="shared" si="48"/>
        <v>Billing - Credits (from TPA)</v>
      </c>
      <c r="C951" s="37">
        <v>46146</v>
      </c>
      <c r="D951" s="31">
        <v>259702</v>
      </c>
      <c r="E951" s="33" t="str">
        <f>IF(Table3[[#This Row],[Type Received]]=2,"CC",(IF(Table3[[#This Row],[Type Received]]=3,"BILL","ACH")))</f>
        <v>BILL</v>
      </c>
      <c r="F951" s="32">
        <v>345.8</v>
      </c>
      <c r="G951" s="14" t="str">
        <f>VLOOKUP(D951,Table4[],3,FALSE)</f>
        <v>2</v>
      </c>
      <c r="H951" s="15">
        <v>193</v>
      </c>
      <c r="I951" s="15"/>
      <c r="J951" s="24"/>
      <c r="K951" s="15"/>
      <c r="L951" s="15"/>
      <c r="M951" s="15" t="s">
        <v>29</v>
      </c>
    </row>
    <row r="952" spans="1:13" x14ac:dyDescent="0.25">
      <c r="A952" s="23">
        <f t="shared" si="50"/>
        <v>259717</v>
      </c>
      <c r="B952" s="14" t="str">
        <f t="shared" si="48"/>
        <v>Direct Debit (UMB Bank) - Credits</v>
      </c>
      <c r="C952" s="38">
        <v>46169</v>
      </c>
      <c r="D952" s="34">
        <v>259717</v>
      </c>
      <c r="E952" s="36" t="str">
        <f>IF(Table3[[#This Row],[Type Received]]=2,"CC",(IF(Table3[[#This Row],[Type Received]]=3,"BILL","ACH")))</f>
        <v>ACH</v>
      </c>
      <c r="F952" s="35">
        <v>74.73</v>
      </c>
      <c r="G952" s="14" t="str">
        <f>VLOOKUP(D952,Table4[],3,FALSE)</f>
        <v>1</v>
      </c>
      <c r="H952" s="15">
        <v>8329</v>
      </c>
      <c r="I952" s="15"/>
      <c r="J952" s="15"/>
      <c r="K952" s="15"/>
      <c r="L952" s="15"/>
      <c r="M952" s="15" t="s">
        <v>29</v>
      </c>
    </row>
    <row r="953" spans="1:13" x14ac:dyDescent="0.25">
      <c r="A953" s="23">
        <f t="shared" si="50"/>
        <v>259701</v>
      </c>
      <c r="B953" s="14" t="str">
        <f t="shared" si="48"/>
        <v>Direct Debit (UMB Bank) - Credits</v>
      </c>
      <c r="C953" s="37">
        <v>46167</v>
      </c>
      <c r="D953" s="31">
        <v>259701</v>
      </c>
      <c r="E953" s="33" t="str">
        <f>IF(Table3[[#This Row],[Type Received]]=2,"CC",(IF(Table3[[#This Row],[Type Received]]=3,"BILL","ACH")))</f>
        <v>ACH</v>
      </c>
      <c r="F953" s="32">
        <v>166.45</v>
      </c>
      <c r="G953" s="14" t="str">
        <f>VLOOKUP(D953,Table4[],3,FALSE)</f>
        <v>2</v>
      </c>
      <c r="H953" s="15"/>
      <c r="I953" s="15"/>
      <c r="J953" s="15" t="s">
        <v>85</v>
      </c>
      <c r="K953" s="15">
        <v>818349287</v>
      </c>
      <c r="L953" s="15" t="s">
        <v>29</v>
      </c>
      <c r="M953" s="15" t="s">
        <v>29</v>
      </c>
    </row>
    <row r="954" spans="1:13" x14ac:dyDescent="0.25">
      <c r="A954" s="23">
        <f t="shared" si="50"/>
        <v>259706</v>
      </c>
      <c r="B954" s="14" t="str">
        <f t="shared" si="48"/>
        <v>Direct Debit (UMB Bank) - Credits</v>
      </c>
      <c r="C954" s="38">
        <v>46145</v>
      </c>
      <c r="D954" s="34">
        <v>259706</v>
      </c>
      <c r="E954" s="36" t="str">
        <f>IF(Table3[[#This Row],[Type Received]]=2,"CC",(IF(Table3[[#This Row],[Type Received]]=3,"BILL","ACH")))</f>
        <v>ACH</v>
      </c>
      <c r="F954" s="35">
        <v>77.349999999999994</v>
      </c>
      <c r="G954" s="14" t="str">
        <f>VLOOKUP(D954,Table4[],3,FALSE)</f>
        <v>2</v>
      </c>
      <c r="H954" s="15"/>
      <c r="I954" s="15"/>
      <c r="J954" s="15" t="s">
        <v>113</v>
      </c>
      <c r="K954" s="15">
        <v>546414739</v>
      </c>
      <c r="L954" s="15" t="s">
        <v>29</v>
      </c>
      <c r="M954" s="15" t="s">
        <v>29</v>
      </c>
    </row>
    <row r="955" spans="1:13" x14ac:dyDescent="0.25">
      <c r="A955" s="23">
        <f t="shared" si="50"/>
        <v>259707</v>
      </c>
      <c r="B955" s="14" t="str">
        <f t="shared" si="48"/>
        <v>Direct Debit (UMB Bank) - Credits</v>
      </c>
      <c r="C955" s="37">
        <v>46145</v>
      </c>
      <c r="D955" s="31">
        <v>259707</v>
      </c>
      <c r="E955" s="33" t="str">
        <f>IF(Table3[[#This Row],[Type Received]]=2,"CC",(IF(Table3[[#This Row],[Type Received]]=3,"BILL","ACH")))</f>
        <v>ACH</v>
      </c>
      <c r="F955" s="32">
        <v>34.450000000000003</v>
      </c>
      <c r="G955" s="14" t="str">
        <f>VLOOKUP(D955,Table4[],3,FALSE)</f>
        <v>2</v>
      </c>
      <c r="H955" s="15"/>
      <c r="I955" s="15"/>
      <c r="J955" s="15" t="s">
        <v>113</v>
      </c>
      <c r="K955" s="15">
        <v>546413760</v>
      </c>
      <c r="L955" s="15" t="s">
        <v>29</v>
      </c>
      <c r="M955" s="15" t="s">
        <v>29</v>
      </c>
    </row>
    <row r="956" spans="1:13" x14ac:dyDescent="0.25">
      <c r="A956" s="23">
        <f t="shared" si="50"/>
        <v>259708</v>
      </c>
      <c r="B956" s="14" t="str">
        <f t="shared" si="48"/>
        <v>Credit Cards (UMB) - Credits</v>
      </c>
      <c r="C956" s="38">
        <v>46145</v>
      </c>
      <c r="D956" s="34">
        <v>259708</v>
      </c>
      <c r="E956" s="36" t="str">
        <f>IF(Table3[[#This Row],[Type Received]]=2,"CC",(IF(Table3[[#This Row],[Type Received]]=3,"BILL","ACH")))</f>
        <v>CC</v>
      </c>
      <c r="F956" s="35">
        <v>32.25</v>
      </c>
      <c r="G956" s="14" t="str">
        <f>VLOOKUP(D956,Table4[],3,FALSE)</f>
        <v>1</v>
      </c>
      <c r="H956" s="15"/>
      <c r="I956" s="15"/>
      <c r="J956" s="15" t="s">
        <v>113</v>
      </c>
      <c r="K956" s="15">
        <v>546419648</v>
      </c>
      <c r="L956" s="15" t="s">
        <v>29</v>
      </c>
      <c r="M956" s="15" t="s">
        <v>29</v>
      </c>
    </row>
    <row r="957" spans="1:13" x14ac:dyDescent="0.25">
      <c r="A957" s="23">
        <f t="shared" si="50"/>
        <v>259726</v>
      </c>
      <c r="B957" s="14" t="str">
        <f t="shared" si="48"/>
        <v>Direct Debit (UMB Bank) - Credits</v>
      </c>
      <c r="C957" s="37">
        <v>46155</v>
      </c>
      <c r="D957" s="31">
        <v>259726</v>
      </c>
      <c r="E957" s="33" t="str">
        <f>IF(Table3[[#This Row],[Type Received]]=2,"CC",(IF(Table3[[#This Row],[Type Received]]=3,"BILL","ACH")))</f>
        <v>ACH</v>
      </c>
      <c r="F957" s="32">
        <v>82.96</v>
      </c>
      <c r="G957" s="14" t="str">
        <f>VLOOKUP(D957,Table4[],3,FALSE)</f>
        <v>2</v>
      </c>
      <c r="H957" s="15"/>
      <c r="I957" s="15" t="s">
        <v>175</v>
      </c>
      <c r="J957" s="24" t="s">
        <v>28</v>
      </c>
      <c r="K957" s="15">
        <v>669454903</v>
      </c>
      <c r="L957" s="15" t="s">
        <v>29</v>
      </c>
      <c r="M957" s="15" t="s">
        <v>29</v>
      </c>
    </row>
    <row r="958" spans="1:13" x14ac:dyDescent="0.25">
      <c r="A958" s="23">
        <f t="shared" si="50"/>
        <v>259729</v>
      </c>
      <c r="B958" s="14" t="str">
        <f t="shared" si="48"/>
        <v>Credit Cards (UMB) - Credits</v>
      </c>
      <c r="C958" s="38">
        <v>46167</v>
      </c>
      <c r="D958" s="34">
        <v>259729</v>
      </c>
      <c r="E958" s="36" t="str">
        <f>IF(Table3[[#This Row],[Type Received]]=2,"CC",(IF(Table3[[#This Row],[Type Received]]=3,"BILL","ACH")))</f>
        <v>CC</v>
      </c>
      <c r="F958" s="35">
        <v>52.05</v>
      </c>
      <c r="G958" s="14" t="str">
        <f>VLOOKUP(D958,Table4[],3,FALSE)</f>
        <v>1</v>
      </c>
      <c r="H958" s="15"/>
      <c r="I958" s="15"/>
      <c r="J958" s="24" t="s">
        <v>85</v>
      </c>
      <c r="K958" s="15">
        <v>818337644</v>
      </c>
      <c r="L958" s="15" t="s">
        <v>29</v>
      </c>
      <c r="M958" s="15" t="s">
        <v>29</v>
      </c>
    </row>
    <row r="959" spans="1:13" x14ac:dyDescent="0.25">
      <c r="A959" s="23">
        <f t="shared" si="50"/>
        <v>259727</v>
      </c>
      <c r="B959" s="14" t="str">
        <f t="shared" si="48"/>
        <v>Direct Debit (UMB Bank) - Credits</v>
      </c>
      <c r="C959" s="37">
        <v>46155</v>
      </c>
      <c r="D959" s="31">
        <v>259727</v>
      </c>
      <c r="E959" s="33" t="str">
        <f>IF(Table3[[#This Row],[Type Received]]=2,"CC",(IF(Table3[[#This Row],[Type Received]]=3,"BILL","ACH")))</f>
        <v>ACH</v>
      </c>
      <c r="F959" s="32">
        <v>42.15</v>
      </c>
      <c r="G959" s="14" t="str">
        <f>VLOOKUP(D959,Table4[],3,FALSE)</f>
        <v>1</v>
      </c>
      <c r="H959" s="15"/>
      <c r="I959" s="15" t="s">
        <v>176</v>
      </c>
      <c r="J959" s="15" t="s">
        <v>28</v>
      </c>
      <c r="K959" s="15">
        <v>669459696</v>
      </c>
      <c r="L959" s="15" t="s">
        <v>29</v>
      </c>
      <c r="M959" s="15"/>
    </row>
    <row r="960" spans="1:13" x14ac:dyDescent="0.25">
      <c r="A960" s="23">
        <f t="shared" si="50"/>
        <v>259728</v>
      </c>
      <c r="B960" s="14" t="str">
        <f t="shared" si="48"/>
        <v>Direct Debit (UMB Bank) - Credits</v>
      </c>
      <c r="C960" s="38">
        <v>46167</v>
      </c>
      <c r="D960" s="34">
        <v>259728</v>
      </c>
      <c r="E960" s="36" t="str">
        <f>IF(Table3[[#This Row],[Type Received]]=2,"CC",(IF(Table3[[#This Row],[Type Received]]=3,"BILL","ACH")))</f>
        <v>ACH</v>
      </c>
      <c r="F960" s="35">
        <v>32.25</v>
      </c>
      <c r="G960" s="14" t="str">
        <f>VLOOKUP(D960,Table4[],3,FALSE)</f>
        <v>1</v>
      </c>
      <c r="H960" s="15"/>
      <c r="I960" s="15"/>
      <c r="J960" s="15" t="s">
        <v>85</v>
      </c>
      <c r="K960" s="15">
        <v>818332883</v>
      </c>
      <c r="L960" s="15" t="s">
        <v>29</v>
      </c>
      <c r="M960" s="15" t="s">
        <v>29</v>
      </c>
    </row>
    <row r="961" spans="1:13" x14ac:dyDescent="0.25">
      <c r="A961" s="23">
        <f t="shared" si="50"/>
        <v>259746</v>
      </c>
      <c r="B961" s="14" t="str">
        <f t="shared" si="48"/>
        <v>Credit Cards (UMB) - Credits</v>
      </c>
      <c r="C961" s="37">
        <v>46157</v>
      </c>
      <c r="D961" s="31">
        <v>259746</v>
      </c>
      <c r="E961" s="33" t="str">
        <f>IF(Table3[[#This Row],[Type Received]]=2,"CC",(IF(Table3[[#This Row],[Type Received]]=3,"BILL","ACH")))</f>
        <v>CC</v>
      </c>
      <c r="F961" s="32">
        <v>103.75</v>
      </c>
      <c r="G961" s="14" t="str">
        <f>VLOOKUP(D961,Table4[],3,FALSE)</f>
        <v>1</v>
      </c>
      <c r="H961" s="15"/>
      <c r="I961" s="15"/>
      <c r="J961" s="15" t="s">
        <v>87</v>
      </c>
      <c r="K961" s="15">
        <v>696665978</v>
      </c>
      <c r="L961" s="15" t="s">
        <v>29</v>
      </c>
      <c r="M961" s="15" t="s">
        <v>29</v>
      </c>
    </row>
    <row r="962" spans="1:13" x14ac:dyDescent="0.25">
      <c r="A962" s="23">
        <f t="shared" si="50"/>
        <v>259736</v>
      </c>
      <c r="B962" s="14" t="str">
        <f t="shared" ref="B962:B1025" si="51">IF(AND(E962="BILL",F962&lt;0),"Billing &amp; Direct Debit - Refunds",(IF(AND(E962="BILL",F962&gt;0),"Billing - Credits (from TPA)",(IF(AND(E962="CC",F962&lt;0),"Credit Cards (UMB) - Refunds",(IF(AND(E962="CC",F962&gt;0),"Credit Cards (UMB) - Credits",(IF(AND(E962="ACH",F962&gt;0),"Direct Debit (UMB Bank) - Credits","Direct Debit (UMB Bank) - Returned Items")))))))))</f>
        <v>Direct Debit (UMB Bank) - Credits</v>
      </c>
      <c r="C962" s="38">
        <v>46155</v>
      </c>
      <c r="D962" s="34">
        <v>259736</v>
      </c>
      <c r="E962" s="36" t="str">
        <f>IF(Table3[[#This Row],[Type Received]]=2,"CC",(IF(Table3[[#This Row],[Type Received]]=3,"BILL","ACH")))</f>
        <v>ACH</v>
      </c>
      <c r="F962" s="35">
        <v>110.35</v>
      </c>
      <c r="G962" s="14" t="str">
        <f>VLOOKUP(D962,Table4[],3,FALSE)</f>
        <v>2</v>
      </c>
      <c r="H962" s="15"/>
      <c r="I962" s="15">
        <v>13744</v>
      </c>
      <c r="J962" s="15" t="s">
        <v>28</v>
      </c>
      <c r="K962" s="15">
        <v>669453934</v>
      </c>
      <c r="L962" s="15" t="s">
        <v>29</v>
      </c>
      <c r="M962" s="15" t="s">
        <v>29</v>
      </c>
    </row>
    <row r="963" spans="1:13" x14ac:dyDescent="0.25">
      <c r="A963" s="23"/>
      <c r="B963" s="14" t="str">
        <f t="shared" si="51"/>
        <v>Direct Debit (UMB Bank) - Credits</v>
      </c>
      <c r="C963" s="37">
        <v>46157</v>
      </c>
      <c r="D963" s="31">
        <v>259742</v>
      </c>
      <c r="E963" s="33" t="str">
        <f>IF(Table3[[#This Row],[Type Received]]=2,"CC",(IF(Table3[[#This Row],[Type Received]]=3,"BILL","ACH")))</f>
        <v>ACH</v>
      </c>
      <c r="F963" s="32">
        <v>66.13</v>
      </c>
      <c r="G963" s="14" t="str">
        <f>VLOOKUP(D963,Table4[],3,FALSE)</f>
        <v>2</v>
      </c>
      <c r="H963" s="15"/>
      <c r="I963" s="15"/>
      <c r="J963" s="15" t="s">
        <v>87</v>
      </c>
      <c r="K963" s="15">
        <v>696673551</v>
      </c>
      <c r="L963" s="15" t="s">
        <v>29</v>
      </c>
      <c r="M963" s="15" t="s">
        <v>29</v>
      </c>
    </row>
    <row r="964" spans="1:13" x14ac:dyDescent="0.25">
      <c r="A964" s="23"/>
      <c r="B964" s="14" t="str">
        <f t="shared" si="51"/>
        <v>Billing - Credits (from TPA)</v>
      </c>
      <c r="C964" s="38">
        <v>46145</v>
      </c>
      <c r="D964" s="34">
        <v>259740</v>
      </c>
      <c r="E964" s="36" t="str">
        <f>IF(Table3[[#This Row],[Type Received]]=2,"CC",(IF(Table3[[#This Row],[Type Received]]=3,"BILL","ACH")))</f>
        <v>BILL</v>
      </c>
      <c r="F964" s="35">
        <v>27.85</v>
      </c>
      <c r="G964" s="14" t="str">
        <f>VLOOKUP(D964,Table4[],3,FALSE)</f>
        <v>1</v>
      </c>
      <c r="H964" s="15"/>
      <c r="I964" s="15"/>
      <c r="J964" s="15" t="s">
        <v>113</v>
      </c>
      <c r="K964" s="15">
        <v>546405964</v>
      </c>
      <c r="L964" s="15" t="s">
        <v>29</v>
      </c>
      <c r="M964" s="15" t="s">
        <v>29</v>
      </c>
    </row>
    <row r="965" spans="1:13" x14ac:dyDescent="0.25">
      <c r="A965" s="23">
        <f t="shared" ref="A965:A996" si="52">D965</f>
        <v>259751</v>
      </c>
      <c r="B965" s="14" t="str">
        <f t="shared" si="51"/>
        <v>Credit Cards (UMB) - Credits</v>
      </c>
      <c r="C965" s="37">
        <v>46146</v>
      </c>
      <c r="D965" s="31">
        <v>259751</v>
      </c>
      <c r="E965" s="33" t="str">
        <f>IF(Table3[[#This Row],[Type Received]]=2,"CC",(IF(Table3[[#This Row],[Type Received]]=3,"BILL","ACH")))</f>
        <v>CC</v>
      </c>
      <c r="F965" s="32">
        <v>68.349999999999994</v>
      </c>
      <c r="G965" s="14" t="str">
        <f>VLOOKUP(D965,Table4[],3,FALSE)</f>
        <v>1</v>
      </c>
      <c r="H965" s="15">
        <v>163</v>
      </c>
      <c r="I965" s="15"/>
      <c r="J965" s="15"/>
      <c r="K965" s="15"/>
      <c r="L965" s="15"/>
      <c r="M965" s="15" t="s">
        <v>29</v>
      </c>
    </row>
    <row r="966" spans="1:13" x14ac:dyDescent="0.25">
      <c r="A966" s="23">
        <f t="shared" si="52"/>
        <v>259738</v>
      </c>
      <c r="B966" s="14" t="str">
        <f t="shared" si="51"/>
        <v>Direct Debit (UMB Bank) - Credits</v>
      </c>
      <c r="C966" s="38">
        <v>46155</v>
      </c>
      <c r="D966" s="34">
        <v>259738</v>
      </c>
      <c r="E966" s="36" t="str">
        <f>IF(Table3[[#This Row],[Type Received]]=2,"CC",(IF(Table3[[#This Row],[Type Received]]=3,"BILL","ACH")))</f>
        <v>ACH</v>
      </c>
      <c r="F966" s="35">
        <v>98.25</v>
      </c>
      <c r="G966" s="14" t="str">
        <f>VLOOKUP(D966,Table4[],3,FALSE)</f>
        <v>1</v>
      </c>
      <c r="H966" s="15"/>
      <c r="I966" s="15">
        <v>423013</v>
      </c>
      <c r="J966" s="15" t="s">
        <v>28</v>
      </c>
      <c r="K966" s="15">
        <v>669451970</v>
      </c>
      <c r="L966" s="15" t="s">
        <v>29</v>
      </c>
      <c r="M966" s="15" t="s">
        <v>29</v>
      </c>
    </row>
    <row r="967" spans="1:13" x14ac:dyDescent="0.25">
      <c r="A967" s="23">
        <f t="shared" si="52"/>
        <v>259741</v>
      </c>
      <c r="B967" s="14" t="str">
        <f t="shared" si="51"/>
        <v>Direct Debit (UMB Bank) - Credits</v>
      </c>
      <c r="C967" s="37">
        <v>46145</v>
      </c>
      <c r="D967" s="31">
        <v>259741</v>
      </c>
      <c r="E967" s="33" t="str">
        <f>IF(Table3[[#This Row],[Type Received]]=2,"CC",(IF(Table3[[#This Row],[Type Received]]=3,"BILL","ACH")))</f>
        <v>ACH</v>
      </c>
      <c r="F967" s="32">
        <v>36.65</v>
      </c>
      <c r="G967" s="14" t="str">
        <f>VLOOKUP(D967,Table4[],3,FALSE)</f>
        <v>1</v>
      </c>
      <c r="H967" s="15"/>
      <c r="I967" s="15"/>
      <c r="J967" s="15" t="s">
        <v>113</v>
      </c>
      <c r="K967" s="15">
        <v>546416690</v>
      </c>
      <c r="L967" s="15" t="s">
        <v>29</v>
      </c>
      <c r="M967" s="15" t="s">
        <v>29</v>
      </c>
    </row>
    <row r="968" spans="1:13" x14ac:dyDescent="0.25">
      <c r="A968" s="23">
        <f t="shared" si="52"/>
        <v>259743</v>
      </c>
      <c r="B968" s="14" t="str">
        <f t="shared" si="51"/>
        <v>Credit Cards (UMB) - Credits</v>
      </c>
      <c r="C968" s="38">
        <v>46157</v>
      </c>
      <c r="D968" s="34">
        <v>259743</v>
      </c>
      <c r="E968" s="36" t="str">
        <f>IF(Table3[[#This Row],[Type Received]]=2,"CC",(IF(Table3[[#This Row],[Type Received]]=3,"BILL","ACH")))</f>
        <v>CC</v>
      </c>
      <c r="F968" s="35">
        <v>62.61</v>
      </c>
      <c r="G968" s="14" t="str">
        <f>VLOOKUP(D968,Table4[],3,FALSE)</f>
        <v>1</v>
      </c>
      <c r="H968" s="15"/>
      <c r="I968" s="15"/>
      <c r="J968" s="15" t="s">
        <v>87</v>
      </c>
      <c r="K968" s="15">
        <v>696667815</v>
      </c>
      <c r="L968" s="15" t="s">
        <v>29</v>
      </c>
      <c r="M968" s="15"/>
    </row>
    <row r="969" spans="1:13" x14ac:dyDescent="0.25">
      <c r="A969" s="23">
        <f t="shared" si="52"/>
        <v>259752</v>
      </c>
      <c r="B969" s="14" t="str">
        <f t="shared" si="51"/>
        <v>Credit Cards (UMB) - Credits</v>
      </c>
      <c r="C969" s="37">
        <v>46145</v>
      </c>
      <c r="D969" s="31">
        <v>259752</v>
      </c>
      <c r="E969" s="33" t="str">
        <f>IF(Table3[[#This Row],[Type Received]]=2,"CC",(IF(Table3[[#This Row],[Type Received]]=3,"BILL","ACH")))</f>
        <v>CC</v>
      </c>
      <c r="F969" s="32">
        <v>87.47</v>
      </c>
      <c r="G969" s="14" t="str">
        <f>VLOOKUP(D969,Table4[],3,FALSE)</f>
        <v>1</v>
      </c>
      <c r="H969" s="15"/>
      <c r="I969" s="15" t="s">
        <v>177</v>
      </c>
      <c r="J969" s="15" t="s">
        <v>28</v>
      </c>
      <c r="K969" s="15">
        <v>546423448</v>
      </c>
      <c r="L969" s="15" t="s">
        <v>29</v>
      </c>
      <c r="M969" s="15" t="s">
        <v>29</v>
      </c>
    </row>
    <row r="970" spans="1:13" x14ac:dyDescent="0.25">
      <c r="A970" s="23">
        <f t="shared" si="52"/>
        <v>259745</v>
      </c>
      <c r="B970" s="14" t="str">
        <f t="shared" si="51"/>
        <v>Direct Debit (UMB Bank) - Credits</v>
      </c>
      <c r="C970" s="38">
        <v>46157</v>
      </c>
      <c r="D970" s="34">
        <v>259745</v>
      </c>
      <c r="E970" s="36" t="str">
        <f>IF(Table3[[#This Row],[Type Received]]=2,"CC",(IF(Table3[[#This Row],[Type Received]]=3,"BILL","ACH")))</f>
        <v>ACH</v>
      </c>
      <c r="F970" s="35">
        <v>76.03</v>
      </c>
      <c r="G970" s="14" t="str">
        <f>VLOOKUP(D970,Table4[],3,FALSE)</f>
        <v>1</v>
      </c>
      <c r="H970" s="15"/>
      <c r="I970" s="15">
        <v>90610</v>
      </c>
      <c r="J970" s="15" t="s">
        <v>28</v>
      </c>
      <c r="K970" s="15">
        <v>696662979</v>
      </c>
      <c r="L970" s="15" t="s">
        <v>29</v>
      </c>
      <c r="M970" s="15" t="s">
        <v>29</v>
      </c>
    </row>
    <row r="971" spans="1:13" x14ac:dyDescent="0.25">
      <c r="A971" s="23">
        <f t="shared" si="52"/>
        <v>259760</v>
      </c>
      <c r="B971" s="14" t="str">
        <f t="shared" si="51"/>
        <v>Direct Debit (UMB Bank) - Credits</v>
      </c>
      <c r="C971" s="37">
        <v>46157</v>
      </c>
      <c r="D971" s="31">
        <v>259760</v>
      </c>
      <c r="E971" s="33" t="str">
        <f>IF(Table3[[#This Row],[Type Received]]=2,"CC",(IF(Table3[[#This Row],[Type Received]]=3,"BILL","ACH")))</f>
        <v>ACH</v>
      </c>
      <c r="F971" s="32">
        <v>65.47</v>
      </c>
      <c r="G971" s="14" t="str">
        <f>VLOOKUP(D971,Table4[],3,FALSE)</f>
        <v>2</v>
      </c>
      <c r="H971" s="15"/>
      <c r="I971" s="15"/>
      <c r="J971" s="15" t="s">
        <v>87</v>
      </c>
      <c r="K971" s="15">
        <v>696672671</v>
      </c>
      <c r="L971" s="15" t="s">
        <v>29</v>
      </c>
      <c r="M971" s="15" t="s">
        <v>29</v>
      </c>
    </row>
    <row r="972" spans="1:13" x14ac:dyDescent="0.25">
      <c r="A972" s="23">
        <f t="shared" si="52"/>
        <v>259761</v>
      </c>
      <c r="B972" s="14" t="str">
        <f t="shared" si="51"/>
        <v>Direct Debit (UMB Bank) - Credits</v>
      </c>
      <c r="C972" s="38">
        <v>46157</v>
      </c>
      <c r="D972" s="34">
        <v>259761</v>
      </c>
      <c r="E972" s="36" t="str">
        <f>IF(Table3[[#This Row],[Type Received]]=2,"CC",(IF(Table3[[#This Row],[Type Received]]=3,"BILL","ACH")))</f>
        <v>ACH</v>
      </c>
      <c r="F972" s="35">
        <v>154.9</v>
      </c>
      <c r="G972" s="14" t="str">
        <f>VLOOKUP(D972,Table4[],3,FALSE)</f>
        <v>2</v>
      </c>
      <c r="H972" s="15"/>
      <c r="I972" s="15"/>
      <c r="J972" s="15" t="s">
        <v>87</v>
      </c>
      <c r="K972" s="15">
        <v>696688177</v>
      </c>
      <c r="L972" s="15" t="s">
        <v>29</v>
      </c>
      <c r="M972" s="15" t="s">
        <v>29</v>
      </c>
    </row>
    <row r="973" spans="1:13" x14ac:dyDescent="0.25">
      <c r="A973" s="23">
        <f t="shared" si="52"/>
        <v>259762</v>
      </c>
      <c r="B973" s="14" t="str">
        <f t="shared" si="51"/>
        <v>Direct Debit (UMB Bank) - Credits</v>
      </c>
      <c r="C973" s="37">
        <v>46157</v>
      </c>
      <c r="D973" s="31">
        <v>259762</v>
      </c>
      <c r="E973" s="33" t="str">
        <f>IF(Table3[[#This Row],[Type Received]]=2,"CC",(IF(Table3[[#This Row],[Type Received]]=3,"BILL","ACH")))</f>
        <v>ACH</v>
      </c>
      <c r="F973" s="32">
        <v>80.319999999999993</v>
      </c>
      <c r="G973" s="14" t="str">
        <f>VLOOKUP(D973,Table4[],3,FALSE)</f>
        <v>2</v>
      </c>
      <c r="H973" s="15"/>
      <c r="I973" s="15"/>
      <c r="J973" s="15" t="s">
        <v>87</v>
      </c>
      <c r="K973" s="15">
        <v>696664990</v>
      </c>
      <c r="L973" s="15" t="s">
        <v>29</v>
      </c>
      <c r="M973" s="15" t="s">
        <v>29</v>
      </c>
    </row>
    <row r="974" spans="1:13" x14ac:dyDescent="0.25">
      <c r="A974" s="23">
        <f t="shared" si="52"/>
        <v>259763</v>
      </c>
      <c r="B974" s="14" t="str">
        <f t="shared" si="51"/>
        <v>Direct Debit (UMB Bank) - Credits</v>
      </c>
      <c r="C974" s="38">
        <v>46167</v>
      </c>
      <c r="D974" s="34">
        <v>259763</v>
      </c>
      <c r="E974" s="36" t="str">
        <f>IF(Table3[[#This Row],[Type Received]]=2,"CC",(IF(Table3[[#This Row],[Type Received]]=3,"BILL","ACH")))</f>
        <v>ACH</v>
      </c>
      <c r="F974" s="35">
        <v>66.459999999999994</v>
      </c>
      <c r="G974" s="14" t="str">
        <f>VLOOKUP(D974,Table4[],3,FALSE)</f>
        <v>2</v>
      </c>
      <c r="H974" s="15"/>
      <c r="I974" s="15"/>
      <c r="J974" s="15" t="s">
        <v>85</v>
      </c>
      <c r="K974" s="15">
        <v>818347375</v>
      </c>
      <c r="L974" s="15" t="s">
        <v>29</v>
      </c>
      <c r="M974" s="15" t="s">
        <v>29</v>
      </c>
    </row>
    <row r="975" spans="1:13" x14ac:dyDescent="0.25">
      <c r="A975" s="23">
        <f t="shared" si="52"/>
        <v>259759</v>
      </c>
      <c r="B975" s="14" t="str">
        <f t="shared" si="51"/>
        <v>Direct Debit (UMB Bank) - Credits</v>
      </c>
      <c r="C975" s="37">
        <v>46145</v>
      </c>
      <c r="D975" s="31">
        <v>259759</v>
      </c>
      <c r="E975" s="33" t="str">
        <f>IF(Table3[[#This Row],[Type Received]]=2,"CC",(IF(Table3[[#This Row],[Type Received]]=3,"BILL","ACH")))</f>
        <v>ACH</v>
      </c>
      <c r="F975" s="32">
        <v>59.09</v>
      </c>
      <c r="G975" s="14" t="str">
        <f>VLOOKUP(D975,Table4[],3,FALSE)</f>
        <v>1</v>
      </c>
      <c r="H975" s="15"/>
      <c r="I975" s="15"/>
      <c r="J975" s="15" t="s">
        <v>113</v>
      </c>
      <c r="K975" s="15">
        <v>546403089</v>
      </c>
      <c r="L975" s="15" t="s">
        <v>29</v>
      </c>
      <c r="M975" s="15" t="s">
        <v>29</v>
      </c>
    </row>
    <row r="976" spans="1:13" x14ac:dyDescent="0.25">
      <c r="A976" s="23">
        <f t="shared" si="52"/>
        <v>259757</v>
      </c>
      <c r="B976" s="14" t="str">
        <f t="shared" si="51"/>
        <v>Direct Debit (UMB Bank) - Credits</v>
      </c>
      <c r="C976" s="38">
        <v>46145</v>
      </c>
      <c r="D976" s="34">
        <v>259757</v>
      </c>
      <c r="E976" s="36" t="str">
        <f>IF(Table3[[#This Row],[Type Received]]=2,"CC",(IF(Table3[[#This Row],[Type Received]]=3,"BILL","ACH")))</f>
        <v>ACH</v>
      </c>
      <c r="F976" s="35">
        <v>136.41999999999999</v>
      </c>
      <c r="G976" s="14" t="str">
        <f>VLOOKUP(D976,Table4[],3,FALSE)</f>
        <v>2</v>
      </c>
      <c r="H976" s="15"/>
      <c r="I976" s="15"/>
      <c r="J976" s="15" t="s">
        <v>113</v>
      </c>
      <c r="K976" s="15">
        <v>546419680</v>
      </c>
      <c r="L976" s="15" t="s">
        <v>29</v>
      </c>
      <c r="M976" s="15"/>
    </row>
    <row r="977" spans="1:13" x14ac:dyDescent="0.25">
      <c r="A977" s="23">
        <f t="shared" si="52"/>
        <v>259758</v>
      </c>
      <c r="B977" s="14" t="str">
        <f t="shared" si="51"/>
        <v>Direct Debit (UMB Bank) - Credits</v>
      </c>
      <c r="C977" s="37">
        <v>46145</v>
      </c>
      <c r="D977" s="31">
        <v>259758</v>
      </c>
      <c r="E977" s="33" t="str">
        <f>IF(Table3[[#This Row],[Type Received]]=2,"CC",(IF(Table3[[#This Row],[Type Received]]=3,"BILL","ACH")))</f>
        <v>ACH</v>
      </c>
      <c r="F977" s="32">
        <v>152.59</v>
      </c>
      <c r="G977" s="14" t="str">
        <f>VLOOKUP(D977,Table4[],3,FALSE)</f>
        <v>2</v>
      </c>
      <c r="H977" s="15"/>
      <c r="I977" s="15"/>
      <c r="J977" s="15" t="s">
        <v>113</v>
      </c>
      <c r="K977" s="15">
        <v>546406964</v>
      </c>
      <c r="L977" s="15" t="s">
        <v>29</v>
      </c>
      <c r="M977" s="15"/>
    </row>
    <row r="978" spans="1:13" x14ac:dyDescent="0.25">
      <c r="A978" s="23">
        <f t="shared" si="52"/>
        <v>259776</v>
      </c>
      <c r="B978" s="14" t="str">
        <f t="shared" si="51"/>
        <v>Credit Cards (UMB) - Credits</v>
      </c>
      <c r="C978" s="38">
        <v>46170</v>
      </c>
      <c r="D978" s="34">
        <v>259776</v>
      </c>
      <c r="E978" s="36" t="str">
        <f>IF(Table3[[#This Row],[Type Received]]=2,"CC",(IF(Table3[[#This Row],[Type Received]]=3,"BILL","ACH")))</f>
        <v>CC</v>
      </c>
      <c r="F978" s="35">
        <v>90.88</v>
      </c>
      <c r="G978" s="14" t="str">
        <f>VLOOKUP(D978,Table4[],3,FALSE)</f>
        <v>2</v>
      </c>
      <c r="H978" s="15"/>
      <c r="I978" s="15"/>
      <c r="J978" s="15" t="s">
        <v>91</v>
      </c>
      <c r="K978" s="15">
        <v>853922821</v>
      </c>
      <c r="L978" s="15" t="s">
        <v>29</v>
      </c>
      <c r="M978" s="15" t="s">
        <v>29</v>
      </c>
    </row>
    <row r="979" spans="1:13" x14ac:dyDescent="0.25">
      <c r="A979" s="23">
        <f t="shared" si="52"/>
        <v>259773</v>
      </c>
      <c r="B979" s="14" t="str">
        <f t="shared" si="51"/>
        <v>Direct Debit (UMB Bank) - Credits</v>
      </c>
      <c r="C979" s="37">
        <v>46155</v>
      </c>
      <c r="D979" s="31">
        <v>259773</v>
      </c>
      <c r="E979" s="33" t="str">
        <f>IF(Table3[[#This Row],[Type Received]]=2,"CC",(IF(Table3[[#This Row],[Type Received]]=3,"BILL","ACH")))</f>
        <v>ACH</v>
      </c>
      <c r="F979" s="32">
        <v>107.05</v>
      </c>
      <c r="G979" s="14" t="str">
        <f>VLOOKUP(D979,Table4[],3,FALSE)</f>
        <v>2</v>
      </c>
      <c r="H979" s="15"/>
      <c r="I979" s="15" t="s">
        <v>178</v>
      </c>
      <c r="J979" s="15" t="s">
        <v>28</v>
      </c>
      <c r="K979" s="15">
        <v>669477142</v>
      </c>
      <c r="L979" s="15" t="s">
        <v>29</v>
      </c>
      <c r="M979" s="15" t="s">
        <v>29</v>
      </c>
    </row>
    <row r="980" spans="1:13" x14ac:dyDescent="0.25">
      <c r="A980" s="23">
        <f t="shared" si="52"/>
        <v>259775</v>
      </c>
      <c r="B980" s="14" t="str">
        <f t="shared" si="51"/>
        <v>Credit Cards (UMB) - Credits</v>
      </c>
      <c r="C980" s="38">
        <v>46143</v>
      </c>
      <c r="D980" s="34">
        <v>259775</v>
      </c>
      <c r="E980" s="36" t="str">
        <f>IF(Table3[[#This Row],[Type Received]]=2,"CC",(IF(Table3[[#This Row],[Type Received]]=3,"BILL","ACH")))</f>
        <v>CC</v>
      </c>
      <c r="F980" s="35">
        <v>167.9</v>
      </c>
      <c r="G980" s="14" t="str">
        <f>VLOOKUP(D980,Table4[],3,FALSE)</f>
        <v>1</v>
      </c>
      <c r="H980" s="15"/>
      <c r="I980" s="15"/>
      <c r="J980" s="15" t="s">
        <v>84</v>
      </c>
      <c r="K980" s="15">
        <v>522562291</v>
      </c>
      <c r="L980" s="15" t="s">
        <v>29</v>
      </c>
      <c r="M980" s="15" t="s">
        <v>29</v>
      </c>
    </row>
    <row r="981" spans="1:13" x14ac:dyDescent="0.25">
      <c r="A981" s="23">
        <f t="shared" si="52"/>
        <v>259774</v>
      </c>
      <c r="B981" s="14" t="str">
        <f t="shared" si="51"/>
        <v>Direct Debit (UMB Bank) - Credits</v>
      </c>
      <c r="C981" s="37">
        <v>46155</v>
      </c>
      <c r="D981" s="31">
        <v>259774</v>
      </c>
      <c r="E981" s="33" t="str">
        <f>IF(Table3[[#This Row],[Type Received]]=2,"CC",(IF(Table3[[#This Row],[Type Received]]=3,"BILL","ACH")))</f>
        <v>ACH</v>
      </c>
      <c r="F981" s="32">
        <v>36.65</v>
      </c>
      <c r="G981" s="14" t="str">
        <f>VLOOKUP(D981,Table4[],3,FALSE)</f>
        <v>1</v>
      </c>
      <c r="H981" s="15"/>
      <c r="I981" s="15">
        <v>81390</v>
      </c>
      <c r="J981" s="15" t="s">
        <v>28</v>
      </c>
      <c r="K981" s="15">
        <v>669469524</v>
      </c>
      <c r="L981" s="15" t="s">
        <v>29</v>
      </c>
      <c r="M981" s="15"/>
    </row>
    <row r="982" spans="1:13" x14ac:dyDescent="0.25">
      <c r="A982" s="23">
        <f t="shared" si="52"/>
        <v>259778</v>
      </c>
      <c r="B982" s="14" t="str">
        <f t="shared" si="51"/>
        <v>Direct Debit (UMB Bank) - Credits</v>
      </c>
      <c r="C982" s="38">
        <v>46167</v>
      </c>
      <c r="D982" s="34">
        <v>259778</v>
      </c>
      <c r="E982" s="36" t="str">
        <f>IF(Table3[[#This Row],[Type Received]]=2,"CC",(IF(Table3[[#This Row],[Type Received]]=3,"BILL","ACH")))</f>
        <v>ACH</v>
      </c>
      <c r="F982" s="35">
        <v>32.03</v>
      </c>
      <c r="G982" s="14" t="str">
        <f>VLOOKUP(D982,Table4[],3,FALSE)</f>
        <v>1</v>
      </c>
      <c r="H982" s="15"/>
      <c r="I982" s="15"/>
      <c r="J982" s="15" t="s">
        <v>85</v>
      </c>
      <c r="K982" s="15">
        <v>818352122</v>
      </c>
      <c r="L982" s="15" t="s">
        <v>29</v>
      </c>
      <c r="M982" s="15"/>
    </row>
    <row r="983" spans="1:13" x14ac:dyDescent="0.25">
      <c r="A983" s="23">
        <f t="shared" si="52"/>
        <v>259777</v>
      </c>
      <c r="B983" s="14" t="str">
        <f t="shared" si="51"/>
        <v>Direct Debit (UMB Bank) - Credits</v>
      </c>
      <c r="C983" s="37">
        <v>46157</v>
      </c>
      <c r="D983" s="31">
        <v>259777</v>
      </c>
      <c r="E983" s="33" t="str">
        <f>IF(Table3[[#This Row],[Type Received]]=2,"CC",(IF(Table3[[#This Row],[Type Received]]=3,"BILL","ACH")))</f>
        <v>ACH</v>
      </c>
      <c r="F983" s="32">
        <v>109.36</v>
      </c>
      <c r="G983" s="14" t="str">
        <f>VLOOKUP(D983,Table4[],3,FALSE)</f>
        <v>2</v>
      </c>
      <c r="H983" s="15"/>
      <c r="I983" s="15"/>
      <c r="J983" s="15" t="s">
        <v>87</v>
      </c>
      <c r="K983" s="15">
        <v>696688202</v>
      </c>
      <c r="L983" s="15" t="s">
        <v>29</v>
      </c>
      <c r="M983" s="15" t="s">
        <v>29</v>
      </c>
    </row>
    <row r="984" spans="1:13" x14ac:dyDescent="0.25">
      <c r="A984" s="23">
        <f t="shared" si="52"/>
        <v>259779</v>
      </c>
      <c r="B984" s="14" t="str">
        <f t="shared" si="51"/>
        <v>Billing - Credits (from TPA)</v>
      </c>
      <c r="C984" s="38">
        <v>46146</v>
      </c>
      <c r="D984" s="34">
        <v>259779</v>
      </c>
      <c r="E984" s="36" t="str">
        <f>IF(Table3[[#This Row],[Type Received]]=2,"CC",(IF(Table3[[#This Row],[Type Received]]=3,"BILL","ACH")))</f>
        <v>BILL</v>
      </c>
      <c r="F984" s="35">
        <v>94.29</v>
      </c>
      <c r="G984" s="14" t="str">
        <f>VLOOKUP(D984,Table4[],3,FALSE)</f>
        <v>1</v>
      </c>
      <c r="H984" s="15"/>
      <c r="I984" s="15"/>
      <c r="J984" s="15" t="s">
        <v>92</v>
      </c>
      <c r="K984" s="15">
        <v>557079689</v>
      </c>
      <c r="L984" s="15" t="s">
        <v>29</v>
      </c>
      <c r="M984" s="15" t="s">
        <v>29</v>
      </c>
    </row>
    <row r="985" spans="1:13" x14ac:dyDescent="0.25">
      <c r="A985" s="23">
        <f t="shared" si="52"/>
        <v>259791</v>
      </c>
      <c r="B985" s="14" t="str">
        <f t="shared" si="51"/>
        <v>Direct Debit (UMB Bank) - Credits</v>
      </c>
      <c r="C985" s="37">
        <v>46146</v>
      </c>
      <c r="D985" s="31">
        <v>259791</v>
      </c>
      <c r="E985" s="33" t="str">
        <f>IF(Table3[[#This Row],[Type Received]]=2,"CC",(IF(Table3[[#This Row],[Type Received]]=3,"BILL","ACH")))</f>
        <v>ACH</v>
      </c>
      <c r="F985" s="32">
        <v>51.85</v>
      </c>
      <c r="G985" s="14" t="str">
        <f>VLOOKUP(D985,Table4[],3,FALSE)</f>
        <v>1</v>
      </c>
      <c r="H985" s="15">
        <v>19820094422</v>
      </c>
      <c r="I985" s="15"/>
      <c r="J985" s="15"/>
      <c r="K985" s="15"/>
      <c r="L985" s="15"/>
      <c r="M985" s="15"/>
    </row>
    <row r="986" spans="1:13" x14ac:dyDescent="0.25">
      <c r="A986" s="23">
        <f t="shared" si="52"/>
        <v>259786</v>
      </c>
      <c r="B986" s="14" t="str">
        <f t="shared" si="51"/>
        <v>Credit Cards (UMB) - Credits</v>
      </c>
      <c r="C986" s="38">
        <v>46167</v>
      </c>
      <c r="D986" s="34">
        <v>259786</v>
      </c>
      <c r="E986" s="36" t="str">
        <f>IF(Table3[[#This Row],[Type Received]]=2,"CC",(IF(Table3[[#This Row],[Type Received]]=3,"BILL","ACH")))</f>
        <v>CC</v>
      </c>
      <c r="F986" s="35">
        <v>46</v>
      </c>
      <c r="G986" s="14" t="str">
        <f>VLOOKUP(D986,Table4[],3,FALSE)</f>
        <v>2</v>
      </c>
      <c r="H986" s="15"/>
      <c r="I986" s="15"/>
      <c r="J986" s="24" t="s">
        <v>85</v>
      </c>
      <c r="K986" s="15">
        <v>818340598</v>
      </c>
      <c r="L986" s="15" t="s">
        <v>29</v>
      </c>
      <c r="M986" s="15" t="s">
        <v>29</v>
      </c>
    </row>
    <row r="987" spans="1:13" x14ac:dyDescent="0.25">
      <c r="A987" s="23">
        <f t="shared" si="52"/>
        <v>259784</v>
      </c>
      <c r="B987" s="14" t="str">
        <f t="shared" si="51"/>
        <v>Credit Cards (UMB) - Credits</v>
      </c>
      <c r="C987" s="37">
        <v>46155</v>
      </c>
      <c r="D987" s="31">
        <v>259784</v>
      </c>
      <c r="E987" s="33" t="str">
        <f>IF(Table3[[#This Row],[Type Received]]=2,"CC",(IF(Table3[[#This Row],[Type Received]]=3,"BILL","ACH")))</f>
        <v>CC</v>
      </c>
      <c r="F987" s="32">
        <v>65.14</v>
      </c>
      <c r="G987" s="14" t="str">
        <f>VLOOKUP(D987,Table4[],3,FALSE)</f>
        <v>2</v>
      </c>
      <c r="H987" s="15"/>
      <c r="I987" s="15">
        <v>70238</v>
      </c>
      <c r="J987" s="15" t="s">
        <v>28</v>
      </c>
      <c r="K987" s="15">
        <v>669472415</v>
      </c>
      <c r="L987" s="15" t="s">
        <v>29</v>
      </c>
      <c r="M987" s="15" t="s">
        <v>29</v>
      </c>
    </row>
    <row r="988" spans="1:13" x14ac:dyDescent="0.25">
      <c r="A988" s="23">
        <f t="shared" si="52"/>
        <v>259785</v>
      </c>
      <c r="B988" s="14" t="str">
        <f t="shared" si="51"/>
        <v>Credit Cards (UMB) - Credits</v>
      </c>
      <c r="C988" s="38">
        <v>46155</v>
      </c>
      <c r="D988" s="34">
        <v>259785</v>
      </c>
      <c r="E988" s="36" t="str">
        <f>IF(Table3[[#This Row],[Type Received]]=2,"CC",(IF(Table3[[#This Row],[Type Received]]=3,"BILL","ACH")))</f>
        <v>CC</v>
      </c>
      <c r="F988" s="35">
        <v>137.41</v>
      </c>
      <c r="G988" s="14" t="str">
        <f>VLOOKUP(D988,Table4[],3,FALSE)</f>
        <v>2</v>
      </c>
      <c r="H988" s="15"/>
      <c r="I988" s="15">
        <v>8958</v>
      </c>
      <c r="J988" s="15" t="s">
        <v>28</v>
      </c>
      <c r="K988" s="15">
        <v>669464726</v>
      </c>
      <c r="L988" s="15" t="s">
        <v>29</v>
      </c>
      <c r="M988" s="15" t="s">
        <v>29</v>
      </c>
    </row>
    <row r="989" spans="1:13" x14ac:dyDescent="0.25">
      <c r="A989" s="23">
        <f t="shared" si="52"/>
        <v>259795</v>
      </c>
      <c r="B989" s="14" t="str">
        <f t="shared" si="51"/>
        <v>Direct Debit (UMB Bank) - Credits</v>
      </c>
      <c r="C989" s="37">
        <v>46155</v>
      </c>
      <c r="D989" s="31">
        <v>259795</v>
      </c>
      <c r="E989" s="33" t="str">
        <f>IF(Table3[[#This Row],[Type Received]]=2,"CC",(IF(Table3[[#This Row],[Type Received]]=3,"BILL","ACH")))</f>
        <v>ACH</v>
      </c>
      <c r="F989" s="32">
        <v>67.45</v>
      </c>
      <c r="G989" s="14" t="str">
        <f>VLOOKUP(D989,Table4[],3,FALSE)</f>
        <v>1</v>
      </c>
      <c r="H989" s="15"/>
      <c r="I989" s="15">
        <v>150224</v>
      </c>
      <c r="J989" s="15" t="s">
        <v>28</v>
      </c>
      <c r="K989" s="15">
        <v>669474371</v>
      </c>
      <c r="L989" s="15" t="s">
        <v>29</v>
      </c>
      <c r="M989" s="15"/>
    </row>
    <row r="990" spans="1:13" x14ac:dyDescent="0.25">
      <c r="A990" s="23">
        <f t="shared" si="52"/>
        <v>259798</v>
      </c>
      <c r="B990" s="14" t="str">
        <f t="shared" si="51"/>
        <v>Direct Debit (UMB Bank) - Credits</v>
      </c>
      <c r="C990" s="38">
        <v>46143</v>
      </c>
      <c r="D990" s="34">
        <v>259798</v>
      </c>
      <c r="E990" s="36" t="str">
        <f>IF(Table3[[#This Row],[Type Received]]=2,"CC",(IF(Table3[[#This Row],[Type Received]]=3,"BILL","ACH")))</f>
        <v>ACH</v>
      </c>
      <c r="F990" s="35">
        <v>81.53</v>
      </c>
      <c r="G990" s="14" t="str">
        <f>VLOOKUP(D990,Table4[],3,FALSE)</f>
        <v>1</v>
      </c>
      <c r="H990" s="15"/>
      <c r="I990" s="15"/>
      <c r="J990" s="15" t="s">
        <v>84</v>
      </c>
      <c r="K990" s="15">
        <v>522258533</v>
      </c>
      <c r="L990" s="15" t="s">
        <v>29</v>
      </c>
      <c r="M990" s="15" t="s">
        <v>29</v>
      </c>
    </row>
    <row r="991" spans="1:13" x14ac:dyDescent="0.25">
      <c r="A991" s="23">
        <f t="shared" si="52"/>
        <v>259796</v>
      </c>
      <c r="B991" s="14" t="str">
        <f t="shared" si="51"/>
        <v>Credit Cards (UMB) - Credits</v>
      </c>
      <c r="C991" s="37">
        <v>46167</v>
      </c>
      <c r="D991" s="31">
        <v>259796</v>
      </c>
      <c r="E991" s="33" t="str">
        <f>IF(Table3[[#This Row],[Type Received]]=2,"CC",(IF(Table3[[#This Row],[Type Received]]=3,"BILL","ACH")))</f>
        <v>CC</v>
      </c>
      <c r="F991" s="32">
        <v>51.28</v>
      </c>
      <c r="G991" s="14" t="str">
        <f>VLOOKUP(D991,Table4[],3,FALSE)</f>
        <v>2</v>
      </c>
      <c r="H991" s="15"/>
      <c r="I991" s="15"/>
      <c r="J991" s="15" t="s">
        <v>85</v>
      </c>
      <c r="K991" s="15">
        <v>818344549</v>
      </c>
      <c r="L991" s="15" t="s">
        <v>29</v>
      </c>
      <c r="M991" s="15" t="s">
        <v>29</v>
      </c>
    </row>
    <row r="992" spans="1:13" x14ac:dyDescent="0.25">
      <c r="A992" s="23">
        <f t="shared" si="52"/>
        <v>259793</v>
      </c>
      <c r="B992" s="14" t="str">
        <f t="shared" si="51"/>
        <v>Direct Debit (UMB Bank) - Credits</v>
      </c>
      <c r="C992" s="38">
        <v>46155</v>
      </c>
      <c r="D992" s="34">
        <v>259793</v>
      </c>
      <c r="E992" s="36" t="str">
        <f>IF(Table3[[#This Row],[Type Received]]=2,"CC",(IF(Table3[[#This Row],[Type Received]]=3,"BILL","ACH")))</f>
        <v>ACH</v>
      </c>
      <c r="F992" s="35">
        <v>34.450000000000003</v>
      </c>
      <c r="G992" s="14" t="str">
        <f>VLOOKUP(D992,Table4[],3,FALSE)</f>
        <v>2</v>
      </c>
      <c r="H992" s="15"/>
      <c r="I992" s="15">
        <v>9853</v>
      </c>
      <c r="J992" s="15" t="s">
        <v>28</v>
      </c>
      <c r="K992" s="15">
        <v>669455910</v>
      </c>
      <c r="L992" s="15" t="s">
        <v>29</v>
      </c>
      <c r="M992" s="15" t="s">
        <v>29</v>
      </c>
    </row>
    <row r="993" spans="1:13" x14ac:dyDescent="0.25">
      <c r="A993" s="23">
        <f t="shared" si="52"/>
        <v>259797</v>
      </c>
      <c r="B993" s="14" t="str">
        <f t="shared" si="51"/>
        <v>Credit Cards (UMB) - Credits</v>
      </c>
      <c r="C993" s="37">
        <v>46146</v>
      </c>
      <c r="D993" s="31">
        <v>259797</v>
      </c>
      <c r="E993" s="33" t="str">
        <f>IF(Table3[[#This Row],[Type Received]]=2,"CC",(IF(Table3[[#This Row],[Type Received]]=3,"BILL","ACH")))</f>
        <v>CC</v>
      </c>
      <c r="F993" s="32">
        <v>34.450000000000003</v>
      </c>
      <c r="G993" s="14" t="str">
        <f>VLOOKUP(D993,Table4[],3,FALSE)</f>
        <v>2</v>
      </c>
      <c r="H993" s="15"/>
      <c r="I993" s="15"/>
      <c r="J993" s="15" t="s">
        <v>92</v>
      </c>
      <c r="K993" s="15">
        <v>557089392</v>
      </c>
      <c r="L993" s="15" t="s">
        <v>29</v>
      </c>
      <c r="M993" s="15"/>
    </row>
    <row r="994" spans="1:13" x14ac:dyDescent="0.25">
      <c r="A994" s="23">
        <f t="shared" si="52"/>
        <v>259800</v>
      </c>
      <c r="B994" s="14" t="str">
        <f t="shared" si="51"/>
        <v>Direct Debit (UMB Bank) - Credits</v>
      </c>
      <c r="C994" s="38">
        <v>46161</v>
      </c>
      <c r="D994" s="34">
        <v>259800</v>
      </c>
      <c r="E994" s="36" t="str">
        <f>IF(Table3[[#This Row],[Type Received]]=2,"CC",(IF(Table3[[#This Row],[Type Received]]=3,"BILL","ACH")))</f>
        <v>ACH</v>
      </c>
      <c r="F994" s="35">
        <v>50.64</v>
      </c>
      <c r="G994" s="14" t="str">
        <f>VLOOKUP(D994,Table4[],3,FALSE)</f>
        <v>2</v>
      </c>
      <c r="H994" s="15"/>
      <c r="I994" s="15">
        <v>520087</v>
      </c>
      <c r="J994" s="15">
        <v>746805329</v>
      </c>
      <c r="K994" s="15">
        <v>355139297</v>
      </c>
      <c r="L994" s="15"/>
      <c r="M994" s="15" t="s">
        <v>29</v>
      </c>
    </row>
    <row r="995" spans="1:13" x14ac:dyDescent="0.25">
      <c r="A995" s="23">
        <f t="shared" si="52"/>
        <v>259808</v>
      </c>
      <c r="B995" s="14" t="str">
        <f t="shared" si="51"/>
        <v>Credit Cards (UMB) - Credits</v>
      </c>
      <c r="C995" s="37">
        <v>46147</v>
      </c>
      <c r="D995" s="31">
        <v>259808</v>
      </c>
      <c r="E995" s="33" t="str">
        <f>IF(Table3[[#This Row],[Type Received]]=2,"CC",(IF(Table3[[#This Row],[Type Received]]=3,"BILL","ACH")))</f>
        <v>CC</v>
      </c>
      <c r="F995" s="32">
        <v>67.89</v>
      </c>
      <c r="G995" s="14" t="str">
        <f>VLOOKUP(D995,Table4[],3,FALSE)</f>
        <v>1</v>
      </c>
      <c r="H995" s="15"/>
      <c r="I995" s="15"/>
      <c r="J995" s="15" t="s">
        <v>86</v>
      </c>
      <c r="K995" s="15">
        <v>569486272</v>
      </c>
      <c r="L995" s="15" t="s">
        <v>29</v>
      </c>
      <c r="M995" s="15"/>
    </row>
    <row r="996" spans="1:13" x14ac:dyDescent="0.25">
      <c r="A996" s="23">
        <f t="shared" si="52"/>
        <v>259812</v>
      </c>
      <c r="B996" s="14" t="str">
        <f t="shared" si="51"/>
        <v>Billing - Credits (from TPA)</v>
      </c>
      <c r="C996" s="38">
        <v>46155</v>
      </c>
      <c r="D996" s="34">
        <v>259812</v>
      </c>
      <c r="E996" s="36" t="str">
        <f>IF(Table3[[#This Row],[Type Received]]=2,"CC",(IF(Table3[[#This Row],[Type Received]]=3,"BILL","ACH")))</f>
        <v>BILL</v>
      </c>
      <c r="F996" s="35">
        <v>138.72999999999999</v>
      </c>
      <c r="G996" s="14" t="str">
        <f>VLOOKUP(D996,Table4[],3,FALSE)</f>
        <v>2</v>
      </c>
      <c r="H996" s="15"/>
      <c r="I996" s="15" t="s">
        <v>179</v>
      </c>
      <c r="J996" s="15" t="s">
        <v>28</v>
      </c>
      <c r="K996" s="15">
        <v>669456911</v>
      </c>
      <c r="L996" s="15" t="s">
        <v>29</v>
      </c>
      <c r="M996" s="15" t="s">
        <v>29</v>
      </c>
    </row>
    <row r="997" spans="1:13" x14ac:dyDescent="0.25">
      <c r="A997" s="23">
        <f t="shared" ref="A997:A1028" si="53">D997</f>
        <v>259831</v>
      </c>
      <c r="B997" s="14" t="str">
        <f t="shared" si="51"/>
        <v>Direct Debit (UMB Bank) - Credits</v>
      </c>
      <c r="C997" s="37">
        <v>46153</v>
      </c>
      <c r="D997" s="31">
        <v>259831</v>
      </c>
      <c r="E997" s="33" t="str">
        <f>IF(Table3[[#This Row],[Type Received]]=2,"CC",(IF(Table3[[#This Row],[Type Received]]=3,"BILL","ACH")))</f>
        <v>ACH</v>
      </c>
      <c r="F997" s="32">
        <v>195.1</v>
      </c>
      <c r="G997" s="14" t="str">
        <f>VLOOKUP(D997,Table4[],3,FALSE)</f>
        <v>1</v>
      </c>
      <c r="H997" s="15">
        <v>1390</v>
      </c>
      <c r="I997" s="15"/>
      <c r="J997" s="15"/>
      <c r="K997" s="15"/>
      <c r="L997" s="15"/>
      <c r="M997" s="15"/>
    </row>
    <row r="998" spans="1:13" x14ac:dyDescent="0.25">
      <c r="A998" s="23">
        <f t="shared" si="53"/>
        <v>259825</v>
      </c>
      <c r="B998" s="14" t="str">
        <f t="shared" si="51"/>
        <v>Credit Cards (UMB) - Credits</v>
      </c>
      <c r="C998" s="38">
        <v>46157</v>
      </c>
      <c r="D998" s="34">
        <v>259825</v>
      </c>
      <c r="E998" s="36" t="str">
        <f>IF(Table3[[#This Row],[Type Received]]=2,"CC",(IF(Table3[[#This Row],[Type Received]]=3,"BILL","ACH")))</f>
        <v>CC</v>
      </c>
      <c r="F998" s="35">
        <v>67.12</v>
      </c>
      <c r="G998" s="14" t="str">
        <f>VLOOKUP(D998,Table4[],3,FALSE)</f>
        <v>2</v>
      </c>
      <c r="H998" s="15"/>
      <c r="I998" s="15"/>
      <c r="J998" s="15" t="s">
        <v>87</v>
      </c>
      <c r="K998" s="15">
        <v>696688216</v>
      </c>
      <c r="L998" s="15" t="s">
        <v>29</v>
      </c>
      <c r="M998" s="15" t="s">
        <v>29</v>
      </c>
    </row>
    <row r="999" spans="1:13" x14ac:dyDescent="0.25">
      <c r="A999" s="23">
        <f t="shared" si="53"/>
        <v>259814</v>
      </c>
      <c r="B999" s="14" t="str">
        <f t="shared" si="51"/>
        <v>Direct Debit (UMB Bank) - Credits</v>
      </c>
      <c r="C999" s="37">
        <v>46143</v>
      </c>
      <c r="D999" s="31">
        <v>259814</v>
      </c>
      <c r="E999" s="33" t="str">
        <f>IF(Table3[[#This Row],[Type Received]]=2,"CC",(IF(Table3[[#This Row],[Type Received]]=3,"BILL","ACH")))</f>
        <v>ACH</v>
      </c>
      <c r="F999" s="32">
        <v>39.950000000000003</v>
      </c>
      <c r="G999" s="14" t="str">
        <f>VLOOKUP(D999,Table4[],3,FALSE)</f>
        <v>1</v>
      </c>
      <c r="H999" s="15"/>
      <c r="I999" s="15" t="s">
        <v>180</v>
      </c>
      <c r="J999" s="15" t="s">
        <v>28</v>
      </c>
      <c r="K999" s="15">
        <v>522250835</v>
      </c>
      <c r="L999" s="15" t="s">
        <v>29</v>
      </c>
      <c r="M999" s="15" t="s">
        <v>29</v>
      </c>
    </row>
    <row r="1000" spans="1:13" x14ac:dyDescent="0.25">
      <c r="A1000" s="23">
        <f t="shared" si="53"/>
        <v>259826</v>
      </c>
      <c r="B1000" s="14" t="str">
        <f t="shared" si="51"/>
        <v>Direct Debit (UMB Bank) - Credits</v>
      </c>
      <c r="C1000" s="38">
        <v>46157</v>
      </c>
      <c r="D1000" s="34">
        <v>259826</v>
      </c>
      <c r="E1000" s="36" t="str">
        <f>IF(Table3[[#This Row],[Type Received]]=2,"CC",(IF(Table3[[#This Row],[Type Received]]=3,"BILL","ACH")))</f>
        <v>ACH</v>
      </c>
      <c r="F1000" s="35">
        <v>74.709999999999994</v>
      </c>
      <c r="G1000" s="14" t="str">
        <f>VLOOKUP(D1000,Table4[],3,FALSE)</f>
        <v>1</v>
      </c>
      <c r="H1000" s="15"/>
      <c r="I1000" s="15"/>
      <c r="J1000" s="15" t="s">
        <v>87</v>
      </c>
      <c r="K1000" s="15">
        <v>696679553</v>
      </c>
      <c r="L1000" s="15" t="s">
        <v>29</v>
      </c>
      <c r="M1000" s="15" t="s">
        <v>29</v>
      </c>
    </row>
    <row r="1001" spans="1:13" x14ac:dyDescent="0.25">
      <c r="A1001" s="23">
        <f t="shared" si="53"/>
        <v>259827</v>
      </c>
      <c r="B1001" s="14" t="str">
        <f t="shared" si="51"/>
        <v>Direct Debit (UMB Bank) - Credits</v>
      </c>
      <c r="C1001" s="37">
        <v>46157</v>
      </c>
      <c r="D1001" s="31">
        <v>259827</v>
      </c>
      <c r="E1001" s="33" t="str">
        <f>IF(Table3[[#This Row],[Type Received]]=2,"CC",(IF(Table3[[#This Row],[Type Received]]=3,"BILL","ACH")))</f>
        <v>ACH</v>
      </c>
      <c r="F1001" s="32">
        <v>45.89</v>
      </c>
      <c r="G1001" s="14" t="str">
        <f>VLOOKUP(D1001,Table4[],3,FALSE)</f>
        <v>1</v>
      </c>
      <c r="H1001" s="15"/>
      <c r="I1001" s="15"/>
      <c r="J1001" s="24" t="s">
        <v>87</v>
      </c>
      <c r="K1001" s="15">
        <v>696669801</v>
      </c>
      <c r="L1001" s="15" t="s">
        <v>29</v>
      </c>
      <c r="M1001" s="15" t="s">
        <v>29</v>
      </c>
    </row>
    <row r="1002" spans="1:13" x14ac:dyDescent="0.25">
      <c r="A1002" s="23">
        <f t="shared" si="53"/>
        <v>259819</v>
      </c>
      <c r="B1002" s="14" t="str">
        <f t="shared" si="51"/>
        <v>Direct Debit (UMB Bank) - Credits</v>
      </c>
      <c r="C1002" s="38">
        <v>46143</v>
      </c>
      <c r="D1002" s="34">
        <v>259819</v>
      </c>
      <c r="E1002" s="36" t="str">
        <f>IF(Table3[[#This Row],[Type Received]]=2,"CC",(IF(Table3[[#This Row],[Type Received]]=3,"BILL","ACH")))</f>
        <v>ACH</v>
      </c>
      <c r="F1002" s="35">
        <v>53.26</v>
      </c>
      <c r="G1002" s="14" t="str">
        <f>VLOOKUP(D1002,Table4[],3,FALSE)</f>
        <v>2</v>
      </c>
      <c r="H1002" s="15"/>
      <c r="I1002" s="15"/>
      <c r="J1002" s="15" t="s">
        <v>84</v>
      </c>
      <c r="K1002" s="15">
        <v>522257750</v>
      </c>
      <c r="L1002" s="15" t="s">
        <v>29</v>
      </c>
      <c r="M1002" s="15" t="s">
        <v>29</v>
      </c>
    </row>
    <row r="1003" spans="1:13" x14ac:dyDescent="0.25">
      <c r="A1003" s="23">
        <f t="shared" si="53"/>
        <v>259820</v>
      </c>
      <c r="B1003" s="14" t="str">
        <f t="shared" si="51"/>
        <v>Direct Debit (UMB Bank) - Credits</v>
      </c>
      <c r="C1003" s="37">
        <v>46143</v>
      </c>
      <c r="D1003" s="31">
        <v>259820</v>
      </c>
      <c r="E1003" s="33" t="str">
        <f>IF(Table3[[#This Row],[Type Received]]=2,"CC",(IF(Table3[[#This Row],[Type Received]]=3,"BILL","ACH")))</f>
        <v>ACH</v>
      </c>
      <c r="F1003" s="32">
        <v>136.75</v>
      </c>
      <c r="G1003" s="14" t="str">
        <f>VLOOKUP(D1003,Table4[],3,FALSE)</f>
        <v>2</v>
      </c>
      <c r="H1003" s="15"/>
      <c r="I1003" s="15"/>
      <c r="J1003" s="15" t="s">
        <v>84</v>
      </c>
      <c r="K1003" s="15">
        <v>522258665</v>
      </c>
      <c r="L1003" s="15" t="s">
        <v>29</v>
      </c>
      <c r="M1003" s="15" t="s">
        <v>29</v>
      </c>
    </row>
    <row r="1004" spans="1:13" x14ac:dyDescent="0.25">
      <c r="A1004" s="23">
        <f t="shared" si="53"/>
        <v>259821</v>
      </c>
      <c r="B1004" s="14" t="str">
        <f t="shared" si="51"/>
        <v>Direct Debit (UMB Bank) - Credits</v>
      </c>
      <c r="C1004" s="38">
        <v>46143</v>
      </c>
      <c r="D1004" s="34">
        <v>259821</v>
      </c>
      <c r="E1004" s="36" t="str">
        <f>IF(Table3[[#This Row],[Type Received]]=2,"CC",(IF(Table3[[#This Row],[Type Received]]=3,"BILL","ACH")))</f>
        <v>ACH</v>
      </c>
      <c r="F1004" s="35">
        <v>61.73</v>
      </c>
      <c r="G1004" s="14" t="str">
        <f>VLOOKUP(D1004,Table4[],3,FALSE)</f>
        <v>1</v>
      </c>
      <c r="H1004" s="15"/>
      <c r="I1004" s="15"/>
      <c r="J1004" s="15" t="s">
        <v>84</v>
      </c>
      <c r="K1004" s="15">
        <v>522266491</v>
      </c>
      <c r="L1004" s="15" t="s">
        <v>29</v>
      </c>
      <c r="M1004" s="15" t="s">
        <v>29</v>
      </c>
    </row>
    <row r="1005" spans="1:13" x14ac:dyDescent="0.25">
      <c r="A1005" s="23">
        <f t="shared" si="53"/>
        <v>259818</v>
      </c>
      <c r="B1005" s="14" t="str">
        <f t="shared" si="51"/>
        <v>Direct Debit (UMB Bank) - Credits</v>
      </c>
      <c r="C1005" s="37">
        <v>46143</v>
      </c>
      <c r="D1005" s="31">
        <v>259818</v>
      </c>
      <c r="E1005" s="33" t="str">
        <f>IF(Table3[[#This Row],[Type Received]]=2,"CC",(IF(Table3[[#This Row],[Type Received]]=3,"BILL","ACH")))</f>
        <v>ACH</v>
      </c>
      <c r="F1005" s="32">
        <v>182.62</v>
      </c>
      <c r="G1005" s="14" t="str">
        <f>VLOOKUP(D1005,Table4[],3,FALSE)</f>
        <v>2</v>
      </c>
      <c r="H1005" s="15"/>
      <c r="I1005" s="15"/>
      <c r="J1005" s="15" t="s">
        <v>84</v>
      </c>
      <c r="K1005" s="15">
        <v>522246006</v>
      </c>
      <c r="L1005" s="15" t="s">
        <v>29</v>
      </c>
      <c r="M1005" s="15" t="s">
        <v>29</v>
      </c>
    </row>
    <row r="1006" spans="1:13" x14ac:dyDescent="0.25">
      <c r="A1006" s="23">
        <f t="shared" si="53"/>
        <v>259822</v>
      </c>
      <c r="B1006" s="14" t="str">
        <f t="shared" si="51"/>
        <v>Direct Debit (UMB Bank) - Credits</v>
      </c>
      <c r="C1006" s="38">
        <v>46143</v>
      </c>
      <c r="D1006" s="34">
        <v>259822</v>
      </c>
      <c r="E1006" s="36" t="str">
        <f>IF(Table3[[#This Row],[Type Received]]=2,"CC",(IF(Table3[[#This Row],[Type Received]]=3,"BILL","ACH")))</f>
        <v>ACH</v>
      </c>
      <c r="F1006" s="35">
        <v>67.010000000000005</v>
      </c>
      <c r="G1006" s="14" t="str">
        <f>VLOOKUP(D1006,Table4[],3,FALSE)</f>
        <v>1</v>
      </c>
      <c r="H1006" s="15"/>
      <c r="I1006" s="15"/>
      <c r="J1006" s="15" t="s">
        <v>84</v>
      </c>
      <c r="K1006" s="15">
        <v>522253919</v>
      </c>
      <c r="L1006" s="15" t="s">
        <v>29</v>
      </c>
      <c r="M1006" s="15" t="s">
        <v>29</v>
      </c>
    </row>
    <row r="1007" spans="1:13" x14ac:dyDescent="0.25">
      <c r="A1007" s="23">
        <f t="shared" si="53"/>
        <v>259834</v>
      </c>
      <c r="B1007" s="14" t="str">
        <f t="shared" si="51"/>
        <v>Direct Debit (UMB Bank) - Credits</v>
      </c>
      <c r="C1007" s="37">
        <v>46167</v>
      </c>
      <c r="D1007" s="31">
        <v>259834</v>
      </c>
      <c r="E1007" s="33" t="str">
        <f>IF(Table3[[#This Row],[Type Received]]=2,"CC",(IF(Table3[[#This Row],[Type Received]]=3,"BILL","ACH")))</f>
        <v>ACH</v>
      </c>
      <c r="F1007" s="32">
        <v>42.59</v>
      </c>
      <c r="G1007" s="14" t="str">
        <f>VLOOKUP(D1007,Table4[],3,FALSE)</f>
        <v>1</v>
      </c>
      <c r="H1007" s="15"/>
      <c r="I1007" s="15"/>
      <c r="J1007" s="15" t="s">
        <v>85</v>
      </c>
      <c r="K1007" s="15">
        <v>818338688</v>
      </c>
      <c r="L1007" s="15" t="s">
        <v>29</v>
      </c>
      <c r="M1007" s="15" t="s">
        <v>29</v>
      </c>
    </row>
    <row r="1008" spans="1:13" x14ac:dyDescent="0.25">
      <c r="A1008" s="23">
        <f t="shared" si="53"/>
        <v>259843</v>
      </c>
      <c r="B1008" s="14" t="str">
        <f t="shared" si="51"/>
        <v>Direct Debit (UMB Bank) - Credits</v>
      </c>
      <c r="C1008" s="38">
        <v>46143</v>
      </c>
      <c r="D1008" s="34">
        <v>259843</v>
      </c>
      <c r="E1008" s="36" t="str">
        <f>IF(Table3[[#This Row],[Type Received]]=2,"CC",(IF(Table3[[#This Row],[Type Received]]=3,"BILL","ACH")))</f>
        <v>ACH</v>
      </c>
      <c r="F1008" s="35">
        <v>42.7</v>
      </c>
      <c r="G1008" s="14" t="str">
        <f>VLOOKUP(D1008,Table4[],3,FALSE)</f>
        <v>2</v>
      </c>
      <c r="H1008" s="15"/>
      <c r="I1008" s="15"/>
      <c r="J1008" s="15" t="s">
        <v>84</v>
      </c>
      <c r="K1008" s="15">
        <v>522257918</v>
      </c>
      <c r="L1008" s="15" t="s">
        <v>29</v>
      </c>
      <c r="M1008" s="15" t="s">
        <v>29</v>
      </c>
    </row>
    <row r="1009" spans="1:13" x14ac:dyDescent="0.25">
      <c r="A1009" s="23">
        <f t="shared" si="53"/>
        <v>259842</v>
      </c>
      <c r="B1009" s="14" t="str">
        <f t="shared" si="51"/>
        <v>Credit Cards (UMB) - Credits</v>
      </c>
      <c r="C1009" s="37">
        <v>46155</v>
      </c>
      <c r="D1009" s="31">
        <v>259842</v>
      </c>
      <c r="E1009" s="33" t="str">
        <f>IF(Table3[[#This Row],[Type Received]]=2,"CC",(IF(Table3[[#This Row],[Type Received]]=3,"BILL","ACH")))</f>
        <v>CC</v>
      </c>
      <c r="F1009" s="32">
        <v>34.450000000000003</v>
      </c>
      <c r="G1009" s="14" t="str">
        <f>VLOOKUP(D1009,Table4[],3,FALSE)</f>
        <v>2</v>
      </c>
      <c r="H1009" s="15"/>
      <c r="I1009" s="15"/>
      <c r="J1009" s="15" t="s">
        <v>90</v>
      </c>
      <c r="K1009" s="15">
        <v>669477211</v>
      </c>
      <c r="L1009" s="15" t="s">
        <v>29</v>
      </c>
      <c r="M1009" s="15" t="s">
        <v>29</v>
      </c>
    </row>
    <row r="1010" spans="1:13" x14ac:dyDescent="0.25">
      <c r="A1010" s="23">
        <f t="shared" si="53"/>
        <v>259841</v>
      </c>
      <c r="B1010" s="14" t="str">
        <f t="shared" si="51"/>
        <v>Credit Cards (UMB) - Credits</v>
      </c>
      <c r="C1010" s="38">
        <v>46158</v>
      </c>
      <c r="D1010" s="34">
        <v>259841</v>
      </c>
      <c r="E1010" s="36" t="str">
        <f>IF(Table3[[#This Row],[Type Received]]=2,"CC",(IF(Table3[[#This Row],[Type Received]]=3,"BILL","ACH")))</f>
        <v>CC</v>
      </c>
      <c r="F1010" s="35">
        <v>179.65</v>
      </c>
      <c r="G1010" s="14" t="str">
        <f>VLOOKUP(D1010,Table4[],3,FALSE)</f>
        <v>2</v>
      </c>
      <c r="H1010" s="15"/>
      <c r="I1010" s="15">
        <v>515918</v>
      </c>
      <c r="J1010" s="15" t="s">
        <v>28</v>
      </c>
      <c r="K1010" s="15">
        <v>710045635</v>
      </c>
      <c r="L1010" s="15" t="s">
        <v>29</v>
      </c>
      <c r="M1010" s="15" t="s">
        <v>29</v>
      </c>
    </row>
    <row r="1011" spans="1:13" x14ac:dyDescent="0.25">
      <c r="A1011" s="23">
        <f t="shared" si="53"/>
        <v>259853</v>
      </c>
      <c r="B1011" s="14" t="str">
        <f t="shared" si="51"/>
        <v>Direct Debit (UMB Bank) - Credits</v>
      </c>
      <c r="C1011" s="37">
        <v>46155</v>
      </c>
      <c r="D1011" s="31">
        <v>259853</v>
      </c>
      <c r="E1011" s="33" t="str">
        <f>IF(Table3[[#This Row],[Type Received]]=2,"CC",(IF(Table3[[#This Row],[Type Received]]=3,"BILL","ACH")))</f>
        <v>ACH</v>
      </c>
      <c r="F1011" s="32">
        <v>30.49</v>
      </c>
      <c r="G1011" s="14" t="str">
        <f>VLOOKUP(D1011,Table4[],3,FALSE)</f>
        <v>1</v>
      </c>
      <c r="H1011" s="15"/>
      <c r="I1011" s="15" t="s">
        <v>181</v>
      </c>
      <c r="J1011" s="15" t="s">
        <v>28</v>
      </c>
      <c r="K1011" s="15">
        <v>669465719</v>
      </c>
      <c r="L1011" s="15" t="s">
        <v>29</v>
      </c>
      <c r="M1011" s="15"/>
    </row>
    <row r="1012" spans="1:13" x14ac:dyDescent="0.25">
      <c r="A1012" s="23">
        <f t="shared" si="53"/>
        <v>259855</v>
      </c>
      <c r="B1012" s="14" t="str">
        <f t="shared" si="51"/>
        <v>Credit Cards (UMB) - Credits</v>
      </c>
      <c r="C1012" s="38">
        <v>46167</v>
      </c>
      <c r="D1012" s="34">
        <v>259855</v>
      </c>
      <c r="E1012" s="36" t="str">
        <f>IF(Table3[[#This Row],[Type Received]]=2,"CC",(IF(Table3[[#This Row],[Type Received]]=3,"BILL","ACH")))</f>
        <v>CC</v>
      </c>
      <c r="F1012" s="35">
        <v>26.97</v>
      </c>
      <c r="G1012" s="14" t="str">
        <f>VLOOKUP(D1012,Table4[],3,FALSE)</f>
        <v>1</v>
      </c>
      <c r="H1012" s="15"/>
      <c r="I1012" s="15"/>
      <c r="J1012" s="15" t="s">
        <v>85</v>
      </c>
      <c r="K1012" s="15">
        <v>818346453</v>
      </c>
      <c r="L1012" s="15" t="s">
        <v>29</v>
      </c>
      <c r="M1012" s="15" t="s">
        <v>29</v>
      </c>
    </row>
    <row r="1013" spans="1:13" x14ac:dyDescent="0.25">
      <c r="A1013" s="23">
        <f t="shared" si="53"/>
        <v>259850</v>
      </c>
      <c r="B1013" s="14" t="str">
        <f t="shared" si="51"/>
        <v>Direct Debit (UMB Bank) - Credits</v>
      </c>
      <c r="C1013" s="37">
        <v>46155</v>
      </c>
      <c r="D1013" s="31">
        <v>259850</v>
      </c>
      <c r="E1013" s="33" t="str">
        <f>IF(Table3[[#This Row],[Type Received]]=2,"CC",(IF(Table3[[#This Row],[Type Received]]=3,"BILL","ACH")))</f>
        <v>ACH</v>
      </c>
      <c r="F1013" s="32">
        <v>80.430000000000007</v>
      </c>
      <c r="G1013" s="14" t="str">
        <f>VLOOKUP(D1013,Table4[],3,FALSE)</f>
        <v>1</v>
      </c>
      <c r="H1013" s="15"/>
      <c r="I1013" s="15">
        <v>215548</v>
      </c>
      <c r="J1013" s="15" t="s">
        <v>28</v>
      </c>
      <c r="K1013" s="15">
        <v>669453015</v>
      </c>
      <c r="L1013" s="15" t="s">
        <v>29</v>
      </c>
      <c r="M1013" s="15"/>
    </row>
    <row r="1014" spans="1:13" x14ac:dyDescent="0.25">
      <c r="A1014" s="23">
        <f t="shared" si="53"/>
        <v>259856</v>
      </c>
      <c r="B1014" s="14" t="str">
        <f t="shared" si="51"/>
        <v>Direct Debit (UMB Bank) - Credits</v>
      </c>
      <c r="C1014" s="38">
        <v>46143</v>
      </c>
      <c r="D1014" s="34">
        <v>259856</v>
      </c>
      <c r="E1014" s="36" t="str">
        <f>IF(Table3[[#This Row],[Type Received]]=2,"CC",(IF(Table3[[#This Row],[Type Received]]=3,"BILL","ACH")))</f>
        <v>ACH</v>
      </c>
      <c r="F1014" s="35">
        <v>48.97</v>
      </c>
      <c r="G1014" s="14" t="str">
        <f>VLOOKUP(D1014,Table4[],3,FALSE)</f>
        <v>2</v>
      </c>
      <c r="H1014" s="15"/>
      <c r="I1014" s="15"/>
      <c r="J1014" s="15" t="s">
        <v>84</v>
      </c>
      <c r="K1014" s="15">
        <v>522274369</v>
      </c>
      <c r="L1014" s="15" t="s">
        <v>29</v>
      </c>
      <c r="M1014" s="15" t="s">
        <v>29</v>
      </c>
    </row>
    <row r="1015" spans="1:13" x14ac:dyDescent="0.25">
      <c r="A1015" s="23">
        <f t="shared" si="53"/>
        <v>259862</v>
      </c>
      <c r="B1015" s="14" t="str">
        <f t="shared" si="51"/>
        <v>Credit Cards (UMB) - Credits</v>
      </c>
      <c r="C1015" s="37">
        <v>46152</v>
      </c>
      <c r="D1015" s="31">
        <v>259862</v>
      </c>
      <c r="E1015" s="33" t="str">
        <f>IF(Table3[[#This Row],[Type Received]]=2,"CC",(IF(Table3[[#This Row],[Type Received]]=3,"BILL","ACH")))</f>
        <v>CC</v>
      </c>
      <c r="F1015" s="32">
        <v>36.43</v>
      </c>
      <c r="G1015" s="14" t="str">
        <f>VLOOKUP(D1015,Table4[],3,FALSE)</f>
        <v>1</v>
      </c>
      <c r="H1015" s="15"/>
      <c r="I1015" s="15"/>
      <c r="J1015" s="15" t="s">
        <v>115</v>
      </c>
      <c r="K1015" s="15">
        <v>632901272</v>
      </c>
      <c r="L1015" s="15" t="s">
        <v>29</v>
      </c>
      <c r="M1015" s="15" t="s">
        <v>29</v>
      </c>
    </row>
    <row r="1016" spans="1:13" x14ac:dyDescent="0.25">
      <c r="A1016" s="23">
        <f t="shared" si="53"/>
        <v>259849</v>
      </c>
      <c r="B1016" s="14" t="str">
        <f t="shared" si="51"/>
        <v>Credit Cards (UMB) - Credits</v>
      </c>
      <c r="C1016" s="38">
        <v>46155</v>
      </c>
      <c r="D1016" s="34">
        <v>259849</v>
      </c>
      <c r="E1016" s="36" t="str">
        <f>IF(Table3[[#This Row],[Type Received]]=2,"CC",(IF(Table3[[#This Row],[Type Received]]=3,"BILL","ACH")))</f>
        <v>CC</v>
      </c>
      <c r="F1016" s="35">
        <v>91.87</v>
      </c>
      <c r="G1016" s="14" t="str">
        <f>VLOOKUP(D1016,Table4[],3,FALSE)</f>
        <v>2</v>
      </c>
      <c r="H1016" s="15"/>
      <c r="I1016" s="15">
        <v>130924</v>
      </c>
      <c r="J1016" s="15" t="s">
        <v>28</v>
      </c>
      <c r="K1016" s="15">
        <v>669469600</v>
      </c>
      <c r="L1016" s="15" t="s">
        <v>29</v>
      </c>
      <c r="M1016" s="15"/>
    </row>
    <row r="1017" spans="1:13" x14ac:dyDescent="0.25">
      <c r="A1017" s="23">
        <f t="shared" si="53"/>
        <v>259851</v>
      </c>
      <c r="B1017" s="14" t="str">
        <f t="shared" si="51"/>
        <v>Direct Debit (UMB Bank) - Credits</v>
      </c>
      <c r="C1017" s="37">
        <v>46156</v>
      </c>
      <c r="D1017" s="31">
        <v>259851</v>
      </c>
      <c r="E1017" s="33" t="str">
        <f>IF(Table3[[#This Row],[Type Received]]=2,"CC",(IF(Table3[[#This Row],[Type Received]]=3,"BILL","ACH")))</f>
        <v>ACH</v>
      </c>
      <c r="F1017" s="32">
        <v>59.97</v>
      </c>
      <c r="G1017" s="14" t="str">
        <f>VLOOKUP(D1017,Table4[],3,FALSE)</f>
        <v>1</v>
      </c>
      <c r="H1017" s="15"/>
      <c r="I1017" s="15">
        <v>738037</v>
      </c>
      <c r="J1017" s="15" t="s">
        <v>28</v>
      </c>
      <c r="K1017" s="15">
        <v>682530508</v>
      </c>
      <c r="L1017" s="15" t="s">
        <v>29</v>
      </c>
      <c r="M1017" s="15" t="s">
        <v>29</v>
      </c>
    </row>
    <row r="1018" spans="1:13" x14ac:dyDescent="0.25">
      <c r="A1018" s="23">
        <f t="shared" si="53"/>
        <v>259854</v>
      </c>
      <c r="B1018" s="14" t="str">
        <f t="shared" si="51"/>
        <v>Direct Debit (UMB Bank) - Credits</v>
      </c>
      <c r="C1018" s="38">
        <v>46167</v>
      </c>
      <c r="D1018" s="34">
        <v>259854</v>
      </c>
      <c r="E1018" s="36" t="str">
        <f>IF(Table3[[#This Row],[Type Received]]=2,"CC",(IF(Table3[[#This Row],[Type Received]]=3,"BILL","ACH")))</f>
        <v>ACH</v>
      </c>
      <c r="F1018" s="35">
        <v>61.95</v>
      </c>
      <c r="G1018" s="14" t="str">
        <f>VLOOKUP(D1018,Table4[],3,FALSE)</f>
        <v>1</v>
      </c>
      <c r="H1018" s="15"/>
      <c r="I1018" s="15"/>
      <c r="J1018" s="15" t="s">
        <v>85</v>
      </c>
      <c r="K1018" s="15">
        <v>818336816</v>
      </c>
      <c r="L1018" s="15" t="s">
        <v>29</v>
      </c>
      <c r="M1018" s="15"/>
    </row>
    <row r="1019" spans="1:13" x14ac:dyDescent="0.25">
      <c r="A1019" s="23">
        <f t="shared" si="53"/>
        <v>259867</v>
      </c>
      <c r="B1019" s="14" t="str">
        <f t="shared" si="51"/>
        <v>Credit Cards (UMB) - Credits</v>
      </c>
      <c r="C1019" s="37">
        <v>46143</v>
      </c>
      <c r="D1019" s="31">
        <v>259867</v>
      </c>
      <c r="E1019" s="33" t="str">
        <f>IF(Table3[[#This Row],[Type Received]]=2,"CC",(IF(Table3[[#This Row],[Type Received]]=3,"BILL","ACH")))</f>
        <v>CC</v>
      </c>
      <c r="F1019" s="32">
        <v>57.55</v>
      </c>
      <c r="G1019" s="14" t="str">
        <f>VLOOKUP(D1019,Table4[],3,FALSE)</f>
        <v>2</v>
      </c>
      <c r="H1019" s="15"/>
      <c r="I1019" s="15"/>
      <c r="J1019" s="15" t="s">
        <v>84</v>
      </c>
      <c r="K1019" s="15">
        <v>522258100</v>
      </c>
      <c r="L1019" s="15" t="s">
        <v>29</v>
      </c>
      <c r="M1019" s="15" t="s">
        <v>29</v>
      </c>
    </row>
    <row r="1020" spans="1:13" x14ac:dyDescent="0.25">
      <c r="A1020" s="23">
        <f t="shared" si="53"/>
        <v>259864</v>
      </c>
      <c r="B1020" s="14" t="str">
        <f t="shared" si="51"/>
        <v>Credit Cards (UMB) - Credits</v>
      </c>
      <c r="C1020" s="38">
        <v>46144</v>
      </c>
      <c r="D1020" s="34">
        <v>259864</v>
      </c>
      <c r="E1020" s="36" t="str">
        <f>IF(Table3[[#This Row],[Type Received]]=2,"CC",(IF(Table3[[#This Row],[Type Received]]=3,"BILL","ACH")))</f>
        <v>CC</v>
      </c>
      <c r="F1020" s="35">
        <v>71.849999999999994</v>
      </c>
      <c r="G1020" s="14" t="str">
        <f>VLOOKUP(D1020,Table4[],3,FALSE)</f>
        <v>1</v>
      </c>
      <c r="H1020" s="15"/>
      <c r="I1020" s="15">
        <v>960654</v>
      </c>
      <c r="J1020" s="24" t="s">
        <v>28</v>
      </c>
      <c r="K1020" s="15">
        <v>535384227</v>
      </c>
      <c r="L1020" s="15" t="s">
        <v>29</v>
      </c>
      <c r="M1020" s="15" t="s">
        <v>29</v>
      </c>
    </row>
    <row r="1021" spans="1:13" x14ac:dyDescent="0.25">
      <c r="A1021" s="23">
        <f t="shared" si="53"/>
        <v>259863</v>
      </c>
      <c r="B1021" s="14" t="str">
        <f t="shared" si="51"/>
        <v>Direct Debit (UMB Bank) - Credits</v>
      </c>
      <c r="C1021" s="37">
        <v>46158</v>
      </c>
      <c r="D1021" s="31">
        <v>259863</v>
      </c>
      <c r="E1021" s="33" t="str">
        <f>IF(Table3[[#This Row],[Type Received]]=2,"CC",(IF(Table3[[#This Row],[Type Received]]=3,"BILL","ACH")))</f>
        <v>ACH</v>
      </c>
      <c r="F1021" s="32">
        <v>75.150000000000006</v>
      </c>
      <c r="G1021" s="14" t="str">
        <f>VLOOKUP(D1021,Table4[],3,FALSE)</f>
        <v>1</v>
      </c>
      <c r="H1021" s="15"/>
      <c r="I1021" s="15">
        <v>16341</v>
      </c>
      <c r="J1021" s="15" t="s">
        <v>28</v>
      </c>
      <c r="K1021" s="15">
        <v>710036883</v>
      </c>
      <c r="L1021" s="15" t="s">
        <v>29</v>
      </c>
      <c r="M1021" s="15" t="s">
        <v>29</v>
      </c>
    </row>
    <row r="1022" spans="1:13" x14ac:dyDescent="0.25">
      <c r="A1022" s="23">
        <f t="shared" si="53"/>
        <v>259868</v>
      </c>
      <c r="B1022" s="14" t="str">
        <f t="shared" si="51"/>
        <v>Direct Debit (UMB Bank) - Credits</v>
      </c>
      <c r="C1022" s="38">
        <v>46143</v>
      </c>
      <c r="D1022" s="34">
        <v>259868</v>
      </c>
      <c r="E1022" s="36" t="str">
        <f>IF(Table3[[#This Row],[Type Received]]=2,"CC",(IF(Table3[[#This Row],[Type Received]]=3,"BILL","ACH")))</f>
        <v>ACH</v>
      </c>
      <c r="F1022" s="35">
        <v>26.97</v>
      </c>
      <c r="G1022" s="14" t="str">
        <f>VLOOKUP(D1022,Table4[],3,FALSE)</f>
        <v>1</v>
      </c>
      <c r="H1022" s="15"/>
      <c r="I1022" s="15"/>
      <c r="J1022" s="15" t="s">
        <v>84</v>
      </c>
      <c r="K1022" s="15">
        <v>522259050</v>
      </c>
      <c r="L1022" s="15" t="s">
        <v>29</v>
      </c>
      <c r="M1022" s="15" t="s">
        <v>29</v>
      </c>
    </row>
    <row r="1023" spans="1:13" x14ac:dyDescent="0.25">
      <c r="A1023" s="23">
        <f t="shared" si="53"/>
        <v>259880</v>
      </c>
      <c r="B1023" s="14" t="str">
        <f t="shared" si="51"/>
        <v>Direct Debit (UMB Bank) - Credits</v>
      </c>
      <c r="C1023" s="37">
        <v>46143</v>
      </c>
      <c r="D1023" s="31">
        <v>259880</v>
      </c>
      <c r="E1023" s="33" t="str">
        <f>IF(Table3[[#This Row],[Type Received]]=2,"CC",(IF(Table3[[#This Row],[Type Received]]=3,"BILL","ACH")))</f>
        <v>ACH</v>
      </c>
      <c r="F1023" s="32">
        <v>76.69</v>
      </c>
      <c r="G1023" s="14" t="str">
        <f>VLOOKUP(D1023,Table4[],3,FALSE)</f>
        <v>2</v>
      </c>
      <c r="H1023" s="15"/>
      <c r="I1023" s="15"/>
      <c r="J1023" s="15" t="s">
        <v>84</v>
      </c>
      <c r="K1023" s="15">
        <v>522262060</v>
      </c>
      <c r="L1023" s="15" t="s">
        <v>29</v>
      </c>
      <c r="M1023" s="15"/>
    </row>
    <row r="1024" spans="1:13" x14ac:dyDescent="0.25">
      <c r="A1024" s="23">
        <f t="shared" si="53"/>
        <v>259883</v>
      </c>
      <c r="B1024" s="14" t="str">
        <f t="shared" si="51"/>
        <v>Direct Debit (UMB Bank) - Credits</v>
      </c>
      <c r="C1024" s="38">
        <v>46157</v>
      </c>
      <c r="D1024" s="34">
        <v>259883</v>
      </c>
      <c r="E1024" s="36" t="str">
        <f>IF(Table3[[#This Row],[Type Received]]=2,"CC",(IF(Table3[[#This Row],[Type Received]]=3,"BILL","ACH")))</f>
        <v>ACH</v>
      </c>
      <c r="F1024" s="35">
        <v>100.45</v>
      </c>
      <c r="G1024" s="14" t="str">
        <f>VLOOKUP(D1024,Table4[],3,FALSE)</f>
        <v>2</v>
      </c>
      <c r="H1024" s="15"/>
      <c r="I1024" s="15"/>
      <c r="J1024" s="15" t="s">
        <v>87</v>
      </c>
      <c r="K1024" s="15">
        <v>696679605</v>
      </c>
      <c r="L1024" s="15" t="s">
        <v>29</v>
      </c>
      <c r="M1024" s="15" t="s">
        <v>29</v>
      </c>
    </row>
    <row r="1025" spans="1:13" x14ac:dyDescent="0.25">
      <c r="A1025" s="23">
        <f t="shared" si="53"/>
        <v>259879</v>
      </c>
      <c r="B1025" s="14" t="str">
        <f t="shared" si="51"/>
        <v>Credit Cards (UMB) - Credits</v>
      </c>
      <c r="C1025" s="37">
        <v>46167</v>
      </c>
      <c r="D1025" s="31">
        <v>259879</v>
      </c>
      <c r="E1025" s="33" t="str">
        <f>IF(Table3[[#This Row],[Type Received]]=2,"CC",(IF(Table3[[#This Row],[Type Received]]=3,"BILL","ACH")))</f>
        <v>CC</v>
      </c>
      <c r="F1025" s="32">
        <v>33.79</v>
      </c>
      <c r="G1025" s="14" t="str">
        <f>VLOOKUP(D1025,Table4[],3,FALSE)</f>
        <v>2</v>
      </c>
      <c r="H1025" s="15"/>
      <c r="I1025" s="15"/>
      <c r="J1025" s="15" t="s">
        <v>85</v>
      </c>
      <c r="K1025" s="15">
        <v>818352198</v>
      </c>
      <c r="L1025" s="15" t="s">
        <v>29</v>
      </c>
      <c r="M1025" s="15" t="s">
        <v>29</v>
      </c>
    </row>
    <row r="1026" spans="1:13" x14ac:dyDescent="0.25">
      <c r="A1026" s="23">
        <f t="shared" si="53"/>
        <v>259877</v>
      </c>
      <c r="B1026" s="14" t="str">
        <f t="shared" ref="B1026:B1089" si="54">IF(AND(E1026="BILL",F1026&lt;0),"Billing &amp; Direct Debit - Refunds",(IF(AND(E1026="BILL",F1026&gt;0),"Billing - Credits (from TPA)",(IF(AND(E1026="CC",F1026&lt;0),"Credit Cards (UMB) - Refunds",(IF(AND(E1026="CC",F1026&gt;0),"Credit Cards (UMB) - Credits",(IF(AND(E1026="ACH",F1026&gt;0),"Direct Debit (UMB Bank) - Credits","Direct Debit (UMB Bank) - Returned Items")))))))))</f>
        <v>Direct Debit (UMB Bank) - Credits</v>
      </c>
      <c r="C1026" s="38">
        <v>46155</v>
      </c>
      <c r="D1026" s="34">
        <v>259877</v>
      </c>
      <c r="E1026" s="36" t="str">
        <f>IF(Table3[[#This Row],[Type Received]]=2,"CC",(IF(Table3[[#This Row],[Type Received]]=3,"BILL","ACH")))</f>
        <v>ACH</v>
      </c>
      <c r="F1026" s="35">
        <v>62.83</v>
      </c>
      <c r="G1026" s="14" t="str">
        <f>VLOOKUP(D1026,Table4[],3,FALSE)</f>
        <v>1</v>
      </c>
      <c r="H1026" s="15"/>
      <c r="I1026" s="15">
        <v>9139</v>
      </c>
      <c r="J1026" s="15" t="s">
        <v>28</v>
      </c>
      <c r="K1026" s="15">
        <v>669462836</v>
      </c>
      <c r="L1026" s="15" t="s">
        <v>29</v>
      </c>
      <c r="M1026" s="15" t="s">
        <v>29</v>
      </c>
    </row>
    <row r="1027" spans="1:13" x14ac:dyDescent="0.25">
      <c r="A1027" s="23">
        <f t="shared" si="53"/>
        <v>259878</v>
      </c>
      <c r="B1027" s="14" t="str">
        <f t="shared" si="54"/>
        <v>Direct Debit (UMB Bank) - Credits</v>
      </c>
      <c r="C1027" s="37">
        <v>46167</v>
      </c>
      <c r="D1027" s="31">
        <v>259878</v>
      </c>
      <c r="E1027" s="33" t="str">
        <f>IF(Table3[[#This Row],[Type Received]]=2,"CC",(IF(Table3[[#This Row],[Type Received]]=3,"BILL","ACH")))</f>
        <v>ACH</v>
      </c>
      <c r="F1027" s="32">
        <v>112</v>
      </c>
      <c r="G1027" s="14" t="str">
        <f>VLOOKUP(D1027,Table4[],3,FALSE)</f>
        <v>2</v>
      </c>
      <c r="H1027" s="15"/>
      <c r="I1027" s="15"/>
      <c r="J1027" s="15" t="s">
        <v>85</v>
      </c>
      <c r="K1027" s="15">
        <v>818331965</v>
      </c>
      <c r="L1027" s="15" t="s">
        <v>29</v>
      </c>
      <c r="M1027" s="15"/>
    </row>
    <row r="1028" spans="1:13" x14ac:dyDescent="0.25">
      <c r="A1028" s="23">
        <f t="shared" si="53"/>
        <v>259882</v>
      </c>
      <c r="B1028" s="14" t="str">
        <f t="shared" si="54"/>
        <v>Direct Debit (UMB Bank) - Credits</v>
      </c>
      <c r="C1028" s="38">
        <v>46157</v>
      </c>
      <c r="D1028" s="34">
        <v>259882</v>
      </c>
      <c r="E1028" s="36" t="str">
        <f>IF(Table3[[#This Row],[Type Received]]=2,"CC",(IF(Table3[[#This Row],[Type Received]]=3,"BILL","ACH")))</f>
        <v>ACH</v>
      </c>
      <c r="F1028" s="35">
        <v>36.1</v>
      </c>
      <c r="G1028" s="14" t="str">
        <f>VLOOKUP(D1028,Table4[],3,FALSE)</f>
        <v>2</v>
      </c>
      <c r="H1028" s="15"/>
      <c r="I1028" s="15"/>
      <c r="J1028" s="15" t="s">
        <v>87</v>
      </c>
      <c r="K1028" s="15">
        <v>696678629</v>
      </c>
      <c r="L1028" s="15" t="s">
        <v>29</v>
      </c>
      <c r="M1028" s="15" t="s">
        <v>29</v>
      </c>
    </row>
    <row r="1029" spans="1:13" x14ac:dyDescent="0.25">
      <c r="A1029" s="23">
        <f t="shared" ref="A1029:A1060" si="55">D1029</f>
        <v>259891</v>
      </c>
      <c r="B1029" s="14" t="str">
        <f t="shared" si="54"/>
        <v>Direct Debit (UMB Bank) - Credits</v>
      </c>
      <c r="C1029" s="37">
        <v>46167</v>
      </c>
      <c r="D1029" s="31">
        <v>259891</v>
      </c>
      <c r="E1029" s="33" t="str">
        <f>IF(Table3[[#This Row],[Type Received]]=2,"CC",(IF(Table3[[#This Row],[Type Received]]=3,"BILL","ACH")))</f>
        <v>ACH</v>
      </c>
      <c r="F1029" s="32">
        <v>53.15</v>
      </c>
      <c r="G1029" s="14" t="str">
        <f>VLOOKUP(D1029,Table4[],3,FALSE)</f>
        <v>1</v>
      </c>
      <c r="H1029" s="15"/>
      <c r="I1029" s="15"/>
      <c r="J1029" s="15" t="s">
        <v>85</v>
      </c>
      <c r="K1029" s="15">
        <v>818340656</v>
      </c>
      <c r="L1029" s="15" t="s">
        <v>29</v>
      </c>
      <c r="M1029" s="15" t="s">
        <v>29</v>
      </c>
    </row>
    <row r="1030" spans="1:13" x14ac:dyDescent="0.25">
      <c r="A1030" s="23">
        <f t="shared" si="55"/>
        <v>259881</v>
      </c>
      <c r="B1030" s="14" t="str">
        <f t="shared" si="54"/>
        <v>Credit Cards (UMB) - Credits</v>
      </c>
      <c r="C1030" s="38">
        <v>46143</v>
      </c>
      <c r="D1030" s="34">
        <v>259881</v>
      </c>
      <c r="E1030" s="36" t="str">
        <f>IF(Table3[[#This Row],[Type Received]]=2,"CC",(IF(Table3[[#This Row],[Type Received]]=3,"BILL","ACH")))</f>
        <v>CC</v>
      </c>
      <c r="F1030" s="35">
        <v>51.17</v>
      </c>
      <c r="G1030" s="14" t="e">
        <f>VLOOKUP(D1030,Table4[],3,FALSE)</f>
        <v>#N/A</v>
      </c>
      <c r="H1030" s="15"/>
      <c r="I1030" s="15"/>
      <c r="J1030" s="15" t="s">
        <v>84</v>
      </c>
      <c r="K1030" s="15">
        <v>522262028</v>
      </c>
      <c r="L1030" s="15" t="s">
        <v>29</v>
      </c>
      <c r="M1030" s="15"/>
    </row>
    <row r="1031" spans="1:13" x14ac:dyDescent="0.25">
      <c r="A1031" s="23">
        <f t="shared" si="55"/>
        <v>259876</v>
      </c>
      <c r="B1031" s="14" t="str">
        <f t="shared" si="54"/>
        <v>Direct Debit (UMB Bank) - Credits</v>
      </c>
      <c r="C1031" s="37">
        <v>46155</v>
      </c>
      <c r="D1031" s="31">
        <v>259876</v>
      </c>
      <c r="E1031" s="33" t="str">
        <f>IF(Table3[[#This Row],[Type Received]]=2,"CC",(IF(Table3[[#This Row],[Type Received]]=3,"BILL","ACH")))</f>
        <v>ACH</v>
      </c>
      <c r="F1031" s="32">
        <v>36.869999999999997</v>
      </c>
      <c r="G1031" s="14" t="str">
        <f>VLOOKUP(D1031,Table4[],3,FALSE)</f>
        <v>1</v>
      </c>
      <c r="H1031" s="15"/>
      <c r="I1031" s="15" t="s">
        <v>182</v>
      </c>
      <c r="J1031" s="15" t="s">
        <v>28</v>
      </c>
      <c r="K1031" s="15">
        <v>669466687</v>
      </c>
      <c r="L1031" s="15" t="s">
        <v>29</v>
      </c>
      <c r="M1031" s="15" t="s">
        <v>29</v>
      </c>
    </row>
    <row r="1032" spans="1:13" x14ac:dyDescent="0.25">
      <c r="A1032" s="23">
        <f t="shared" si="55"/>
        <v>259884</v>
      </c>
      <c r="B1032" s="14" t="str">
        <f t="shared" si="54"/>
        <v>Credit Cards (UMB) - Credits</v>
      </c>
      <c r="C1032" s="38">
        <v>46157</v>
      </c>
      <c r="D1032" s="34">
        <v>259884</v>
      </c>
      <c r="E1032" s="36" t="str">
        <f>IF(Table3[[#This Row],[Type Received]]=2,"CC",(IF(Table3[[#This Row],[Type Received]]=3,"BILL","ACH")))</f>
        <v>CC</v>
      </c>
      <c r="F1032" s="35">
        <v>37.75</v>
      </c>
      <c r="G1032" s="14" t="str">
        <f>VLOOKUP(D1032,Table4[],3,FALSE)</f>
        <v>1</v>
      </c>
      <c r="H1032" s="15"/>
      <c r="I1032" s="15"/>
      <c r="J1032" s="15" t="s">
        <v>87</v>
      </c>
      <c r="K1032" s="15">
        <v>696687267</v>
      </c>
      <c r="L1032" s="15" t="s">
        <v>29</v>
      </c>
      <c r="M1032" s="15" t="s">
        <v>29</v>
      </c>
    </row>
    <row r="1033" spans="1:13" x14ac:dyDescent="0.25">
      <c r="A1033" s="23">
        <f t="shared" si="55"/>
        <v>259895</v>
      </c>
      <c r="B1033" s="14" t="str">
        <f t="shared" si="54"/>
        <v>Credit Cards (UMB) - Credits</v>
      </c>
      <c r="C1033" s="37">
        <v>46155</v>
      </c>
      <c r="D1033" s="31">
        <v>259895</v>
      </c>
      <c r="E1033" s="33" t="str">
        <f>IF(Table3[[#This Row],[Type Received]]=2,"CC",(IF(Table3[[#This Row],[Type Received]]=3,"BILL","ACH")))</f>
        <v>CC</v>
      </c>
      <c r="F1033" s="32">
        <v>37.75</v>
      </c>
      <c r="G1033" s="14" t="str">
        <f>VLOOKUP(D1033,Table4[],3,FALSE)</f>
        <v>2</v>
      </c>
      <c r="H1033" s="15"/>
      <c r="I1033" s="15" t="s">
        <v>183</v>
      </c>
      <c r="J1033" s="15" t="s">
        <v>28</v>
      </c>
      <c r="K1033" s="15">
        <v>669467711</v>
      </c>
      <c r="L1033" s="15" t="s">
        <v>29</v>
      </c>
      <c r="M1033" s="15" t="s">
        <v>29</v>
      </c>
    </row>
    <row r="1034" spans="1:13" x14ac:dyDescent="0.25">
      <c r="A1034" s="23">
        <f t="shared" si="55"/>
        <v>259896</v>
      </c>
      <c r="B1034" s="14" t="str">
        <f t="shared" si="54"/>
        <v>Direct Debit (UMB Bank) - Credits</v>
      </c>
      <c r="C1034" s="38">
        <v>46155</v>
      </c>
      <c r="D1034" s="34">
        <v>259896</v>
      </c>
      <c r="E1034" s="36" t="str">
        <f>IF(Table3[[#This Row],[Type Received]]=2,"CC",(IF(Table3[[#This Row],[Type Received]]=3,"BILL","ACH")))</f>
        <v>ACH</v>
      </c>
      <c r="F1034" s="35">
        <v>134.11000000000001</v>
      </c>
      <c r="G1034" s="14" t="str">
        <f>VLOOKUP(D1034,Table4[],3,FALSE)</f>
        <v>2</v>
      </c>
      <c r="H1034" s="15"/>
      <c r="I1034" s="15" t="s">
        <v>184</v>
      </c>
      <c r="J1034" s="15" t="s">
        <v>28</v>
      </c>
      <c r="K1034" s="15">
        <v>669472532</v>
      </c>
      <c r="L1034" s="15" t="s">
        <v>29</v>
      </c>
      <c r="M1034" s="15" t="s">
        <v>29</v>
      </c>
    </row>
    <row r="1035" spans="1:13" x14ac:dyDescent="0.25">
      <c r="A1035" s="23">
        <f t="shared" si="55"/>
        <v>259893</v>
      </c>
      <c r="B1035" s="14" t="str">
        <f t="shared" si="54"/>
        <v>Billing - Credits (from TPA)</v>
      </c>
      <c r="C1035" s="37">
        <v>46167</v>
      </c>
      <c r="D1035" s="31">
        <v>259893</v>
      </c>
      <c r="E1035" s="33" t="str">
        <f>IF(Table3[[#This Row],[Type Received]]=2,"CC",(IF(Table3[[#This Row],[Type Received]]=3,"BILL","ACH")))</f>
        <v>BILL</v>
      </c>
      <c r="F1035" s="32">
        <v>30.71</v>
      </c>
      <c r="G1035" s="14" t="str">
        <f>VLOOKUP(D1035,Table4[],3,FALSE)</f>
        <v>1</v>
      </c>
      <c r="H1035" s="15"/>
      <c r="I1035" s="15"/>
      <c r="J1035" s="15" t="s">
        <v>85</v>
      </c>
      <c r="K1035" s="15">
        <v>818330982</v>
      </c>
      <c r="L1035" s="15" t="s">
        <v>29</v>
      </c>
      <c r="M1035" s="15" t="s">
        <v>29</v>
      </c>
    </row>
    <row r="1036" spans="1:13" x14ac:dyDescent="0.25">
      <c r="A1036" s="23">
        <f t="shared" si="55"/>
        <v>259904</v>
      </c>
      <c r="B1036" s="14" t="str">
        <f t="shared" si="54"/>
        <v>Credit Cards (UMB) - Credits</v>
      </c>
      <c r="C1036" s="38">
        <v>46164</v>
      </c>
      <c r="D1036" s="34">
        <v>259904</v>
      </c>
      <c r="E1036" s="36" t="str">
        <f>IF(Table3[[#This Row],[Type Received]]=2,"CC",(IF(Table3[[#This Row],[Type Received]]=3,"BILL","ACH")))</f>
        <v>CC</v>
      </c>
      <c r="F1036" s="35">
        <v>39.75</v>
      </c>
      <c r="G1036" s="14" t="str">
        <f>VLOOKUP(D1036,Table4[],3,FALSE)</f>
        <v>2</v>
      </c>
      <c r="H1036" s="15">
        <v>7342</v>
      </c>
      <c r="I1036" s="15"/>
      <c r="J1036" s="15"/>
      <c r="K1036" s="15"/>
      <c r="L1036" s="15"/>
      <c r="M1036" s="15" t="s">
        <v>29</v>
      </c>
    </row>
    <row r="1037" spans="1:13" x14ac:dyDescent="0.25">
      <c r="A1037" s="23">
        <f t="shared" si="55"/>
        <v>259894</v>
      </c>
      <c r="B1037" s="14" t="str">
        <f t="shared" si="54"/>
        <v>Direct Debit (UMB Bank) - Credits</v>
      </c>
      <c r="C1037" s="37">
        <v>46155</v>
      </c>
      <c r="D1037" s="31">
        <v>259894</v>
      </c>
      <c r="E1037" s="33" t="str">
        <f>IF(Table3[[#This Row],[Type Received]]=2,"CC",(IF(Table3[[#This Row],[Type Received]]=3,"BILL","ACH")))</f>
        <v>ACH</v>
      </c>
      <c r="F1037" s="32">
        <v>108.7</v>
      </c>
      <c r="G1037" s="14" t="str">
        <f>VLOOKUP(D1037,Table4[],3,FALSE)</f>
        <v>2</v>
      </c>
      <c r="H1037" s="15"/>
      <c r="I1037" s="15">
        <v>252</v>
      </c>
      <c r="J1037" s="15" t="s">
        <v>28</v>
      </c>
      <c r="K1037" s="15">
        <v>669467701</v>
      </c>
      <c r="L1037" s="15" t="s">
        <v>29</v>
      </c>
      <c r="M1037" s="15" t="s">
        <v>29</v>
      </c>
    </row>
    <row r="1038" spans="1:13" x14ac:dyDescent="0.25">
      <c r="A1038" s="23">
        <f t="shared" si="55"/>
        <v>259900</v>
      </c>
      <c r="B1038" s="14" t="str">
        <f t="shared" si="54"/>
        <v>Direct Debit (UMB Bank) - Credits</v>
      </c>
      <c r="C1038" s="38">
        <v>46157</v>
      </c>
      <c r="D1038" s="34">
        <v>259900</v>
      </c>
      <c r="E1038" s="36" t="str">
        <f>IF(Table3[[#This Row],[Type Received]]=2,"CC",(IF(Table3[[#This Row],[Type Received]]=3,"BILL","ACH")))</f>
        <v>ACH</v>
      </c>
      <c r="F1038" s="35">
        <v>67.12</v>
      </c>
      <c r="G1038" s="14" t="str">
        <f>VLOOKUP(D1038,Table4[],3,FALSE)</f>
        <v>2</v>
      </c>
      <c r="H1038" s="15"/>
      <c r="I1038" s="15"/>
      <c r="J1038" s="15" t="s">
        <v>87</v>
      </c>
      <c r="K1038" s="15">
        <v>696694128</v>
      </c>
      <c r="L1038" s="15" t="s">
        <v>29</v>
      </c>
      <c r="M1038" s="15" t="s">
        <v>29</v>
      </c>
    </row>
    <row r="1039" spans="1:13" x14ac:dyDescent="0.25">
      <c r="A1039" s="23">
        <f t="shared" si="55"/>
        <v>259901</v>
      </c>
      <c r="B1039" s="14" t="str">
        <f t="shared" si="54"/>
        <v>Direct Debit (UMB Bank) - Credits</v>
      </c>
      <c r="C1039" s="37">
        <v>46164</v>
      </c>
      <c r="D1039" s="31">
        <v>259901</v>
      </c>
      <c r="E1039" s="33" t="str">
        <f>IF(Table3[[#This Row],[Type Received]]=2,"CC",(IF(Table3[[#This Row],[Type Received]]=3,"BILL","ACH")))</f>
        <v>ACH</v>
      </c>
      <c r="F1039" s="32">
        <v>100.45</v>
      </c>
      <c r="G1039" s="14" t="str">
        <f>VLOOKUP(D1039,Table4[],3,FALSE)</f>
        <v>1</v>
      </c>
      <c r="H1039" s="15"/>
      <c r="I1039" s="15"/>
      <c r="J1039" s="15" t="s">
        <v>118</v>
      </c>
      <c r="K1039" s="15">
        <v>784587709</v>
      </c>
      <c r="L1039" s="15" t="s">
        <v>29</v>
      </c>
      <c r="M1039" s="15" t="s">
        <v>29</v>
      </c>
    </row>
    <row r="1040" spans="1:13" x14ac:dyDescent="0.25">
      <c r="A1040" s="23">
        <f t="shared" si="55"/>
        <v>259901</v>
      </c>
      <c r="B1040" s="14" t="str">
        <f t="shared" si="54"/>
        <v>Credit Cards (UMB) - Credits</v>
      </c>
      <c r="C1040" s="38">
        <v>46157</v>
      </c>
      <c r="D1040" s="34">
        <v>259901</v>
      </c>
      <c r="E1040" s="36" t="str">
        <f>IF(Table3[[#This Row],[Type Received]]=2,"CC",(IF(Table3[[#This Row],[Type Received]]=3,"BILL","ACH")))</f>
        <v>CC</v>
      </c>
      <c r="F1040" s="35">
        <v>100.45</v>
      </c>
      <c r="G1040" s="14" t="str">
        <f>VLOOKUP(D1040,Table4[],3,FALSE)</f>
        <v>1</v>
      </c>
      <c r="H1040" s="15"/>
      <c r="I1040" s="15"/>
      <c r="J1040" s="15" t="s">
        <v>87</v>
      </c>
      <c r="K1040" s="15">
        <v>696678663</v>
      </c>
      <c r="L1040" s="15" t="s">
        <v>29</v>
      </c>
      <c r="M1040" s="15"/>
    </row>
    <row r="1041" spans="1:13" x14ac:dyDescent="0.25">
      <c r="A1041" s="23">
        <f t="shared" si="55"/>
        <v>259914</v>
      </c>
      <c r="B1041" s="14" t="str">
        <f t="shared" si="54"/>
        <v>Credit Cards (UMB) - Credits</v>
      </c>
      <c r="C1041" s="37">
        <v>46155</v>
      </c>
      <c r="D1041" s="31">
        <v>259914</v>
      </c>
      <c r="E1041" s="33" t="str">
        <f>IF(Table3[[#This Row],[Type Received]]=2,"CC",(IF(Table3[[#This Row],[Type Received]]=3,"BILL","ACH")))</f>
        <v>CC</v>
      </c>
      <c r="F1041" s="32">
        <v>96.16</v>
      </c>
      <c r="G1041" s="14" t="str">
        <f>VLOOKUP(D1041,Table4[],3,FALSE)</f>
        <v>2</v>
      </c>
      <c r="H1041" s="15"/>
      <c r="I1041" s="15">
        <v>173851</v>
      </c>
      <c r="J1041" s="15" t="s">
        <v>28</v>
      </c>
      <c r="K1041" s="15">
        <v>669479182</v>
      </c>
      <c r="L1041" s="15" t="s">
        <v>29</v>
      </c>
      <c r="M1041" s="15" t="s">
        <v>29</v>
      </c>
    </row>
    <row r="1042" spans="1:13" x14ac:dyDescent="0.25">
      <c r="A1042" s="23">
        <f t="shared" si="55"/>
        <v>259912</v>
      </c>
      <c r="B1042" s="14" t="str">
        <f t="shared" si="54"/>
        <v>Direct Debit (UMB Bank) - Credits</v>
      </c>
      <c r="C1042" s="38">
        <v>46155</v>
      </c>
      <c r="D1042" s="34">
        <v>259912</v>
      </c>
      <c r="E1042" s="36" t="str">
        <f>IF(Table3[[#This Row],[Type Received]]=2,"CC",(IF(Table3[[#This Row],[Type Received]]=3,"BILL","ACH")))</f>
        <v>ACH</v>
      </c>
      <c r="F1042" s="35">
        <v>136.75</v>
      </c>
      <c r="G1042" s="14" t="str">
        <f>VLOOKUP(D1042,Table4[],3,FALSE)</f>
        <v>2</v>
      </c>
      <c r="H1042" s="15"/>
      <c r="I1042" s="15">
        <v>63300</v>
      </c>
      <c r="J1042" s="24" t="s">
        <v>28</v>
      </c>
      <c r="K1042" s="15">
        <v>669475468</v>
      </c>
      <c r="L1042" s="15" t="s">
        <v>29</v>
      </c>
      <c r="M1042" s="15" t="s">
        <v>29</v>
      </c>
    </row>
    <row r="1043" spans="1:13" x14ac:dyDescent="0.25">
      <c r="A1043" s="23">
        <f t="shared" si="55"/>
        <v>259922</v>
      </c>
      <c r="B1043" s="14" t="str">
        <f t="shared" si="54"/>
        <v>Credit Cards (UMB) - Credits</v>
      </c>
      <c r="C1043" s="37">
        <v>46167</v>
      </c>
      <c r="D1043" s="31">
        <v>259922</v>
      </c>
      <c r="E1043" s="33" t="str">
        <f>IF(Table3[[#This Row],[Type Received]]=2,"CC",(IF(Table3[[#This Row],[Type Received]]=3,"BILL","ACH")))</f>
        <v>CC</v>
      </c>
      <c r="F1043" s="32">
        <v>31.15</v>
      </c>
      <c r="G1043" s="14" t="str">
        <f>VLOOKUP(D1043,Table4[],3,FALSE)</f>
        <v>2</v>
      </c>
      <c r="H1043" s="15"/>
      <c r="I1043" s="15"/>
      <c r="J1043" s="15" t="s">
        <v>85</v>
      </c>
      <c r="K1043" s="15">
        <v>818328027</v>
      </c>
      <c r="L1043" s="15" t="s">
        <v>29</v>
      </c>
      <c r="M1043" s="15" t="s">
        <v>29</v>
      </c>
    </row>
    <row r="1044" spans="1:13" x14ac:dyDescent="0.25">
      <c r="A1044" s="23">
        <f t="shared" si="55"/>
        <v>259910</v>
      </c>
      <c r="B1044" s="14" t="str">
        <f t="shared" si="54"/>
        <v>Credit Cards (UMB) - Credits</v>
      </c>
      <c r="C1044" s="38">
        <v>46155</v>
      </c>
      <c r="D1044" s="34">
        <v>259910</v>
      </c>
      <c r="E1044" s="36" t="str">
        <f>IF(Table3[[#This Row],[Type Received]]=2,"CC",(IF(Table3[[#This Row],[Type Received]]=3,"BILL","ACH")))</f>
        <v>CC</v>
      </c>
      <c r="F1044" s="35">
        <v>109.36</v>
      </c>
      <c r="G1044" s="14" t="str">
        <f>VLOOKUP(D1044,Table4[],3,FALSE)</f>
        <v>2</v>
      </c>
      <c r="H1044" s="15"/>
      <c r="I1044" s="15">
        <v>19974</v>
      </c>
      <c r="J1044" s="24" t="s">
        <v>28</v>
      </c>
      <c r="K1044" s="15">
        <v>669476453</v>
      </c>
      <c r="L1044" s="15" t="s">
        <v>29</v>
      </c>
      <c r="M1044" s="15" t="s">
        <v>29</v>
      </c>
    </row>
    <row r="1045" spans="1:13" x14ac:dyDescent="0.25">
      <c r="A1045" s="23">
        <f t="shared" si="55"/>
        <v>259911</v>
      </c>
      <c r="B1045" s="14" t="str">
        <f t="shared" si="54"/>
        <v>Direct Debit (UMB Bank) - Credits</v>
      </c>
      <c r="C1045" s="37">
        <v>46155</v>
      </c>
      <c r="D1045" s="31">
        <v>259911</v>
      </c>
      <c r="E1045" s="33" t="str">
        <f>IF(Table3[[#This Row],[Type Received]]=2,"CC",(IF(Table3[[#This Row],[Type Received]]=3,"BILL","ACH")))</f>
        <v>ACH</v>
      </c>
      <c r="F1045" s="32">
        <v>85.93</v>
      </c>
      <c r="G1045" s="14" t="str">
        <f>VLOOKUP(D1045,Table4[],3,FALSE)</f>
        <v>2</v>
      </c>
      <c r="H1045" s="15"/>
      <c r="I1045" s="15">
        <v>90304</v>
      </c>
      <c r="J1045" s="15" t="s">
        <v>28</v>
      </c>
      <c r="K1045" s="15">
        <v>669459932</v>
      </c>
      <c r="L1045" s="15" t="s">
        <v>29</v>
      </c>
      <c r="M1045" s="15" t="s">
        <v>29</v>
      </c>
    </row>
    <row r="1046" spans="1:13" x14ac:dyDescent="0.25">
      <c r="A1046" s="23">
        <f t="shared" si="55"/>
        <v>259926</v>
      </c>
      <c r="B1046" s="14" t="str">
        <f t="shared" si="54"/>
        <v>Direct Debit (UMB Bank) - Credits</v>
      </c>
      <c r="C1046" s="38">
        <v>46167</v>
      </c>
      <c r="D1046" s="34">
        <v>259926</v>
      </c>
      <c r="E1046" s="36" t="str">
        <f>IF(Table3[[#This Row],[Type Received]]=2,"CC",(IF(Table3[[#This Row],[Type Received]]=3,"BILL","ACH")))</f>
        <v>ACH</v>
      </c>
      <c r="F1046" s="35">
        <v>41.71</v>
      </c>
      <c r="G1046" s="14" t="str">
        <f>VLOOKUP(D1046,Table4[],3,FALSE)</f>
        <v>1</v>
      </c>
      <c r="H1046" s="15"/>
      <c r="I1046" s="15"/>
      <c r="J1046" s="15" t="s">
        <v>85</v>
      </c>
      <c r="K1046" s="15">
        <v>818333039</v>
      </c>
      <c r="L1046" s="15" t="s">
        <v>29</v>
      </c>
      <c r="M1046" s="15" t="s">
        <v>29</v>
      </c>
    </row>
    <row r="1047" spans="1:13" x14ac:dyDescent="0.25">
      <c r="A1047" s="23">
        <f t="shared" si="55"/>
        <v>259924</v>
      </c>
      <c r="B1047" s="14" t="str">
        <f t="shared" si="54"/>
        <v>Direct Debit (UMB Bank) - Credits</v>
      </c>
      <c r="C1047" s="37">
        <v>46167</v>
      </c>
      <c r="D1047" s="31">
        <v>259924</v>
      </c>
      <c r="E1047" s="33" t="str">
        <f>IF(Table3[[#This Row],[Type Received]]=2,"CC",(IF(Table3[[#This Row],[Type Received]]=3,"BILL","ACH")))</f>
        <v>ACH</v>
      </c>
      <c r="F1047" s="32">
        <v>55.57</v>
      </c>
      <c r="G1047" s="14" t="str">
        <f>VLOOKUP(D1047,Table4[],3,FALSE)</f>
        <v>1</v>
      </c>
      <c r="H1047" s="15"/>
      <c r="I1047" s="15"/>
      <c r="J1047" s="15" t="s">
        <v>85</v>
      </c>
      <c r="K1047" s="15">
        <v>818351334</v>
      </c>
      <c r="L1047" s="15" t="s">
        <v>29</v>
      </c>
      <c r="M1047" s="15" t="s">
        <v>29</v>
      </c>
    </row>
    <row r="1048" spans="1:13" x14ac:dyDescent="0.25">
      <c r="A1048" s="23">
        <f t="shared" si="55"/>
        <v>259930</v>
      </c>
      <c r="B1048" s="14" t="str">
        <f t="shared" si="54"/>
        <v>Direct Debit (UMB Bank) - Credits</v>
      </c>
      <c r="C1048" s="38">
        <v>46145</v>
      </c>
      <c r="D1048" s="34">
        <v>259930</v>
      </c>
      <c r="E1048" s="36" t="str">
        <f>IF(Table3[[#This Row],[Type Received]]=2,"CC",(IF(Table3[[#This Row],[Type Received]]=3,"BILL","ACH")))</f>
        <v>ACH</v>
      </c>
      <c r="F1048" s="35">
        <v>45.45</v>
      </c>
      <c r="G1048" s="14" t="str">
        <f>VLOOKUP(D1048,Table4[],3,FALSE)</f>
        <v>1</v>
      </c>
      <c r="H1048" s="15"/>
      <c r="I1048" s="15"/>
      <c r="J1048" s="15" t="s">
        <v>113</v>
      </c>
      <c r="K1048" s="15">
        <v>546427272</v>
      </c>
      <c r="L1048" s="15" t="s">
        <v>29</v>
      </c>
      <c r="M1048" s="15"/>
    </row>
    <row r="1049" spans="1:13" x14ac:dyDescent="0.25">
      <c r="A1049" s="23">
        <f t="shared" si="55"/>
        <v>259923</v>
      </c>
      <c r="B1049" s="14" t="str">
        <f t="shared" si="54"/>
        <v>Credit Cards (UMB) - Credits</v>
      </c>
      <c r="C1049" s="37">
        <v>46167</v>
      </c>
      <c r="D1049" s="31">
        <v>259923</v>
      </c>
      <c r="E1049" s="33" t="str">
        <f>IF(Table3[[#This Row],[Type Received]]=2,"CC",(IF(Table3[[#This Row],[Type Received]]=3,"BILL","ACH")))</f>
        <v>CC</v>
      </c>
      <c r="F1049" s="32">
        <v>85.6</v>
      </c>
      <c r="G1049" s="14" t="str">
        <f>VLOOKUP(D1049,Table4[],3,FALSE)</f>
        <v>2</v>
      </c>
      <c r="H1049" s="15"/>
      <c r="I1049" s="15"/>
      <c r="J1049" s="15" t="s">
        <v>85</v>
      </c>
      <c r="K1049" s="15">
        <v>818335983</v>
      </c>
      <c r="L1049" s="15" t="s">
        <v>29</v>
      </c>
      <c r="M1049" s="15" t="s">
        <v>29</v>
      </c>
    </row>
    <row r="1050" spans="1:13" x14ac:dyDescent="0.25">
      <c r="A1050" s="23">
        <f t="shared" si="55"/>
        <v>259913</v>
      </c>
      <c r="B1050" s="14" t="str">
        <f t="shared" si="54"/>
        <v>Direct Debit (UMB Bank) - Credits</v>
      </c>
      <c r="C1050" s="38">
        <v>46155</v>
      </c>
      <c r="D1050" s="34">
        <v>259913</v>
      </c>
      <c r="E1050" s="36" t="str">
        <f>IF(Table3[[#This Row],[Type Received]]=2,"CC",(IF(Table3[[#This Row],[Type Received]]=3,"BILL","ACH")))</f>
        <v>ACH</v>
      </c>
      <c r="F1050" s="35">
        <v>161.83000000000001</v>
      </c>
      <c r="G1050" s="14" t="str">
        <f>VLOOKUP(D1050,Table4[],3,FALSE)</f>
        <v>2</v>
      </c>
      <c r="H1050" s="15"/>
      <c r="I1050" s="15">
        <v>150923</v>
      </c>
      <c r="J1050" s="15" t="s">
        <v>28</v>
      </c>
      <c r="K1050" s="15">
        <v>669471596</v>
      </c>
      <c r="L1050" s="15" t="s">
        <v>29</v>
      </c>
      <c r="M1050" s="15" t="s">
        <v>29</v>
      </c>
    </row>
    <row r="1051" spans="1:13" x14ac:dyDescent="0.25">
      <c r="A1051" s="23">
        <f t="shared" si="55"/>
        <v>259925</v>
      </c>
      <c r="B1051" s="14" t="str">
        <f t="shared" si="54"/>
        <v>Credit Cards (UMB) - Credits</v>
      </c>
      <c r="C1051" s="37">
        <v>46167</v>
      </c>
      <c r="D1051" s="31">
        <v>259925</v>
      </c>
      <c r="E1051" s="33" t="str">
        <f>IF(Table3[[#This Row],[Type Received]]=2,"CC",(IF(Table3[[#This Row],[Type Received]]=3,"BILL","ACH")))</f>
        <v>CC</v>
      </c>
      <c r="F1051" s="32">
        <v>42.81</v>
      </c>
      <c r="G1051" s="14" t="str">
        <f>VLOOKUP(D1051,Table4[],3,FALSE)</f>
        <v>1</v>
      </c>
      <c r="H1051" s="15"/>
      <c r="I1051" s="15"/>
      <c r="J1051" s="15" t="s">
        <v>85</v>
      </c>
      <c r="K1051" s="15">
        <v>818334964</v>
      </c>
      <c r="L1051" s="15" t="s">
        <v>29</v>
      </c>
      <c r="M1051" s="15" t="s">
        <v>29</v>
      </c>
    </row>
    <row r="1052" spans="1:13" x14ac:dyDescent="0.25">
      <c r="A1052" s="23">
        <f t="shared" si="55"/>
        <v>259917</v>
      </c>
      <c r="B1052" s="14" t="str">
        <f t="shared" si="54"/>
        <v>Direct Debit (UMB Bank) - Credits</v>
      </c>
      <c r="C1052" s="38">
        <v>46143</v>
      </c>
      <c r="D1052" s="34">
        <v>259917</v>
      </c>
      <c r="E1052" s="36" t="str">
        <f>IF(Table3[[#This Row],[Type Received]]=2,"CC",(IF(Table3[[#This Row],[Type Received]]=3,"BILL","ACH")))</f>
        <v>ACH</v>
      </c>
      <c r="F1052" s="35">
        <v>33.57</v>
      </c>
      <c r="G1052" s="14" t="str">
        <f>VLOOKUP(D1052,Table4[],3,FALSE)</f>
        <v>1</v>
      </c>
      <c r="H1052" s="15"/>
      <c r="I1052" s="15">
        <v>96107</v>
      </c>
      <c r="J1052" s="15" t="s">
        <v>28</v>
      </c>
      <c r="K1052" s="15">
        <v>522280364</v>
      </c>
      <c r="L1052" s="15" t="s">
        <v>29</v>
      </c>
      <c r="M1052" s="15" t="s">
        <v>29</v>
      </c>
    </row>
    <row r="1053" spans="1:13" x14ac:dyDescent="0.25">
      <c r="A1053" s="23">
        <f t="shared" si="55"/>
        <v>259918</v>
      </c>
      <c r="B1053" s="14" t="str">
        <f t="shared" si="54"/>
        <v>Direct Debit (UMB Bank) - Credits</v>
      </c>
      <c r="C1053" s="37">
        <v>46157</v>
      </c>
      <c r="D1053" s="31">
        <v>259918</v>
      </c>
      <c r="E1053" s="33" t="str">
        <f>IF(Table3[[#This Row],[Type Received]]=2,"CC",(IF(Table3[[#This Row],[Type Received]]=3,"BILL","ACH")))</f>
        <v>ACH</v>
      </c>
      <c r="F1053" s="32">
        <v>111.67</v>
      </c>
      <c r="G1053" s="14" t="str">
        <f>VLOOKUP(D1053,Table4[],3,FALSE)</f>
        <v>2</v>
      </c>
      <c r="H1053" s="15"/>
      <c r="I1053" s="15"/>
      <c r="J1053" s="15" t="s">
        <v>87</v>
      </c>
      <c r="K1053" s="15">
        <v>696685476</v>
      </c>
      <c r="L1053" s="15" t="s">
        <v>29</v>
      </c>
      <c r="M1053" s="15" t="s">
        <v>29</v>
      </c>
    </row>
    <row r="1054" spans="1:13" x14ac:dyDescent="0.25">
      <c r="A1054" s="23">
        <f t="shared" si="55"/>
        <v>259927</v>
      </c>
      <c r="B1054" s="14" t="str">
        <f t="shared" si="54"/>
        <v>Direct Debit (UMB Bank) - Credits</v>
      </c>
      <c r="C1054" s="38">
        <v>46143</v>
      </c>
      <c r="D1054" s="34">
        <v>259927</v>
      </c>
      <c r="E1054" s="36" t="str">
        <f>IF(Table3[[#This Row],[Type Received]]=2,"CC",(IF(Table3[[#This Row],[Type Received]]=3,"BILL","ACH")))</f>
        <v>ACH</v>
      </c>
      <c r="F1054" s="35">
        <v>66.13</v>
      </c>
      <c r="G1054" s="14" t="str">
        <f>VLOOKUP(D1054,Table4[],3,FALSE)</f>
        <v>2</v>
      </c>
      <c r="H1054" s="15"/>
      <c r="I1054" s="15"/>
      <c r="J1054" s="15" t="s">
        <v>84</v>
      </c>
      <c r="K1054" s="15">
        <v>522270800</v>
      </c>
      <c r="L1054" s="15" t="s">
        <v>29</v>
      </c>
      <c r="M1054" s="15" t="s">
        <v>29</v>
      </c>
    </row>
    <row r="1055" spans="1:13" x14ac:dyDescent="0.25">
      <c r="A1055" s="23">
        <f t="shared" si="55"/>
        <v>259932</v>
      </c>
      <c r="B1055" s="14" t="str">
        <f t="shared" si="54"/>
        <v>Direct Debit (UMB Bank) - Credits</v>
      </c>
      <c r="C1055" s="37">
        <v>46146</v>
      </c>
      <c r="D1055" s="31">
        <v>259932</v>
      </c>
      <c r="E1055" s="33" t="str">
        <f>IF(Table3[[#This Row],[Type Received]]=2,"CC",(IF(Table3[[#This Row],[Type Received]]=3,"BILL","ACH")))</f>
        <v>ACH</v>
      </c>
      <c r="F1055" s="32">
        <v>34.450000000000003</v>
      </c>
      <c r="G1055" s="14" t="str">
        <f>VLOOKUP(D1055,Table4[],3,FALSE)</f>
        <v>1</v>
      </c>
      <c r="H1055" s="15"/>
      <c r="I1055" s="15"/>
      <c r="J1055" s="15" t="s">
        <v>92</v>
      </c>
      <c r="K1055" s="15">
        <v>557092450</v>
      </c>
      <c r="L1055" s="15" t="s">
        <v>29</v>
      </c>
      <c r="M1055" s="15" t="s">
        <v>29</v>
      </c>
    </row>
    <row r="1056" spans="1:13" x14ac:dyDescent="0.25">
      <c r="A1056" s="23">
        <f t="shared" si="55"/>
        <v>259933</v>
      </c>
      <c r="B1056" s="14" t="str">
        <f t="shared" si="54"/>
        <v>Direct Debit (UMB Bank) - Credits</v>
      </c>
      <c r="C1056" s="38">
        <v>46145</v>
      </c>
      <c r="D1056" s="34">
        <v>259933</v>
      </c>
      <c r="E1056" s="36" t="str">
        <f>IF(Table3[[#This Row],[Type Received]]=2,"CC",(IF(Table3[[#This Row],[Type Received]]=3,"BILL","ACH")))</f>
        <v>ACH</v>
      </c>
      <c r="F1056" s="35">
        <v>39.07</v>
      </c>
      <c r="G1056" s="14" t="str">
        <f>VLOOKUP(D1056,Table4[],3,FALSE)</f>
        <v>1</v>
      </c>
      <c r="H1056" s="15"/>
      <c r="I1056" s="15"/>
      <c r="J1056" s="15" t="s">
        <v>113</v>
      </c>
      <c r="K1056" s="15">
        <v>546406037</v>
      </c>
      <c r="L1056" s="15" t="s">
        <v>29</v>
      </c>
      <c r="M1056" s="15" t="s">
        <v>29</v>
      </c>
    </row>
    <row r="1057" spans="1:13" x14ac:dyDescent="0.25">
      <c r="A1057" s="23">
        <f t="shared" si="55"/>
        <v>259934</v>
      </c>
      <c r="B1057" s="14" t="str">
        <f t="shared" si="54"/>
        <v>Billing - Credits (from TPA)</v>
      </c>
      <c r="C1057" s="37">
        <v>46146</v>
      </c>
      <c r="D1057" s="31">
        <v>259934</v>
      </c>
      <c r="E1057" s="33" t="str">
        <f>IF(Table3[[#This Row],[Type Received]]=2,"CC",(IF(Table3[[#This Row],[Type Received]]=3,"BILL","ACH")))</f>
        <v>BILL</v>
      </c>
      <c r="F1057" s="32">
        <v>50.51</v>
      </c>
      <c r="G1057" s="14" t="str">
        <f>VLOOKUP(D1057,Table4[],3,FALSE)</f>
        <v>1</v>
      </c>
      <c r="H1057" s="15"/>
      <c r="I1057" s="15"/>
      <c r="J1057" s="15" t="s">
        <v>92</v>
      </c>
      <c r="K1057" s="15">
        <v>557083635</v>
      </c>
      <c r="L1057" s="15" t="s">
        <v>29</v>
      </c>
      <c r="M1057" s="15" t="s">
        <v>29</v>
      </c>
    </row>
    <row r="1058" spans="1:13" x14ac:dyDescent="0.25">
      <c r="A1058" s="23">
        <f t="shared" si="55"/>
        <v>259940</v>
      </c>
      <c r="B1058" s="14" t="str">
        <f t="shared" si="54"/>
        <v>Direct Debit (UMB Bank) - Credits</v>
      </c>
      <c r="C1058" s="38">
        <v>46147</v>
      </c>
      <c r="D1058" s="34">
        <v>259940</v>
      </c>
      <c r="E1058" s="36" t="str">
        <f>IF(Table3[[#This Row],[Type Received]]=2,"CC",(IF(Table3[[#This Row],[Type Received]]=3,"BILL","ACH")))</f>
        <v>ACH</v>
      </c>
      <c r="F1058" s="35">
        <v>118.95</v>
      </c>
      <c r="G1058" s="14" t="str">
        <f>VLOOKUP(D1058,Table4[],3,FALSE)</f>
        <v>2</v>
      </c>
      <c r="H1058" s="15">
        <v>9332</v>
      </c>
      <c r="I1058" s="15"/>
      <c r="J1058" s="15"/>
      <c r="K1058" s="15"/>
      <c r="L1058" s="15"/>
      <c r="M1058" s="15"/>
    </row>
    <row r="1059" spans="1:13" x14ac:dyDescent="0.25">
      <c r="A1059" s="23">
        <f t="shared" si="55"/>
        <v>259947</v>
      </c>
      <c r="B1059" s="14" t="str">
        <f t="shared" si="54"/>
        <v>Credit Cards (UMB) - Credits</v>
      </c>
      <c r="C1059" s="37">
        <v>46145</v>
      </c>
      <c r="D1059" s="31">
        <v>259947</v>
      </c>
      <c r="E1059" s="33" t="str">
        <f>IF(Table3[[#This Row],[Type Received]]=2,"CC",(IF(Table3[[#This Row],[Type Received]]=3,"BILL","ACH")))</f>
        <v>CC</v>
      </c>
      <c r="F1059" s="32">
        <v>80.650000000000006</v>
      </c>
      <c r="G1059" s="14" t="str">
        <f>VLOOKUP(D1059,Table4[],3,FALSE)</f>
        <v>1</v>
      </c>
      <c r="H1059" s="15"/>
      <c r="I1059" s="15"/>
      <c r="J1059" s="15" t="s">
        <v>113</v>
      </c>
      <c r="K1059" s="15">
        <v>546412950</v>
      </c>
      <c r="L1059" s="15" t="s">
        <v>29</v>
      </c>
      <c r="M1059" s="15" t="s">
        <v>29</v>
      </c>
    </row>
    <row r="1060" spans="1:13" x14ac:dyDescent="0.25">
      <c r="A1060" s="23">
        <f t="shared" si="55"/>
        <v>259951</v>
      </c>
      <c r="B1060" s="14" t="str">
        <f t="shared" si="54"/>
        <v>Credit Cards (UMB) - Credits</v>
      </c>
      <c r="C1060" s="38">
        <v>46155</v>
      </c>
      <c r="D1060" s="34">
        <v>259951</v>
      </c>
      <c r="E1060" s="36" t="str">
        <f>IF(Table3[[#This Row],[Type Received]]=2,"CC",(IF(Table3[[#This Row],[Type Received]]=3,"BILL","ACH")))</f>
        <v>CC</v>
      </c>
      <c r="F1060" s="35">
        <v>55.79</v>
      </c>
      <c r="G1060" s="14" t="str">
        <f>VLOOKUP(D1060,Table4[],3,FALSE)</f>
        <v>1</v>
      </c>
      <c r="H1060" s="15"/>
      <c r="I1060" s="15">
        <v>306</v>
      </c>
      <c r="J1060" s="15" t="s">
        <v>28</v>
      </c>
      <c r="K1060" s="15">
        <v>669456097</v>
      </c>
      <c r="L1060" s="15" t="s">
        <v>29</v>
      </c>
      <c r="M1060" s="15" t="s">
        <v>29</v>
      </c>
    </row>
    <row r="1061" spans="1:13" x14ac:dyDescent="0.25">
      <c r="A1061" s="23">
        <f t="shared" ref="A1061:A1086" si="56">D1061</f>
        <v>259950</v>
      </c>
      <c r="B1061" s="14" t="str">
        <f t="shared" si="54"/>
        <v>Direct Debit (UMB Bank) - Credits</v>
      </c>
      <c r="C1061" s="37">
        <v>46155</v>
      </c>
      <c r="D1061" s="31">
        <v>259950</v>
      </c>
      <c r="E1061" s="33" t="str">
        <f>IF(Table3[[#This Row],[Type Received]]=2,"CC",(IF(Table3[[#This Row],[Type Received]]=3,"BILL","ACH")))</f>
        <v>ACH</v>
      </c>
      <c r="F1061" s="32">
        <v>88.79</v>
      </c>
      <c r="G1061" s="14" t="str">
        <f>VLOOKUP(D1061,Table4[],3,FALSE)</f>
        <v>1</v>
      </c>
      <c r="H1061" s="15"/>
      <c r="I1061" s="15">
        <v>987405</v>
      </c>
      <c r="J1061" s="15" t="s">
        <v>28</v>
      </c>
      <c r="K1061" s="15">
        <v>669467787</v>
      </c>
      <c r="L1061" s="15" t="s">
        <v>29</v>
      </c>
      <c r="M1061" s="15" t="s">
        <v>29</v>
      </c>
    </row>
    <row r="1062" spans="1:13" x14ac:dyDescent="0.25">
      <c r="A1062" s="23">
        <f t="shared" si="56"/>
        <v>259955</v>
      </c>
      <c r="B1062" s="14" t="str">
        <f t="shared" si="54"/>
        <v>Credit Cards (UMB) - Credits</v>
      </c>
      <c r="C1062" s="38">
        <v>46145</v>
      </c>
      <c r="D1062" s="34">
        <v>259955</v>
      </c>
      <c r="E1062" s="36" t="str">
        <f>IF(Table3[[#This Row],[Type Received]]=2,"CC",(IF(Table3[[#This Row],[Type Received]]=3,"BILL","ACH")))</f>
        <v>CC</v>
      </c>
      <c r="F1062" s="35">
        <v>82.19</v>
      </c>
      <c r="G1062" s="14" t="str">
        <f>VLOOKUP(D1062,Table4[],3,FALSE)</f>
        <v>1</v>
      </c>
      <c r="H1062" s="15"/>
      <c r="I1062" s="15"/>
      <c r="J1062" s="24" t="s">
        <v>113</v>
      </c>
      <c r="K1062" s="15">
        <v>546434112</v>
      </c>
      <c r="L1062" s="15" t="s">
        <v>29</v>
      </c>
      <c r="M1062" s="15" t="s">
        <v>29</v>
      </c>
    </row>
    <row r="1063" spans="1:13" x14ac:dyDescent="0.25">
      <c r="A1063" s="23">
        <f t="shared" si="56"/>
        <v>259956</v>
      </c>
      <c r="B1063" s="14" t="str">
        <f t="shared" si="54"/>
        <v>Credit Cards (UMB) - Credits</v>
      </c>
      <c r="C1063" s="37">
        <v>46145</v>
      </c>
      <c r="D1063" s="31">
        <v>259956</v>
      </c>
      <c r="E1063" s="33" t="str">
        <f>IF(Table3[[#This Row],[Type Received]]=2,"CC",(IF(Table3[[#This Row],[Type Received]]=3,"BILL","ACH")))</f>
        <v>CC</v>
      </c>
      <c r="F1063" s="32">
        <v>101.11</v>
      </c>
      <c r="G1063" s="14" t="str">
        <f>VLOOKUP(D1063,Table4[],3,FALSE)</f>
        <v>2</v>
      </c>
      <c r="H1063" s="15"/>
      <c r="I1063" s="15">
        <v>153256</v>
      </c>
      <c r="J1063" s="15" t="s">
        <v>28</v>
      </c>
      <c r="K1063" s="15">
        <v>546412853</v>
      </c>
      <c r="L1063" s="15" t="s">
        <v>29</v>
      </c>
      <c r="M1063" s="15" t="s">
        <v>29</v>
      </c>
    </row>
    <row r="1064" spans="1:13" x14ac:dyDescent="0.25">
      <c r="A1064" s="23">
        <f t="shared" si="56"/>
        <v>259964</v>
      </c>
      <c r="B1064" s="14" t="str">
        <f t="shared" si="54"/>
        <v>Direct Debit (UMB Bank) - Credits</v>
      </c>
      <c r="C1064" s="38">
        <v>46155</v>
      </c>
      <c r="D1064" s="34">
        <v>259964</v>
      </c>
      <c r="E1064" s="36" t="str">
        <f>IF(Table3[[#This Row],[Type Received]]=2,"CC",(IF(Table3[[#This Row],[Type Received]]=3,"BILL","ACH")))</f>
        <v>ACH</v>
      </c>
      <c r="F1064" s="35">
        <v>101.55</v>
      </c>
      <c r="G1064" s="14" t="str">
        <f>VLOOKUP(D1064,Table4[],3,FALSE)</f>
        <v>1</v>
      </c>
      <c r="H1064" s="15"/>
      <c r="I1064" s="15">
        <v>259358</v>
      </c>
      <c r="J1064" s="24" t="s">
        <v>28</v>
      </c>
      <c r="K1064" s="15">
        <v>669466849</v>
      </c>
      <c r="L1064" s="15" t="s">
        <v>29</v>
      </c>
      <c r="M1064" s="15" t="s">
        <v>29</v>
      </c>
    </row>
    <row r="1065" spans="1:13" x14ac:dyDescent="0.25">
      <c r="A1065" s="23">
        <f t="shared" si="56"/>
        <v>259975</v>
      </c>
      <c r="B1065" s="14" t="str">
        <f t="shared" si="54"/>
        <v>Credit Cards (UMB) - Credits</v>
      </c>
      <c r="C1065" s="37">
        <v>46144</v>
      </c>
      <c r="D1065" s="31">
        <v>259975</v>
      </c>
      <c r="E1065" s="33" t="str">
        <f>IF(Table3[[#This Row],[Type Received]]=2,"CC",(IF(Table3[[#This Row],[Type Received]]=3,"BILL","ACH")))</f>
        <v>CC</v>
      </c>
      <c r="F1065" s="32">
        <v>117.28</v>
      </c>
      <c r="G1065" s="14" t="str">
        <f>VLOOKUP(D1065,Table4[],3,FALSE)</f>
        <v>2</v>
      </c>
      <c r="H1065" s="15"/>
      <c r="I1065" s="15"/>
      <c r="J1065" s="15" t="s">
        <v>89</v>
      </c>
      <c r="K1065" s="15">
        <v>535365604</v>
      </c>
      <c r="L1065" s="15" t="s">
        <v>29</v>
      </c>
      <c r="M1065" s="15" t="s">
        <v>29</v>
      </c>
    </row>
    <row r="1066" spans="1:13" x14ac:dyDescent="0.25">
      <c r="A1066" s="23">
        <f t="shared" si="56"/>
        <v>259970</v>
      </c>
      <c r="B1066" s="14" t="str">
        <f t="shared" si="54"/>
        <v>Credit Cards (UMB) - Credits</v>
      </c>
      <c r="C1066" s="38">
        <v>46144</v>
      </c>
      <c r="D1066" s="34">
        <v>259970</v>
      </c>
      <c r="E1066" s="36" t="str">
        <f>IF(Table3[[#This Row],[Type Received]]=2,"CC",(IF(Table3[[#This Row],[Type Received]]=3,"BILL","ACH")))</f>
        <v>CC</v>
      </c>
      <c r="F1066" s="35">
        <v>70.31</v>
      </c>
      <c r="G1066" s="14" t="str">
        <f>VLOOKUP(D1066,Table4[],3,FALSE)</f>
        <v>1</v>
      </c>
      <c r="H1066" s="15"/>
      <c r="I1066" s="15">
        <v>30121</v>
      </c>
      <c r="J1066" s="15" t="s">
        <v>28</v>
      </c>
      <c r="K1066" s="15">
        <v>535366611</v>
      </c>
      <c r="L1066" s="15" t="s">
        <v>29</v>
      </c>
      <c r="M1066" s="15" t="s">
        <v>29</v>
      </c>
    </row>
    <row r="1067" spans="1:13" x14ac:dyDescent="0.25">
      <c r="A1067" s="23">
        <f t="shared" si="56"/>
        <v>259962</v>
      </c>
      <c r="B1067" s="14" t="str">
        <f t="shared" si="54"/>
        <v>Direct Debit (UMB Bank) - Credits</v>
      </c>
      <c r="C1067" s="37">
        <v>46155</v>
      </c>
      <c r="D1067" s="31">
        <v>259962</v>
      </c>
      <c r="E1067" s="33" t="str">
        <f>IF(Table3[[#This Row],[Type Received]]=2,"CC",(IF(Table3[[#This Row],[Type Received]]=3,"BILL","ACH")))</f>
        <v>ACH</v>
      </c>
      <c r="F1067" s="32">
        <v>80.650000000000006</v>
      </c>
      <c r="G1067" s="14" t="str">
        <f>VLOOKUP(D1067,Table4[],3,FALSE)</f>
        <v>1</v>
      </c>
      <c r="H1067" s="15"/>
      <c r="I1067" s="15">
        <v>97287</v>
      </c>
      <c r="J1067" s="15" t="s">
        <v>28</v>
      </c>
      <c r="K1067" s="15">
        <v>669468816</v>
      </c>
      <c r="L1067" s="15" t="s">
        <v>29</v>
      </c>
      <c r="M1067" s="15" t="s">
        <v>29</v>
      </c>
    </row>
    <row r="1068" spans="1:13" x14ac:dyDescent="0.25">
      <c r="A1068" s="23">
        <f t="shared" si="56"/>
        <v>259974</v>
      </c>
      <c r="B1068" s="14" t="str">
        <f t="shared" si="54"/>
        <v>Credit Cards (UMB) - Credits</v>
      </c>
      <c r="C1068" s="38">
        <v>46164</v>
      </c>
      <c r="D1068" s="34">
        <v>259974</v>
      </c>
      <c r="E1068" s="36" t="str">
        <f>IF(Table3[[#This Row],[Type Received]]=2,"CC",(IF(Table3[[#This Row],[Type Received]]=3,"BILL","ACH")))</f>
        <v>CC</v>
      </c>
      <c r="F1068" s="35">
        <v>68.77</v>
      </c>
      <c r="G1068" s="14" t="str">
        <f>VLOOKUP(D1068,Table4[],3,FALSE)</f>
        <v>2</v>
      </c>
      <c r="H1068" s="15"/>
      <c r="I1068" s="15"/>
      <c r="J1068" s="15" t="s">
        <v>118</v>
      </c>
      <c r="K1068" s="15">
        <v>785603404</v>
      </c>
      <c r="L1068" s="15" t="s">
        <v>29</v>
      </c>
      <c r="M1068" s="15" t="s">
        <v>29</v>
      </c>
    </row>
    <row r="1069" spans="1:13" x14ac:dyDescent="0.25">
      <c r="A1069" s="23">
        <f t="shared" si="56"/>
        <v>259966</v>
      </c>
      <c r="B1069" s="14" t="str">
        <f t="shared" si="54"/>
        <v>Credit Cards (UMB) - Credits</v>
      </c>
      <c r="C1069" s="37">
        <v>46155</v>
      </c>
      <c r="D1069" s="31">
        <v>259966</v>
      </c>
      <c r="E1069" s="33" t="str">
        <f>IF(Table3[[#This Row],[Type Received]]=2,"CC",(IF(Table3[[#This Row],[Type Received]]=3,"BILL","ACH")))</f>
        <v>CC</v>
      </c>
      <c r="F1069" s="32">
        <v>36.869999999999997</v>
      </c>
      <c r="G1069" s="14" t="str">
        <f>VLOOKUP(D1069,Table4[],3,FALSE)</f>
        <v>1</v>
      </c>
      <c r="H1069" s="15"/>
      <c r="I1069" s="15">
        <v>90307</v>
      </c>
      <c r="J1069" s="15" t="s">
        <v>28</v>
      </c>
      <c r="K1069" s="15">
        <v>669477388</v>
      </c>
      <c r="L1069" s="15" t="s">
        <v>29</v>
      </c>
      <c r="M1069" s="15" t="s">
        <v>29</v>
      </c>
    </row>
    <row r="1070" spans="1:13" x14ac:dyDescent="0.25">
      <c r="A1070" s="23">
        <f t="shared" si="56"/>
        <v>259961</v>
      </c>
      <c r="B1070" s="14" t="str">
        <f t="shared" si="54"/>
        <v>Credit Cards (UMB) - Credits</v>
      </c>
      <c r="C1070" s="38">
        <v>46155</v>
      </c>
      <c r="D1070" s="34">
        <v>259961</v>
      </c>
      <c r="E1070" s="36" t="str">
        <f>IF(Table3[[#This Row],[Type Received]]=2,"CC",(IF(Table3[[#This Row],[Type Received]]=3,"BILL","ACH")))</f>
        <v>CC</v>
      </c>
      <c r="F1070" s="35">
        <v>46.99</v>
      </c>
      <c r="G1070" s="14" t="str">
        <f>VLOOKUP(D1070,Table4[],3,FALSE)</f>
        <v>1</v>
      </c>
      <c r="H1070" s="15"/>
      <c r="I1070" s="15">
        <v>329737</v>
      </c>
      <c r="J1070" s="24" t="s">
        <v>28</v>
      </c>
      <c r="K1070" s="15">
        <v>669485105</v>
      </c>
      <c r="L1070" s="15" t="s">
        <v>29</v>
      </c>
      <c r="M1070" s="15" t="s">
        <v>29</v>
      </c>
    </row>
    <row r="1071" spans="1:13" x14ac:dyDescent="0.25">
      <c r="A1071" s="23">
        <f t="shared" si="56"/>
        <v>259967</v>
      </c>
      <c r="B1071" s="14" t="str">
        <f t="shared" si="54"/>
        <v>Credit Cards (UMB) - Credits</v>
      </c>
      <c r="C1071" s="37">
        <v>46155</v>
      </c>
      <c r="D1071" s="31">
        <v>259967</v>
      </c>
      <c r="E1071" s="33" t="str">
        <f>IF(Table3[[#This Row],[Type Received]]=2,"CC",(IF(Table3[[#This Row],[Type Received]]=3,"BILL","ACH")))</f>
        <v>CC</v>
      </c>
      <c r="F1071" s="32">
        <v>76.69</v>
      </c>
      <c r="G1071" s="14" t="str">
        <f>VLOOKUP(D1071,Table4[],3,FALSE)</f>
        <v>2</v>
      </c>
      <c r="H1071" s="15"/>
      <c r="I1071" s="15">
        <v>13395</v>
      </c>
      <c r="J1071" s="15" t="s">
        <v>28</v>
      </c>
      <c r="K1071" s="15">
        <v>669458035</v>
      </c>
      <c r="L1071" s="15" t="s">
        <v>29</v>
      </c>
      <c r="M1071" s="15" t="s">
        <v>29</v>
      </c>
    </row>
    <row r="1072" spans="1:13" x14ac:dyDescent="0.25">
      <c r="A1072" s="23">
        <f t="shared" si="56"/>
        <v>259960</v>
      </c>
      <c r="B1072" s="14" t="str">
        <f t="shared" si="54"/>
        <v>Credit Cards (UMB) - Credits</v>
      </c>
      <c r="C1072" s="38">
        <v>46155</v>
      </c>
      <c r="D1072" s="34">
        <v>259960</v>
      </c>
      <c r="E1072" s="36" t="str">
        <f>IF(Table3[[#This Row],[Type Received]]=2,"CC",(IF(Table3[[#This Row],[Type Received]]=3,"BILL","ACH")))</f>
        <v>CC</v>
      </c>
      <c r="F1072" s="35">
        <v>41.93</v>
      </c>
      <c r="G1072" s="14" t="str">
        <f>VLOOKUP(D1072,Table4[],3,FALSE)</f>
        <v>1</v>
      </c>
      <c r="H1072" s="15"/>
      <c r="I1072" s="15">
        <v>13490</v>
      </c>
      <c r="J1072" s="15" t="s">
        <v>28</v>
      </c>
      <c r="K1072" s="15">
        <v>669473621</v>
      </c>
      <c r="L1072" s="15" t="s">
        <v>29</v>
      </c>
      <c r="M1072" s="15" t="s">
        <v>29</v>
      </c>
    </row>
    <row r="1073" spans="1:13" x14ac:dyDescent="0.25">
      <c r="A1073" s="23">
        <f t="shared" si="56"/>
        <v>259963</v>
      </c>
      <c r="B1073" s="14" t="str">
        <f t="shared" si="54"/>
        <v>Billing - Credits (from TPA)</v>
      </c>
      <c r="C1073" s="37">
        <v>46155</v>
      </c>
      <c r="D1073" s="31">
        <v>259963</v>
      </c>
      <c r="E1073" s="33" t="str">
        <f>IF(Table3[[#This Row],[Type Received]]=2,"CC",(IF(Table3[[#This Row],[Type Received]]=3,"BILL","ACH")))</f>
        <v>BILL</v>
      </c>
      <c r="F1073" s="32">
        <v>46.11</v>
      </c>
      <c r="G1073" s="14" t="str">
        <f>VLOOKUP(D1073,Table4[],3,FALSE)</f>
        <v>1</v>
      </c>
      <c r="H1073" s="15"/>
      <c r="I1073" s="15">
        <v>88237</v>
      </c>
      <c r="J1073" s="15" t="s">
        <v>28</v>
      </c>
      <c r="K1073" s="15">
        <v>669478355</v>
      </c>
      <c r="L1073" s="15" t="s">
        <v>29</v>
      </c>
      <c r="M1073" s="15" t="s">
        <v>29</v>
      </c>
    </row>
    <row r="1074" spans="1:13" x14ac:dyDescent="0.25">
      <c r="A1074" s="23">
        <f t="shared" si="56"/>
        <v>259982</v>
      </c>
      <c r="B1074" s="14" t="str">
        <f t="shared" si="54"/>
        <v>Direct Debit (UMB Bank) - Credits</v>
      </c>
      <c r="C1074" s="38">
        <v>46149</v>
      </c>
      <c r="D1074" s="34">
        <v>259982</v>
      </c>
      <c r="E1074" s="36" t="str">
        <f>IF(Table3[[#This Row],[Type Received]]=2,"CC",(IF(Table3[[#This Row],[Type Received]]=3,"BILL","ACH")))</f>
        <v>ACH</v>
      </c>
      <c r="F1074" s="35">
        <v>188.5</v>
      </c>
      <c r="G1074" s="14" t="str">
        <f>VLOOKUP(D1074,Table4[],3,FALSE)</f>
        <v>1</v>
      </c>
      <c r="H1074" s="15">
        <v>308</v>
      </c>
      <c r="I1074" s="15"/>
      <c r="J1074" s="15"/>
      <c r="K1074" s="15"/>
      <c r="L1074" s="15"/>
      <c r="M1074" s="15" t="s">
        <v>29</v>
      </c>
    </row>
    <row r="1075" spans="1:13" x14ac:dyDescent="0.25">
      <c r="A1075" s="23">
        <f t="shared" si="56"/>
        <v>259969</v>
      </c>
      <c r="B1075" s="14" t="str">
        <f t="shared" si="54"/>
        <v>Direct Debit (UMB Bank) - Credits</v>
      </c>
      <c r="C1075" s="37">
        <v>46144</v>
      </c>
      <c r="D1075" s="31">
        <v>259969</v>
      </c>
      <c r="E1075" s="33" t="str">
        <f>IF(Table3[[#This Row],[Type Received]]=2,"CC",(IF(Table3[[#This Row],[Type Received]]=3,"BILL","ACH")))</f>
        <v>ACH</v>
      </c>
      <c r="F1075" s="32">
        <v>80.209999999999994</v>
      </c>
      <c r="G1075" s="14" t="str">
        <f>VLOOKUP(D1075,Table4[],3,FALSE)</f>
        <v>1</v>
      </c>
      <c r="H1075" s="15"/>
      <c r="I1075" s="15"/>
      <c r="J1075" s="15" t="s">
        <v>89</v>
      </c>
      <c r="K1075" s="15">
        <v>535354033</v>
      </c>
      <c r="L1075" s="15" t="s">
        <v>29</v>
      </c>
      <c r="M1075" s="15"/>
    </row>
    <row r="1076" spans="1:13" x14ac:dyDescent="0.25">
      <c r="A1076" s="23">
        <f t="shared" si="56"/>
        <v>259971</v>
      </c>
      <c r="B1076" s="14" t="str">
        <f t="shared" si="54"/>
        <v>Direct Debit (UMB Bank) - Credits</v>
      </c>
      <c r="C1076" s="38">
        <v>46145</v>
      </c>
      <c r="D1076" s="34">
        <v>259971</v>
      </c>
      <c r="E1076" s="36" t="str">
        <f>IF(Table3[[#This Row],[Type Received]]=2,"CC",(IF(Table3[[#This Row],[Type Received]]=3,"BILL","ACH")))</f>
        <v>ACH</v>
      </c>
      <c r="F1076" s="35">
        <v>52.93</v>
      </c>
      <c r="G1076" s="14" t="str">
        <f>VLOOKUP(D1076,Table4[],3,FALSE)</f>
        <v>1</v>
      </c>
      <c r="H1076" s="15"/>
      <c r="I1076" s="15"/>
      <c r="J1076" s="15" t="s">
        <v>113</v>
      </c>
      <c r="K1076" s="15">
        <v>546410920</v>
      </c>
      <c r="L1076" s="15" t="s">
        <v>29</v>
      </c>
      <c r="M1076" s="15" t="s">
        <v>29</v>
      </c>
    </row>
    <row r="1077" spans="1:13" x14ac:dyDescent="0.25">
      <c r="A1077" s="23">
        <f t="shared" si="56"/>
        <v>259985</v>
      </c>
      <c r="B1077" s="14" t="str">
        <f t="shared" si="54"/>
        <v>Credit Cards (UMB) - Credits</v>
      </c>
      <c r="C1077" s="37">
        <v>46144</v>
      </c>
      <c r="D1077" s="31">
        <v>259985</v>
      </c>
      <c r="E1077" s="33" t="str">
        <f>IF(Table3[[#This Row],[Type Received]]=2,"CC",(IF(Table3[[#This Row],[Type Received]]=3,"BILL","ACH")))</f>
        <v>CC</v>
      </c>
      <c r="F1077" s="32">
        <v>126.85</v>
      </c>
      <c r="G1077" s="14" t="str">
        <f>VLOOKUP(D1077,Table4[],3,FALSE)</f>
        <v>2</v>
      </c>
      <c r="H1077" s="15"/>
      <c r="I1077" s="15"/>
      <c r="J1077" s="15" t="s">
        <v>89</v>
      </c>
      <c r="K1077" s="15">
        <v>535371362</v>
      </c>
      <c r="L1077" s="15" t="s">
        <v>29</v>
      </c>
      <c r="M1077" s="15" t="s">
        <v>29</v>
      </c>
    </row>
    <row r="1078" spans="1:13" x14ac:dyDescent="0.25">
      <c r="A1078" s="23">
        <f t="shared" si="56"/>
        <v>259988</v>
      </c>
      <c r="B1078" s="14" t="str">
        <f t="shared" si="54"/>
        <v>Billing - Credits (from TPA)</v>
      </c>
      <c r="C1078" s="38">
        <v>46144</v>
      </c>
      <c r="D1078" s="34">
        <v>259988</v>
      </c>
      <c r="E1078" s="36" t="str">
        <f>IF(Table3[[#This Row],[Type Received]]=2,"CC",(IF(Table3[[#This Row],[Type Received]]=3,"BILL","ACH")))</f>
        <v>BILL</v>
      </c>
      <c r="F1078" s="35">
        <v>56.89</v>
      </c>
      <c r="G1078" s="14" t="str">
        <f>VLOOKUP(D1078,Table4[],3,FALSE)</f>
        <v>2</v>
      </c>
      <c r="H1078" s="15"/>
      <c r="I1078" s="15">
        <v>90511</v>
      </c>
      <c r="J1078" s="15" t="s">
        <v>28</v>
      </c>
      <c r="K1078" s="15">
        <v>535381117</v>
      </c>
      <c r="L1078" s="15" t="s">
        <v>29</v>
      </c>
      <c r="M1078" s="15"/>
    </row>
    <row r="1079" spans="1:13" x14ac:dyDescent="0.25">
      <c r="A1079" s="23">
        <f t="shared" si="56"/>
        <v>260003</v>
      </c>
      <c r="B1079" s="14" t="str">
        <f t="shared" si="54"/>
        <v>Credit Cards (UMB) - Credits</v>
      </c>
      <c r="C1079" s="37">
        <v>46150</v>
      </c>
      <c r="D1079" s="31">
        <v>260003</v>
      </c>
      <c r="E1079" s="33" t="str">
        <f>IF(Table3[[#This Row],[Type Received]]=2,"CC",(IF(Table3[[#This Row],[Type Received]]=3,"BILL","ACH")))</f>
        <v>CC</v>
      </c>
      <c r="F1079" s="32">
        <v>43.05</v>
      </c>
      <c r="G1079" s="14" t="str">
        <f>VLOOKUP(D1079,Table4[],3,FALSE)</f>
        <v>2</v>
      </c>
      <c r="H1079" s="15">
        <v>55238986749</v>
      </c>
      <c r="I1079" s="15"/>
      <c r="J1079" s="15"/>
      <c r="K1079" s="15"/>
      <c r="L1079" s="15"/>
      <c r="M1079" s="15"/>
    </row>
    <row r="1080" spans="1:13" x14ac:dyDescent="0.25">
      <c r="A1080" s="23">
        <f t="shared" si="56"/>
        <v>259993</v>
      </c>
      <c r="B1080" s="14" t="str">
        <f t="shared" si="54"/>
        <v>Direct Debit (UMB Bank) - Credits</v>
      </c>
      <c r="C1080" s="38">
        <v>46155</v>
      </c>
      <c r="D1080" s="34">
        <v>259993</v>
      </c>
      <c r="E1080" s="36" t="str">
        <f>IF(Table3[[#This Row],[Type Received]]=2,"CC",(IF(Table3[[#This Row],[Type Received]]=3,"BILL","ACH")))</f>
        <v>ACH</v>
      </c>
      <c r="F1080" s="35">
        <v>148.96</v>
      </c>
      <c r="G1080" s="14" t="str">
        <f>VLOOKUP(D1080,Table4[],3,FALSE)</f>
        <v>2</v>
      </c>
      <c r="H1080" s="15"/>
      <c r="I1080" s="15">
        <v>150437</v>
      </c>
      <c r="J1080" s="15" t="s">
        <v>28</v>
      </c>
      <c r="K1080" s="15">
        <v>669481250</v>
      </c>
      <c r="L1080" s="15" t="s">
        <v>29</v>
      </c>
      <c r="M1080" s="15"/>
    </row>
    <row r="1081" spans="1:13" x14ac:dyDescent="0.25">
      <c r="A1081" s="23">
        <f t="shared" si="56"/>
        <v>259999</v>
      </c>
      <c r="B1081" s="14" t="str">
        <f t="shared" si="54"/>
        <v>Credit Cards (UMB) - Credits</v>
      </c>
      <c r="C1081" s="37">
        <v>46167</v>
      </c>
      <c r="D1081" s="31">
        <v>259999</v>
      </c>
      <c r="E1081" s="33" t="str">
        <f>IF(Table3[[#This Row],[Type Received]]=2,"CC",(IF(Table3[[#This Row],[Type Received]]=3,"BILL","ACH")))</f>
        <v>CC</v>
      </c>
      <c r="F1081" s="32">
        <v>51.61</v>
      </c>
      <c r="G1081" s="14" t="str">
        <f>VLOOKUP(D1081,Table4[],3,FALSE)</f>
        <v>1</v>
      </c>
      <c r="H1081" s="15"/>
      <c r="I1081" s="15"/>
      <c r="J1081" s="15" t="s">
        <v>85</v>
      </c>
      <c r="K1081" s="15">
        <v>818329023</v>
      </c>
      <c r="L1081" s="15" t="s">
        <v>29</v>
      </c>
      <c r="M1081" s="15" t="s">
        <v>29</v>
      </c>
    </row>
    <row r="1082" spans="1:13" x14ac:dyDescent="0.25">
      <c r="A1082" s="23">
        <f t="shared" si="56"/>
        <v>260001</v>
      </c>
      <c r="B1082" s="14" t="str">
        <f t="shared" si="54"/>
        <v>Direct Debit (UMB Bank) - Credits</v>
      </c>
      <c r="C1082" s="38">
        <v>46153</v>
      </c>
      <c r="D1082" s="34">
        <v>260001</v>
      </c>
      <c r="E1082" s="36" t="str">
        <f>IF(Table3[[#This Row],[Type Received]]=2,"CC",(IF(Table3[[#This Row],[Type Received]]=3,"BILL","ACH")))</f>
        <v>ACH</v>
      </c>
      <c r="F1082" s="35">
        <v>145.82</v>
      </c>
      <c r="G1082" s="14" t="str">
        <f>VLOOKUP(D1082,Table4[],3,FALSE)</f>
        <v>2</v>
      </c>
      <c r="H1082" s="15"/>
      <c r="I1082" s="15">
        <v>10300</v>
      </c>
      <c r="J1082" s="15">
        <v>744352488</v>
      </c>
      <c r="K1082" s="15">
        <v>354186409</v>
      </c>
      <c r="L1082" s="15"/>
      <c r="M1082" s="15" t="s">
        <v>29</v>
      </c>
    </row>
    <row r="1083" spans="1:13" x14ac:dyDescent="0.25">
      <c r="A1083" s="23">
        <f t="shared" si="56"/>
        <v>259998</v>
      </c>
      <c r="B1083" s="14" t="str">
        <f t="shared" si="54"/>
        <v>Credit Cards (UMB) - Credits</v>
      </c>
      <c r="C1083" s="37">
        <v>46167</v>
      </c>
      <c r="D1083" s="31">
        <v>259998</v>
      </c>
      <c r="E1083" s="33" t="str">
        <f>IF(Table3[[#This Row],[Type Received]]=2,"CC",(IF(Table3[[#This Row],[Type Received]]=3,"BILL","ACH")))</f>
        <v>CC</v>
      </c>
      <c r="F1083" s="32">
        <v>85.05</v>
      </c>
      <c r="G1083" s="14" t="str">
        <f>VLOOKUP(D1083,Table4[],3,FALSE)</f>
        <v>1</v>
      </c>
      <c r="H1083" s="15"/>
      <c r="I1083" s="15"/>
      <c r="J1083" s="15" t="s">
        <v>85</v>
      </c>
      <c r="K1083" s="15">
        <v>818348473</v>
      </c>
      <c r="L1083" s="15" t="s">
        <v>29</v>
      </c>
      <c r="M1083" s="15"/>
    </row>
    <row r="1084" spans="1:13" x14ac:dyDescent="0.25">
      <c r="A1084" s="23">
        <f t="shared" si="56"/>
        <v>260009</v>
      </c>
      <c r="B1084" s="14" t="str">
        <f t="shared" si="54"/>
        <v>Direct Debit (UMB Bank) - Credits</v>
      </c>
      <c r="C1084" s="38">
        <v>46155</v>
      </c>
      <c r="D1084" s="34">
        <v>260009</v>
      </c>
      <c r="E1084" s="36" t="str">
        <f>IF(Table3[[#This Row],[Type Received]]=2,"CC",(IF(Table3[[#This Row],[Type Received]]=3,"BILL","ACH")))</f>
        <v>ACH</v>
      </c>
      <c r="F1084" s="35">
        <v>45.01</v>
      </c>
      <c r="G1084" s="14" t="str">
        <f>VLOOKUP(D1084,Table4[],3,FALSE)</f>
        <v>2</v>
      </c>
      <c r="H1084" s="15"/>
      <c r="I1084" s="15" t="s">
        <v>185</v>
      </c>
      <c r="J1084" s="15" t="s">
        <v>28</v>
      </c>
      <c r="K1084" s="15">
        <v>669487121</v>
      </c>
      <c r="L1084" s="15" t="s">
        <v>29</v>
      </c>
      <c r="M1084" s="15"/>
    </row>
    <row r="1085" spans="1:13" x14ac:dyDescent="0.25">
      <c r="A1085" s="23">
        <f t="shared" si="56"/>
        <v>260021</v>
      </c>
      <c r="B1085" s="14" t="str">
        <f t="shared" si="54"/>
        <v>Direct Debit (UMB Bank) - Credits</v>
      </c>
      <c r="C1085" s="37">
        <v>46144</v>
      </c>
      <c r="D1085" s="31">
        <v>260021</v>
      </c>
      <c r="E1085" s="33" t="str">
        <f>IF(Table3[[#This Row],[Type Received]]=2,"CC",(IF(Table3[[#This Row],[Type Received]]=3,"BILL","ACH")))</f>
        <v>ACH</v>
      </c>
      <c r="F1085" s="32">
        <v>39.950000000000003</v>
      </c>
      <c r="G1085" s="14" t="str">
        <f>VLOOKUP(D1085,Table4[],3,FALSE)</f>
        <v>1</v>
      </c>
      <c r="H1085" s="15"/>
      <c r="I1085" s="15"/>
      <c r="J1085" s="15" t="s">
        <v>89</v>
      </c>
      <c r="K1085" s="15">
        <v>535372367</v>
      </c>
      <c r="L1085" s="15" t="s">
        <v>29</v>
      </c>
      <c r="M1085" s="15" t="s">
        <v>29</v>
      </c>
    </row>
    <row r="1086" spans="1:13" x14ac:dyDescent="0.25">
      <c r="A1086" s="23">
        <f t="shared" si="56"/>
        <v>260022</v>
      </c>
      <c r="B1086" s="14" t="str">
        <f t="shared" si="54"/>
        <v>Credit Cards (UMB) - Credits</v>
      </c>
      <c r="C1086" s="38">
        <v>46144</v>
      </c>
      <c r="D1086" s="34">
        <v>260022</v>
      </c>
      <c r="E1086" s="36" t="str">
        <f>IF(Table3[[#This Row],[Type Received]]=2,"CC",(IF(Table3[[#This Row],[Type Received]]=3,"BILL","ACH")))</f>
        <v>CC</v>
      </c>
      <c r="F1086" s="35">
        <v>108.37</v>
      </c>
      <c r="G1086" s="14" t="str">
        <f>VLOOKUP(D1086,Table4[],3,FALSE)</f>
        <v>2</v>
      </c>
      <c r="H1086" s="15"/>
      <c r="I1086" s="15"/>
      <c r="J1086" s="15" t="s">
        <v>89</v>
      </c>
      <c r="K1086" s="15">
        <v>535365652</v>
      </c>
      <c r="L1086" s="15" t="s">
        <v>29</v>
      </c>
      <c r="M1086" s="15" t="s">
        <v>29</v>
      </c>
    </row>
    <row r="1087" spans="1:13" x14ac:dyDescent="0.25">
      <c r="A1087" s="23"/>
      <c r="B1087" s="14" t="str">
        <f t="shared" si="54"/>
        <v>Billing - Credits (from TPA)</v>
      </c>
      <c r="C1087" s="37">
        <v>46143</v>
      </c>
      <c r="D1087" s="31">
        <v>260018</v>
      </c>
      <c r="E1087" s="33" t="str">
        <f>IF(Table3[[#This Row],[Type Received]]=2,"CC",(IF(Table3[[#This Row],[Type Received]]=3,"BILL","ACH")))</f>
        <v>BILL</v>
      </c>
      <c r="F1087" s="32">
        <v>88.4</v>
      </c>
      <c r="G1087" s="14" t="str">
        <f>VLOOKUP(D1087,Table4[],3,FALSE)</f>
        <v>2</v>
      </c>
      <c r="H1087" s="15"/>
      <c r="I1087" s="15">
        <v>4001</v>
      </c>
      <c r="J1087" s="15">
        <v>741374152</v>
      </c>
      <c r="K1087" s="15">
        <v>353210573</v>
      </c>
      <c r="L1087" s="15"/>
      <c r="M1087" s="15" t="s">
        <v>29</v>
      </c>
    </row>
    <row r="1088" spans="1:13" x14ac:dyDescent="0.25">
      <c r="A1088" s="23"/>
      <c r="B1088" s="14" t="str">
        <f t="shared" si="54"/>
        <v>Direct Debit (UMB Bank) - Credits</v>
      </c>
      <c r="C1088" s="38">
        <v>46169</v>
      </c>
      <c r="D1088" s="34">
        <v>260027</v>
      </c>
      <c r="E1088" s="36" t="str">
        <f>IF(Table3[[#This Row],[Type Received]]=2,"CC",(IF(Table3[[#This Row],[Type Received]]=3,"BILL","ACH")))</f>
        <v>ACH</v>
      </c>
      <c r="F1088" s="35">
        <v>92.83</v>
      </c>
      <c r="G1088" s="14" t="str">
        <f>VLOOKUP(D1088,Table4[],3,FALSE)</f>
        <v>1</v>
      </c>
      <c r="H1088" s="15">
        <v>1818</v>
      </c>
      <c r="I1088" s="15"/>
      <c r="J1088" s="24"/>
      <c r="K1088" s="15"/>
      <c r="L1088" s="15"/>
      <c r="M1088" s="15"/>
    </row>
    <row r="1089" spans="1:13" x14ac:dyDescent="0.25">
      <c r="A1089" s="23">
        <f t="shared" ref="A1089:A1120" si="57">D1089</f>
        <v>260038</v>
      </c>
      <c r="B1089" s="14" t="str">
        <f t="shared" si="54"/>
        <v>Credit Cards (UMB) - Credits</v>
      </c>
      <c r="C1089" s="37">
        <v>46157</v>
      </c>
      <c r="D1089" s="31">
        <v>260038</v>
      </c>
      <c r="E1089" s="33" t="str">
        <f>IF(Table3[[#This Row],[Type Received]]=2,"CC",(IF(Table3[[#This Row],[Type Received]]=3,"BILL","ACH")))</f>
        <v>CC</v>
      </c>
      <c r="F1089" s="32">
        <v>103.97</v>
      </c>
      <c r="G1089" s="14" t="str">
        <f>VLOOKUP(D1089,Table4[],3,FALSE)</f>
        <v>1</v>
      </c>
      <c r="H1089" s="15"/>
      <c r="I1089" s="15"/>
      <c r="J1089" s="15" t="s">
        <v>87</v>
      </c>
      <c r="K1089" s="15">
        <v>696669902</v>
      </c>
      <c r="L1089" s="15" t="s">
        <v>29</v>
      </c>
      <c r="M1089" s="15" t="s">
        <v>29</v>
      </c>
    </row>
    <row r="1090" spans="1:13" x14ac:dyDescent="0.25">
      <c r="A1090" s="23">
        <f t="shared" si="57"/>
        <v>260032</v>
      </c>
      <c r="B1090" s="14" t="str">
        <f t="shared" ref="B1090:B1153" si="58">IF(AND(E1090="BILL",F1090&lt;0),"Billing &amp; Direct Debit - Refunds",(IF(AND(E1090="BILL",F1090&gt;0),"Billing - Credits (from TPA)",(IF(AND(E1090="CC",F1090&lt;0),"Credit Cards (UMB) - Refunds",(IF(AND(E1090="CC",F1090&gt;0),"Credit Cards (UMB) - Credits",(IF(AND(E1090="ACH",F1090&gt;0),"Direct Debit (UMB Bank) - Credits","Direct Debit (UMB Bank) - Returned Items")))))))))</f>
        <v>Direct Debit (UMB Bank) - Credits</v>
      </c>
      <c r="C1090" s="38">
        <v>46171</v>
      </c>
      <c r="D1090" s="34">
        <v>260032</v>
      </c>
      <c r="E1090" s="36" t="str">
        <f>IF(Table3[[#This Row],[Type Received]]=2,"CC",(IF(Table3[[#This Row],[Type Received]]=3,"BILL","ACH")))</f>
        <v>ACH</v>
      </c>
      <c r="F1090" s="35">
        <v>126.43</v>
      </c>
      <c r="G1090" s="14" t="str">
        <f>VLOOKUP(D1090,Table4[],3,FALSE)</f>
        <v>1</v>
      </c>
      <c r="H1090" s="15"/>
      <c r="I1090" s="15">
        <v>192219</v>
      </c>
      <c r="J1090" s="15" t="s">
        <v>28</v>
      </c>
      <c r="K1090" s="15">
        <v>872401901</v>
      </c>
      <c r="L1090" s="15" t="s">
        <v>29</v>
      </c>
      <c r="M1090" s="15" t="s">
        <v>29</v>
      </c>
    </row>
    <row r="1091" spans="1:13" x14ac:dyDescent="0.25">
      <c r="A1091" s="23">
        <f t="shared" si="57"/>
        <v>260041</v>
      </c>
      <c r="B1091" s="14" t="str">
        <f t="shared" si="58"/>
        <v>Direct Debit (UMB Bank) - Credits</v>
      </c>
      <c r="C1091" s="37">
        <v>46167</v>
      </c>
      <c r="D1091" s="31">
        <v>260041</v>
      </c>
      <c r="E1091" s="33" t="str">
        <f>IF(Table3[[#This Row],[Type Received]]=2,"CC",(IF(Table3[[#This Row],[Type Received]]=3,"BILL","ACH")))</f>
        <v>ACH</v>
      </c>
      <c r="F1091" s="32">
        <v>43.69</v>
      </c>
      <c r="G1091" s="14" t="str">
        <f>VLOOKUP(D1091,Table4[],3,FALSE)</f>
        <v>2</v>
      </c>
      <c r="H1091" s="15"/>
      <c r="I1091" s="15"/>
      <c r="J1091" s="15" t="s">
        <v>85</v>
      </c>
      <c r="K1091" s="15">
        <v>818353221</v>
      </c>
      <c r="L1091" s="15" t="s">
        <v>29</v>
      </c>
      <c r="M1091" s="15" t="s">
        <v>29</v>
      </c>
    </row>
    <row r="1092" spans="1:13" x14ac:dyDescent="0.25">
      <c r="A1092" s="23">
        <f t="shared" si="57"/>
        <v>260039</v>
      </c>
      <c r="B1092" s="14" t="str">
        <f t="shared" si="58"/>
        <v>Credit Cards (UMB) - Credits</v>
      </c>
      <c r="C1092" s="38">
        <v>46157</v>
      </c>
      <c r="D1092" s="34">
        <v>260039</v>
      </c>
      <c r="E1092" s="36" t="str">
        <f>IF(Table3[[#This Row],[Type Received]]=2,"CC",(IF(Table3[[#This Row],[Type Received]]=3,"BILL","ACH")))</f>
        <v>CC</v>
      </c>
      <c r="F1092" s="35">
        <v>70.75</v>
      </c>
      <c r="G1092" s="14" t="str">
        <f>VLOOKUP(D1092,Table4[],3,FALSE)</f>
        <v>1</v>
      </c>
      <c r="H1092" s="15"/>
      <c r="I1092" s="15"/>
      <c r="J1092" s="15" t="s">
        <v>87</v>
      </c>
      <c r="K1092" s="15">
        <v>696690298</v>
      </c>
      <c r="L1092" s="15" t="s">
        <v>29</v>
      </c>
      <c r="M1092" s="15" t="s">
        <v>29</v>
      </c>
    </row>
    <row r="1093" spans="1:13" x14ac:dyDescent="0.25">
      <c r="A1093" s="23">
        <f t="shared" si="57"/>
        <v>260034</v>
      </c>
      <c r="B1093" s="14" t="str">
        <f t="shared" si="58"/>
        <v>Credit Cards (UMB) - Credits</v>
      </c>
      <c r="C1093" s="37">
        <v>46144</v>
      </c>
      <c r="D1093" s="31">
        <v>260034</v>
      </c>
      <c r="E1093" s="33" t="str">
        <f>IF(Table3[[#This Row],[Type Received]]=2,"CC",(IF(Table3[[#This Row],[Type Received]]=3,"BILL","ACH")))</f>
        <v>CC</v>
      </c>
      <c r="F1093" s="32">
        <v>65.8</v>
      </c>
      <c r="G1093" s="14" t="str">
        <f>VLOOKUP(D1093,Table4[],3,FALSE)</f>
        <v>2</v>
      </c>
      <c r="H1093" s="15"/>
      <c r="I1093" s="15" t="s">
        <v>186</v>
      </c>
      <c r="J1093" s="15" t="s">
        <v>28</v>
      </c>
      <c r="K1093" s="15">
        <v>535358010</v>
      </c>
      <c r="L1093" s="15" t="s">
        <v>29</v>
      </c>
      <c r="M1093" s="15" t="s">
        <v>29</v>
      </c>
    </row>
    <row r="1094" spans="1:13" x14ac:dyDescent="0.25">
      <c r="A1094" s="23">
        <f t="shared" si="57"/>
        <v>260044</v>
      </c>
      <c r="B1094" s="14" t="str">
        <f t="shared" si="58"/>
        <v>Credit Cards (UMB) - Credits</v>
      </c>
      <c r="C1094" s="38">
        <v>46155</v>
      </c>
      <c r="D1094" s="34">
        <v>260044</v>
      </c>
      <c r="E1094" s="36" t="str">
        <f>IF(Table3[[#This Row],[Type Received]]=2,"CC",(IF(Table3[[#This Row],[Type Received]]=3,"BILL","ACH")))</f>
        <v>CC</v>
      </c>
      <c r="F1094" s="35">
        <v>112.66</v>
      </c>
      <c r="G1094" s="14" t="str">
        <f>VLOOKUP(D1094,Table4[],3,FALSE)</f>
        <v>2</v>
      </c>
      <c r="H1094" s="15"/>
      <c r="I1094" s="15">
        <v>832120</v>
      </c>
      <c r="J1094" s="15" t="s">
        <v>28</v>
      </c>
      <c r="K1094" s="15">
        <v>669478425</v>
      </c>
      <c r="L1094" s="15" t="s">
        <v>29</v>
      </c>
      <c r="M1094" s="15" t="s">
        <v>29</v>
      </c>
    </row>
    <row r="1095" spans="1:13" x14ac:dyDescent="0.25">
      <c r="A1095" s="23">
        <f t="shared" si="57"/>
        <v>260055</v>
      </c>
      <c r="B1095" s="14" t="str">
        <f t="shared" si="58"/>
        <v>Direct Debit (UMB Bank) - Credits</v>
      </c>
      <c r="C1095" s="37">
        <v>46169</v>
      </c>
      <c r="D1095" s="31">
        <v>260055</v>
      </c>
      <c r="E1095" s="33" t="str">
        <f>IF(Table3[[#This Row],[Type Received]]=2,"CC",(IF(Table3[[#This Row],[Type Received]]=3,"BILL","ACH")))</f>
        <v>ACH</v>
      </c>
      <c r="F1095" s="32">
        <v>41.73</v>
      </c>
      <c r="G1095" s="14" t="str">
        <f>VLOOKUP(D1095,Table4[],3,FALSE)</f>
        <v>2</v>
      </c>
      <c r="H1095" s="15"/>
      <c r="I1095" s="15">
        <v>462923</v>
      </c>
      <c r="J1095" s="15" t="s">
        <v>28</v>
      </c>
      <c r="K1095" s="15">
        <v>840502011</v>
      </c>
      <c r="L1095" s="15" t="s">
        <v>29</v>
      </c>
      <c r="M1095" s="15" t="s">
        <v>29</v>
      </c>
    </row>
    <row r="1096" spans="1:13" x14ac:dyDescent="0.25">
      <c r="A1096" s="23">
        <f t="shared" si="57"/>
        <v>260052</v>
      </c>
      <c r="B1096" s="14" t="str">
        <f t="shared" si="58"/>
        <v>Credit Cards (UMB) - Credits</v>
      </c>
      <c r="C1096" s="38">
        <v>46157</v>
      </c>
      <c r="D1096" s="34">
        <v>260052</v>
      </c>
      <c r="E1096" s="36" t="str">
        <f>IF(Table3[[#This Row],[Type Received]]=2,"CC",(IF(Table3[[#This Row],[Type Received]]=3,"BILL","ACH")))</f>
        <v>CC</v>
      </c>
      <c r="F1096" s="35">
        <v>43.36</v>
      </c>
      <c r="G1096" s="14" t="str">
        <f>VLOOKUP(D1096,Table4[],3,FALSE)</f>
        <v>2</v>
      </c>
      <c r="H1096" s="15"/>
      <c r="I1096" s="15"/>
      <c r="J1096" s="15" t="s">
        <v>87</v>
      </c>
      <c r="K1096" s="15">
        <v>696671891</v>
      </c>
      <c r="L1096" s="15" t="s">
        <v>29</v>
      </c>
      <c r="M1096" s="15" t="s">
        <v>29</v>
      </c>
    </row>
    <row r="1097" spans="1:13" x14ac:dyDescent="0.25">
      <c r="A1097" s="23">
        <f t="shared" si="57"/>
        <v>260042</v>
      </c>
      <c r="B1097" s="14" t="str">
        <f t="shared" si="58"/>
        <v>Credit Cards (UMB) - Credits</v>
      </c>
      <c r="C1097" s="37">
        <v>46159</v>
      </c>
      <c r="D1097" s="31">
        <v>260042</v>
      </c>
      <c r="E1097" s="33" t="str">
        <f>IF(Table3[[#This Row],[Type Received]]=2,"CC",(IF(Table3[[#This Row],[Type Received]]=3,"BILL","ACH")))</f>
        <v>CC</v>
      </c>
      <c r="F1097" s="32">
        <v>108.7</v>
      </c>
      <c r="G1097" s="14" t="str">
        <f>VLOOKUP(D1097,Table4[],3,FALSE)</f>
        <v>2</v>
      </c>
      <c r="H1097" s="15"/>
      <c r="I1097" s="15" t="s">
        <v>187</v>
      </c>
      <c r="J1097" s="15" t="s">
        <v>28</v>
      </c>
      <c r="K1097" s="15">
        <v>721684421</v>
      </c>
      <c r="L1097" s="15" t="s">
        <v>29</v>
      </c>
      <c r="M1097" s="15" t="s">
        <v>29</v>
      </c>
    </row>
    <row r="1098" spans="1:13" x14ac:dyDescent="0.25">
      <c r="A1098" s="23">
        <f t="shared" si="57"/>
        <v>260042</v>
      </c>
      <c r="B1098" s="14" t="str">
        <f t="shared" si="58"/>
        <v>Direct Debit (UMB Bank) - Credits</v>
      </c>
      <c r="C1098" s="38">
        <v>46147</v>
      </c>
      <c r="D1098" s="34">
        <v>260042</v>
      </c>
      <c r="E1098" s="36" t="str">
        <f>IF(Table3[[#This Row],[Type Received]]=2,"CC",(IF(Table3[[#This Row],[Type Received]]=3,"BILL","ACH")))</f>
        <v>ACH</v>
      </c>
      <c r="F1098" s="35">
        <v>108.7</v>
      </c>
      <c r="G1098" s="14" t="str">
        <f>VLOOKUP(D1098,Table4[],3,FALSE)</f>
        <v>2</v>
      </c>
      <c r="H1098" s="15"/>
      <c r="I1098" s="15" t="s">
        <v>188</v>
      </c>
      <c r="J1098" s="15" t="s">
        <v>28</v>
      </c>
      <c r="K1098" s="15">
        <v>569488333</v>
      </c>
      <c r="L1098" s="15" t="s">
        <v>29</v>
      </c>
      <c r="M1098" s="15" t="s">
        <v>29</v>
      </c>
    </row>
    <row r="1099" spans="1:13" x14ac:dyDescent="0.25">
      <c r="A1099" s="23">
        <f t="shared" si="57"/>
        <v>260054</v>
      </c>
      <c r="B1099" s="14" t="str">
        <f t="shared" si="58"/>
        <v>Direct Debit (UMB Bank) - Credits</v>
      </c>
      <c r="C1099" s="37">
        <v>46144</v>
      </c>
      <c r="D1099" s="31">
        <v>260054</v>
      </c>
      <c r="E1099" s="33" t="str">
        <f>IF(Table3[[#This Row],[Type Received]]=2,"CC",(IF(Table3[[#This Row],[Type Received]]=3,"BILL","ACH")))</f>
        <v>ACH</v>
      </c>
      <c r="F1099" s="32">
        <v>42.7</v>
      </c>
      <c r="G1099" s="14" t="str">
        <f>VLOOKUP(D1099,Table4[],3,FALSE)</f>
        <v>2</v>
      </c>
      <c r="H1099" s="15"/>
      <c r="I1099" s="15"/>
      <c r="J1099" s="15" t="s">
        <v>89</v>
      </c>
      <c r="K1099" s="15">
        <v>535359988</v>
      </c>
      <c r="L1099" s="15" t="s">
        <v>29</v>
      </c>
      <c r="M1099" s="15" t="s">
        <v>29</v>
      </c>
    </row>
    <row r="1100" spans="1:13" x14ac:dyDescent="0.25">
      <c r="A1100" s="23">
        <f t="shared" si="57"/>
        <v>260053</v>
      </c>
      <c r="B1100" s="14" t="str">
        <f t="shared" si="58"/>
        <v>Credit Cards (UMB) - Credits</v>
      </c>
      <c r="C1100" s="38">
        <v>46144</v>
      </c>
      <c r="D1100" s="34">
        <v>260053</v>
      </c>
      <c r="E1100" s="36" t="str">
        <f>IF(Table3[[#This Row],[Type Received]]=2,"CC",(IF(Table3[[#This Row],[Type Received]]=3,"BILL","ACH")))</f>
        <v>CC</v>
      </c>
      <c r="F1100" s="35">
        <v>146.32</v>
      </c>
      <c r="G1100" s="14" t="str">
        <f>VLOOKUP(D1100,Table4[],3,FALSE)</f>
        <v>2</v>
      </c>
      <c r="H1100" s="15"/>
      <c r="I1100" s="15"/>
      <c r="J1100" s="15" t="s">
        <v>89</v>
      </c>
      <c r="K1100" s="15">
        <v>535379192</v>
      </c>
      <c r="L1100" s="15" t="s">
        <v>29</v>
      </c>
      <c r="M1100" s="15" t="s">
        <v>29</v>
      </c>
    </row>
    <row r="1101" spans="1:13" x14ac:dyDescent="0.25">
      <c r="A1101" s="23">
        <f t="shared" si="57"/>
        <v>260043</v>
      </c>
      <c r="B1101" s="14" t="str">
        <f t="shared" si="58"/>
        <v>Direct Debit (UMB Bank) - Credits</v>
      </c>
      <c r="C1101" s="37">
        <v>46155</v>
      </c>
      <c r="D1101" s="31">
        <v>260043</v>
      </c>
      <c r="E1101" s="33" t="str">
        <f>IF(Table3[[#This Row],[Type Received]]=2,"CC",(IF(Table3[[#This Row],[Type Received]]=3,"BILL","ACH")))</f>
        <v>ACH</v>
      </c>
      <c r="F1101" s="32">
        <v>51.94</v>
      </c>
      <c r="G1101" s="14" t="str">
        <f>VLOOKUP(D1101,Table4[],3,FALSE)</f>
        <v>2</v>
      </c>
      <c r="H1101" s="15"/>
      <c r="I1101" s="15">
        <v>644081</v>
      </c>
      <c r="J1101" s="15" t="s">
        <v>28</v>
      </c>
      <c r="K1101" s="15">
        <v>669486163</v>
      </c>
      <c r="L1101" s="15" t="s">
        <v>29</v>
      </c>
      <c r="M1101" s="15" t="s">
        <v>29</v>
      </c>
    </row>
    <row r="1102" spans="1:13" x14ac:dyDescent="0.25">
      <c r="A1102" s="23">
        <f t="shared" si="57"/>
        <v>260050</v>
      </c>
      <c r="B1102" s="14" t="str">
        <f t="shared" si="58"/>
        <v>Credit Cards (UMB) - Credits</v>
      </c>
      <c r="C1102" s="38">
        <v>46144</v>
      </c>
      <c r="D1102" s="34">
        <v>260050</v>
      </c>
      <c r="E1102" s="36" t="str">
        <f>IF(Table3[[#This Row],[Type Received]]=2,"CC",(IF(Table3[[#This Row],[Type Received]]=3,"BILL","ACH")))</f>
        <v>CC</v>
      </c>
      <c r="F1102" s="35">
        <v>125.2</v>
      </c>
      <c r="G1102" s="14" t="str">
        <f>VLOOKUP(D1102,Table4[],3,FALSE)</f>
        <v>2</v>
      </c>
      <c r="H1102" s="15"/>
      <c r="I1102" s="15"/>
      <c r="J1102" s="15" t="s">
        <v>89</v>
      </c>
      <c r="K1102" s="15">
        <v>535384124</v>
      </c>
      <c r="L1102" s="15" t="s">
        <v>29</v>
      </c>
      <c r="M1102" s="15" t="s">
        <v>29</v>
      </c>
    </row>
    <row r="1103" spans="1:13" x14ac:dyDescent="0.25">
      <c r="A1103" s="23">
        <f t="shared" si="57"/>
        <v>260059</v>
      </c>
      <c r="B1103" s="14" t="str">
        <f t="shared" si="58"/>
        <v>Direct Debit (UMB Bank) - Credits</v>
      </c>
      <c r="C1103" s="37">
        <v>46155</v>
      </c>
      <c r="D1103" s="31">
        <v>260059</v>
      </c>
      <c r="E1103" s="33" t="str">
        <f>IF(Table3[[#This Row],[Type Received]]=2,"CC",(IF(Table3[[#This Row],[Type Received]]=3,"BILL","ACH")))</f>
        <v>ACH</v>
      </c>
      <c r="F1103" s="32">
        <v>78.010000000000005</v>
      </c>
      <c r="G1103" s="14" t="str">
        <f>VLOOKUP(D1103,Table4[],3,FALSE)</f>
        <v>1</v>
      </c>
      <c r="H1103" s="15"/>
      <c r="I1103" s="15" t="s">
        <v>189</v>
      </c>
      <c r="J1103" s="15" t="s">
        <v>28</v>
      </c>
      <c r="K1103" s="15">
        <v>669476582</v>
      </c>
      <c r="L1103" s="15" t="s">
        <v>29</v>
      </c>
      <c r="M1103" s="15" t="s">
        <v>29</v>
      </c>
    </row>
    <row r="1104" spans="1:13" x14ac:dyDescent="0.25">
      <c r="A1104" s="23">
        <f t="shared" si="57"/>
        <v>260060</v>
      </c>
      <c r="B1104" s="14" t="str">
        <f t="shared" si="58"/>
        <v>Direct Debit (UMB Bank) - Credits</v>
      </c>
      <c r="C1104" s="38">
        <v>46158</v>
      </c>
      <c r="D1104" s="34">
        <v>260060</v>
      </c>
      <c r="E1104" s="36" t="str">
        <f>IF(Table3[[#This Row],[Type Received]]=2,"CC",(IF(Table3[[#This Row],[Type Received]]=3,"BILL","ACH")))</f>
        <v>ACH</v>
      </c>
      <c r="F1104" s="35">
        <v>78.34</v>
      </c>
      <c r="G1104" s="14" t="str">
        <f>VLOOKUP(D1104,Table4[],3,FALSE)</f>
        <v>2</v>
      </c>
      <c r="H1104" s="15"/>
      <c r="I1104" s="15"/>
      <c r="J1104" s="15" t="s">
        <v>106</v>
      </c>
      <c r="K1104" s="15">
        <v>710037854</v>
      </c>
      <c r="L1104" s="15" t="s">
        <v>29</v>
      </c>
      <c r="M1104" s="15" t="s">
        <v>29</v>
      </c>
    </row>
    <row r="1105" spans="1:13" x14ac:dyDescent="0.25">
      <c r="A1105" s="23">
        <f t="shared" si="57"/>
        <v>260061</v>
      </c>
      <c r="B1105" s="14" t="str">
        <f t="shared" si="58"/>
        <v>Direct Debit (UMB Bank) - Credits</v>
      </c>
      <c r="C1105" s="37">
        <v>46144</v>
      </c>
      <c r="D1105" s="31">
        <v>260061</v>
      </c>
      <c r="E1105" s="33" t="str">
        <f>IF(Table3[[#This Row],[Type Received]]=2,"CC",(IF(Table3[[#This Row],[Type Received]]=3,"BILL","ACH")))</f>
        <v>ACH</v>
      </c>
      <c r="F1105" s="32">
        <v>27.85</v>
      </c>
      <c r="G1105" s="14" t="str">
        <f>VLOOKUP(D1105,Table4[],3,FALSE)</f>
        <v>2</v>
      </c>
      <c r="H1105" s="15"/>
      <c r="I1105" s="15"/>
      <c r="J1105" s="15" t="s">
        <v>89</v>
      </c>
      <c r="K1105" s="15">
        <v>535382205</v>
      </c>
      <c r="L1105" s="15" t="s">
        <v>29</v>
      </c>
      <c r="M1105" s="15" t="s">
        <v>29</v>
      </c>
    </row>
    <row r="1106" spans="1:13" x14ac:dyDescent="0.25">
      <c r="A1106" s="23">
        <f t="shared" si="57"/>
        <v>260062</v>
      </c>
      <c r="B1106" s="14" t="str">
        <f t="shared" si="58"/>
        <v>Direct Debit (UMB Bank) - Credits</v>
      </c>
      <c r="C1106" s="38">
        <v>46144</v>
      </c>
      <c r="D1106" s="34">
        <v>260062</v>
      </c>
      <c r="E1106" s="36" t="str">
        <f>IF(Table3[[#This Row],[Type Received]]=2,"CC",(IF(Table3[[#This Row],[Type Received]]=3,"BILL","ACH")))</f>
        <v>ACH</v>
      </c>
      <c r="F1106" s="35">
        <v>57.55</v>
      </c>
      <c r="G1106" s="14" t="str">
        <f>VLOOKUP(D1106,Table4[],3,FALSE)</f>
        <v>2</v>
      </c>
      <c r="H1106" s="15"/>
      <c r="I1106" s="15"/>
      <c r="J1106" s="15" t="s">
        <v>89</v>
      </c>
      <c r="K1106" s="15">
        <v>535373447</v>
      </c>
      <c r="L1106" s="15" t="s">
        <v>29</v>
      </c>
      <c r="M1106" s="15" t="s">
        <v>29</v>
      </c>
    </row>
    <row r="1107" spans="1:13" x14ac:dyDescent="0.25">
      <c r="A1107" s="23">
        <f t="shared" si="57"/>
        <v>260064</v>
      </c>
      <c r="B1107" s="14" t="str">
        <f t="shared" si="58"/>
        <v>Credit Cards (UMB) - Credits</v>
      </c>
      <c r="C1107" s="37">
        <v>46144</v>
      </c>
      <c r="D1107" s="31">
        <v>260064</v>
      </c>
      <c r="E1107" s="33" t="str">
        <f>IF(Table3[[#This Row],[Type Received]]=2,"CC",(IF(Table3[[#This Row],[Type Received]]=3,"BILL","ACH")))</f>
        <v>CC</v>
      </c>
      <c r="F1107" s="32">
        <v>63.49</v>
      </c>
      <c r="G1107" s="14" t="str">
        <f>VLOOKUP(D1107,Table4[],3,FALSE)</f>
        <v>2</v>
      </c>
      <c r="H1107" s="15"/>
      <c r="I1107" s="15"/>
      <c r="J1107" s="15" t="s">
        <v>89</v>
      </c>
      <c r="K1107" s="15">
        <v>535381198</v>
      </c>
      <c r="L1107" s="15" t="s">
        <v>29</v>
      </c>
      <c r="M1107" s="15"/>
    </row>
    <row r="1108" spans="1:13" x14ac:dyDescent="0.25">
      <c r="A1108" s="23">
        <f t="shared" si="57"/>
        <v>260086</v>
      </c>
      <c r="B1108" s="14" t="str">
        <f t="shared" si="58"/>
        <v>Credit Cards (UMB) - Credits</v>
      </c>
      <c r="C1108" s="38">
        <v>46143</v>
      </c>
      <c r="D1108" s="34">
        <v>260086</v>
      </c>
      <c r="E1108" s="36" t="str">
        <f>IF(Table3[[#This Row],[Type Received]]=2,"CC",(IF(Table3[[#This Row],[Type Received]]=3,"BILL","ACH")))</f>
        <v>CC</v>
      </c>
      <c r="F1108" s="35">
        <v>122.91</v>
      </c>
      <c r="G1108" s="14" t="str">
        <f>VLOOKUP(D1108,Table4[],3,FALSE)</f>
        <v>1</v>
      </c>
      <c r="H1108" s="15"/>
      <c r="I1108" s="15">
        <v>99303</v>
      </c>
      <c r="J1108" s="15" t="s">
        <v>28</v>
      </c>
      <c r="K1108" s="15">
        <v>526066576</v>
      </c>
      <c r="L1108" s="15" t="s">
        <v>29</v>
      </c>
      <c r="M1108" s="15" t="s">
        <v>29</v>
      </c>
    </row>
    <row r="1109" spans="1:13" x14ac:dyDescent="0.25">
      <c r="A1109" s="23">
        <f t="shared" si="57"/>
        <v>260072</v>
      </c>
      <c r="B1109" s="14" t="str">
        <f t="shared" si="58"/>
        <v>Credit Cards (UMB) - Credits</v>
      </c>
      <c r="C1109" s="37">
        <v>46143</v>
      </c>
      <c r="D1109" s="31">
        <v>260072</v>
      </c>
      <c r="E1109" s="33" t="str">
        <f>IF(Table3[[#This Row],[Type Received]]=2,"CC",(IF(Table3[[#This Row],[Type Received]]=3,"BILL","ACH")))</f>
        <v>CC</v>
      </c>
      <c r="F1109" s="32">
        <v>113.67</v>
      </c>
      <c r="G1109" s="14" t="str">
        <f>VLOOKUP(D1109,Table4[],3,FALSE)</f>
        <v>2</v>
      </c>
      <c r="H1109" s="15"/>
      <c r="I1109" s="15">
        <v>4493</v>
      </c>
      <c r="J1109" s="15">
        <v>741374152</v>
      </c>
      <c r="K1109" s="15">
        <v>353114639</v>
      </c>
      <c r="L1109" s="15"/>
      <c r="M1109" s="15" t="s">
        <v>29</v>
      </c>
    </row>
    <row r="1110" spans="1:13" x14ac:dyDescent="0.25">
      <c r="A1110" s="23">
        <f t="shared" si="57"/>
        <v>260076</v>
      </c>
      <c r="B1110" s="14" t="str">
        <f t="shared" si="58"/>
        <v>Credit Cards (UMB) - Credits</v>
      </c>
      <c r="C1110" s="38">
        <v>46155</v>
      </c>
      <c r="D1110" s="34">
        <v>260076</v>
      </c>
      <c r="E1110" s="36" t="str">
        <f>IF(Table3[[#This Row],[Type Received]]=2,"CC",(IF(Table3[[#This Row],[Type Received]]=3,"BILL","ACH")))</f>
        <v>CC</v>
      </c>
      <c r="F1110" s="35">
        <v>58.43</v>
      </c>
      <c r="G1110" s="14" t="str">
        <f>VLOOKUP(D1110,Table4[],3,FALSE)</f>
        <v>1</v>
      </c>
      <c r="H1110" s="15"/>
      <c r="I1110" s="15">
        <v>13606</v>
      </c>
      <c r="J1110" s="15" t="s">
        <v>28</v>
      </c>
      <c r="K1110" s="15">
        <v>669465041</v>
      </c>
      <c r="L1110" s="15" t="s">
        <v>29</v>
      </c>
      <c r="M1110" s="15"/>
    </row>
    <row r="1111" spans="1:13" x14ac:dyDescent="0.25">
      <c r="A1111" s="23">
        <f t="shared" si="57"/>
        <v>260075</v>
      </c>
      <c r="B1111" s="14" t="str">
        <f t="shared" si="58"/>
        <v>Direct Debit (UMB Bank) - Credits</v>
      </c>
      <c r="C1111" s="37">
        <v>46155</v>
      </c>
      <c r="D1111" s="31">
        <v>260075</v>
      </c>
      <c r="E1111" s="33" t="str">
        <f>IF(Table3[[#This Row],[Type Received]]=2,"CC",(IF(Table3[[#This Row],[Type Received]]=3,"BILL","ACH")))</f>
        <v>ACH</v>
      </c>
      <c r="F1111" s="32">
        <v>26.75</v>
      </c>
      <c r="G1111" s="14" t="str">
        <f>VLOOKUP(D1111,Table4[],3,FALSE)</f>
        <v>1</v>
      </c>
      <c r="H1111" s="15"/>
      <c r="I1111" s="15">
        <v>2181</v>
      </c>
      <c r="J1111" s="15" t="s">
        <v>28</v>
      </c>
      <c r="K1111" s="15">
        <v>669465972</v>
      </c>
      <c r="L1111" s="15" t="s">
        <v>29</v>
      </c>
      <c r="M1111" s="15"/>
    </row>
    <row r="1112" spans="1:13" x14ac:dyDescent="0.25">
      <c r="A1112" s="23">
        <f t="shared" si="57"/>
        <v>260079</v>
      </c>
      <c r="B1112" s="14" t="str">
        <f t="shared" si="58"/>
        <v>Credit Cards (UMB) - Credits</v>
      </c>
      <c r="C1112" s="38">
        <v>46144</v>
      </c>
      <c r="D1112" s="34">
        <v>260079</v>
      </c>
      <c r="E1112" s="36" t="str">
        <f>IF(Table3[[#This Row],[Type Received]]=2,"CC",(IF(Table3[[#This Row],[Type Received]]=3,"BILL","ACH")))</f>
        <v>CC</v>
      </c>
      <c r="F1112" s="35">
        <v>49.85</v>
      </c>
      <c r="G1112" s="14" t="str">
        <f>VLOOKUP(D1112,Table4[],3,FALSE)</f>
        <v>1</v>
      </c>
      <c r="H1112" s="15"/>
      <c r="I1112" s="15"/>
      <c r="J1112" s="15" t="s">
        <v>89</v>
      </c>
      <c r="K1112" s="15">
        <v>535382231</v>
      </c>
      <c r="L1112" s="15" t="s">
        <v>29</v>
      </c>
      <c r="M1112" s="15"/>
    </row>
    <row r="1113" spans="1:13" x14ac:dyDescent="0.25">
      <c r="A1113" s="23">
        <f t="shared" si="57"/>
        <v>260074</v>
      </c>
      <c r="B1113" s="14" t="str">
        <f t="shared" si="58"/>
        <v>Direct Debit (UMB Bank) - Credits</v>
      </c>
      <c r="C1113" s="37">
        <v>46155</v>
      </c>
      <c r="D1113" s="31">
        <v>260074</v>
      </c>
      <c r="E1113" s="33" t="str">
        <f>IF(Table3[[#This Row],[Type Received]]=2,"CC",(IF(Table3[[#This Row],[Type Received]]=3,"BILL","ACH")))</f>
        <v>ACH</v>
      </c>
      <c r="F1113" s="32">
        <v>43.25</v>
      </c>
      <c r="G1113" s="14" t="str">
        <f>VLOOKUP(D1113,Table4[],3,FALSE)</f>
        <v>1</v>
      </c>
      <c r="H1113" s="15"/>
      <c r="I1113" s="15">
        <v>13092</v>
      </c>
      <c r="J1113" s="15" t="s">
        <v>28</v>
      </c>
      <c r="K1113" s="15">
        <v>669482292</v>
      </c>
      <c r="L1113" s="15" t="s">
        <v>29</v>
      </c>
      <c r="M1113" s="15" t="s">
        <v>29</v>
      </c>
    </row>
    <row r="1114" spans="1:13" x14ac:dyDescent="0.25">
      <c r="A1114" s="23">
        <f t="shared" si="57"/>
        <v>260089</v>
      </c>
      <c r="B1114" s="14" t="str">
        <f t="shared" si="58"/>
        <v>Direct Debit (UMB Bank) - Credits</v>
      </c>
      <c r="C1114" s="38">
        <v>46144</v>
      </c>
      <c r="D1114" s="34">
        <v>260089</v>
      </c>
      <c r="E1114" s="36" t="str">
        <f>IF(Table3[[#This Row],[Type Received]]=2,"CC",(IF(Table3[[#This Row],[Type Received]]=3,"BILL","ACH")))</f>
        <v>ACH</v>
      </c>
      <c r="F1114" s="35">
        <v>57.77</v>
      </c>
      <c r="G1114" s="14" t="str">
        <f>VLOOKUP(D1114,Table4[],3,FALSE)</f>
        <v>1</v>
      </c>
      <c r="H1114" s="15"/>
      <c r="I1114" s="15"/>
      <c r="J1114" s="15" t="s">
        <v>89</v>
      </c>
      <c r="K1114" s="15">
        <v>535358088</v>
      </c>
      <c r="L1114" s="15" t="s">
        <v>29</v>
      </c>
      <c r="M1114" s="15" t="s">
        <v>29</v>
      </c>
    </row>
    <row r="1115" spans="1:13" x14ac:dyDescent="0.25">
      <c r="A1115" s="23">
        <f t="shared" si="57"/>
        <v>260078</v>
      </c>
      <c r="B1115" s="14" t="str">
        <f t="shared" si="58"/>
        <v>Credit Cards (UMB) - Credits</v>
      </c>
      <c r="C1115" s="37">
        <v>46167</v>
      </c>
      <c r="D1115" s="31">
        <v>260078</v>
      </c>
      <c r="E1115" s="33" t="str">
        <f>IF(Table3[[#This Row],[Type Received]]=2,"CC",(IF(Table3[[#This Row],[Type Received]]=3,"BILL","ACH")))</f>
        <v>CC</v>
      </c>
      <c r="F1115" s="32">
        <v>64.150000000000006</v>
      </c>
      <c r="G1115" s="14" t="str">
        <f>VLOOKUP(D1115,Table4[],3,FALSE)</f>
        <v>1</v>
      </c>
      <c r="H1115" s="15"/>
      <c r="I1115" s="15"/>
      <c r="J1115" s="15" t="s">
        <v>85</v>
      </c>
      <c r="K1115" s="15">
        <v>818348497</v>
      </c>
      <c r="L1115" s="15" t="s">
        <v>29</v>
      </c>
      <c r="M1115" s="15" t="s">
        <v>29</v>
      </c>
    </row>
    <row r="1116" spans="1:13" x14ac:dyDescent="0.25">
      <c r="A1116" s="23">
        <f t="shared" si="57"/>
        <v>260093</v>
      </c>
      <c r="B1116" s="14" t="str">
        <f t="shared" si="58"/>
        <v>Credit Cards (UMB) - Credits</v>
      </c>
      <c r="C1116" s="38">
        <v>46155</v>
      </c>
      <c r="D1116" s="34">
        <v>260093</v>
      </c>
      <c r="E1116" s="36" t="str">
        <f>IF(Table3[[#This Row],[Type Received]]=2,"CC",(IF(Table3[[#This Row],[Type Received]]=3,"BILL","ACH")))</f>
        <v>CC</v>
      </c>
      <c r="F1116" s="35">
        <v>62.83</v>
      </c>
      <c r="G1116" s="14" t="str">
        <f>VLOOKUP(D1116,Table4[],3,FALSE)</f>
        <v>1</v>
      </c>
      <c r="H1116" s="15"/>
      <c r="I1116" s="15">
        <v>618988</v>
      </c>
      <c r="J1116" s="15" t="s">
        <v>28</v>
      </c>
      <c r="K1116" s="15">
        <v>669481327</v>
      </c>
      <c r="L1116" s="15" t="s">
        <v>29</v>
      </c>
      <c r="M1116" s="15" t="s">
        <v>29</v>
      </c>
    </row>
    <row r="1117" spans="1:13" x14ac:dyDescent="0.25">
      <c r="A1117" s="23">
        <f t="shared" si="57"/>
        <v>260092</v>
      </c>
      <c r="B1117" s="14" t="str">
        <f t="shared" si="58"/>
        <v>Direct Debit (UMB Bank) - Credits</v>
      </c>
      <c r="C1117" s="37">
        <v>46155</v>
      </c>
      <c r="D1117" s="31">
        <v>260092</v>
      </c>
      <c r="E1117" s="33" t="str">
        <f>IF(Table3[[#This Row],[Type Received]]=2,"CC",(IF(Table3[[#This Row],[Type Received]]=3,"BILL","ACH")))</f>
        <v>ACH</v>
      </c>
      <c r="F1117" s="32">
        <v>94.95</v>
      </c>
      <c r="G1117" s="14" t="str">
        <f>VLOOKUP(D1117,Table4[],3,FALSE)</f>
        <v>1</v>
      </c>
      <c r="H1117" s="15"/>
      <c r="I1117" s="15" t="s">
        <v>190</v>
      </c>
      <c r="J1117" s="15" t="s">
        <v>28</v>
      </c>
      <c r="K1117" s="15">
        <v>669465994</v>
      </c>
      <c r="L1117" s="15" t="s">
        <v>29</v>
      </c>
      <c r="M1117" s="15" t="s">
        <v>29</v>
      </c>
    </row>
    <row r="1118" spans="1:13" x14ac:dyDescent="0.25">
      <c r="A1118" s="23">
        <f t="shared" si="57"/>
        <v>260096</v>
      </c>
      <c r="B1118" s="14" t="str">
        <f t="shared" si="58"/>
        <v>Direct Debit (UMB Bank) - Credits</v>
      </c>
      <c r="C1118" s="38">
        <v>46144</v>
      </c>
      <c r="D1118" s="34">
        <v>260096</v>
      </c>
      <c r="E1118" s="36" t="str">
        <f>IF(Table3[[#This Row],[Type Received]]=2,"CC",(IF(Table3[[#This Row],[Type Received]]=3,"BILL","ACH")))</f>
        <v>ACH</v>
      </c>
      <c r="F1118" s="35">
        <v>109.47</v>
      </c>
      <c r="G1118" s="14" t="str">
        <f>VLOOKUP(D1118,Table4[],3,FALSE)</f>
        <v>1</v>
      </c>
      <c r="H1118" s="15"/>
      <c r="I1118" s="15"/>
      <c r="J1118" s="15" t="s">
        <v>89</v>
      </c>
      <c r="K1118" s="15">
        <v>535371545</v>
      </c>
      <c r="L1118" s="15" t="s">
        <v>29</v>
      </c>
      <c r="M1118" s="15" t="s">
        <v>29</v>
      </c>
    </row>
    <row r="1119" spans="1:13" x14ac:dyDescent="0.25">
      <c r="A1119" s="23">
        <f t="shared" si="57"/>
        <v>260097</v>
      </c>
      <c r="B1119" s="14" t="str">
        <f t="shared" si="58"/>
        <v>Credit Cards (UMB) - Credits</v>
      </c>
      <c r="C1119" s="37">
        <v>46158</v>
      </c>
      <c r="D1119" s="31">
        <v>260097</v>
      </c>
      <c r="E1119" s="33" t="str">
        <f>IF(Table3[[#This Row],[Type Received]]=2,"CC",(IF(Table3[[#This Row],[Type Received]]=3,"BILL","ACH")))</f>
        <v>CC</v>
      </c>
      <c r="F1119" s="32">
        <v>95.17</v>
      </c>
      <c r="G1119" s="14" t="str">
        <f>VLOOKUP(D1119,Table4[],3,FALSE)</f>
        <v>2</v>
      </c>
      <c r="H1119" s="15"/>
      <c r="I1119" s="15"/>
      <c r="J1119" s="15" t="s">
        <v>106</v>
      </c>
      <c r="K1119" s="15">
        <v>710036926</v>
      </c>
      <c r="L1119" s="15" t="s">
        <v>29</v>
      </c>
      <c r="M1119" s="15" t="s">
        <v>29</v>
      </c>
    </row>
    <row r="1120" spans="1:13" x14ac:dyDescent="0.25">
      <c r="A1120" s="23">
        <f t="shared" si="57"/>
        <v>260094</v>
      </c>
      <c r="B1120" s="14" t="str">
        <f t="shared" si="58"/>
        <v>Credit Cards (UMB) - Credits</v>
      </c>
      <c r="C1120" s="38">
        <v>46155</v>
      </c>
      <c r="D1120" s="34">
        <v>260094</v>
      </c>
      <c r="E1120" s="36" t="str">
        <f>IF(Table3[[#This Row],[Type Received]]=2,"CC",(IF(Table3[[#This Row],[Type Received]]=3,"BILL","ACH")))</f>
        <v>CC</v>
      </c>
      <c r="F1120" s="35">
        <v>67.45</v>
      </c>
      <c r="G1120" s="14" t="str">
        <f>VLOOKUP(D1120,Table4[],3,FALSE)</f>
        <v>1</v>
      </c>
      <c r="H1120" s="15"/>
      <c r="I1120" s="15">
        <v>13976</v>
      </c>
      <c r="J1120" s="15" t="s">
        <v>28</v>
      </c>
      <c r="K1120" s="15">
        <v>669481333</v>
      </c>
      <c r="L1120" s="15" t="s">
        <v>29</v>
      </c>
      <c r="M1120" s="15" t="s">
        <v>29</v>
      </c>
    </row>
    <row r="1121" spans="1:13" x14ac:dyDescent="0.25">
      <c r="A1121" s="23">
        <f t="shared" ref="A1121:A1152" si="59">D1121</f>
        <v>260091</v>
      </c>
      <c r="B1121" s="14" t="str">
        <f t="shared" si="58"/>
        <v>Direct Debit (UMB Bank) - Credits</v>
      </c>
      <c r="C1121" s="37">
        <v>46155</v>
      </c>
      <c r="D1121" s="31">
        <v>260091</v>
      </c>
      <c r="E1121" s="33" t="str">
        <f>IF(Table3[[#This Row],[Type Received]]=2,"CC",(IF(Table3[[#This Row],[Type Received]]=3,"BILL","ACH")))</f>
        <v>ACH</v>
      </c>
      <c r="F1121" s="32">
        <v>151.6</v>
      </c>
      <c r="G1121" s="14" t="str">
        <f>VLOOKUP(D1121,Table4[],3,FALSE)</f>
        <v>2</v>
      </c>
      <c r="H1121" s="15"/>
      <c r="I1121" s="15">
        <v>209606</v>
      </c>
      <c r="J1121" s="15" t="s">
        <v>28</v>
      </c>
      <c r="K1121" s="15">
        <v>669490126</v>
      </c>
      <c r="L1121" s="15" t="s">
        <v>29</v>
      </c>
      <c r="M1121" s="15" t="s">
        <v>29</v>
      </c>
    </row>
    <row r="1122" spans="1:13" x14ac:dyDescent="0.25">
      <c r="A1122" s="23">
        <f t="shared" si="59"/>
        <v>260095</v>
      </c>
      <c r="B1122" s="14" t="str">
        <f t="shared" si="58"/>
        <v>Direct Debit (UMB Bank) - Credits</v>
      </c>
      <c r="C1122" s="38">
        <v>46144</v>
      </c>
      <c r="D1122" s="34">
        <v>260095</v>
      </c>
      <c r="E1122" s="36" t="str">
        <f>IF(Table3[[#This Row],[Type Received]]=2,"CC",(IF(Table3[[#This Row],[Type Received]]=3,"BILL","ACH")))</f>
        <v>ACH</v>
      </c>
      <c r="F1122" s="35">
        <v>31.15</v>
      </c>
      <c r="G1122" s="14" t="str">
        <f>VLOOKUP(D1122,Table4[],3,FALSE)</f>
        <v>1</v>
      </c>
      <c r="H1122" s="15"/>
      <c r="I1122" s="15"/>
      <c r="J1122" s="24" t="s">
        <v>89</v>
      </c>
      <c r="K1122" s="15">
        <v>535377350</v>
      </c>
      <c r="L1122" s="15" t="s">
        <v>29</v>
      </c>
      <c r="M1122" s="15"/>
    </row>
    <row r="1123" spans="1:13" x14ac:dyDescent="0.25">
      <c r="A1123" s="23">
        <f t="shared" si="59"/>
        <v>260102</v>
      </c>
      <c r="B1123" s="14" t="str">
        <f t="shared" si="58"/>
        <v>Direct Debit (UMB Bank) - Credits</v>
      </c>
      <c r="C1123" s="37">
        <v>46158</v>
      </c>
      <c r="D1123" s="31">
        <v>260102</v>
      </c>
      <c r="E1123" s="33" t="str">
        <f>IF(Table3[[#This Row],[Type Received]]=2,"CC",(IF(Table3[[#This Row],[Type Received]]=3,"BILL","ACH")))</f>
        <v>ACH</v>
      </c>
      <c r="F1123" s="32">
        <v>32.799999999999997</v>
      </c>
      <c r="G1123" s="14" t="str">
        <f>VLOOKUP(D1123,Table4[],3,FALSE)</f>
        <v>2</v>
      </c>
      <c r="H1123" s="15"/>
      <c r="I1123" s="15"/>
      <c r="J1123" s="15" t="s">
        <v>106</v>
      </c>
      <c r="K1123" s="15">
        <v>710032923</v>
      </c>
      <c r="L1123" s="15" t="s">
        <v>29</v>
      </c>
      <c r="M1123" s="15"/>
    </row>
    <row r="1124" spans="1:13" x14ac:dyDescent="0.25">
      <c r="A1124" s="23">
        <f t="shared" si="59"/>
        <v>260103</v>
      </c>
      <c r="B1124" s="14" t="str">
        <f t="shared" si="58"/>
        <v>Credit Cards (UMB) - Credits</v>
      </c>
      <c r="C1124" s="38">
        <v>46158</v>
      </c>
      <c r="D1124" s="34">
        <v>260103</v>
      </c>
      <c r="E1124" s="36" t="str">
        <f>IF(Table3[[#This Row],[Type Received]]=2,"CC",(IF(Table3[[#This Row],[Type Received]]=3,"BILL","ACH")))</f>
        <v>CC</v>
      </c>
      <c r="F1124" s="35">
        <v>65.25</v>
      </c>
      <c r="G1124" s="14" t="str">
        <f>VLOOKUP(D1124,Table4[],3,FALSE)</f>
        <v>1</v>
      </c>
      <c r="H1124" s="15"/>
      <c r="I1124" s="15"/>
      <c r="J1124" s="15" t="s">
        <v>106</v>
      </c>
      <c r="K1124" s="15">
        <v>710054248</v>
      </c>
      <c r="L1124" s="15" t="s">
        <v>29</v>
      </c>
      <c r="M1124" s="15" t="s">
        <v>29</v>
      </c>
    </row>
    <row r="1125" spans="1:13" x14ac:dyDescent="0.25">
      <c r="A1125" s="23">
        <f t="shared" si="59"/>
        <v>260106</v>
      </c>
      <c r="B1125" s="14" t="str">
        <f t="shared" si="58"/>
        <v>Credit Cards (UMB) - Credits</v>
      </c>
      <c r="C1125" s="37">
        <v>46162</v>
      </c>
      <c r="D1125" s="31">
        <v>260106</v>
      </c>
      <c r="E1125" s="33" t="str">
        <f>IF(Table3[[#This Row],[Type Received]]=2,"CC",(IF(Table3[[#This Row],[Type Received]]=3,"BILL","ACH")))</f>
        <v>CC</v>
      </c>
      <c r="F1125" s="32">
        <v>137.43</v>
      </c>
      <c r="G1125" s="14" t="str">
        <f>VLOOKUP(D1125,Table4[],3,FALSE)</f>
        <v>2</v>
      </c>
      <c r="H1125" s="15"/>
      <c r="I1125" s="15">
        <v>700377</v>
      </c>
      <c r="J1125" s="15">
        <v>747121142</v>
      </c>
      <c r="K1125" s="15">
        <v>355298823</v>
      </c>
      <c r="L1125" s="15"/>
      <c r="M1125" s="15" t="s">
        <v>29</v>
      </c>
    </row>
    <row r="1126" spans="1:13" x14ac:dyDescent="0.25">
      <c r="A1126" s="23">
        <f t="shared" si="59"/>
        <v>260106</v>
      </c>
      <c r="B1126" s="14" t="str">
        <f t="shared" si="58"/>
        <v>Billing - Credits (from TPA)</v>
      </c>
      <c r="C1126" s="38">
        <v>46147</v>
      </c>
      <c r="D1126" s="34">
        <v>260106</v>
      </c>
      <c r="E1126" s="36" t="str">
        <f>IF(Table3[[#This Row],[Type Received]]=2,"CC",(IF(Table3[[#This Row],[Type Received]]=3,"BILL","ACH")))</f>
        <v>BILL</v>
      </c>
      <c r="F1126" s="35">
        <v>137.43</v>
      </c>
      <c r="G1126" s="14" t="str">
        <f>VLOOKUP(D1126,Table4[],3,FALSE)</f>
        <v>2</v>
      </c>
      <c r="H1126" s="15"/>
      <c r="I1126" s="15">
        <v>654409</v>
      </c>
      <c r="J1126" s="15">
        <v>742576419</v>
      </c>
      <c r="K1126" s="15">
        <v>353516134</v>
      </c>
      <c r="L1126" s="15"/>
      <c r="M1126" s="15" t="s">
        <v>29</v>
      </c>
    </row>
    <row r="1127" spans="1:13" x14ac:dyDescent="0.25">
      <c r="A1127" s="23">
        <f t="shared" si="59"/>
        <v>260107</v>
      </c>
      <c r="B1127" s="14" t="str">
        <f t="shared" si="58"/>
        <v>Direct Debit (UMB Bank) - Credits</v>
      </c>
      <c r="C1127" s="37">
        <v>46146</v>
      </c>
      <c r="D1127" s="31">
        <v>260107</v>
      </c>
      <c r="E1127" s="33" t="str">
        <f>IF(Table3[[#This Row],[Type Received]]=2,"CC",(IF(Table3[[#This Row],[Type Received]]=3,"BILL","ACH")))</f>
        <v>ACH</v>
      </c>
      <c r="F1127" s="32">
        <v>153.74</v>
      </c>
      <c r="G1127" s="14" t="str">
        <f>VLOOKUP(D1127,Table4[],3,FALSE)</f>
        <v>2</v>
      </c>
      <c r="H1127" s="15">
        <v>649</v>
      </c>
      <c r="I1127" s="15"/>
      <c r="J1127" s="15"/>
      <c r="K1127" s="15"/>
      <c r="L1127" s="15"/>
      <c r="M1127" s="15"/>
    </row>
    <row r="1128" spans="1:13" x14ac:dyDescent="0.25">
      <c r="A1128" s="23">
        <f t="shared" si="59"/>
        <v>260114</v>
      </c>
      <c r="B1128" s="14" t="str">
        <f t="shared" si="58"/>
        <v>Credit Cards (UMB) - Credits</v>
      </c>
      <c r="C1128" s="38">
        <v>46158</v>
      </c>
      <c r="D1128" s="34">
        <v>260114</v>
      </c>
      <c r="E1128" s="36" t="str">
        <f>IF(Table3[[#This Row],[Type Received]]=2,"CC",(IF(Table3[[#This Row],[Type Received]]=3,"BILL","ACH")))</f>
        <v>CC</v>
      </c>
      <c r="F1128" s="35">
        <v>111.67</v>
      </c>
      <c r="G1128" s="14" t="str">
        <f>VLOOKUP(D1128,Table4[],3,FALSE)</f>
        <v>2</v>
      </c>
      <c r="H1128" s="15"/>
      <c r="I1128" s="15"/>
      <c r="J1128" s="15" t="s">
        <v>106</v>
      </c>
      <c r="K1128" s="15">
        <v>710047669</v>
      </c>
      <c r="L1128" s="15" t="s">
        <v>29</v>
      </c>
      <c r="M1128" s="15" t="s">
        <v>29</v>
      </c>
    </row>
    <row r="1129" spans="1:13" x14ac:dyDescent="0.25">
      <c r="A1129" s="23">
        <f t="shared" si="59"/>
        <v>260117</v>
      </c>
      <c r="B1129" s="14" t="str">
        <f t="shared" si="58"/>
        <v>Direct Debit (UMB Bank) - Credits</v>
      </c>
      <c r="C1129" s="37">
        <v>46155</v>
      </c>
      <c r="D1129" s="31">
        <v>260117</v>
      </c>
      <c r="E1129" s="33" t="str">
        <f>IF(Table3[[#This Row],[Type Received]]=2,"CC",(IF(Table3[[#This Row],[Type Received]]=3,"BILL","ACH")))</f>
        <v>ACH</v>
      </c>
      <c r="F1129" s="32">
        <v>27.19</v>
      </c>
      <c r="G1129" s="14" t="str">
        <f>VLOOKUP(D1129,Table4[],3,FALSE)</f>
        <v>1</v>
      </c>
      <c r="H1129" s="15"/>
      <c r="I1129" s="15">
        <v>5768</v>
      </c>
      <c r="J1129" s="15" t="s">
        <v>28</v>
      </c>
      <c r="K1129" s="15">
        <v>669468917</v>
      </c>
      <c r="L1129" s="15" t="s">
        <v>29</v>
      </c>
      <c r="M1129" s="15" t="s">
        <v>29</v>
      </c>
    </row>
    <row r="1130" spans="1:13" x14ac:dyDescent="0.25">
      <c r="A1130" s="23">
        <f t="shared" si="59"/>
        <v>260118</v>
      </c>
      <c r="B1130" s="14" t="str">
        <f t="shared" si="58"/>
        <v>Credit Cards (UMB) - Credits</v>
      </c>
      <c r="C1130" s="38">
        <v>46167</v>
      </c>
      <c r="D1130" s="34">
        <v>260118</v>
      </c>
      <c r="E1130" s="36" t="str">
        <f>IF(Table3[[#This Row],[Type Received]]=2,"CC",(IF(Table3[[#This Row],[Type Received]]=3,"BILL","ACH")))</f>
        <v>CC</v>
      </c>
      <c r="F1130" s="35">
        <v>48.09</v>
      </c>
      <c r="G1130" s="14" t="str">
        <f>VLOOKUP(D1130,Table4[],3,FALSE)</f>
        <v>1</v>
      </c>
      <c r="H1130" s="15"/>
      <c r="I1130" s="15"/>
      <c r="J1130" s="15" t="s">
        <v>85</v>
      </c>
      <c r="K1130" s="15">
        <v>818340738</v>
      </c>
      <c r="L1130" s="15" t="s">
        <v>29</v>
      </c>
      <c r="M1130" s="15" t="s">
        <v>29</v>
      </c>
    </row>
    <row r="1131" spans="1:13" x14ac:dyDescent="0.25">
      <c r="A1131" s="23">
        <f t="shared" si="59"/>
        <v>260116</v>
      </c>
      <c r="B1131" s="14" t="str">
        <f t="shared" si="58"/>
        <v>Direct Debit (UMB Bank) - Credits</v>
      </c>
      <c r="C1131" s="37">
        <v>46160</v>
      </c>
      <c r="D1131" s="31">
        <v>260116</v>
      </c>
      <c r="E1131" s="33" t="str">
        <f>IF(Table3[[#This Row],[Type Received]]=2,"CC",(IF(Table3[[#This Row],[Type Received]]=3,"BILL","ACH")))</f>
        <v>ACH</v>
      </c>
      <c r="F1131" s="32">
        <v>23.67</v>
      </c>
      <c r="G1131" s="14" t="str">
        <f>VLOOKUP(D1131,Table4[],3,FALSE)</f>
        <v>1</v>
      </c>
      <c r="H1131" s="15"/>
      <c r="I1131" s="15" t="s">
        <v>191</v>
      </c>
      <c r="J1131" s="24" t="s">
        <v>28</v>
      </c>
      <c r="K1131" s="15">
        <v>732356604</v>
      </c>
      <c r="L1131" s="15" t="s">
        <v>29</v>
      </c>
      <c r="M1131" s="15" t="s">
        <v>29</v>
      </c>
    </row>
    <row r="1132" spans="1:13" x14ac:dyDescent="0.25">
      <c r="A1132" s="23">
        <f t="shared" si="59"/>
        <v>260119</v>
      </c>
      <c r="B1132" s="14" t="str">
        <f t="shared" si="58"/>
        <v>Direct Debit (UMB Bank) - Credits</v>
      </c>
      <c r="C1132" s="38">
        <v>46144</v>
      </c>
      <c r="D1132" s="34">
        <v>260119</v>
      </c>
      <c r="E1132" s="36" t="str">
        <f>IF(Table3[[#This Row],[Type Received]]=2,"CC",(IF(Table3[[#This Row],[Type Received]]=3,"BILL","ACH")))</f>
        <v>ACH</v>
      </c>
      <c r="F1132" s="35">
        <v>114.64</v>
      </c>
      <c r="G1132" s="14" t="str">
        <f>VLOOKUP(D1132,Table4[],3,FALSE)</f>
        <v>2</v>
      </c>
      <c r="H1132" s="15"/>
      <c r="I1132" s="15"/>
      <c r="J1132" s="15" t="s">
        <v>89</v>
      </c>
      <c r="K1132" s="15">
        <v>535377385</v>
      </c>
      <c r="L1132" s="15" t="s">
        <v>29</v>
      </c>
      <c r="M1132" s="15" t="s">
        <v>29</v>
      </c>
    </row>
    <row r="1133" spans="1:13" x14ac:dyDescent="0.25">
      <c r="A1133" s="23">
        <f t="shared" si="59"/>
        <v>260121</v>
      </c>
      <c r="B1133" s="14" t="str">
        <f t="shared" si="58"/>
        <v>Direct Debit (UMB Bank) - Credits</v>
      </c>
      <c r="C1133" s="37">
        <v>46160</v>
      </c>
      <c r="D1133" s="31">
        <v>260121</v>
      </c>
      <c r="E1133" s="33" t="str">
        <f>IF(Table3[[#This Row],[Type Received]]=2,"CC",(IF(Table3[[#This Row],[Type Received]]=3,"BILL","ACH")))</f>
        <v>ACH</v>
      </c>
      <c r="F1133" s="32">
        <v>147</v>
      </c>
      <c r="G1133" s="14" t="str">
        <f>VLOOKUP(D1133,Table4[],3,FALSE)</f>
        <v>2</v>
      </c>
      <c r="H1133" s="15"/>
      <c r="I1133" s="15"/>
      <c r="J1133" s="15" t="s">
        <v>192</v>
      </c>
      <c r="K1133" s="15">
        <v>738388554</v>
      </c>
      <c r="L1133" s="15" t="s">
        <v>29</v>
      </c>
      <c r="M1133" s="15" t="s">
        <v>29</v>
      </c>
    </row>
    <row r="1134" spans="1:13" x14ac:dyDescent="0.25">
      <c r="A1134" s="23">
        <f t="shared" si="59"/>
        <v>260128</v>
      </c>
      <c r="B1134" s="14" t="str">
        <f t="shared" si="58"/>
        <v>Direct Debit (UMB Bank) - Credits</v>
      </c>
      <c r="C1134" s="38">
        <v>46144</v>
      </c>
      <c r="D1134" s="34">
        <v>260128</v>
      </c>
      <c r="E1134" s="36" t="str">
        <f>IF(Table3[[#This Row],[Type Received]]=2,"CC",(IF(Table3[[#This Row],[Type Received]]=3,"BILL","ACH")))</f>
        <v>ACH</v>
      </c>
      <c r="F1134" s="35">
        <v>104.63</v>
      </c>
      <c r="G1134" s="14" t="str">
        <f>VLOOKUP(D1134,Table4[],3,FALSE)</f>
        <v>1</v>
      </c>
      <c r="H1134" s="15"/>
      <c r="I1134" s="15"/>
      <c r="J1134" s="15" t="s">
        <v>89</v>
      </c>
      <c r="K1134" s="15">
        <v>535386144</v>
      </c>
      <c r="L1134" s="15" t="s">
        <v>29</v>
      </c>
      <c r="M1134" s="15" t="s">
        <v>29</v>
      </c>
    </row>
    <row r="1135" spans="1:13" x14ac:dyDescent="0.25">
      <c r="A1135" s="23">
        <f t="shared" si="59"/>
        <v>260133</v>
      </c>
      <c r="B1135" s="14" t="str">
        <f t="shared" si="58"/>
        <v>Direct Debit (UMB Bank) - Credits</v>
      </c>
      <c r="C1135" s="37">
        <v>46144</v>
      </c>
      <c r="D1135" s="31">
        <v>260133</v>
      </c>
      <c r="E1135" s="33" t="str">
        <f>IF(Table3[[#This Row],[Type Received]]=2,"CC",(IF(Table3[[#This Row],[Type Received]]=3,"BILL","ACH")))</f>
        <v>ACH</v>
      </c>
      <c r="F1135" s="32">
        <v>24.55</v>
      </c>
      <c r="G1135" s="14" t="str">
        <f>VLOOKUP(D1135,Table4[],3,FALSE)</f>
        <v>1</v>
      </c>
      <c r="H1135" s="15"/>
      <c r="I1135" s="15"/>
      <c r="J1135" s="15" t="s">
        <v>89</v>
      </c>
      <c r="K1135" s="15">
        <v>535361047</v>
      </c>
      <c r="L1135" s="15" t="s">
        <v>29</v>
      </c>
      <c r="M1135" s="15" t="s">
        <v>29</v>
      </c>
    </row>
    <row r="1136" spans="1:13" x14ac:dyDescent="0.25">
      <c r="A1136" s="23">
        <f t="shared" si="59"/>
        <v>260137</v>
      </c>
      <c r="B1136" s="14" t="str">
        <f t="shared" si="58"/>
        <v>Direct Debit (UMB Bank) - Credits</v>
      </c>
      <c r="C1136" s="38">
        <v>46157</v>
      </c>
      <c r="D1136" s="34">
        <v>260137</v>
      </c>
      <c r="E1136" s="36" t="str">
        <f>IF(Table3[[#This Row],[Type Received]]=2,"CC",(IF(Table3[[#This Row],[Type Received]]=3,"BILL","ACH")))</f>
        <v>ACH</v>
      </c>
      <c r="F1136" s="35">
        <v>80.87</v>
      </c>
      <c r="G1136" s="14" t="str">
        <f>VLOOKUP(D1136,Table4[],3,FALSE)</f>
        <v>1</v>
      </c>
      <c r="H1136" s="15"/>
      <c r="I1136" s="15"/>
      <c r="J1136" s="15" t="s">
        <v>87</v>
      </c>
      <c r="K1136" s="15">
        <v>696676840</v>
      </c>
      <c r="L1136" s="15" t="s">
        <v>29</v>
      </c>
      <c r="M1136" s="15" t="s">
        <v>29</v>
      </c>
    </row>
    <row r="1137" spans="1:13" x14ac:dyDescent="0.25">
      <c r="A1137" s="23">
        <f t="shared" si="59"/>
        <v>260134</v>
      </c>
      <c r="B1137" s="14" t="str">
        <f t="shared" si="58"/>
        <v>Direct Debit (UMB Bank) - Credits</v>
      </c>
      <c r="C1137" s="37">
        <v>46144</v>
      </c>
      <c r="D1137" s="31">
        <v>260134</v>
      </c>
      <c r="E1137" s="33" t="str">
        <f>IF(Table3[[#This Row],[Type Received]]=2,"CC",(IF(Table3[[#This Row],[Type Received]]=3,"BILL","ACH")))</f>
        <v>ACH</v>
      </c>
      <c r="F1137" s="32">
        <v>31.15</v>
      </c>
      <c r="G1137" s="14" t="str">
        <f>VLOOKUP(D1137,Table4[],3,FALSE)</f>
        <v>1</v>
      </c>
      <c r="H1137" s="15"/>
      <c r="I1137" s="15"/>
      <c r="J1137" s="15" t="s">
        <v>89</v>
      </c>
      <c r="K1137" s="15">
        <v>535362079</v>
      </c>
      <c r="L1137" s="15" t="s">
        <v>29</v>
      </c>
      <c r="M1137" s="15" t="s">
        <v>29</v>
      </c>
    </row>
    <row r="1138" spans="1:13" x14ac:dyDescent="0.25">
      <c r="A1138" s="23">
        <f t="shared" si="59"/>
        <v>260132</v>
      </c>
      <c r="B1138" s="14" t="str">
        <f t="shared" si="58"/>
        <v>Direct Debit (UMB Bank) - Credits</v>
      </c>
      <c r="C1138" s="38">
        <v>46167</v>
      </c>
      <c r="D1138" s="34">
        <v>260132</v>
      </c>
      <c r="E1138" s="36" t="str">
        <f>IF(Table3[[#This Row],[Type Received]]=2,"CC",(IF(Table3[[#This Row],[Type Received]]=3,"BILL","ACH")))</f>
        <v>ACH</v>
      </c>
      <c r="F1138" s="35">
        <v>182.29</v>
      </c>
      <c r="G1138" s="14" t="str">
        <f>VLOOKUP(D1138,Table4[],3,FALSE)</f>
        <v>2</v>
      </c>
      <c r="H1138" s="15"/>
      <c r="I1138" s="15"/>
      <c r="J1138" s="15" t="s">
        <v>85</v>
      </c>
      <c r="K1138" s="15">
        <v>818336038</v>
      </c>
      <c r="L1138" s="15" t="s">
        <v>29</v>
      </c>
      <c r="M1138" s="15" t="s">
        <v>29</v>
      </c>
    </row>
    <row r="1139" spans="1:13" x14ac:dyDescent="0.25">
      <c r="A1139" s="23">
        <f t="shared" si="59"/>
        <v>260135</v>
      </c>
      <c r="B1139" s="14" t="str">
        <f t="shared" si="58"/>
        <v>Direct Debit (UMB Bank) - Credits</v>
      </c>
      <c r="C1139" s="37">
        <v>46157</v>
      </c>
      <c r="D1139" s="31">
        <v>260135</v>
      </c>
      <c r="E1139" s="33" t="str">
        <f>IF(Table3[[#This Row],[Type Received]]=2,"CC",(IF(Table3[[#This Row],[Type Received]]=3,"BILL","ACH")))</f>
        <v>ACH</v>
      </c>
      <c r="F1139" s="32">
        <v>48.31</v>
      </c>
      <c r="G1139" s="14" t="str">
        <f>VLOOKUP(D1139,Table4[],3,FALSE)</f>
        <v>2</v>
      </c>
      <c r="H1139" s="15"/>
      <c r="I1139" s="15"/>
      <c r="J1139" s="15" t="s">
        <v>87</v>
      </c>
      <c r="K1139" s="15">
        <v>696683632</v>
      </c>
      <c r="L1139" s="15" t="s">
        <v>29</v>
      </c>
      <c r="M1139" s="15" t="s">
        <v>29</v>
      </c>
    </row>
    <row r="1140" spans="1:13" x14ac:dyDescent="0.25">
      <c r="A1140" s="23">
        <f t="shared" si="59"/>
        <v>260136</v>
      </c>
      <c r="B1140" s="14" t="str">
        <f t="shared" si="58"/>
        <v>Credit Cards (UMB) - Credits</v>
      </c>
      <c r="C1140" s="38">
        <v>46157</v>
      </c>
      <c r="D1140" s="34">
        <v>260136</v>
      </c>
      <c r="E1140" s="36" t="str">
        <f>IF(Table3[[#This Row],[Type Received]]=2,"CC",(IF(Table3[[#This Row],[Type Received]]=3,"BILL","ACH")))</f>
        <v>CC</v>
      </c>
      <c r="F1140" s="35">
        <v>37.75</v>
      </c>
      <c r="G1140" s="14" t="str">
        <f>VLOOKUP(D1140,Table4[],3,FALSE)</f>
        <v>2</v>
      </c>
      <c r="H1140" s="15"/>
      <c r="I1140" s="15"/>
      <c r="J1140" s="24" t="s">
        <v>87</v>
      </c>
      <c r="K1140" s="15">
        <v>696694249</v>
      </c>
      <c r="L1140" s="15" t="s">
        <v>29</v>
      </c>
      <c r="M1140" s="15" t="s">
        <v>29</v>
      </c>
    </row>
    <row r="1141" spans="1:13" x14ac:dyDescent="0.25">
      <c r="A1141" s="23">
        <f t="shared" si="59"/>
        <v>260146</v>
      </c>
      <c r="B1141" s="14" t="str">
        <f t="shared" si="58"/>
        <v>Billing - Credits (from TPA)</v>
      </c>
      <c r="C1141" s="37">
        <v>46147</v>
      </c>
      <c r="D1141" s="31">
        <v>260146</v>
      </c>
      <c r="E1141" s="33" t="str">
        <f>IF(Table3[[#This Row],[Type Received]]=2,"CC",(IF(Table3[[#This Row],[Type Received]]=3,"BILL","ACH")))</f>
        <v>BILL</v>
      </c>
      <c r="F1141" s="32">
        <v>73.72</v>
      </c>
      <c r="G1141" s="14" t="str">
        <f>VLOOKUP(D1141,Table4[],3,FALSE)</f>
        <v>2</v>
      </c>
      <c r="H1141" s="15"/>
      <c r="I1141" s="15">
        <v>687228</v>
      </c>
      <c r="J1141" s="15" t="s">
        <v>28</v>
      </c>
      <c r="K1141" s="15">
        <v>569475754</v>
      </c>
      <c r="L1141" s="15" t="s">
        <v>29</v>
      </c>
      <c r="M1141" s="15" t="s">
        <v>29</v>
      </c>
    </row>
    <row r="1142" spans="1:13" x14ac:dyDescent="0.25">
      <c r="A1142" s="23">
        <f t="shared" si="59"/>
        <v>260148</v>
      </c>
      <c r="B1142" s="14" t="str">
        <f t="shared" si="58"/>
        <v>Direct Debit (UMB Bank) - Credits</v>
      </c>
      <c r="C1142" s="38">
        <v>46160</v>
      </c>
      <c r="D1142" s="34">
        <v>260148</v>
      </c>
      <c r="E1142" s="36" t="str">
        <f>IF(Table3[[#This Row],[Type Received]]=2,"CC",(IF(Table3[[#This Row],[Type Received]]=3,"BILL","ACH")))</f>
        <v>ACH</v>
      </c>
      <c r="F1142" s="35">
        <v>189.82</v>
      </c>
      <c r="G1142" s="14" t="str">
        <f>VLOOKUP(D1142,Table4[],3,FALSE)</f>
        <v>1</v>
      </c>
      <c r="H1142" s="15">
        <v>4597</v>
      </c>
      <c r="I1142" s="15"/>
      <c r="J1142" s="15"/>
      <c r="K1142" s="15"/>
      <c r="L1142" s="15"/>
      <c r="M1142" s="15" t="s">
        <v>29</v>
      </c>
    </row>
    <row r="1143" spans="1:13" x14ac:dyDescent="0.25">
      <c r="A1143" s="23">
        <f t="shared" si="59"/>
        <v>260143</v>
      </c>
      <c r="B1143" s="14" t="str">
        <f t="shared" si="58"/>
        <v>Credit Cards (UMB) - Credits</v>
      </c>
      <c r="C1143" s="37">
        <v>46144</v>
      </c>
      <c r="D1143" s="31">
        <v>260143</v>
      </c>
      <c r="E1143" s="33" t="str">
        <f>IF(Table3[[#This Row],[Type Received]]=2,"CC",(IF(Table3[[#This Row],[Type Received]]=3,"BILL","ACH")))</f>
        <v>CC</v>
      </c>
      <c r="F1143" s="32">
        <v>34.450000000000003</v>
      </c>
      <c r="G1143" s="14" t="str">
        <f>VLOOKUP(D1143,Table4[],3,FALSE)</f>
        <v>2</v>
      </c>
      <c r="H1143" s="15"/>
      <c r="I1143" s="15"/>
      <c r="J1143" s="15" t="s">
        <v>89</v>
      </c>
      <c r="K1143" s="15">
        <v>535367842</v>
      </c>
      <c r="L1143" s="15" t="s">
        <v>29</v>
      </c>
      <c r="M1143" s="15" t="s">
        <v>29</v>
      </c>
    </row>
    <row r="1144" spans="1:13" x14ac:dyDescent="0.25">
      <c r="A1144" s="23">
        <f t="shared" si="59"/>
        <v>260141</v>
      </c>
      <c r="B1144" s="14" t="str">
        <f t="shared" si="58"/>
        <v>Direct Debit (UMB Bank) - Credits</v>
      </c>
      <c r="C1144" s="38">
        <v>46155</v>
      </c>
      <c r="D1144" s="34">
        <v>260141</v>
      </c>
      <c r="E1144" s="36" t="str">
        <f>IF(Table3[[#This Row],[Type Received]]=2,"CC",(IF(Table3[[#This Row],[Type Received]]=3,"BILL","ACH")))</f>
        <v>ACH</v>
      </c>
      <c r="F1144" s="35">
        <v>64.81</v>
      </c>
      <c r="G1144" s="14" t="str">
        <f>VLOOKUP(D1144,Table4[],3,FALSE)</f>
        <v>1</v>
      </c>
      <c r="H1144" s="15"/>
      <c r="I1144" s="15">
        <v>16542</v>
      </c>
      <c r="J1144" s="15" t="s">
        <v>28</v>
      </c>
      <c r="K1144" s="15">
        <v>669466001</v>
      </c>
      <c r="L1144" s="15" t="s">
        <v>29</v>
      </c>
      <c r="M1144" s="15"/>
    </row>
    <row r="1145" spans="1:13" x14ac:dyDescent="0.25">
      <c r="A1145" s="23">
        <f t="shared" si="59"/>
        <v>260145</v>
      </c>
      <c r="B1145" s="14" t="str">
        <f t="shared" si="58"/>
        <v>Direct Debit (UMB Bank) - Credits</v>
      </c>
      <c r="C1145" s="37">
        <v>46157</v>
      </c>
      <c r="D1145" s="31">
        <v>260145</v>
      </c>
      <c r="E1145" s="33" t="str">
        <f>IF(Table3[[#This Row],[Type Received]]=2,"CC",(IF(Table3[[#This Row],[Type Received]]=3,"BILL","ACH")))</f>
        <v>ACH</v>
      </c>
      <c r="F1145" s="32">
        <v>81.97</v>
      </c>
      <c r="G1145" s="14" t="str">
        <f>VLOOKUP(D1145,Table4[],3,FALSE)</f>
        <v>1</v>
      </c>
      <c r="H1145" s="15"/>
      <c r="I1145" s="15"/>
      <c r="J1145" s="15" t="s">
        <v>87</v>
      </c>
      <c r="K1145" s="15">
        <v>696690427</v>
      </c>
      <c r="L1145" s="15" t="s">
        <v>29</v>
      </c>
      <c r="M1145" s="15" t="s">
        <v>29</v>
      </c>
    </row>
    <row r="1146" spans="1:13" x14ac:dyDescent="0.25">
      <c r="A1146" s="23">
        <f t="shared" si="59"/>
        <v>260151</v>
      </c>
      <c r="B1146" s="14" t="str">
        <f t="shared" si="58"/>
        <v>Credit Cards (UMB) - Credits</v>
      </c>
      <c r="C1146" s="38">
        <v>46144</v>
      </c>
      <c r="D1146" s="34">
        <v>260151</v>
      </c>
      <c r="E1146" s="36" t="str">
        <f>IF(Table3[[#This Row],[Type Received]]=2,"CC",(IF(Table3[[#This Row],[Type Received]]=3,"BILL","ACH")))</f>
        <v>CC</v>
      </c>
      <c r="F1146" s="35">
        <v>28.29</v>
      </c>
      <c r="G1146" s="14" t="str">
        <f>VLOOKUP(D1146,Table4[],3,FALSE)</f>
        <v>1</v>
      </c>
      <c r="H1146" s="15"/>
      <c r="I1146" s="15"/>
      <c r="J1146" s="24" t="s">
        <v>89</v>
      </c>
      <c r="K1146" s="15">
        <v>535376485</v>
      </c>
      <c r="L1146" s="15" t="s">
        <v>29</v>
      </c>
      <c r="M1146" s="15" t="s">
        <v>29</v>
      </c>
    </row>
    <row r="1147" spans="1:13" x14ac:dyDescent="0.25">
      <c r="A1147" s="23">
        <f t="shared" si="59"/>
        <v>260162</v>
      </c>
      <c r="B1147" s="14" t="str">
        <f t="shared" si="58"/>
        <v>Direct Debit (UMB Bank) - Credits</v>
      </c>
      <c r="C1147" s="37">
        <v>46155</v>
      </c>
      <c r="D1147" s="31">
        <v>260162</v>
      </c>
      <c r="E1147" s="33" t="str">
        <f>IF(Table3[[#This Row],[Type Received]]=2,"CC",(IF(Table3[[#This Row],[Type Received]]=3,"BILL","ACH")))</f>
        <v>ACH</v>
      </c>
      <c r="F1147" s="32">
        <v>77.13</v>
      </c>
      <c r="G1147" s="14" t="str">
        <f>VLOOKUP(D1147,Table4[],3,FALSE)</f>
        <v>1</v>
      </c>
      <c r="H1147" s="15"/>
      <c r="I1147" s="15">
        <v>2182</v>
      </c>
      <c r="J1147" s="15" t="s">
        <v>28</v>
      </c>
      <c r="K1147" s="15">
        <v>669473785</v>
      </c>
      <c r="L1147" s="15" t="s">
        <v>29</v>
      </c>
      <c r="M1147" s="15" t="s">
        <v>29</v>
      </c>
    </row>
    <row r="1148" spans="1:13" x14ac:dyDescent="0.25">
      <c r="A1148" s="23">
        <f t="shared" si="59"/>
        <v>260159</v>
      </c>
      <c r="B1148" s="14" t="str">
        <f t="shared" si="58"/>
        <v>Credit Cards (UMB) - Credits</v>
      </c>
      <c r="C1148" s="38">
        <v>46167</v>
      </c>
      <c r="D1148" s="34">
        <v>260159</v>
      </c>
      <c r="E1148" s="36" t="str">
        <f>IF(Table3[[#This Row],[Type Received]]=2,"CC",(IF(Table3[[#This Row],[Type Received]]=3,"BILL","ACH")))</f>
        <v>CC</v>
      </c>
      <c r="F1148" s="35">
        <v>89.89</v>
      </c>
      <c r="G1148" s="14" t="str">
        <f>VLOOKUP(D1148,Table4[],3,FALSE)</f>
        <v>1</v>
      </c>
      <c r="H1148" s="15"/>
      <c r="I1148" s="15"/>
      <c r="J1148" s="24" t="s">
        <v>85</v>
      </c>
      <c r="K1148" s="15">
        <v>818339758</v>
      </c>
      <c r="L1148" s="15" t="s">
        <v>29</v>
      </c>
      <c r="M1148" s="15" t="s">
        <v>29</v>
      </c>
    </row>
    <row r="1149" spans="1:13" x14ac:dyDescent="0.25">
      <c r="A1149" s="23">
        <f t="shared" si="59"/>
        <v>260161</v>
      </c>
      <c r="B1149" s="14" t="str">
        <f t="shared" si="58"/>
        <v>Credit Cards (UMB) - Credits</v>
      </c>
      <c r="C1149" s="37">
        <v>46155</v>
      </c>
      <c r="D1149" s="31">
        <v>260161</v>
      </c>
      <c r="E1149" s="33" t="str">
        <f>IF(Table3[[#This Row],[Type Received]]=2,"CC",(IF(Table3[[#This Row],[Type Received]]=3,"BILL","ACH")))</f>
        <v>CC</v>
      </c>
      <c r="F1149" s="32">
        <v>56.89</v>
      </c>
      <c r="G1149" s="14" t="str">
        <f>VLOOKUP(D1149,Table4[],3,FALSE)</f>
        <v>1</v>
      </c>
      <c r="H1149" s="15"/>
      <c r="I1149" s="15">
        <v>2240</v>
      </c>
      <c r="J1149" s="24" t="s">
        <v>28</v>
      </c>
      <c r="K1149" s="15">
        <v>669465093</v>
      </c>
      <c r="L1149" s="15" t="s">
        <v>29</v>
      </c>
      <c r="M1149" s="15" t="s">
        <v>29</v>
      </c>
    </row>
    <row r="1150" spans="1:13" x14ac:dyDescent="0.25">
      <c r="A1150" s="23">
        <f t="shared" si="59"/>
        <v>260163</v>
      </c>
      <c r="B1150" s="14" t="str">
        <f t="shared" si="58"/>
        <v>Direct Debit (UMB Bank) - Credits</v>
      </c>
      <c r="C1150" s="38">
        <v>46155</v>
      </c>
      <c r="D1150" s="34">
        <v>260163</v>
      </c>
      <c r="E1150" s="36" t="str">
        <f>IF(Table3[[#This Row],[Type Received]]=2,"CC",(IF(Table3[[#This Row],[Type Received]]=3,"BILL","ACH")))</f>
        <v>ACH</v>
      </c>
      <c r="F1150" s="35">
        <v>128.5</v>
      </c>
      <c r="G1150" s="14" t="str">
        <f>VLOOKUP(D1150,Table4[],3,FALSE)</f>
        <v>2</v>
      </c>
      <c r="H1150" s="15"/>
      <c r="I1150" s="15">
        <v>207191</v>
      </c>
      <c r="J1150" s="15" t="s">
        <v>28</v>
      </c>
      <c r="K1150" s="15">
        <v>669474723</v>
      </c>
      <c r="L1150" s="15" t="s">
        <v>29</v>
      </c>
      <c r="M1150" s="15" t="s">
        <v>29</v>
      </c>
    </row>
    <row r="1151" spans="1:13" x14ac:dyDescent="0.25">
      <c r="A1151" s="23">
        <f t="shared" si="59"/>
        <v>260166</v>
      </c>
      <c r="B1151" s="14" t="str">
        <f t="shared" si="58"/>
        <v>Direct Debit (UMB Bank) - Credits</v>
      </c>
      <c r="C1151" s="37">
        <v>46157</v>
      </c>
      <c r="D1151" s="31">
        <v>260166</v>
      </c>
      <c r="E1151" s="33" t="str">
        <f>IF(Table3[[#This Row],[Type Received]]=2,"CC",(IF(Table3[[#This Row],[Type Received]]=3,"BILL","ACH")))</f>
        <v>ACH</v>
      </c>
      <c r="F1151" s="32">
        <v>39.950000000000003</v>
      </c>
      <c r="G1151" s="14" t="str">
        <f>VLOOKUP(D1151,Table4[],3,FALSE)</f>
        <v>1</v>
      </c>
      <c r="H1151" s="15"/>
      <c r="I1151" s="15"/>
      <c r="J1151" s="15" t="s">
        <v>87</v>
      </c>
      <c r="K1151" s="15">
        <v>696691418</v>
      </c>
      <c r="L1151" s="15" t="s">
        <v>29</v>
      </c>
      <c r="M1151" s="15" t="s">
        <v>29</v>
      </c>
    </row>
    <row r="1152" spans="1:13" x14ac:dyDescent="0.25">
      <c r="A1152" s="23">
        <f t="shared" si="59"/>
        <v>260167</v>
      </c>
      <c r="B1152" s="14" t="str">
        <f t="shared" si="58"/>
        <v>Credit Cards (UMB) - Credits</v>
      </c>
      <c r="C1152" s="38">
        <v>46144</v>
      </c>
      <c r="D1152" s="34">
        <v>260167</v>
      </c>
      <c r="E1152" s="36" t="str">
        <f>IF(Table3[[#This Row],[Type Received]]=2,"CC",(IF(Table3[[#This Row],[Type Received]]=3,"BILL","ACH")))</f>
        <v>CC</v>
      </c>
      <c r="F1152" s="35">
        <v>26.75</v>
      </c>
      <c r="G1152" s="14" t="str">
        <f>VLOOKUP(D1152,Table4[],3,FALSE)</f>
        <v>1</v>
      </c>
      <c r="H1152" s="15"/>
      <c r="I1152" s="15"/>
      <c r="J1152" s="24" t="s">
        <v>89</v>
      </c>
      <c r="K1152" s="15">
        <v>535384299</v>
      </c>
      <c r="L1152" s="15" t="s">
        <v>29</v>
      </c>
      <c r="M1152" s="15" t="s">
        <v>29</v>
      </c>
    </row>
    <row r="1153" spans="1:13" x14ac:dyDescent="0.25">
      <c r="A1153" s="23">
        <f t="shared" ref="A1153:A1181" si="60">D1153</f>
        <v>260181</v>
      </c>
      <c r="B1153" s="14" t="str">
        <f t="shared" si="58"/>
        <v>Direct Debit (UMB Bank) - Credits</v>
      </c>
      <c r="C1153" s="37">
        <v>46164</v>
      </c>
      <c r="D1153" s="31">
        <v>260181</v>
      </c>
      <c r="E1153" s="33" t="str">
        <f>IF(Table3[[#This Row],[Type Received]]=2,"CC",(IF(Table3[[#This Row],[Type Received]]=3,"BILL","ACH")))</f>
        <v>ACH</v>
      </c>
      <c r="F1153" s="32">
        <v>52.95</v>
      </c>
      <c r="G1153" s="14" t="str">
        <f>VLOOKUP(D1153,Table4[],3,FALSE)</f>
        <v>2</v>
      </c>
      <c r="H1153" s="15"/>
      <c r="I1153" s="15">
        <v>6076</v>
      </c>
      <c r="J1153" s="15">
        <v>747909705</v>
      </c>
      <c r="K1153" s="15">
        <v>355507428</v>
      </c>
      <c r="L1153" s="15"/>
      <c r="M1153" s="15" t="s">
        <v>29</v>
      </c>
    </row>
    <row r="1154" spans="1:13" x14ac:dyDescent="0.25">
      <c r="A1154" s="23">
        <f t="shared" si="60"/>
        <v>260175</v>
      </c>
      <c r="B1154" s="14" t="str">
        <f t="shared" ref="B1154:B1217" si="61">IF(AND(E1154="BILL",F1154&lt;0),"Billing &amp; Direct Debit - Refunds",(IF(AND(E1154="BILL",F1154&gt;0),"Billing - Credits (from TPA)",(IF(AND(E1154="CC",F1154&lt;0),"Credit Cards (UMB) - Refunds",(IF(AND(E1154="CC",F1154&gt;0),"Credit Cards (UMB) - Credits",(IF(AND(E1154="ACH",F1154&gt;0),"Direct Debit (UMB Bank) - Credits","Direct Debit (UMB Bank) - Returned Items")))))))))</f>
        <v>Direct Debit (UMB Bank) - Credits</v>
      </c>
      <c r="C1154" s="38">
        <v>46144</v>
      </c>
      <c r="D1154" s="34">
        <v>260175</v>
      </c>
      <c r="E1154" s="36" t="str">
        <f>IF(Table3[[#This Row],[Type Received]]=2,"CC",(IF(Table3[[#This Row],[Type Received]]=3,"BILL","ACH")))</f>
        <v>ACH</v>
      </c>
      <c r="F1154" s="35">
        <v>70.53</v>
      </c>
      <c r="G1154" s="14" t="str">
        <f>VLOOKUP(D1154,Table4[],3,FALSE)</f>
        <v>1</v>
      </c>
      <c r="H1154" s="15"/>
      <c r="I1154" s="15"/>
      <c r="J1154" s="15" t="s">
        <v>89</v>
      </c>
      <c r="K1154" s="15">
        <v>535373620</v>
      </c>
      <c r="L1154" s="15" t="s">
        <v>29</v>
      </c>
      <c r="M1154" s="15"/>
    </row>
    <row r="1155" spans="1:13" x14ac:dyDescent="0.25">
      <c r="A1155" s="23">
        <f t="shared" si="60"/>
        <v>260177</v>
      </c>
      <c r="B1155" s="14" t="str">
        <f t="shared" si="61"/>
        <v>Direct Debit (UMB Bank) - Credits</v>
      </c>
      <c r="C1155" s="37">
        <v>46157</v>
      </c>
      <c r="D1155" s="31">
        <v>260177</v>
      </c>
      <c r="E1155" s="33" t="str">
        <f>IF(Table3[[#This Row],[Type Received]]=2,"CC",(IF(Table3[[#This Row],[Type Received]]=3,"BILL","ACH")))</f>
        <v>ACH</v>
      </c>
      <c r="F1155" s="32">
        <v>72.290000000000006</v>
      </c>
      <c r="G1155" s="14" t="str">
        <f>VLOOKUP(D1155,Table4[],3,FALSE)</f>
        <v>1</v>
      </c>
      <c r="H1155" s="15"/>
      <c r="I1155" s="15"/>
      <c r="J1155" s="15" t="s">
        <v>87</v>
      </c>
      <c r="K1155" s="15">
        <v>696670019</v>
      </c>
      <c r="L1155" s="15" t="s">
        <v>29</v>
      </c>
      <c r="M1155" s="15"/>
    </row>
    <row r="1156" spans="1:13" x14ac:dyDescent="0.25">
      <c r="A1156" s="23">
        <f t="shared" si="60"/>
        <v>260170</v>
      </c>
      <c r="B1156" s="14" t="str">
        <f t="shared" si="61"/>
        <v>Direct Debit (UMB Bank) - Credits</v>
      </c>
      <c r="C1156" s="38">
        <v>46167</v>
      </c>
      <c r="D1156" s="34">
        <v>260170</v>
      </c>
      <c r="E1156" s="36" t="str">
        <f>IF(Table3[[#This Row],[Type Received]]=2,"CC",(IF(Table3[[#This Row],[Type Received]]=3,"BILL","ACH")))</f>
        <v>ACH</v>
      </c>
      <c r="F1156" s="35">
        <v>125.86</v>
      </c>
      <c r="G1156" s="14" t="str">
        <f>VLOOKUP(D1156,Table4[],3,FALSE)</f>
        <v>2</v>
      </c>
      <c r="H1156" s="15"/>
      <c r="I1156" s="15"/>
      <c r="J1156" s="15" t="s">
        <v>85</v>
      </c>
      <c r="K1156" s="15">
        <v>818358109</v>
      </c>
      <c r="L1156" s="15" t="s">
        <v>29</v>
      </c>
      <c r="M1156" s="15" t="s">
        <v>29</v>
      </c>
    </row>
    <row r="1157" spans="1:13" x14ac:dyDescent="0.25">
      <c r="A1157" s="23">
        <f t="shared" si="60"/>
        <v>260176</v>
      </c>
      <c r="B1157" s="14" t="str">
        <f t="shared" si="61"/>
        <v>Credit Cards (UMB) - Credits</v>
      </c>
      <c r="C1157" s="37">
        <v>46144</v>
      </c>
      <c r="D1157" s="31">
        <v>260176</v>
      </c>
      <c r="E1157" s="33" t="str">
        <f>IF(Table3[[#This Row],[Type Received]]=2,"CC",(IF(Table3[[#This Row],[Type Received]]=3,"BILL","ACH")))</f>
        <v>CC</v>
      </c>
      <c r="F1157" s="32">
        <v>71.63</v>
      </c>
      <c r="G1157" s="14" t="str">
        <f>VLOOKUP(D1157,Table4[],3,FALSE)</f>
        <v>1</v>
      </c>
      <c r="H1157" s="15"/>
      <c r="I1157" s="15"/>
      <c r="J1157" s="24" t="s">
        <v>89</v>
      </c>
      <c r="K1157" s="15">
        <v>535390143</v>
      </c>
      <c r="L1157" s="15" t="s">
        <v>29</v>
      </c>
      <c r="M1157" s="15" t="s">
        <v>29</v>
      </c>
    </row>
    <row r="1158" spans="1:13" x14ac:dyDescent="0.25">
      <c r="A1158" s="23">
        <f t="shared" si="60"/>
        <v>260168</v>
      </c>
      <c r="B1158" s="14" t="str">
        <f t="shared" si="61"/>
        <v>Billing - Credits (from TPA)</v>
      </c>
      <c r="C1158" s="38">
        <v>46155</v>
      </c>
      <c r="D1158" s="34">
        <v>260168</v>
      </c>
      <c r="E1158" s="36" t="str">
        <f>IF(Table3[[#This Row],[Type Received]]=2,"CC",(IF(Table3[[#This Row],[Type Received]]=3,"BILL","ACH")))</f>
        <v>BILL</v>
      </c>
      <c r="F1158" s="35">
        <v>83.29</v>
      </c>
      <c r="G1158" s="14" t="str">
        <f>VLOOKUP(D1158,Table4[],3,FALSE)</f>
        <v>2</v>
      </c>
      <c r="H1158" s="15"/>
      <c r="I1158" s="15" t="s">
        <v>193</v>
      </c>
      <c r="J1158" s="15" t="s">
        <v>28</v>
      </c>
      <c r="K1158" s="15">
        <v>669475725</v>
      </c>
      <c r="L1158" s="15" t="s">
        <v>29</v>
      </c>
      <c r="M1158" s="15"/>
    </row>
    <row r="1159" spans="1:13" x14ac:dyDescent="0.25">
      <c r="A1159" s="23">
        <f t="shared" si="60"/>
        <v>260191</v>
      </c>
      <c r="B1159" s="14" t="str">
        <f t="shared" si="61"/>
        <v>Direct Debit (UMB Bank) - Credits</v>
      </c>
      <c r="C1159" s="37">
        <v>46169</v>
      </c>
      <c r="D1159" s="31">
        <v>260191</v>
      </c>
      <c r="E1159" s="33" t="str">
        <f>IF(Table3[[#This Row],[Type Received]]=2,"CC",(IF(Table3[[#This Row],[Type Received]]=3,"BILL","ACH")))</f>
        <v>ACH</v>
      </c>
      <c r="F1159" s="32">
        <v>42.83</v>
      </c>
      <c r="G1159" s="14" t="str">
        <f>VLOOKUP(D1159,Table4[],3,FALSE)</f>
        <v>1</v>
      </c>
      <c r="H1159" s="15">
        <v>19836490495</v>
      </c>
      <c r="I1159" s="15"/>
      <c r="J1159" s="15"/>
      <c r="K1159" s="15"/>
      <c r="L1159" s="15"/>
      <c r="M1159" s="15" t="s">
        <v>29</v>
      </c>
    </row>
    <row r="1160" spans="1:13" x14ac:dyDescent="0.25">
      <c r="A1160" s="23">
        <f t="shared" si="60"/>
        <v>260174</v>
      </c>
      <c r="B1160" s="14" t="str">
        <f t="shared" si="61"/>
        <v>Direct Debit (UMB Bank) - Credits</v>
      </c>
      <c r="C1160" s="38">
        <v>46145</v>
      </c>
      <c r="D1160" s="34">
        <v>260174</v>
      </c>
      <c r="E1160" s="36" t="str">
        <f>IF(Table3[[#This Row],[Type Received]]=2,"CC",(IF(Table3[[#This Row],[Type Received]]=3,"BILL","ACH")))</f>
        <v>ACH</v>
      </c>
      <c r="F1160" s="35">
        <v>64.150000000000006</v>
      </c>
      <c r="G1160" s="14" t="str">
        <f>VLOOKUP(D1160,Table4[],3,FALSE)</f>
        <v>2</v>
      </c>
      <c r="H1160" s="15"/>
      <c r="I1160" s="15"/>
      <c r="J1160" s="15" t="s">
        <v>113</v>
      </c>
      <c r="K1160" s="15">
        <v>546414871</v>
      </c>
      <c r="L1160" s="15" t="s">
        <v>29</v>
      </c>
      <c r="M1160" s="15" t="s">
        <v>29</v>
      </c>
    </row>
    <row r="1161" spans="1:13" x14ac:dyDescent="0.25">
      <c r="A1161" s="23">
        <f t="shared" si="60"/>
        <v>260171</v>
      </c>
      <c r="B1161" s="14" t="str">
        <f t="shared" si="61"/>
        <v>Direct Debit (UMB Bank) - Credits</v>
      </c>
      <c r="C1161" s="37">
        <v>46167</v>
      </c>
      <c r="D1161" s="31">
        <v>260171</v>
      </c>
      <c r="E1161" s="33" t="str">
        <f>IF(Table3[[#This Row],[Type Received]]=2,"CC",(IF(Table3[[#This Row],[Type Received]]=3,"BILL","ACH")))</f>
        <v>ACH</v>
      </c>
      <c r="F1161" s="32">
        <v>53.92</v>
      </c>
      <c r="G1161" s="14" t="str">
        <f>VLOOKUP(D1161,Table4[],3,FALSE)</f>
        <v>2</v>
      </c>
      <c r="H1161" s="15"/>
      <c r="I1161" s="15"/>
      <c r="J1161" s="24" t="s">
        <v>85</v>
      </c>
      <c r="K1161" s="15">
        <v>818350470</v>
      </c>
      <c r="L1161" s="15" t="s">
        <v>29</v>
      </c>
      <c r="M1161" s="15" t="s">
        <v>29</v>
      </c>
    </row>
    <row r="1162" spans="1:13" x14ac:dyDescent="0.25">
      <c r="A1162" s="23">
        <f t="shared" si="60"/>
        <v>260173</v>
      </c>
      <c r="B1162" s="14" t="str">
        <f t="shared" si="61"/>
        <v>Credit Cards (UMB) - Credits</v>
      </c>
      <c r="C1162" s="38">
        <v>46167</v>
      </c>
      <c r="D1162" s="34">
        <v>260173</v>
      </c>
      <c r="E1162" s="36" t="str">
        <f>IF(Table3[[#This Row],[Type Received]]=2,"CC",(IF(Table3[[#This Row],[Type Received]]=3,"BILL","ACH")))</f>
        <v>CC</v>
      </c>
      <c r="F1162" s="35">
        <v>59.31</v>
      </c>
      <c r="G1162" s="14" t="str">
        <f>VLOOKUP(D1162,Table4[],3,FALSE)</f>
        <v>1</v>
      </c>
      <c r="H1162" s="15"/>
      <c r="I1162" s="15"/>
      <c r="J1162" s="15" t="s">
        <v>85</v>
      </c>
      <c r="K1162" s="15">
        <v>818350455</v>
      </c>
      <c r="L1162" s="15" t="s">
        <v>29</v>
      </c>
      <c r="M1162" s="15" t="s">
        <v>29</v>
      </c>
    </row>
    <row r="1163" spans="1:13" x14ac:dyDescent="0.25">
      <c r="A1163" s="23">
        <f t="shared" si="60"/>
        <v>260180</v>
      </c>
      <c r="B1163" s="14" t="str">
        <f t="shared" si="61"/>
        <v>Credit Cards (UMB) - Credits</v>
      </c>
      <c r="C1163" s="37">
        <v>46143</v>
      </c>
      <c r="D1163" s="31">
        <v>260180</v>
      </c>
      <c r="E1163" s="33" t="str">
        <f>IF(Table3[[#This Row],[Type Received]]=2,"CC",(IF(Table3[[#This Row],[Type Received]]=3,"BILL","ACH")))</f>
        <v>CC</v>
      </c>
      <c r="F1163" s="32">
        <v>58.89</v>
      </c>
      <c r="G1163" s="14" t="str">
        <f>VLOOKUP(D1163,Table4[],3,FALSE)</f>
        <v>2</v>
      </c>
      <c r="H1163" s="15"/>
      <c r="I1163" s="15">
        <v>913918</v>
      </c>
      <c r="J1163" s="24" t="s">
        <v>28</v>
      </c>
      <c r="K1163" s="15">
        <v>526280412</v>
      </c>
      <c r="L1163" s="15" t="s">
        <v>29</v>
      </c>
      <c r="M1163" s="15" t="s">
        <v>29</v>
      </c>
    </row>
    <row r="1164" spans="1:13" x14ac:dyDescent="0.25">
      <c r="A1164" s="23">
        <f t="shared" si="60"/>
        <v>260192</v>
      </c>
      <c r="B1164" s="14" t="str">
        <f t="shared" si="61"/>
        <v>Billing - Credits (from TPA)</v>
      </c>
      <c r="C1164" s="38">
        <v>46155</v>
      </c>
      <c r="D1164" s="34">
        <v>260192</v>
      </c>
      <c r="E1164" s="36" t="str">
        <f>IF(Table3[[#This Row],[Type Received]]=2,"CC",(IF(Table3[[#This Row],[Type Received]]=3,"BILL","ACH")))</f>
        <v>BILL</v>
      </c>
      <c r="F1164" s="35">
        <v>76.69</v>
      </c>
      <c r="G1164" s="14" t="str">
        <f>VLOOKUP(D1164,Table4[],3,FALSE)</f>
        <v>2</v>
      </c>
      <c r="H1164" s="15"/>
      <c r="I1164" s="15">
        <v>55007</v>
      </c>
      <c r="J1164" s="24" t="s">
        <v>28</v>
      </c>
      <c r="K1164" s="15">
        <v>669492119</v>
      </c>
      <c r="L1164" s="15" t="s">
        <v>29</v>
      </c>
      <c r="M1164" s="15" t="s">
        <v>29</v>
      </c>
    </row>
    <row r="1165" spans="1:13" x14ac:dyDescent="0.25">
      <c r="A1165" s="23">
        <f t="shared" si="60"/>
        <v>260193</v>
      </c>
      <c r="B1165" s="14" t="str">
        <f t="shared" si="61"/>
        <v>Billing - Credits (from TPA)</v>
      </c>
      <c r="C1165" s="37">
        <v>46161</v>
      </c>
      <c r="D1165" s="31">
        <v>260193</v>
      </c>
      <c r="E1165" s="33" t="str">
        <f>IF(Table3[[#This Row],[Type Received]]=2,"CC",(IF(Table3[[#This Row],[Type Received]]=3,"BILL","ACH")))</f>
        <v>BILL</v>
      </c>
      <c r="F1165" s="32">
        <v>53.17</v>
      </c>
      <c r="G1165" s="14" t="str">
        <f>VLOOKUP(D1165,Table4[],3,FALSE)</f>
        <v>1</v>
      </c>
      <c r="H1165" s="15">
        <v>250</v>
      </c>
      <c r="I1165" s="15"/>
      <c r="J1165" s="15"/>
      <c r="K1165" s="15"/>
      <c r="L1165" s="15"/>
      <c r="M1165" s="15" t="s">
        <v>29</v>
      </c>
    </row>
    <row r="1166" spans="1:13" x14ac:dyDescent="0.25">
      <c r="A1166" s="23">
        <f t="shared" si="60"/>
        <v>260193</v>
      </c>
      <c r="B1166" s="14" t="str">
        <f t="shared" si="61"/>
        <v>Credit Cards (UMB) - Credits</v>
      </c>
      <c r="C1166" s="38">
        <v>46146</v>
      </c>
      <c r="D1166" s="34">
        <v>260193</v>
      </c>
      <c r="E1166" s="36" t="str">
        <f>IF(Table3[[#This Row],[Type Received]]=2,"CC",(IF(Table3[[#This Row],[Type Received]]=3,"BILL","ACH")))</f>
        <v>CC</v>
      </c>
      <c r="F1166" s="35">
        <v>53.17</v>
      </c>
      <c r="G1166" s="14" t="str">
        <f>VLOOKUP(D1166,Table4[],3,FALSE)</f>
        <v>1</v>
      </c>
      <c r="H1166" s="15">
        <v>252</v>
      </c>
      <c r="I1166" s="15"/>
      <c r="J1166" s="15"/>
      <c r="K1166" s="15"/>
      <c r="L1166" s="15"/>
      <c r="M1166" s="15" t="s">
        <v>29</v>
      </c>
    </row>
    <row r="1167" spans="1:13" x14ac:dyDescent="0.25">
      <c r="A1167" s="23">
        <f t="shared" si="60"/>
        <v>260194</v>
      </c>
      <c r="B1167" s="14" t="str">
        <f t="shared" si="61"/>
        <v>Direct Debit (UMB Bank) - Credits</v>
      </c>
      <c r="C1167" s="37">
        <v>46155</v>
      </c>
      <c r="D1167" s="31">
        <v>260194</v>
      </c>
      <c r="E1167" s="33" t="str">
        <f>IF(Table3[[#This Row],[Type Received]]=2,"CC",(IF(Table3[[#This Row],[Type Received]]=3,"BILL","ACH")))</f>
        <v>ACH</v>
      </c>
      <c r="F1167" s="32">
        <v>181.3</v>
      </c>
      <c r="G1167" s="14" t="str">
        <f>VLOOKUP(D1167,Table4[],3,FALSE)</f>
        <v>2</v>
      </c>
      <c r="H1167" s="15"/>
      <c r="I1167" s="15" t="s">
        <v>194</v>
      </c>
      <c r="J1167" s="15" t="s">
        <v>28</v>
      </c>
      <c r="K1167" s="15">
        <v>669476654</v>
      </c>
      <c r="L1167" s="15" t="s">
        <v>29</v>
      </c>
      <c r="M1167" s="15" t="s">
        <v>29</v>
      </c>
    </row>
    <row r="1168" spans="1:13" x14ac:dyDescent="0.25">
      <c r="A1168" s="23">
        <f t="shared" si="60"/>
        <v>260196</v>
      </c>
      <c r="B1168" s="14" t="str">
        <f t="shared" si="61"/>
        <v>Credit Cards (UMB) - Credits</v>
      </c>
      <c r="C1168" s="38">
        <v>46144</v>
      </c>
      <c r="D1168" s="34">
        <v>260196</v>
      </c>
      <c r="E1168" s="36" t="str">
        <f>IF(Table3[[#This Row],[Type Received]]=2,"CC",(IF(Table3[[#This Row],[Type Received]]=3,"BILL","ACH")))</f>
        <v>CC</v>
      </c>
      <c r="F1168" s="35">
        <v>34.67</v>
      </c>
      <c r="G1168" s="14" t="str">
        <f>VLOOKUP(D1168,Table4[],3,FALSE)</f>
        <v>1</v>
      </c>
      <c r="H1168" s="15"/>
      <c r="I1168" s="15"/>
      <c r="J1168" s="15" t="s">
        <v>89</v>
      </c>
      <c r="K1168" s="15">
        <v>535389195</v>
      </c>
      <c r="L1168" s="15" t="s">
        <v>29</v>
      </c>
      <c r="M1168" s="15" t="s">
        <v>29</v>
      </c>
    </row>
    <row r="1169" spans="1:13" x14ac:dyDescent="0.25">
      <c r="A1169" s="23">
        <f t="shared" si="60"/>
        <v>260197</v>
      </c>
      <c r="B1169" s="14" t="str">
        <f t="shared" si="61"/>
        <v>Direct Debit (UMB Bank) - Credits</v>
      </c>
      <c r="C1169" s="37">
        <v>46163</v>
      </c>
      <c r="D1169" s="31">
        <v>260197</v>
      </c>
      <c r="E1169" s="33" t="str">
        <f>IF(Table3[[#This Row],[Type Received]]=2,"CC",(IF(Table3[[#This Row],[Type Received]]=3,"BILL","ACH")))</f>
        <v>ACH</v>
      </c>
      <c r="F1169" s="32">
        <v>157.69999999999999</v>
      </c>
      <c r="G1169" s="14" t="str">
        <f>VLOOKUP(D1169,Table4[],3,FALSE)</f>
        <v>2</v>
      </c>
      <c r="H1169" s="15"/>
      <c r="I1169" s="15">
        <v>11310</v>
      </c>
      <c r="J1169" s="15" t="s">
        <v>28</v>
      </c>
      <c r="K1169" s="15">
        <v>772671232</v>
      </c>
      <c r="L1169" s="15" t="s">
        <v>29</v>
      </c>
      <c r="M1169" s="15" t="s">
        <v>29</v>
      </c>
    </row>
    <row r="1170" spans="1:13" x14ac:dyDescent="0.25">
      <c r="A1170" s="23">
        <f t="shared" si="60"/>
        <v>260199</v>
      </c>
      <c r="B1170" s="14" t="str">
        <f t="shared" si="61"/>
        <v>Direct Debit (UMB Bank) - Credits</v>
      </c>
      <c r="C1170" s="38">
        <v>46144</v>
      </c>
      <c r="D1170" s="34">
        <v>260199</v>
      </c>
      <c r="E1170" s="36" t="str">
        <f>IF(Table3[[#This Row],[Type Received]]=2,"CC",(IF(Table3[[#This Row],[Type Received]]=3,"BILL","ACH")))</f>
        <v>ACH</v>
      </c>
      <c r="F1170" s="35">
        <v>111.45</v>
      </c>
      <c r="G1170" s="14" t="str">
        <f>VLOOKUP(D1170,Table4[],3,FALSE)</f>
        <v>1</v>
      </c>
      <c r="H1170" s="15"/>
      <c r="I1170" s="15"/>
      <c r="J1170" s="15" t="s">
        <v>89</v>
      </c>
      <c r="K1170" s="15">
        <v>535384373</v>
      </c>
      <c r="L1170" s="15" t="s">
        <v>29</v>
      </c>
      <c r="M1170" s="15" t="s">
        <v>29</v>
      </c>
    </row>
    <row r="1171" spans="1:13" x14ac:dyDescent="0.25">
      <c r="A1171" s="23">
        <f t="shared" si="60"/>
        <v>260212</v>
      </c>
      <c r="B1171" s="14" t="str">
        <f t="shared" si="61"/>
        <v>Direct Debit (UMB Bank) - Credits</v>
      </c>
      <c r="C1171" s="37">
        <v>46157</v>
      </c>
      <c r="D1171" s="31">
        <v>260212</v>
      </c>
      <c r="E1171" s="33" t="str">
        <f>IF(Table3[[#This Row],[Type Received]]=2,"CC",(IF(Table3[[#This Row],[Type Received]]=3,"BILL","ACH")))</f>
        <v>ACH</v>
      </c>
      <c r="F1171" s="32">
        <v>133.44999999999999</v>
      </c>
      <c r="G1171" s="14" t="str">
        <f>VLOOKUP(D1171,Table4[],3,FALSE)</f>
        <v>2</v>
      </c>
      <c r="H1171" s="15"/>
      <c r="I1171" s="15"/>
      <c r="J1171" s="15" t="s">
        <v>87</v>
      </c>
      <c r="K1171" s="15">
        <v>696686672</v>
      </c>
      <c r="L1171" s="15" t="s">
        <v>29</v>
      </c>
      <c r="M1171" s="15" t="s">
        <v>29</v>
      </c>
    </row>
    <row r="1172" spans="1:13" x14ac:dyDescent="0.25">
      <c r="A1172" s="23">
        <f t="shared" si="60"/>
        <v>260211</v>
      </c>
      <c r="B1172" s="14" t="str">
        <f t="shared" si="61"/>
        <v>Direct Debit (UMB Bank) - Credits</v>
      </c>
      <c r="C1172" s="38">
        <v>46167</v>
      </c>
      <c r="D1172" s="34">
        <v>260211</v>
      </c>
      <c r="E1172" s="36" t="str">
        <f>IF(Table3[[#This Row],[Type Received]]=2,"CC",(IF(Table3[[#This Row],[Type Received]]=3,"BILL","ACH")))</f>
        <v>ACH</v>
      </c>
      <c r="F1172" s="35">
        <v>67.67</v>
      </c>
      <c r="G1172" s="14" t="str">
        <f>VLOOKUP(D1172,Table4[],3,FALSE)</f>
        <v>1</v>
      </c>
      <c r="H1172" s="15"/>
      <c r="I1172" s="15"/>
      <c r="J1172" s="15" t="s">
        <v>85</v>
      </c>
      <c r="K1172" s="15">
        <v>818346611</v>
      </c>
      <c r="L1172" s="15" t="s">
        <v>29</v>
      </c>
      <c r="M1172" s="15" t="s">
        <v>29</v>
      </c>
    </row>
    <row r="1173" spans="1:13" x14ac:dyDescent="0.25">
      <c r="A1173" s="23">
        <f t="shared" si="60"/>
        <v>260213</v>
      </c>
      <c r="B1173" s="14" t="str">
        <f t="shared" si="61"/>
        <v>Credit Cards (UMB) - Credits</v>
      </c>
      <c r="C1173" s="37">
        <v>46144</v>
      </c>
      <c r="D1173" s="31">
        <v>260213</v>
      </c>
      <c r="E1173" s="33" t="str">
        <f>IF(Table3[[#This Row],[Type Received]]=2,"CC",(IF(Table3[[#This Row],[Type Received]]=3,"BILL","ACH")))</f>
        <v>CC</v>
      </c>
      <c r="F1173" s="32">
        <v>57.55</v>
      </c>
      <c r="G1173" s="14" t="str">
        <f>VLOOKUP(D1173,Table4[],3,FALSE)</f>
        <v>2</v>
      </c>
      <c r="H1173" s="15"/>
      <c r="I1173" s="15"/>
      <c r="J1173" s="15" t="s">
        <v>89</v>
      </c>
      <c r="K1173" s="15">
        <v>535391117</v>
      </c>
      <c r="L1173" s="15" t="s">
        <v>29</v>
      </c>
      <c r="M1173" s="15" t="s">
        <v>29</v>
      </c>
    </row>
    <row r="1174" spans="1:13" x14ac:dyDescent="0.25">
      <c r="A1174" s="23">
        <f t="shared" si="60"/>
        <v>260208</v>
      </c>
      <c r="B1174" s="14" t="str">
        <f t="shared" si="61"/>
        <v>Direct Debit (UMB Bank) - Credits</v>
      </c>
      <c r="C1174" s="38">
        <v>46155</v>
      </c>
      <c r="D1174" s="34">
        <v>260208</v>
      </c>
      <c r="E1174" s="36" t="str">
        <f>IF(Table3[[#This Row],[Type Received]]=2,"CC",(IF(Table3[[#This Row],[Type Received]]=3,"BILL","ACH")))</f>
        <v>ACH</v>
      </c>
      <c r="F1174" s="35">
        <v>75.040000000000006</v>
      </c>
      <c r="G1174" s="14" t="str">
        <f>VLOOKUP(D1174,Table4[],3,FALSE)</f>
        <v>2</v>
      </c>
      <c r="H1174" s="15"/>
      <c r="I1174" s="15" t="s">
        <v>195</v>
      </c>
      <c r="J1174" s="15" t="s">
        <v>28</v>
      </c>
      <c r="K1174" s="15">
        <v>669484318</v>
      </c>
      <c r="L1174" s="15" t="s">
        <v>29</v>
      </c>
      <c r="M1174" s="15" t="s">
        <v>29</v>
      </c>
    </row>
    <row r="1175" spans="1:13" x14ac:dyDescent="0.25">
      <c r="A1175" s="23">
        <f t="shared" si="60"/>
        <v>260209</v>
      </c>
      <c r="B1175" s="14" t="str">
        <f t="shared" si="61"/>
        <v>Direct Debit (UMB Bank) - Credits</v>
      </c>
      <c r="C1175" s="37">
        <v>46157</v>
      </c>
      <c r="D1175" s="31">
        <v>260209</v>
      </c>
      <c r="E1175" s="33" t="str">
        <f>IF(Table3[[#This Row],[Type Received]]=2,"CC",(IF(Table3[[#This Row],[Type Received]]=3,"BILL","ACH")))</f>
        <v>ACH</v>
      </c>
      <c r="F1175" s="32">
        <v>42.59</v>
      </c>
      <c r="G1175" s="14" t="str">
        <f>VLOOKUP(D1175,Table4[],3,FALSE)</f>
        <v>1</v>
      </c>
      <c r="H1175" s="15"/>
      <c r="I1175" s="15"/>
      <c r="J1175" s="15" t="s">
        <v>87</v>
      </c>
      <c r="K1175" s="15">
        <v>696689520</v>
      </c>
      <c r="L1175" s="15" t="s">
        <v>29</v>
      </c>
      <c r="M1175" s="15" t="s">
        <v>29</v>
      </c>
    </row>
    <row r="1176" spans="1:13" x14ac:dyDescent="0.25">
      <c r="A1176" s="23">
        <f t="shared" si="60"/>
        <v>260210</v>
      </c>
      <c r="B1176" s="14" t="str">
        <f t="shared" si="61"/>
        <v>Credit Cards (UMB) - Credits</v>
      </c>
      <c r="C1176" s="38">
        <v>46157</v>
      </c>
      <c r="D1176" s="34">
        <v>260210</v>
      </c>
      <c r="E1176" s="36" t="str">
        <f>IF(Table3[[#This Row],[Type Received]]=2,"CC",(IF(Table3[[#This Row],[Type Received]]=3,"BILL","ACH")))</f>
        <v>CC</v>
      </c>
      <c r="F1176" s="35">
        <v>36.869999999999997</v>
      </c>
      <c r="G1176" s="14" t="str">
        <f>VLOOKUP(D1176,Table4[],3,FALSE)</f>
        <v>1</v>
      </c>
      <c r="H1176" s="15"/>
      <c r="I1176" s="15"/>
      <c r="J1176" s="15" t="s">
        <v>87</v>
      </c>
      <c r="K1176" s="15">
        <v>696696280</v>
      </c>
      <c r="L1176" s="15" t="s">
        <v>29</v>
      </c>
      <c r="M1176" s="15" t="s">
        <v>29</v>
      </c>
    </row>
    <row r="1177" spans="1:13" x14ac:dyDescent="0.25">
      <c r="A1177" s="23">
        <f t="shared" si="60"/>
        <v>260215</v>
      </c>
      <c r="B1177" s="14" t="str">
        <f t="shared" si="61"/>
        <v>Credit Cards (UMB) - Credits</v>
      </c>
      <c r="C1177" s="37">
        <v>46155</v>
      </c>
      <c r="D1177" s="31">
        <v>260215</v>
      </c>
      <c r="E1177" s="33" t="str">
        <f>IF(Table3[[#This Row],[Type Received]]=2,"CC",(IF(Table3[[#This Row],[Type Received]]=3,"BILL","ACH")))</f>
        <v>CC</v>
      </c>
      <c r="F1177" s="32">
        <v>110.35</v>
      </c>
      <c r="G1177" s="14" t="str">
        <f>VLOOKUP(D1177,Table4[],3,FALSE)</f>
        <v>2</v>
      </c>
      <c r="H1177" s="15"/>
      <c r="I1177" s="15" t="s">
        <v>196</v>
      </c>
      <c r="J1177" s="15" t="s">
        <v>28</v>
      </c>
      <c r="K1177" s="15">
        <v>669492136</v>
      </c>
      <c r="L1177" s="15" t="s">
        <v>29</v>
      </c>
      <c r="M1177" s="15" t="s">
        <v>29</v>
      </c>
    </row>
    <row r="1178" spans="1:13" x14ac:dyDescent="0.25">
      <c r="A1178" s="23">
        <f t="shared" si="60"/>
        <v>260217</v>
      </c>
      <c r="B1178" s="14" t="str">
        <f t="shared" si="61"/>
        <v>Direct Debit (UMB Bank) - Credits</v>
      </c>
      <c r="C1178" s="38">
        <v>46155</v>
      </c>
      <c r="D1178" s="34">
        <v>260217</v>
      </c>
      <c r="E1178" s="36" t="str">
        <f>IF(Table3[[#This Row],[Type Received]]=2,"CC",(IF(Table3[[#This Row],[Type Received]]=3,"BILL","ACH")))</f>
        <v>ACH</v>
      </c>
      <c r="F1178" s="35">
        <v>62.17</v>
      </c>
      <c r="G1178" s="14" t="str">
        <f>VLOOKUP(D1178,Table4[],3,FALSE)</f>
        <v>2</v>
      </c>
      <c r="H1178" s="15"/>
      <c r="I1178" s="15">
        <v>67628</v>
      </c>
      <c r="J1178" s="15" t="s">
        <v>28</v>
      </c>
      <c r="K1178" s="15">
        <v>669472826</v>
      </c>
      <c r="L1178" s="15" t="s">
        <v>29</v>
      </c>
      <c r="M1178" s="15" t="s">
        <v>29</v>
      </c>
    </row>
    <row r="1179" spans="1:13" x14ac:dyDescent="0.25">
      <c r="A1179" s="23">
        <f t="shared" si="60"/>
        <v>260219</v>
      </c>
      <c r="B1179" s="14" t="str">
        <f t="shared" si="61"/>
        <v>Direct Debit (UMB Bank) - Credits</v>
      </c>
      <c r="C1179" s="37">
        <v>46157</v>
      </c>
      <c r="D1179" s="31">
        <v>260219</v>
      </c>
      <c r="E1179" s="33" t="str">
        <f>IF(Table3[[#This Row],[Type Received]]=2,"CC",(IF(Table3[[#This Row],[Type Received]]=3,"BILL","ACH")))</f>
        <v>ACH</v>
      </c>
      <c r="F1179" s="32">
        <v>63.05</v>
      </c>
      <c r="G1179" s="14" t="str">
        <f>VLOOKUP(D1179,Table4[],3,FALSE)</f>
        <v>1</v>
      </c>
      <c r="H1179" s="15"/>
      <c r="I1179" s="15"/>
      <c r="J1179" s="15" t="s">
        <v>87</v>
      </c>
      <c r="K1179" s="15">
        <v>696670068</v>
      </c>
      <c r="L1179" s="15" t="s">
        <v>29</v>
      </c>
      <c r="M1179" s="15" t="s">
        <v>29</v>
      </c>
    </row>
    <row r="1180" spans="1:13" x14ac:dyDescent="0.25">
      <c r="A1180" s="23">
        <f t="shared" si="60"/>
        <v>260221</v>
      </c>
      <c r="B1180" s="14" t="str">
        <f t="shared" si="61"/>
        <v>Direct Debit (UMB Bank) - Credits</v>
      </c>
      <c r="C1180" s="38">
        <v>46157</v>
      </c>
      <c r="D1180" s="34">
        <v>260221</v>
      </c>
      <c r="E1180" s="36" t="str">
        <f>IF(Table3[[#This Row],[Type Received]]=2,"CC",(IF(Table3[[#This Row],[Type Received]]=3,"BILL","ACH")))</f>
        <v>ACH</v>
      </c>
      <c r="F1180" s="35">
        <v>55.24</v>
      </c>
      <c r="G1180" s="14" t="str">
        <f>VLOOKUP(D1180,Table4[],3,FALSE)</f>
        <v>2</v>
      </c>
      <c r="H1180" s="15"/>
      <c r="I1180" s="15"/>
      <c r="J1180" s="24" t="s">
        <v>87</v>
      </c>
      <c r="K1180" s="15">
        <v>696699166</v>
      </c>
      <c r="L1180" s="15" t="s">
        <v>29</v>
      </c>
      <c r="M1180" s="15" t="s">
        <v>29</v>
      </c>
    </row>
    <row r="1181" spans="1:13" x14ac:dyDescent="0.25">
      <c r="A1181" s="23">
        <f t="shared" si="60"/>
        <v>260220</v>
      </c>
      <c r="B1181" s="14" t="str">
        <f t="shared" si="61"/>
        <v>Credit Cards (UMB) - Credits</v>
      </c>
      <c r="C1181" s="37">
        <v>46157</v>
      </c>
      <c r="D1181" s="31">
        <v>260220</v>
      </c>
      <c r="E1181" s="33" t="str">
        <f>IF(Table3[[#This Row],[Type Received]]=2,"CC",(IF(Table3[[#This Row],[Type Received]]=3,"BILL","ACH")))</f>
        <v>CC</v>
      </c>
      <c r="F1181" s="32">
        <v>74.05</v>
      </c>
      <c r="G1181" s="14" t="str">
        <f>VLOOKUP(D1181,Table4[],3,FALSE)</f>
        <v>2</v>
      </c>
      <c r="H1181" s="15"/>
      <c r="I1181" s="15"/>
      <c r="J1181" s="15" t="s">
        <v>87</v>
      </c>
      <c r="K1181" s="15">
        <v>696680881</v>
      </c>
      <c r="L1181" s="15" t="s">
        <v>29</v>
      </c>
      <c r="M1181" s="15" t="s">
        <v>29</v>
      </c>
    </row>
    <row r="1182" spans="1:13" x14ac:dyDescent="0.25">
      <c r="A1182" s="23"/>
      <c r="B1182" s="14" t="str">
        <f t="shared" si="61"/>
        <v>Credit Cards (UMB) - Credits</v>
      </c>
      <c r="C1182" s="38">
        <v>46155</v>
      </c>
      <c r="D1182" s="34">
        <v>260225</v>
      </c>
      <c r="E1182" s="36" t="str">
        <f>IF(Table3[[#This Row],[Type Received]]=2,"CC",(IF(Table3[[#This Row],[Type Received]]=3,"BILL","ACH")))</f>
        <v>CC</v>
      </c>
      <c r="F1182" s="35">
        <v>65.47</v>
      </c>
      <c r="G1182" s="14" t="str">
        <f>VLOOKUP(D1182,Table4[],3,FALSE)</f>
        <v>1</v>
      </c>
      <c r="H1182" s="15"/>
      <c r="I1182" s="15">
        <v>841227</v>
      </c>
      <c r="J1182" s="15" t="s">
        <v>28</v>
      </c>
      <c r="K1182" s="15">
        <v>669493135</v>
      </c>
      <c r="L1182" s="15" t="s">
        <v>29</v>
      </c>
      <c r="M1182" s="15" t="s">
        <v>29</v>
      </c>
    </row>
    <row r="1183" spans="1:13" x14ac:dyDescent="0.25">
      <c r="A1183" s="23"/>
      <c r="B1183" s="14" t="str">
        <f t="shared" si="61"/>
        <v>Direct Debit (UMB Bank) - Credits</v>
      </c>
      <c r="C1183" s="37">
        <v>46159</v>
      </c>
      <c r="D1183" s="31">
        <v>260233</v>
      </c>
      <c r="E1183" s="33" t="str">
        <f>IF(Table3[[#This Row],[Type Received]]=2,"CC",(IF(Table3[[#This Row],[Type Received]]=3,"BILL","ACH")))</f>
        <v>ACH</v>
      </c>
      <c r="F1183" s="32">
        <v>50.95</v>
      </c>
      <c r="G1183" s="14" t="str">
        <f>VLOOKUP(D1183,Table4[],3,FALSE)</f>
        <v>1</v>
      </c>
      <c r="H1183" s="15"/>
      <c r="I1183" s="15">
        <v>32973</v>
      </c>
      <c r="J1183" s="15" t="s">
        <v>28</v>
      </c>
      <c r="K1183" s="15">
        <v>721683483</v>
      </c>
      <c r="L1183" s="15" t="s">
        <v>29</v>
      </c>
      <c r="M1183" s="15"/>
    </row>
    <row r="1184" spans="1:13" x14ac:dyDescent="0.25">
      <c r="A1184" s="23"/>
      <c r="B1184" s="14" t="str">
        <f t="shared" si="61"/>
        <v>Direct Debit (UMB Bank) - Credits</v>
      </c>
      <c r="C1184" s="38">
        <v>46144</v>
      </c>
      <c r="D1184" s="34">
        <v>260236</v>
      </c>
      <c r="E1184" s="36" t="str">
        <f>IF(Table3[[#This Row],[Type Received]]=2,"CC",(IF(Table3[[#This Row],[Type Received]]=3,"BILL","ACH")))</f>
        <v>ACH</v>
      </c>
      <c r="F1184" s="35">
        <v>82.96</v>
      </c>
      <c r="G1184" s="14" t="str">
        <f>VLOOKUP(D1184,Table4[],3,FALSE)</f>
        <v>2</v>
      </c>
      <c r="H1184" s="15"/>
      <c r="I1184" s="15"/>
      <c r="J1184" s="15" t="s">
        <v>89</v>
      </c>
      <c r="K1184" s="15">
        <v>535389269</v>
      </c>
      <c r="L1184" s="15" t="s">
        <v>29</v>
      </c>
      <c r="M1184" s="15" t="s">
        <v>29</v>
      </c>
    </row>
    <row r="1185" spans="1:13" x14ac:dyDescent="0.25">
      <c r="A1185" s="23"/>
      <c r="B1185" s="14" t="str">
        <f t="shared" si="61"/>
        <v>Credit Cards (UMB) - Credits</v>
      </c>
      <c r="C1185" s="37">
        <v>46157</v>
      </c>
      <c r="D1185" s="31">
        <v>260239</v>
      </c>
      <c r="E1185" s="33" t="str">
        <f>IF(Table3[[#This Row],[Type Received]]=2,"CC",(IF(Table3[[#This Row],[Type Received]]=3,"BILL","ACH")))</f>
        <v>CC</v>
      </c>
      <c r="F1185" s="32">
        <v>118.27</v>
      </c>
      <c r="G1185" s="14" t="str">
        <f>VLOOKUP(D1185,Table4[],3,FALSE)</f>
        <v>2</v>
      </c>
      <c r="H1185" s="15"/>
      <c r="I1185" s="15"/>
      <c r="J1185" s="15" t="s">
        <v>87</v>
      </c>
      <c r="K1185" s="15">
        <v>696682767</v>
      </c>
      <c r="L1185" s="15" t="s">
        <v>29</v>
      </c>
      <c r="M1185" s="15" t="s">
        <v>29</v>
      </c>
    </row>
    <row r="1186" spans="1:13" x14ac:dyDescent="0.25">
      <c r="A1186" s="23"/>
      <c r="B1186" s="14" t="str">
        <f t="shared" si="61"/>
        <v>Direct Debit (UMB Bank) - Credits</v>
      </c>
      <c r="C1186" s="38">
        <v>46155</v>
      </c>
      <c r="D1186" s="34">
        <v>260229</v>
      </c>
      <c r="E1186" s="36" t="str">
        <f>IF(Table3[[#This Row],[Type Received]]=2,"CC",(IF(Table3[[#This Row],[Type Received]]=3,"BILL","ACH")))</f>
        <v>ACH</v>
      </c>
      <c r="F1186" s="35">
        <v>66.13</v>
      </c>
      <c r="G1186" s="14" t="str">
        <f>VLOOKUP(D1186,Table4[],3,FALSE)</f>
        <v>2</v>
      </c>
      <c r="H1186" s="15"/>
      <c r="I1186" s="15">
        <v>490933</v>
      </c>
      <c r="J1186" s="24" t="s">
        <v>28</v>
      </c>
      <c r="K1186" s="15">
        <v>669473840</v>
      </c>
      <c r="L1186" s="15" t="s">
        <v>29</v>
      </c>
      <c r="M1186" s="15"/>
    </row>
    <row r="1187" spans="1:13" x14ac:dyDescent="0.25">
      <c r="A1187" s="23"/>
      <c r="B1187" s="14" t="str">
        <f t="shared" si="61"/>
        <v>Credit Cards (UMB) - Credits</v>
      </c>
      <c r="C1187" s="37">
        <v>46170</v>
      </c>
      <c r="D1187" s="31">
        <v>260254</v>
      </c>
      <c r="E1187" s="33" t="str">
        <f>IF(Table3[[#This Row],[Type Received]]=2,"CC",(IF(Table3[[#This Row],[Type Received]]=3,"BILL","ACH")))</f>
        <v>CC</v>
      </c>
      <c r="F1187" s="32">
        <v>26.31</v>
      </c>
      <c r="G1187" s="14" t="str">
        <f>VLOOKUP(D1187,Table4[],3,FALSE)</f>
        <v>1</v>
      </c>
      <c r="H1187" s="15"/>
      <c r="I1187" s="15"/>
      <c r="J1187" s="15" t="s">
        <v>91</v>
      </c>
      <c r="K1187" s="15">
        <v>853934508</v>
      </c>
      <c r="L1187" s="15" t="s">
        <v>29</v>
      </c>
      <c r="M1187" s="15" t="s">
        <v>29</v>
      </c>
    </row>
    <row r="1188" spans="1:13" x14ac:dyDescent="0.25">
      <c r="A1188" s="23"/>
      <c r="B1188" s="14" t="str">
        <f t="shared" si="61"/>
        <v>Direct Debit (UMB Bank) - Credits</v>
      </c>
      <c r="C1188" s="38">
        <v>46163</v>
      </c>
      <c r="D1188" s="34">
        <v>260232</v>
      </c>
      <c r="E1188" s="36" t="str">
        <f>IF(Table3[[#This Row],[Type Received]]=2,"CC",(IF(Table3[[#This Row],[Type Received]]=3,"BILL","ACH")))</f>
        <v>ACH</v>
      </c>
      <c r="F1188" s="35">
        <v>45.45</v>
      </c>
      <c r="G1188" s="14" t="str">
        <f>VLOOKUP(D1188,Table4[],3,FALSE)</f>
        <v>1</v>
      </c>
      <c r="H1188" s="15"/>
      <c r="I1188" s="15">
        <v>879450</v>
      </c>
      <c r="J1188" s="15" t="s">
        <v>28</v>
      </c>
      <c r="K1188" s="15">
        <v>771107155</v>
      </c>
      <c r="L1188" s="15" t="s">
        <v>29</v>
      </c>
      <c r="M1188" s="15"/>
    </row>
    <row r="1189" spans="1:13" x14ac:dyDescent="0.25">
      <c r="A1189" s="23"/>
      <c r="B1189" s="14" t="str">
        <f t="shared" si="61"/>
        <v>Direct Debit (UMB Bank) - Credits</v>
      </c>
      <c r="C1189" s="37">
        <v>46157</v>
      </c>
      <c r="D1189" s="31">
        <v>260241</v>
      </c>
      <c r="E1189" s="33" t="str">
        <f>IF(Table3[[#This Row],[Type Received]]=2,"CC",(IF(Table3[[#This Row],[Type Received]]=3,"BILL","ACH")))</f>
        <v>ACH</v>
      </c>
      <c r="F1189" s="32">
        <v>64.150000000000006</v>
      </c>
      <c r="G1189" s="14" t="str">
        <f>VLOOKUP(D1189,Table4[],3,FALSE)</f>
        <v>1</v>
      </c>
      <c r="H1189" s="15"/>
      <c r="I1189" s="15"/>
      <c r="J1189" s="15" t="s">
        <v>87</v>
      </c>
      <c r="K1189" s="15">
        <v>696676018</v>
      </c>
      <c r="L1189" s="15" t="s">
        <v>29</v>
      </c>
      <c r="M1189" s="15" t="s">
        <v>29</v>
      </c>
    </row>
    <row r="1190" spans="1:13" x14ac:dyDescent="0.25">
      <c r="A1190" s="23"/>
      <c r="B1190" s="14" t="str">
        <f t="shared" si="61"/>
        <v>Credit Cards (UMB) - Credits</v>
      </c>
      <c r="C1190" s="38">
        <v>46144</v>
      </c>
      <c r="D1190" s="34">
        <v>260237</v>
      </c>
      <c r="E1190" s="36" t="str">
        <f>IF(Table3[[#This Row],[Type Received]]=2,"CC",(IF(Table3[[#This Row],[Type Received]]=3,"BILL","ACH")))</f>
        <v>CC</v>
      </c>
      <c r="F1190" s="35">
        <v>29.61</v>
      </c>
      <c r="G1190" s="14" t="str">
        <f>VLOOKUP(D1190,Table4[],3,FALSE)</f>
        <v>1</v>
      </c>
      <c r="H1190" s="15"/>
      <c r="I1190" s="15"/>
      <c r="J1190" s="15" t="s">
        <v>89</v>
      </c>
      <c r="K1190" s="15">
        <v>535365976</v>
      </c>
      <c r="L1190" s="15" t="s">
        <v>29</v>
      </c>
      <c r="M1190" s="15" t="s">
        <v>29</v>
      </c>
    </row>
    <row r="1191" spans="1:13" x14ac:dyDescent="0.25">
      <c r="A1191" s="23"/>
      <c r="B1191" s="14" t="str">
        <f t="shared" si="61"/>
        <v>Direct Debit (UMB Bank) - Credits</v>
      </c>
      <c r="C1191" s="37">
        <v>46145</v>
      </c>
      <c r="D1191" s="31">
        <v>260231</v>
      </c>
      <c r="E1191" s="33" t="str">
        <f>IF(Table3[[#This Row],[Type Received]]=2,"CC",(IF(Table3[[#This Row],[Type Received]]=3,"BILL","ACH")))</f>
        <v>ACH</v>
      </c>
      <c r="F1191" s="32">
        <v>73.72</v>
      </c>
      <c r="G1191" s="14" t="str">
        <f>VLOOKUP(D1191,Table4[],3,FALSE)</f>
        <v>2</v>
      </c>
      <c r="H1191" s="15"/>
      <c r="I1191" s="15">
        <v>16301</v>
      </c>
      <c r="J1191" s="15" t="s">
        <v>28</v>
      </c>
      <c r="K1191" s="15">
        <v>546419791</v>
      </c>
      <c r="L1191" s="15" t="s">
        <v>29</v>
      </c>
      <c r="M1191" s="15"/>
    </row>
    <row r="1192" spans="1:13" x14ac:dyDescent="0.25">
      <c r="A1192" s="23"/>
      <c r="B1192" s="14" t="str">
        <f t="shared" si="61"/>
        <v>Credit Cards (UMB) - Credits</v>
      </c>
      <c r="C1192" s="38">
        <v>46144</v>
      </c>
      <c r="D1192" s="34">
        <v>260238</v>
      </c>
      <c r="E1192" s="36" t="str">
        <f>IF(Table3[[#This Row],[Type Received]]=2,"CC",(IF(Table3[[#This Row],[Type Received]]=3,"BILL","ACH")))</f>
        <v>CC</v>
      </c>
      <c r="F1192" s="35">
        <v>28.95</v>
      </c>
      <c r="G1192" s="14" t="str">
        <f>VLOOKUP(D1192,Table4[],3,FALSE)</f>
        <v>1</v>
      </c>
      <c r="H1192" s="15"/>
      <c r="I1192" s="15"/>
      <c r="J1192" s="15" t="s">
        <v>89</v>
      </c>
      <c r="K1192" s="15">
        <v>535367978</v>
      </c>
      <c r="L1192" s="15" t="s">
        <v>29</v>
      </c>
      <c r="M1192" s="15" t="s">
        <v>29</v>
      </c>
    </row>
    <row r="1193" spans="1:13" x14ac:dyDescent="0.25">
      <c r="A1193" s="23"/>
      <c r="B1193" s="14" t="str">
        <f t="shared" si="61"/>
        <v>Direct Debit (UMB Bank) - Credits</v>
      </c>
      <c r="C1193" s="37">
        <v>46155</v>
      </c>
      <c r="D1193" s="31">
        <v>260257</v>
      </c>
      <c r="E1193" s="33" t="str">
        <f>IF(Table3[[#This Row],[Type Received]]=2,"CC",(IF(Table3[[#This Row],[Type Received]]=3,"BILL","ACH")))</f>
        <v>ACH</v>
      </c>
      <c r="F1193" s="32">
        <v>116.62</v>
      </c>
      <c r="G1193" s="14" t="str">
        <f>VLOOKUP(D1193,Table4[],3,FALSE)</f>
        <v>2</v>
      </c>
      <c r="H1193" s="15"/>
      <c r="I1193" s="15">
        <v>240142</v>
      </c>
      <c r="J1193" s="15" t="s">
        <v>28</v>
      </c>
      <c r="K1193" s="15">
        <v>669466076</v>
      </c>
      <c r="L1193" s="15" t="s">
        <v>29</v>
      </c>
      <c r="M1193" s="15" t="s">
        <v>29</v>
      </c>
    </row>
    <row r="1194" spans="1:13" x14ac:dyDescent="0.25">
      <c r="A1194" s="23"/>
      <c r="B1194" s="14" t="str">
        <f t="shared" si="61"/>
        <v>Credit Cards (UMB) - Credits</v>
      </c>
      <c r="C1194" s="38">
        <v>46144</v>
      </c>
      <c r="D1194" s="34">
        <v>260265</v>
      </c>
      <c r="E1194" s="36" t="str">
        <f>IF(Table3[[#This Row],[Type Received]]=2,"CC",(IF(Table3[[#This Row],[Type Received]]=3,"BILL","ACH")))</f>
        <v>CC</v>
      </c>
      <c r="F1194" s="35">
        <v>35.11</v>
      </c>
      <c r="G1194" s="14" t="str">
        <f>VLOOKUP(D1194,Table4[],3,FALSE)</f>
        <v>2</v>
      </c>
      <c r="H1194" s="15"/>
      <c r="I1194" s="15"/>
      <c r="J1194" s="15" t="s">
        <v>89</v>
      </c>
      <c r="K1194" s="15">
        <v>535390271</v>
      </c>
      <c r="L1194" s="15" t="s">
        <v>29</v>
      </c>
      <c r="M1194" s="15"/>
    </row>
    <row r="1195" spans="1:13" x14ac:dyDescent="0.25">
      <c r="A1195" s="23"/>
      <c r="B1195" s="14" t="str">
        <f t="shared" si="61"/>
        <v>Credit Cards (UMB) - Credits</v>
      </c>
      <c r="C1195" s="37">
        <v>46145</v>
      </c>
      <c r="D1195" s="31">
        <v>260268</v>
      </c>
      <c r="E1195" s="33" t="str">
        <f>IF(Table3[[#This Row],[Type Received]]=2,"CC",(IF(Table3[[#This Row],[Type Received]]=3,"BILL","ACH")))</f>
        <v>CC</v>
      </c>
      <c r="F1195" s="32">
        <v>109.69</v>
      </c>
      <c r="G1195" s="14" t="str">
        <f>VLOOKUP(D1195,Table4[],3,FALSE)</f>
        <v>2</v>
      </c>
      <c r="H1195" s="15"/>
      <c r="I1195" s="15">
        <v>618845</v>
      </c>
      <c r="J1195" s="15" t="s">
        <v>28</v>
      </c>
      <c r="K1195" s="15">
        <v>546434159</v>
      </c>
      <c r="L1195" s="15" t="s">
        <v>29</v>
      </c>
      <c r="M1195" s="15"/>
    </row>
    <row r="1196" spans="1:13" x14ac:dyDescent="0.25">
      <c r="A1196" s="23"/>
      <c r="B1196" s="14" t="str">
        <f t="shared" si="61"/>
        <v>Direct Debit (UMB Bank) - Credits</v>
      </c>
      <c r="C1196" s="38">
        <v>46155</v>
      </c>
      <c r="D1196" s="34">
        <v>260259</v>
      </c>
      <c r="E1196" s="36" t="str">
        <f>IF(Table3[[#This Row],[Type Received]]=2,"CC",(IF(Table3[[#This Row],[Type Received]]=3,"BILL","ACH")))</f>
        <v>ACH</v>
      </c>
      <c r="F1196" s="35">
        <v>53.15</v>
      </c>
      <c r="G1196" s="14" t="str">
        <f>VLOOKUP(D1196,Table4[],3,FALSE)</f>
        <v>1</v>
      </c>
      <c r="H1196" s="15"/>
      <c r="I1196" s="15" t="s">
        <v>197</v>
      </c>
      <c r="J1196" s="24" t="s">
        <v>28</v>
      </c>
      <c r="K1196" s="15">
        <v>669468013</v>
      </c>
      <c r="L1196" s="15" t="s">
        <v>29</v>
      </c>
      <c r="M1196" s="15" t="s">
        <v>29</v>
      </c>
    </row>
    <row r="1197" spans="1:13" x14ac:dyDescent="0.25">
      <c r="A1197" s="23"/>
      <c r="B1197" s="14" t="str">
        <f t="shared" si="61"/>
        <v>Direct Debit (UMB Bank) - Credits</v>
      </c>
      <c r="C1197" s="37">
        <v>46144</v>
      </c>
      <c r="D1197" s="31">
        <v>260266</v>
      </c>
      <c r="E1197" s="33" t="str">
        <f>IF(Table3[[#This Row],[Type Received]]=2,"CC",(IF(Table3[[#This Row],[Type Received]]=3,"BILL","ACH")))</f>
        <v>ACH</v>
      </c>
      <c r="F1197" s="32">
        <v>29.17</v>
      </c>
      <c r="G1197" s="14" t="str">
        <f>VLOOKUP(D1197,Table4[],3,FALSE)</f>
        <v>1</v>
      </c>
      <c r="H1197" s="15"/>
      <c r="I1197" s="15"/>
      <c r="J1197" s="24" t="s">
        <v>89</v>
      </c>
      <c r="K1197" s="15">
        <v>535377600</v>
      </c>
      <c r="L1197" s="15" t="s">
        <v>29</v>
      </c>
      <c r="M1197" s="15" t="s">
        <v>29</v>
      </c>
    </row>
    <row r="1198" spans="1:13" x14ac:dyDescent="0.25">
      <c r="A1198" s="23"/>
      <c r="B1198" s="14" t="str">
        <f t="shared" si="61"/>
        <v>Credit Cards (UMB) - Credits</v>
      </c>
      <c r="C1198" s="38">
        <v>46144</v>
      </c>
      <c r="D1198" s="34">
        <v>260274</v>
      </c>
      <c r="E1198" s="36" t="str">
        <f>IF(Table3[[#This Row],[Type Received]]=2,"CC",(IF(Table3[[#This Row],[Type Received]]=3,"BILL","ACH")))</f>
        <v>CC</v>
      </c>
      <c r="F1198" s="35">
        <v>52.6</v>
      </c>
      <c r="G1198" s="14" t="str">
        <f>VLOOKUP(D1198,Table4[],3,FALSE)</f>
        <v>2</v>
      </c>
      <c r="H1198" s="15"/>
      <c r="I1198" s="15"/>
      <c r="J1198" s="15" t="s">
        <v>89</v>
      </c>
      <c r="K1198" s="15">
        <v>535371771</v>
      </c>
      <c r="L1198" s="15" t="s">
        <v>29</v>
      </c>
      <c r="M1198" s="15" t="s">
        <v>29</v>
      </c>
    </row>
    <row r="1199" spans="1:13" x14ac:dyDescent="0.25">
      <c r="A1199" s="23"/>
      <c r="B1199" s="14" t="str">
        <f t="shared" si="61"/>
        <v>Direct Debit (UMB Bank) - Credits</v>
      </c>
      <c r="C1199" s="37">
        <v>46144</v>
      </c>
      <c r="D1199" s="31">
        <v>260278</v>
      </c>
      <c r="E1199" s="33" t="str">
        <f>IF(Table3[[#This Row],[Type Received]]=2,"CC",(IF(Table3[[#This Row],[Type Received]]=3,"BILL","ACH")))</f>
        <v>ACH</v>
      </c>
      <c r="F1199" s="32">
        <v>111.34</v>
      </c>
      <c r="G1199" s="14" t="str">
        <f>VLOOKUP(D1199,Table4[],3,FALSE)</f>
        <v>2</v>
      </c>
      <c r="H1199" s="15"/>
      <c r="I1199" s="15" t="s">
        <v>198</v>
      </c>
      <c r="J1199" s="15" t="s">
        <v>28</v>
      </c>
      <c r="K1199" s="15">
        <v>535386375</v>
      </c>
      <c r="L1199" s="15" t="s">
        <v>29</v>
      </c>
      <c r="M1199" s="15" t="s">
        <v>29</v>
      </c>
    </row>
    <row r="1200" spans="1:13" x14ac:dyDescent="0.25">
      <c r="A1200" s="23"/>
      <c r="B1200" s="14" t="str">
        <f t="shared" si="61"/>
        <v>Credit Cards (UMB) - Credits</v>
      </c>
      <c r="C1200" s="38">
        <v>46157</v>
      </c>
      <c r="D1200" s="34">
        <v>260284</v>
      </c>
      <c r="E1200" s="36" t="str">
        <f>IF(Table3[[#This Row],[Type Received]]=2,"CC",(IF(Table3[[#This Row],[Type Received]]=3,"BILL","ACH")))</f>
        <v>CC</v>
      </c>
      <c r="F1200" s="35">
        <v>60.52</v>
      </c>
      <c r="G1200" s="14" t="str">
        <f>VLOOKUP(D1200,Table4[],3,FALSE)</f>
        <v>2</v>
      </c>
      <c r="H1200" s="15"/>
      <c r="I1200" s="15"/>
      <c r="J1200" s="15" t="s">
        <v>87</v>
      </c>
      <c r="K1200" s="15">
        <v>696690576</v>
      </c>
      <c r="L1200" s="15" t="s">
        <v>29</v>
      </c>
      <c r="M1200" s="15" t="s">
        <v>29</v>
      </c>
    </row>
    <row r="1201" spans="1:13" x14ac:dyDescent="0.25">
      <c r="A1201" s="23"/>
      <c r="B1201" s="14" t="str">
        <f t="shared" si="61"/>
        <v>Credit Cards (UMB) - Credits</v>
      </c>
      <c r="C1201" s="37">
        <v>46155</v>
      </c>
      <c r="D1201" s="31">
        <v>260286</v>
      </c>
      <c r="E1201" s="33" t="str">
        <f>IF(Table3[[#This Row],[Type Received]]=2,"CC",(IF(Table3[[#This Row],[Type Received]]=3,"BILL","ACH")))</f>
        <v>CC</v>
      </c>
      <c r="F1201" s="32">
        <v>64.81</v>
      </c>
      <c r="G1201" s="14" t="str">
        <f>VLOOKUP(D1201,Table4[],3,FALSE)</f>
        <v>1</v>
      </c>
      <c r="H1201" s="15"/>
      <c r="I1201" s="15">
        <v>100339</v>
      </c>
      <c r="J1201" s="24" t="s">
        <v>28</v>
      </c>
      <c r="K1201" s="15">
        <v>669469020</v>
      </c>
      <c r="L1201" s="15" t="s">
        <v>29</v>
      </c>
      <c r="M1201" s="15" t="s">
        <v>29</v>
      </c>
    </row>
    <row r="1202" spans="1:13" x14ac:dyDescent="0.25">
      <c r="A1202" s="23"/>
      <c r="B1202" s="14" t="str">
        <f t="shared" si="61"/>
        <v>Credit Cards (UMB) - Credits</v>
      </c>
      <c r="C1202" s="38">
        <v>46157</v>
      </c>
      <c r="D1202" s="34">
        <v>260288</v>
      </c>
      <c r="E1202" s="36" t="str">
        <f>IF(Table3[[#This Row],[Type Received]]=2,"CC",(IF(Table3[[#This Row],[Type Received]]=3,"BILL","ACH")))</f>
        <v>CC</v>
      </c>
      <c r="F1202" s="35">
        <v>92.2</v>
      </c>
      <c r="G1202" s="14" t="str">
        <f>VLOOKUP(D1202,Table4[],3,FALSE)</f>
        <v>2</v>
      </c>
      <c r="H1202" s="15"/>
      <c r="I1202" s="15">
        <v>32623</v>
      </c>
      <c r="J1202" s="15" t="s">
        <v>28</v>
      </c>
      <c r="K1202" s="15">
        <v>696693486</v>
      </c>
      <c r="L1202" s="15" t="s">
        <v>29</v>
      </c>
      <c r="M1202" s="15" t="s">
        <v>29</v>
      </c>
    </row>
    <row r="1203" spans="1:13" x14ac:dyDescent="0.25">
      <c r="A1203" s="23"/>
      <c r="B1203" s="14" t="str">
        <f t="shared" si="61"/>
        <v>Direct Debit (UMB Bank) - Credits</v>
      </c>
      <c r="C1203" s="37">
        <v>46155</v>
      </c>
      <c r="D1203" s="31">
        <v>260291</v>
      </c>
      <c r="E1203" s="33" t="str">
        <f>IF(Table3[[#This Row],[Type Received]]=2,"CC",(IF(Table3[[#This Row],[Type Received]]=3,"BILL","ACH")))</f>
        <v>ACH</v>
      </c>
      <c r="F1203" s="32">
        <v>97.15</v>
      </c>
      <c r="G1203" s="14" t="str">
        <f>VLOOKUP(D1203,Table4[],3,FALSE)</f>
        <v>2</v>
      </c>
      <c r="H1203" s="15"/>
      <c r="I1203" s="15">
        <v>3992</v>
      </c>
      <c r="J1203" s="15" t="s">
        <v>28</v>
      </c>
      <c r="K1203" s="15">
        <v>669468041</v>
      </c>
      <c r="L1203" s="15" t="s">
        <v>29</v>
      </c>
      <c r="M1203" s="15" t="s">
        <v>29</v>
      </c>
    </row>
    <row r="1204" spans="1:13" x14ac:dyDescent="0.25">
      <c r="A1204" s="23"/>
      <c r="B1204" s="14" t="str">
        <f t="shared" si="61"/>
        <v>Direct Debit (UMB Bank) - Credits</v>
      </c>
      <c r="C1204" s="38">
        <v>46167</v>
      </c>
      <c r="D1204" s="34">
        <v>260294</v>
      </c>
      <c r="E1204" s="36" t="str">
        <f>IF(Table3[[#This Row],[Type Received]]=2,"CC",(IF(Table3[[#This Row],[Type Received]]=3,"BILL","ACH")))</f>
        <v>ACH</v>
      </c>
      <c r="F1204" s="35">
        <v>46.55</v>
      </c>
      <c r="G1204" s="14" t="str">
        <f>VLOOKUP(D1204,Table4[],3,FALSE)</f>
        <v>1</v>
      </c>
      <c r="H1204" s="15"/>
      <c r="I1204" s="15"/>
      <c r="J1204" s="15" t="s">
        <v>85</v>
      </c>
      <c r="K1204" s="15">
        <v>818359140</v>
      </c>
      <c r="L1204" s="15" t="s">
        <v>29</v>
      </c>
      <c r="M1204" s="15" t="s">
        <v>29</v>
      </c>
    </row>
    <row r="1205" spans="1:13" x14ac:dyDescent="0.25">
      <c r="A1205" s="23"/>
      <c r="B1205" s="14" t="str">
        <f t="shared" si="61"/>
        <v>Credit Cards (UMB) - Credits</v>
      </c>
      <c r="C1205" s="37">
        <v>46157</v>
      </c>
      <c r="D1205" s="31">
        <v>260290</v>
      </c>
      <c r="E1205" s="33" t="str">
        <f>IF(Table3[[#This Row],[Type Received]]=2,"CC",(IF(Table3[[#This Row],[Type Received]]=3,"BILL","ACH")))</f>
        <v>CC</v>
      </c>
      <c r="F1205" s="32">
        <v>49.85</v>
      </c>
      <c r="G1205" s="14" t="str">
        <f>VLOOKUP(D1205,Table4[],3,FALSE)</f>
        <v>1</v>
      </c>
      <c r="H1205" s="15"/>
      <c r="I1205" s="15"/>
      <c r="J1205" s="15" t="s">
        <v>87</v>
      </c>
      <c r="K1205" s="15">
        <v>696684801</v>
      </c>
      <c r="L1205" s="15" t="s">
        <v>29</v>
      </c>
      <c r="M1205" s="15" t="s">
        <v>29</v>
      </c>
    </row>
    <row r="1206" spans="1:13" x14ac:dyDescent="0.25">
      <c r="A1206" s="23"/>
      <c r="B1206" s="14" t="str">
        <f t="shared" si="61"/>
        <v>Direct Debit (UMB Bank) - Credits</v>
      </c>
      <c r="C1206" s="38">
        <v>46155</v>
      </c>
      <c r="D1206" s="34">
        <v>260293</v>
      </c>
      <c r="E1206" s="36" t="str">
        <f>IF(Table3[[#This Row],[Type Received]]=2,"CC",(IF(Table3[[#This Row],[Type Received]]=3,"BILL","ACH")))</f>
        <v>ACH</v>
      </c>
      <c r="F1206" s="35">
        <v>60.85</v>
      </c>
      <c r="G1206" s="14" t="str">
        <f>VLOOKUP(D1206,Table4[],3,FALSE)</f>
        <v>1</v>
      </c>
      <c r="H1206" s="15"/>
      <c r="I1206" s="15" t="s">
        <v>199</v>
      </c>
      <c r="J1206" s="15" t="s">
        <v>28</v>
      </c>
      <c r="K1206" s="15">
        <v>669482418</v>
      </c>
      <c r="L1206" s="15" t="s">
        <v>29</v>
      </c>
      <c r="M1206" s="15" t="s">
        <v>29</v>
      </c>
    </row>
    <row r="1207" spans="1:13" x14ac:dyDescent="0.25">
      <c r="A1207" s="23"/>
      <c r="B1207" s="14" t="str">
        <f t="shared" si="61"/>
        <v>Credit Cards (UMB) - Credits</v>
      </c>
      <c r="C1207" s="37">
        <v>46157</v>
      </c>
      <c r="D1207" s="31">
        <v>260289</v>
      </c>
      <c r="E1207" s="33" t="str">
        <f>IF(Table3[[#This Row],[Type Received]]=2,"CC",(IF(Table3[[#This Row],[Type Received]]=3,"BILL","ACH")))</f>
        <v>CC</v>
      </c>
      <c r="F1207" s="32">
        <v>67.23</v>
      </c>
      <c r="G1207" s="14" t="str">
        <f>VLOOKUP(D1207,Table4[],3,FALSE)</f>
        <v>1</v>
      </c>
      <c r="H1207" s="15"/>
      <c r="I1207" s="15"/>
      <c r="J1207" s="15" t="s">
        <v>87</v>
      </c>
      <c r="K1207" s="15">
        <v>696681839</v>
      </c>
      <c r="L1207" s="15" t="s">
        <v>29</v>
      </c>
      <c r="M1207" s="15" t="s">
        <v>29</v>
      </c>
    </row>
    <row r="1208" spans="1:13" x14ac:dyDescent="0.25">
      <c r="A1208" s="23"/>
      <c r="B1208" s="14" t="str">
        <f t="shared" si="61"/>
        <v>Direct Debit (UMB Bank) - Credits</v>
      </c>
      <c r="C1208" s="38">
        <v>46144</v>
      </c>
      <c r="D1208" s="34">
        <v>260300</v>
      </c>
      <c r="E1208" s="36" t="str">
        <f>IF(Table3[[#This Row],[Type Received]]=2,"CC",(IF(Table3[[#This Row],[Type Received]]=3,"BILL","ACH")))</f>
        <v>ACH</v>
      </c>
      <c r="F1208" s="35">
        <v>90.57</v>
      </c>
      <c r="G1208" s="14" t="str">
        <f>VLOOKUP(D1208,Table4[],3,FALSE)</f>
        <v>2</v>
      </c>
      <c r="H1208" s="15"/>
      <c r="I1208" s="15">
        <v>162609</v>
      </c>
      <c r="J1208" s="15">
        <v>741651752</v>
      </c>
      <c r="K1208" s="15">
        <v>353229522</v>
      </c>
      <c r="L1208" s="15"/>
      <c r="M1208" s="15"/>
    </row>
    <row r="1209" spans="1:13" x14ac:dyDescent="0.25">
      <c r="A1209" s="23">
        <f t="shared" ref="A1209:A1218" si="62">D1209</f>
        <v>260317</v>
      </c>
      <c r="B1209" s="14" t="str">
        <f t="shared" si="61"/>
        <v>Direct Debit (UMB Bank) - Credits</v>
      </c>
      <c r="C1209" s="37">
        <v>46167</v>
      </c>
      <c r="D1209" s="31">
        <v>260317</v>
      </c>
      <c r="E1209" s="33" t="str">
        <f>IF(Table3[[#This Row],[Type Received]]=2,"CC",(IF(Table3[[#This Row],[Type Received]]=3,"BILL","ACH")))</f>
        <v>ACH</v>
      </c>
      <c r="F1209" s="32">
        <v>139.38999999999999</v>
      </c>
      <c r="G1209" s="14" t="str">
        <f>VLOOKUP(D1209,Table4[],3,FALSE)</f>
        <v>2</v>
      </c>
      <c r="H1209" s="15"/>
      <c r="I1209" s="15"/>
      <c r="J1209" s="15" t="s">
        <v>85</v>
      </c>
      <c r="K1209" s="15">
        <v>818360144</v>
      </c>
      <c r="L1209" s="15" t="s">
        <v>29</v>
      </c>
      <c r="M1209" s="15"/>
    </row>
    <row r="1210" spans="1:13" x14ac:dyDescent="0.25">
      <c r="A1210" s="23">
        <f t="shared" si="62"/>
        <v>260316</v>
      </c>
      <c r="B1210" s="14" t="str">
        <f t="shared" si="61"/>
        <v>Direct Debit (UMB Bank) - Credits</v>
      </c>
      <c r="C1210" s="38">
        <v>46157</v>
      </c>
      <c r="D1210" s="34">
        <v>260316</v>
      </c>
      <c r="E1210" s="36" t="str">
        <f>IF(Table3[[#This Row],[Type Received]]=2,"CC",(IF(Table3[[#This Row],[Type Received]]=3,"BILL","ACH")))</f>
        <v>ACH</v>
      </c>
      <c r="F1210" s="35">
        <v>78.45</v>
      </c>
      <c r="G1210" s="14" t="str">
        <f>VLOOKUP(D1210,Table4[],3,FALSE)</f>
        <v>1</v>
      </c>
      <c r="H1210" s="15"/>
      <c r="I1210" s="15"/>
      <c r="J1210" s="15" t="s">
        <v>87</v>
      </c>
      <c r="K1210" s="15">
        <v>696680999</v>
      </c>
      <c r="L1210" s="15" t="s">
        <v>29</v>
      </c>
      <c r="M1210" s="15" t="s">
        <v>29</v>
      </c>
    </row>
    <row r="1211" spans="1:13" x14ac:dyDescent="0.25">
      <c r="A1211" s="23">
        <f t="shared" si="62"/>
        <v>260313</v>
      </c>
      <c r="B1211" s="14" t="str">
        <f t="shared" si="61"/>
        <v>Credit Cards (UMB) - Credits</v>
      </c>
      <c r="C1211" s="37">
        <v>46157</v>
      </c>
      <c r="D1211" s="31">
        <v>260313</v>
      </c>
      <c r="E1211" s="33" t="str">
        <f>IF(Table3[[#This Row],[Type Received]]=2,"CC",(IF(Table3[[#This Row],[Type Received]]=3,"BILL","ACH")))</f>
        <v>CC</v>
      </c>
      <c r="F1211" s="32">
        <v>65.14</v>
      </c>
      <c r="G1211" s="14" t="str">
        <f>VLOOKUP(D1211,Table4[],3,FALSE)</f>
        <v>2</v>
      </c>
      <c r="H1211" s="15"/>
      <c r="I1211" s="15"/>
      <c r="J1211" s="15" t="s">
        <v>87</v>
      </c>
      <c r="K1211" s="15">
        <v>696682857</v>
      </c>
      <c r="L1211" s="15" t="s">
        <v>29</v>
      </c>
      <c r="M1211" s="15" t="s">
        <v>29</v>
      </c>
    </row>
    <row r="1212" spans="1:13" x14ac:dyDescent="0.25">
      <c r="A1212" s="23">
        <f t="shared" si="62"/>
        <v>260307</v>
      </c>
      <c r="B1212" s="14" t="str">
        <f t="shared" si="61"/>
        <v>Credit Cards (UMB) - Credits</v>
      </c>
      <c r="C1212" s="38">
        <v>46155</v>
      </c>
      <c r="D1212" s="34">
        <v>260307</v>
      </c>
      <c r="E1212" s="36" t="str">
        <f>IF(Table3[[#This Row],[Type Received]]=2,"CC",(IF(Table3[[#This Row],[Type Received]]=3,"BILL","ACH")))</f>
        <v>CC</v>
      </c>
      <c r="F1212" s="35">
        <v>35.99</v>
      </c>
      <c r="G1212" s="14" t="str">
        <f>VLOOKUP(D1212,Table4[],3,FALSE)</f>
        <v>1</v>
      </c>
      <c r="H1212" s="15"/>
      <c r="I1212" s="15">
        <v>170333</v>
      </c>
      <c r="J1212" s="15" t="s">
        <v>28</v>
      </c>
      <c r="K1212" s="15">
        <v>669482425</v>
      </c>
      <c r="L1212" s="15" t="s">
        <v>29</v>
      </c>
      <c r="M1212" s="15" t="s">
        <v>29</v>
      </c>
    </row>
    <row r="1213" spans="1:13" x14ac:dyDescent="0.25">
      <c r="A1213" s="23">
        <f t="shared" si="62"/>
        <v>260323</v>
      </c>
      <c r="B1213" s="14" t="str">
        <f t="shared" si="61"/>
        <v>Credit Cards (UMB) - Credits</v>
      </c>
      <c r="C1213" s="37">
        <v>46144</v>
      </c>
      <c r="D1213" s="31">
        <v>260323</v>
      </c>
      <c r="E1213" s="33" t="str">
        <f>IF(Table3[[#This Row],[Type Received]]=2,"CC",(IF(Table3[[#This Row],[Type Received]]=3,"BILL","ACH")))</f>
        <v>CC</v>
      </c>
      <c r="F1213" s="32">
        <v>50.95</v>
      </c>
      <c r="G1213" s="14" t="str">
        <f>VLOOKUP(D1213,Table4[],3,FALSE)</f>
        <v>2</v>
      </c>
      <c r="H1213" s="15"/>
      <c r="I1213" s="15" t="s">
        <v>200</v>
      </c>
      <c r="J1213" s="15" t="s">
        <v>28</v>
      </c>
      <c r="K1213" s="15">
        <v>535372786</v>
      </c>
      <c r="L1213" s="15" t="s">
        <v>29</v>
      </c>
      <c r="M1213" s="15" t="s">
        <v>29</v>
      </c>
    </row>
    <row r="1214" spans="1:13" x14ac:dyDescent="0.25">
      <c r="A1214" s="23">
        <f t="shared" si="62"/>
        <v>260305</v>
      </c>
      <c r="B1214" s="14" t="str">
        <f t="shared" si="61"/>
        <v>Credit Cards (UMB) - Credits</v>
      </c>
      <c r="C1214" s="38">
        <v>46145</v>
      </c>
      <c r="D1214" s="34">
        <v>260305</v>
      </c>
      <c r="E1214" s="36" t="str">
        <f>IF(Table3[[#This Row],[Type Received]]=2,"CC",(IF(Table3[[#This Row],[Type Received]]=3,"BILL","ACH")))</f>
        <v>CC</v>
      </c>
      <c r="F1214" s="35">
        <v>124.21</v>
      </c>
      <c r="G1214" s="14" t="str">
        <f>VLOOKUP(D1214,Table4[],3,FALSE)</f>
        <v>2</v>
      </c>
      <c r="H1214" s="15"/>
      <c r="I1214" s="15">
        <v>189517</v>
      </c>
      <c r="J1214" s="15" t="s">
        <v>28</v>
      </c>
      <c r="K1214" s="15">
        <v>546409937</v>
      </c>
      <c r="L1214" s="15" t="s">
        <v>29</v>
      </c>
      <c r="M1214" s="15" t="s">
        <v>29</v>
      </c>
    </row>
    <row r="1215" spans="1:13" x14ac:dyDescent="0.25">
      <c r="A1215" s="23">
        <f t="shared" si="62"/>
        <v>260309</v>
      </c>
      <c r="B1215" s="14" t="str">
        <f t="shared" si="61"/>
        <v>Direct Debit (UMB Bank) - Credits</v>
      </c>
      <c r="C1215" s="37">
        <v>46155</v>
      </c>
      <c r="D1215" s="31">
        <v>260309</v>
      </c>
      <c r="E1215" s="33" t="str">
        <f>IF(Table3[[#This Row],[Type Received]]=2,"CC",(IF(Table3[[#This Row],[Type Received]]=3,"BILL","ACH")))</f>
        <v>ACH</v>
      </c>
      <c r="F1215" s="32">
        <v>50.29</v>
      </c>
      <c r="G1215" s="14" t="str">
        <f>VLOOKUP(D1215,Table4[],3,FALSE)</f>
        <v>1</v>
      </c>
      <c r="H1215" s="15"/>
      <c r="I1215" s="15">
        <v>120233</v>
      </c>
      <c r="J1215" s="15" t="s">
        <v>28</v>
      </c>
      <c r="K1215" s="15">
        <v>669493192</v>
      </c>
      <c r="L1215" s="15" t="s">
        <v>29</v>
      </c>
      <c r="M1215" s="15" t="s">
        <v>29</v>
      </c>
    </row>
    <row r="1216" spans="1:13" x14ac:dyDescent="0.25">
      <c r="A1216" s="23">
        <f t="shared" si="62"/>
        <v>260314</v>
      </c>
      <c r="B1216" s="14" t="str">
        <f t="shared" si="61"/>
        <v>Credit Cards (UMB) - Credits</v>
      </c>
      <c r="C1216" s="38">
        <v>46157</v>
      </c>
      <c r="D1216" s="34">
        <v>260314</v>
      </c>
      <c r="E1216" s="36" t="str">
        <f>IF(Table3[[#This Row],[Type Received]]=2,"CC",(IF(Table3[[#This Row],[Type Received]]=3,"BILL","ACH")))</f>
        <v>CC</v>
      </c>
      <c r="F1216" s="35">
        <v>120.91</v>
      </c>
      <c r="G1216" s="14" t="str">
        <f>VLOOKUP(D1216,Table4[],3,FALSE)</f>
        <v>1</v>
      </c>
      <c r="H1216" s="15"/>
      <c r="I1216" s="15"/>
      <c r="J1216" s="15" t="s">
        <v>87</v>
      </c>
      <c r="K1216" s="15">
        <v>696704137</v>
      </c>
      <c r="L1216" s="15" t="s">
        <v>29</v>
      </c>
      <c r="M1216" s="15" t="s">
        <v>29</v>
      </c>
    </row>
    <row r="1217" spans="1:13" x14ac:dyDescent="0.25">
      <c r="A1217" s="23">
        <f t="shared" si="62"/>
        <v>260318</v>
      </c>
      <c r="B1217" s="14" t="str">
        <f t="shared" si="61"/>
        <v>Direct Debit (UMB Bank) - Credits</v>
      </c>
      <c r="C1217" s="37">
        <v>46157</v>
      </c>
      <c r="D1217" s="31">
        <v>260318</v>
      </c>
      <c r="E1217" s="33" t="str">
        <f>IF(Table3[[#This Row],[Type Received]]=2,"CC",(IF(Table3[[#This Row],[Type Received]]=3,"BILL","ACH")))</f>
        <v>ACH</v>
      </c>
      <c r="F1217" s="32">
        <v>59.86</v>
      </c>
      <c r="G1217" s="14" t="str">
        <f>VLOOKUP(D1217,Table4[],3,FALSE)</f>
        <v>2</v>
      </c>
      <c r="H1217" s="15"/>
      <c r="I1217" s="15">
        <v>719910</v>
      </c>
      <c r="J1217" s="15" t="s">
        <v>28</v>
      </c>
      <c r="K1217" s="15">
        <v>696705124</v>
      </c>
      <c r="L1217" s="15" t="s">
        <v>29</v>
      </c>
      <c r="M1217" s="15" t="s">
        <v>29</v>
      </c>
    </row>
    <row r="1218" spans="1:13" x14ac:dyDescent="0.25">
      <c r="A1218" s="23">
        <f t="shared" si="62"/>
        <v>260333</v>
      </c>
      <c r="B1218" s="14" t="str">
        <f t="shared" ref="B1218:B1281" si="63">IF(AND(E1218="BILL",F1218&lt;0),"Billing &amp; Direct Debit - Refunds",(IF(AND(E1218="BILL",F1218&gt;0),"Billing - Credits (from TPA)",(IF(AND(E1218="CC",F1218&lt;0),"Credit Cards (UMB) - Refunds",(IF(AND(E1218="CC",F1218&gt;0),"Credit Cards (UMB) - Credits",(IF(AND(E1218="ACH",F1218&gt;0),"Direct Debit (UMB Bank) - Credits","Direct Debit (UMB Bank) - Returned Items")))))))))</f>
        <v>Credit Cards (UMB) - Credits</v>
      </c>
      <c r="C1218" s="38">
        <v>46155</v>
      </c>
      <c r="D1218" s="34">
        <v>260333</v>
      </c>
      <c r="E1218" s="36" t="str">
        <f>IF(Table3[[#This Row],[Type Received]]=2,"CC",(IF(Table3[[#This Row],[Type Received]]=3,"BILL","ACH")))</f>
        <v>CC</v>
      </c>
      <c r="F1218" s="35">
        <v>67.45</v>
      </c>
      <c r="G1218" s="14" t="str">
        <f>VLOOKUP(D1218,Table4[],3,FALSE)</f>
        <v>2</v>
      </c>
      <c r="H1218" s="15"/>
      <c r="I1218" s="15"/>
      <c r="J1218" s="15" t="s">
        <v>90</v>
      </c>
      <c r="K1218" s="15">
        <v>669468062</v>
      </c>
      <c r="L1218" s="15" t="s">
        <v>29</v>
      </c>
      <c r="M1218" s="15"/>
    </row>
    <row r="1219" spans="1:13" x14ac:dyDescent="0.25">
      <c r="A1219" s="23"/>
      <c r="B1219" s="14" t="str">
        <f t="shared" si="63"/>
        <v>Direct Debit (UMB Bank) - Credits</v>
      </c>
      <c r="C1219" s="37">
        <v>46155</v>
      </c>
      <c r="D1219" s="31">
        <v>260334</v>
      </c>
      <c r="E1219" s="33" t="str">
        <f>IF(Table3[[#This Row],[Type Received]]=2,"CC",(IF(Table3[[#This Row],[Type Received]]=3,"BILL","ACH")))</f>
        <v>ACH</v>
      </c>
      <c r="F1219" s="32">
        <v>40.72</v>
      </c>
      <c r="G1219" s="14" t="str">
        <f>VLOOKUP(D1219,Table4[],3,FALSE)</f>
        <v>2</v>
      </c>
      <c r="H1219" s="15"/>
      <c r="I1219" s="15">
        <v>18917</v>
      </c>
      <c r="J1219" s="15" t="s">
        <v>28</v>
      </c>
      <c r="K1219" s="15">
        <v>669491244</v>
      </c>
      <c r="L1219" s="15" t="s">
        <v>29</v>
      </c>
      <c r="M1219" s="15"/>
    </row>
    <row r="1220" spans="1:13" x14ac:dyDescent="0.25">
      <c r="A1220" s="23">
        <f t="shared" ref="A1220:A1247" si="64">D1220</f>
        <v>260340</v>
      </c>
      <c r="B1220" s="14" t="str">
        <f t="shared" si="63"/>
        <v>Direct Debit (UMB Bank) - Credits</v>
      </c>
      <c r="C1220" s="38">
        <v>46144</v>
      </c>
      <c r="D1220" s="34">
        <v>260340</v>
      </c>
      <c r="E1220" s="36" t="str">
        <f>IF(Table3[[#This Row],[Type Received]]=2,"CC",(IF(Table3[[#This Row],[Type Received]]=3,"BILL","ACH")))</f>
        <v>ACH</v>
      </c>
      <c r="F1220" s="35">
        <v>32.14</v>
      </c>
      <c r="G1220" s="14" t="str">
        <f>VLOOKUP(D1220,Table4[],3,FALSE)</f>
        <v>2</v>
      </c>
      <c r="H1220" s="15"/>
      <c r="I1220" s="15"/>
      <c r="J1220" s="15" t="s">
        <v>89</v>
      </c>
      <c r="K1220" s="15">
        <v>535389343</v>
      </c>
      <c r="L1220" s="15" t="s">
        <v>29</v>
      </c>
      <c r="M1220" s="15" t="s">
        <v>29</v>
      </c>
    </row>
    <row r="1221" spans="1:13" x14ac:dyDescent="0.25">
      <c r="A1221" s="23">
        <f t="shared" si="64"/>
        <v>260338</v>
      </c>
      <c r="B1221" s="14" t="str">
        <f t="shared" si="63"/>
        <v>Direct Debit (UMB Bank) - Credits</v>
      </c>
      <c r="C1221" s="37">
        <v>46157</v>
      </c>
      <c r="D1221" s="31">
        <v>260338</v>
      </c>
      <c r="E1221" s="33" t="str">
        <f>IF(Table3[[#This Row],[Type Received]]=2,"CC",(IF(Table3[[#This Row],[Type Received]]=3,"BILL","ACH")))</f>
        <v>ACH</v>
      </c>
      <c r="F1221" s="32">
        <v>108.15</v>
      </c>
      <c r="G1221" s="14" t="str">
        <f>VLOOKUP(D1221,Table4[],3,FALSE)</f>
        <v>1</v>
      </c>
      <c r="H1221" s="15"/>
      <c r="I1221" s="15"/>
      <c r="J1221" s="15" t="s">
        <v>87</v>
      </c>
      <c r="K1221" s="15">
        <v>696690658</v>
      </c>
      <c r="L1221" s="15" t="s">
        <v>29</v>
      </c>
      <c r="M1221" s="15" t="s">
        <v>29</v>
      </c>
    </row>
    <row r="1222" spans="1:13" x14ac:dyDescent="0.25">
      <c r="A1222" s="23">
        <f t="shared" si="64"/>
        <v>260339</v>
      </c>
      <c r="B1222" s="14" t="str">
        <f t="shared" si="63"/>
        <v>Direct Debit (UMB Bank) - Credits</v>
      </c>
      <c r="C1222" s="38">
        <v>46157</v>
      </c>
      <c r="D1222" s="34">
        <v>260339</v>
      </c>
      <c r="E1222" s="36" t="str">
        <f>IF(Table3[[#This Row],[Type Received]]=2,"CC",(IF(Table3[[#This Row],[Type Received]]=3,"BILL","ACH")))</f>
        <v>ACH</v>
      </c>
      <c r="F1222" s="35">
        <v>109.25</v>
      </c>
      <c r="G1222" s="14" t="str">
        <f>VLOOKUP(D1222,Table4[],3,FALSE)</f>
        <v>1</v>
      </c>
      <c r="H1222" s="15"/>
      <c r="I1222" s="15"/>
      <c r="J1222" s="15" t="s">
        <v>87</v>
      </c>
      <c r="K1222" s="15">
        <v>696687751</v>
      </c>
      <c r="L1222" s="15" t="s">
        <v>29</v>
      </c>
      <c r="M1222" s="15"/>
    </row>
    <row r="1223" spans="1:13" x14ac:dyDescent="0.25">
      <c r="A1223" s="23">
        <f t="shared" si="64"/>
        <v>260337</v>
      </c>
      <c r="B1223" s="14" t="str">
        <f t="shared" si="63"/>
        <v>Direct Debit (UMB Bank) - Credits</v>
      </c>
      <c r="C1223" s="37">
        <v>46157</v>
      </c>
      <c r="D1223" s="31">
        <v>260337</v>
      </c>
      <c r="E1223" s="33" t="str">
        <f>IF(Table3[[#This Row],[Type Received]]=2,"CC",(IF(Table3[[#This Row],[Type Received]]=3,"BILL","ACH")))</f>
        <v>ACH</v>
      </c>
      <c r="F1223" s="32">
        <v>83.95</v>
      </c>
      <c r="G1223" s="14" t="str">
        <f>VLOOKUP(D1223,Table4[],3,FALSE)</f>
        <v>2</v>
      </c>
      <c r="H1223" s="15"/>
      <c r="I1223" s="15"/>
      <c r="J1223" s="15" t="s">
        <v>87</v>
      </c>
      <c r="K1223" s="15">
        <v>696703178</v>
      </c>
      <c r="L1223" s="15" t="s">
        <v>29</v>
      </c>
      <c r="M1223" s="15"/>
    </row>
    <row r="1224" spans="1:13" x14ac:dyDescent="0.25">
      <c r="A1224" s="23">
        <f t="shared" si="64"/>
        <v>260359</v>
      </c>
      <c r="B1224" s="14" t="str">
        <f t="shared" si="63"/>
        <v>Direct Debit (UMB Bank) - Credits</v>
      </c>
      <c r="C1224" s="38">
        <v>46167</v>
      </c>
      <c r="D1224" s="34">
        <v>260359</v>
      </c>
      <c r="E1224" s="36" t="str">
        <f>IF(Table3[[#This Row],[Type Received]]=2,"CC",(IF(Table3[[#This Row],[Type Received]]=3,"BILL","ACH")))</f>
        <v>ACH</v>
      </c>
      <c r="F1224" s="35">
        <v>95.17</v>
      </c>
      <c r="G1224" s="14" t="str">
        <f>VLOOKUP(D1224,Table4[],3,FALSE)</f>
        <v>2</v>
      </c>
      <c r="H1224" s="15"/>
      <c r="I1224" s="15"/>
      <c r="J1224" s="15" t="s">
        <v>85</v>
      </c>
      <c r="K1224" s="15">
        <v>818350550</v>
      </c>
      <c r="L1224" s="15" t="s">
        <v>29</v>
      </c>
      <c r="M1224" s="15" t="s">
        <v>29</v>
      </c>
    </row>
    <row r="1225" spans="1:13" x14ac:dyDescent="0.25">
      <c r="A1225" s="23">
        <f t="shared" si="64"/>
        <v>260357</v>
      </c>
      <c r="B1225" s="14" t="str">
        <f t="shared" si="63"/>
        <v>Direct Debit (UMB Bank) - Credits</v>
      </c>
      <c r="C1225" s="37">
        <v>46157</v>
      </c>
      <c r="D1225" s="31">
        <v>260357</v>
      </c>
      <c r="E1225" s="33" t="str">
        <f>IF(Table3[[#This Row],[Type Received]]=2,"CC",(IF(Table3[[#This Row],[Type Received]]=3,"BILL","ACH")))</f>
        <v>ACH</v>
      </c>
      <c r="F1225" s="32">
        <v>102.43</v>
      </c>
      <c r="G1225" s="14" t="str">
        <f>VLOOKUP(D1225,Table4[],3,FALSE)</f>
        <v>2</v>
      </c>
      <c r="H1225" s="15"/>
      <c r="I1225" s="15"/>
      <c r="J1225" s="15" t="s">
        <v>87</v>
      </c>
      <c r="K1225" s="15">
        <v>696683960</v>
      </c>
      <c r="L1225" s="15" t="s">
        <v>29</v>
      </c>
      <c r="M1225" s="15" t="s">
        <v>29</v>
      </c>
    </row>
    <row r="1226" spans="1:13" x14ac:dyDescent="0.25">
      <c r="A1226" s="23">
        <f t="shared" si="64"/>
        <v>260362</v>
      </c>
      <c r="B1226" s="14" t="str">
        <f t="shared" si="63"/>
        <v>Credit Cards (UMB) - Credits</v>
      </c>
      <c r="C1226" s="38">
        <v>46167</v>
      </c>
      <c r="D1226" s="34">
        <v>260362</v>
      </c>
      <c r="E1226" s="36" t="str">
        <f>IF(Table3[[#This Row],[Type Received]]=2,"CC",(IF(Table3[[#This Row],[Type Received]]=3,"BILL","ACH")))</f>
        <v>CC</v>
      </c>
      <c r="F1226" s="35">
        <v>89.45</v>
      </c>
      <c r="G1226" s="14" t="str">
        <f>VLOOKUP(D1226,Table4[],3,FALSE)</f>
        <v>1</v>
      </c>
      <c r="H1226" s="15"/>
      <c r="I1226" s="15"/>
      <c r="J1226" s="15" t="s">
        <v>85</v>
      </c>
      <c r="K1226" s="15">
        <v>818339822</v>
      </c>
      <c r="L1226" s="15" t="s">
        <v>29</v>
      </c>
      <c r="M1226" s="15" t="s">
        <v>29</v>
      </c>
    </row>
    <row r="1227" spans="1:13" x14ac:dyDescent="0.25">
      <c r="A1227" s="23">
        <f t="shared" si="64"/>
        <v>260353</v>
      </c>
      <c r="B1227" s="14" t="str">
        <f t="shared" si="63"/>
        <v>Direct Debit (UMB Bank) - Credits</v>
      </c>
      <c r="C1227" s="37">
        <v>46155</v>
      </c>
      <c r="D1227" s="31">
        <v>260353</v>
      </c>
      <c r="E1227" s="33" t="str">
        <f>IF(Table3[[#This Row],[Type Received]]=2,"CC",(IF(Table3[[#This Row],[Type Received]]=3,"BILL","ACH")))</f>
        <v>ACH</v>
      </c>
      <c r="F1227" s="32">
        <v>69.650000000000006</v>
      </c>
      <c r="G1227" s="14" t="str">
        <f>VLOOKUP(D1227,Table4[],3,FALSE)</f>
        <v>1</v>
      </c>
      <c r="H1227" s="15"/>
      <c r="I1227" s="15" t="s">
        <v>201</v>
      </c>
      <c r="J1227" s="15" t="s">
        <v>28</v>
      </c>
      <c r="K1227" s="15">
        <v>669471005</v>
      </c>
      <c r="L1227" s="15" t="s">
        <v>29</v>
      </c>
      <c r="M1227" s="15" t="s">
        <v>29</v>
      </c>
    </row>
    <row r="1228" spans="1:13" x14ac:dyDescent="0.25">
      <c r="A1228" s="23">
        <f t="shared" si="64"/>
        <v>260356</v>
      </c>
      <c r="B1228" s="14" t="str">
        <f t="shared" si="63"/>
        <v>Direct Debit (UMB Bank) - Credits</v>
      </c>
      <c r="C1228" s="38">
        <v>46157</v>
      </c>
      <c r="D1228" s="34">
        <v>260356</v>
      </c>
      <c r="E1228" s="36" t="str">
        <f>IF(Table3[[#This Row],[Type Received]]=2,"CC",(IF(Table3[[#This Row],[Type Received]]=3,"BILL","ACH")))</f>
        <v>ACH</v>
      </c>
      <c r="F1228" s="35">
        <v>169.75</v>
      </c>
      <c r="G1228" s="14" t="str">
        <f>VLOOKUP(D1228,Table4[],3,FALSE)</f>
        <v>2</v>
      </c>
      <c r="H1228" s="15"/>
      <c r="I1228" s="15"/>
      <c r="J1228" s="15" t="s">
        <v>87</v>
      </c>
      <c r="K1228" s="15">
        <v>696691677</v>
      </c>
      <c r="L1228" s="15" t="s">
        <v>29</v>
      </c>
      <c r="M1228" s="15"/>
    </row>
    <row r="1229" spans="1:13" x14ac:dyDescent="0.25">
      <c r="A1229" s="23">
        <f t="shared" si="64"/>
        <v>260361</v>
      </c>
      <c r="B1229" s="14" t="str">
        <f t="shared" si="63"/>
        <v>Direct Debit (UMB Bank) - Credits</v>
      </c>
      <c r="C1229" s="37">
        <v>46167</v>
      </c>
      <c r="D1229" s="31">
        <v>260361</v>
      </c>
      <c r="E1229" s="33" t="str">
        <f>IF(Table3[[#This Row],[Type Received]]=2,"CC",(IF(Table3[[#This Row],[Type Received]]=3,"BILL","ACH")))</f>
        <v>ACH</v>
      </c>
      <c r="F1229" s="32">
        <v>25.65</v>
      </c>
      <c r="G1229" s="14" t="str">
        <f>VLOOKUP(D1229,Table4[],3,FALSE)</f>
        <v>1</v>
      </c>
      <c r="H1229" s="15"/>
      <c r="I1229" s="15"/>
      <c r="J1229" s="15" t="s">
        <v>85</v>
      </c>
      <c r="K1229" s="15">
        <v>818339836</v>
      </c>
      <c r="L1229" s="15" t="s">
        <v>29</v>
      </c>
      <c r="M1229" s="15" t="s">
        <v>29</v>
      </c>
    </row>
    <row r="1230" spans="1:13" x14ac:dyDescent="0.25">
      <c r="A1230" s="23">
        <f t="shared" si="64"/>
        <v>260360</v>
      </c>
      <c r="B1230" s="14" t="str">
        <f t="shared" si="63"/>
        <v>Credit Cards (UMB) - Credits</v>
      </c>
      <c r="C1230" s="38">
        <v>46167</v>
      </c>
      <c r="D1230" s="34">
        <v>260360</v>
      </c>
      <c r="E1230" s="36" t="str">
        <f>IF(Table3[[#This Row],[Type Received]]=2,"CC",(IF(Table3[[#This Row],[Type Received]]=3,"BILL","ACH")))</f>
        <v>CC</v>
      </c>
      <c r="F1230" s="35">
        <v>50.29</v>
      </c>
      <c r="G1230" s="14" t="str">
        <f>VLOOKUP(D1230,Table4[],3,FALSE)</f>
        <v>1</v>
      </c>
      <c r="H1230" s="15"/>
      <c r="I1230" s="15"/>
      <c r="J1230" s="15" t="s">
        <v>85</v>
      </c>
      <c r="K1230" s="15">
        <v>818346692</v>
      </c>
      <c r="L1230" s="15" t="s">
        <v>29</v>
      </c>
      <c r="M1230" s="15"/>
    </row>
    <row r="1231" spans="1:13" x14ac:dyDescent="0.25">
      <c r="A1231" s="23">
        <f t="shared" si="64"/>
        <v>260352</v>
      </c>
      <c r="B1231" s="14" t="str">
        <f t="shared" si="63"/>
        <v>Direct Debit (UMB Bank) - Credits</v>
      </c>
      <c r="C1231" s="37">
        <v>46155</v>
      </c>
      <c r="D1231" s="31">
        <v>260352</v>
      </c>
      <c r="E1231" s="33" t="str">
        <f>IF(Table3[[#This Row],[Type Received]]=2,"CC",(IF(Table3[[#This Row],[Type Received]]=3,"BILL","ACH")))</f>
        <v>ACH</v>
      </c>
      <c r="F1231" s="32">
        <v>65.8</v>
      </c>
      <c r="G1231" s="14" t="str">
        <f>VLOOKUP(D1231,Table4[],3,FALSE)</f>
        <v>2</v>
      </c>
      <c r="H1231" s="15"/>
      <c r="I1231" s="15" t="s">
        <v>202</v>
      </c>
      <c r="J1231" s="15" t="s">
        <v>28</v>
      </c>
      <c r="K1231" s="15">
        <v>669486353</v>
      </c>
      <c r="L1231" s="15" t="s">
        <v>29</v>
      </c>
      <c r="M1231" s="15" t="s">
        <v>29</v>
      </c>
    </row>
    <row r="1232" spans="1:13" x14ac:dyDescent="0.25">
      <c r="A1232" s="23">
        <f t="shared" si="64"/>
        <v>260358</v>
      </c>
      <c r="B1232" s="14" t="str">
        <f t="shared" si="63"/>
        <v>Credit Cards (UMB) - Credits</v>
      </c>
      <c r="C1232" s="38">
        <v>46167</v>
      </c>
      <c r="D1232" s="34">
        <v>260358</v>
      </c>
      <c r="E1232" s="36" t="str">
        <f>IF(Table3[[#This Row],[Type Received]]=2,"CC",(IF(Table3[[#This Row],[Type Received]]=3,"BILL","ACH")))</f>
        <v>CC</v>
      </c>
      <c r="F1232" s="35">
        <v>45.01</v>
      </c>
      <c r="G1232" s="14" t="str">
        <f>VLOOKUP(D1232,Table4[],3,FALSE)</f>
        <v>2</v>
      </c>
      <c r="H1232" s="15"/>
      <c r="I1232" s="15"/>
      <c r="J1232" s="15" t="s">
        <v>85</v>
      </c>
      <c r="K1232" s="15">
        <v>818337906</v>
      </c>
      <c r="L1232" s="15" t="s">
        <v>29</v>
      </c>
      <c r="M1232" s="15" t="s">
        <v>29</v>
      </c>
    </row>
    <row r="1233" spans="1:13" x14ac:dyDescent="0.25">
      <c r="A1233" s="23">
        <f t="shared" si="64"/>
        <v>260366</v>
      </c>
      <c r="B1233" s="14" t="str">
        <f t="shared" si="63"/>
        <v>Direct Debit (UMB Bank) - Credits</v>
      </c>
      <c r="C1233" s="37">
        <v>46155</v>
      </c>
      <c r="D1233" s="31">
        <v>260366</v>
      </c>
      <c r="E1233" s="33" t="str">
        <f>IF(Table3[[#This Row],[Type Received]]=2,"CC",(IF(Table3[[#This Row],[Type Received]]=3,"BILL","ACH")))</f>
        <v>ACH</v>
      </c>
      <c r="F1233" s="32">
        <v>126</v>
      </c>
      <c r="G1233" s="14" t="str">
        <f>VLOOKUP(D1233,Table4[],3,FALSE)</f>
        <v>2</v>
      </c>
      <c r="H1233" s="15"/>
      <c r="I1233" s="15">
        <v>652456</v>
      </c>
      <c r="J1233" s="15">
        <v>744917848</v>
      </c>
      <c r="K1233" s="15">
        <v>354501199</v>
      </c>
      <c r="L1233" s="15"/>
      <c r="M1233" s="15" t="s">
        <v>29</v>
      </c>
    </row>
    <row r="1234" spans="1:13" x14ac:dyDescent="0.25">
      <c r="A1234" s="23">
        <f t="shared" si="64"/>
        <v>260363</v>
      </c>
      <c r="B1234" s="14" t="str">
        <f t="shared" si="63"/>
        <v>Direct Debit (UMB Bank) - Credits</v>
      </c>
      <c r="C1234" s="38">
        <v>46167</v>
      </c>
      <c r="D1234" s="34">
        <v>260363</v>
      </c>
      <c r="E1234" s="36" t="str">
        <f>IF(Table3[[#This Row],[Type Received]]=2,"CC",(IF(Table3[[#This Row],[Type Received]]=3,"BILL","ACH")))</f>
        <v>ACH</v>
      </c>
      <c r="F1234" s="35">
        <v>31.15</v>
      </c>
      <c r="G1234" s="14" t="str">
        <f>VLOOKUP(D1234,Table4[],3,FALSE)</f>
        <v>1</v>
      </c>
      <c r="H1234" s="15"/>
      <c r="I1234" s="15"/>
      <c r="J1234" s="15" t="s">
        <v>85</v>
      </c>
      <c r="K1234" s="15">
        <v>818350526</v>
      </c>
      <c r="L1234" s="15" t="s">
        <v>29</v>
      </c>
      <c r="M1234" s="15" t="s">
        <v>29</v>
      </c>
    </row>
    <row r="1235" spans="1:13" x14ac:dyDescent="0.25">
      <c r="A1235" s="23">
        <f t="shared" si="64"/>
        <v>260375</v>
      </c>
      <c r="B1235" s="14" t="str">
        <f t="shared" si="63"/>
        <v>Credit Cards (UMB) - Credits</v>
      </c>
      <c r="C1235" s="37">
        <v>46167</v>
      </c>
      <c r="D1235" s="31">
        <v>260375</v>
      </c>
      <c r="E1235" s="33" t="str">
        <f>IF(Table3[[#This Row],[Type Received]]=2,"CC",(IF(Table3[[#This Row],[Type Received]]=3,"BILL","ACH")))</f>
        <v>CC</v>
      </c>
      <c r="F1235" s="32">
        <v>124.21</v>
      </c>
      <c r="G1235" s="14" t="str">
        <f>VLOOKUP(D1235,Table4[],3,FALSE)</f>
        <v>2</v>
      </c>
      <c r="H1235" s="15"/>
      <c r="I1235" s="15"/>
      <c r="J1235" s="15" t="s">
        <v>85</v>
      </c>
      <c r="K1235" s="15">
        <v>818344824</v>
      </c>
      <c r="L1235" s="15" t="s">
        <v>29</v>
      </c>
      <c r="M1235" s="15" t="s">
        <v>29</v>
      </c>
    </row>
    <row r="1236" spans="1:13" x14ac:dyDescent="0.25">
      <c r="A1236" s="23">
        <f t="shared" si="64"/>
        <v>260371</v>
      </c>
      <c r="B1236" s="14" t="str">
        <f t="shared" si="63"/>
        <v>Direct Debit (UMB Bank) - Credits</v>
      </c>
      <c r="C1236" s="38">
        <v>46155</v>
      </c>
      <c r="D1236" s="34">
        <v>260371</v>
      </c>
      <c r="E1236" s="36" t="str">
        <f>IF(Table3[[#This Row],[Type Received]]=2,"CC",(IF(Table3[[#This Row],[Type Received]]=3,"BILL","ACH")))</f>
        <v>ACH</v>
      </c>
      <c r="F1236" s="35">
        <v>28.95</v>
      </c>
      <c r="G1236" s="14" t="str">
        <f>VLOOKUP(D1236,Table4[],3,FALSE)</f>
        <v>1</v>
      </c>
      <c r="H1236" s="15"/>
      <c r="I1236" s="15" t="s">
        <v>203</v>
      </c>
      <c r="J1236" s="15" t="s">
        <v>28</v>
      </c>
      <c r="K1236" s="15">
        <v>669471014</v>
      </c>
      <c r="L1236" s="15" t="s">
        <v>29</v>
      </c>
      <c r="M1236" s="15" t="s">
        <v>29</v>
      </c>
    </row>
    <row r="1237" spans="1:13" x14ac:dyDescent="0.25">
      <c r="A1237" s="23">
        <f t="shared" si="64"/>
        <v>260376</v>
      </c>
      <c r="B1237" s="14" t="str">
        <f t="shared" si="63"/>
        <v>Direct Debit (UMB Bank) - Credits</v>
      </c>
      <c r="C1237" s="37">
        <v>46144</v>
      </c>
      <c r="D1237" s="31">
        <v>260376</v>
      </c>
      <c r="E1237" s="33" t="str">
        <f>IF(Table3[[#This Row],[Type Received]]=2,"CC",(IF(Table3[[#This Row],[Type Received]]=3,"BILL","ACH")))</f>
        <v>ACH</v>
      </c>
      <c r="F1237" s="32">
        <v>55.57</v>
      </c>
      <c r="G1237" s="14" t="str">
        <f>VLOOKUP(D1237,Table4[],3,FALSE)</f>
        <v>2</v>
      </c>
      <c r="H1237" s="15"/>
      <c r="I1237" s="15"/>
      <c r="J1237" s="15" t="s">
        <v>89</v>
      </c>
      <c r="K1237" s="15">
        <v>535387382</v>
      </c>
      <c r="L1237" s="15" t="s">
        <v>29</v>
      </c>
      <c r="M1237" s="15" t="s">
        <v>29</v>
      </c>
    </row>
    <row r="1238" spans="1:13" x14ac:dyDescent="0.25">
      <c r="A1238" s="23">
        <f t="shared" si="64"/>
        <v>260372</v>
      </c>
      <c r="B1238" s="14" t="str">
        <f t="shared" si="63"/>
        <v>Direct Debit (UMB Bank) - Credits</v>
      </c>
      <c r="C1238" s="38">
        <v>46167</v>
      </c>
      <c r="D1238" s="34">
        <v>260372</v>
      </c>
      <c r="E1238" s="36" t="str">
        <f>IF(Table3[[#This Row],[Type Received]]=2,"CC",(IF(Table3[[#This Row],[Type Received]]=3,"BILL","ACH")))</f>
        <v>ACH</v>
      </c>
      <c r="F1238" s="35">
        <v>160.51</v>
      </c>
      <c r="G1238" s="14" t="str">
        <f>VLOOKUP(D1238,Table4[],3,FALSE)</f>
        <v>2</v>
      </c>
      <c r="H1238" s="15"/>
      <c r="I1238" s="15"/>
      <c r="J1238" s="15" t="s">
        <v>85</v>
      </c>
      <c r="K1238" s="15">
        <v>818364175</v>
      </c>
      <c r="L1238" s="15" t="s">
        <v>29</v>
      </c>
      <c r="M1238" s="15" t="s">
        <v>29</v>
      </c>
    </row>
    <row r="1239" spans="1:13" x14ac:dyDescent="0.25">
      <c r="A1239" s="23">
        <f t="shared" si="64"/>
        <v>260374</v>
      </c>
      <c r="B1239" s="14" t="str">
        <f t="shared" si="63"/>
        <v>Direct Debit (UMB Bank) - Credits</v>
      </c>
      <c r="C1239" s="37">
        <v>46167</v>
      </c>
      <c r="D1239" s="31">
        <v>260374</v>
      </c>
      <c r="E1239" s="33" t="str">
        <f>IF(Table3[[#This Row],[Type Received]]=2,"CC",(IF(Table3[[#This Row],[Type Received]]=3,"BILL","ACH")))</f>
        <v>ACH</v>
      </c>
      <c r="F1239" s="32">
        <v>31.81</v>
      </c>
      <c r="G1239" s="14" t="str">
        <f>VLOOKUP(D1239,Table4[],3,FALSE)</f>
        <v>2</v>
      </c>
      <c r="H1239" s="15"/>
      <c r="I1239" s="15"/>
      <c r="J1239" s="15" t="s">
        <v>85</v>
      </c>
      <c r="K1239" s="15">
        <v>818358232</v>
      </c>
      <c r="L1239" s="15" t="s">
        <v>29</v>
      </c>
      <c r="M1239" s="15" t="s">
        <v>29</v>
      </c>
    </row>
    <row r="1240" spans="1:13" x14ac:dyDescent="0.25">
      <c r="A1240" s="23">
        <f t="shared" si="64"/>
        <v>260373</v>
      </c>
      <c r="B1240" s="14" t="str">
        <f t="shared" si="63"/>
        <v>Credit Cards (UMB) - Credits</v>
      </c>
      <c r="C1240" s="38">
        <v>46167</v>
      </c>
      <c r="D1240" s="34">
        <v>260373</v>
      </c>
      <c r="E1240" s="36" t="str">
        <f>IF(Table3[[#This Row],[Type Received]]=2,"CC",(IF(Table3[[#This Row],[Type Received]]=3,"BILL","ACH")))</f>
        <v>CC</v>
      </c>
      <c r="F1240" s="35">
        <v>107.71</v>
      </c>
      <c r="G1240" s="14" t="str">
        <f>VLOOKUP(D1240,Table4[],3,FALSE)</f>
        <v>2</v>
      </c>
      <c r="H1240" s="15"/>
      <c r="I1240" s="15"/>
      <c r="J1240" s="15" t="s">
        <v>85</v>
      </c>
      <c r="K1240" s="15">
        <v>818348642</v>
      </c>
      <c r="L1240" s="15" t="s">
        <v>29</v>
      </c>
      <c r="M1240" s="15" t="s">
        <v>29</v>
      </c>
    </row>
    <row r="1241" spans="1:13" x14ac:dyDescent="0.25">
      <c r="A1241" s="23">
        <f t="shared" si="64"/>
        <v>260378</v>
      </c>
      <c r="B1241" s="14" t="str">
        <f t="shared" si="63"/>
        <v>Credit Cards (UMB) - Credits</v>
      </c>
      <c r="C1241" s="37">
        <v>46163</v>
      </c>
      <c r="D1241" s="31">
        <v>260378</v>
      </c>
      <c r="E1241" s="33" t="str">
        <f>IF(Table3[[#This Row],[Type Received]]=2,"CC",(IF(Table3[[#This Row],[Type Received]]=3,"BILL","ACH")))</f>
        <v>CC</v>
      </c>
      <c r="F1241" s="32">
        <v>28.2</v>
      </c>
      <c r="G1241" s="14" t="str">
        <f>VLOOKUP(D1241,Table4[],3,FALSE)</f>
        <v>2</v>
      </c>
      <c r="H1241" s="15"/>
      <c r="I1241" s="15" t="s">
        <v>204</v>
      </c>
      <c r="J1241" s="15">
        <v>747461115</v>
      </c>
      <c r="K1241" s="15">
        <v>355344585</v>
      </c>
      <c r="L1241" s="15"/>
      <c r="M1241" s="15" t="s">
        <v>29</v>
      </c>
    </row>
    <row r="1242" spans="1:13" x14ac:dyDescent="0.25">
      <c r="A1242" s="23">
        <f t="shared" si="64"/>
        <v>260381</v>
      </c>
      <c r="B1242" s="14" t="str">
        <f t="shared" si="63"/>
        <v>Credit Cards (UMB) - Credits</v>
      </c>
      <c r="C1242" s="38">
        <v>46155</v>
      </c>
      <c r="D1242" s="34">
        <v>260381</v>
      </c>
      <c r="E1242" s="36" t="str">
        <f>IF(Table3[[#This Row],[Type Received]]=2,"CC",(IF(Table3[[#This Row],[Type Received]]=3,"BILL","ACH")))</f>
        <v>CC</v>
      </c>
      <c r="F1242" s="35">
        <v>143.35</v>
      </c>
      <c r="G1242" s="14" t="str">
        <f>VLOOKUP(D1242,Table4[],3,FALSE)</f>
        <v>2</v>
      </c>
      <c r="H1242" s="15"/>
      <c r="I1242" s="15">
        <v>13406</v>
      </c>
      <c r="J1242" s="15" t="s">
        <v>28</v>
      </c>
      <c r="K1242" s="15">
        <v>669482474</v>
      </c>
      <c r="L1242" s="15" t="s">
        <v>29</v>
      </c>
      <c r="M1242" s="15" t="s">
        <v>29</v>
      </c>
    </row>
    <row r="1243" spans="1:13" x14ac:dyDescent="0.25">
      <c r="A1243" s="23">
        <f t="shared" si="64"/>
        <v>260380</v>
      </c>
      <c r="B1243" s="14" t="str">
        <f t="shared" si="63"/>
        <v>Direct Debit (UMB Bank) - Credits</v>
      </c>
      <c r="C1243" s="37">
        <v>46161</v>
      </c>
      <c r="D1243" s="31">
        <v>260380</v>
      </c>
      <c r="E1243" s="33" t="str">
        <f>IF(Table3[[#This Row],[Type Received]]=2,"CC",(IF(Table3[[#This Row],[Type Received]]=3,"BILL","ACH")))</f>
        <v>ACH</v>
      </c>
      <c r="F1243" s="32">
        <v>127.18</v>
      </c>
      <c r="G1243" s="14" t="str">
        <f>VLOOKUP(D1243,Table4[],3,FALSE)</f>
        <v>2</v>
      </c>
      <c r="H1243" s="15"/>
      <c r="I1243" s="15">
        <v>70019</v>
      </c>
      <c r="J1243" s="15" t="s">
        <v>28</v>
      </c>
      <c r="K1243" s="15">
        <v>745058678</v>
      </c>
      <c r="L1243" s="15" t="s">
        <v>29</v>
      </c>
      <c r="M1243" s="15" t="s">
        <v>29</v>
      </c>
    </row>
    <row r="1244" spans="1:13" x14ac:dyDescent="0.25">
      <c r="A1244" s="23">
        <f t="shared" si="64"/>
        <v>260383</v>
      </c>
      <c r="B1244" s="14" t="str">
        <f t="shared" si="63"/>
        <v>Direct Debit (UMB Bank) - Credits</v>
      </c>
      <c r="C1244" s="38">
        <v>46144</v>
      </c>
      <c r="D1244" s="34">
        <v>260383</v>
      </c>
      <c r="E1244" s="36" t="str">
        <f>IF(Table3[[#This Row],[Type Received]]=2,"CC",(IF(Table3[[#This Row],[Type Received]]=3,"BILL","ACH")))</f>
        <v>ACH</v>
      </c>
      <c r="F1244" s="35">
        <v>94.18</v>
      </c>
      <c r="G1244" s="14" t="str">
        <f>VLOOKUP(D1244,Table4[],3,FALSE)</f>
        <v>2</v>
      </c>
      <c r="H1244" s="15"/>
      <c r="I1244" s="15"/>
      <c r="J1244" s="15" t="s">
        <v>89</v>
      </c>
      <c r="K1244" s="15">
        <v>535371826</v>
      </c>
      <c r="L1244" s="15" t="s">
        <v>29</v>
      </c>
      <c r="M1244" s="15" t="s">
        <v>29</v>
      </c>
    </row>
    <row r="1245" spans="1:13" x14ac:dyDescent="0.25">
      <c r="A1245" s="23">
        <f t="shared" si="64"/>
        <v>260387</v>
      </c>
      <c r="B1245" s="14" t="str">
        <f t="shared" si="63"/>
        <v>Direct Debit (UMB Bank) - Credits</v>
      </c>
      <c r="C1245" s="37">
        <v>46168</v>
      </c>
      <c r="D1245" s="31">
        <v>260387</v>
      </c>
      <c r="E1245" s="33" t="str">
        <f>IF(Table3[[#This Row],[Type Received]]=2,"CC",(IF(Table3[[#This Row],[Type Received]]=3,"BILL","ACH")))</f>
        <v>ACH</v>
      </c>
      <c r="F1245" s="32">
        <v>52.27</v>
      </c>
      <c r="G1245" s="14" t="str">
        <f>VLOOKUP(D1245,Table4[],3,FALSE)</f>
        <v>1</v>
      </c>
      <c r="H1245" s="15"/>
      <c r="I1245" s="15"/>
      <c r="J1245" s="15" t="s">
        <v>110</v>
      </c>
      <c r="K1245" s="15">
        <v>828257219</v>
      </c>
      <c r="L1245" s="15" t="s">
        <v>29</v>
      </c>
      <c r="M1245" s="15" t="s">
        <v>29</v>
      </c>
    </row>
    <row r="1246" spans="1:13" x14ac:dyDescent="0.25">
      <c r="A1246" s="23">
        <f t="shared" si="64"/>
        <v>260385</v>
      </c>
      <c r="B1246" s="14" t="str">
        <f t="shared" si="63"/>
        <v>Billing - Credits (from TPA)</v>
      </c>
      <c r="C1246" s="38">
        <v>46157</v>
      </c>
      <c r="D1246" s="34">
        <v>260385</v>
      </c>
      <c r="E1246" s="36" t="str">
        <f>IF(Table3[[#This Row],[Type Received]]=2,"CC",(IF(Table3[[#This Row],[Type Received]]=3,"BILL","ACH")))</f>
        <v>BILL</v>
      </c>
      <c r="F1246" s="35">
        <v>39.950000000000003</v>
      </c>
      <c r="G1246" s="14" t="str">
        <f>VLOOKUP(D1246,Table4[],3,FALSE)</f>
        <v>1</v>
      </c>
      <c r="H1246" s="15"/>
      <c r="I1246" s="15"/>
      <c r="J1246" s="15" t="s">
        <v>87</v>
      </c>
      <c r="K1246" s="15">
        <v>696684964</v>
      </c>
      <c r="L1246" s="15" t="s">
        <v>29</v>
      </c>
      <c r="M1246" s="15" t="s">
        <v>29</v>
      </c>
    </row>
    <row r="1247" spans="1:13" x14ac:dyDescent="0.25">
      <c r="A1247" s="23">
        <f t="shared" si="64"/>
        <v>260388</v>
      </c>
      <c r="B1247" s="14" t="str">
        <f t="shared" si="63"/>
        <v>Direct Debit (UMB Bank) - Credits</v>
      </c>
      <c r="C1247" s="37">
        <v>46169</v>
      </c>
      <c r="D1247" s="31">
        <v>260388</v>
      </c>
      <c r="E1247" s="33" t="str">
        <f>IF(Table3[[#This Row],[Type Received]]=2,"CC",(IF(Table3[[#This Row],[Type Received]]=3,"BILL","ACH")))</f>
        <v>ACH</v>
      </c>
      <c r="F1247" s="32">
        <v>93</v>
      </c>
      <c r="G1247" s="14" t="str">
        <f>VLOOKUP(D1247,Table4[],3,FALSE)</f>
        <v>2</v>
      </c>
      <c r="H1247" s="15">
        <v>3045081</v>
      </c>
      <c r="I1247" s="15"/>
      <c r="J1247" s="15"/>
      <c r="K1247" s="15"/>
      <c r="L1247" s="15"/>
      <c r="M1247" s="15" t="s">
        <v>29</v>
      </c>
    </row>
    <row r="1248" spans="1:13" x14ac:dyDescent="0.25">
      <c r="A1248" s="23"/>
      <c r="B1248" s="14" t="str">
        <f t="shared" si="63"/>
        <v>Credit Cards (UMB) - Credits</v>
      </c>
      <c r="C1248" s="38">
        <v>46168</v>
      </c>
      <c r="D1248" s="34">
        <v>260393</v>
      </c>
      <c r="E1248" s="36" t="str">
        <f>IF(Table3[[#This Row],[Type Received]]=2,"CC",(IF(Table3[[#This Row],[Type Received]]=3,"BILL","ACH")))</f>
        <v>CC</v>
      </c>
      <c r="F1248" s="35">
        <v>67.45</v>
      </c>
      <c r="G1248" s="14" t="str">
        <f>VLOOKUP(D1248,Table4[],3,FALSE)</f>
        <v>2</v>
      </c>
      <c r="H1248" s="15"/>
      <c r="I1248" s="15"/>
      <c r="J1248" s="15" t="s">
        <v>110</v>
      </c>
      <c r="K1248" s="15">
        <v>828238001</v>
      </c>
      <c r="L1248" s="15" t="s">
        <v>29</v>
      </c>
      <c r="M1248" s="15" t="s">
        <v>29</v>
      </c>
    </row>
    <row r="1249" spans="1:13" x14ac:dyDescent="0.25">
      <c r="A1249" s="23"/>
      <c r="B1249" s="14" t="str">
        <f t="shared" si="63"/>
        <v>Billing - Credits (from TPA)</v>
      </c>
      <c r="C1249" s="37">
        <v>46155</v>
      </c>
      <c r="D1249" s="31">
        <v>260392</v>
      </c>
      <c r="E1249" s="33" t="str">
        <f>IF(Table3[[#This Row],[Type Received]]=2,"CC",(IF(Table3[[#This Row],[Type Received]]=3,"BILL","ACH")))</f>
        <v>BILL</v>
      </c>
      <c r="F1249" s="32">
        <v>78.45</v>
      </c>
      <c r="G1249" s="14" t="str">
        <f>VLOOKUP(D1249,Table4[],3,FALSE)</f>
        <v>1</v>
      </c>
      <c r="H1249" s="15"/>
      <c r="I1249" s="15">
        <v>544782</v>
      </c>
      <c r="J1249" s="15" t="s">
        <v>28</v>
      </c>
      <c r="K1249" s="15">
        <v>669481506</v>
      </c>
      <c r="L1249" s="15" t="s">
        <v>29</v>
      </c>
      <c r="M1249" s="15" t="s">
        <v>29</v>
      </c>
    </row>
    <row r="1250" spans="1:13" x14ac:dyDescent="0.25">
      <c r="A1250" s="23"/>
      <c r="B1250" s="14" t="str">
        <f t="shared" si="63"/>
        <v>Credit Cards (UMB) - Credits</v>
      </c>
      <c r="C1250" s="38">
        <v>46143</v>
      </c>
      <c r="D1250" s="34">
        <v>260395</v>
      </c>
      <c r="E1250" s="36" t="str">
        <f>IF(Table3[[#This Row],[Type Received]]=2,"CC",(IF(Table3[[#This Row],[Type Received]]=3,"BILL","ACH")))</f>
        <v>CC</v>
      </c>
      <c r="F1250" s="35">
        <v>85.1</v>
      </c>
      <c r="G1250" s="14" t="str">
        <f>VLOOKUP(D1250,Table4[],3,FALSE)</f>
        <v>1</v>
      </c>
      <c r="H1250" s="15">
        <v>3879</v>
      </c>
      <c r="I1250" s="15"/>
      <c r="J1250" s="15"/>
      <c r="K1250" s="15"/>
      <c r="L1250" s="15"/>
      <c r="M1250" s="15"/>
    </row>
    <row r="1251" spans="1:13" x14ac:dyDescent="0.25">
      <c r="A1251" s="23"/>
      <c r="B1251" s="14" t="str">
        <f t="shared" si="63"/>
        <v>Direct Debit (UMB Bank) - Credits</v>
      </c>
      <c r="C1251" s="37">
        <v>46155</v>
      </c>
      <c r="D1251" s="31">
        <v>260391</v>
      </c>
      <c r="E1251" s="33" t="str">
        <f>IF(Table3[[#This Row],[Type Received]]=2,"CC",(IF(Table3[[#This Row],[Type Received]]=3,"BILL","ACH")))</f>
        <v>ACH</v>
      </c>
      <c r="F1251" s="32">
        <v>90.55</v>
      </c>
      <c r="G1251" s="14" t="str">
        <f>VLOOKUP(D1251,Table4[],3,FALSE)</f>
        <v>2</v>
      </c>
      <c r="H1251" s="15"/>
      <c r="I1251" s="15" t="s">
        <v>205</v>
      </c>
      <c r="J1251" s="24" t="s">
        <v>28</v>
      </c>
      <c r="K1251" s="15">
        <v>669472006</v>
      </c>
      <c r="L1251" s="15" t="s">
        <v>29</v>
      </c>
      <c r="M1251" s="15"/>
    </row>
    <row r="1252" spans="1:13" x14ac:dyDescent="0.25">
      <c r="A1252" s="23"/>
      <c r="B1252" s="14" t="str">
        <f t="shared" si="63"/>
        <v>Credit Cards (UMB) - Credits</v>
      </c>
      <c r="C1252" s="38">
        <v>46157</v>
      </c>
      <c r="D1252" s="34">
        <v>260399</v>
      </c>
      <c r="E1252" s="36" t="str">
        <f>IF(Table3[[#This Row],[Type Received]]=2,"CC",(IF(Table3[[#This Row],[Type Received]]=3,"BILL","ACH")))</f>
        <v>CC</v>
      </c>
      <c r="F1252" s="35">
        <v>57.33</v>
      </c>
      <c r="G1252" s="14" t="str">
        <f>VLOOKUP(D1252,Table4[],3,FALSE)</f>
        <v>1</v>
      </c>
      <c r="H1252" s="15"/>
      <c r="I1252" s="15"/>
      <c r="J1252" s="15" t="s">
        <v>87</v>
      </c>
      <c r="K1252" s="15">
        <v>696687906</v>
      </c>
      <c r="L1252" s="15" t="s">
        <v>29</v>
      </c>
      <c r="M1252" s="15" t="s">
        <v>29</v>
      </c>
    </row>
    <row r="1253" spans="1:13" x14ac:dyDescent="0.25">
      <c r="A1253" s="23">
        <f t="shared" ref="A1253:A1284" si="65">D1253</f>
        <v>260397</v>
      </c>
      <c r="B1253" s="14" t="str">
        <f t="shared" si="63"/>
        <v>Direct Debit (UMB Bank) - Credits</v>
      </c>
      <c r="C1253" s="37">
        <v>46155</v>
      </c>
      <c r="D1253" s="31">
        <v>260397</v>
      </c>
      <c r="E1253" s="33" t="str">
        <f>IF(Table3[[#This Row],[Type Received]]=2,"CC",(IF(Table3[[#This Row],[Type Received]]=3,"BILL","ACH")))</f>
        <v>ACH</v>
      </c>
      <c r="F1253" s="32">
        <v>72.95</v>
      </c>
      <c r="G1253" s="14" t="str">
        <f>VLOOKUP(D1253,Table4[],3,FALSE)</f>
        <v>1</v>
      </c>
      <c r="H1253" s="15"/>
      <c r="I1253" s="15">
        <v>548847</v>
      </c>
      <c r="J1253" s="15" t="s">
        <v>28</v>
      </c>
      <c r="K1253" s="15">
        <v>669491311</v>
      </c>
      <c r="L1253" s="15" t="s">
        <v>29</v>
      </c>
      <c r="M1253" s="15"/>
    </row>
    <row r="1254" spans="1:13" x14ac:dyDescent="0.25">
      <c r="A1254" s="23">
        <f t="shared" si="65"/>
        <v>260400</v>
      </c>
      <c r="B1254" s="14" t="str">
        <f t="shared" si="63"/>
        <v>Direct Debit (UMB Bank) - Credits</v>
      </c>
      <c r="C1254" s="38">
        <v>46143</v>
      </c>
      <c r="D1254" s="34">
        <v>260400</v>
      </c>
      <c r="E1254" s="36" t="str">
        <f>IF(Table3[[#This Row],[Type Received]]=2,"CC",(IF(Table3[[#This Row],[Type Received]]=3,"BILL","ACH")))</f>
        <v>ACH</v>
      </c>
      <c r="F1254" s="35">
        <v>116.95</v>
      </c>
      <c r="G1254" s="14" t="str">
        <f>VLOOKUP(D1254,Table4[],3,FALSE)</f>
        <v>1</v>
      </c>
      <c r="H1254" s="15"/>
      <c r="I1254" s="15"/>
      <c r="J1254" s="15" t="s">
        <v>84</v>
      </c>
      <c r="K1254" s="15">
        <v>522271805</v>
      </c>
      <c r="L1254" s="15" t="s">
        <v>29</v>
      </c>
      <c r="M1254" s="15" t="s">
        <v>29</v>
      </c>
    </row>
    <row r="1255" spans="1:13" x14ac:dyDescent="0.25">
      <c r="A1255" s="23">
        <f t="shared" si="65"/>
        <v>260398</v>
      </c>
      <c r="B1255" s="14" t="str">
        <f t="shared" si="63"/>
        <v>Direct Debit (UMB Bank) - Credits</v>
      </c>
      <c r="C1255" s="37">
        <v>46157</v>
      </c>
      <c r="D1255" s="31">
        <v>260398</v>
      </c>
      <c r="E1255" s="33" t="str">
        <f>IF(Table3[[#This Row],[Type Received]]=2,"CC",(IF(Table3[[#This Row],[Type Received]]=3,"BILL","ACH")))</f>
        <v>ACH</v>
      </c>
      <c r="F1255" s="32">
        <v>46.33</v>
      </c>
      <c r="G1255" s="14" t="str">
        <f>VLOOKUP(D1255,Table4[],3,FALSE)</f>
        <v>2</v>
      </c>
      <c r="H1255" s="15"/>
      <c r="I1255" s="15"/>
      <c r="J1255" s="15" t="s">
        <v>87</v>
      </c>
      <c r="K1255" s="15">
        <v>696702352</v>
      </c>
      <c r="L1255" s="15" t="s">
        <v>29</v>
      </c>
      <c r="M1255" s="15"/>
    </row>
    <row r="1256" spans="1:13" x14ac:dyDescent="0.25">
      <c r="A1256" s="23">
        <f t="shared" si="65"/>
        <v>260402</v>
      </c>
      <c r="B1256" s="14" t="str">
        <f t="shared" si="63"/>
        <v>Direct Debit (UMB Bank) - Credits</v>
      </c>
      <c r="C1256" s="38">
        <v>46157</v>
      </c>
      <c r="D1256" s="34">
        <v>260402</v>
      </c>
      <c r="E1256" s="36" t="str">
        <f>IF(Table3[[#This Row],[Type Received]]=2,"CC",(IF(Table3[[#This Row],[Type Received]]=3,"BILL","ACH")))</f>
        <v>ACH</v>
      </c>
      <c r="F1256" s="35">
        <v>41.05</v>
      </c>
      <c r="G1256" s="14" t="str">
        <f>VLOOKUP(D1256,Table4[],3,FALSE)</f>
        <v>2</v>
      </c>
      <c r="H1256" s="15"/>
      <c r="I1256" s="15"/>
      <c r="J1256" s="15" t="s">
        <v>87</v>
      </c>
      <c r="K1256" s="15">
        <v>696702387</v>
      </c>
      <c r="L1256" s="15" t="s">
        <v>29</v>
      </c>
      <c r="M1256" s="15" t="s">
        <v>29</v>
      </c>
    </row>
    <row r="1257" spans="1:13" x14ac:dyDescent="0.25">
      <c r="A1257" s="23">
        <f t="shared" si="65"/>
        <v>260403</v>
      </c>
      <c r="B1257" s="14" t="str">
        <f t="shared" si="63"/>
        <v>Direct Debit (UMB Bank) - Credits</v>
      </c>
      <c r="C1257" s="37">
        <v>46157</v>
      </c>
      <c r="D1257" s="31">
        <v>260403</v>
      </c>
      <c r="E1257" s="33" t="str">
        <f>IF(Table3[[#This Row],[Type Received]]=2,"CC",(IF(Table3[[#This Row],[Type Received]]=3,"BILL","ACH")))</f>
        <v>ACH</v>
      </c>
      <c r="F1257" s="32">
        <v>79.989999999999995</v>
      </c>
      <c r="G1257" s="14" t="str">
        <f>VLOOKUP(D1257,Table4[],3,FALSE)</f>
        <v>2</v>
      </c>
      <c r="H1257" s="15"/>
      <c r="I1257" s="15"/>
      <c r="J1257" s="15" t="s">
        <v>87</v>
      </c>
      <c r="K1257" s="15">
        <v>696701404</v>
      </c>
      <c r="L1257" s="15" t="s">
        <v>29</v>
      </c>
      <c r="M1257" s="15" t="s">
        <v>29</v>
      </c>
    </row>
    <row r="1258" spans="1:13" x14ac:dyDescent="0.25">
      <c r="A1258" s="23">
        <f t="shared" si="65"/>
        <v>260404</v>
      </c>
      <c r="B1258" s="14" t="str">
        <f t="shared" si="63"/>
        <v>Credit Cards (UMB) - Credits</v>
      </c>
      <c r="C1258" s="38">
        <v>46157</v>
      </c>
      <c r="D1258" s="34">
        <v>260404</v>
      </c>
      <c r="E1258" s="36" t="str">
        <f>IF(Table3[[#This Row],[Type Received]]=2,"CC",(IF(Table3[[#This Row],[Type Received]]=3,"BILL","ACH")))</f>
        <v>CC</v>
      </c>
      <c r="F1258" s="35">
        <v>36.1</v>
      </c>
      <c r="G1258" s="14" t="str">
        <f>VLOOKUP(D1258,Table4[],3,FALSE)</f>
        <v>2</v>
      </c>
      <c r="H1258" s="15"/>
      <c r="I1258" s="15"/>
      <c r="J1258" s="15" t="s">
        <v>87</v>
      </c>
      <c r="K1258" s="15">
        <v>696696635</v>
      </c>
      <c r="L1258" s="15" t="s">
        <v>29</v>
      </c>
      <c r="M1258" s="15"/>
    </row>
    <row r="1259" spans="1:13" x14ac:dyDescent="0.25">
      <c r="A1259" s="23">
        <f t="shared" si="65"/>
        <v>260405</v>
      </c>
      <c r="B1259" s="14" t="str">
        <f t="shared" si="63"/>
        <v>Direct Debit (UMB Bank) - Credits</v>
      </c>
      <c r="C1259" s="37">
        <v>46163</v>
      </c>
      <c r="D1259" s="31">
        <v>260405</v>
      </c>
      <c r="E1259" s="33" t="str">
        <f>IF(Table3[[#This Row],[Type Received]]=2,"CC",(IF(Table3[[#This Row],[Type Received]]=3,"BILL","ACH")))</f>
        <v>ACH</v>
      </c>
      <c r="F1259" s="32">
        <v>56.25</v>
      </c>
      <c r="G1259" s="14" t="str">
        <f>VLOOKUP(D1259,Table4[],3,FALSE)</f>
        <v>2</v>
      </c>
      <c r="H1259" s="15"/>
      <c r="I1259" s="15">
        <v>21684</v>
      </c>
      <c r="J1259" s="15" t="s">
        <v>28</v>
      </c>
      <c r="K1259" s="15">
        <v>773468708</v>
      </c>
      <c r="L1259" s="15" t="s">
        <v>29</v>
      </c>
      <c r="M1259" s="15" t="s">
        <v>29</v>
      </c>
    </row>
    <row r="1260" spans="1:13" x14ac:dyDescent="0.25">
      <c r="A1260" s="23">
        <f t="shared" si="65"/>
        <v>260424</v>
      </c>
      <c r="B1260" s="14" t="str">
        <f t="shared" si="63"/>
        <v>Credit Cards (UMB) - Credits</v>
      </c>
      <c r="C1260" s="38">
        <v>46168</v>
      </c>
      <c r="D1260" s="34">
        <v>260424</v>
      </c>
      <c r="E1260" s="36" t="str">
        <f>IF(Table3[[#This Row],[Type Received]]=2,"CC",(IF(Table3[[#This Row],[Type Received]]=3,"BILL","ACH")))</f>
        <v>CC</v>
      </c>
      <c r="F1260" s="35">
        <v>45.45</v>
      </c>
      <c r="G1260" s="14" t="str">
        <f>VLOOKUP(D1260,Table4[],3,FALSE)</f>
        <v>1</v>
      </c>
      <c r="H1260" s="15"/>
      <c r="I1260" s="15"/>
      <c r="J1260" s="15" t="s">
        <v>110</v>
      </c>
      <c r="K1260" s="15">
        <v>828237099</v>
      </c>
      <c r="L1260" s="15" t="s">
        <v>29</v>
      </c>
      <c r="M1260" s="15" t="s">
        <v>29</v>
      </c>
    </row>
    <row r="1261" spans="1:13" x14ac:dyDescent="0.25">
      <c r="A1261" s="23">
        <f t="shared" si="65"/>
        <v>260426</v>
      </c>
      <c r="B1261" s="14" t="str">
        <f t="shared" si="63"/>
        <v>Credit Cards (UMB) - Credits</v>
      </c>
      <c r="C1261" s="37">
        <v>46164</v>
      </c>
      <c r="D1261" s="31">
        <v>260426</v>
      </c>
      <c r="E1261" s="33" t="str">
        <f>IF(Table3[[#This Row],[Type Received]]=2,"CC",(IF(Table3[[#This Row],[Type Received]]=3,"BILL","ACH")))</f>
        <v>CC</v>
      </c>
      <c r="F1261" s="32">
        <v>83.95</v>
      </c>
      <c r="G1261" s="14" t="str">
        <f>VLOOKUP(D1261,Table4[],3,FALSE)</f>
        <v>2</v>
      </c>
      <c r="H1261" s="15"/>
      <c r="I1261" s="15">
        <v>545864</v>
      </c>
      <c r="J1261" s="24" t="s">
        <v>28</v>
      </c>
      <c r="K1261" s="15">
        <v>787058675</v>
      </c>
      <c r="L1261" s="15" t="s">
        <v>29</v>
      </c>
      <c r="M1261" s="15" t="s">
        <v>29</v>
      </c>
    </row>
    <row r="1262" spans="1:13" x14ac:dyDescent="0.25">
      <c r="A1262" s="23">
        <f t="shared" si="65"/>
        <v>260415</v>
      </c>
      <c r="B1262" s="14" t="str">
        <f t="shared" si="63"/>
        <v>Credit Cards (UMB) - Credits</v>
      </c>
      <c r="C1262" s="38">
        <v>46155</v>
      </c>
      <c r="D1262" s="34">
        <v>260415</v>
      </c>
      <c r="E1262" s="36" t="str">
        <f>IF(Table3[[#This Row],[Type Received]]=2,"CC",(IF(Table3[[#This Row],[Type Received]]=3,"BILL","ACH")))</f>
        <v>CC</v>
      </c>
      <c r="F1262" s="35">
        <v>32.03</v>
      </c>
      <c r="G1262" s="14" t="str">
        <f>VLOOKUP(D1262,Table4[],3,FALSE)</f>
        <v>1</v>
      </c>
      <c r="H1262" s="15"/>
      <c r="I1262" s="15">
        <v>13796</v>
      </c>
      <c r="J1262" s="24" t="s">
        <v>28</v>
      </c>
      <c r="K1262" s="15">
        <v>669488371</v>
      </c>
      <c r="L1262" s="15" t="s">
        <v>29</v>
      </c>
      <c r="M1262" s="15" t="s">
        <v>29</v>
      </c>
    </row>
    <row r="1263" spans="1:13" x14ac:dyDescent="0.25">
      <c r="A1263" s="23">
        <f t="shared" si="65"/>
        <v>260410</v>
      </c>
      <c r="B1263" s="14" t="str">
        <f t="shared" si="63"/>
        <v>Credit Cards (UMB) - Credits</v>
      </c>
      <c r="C1263" s="37">
        <v>46155</v>
      </c>
      <c r="D1263" s="31">
        <v>260410</v>
      </c>
      <c r="E1263" s="33" t="str">
        <f>IF(Table3[[#This Row],[Type Received]]=2,"CC",(IF(Table3[[#This Row],[Type Received]]=3,"BILL","ACH")))</f>
        <v>CC</v>
      </c>
      <c r="F1263" s="32">
        <v>58.87</v>
      </c>
      <c r="G1263" s="14" t="str">
        <f>VLOOKUP(D1263,Table4[],3,FALSE)</f>
        <v>2</v>
      </c>
      <c r="H1263" s="15"/>
      <c r="I1263" s="15">
        <v>2860</v>
      </c>
      <c r="J1263" s="15" t="s">
        <v>28</v>
      </c>
      <c r="K1263" s="15">
        <v>669486441</v>
      </c>
      <c r="L1263" s="15" t="s">
        <v>29</v>
      </c>
      <c r="M1263" s="15" t="s">
        <v>29</v>
      </c>
    </row>
    <row r="1264" spans="1:13" x14ac:dyDescent="0.25">
      <c r="A1264" s="23">
        <f t="shared" si="65"/>
        <v>260406</v>
      </c>
      <c r="B1264" s="14" t="str">
        <f t="shared" si="63"/>
        <v>Credit Cards (UMB) - Credits</v>
      </c>
      <c r="C1264" s="38">
        <v>46155</v>
      </c>
      <c r="D1264" s="34">
        <v>260406</v>
      </c>
      <c r="E1264" s="36" t="str">
        <f>IF(Table3[[#This Row],[Type Received]]=2,"CC",(IF(Table3[[#This Row],[Type Received]]=3,"BILL","ACH")))</f>
        <v>CC</v>
      </c>
      <c r="F1264" s="35">
        <v>34.450000000000003</v>
      </c>
      <c r="G1264" s="14" t="e">
        <f>VLOOKUP(D1264,Table4[],3,FALSE)</f>
        <v>#N/A</v>
      </c>
      <c r="H1264" s="15"/>
      <c r="I1264" s="15">
        <v>971387</v>
      </c>
      <c r="J1264" s="15" t="s">
        <v>28</v>
      </c>
      <c r="K1264" s="15">
        <v>669494316</v>
      </c>
      <c r="L1264" s="15" t="s">
        <v>29</v>
      </c>
      <c r="M1264" s="15" t="s">
        <v>29</v>
      </c>
    </row>
    <row r="1265" spans="1:13" x14ac:dyDescent="0.25">
      <c r="A1265" s="23">
        <f t="shared" si="65"/>
        <v>260419</v>
      </c>
      <c r="B1265" s="14" t="str">
        <f t="shared" si="63"/>
        <v>Direct Debit (UMB Bank) - Credits</v>
      </c>
      <c r="C1265" s="37">
        <v>46155</v>
      </c>
      <c r="D1265" s="31">
        <v>260419</v>
      </c>
      <c r="E1265" s="33" t="str">
        <f>IF(Table3[[#This Row],[Type Received]]=2,"CC",(IF(Table3[[#This Row],[Type Received]]=3,"BILL","ACH")))</f>
        <v>ACH</v>
      </c>
      <c r="F1265" s="32">
        <v>54.25</v>
      </c>
      <c r="G1265" s="14" t="str">
        <f>VLOOKUP(D1265,Table4[],3,FALSE)</f>
        <v>1</v>
      </c>
      <c r="H1265" s="15"/>
      <c r="I1265" s="15" t="s">
        <v>206</v>
      </c>
      <c r="J1265" s="15" t="s">
        <v>28</v>
      </c>
      <c r="K1265" s="15">
        <v>669475942</v>
      </c>
      <c r="L1265" s="15" t="s">
        <v>29</v>
      </c>
      <c r="M1265" s="15" t="s">
        <v>29</v>
      </c>
    </row>
    <row r="1266" spans="1:13" x14ac:dyDescent="0.25">
      <c r="A1266" s="23">
        <f t="shared" si="65"/>
        <v>260423</v>
      </c>
      <c r="B1266" s="14" t="str">
        <f t="shared" si="63"/>
        <v>Direct Debit (UMB Bank) - Credits</v>
      </c>
      <c r="C1266" s="38">
        <v>46146</v>
      </c>
      <c r="D1266" s="34">
        <v>260423</v>
      </c>
      <c r="E1266" s="36" t="str">
        <f>IF(Table3[[#This Row],[Type Received]]=2,"CC",(IF(Table3[[#This Row],[Type Received]]=3,"BILL","ACH")))</f>
        <v>ACH</v>
      </c>
      <c r="F1266" s="35">
        <v>93.41</v>
      </c>
      <c r="G1266" s="14" t="str">
        <f>VLOOKUP(D1266,Table4[],3,FALSE)</f>
        <v>1</v>
      </c>
      <c r="H1266" s="15"/>
      <c r="I1266" s="15"/>
      <c r="J1266" s="15" t="s">
        <v>92</v>
      </c>
      <c r="K1266" s="15">
        <v>558733610</v>
      </c>
      <c r="L1266" s="15" t="s">
        <v>29</v>
      </c>
      <c r="M1266" s="15" t="s">
        <v>29</v>
      </c>
    </row>
    <row r="1267" spans="1:13" x14ac:dyDescent="0.25">
      <c r="A1267" s="23">
        <f t="shared" si="65"/>
        <v>260425</v>
      </c>
      <c r="B1267" s="14" t="str">
        <f t="shared" si="63"/>
        <v>Direct Debit (UMB Bank) - Credits</v>
      </c>
      <c r="C1267" s="37">
        <v>46143</v>
      </c>
      <c r="D1267" s="31">
        <v>260425</v>
      </c>
      <c r="E1267" s="33" t="str">
        <f>IF(Table3[[#This Row],[Type Received]]=2,"CC",(IF(Table3[[#This Row],[Type Received]]=3,"BILL","ACH")))</f>
        <v>ACH</v>
      </c>
      <c r="F1267" s="32">
        <v>101.77</v>
      </c>
      <c r="G1267" s="14" t="e">
        <f>VLOOKUP(D1267,Table4[],3,FALSE)</f>
        <v>#N/A</v>
      </c>
      <c r="H1267" s="15"/>
      <c r="I1267" s="15"/>
      <c r="J1267" s="15" t="s">
        <v>84</v>
      </c>
      <c r="K1267" s="15">
        <v>522267980</v>
      </c>
      <c r="L1267" s="15" t="s">
        <v>29</v>
      </c>
      <c r="M1267" s="15" t="s">
        <v>29</v>
      </c>
    </row>
    <row r="1268" spans="1:13" x14ac:dyDescent="0.25">
      <c r="A1268" s="23">
        <f t="shared" si="65"/>
        <v>260421</v>
      </c>
      <c r="B1268" s="14" t="str">
        <f t="shared" si="63"/>
        <v>Direct Debit (UMB Bank) - Credits</v>
      </c>
      <c r="C1268" s="38">
        <v>46168</v>
      </c>
      <c r="D1268" s="34">
        <v>260421</v>
      </c>
      <c r="E1268" s="36" t="str">
        <f>IF(Table3[[#This Row],[Type Received]]=2,"CC",(IF(Table3[[#This Row],[Type Received]]=3,"BILL","ACH")))</f>
        <v>ACH</v>
      </c>
      <c r="F1268" s="35">
        <v>133.44999999999999</v>
      </c>
      <c r="G1268" s="14" t="str">
        <f>VLOOKUP(D1268,Table4[],3,FALSE)</f>
        <v>2</v>
      </c>
      <c r="H1268" s="15"/>
      <c r="I1268" s="15"/>
      <c r="J1268" s="15" t="s">
        <v>110</v>
      </c>
      <c r="K1268" s="15">
        <v>828244940</v>
      </c>
      <c r="L1268" s="15" t="s">
        <v>29</v>
      </c>
      <c r="M1268" s="15" t="s">
        <v>29</v>
      </c>
    </row>
    <row r="1269" spans="1:13" x14ac:dyDescent="0.25">
      <c r="A1269" s="23">
        <f t="shared" si="65"/>
        <v>260430</v>
      </c>
      <c r="B1269" s="14" t="str">
        <f t="shared" si="63"/>
        <v>Direct Debit (UMB Bank) - Credits</v>
      </c>
      <c r="C1269" s="37">
        <v>46143</v>
      </c>
      <c r="D1269" s="31">
        <v>260430</v>
      </c>
      <c r="E1269" s="33" t="str">
        <f>IF(Table3[[#This Row],[Type Received]]=2,"CC",(IF(Table3[[#This Row],[Type Received]]=3,"BILL","ACH")))</f>
        <v>ACH</v>
      </c>
      <c r="F1269" s="32">
        <v>93.63</v>
      </c>
      <c r="G1269" s="14" t="str">
        <f>VLOOKUP(D1269,Table4[],3,FALSE)</f>
        <v>1</v>
      </c>
      <c r="H1269" s="15"/>
      <c r="I1269" s="15"/>
      <c r="J1269" s="24" t="s">
        <v>84</v>
      </c>
      <c r="K1269" s="15">
        <v>522287419</v>
      </c>
      <c r="L1269" s="15" t="s">
        <v>29</v>
      </c>
      <c r="M1269" s="15" t="s">
        <v>29</v>
      </c>
    </row>
    <row r="1270" spans="1:13" x14ac:dyDescent="0.25">
      <c r="A1270" s="23">
        <f t="shared" si="65"/>
        <v>260422</v>
      </c>
      <c r="B1270" s="14" t="str">
        <f t="shared" si="63"/>
        <v>Credit Cards (UMB) - Credits</v>
      </c>
      <c r="C1270" s="38">
        <v>46168</v>
      </c>
      <c r="D1270" s="34">
        <v>260422</v>
      </c>
      <c r="E1270" s="36" t="str">
        <f>IF(Table3[[#This Row],[Type Received]]=2,"CC",(IF(Table3[[#This Row],[Type Received]]=3,"BILL","ACH")))</f>
        <v>CC</v>
      </c>
      <c r="F1270" s="35">
        <v>40.83</v>
      </c>
      <c r="G1270" s="14" t="str">
        <f>VLOOKUP(D1270,Table4[],3,FALSE)</f>
        <v>1</v>
      </c>
      <c r="H1270" s="15"/>
      <c r="I1270" s="15"/>
      <c r="J1270" s="15" t="s">
        <v>110</v>
      </c>
      <c r="K1270" s="15">
        <v>828253485</v>
      </c>
      <c r="L1270" s="15" t="s">
        <v>29</v>
      </c>
      <c r="M1270" s="15"/>
    </row>
    <row r="1271" spans="1:13" x14ac:dyDescent="0.25">
      <c r="A1271" s="23">
        <f t="shared" si="65"/>
        <v>260407</v>
      </c>
      <c r="B1271" s="14" t="str">
        <f t="shared" si="63"/>
        <v>Credit Cards (UMB) - Credits</v>
      </c>
      <c r="C1271" s="37">
        <v>46155</v>
      </c>
      <c r="D1271" s="31">
        <v>260407</v>
      </c>
      <c r="E1271" s="33" t="str">
        <f>IF(Table3[[#This Row],[Type Received]]=2,"CC",(IF(Table3[[#This Row],[Type Received]]=3,"BILL","ACH")))</f>
        <v>CC</v>
      </c>
      <c r="F1271" s="32">
        <v>28.84</v>
      </c>
      <c r="G1271" s="14" t="str">
        <f>VLOOKUP(D1271,Table4[],3,FALSE)</f>
        <v>2</v>
      </c>
      <c r="H1271" s="15"/>
      <c r="I1271" s="15">
        <v>190938</v>
      </c>
      <c r="J1271" s="15" t="s">
        <v>28</v>
      </c>
      <c r="K1271" s="15">
        <v>669498138</v>
      </c>
      <c r="L1271" s="15" t="s">
        <v>29</v>
      </c>
      <c r="M1271" s="15" t="s">
        <v>29</v>
      </c>
    </row>
    <row r="1272" spans="1:13" x14ac:dyDescent="0.25">
      <c r="A1272" s="23">
        <f t="shared" si="65"/>
        <v>260409</v>
      </c>
      <c r="B1272" s="14" t="str">
        <f t="shared" si="63"/>
        <v>Credit Cards (UMB) - Credits</v>
      </c>
      <c r="C1272" s="38">
        <v>46155</v>
      </c>
      <c r="D1272" s="34">
        <v>260409</v>
      </c>
      <c r="E1272" s="36" t="str">
        <f>IF(Table3[[#This Row],[Type Received]]=2,"CC",(IF(Table3[[#This Row],[Type Received]]=3,"BILL","ACH")))</f>
        <v>CC</v>
      </c>
      <c r="F1272" s="35">
        <v>29.5</v>
      </c>
      <c r="G1272" s="14" t="str">
        <f>VLOOKUP(D1272,Table4[],3,FALSE)</f>
        <v>2</v>
      </c>
      <c r="H1272" s="15"/>
      <c r="I1272" s="15" t="s">
        <v>207</v>
      </c>
      <c r="J1272" s="15" t="s">
        <v>28</v>
      </c>
      <c r="K1272" s="15">
        <v>669470079</v>
      </c>
      <c r="L1272" s="15" t="s">
        <v>29</v>
      </c>
      <c r="M1272" s="15" t="s">
        <v>29</v>
      </c>
    </row>
    <row r="1273" spans="1:13" x14ac:dyDescent="0.25">
      <c r="A1273" s="23">
        <f t="shared" si="65"/>
        <v>260411</v>
      </c>
      <c r="B1273" s="14" t="str">
        <f t="shared" si="63"/>
        <v>Credit Cards (UMB) - Credits</v>
      </c>
      <c r="C1273" s="37">
        <v>46155</v>
      </c>
      <c r="D1273" s="31">
        <v>260411</v>
      </c>
      <c r="E1273" s="33" t="str">
        <f>IF(Table3[[#This Row],[Type Received]]=2,"CC",(IF(Table3[[#This Row],[Type Received]]=3,"BILL","ACH")))</f>
        <v>CC</v>
      </c>
      <c r="F1273" s="32">
        <v>105.07</v>
      </c>
      <c r="G1273" s="14" t="str">
        <f>VLOOKUP(D1273,Table4[],3,FALSE)</f>
        <v>2</v>
      </c>
      <c r="H1273" s="15"/>
      <c r="I1273" s="15">
        <v>18730</v>
      </c>
      <c r="J1273" s="15" t="s">
        <v>28</v>
      </c>
      <c r="K1273" s="15">
        <v>669480578</v>
      </c>
      <c r="L1273" s="15" t="s">
        <v>29</v>
      </c>
      <c r="M1273" s="15"/>
    </row>
    <row r="1274" spans="1:13" x14ac:dyDescent="0.25">
      <c r="A1274" s="23">
        <f t="shared" si="65"/>
        <v>260413</v>
      </c>
      <c r="B1274" s="14" t="str">
        <f t="shared" si="63"/>
        <v>Credit Cards (UMB) - Credits</v>
      </c>
      <c r="C1274" s="38">
        <v>46155</v>
      </c>
      <c r="D1274" s="34">
        <v>260413</v>
      </c>
      <c r="E1274" s="36" t="str">
        <f>IF(Table3[[#This Row],[Type Received]]=2,"CC",(IF(Table3[[#This Row],[Type Received]]=3,"BILL","ACH")))</f>
        <v>CC</v>
      </c>
      <c r="F1274" s="35">
        <v>57.99</v>
      </c>
      <c r="G1274" s="14" t="str">
        <f>VLOOKUP(D1274,Table4[],3,FALSE)</f>
        <v>1</v>
      </c>
      <c r="H1274" s="15"/>
      <c r="I1274" s="15">
        <v>13544</v>
      </c>
      <c r="J1274" s="15" t="s">
        <v>28</v>
      </c>
      <c r="K1274" s="15">
        <v>669493279</v>
      </c>
      <c r="L1274" s="15" t="s">
        <v>29</v>
      </c>
      <c r="M1274" s="15"/>
    </row>
    <row r="1275" spans="1:13" x14ac:dyDescent="0.25">
      <c r="A1275" s="23">
        <f t="shared" si="65"/>
        <v>260412</v>
      </c>
      <c r="B1275" s="14" t="str">
        <f t="shared" si="63"/>
        <v>Credit Cards (UMB) - Credits</v>
      </c>
      <c r="C1275" s="37">
        <v>46155</v>
      </c>
      <c r="D1275" s="31">
        <v>260412</v>
      </c>
      <c r="E1275" s="33" t="str">
        <f>IF(Table3[[#This Row],[Type Received]]=2,"CC",(IF(Table3[[#This Row],[Type Received]]=3,"BILL","ACH")))</f>
        <v>CC</v>
      </c>
      <c r="F1275" s="32">
        <v>92.2</v>
      </c>
      <c r="G1275" s="14" t="str">
        <f>VLOOKUP(D1275,Table4[],3,FALSE)</f>
        <v>2</v>
      </c>
      <c r="H1275" s="15"/>
      <c r="I1275" s="15">
        <v>903130</v>
      </c>
      <c r="J1275" s="24" t="s">
        <v>28</v>
      </c>
      <c r="K1275" s="15">
        <v>669474948</v>
      </c>
      <c r="L1275" s="15" t="s">
        <v>29</v>
      </c>
      <c r="M1275" s="15" t="s">
        <v>29</v>
      </c>
    </row>
    <row r="1276" spans="1:13" x14ac:dyDescent="0.25">
      <c r="A1276" s="23">
        <f t="shared" si="65"/>
        <v>260416</v>
      </c>
      <c r="B1276" s="14" t="str">
        <f t="shared" si="63"/>
        <v>Credit Cards (UMB) - Credits</v>
      </c>
      <c r="C1276" s="38">
        <v>46155</v>
      </c>
      <c r="D1276" s="34">
        <v>260416</v>
      </c>
      <c r="E1276" s="36" t="str">
        <f>IF(Table3[[#This Row],[Type Received]]=2,"CC",(IF(Table3[[#This Row],[Type Received]]=3,"BILL","ACH")))</f>
        <v>CC</v>
      </c>
      <c r="F1276" s="35">
        <v>28.95</v>
      </c>
      <c r="G1276" s="14" t="str">
        <f>VLOOKUP(D1276,Table4[],3,FALSE)</f>
        <v>1</v>
      </c>
      <c r="H1276" s="15"/>
      <c r="I1276" s="15" t="s">
        <v>208</v>
      </c>
      <c r="J1276" s="15" t="s">
        <v>28</v>
      </c>
      <c r="K1276" s="15">
        <v>669478698</v>
      </c>
      <c r="L1276" s="15" t="s">
        <v>29</v>
      </c>
      <c r="M1276" s="15" t="s">
        <v>29</v>
      </c>
    </row>
    <row r="1277" spans="1:13" x14ac:dyDescent="0.25">
      <c r="A1277" s="23">
        <f t="shared" si="65"/>
        <v>260434</v>
      </c>
      <c r="B1277" s="14" t="str">
        <f t="shared" si="63"/>
        <v>Credit Cards (UMB) - Credits</v>
      </c>
      <c r="C1277" s="37">
        <v>46143</v>
      </c>
      <c r="D1277" s="31">
        <v>260434</v>
      </c>
      <c r="E1277" s="33" t="str">
        <f>IF(Table3[[#This Row],[Type Received]]=2,"CC",(IF(Table3[[#This Row],[Type Received]]=3,"BILL","ACH")))</f>
        <v>CC</v>
      </c>
      <c r="F1277" s="32">
        <v>29.85</v>
      </c>
      <c r="G1277" s="14" t="str">
        <f>VLOOKUP(D1277,Table4[],3,FALSE)</f>
        <v>2</v>
      </c>
      <c r="H1277" s="15"/>
      <c r="I1277" s="15">
        <v>862790</v>
      </c>
      <c r="J1277" s="15" t="s">
        <v>28</v>
      </c>
      <c r="K1277" s="15">
        <v>523512249</v>
      </c>
      <c r="L1277" s="15" t="s">
        <v>29</v>
      </c>
      <c r="M1277" s="15" t="s">
        <v>29</v>
      </c>
    </row>
    <row r="1278" spans="1:13" x14ac:dyDescent="0.25">
      <c r="A1278" s="23">
        <f t="shared" si="65"/>
        <v>260418</v>
      </c>
      <c r="B1278" s="14" t="str">
        <f t="shared" si="63"/>
        <v>Direct Debit (UMB Bank) - Credits</v>
      </c>
      <c r="C1278" s="38">
        <v>46143</v>
      </c>
      <c r="D1278" s="34">
        <v>260418</v>
      </c>
      <c r="E1278" s="36" t="str">
        <f>IF(Table3[[#This Row],[Type Received]]=2,"CC",(IF(Table3[[#This Row],[Type Received]]=3,"BILL","ACH")))</f>
        <v>ACH</v>
      </c>
      <c r="F1278" s="35">
        <v>48.09</v>
      </c>
      <c r="G1278" s="14" t="str">
        <f>VLOOKUP(D1278,Table4[],3,FALSE)</f>
        <v>1</v>
      </c>
      <c r="H1278" s="15"/>
      <c r="I1278" s="15">
        <v>1002</v>
      </c>
      <c r="J1278" s="15" t="s">
        <v>28</v>
      </c>
      <c r="K1278" s="15">
        <v>524028252</v>
      </c>
      <c r="L1278" s="15" t="s">
        <v>29</v>
      </c>
      <c r="M1278" s="15" t="s">
        <v>29</v>
      </c>
    </row>
    <row r="1279" spans="1:13" x14ac:dyDescent="0.25">
      <c r="A1279" s="23">
        <f t="shared" si="65"/>
        <v>260428</v>
      </c>
      <c r="B1279" s="14" t="str">
        <f t="shared" si="63"/>
        <v>Direct Debit (UMB Bank) - Credits</v>
      </c>
      <c r="C1279" s="37">
        <v>46143</v>
      </c>
      <c r="D1279" s="31">
        <v>260428</v>
      </c>
      <c r="E1279" s="33" t="str">
        <f>IF(Table3[[#This Row],[Type Received]]=2,"CC",(IF(Table3[[#This Row],[Type Received]]=3,"BILL","ACH")))</f>
        <v>ACH</v>
      </c>
      <c r="F1279" s="32">
        <v>45.89</v>
      </c>
      <c r="G1279" s="14" t="e">
        <f>VLOOKUP(D1279,Table4[],3,FALSE)</f>
        <v>#N/A</v>
      </c>
      <c r="H1279" s="15"/>
      <c r="I1279" s="15"/>
      <c r="J1279" s="15" t="s">
        <v>84</v>
      </c>
      <c r="K1279" s="15">
        <v>522286467</v>
      </c>
      <c r="L1279" s="15" t="s">
        <v>29</v>
      </c>
      <c r="M1279" s="15" t="s">
        <v>29</v>
      </c>
    </row>
    <row r="1280" spans="1:13" x14ac:dyDescent="0.25">
      <c r="A1280" s="23">
        <f t="shared" si="65"/>
        <v>260447</v>
      </c>
      <c r="B1280" s="14" t="str">
        <f t="shared" si="63"/>
        <v>Credit Cards (UMB) - Credits</v>
      </c>
      <c r="C1280" s="38">
        <v>46156</v>
      </c>
      <c r="D1280" s="34">
        <v>260447</v>
      </c>
      <c r="E1280" s="36" t="str">
        <f>IF(Table3[[#This Row],[Type Received]]=2,"CC",(IF(Table3[[#This Row],[Type Received]]=3,"BILL","ACH")))</f>
        <v>CC</v>
      </c>
      <c r="F1280" s="35">
        <v>119.59</v>
      </c>
      <c r="G1280" s="14" t="str">
        <f>VLOOKUP(D1280,Table4[],3,FALSE)</f>
        <v>2</v>
      </c>
      <c r="H1280" s="15"/>
      <c r="I1280" s="15"/>
      <c r="J1280" s="15" t="s">
        <v>93</v>
      </c>
      <c r="K1280" s="15">
        <v>687806888</v>
      </c>
      <c r="L1280" s="15" t="s">
        <v>29</v>
      </c>
      <c r="M1280" s="15" t="s">
        <v>29</v>
      </c>
    </row>
    <row r="1281" spans="1:13" x14ac:dyDescent="0.25">
      <c r="A1281" s="23">
        <f t="shared" si="65"/>
        <v>260444</v>
      </c>
      <c r="B1281" s="14" t="str">
        <f t="shared" si="63"/>
        <v>Direct Debit (UMB Bank) - Credits</v>
      </c>
      <c r="C1281" s="37">
        <v>46155</v>
      </c>
      <c r="D1281" s="31">
        <v>260444</v>
      </c>
      <c r="E1281" s="33" t="str">
        <f>IF(Table3[[#This Row],[Type Received]]=2,"CC",(IF(Table3[[#This Row],[Type Received]]=3,"BILL","ACH")))</f>
        <v>ACH</v>
      </c>
      <c r="F1281" s="32">
        <v>57.55</v>
      </c>
      <c r="G1281" s="14" t="str">
        <f>VLOOKUP(D1281,Table4[],3,FALSE)</f>
        <v>2</v>
      </c>
      <c r="H1281" s="15"/>
      <c r="I1281" s="15" t="s">
        <v>209</v>
      </c>
      <c r="J1281" s="15" t="s">
        <v>28</v>
      </c>
      <c r="K1281" s="15">
        <v>669498177</v>
      </c>
      <c r="L1281" s="15" t="s">
        <v>29</v>
      </c>
      <c r="M1281" s="15" t="s">
        <v>29</v>
      </c>
    </row>
    <row r="1282" spans="1:13" x14ac:dyDescent="0.25">
      <c r="A1282" s="23">
        <f t="shared" si="65"/>
        <v>260456</v>
      </c>
      <c r="B1282" s="14" t="str">
        <f t="shared" ref="B1282:B1345" si="66">IF(AND(E1282="BILL",F1282&lt;0),"Billing &amp; Direct Debit - Refunds",(IF(AND(E1282="BILL",F1282&gt;0),"Billing - Credits (from TPA)",(IF(AND(E1282="CC",F1282&lt;0),"Credit Cards (UMB) - Refunds",(IF(AND(E1282="CC",F1282&gt;0),"Credit Cards (UMB) - Credits",(IF(AND(E1282="ACH",F1282&gt;0),"Direct Debit (UMB Bank) - Credits","Direct Debit (UMB Bank) - Returned Items")))))))))</f>
        <v>Direct Debit (UMB Bank) - Credits</v>
      </c>
      <c r="C1282" s="38">
        <v>46143</v>
      </c>
      <c r="D1282" s="34">
        <v>260456</v>
      </c>
      <c r="E1282" s="36" t="str">
        <f>IF(Table3[[#This Row],[Type Received]]=2,"CC",(IF(Table3[[#This Row],[Type Received]]=3,"BILL","ACH")))</f>
        <v>ACH</v>
      </c>
      <c r="F1282" s="35">
        <v>47.87</v>
      </c>
      <c r="G1282" s="14" t="str">
        <f>VLOOKUP(D1282,Table4[],3,FALSE)</f>
        <v>1</v>
      </c>
      <c r="H1282" s="15"/>
      <c r="I1282" s="15"/>
      <c r="J1282" s="24" t="s">
        <v>84</v>
      </c>
      <c r="K1282" s="15">
        <v>522289677</v>
      </c>
      <c r="L1282" s="15" t="s">
        <v>29</v>
      </c>
      <c r="M1282" s="15" t="s">
        <v>29</v>
      </c>
    </row>
    <row r="1283" spans="1:13" x14ac:dyDescent="0.25">
      <c r="A1283" s="23">
        <f t="shared" si="65"/>
        <v>260455</v>
      </c>
      <c r="B1283" s="14" t="str">
        <f t="shared" si="66"/>
        <v>Direct Debit (UMB Bank) - Credits</v>
      </c>
      <c r="C1283" s="37">
        <v>46143</v>
      </c>
      <c r="D1283" s="31">
        <v>260455</v>
      </c>
      <c r="E1283" s="33" t="str">
        <f>IF(Table3[[#This Row],[Type Received]]=2,"CC",(IF(Table3[[#This Row],[Type Received]]=3,"BILL","ACH")))</f>
        <v>ACH</v>
      </c>
      <c r="F1283" s="32">
        <v>53.37</v>
      </c>
      <c r="G1283" s="14" t="e">
        <f>VLOOKUP(D1283,Table4[],3,FALSE)</f>
        <v>#N/A</v>
      </c>
      <c r="H1283" s="15"/>
      <c r="I1283" s="15"/>
      <c r="J1283" s="15" t="s">
        <v>84</v>
      </c>
      <c r="K1283" s="15">
        <v>522289468</v>
      </c>
      <c r="L1283" s="15" t="s">
        <v>29</v>
      </c>
      <c r="M1283" s="15" t="s">
        <v>29</v>
      </c>
    </row>
    <row r="1284" spans="1:13" x14ac:dyDescent="0.25">
      <c r="A1284" s="23">
        <f t="shared" si="65"/>
        <v>260449</v>
      </c>
      <c r="B1284" s="14" t="str">
        <f t="shared" si="66"/>
        <v>Direct Debit (UMB Bank) - Credits</v>
      </c>
      <c r="C1284" s="38">
        <v>46168</v>
      </c>
      <c r="D1284" s="34">
        <v>260449</v>
      </c>
      <c r="E1284" s="36" t="str">
        <f>IF(Table3[[#This Row],[Type Received]]=2,"CC",(IF(Table3[[#This Row],[Type Received]]=3,"BILL","ACH")))</f>
        <v>ACH</v>
      </c>
      <c r="F1284" s="35">
        <v>63.49</v>
      </c>
      <c r="G1284" s="14" t="str">
        <f>VLOOKUP(D1284,Table4[],3,FALSE)</f>
        <v>1</v>
      </c>
      <c r="H1284" s="15"/>
      <c r="I1284" s="15"/>
      <c r="J1284" s="15" t="s">
        <v>110</v>
      </c>
      <c r="K1284" s="15">
        <v>828265187</v>
      </c>
      <c r="L1284" s="15" t="s">
        <v>29</v>
      </c>
      <c r="M1284" s="15" t="s">
        <v>29</v>
      </c>
    </row>
    <row r="1285" spans="1:13" x14ac:dyDescent="0.25">
      <c r="A1285" s="23">
        <f t="shared" ref="A1285:A1316" si="67">D1285</f>
        <v>260453</v>
      </c>
      <c r="B1285" s="14" t="str">
        <f t="shared" si="66"/>
        <v>Direct Debit (UMB Bank) - Credits</v>
      </c>
      <c r="C1285" s="37">
        <v>46143</v>
      </c>
      <c r="D1285" s="31">
        <v>260453</v>
      </c>
      <c r="E1285" s="33" t="str">
        <f>IF(Table3[[#This Row],[Type Received]]=2,"CC",(IF(Table3[[#This Row],[Type Received]]=3,"BILL","ACH")))</f>
        <v>ACH</v>
      </c>
      <c r="F1285" s="32">
        <v>33.79</v>
      </c>
      <c r="G1285" s="14" t="str">
        <f>VLOOKUP(D1285,Table4[],3,FALSE)</f>
        <v>1</v>
      </c>
      <c r="H1285" s="15"/>
      <c r="I1285" s="15"/>
      <c r="J1285" s="15" t="s">
        <v>84</v>
      </c>
      <c r="K1285" s="15">
        <v>522289588</v>
      </c>
      <c r="L1285" s="15" t="s">
        <v>29</v>
      </c>
      <c r="M1285" s="15"/>
    </row>
    <row r="1286" spans="1:13" x14ac:dyDescent="0.25">
      <c r="A1286" s="23">
        <f t="shared" si="67"/>
        <v>260454</v>
      </c>
      <c r="B1286" s="14" t="str">
        <f t="shared" si="66"/>
        <v>Direct Debit (UMB Bank) - Credits</v>
      </c>
      <c r="C1286" s="38">
        <v>46143</v>
      </c>
      <c r="D1286" s="34">
        <v>260454</v>
      </c>
      <c r="E1286" s="36" t="str">
        <f>IF(Table3[[#This Row],[Type Received]]=2,"CC",(IF(Table3[[#This Row],[Type Received]]=3,"BILL","ACH")))</f>
        <v>ACH</v>
      </c>
      <c r="F1286" s="35">
        <v>35.549999999999997</v>
      </c>
      <c r="G1286" s="14" t="str">
        <f>VLOOKUP(D1286,Table4[],3,FALSE)</f>
        <v>1</v>
      </c>
      <c r="H1286" s="15"/>
      <c r="I1286" s="15"/>
      <c r="J1286" s="15" t="s">
        <v>84</v>
      </c>
      <c r="K1286" s="15">
        <v>522287772</v>
      </c>
      <c r="L1286" s="15" t="s">
        <v>29</v>
      </c>
      <c r="M1286" s="15" t="s">
        <v>29</v>
      </c>
    </row>
    <row r="1287" spans="1:13" x14ac:dyDescent="0.25">
      <c r="A1287" s="23">
        <f t="shared" si="67"/>
        <v>260451</v>
      </c>
      <c r="B1287" s="14" t="str">
        <f t="shared" si="66"/>
        <v>Direct Debit (UMB Bank) - Credits</v>
      </c>
      <c r="C1287" s="37">
        <v>46143</v>
      </c>
      <c r="D1287" s="31">
        <v>260451</v>
      </c>
      <c r="E1287" s="33" t="str">
        <f>IF(Table3[[#This Row],[Type Received]]=2,"CC",(IF(Table3[[#This Row],[Type Received]]=3,"BILL","ACH")))</f>
        <v>ACH</v>
      </c>
      <c r="F1287" s="32">
        <v>55.35</v>
      </c>
      <c r="G1287" s="14" t="str">
        <f>VLOOKUP(D1287,Table4[],3,FALSE)</f>
        <v>1</v>
      </c>
      <c r="H1287" s="15"/>
      <c r="I1287" s="15"/>
      <c r="J1287" s="15" t="s">
        <v>84</v>
      </c>
      <c r="K1287" s="15">
        <v>522302153</v>
      </c>
      <c r="L1287" s="15" t="s">
        <v>29</v>
      </c>
      <c r="M1287" s="15" t="s">
        <v>29</v>
      </c>
    </row>
    <row r="1288" spans="1:13" x14ac:dyDescent="0.25">
      <c r="A1288" s="23">
        <f t="shared" si="67"/>
        <v>260457</v>
      </c>
      <c r="B1288" s="14" t="str">
        <f t="shared" si="66"/>
        <v>Direct Debit (UMB Bank) - Credits</v>
      </c>
      <c r="C1288" s="38">
        <v>46157</v>
      </c>
      <c r="D1288" s="34">
        <v>260457</v>
      </c>
      <c r="E1288" s="36" t="str">
        <f>IF(Table3[[#This Row],[Type Received]]=2,"CC",(IF(Table3[[#This Row],[Type Received]]=3,"BILL","ACH")))</f>
        <v>ACH</v>
      </c>
      <c r="F1288" s="35">
        <v>50.51</v>
      </c>
      <c r="G1288" s="14" t="str">
        <f>VLOOKUP(D1288,Table4[],3,FALSE)</f>
        <v>1</v>
      </c>
      <c r="H1288" s="15"/>
      <c r="I1288" s="15"/>
      <c r="J1288" s="15" t="s">
        <v>87</v>
      </c>
      <c r="K1288" s="15">
        <v>696692814</v>
      </c>
      <c r="L1288" s="15" t="s">
        <v>29</v>
      </c>
      <c r="M1288" s="15" t="s">
        <v>29</v>
      </c>
    </row>
    <row r="1289" spans="1:13" x14ac:dyDescent="0.25">
      <c r="A1289" s="23">
        <f t="shared" si="67"/>
        <v>260450</v>
      </c>
      <c r="B1289" s="14" t="str">
        <f t="shared" si="66"/>
        <v>Direct Debit (UMB Bank) - Credits</v>
      </c>
      <c r="C1289" s="37">
        <v>46168</v>
      </c>
      <c r="D1289" s="31">
        <v>260450</v>
      </c>
      <c r="E1289" s="33" t="str">
        <f>IF(Table3[[#This Row],[Type Received]]=2,"CC",(IF(Table3[[#This Row],[Type Received]]=3,"BILL","ACH")))</f>
        <v>ACH</v>
      </c>
      <c r="F1289" s="32">
        <v>58.43</v>
      </c>
      <c r="G1289" s="14" t="str">
        <f>VLOOKUP(D1289,Table4[],3,FALSE)</f>
        <v>1</v>
      </c>
      <c r="H1289" s="15"/>
      <c r="I1289" s="15"/>
      <c r="J1289" s="15" t="s">
        <v>110</v>
      </c>
      <c r="K1289" s="15">
        <v>828252696</v>
      </c>
      <c r="L1289" s="15" t="s">
        <v>29</v>
      </c>
      <c r="M1289" s="15"/>
    </row>
    <row r="1290" spans="1:13" x14ac:dyDescent="0.25">
      <c r="A1290" s="23">
        <f t="shared" si="67"/>
        <v>260452</v>
      </c>
      <c r="B1290" s="14" t="str">
        <f t="shared" si="66"/>
        <v>Direct Debit (UMB Bank) - Credits</v>
      </c>
      <c r="C1290" s="38">
        <v>46148</v>
      </c>
      <c r="D1290" s="34">
        <v>260452</v>
      </c>
      <c r="E1290" s="36" t="str">
        <f>IF(Table3[[#This Row],[Type Received]]=2,"CC",(IF(Table3[[#This Row],[Type Received]]=3,"BILL","ACH")))</f>
        <v>ACH</v>
      </c>
      <c r="F1290" s="35">
        <v>26.97</v>
      </c>
      <c r="G1290" s="14" t="str">
        <f>VLOOKUP(D1290,Table4[],3,FALSE)</f>
        <v>1</v>
      </c>
      <c r="H1290" s="15"/>
      <c r="I1290" s="15"/>
      <c r="J1290" s="15" t="s">
        <v>126</v>
      </c>
      <c r="K1290" s="15">
        <v>582077695</v>
      </c>
      <c r="L1290" s="15" t="s">
        <v>29</v>
      </c>
      <c r="M1290" s="15" t="s">
        <v>29</v>
      </c>
    </row>
    <row r="1291" spans="1:13" x14ac:dyDescent="0.25">
      <c r="A1291" s="23">
        <f t="shared" si="67"/>
        <v>260452</v>
      </c>
      <c r="B1291" s="14" t="str">
        <f t="shared" si="66"/>
        <v>Direct Debit (UMB Bank) - Credits</v>
      </c>
      <c r="C1291" s="37">
        <v>46143</v>
      </c>
      <c r="D1291" s="31">
        <v>260452</v>
      </c>
      <c r="E1291" s="33" t="str">
        <f>IF(Table3[[#This Row],[Type Received]]=2,"CC",(IF(Table3[[#This Row],[Type Received]]=3,"BILL","ACH")))</f>
        <v>ACH</v>
      </c>
      <c r="F1291" s="32">
        <v>26.97</v>
      </c>
      <c r="G1291" s="14" t="str">
        <f>VLOOKUP(D1291,Table4[],3,FALSE)</f>
        <v>1</v>
      </c>
      <c r="H1291" s="15"/>
      <c r="I1291" s="15"/>
      <c r="J1291" s="24" t="s">
        <v>84</v>
      </c>
      <c r="K1291" s="15">
        <v>522279912</v>
      </c>
      <c r="L1291" s="15" t="s">
        <v>29</v>
      </c>
      <c r="M1291" s="15" t="s">
        <v>29</v>
      </c>
    </row>
    <row r="1292" spans="1:13" x14ac:dyDescent="0.25">
      <c r="A1292" s="23">
        <f t="shared" si="67"/>
        <v>260448</v>
      </c>
      <c r="B1292" s="14" t="str">
        <f t="shared" si="66"/>
        <v>Direct Debit (UMB Bank) - Credits</v>
      </c>
      <c r="C1292" s="38">
        <v>46168</v>
      </c>
      <c r="D1292" s="34">
        <v>260448</v>
      </c>
      <c r="E1292" s="36" t="str">
        <f>IF(Table3[[#This Row],[Type Received]]=2,"CC",(IF(Table3[[#This Row],[Type Received]]=3,"BILL","ACH")))</f>
        <v>ACH</v>
      </c>
      <c r="F1292" s="35">
        <v>66.790000000000006</v>
      </c>
      <c r="G1292" s="14" t="str">
        <f>VLOOKUP(D1292,Table4[],3,FALSE)</f>
        <v>2</v>
      </c>
      <c r="H1292" s="15"/>
      <c r="I1292" s="15"/>
      <c r="J1292" s="15" t="s">
        <v>110</v>
      </c>
      <c r="K1292" s="15">
        <v>828245907</v>
      </c>
      <c r="L1292" s="15" t="s">
        <v>29</v>
      </c>
      <c r="M1292" s="15" t="s">
        <v>29</v>
      </c>
    </row>
    <row r="1293" spans="1:13" x14ac:dyDescent="0.25">
      <c r="A1293" s="23">
        <f t="shared" si="67"/>
        <v>260448</v>
      </c>
      <c r="B1293" s="14" t="str">
        <f t="shared" si="66"/>
        <v>Billing - Credits (from TPA)</v>
      </c>
      <c r="C1293" s="37">
        <v>46146</v>
      </c>
      <c r="D1293" s="31">
        <v>260448</v>
      </c>
      <c r="E1293" s="33" t="str">
        <f>IF(Table3[[#This Row],[Type Received]]=2,"CC",(IF(Table3[[#This Row],[Type Received]]=3,"BILL","ACH")))</f>
        <v>BILL</v>
      </c>
      <c r="F1293" s="32">
        <v>66.790000000000006</v>
      </c>
      <c r="G1293" s="14" t="str">
        <f>VLOOKUP(D1293,Table4[],3,FALSE)</f>
        <v>2</v>
      </c>
      <c r="H1293" s="15"/>
      <c r="I1293" s="15"/>
      <c r="J1293" s="24" t="s">
        <v>92</v>
      </c>
      <c r="K1293" s="15">
        <v>558725067</v>
      </c>
      <c r="L1293" s="15" t="s">
        <v>29</v>
      </c>
      <c r="M1293" s="15" t="s">
        <v>29</v>
      </c>
    </row>
    <row r="1294" spans="1:13" x14ac:dyDescent="0.25">
      <c r="A1294" s="23">
        <f t="shared" si="67"/>
        <v>260469</v>
      </c>
      <c r="B1294" s="14" t="str">
        <f t="shared" si="66"/>
        <v>Billing - Credits (from TPA)</v>
      </c>
      <c r="C1294" s="38">
        <v>46170</v>
      </c>
      <c r="D1294" s="34">
        <v>260469</v>
      </c>
      <c r="E1294" s="36" t="str">
        <f>IF(Table3[[#This Row],[Type Received]]=2,"CC",(IF(Table3[[#This Row],[Type Received]]=3,"BILL","ACH")))</f>
        <v>BILL</v>
      </c>
      <c r="F1294" s="35">
        <v>58.7</v>
      </c>
      <c r="G1294" s="14" t="str">
        <f>VLOOKUP(D1294,Table4[],3,FALSE)</f>
        <v>1</v>
      </c>
      <c r="H1294" s="15">
        <v>923941346</v>
      </c>
      <c r="I1294" s="15"/>
      <c r="J1294" s="15"/>
      <c r="K1294" s="15"/>
      <c r="L1294" s="15"/>
      <c r="M1294" s="15" t="s">
        <v>29</v>
      </c>
    </row>
    <row r="1295" spans="1:13" x14ac:dyDescent="0.25">
      <c r="A1295" s="23">
        <f t="shared" si="67"/>
        <v>260468</v>
      </c>
      <c r="B1295" s="14" t="str">
        <f t="shared" si="66"/>
        <v>Direct Debit (UMB Bank) - Credits</v>
      </c>
      <c r="C1295" s="37">
        <v>46169</v>
      </c>
      <c r="D1295" s="31">
        <v>260468</v>
      </c>
      <c r="E1295" s="33" t="str">
        <f>IF(Table3[[#This Row],[Type Received]]=2,"CC",(IF(Table3[[#This Row],[Type Received]]=3,"BILL","ACH")))</f>
        <v>ACH</v>
      </c>
      <c r="F1295" s="32">
        <v>130.86000000000001</v>
      </c>
      <c r="G1295" s="14" t="str">
        <f>VLOOKUP(D1295,Table4[],3,FALSE)</f>
        <v>1</v>
      </c>
      <c r="H1295" s="15">
        <v>230</v>
      </c>
      <c r="I1295" s="15"/>
      <c r="J1295" s="15"/>
      <c r="K1295" s="15"/>
      <c r="L1295" s="15"/>
      <c r="M1295" s="15" t="s">
        <v>29</v>
      </c>
    </row>
    <row r="1296" spans="1:13" x14ac:dyDescent="0.25">
      <c r="A1296" s="23">
        <f t="shared" si="67"/>
        <v>260458</v>
      </c>
      <c r="B1296" s="14" t="str">
        <f t="shared" si="66"/>
        <v>Direct Debit (UMB Bank) - Credits</v>
      </c>
      <c r="C1296" s="38">
        <v>46157</v>
      </c>
      <c r="D1296" s="34">
        <v>260458</v>
      </c>
      <c r="E1296" s="36" t="str">
        <f>IF(Table3[[#This Row],[Type Received]]=2,"CC",(IF(Table3[[#This Row],[Type Received]]=3,"BILL","ACH")))</f>
        <v>ACH</v>
      </c>
      <c r="F1296" s="35">
        <v>65.25</v>
      </c>
      <c r="G1296" s="14" t="str">
        <f>VLOOKUP(D1296,Table4[],3,FALSE)</f>
        <v>1</v>
      </c>
      <c r="H1296" s="15"/>
      <c r="I1296" s="15"/>
      <c r="J1296" s="15" t="s">
        <v>87</v>
      </c>
      <c r="K1296" s="15">
        <v>696692801</v>
      </c>
      <c r="L1296" s="15" t="s">
        <v>29</v>
      </c>
      <c r="M1296" s="15" t="s">
        <v>29</v>
      </c>
    </row>
    <row r="1297" spans="1:13" x14ac:dyDescent="0.25">
      <c r="A1297" s="23">
        <f t="shared" si="67"/>
        <v>260476</v>
      </c>
      <c r="B1297" s="14" t="str">
        <f t="shared" si="66"/>
        <v>Credit Cards (UMB) - Credits</v>
      </c>
      <c r="C1297" s="37">
        <v>46157</v>
      </c>
      <c r="D1297" s="31">
        <v>260476</v>
      </c>
      <c r="E1297" s="33" t="str">
        <f>IF(Table3[[#This Row],[Type Received]]=2,"CC",(IF(Table3[[#This Row],[Type Received]]=3,"BILL","ACH")))</f>
        <v>CC</v>
      </c>
      <c r="F1297" s="32">
        <v>63.05</v>
      </c>
      <c r="G1297" s="14" t="str">
        <f>VLOOKUP(D1297,Table4[],3,FALSE)</f>
        <v>1</v>
      </c>
      <c r="H1297" s="15"/>
      <c r="I1297" s="15"/>
      <c r="J1297" s="15" t="s">
        <v>87</v>
      </c>
      <c r="K1297" s="15">
        <v>696715119</v>
      </c>
      <c r="L1297" s="15" t="s">
        <v>29</v>
      </c>
      <c r="M1297" s="15" t="s">
        <v>29</v>
      </c>
    </row>
    <row r="1298" spans="1:13" x14ac:dyDescent="0.25">
      <c r="A1298" s="23">
        <f t="shared" si="67"/>
        <v>260471</v>
      </c>
      <c r="B1298" s="14" t="str">
        <f t="shared" si="66"/>
        <v>Direct Debit (UMB Bank) - Credits</v>
      </c>
      <c r="C1298" s="38">
        <v>46155</v>
      </c>
      <c r="D1298" s="34">
        <v>260471</v>
      </c>
      <c r="E1298" s="36" t="str">
        <f>IF(Table3[[#This Row],[Type Received]]=2,"CC",(IF(Table3[[#This Row],[Type Received]]=3,"BILL","ACH")))</f>
        <v>ACH</v>
      </c>
      <c r="F1298" s="35">
        <v>26.75</v>
      </c>
      <c r="G1298" s="14" t="str">
        <f>VLOOKUP(D1298,Table4[],3,FALSE)</f>
        <v>1</v>
      </c>
      <c r="H1298" s="15"/>
      <c r="I1298" s="15" t="s">
        <v>210</v>
      </c>
      <c r="J1298" s="15" t="s">
        <v>28</v>
      </c>
      <c r="K1298" s="15">
        <v>669489381</v>
      </c>
      <c r="L1298" s="15" t="s">
        <v>29</v>
      </c>
      <c r="M1298" s="15" t="s">
        <v>29</v>
      </c>
    </row>
    <row r="1299" spans="1:13" x14ac:dyDescent="0.25">
      <c r="A1299" s="23">
        <f t="shared" si="67"/>
        <v>260473</v>
      </c>
      <c r="B1299" s="14" t="str">
        <f t="shared" si="66"/>
        <v>Credit Cards (UMB) - Credits</v>
      </c>
      <c r="C1299" s="37">
        <v>46168</v>
      </c>
      <c r="D1299" s="31">
        <v>260473</v>
      </c>
      <c r="E1299" s="33" t="str">
        <f>IF(Table3[[#This Row],[Type Received]]=2,"CC",(IF(Table3[[#This Row],[Type Received]]=3,"BILL","ACH")))</f>
        <v>CC</v>
      </c>
      <c r="F1299" s="32">
        <v>43.36</v>
      </c>
      <c r="G1299" s="14" t="str">
        <f>VLOOKUP(D1299,Table4[],3,FALSE)</f>
        <v>2</v>
      </c>
      <c r="H1299" s="15"/>
      <c r="I1299" s="15"/>
      <c r="J1299" s="15" t="s">
        <v>110</v>
      </c>
      <c r="K1299" s="15">
        <v>828269161</v>
      </c>
      <c r="L1299" s="15" t="s">
        <v>29</v>
      </c>
      <c r="M1299" s="15" t="s">
        <v>29</v>
      </c>
    </row>
    <row r="1300" spans="1:13" x14ac:dyDescent="0.25">
      <c r="A1300" s="23">
        <f t="shared" si="67"/>
        <v>260472</v>
      </c>
      <c r="B1300" s="14" t="str">
        <f t="shared" si="66"/>
        <v>Billing - Credits (from TPA)</v>
      </c>
      <c r="C1300" s="38">
        <v>46155</v>
      </c>
      <c r="D1300" s="34">
        <v>260472</v>
      </c>
      <c r="E1300" s="36" t="str">
        <f>IF(Table3[[#This Row],[Type Received]]=2,"CC",(IF(Table3[[#This Row],[Type Received]]=3,"BILL","ACH")))</f>
        <v>BILL</v>
      </c>
      <c r="F1300" s="35">
        <v>45.23</v>
      </c>
      <c r="G1300" s="14" t="str">
        <f>VLOOKUP(D1300,Table4[],3,FALSE)</f>
        <v>1</v>
      </c>
      <c r="H1300" s="15"/>
      <c r="I1300" s="15">
        <v>9905</v>
      </c>
      <c r="J1300" s="15" t="s">
        <v>28</v>
      </c>
      <c r="K1300" s="15">
        <v>669484550</v>
      </c>
      <c r="L1300" s="15" t="s">
        <v>29</v>
      </c>
      <c r="M1300" s="15"/>
    </row>
    <row r="1301" spans="1:13" x14ac:dyDescent="0.25">
      <c r="A1301" s="23">
        <f t="shared" si="67"/>
        <v>260482</v>
      </c>
      <c r="B1301" s="14" t="str">
        <f t="shared" si="66"/>
        <v>Direct Debit (UMB Bank) - Credits</v>
      </c>
      <c r="C1301" s="37">
        <v>46168</v>
      </c>
      <c r="D1301" s="31">
        <v>260482</v>
      </c>
      <c r="E1301" s="33" t="str">
        <f>IF(Table3[[#This Row],[Type Received]]=2,"CC",(IF(Table3[[#This Row],[Type Received]]=3,"BILL","ACH")))</f>
        <v>ACH</v>
      </c>
      <c r="F1301" s="32">
        <v>148.9</v>
      </c>
      <c r="G1301" s="14" t="str">
        <f>VLOOKUP(D1301,Table4[],3,FALSE)</f>
        <v>1</v>
      </c>
      <c r="H1301" s="15">
        <v>3128</v>
      </c>
      <c r="I1301" s="15"/>
      <c r="J1301" s="15"/>
      <c r="K1301" s="15"/>
      <c r="L1301" s="15"/>
      <c r="M1301" s="15" t="s">
        <v>29</v>
      </c>
    </row>
    <row r="1302" spans="1:13" x14ac:dyDescent="0.25">
      <c r="A1302" s="23">
        <f t="shared" si="67"/>
        <v>260474</v>
      </c>
      <c r="B1302" s="14" t="str">
        <f t="shared" si="66"/>
        <v>Direct Debit (UMB Bank) - Credits</v>
      </c>
      <c r="C1302" s="38">
        <v>46143</v>
      </c>
      <c r="D1302" s="34">
        <v>260474</v>
      </c>
      <c r="E1302" s="36" t="str">
        <f>IF(Table3[[#This Row],[Type Received]]=2,"CC",(IF(Table3[[#This Row],[Type Received]]=3,"BILL","ACH")))</f>
        <v>ACH</v>
      </c>
      <c r="F1302" s="35">
        <v>82.63</v>
      </c>
      <c r="G1302" s="14" t="e">
        <f>VLOOKUP(D1302,Table4[],3,FALSE)</f>
        <v>#N/A</v>
      </c>
      <c r="H1302" s="15"/>
      <c r="I1302" s="15"/>
      <c r="J1302" s="15" t="s">
        <v>84</v>
      </c>
      <c r="K1302" s="15">
        <v>522287888</v>
      </c>
      <c r="L1302" s="15" t="s">
        <v>29</v>
      </c>
      <c r="M1302" s="15" t="s">
        <v>29</v>
      </c>
    </row>
    <row r="1303" spans="1:13" x14ac:dyDescent="0.25">
      <c r="A1303" s="23">
        <f t="shared" si="67"/>
        <v>260475</v>
      </c>
      <c r="B1303" s="14" t="str">
        <f t="shared" si="66"/>
        <v>Credit Cards (UMB) - Credits</v>
      </c>
      <c r="C1303" s="37">
        <v>46143</v>
      </c>
      <c r="D1303" s="31">
        <v>260475</v>
      </c>
      <c r="E1303" s="33" t="str">
        <f>IF(Table3[[#This Row],[Type Received]]=2,"CC",(IF(Table3[[#This Row],[Type Received]]=3,"BILL","ACH")))</f>
        <v>CC</v>
      </c>
      <c r="F1303" s="32">
        <v>31.37</v>
      </c>
      <c r="G1303" s="14" t="str">
        <f>VLOOKUP(D1303,Table4[],3,FALSE)</f>
        <v>1</v>
      </c>
      <c r="H1303" s="15"/>
      <c r="I1303" s="15"/>
      <c r="J1303" s="15" t="s">
        <v>84</v>
      </c>
      <c r="K1303" s="15">
        <v>522283939</v>
      </c>
      <c r="L1303" s="15" t="s">
        <v>29</v>
      </c>
      <c r="M1303" s="15" t="s">
        <v>29</v>
      </c>
    </row>
    <row r="1304" spans="1:13" x14ac:dyDescent="0.25">
      <c r="A1304" s="23">
        <f t="shared" si="67"/>
        <v>260485</v>
      </c>
      <c r="B1304" s="14" t="str">
        <f t="shared" si="66"/>
        <v>Credit Cards (UMB) - Credits</v>
      </c>
      <c r="C1304" s="38">
        <v>46155</v>
      </c>
      <c r="D1304" s="34">
        <v>260485</v>
      </c>
      <c r="E1304" s="36" t="str">
        <f>IF(Table3[[#This Row],[Type Received]]=2,"CC",(IF(Table3[[#This Row],[Type Received]]=3,"BILL","ACH")))</f>
        <v>CC</v>
      </c>
      <c r="F1304" s="35">
        <v>67.89</v>
      </c>
      <c r="G1304" s="14" t="str">
        <f>VLOOKUP(D1304,Table4[],3,FALSE)</f>
        <v>1</v>
      </c>
      <c r="H1304" s="15"/>
      <c r="I1304" s="15">
        <v>498967</v>
      </c>
      <c r="J1304" s="15" t="s">
        <v>28</v>
      </c>
      <c r="K1304" s="15">
        <v>669494370</v>
      </c>
      <c r="L1304" s="15" t="s">
        <v>29</v>
      </c>
      <c r="M1304" s="15"/>
    </row>
    <row r="1305" spans="1:13" x14ac:dyDescent="0.25">
      <c r="A1305" s="23">
        <f t="shared" si="67"/>
        <v>260484</v>
      </c>
      <c r="B1305" s="14" t="str">
        <f t="shared" si="66"/>
        <v>Credit Cards (UMB) - Credits</v>
      </c>
      <c r="C1305" s="37">
        <v>46155</v>
      </c>
      <c r="D1305" s="31">
        <v>260484</v>
      </c>
      <c r="E1305" s="33" t="str">
        <f>IF(Table3[[#This Row],[Type Received]]=2,"CC",(IF(Table3[[#This Row],[Type Received]]=3,"BILL","ACH")))</f>
        <v>CC</v>
      </c>
      <c r="F1305" s="32">
        <v>26.31</v>
      </c>
      <c r="G1305" s="14" t="str">
        <f>VLOOKUP(D1305,Table4[],3,FALSE)</f>
        <v>1</v>
      </c>
      <c r="H1305" s="15"/>
      <c r="I1305" s="15">
        <v>93116</v>
      </c>
      <c r="J1305" s="24" t="s">
        <v>28</v>
      </c>
      <c r="K1305" s="15">
        <v>669474977</v>
      </c>
      <c r="L1305" s="15" t="s">
        <v>29</v>
      </c>
      <c r="M1305" s="15"/>
    </row>
    <row r="1306" spans="1:13" x14ac:dyDescent="0.25">
      <c r="A1306" s="23">
        <f t="shared" si="67"/>
        <v>260486</v>
      </c>
      <c r="B1306" s="14" t="str">
        <f t="shared" si="66"/>
        <v>Credit Cards (UMB) - Credits</v>
      </c>
      <c r="C1306" s="38">
        <v>46155</v>
      </c>
      <c r="D1306" s="34">
        <v>260486</v>
      </c>
      <c r="E1306" s="36" t="str">
        <f>IF(Table3[[#This Row],[Type Received]]=2,"CC",(IF(Table3[[#This Row],[Type Received]]=3,"BILL","ACH")))</f>
        <v>CC</v>
      </c>
      <c r="F1306" s="35">
        <v>26.31</v>
      </c>
      <c r="G1306" s="14" t="str">
        <f>VLOOKUP(D1306,Table4[],3,FALSE)</f>
        <v>1</v>
      </c>
      <c r="H1306" s="15"/>
      <c r="I1306" s="15" t="s">
        <v>211</v>
      </c>
      <c r="J1306" s="15" t="s">
        <v>28</v>
      </c>
      <c r="K1306" s="15">
        <v>669484563</v>
      </c>
      <c r="L1306" s="15" t="s">
        <v>29</v>
      </c>
      <c r="M1306" s="15" t="s">
        <v>29</v>
      </c>
    </row>
    <row r="1307" spans="1:13" x14ac:dyDescent="0.25">
      <c r="A1307" s="23">
        <f t="shared" si="67"/>
        <v>260492</v>
      </c>
      <c r="B1307" s="14" t="str">
        <f t="shared" si="66"/>
        <v>Credit Cards (UMB) - Credits</v>
      </c>
      <c r="C1307" s="37">
        <v>46155</v>
      </c>
      <c r="D1307" s="31">
        <v>260492</v>
      </c>
      <c r="E1307" s="33" t="str">
        <f>IF(Table3[[#This Row],[Type Received]]=2,"CC",(IF(Table3[[#This Row],[Type Received]]=3,"BILL","ACH")))</f>
        <v>CC</v>
      </c>
      <c r="F1307" s="32">
        <v>120.58</v>
      </c>
      <c r="G1307" s="14" t="str">
        <f>VLOOKUP(D1307,Table4[],3,FALSE)</f>
        <v>2</v>
      </c>
      <c r="H1307" s="15"/>
      <c r="I1307" s="15">
        <v>818090</v>
      </c>
      <c r="J1307" s="15" t="s">
        <v>28</v>
      </c>
      <c r="K1307" s="15">
        <v>670819260</v>
      </c>
      <c r="L1307" s="15" t="s">
        <v>29</v>
      </c>
      <c r="M1307" s="15" t="s">
        <v>29</v>
      </c>
    </row>
    <row r="1308" spans="1:13" x14ac:dyDescent="0.25">
      <c r="A1308" s="23">
        <f t="shared" si="67"/>
        <v>260495</v>
      </c>
      <c r="B1308" s="14" t="str">
        <f t="shared" si="66"/>
        <v>Direct Debit (UMB Bank) - Credits</v>
      </c>
      <c r="C1308" s="38">
        <v>46155</v>
      </c>
      <c r="D1308" s="34">
        <v>260495</v>
      </c>
      <c r="E1308" s="36" t="str">
        <f>IF(Table3[[#This Row],[Type Received]]=2,"CC",(IF(Table3[[#This Row],[Type Received]]=3,"BILL","ACH")))</f>
        <v>ACH</v>
      </c>
      <c r="F1308" s="35">
        <v>83.95</v>
      </c>
      <c r="G1308" s="14" t="str">
        <f>VLOOKUP(D1308,Table4[],3,FALSE)</f>
        <v>1</v>
      </c>
      <c r="H1308" s="15"/>
      <c r="I1308" s="15" t="s">
        <v>212</v>
      </c>
      <c r="J1308" s="15" t="s">
        <v>28</v>
      </c>
      <c r="K1308" s="15">
        <v>674777333</v>
      </c>
      <c r="L1308" s="15" t="s">
        <v>29</v>
      </c>
      <c r="M1308" s="15" t="s">
        <v>29</v>
      </c>
    </row>
    <row r="1309" spans="1:13" x14ac:dyDescent="0.25">
      <c r="A1309" s="23">
        <f t="shared" si="67"/>
        <v>260496</v>
      </c>
      <c r="B1309" s="14" t="str">
        <f t="shared" si="66"/>
        <v>Credit Cards (UMB) - Credits</v>
      </c>
      <c r="C1309" s="37">
        <v>46157</v>
      </c>
      <c r="D1309" s="31">
        <v>260496</v>
      </c>
      <c r="E1309" s="33" t="str">
        <f>IF(Table3[[#This Row],[Type Received]]=2,"CC",(IF(Table3[[#This Row],[Type Received]]=3,"BILL","ACH")))</f>
        <v>CC</v>
      </c>
      <c r="F1309" s="32">
        <v>158.19999999999999</v>
      </c>
      <c r="G1309" s="14" t="str">
        <f>VLOOKUP(D1309,Table4[],3,FALSE)</f>
        <v>2</v>
      </c>
      <c r="H1309" s="15"/>
      <c r="I1309" s="15"/>
      <c r="J1309" s="15" t="s">
        <v>87</v>
      </c>
      <c r="K1309" s="15">
        <v>696710331</v>
      </c>
      <c r="L1309" s="15" t="s">
        <v>29</v>
      </c>
      <c r="M1309" s="15" t="s">
        <v>29</v>
      </c>
    </row>
    <row r="1310" spans="1:13" x14ac:dyDescent="0.25">
      <c r="A1310" s="23">
        <f t="shared" si="67"/>
        <v>260493</v>
      </c>
      <c r="B1310" s="14" t="str">
        <f t="shared" si="66"/>
        <v>Credit Cards (UMB) - Credits</v>
      </c>
      <c r="C1310" s="38">
        <v>46155</v>
      </c>
      <c r="D1310" s="34">
        <v>260493</v>
      </c>
      <c r="E1310" s="36" t="str">
        <f>IF(Table3[[#This Row],[Type Received]]=2,"CC",(IF(Table3[[#This Row],[Type Received]]=3,"BILL","ACH")))</f>
        <v>CC</v>
      </c>
      <c r="F1310" s="35">
        <v>41.05</v>
      </c>
      <c r="G1310" s="14" t="str">
        <f>VLOOKUP(D1310,Table4[],3,FALSE)</f>
        <v>2</v>
      </c>
      <c r="H1310" s="15"/>
      <c r="I1310" s="15">
        <v>264853</v>
      </c>
      <c r="J1310" s="15" t="s">
        <v>28</v>
      </c>
      <c r="K1310" s="15">
        <v>674044691</v>
      </c>
      <c r="L1310" s="15" t="s">
        <v>29</v>
      </c>
      <c r="M1310" s="15" t="s">
        <v>29</v>
      </c>
    </row>
    <row r="1311" spans="1:13" x14ac:dyDescent="0.25">
      <c r="A1311" s="23">
        <f t="shared" si="67"/>
        <v>260494</v>
      </c>
      <c r="B1311" s="14" t="str">
        <f t="shared" si="66"/>
        <v>Billing - Credits (from TPA)</v>
      </c>
      <c r="C1311" s="37">
        <v>46155</v>
      </c>
      <c r="D1311" s="31">
        <v>260494</v>
      </c>
      <c r="E1311" s="33" t="str">
        <f>IF(Table3[[#This Row],[Type Received]]=2,"CC",(IF(Table3[[#This Row],[Type Received]]=3,"BILL","ACH")))</f>
        <v>BILL</v>
      </c>
      <c r="F1311" s="32">
        <v>114.64</v>
      </c>
      <c r="G1311" s="14" t="str">
        <f>VLOOKUP(D1311,Table4[],3,FALSE)</f>
        <v>2</v>
      </c>
      <c r="H1311" s="15"/>
      <c r="I1311" s="15" t="s">
        <v>213</v>
      </c>
      <c r="J1311" s="15" t="s">
        <v>28</v>
      </c>
      <c r="K1311" s="15">
        <v>674722941</v>
      </c>
      <c r="L1311" s="15" t="s">
        <v>29</v>
      </c>
      <c r="M1311" s="15" t="s">
        <v>29</v>
      </c>
    </row>
    <row r="1312" spans="1:13" x14ac:dyDescent="0.25">
      <c r="A1312" s="23">
        <f t="shared" si="67"/>
        <v>260505</v>
      </c>
      <c r="B1312" s="14" t="str">
        <f t="shared" si="66"/>
        <v>Direct Debit (UMB Bank) - Credits</v>
      </c>
      <c r="C1312" s="38">
        <v>46169</v>
      </c>
      <c r="D1312" s="34">
        <v>260505</v>
      </c>
      <c r="E1312" s="36" t="str">
        <f>IF(Table3[[#This Row],[Type Received]]=2,"CC",(IF(Table3[[#This Row],[Type Received]]=3,"BILL","ACH")))</f>
        <v>ACH</v>
      </c>
      <c r="F1312" s="35">
        <v>550.55999999999995</v>
      </c>
      <c r="G1312" s="14" t="str">
        <f>VLOOKUP(D1312,Table4[],3,FALSE)</f>
        <v>1</v>
      </c>
      <c r="H1312" s="15">
        <v>1975</v>
      </c>
      <c r="I1312" s="15"/>
      <c r="J1312" s="15"/>
      <c r="K1312" s="15"/>
      <c r="L1312" s="15"/>
      <c r="M1312" s="15" t="s">
        <v>29</v>
      </c>
    </row>
    <row r="1313" spans="1:13" x14ac:dyDescent="0.25">
      <c r="A1313" s="23">
        <f t="shared" si="67"/>
        <v>260497</v>
      </c>
      <c r="B1313" s="14" t="str">
        <f t="shared" si="66"/>
        <v>Direct Debit (UMB Bank) - Credits</v>
      </c>
      <c r="C1313" s="37">
        <v>46168</v>
      </c>
      <c r="D1313" s="31">
        <v>260497</v>
      </c>
      <c r="E1313" s="33" t="str">
        <f>IF(Table3[[#This Row],[Type Received]]=2,"CC",(IF(Table3[[#This Row],[Type Received]]=3,"BILL","ACH")))</f>
        <v>ACH</v>
      </c>
      <c r="F1313" s="32">
        <v>63.16</v>
      </c>
      <c r="G1313" s="14" t="str">
        <f>VLOOKUP(D1313,Table4[],3,FALSE)</f>
        <v>2</v>
      </c>
      <c r="H1313" s="15"/>
      <c r="I1313" s="15"/>
      <c r="J1313" s="15" t="s">
        <v>110</v>
      </c>
      <c r="K1313" s="15">
        <v>828272205</v>
      </c>
      <c r="L1313" s="15" t="s">
        <v>29</v>
      </c>
      <c r="M1313" s="15" t="s">
        <v>29</v>
      </c>
    </row>
    <row r="1314" spans="1:13" x14ac:dyDescent="0.25">
      <c r="A1314" s="23">
        <f t="shared" si="67"/>
        <v>260509</v>
      </c>
      <c r="B1314" s="14" t="str">
        <f t="shared" si="66"/>
        <v>Direct Debit (UMB Bank) - Credits</v>
      </c>
      <c r="C1314" s="38">
        <v>46157</v>
      </c>
      <c r="D1314" s="34">
        <v>260509</v>
      </c>
      <c r="E1314" s="36" t="str">
        <f>IF(Table3[[#This Row],[Type Received]]=2,"CC",(IF(Table3[[#This Row],[Type Received]]=3,"BILL","ACH")))</f>
        <v>ACH</v>
      </c>
      <c r="F1314" s="35">
        <v>48.97</v>
      </c>
      <c r="G1314" s="14" t="str">
        <f>VLOOKUP(D1314,Table4[],3,FALSE)</f>
        <v>2</v>
      </c>
      <c r="H1314" s="15"/>
      <c r="I1314" s="15"/>
      <c r="J1314" s="15" t="s">
        <v>87</v>
      </c>
      <c r="K1314" s="15">
        <v>697214073</v>
      </c>
      <c r="L1314" s="15" t="s">
        <v>29</v>
      </c>
      <c r="M1314" s="15" t="s">
        <v>29</v>
      </c>
    </row>
    <row r="1315" spans="1:13" x14ac:dyDescent="0.25">
      <c r="A1315" s="23">
        <f t="shared" si="67"/>
        <v>260510</v>
      </c>
      <c r="B1315" s="14" t="str">
        <f t="shared" si="66"/>
        <v>Credit Cards (UMB) - Credits</v>
      </c>
      <c r="C1315" s="37">
        <v>46168</v>
      </c>
      <c r="D1315" s="31">
        <v>260510</v>
      </c>
      <c r="E1315" s="33" t="str">
        <f>IF(Table3[[#This Row],[Type Received]]=2,"CC",(IF(Table3[[#This Row],[Type Received]]=3,"BILL","ACH")))</f>
        <v>CC</v>
      </c>
      <c r="F1315" s="32">
        <v>56.23</v>
      </c>
      <c r="G1315" s="14" t="str">
        <f>VLOOKUP(D1315,Table4[],3,FALSE)</f>
        <v>2</v>
      </c>
      <c r="H1315" s="15"/>
      <c r="I1315" s="15"/>
      <c r="J1315" s="15" t="s">
        <v>110</v>
      </c>
      <c r="K1315" s="15">
        <v>828265341</v>
      </c>
      <c r="L1315" s="15" t="s">
        <v>29</v>
      </c>
      <c r="M1315" s="15" t="s">
        <v>29</v>
      </c>
    </row>
    <row r="1316" spans="1:13" x14ac:dyDescent="0.25">
      <c r="A1316" s="23">
        <f t="shared" si="67"/>
        <v>260515</v>
      </c>
      <c r="B1316" s="14" t="str">
        <f t="shared" si="66"/>
        <v>Credit Cards (UMB) - Credits</v>
      </c>
      <c r="C1316" s="38">
        <v>46157</v>
      </c>
      <c r="D1316" s="34">
        <v>260515</v>
      </c>
      <c r="E1316" s="36" t="str">
        <f>IF(Table3[[#This Row],[Type Received]]=2,"CC",(IF(Table3[[#This Row],[Type Received]]=3,"BILL","ACH")))</f>
        <v>CC</v>
      </c>
      <c r="F1316" s="35">
        <v>42.7</v>
      </c>
      <c r="G1316" s="14" t="str">
        <f>VLOOKUP(D1316,Table4[],3,FALSE)</f>
        <v>2</v>
      </c>
      <c r="H1316" s="15"/>
      <c r="I1316" s="15">
        <v>615170</v>
      </c>
      <c r="J1316" s="15" t="s">
        <v>28</v>
      </c>
      <c r="K1316" s="15">
        <v>702026081</v>
      </c>
      <c r="L1316" s="15" t="s">
        <v>29</v>
      </c>
      <c r="M1316" s="15"/>
    </row>
    <row r="1317" spans="1:13" x14ac:dyDescent="0.25">
      <c r="A1317" s="23">
        <f t="shared" ref="A1317:A1348" si="68">D1317</f>
        <v>260516</v>
      </c>
      <c r="B1317" s="14" t="str">
        <f t="shared" si="66"/>
        <v>Direct Debit (UMB Bank) - Credits</v>
      </c>
      <c r="C1317" s="37">
        <v>46157</v>
      </c>
      <c r="D1317" s="31">
        <v>260516</v>
      </c>
      <c r="E1317" s="33" t="str">
        <f>IF(Table3[[#This Row],[Type Received]]=2,"CC",(IF(Table3[[#This Row],[Type Received]]=3,"BILL","ACH")))</f>
        <v>ACH</v>
      </c>
      <c r="F1317" s="32">
        <v>125.75</v>
      </c>
      <c r="G1317" s="14" t="str">
        <f>VLOOKUP(D1317,Table4[],3,FALSE)</f>
        <v>1</v>
      </c>
      <c r="H1317" s="15"/>
      <c r="I1317" s="15">
        <v>850188</v>
      </c>
      <c r="J1317" s="15" t="s">
        <v>28</v>
      </c>
      <c r="K1317" s="15">
        <v>702079395</v>
      </c>
      <c r="L1317" s="15" t="s">
        <v>29</v>
      </c>
      <c r="M1317" s="15"/>
    </row>
    <row r="1318" spans="1:13" x14ac:dyDescent="0.25">
      <c r="A1318" s="23">
        <f t="shared" si="68"/>
        <v>260518</v>
      </c>
      <c r="B1318" s="14" t="str">
        <f t="shared" si="66"/>
        <v>Credit Cards (UMB) - Credits</v>
      </c>
      <c r="C1318" s="38">
        <v>46168</v>
      </c>
      <c r="D1318" s="34">
        <v>260518</v>
      </c>
      <c r="E1318" s="36" t="str">
        <f>IF(Table3[[#This Row],[Type Received]]=2,"CC",(IF(Table3[[#This Row],[Type Received]]=3,"BILL","ACH")))</f>
        <v>CC</v>
      </c>
      <c r="F1318" s="35">
        <v>54.25</v>
      </c>
      <c r="G1318" s="14" t="str">
        <f>VLOOKUP(D1318,Table4[],3,FALSE)</f>
        <v>2</v>
      </c>
      <c r="H1318" s="15"/>
      <c r="I1318" s="15"/>
      <c r="J1318" s="24" t="s">
        <v>110</v>
      </c>
      <c r="K1318" s="15">
        <v>828258536</v>
      </c>
      <c r="L1318" s="15" t="s">
        <v>29</v>
      </c>
      <c r="M1318" s="15"/>
    </row>
    <row r="1319" spans="1:13" x14ac:dyDescent="0.25">
      <c r="A1319" s="23">
        <f t="shared" si="68"/>
        <v>260514</v>
      </c>
      <c r="B1319" s="14" t="str">
        <f t="shared" si="66"/>
        <v>Direct Debit (UMB Bank) - Credits</v>
      </c>
      <c r="C1319" s="37">
        <v>46164</v>
      </c>
      <c r="D1319" s="31">
        <v>260514</v>
      </c>
      <c r="E1319" s="33" t="str">
        <f>IF(Table3[[#This Row],[Type Received]]=2,"CC",(IF(Table3[[#This Row],[Type Received]]=3,"BILL","ACH")))</f>
        <v>ACH</v>
      </c>
      <c r="F1319" s="32">
        <v>56.23</v>
      </c>
      <c r="G1319" s="14" t="str">
        <f>VLOOKUP(D1319,Table4[],3,FALSE)</f>
        <v>2</v>
      </c>
      <c r="H1319" s="15"/>
      <c r="I1319" s="15">
        <v>441046</v>
      </c>
      <c r="J1319" s="15" t="s">
        <v>28</v>
      </c>
      <c r="K1319" s="15">
        <v>786752595</v>
      </c>
      <c r="L1319" s="15" t="s">
        <v>29</v>
      </c>
      <c r="M1319" s="15" t="s">
        <v>29</v>
      </c>
    </row>
    <row r="1320" spans="1:13" x14ac:dyDescent="0.25">
      <c r="A1320" s="23">
        <f t="shared" si="68"/>
        <v>150453</v>
      </c>
      <c r="B1320" s="14" t="str">
        <f t="shared" si="66"/>
        <v>Direct Debit (UMB Bank) - Credits</v>
      </c>
      <c r="C1320" s="38">
        <v>46143</v>
      </c>
      <c r="D1320" s="34">
        <v>150453</v>
      </c>
      <c r="E1320" s="36" t="str">
        <f>IF(Table3[[#This Row],[Type Received]]=2,"CC",(IF(Table3[[#This Row],[Type Received]]=3,"BILL","ACH")))</f>
        <v>ACH</v>
      </c>
      <c r="F1320" s="35">
        <v>26.96</v>
      </c>
      <c r="G1320" s="14" t="str">
        <f>VLOOKUP(D1320,Table4[],3,FALSE)</f>
        <v>1</v>
      </c>
      <c r="H1320" s="15"/>
      <c r="I1320" s="15"/>
      <c r="J1320" s="15" t="s">
        <v>84</v>
      </c>
      <c r="K1320" s="15">
        <v>522304329</v>
      </c>
      <c r="L1320" s="15" t="s">
        <v>29</v>
      </c>
      <c r="M1320" s="15" t="s">
        <v>29</v>
      </c>
    </row>
    <row r="1321" spans="1:13" x14ac:dyDescent="0.25">
      <c r="A1321" s="23">
        <f t="shared" si="68"/>
        <v>150540</v>
      </c>
      <c r="B1321" s="14" t="str">
        <f t="shared" si="66"/>
        <v>Credit Cards (UMB) - Credits</v>
      </c>
      <c r="C1321" s="37">
        <v>46143</v>
      </c>
      <c r="D1321" s="31">
        <v>150540</v>
      </c>
      <c r="E1321" s="33" t="str">
        <f>IF(Table3[[#This Row],[Type Received]]=2,"CC",(IF(Table3[[#This Row],[Type Received]]=3,"BILL","ACH")))</f>
        <v>CC</v>
      </c>
      <c r="F1321" s="32">
        <v>18.59</v>
      </c>
      <c r="G1321" s="14" t="str">
        <f>VLOOKUP(D1321,Table4[],3,FALSE)</f>
        <v>2</v>
      </c>
      <c r="H1321" s="15"/>
      <c r="I1321" s="15"/>
      <c r="J1321" s="15" t="s">
        <v>84</v>
      </c>
      <c r="K1321" s="15">
        <v>522296587</v>
      </c>
      <c r="L1321" s="15" t="s">
        <v>29</v>
      </c>
      <c r="M1321" s="15" t="s">
        <v>29</v>
      </c>
    </row>
    <row r="1322" spans="1:13" x14ac:dyDescent="0.25">
      <c r="A1322" s="23">
        <f t="shared" si="68"/>
        <v>150558</v>
      </c>
      <c r="B1322" s="14" t="str">
        <f t="shared" si="66"/>
        <v>Direct Debit (UMB Bank) - Credits</v>
      </c>
      <c r="C1322" s="38">
        <v>46164</v>
      </c>
      <c r="D1322" s="34">
        <v>150558</v>
      </c>
      <c r="E1322" s="36" t="str">
        <f>IF(Table3[[#This Row],[Type Received]]=2,"CC",(IF(Table3[[#This Row],[Type Received]]=3,"BILL","ACH")))</f>
        <v>ACH</v>
      </c>
      <c r="F1322" s="35">
        <v>29</v>
      </c>
      <c r="G1322" s="14" t="str">
        <f>VLOOKUP(D1322,Table4[],3,FALSE)</f>
        <v>1</v>
      </c>
      <c r="H1322" s="15"/>
      <c r="I1322" s="15">
        <v>9483</v>
      </c>
      <c r="J1322" s="15">
        <v>747909705</v>
      </c>
      <c r="K1322" s="15">
        <v>355539598</v>
      </c>
      <c r="L1322" s="15"/>
      <c r="M1322" s="15" t="s">
        <v>29</v>
      </c>
    </row>
    <row r="1323" spans="1:13" x14ac:dyDescent="0.25">
      <c r="A1323" s="23">
        <f t="shared" si="68"/>
        <v>150595</v>
      </c>
      <c r="B1323" s="14" t="str">
        <f t="shared" si="66"/>
        <v>Billing - Credits (from TPA)</v>
      </c>
      <c r="C1323" s="37">
        <v>46157</v>
      </c>
      <c r="D1323" s="31">
        <v>150595</v>
      </c>
      <c r="E1323" s="33" t="str">
        <f>IF(Table3[[#This Row],[Type Received]]=2,"CC",(IF(Table3[[#This Row],[Type Received]]=3,"BILL","ACH")))</f>
        <v>BILL</v>
      </c>
      <c r="F1323" s="32">
        <v>6.44</v>
      </c>
      <c r="G1323" s="14" t="str">
        <f>VLOOKUP(D1323,Table4[],3,FALSE)</f>
        <v>1</v>
      </c>
      <c r="H1323" s="15"/>
      <c r="I1323" s="15"/>
      <c r="J1323" s="15" t="s">
        <v>87</v>
      </c>
      <c r="K1323" s="15">
        <v>696689066</v>
      </c>
      <c r="L1323" s="15" t="s">
        <v>29</v>
      </c>
      <c r="M1323" s="15"/>
    </row>
    <row r="1324" spans="1:13" x14ac:dyDescent="0.25">
      <c r="A1324" s="23">
        <f t="shared" si="68"/>
        <v>150218</v>
      </c>
      <c r="B1324" s="14" t="str">
        <f t="shared" si="66"/>
        <v>Direct Debit (UMB Bank) - Credits</v>
      </c>
      <c r="C1324" s="38">
        <v>46147</v>
      </c>
      <c r="D1324" s="34">
        <v>150218</v>
      </c>
      <c r="E1324" s="36" t="str">
        <f>IF(Table3[[#This Row],[Type Received]]=2,"CC",(IF(Table3[[#This Row],[Type Received]]=3,"BILL","ACH")))</f>
        <v>ACH</v>
      </c>
      <c r="F1324" s="35">
        <v>75.44</v>
      </c>
      <c r="G1324" s="14" t="str">
        <f>VLOOKUP(D1324,Table4[],3,FALSE)</f>
        <v>2</v>
      </c>
      <c r="H1324" s="15">
        <v>6838</v>
      </c>
      <c r="I1324" s="15"/>
      <c r="J1324" s="15"/>
      <c r="K1324" s="15"/>
      <c r="L1324" s="15"/>
      <c r="M1324" s="15" t="s">
        <v>29</v>
      </c>
    </row>
    <row r="1325" spans="1:13" x14ac:dyDescent="0.25">
      <c r="A1325" s="23">
        <f t="shared" si="68"/>
        <v>150615</v>
      </c>
      <c r="B1325" s="14" t="str">
        <f t="shared" si="66"/>
        <v>Direct Debit (UMB Bank) - Credits</v>
      </c>
      <c r="C1325" s="37">
        <v>46143</v>
      </c>
      <c r="D1325" s="31">
        <v>150615</v>
      </c>
      <c r="E1325" s="33" t="str">
        <f>IF(Table3[[#This Row],[Type Received]]=2,"CC",(IF(Table3[[#This Row],[Type Received]]=3,"BILL","ACH")))</f>
        <v>ACH</v>
      </c>
      <c r="F1325" s="32">
        <v>4.28</v>
      </c>
      <c r="G1325" s="14" t="str">
        <f>VLOOKUP(D1325,Table4[],3,FALSE)</f>
        <v>1</v>
      </c>
      <c r="H1325" s="15"/>
      <c r="I1325" s="15"/>
      <c r="J1325" s="15" t="s">
        <v>84</v>
      </c>
      <c r="K1325" s="15">
        <v>522284074</v>
      </c>
      <c r="L1325" s="15" t="s">
        <v>29</v>
      </c>
      <c r="M1325" s="15" t="s">
        <v>29</v>
      </c>
    </row>
    <row r="1326" spans="1:13" x14ac:dyDescent="0.25">
      <c r="A1326" s="23">
        <f t="shared" si="68"/>
        <v>150632</v>
      </c>
      <c r="B1326" s="14" t="str">
        <f t="shared" si="66"/>
        <v>Direct Debit (UMB Bank) - Credits</v>
      </c>
      <c r="C1326" s="38">
        <v>46168</v>
      </c>
      <c r="D1326" s="34">
        <v>150632</v>
      </c>
      <c r="E1326" s="36" t="str">
        <f>IF(Table3[[#This Row],[Type Received]]=2,"CC",(IF(Table3[[#This Row],[Type Received]]=3,"BILL","ACH")))</f>
        <v>ACH</v>
      </c>
      <c r="F1326" s="35">
        <v>10.54</v>
      </c>
      <c r="G1326" s="14" t="str">
        <f>VLOOKUP(D1326,Table4[],3,FALSE)</f>
        <v>1</v>
      </c>
      <c r="H1326" s="15"/>
      <c r="I1326" s="15"/>
      <c r="J1326" s="15" t="s">
        <v>110</v>
      </c>
      <c r="K1326" s="15">
        <v>828271178</v>
      </c>
      <c r="L1326" s="15" t="s">
        <v>29</v>
      </c>
      <c r="M1326" s="15" t="s">
        <v>29</v>
      </c>
    </row>
    <row r="1327" spans="1:13" x14ac:dyDescent="0.25">
      <c r="A1327" s="23">
        <f t="shared" si="68"/>
        <v>150634</v>
      </c>
      <c r="B1327" s="14" t="str">
        <f t="shared" si="66"/>
        <v>Direct Debit (UMB Bank) - Credits</v>
      </c>
      <c r="C1327" s="37">
        <v>46157</v>
      </c>
      <c r="D1327" s="31">
        <v>150634</v>
      </c>
      <c r="E1327" s="33" t="str">
        <f>IF(Table3[[#This Row],[Type Received]]=2,"CC",(IF(Table3[[#This Row],[Type Received]]=3,"BILL","ACH")))</f>
        <v>ACH</v>
      </c>
      <c r="F1327" s="32">
        <v>9.1</v>
      </c>
      <c r="G1327" s="14" t="str">
        <f>VLOOKUP(D1327,Table4[],3,FALSE)</f>
        <v>2</v>
      </c>
      <c r="H1327" s="15"/>
      <c r="I1327" s="15"/>
      <c r="J1327" s="15" t="s">
        <v>87</v>
      </c>
      <c r="K1327" s="15">
        <v>696704471</v>
      </c>
      <c r="L1327" s="15" t="s">
        <v>29</v>
      </c>
      <c r="M1327" s="15" t="s">
        <v>29</v>
      </c>
    </row>
    <row r="1328" spans="1:13" x14ac:dyDescent="0.25">
      <c r="A1328" s="23">
        <f t="shared" si="68"/>
        <v>150640</v>
      </c>
      <c r="B1328" s="14" t="str">
        <f t="shared" si="66"/>
        <v>Billing - Credits (from TPA)</v>
      </c>
      <c r="C1328" s="38">
        <v>46157</v>
      </c>
      <c r="D1328" s="34">
        <v>150640</v>
      </c>
      <c r="E1328" s="36" t="str">
        <f>IF(Table3[[#This Row],[Type Received]]=2,"CC",(IF(Table3[[#This Row],[Type Received]]=3,"BILL","ACH")))</f>
        <v>BILL</v>
      </c>
      <c r="F1328" s="35">
        <v>30.16</v>
      </c>
      <c r="G1328" s="14" t="str">
        <f>VLOOKUP(D1328,Table4[],3,FALSE)</f>
        <v>2</v>
      </c>
      <c r="H1328" s="15"/>
      <c r="I1328" s="15"/>
      <c r="J1328" s="15" t="s">
        <v>87</v>
      </c>
      <c r="K1328" s="15">
        <v>696698700</v>
      </c>
      <c r="L1328" s="15" t="s">
        <v>29</v>
      </c>
      <c r="M1328" s="15" t="s">
        <v>29</v>
      </c>
    </row>
    <row r="1329" spans="1:13" x14ac:dyDescent="0.25">
      <c r="A1329" s="23">
        <f t="shared" si="68"/>
        <v>150707</v>
      </c>
      <c r="B1329" s="14" t="str">
        <f t="shared" si="66"/>
        <v>Direct Debit (UMB Bank) - Credits</v>
      </c>
      <c r="C1329" s="37">
        <v>46168</v>
      </c>
      <c r="D1329" s="31">
        <v>150707</v>
      </c>
      <c r="E1329" s="33" t="str">
        <f>IF(Table3[[#This Row],[Type Received]]=2,"CC",(IF(Table3[[#This Row],[Type Received]]=3,"BILL","ACH")))</f>
        <v>ACH</v>
      </c>
      <c r="F1329" s="32">
        <v>198.4</v>
      </c>
      <c r="G1329" s="14" t="str">
        <f>VLOOKUP(D1329,Table4[],3,FALSE)</f>
        <v>2</v>
      </c>
      <c r="H1329" s="15">
        <v>7934</v>
      </c>
      <c r="I1329" s="15"/>
      <c r="J1329" s="15"/>
      <c r="K1329" s="15"/>
      <c r="L1329" s="15"/>
      <c r="M1329" s="15" t="s">
        <v>29</v>
      </c>
    </row>
    <row r="1330" spans="1:13" x14ac:dyDescent="0.25">
      <c r="A1330" s="23">
        <f t="shared" si="68"/>
        <v>150990</v>
      </c>
      <c r="B1330" s="14" t="str">
        <f t="shared" si="66"/>
        <v>Direct Debit (UMB Bank) - Credits</v>
      </c>
      <c r="C1330" s="38">
        <v>46168</v>
      </c>
      <c r="D1330" s="34">
        <v>150990</v>
      </c>
      <c r="E1330" s="36" t="str">
        <f>IF(Table3[[#This Row],[Type Received]]=2,"CC",(IF(Table3[[#This Row],[Type Received]]=3,"BILL","ACH")))</f>
        <v>ACH</v>
      </c>
      <c r="F1330" s="35">
        <v>168.08</v>
      </c>
      <c r="G1330" s="14" t="str">
        <f>VLOOKUP(D1330,Table4[],3,FALSE)</f>
        <v>2</v>
      </c>
      <c r="H1330" s="15"/>
      <c r="I1330" s="15"/>
      <c r="J1330" s="15" t="s">
        <v>110</v>
      </c>
      <c r="K1330" s="15">
        <v>828251921</v>
      </c>
      <c r="L1330" s="15" t="s">
        <v>29</v>
      </c>
      <c r="M1330" s="15" t="s">
        <v>29</v>
      </c>
    </row>
    <row r="1331" spans="1:13" x14ac:dyDescent="0.25">
      <c r="A1331" s="23">
        <f t="shared" si="68"/>
        <v>150992</v>
      </c>
      <c r="B1331" s="14" t="str">
        <f t="shared" si="66"/>
        <v>Direct Debit (UMB Bank) - Credits</v>
      </c>
      <c r="C1331" s="37">
        <v>46157</v>
      </c>
      <c r="D1331" s="31">
        <v>150992</v>
      </c>
      <c r="E1331" s="33" t="str">
        <f>IF(Table3[[#This Row],[Type Received]]=2,"CC",(IF(Table3[[#This Row],[Type Received]]=3,"BILL","ACH")))</f>
        <v>ACH</v>
      </c>
      <c r="F1331" s="32">
        <v>12.88</v>
      </c>
      <c r="G1331" s="14" t="str">
        <f>VLOOKUP(D1331,Table4[],3,FALSE)</f>
        <v>2</v>
      </c>
      <c r="H1331" s="15"/>
      <c r="I1331" s="15"/>
      <c r="J1331" s="24" t="s">
        <v>87</v>
      </c>
      <c r="K1331" s="15">
        <v>696709411</v>
      </c>
      <c r="L1331" s="15" t="s">
        <v>29</v>
      </c>
      <c r="M1331" s="15" t="s">
        <v>29</v>
      </c>
    </row>
    <row r="1332" spans="1:13" x14ac:dyDescent="0.25">
      <c r="A1332" s="23">
        <f t="shared" si="68"/>
        <v>151003</v>
      </c>
      <c r="B1332" s="14" t="str">
        <f t="shared" si="66"/>
        <v>Credit Cards (UMB) - Credits</v>
      </c>
      <c r="C1332" s="38">
        <v>46168</v>
      </c>
      <c r="D1332" s="34">
        <v>151003</v>
      </c>
      <c r="E1332" s="36" t="str">
        <f>IF(Table3[[#This Row],[Type Received]]=2,"CC",(IF(Table3[[#This Row],[Type Received]]=3,"BILL","ACH")))</f>
        <v>CC</v>
      </c>
      <c r="F1332" s="35">
        <v>29.93</v>
      </c>
      <c r="G1332" s="14" t="str">
        <f>VLOOKUP(D1332,Table4[],3,FALSE)</f>
        <v>2</v>
      </c>
      <c r="H1332" s="15"/>
      <c r="I1332" s="15"/>
      <c r="J1332" s="15" t="s">
        <v>110</v>
      </c>
      <c r="K1332" s="15">
        <v>828257629</v>
      </c>
      <c r="L1332" s="15" t="s">
        <v>29</v>
      </c>
      <c r="M1332" s="15" t="s">
        <v>29</v>
      </c>
    </row>
    <row r="1333" spans="1:13" x14ac:dyDescent="0.25">
      <c r="A1333" s="23">
        <f t="shared" si="68"/>
        <v>151054</v>
      </c>
      <c r="B1333" s="14" t="str">
        <f t="shared" si="66"/>
        <v>Billing - Credits (from TPA)</v>
      </c>
      <c r="C1333" s="37">
        <v>46143</v>
      </c>
      <c r="D1333" s="31">
        <v>151054</v>
      </c>
      <c r="E1333" s="33" t="str">
        <f>IF(Table3[[#This Row],[Type Received]]=2,"CC",(IF(Table3[[#This Row],[Type Received]]=3,"BILL","ACH")))</f>
        <v>BILL</v>
      </c>
      <c r="F1333" s="32">
        <v>13.44</v>
      </c>
      <c r="G1333" s="14" t="str">
        <f>VLOOKUP(D1333,Table4[],3,FALSE)</f>
        <v>1</v>
      </c>
      <c r="H1333" s="15"/>
      <c r="I1333" s="15">
        <v>57264</v>
      </c>
      <c r="J1333" s="15">
        <v>741374152</v>
      </c>
      <c r="K1333" s="15">
        <v>353093808</v>
      </c>
      <c r="L1333" s="15"/>
      <c r="M1333" s="15" t="s">
        <v>29</v>
      </c>
    </row>
    <row r="1334" spans="1:13" x14ac:dyDescent="0.25">
      <c r="A1334" s="23">
        <f t="shared" si="68"/>
        <v>151098</v>
      </c>
      <c r="B1334" s="14" t="str">
        <f t="shared" si="66"/>
        <v>Credit Cards (UMB) - Credits</v>
      </c>
      <c r="C1334" s="38">
        <v>46147</v>
      </c>
      <c r="D1334" s="34">
        <v>151098</v>
      </c>
      <c r="E1334" s="36" t="str">
        <f>IF(Table3[[#This Row],[Type Received]]=2,"CC",(IF(Table3[[#This Row],[Type Received]]=3,"BILL","ACH")))</f>
        <v>CC</v>
      </c>
      <c r="F1334" s="35">
        <v>64.02</v>
      </c>
      <c r="G1334" s="14" t="str">
        <f>VLOOKUP(D1334,Table4[],3,FALSE)</f>
        <v>2</v>
      </c>
      <c r="H1334" s="15">
        <v>75805296</v>
      </c>
      <c r="I1334" s="15"/>
      <c r="J1334" s="15"/>
      <c r="K1334" s="15"/>
      <c r="L1334" s="15"/>
      <c r="M1334" s="15" t="s">
        <v>29</v>
      </c>
    </row>
    <row r="1335" spans="1:13" x14ac:dyDescent="0.25">
      <c r="A1335" s="23">
        <f t="shared" si="68"/>
        <v>151242</v>
      </c>
      <c r="B1335" s="14" t="str">
        <f t="shared" si="66"/>
        <v>Billing - Credits (from TPA)</v>
      </c>
      <c r="C1335" s="37">
        <v>46143</v>
      </c>
      <c r="D1335" s="31">
        <v>151242</v>
      </c>
      <c r="E1335" s="33" t="str">
        <f>IF(Table3[[#This Row],[Type Received]]=2,"CC",(IF(Table3[[#This Row],[Type Received]]=3,"BILL","ACH")))</f>
        <v>BILL</v>
      </c>
      <c r="F1335" s="32">
        <v>18.510000000000002</v>
      </c>
      <c r="G1335" s="14" t="str">
        <f>VLOOKUP(D1335,Table4[],3,FALSE)</f>
        <v>2</v>
      </c>
      <c r="H1335" s="15"/>
      <c r="I1335" s="15">
        <v>80927</v>
      </c>
      <c r="J1335" s="15" t="s">
        <v>28</v>
      </c>
      <c r="K1335" s="15">
        <v>524960153</v>
      </c>
      <c r="L1335" s="15" t="s">
        <v>29</v>
      </c>
      <c r="M1335" s="15"/>
    </row>
    <row r="1336" spans="1:13" x14ac:dyDescent="0.25">
      <c r="A1336" s="23">
        <f t="shared" si="68"/>
        <v>151273</v>
      </c>
      <c r="B1336" s="14" t="str">
        <f t="shared" si="66"/>
        <v>Billing - Credits (from TPA)</v>
      </c>
      <c r="C1336" s="38">
        <v>46168</v>
      </c>
      <c r="D1336" s="34">
        <v>151273</v>
      </c>
      <c r="E1336" s="36" t="str">
        <f>IF(Table3[[#This Row],[Type Received]]=2,"CC",(IF(Table3[[#This Row],[Type Received]]=3,"BILL","ACH")))</f>
        <v>BILL</v>
      </c>
      <c r="F1336" s="35">
        <v>19.39</v>
      </c>
      <c r="G1336" s="14" t="str">
        <f>VLOOKUP(D1336,Table4[],3,FALSE)</f>
        <v>2</v>
      </c>
      <c r="H1336" s="15">
        <v>4459</v>
      </c>
      <c r="I1336" s="15"/>
      <c r="J1336" s="15"/>
      <c r="K1336" s="15"/>
      <c r="L1336" s="15"/>
      <c r="M1336" s="15" t="s">
        <v>29</v>
      </c>
    </row>
    <row r="1337" spans="1:13" x14ac:dyDescent="0.25">
      <c r="A1337" s="23">
        <f t="shared" si="68"/>
        <v>151331</v>
      </c>
      <c r="B1337" s="14" t="str">
        <f t="shared" si="66"/>
        <v>Direct Debit (UMB Bank) - Credits</v>
      </c>
      <c r="C1337" s="37">
        <v>46168</v>
      </c>
      <c r="D1337" s="31">
        <v>151331</v>
      </c>
      <c r="E1337" s="33" t="str">
        <f>IF(Table3[[#This Row],[Type Received]]=2,"CC",(IF(Table3[[#This Row],[Type Received]]=3,"BILL","ACH")))</f>
        <v>ACH</v>
      </c>
      <c r="F1337" s="32">
        <v>91.75</v>
      </c>
      <c r="G1337" s="14" t="str">
        <f>VLOOKUP(D1337,Table4[],3,FALSE)</f>
        <v>1</v>
      </c>
      <c r="H1337" s="15">
        <v>19824570629</v>
      </c>
      <c r="I1337" s="15"/>
      <c r="J1337" s="15"/>
      <c r="K1337" s="15"/>
      <c r="L1337" s="15"/>
      <c r="M1337" s="15" t="s">
        <v>29</v>
      </c>
    </row>
    <row r="1338" spans="1:13" x14ac:dyDescent="0.25">
      <c r="A1338" s="23">
        <f t="shared" si="68"/>
        <v>151608</v>
      </c>
      <c r="B1338" s="14" t="str">
        <f t="shared" si="66"/>
        <v>Direct Debit (UMB Bank) - Credits</v>
      </c>
      <c r="C1338" s="38">
        <v>46163</v>
      </c>
      <c r="D1338" s="34">
        <v>151608</v>
      </c>
      <c r="E1338" s="36" t="str">
        <f>IF(Table3[[#This Row],[Type Received]]=2,"CC",(IF(Table3[[#This Row],[Type Received]]=3,"BILL","ACH")))</f>
        <v>ACH</v>
      </c>
      <c r="F1338" s="35">
        <v>22.78</v>
      </c>
      <c r="G1338" s="14" t="str">
        <f>VLOOKUP(D1338,Table4[],3,FALSE)</f>
        <v>1</v>
      </c>
      <c r="H1338" s="15"/>
      <c r="I1338" s="15"/>
      <c r="J1338" s="15" t="s">
        <v>214</v>
      </c>
      <c r="K1338" s="15">
        <v>770883010</v>
      </c>
      <c r="L1338" s="15" t="s">
        <v>29</v>
      </c>
      <c r="M1338" s="15" t="s">
        <v>29</v>
      </c>
    </row>
    <row r="1339" spans="1:13" x14ac:dyDescent="0.25">
      <c r="A1339" s="23">
        <f t="shared" si="68"/>
        <v>151715</v>
      </c>
      <c r="B1339" s="14" t="str">
        <f t="shared" si="66"/>
        <v>Billing - Credits (from TPA)</v>
      </c>
      <c r="C1339" s="37">
        <v>46169</v>
      </c>
      <c r="D1339" s="31">
        <v>151715</v>
      </c>
      <c r="E1339" s="33" t="str">
        <f>IF(Table3[[#This Row],[Type Received]]=2,"CC",(IF(Table3[[#This Row],[Type Received]]=3,"BILL","ACH")))</f>
        <v>BILL</v>
      </c>
      <c r="F1339" s="32">
        <v>27.39</v>
      </c>
      <c r="G1339" s="14" t="str">
        <f>VLOOKUP(D1339,Table4[],3,FALSE)</f>
        <v>1</v>
      </c>
      <c r="H1339" s="15"/>
      <c r="I1339" s="15"/>
      <c r="J1339" s="15" t="s">
        <v>117</v>
      </c>
      <c r="K1339" s="15">
        <v>840877446</v>
      </c>
      <c r="L1339" s="15" t="s">
        <v>29</v>
      </c>
      <c r="M1339" s="15" t="s">
        <v>29</v>
      </c>
    </row>
    <row r="1340" spans="1:13" x14ac:dyDescent="0.25">
      <c r="A1340" s="23">
        <f t="shared" si="68"/>
        <v>151734</v>
      </c>
      <c r="B1340" s="14" t="str">
        <f t="shared" si="66"/>
        <v>Direct Debit (UMB Bank) - Credits</v>
      </c>
      <c r="C1340" s="38">
        <v>46146</v>
      </c>
      <c r="D1340" s="34">
        <v>151734</v>
      </c>
      <c r="E1340" s="36" t="str">
        <f>IF(Table3[[#This Row],[Type Received]]=2,"CC",(IF(Table3[[#This Row],[Type Received]]=3,"BILL","ACH")))</f>
        <v>ACH</v>
      </c>
      <c r="F1340" s="35">
        <v>40</v>
      </c>
      <c r="G1340" s="14" t="str">
        <f>VLOOKUP(D1340,Table4[],3,FALSE)</f>
        <v>2</v>
      </c>
      <c r="H1340" s="15">
        <v>6589</v>
      </c>
      <c r="I1340" s="15"/>
      <c r="J1340" s="15"/>
      <c r="K1340" s="15"/>
      <c r="L1340" s="15"/>
      <c r="M1340" s="15"/>
    </row>
    <row r="1341" spans="1:13" x14ac:dyDescent="0.25">
      <c r="A1341" s="23">
        <f t="shared" si="68"/>
        <v>151748</v>
      </c>
      <c r="B1341" s="14" t="str">
        <f t="shared" si="66"/>
        <v>Direct Debit (UMB Bank) - Credits</v>
      </c>
      <c r="C1341" s="37">
        <v>46157</v>
      </c>
      <c r="D1341" s="31">
        <v>151748</v>
      </c>
      <c r="E1341" s="33" t="str">
        <f>IF(Table3[[#This Row],[Type Received]]=2,"CC",(IF(Table3[[#This Row],[Type Received]]=3,"BILL","ACH")))</f>
        <v>ACH</v>
      </c>
      <c r="F1341" s="32">
        <v>17.739999999999998</v>
      </c>
      <c r="G1341" s="14" t="str">
        <f>VLOOKUP(D1341,Table4[],3,FALSE)</f>
        <v>2</v>
      </c>
      <c r="H1341" s="15"/>
      <c r="I1341" s="15"/>
      <c r="J1341" s="15" t="s">
        <v>87</v>
      </c>
      <c r="K1341" s="15">
        <v>696711253</v>
      </c>
      <c r="L1341" s="15" t="s">
        <v>29</v>
      </c>
      <c r="M1341" s="15" t="s">
        <v>29</v>
      </c>
    </row>
    <row r="1342" spans="1:13" x14ac:dyDescent="0.25">
      <c r="A1342" s="23">
        <f t="shared" si="68"/>
        <v>151753</v>
      </c>
      <c r="B1342" s="14" t="str">
        <f t="shared" si="66"/>
        <v>Direct Debit (UMB Bank) - Credits</v>
      </c>
      <c r="C1342" s="38">
        <v>46143</v>
      </c>
      <c r="D1342" s="34">
        <v>151753</v>
      </c>
      <c r="E1342" s="36" t="str">
        <f>IF(Table3[[#This Row],[Type Received]]=2,"CC",(IF(Table3[[#This Row],[Type Received]]=3,"BILL","ACH")))</f>
        <v>ACH</v>
      </c>
      <c r="F1342" s="35">
        <v>20.71</v>
      </c>
      <c r="G1342" s="14" t="str">
        <f>VLOOKUP(D1342,Table4[],3,FALSE)</f>
        <v>2</v>
      </c>
      <c r="H1342" s="15"/>
      <c r="I1342" s="15"/>
      <c r="J1342" s="24" t="s">
        <v>84</v>
      </c>
      <c r="K1342" s="15">
        <v>522310198</v>
      </c>
      <c r="L1342" s="15" t="s">
        <v>29</v>
      </c>
      <c r="M1342" s="15" t="s">
        <v>29</v>
      </c>
    </row>
    <row r="1343" spans="1:13" x14ac:dyDescent="0.25">
      <c r="A1343" s="23">
        <f t="shared" si="68"/>
        <v>151764</v>
      </c>
      <c r="B1343" s="14" t="str">
        <f t="shared" si="66"/>
        <v>Credit Cards (UMB) - Credits</v>
      </c>
      <c r="C1343" s="37">
        <v>46157</v>
      </c>
      <c r="D1343" s="31">
        <v>151764</v>
      </c>
      <c r="E1343" s="33" t="str">
        <f>IF(Table3[[#This Row],[Type Received]]=2,"CC",(IF(Table3[[#This Row],[Type Received]]=3,"BILL","ACH")))</f>
        <v>CC</v>
      </c>
      <c r="F1343" s="32">
        <v>9.34</v>
      </c>
      <c r="G1343" s="14" t="str">
        <f>VLOOKUP(D1343,Table4[],3,FALSE)</f>
        <v>1</v>
      </c>
      <c r="H1343" s="15"/>
      <c r="I1343" s="15"/>
      <c r="J1343" s="15" t="s">
        <v>87</v>
      </c>
      <c r="K1343" s="15">
        <v>696713239</v>
      </c>
      <c r="L1343" s="15" t="s">
        <v>29</v>
      </c>
      <c r="M1343" s="15" t="s">
        <v>29</v>
      </c>
    </row>
    <row r="1344" spans="1:13" x14ac:dyDescent="0.25">
      <c r="A1344" s="23">
        <f t="shared" si="68"/>
        <v>151466</v>
      </c>
      <c r="B1344" s="14" t="str">
        <f t="shared" si="66"/>
        <v>Direct Debit (UMB Bank) - Credits</v>
      </c>
      <c r="C1344" s="38">
        <v>46143</v>
      </c>
      <c r="D1344" s="34">
        <v>151466</v>
      </c>
      <c r="E1344" s="36" t="str">
        <f>IF(Table3[[#This Row],[Type Received]]=2,"CC",(IF(Table3[[#This Row],[Type Received]]=3,"BILL","ACH")))</f>
        <v>ACH</v>
      </c>
      <c r="F1344" s="35">
        <v>5.86</v>
      </c>
      <c r="G1344" s="14" t="str">
        <f>VLOOKUP(D1344,Table4[],3,FALSE)</f>
        <v>1</v>
      </c>
      <c r="H1344" s="15"/>
      <c r="I1344" s="15">
        <v>36568</v>
      </c>
      <c r="J1344" s="15" t="s">
        <v>28</v>
      </c>
      <c r="K1344" s="15">
        <v>522304460</v>
      </c>
      <c r="L1344" s="15" t="s">
        <v>29</v>
      </c>
      <c r="M1344" s="15"/>
    </row>
    <row r="1345" spans="1:13" x14ac:dyDescent="0.25">
      <c r="A1345" s="23">
        <f t="shared" si="68"/>
        <v>151502</v>
      </c>
      <c r="B1345" s="14" t="str">
        <f t="shared" si="66"/>
        <v>Direct Debit (UMB Bank) - Credits</v>
      </c>
      <c r="C1345" s="37">
        <v>46143</v>
      </c>
      <c r="D1345" s="31">
        <v>151502</v>
      </c>
      <c r="E1345" s="33" t="str">
        <f>IF(Table3[[#This Row],[Type Received]]=2,"CC",(IF(Table3[[#This Row],[Type Received]]=3,"BILL","ACH")))</f>
        <v>ACH</v>
      </c>
      <c r="F1345" s="32">
        <v>63.75</v>
      </c>
      <c r="G1345" s="14" t="str">
        <f>VLOOKUP(D1345,Table4[],3,FALSE)</f>
        <v>1</v>
      </c>
      <c r="H1345" s="15"/>
      <c r="I1345" s="15"/>
      <c r="J1345" s="24" t="s">
        <v>84</v>
      </c>
      <c r="K1345" s="15">
        <v>522288067</v>
      </c>
      <c r="L1345" s="15" t="s">
        <v>29</v>
      </c>
      <c r="M1345" s="15" t="s">
        <v>29</v>
      </c>
    </row>
    <row r="1346" spans="1:13" x14ac:dyDescent="0.25">
      <c r="A1346" s="23">
        <f t="shared" si="68"/>
        <v>152123</v>
      </c>
      <c r="B1346" s="14" t="str">
        <f t="shared" ref="B1346:B1409" si="69">IF(AND(E1346="BILL",F1346&lt;0),"Billing &amp; Direct Debit - Refunds",(IF(AND(E1346="BILL",F1346&gt;0),"Billing - Credits (from TPA)",(IF(AND(E1346="CC",F1346&lt;0),"Credit Cards (UMB) - Refunds",(IF(AND(E1346="CC",F1346&gt;0),"Credit Cards (UMB) - Credits",(IF(AND(E1346="ACH",F1346&gt;0),"Direct Debit (UMB Bank) - Credits","Direct Debit (UMB Bank) - Returned Items")))))))))</f>
        <v>Billing - Credits (from TPA)</v>
      </c>
      <c r="C1346" s="38">
        <v>46168</v>
      </c>
      <c r="D1346" s="34">
        <v>152123</v>
      </c>
      <c r="E1346" s="36" t="str">
        <f>IF(Table3[[#This Row],[Type Received]]=2,"CC",(IF(Table3[[#This Row],[Type Received]]=3,"BILL","ACH")))</f>
        <v>BILL</v>
      </c>
      <c r="F1346" s="35">
        <v>36.93</v>
      </c>
      <c r="G1346" s="14" t="str">
        <f>VLOOKUP(D1346,Table4[],3,FALSE)</f>
        <v>2</v>
      </c>
      <c r="H1346" s="15"/>
      <c r="I1346" s="15"/>
      <c r="J1346" s="15" t="s">
        <v>110</v>
      </c>
      <c r="K1346" s="15">
        <v>828277109</v>
      </c>
      <c r="L1346" s="15" t="s">
        <v>29</v>
      </c>
      <c r="M1346" s="15" t="s">
        <v>29</v>
      </c>
    </row>
    <row r="1347" spans="1:13" x14ac:dyDescent="0.25">
      <c r="A1347" s="23">
        <f t="shared" si="68"/>
        <v>152129</v>
      </c>
      <c r="B1347" s="14" t="str">
        <f t="shared" si="69"/>
        <v>Billing - Credits (from TPA)</v>
      </c>
      <c r="C1347" s="37">
        <v>46143</v>
      </c>
      <c r="D1347" s="31">
        <v>152129</v>
      </c>
      <c r="E1347" s="33" t="str">
        <f>IF(Table3[[#This Row],[Type Received]]=2,"CC",(IF(Table3[[#This Row],[Type Received]]=3,"BILL","ACH")))</f>
        <v>BILL</v>
      </c>
      <c r="F1347" s="32">
        <v>22</v>
      </c>
      <c r="G1347" s="14" t="str">
        <f>VLOOKUP(D1347,Table4[],3,FALSE)</f>
        <v>2</v>
      </c>
      <c r="H1347" s="15">
        <v>4973</v>
      </c>
      <c r="I1347" s="15"/>
      <c r="J1347" s="24"/>
      <c r="K1347" s="15"/>
      <c r="L1347" s="15"/>
      <c r="M1347" s="15" t="s">
        <v>29</v>
      </c>
    </row>
    <row r="1348" spans="1:13" x14ac:dyDescent="0.25">
      <c r="A1348" s="23">
        <f t="shared" si="68"/>
        <v>151852</v>
      </c>
      <c r="B1348" s="14" t="str">
        <f t="shared" si="69"/>
        <v>Billing - Credits (from TPA)</v>
      </c>
      <c r="C1348" s="38">
        <v>46147</v>
      </c>
      <c r="D1348" s="34">
        <v>151852</v>
      </c>
      <c r="E1348" s="36" t="str">
        <f>IF(Table3[[#This Row],[Type Received]]=2,"CC",(IF(Table3[[#This Row],[Type Received]]=3,"BILL","ACH")))</f>
        <v>BILL</v>
      </c>
      <c r="F1348" s="35">
        <v>67.36</v>
      </c>
      <c r="G1348" s="14" t="str">
        <f>VLOOKUP(D1348,Table4[],3,FALSE)</f>
        <v>2</v>
      </c>
      <c r="H1348" s="15">
        <v>6761</v>
      </c>
      <c r="I1348" s="15"/>
      <c r="J1348" s="15"/>
      <c r="K1348" s="15"/>
      <c r="L1348" s="15"/>
      <c r="M1348" s="15" t="s">
        <v>29</v>
      </c>
    </row>
    <row r="1349" spans="1:13" x14ac:dyDescent="0.25">
      <c r="A1349" s="23">
        <f t="shared" ref="A1349:A1380" si="70">D1349</f>
        <v>151932</v>
      </c>
      <c r="B1349" s="14" t="str">
        <f t="shared" si="69"/>
        <v>Direct Debit (UMB Bank) - Credits</v>
      </c>
      <c r="C1349" s="37">
        <v>46150</v>
      </c>
      <c r="D1349" s="31">
        <v>151932</v>
      </c>
      <c r="E1349" s="33" t="str">
        <f>IF(Table3[[#This Row],[Type Received]]=2,"CC",(IF(Table3[[#This Row],[Type Received]]=3,"BILL","ACH")))</f>
        <v>ACH</v>
      </c>
      <c r="F1349" s="32">
        <v>81.42</v>
      </c>
      <c r="G1349" s="14" t="str">
        <f>VLOOKUP(D1349,Table4[],3,FALSE)</f>
        <v>1</v>
      </c>
      <c r="H1349" s="15">
        <v>9931</v>
      </c>
      <c r="I1349" s="15"/>
      <c r="J1349" s="15"/>
      <c r="K1349" s="15"/>
      <c r="L1349" s="15"/>
      <c r="M1349" s="15" t="s">
        <v>29</v>
      </c>
    </row>
    <row r="1350" spans="1:13" x14ac:dyDescent="0.25">
      <c r="A1350" s="23">
        <f t="shared" si="70"/>
        <v>151939</v>
      </c>
      <c r="B1350" s="14" t="str">
        <f t="shared" si="69"/>
        <v>Credit Cards (UMB) - Credits</v>
      </c>
      <c r="C1350" s="38">
        <v>46157</v>
      </c>
      <c r="D1350" s="34">
        <v>151939</v>
      </c>
      <c r="E1350" s="36" t="str">
        <f>IF(Table3[[#This Row],[Type Received]]=2,"CC",(IF(Table3[[#This Row],[Type Received]]=3,"BILL","ACH")))</f>
        <v>CC</v>
      </c>
      <c r="F1350" s="35">
        <v>4.96</v>
      </c>
      <c r="G1350" s="14" t="str">
        <f>VLOOKUP(D1350,Table4[],3,FALSE)</f>
        <v>1</v>
      </c>
      <c r="H1350" s="15"/>
      <c r="I1350" s="15"/>
      <c r="J1350" s="15" t="s">
        <v>87</v>
      </c>
      <c r="K1350" s="15">
        <v>696701558</v>
      </c>
      <c r="L1350" s="15" t="s">
        <v>29</v>
      </c>
      <c r="M1350" s="15"/>
    </row>
    <row r="1351" spans="1:13" x14ac:dyDescent="0.25">
      <c r="A1351" s="23">
        <f t="shared" si="70"/>
        <v>151989</v>
      </c>
      <c r="B1351" s="14" t="str">
        <f t="shared" si="69"/>
        <v>Credit Cards (UMB) - Credits</v>
      </c>
      <c r="C1351" s="37">
        <v>46146</v>
      </c>
      <c r="D1351" s="31">
        <v>151989</v>
      </c>
      <c r="E1351" s="33" t="str">
        <f>IF(Table3[[#This Row],[Type Received]]=2,"CC",(IF(Table3[[#This Row],[Type Received]]=3,"BILL","ACH")))</f>
        <v>CC</v>
      </c>
      <c r="F1351" s="32">
        <v>18.489999999999998</v>
      </c>
      <c r="G1351" s="14" t="str">
        <f>VLOOKUP(D1351,Table4[],3,FALSE)</f>
        <v>1</v>
      </c>
      <c r="H1351" s="15"/>
      <c r="I1351" s="15">
        <v>1222</v>
      </c>
      <c r="J1351" s="15" t="s">
        <v>28</v>
      </c>
      <c r="K1351" s="15">
        <v>556624569</v>
      </c>
      <c r="L1351" s="15" t="s">
        <v>29</v>
      </c>
      <c r="M1351" s="15" t="s">
        <v>29</v>
      </c>
    </row>
    <row r="1352" spans="1:13" x14ac:dyDescent="0.25">
      <c r="A1352" s="23">
        <f t="shared" si="70"/>
        <v>152274</v>
      </c>
      <c r="B1352" s="14" t="str">
        <f t="shared" si="69"/>
        <v>Direct Debit (UMB Bank) - Credits</v>
      </c>
      <c r="C1352" s="38">
        <v>46168</v>
      </c>
      <c r="D1352" s="34">
        <v>152274</v>
      </c>
      <c r="E1352" s="36" t="str">
        <f>IF(Table3[[#This Row],[Type Received]]=2,"CC",(IF(Table3[[#This Row],[Type Received]]=3,"BILL","ACH")))</f>
        <v>ACH</v>
      </c>
      <c r="F1352" s="35">
        <v>11.55</v>
      </c>
      <c r="G1352" s="14" t="str">
        <f>VLOOKUP(D1352,Table4[],3,FALSE)</f>
        <v>2</v>
      </c>
      <c r="H1352" s="15"/>
      <c r="I1352" s="15" t="s">
        <v>215</v>
      </c>
      <c r="J1352" s="15" t="s">
        <v>28</v>
      </c>
      <c r="K1352" s="15">
        <v>828267475</v>
      </c>
      <c r="L1352" s="15" t="s">
        <v>29</v>
      </c>
      <c r="M1352" s="15" t="s">
        <v>29</v>
      </c>
    </row>
    <row r="1353" spans="1:13" x14ac:dyDescent="0.25">
      <c r="A1353" s="23">
        <f t="shared" si="70"/>
        <v>152304</v>
      </c>
      <c r="B1353" s="14" t="str">
        <f t="shared" si="69"/>
        <v>Direct Debit (UMB Bank) - Credits</v>
      </c>
      <c r="C1353" s="37">
        <v>46157</v>
      </c>
      <c r="D1353" s="31">
        <v>152304</v>
      </c>
      <c r="E1353" s="33" t="str">
        <f>IF(Table3[[#This Row],[Type Received]]=2,"CC",(IF(Table3[[#This Row],[Type Received]]=3,"BILL","ACH")))</f>
        <v>ACH</v>
      </c>
      <c r="F1353" s="32">
        <v>8.52</v>
      </c>
      <c r="G1353" s="14" t="str">
        <f>VLOOKUP(D1353,Table4[],3,FALSE)</f>
        <v>2</v>
      </c>
      <c r="H1353" s="15"/>
      <c r="I1353" s="15"/>
      <c r="J1353" s="15" t="s">
        <v>87</v>
      </c>
      <c r="K1353" s="15">
        <v>696692017</v>
      </c>
      <c r="L1353" s="15" t="s">
        <v>29</v>
      </c>
      <c r="M1353" s="15"/>
    </row>
    <row r="1354" spans="1:13" x14ac:dyDescent="0.25">
      <c r="A1354" s="23">
        <f t="shared" si="70"/>
        <v>152310</v>
      </c>
      <c r="B1354" s="14" t="str">
        <f t="shared" si="69"/>
        <v>Direct Debit (UMB Bank) - Credits</v>
      </c>
      <c r="C1354" s="38">
        <v>46143</v>
      </c>
      <c r="D1354" s="34">
        <v>152310</v>
      </c>
      <c r="E1354" s="36" t="str">
        <f>IF(Table3[[#This Row],[Type Received]]=2,"CC",(IF(Table3[[#This Row],[Type Received]]=3,"BILL","ACH")))</f>
        <v>ACH</v>
      </c>
      <c r="F1354" s="35">
        <v>34.229999999999997</v>
      </c>
      <c r="G1354" s="14" t="str">
        <f>VLOOKUP(D1354,Table4[],3,FALSE)</f>
        <v>2</v>
      </c>
      <c r="H1354" s="15"/>
      <c r="I1354" s="15"/>
      <c r="J1354" s="24" t="s">
        <v>84</v>
      </c>
      <c r="K1354" s="15">
        <v>522311214</v>
      </c>
      <c r="L1354" s="15" t="s">
        <v>29</v>
      </c>
      <c r="M1354" s="15" t="s">
        <v>29</v>
      </c>
    </row>
    <row r="1355" spans="1:13" x14ac:dyDescent="0.25">
      <c r="A1355" s="23">
        <f t="shared" si="70"/>
        <v>152472</v>
      </c>
      <c r="B1355" s="14" t="str">
        <f t="shared" si="69"/>
        <v>Billing - Credits (from TPA)</v>
      </c>
      <c r="C1355" s="37">
        <v>46157</v>
      </c>
      <c r="D1355" s="31">
        <v>152472</v>
      </c>
      <c r="E1355" s="33" t="str">
        <f>IF(Table3[[#This Row],[Type Received]]=2,"CC",(IF(Table3[[#This Row],[Type Received]]=3,"BILL","ACH")))</f>
        <v>BILL</v>
      </c>
      <c r="F1355" s="32">
        <v>16.68</v>
      </c>
      <c r="G1355" s="14" t="str">
        <f>VLOOKUP(D1355,Table4[],3,FALSE)</f>
        <v>2</v>
      </c>
      <c r="H1355" s="15"/>
      <c r="I1355" s="15"/>
      <c r="J1355" s="15" t="s">
        <v>87</v>
      </c>
      <c r="K1355" s="15">
        <v>696693933</v>
      </c>
      <c r="L1355" s="15" t="s">
        <v>29</v>
      </c>
      <c r="M1355" s="15" t="s">
        <v>29</v>
      </c>
    </row>
    <row r="1356" spans="1:13" x14ac:dyDescent="0.25">
      <c r="A1356" s="23">
        <f t="shared" si="70"/>
        <v>152581</v>
      </c>
      <c r="B1356" s="14" t="str">
        <f t="shared" si="69"/>
        <v>Direct Debit (UMB Bank) - Credits</v>
      </c>
      <c r="C1356" s="38">
        <v>46168</v>
      </c>
      <c r="D1356" s="34">
        <v>152581</v>
      </c>
      <c r="E1356" s="36" t="str">
        <f>IF(Table3[[#This Row],[Type Received]]=2,"CC",(IF(Table3[[#This Row],[Type Received]]=3,"BILL","ACH")))</f>
        <v>ACH</v>
      </c>
      <c r="F1356" s="35">
        <v>18.420000000000002</v>
      </c>
      <c r="G1356" s="14" t="str">
        <f>VLOOKUP(D1356,Table4[],3,FALSE)</f>
        <v>1</v>
      </c>
      <c r="H1356" s="15">
        <v>9239</v>
      </c>
      <c r="I1356" s="15"/>
      <c r="J1356" s="24"/>
      <c r="K1356" s="15"/>
      <c r="L1356" s="15"/>
      <c r="M1356" s="15" t="s">
        <v>29</v>
      </c>
    </row>
    <row r="1357" spans="1:13" x14ac:dyDescent="0.25">
      <c r="A1357" s="23">
        <f t="shared" si="70"/>
        <v>152662</v>
      </c>
      <c r="B1357" s="14" t="str">
        <f t="shared" si="69"/>
        <v>Direct Debit (UMB Bank) - Credits</v>
      </c>
      <c r="C1357" s="37">
        <v>46157</v>
      </c>
      <c r="D1357" s="31">
        <v>152662</v>
      </c>
      <c r="E1357" s="33" t="str">
        <f>IF(Table3[[#This Row],[Type Received]]=2,"CC",(IF(Table3[[#This Row],[Type Received]]=3,"BILL","ACH")))</f>
        <v>ACH</v>
      </c>
      <c r="F1357" s="32">
        <v>14.25</v>
      </c>
      <c r="G1357" s="14" t="str">
        <f>VLOOKUP(D1357,Table4[],3,FALSE)</f>
        <v>1</v>
      </c>
      <c r="H1357" s="15"/>
      <c r="I1357" s="15"/>
      <c r="J1357" s="15" t="s">
        <v>87</v>
      </c>
      <c r="K1357" s="15">
        <v>696710446</v>
      </c>
      <c r="L1357" s="15" t="s">
        <v>29</v>
      </c>
      <c r="M1357" s="15" t="s">
        <v>29</v>
      </c>
    </row>
    <row r="1358" spans="1:13" x14ac:dyDescent="0.25">
      <c r="A1358" s="23">
        <f t="shared" si="70"/>
        <v>152886</v>
      </c>
      <c r="B1358" s="14" t="str">
        <f t="shared" si="69"/>
        <v>Direct Debit (UMB Bank) - Credits</v>
      </c>
      <c r="C1358" s="38">
        <v>46157</v>
      </c>
      <c r="D1358" s="34">
        <v>152886</v>
      </c>
      <c r="E1358" s="36" t="str">
        <f>IF(Table3[[#This Row],[Type Received]]=2,"CC",(IF(Table3[[#This Row],[Type Received]]=3,"BILL","ACH")))</f>
        <v>ACH</v>
      </c>
      <c r="F1358" s="35">
        <v>15.33</v>
      </c>
      <c r="G1358" s="14" t="str">
        <f>VLOOKUP(D1358,Table4[],3,FALSE)</f>
        <v>2</v>
      </c>
      <c r="H1358" s="15"/>
      <c r="I1358" s="15"/>
      <c r="J1358" s="15" t="s">
        <v>87</v>
      </c>
      <c r="K1358" s="15">
        <v>696701607</v>
      </c>
      <c r="L1358" s="15" t="s">
        <v>29</v>
      </c>
      <c r="M1358" s="15"/>
    </row>
    <row r="1359" spans="1:13" x14ac:dyDescent="0.25">
      <c r="A1359" s="23">
        <f t="shared" si="70"/>
        <v>152902</v>
      </c>
      <c r="B1359" s="14" t="str">
        <f t="shared" si="69"/>
        <v>Direct Debit (UMB Bank) - Credits</v>
      </c>
      <c r="C1359" s="37">
        <v>46145</v>
      </c>
      <c r="D1359" s="31">
        <v>152902</v>
      </c>
      <c r="E1359" s="33" t="str">
        <f>IF(Table3[[#This Row],[Type Received]]=2,"CC",(IF(Table3[[#This Row],[Type Received]]=3,"BILL","ACH")))</f>
        <v>ACH</v>
      </c>
      <c r="F1359" s="32">
        <v>9.39</v>
      </c>
      <c r="G1359" s="14" t="str">
        <f>VLOOKUP(D1359,Table4[],3,FALSE)</f>
        <v>1</v>
      </c>
      <c r="H1359" s="15"/>
      <c r="I1359" s="15"/>
      <c r="J1359" s="15" t="s">
        <v>113</v>
      </c>
      <c r="K1359" s="15">
        <v>546411563</v>
      </c>
      <c r="L1359" s="15" t="s">
        <v>29</v>
      </c>
      <c r="M1359" s="15" t="s">
        <v>29</v>
      </c>
    </row>
    <row r="1360" spans="1:13" x14ac:dyDescent="0.25">
      <c r="A1360" s="23">
        <f t="shared" si="70"/>
        <v>152912</v>
      </c>
      <c r="B1360" s="14" t="str">
        <f t="shared" si="69"/>
        <v>Direct Debit (UMB Bank) - Credits</v>
      </c>
      <c r="C1360" s="38">
        <v>46157</v>
      </c>
      <c r="D1360" s="34">
        <v>152912</v>
      </c>
      <c r="E1360" s="36" t="str">
        <f>IF(Table3[[#This Row],[Type Received]]=2,"CC",(IF(Table3[[#This Row],[Type Received]]=3,"BILL","ACH")))</f>
        <v>ACH</v>
      </c>
      <c r="F1360" s="35">
        <v>6.94</v>
      </c>
      <c r="G1360" s="14" t="str">
        <f>VLOOKUP(D1360,Table4[],3,FALSE)</f>
        <v>1</v>
      </c>
      <c r="H1360" s="15"/>
      <c r="I1360" s="15"/>
      <c r="J1360" s="24" t="s">
        <v>87</v>
      </c>
      <c r="K1360" s="15">
        <v>696702621</v>
      </c>
      <c r="L1360" s="15" t="s">
        <v>29</v>
      </c>
      <c r="M1360" s="15"/>
    </row>
    <row r="1361" spans="1:13" x14ac:dyDescent="0.25">
      <c r="A1361" s="23">
        <f t="shared" si="70"/>
        <v>152923</v>
      </c>
      <c r="B1361" s="14" t="str">
        <f t="shared" si="69"/>
        <v>Direct Debit (UMB Bank) - Credits</v>
      </c>
      <c r="C1361" s="37">
        <v>46168</v>
      </c>
      <c r="D1361" s="31">
        <v>152923</v>
      </c>
      <c r="E1361" s="33" t="str">
        <f>IF(Table3[[#This Row],[Type Received]]=2,"CC",(IF(Table3[[#This Row],[Type Received]]=3,"BILL","ACH")))</f>
        <v>ACH</v>
      </c>
      <c r="F1361" s="32">
        <v>16.97</v>
      </c>
      <c r="G1361" s="14" t="str">
        <f>VLOOKUP(D1361,Table4[],3,FALSE)</f>
        <v>2</v>
      </c>
      <c r="H1361" s="15"/>
      <c r="I1361" s="15"/>
      <c r="J1361" s="15" t="s">
        <v>110</v>
      </c>
      <c r="K1361" s="15">
        <v>828277153</v>
      </c>
      <c r="L1361" s="15" t="s">
        <v>29</v>
      </c>
      <c r="M1361" s="15" t="s">
        <v>29</v>
      </c>
    </row>
    <row r="1362" spans="1:13" x14ac:dyDescent="0.25">
      <c r="A1362" s="23">
        <f t="shared" si="70"/>
        <v>152988</v>
      </c>
      <c r="B1362" s="14" t="str">
        <f t="shared" si="69"/>
        <v>Direct Debit (UMB Bank) - Credits</v>
      </c>
      <c r="C1362" s="38">
        <v>46168</v>
      </c>
      <c r="D1362" s="34">
        <v>152988</v>
      </c>
      <c r="E1362" s="36" t="str">
        <f>IF(Table3[[#This Row],[Type Received]]=2,"CC",(IF(Table3[[#This Row],[Type Received]]=3,"BILL","ACH")))</f>
        <v>ACH</v>
      </c>
      <c r="F1362" s="35">
        <v>6.07</v>
      </c>
      <c r="G1362" s="14" t="str">
        <f>VLOOKUP(D1362,Table4[],3,FALSE)</f>
        <v>2</v>
      </c>
      <c r="H1362" s="15"/>
      <c r="I1362" s="15"/>
      <c r="J1362" s="15" t="s">
        <v>110</v>
      </c>
      <c r="K1362" s="15">
        <v>828260589</v>
      </c>
      <c r="L1362" s="15" t="s">
        <v>29</v>
      </c>
      <c r="M1362" s="15" t="s">
        <v>29</v>
      </c>
    </row>
    <row r="1363" spans="1:13" x14ac:dyDescent="0.25">
      <c r="A1363" s="23">
        <f t="shared" si="70"/>
        <v>153234</v>
      </c>
      <c r="B1363" s="14" t="str">
        <f t="shared" si="69"/>
        <v>Direct Debit (UMB Bank) - Credits</v>
      </c>
      <c r="C1363" s="37">
        <v>46143</v>
      </c>
      <c r="D1363" s="31">
        <v>153234</v>
      </c>
      <c r="E1363" s="33" t="str">
        <f>IF(Table3[[#This Row],[Type Received]]=2,"CC",(IF(Table3[[#This Row],[Type Received]]=3,"BILL","ACH")))</f>
        <v>ACH</v>
      </c>
      <c r="F1363" s="32">
        <v>5.89</v>
      </c>
      <c r="G1363" s="14" t="str">
        <f>VLOOKUP(D1363,Table4[],3,FALSE)</f>
        <v>1</v>
      </c>
      <c r="H1363" s="15"/>
      <c r="I1363" s="15"/>
      <c r="J1363" s="15" t="s">
        <v>84</v>
      </c>
      <c r="K1363" s="15">
        <v>522317128</v>
      </c>
      <c r="L1363" s="15" t="s">
        <v>29</v>
      </c>
      <c r="M1363" s="15"/>
    </row>
    <row r="1364" spans="1:13" x14ac:dyDescent="0.25">
      <c r="A1364" s="23">
        <f t="shared" si="70"/>
        <v>153254</v>
      </c>
      <c r="B1364" s="14" t="str">
        <f t="shared" si="69"/>
        <v>Direct Debit (UMB Bank) - Credits</v>
      </c>
      <c r="C1364" s="38">
        <v>46169</v>
      </c>
      <c r="D1364" s="34">
        <v>153254</v>
      </c>
      <c r="E1364" s="36" t="str">
        <f>IF(Table3[[#This Row],[Type Received]]=2,"CC",(IF(Table3[[#This Row],[Type Received]]=3,"BILL","ACH")))</f>
        <v>ACH</v>
      </c>
      <c r="F1364" s="35">
        <v>54.39</v>
      </c>
      <c r="G1364" s="14" t="str">
        <f>VLOOKUP(D1364,Table4[],3,FALSE)</f>
        <v>1</v>
      </c>
      <c r="H1364" s="15"/>
      <c r="I1364" s="15"/>
      <c r="J1364" s="15" t="s">
        <v>117</v>
      </c>
      <c r="K1364" s="15">
        <v>840844302</v>
      </c>
      <c r="L1364" s="15" t="s">
        <v>29</v>
      </c>
      <c r="M1364" s="15" t="s">
        <v>29</v>
      </c>
    </row>
    <row r="1365" spans="1:13" x14ac:dyDescent="0.25">
      <c r="A1365" s="23">
        <f t="shared" si="70"/>
        <v>153324</v>
      </c>
      <c r="B1365" s="14" t="str">
        <f t="shared" si="69"/>
        <v>Billing - Credits (from TPA)</v>
      </c>
      <c r="C1365" s="37">
        <v>46156</v>
      </c>
      <c r="D1365" s="31">
        <v>153324</v>
      </c>
      <c r="E1365" s="33" t="str">
        <f>IF(Table3[[#This Row],[Type Received]]=2,"CC",(IF(Table3[[#This Row],[Type Received]]=3,"BILL","ACH")))</f>
        <v>BILL</v>
      </c>
      <c r="F1365" s="32">
        <v>29.01</v>
      </c>
      <c r="G1365" s="14" t="str">
        <f>VLOOKUP(D1365,Table4[],3,FALSE)</f>
        <v>1</v>
      </c>
      <c r="H1365" s="15"/>
      <c r="I1365" s="15"/>
      <c r="J1365" s="15" t="s">
        <v>93</v>
      </c>
      <c r="K1365" s="15">
        <v>682526663</v>
      </c>
      <c r="L1365" s="15" t="s">
        <v>29</v>
      </c>
      <c r="M1365" s="15" t="s">
        <v>29</v>
      </c>
    </row>
    <row r="1366" spans="1:13" x14ac:dyDescent="0.25">
      <c r="A1366" s="23">
        <f t="shared" si="70"/>
        <v>153357</v>
      </c>
      <c r="B1366" s="14" t="str">
        <f t="shared" si="69"/>
        <v>Credit Cards (UMB) - Credits</v>
      </c>
      <c r="C1366" s="38">
        <v>46169</v>
      </c>
      <c r="D1366" s="34">
        <v>153357</v>
      </c>
      <c r="E1366" s="36" t="str">
        <f>IF(Table3[[#This Row],[Type Received]]=2,"CC",(IF(Table3[[#This Row],[Type Received]]=3,"BILL","ACH")))</f>
        <v>CC</v>
      </c>
      <c r="F1366" s="35">
        <v>32.200000000000003</v>
      </c>
      <c r="G1366" s="14" t="str">
        <f>VLOOKUP(D1366,Table4[],3,FALSE)</f>
        <v>2</v>
      </c>
      <c r="H1366" s="15">
        <v>19827596744</v>
      </c>
      <c r="I1366" s="15"/>
      <c r="J1366" s="15"/>
      <c r="K1366" s="15"/>
      <c r="L1366" s="15"/>
      <c r="M1366" s="15" t="s">
        <v>29</v>
      </c>
    </row>
    <row r="1367" spans="1:13" x14ac:dyDescent="0.25">
      <c r="A1367" s="23">
        <f t="shared" si="70"/>
        <v>153444</v>
      </c>
      <c r="B1367" s="14" t="str">
        <f t="shared" si="69"/>
        <v>Direct Debit (UMB Bank) - Credits</v>
      </c>
      <c r="C1367" s="37">
        <v>46161</v>
      </c>
      <c r="D1367" s="31">
        <v>153444</v>
      </c>
      <c r="E1367" s="33" t="str">
        <f>IF(Table3[[#This Row],[Type Received]]=2,"CC",(IF(Table3[[#This Row],[Type Received]]=3,"BILL","ACH")))</f>
        <v>ACH</v>
      </c>
      <c r="F1367" s="32">
        <v>1106.9000000000001</v>
      </c>
      <c r="G1367" s="14" t="str">
        <f>VLOOKUP(D1367,Table4[],3,FALSE)</f>
        <v>2</v>
      </c>
      <c r="H1367" s="15"/>
      <c r="I1367" s="15"/>
      <c r="J1367" s="15"/>
      <c r="K1367" s="15"/>
      <c r="L1367" s="15"/>
      <c r="M1367" s="15" t="s">
        <v>29</v>
      </c>
    </row>
    <row r="1368" spans="1:13" x14ac:dyDescent="0.25">
      <c r="A1368" s="23">
        <f t="shared" si="70"/>
        <v>153576</v>
      </c>
      <c r="B1368" s="14" t="str">
        <f t="shared" si="69"/>
        <v>Direct Debit (UMB Bank) - Credits</v>
      </c>
      <c r="C1368" s="38">
        <v>46157</v>
      </c>
      <c r="D1368" s="34">
        <v>153576</v>
      </c>
      <c r="E1368" s="36" t="str">
        <f>IF(Table3[[#This Row],[Type Received]]=2,"CC",(IF(Table3[[#This Row],[Type Received]]=3,"BILL","ACH")))</f>
        <v>ACH</v>
      </c>
      <c r="F1368" s="35">
        <v>13.53</v>
      </c>
      <c r="G1368" s="14" t="str">
        <f>VLOOKUP(D1368,Table4[],3,FALSE)</f>
        <v>1</v>
      </c>
      <c r="H1368" s="15"/>
      <c r="I1368" s="15"/>
      <c r="J1368" s="15" t="s">
        <v>87</v>
      </c>
      <c r="K1368" s="15">
        <v>696705562</v>
      </c>
      <c r="L1368" s="15" t="s">
        <v>29</v>
      </c>
      <c r="M1368" s="15"/>
    </row>
    <row r="1369" spans="1:13" x14ac:dyDescent="0.25">
      <c r="A1369" s="23">
        <f t="shared" si="70"/>
        <v>153589</v>
      </c>
      <c r="B1369" s="14" t="str">
        <f t="shared" si="69"/>
        <v>Billing - Credits (from TPA)</v>
      </c>
      <c r="C1369" s="37">
        <v>46143</v>
      </c>
      <c r="D1369" s="31">
        <v>153589</v>
      </c>
      <c r="E1369" s="33" t="str">
        <f>IF(Table3[[#This Row],[Type Received]]=2,"CC",(IF(Table3[[#This Row],[Type Received]]=3,"BILL","ACH")))</f>
        <v>BILL</v>
      </c>
      <c r="F1369" s="32">
        <v>8.99</v>
      </c>
      <c r="G1369" s="14" t="str">
        <f>VLOOKUP(D1369,Table4[],3,FALSE)</f>
        <v>1</v>
      </c>
      <c r="H1369" s="15"/>
      <c r="I1369" s="15"/>
      <c r="J1369" s="15" t="s">
        <v>84</v>
      </c>
      <c r="K1369" s="15">
        <v>522291005</v>
      </c>
      <c r="L1369" s="15" t="s">
        <v>29</v>
      </c>
      <c r="M1369" s="15" t="s">
        <v>29</v>
      </c>
    </row>
    <row r="1370" spans="1:13" x14ac:dyDescent="0.25">
      <c r="A1370" s="23">
        <f t="shared" si="70"/>
        <v>153859</v>
      </c>
      <c r="B1370" s="14" t="str">
        <f t="shared" si="69"/>
        <v>Direct Debit (UMB Bank) - Credits</v>
      </c>
      <c r="C1370" s="38">
        <v>46146</v>
      </c>
      <c r="D1370" s="34">
        <v>153859</v>
      </c>
      <c r="E1370" s="36" t="str">
        <f>IF(Table3[[#This Row],[Type Received]]=2,"CC",(IF(Table3[[#This Row],[Type Received]]=3,"BILL","ACH")))</f>
        <v>ACH</v>
      </c>
      <c r="F1370" s="35">
        <v>29.17</v>
      </c>
      <c r="G1370" s="14" t="str">
        <f>VLOOKUP(D1370,Table4[],3,FALSE)</f>
        <v>2</v>
      </c>
      <c r="H1370" s="15">
        <v>5065</v>
      </c>
      <c r="I1370" s="15"/>
      <c r="J1370" s="15"/>
      <c r="K1370" s="15"/>
      <c r="L1370" s="15"/>
      <c r="M1370" s="15" t="s">
        <v>29</v>
      </c>
    </row>
    <row r="1371" spans="1:13" x14ac:dyDescent="0.25">
      <c r="A1371" s="23">
        <f t="shared" si="70"/>
        <v>153972</v>
      </c>
      <c r="B1371" s="14" t="str">
        <f t="shared" si="69"/>
        <v>Direct Debit (UMB Bank) - Credits</v>
      </c>
      <c r="C1371" s="37">
        <v>46143</v>
      </c>
      <c r="D1371" s="31">
        <v>153972</v>
      </c>
      <c r="E1371" s="33" t="str">
        <f>IF(Table3[[#This Row],[Type Received]]=2,"CC",(IF(Table3[[#This Row],[Type Received]]=3,"BILL","ACH")))</f>
        <v>ACH</v>
      </c>
      <c r="F1371" s="32">
        <v>24.51</v>
      </c>
      <c r="G1371" s="14" t="str">
        <f>VLOOKUP(D1371,Table4[],3,FALSE)</f>
        <v>2</v>
      </c>
      <c r="H1371" s="15"/>
      <c r="I1371" s="15"/>
      <c r="J1371" s="15" t="s">
        <v>84</v>
      </c>
      <c r="K1371" s="15">
        <v>522291022</v>
      </c>
      <c r="L1371" s="15" t="s">
        <v>29</v>
      </c>
      <c r="M1371" s="15" t="s">
        <v>29</v>
      </c>
    </row>
    <row r="1372" spans="1:13" x14ac:dyDescent="0.25">
      <c r="A1372" s="23">
        <f t="shared" si="70"/>
        <v>153998</v>
      </c>
      <c r="B1372" s="14" t="str">
        <f t="shared" si="69"/>
        <v>Credit Cards (UMB) - Credits</v>
      </c>
      <c r="C1372" s="38">
        <v>46150</v>
      </c>
      <c r="D1372" s="34">
        <v>153998</v>
      </c>
      <c r="E1372" s="36" t="str">
        <f>IF(Table3[[#This Row],[Type Received]]=2,"CC",(IF(Table3[[#This Row],[Type Received]]=3,"BILL","ACH")))</f>
        <v>CC</v>
      </c>
      <c r="F1372" s="35">
        <v>13.98</v>
      </c>
      <c r="G1372" s="14" t="str">
        <f>VLOOKUP(D1372,Table4[],3,FALSE)</f>
        <v>2</v>
      </c>
      <c r="H1372" s="15"/>
      <c r="I1372" s="15"/>
      <c r="J1372" s="24" t="s">
        <v>104</v>
      </c>
      <c r="K1372" s="15">
        <v>608159808</v>
      </c>
      <c r="L1372" s="15" t="s">
        <v>29</v>
      </c>
      <c r="M1372" s="15" t="s">
        <v>29</v>
      </c>
    </row>
    <row r="1373" spans="1:13" x14ac:dyDescent="0.25">
      <c r="A1373" s="23">
        <f t="shared" si="70"/>
        <v>153612</v>
      </c>
      <c r="B1373" s="14" t="str">
        <f t="shared" si="69"/>
        <v>Billing - Credits (from TPA)</v>
      </c>
      <c r="C1373" s="37">
        <v>46155</v>
      </c>
      <c r="D1373" s="31">
        <v>153612</v>
      </c>
      <c r="E1373" s="33" t="str">
        <f>IF(Table3[[#This Row],[Type Received]]=2,"CC",(IF(Table3[[#This Row],[Type Received]]=3,"BILL","ACH")))</f>
        <v>BILL</v>
      </c>
      <c r="F1373" s="32">
        <v>90.21</v>
      </c>
      <c r="G1373" s="14" t="str">
        <f>VLOOKUP(D1373,Table4[],3,FALSE)</f>
        <v>1</v>
      </c>
      <c r="H1373" s="15"/>
      <c r="I1373" s="15">
        <v>150444</v>
      </c>
      <c r="J1373" s="15" t="s">
        <v>28</v>
      </c>
      <c r="K1373" s="15">
        <v>669474076</v>
      </c>
      <c r="L1373" s="15" t="s">
        <v>29</v>
      </c>
      <c r="M1373" s="15" t="s">
        <v>29</v>
      </c>
    </row>
    <row r="1374" spans="1:13" x14ac:dyDescent="0.25">
      <c r="A1374" s="23">
        <f t="shared" si="70"/>
        <v>153648</v>
      </c>
      <c r="B1374" s="14" t="str">
        <f t="shared" si="69"/>
        <v>Direct Debit (UMB Bank) - Credits</v>
      </c>
      <c r="C1374" s="38">
        <v>46146</v>
      </c>
      <c r="D1374" s="34">
        <v>153648</v>
      </c>
      <c r="E1374" s="36" t="str">
        <f>IF(Table3[[#This Row],[Type Received]]=2,"CC",(IF(Table3[[#This Row],[Type Received]]=3,"BILL","ACH")))</f>
        <v>ACH</v>
      </c>
      <c r="F1374" s="35">
        <v>51.85</v>
      </c>
      <c r="G1374" s="14" t="str">
        <f>VLOOKUP(D1374,Table4[],3,FALSE)</f>
        <v>2</v>
      </c>
      <c r="H1374" s="15">
        <v>157775303</v>
      </c>
      <c r="I1374" s="15"/>
      <c r="J1374" s="24"/>
      <c r="K1374" s="15"/>
      <c r="L1374" s="15"/>
      <c r="M1374" s="15" t="s">
        <v>29</v>
      </c>
    </row>
    <row r="1375" spans="1:13" x14ac:dyDescent="0.25">
      <c r="A1375" s="23">
        <f t="shared" si="70"/>
        <v>153671</v>
      </c>
      <c r="B1375" s="14" t="str">
        <f t="shared" si="69"/>
        <v>Direct Debit (UMB Bank) - Credits</v>
      </c>
      <c r="C1375" s="37">
        <v>46157</v>
      </c>
      <c r="D1375" s="31">
        <v>153671</v>
      </c>
      <c r="E1375" s="33" t="str">
        <f>IF(Table3[[#This Row],[Type Received]]=2,"CC",(IF(Table3[[#This Row],[Type Received]]=3,"BILL","ACH")))</f>
        <v>ACH</v>
      </c>
      <c r="F1375" s="32">
        <v>25.86</v>
      </c>
      <c r="G1375" s="14" t="str">
        <f>VLOOKUP(D1375,Table4[],3,FALSE)</f>
        <v>2</v>
      </c>
      <c r="H1375" s="15"/>
      <c r="I1375" s="15"/>
      <c r="J1375" s="15" t="s">
        <v>87</v>
      </c>
      <c r="K1375" s="15">
        <v>696715320</v>
      </c>
      <c r="L1375" s="15" t="s">
        <v>29</v>
      </c>
      <c r="M1375" s="15" t="s">
        <v>29</v>
      </c>
    </row>
    <row r="1376" spans="1:13" x14ac:dyDescent="0.25">
      <c r="A1376" s="23">
        <f t="shared" si="70"/>
        <v>153714</v>
      </c>
      <c r="B1376" s="14" t="str">
        <f t="shared" si="69"/>
        <v>Direct Debit (UMB Bank) - Credits</v>
      </c>
      <c r="C1376" s="38">
        <v>46168</v>
      </c>
      <c r="D1376" s="34">
        <v>153714</v>
      </c>
      <c r="E1376" s="36" t="str">
        <f>IF(Table3[[#This Row],[Type Received]]=2,"CC",(IF(Table3[[#This Row],[Type Received]]=3,"BILL","ACH")))</f>
        <v>ACH</v>
      </c>
      <c r="F1376" s="35">
        <v>9.39</v>
      </c>
      <c r="G1376" s="14" t="str">
        <f>VLOOKUP(D1376,Table4[],3,FALSE)</f>
        <v>1</v>
      </c>
      <c r="H1376" s="15"/>
      <c r="I1376" s="15"/>
      <c r="J1376" s="15" t="s">
        <v>110</v>
      </c>
      <c r="K1376" s="15">
        <v>828269489</v>
      </c>
      <c r="L1376" s="15" t="s">
        <v>29</v>
      </c>
      <c r="M1376" s="15" t="s">
        <v>29</v>
      </c>
    </row>
    <row r="1377" spans="1:13" x14ac:dyDescent="0.25">
      <c r="A1377" s="23">
        <f t="shared" si="70"/>
        <v>153721</v>
      </c>
      <c r="B1377" s="14" t="str">
        <f t="shared" si="69"/>
        <v>Credit Cards (UMB) - Credits</v>
      </c>
      <c r="C1377" s="37">
        <v>46168</v>
      </c>
      <c r="D1377" s="31">
        <v>153721</v>
      </c>
      <c r="E1377" s="33" t="str">
        <f>IF(Table3[[#This Row],[Type Received]]=2,"CC",(IF(Table3[[#This Row],[Type Received]]=3,"BILL","ACH")))</f>
        <v>CC</v>
      </c>
      <c r="F1377" s="32">
        <v>17.760000000000002</v>
      </c>
      <c r="G1377" s="14" t="str">
        <f>VLOOKUP(D1377,Table4[],3,FALSE)</f>
        <v>2</v>
      </c>
      <c r="H1377" s="15"/>
      <c r="I1377" s="15"/>
      <c r="J1377" s="15" t="s">
        <v>110</v>
      </c>
      <c r="K1377" s="15">
        <v>828253043</v>
      </c>
      <c r="L1377" s="15" t="s">
        <v>29</v>
      </c>
      <c r="M1377" s="15" t="s">
        <v>29</v>
      </c>
    </row>
    <row r="1378" spans="1:13" x14ac:dyDescent="0.25">
      <c r="A1378" s="23">
        <f t="shared" si="70"/>
        <v>153739</v>
      </c>
      <c r="B1378" s="14" t="str">
        <f t="shared" si="69"/>
        <v>Direct Debit (UMB Bank) - Credits</v>
      </c>
      <c r="C1378" s="38">
        <v>46155</v>
      </c>
      <c r="D1378" s="34">
        <v>153739</v>
      </c>
      <c r="E1378" s="36" t="str">
        <f>IF(Table3[[#This Row],[Type Received]]=2,"CC",(IF(Table3[[#This Row],[Type Received]]=3,"BILL","ACH")))</f>
        <v>ACH</v>
      </c>
      <c r="F1378" s="35">
        <v>14.34</v>
      </c>
      <c r="G1378" s="14" t="str">
        <f>VLOOKUP(D1378,Table4[],3,FALSE)</f>
        <v>2</v>
      </c>
      <c r="H1378" s="15"/>
      <c r="I1378" s="15" t="s">
        <v>216</v>
      </c>
      <c r="J1378" s="15" t="s">
        <v>28</v>
      </c>
      <c r="K1378" s="15">
        <v>669491426</v>
      </c>
      <c r="L1378" s="15" t="s">
        <v>29</v>
      </c>
      <c r="M1378" s="15" t="s">
        <v>29</v>
      </c>
    </row>
    <row r="1379" spans="1:13" x14ac:dyDescent="0.25">
      <c r="A1379" s="23">
        <f t="shared" si="70"/>
        <v>153740</v>
      </c>
      <c r="B1379" s="14" t="str">
        <f t="shared" si="69"/>
        <v>Direct Debit (UMB Bank) - Credits</v>
      </c>
      <c r="C1379" s="37">
        <v>46157</v>
      </c>
      <c r="D1379" s="31">
        <v>153740</v>
      </c>
      <c r="E1379" s="33" t="str">
        <f>IF(Table3[[#This Row],[Type Received]]=2,"CC",(IF(Table3[[#This Row],[Type Received]]=3,"BILL","ACH")))</f>
        <v>ACH</v>
      </c>
      <c r="F1379" s="32">
        <v>6.07</v>
      </c>
      <c r="G1379" s="14" t="str">
        <f>VLOOKUP(D1379,Table4[],3,FALSE)</f>
        <v>1</v>
      </c>
      <c r="H1379" s="15"/>
      <c r="I1379" s="15"/>
      <c r="J1379" s="15" t="s">
        <v>87</v>
      </c>
      <c r="K1379" s="15">
        <v>696718198</v>
      </c>
      <c r="L1379" s="15" t="s">
        <v>29</v>
      </c>
      <c r="M1379" s="15" t="s">
        <v>29</v>
      </c>
    </row>
    <row r="1380" spans="1:13" x14ac:dyDescent="0.25">
      <c r="A1380" s="23">
        <f t="shared" si="70"/>
        <v>153787</v>
      </c>
      <c r="B1380" s="14" t="str">
        <f t="shared" si="69"/>
        <v>Billing - Credits (from TPA)</v>
      </c>
      <c r="C1380" s="38">
        <v>46157</v>
      </c>
      <c r="D1380" s="34">
        <v>153787</v>
      </c>
      <c r="E1380" s="36" t="str">
        <f>IF(Table3[[#This Row],[Type Received]]=2,"CC",(IF(Table3[[#This Row],[Type Received]]=3,"BILL","ACH")))</f>
        <v>BILL</v>
      </c>
      <c r="F1380" s="35">
        <v>36.39</v>
      </c>
      <c r="G1380" s="14" t="str">
        <f>VLOOKUP(D1380,Table4[],3,FALSE)</f>
        <v>1</v>
      </c>
      <c r="H1380" s="15"/>
      <c r="I1380" s="15"/>
      <c r="J1380" s="15" t="s">
        <v>87</v>
      </c>
      <c r="K1380" s="15">
        <v>696695010</v>
      </c>
      <c r="L1380" s="15" t="s">
        <v>29</v>
      </c>
      <c r="M1380" s="15"/>
    </row>
    <row r="1381" spans="1:13" x14ac:dyDescent="0.25">
      <c r="A1381" s="23">
        <f t="shared" ref="A1381:A1412" si="71">D1381</f>
        <v>154053</v>
      </c>
      <c r="B1381" s="14" t="str">
        <f t="shared" si="69"/>
        <v>Direct Debit (UMB Bank) - Credits</v>
      </c>
      <c r="C1381" s="37">
        <v>46168</v>
      </c>
      <c r="D1381" s="31">
        <v>154053</v>
      </c>
      <c r="E1381" s="33" t="str">
        <f>IF(Table3[[#This Row],[Type Received]]=2,"CC",(IF(Table3[[#This Row],[Type Received]]=3,"BILL","ACH")))</f>
        <v>ACH</v>
      </c>
      <c r="F1381" s="32">
        <v>17.079999999999998</v>
      </c>
      <c r="G1381" s="14" t="str">
        <f>VLOOKUP(D1381,Table4[],3,FALSE)</f>
        <v>2</v>
      </c>
      <c r="H1381" s="15">
        <v>100414</v>
      </c>
      <c r="I1381" s="15"/>
      <c r="J1381" s="15"/>
      <c r="K1381" s="15"/>
      <c r="L1381" s="15"/>
      <c r="M1381" s="15" t="s">
        <v>29</v>
      </c>
    </row>
    <row r="1382" spans="1:13" x14ac:dyDescent="0.25">
      <c r="A1382" s="23">
        <f t="shared" si="71"/>
        <v>154133</v>
      </c>
      <c r="B1382" s="14" t="str">
        <f t="shared" si="69"/>
        <v>Credit Cards (UMB) - Credits</v>
      </c>
      <c r="C1382" s="38">
        <v>46157</v>
      </c>
      <c r="D1382" s="34">
        <v>154133</v>
      </c>
      <c r="E1382" s="36" t="str">
        <f>IF(Table3[[#This Row],[Type Received]]=2,"CC",(IF(Table3[[#This Row],[Type Received]]=3,"BILL","ACH")))</f>
        <v>CC</v>
      </c>
      <c r="F1382" s="35">
        <v>24.15</v>
      </c>
      <c r="G1382" s="14" t="str">
        <f>VLOOKUP(D1382,Table4[],3,FALSE)</f>
        <v>1</v>
      </c>
      <c r="H1382" s="15"/>
      <c r="I1382" s="15"/>
      <c r="J1382" s="15" t="s">
        <v>87</v>
      </c>
      <c r="K1382" s="15">
        <v>696618963</v>
      </c>
      <c r="L1382" s="15" t="s">
        <v>29</v>
      </c>
      <c r="M1382" s="15"/>
    </row>
    <row r="1383" spans="1:13" x14ac:dyDescent="0.25">
      <c r="A1383" s="23">
        <f t="shared" si="71"/>
        <v>154244</v>
      </c>
      <c r="B1383" s="14" t="str">
        <f t="shared" si="69"/>
        <v>Direct Debit (UMB Bank) - Credits</v>
      </c>
      <c r="C1383" s="37">
        <v>46155</v>
      </c>
      <c r="D1383" s="31">
        <v>154244</v>
      </c>
      <c r="E1383" s="33" t="str">
        <f>IF(Table3[[#This Row],[Type Received]]=2,"CC",(IF(Table3[[#This Row],[Type Received]]=3,"BILL","ACH")))</f>
        <v>ACH</v>
      </c>
      <c r="F1383" s="32">
        <v>20.51</v>
      </c>
      <c r="G1383" s="14" t="str">
        <f>VLOOKUP(D1383,Table4[],3,FALSE)</f>
        <v>1</v>
      </c>
      <c r="H1383" s="15"/>
      <c r="I1383" s="15">
        <v>180848</v>
      </c>
      <c r="J1383" s="15" t="s">
        <v>28</v>
      </c>
      <c r="K1383" s="15">
        <v>669478790</v>
      </c>
      <c r="L1383" s="15" t="s">
        <v>29</v>
      </c>
      <c r="M1383" s="15" t="s">
        <v>29</v>
      </c>
    </row>
    <row r="1384" spans="1:13" x14ac:dyDescent="0.25">
      <c r="A1384" s="23">
        <f t="shared" si="71"/>
        <v>154391</v>
      </c>
      <c r="B1384" s="14" t="str">
        <f t="shared" si="69"/>
        <v>Direct Debit (UMB Bank) - Credits</v>
      </c>
      <c r="C1384" s="38">
        <v>46168</v>
      </c>
      <c r="D1384" s="34">
        <v>154391</v>
      </c>
      <c r="E1384" s="36" t="str">
        <f>IF(Table3[[#This Row],[Type Received]]=2,"CC",(IF(Table3[[#This Row],[Type Received]]=3,"BILL","ACH")))</f>
        <v>ACH</v>
      </c>
      <c r="F1384" s="35">
        <v>9.17</v>
      </c>
      <c r="G1384" s="14" t="str">
        <f>VLOOKUP(D1384,Table4[],3,FALSE)</f>
        <v>1</v>
      </c>
      <c r="H1384" s="15"/>
      <c r="I1384" s="15"/>
      <c r="J1384" s="24" t="s">
        <v>110</v>
      </c>
      <c r="K1384" s="15">
        <v>828273496</v>
      </c>
      <c r="L1384" s="15" t="s">
        <v>29</v>
      </c>
      <c r="M1384" s="15" t="s">
        <v>29</v>
      </c>
    </row>
    <row r="1385" spans="1:13" x14ac:dyDescent="0.25">
      <c r="A1385" s="23">
        <f t="shared" si="71"/>
        <v>154392</v>
      </c>
      <c r="B1385" s="14" t="str">
        <f t="shared" si="69"/>
        <v>Billing - Credits (from TPA)</v>
      </c>
      <c r="C1385" s="37">
        <v>46157</v>
      </c>
      <c r="D1385" s="31">
        <v>154392</v>
      </c>
      <c r="E1385" s="33" t="str">
        <f>IF(Table3[[#This Row],[Type Received]]=2,"CC",(IF(Table3[[#This Row],[Type Received]]=3,"BILL","ACH")))</f>
        <v>BILL</v>
      </c>
      <c r="F1385" s="32">
        <v>15.83</v>
      </c>
      <c r="G1385" s="14" t="str">
        <f>VLOOKUP(D1385,Table4[],3,FALSE)</f>
        <v>2</v>
      </c>
      <c r="H1385" s="15"/>
      <c r="I1385" s="15"/>
      <c r="J1385" s="15" t="s">
        <v>87</v>
      </c>
      <c r="K1385" s="15">
        <v>696695021</v>
      </c>
      <c r="L1385" s="15" t="s">
        <v>29</v>
      </c>
      <c r="M1385" s="15" t="s">
        <v>29</v>
      </c>
    </row>
    <row r="1386" spans="1:13" x14ac:dyDescent="0.25">
      <c r="A1386" s="23">
        <f t="shared" si="71"/>
        <v>154401</v>
      </c>
      <c r="B1386" s="14" t="str">
        <f t="shared" si="69"/>
        <v>Billing - Credits (from TPA)</v>
      </c>
      <c r="C1386" s="38">
        <v>46168</v>
      </c>
      <c r="D1386" s="34">
        <v>154401</v>
      </c>
      <c r="E1386" s="36" t="str">
        <f>IF(Table3[[#This Row],[Type Received]]=2,"CC",(IF(Table3[[#This Row],[Type Received]]=3,"BILL","ACH")))</f>
        <v>BILL</v>
      </c>
      <c r="F1386" s="35">
        <v>18.100000000000001</v>
      </c>
      <c r="G1386" s="14" t="str">
        <f>VLOOKUP(D1386,Table4[],3,FALSE)</f>
        <v>1</v>
      </c>
      <c r="H1386" s="15">
        <v>2114</v>
      </c>
      <c r="I1386" s="15"/>
      <c r="J1386" s="15"/>
      <c r="K1386" s="15"/>
      <c r="L1386" s="15"/>
      <c r="M1386" s="15" t="s">
        <v>29</v>
      </c>
    </row>
    <row r="1387" spans="1:13" x14ac:dyDescent="0.25">
      <c r="A1387" s="23">
        <f t="shared" si="71"/>
        <v>154405</v>
      </c>
      <c r="B1387" s="14" t="str">
        <f t="shared" si="69"/>
        <v>Billing - Credits (from TPA)</v>
      </c>
      <c r="C1387" s="37">
        <v>46164</v>
      </c>
      <c r="D1387" s="31">
        <v>154405</v>
      </c>
      <c r="E1387" s="33" t="str">
        <f>IF(Table3[[#This Row],[Type Received]]=2,"CC",(IF(Table3[[#This Row],[Type Received]]=3,"BILL","ACH")))</f>
        <v>BILL</v>
      </c>
      <c r="F1387" s="32">
        <v>59.02</v>
      </c>
      <c r="G1387" s="14" t="str">
        <f>VLOOKUP(D1387,Table4[],3,FALSE)</f>
        <v>1</v>
      </c>
      <c r="H1387" s="15">
        <v>8037</v>
      </c>
      <c r="I1387" s="15"/>
      <c r="J1387" s="15"/>
      <c r="K1387" s="15"/>
      <c r="L1387" s="15"/>
      <c r="M1387" s="15"/>
    </row>
    <row r="1388" spans="1:13" x14ac:dyDescent="0.25">
      <c r="A1388" s="23">
        <f t="shared" si="71"/>
        <v>154742</v>
      </c>
      <c r="B1388" s="14" t="str">
        <f t="shared" si="69"/>
        <v>Credit Cards (UMB) - Credits</v>
      </c>
      <c r="C1388" s="38">
        <v>46164</v>
      </c>
      <c r="D1388" s="34">
        <v>154742</v>
      </c>
      <c r="E1388" s="36" t="str">
        <f>IF(Table3[[#This Row],[Type Received]]=2,"CC",(IF(Table3[[#This Row],[Type Received]]=3,"BILL","ACH")))</f>
        <v>CC</v>
      </c>
      <c r="F1388" s="35">
        <v>14.35</v>
      </c>
      <c r="G1388" s="14" t="str">
        <f>VLOOKUP(D1388,Table4[],3,FALSE)</f>
        <v>1</v>
      </c>
      <c r="H1388" s="15">
        <v>2003</v>
      </c>
      <c r="I1388" s="15"/>
      <c r="J1388" s="15"/>
      <c r="K1388" s="15"/>
      <c r="L1388" s="15"/>
      <c r="M1388" s="15" t="s">
        <v>29</v>
      </c>
    </row>
    <row r="1389" spans="1:13" x14ac:dyDescent="0.25">
      <c r="A1389" s="23">
        <f t="shared" si="71"/>
        <v>154744</v>
      </c>
      <c r="B1389" s="14" t="str">
        <f t="shared" si="69"/>
        <v>Direct Debit (UMB Bank) - Credits</v>
      </c>
      <c r="C1389" s="37">
        <v>46143</v>
      </c>
      <c r="D1389" s="31">
        <v>154744</v>
      </c>
      <c r="E1389" s="33" t="str">
        <f>IF(Table3[[#This Row],[Type Received]]=2,"CC",(IF(Table3[[#This Row],[Type Received]]=3,"BILL","ACH")))</f>
        <v>ACH</v>
      </c>
      <c r="F1389" s="32">
        <v>14.96</v>
      </c>
      <c r="G1389" s="14" t="str">
        <f>VLOOKUP(D1389,Table4[],3,FALSE)</f>
        <v>1</v>
      </c>
      <c r="H1389" s="15"/>
      <c r="I1389" s="15">
        <v>854329</v>
      </c>
      <c r="J1389" s="24" t="s">
        <v>28</v>
      </c>
      <c r="K1389" s="15">
        <v>526353271</v>
      </c>
      <c r="L1389" s="15" t="s">
        <v>29</v>
      </c>
      <c r="M1389" s="15"/>
    </row>
    <row r="1390" spans="1:13" x14ac:dyDescent="0.25">
      <c r="A1390" s="23">
        <f t="shared" si="71"/>
        <v>154964</v>
      </c>
      <c r="B1390" s="14" t="str">
        <f t="shared" si="69"/>
        <v>Direct Debit (UMB Bank) - Credits</v>
      </c>
      <c r="C1390" s="38">
        <v>46143</v>
      </c>
      <c r="D1390" s="34">
        <v>154964</v>
      </c>
      <c r="E1390" s="36" t="str">
        <f>IF(Table3[[#This Row],[Type Received]]=2,"CC",(IF(Table3[[#This Row],[Type Received]]=3,"BILL","ACH")))</f>
        <v>ACH</v>
      </c>
      <c r="F1390" s="35">
        <v>44.18</v>
      </c>
      <c r="G1390" s="14" t="str">
        <f>VLOOKUP(D1390,Table4[],3,FALSE)</f>
        <v>2</v>
      </c>
      <c r="H1390" s="15"/>
      <c r="I1390" s="15"/>
      <c r="J1390" s="24" t="s">
        <v>84</v>
      </c>
      <c r="K1390" s="15">
        <v>522307430</v>
      </c>
      <c r="L1390" s="15" t="s">
        <v>29</v>
      </c>
      <c r="M1390" s="15"/>
    </row>
    <row r="1391" spans="1:13" x14ac:dyDescent="0.25">
      <c r="A1391" s="23">
        <f t="shared" si="71"/>
        <v>154989</v>
      </c>
      <c r="B1391" s="14" t="str">
        <f t="shared" si="69"/>
        <v>Direct Debit (UMB Bank) - Credits</v>
      </c>
      <c r="C1391" s="37">
        <v>46157</v>
      </c>
      <c r="D1391" s="31">
        <v>154989</v>
      </c>
      <c r="E1391" s="33" t="str">
        <f>IF(Table3[[#This Row],[Type Received]]=2,"CC",(IF(Table3[[#This Row],[Type Received]]=3,"BILL","ACH")))</f>
        <v>ACH</v>
      </c>
      <c r="F1391" s="32">
        <v>23.21</v>
      </c>
      <c r="G1391" s="14" t="str">
        <f>VLOOKUP(D1391,Table4[],3,FALSE)</f>
        <v>1</v>
      </c>
      <c r="H1391" s="15"/>
      <c r="I1391" s="15"/>
      <c r="J1391" s="15" t="s">
        <v>87</v>
      </c>
      <c r="K1391" s="15">
        <v>696708577</v>
      </c>
      <c r="L1391" s="15" t="s">
        <v>29</v>
      </c>
      <c r="M1391" s="15" t="s">
        <v>29</v>
      </c>
    </row>
    <row r="1392" spans="1:13" x14ac:dyDescent="0.25">
      <c r="A1392" s="23">
        <f t="shared" si="71"/>
        <v>154998</v>
      </c>
      <c r="B1392" s="14" t="str">
        <f t="shared" si="69"/>
        <v>Direct Debit (UMB Bank) - Credits</v>
      </c>
      <c r="C1392" s="38">
        <v>46143</v>
      </c>
      <c r="D1392" s="34">
        <v>154998</v>
      </c>
      <c r="E1392" s="36" t="str">
        <f>IF(Table3[[#This Row],[Type Received]]=2,"CC",(IF(Table3[[#This Row],[Type Received]]=3,"BILL","ACH")))</f>
        <v>ACH</v>
      </c>
      <c r="F1392" s="35">
        <v>33.11</v>
      </c>
      <c r="G1392" s="14" t="str">
        <f>VLOOKUP(D1392,Table4[],3,FALSE)</f>
        <v>1</v>
      </c>
      <c r="H1392" s="15"/>
      <c r="I1392" s="15"/>
      <c r="J1392" s="15" t="s">
        <v>84</v>
      </c>
      <c r="K1392" s="15">
        <v>522303634</v>
      </c>
      <c r="L1392" s="15" t="s">
        <v>29</v>
      </c>
      <c r="M1392" s="15" t="s">
        <v>29</v>
      </c>
    </row>
    <row r="1393" spans="1:13" x14ac:dyDescent="0.25">
      <c r="A1393" s="23">
        <f t="shared" si="71"/>
        <v>154999</v>
      </c>
      <c r="B1393" s="14" t="str">
        <f t="shared" si="69"/>
        <v>Direct Debit (UMB Bank) - Credits</v>
      </c>
      <c r="C1393" s="37">
        <v>46143</v>
      </c>
      <c r="D1393" s="31">
        <v>154999</v>
      </c>
      <c r="E1393" s="33" t="str">
        <f>IF(Table3[[#This Row],[Type Received]]=2,"CC",(IF(Table3[[#This Row],[Type Received]]=3,"BILL","ACH")))</f>
        <v>ACH</v>
      </c>
      <c r="F1393" s="32">
        <v>20.69</v>
      </c>
      <c r="G1393" s="14" t="str">
        <f>VLOOKUP(D1393,Table4[],3,FALSE)</f>
        <v>2</v>
      </c>
      <c r="H1393" s="15"/>
      <c r="I1393" s="15"/>
      <c r="J1393" s="15" t="s">
        <v>84</v>
      </c>
      <c r="K1393" s="15">
        <v>522295042</v>
      </c>
      <c r="L1393" s="15" t="s">
        <v>29</v>
      </c>
      <c r="M1393" s="15" t="s">
        <v>29</v>
      </c>
    </row>
    <row r="1394" spans="1:13" x14ac:dyDescent="0.25">
      <c r="A1394" s="23">
        <f t="shared" si="71"/>
        <v>155003</v>
      </c>
      <c r="B1394" s="14" t="str">
        <f t="shared" si="69"/>
        <v>Direct Debit (UMB Bank) - Credits</v>
      </c>
      <c r="C1394" s="38">
        <v>46143</v>
      </c>
      <c r="D1394" s="34">
        <v>155003</v>
      </c>
      <c r="E1394" s="36" t="str">
        <f>IF(Table3[[#This Row],[Type Received]]=2,"CC",(IF(Table3[[#This Row],[Type Received]]=3,"BILL","ACH")))</f>
        <v>ACH</v>
      </c>
      <c r="F1394" s="35">
        <v>28.25</v>
      </c>
      <c r="G1394" s="14" t="str">
        <f>VLOOKUP(D1394,Table4[],3,FALSE)</f>
        <v>1</v>
      </c>
      <c r="H1394" s="15"/>
      <c r="I1394" s="15"/>
      <c r="J1394" s="15" t="s">
        <v>84</v>
      </c>
      <c r="K1394" s="15">
        <v>522301734</v>
      </c>
      <c r="L1394" s="15" t="s">
        <v>29</v>
      </c>
      <c r="M1394" s="15" t="s">
        <v>29</v>
      </c>
    </row>
    <row r="1395" spans="1:13" x14ac:dyDescent="0.25">
      <c r="A1395" s="23">
        <f t="shared" si="71"/>
        <v>155236</v>
      </c>
      <c r="B1395" s="14" t="str">
        <f t="shared" si="69"/>
        <v>Direct Debit (UMB Bank) - Credits</v>
      </c>
      <c r="C1395" s="37">
        <v>46145</v>
      </c>
      <c r="D1395" s="31">
        <v>155236</v>
      </c>
      <c r="E1395" s="33" t="str">
        <f>IF(Table3[[#This Row],[Type Received]]=2,"CC",(IF(Table3[[#This Row],[Type Received]]=3,"BILL","ACH")))</f>
        <v>ACH</v>
      </c>
      <c r="F1395" s="32">
        <v>15.56</v>
      </c>
      <c r="G1395" s="14" t="str">
        <f>VLOOKUP(D1395,Table4[],3,FALSE)</f>
        <v>2</v>
      </c>
      <c r="H1395" s="15"/>
      <c r="I1395" s="15"/>
      <c r="J1395" s="15" t="s">
        <v>113</v>
      </c>
      <c r="K1395" s="15">
        <v>546429404</v>
      </c>
      <c r="L1395" s="15" t="s">
        <v>29</v>
      </c>
      <c r="M1395" s="15" t="s">
        <v>29</v>
      </c>
    </row>
    <row r="1396" spans="1:13" x14ac:dyDescent="0.25">
      <c r="A1396" s="23">
        <f t="shared" si="71"/>
        <v>155251</v>
      </c>
      <c r="B1396" s="14" t="str">
        <f t="shared" si="69"/>
        <v>Direct Debit (UMB Bank) - Credits</v>
      </c>
      <c r="C1396" s="38">
        <v>46145</v>
      </c>
      <c r="D1396" s="34">
        <v>155251</v>
      </c>
      <c r="E1396" s="36" t="str">
        <f>IF(Table3[[#This Row],[Type Received]]=2,"CC",(IF(Table3[[#This Row],[Type Received]]=3,"BILL","ACH")))</f>
        <v>ACH</v>
      </c>
      <c r="F1396" s="35">
        <v>8.77</v>
      </c>
      <c r="G1396" s="14" t="str">
        <f>VLOOKUP(D1396,Table4[],3,FALSE)</f>
        <v>2</v>
      </c>
      <c r="H1396" s="15"/>
      <c r="I1396" s="15"/>
      <c r="J1396" s="15" t="s">
        <v>113</v>
      </c>
      <c r="K1396" s="15">
        <v>546430391</v>
      </c>
      <c r="L1396" s="15" t="s">
        <v>29</v>
      </c>
      <c r="M1396" s="15" t="s">
        <v>29</v>
      </c>
    </row>
    <row r="1397" spans="1:13" x14ac:dyDescent="0.25">
      <c r="A1397" s="23">
        <f t="shared" si="71"/>
        <v>155680</v>
      </c>
      <c r="B1397" s="14" t="str">
        <f t="shared" si="69"/>
        <v>Direct Debit (UMB Bank) - Credits</v>
      </c>
      <c r="C1397" s="37">
        <v>46168</v>
      </c>
      <c r="D1397" s="31">
        <v>155680</v>
      </c>
      <c r="E1397" s="33" t="str">
        <f>IF(Table3[[#This Row],[Type Received]]=2,"CC",(IF(Table3[[#This Row],[Type Received]]=3,"BILL","ACH")))</f>
        <v>ACH</v>
      </c>
      <c r="F1397" s="32">
        <v>22.31</v>
      </c>
      <c r="G1397" s="14" t="str">
        <f>VLOOKUP(D1397,Table4[],3,FALSE)</f>
        <v>1</v>
      </c>
      <c r="H1397" s="15"/>
      <c r="I1397" s="15"/>
      <c r="J1397" s="15" t="s">
        <v>110</v>
      </c>
      <c r="K1397" s="15">
        <v>828261650</v>
      </c>
      <c r="L1397" s="15" t="s">
        <v>29</v>
      </c>
      <c r="M1397" s="15"/>
    </row>
    <row r="1398" spans="1:13" x14ac:dyDescent="0.25">
      <c r="A1398" s="23">
        <f t="shared" si="71"/>
        <v>155685</v>
      </c>
      <c r="B1398" s="14" t="str">
        <f t="shared" si="69"/>
        <v>Direct Debit (UMB Bank) - Credits</v>
      </c>
      <c r="C1398" s="38">
        <v>46157</v>
      </c>
      <c r="D1398" s="34">
        <v>155685</v>
      </c>
      <c r="E1398" s="36" t="str">
        <f>IF(Table3[[#This Row],[Type Received]]=2,"CC",(IF(Table3[[#This Row],[Type Received]]=3,"BILL","ACH")))</f>
        <v>ACH</v>
      </c>
      <c r="F1398" s="35">
        <v>12.05</v>
      </c>
      <c r="G1398" s="14" t="str">
        <f>VLOOKUP(D1398,Table4[],3,FALSE)</f>
        <v>1</v>
      </c>
      <c r="H1398" s="15"/>
      <c r="I1398" s="15"/>
      <c r="J1398" s="15" t="s">
        <v>87</v>
      </c>
      <c r="K1398" s="15">
        <v>696697885</v>
      </c>
      <c r="L1398" s="15" t="s">
        <v>29</v>
      </c>
      <c r="M1398" s="15" t="s">
        <v>29</v>
      </c>
    </row>
    <row r="1399" spans="1:13" x14ac:dyDescent="0.25">
      <c r="A1399" s="23">
        <f t="shared" si="71"/>
        <v>155703</v>
      </c>
      <c r="B1399" s="14" t="str">
        <f t="shared" si="69"/>
        <v>Direct Debit (UMB Bank) - Credits</v>
      </c>
      <c r="C1399" s="37">
        <v>46168</v>
      </c>
      <c r="D1399" s="31">
        <v>155703</v>
      </c>
      <c r="E1399" s="33" t="str">
        <f>IF(Table3[[#This Row],[Type Received]]=2,"CC",(IF(Table3[[#This Row],[Type Received]]=3,"BILL","ACH")))</f>
        <v>ACH</v>
      </c>
      <c r="F1399" s="32">
        <v>23.12</v>
      </c>
      <c r="G1399" s="14" t="str">
        <f>VLOOKUP(D1399,Table4[],3,FALSE)</f>
        <v>2</v>
      </c>
      <c r="H1399" s="15"/>
      <c r="I1399" s="15"/>
      <c r="J1399" s="15" t="s">
        <v>110</v>
      </c>
      <c r="K1399" s="15">
        <v>828254024</v>
      </c>
      <c r="L1399" s="15" t="s">
        <v>29</v>
      </c>
      <c r="M1399" s="15"/>
    </row>
    <row r="1400" spans="1:13" x14ac:dyDescent="0.25">
      <c r="A1400" s="23">
        <f t="shared" si="71"/>
        <v>155724</v>
      </c>
      <c r="B1400" s="14" t="str">
        <f t="shared" si="69"/>
        <v>Direct Debit (UMB Bank) - Credits</v>
      </c>
      <c r="C1400" s="38">
        <v>46157</v>
      </c>
      <c r="D1400" s="34">
        <v>155724</v>
      </c>
      <c r="E1400" s="36" t="str">
        <f>IF(Table3[[#This Row],[Type Received]]=2,"CC",(IF(Table3[[#This Row],[Type Received]]=3,"BILL","ACH")))</f>
        <v>ACH</v>
      </c>
      <c r="F1400" s="35">
        <v>10.11</v>
      </c>
      <c r="G1400" s="14" t="str">
        <f>VLOOKUP(D1400,Table4[],3,FALSE)</f>
        <v>1</v>
      </c>
      <c r="H1400" s="15"/>
      <c r="I1400" s="15"/>
      <c r="J1400" s="15" t="s">
        <v>87</v>
      </c>
      <c r="K1400" s="15">
        <v>696713386</v>
      </c>
      <c r="L1400" s="15" t="s">
        <v>29</v>
      </c>
      <c r="M1400" s="15"/>
    </row>
    <row r="1401" spans="1:13" x14ac:dyDescent="0.25">
      <c r="A1401" s="23">
        <f t="shared" si="71"/>
        <v>155725</v>
      </c>
      <c r="B1401" s="14" t="str">
        <f t="shared" si="69"/>
        <v>Direct Debit (UMB Bank) - Credits</v>
      </c>
      <c r="C1401" s="37">
        <v>46157</v>
      </c>
      <c r="D1401" s="31">
        <v>155725</v>
      </c>
      <c r="E1401" s="33" t="str">
        <f>IF(Table3[[#This Row],[Type Received]]=2,"CC",(IF(Table3[[#This Row],[Type Received]]=3,"BILL","ACH")))</f>
        <v>ACH</v>
      </c>
      <c r="F1401" s="32">
        <v>28.25</v>
      </c>
      <c r="G1401" s="14" t="str">
        <f>VLOOKUP(D1401,Table4[],3,FALSE)</f>
        <v>1</v>
      </c>
      <c r="H1401" s="15"/>
      <c r="I1401" s="15"/>
      <c r="J1401" s="15" t="s">
        <v>87</v>
      </c>
      <c r="K1401" s="15">
        <v>696703752</v>
      </c>
      <c r="L1401" s="15" t="s">
        <v>29</v>
      </c>
      <c r="M1401" s="15" t="s">
        <v>29</v>
      </c>
    </row>
    <row r="1402" spans="1:13" x14ac:dyDescent="0.25">
      <c r="A1402" s="23">
        <f t="shared" si="71"/>
        <v>155787</v>
      </c>
      <c r="B1402" s="14" t="str">
        <f t="shared" si="69"/>
        <v>Direct Debit (UMB Bank) - Credits</v>
      </c>
      <c r="C1402" s="38">
        <v>46163</v>
      </c>
      <c r="D1402" s="34">
        <v>155787</v>
      </c>
      <c r="E1402" s="36" t="str">
        <f>IF(Table3[[#This Row],[Type Received]]=2,"CC",(IF(Table3[[#This Row],[Type Received]]=3,"BILL","ACH")))</f>
        <v>ACH</v>
      </c>
      <c r="F1402" s="35">
        <v>38.200000000000003</v>
      </c>
      <c r="G1402" s="14" t="str">
        <f>VLOOKUP(D1402,Table4[],3,FALSE)</f>
        <v>2</v>
      </c>
      <c r="H1402" s="15"/>
      <c r="I1402" s="15"/>
      <c r="J1402" s="15" t="s">
        <v>214</v>
      </c>
      <c r="K1402" s="15">
        <v>772664934</v>
      </c>
      <c r="L1402" s="15" t="s">
        <v>29</v>
      </c>
      <c r="M1402" s="15" t="s">
        <v>29</v>
      </c>
    </row>
    <row r="1403" spans="1:13" x14ac:dyDescent="0.25">
      <c r="A1403" s="23">
        <f t="shared" si="71"/>
        <v>155428</v>
      </c>
      <c r="B1403" s="14" t="str">
        <f t="shared" si="69"/>
        <v>Billing - Credits (from TPA)</v>
      </c>
      <c r="C1403" s="37">
        <v>46157</v>
      </c>
      <c r="D1403" s="31">
        <v>155428</v>
      </c>
      <c r="E1403" s="33" t="str">
        <f>IF(Table3[[#This Row],[Type Received]]=2,"CC",(IF(Table3[[#This Row],[Type Received]]=3,"BILL","ACH")))</f>
        <v>BILL</v>
      </c>
      <c r="F1403" s="32">
        <v>38.549999999999997</v>
      </c>
      <c r="G1403" s="14" t="str">
        <f>VLOOKUP(D1403,Table4[],3,FALSE)</f>
        <v>2</v>
      </c>
      <c r="H1403" s="15"/>
      <c r="I1403" s="15"/>
      <c r="J1403" s="15" t="s">
        <v>87</v>
      </c>
      <c r="K1403" s="15">
        <v>696713370</v>
      </c>
      <c r="L1403" s="15" t="s">
        <v>29</v>
      </c>
      <c r="M1403" s="15" t="s">
        <v>29</v>
      </c>
    </row>
    <row r="1404" spans="1:13" x14ac:dyDescent="0.25">
      <c r="A1404" s="23">
        <f t="shared" si="71"/>
        <v>156014</v>
      </c>
      <c r="B1404" s="14" t="str">
        <f t="shared" si="69"/>
        <v>Direct Debit (UMB Bank) - Credits</v>
      </c>
      <c r="C1404" s="38">
        <v>46168</v>
      </c>
      <c r="D1404" s="34">
        <v>156014</v>
      </c>
      <c r="E1404" s="36" t="str">
        <f>IF(Table3[[#This Row],[Type Received]]=2,"CC",(IF(Table3[[#This Row],[Type Received]]=3,"BILL","ACH")))</f>
        <v>ACH</v>
      </c>
      <c r="F1404" s="35">
        <v>38.07</v>
      </c>
      <c r="G1404" s="14" t="str">
        <f>VLOOKUP(D1404,Table4[],3,FALSE)</f>
        <v>1</v>
      </c>
      <c r="H1404" s="15">
        <v>2059</v>
      </c>
      <c r="I1404" s="15"/>
      <c r="J1404" s="15"/>
      <c r="K1404" s="15"/>
      <c r="L1404" s="15"/>
      <c r="M1404" s="15"/>
    </row>
    <row r="1405" spans="1:13" x14ac:dyDescent="0.25">
      <c r="A1405" s="23">
        <f t="shared" si="71"/>
        <v>156094</v>
      </c>
      <c r="B1405" s="14" t="str">
        <f t="shared" si="69"/>
        <v>Credit Cards (UMB) - Credits</v>
      </c>
      <c r="C1405" s="37">
        <v>46157</v>
      </c>
      <c r="D1405" s="31">
        <v>156094</v>
      </c>
      <c r="E1405" s="33" t="str">
        <f>IF(Table3[[#This Row],[Type Received]]=2,"CC",(IF(Table3[[#This Row],[Type Received]]=3,"BILL","ACH")))</f>
        <v>CC</v>
      </c>
      <c r="F1405" s="32">
        <v>12.99</v>
      </c>
      <c r="G1405" s="14" t="str">
        <f>VLOOKUP(D1405,Table4[],3,FALSE)</f>
        <v>1</v>
      </c>
      <c r="H1405" s="15"/>
      <c r="I1405" s="15"/>
      <c r="J1405" s="15" t="s">
        <v>87</v>
      </c>
      <c r="K1405" s="15">
        <v>696827049</v>
      </c>
      <c r="L1405" s="15" t="s">
        <v>29</v>
      </c>
      <c r="M1405" s="15" t="s">
        <v>29</v>
      </c>
    </row>
    <row r="1406" spans="1:13" x14ac:dyDescent="0.25">
      <c r="A1406" s="23">
        <f t="shared" si="71"/>
        <v>156103</v>
      </c>
      <c r="B1406" s="14" t="str">
        <f t="shared" si="69"/>
        <v>Billing - Credits (from TPA)</v>
      </c>
      <c r="C1406" s="38">
        <v>46144</v>
      </c>
      <c r="D1406" s="34">
        <v>156103</v>
      </c>
      <c r="E1406" s="36" t="str">
        <f>IF(Table3[[#This Row],[Type Received]]=2,"CC",(IF(Table3[[#This Row],[Type Received]]=3,"BILL","ACH")))</f>
        <v>BILL</v>
      </c>
      <c r="F1406" s="35">
        <v>39.81</v>
      </c>
      <c r="G1406" s="14" t="str">
        <f>VLOOKUP(D1406,Table4[],3,FALSE)</f>
        <v>1</v>
      </c>
      <c r="H1406" s="15"/>
      <c r="I1406" s="15">
        <v>100704</v>
      </c>
      <c r="J1406" s="15" t="s">
        <v>28</v>
      </c>
      <c r="K1406" s="15">
        <v>535328767</v>
      </c>
      <c r="L1406" s="15" t="s">
        <v>29</v>
      </c>
      <c r="M1406" s="15" t="s">
        <v>29</v>
      </c>
    </row>
    <row r="1407" spans="1:13" x14ac:dyDescent="0.25">
      <c r="A1407" s="23">
        <f t="shared" si="71"/>
        <v>156129</v>
      </c>
      <c r="B1407" s="14" t="str">
        <f t="shared" si="69"/>
        <v>Credit Cards (UMB) - Credits</v>
      </c>
      <c r="C1407" s="37">
        <v>46171</v>
      </c>
      <c r="D1407" s="31">
        <v>156129</v>
      </c>
      <c r="E1407" s="33" t="str">
        <f>IF(Table3[[#This Row],[Type Received]]=2,"CC",(IF(Table3[[#This Row],[Type Received]]=3,"BILL","ACH")))</f>
        <v>CC</v>
      </c>
      <c r="F1407" s="32">
        <v>107.86</v>
      </c>
      <c r="G1407" s="14" t="str">
        <f>VLOOKUP(D1407,Table4[],3,FALSE)</f>
        <v>1</v>
      </c>
      <c r="H1407" s="15">
        <v>1632</v>
      </c>
      <c r="I1407" s="15"/>
      <c r="J1407" s="15"/>
      <c r="K1407" s="15"/>
      <c r="L1407" s="15"/>
      <c r="M1407" s="15" t="s">
        <v>29</v>
      </c>
    </row>
    <row r="1408" spans="1:13" x14ac:dyDescent="0.25">
      <c r="A1408" s="23">
        <f t="shared" si="71"/>
        <v>156477</v>
      </c>
      <c r="B1408" s="14" t="str">
        <f t="shared" si="69"/>
        <v>Credit Cards (UMB) - Credits</v>
      </c>
      <c r="C1408" s="38">
        <v>46143</v>
      </c>
      <c r="D1408" s="34">
        <v>156477</v>
      </c>
      <c r="E1408" s="36" t="str">
        <f>IF(Table3[[#This Row],[Type Received]]=2,"CC",(IF(Table3[[#This Row],[Type Received]]=3,"BILL","ACH")))</f>
        <v>CC</v>
      </c>
      <c r="F1408" s="35">
        <v>145.69</v>
      </c>
      <c r="G1408" s="14" t="str">
        <f>VLOOKUP(D1408,Table4[],3,FALSE)</f>
        <v>2</v>
      </c>
      <c r="H1408" s="15"/>
      <c r="I1408" s="15">
        <v>2839</v>
      </c>
      <c r="J1408" s="24" t="s">
        <v>28</v>
      </c>
      <c r="K1408" s="15">
        <v>522478202</v>
      </c>
      <c r="L1408" s="15" t="s">
        <v>29</v>
      </c>
      <c r="M1408" s="15"/>
    </row>
    <row r="1409" spans="1:13" x14ac:dyDescent="0.25">
      <c r="A1409" s="23">
        <f t="shared" si="71"/>
        <v>156506</v>
      </c>
      <c r="B1409" s="14" t="str">
        <f t="shared" si="69"/>
        <v>Billing - Credits (from TPA)</v>
      </c>
      <c r="C1409" s="37">
        <v>46163</v>
      </c>
      <c r="D1409" s="31">
        <v>156506</v>
      </c>
      <c r="E1409" s="33" t="str">
        <f>IF(Table3[[#This Row],[Type Received]]=2,"CC",(IF(Table3[[#This Row],[Type Received]]=3,"BILL","ACH")))</f>
        <v>BILL</v>
      </c>
      <c r="F1409" s="32">
        <v>233.62</v>
      </c>
      <c r="G1409" s="14" t="str">
        <f>VLOOKUP(D1409,Table4[],3,FALSE)</f>
        <v>2</v>
      </c>
      <c r="H1409" s="15"/>
      <c r="I1409" s="15">
        <v>138974</v>
      </c>
      <c r="J1409" s="15" t="s">
        <v>28</v>
      </c>
      <c r="K1409" s="15">
        <v>777832552</v>
      </c>
      <c r="L1409" s="15" t="s">
        <v>29</v>
      </c>
      <c r="M1409" s="15"/>
    </row>
    <row r="1410" spans="1:13" x14ac:dyDescent="0.25">
      <c r="A1410" s="23">
        <f t="shared" si="71"/>
        <v>156522</v>
      </c>
      <c r="B1410" s="14" t="str">
        <f t="shared" ref="B1410:B1473" si="72">IF(AND(E1410="BILL",F1410&lt;0),"Billing &amp; Direct Debit - Refunds",(IF(AND(E1410="BILL",F1410&gt;0),"Billing - Credits (from TPA)",(IF(AND(E1410="CC",F1410&lt;0),"Credit Cards (UMB) - Refunds",(IF(AND(E1410="CC",F1410&gt;0),"Credit Cards (UMB) - Credits",(IF(AND(E1410="ACH",F1410&gt;0),"Direct Debit (UMB Bank) - Credits","Direct Debit (UMB Bank) - Returned Items")))))))))</f>
        <v>Direct Debit (UMB Bank) - Credits</v>
      </c>
      <c r="C1410" s="38">
        <v>46171</v>
      </c>
      <c r="D1410" s="34">
        <v>156522</v>
      </c>
      <c r="E1410" s="36" t="str">
        <f>IF(Table3[[#This Row],[Type Received]]=2,"CC",(IF(Table3[[#This Row],[Type Received]]=3,"BILL","ACH")))</f>
        <v>ACH</v>
      </c>
      <c r="F1410" s="35">
        <v>68.44</v>
      </c>
      <c r="G1410" s="14" t="str">
        <f>VLOOKUP(D1410,Table4[],3,FALSE)</f>
        <v>2</v>
      </c>
      <c r="H1410" s="15">
        <v>2883</v>
      </c>
      <c r="I1410" s="15"/>
      <c r="J1410" s="15"/>
      <c r="K1410" s="15"/>
      <c r="L1410" s="15"/>
      <c r="M1410" s="15" t="s">
        <v>29</v>
      </c>
    </row>
    <row r="1411" spans="1:13" x14ac:dyDescent="0.25">
      <c r="A1411" s="23">
        <f t="shared" si="71"/>
        <v>156550</v>
      </c>
      <c r="B1411" s="14" t="str">
        <f t="shared" si="72"/>
        <v>Direct Debit (UMB Bank) - Credits</v>
      </c>
      <c r="C1411" s="37">
        <v>46145</v>
      </c>
      <c r="D1411" s="31">
        <v>156550</v>
      </c>
      <c r="E1411" s="33" t="str">
        <f>IF(Table3[[#This Row],[Type Received]]=2,"CC",(IF(Table3[[#This Row],[Type Received]]=3,"BILL","ACH")))</f>
        <v>ACH</v>
      </c>
      <c r="F1411" s="32">
        <v>26.94</v>
      </c>
      <c r="G1411" s="14" t="str">
        <f>VLOOKUP(D1411,Table4[],3,FALSE)</f>
        <v>2</v>
      </c>
      <c r="H1411" s="15"/>
      <c r="I1411" s="15"/>
      <c r="J1411" s="15" t="s">
        <v>113</v>
      </c>
      <c r="K1411" s="15">
        <v>546413013</v>
      </c>
      <c r="L1411" s="15" t="s">
        <v>29</v>
      </c>
      <c r="M1411" s="15" t="s">
        <v>29</v>
      </c>
    </row>
    <row r="1412" spans="1:13" x14ac:dyDescent="0.25">
      <c r="A1412" s="23">
        <f t="shared" si="71"/>
        <v>156294</v>
      </c>
      <c r="B1412" s="14" t="str">
        <f t="shared" si="72"/>
        <v>Direct Debit (UMB Bank) - Credits</v>
      </c>
      <c r="C1412" s="38">
        <v>46145</v>
      </c>
      <c r="D1412" s="34">
        <v>156294</v>
      </c>
      <c r="E1412" s="36" t="str">
        <f>IF(Table3[[#This Row],[Type Received]]=2,"CC",(IF(Table3[[#This Row],[Type Received]]=3,"BILL","ACH")))</f>
        <v>ACH</v>
      </c>
      <c r="F1412" s="35">
        <v>15.15</v>
      </c>
      <c r="G1412" s="14" t="str">
        <f>VLOOKUP(D1412,Table4[],3,FALSE)</f>
        <v>1</v>
      </c>
      <c r="H1412" s="15"/>
      <c r="I1412" s="15"/>
      <c r="J1412" s="15" t="s">
        <v>113</v>
      </c>
      <c r="K1412" s="15">
        <v>546435188</v>
      </c>
      <c r="L1412" s="15" t="s">
        <v>29</v>
      </c>
      <c r="M1412" s="15" t="s">
        <v>29</v>
      </c>
    </row>
    <row r="1413" spans="1:13" x14ac:dyDescent="0.25">
      <c r="A1413" s="23">
        <f t="shared" ref="A1413:A1436" si="73">D1413</f>
        <v>156304</v>
      </c>
      <c r="B1413" s="14" t="str">
        <f t="shared" si="72"/>
        <v>Direct Debit (UMB Bank) - Credits</v>
      </c>
      <c r="C1413" s="37">
        <v>46168</v>
      </c>
      <c r="D1413" s="31">
        <v>156304</v>
      </c>
      <c r="E1413" s="33" t="str">
        <f>IF(Table3[[#This Row],[Type Received]]=2,"CC",(IF(Table3[[#This Row],[Type Received]]=3,"BILL","ACH")))</f>
        <v>ACH</v>
      </c>
      <c r="F1413" s="32">
        <v>18.350000000000001</v>
      </c>
      <c r="G1413" s="14" t="str">
        <f>VLOOKUP(D1413,Table4[],3,FALSE)</f>
        <v>1</v>
      </c>
      <c r="H1413" s="15"/>
      <c r="I1413" s="15"/>
      <c r="J1413" s="15" t="s">
        <v>110</v>
      </c>
      <c r="K1413" s="15">
        <v>828256973</v>
      </c>
      <c r="L1413" s="15" t="s">
        <v>29</v>
      </c>
      <c r="M1413" s="15" t="s">
        <v>29</v>
      </c>
    </row>
    <row r="1414" spans="1:13" x14ac:dyDescent="0.25">
      <c r="A1414" s="23">
        <f t="shared" si="73"/>
        <v>156314</v>
      </c>
      <c r="B1414" s="14" t="str">
        <f t="shared" si="72"/>
        <v>Direct Debit (UMB Bank) - Credits</v>
      </c>
      <c r="C1414" s="38">
        <v>46157</v>
      </c>
      <c r="D1414" s="34">
        <v>156314</v>
      </c>
      <c r="E1414" s="36" t="str">
        <f>IF(Table3[[#This Row],[Type Received]]=2,"CC",(IF(Table3[[#This Row],[Type Received]]=3,"BILL","ACH")))</f>
        <v>ACH</v>
      </c>
      <c r="F1414" s="35">
        <v>15.11</v>
      </c>
      <c r="G1414" s="14" t="str">
        <f>VLOOKUP(D1414,Table4[],3,FALSE)</f>
        <v>1</v>
      </c>
      <c r="H1414" s="15"/>
      <c r="I1414" s="15"/>
      <c r="J1414" s="15" t="s">
        <v>87</v>
      </c>
      <c r="K1414" s="15">
        <v>696720200</v>
      </c>
      <c r="L1414" s="15" t="s">
        <v>29</v>
      </c>
      <c r="M1414" s="15" t="s">
        <v>29</v>
      </c>
    </row>
    <row r="1415" spans="1:13" x14ac:dyDescent="0.25">
      <c r="A1415" s="23">
        <f t="shared" si="73"/>
        <v>156344</v>
      </c>
      <c r="B1415" s="14" t="str">
        <f t="shared" si="72"/>
        <v>Billing - Credits (from TPA)</v>
      </c>
      <c r="C1415" s="37">
        <v>46145</v>
      </c>
      <c r="D1415" s="31">
        <v>156344</v>
      </c>
      <c r="E1415" s="33" t="str">
        <f>IF(Table3[[#This Row],[Type Received]]=2,"CC",(IF(Table3[[#This Row],[Type Received]]=3,"BILL","ACH")))</f>
        <v>BILL</v>
      </c>
      <c r="F1415" s="32">
        <v>55.07</v>
      </c>
      <c r="G1415" s="14" t="str">
        <f>VLOOKUP(D1415,Table4[],3,FALSE)</f>
        <v>1</v>
      </c>
      <c r="H1415" s="15"/>
      <c r="I1415" s="15"/>
      <c r="J1415" s="15" t="s">
        <v>113</v>
      </c>
      <c r="K1415" s="15">
        <v>546436170</v>
      </c>
      <c r="L1415" s="15" t="s">
        <v>29</v>
      </c>
      <c r="M1415" s="15" t="s">
        <v>29</v>
      </c>
    </row>
    <row r="1416" spans="1:13" x14ac:dyDescent="0.25">
      <c r="A1416" s="23">
        <f t="shared" si="73"/>
        <v>156387</v>
      </c>
      <c r="B1416" s="14" t="str">
        <f t="shared" si="72"/>
        <v>Credit Cards (UMB) - Credits</v>
      </c>
      <c r="C1416" s="38">
        <v>46169</v>
      </c>
      <c r="D1416" s="34">
        <v>156387</v>
      </c>
      <c r="E1416" s="36" t="str">
        <f>IF(Table3[[#This Row],[Type Received]]=2,"CC",(IF(Table3[[#This Row],[Type Received]]=3,"BILL","ACH")))</f>
        <v>CC</v>
      </c>
      <c r="F1416" s="35">
        <v>16.649999999999999</v>
      </c>
      <c r="G1416" s="14" t="str">
        <f>VLOOKUP(D1416,Table4[],3,FALSE)</f>
        <v>1</v>
      </c>
      <c r="H1416" s="15">
        <v>3493</v>
      </c>
      <c r="I1416" s="15"/>
      <c r="J1416" s="15"/>
      <c r="K1416" s="15"/>
      <c r="L1416" s="15"/>
      <c r="M1416" s="15" t="s">
        <v>29</v>
      </c>
    </row>
    <row r="1417" spans="1:13" x14ac:dyDescent="0.25">
      <c r="A1417" s="23">
        <f t="shared" si="73"/>
        <v>156802</v>
      </c>
      <c r="B1417" s="14" t="str">
        <f t="shared" si="72"/>
        <v>Direct Debit (UMB Bank) - Credits</v>
      </c>
      <c r="C1417" s="37">
        <v>46144</v>
      </c>
      <c r="D1417" s="31">
        <v>156802</v>
      </c>
      <c r="E1417" s="33" t="str">
        <f>IF(Table3[[#This Row],[Type Received]]=2,"CC",(IF(Table3[[#This Row],[Type Received]]=3,"BILL","ACH")))</f>
        <v>ACH</v>
      </c>
      <c r="F1417" s="32">
        <v>155.91999999999999</v>
      </c>
      <c r="G1417" s="14" t="str">
        <f>VLOOKUP(D1417,Table4[],3,FALSE)</f>
        <v>2</v>
      </c>
      <c r="H1417" s="15"/>
      <c r="I1417" s="15" t="s">
        <v>217</v>
      </c>
      <c r="J1417" s="15">
        <v>741651752</v>
      </c>
      <c r="K1417" s="15">
        <v>353262769</v>
      </c>
      <c r="L1417" s="15"/>
      <c r="M1417" s="15" t="s">
        <v>29</v>
      </c>
    </row>
    <row r="1418" spans="1:13" x14ac:dyDescent="0.25">
      <c r="A1418" s="23">
        <f t="shared" si="73"/>
        <v>156871</v>
      </c>
      <c r="B1418" s="14" t="str">
        <f t="shared" si="72"/>
        <v>Direct Debit (UMB Bank) - Credits</v>
      </c>
      <c r="C1418" s="38">
        <v>46168</v>
      </c>
      <c r="D1418" s="34">
        <v>156871</v>
      </c>
      <c r="E1418" s="36" t="str">
        <f>IF(Table3[[#This Row],[Type Received]]=2,"CC",(IF(Table3[[#This Row],[Type Received]]=3,"BILL","ACH")))</f>
        <v>ACH</v>
      </c>
      <c r="F1418" s="35">
        <v>11.15</v>
      </c>
      <c r="G1418" s="14" t="str">
        <f>VLOOKUP(D1418,Table4[],3,FALSE)</f>
        <v>1</v>
      </c>
      <c r="H1418" s="15"/>
      <c r="I1418" s="15"/>
      <c r="J1418" s="15" t="s">
        <v>110</v>
      </c>
      <c r="K1418" s="15">
        <v>828276448</v>
      </c>
      <c r="L1418" s="15" t="s">
        <v>29</v>
      </c>
      <c r="M1418" s="15" t="s">
        <v>29</v>
      </c>
    </row>
    <row r="1419" spans="1:13" x14ac:dyDescent="0.25">
      <c r="A1419" s="23">
        <f t="shared" si="73"/>
        <v>156881</v>
      </c>
      <c r="B1419" s="14" t="str">
        <f t="shared" si="72"/>
        <v>Direct Debit (UMB Bank) - Credits</v>
      </c>
      <c r="C1419" s="37">
        <v>46157</v>
      </c>
      <c r="D1419" s="31">
        <v>156881</v>
      </c>
      <c r="E1419" s="33" t="str">
        <f>IF(Table3[[#This Row],[Type Received]]=2,"CC",(IF(Table3[[#This Row],[Type Received]]=3,"BILL","ACH")))</f>
        <v>ACH</v>
      </c>
      <c r="F1419" s="32">
        <v>32.29</v>
      </c>
      <c r="G1419" s="14" t="str">
        <f>VLOOKUP(D1419,Table4[],3,FALSE)</f>
        <v>2</v>
      </c>
      <c r="H1419" s="15"/>
      <c r="I1419" s="15"/>
      <c r="J1419" s="15" t="s">
        <v>87</v>
      </c>
      <c r="K1419" s="15">
        <v>696722149</v>
      </c>
      <c r="L1419" s="15" t="s">
        <v>29</v>
      </c>
      <c r="M1419" s="15"/>
    </row>
    <row r="1420" spans="1:13" x14ac:dyDescent="0.25">
      <c r="A1420" s="23">
        <f t="shared" si="73"/>
        <v>156948</v>
      </c>
      <c r="B1420" s="14" t="str">
        <f t="shared" si="72"/>
        <v>Direct Debit (UMB Bank) - Credits</v>
      </c>
      <c r="C1420" s="38">
        <v>46157</v>
      </c>
      <c r="D1420" s="34">
        <v>156948</v>
      </c>
      <c r="E1420" s="36" t="str">
        <f>IF(Table3[[#This Row],[Type Received]]=2,"CC",(IF(Table3[[#This Row],[Type Received]]=3,"BILL","ACH")))</f>
        <v>ACH</v>
      </c>
      <c r="F1420" s="35">
        <v>45.39</v>
      </c>
      <c r="G1420" s="14" t="str">
        <f>VLOOKUP(D1420,Table4[],3,FALSE)</f>
        <v>1</v>
      </c>
      <c r="H1420" s="15"/>
      <c r="I1420" s="15"/>
      <c r="J1420" s="15" t="s">
        <v>87</v>
      </c>
      <c r="K1420" s="15">
        <v>696701774</v>
      </c>
      <c r="L1420" s="15" t="s">
        <v>29</v>
      </c>
      <c r="M1420" s="15"/>
    </row>
    <row r="1421" spans="1:13" x14ac:dyDescent="0.25">
      <c r="A1421" s="23">
        <f t="shared" si="73"/>
        <v>156630</v>
      </c>
      <c r="B1421" s="14" t="str">
        <f t="shared" si="72"/>
        <v>Direct Debit (UMB Bank) - Credits</v>
      </c>
      <c r="C1421" s="37">
        <v>46157</v>
      </c>
      <c r="D1421" s="31">
        <v>156630</v>
      </c>
      <c r="E1421" s="33" t="str">
        <f>IF(Table3[[#This Row],[Type Received]]=2,"CC",(IF(Table3[[#This Row],[Type Received]]=3,"BILL","ACH")))</f>
        <v>ACH</v>
      </c>
      <c r="F1421" s="32">
        <v>25.01</v>
      </c>
      <c r="G1421" s="14" t="str">
        <f>VLOOKUP(D1421,Table4[],3,FALSE)</f>
        <v>2</v>
      </c>
      <c r="H1421" s="15"/>
      <c r="I1421" s="15"/>
      <c r="J1421" s="15" t="s">
        <v>87</v>
      </c>
      <c r="K1421" s="15">
        <v>696710604</v>
      </c>
      <c r="L1421" s="15" t="s">
        <v>29</v>
      </c>
      <c r="M1421" s="15"/>
    </row>
    <row r="1422" spans="1:13" x14ac:dyDescent="0.25">
      <c r="A1422" s="23">
        <f t="shared" si="73"/>
        <v>156657</v>
      </c>
      <c r="B1422" s="14" t="str">
        <f t="shared" si="72"/>
        <v>Direct Debit (UMB Bank) - Credits</v>
      </c>
      <c r="C1422" s="38">
        <v>46145</v>
      </c>
      <c r="D1422" s="34">
        <v>156657</v>
      </c>
      <c r="E1422" s="36" t="str">
        <f>IF(Table3[[#This Row],[Type Received]]=2,"CC",(IF(Table3[[#This Row],[Type Received]]=3,"BILL","ACH")))</f>
        <v>ACH</v>
      </c>
      <c r="F1422" s="35">
        <v>8.73</v>
      </c>
      <c r="G1422" s="14" t="str">
        <f>VLOOKUP(D1422,Table4[],3,FALSE)</f>
        <v>1</v>
      </c>
      <c r="H1422" s="15"/>
      <c r="I1422" s="15"/>
      <c r="J1422" s="24" t="s">
        <v>113</v>
      </c>
      <c r="K1422" s="15">
        <v>546427423</v>
      </c>
      <c r="L1422" s="15" t="s">
        <v>29</v>
      </c>
      <c r="M1422" s="15"/>
    </row>
    <row r="1423" spans="1:13" x14ac:dyDescent="0.25">
      <c r="A1423" s="23">
        <f t="shared" si="73"/>
        <v>156659</v>
      </c>
      <c r="B1423" s="14" t="str">
        <f t="shared" si="72"/>
        <v>Direct Debit (UMB Bank) - Credits</v>
      </c>
      <c r="C1423" s="37">
        <v>46157</v>
      </c>
      <c r="D1423" s="31">
        <v>156659</v>
      </c>
      <c r="E1423" s="33" t="str">
        <f>IF(Table3[[#This Row],[Type Received]]=2,"CC",(IF(Table3[[#This Row],[Type Received]]=3,"BILL","ACH")))</f>
        <v>ACH</v>
      </c>
      <c r="F1423" s="32">
        <v>7.65</v>
      </c>
      <c r="G1423" s="14" t="str">
        <f>VLOOKUP(D1423,Table4[],3,FALSE)</f>
        <v>1</v>
      </c>
      <c r="H1423" s="15"/>
      <c r="I1423" s="15"/>
      <c r="J1423" s="15" t="s">
        <v>87</v>
      </c>
      <c r="K1423" s="15">
        <v>696706690</v>
      </c>
      <c r="L1423" s="15" t="s">
        <v>29</v>
      </c>
      <c r="M1423" s="15"/>
    </row>
    <row r="1424" spans="1:13" x14ac:dyDescent="0.25">
      <c r="A1424" s="23">
        <f t="shared" si="73"/>
        <v>156669</v>
      </c>
      <c r="B1424" s="14" t="str">
        <f t="shared" si="72"/>
        <v>Billing - Credits (from TPA)</v>
      </c>
      <c r="C1424" s="38">
        <v>46157</v>
      </c>
      <c r="D1424" s="34">
        <v>156669</v>
      </c>
      <c r="E1424" s="36" t="str">
        <f>IF(Table3[[#This Row],[Type Received]]=2,"CC",(IF(Table3[[#This Row],[Type Received]]=3,"BILL","ACH")))</f>
        <v>BILL</v>
      </c>
      <c r="F1424" s="35">
        <v>8.3699999999999992</v>
      </c>
      <c r="G1424" s="14" t="str">
        <f>VLOOKUP(D1424,Table4[],3,FALSE)</f>
        <v>1</v>
      </c>
      <c r="H1424" s="15"/>
      <c r="I1424" s="15"/>
      <c r="J1424" s="15" t="s">
        <v>87</v>
      </c>
      <c r="K1424" s="15">
        <v>696715445</v>
      </c>
      <c r="L1424" s="15" t="s">
        <v>29</v>
      </c>
      <c r="M1424" s="15"/>
    </row>
    <row r="1425" spans="1:13" x14ac:dyDescent="0.25">
      <c r="A1425" s="23">
        <f t="shared" si="73"/>
        <v>156717</v>
      </c>
      <c r="B1425" s="14" t="str">
        <f t="shared" si="72"/>
        <v>Billing - Credits (from TPA)</v>
      </c>
      <c r="C1425" s="37">
        <v>46147</v>
      </c>
      <c r="D1425" s="31">
        <v>156717</v>
      </c>
      <c r="E1425" s="33" t="str">
        <f>IF(Table3[[#This Row],[Type Received]]=2,"CC",(IF(Table3[[#This Row],[Type Received]]=3,"BILL","ACH")))</f>
        <v>BILL</v>
      </c>
      <c r="F1425" s="32">
        <v>55.48</v>
      </c>
      <c r="G1425" s="14" t="str">
        <f>VLOOKUP(D1425,Table4[],3,FALSE)</f>
        <v>2</v>
      </c>
      <c r="H1425" s="15">
        <v>2431</v>
      </c>
      <c r="I1425" s="15"/>
      <c r="J1425" s="15"/>
      <c r="K1425" s="15"/>
      <c r="L1425" s="15"/>
      <c r="M1425" s="15"/>
    </row>
    <row r="1426" spans="1:13" x14ac:dyDescent="0.25">
      <c r="A1426" s="23">
        <f t="shared" si="73"/>
        <v>156762</v>
      </c>
      <c r="B1426" s="14" t="str">
        <f t="shared" si="72"/>
        <v>Billing - Credits (from TPA)</v>
      </c>
      <c r="C1426" s="38">
        <v>46143</v>
      </c>
      <c r="D1426" s="34">
        <v>156762</v>
      </c>
      <c r="E1426" s="36" t="str">
        <f>IF(Table3[[#This Row],[Type Received]]=2,"CC",(IF(Table3[[#This Row],[Type Received]]=3,"BILL","ACH")))</f>
        <v>BILL</v>
      </c>
      <c r="F1426" s="35">
        <v>285.13</v>
      </c>
      <c r="G1426" s="14" t="str">
        <f>VLOOKUP(D1426,Table4[],3,FALSE)</f>
        <v>2</v>
      </c>
      <c r="H1426" s="15">
        <v>5115</v>
      </c>
      <c r="I1426" s="15"/>
      <c r="J1426" s="24"/>
      <c r="K1426" s="15"/>
      <c r="L1426" s="15"/>
      <c r="M1426" s="15"/>
    </row>
    <row r="1427" spans="1:13" x14ac:dyDescent="0.25">
      <c r="A1427" s="23">
        <f t="shared" si="73"/>
        <v>157169</v>
      </c>
      <c r="B1427" s="14" t="str">
        <f t="shared" si="72"/>
        <v>Direct Debit (UMB Bank) - Credits</v>
      </c>
      <c r="C1427" s="37">
        <v>46171</v>
      </c>
      <c r="D1427" s="31">
        <v>157169</v>
      </c>
      <c r="E1427" s="33" t="str">
        <f>IF(Table3[[#This Row],[Type Received]]=2,"CC",(IF(Table3[[#This Row],[Type Received]]=3,"BILL","ACH")))</f>
        <v>ACH</v>
      </c>
      <c r="F1427" s="32">
        <v>45.45</v>
      </c>
      <c r="G1427" s="14" t="str">
        <f>VLOOKUP(D1427,Table4[],3,FALSE)</f>
        <v>2</v>
      </c>
      <c r="H1427" s="15">
        <v>6926</v>
      </c>
      <c r="I1427" s="15"/>
      <c r="J1427" s="15"/>
      <c r="K1427" s="15"/>
      <c r="L1427" s="15"/>
      <c r="M1427" s="15"/>
    </row>
    <row r="1428" spans="1:13" x14ac:dyDescent="0.25">
      <c r="A1428" s="23">
        <f t="shared" si="73"/>
        <v>157173</v>
      </c>
      <c r="B1428" s="14" t="str">
        <f t="shared" si="72"/>
        <v>Direct Debit (UMB Bank) - Credits</v>
      </c>
      <c r="C1428" s="38">
        <v>46157</v>
      </c>
      <c r="D1428" s="34">
        <v>157173</v>
      </c>
      <c r="E1428" s="36" t="str">
        <f>IF(Table3[[#This Row],[Type Received]]=2,"CC",(IF(Table3[[#This Row],[Type Received]]=3,"BILL","ACH")))</f>
        <v>ACH</v>
      </c>
      <c r="F1428" s="35">
        <v>15.56</v>
      </c>
      <c r="G1428" s="14" t="str">
        <f>VLOOKUP(D1428,Table4[],3,FALSE)</f>
        <v>2</v>
      </c>
      <c r="H1428" s="15"/>
      <c r="I1428" s="15"/>
      <c r="J1428" s="15" t="s">
        <v>87</v>
      </c>
      <c r="K1428" s="15">
        <v>696713463</v>
      </c>
      <c r="L1428" s="15" t="s">
        <v>29</v>
      </c>
      <c r="M1428" s="15"/>
    </row>
    <row r="1429" spans="1:13" x14ac:dyDescent="0.25">
      <c r="A1429" s="23">
        <f t="shared" si="73"/>
        <v>157235</v>
      </c>
      <c r="B1429" s="14" t="str">
        <f t="shared" si="72"/>
        <v>Direct Debit (UMB Bank) - Credits</v>
      </c>
      <c r="C1429" s="37">
        <v>46145</v>
      </c>
      <c r="D1429" s="31">
        <v>157235</v>
      </c>
      <c r="E1429" s="33" t="str">
        <f>IF(Table3[[#This Row],[Type Received]]=2,"CC",(IF(Table3[[#This Row],[Type Received]]=3,"BILL","ACH")))</f>
        <v>ACH</v>
      </c>
      <c r="F1429" s="32">
        <v>8.91</v>
      </c>
      <c r="G1429" s="14" t="str">
        <f>VLOOKUP(D1429,Table4[],3,FALSE)</f>
        <v>1</v>
      </c>
      <c r="H1429" s="15"/>
      <c r="I1429" s="15"/>
      <c r="J1429" s="15" t="s">
        <v>113</v>
      </c>
      <c r="K1429" s="15">
        <v>546423690</v>
      </c>
      <c r="L1429" s="15" t="s">
        <v>29</v>
      </c>
      <c r="M1429" s="15"/>
    </row>
    <row r="1430" spans="1:13" x14ac:dyDescent="0.25">
      <c r="A1430" s="23">
        <f t="shared" si="73"/>
        <v>157268</v>
      </c>
      <c r="B1430" s="14" t="str">
        <f t="shared" si="72"/>
        <v>Direct Debit (UMB Bank) - Credits</v>
      </c>
      <c r="C1430" s="38">
        <v>46145</v>
      </c>
      <c r="D1430" s="34">
        <v>157268</v>
      </c>
      <c r="E1430" s="36" t="str">
        <f>IF(Table3[[#This Row],[Type Received]]=2,"CC",(IF(Table3[[#This Row],[Type Received]]=3,"BILL","ACH")))</f>
        <v>ACH</v>
      </c>
      <c r="F1430" s="35">
        <v>20.96</v>
      </c>
      <c r="G1430" s="14" t="str">
        <f>VLOOKUP(D1430,Table4[],3,FALSE)</f>
        <v>2</v>
      </c>
      <c r="H1430" s="15"/>
      <c r="I1430" s="15"/>
      <c r="J1430" s="15" t="s">
        <v>113</v>
      </c>
      <c r="K1430" s="15">
        <v>546422683</v>
      </c>
      <c r="L1430" s="15" t="s">
        <v>29</v>
      </c>
      <c r="M1430" s="15"/>
    </row>
    <row r="1431" spans="1:13" x14ac:dyDescent="0.25">
      <c r="A1431" s="23">
        <f t="shared" si="73"/>
        <v>157354</v>
      </c>
      <c r="B1431" s="14" t="str">
        <f t="shared" si="72"/>
        <v>Credit Cards (UMB) - Credits</v>
      </c>
      <c r="C1431" s="37">
        <v>46168</v>
      </c>
      <c r="D1431" s="31">
        <v>157354</v>
      </c>
      <c r="E1431" s="33" t="str">
        <f>IF(Table3[[#This Row],[Type Received]]=2,"CC",(IF(Table3[[#This Row],[Type Received]]=3,"BILL","ACH")))</f>
        <v>CC</v>
      </c>
      <c r="F1431" s="32">
        <v>30.14</v>
      </c>
      <c r="G1431" s="14" t="str">
        <f>VLOOKUP(D1431,Table4[],3,FALSE)</f>
        <v>2</v>
      </c>
      <c r="H1431" s="15"/>
      <c r="I1431" s="15"/>
      <c r="J1431" s="15" t="s">
        <v>110</v>
      </c>
      <c r="K1431" s="15">
        <v>828277386</v>
      </c>
      <c r="L1431" s="15" t="s">
        <v>29</v>
      </c>
      <c r="M1431" s="15"/>
    </row>
    <row r="1432" spans="1:13" x14ac:dyDescent="0.25">
      <c r="A1432" s="23">
        <f t="shared" si="73"/>
        <v>157607</v>
      </c>
      <c r="B1432" s="14" t="str">
        <f t="shared" si="72"/>
        <v>Billing - Credits (from TPA)</v>
      </c>
      <c r="C1432" s="38">
        <v>46155</v>
      </c>
      <c r="D1432" s="34">
        <v>157607</v>
      </c>
      <c r="E1432" s="36" t="str">
        <f>IF(Table3[[#This Row],[Type Received]]=2,"CC",(IF(Table3[[#This Row],[Type Received]]=3,"BILL","ACH")))</f>
        <v>BILL</v>
      </c>
      <c r="F1432" s="35">
        <v>19.420000000000002</v>
      </c>
      <c r="G1432" s="14" t="str">
        <f>VLOOKUP(D1432,Table4[],3,FALSE)</f>
        <v>2</v>
      </c>
      <c r="H1432" s="15"/>
      <c r="I1432" s="15" t="s">
        <v>218</v>
      </c>
      <c r="J1432" s="15" t="s">
        <v>28</v>
      </c>
      <c r="K1432" s="15">
        <v>669497239</v>
      </c>
      <c r="L1432" s="15" t="s">
        <v>29</v>
      </c>
      <c r="M1432" s="15"/>
    </row>
    <row r="1433" spans="1:13" x14ac:dyDescent="0.25">
      <c r="A1433" s="23">
        <f t="shared" si="73"/>
        <v>157686</v>
      </c>
      <c r="B1433" s="14" t="str">
        <f t="shared" si="72"/>
        <v>Direct Debit (UMB Bank) - Credits</v>
      </c>
      <c r="C1433" s="37">
        <v>46168</v>
      </c>
      <c r="D1433" s="31">
        <v>157686</v>
      </c>
      <c r="E1433" s="33" t="str">
        <f>IF(Table3[[#This Row],[Type Received]]=2,"CC",(IF(Table3[[#This Row],[Type Received]]=3,"BILL","ACH")))</f>
        <v>ACH</v>
      </c>
      <c r="F1433" s="32">
        <v>39.5</v>
      </c>
      <c r="G1433" s="14" t="str">
        <f>VLOOKUP(D1433,Table4[],3,FALSE)</f>
        <v>1</v>
      </c>
      <c r="H1433" s="15">
        <v>3552</v>
      </c>
      <c r="I1433" s="15"/>
      <c r="J1433" s="24"/>
      <c r="K1433" s="15"/>
      <c r="L1433" s="15"/>
      <c r="M1433" s="15"/>
    </row>
    <row r="1434" spans="1:13" x14ac:dyDescent="0.25">
      <c r="A1434" s="23">
        <f t="shared" si="73"/>
        <v>157704</v>
      </c>
      <c r="B1434" s="14" t="str">
        <f t="shared" si="72"/>
        <v>Direct Debit (UMB Bank) - Credits</v>
      </c>
      <c r="C1434" s="38">
        <v>46168</v>
      </c>
      <c r="D1434" s="34">
        <v>157704</v>
      </c>
      <c r="E1434" s="36" t="str">
        <f>IF(Table3[[#This Row],[Type Received]]=2,"CC",(IF(Table3[[#This Row],[Type Received]]=3,"BILL","ACH")))</f>
        <v>ACH</v>
      </c>
      <c r="F1434" s="35">
        <v>17.670000000000002</v>
      </c>
      <c r="G1434" s="14" t="str">
        <f>VLOOKUP(D1434,Table4[],3,FALSE)</f>
        <v>1</v>
      </c>
      <c r="H1434" s="15"/>
      <c r="I1434" s="15"/>
      <c r="J1434" s="15" t="s">
        <v>110</v>
      </c>
      <c r="K1434" s="15">
        <v>828278381</v>
      </c>
      <c r="L1434" s="15" t="s">
        <v>29</v>
      </c>
      <c r="M1434" s="15"/>
    </row>
    <row r="1435" spans="1:13" x14ac:dyDescent="0.25">
      <c r="A1435" s="23">
        <f t="shared" si="73"/>
        <v>157747</v>
      </c>
      <c r="B1435" s="14" t="str">
        <f t="shared" si="72"/>
        <v>Direct Debit (UMB Bank) - Credits</v>
      </c>
      <c r="C1435" s="37">
        <v>46157</v>
      </c>
      <c r="D1435" s="31">
        <v>157747</v>
      </c>
      <c r="E1435" s="33" t="str">
        <f>IF(Table3[[#This Row],[Type Received]]=2,"CC",(IF(Table3[[#This Row],[Type Received]]=3,"BILL","ACH")))</f>
        <v>ACH</v>
      </c>
      <c r="F1435" s="32">
        <v>80.45</v>
      </c>
      <c r="G1435" s="14" t="str">
        <f>VLOOKUP(D1435,Table4[],3,FALSE)</f>
        <v>2</v>
      </c>
      <c r="H1435" s="15"/>
      <c r="I1435" s="15"/>
      <c r="J1435" s="15" t="s">
        <v>87</v>
      </c>
      <c r="K1435" s="15">
        <v>696832873</v>
      </c>
      <c r="L1435" s="15" t="s">
        <v>29</v>
      </c>
      <c r="M1435" s="15"/>
    </row>
    <row r="1436" spans="1:13" x14ac:dyDescent="0.25">
      <c r="A1436" s="23">
        <f t="shared" si="73"/>
        <v>158005</v>
      </c>
      <c r="B1436" s="14" t="str">
        <f t="shared" si="72"/>
        <v>Direct Debit (UMB Bank) - Credits</v>
      </c>
      <c r="C1436" s="38">
        <v>46145</v>
      </c>
      <c r="D1436" s="34">
        <v>158005</v>
      </c>
      <c r="E1436" s="36" t="str">
        <f>IF(Table3[[#This Row],[Type Received]]=2,"CC",(IF(Table3[[#This Row],[Type Received]]=3,"BILL","ACH")))</f>
        <v>ACH</v>
      </c>
      <c r="F1436" s="35">
        <v>40.130000000000003</v>
      </c>
      <c r="G1436" s="14" t="str">
        <f>VLOOKUP(D1436,Table4[],3,FALSE)</f>
        <v>2</v>
      </c>
      <c r="H1436" s="15"/>
      <c r="I1436" s="15"/>
      <c r="J1436" s="24" t="s">
        <v>113</v>
      </c>
      <c r="K1436" s="15">
        <v>546431325</v>
      </c>
      <c r="L1436" s="15" t="s">
        <v>29</v>
      </c>
      <c r="M1436" s="15"/>
    </row>
    <row r="1437" spans="1:13" x14ac:dyDescent="0.25">
      <c r="A1437" s="23"/>
      <c r="B1437" s="14" t="str">
        <f t="shared" si="72"/>
        <v>Direct Debit (UMB Bank) - Credits</v>
      </c>
      <c r="C1437" s="37">
        <v>46168</v>
      </c>
      <c r="D1437" s="31">
        <v>158017</v>
      </c>
      <c r="E1437" s="33" t="str">
        <f>IF(Table3[[#This Row],[Type Received]]=2,"CC",(IF(Table3[[#This Row],[Type Received]]=3,"BILL","ACH")))</f>
        <v>ACH</v>
      </c>
      <c r="F1437" s="32">
        <v>20.96</v>
      </c>
      <c r="G1437" s="14" t="str">
        <f>VLOOKUP(D1437,Table4[],3,FALSE)</f>
        <v>2</v>
      </c>
      <c r="H1437" s="15"/>
      <c r="I1437" s="15"/>
      <c r="J1437" s="15" t="s">
        <v>110</v>
      </c>
      <c r="K1437" s="15">
        <v>828278400</v>
      </c>
      <c r="L1437" s="15" t="s">
        <v>29</v>
      </c>
      <c r="M1437" s="15"/>
    </row>
    <row r="1438" spans="1:13" x14ac:dyDescent="0.25">
      <c r="A1438" s="23"/>
      <c r="B1438" s="14" t="str">
        <f t="shared" si="72"/>
        <v>Direct Debit (UMB Bank) - Credits</v>
      </c>
      <c r="C1438" s="38">
        <v>46145</v>
      </c>
      <c r="D1438" s="34">
        <v>158022</v>
      </c>
      <c r="E1438" s="36" t="str">
        <f>IF(Table3[[#This Row],[Type Received]]=2,"CC",(IF(Table3[[#This Row],[Type Received]]=3,"BILL","ACH")))</f>
        <v>ACH</v>
      </c>
      <c r="F1438" s="35">
        <v>16.37</v>
      </c>
      <c r="G1438" s="14" t="str">
        <f>VLOOKUP(D1438,Table4[],3,FALSE)</f>
        <v>2</v>
      </c>
      <c r="H1438" s="15"/>
      <c r="I1438" s="15"/>
      <c r="J1438" s="15" t="s">
        <v>113</v>
      </c>
      <c r="K1438" s="15">
        <v>546422695</v>
      </c>
      <c r="L1438" s="15" t="s">
        <v>29</v>
      </c>
      <c r="M1438" s="15"/>
    </row>
    <row r="1439" spans="1:13" x14ac:dyDescent="0.25">
      <c r="A1439" s="23">
        <f t="shared" ref="A1439:A1450" si="74">D1439</f>
        <v>158025</v>
      </c>
      <c r="B1439" s="14" t="str">
        <f t="shared" si="72"/>
        <v>Direct Debit (UMB Bank) - Credits</v>
      </c>
      <c r="C1439" s="37">
        <v>46144</v>
      </c>
      <c r="D1439" s="31">
        <v>158025</v>
      </c>
      <c r="E1439" s="33" t="str">
        <f>IF(Table3[[#This Row],[Type Received]]=2,"CC",(IF(Table3[[#This Row],[Type Received]]=3,"BILL","ACH")))</f>
        <v>ACH</v>
      </c>
      <c r="F1439" s="32">
        <v>21.05</v>
      </c>
      <c r="G1439" s="14" t="str">
        <f>VLOOKUP(D1439,Table4[],3,FALSE)</f>
        <v>1</v>
      </c>
      <c r="H1439" s="15"/>
      <c r="I1439" s="15"/>
      <c r="J1439" s="15" t="s">
        <v>89</v>
      </c>
      <c r="K1439" s="15">
        <v>535338763</v>
      </c>
      <c r="L1439" s="15" t="s">
        <v>29</v>
      </c>
      <c r="M1439" s="15"/>
    </row>
    <row r="1440" spans="1:13" x14ac:dyDescent="0.25">
      <c r="A1440" s="23">
        <f t="shared" si="74"/>
        <v>158038</v>
      </c>
      <c r="B1440" s="14" t="str">
        <f t="shared" si="72"/>
        <v>Billing - Credits (from TPA)</v>
      </c>
      <c r="C1440" s="38">
        <v>46145</v>
      </c>
      <c r="D1440" s="34">
        <v>158038</v>
      </c>
      <c r="E1440" s="36" t="str">
        <f>IF(Table3[[#This Row],[Type Received]]=2,"CC",(IF(Table3[[#This Row],[Type Received]]=3,"BILL","ACH")))</f>
        <v>BILL</v>
      </c>
      <c r="F1440" s="35">
        <v>16.190000000000001</v>
      </c>
      <c r="G1440" s="14" t="str">
        <f>VLOOKUP(D1440,Table4[],3,FALSE)</f>
        <v>1</v>
      </c>
      <c r="H1440" s="15"/>
      <c r="I1440" s="15"/>
      <c r="J1440" s="24" t="s">
        <v>113</v>
      </c>
      <c r="K1440" s="15">
        <v>546426577</v>
      </c>
      <c r="L1440" s="15" t="s">
        <v>29</v>
      </c>
      <c r="M1440" s="15"/>
    </row>
    <row r="1441" spans="1:13" x14ac:dyDescent="0.25">
      <c r="A1441" s="23">
        <f t="shared" si="74"/>
        <v>158119</v>
      </c>
      <c r="B1441" s="14" t="str">
        <f t="shared" si="72"/>
        <v>Direct Debit (UMB Bank) - Credits</v>
      </c>
      <c r="C1441" s="37">
        <v>46168</v>
      </c>
      <c r="D1441" s="31">
        <v>158119</v>
      </c>
      <c r="E1441" s="33" t="str">
        <f>IF(Table3[[#This Row],[Type Received]]=2,"CC",(IF(Table3[[#This Row],[Type Received]]=3,"BILL","ACH")))</f>
        <v>ACH</v>
      </c>
      <c r="F1441" s="32">
        <v>33.57</v>
      </c>
      <c r="G1441" s="14" t="str">
        <f>VLOOKUP(D1441,Table4[],3,FALSE)</f>
        <v>2</v>
      </c>
      <c r="H1441" s="15">
        <v>19825278913</v>
      </c>
      <c r="I1441" s="15"/>
      <c r="J1441" s="15"/>
      <c r="K1441" s="15"/>
      <c r="L1441" s="15"/>
      <c r="M1441" s="15"/>
    </row>
    <row r="1442" spans="1:13" x14ac:dyDescent="0.25">
      <c r="A1442" s="23">
        <f t="shared" si="74"/>
        <v>158199</v>
      </c>
      <c r="B1442" s="14" t="str">
        <f t="shared" si="72"/>
        <v>Credit Cards (UMB) - Credits</v>
      </c>
      <c r="C1442" s="38">
        <v>46157</v>
      </c>
      <c r="D1442" s="34">
        <v>158199</v>
      </c>
      <c r="E1442" s="36" t="str">
        <f>IF(Table3[[#This Row],[Type Received]]=2,"CC",(IF(Table3[[#This Row],[Type Received]]=3,"BILL","ACH")))</f>
        <v>CC</v>
      </c>
      <c r="F1442" s="35">
        <v>8.9499999999999993</v>
      </c>
      <c r="G1442" s="14" t="str">
        <f>VLOOKUP(D1442,Table4[],3,FALSE)</f>
        <v>1</v>
      </c>
      <c r="H1442" s="15"/>
      <c r="I1442" s="15"/>
      <c r="J1442" s="15" t="s">
        <v>87</v>
      </c>
      <c r="K1442" s="15">
        <v>696701789</v>
      </c>
      <c r="L1442" s="15" t="s">
        <v>29</v>
      </c>
      <c r="M1442" s="15"/>
    </row>
    <row r="1443" spans="1:13" x14ac:dyDescent="0.25">
      <c r="A1443" s="23">
        <f t="shared" si="74"/>
        <v>157981</v>
      </c>
      <c r="B1443" s="14" t="str">
        <f t="shared" si="72"/>
        <v>Credit Cards (UMB) - Credits</v>
      </c>
      <c r="C1443" s="37">
        <v>46150</v>
      </c>
      <c r="D1443" s="31">
        <v>157981</v>
      </c>
      <c r="E1443" s="33" t="str">
        <f>IF(Table3[[#This Row],[Type Received]]=2,"CC",(IF(Table3[[#This Row],[Type Received]]=3,"BILL","ACH")))</f>
        <v>CC</v>
      </c>
      <c r="F1443" s="32">
        <v>10.35</v>
      </c>
      <c r="G1443" s="14" t="str">
        <f>VLOOKUP(D1443,Table4[],3,FALSE)</f>
        <v>1</v>
      </c>
      <c r="H1443" s="15"/>
      <c r="I1443" s="15">
        <v>15892</v>
      </c>
      <c r="J1443" s="15" t="s">
        <v>28</v>
      </c>
      <c r="K1443" s="15">
        <v>613660519</v>
      </c>
      <c r="L1443" s="15" t="s">
        <v>29</v>
      </c>
      <c r="M1443" s="15"/>
    </row>
    <row r="1444" spans="1:13" x14ac:dyDescent="0.25">
      <c r="A1444" s="23">
        <f t="shared" si="74"/>
        <v>158427</v>
      </c>
      <c r="B1444" s="14" t="str">
        <f t="shared" si="72"/>
        <v>Billing - Credits (from TPA)</v>
      </c>
      <c r="C1444" s="38">
        <v>46143</v>
      </c>
      <c r="D1444" s="34">
        <v>158427</v>
      </c>
      <c r="E1444" s="36" t="str">
        <f>IF(Table3[[#This Row],[Type Received]]=2,"CC",(IF(Table3[[#This Row],[Type Received]]=3,"BILL","ACH")))</f>
        <v>BILL</v>
      </c>
      <c r="F1444" s="35">
        <v>26.91</v>
      </c>
      <c r="G1444" s="14" t="str">
        <f>VLOOKUP(D1444,Table4[],3,FALSE)</f>
        <v>1</v>
      </c>
      <c r="H1444" s="15"/>
      <c r="I1444" s="15">
        <v>20551</v>
      </c>
      <c r="J1444" s="15" t="s">
        <v>28</v>
      </c>
      <c r="K1444" s="15">
        <v>523433409</v>
      </c>
      <c r="L1444" s="15" t="s">
        <v>29</v>
      </c>
      <c r="M1444" s="15"/>
    </row>
    <row r="1445" spans="1:13" x14ac:dyDescent="0.25">
      <c r="A1445" s="23">
        <f t="shared" si="74"/>
        <v>158430</v>
      </c>
      <c r="B1445" s="14" t="str">
        <f t="shared" si="72"/>
        <v>Billing - Credits (from TPA)</v>
      </c>
      <c r="C1445" s="37">
        <v>46171</v>
      </c>
      <c r="D1445" s="31">
        <v>158430</v>
      </c>
      <c r="E1445" s="33" t="str">
        <f>IF(Table3[[#This Row],[Type Received]]=2,"CC",(IF(Table3[[#This Row],[Type Received]]=3,"BILL","ACH")))</f>
        <v>BILL</v>
      </c>
      <c r="F1445" s="32">
        <v>37.35</v>
      </c>
      <c r="G1445" s="14" t="str">
        <f>VLOOKUP(D1445,Table4[],3,FALSE)</f>
        <v>2</v>
      </c>
      <c r="H1445" s="15">
        <v>3620</v>
      </c>
      <c r="I1445" s="15"/>
      <c r="J1445" s="15"/>
      <c r="K1445" s="15"/>
      <c r="L1445" s="15"/>
      <c r="M1445" s="15"/>
    </row>
    <row r="1446" spans="1:13" x14ac:dyDescent="0.25">
      <c r="A1446" s="23">
        <f t="shared" si="74"/>
        <v>158430</v>
      </c>
      <c r="B1446" s="14" t="str">
        <f t="shared" si="72"/>
        <v>Billing - Credits (from TPA)</v>
      </c>
      <c r="C1446" s="38">
        <v>46146</v>
      </c>
      <c r="D1446" s="34">
        <v>158430</v>
      </c>
      <c r="E1446" s="36" t="str">
        <f>IF(Table3[[#This Row],[Type Received]]=2,"CC",(IF(Table3[[#This Row],[Type Received]]=3,"BILL","ACH")))</f>
        <v>BILL</v>
      </c>
      <c r="F1446" s="35">
        <v>37.35</v>
      </c>
      <c r="G1446" s="14" t="str">
        <f>VLOOKUP(D1446,Table4[],3,FALSE)</f>
        <v>2</v>
      </c>
      <c r="H1446" s="15">
        <v>3607</v>
      </c>
      <c r="I1446" s="15"/>
      <c r="J1446" s="15"/>
      <c r="K1446" s="15"/>
      <c r="L1446" s="15"/>
      <c r="M1446" s="15"/>
    </row>
    <row r="1447" spans="1:13" x14ac:dyDescent="0.25">
      <c r="A1447" s="23">
        <f t="shared" si="74"/>
        <v>158562</v>
      </c>
      <c r="B1447" s="14" t="str">
        <f t="shared" si="72"/>
        <v>Direct Debit (UMB Bank) - Credits</v>
      </c>
      <c r="C1447" s="37">
        <v>46143</v>
      </c>
      <c r="D1447" s="31">
        <v>158562</v>
      </c>
      <c r="E1447" s="33" t="str">
        <f>IF(Table3[[#This Row],[Type Received]]=2,"CC",(IF(Table3[[#This Row],[Type Received]]=3,"BILL","ACH")))</f>
        <v>ACH</v>
      </c>
      <c r="F1447" s="32">
        <v>10.85</v>
      </c>
      <c r="G1447" s="14" t="str">
        <f>VLOOKUP(D1447,Table4[],3,FALSE)</f>
        <v>2</v>
      </c>
      <c r="H1447" s="15">
        <v>987482</v>
      </c>
      <c r="I1447" s="15"/>
      <c r="J1447" s="15"/>
      <c r="K1447" s="15"/>
      <c r="L1447" s="15"/>
      <c r="M1447" s="15"/>
    </row>
    <row r="1448" spans="1:13" x14ac:dyDescent="0.25">
      <c r="A1448" s="23">
        <f t="shared" si="74"/>
        <v>158595</v>
      </c>
      <c r="B1448" s="14" t="str">
        <f t="shared" si="72"/>
        <v>Direct Debit (UMB Bank) - Credits</v>
      </c>
      <c r="C1448" s="38">
        <v>46155</v>
      </c>
      <c r="D1448" s="34">
        <v>158595</v>
      </c>
      <c r="E1448" s="36" t="str">
        <f>IF(Table3[[#This Row],[Type Received]]=2,"CC",(IF(Table3[[#This Row],[Type Received]]=3,"BILL","ACH")))</f>
        <v>ACH</v>
      </c>
      <c r="F1448" s="35">
        <v>32.840000000000003</v>
      </c>
      <c r="G1448" s="14" t="str">
        <f>VLOOKUP(D1448,Table4[],3,FALSE)</f>
        <v>2</v>
      </c>
      <c r="H1448" s="15"/>
      <c r="I1448" s="15"/>
      <c r="J1448" s="15" t="s">
        <v>90</v>
      </c>
      <c r="K1448" s="15">
        <v>669479718</v>
      </c>
      <c r="L1448" s="15" t="s">
        <v>29</v>
      </c>
      <c r="M1448" s="15"/>
    </row>
    <row r="1449" spans="1:13" x14ac:dyDescent="0.25">
      <c r="A1449" s="23">
        <f t="shared" si="74"/>
        <v>158201</v>
      </c>
      <c r="B1449" s="14" t="str">
        <f t="shared" si="72"/>
        <v>Direct Debit (UMB Bank) - Credits</v>
      </c>
      <c r="C1449" s="37">
        <v>46145</v>
      </c>
      <c r="D1449" s="31">
        <v>158201</v>
      </c>
      <c r="E1449" s="33" t="str">
        <f>IF(Table3[[#This Row],[Type Received]]=2,"CC",(IF(Table3[[#This Row],[Type Received]]=3,"BILL","ACH")))</f>
        <v>ACH</v>
      </c>
      <c r="F1449" s="32">
        <v>15.47</v>
      </c>
      <c r="G1449" s="14" t="str">
        <f>VLOOKUP(D1449,Table4[],3,FALSE)</f>
        <v>1</v>
      </c>
      <c r="H1449" s="15"/>
      <c r="I1449" s="15"/>
      <c r="J1449" s="15" t="s">
        <v>113</v>
      </c>
      <c r="K1449" s="15">
        <v>546435247</v>
      </c>
      <c r="L1449" s="15" t="s">
        <v>29</v>
      </c>
      <c r="M1449" s="15"/>
    </row>
    <row r="1450" spans="1:13" x14ac:dyDescent="0.25">
      <c r="A1450" s="23">
        <f t="shared" si="74"/>
        <v>158308</v>
      </c>
      <c r="B1450" s="14" t="str">
        <f t="shared" si="72"/>
        <v>Direct Debit (UMB Bank) - Credits</v>
      </c>
      <c r="C1450" s="38">
        <v>46167</v>
      </c>
      <c r="D1450" s="34">
        <v>158308</v>
      </c>
      <c r="E1450" s="36" t="str">
        <f>IF(Table3[[#This Row],[Type Received]]=2,"CC",(IF(Table3[[#This Row],[Type Received]]=3,"BILL","ACH")))</f>
        <v>ACH</v>
      </c>
      <c r="F1450" s="35">
        <v>27.17</v>
      </c>
      <c r="G1450" s="14" t="str">
        <f>VLOOKUP(D1450,Table4[],3,FALSE)</f>
        <v>2</v>
      </c>
      <c r="H1450" s="15"/>
      <c r="I1450" s="15"/>
      <c r="J1450" s="15" t="s">
        <v>85</v>
      </c>
      <c r="K1450" s="15">
        <v>818359253</v>
      </c>
      <c r="L1450" s="15" t="s">
        <v>29</v>
      </c>
      <c r="M1450" s="15"/>
    </row>
    <row r="1451" spans="1:13" x14ac:dyDescent="0.25">
      <c r="A1451" s="23"/>
      <c r="B1451" s="14" t="str">
        <f t="shared" si="72"/>
        <v>Direct Debit (UMB Bank) - Credits</v>
      </c>
      <c r="C1451" s="37">
        <v>46145</v>
      </c>
      <c r="D1451" s="31">
        <v>158311</v>
      </c>
      <c r="E1451" s="33" t="str">
        <f>IF(Table3[[#This Row],[Type Received]]=2,"CC",(IF(Table3[[#This Row],[Type Received]]=3,"BILL","ACH")))</f>
        <v>ACH</v>
      </c>
      <c r="F1451" s="32">
        <v>14.75</v>
      </c>
      <c r="G1451" s="14" t="str">
        <f>VLOOKUP(D1451,Table4[],3,FALSE)</f>
        <v>2</v>
      </c>
      <c r="H1451" s="15"/>
      <c r="I1451" s="15"/>
      <c r="J1451" s="24" t="s">
        <v>113</v>
      </c>
      <c r="K1451" s="15">
        <v>546431346</v>
      </c>
      <c r="L1451" s="15" t="s">
        <v>29</v>
      </c>
      <c r="M1451" s="15"/>
    </row>
    <row r="1452" spans="1:13" x14ac:dyDescent="0.25">
      <c r="A1452" s="23"/>
      <c r="B1452" s="14" t="str">
        <f t="shared" si="72"/>
        <v>Billing - Credits (from TPA)</v>
      </c>
      <c r="C1452" s="38">
        <v>46145</v>
      </c>
      <c r="D1452" s="34">
        <v>158330</v>
      </c>
      <c r="E1452" s="36" t="str">
        <f>IF(Table3[[#This Row],[Type Received]]=2,"CC",(IF(Table3[[#This Row],[Type Received]]=3,"BILL","ACH")))</f>
        <v>BILL</v>
      </c>
      <c r="F1452" s="35">
        <v>106.86</v>
      </c>
      <c r="G1452" s="14" t="str">
        <f>VLOOKUP(D1452,Table4[],3,FALSE)</f>
        <v>2</v>
      </c>
      <c r="H1452" s="15"/>
      <c r="I1452" s="15"/>
      <c r="J1452" s="15" t="s">
        <v>113</v>
      </c>
      <c r="K1452" s="15">
        <v>546420871</v>
      </c>
      <c r="L1452" s="15" t="s">
        <v>29</v>
      </c>
      <c r="M1452" s="15"/>
    </row>
    <row r="1453" spans="1:13" x14ac:dyDescent="0.25">
      <c r="A1453" s="23"/>
      <c r="B1453" s="14" t="str">
        <f t="shared" si="72"/>
        <v>Direct Debit (UMB Bank) - Credits</v>
      </c>
      <c r="C1453" s="37">
        <v>46150</v>
      </c>
      <c r="D1453" s="31">
        <v>158834</v>
      </c>
      <c r="E1453" s="33" t="str">
        <f>IF(Table3[[#This Row],[Type Received]]=2,"CC",(IF(Table3[[#This Row],[Type Received]]=3,"BILL","ACH")))</f>
        <v>ACH</v>
      </c>
      <c r="F1453" s="32">
        <v>55.39</v>
      </c>
      <c r="G1453" s="14" t="str">
        <f>VLOOKUP(D1453,Table4[],3,FALSE)</f>
        <v>1</v>
      </c>
      <c r="H1453" s="15">
        <v>5043</v>
      </c>
      <c r="I1453" s="15"/>
      <c r="J1453" s="15"/>
      <c r="K1453" s="15"/>
      <c r="L1453" s="15"/>
      <c r="M1453" s="15"/>
    </row>
    <row r="1454" spans="1:13" x14ac:dyDescent="0.25">
      <c r="A1454" s="23">
        <f t="shared" ref="A1454:A1485" si="75">D1454</f>
        <v>158969</v>
      </c>
      <c r="B1454" s="14" t="str">
        <f t="shared" si="72"/>
        <v>Billing - Credits (from TPA)</v>
      </c>
      <c r="C1454" s="38">
        <v>46167</v>
      </c>
      <c r="D1454" s="34">
        <v>158969</v>
      </c>
      <c r="E1454" s="36" t="str">
        <f>IF(Table3[[#This Row],[Type Received]]=2,"CC",(IF(Table3[[#This Row],[Type Received]]=3,"BILL","ACH")))</f>
        <v>BILL</v>
      </c>
      <c r="F1454" s="35">
        <v>16.73</v>
      </c>
      <c r="G1454" s="14" t="str">
        <f>VLOOKUP(D1454,Table4[],3,FALSE)</f>
        <v>1</v>
      </c>
      <c r="H1454" s="15"/>
      <c r="I1454" s="15"/>
      <c r="J1454" s="15" t="s">
        <v>85</v>
      </c>
      <c r="K1454" s="15">
        <v>818360254</v>
      </c>
      <c r="L1454" s="15" t="s">
        <v>29</v>
      </c>
      <c r="M1454" s="15"/>
    </row>
    <row r="1455" spans="1:13" x14ac:dyDescent="0.25">
      <c r="A1455" s="23">
        <f t="shared" si="75"/>
        <v>159090</v>
      </c>
      <c r="B1455" s="14" t="str">
        <f t="shared" si="72"/>
        <v>Direct Debit (UMB Bank) - Credits</v>
      </c>
      <c r="C1455" s="37">
        <v>46163</v>
      </c>
      <c r="D1455" s="31">
        <v>159090</v>
      </c>
      <c r="E1455" s="33" t="str">
        <f>IF(Table3[[#This Row],[Type Received]]=2,"CC",(IF(Table3[[#This Row],[Type Received]]=3,"BILL","ACH")))</f>
        <v>ACH</v>
      </c>
      <c r="F1455" s="32">
        <v>19.489999999999998</v>
      </c>
      <c r="G1455" s="14" t="str">
        <f>VLOOKUP(D1455,Table4[],3,FALSE)</f>
        <v>2</v>
      </c>
      <c r="H1455" s="15">
        <v>19817734781</v>
      </c>
      <c r="I1455" s="15"/>
      <c r="J1455" s="15"/>
      <c r="K1455" s="15"/>
      <c r="L1455" s="15"/>
      <c r="M1455" s="15"/>
    </row>
    <row r="1456" spans="1:13" x14ac:dyDescent="0.25">
      <c r="A1456" s="23">
        <f t="shared" si="75"/>
        <v>159116</v>
      </c>
      <c r="B1456" s="14" t="str">
        <f t="shared" si="72"/>
        <v>Direct Debit (UMB Bank) - Credits</v>
      </c>
      <c r="C1456" s="38">
        <v>46145</v>
      </c>
      <c r="D1456" s="34">
        <v>159116</v>
      </c>
      <c r="E1456" s="36" t="str">
        <f>IF(Table3[[#This Row],[Type Received]]=2,"CC",(IF(Table3[[#This Row],[Type Received]]=3,"BILL","ACH")))</f>
        <v>ACH</v>
      </c>
      <c r="F1456" s="35">
        <v>15.25</v>
      </c>
      <c r="G1456" s="14" t="str">
        <f>VLOOKUP(D1456,Table4[],3,FALSE)</f>
        <v>2</v>
      </c>
      <c r="H1456" s="15"/>
      <c r="I1456" s="15"/>
      <c r="J1456" s="15" t="s">
        <v>113</v>
      </c>
      <c r="K1456" s="15">
        <v>546436239</v>
      </c>
      <c r="L1456" s="15" t="s">
        <v>29</v>
      </c>
      <c r="M1456" s="15"/>
    </row>
    <row r="1457" spans="1:13" x14ac:dyDescent="0.25">
      <c r="A1457" s="23">
        <f t="shared" si="75"/>
        <v>159255</v>
      </c>
      <c r="B1457" s="14" t="str">
        <f t="shared" si="72"/>
        <v>Direct Debit (UMB Bank) - Credits</v>
      </c>
      <c r="C1457" s="37">
        <v>46157</v>
      </c>
      <c r="D1457" s="31">
        <v>159255</v>
      </c>
      <c r="E1457" s="33" t="str">
        <f>IF(Table3[[#This Row],[Type Received]]=2,"CC",(IF(Table3[[#This Row],[Type Received]]=3,"BILL","ACH")))</f>
        <v>ACH</v>
      </c>
      <c r="F1457" s="32">
        <v>12.19</v>
      </c>
      <c r="G1457" s="14" t="str">
        <f>VLOOKUP(D1457,Table4[],3,FALSE)</f>
        <v>1</v>
      </c>
      <c r="H1457" s="15"/>
      <c r="I1457" s="15"/>
      <c r="J1457" s="15" t="s">
        <v>87</v>
      </c>
      <c r="K1457" s="15">
        <v>696712519</v>
      </c>
      <c r="L1457" s="15" t="s">
        <v>29</v>
      </c>
      <c r="M1457" s="15"/>
    </row>
    <row r="1458" spans="1:13" x14ac:dyDescent="0.25">
      <c r="A1458" s="23">
        <f t="shared" si="75"/>
        <v>159265</v>
      </c>
      <c r="B1458" s="14" t="str">
        <f t="shared" si="72"/>
        <v>Direct Debit (UMB Bank) - Credits</v>
      </c>
      <c r="C1458" s="38">
        <v>46145</v>
      </c>
      <c r="D1458" s="34">
        <v>159265</v>
      </c>
      <c r="E1458" s="36" t="str">
        <f>IF(Table3[[#This Row],[Type Received]]=2,"CC",(IF(Table3[[#This Row],[Type Received]]=3,"BILL","ACH")))</f>
        <v>ACH</v>
      </c>
      <c r="F1458" s="35">
        <v>13.63</v>
      </c>
      <c r="G1458" s="14" t="str">
        <f>VLOOKUP(D1458,Table4[],3,FALSE)</f>
        <v>1</v>
      </c>
      <c r="H1458" s="15"/>
      <c r="I1458" s="15"/>
      <c r="J1458" s="15" t="s">
        <v>113</v>
      </c>
      <c r="K1458" s="15">
        <v>546423757</v>
      </c>
      <c r="L1458" s="15" t="s">
        <v>29</v>
      </c>
      <c r="M1458" s="15"/>
    </row>
    <row r="1459" spans="1:13" x14ac:dyDescent="0.25">
      <c r="A1459" s="23">
        <f t="shared" si="75"/>
        <v>159284</v>
      </c>
      <c r="B1459" s="14" t="str">
        <f t="shared" si="72"/>
        <v>Credit Cards (UMB) - Credits</v>
      </c>
      <c r="C1459" s="37">
        <v>46167</v>
      </c>
      <c r="D1459" s="31">
        <v>159284</v>
      </c>
      <c r="E1459" s="33" t="str">
        <f>IF(Table3[[#This Row],[Type Received]]=2,"CC",(IF(Table3[[#This Row],[Type Received]]=3,"BILL","ACH")))</f>
        <v>CC</v>
      </c>
      <c r="F1459" s="32">
        <v>33.07</v>
      </c>
      <c r="G1459" s="14" t="str">
        <f>VLOOKUP(D1459,Table4[],3,FALSE)</f>
        <v>2</v>
      </c>
      <c r="H1459" s="15"/>
      <c r="I1459" s="15"/>
      <c r="J1459" s="24" t="s">
        <v>85</v>
      </c>
      <c r="K1459" s="15">
        <v>818340921</v>
      </c>
      <c r="L1459" s="15" t="s">
        <v>29</v>
      </c>
      <c r="M1459" s="15"/>
    </row>
    <row r="1460" spans="1:13" x14ac:dyDescent="0.25">
      <c r="A1460" s="23">
        <f t="shared" si="75"/>
        <v>159293</v>
      </c>
      <c r="B1460" s="14" t="str">
        <f t="shared" si="72"/>
        <v>Direct Debit (UMB Bank) - Credits</v>
      </c>
      <c r="C1460" s="38">
        <v>46167</v>
      </c>
      <c r="D1460" s="34">
        <v>159293</v>
      </c>
      <c r="E1460" s="36" t="str">
        <f>IF(Table3[[#This Row],[Type Received]]=2,"CC",(IF(Table3[[#This Row],[Type Received]]=3,"BILL","ACH")))</f>
        <v>ACH</v>
      </c>
      <c r="F1460" s="35">
        <v>13.19</v>
      </c>
      <c r="G1460" s="14" t="str">
        <f>VLOOKUP(D1460,Table4[],3,FALSE)</f>
        <v>1</v>
      </c>
      <c r="H1460" s="15"/>
      <c r="I1460" s="15">
        <v>647905</v>
      </c>
      <c r="J1460" s="15">
        <v>748612213</v>
      </c>
      <c r="K1460" s="15">
        <v>355719131</v>
      </c>
      <c r="L1460" s="15"/>
      <c r="M1460" s="15"/>
    </row>
    <row r="1461" spans="1:13" x14ac:dyDescent="0.25">
      <c r="A1461" s="23">
        <f t="shared" si="75"/>
        <v>159297</v>
      </c>
      <c r="B1461" s="14" t="str">
        <f t="shared" si="72"/>
        <v>Direct Debit (UMB Bank) - Credits</v>
      </c>
      <c r="C1461" s="37">
        <v>46145</v>
      </c>
      <c r="D1461" s="31">
        <v>159297</v>
      </c>
      <c r="E1461" s="33" t="str">
        <f>IF(Table3[[#This Row],[Type Received]]=2,"CC",(IF(Table3[[#This Row],[Type Received]]=3,"BILL","ACH")))</f>
        <v>ACH</v>
      </c>
      <c r="F1461" s="32">
        <v>11.83</v>
      </c>
      <c r="G1461" s="14" t="str">
        <f>VLOOKUP(D1461,Table4[],3,FALSE)</f>
        <v>1</v>
      </c>
      <c r="H1461" s="15"/>
      <c r="I1461" s="15"/>
      <c r="J1461" s="15" t="s">
        <v>113</v>
      </c>
      <c r="K1461" s="15">
        <v>546421824</v>
      </c>
      <c r="L1461" s="15" t="s">
        <v>29</v>
      </c>
      <c r="M1461" s="15"/>
    </row>
    <row r="1462" spans="1:13" x14ac:dyDescent="0.25">
      <c r="A1462" s="23">
        <f t="shared" si="75"/>
        <v>159301</v>
      </c>
      <c r="B1462" s="14" t="str">
        <f t="shared" si="72"/>
        <v>Direct Debit (UMB Bank) - Credits</v>
      </c>
      <c r="C1462" s="38">
        <v>46157</v>
      </c>
      <c r="D1462" s="34">
        <v>159301</v>
      </c>
      <c r="E1462" s="36" t="str">
        <f>IF(Table3[[#This Row],[Type Received]]=2,"CC",(IF(Table3[[#This Row],[Type Received]]=3,"BILL","ACH")))</f>
        <v>ACH</v>
      </c>
      <c r="F1462" s="35">
        <v>10.75</v>
      </c>
      <c r="G1462" s="14" t="str">
        <f>VLOOKUP(D1462,Table4[],3,FALSE)</f>
        <v>1</v>
      </c>
      <c r="H1462" s="15"/>
      <c r="I1462" s="15"/>
      <c r="J1462" s="24" t="s">
        <v>87</v>
      </c>
      <c r="K1462" s="15">
        <v>696713489</v>
      </c>
      <c r="L1462" s="15" t="s">
        <v>29</v>
      </c>
      <c r="M1462" s="15"/>
    </row>
    <row r="1463" spans="1:13" x14ac:dyDescent="0.25">
      <c r="A1463" s="23">
        <f t="shared" si="75"/>
        <v>159331</v>
      </c>
      <c r="B1463" s="14" t="str">
        <f t="shared" si="72"/>
        <v>Credit Cards (UMB) - Credits</v>
      </c>
      <c r="C1463" s="37">
        <v>46145</v>
      </c>
      <c r="D1463" s="31">
        <v>159331</v>
      </c>
      <c r="E1463" s="33" t="str">
        <f>IF(Table3[[#This Row],[Type Received]]=2,"CC",(IF(Table3[[#This Row],[Type Received]]=3,"BILL","ACH")))</f>
        <v>CC</v>
      </c>
      <c r="F1463" s="32">
        <v>14.35</v>
      </c>
      <c r="G1463" s="14" t="str">
        <f>VLOOKUP(D1463,Table4[],3,FALSE)</f>
        <v>1</v>
      </c>
      <c r="H1463" s="15"/>
      <c r="I1463" s="15"/>
      <c r="J1463" s="15" t="s">
        <v>113</v>
      </c>
      <c r="K1463" s="15">
        <v>546422754</v>
      </c>
      <c r="L1463" s="15" t="s">
        <v>29</v>
      </c>
      <c r="M1463" s="15"/>
    </row>
    <row r="1464" spans="1:13" x14ac:dyDescent="0.25">
      <c r="A1464" s="23">
        <f t="shared" si="75"/>
        <v>159390</v>
      </c>
      <c r="B1464" s="14" t="str">
        <f t="shared" si="72"/>
        <v>Direct Debit (UMB Bank) - Credits</v>
      </c>
      <c r="C1464" s="38">
        <v>46169</v>
      </c>
      <c r="D1464" s="34">
        <v>159390</v>
      </c>
      <c r="E1464" s="36" t="str">
        <f>IF(Table3[[#This Row],[Type Received]]=2,"CC",(IF(Table3[[#This Row],[Type Received]]=3,"BILL","ACH")))</f>
        <v>ACH</v>
      </c>
      <c r="F1464" s="35">
        <v>23.17</v>
      </c>
      <c r="G1464" s="14" t="str">
        <f>VLOOKUP(D1464,Table4[],3,FALSE)</f>
        <v>2</v>
      </c>
      <c r="H1464" s="15"/>
      <c r="I1464" s="15" t="s">
        <v>219</v>
      </c>
      <c r="J1464" s="15" t="s">
        <v>28</v>
      </c>
      <c r="K1464" s="15">
        <v>841139382</v>
      </c>
      <c r="L1464" s="15" t="s">
        <v>29</v>
      </c>
      <c r="M1464" s="15"/>
    </row>
    <row r="1465" spans="1:13" x14ac:dyDescent="0.25">
      <c r="A1465" s="23">
        <f t="shared" si="75"/>
        <v>159409</v>
      </c>
      <c r="B1465" s="14" t="str">
        <f t="shared" si="72"/>
        <v>Credit Cards (UMB) - Credits</v>
      </c>
      <c r="C1465" s="37">
        <v>46145</v>
      </c>
      <c r="D1465" s="31">
        <v>159409</v>
      </c>
      <c r="E1465" s="33" t="str">
        <f>IF(Table3[[#This Row],[Type Received]]=2,"CC",(IF(Table3[[#This Row],[Type Received]]=3,"BILL","ACH")))</f>
        <v>CC</v>
      </c>
      <c r="F1465" s="32">
        <v>44.95</v>
      </c>
      <c r="G1465" s="14" t="str">
        <f>VLOOKUP(D1465,Table4[],3,FALSE)</f>
        <v>2</v>
      </c>
      <c r="H1465" s="15"/>
      <c r="I1465" s="15"/>
      <c r="J1465" s="15" t="s">
        <v>113</v>
      </c>
      <c r="K1465" s="15">
        <v>546435291</v>
      </c>
      <c r="L1465" s="15" t="s">
        <v>29</v>
      </c>
      <c r="M1465" s="15"/>
    </row>
    <row r="1466" spans="1:13" x14ac:dyDescent="0.25">
      <c r="A1466" s="23">
        <f t="shared" si="75"/>
        <v>159451</v>
      </c>
      <c r="B1466" s="14" t="str">
        <f t="shared" si="72"/>
        <v>Direct Debit (UMB Bank) - Credits</v>
      </c>
      <c r="C1466" s="38">
        <v>46170</v>
      </c>
      <c r="D1466" s="34">
        <v>159451</v>
      </c>
      <c r="E1466" s="36" t="str">
        <f>IF(Table3[[#This Row],[Type Received]]=2,"CC",(IF(Table3[[#This Row],[Type Received]]=3,"BILL","ACH")))</f>
        <v>ACH</v>
      </c>
      <c r="F1466" s="35">
        <v>24.62</v>
      </c>
      <c r="G1466" s="14" t="str">
        <f>VLOOKUP(D1466,Table4[],3,FALSE)</f>
        <v>2</v>
      </c>
      <c r="H1466" s="15"/>
      <c r="I1466" s="15">
        <v>7965</v>
      </c>
      <c r="J1466" s="24" t="s">
        <v>28</v>
      </c>
      <c r="K1466" s="15">
        <v>858169758</v>
      </c>
      <c r="L1466" s="15" t="s">
        <v>29</v>
      </c>
      <c r="M1466" s="15"/>
    </row>
    <row r="1467" spans="1:13" x14ac:dyDescent="0.25">
      <c r="A1467" s="23">
        <f t="shared" si="75"/>
        <v>159453</v>
      </c>
      <c r="B1467" s="14" t="str">
        <f t="shared" si="72"/>
        <v>Credit Cards (UMB) - Credits</v>
      </c>
      <c r="C1467" s="37">
        <v>46161</v>
      </c>
      <c r="D1467" s="31">
        <v>159453</v>
      </c>
      <c r="E1467" s="33" t="str">
        <f>IF(Table3[[#This Row],[Type Received]]=2,"CC",(IF(Table3[[#This Row],[Type Received]]=3,"BILL","ACH")))</f>
        <v>CC</v>
      </c>
      <c r="F1467" s="32">
        <v>34.61</v>
      </c>
      <c r="G1467" s="14" t="str">
        <f>VLOOKUP(D1467,Table4[],3,FALSE)</f>
        <v>2</v>
      </c>
      <c r="H1467" s="15"/>
      <c r="I1467" s="15"/>
      <c r="J1467" s="15" t="s">
        <v>220</v>
      </c>
      <c r="K1467" s="15">
        <v>746282687</v>
      </c>
      <c r="L1467" s="15" t="s">
        <v>29</v>
      </c>
      <c r="M1467" s="15"/>
    </row>
    <row r="1468" spans="1:13" x14ac:dyDescent="0.25">
      <c r="A1468" s="23">
        <f t="shared" si="75"/>
        <v>159495</v>
      </c>
      <c r="B1468" s="14" t="str">
        <f t="shared" si="72"/>
        <v>Direct Debit (UMB Bank) - Credits</v>
      </c>
      <c r="C1468" s="38">
        <v>46143</v>
      </c>
      <c r="D1468" s="34">
        <v>159495</v>
      </c>
      <c r="E1468" s="36" t="str">
        <f>IF(Table3[[#This Row],[Type Received]]=2,"CC",(IF(Table3[[#This Row],[Type Received]]=3,"BILL","ACH")))</f>
        <v>ACH</v>
      </c>
      <c r="F1468" s="35">
        <v>6.63</v>
      </c>
      <c r="G1468" s="14" t="str">
        <f>VLOOKUP(D1468,Table4[],3,FALSE)</f>
        <v>1</v>
      </c>
      <c r="H1468" s="15"/>
      <c r="I1468" s="15">
        <v>461604</v>
      </c>
      <c r="J1468" s="24" t="s">
        <v>28</v>
      </c>
      <c r="K1468" s="15">
        <v>521674013</v>
      </c>
      <c r="L1468" s="15" t="s">
        <v>29</v>
      </c>
      <c r="M1468" s="15"/>
    </row>
    <row r="1469" spans="1:13" x14ac:dyDescent="0.25">
      <c r="A1469" s="23">
        <f t="shared" si="75"/>
        <v>159496</v>
      </c>
      <c r="B1469" s="14" t="str">
        <f t="shared" si="72"/>
        <v>Credit Cards (UMB) - Credits</v>
      </c>
      <c r="C1469" s="37">
        <v>46153</v>
      </c>
      <c r="D1469" s="31">
        <v>159496</v>
      </c>
      <c r="E1469" s="33" t="str">
        <f>IF(Table3[[#This Row],[Type Received]]=2,"CC",(IF(Table3[[#This Row],[Type Received]]=3,"BILL","ACH")))</f>
        <v>CC</v>
      </c>
      <c r="F1469" s="32">
        <v>80.77</v>
      </c>
      <c r="G1469" s="14" t="str">
        <f>VLOOKUP(D1469,Table4[],3,FALSE)</f>
        <v>2</v>
      </c>
      <c r="H1469" s="15"/>
      <c r="I1469" s="15"/>
      <c r="J1469" s="15" t="s">
        <v>123</v>
      </c>
      <c r="K1469" s="15">
        <v>646152409</v>
      </c>
      <c r="L1469" s="15" t="s">
        <v>29</v>
      </c>
      <c r="M1469" s="15"/>
    </row>
    <row r="1470" spans="1:13" x14ac:dyDescent="0.25">
      <c r="A1470" s="23">
        <f t="shared" si="75"/>
        <v>159534</v>
      </c>
      <c r="B1470" s="14" t="str">
        <f t="shared" si="72"/>
        <v>Direct Debit (UMB Bank) - Credits</v>
      </c>
      <c r="C1470" s="38">
        <v>46155</v>
      </c>
      <c r="D1470" s="34">
        <v>159534</v>
      </c>
      <c r="E1470" s="36" t="str">
        <f>IF(Table3[[#This Row],[Type Received]]=2,"CC",(IF(Table3[[#This Row],[Type Received]]=3,"BILL","ACH")))</f>
        <v>ACH</v>
      </c>
      <c r="F1470" s="35">
        <v>36.229999999999997</v>
      </c>
      <c r="G1470" s="14" t="str">
        <f>VLOOKUP(D1470,Table4[],3,FALSE)</f>
        <v>2</v>
      </c>
      <c r="H1470" s="15"/>
      <c r="I1470" s="15">
        <v>100733</v>
      </c>
      <c r="J1470" s="15" t="s">
        <v>28</v>
      </c>
      <c r="K1470" s="15">
        <v>669518857</v>
      </c>
      <c r="L1470" s="15" t="s">
        <v>29</v>
      </c>
      <c r="M1470" s="15"/>
    </row>
    <row r="1471" spans="1:13" x14ac:dyDescent="0.25">
      <c r="A1471" s="23">
        <f t="shared" si="75"/>
        <v>159552</v>
      </c>
      <c r="B1471" s="14" t="str">
        <f t="shared" si="72"/>
        <v>Direct Debit (UMB Bank) - Credits</v>
      </c>
      <c r="C1471" s="37">
        <v>46145</v>
      </c>
      <c r="D1471" s="31">
        <v>159552</v>
      </c>
      <c r="E1471" s="33" t="str">
        <f>IF(Table3[[#This Row],[Type Received]]=2,"CC",(IF(Table3[[#This Row],[Type Received]]=3,"BILL","ACH")))</f>
        <v>ACH</v>
      </c>
      <c r="F1471" s="32">
        <v>23.35</v>
      </c>
      <c r="G1471" s="14" t="str">
        <f>VLOOKUP(D1471,Table4[],3,FALSE)</f>
        <v>2</v>
      </c>
      <c r="H1471" s="15"/>
      <c r="I1471" s="15"/>
      <c r="J1471" s="24" t="s">
        <v>113</v>
      </c>
      <c r="K1471" s="15">
        <v>546433347</v>
      </c>
      <c r="L1471" s="15" t="s">
        <v>29</v>
      </c>
      <c r="M1471" s="15"/>
    </row>
    <row r="1472" spans="1:13" x14ac:dyDescent="0.25">
      <c r="A1472" s="23">
        <f t="shared" si="75"/>
        <v>159553</v>
      </c>
      <c r="B1472" s="14" t="str">
        <f t="shared" si="72"/>
        <v>Direct Debit (UMB Bank) - Credits</v>
      </c>
      <c r="C1472" s="38">
        <v>46145</v>
      </c>
      <c r="D1472" s="34">
        <v>159553</v>
      </c>
      <c r="E1472" s="36" t="str">
        <f>IF(Table3[[#This Row],[Type Received]]=2,"CC",(IF(Table3[[#This Row],[Type Received]]=3,"BILL","ACH")))</f>
        <v>ACH</v>
      </c>
      <c r="F1472" s="35">
        <v>7.07</v>
      </c>
      <c r="G1472" s="14" t="str">
        <f>VLOOKUP(D1472,Table4[],3,FALSE)</f>
        <v>2</v>
      </c>
      <c r="H1472" s="15"/>
      <c r="I1472" s="15"/>
      <c r="J1472" s="15" t="s">
        <v>113</v>
      </c>
      <c r="K1472" s="15">
        <v>546440151</v>
      </c>
      <c r="L1472" s="15" t="s">
        <v>29</v>
      </c>
      <c r="M1472" s="15"/>
    </row>
    <row r="1473" spans="1:13" x14ac:dyDescent="0.25">
      <c r="A1473" s="23">
        <f t="shared" si="75"/>
        <v>159558</v>
      </c>
      <c r="B1473" s="14" t="str">
        <f t="shared" si="72"/>
        <v>Billing - Credits (from TPA)</v>
      </c>
      <c r="C1473" s="37">
        <v>46157</v>
      </c>
      <c r="D1473" s="31">
        <v>159558</v>
      </c>
      <c r="E1473" s="33" t="str">
        <f>IF(Table3[[#This Row],[Type Received]]=2,"CC",(IF(Table3[[#This Row],[Type Received]]=3,"BILL","ACH")))</f>
        <v>BILL</v>
      </c>
      <c r="F1473" s="32">
        <v>9.49</v>
      </c>
      <c r="G1473" s="14" t="str">
        <f>VLOOKUP(D1473,Table4[],3,FALSE)</f>
        <v>1</v>
      </c>
      <c r="H1473" s="15"/>
      <c r="I1473" s="15"/>
      <c r="J1473" s="15" t="s">
        <v>87</v>
      </c>
      <c r="K1473" s="15">
        <v>696707715</v>
      </c>
      <c r="L1473" s="15" t="s">
        <v>29</v>
      </c>
      <c r="M1473" s="15"/>
    </row>
    <row r="1474" spans="1:13" x14ac:dyDescent="0.25">
      <c r="A1474" s="23">
        <f t="shared" si="75"/>
        <v>159568</v>
      </c>
      <c r="B1474" s="14" t="str">
        <f t="shared" ref="B1474:B1537" si="76">IF(AND(E1474="BILL",F1474&lt;0),"Billing &amp; Direct Debit - Refunds",(IF(AND(E1474="BILL",F1474&gt;0),"Billing - Credits (from TPA)",(IF(AND(E1474="CC",F1474&lt;0),"Credit Cards (UMB) - Refunds",(IF(AND(E1474="CC",F1474&gt;0),"Credit Cards (UMB) - Credits",(IF(AND(E1474="ACH",F1474&gt;0),"Direct Debit (UMB Bank) - Credits","Direct Debit (UMB Bank) - Returned Items")))))))))</f>
        <v>Billing - Credits (from TPA)</v>
      </c>
      <c r="C1474" s="38">
        <v>46143</v>
      </c>
      <c r="D1474" s="34">
        <v>159568</v>
      </c>
      <c r="E1474" s="36" t="str">
        <f>IF(Table3[[#This Row],[Type Received]]=2,"CC",(IF(Table3[[#This Row],[Type Received]]=3,"BILL","ACH")))</f>
        <v>BILL</v>
      </c>
      <c r="F1474" s="35">
        <v>26.51</v>
      </c>
      <c r="G1474" s="14" t="str">
        <f>VLOOKUP(D1474,Table4[],3,FALSE)</f>
        <v>2</v>
      </c>
      <c r="H1474" s="15">
        <v>995001</v>
      </c>
      <c r="I1474" s="15"/>
      <c r="J1474" s="15"/>
      <c r="K1474" s="15"/>
      <c r="L1474" s="15"/>
      <c r="M1474" s="15"/>
    </row>
    <row r="1475" spans="1:13" x14ac:dyDescent="0.25">
      <c r="A1475" s="23">
        <f t="shared" si="75"/>
        <v>159600</v>
      </c>
      <c r="B1475" s="14" t="str">
        <f t="shared" si="76"/>
        <v>Direct Debit (UMB Bank) - Credits</v>
      </c>
      <c r="C1475" s="37">
        <v>46168</v>
      </c>
      <c r="D1475" s="31">
        <v>159600</v>
      </c>
      <c r="E1475" s="33" t="str">
        <f>IF(Table3[[#This Row],[Type Received]]=2,"CC",(IF(Table3[[#This Row],[Type Received]]=3,"BILL","ACH")))</f>
        <v>ACH</v>
      </c>
      <c r="F1475" s="32">
        <v>322.52999999999997</v>
      </c>
      <c r="G1475" s="14" t="str">
        <f>VLOOKUP(D1475,Table4[],3,FALSE)</f>
        <v>2</v>
      </c>
      <c r="H1475" s="15">
        <v>139</v>
      </c>
      <c r="I1475" s="15"/>
      <c r="J1475" s="24"/>
      <c r="K1475" s="15"/>
      <c r="L1475" s="15"/>
      <c r="M1475" s="15"/>
    </row>
    <row r="1476" spans="1:13" x14ac:dyDescent="0.25">
      <c r="A1476" s="23">
        <f t="shared" si="75"/>
        <v>159611</v>
      </c>
      <c r="B1476" s="14" t="str">
        <f t="shared" si="76"/>
        <v>Credit Cards (UMB) - Credits</v>
      </c>
      <c r="C1476" s="38">
        <v>46144</v>
      </c>
      <c r="D1476" s="34">
        <v>159611</v>
      </c>
      <c r="E1476" s="36" t="str">
        <f>IF(Table3[[#This Row],[Type Received]]=2,"CC",(IF(Table3[[#This Row],[Type Received]]=3,"BILL","ACH")))</f>
        <v>CC</v>
      </c>
      <c r="F1476" s="35">
        <v>26.84</v>
      </c>
      <c r="G1476" s="14" t="str">
        <f>VLOOKUP(D1476,Table4[],3,FALSE)</f>
        <v>2</v>
      </c>
      <c r="H1476" s="15"/>
      <c r="I1476" s="15"/>
      <c r="J1476" s="24" t="s">
        <v>89</v>
      </c>
      <c r="K1476" s="15">
        <v>535370031</v>
      </c>
      <c r="L1476" s="15" t="s">
        <v>29</v>
      </c>
      <c r="M1476" s="15"/>
    </row>
    <row r="1477" spans="1:13" x14ac:dyDescent="0.25">
      <c r="A1477" s="23">
        <f t="shared" si="75"/>
        <v>159625</v>
      </c>
      <c r="B1477" s="14" t="str">
        <f t="shared" si="76"/>
        <v>Direct Debit (UMB Bank) - Credits</v>
      </c>
      <c r="C1477" s="37">
        <v>46143</v>
      </c>
      <c r="D1477" s="31">
        <v>159625</v>
      </c>
      <c r="E1477" s="33" t="str">
        <f>IF(Table3[[#This Row],[Type Received]]=2,"CC",(IF(Table3[[#This Row],[Type Received]]=3,"BILL","ACH")))</f>
        <v>ACH</v>
      </c>
      <c r="F1477" s="32">
        <v>84.01</v>
      </c>
      <c r="G1477" s="14" t="str">
        <f>VLOOKUP(D1477,Table4[],3,FALSE)</f>
        <v>1</v>
      </c>
      <c r="H1477" s="15"/>
      <c r="I1477" s="15">
        <v>112624</v>
      </c>
      <c r="J1477" s="15" t="s">
        <v>28</v>
      </c>
      <c r="K1477" s="15">
        <v>523898221</v>
      </c>
      <c r="L1477" s="15" t="s">
        <v>29</v>
      </c>
      <c r="M1477" s="15"/>
    </row>
    <row r="1478" spans="1:13" x14ac:dyDescent="0.25">
      <c r="A1478" s="23">
        <f t="shared" si="75"/>
        <v>159702</v>
      </c>
      <c r="B1478" s="14" t="str">
        <f t="shared" si="76"/>
        <v>Direct Debit (UMB Bank) - Credits</v>
      </c>
      <c r="C1478" s="38">
        <v>46144</v>
      </c>
      <c r="D1478" s="34">
        <v>159702</v>
      </c>
      <c r="E1478" s="36" t="str">
        <f>IF(Table3[[#This Row],[Type Received]]=2,"CC",(IF(Table3[[#This Row],[Type Received]]=3,"BILL","ACH")))</f>
        <v>ACH</v>
      </c>
      <c r="F1478" s="35">
        <v>24.16</v>
      </c>
      <c r="G1478" s="14" t="str">
        <f>VLOOKUP(D1478,Table4[],3,FALSE)</f>
        <v>2</v>
      </c>
      <c r="H1478" s="15"/>
      <c r="I1478" s="15"/>
      <c r="J1478" s="15" t="s">
        <v>89</v>
      </c>
      <c r="K1478" s="15">
        <v>535394184</v>
      </c>
      <c r="L1478" s="15" t="s">
        <v>29</v>
      </c>
      <c r="M1478" s="15"/>
    </row>
    <row r="1479" spans="1:13" x14ac:dyDescent="0.25">
      <c r="A1479" s="23">
        <f t="shared" si="75"/>
        <v>159725</v>
      </c>
      <c r="B1479" s="14" t="str">
        <f t="shared" si="76"/>
        <v>Billing - Credits (from TPA)</v>
      </c>
      <c r="C1479" s="37">
        <v>46157</v>
      </c>
      <c r="D1479" s="31">
        <v>159725</v>
      </c>
      <c r="E1479" s="33" t="str">
        <f>IF(Table3[[#This Row],[Type Received]]=2,"CC",(IF(Table3[[#This Row],[Type Received]]=3,"BILL","ACH")))</f>
        <v>BILL</v>
      </c>
      <c r="F1479" s="32">
        <v>14.89</v>
      </c>
      <c r="G1479" s="14" t="str">
        <f>VLOOKUP(D1479,Table4[],3,FALSE)</f>
        <v>1</v>
      </c>
      <c r="H1479" s="15"/>
      <c r="I1479" s="15"/>
      <c r="J1479" s="15" t="s">
        <v>87</v>
      </c>
      <c r="K1479" s="15">
        <v>696582811</v>
      </c>
      <c r="L1479" s="15" t="s">
        <v>29</v>
      </c>
      <c r="M1479" s="15"/>
    </row>
    <row r="1480" spans="1:13" x14ac:dyDescent="0.25">
      <c r="A1480" s="23">
        <f t="shared" si="75"/>
        <v>159850</v>
      </c>
      <c r="B1480" s="14" t="str">
        <f t="shared" si="76"/>
        <v>Billing - Credits (from TPA)</v>
      </c>
      <c r="C1480" s="38">
        <v>46168</v>
      </c>
      <c r="D1480" s="34">
        <v>159850</v>
      </c>
      <c r="E1480" s="36" t="str">
        <f>IF(Table3[[#This Row],[Type Received]]=2,"CC",(IF(Table3[[#This Row],[Type Received]]=3,"BILL","ACH")))</f>
        <v>BILL</v>
      </c>
      <c r="F1480" s="35">
        <v>32.270000000000003</v>
      </c>
      <c r="G1480" s="14" t="str">
        <f>VLOOKUP(D1480,Table4[],3,FALSE)</f>
        <v>1</v>
      </c>
      <c r="H1480" s="15">
        <v>3192</v>
      </c>
      <c r="I1480" s="15"/>
      <c r="J1480" s="24"/>
      <c r="K1480" s="15"/>
      <c r="L1480" s="15"/>
      <c r="M1480" s="15"/>
    </row>
    <row r="1481" spans="1:13" x14ac:dyDescent="0.25">
      <c r="A1481" s="23">
        <f t="shared" si="75"/>
        <v>159874</v>
      </c>
      <c r="B1481" s="14" t="str">
        <f t="shared" si="76"/>
        <v>Direct Debit (UMB Bank) - Credits</v>
      </c>
      <c r="C1481" s="37">
        <v>46171</v>
      </c>
      <c r="D1481" s="31">
        <v>159874</v>
      </c>
      <c r="E1481" s="33" t="str">
        <f>IF(Table3[[#This Row],[Type Received]]=2,"CC",(IF(Table3[[#This Row],[Type Received]]=3,"BILL","ACH")))</f>
        <v>ACH</v>
      </c>
      <c r="F1481" s="32">
        <v>68.09</v>
      </c>
      <c r="G1481" s="14" t="str">
        <f>VLOOKUP(D1481,Table4[],3,FALSE)</f>
        <v>2</v>
      </c>
      <c r="H1481" s="15">
        <v>844</v>
      </c>
      <c r="I1481" s="15"/>
      <c r="J1481" s="15"/>
      <c r="K1481" s="15"/>
      <c r="L1481" s="15"/>
      <c r="M1481" s="15"/>
    </row>
    <row r="1482" spans="1:13" x14ac:dyDescent="0.25">
      <c r="A1482" s="23">
        <f t="shared" si="75"/>
        <v>159976</v>
      </c>
      <c r="B1482" s="14" t="str">
        <f t="shared" si="76"/>
        <v>Direct Debit (UMB Bank) - Credits</v>
      </c>
      <c r="C1482" s="38">
        <v>46144</v>
      </c>
      <c r="D1482" s="34">
        <v>159976</v>
      </c>
      <c r="E1482" s="36" t="str">
        <f>IF(Table3[[#This Row],[Type Received]]=2,"CC",(IF(Table3[[#This Row],[Type Received]]=3,"BILL","ACH")))</f>
        <v>ACH</v>
      </c>
      <c r="F1482" s="35">
        <v>14.71</v>
      </c>
      <c r="G1482" s="14" t="str">
        <f>VLOOKUP(D1482,Table4[],3,FALSE)</f>
        <v>1</v>
      </c>
      <c r="H1482" s="15"/>
      <c r="I1482" s="15"/>
      <c r="J1482" s="15" t="s">
        <v>89</v>
      </c>
      <c r="K1482" s="15">
        <v>535382593</v>
      </c>
      <c r="L1482" s="15" t="s">
        <v>29</v>
      </c>
      <c r="M1482" s="15"/>
    </row>
    <row r="1483" spans="1:13" x14ac:dyDescent="0.25">
      <c r="A1483" s="23">
        <f t="shared" si="75"/>
        <v>160161</v>
      </c>
      <c r="B1483" s="14" t="str">
        <f t="shared" si="76"/>
        <v>Direct Debit (UMB Bank) - Credits</v>
      </c>
      <c r="C1483" s="37">
        <v>46158</v>
      </c>
      <c r="D1483" s="31">
        <v>160161</v>
      </c>
      <c r="E1483" s="33" t="str">
        <f>IF(Table3[[#This Row],[Type Received]]=2,"CC",(IF(Table3[[#This Row],[Type Received]]=3,"BILL","ACH")))</f>
        <v>ACH</v>
      </c>
      <c r="F1483" s="32">
        <v>37.61</v>
      </c>
      <c r="G1483" s="14" t="str">
        <f>VLOOKUP(D1483,Table4[],3,FALSE)</f>
        <v>1</v>
      </c>
      <c r="H1483" s="15"/>
      <c r="I1483" s="15"/>
      <c r="J1483" s="15" t="s">
        <v>106</v>
      </c>
      <c r="K1483" s="15">
        <v>710037697</v>
      </c>
      <c r="L1483" s="15" t="s">
        <v>29</v>
      </c>
      <c r="M1483" s="15"/>
    </row>
    <row r="1484" spans="1:13" x14ac:dyDescent="0.25">
      <c r="A1484" s="23">
        <f t="shared" si="75"/>
        <v>160228</v>
      </c>
      <c r="B1484" s="14" t="str">
        <f t="shared" si="76"/>
        <v>Direct Debit (UMB Bank) - Credits</v>
      </c>
      <c r="C1484" s="38">
        <v>46157</v>
      </c>
      <c r="D1484" s="34">
        <v>160228</v>
      </c>
      <c r="E1484" s="36" t="str">
        <f>IF(Table3[[#This Row],[Type Received]]=2,"CC",(IF(Table3[[#This Row],[Type Received]]=3,"BILL","ACH")))</f>
        <v>ACH</v>
      </c>
      <c r="F1484" s="35">
        <v>34.96</v>
      </c>
      <c r="G1484" s="14" t="str">
        <f>VLOOKUP(D1484,Table4[],3,FALSE)</f>
        <v>2</v>
      </c>
      <c r="H1484" s="15"/>
      <c r="I1484" s="15"/>
      <c r="J1484" s="15" t="s">
        <v>87</v>
      </c>
      <c r="K1484" s="15">
        <v>696699017</v>
      </c>
      <c r="L1484" s="15" t="s">
        <v>29</v>
      </c>
      <c r="M1484" s="15"/>
    </row>
    <row r="1485" spans="1:13" x14ac:dyDescent="0.25">
      <c r="A1485" s="23">
        <f t="shared" si="75"/>
        <v>160411</v>
      </c>
      <c r="B1485" s="14" t="str">
        <f t="shared" si="76"/>
        <v>Billing - Credits (from TPA)</v>
      </c>
      <c r="C1485" s="37">
        <v>46144</v>
      </c>
      <c r="D1485" s="31">
        <v>160411</v>
      </c>
      <c r="E1485" s="33" t="str">
        <f>IF(Table3[[#This Row],[Type Received]]=2,"CC",(IF(Table3[[#This Row],[Type Received]]=3,"BILL","ACH")))</f>
        <v>BILL</v>
      </c>
      <c r="F1485" s="32">
        <v>24.16</v>
      </c>
      <c r="G1485" s="14" t="str">
        <f>VLOOKUP(D1485,Table4[],3,FALSE)</f>
        <v>2</v>
      </c>
      <c r="H1485" s="15"/>
      <c r="I1485" s="15"/>
      <c r="J1485" s="15" t="s">
        <v>89</v>
      </c>
      <c r="K1485" s="15">
        <v>535370058</v>
      </c>
      <c r="L1485" s="15" t="s">
        <v>29</v>
      </c>
      <c r="M1485" s="15"/>
    </row>
    <row r="1486" spans="1:13" x14ac:dyDescent="0.25">
      <c r="A1486" s="23">
        <f t="shared" ref="A1486:A1517" si="77">D1486</f>
        <v>160642</v>
      </c>
      <c r="B1486" s="14" t="str">
        <f t="shared" si="76"/>
        <v>Direct Debit (UMB Bank) - Credits</v>
      </c>
      <c r="C1486" s="38">
        <v>46153</v>
      </c>
      <c r="D1486" s="34">
        <v>160642</v>
      </c>
      <c r="E1486" s="36" t="str">
        <f>IF(Table3[[#This Row],[Type Received]]=2,"CC",(IF(Table3[[#This Row],[Type Received]]=3,"BILL","ACH")))</f>
        <v>ACH</v>
      </c>
      <c r="F1486" s="35">
        <v>60.22</v>
      </c>
      <c r="G1486" s="14" t="str">
        <f>VLOOKUP(D1486,Table4[],3,FALSE)</f>
        <v>2</v>
      </c>
      <c r="H1486" s="15">
        <v>5750</v>
      </c>
      <c r="I1486" s="15"/>
      <c r="J1486" s="15"/>
      <c r="K1486" s="15"/>
      <c r="L1486" s="15"/>
      <c r="M1486" s="15"/>
    </row>
    <row r="1487" spans="1:13" x14ac:dyDescent="0.25">
      <c r="A1487" s="23">
        <f t="shared" si="77"/>
        <v>160681</v>
      </c>
      <c r="B1487" s="14" t="str">
        <f t="shared" si="76"/>
        <v>Direct Debit (UMB Bank) - Credits</v>
      </c>
      <c r="C1487" s="37">
        <v>46144</v>
      </c>
      <c r="D1487" s="31">
        <v>160681</v>
      </c>
      <c r="E1487" s="33" t="str">
        <f>IF(Table3[[#This Row],[Type Received]]=2,"CC",(IF(Table3[[#This Row],[Type Received]]=3,"BILL","ACH")))</f>
        <v>ACH</v>
      </c>
      <c r="F1487" s="32">
        <v>28.92</v>
      </c>
      <c r="G1487" s="14" t="str">
        <f>VLOOKUP(D1487,Table4[],3,FALSE)</f>
        <v>1</v>
      </c>
      <c r="H1487" s="15"/>
      <c r="I1487" s="15"/>
      <c r="J1487" s="15" t="s">
        <v>89</v>
      </c>
      <c r="K1487" s="15">
        <v>535373896</v>
      </c>
      <c r="L1487" s="15" t="s">
        <v>29</v>
      </c>
      <c r="M1487" s="15"/>
    </row>
    <row r="1488" spans="1:13" x14ac:dyDescent="0.25">
      <c r="A1488" s="23">
        <f t="shared" si="77"/>
        <v>160938</v>
      </c>
      <c r="B1488" s="14" t="str">
        <f t="shared" si="76"/>
        <v>Credit Cards (UMB) - Credits</v>
      </c>
      <c r="C1488" s="38">
        <v>46144</v>
      </c>
      <c r="D1488" s="34">
        <v>160938</v>
      </c>
      <c r="E1488" s="36" t="str">
        <f>IF(Table3[[#This Row],[Type Received]]=2,"CC",(IF(Table3[[#This Row],[Type Received]]=3,"BILL","ACH")))</f>
        <v>CC</v>
      </c>
      <c r="F1488" s="35">
        <v>7.1</v>
      </c>
      <c r="G1488" s="14" t="str">
        <f>VLOOKUP(D1488,Table4[],3,FALSE)</f>
        <v>1</v>
      </c>
      <c r="H1488" s="15"/>
      <c r="I1488" s="15"/>
      <c r="J1488" s="15" t="s">
        <v>89</v>
      </c>
      <c r="K1488" s="15">
        <v>535380228</v>
      </c>
      <c r="L1488" s="15" t="s">
        <v>29</v>
      </c>
      <c r="M1488" s="15"/>
    </row>
    <row r="1489" spans="1:13" x14ac:dyDescent="0.25">
      <c r="A1489" s="23">
        <f t="shared" si="77"/>
        <v>161161</v>
      </c>
      <c r="B1489" s="14" t="str">
        <f t="shared" si="76"/>
        <v>Credit Cards (UMB) - Credits</v>
      </c>
      <c r="C1489" s="37">
        <v>46169</v>
      </c>
      <c r="D1489" s="31">
        <v>161161</v>
      </c>
      <c r="E1489" s="33" t="str">
        <f>IF(Table3[[#This Row],[Type Received]]=2,"CC",(IF(Table3[[#This Row],[Type Received]]=3,"BILL","ACH")))</f>
        <v>CC</v>
      </c>
      <c r="F1489" s="32">
        <v>12.35</v>
      </c>
      <c r="G1489" s="14" t="str">
        <f>VLOOKUP(D1489,Table4[],3,FALSE)</f>
        <v>2</v>
      </c>
      <c r="H1489" s="15"/>
      <c r="I1489" s="15">
        <v>27761</v>
      </c>
      <c r="J1489" s="15" t="s">
        <v>28</v>
      </c>
      <c r="K1489" s="15">
        <v>840337730</v>
      </c>
      <c r="L1489" s="15" t="s">
        <v>29</v>
      </c>
      <c r="M1489" s="15"/>
    </row>
    <row r="1490" spans="1:13" x14ac:dyDescent="0.25">
      <c r="A1490" s="23">
        <f t="shared" si="77"/>
        <v>161391</v>
      </c>
      <c r="B1490" s="14" t="str">
        <f t="shared" si="76"/>
        <v>Direct Debit (UMB Bank) - Credits</v>
      </c>
      <c r="C1490" s="38">
        <v>46163</v>
      </c>
      <c r="D1490" s="34">
        <v>161391</v>
      </c>
      <c r="E1490" s="36" t="str">
        <f>IF(Table3[[#This Row],[Type Received]]=2,"CC",(IF(Table3[[#This Row],[Type Received]]=3,"BILL","ACH")))</f>
        <v>ACH</v>
      </c>
      <c r="F1490" s="35">
        <v>32.08</v>
      </c>
      <c r="G1490" s="14" t="str">
        <f>VLOOKUP(D1490,Table4[],3,FALSE)</f>
        <v>2</v>
      </c>
      <c r="H1490" s="15"/>
      <c r="I1490" s="15">
        <v>801285</v>
      </c>
      <c r="J1490" s="24">
        <v>747461115</v>
      </c>
      <c r="K1490" s="15">
        <v>355350331</v>
      </c>
      <c r="L1490" s="15"/>
      <c r="M1490" s="15" t="s">
        <v>29</v>
      </c>
    </row>
    <row r="1491" spans="1:13" x14ac:dyDescent="0.25">
      <c r="A1491" s="23">
        <f t="shared" si="77"/>
        <v>161428</v>
      </c>
      <c r="B1491" s="14" t="str">
        <f t="shared" si="76"/>
        <v>Direct Debit (UMB Bank) - Credits</v>
      </c>
      <c r="C1491" s="37">
        <v>46144</v>
      </c>
      <c r="D1491" s="31">
        <v>161428</v>
      </c>
      <c r="E1491" s="33" t="str">
        <f>IF(Table3[[#This Row],[Type Received]]=2,"CC",(IF(Table3[[#This Row],[Type Received]]=3,"BILL","ACH")))</f>
        <v>ACH</v>
      </c>
      <c r="F1491" s="32">
        <v>7.6</v>
      </c>
      <c r="G1491" s="14" t="str">
        <f>VLOOKUP(D1491,Table4[],3,FALSE)</f>
        <v>1</v>
      </c>
      <c r="H1491" s="15"/>
      <c r="I1491" s="15"/>
      <c r="J1491" s="15" t="s">
        <v>89</v>
      </c>
      <c r="K1491" s="15">
        <v>535398167</v>
      </c>
      <c r="L1491" s="15" t="s">
        <v>29</v>
      </c>
      <c r="M1491" s="15" t="s">
        <v>29</v>
      </c>
    </row>
    <row r="1492" spans="1:13" x14ac:dyDescent="0.25">
      <c r="A1492" s="23">
        <f t="shared" si="77"/>
        <v>161458</v>
      </c>
      <c r="B1492" s="14" t="str">
        <f t="shared" si="76"/>
        <v>Direct Debit (UMB Bank) - Credits</v>
      </c>
      <c r="C1492" s="38">
        <v>46158</v>
      </c>
      <c r="D1492" s="34">
        <v>161458</v>
      </c>
      <c r="E1492" s="36" t="str">
        <f>IF(Table3[[#This Row],[Type Received]]=2,"CC",(IF(Table3[[#This Row],[Type Received]]=3,"BILL","ACH")))</f>
        <v>ACH</v>
      </c>
      <c r="F1492" s="35">
        <v>19.559999999999999</v>
      </c>
      <c r="G1492" s="14" t="str">
        <f>VLOOKUP(D1492,Table4[],3,FALSE)</f>
        <v>1</v>
      </c>
      <c r="H1492" s="15"/>
      <c r="I1492" s="15"/>
      <c r="J1492" s="15" t="s">
        <v>106</v>
      </c>
      <c r="K1492" s="15">
        <v>710047110</v>
      </c>
      <c r="L1492" s="15" t="s">
        <v>29</v>
      </c>
      <c r="M1492" s="15"/>
    </row>
    <row r="1493" spans="1:13" x14ac:dyDescent="0.25">
      <c r="A1493" s="23">
        <f t="shared" si="77"/>
        <v>161720</v>
      </c>
      <c r="B1493" s="14" t="str">
        <f t="shared" si="76"/>
        <v>Direct Debit (UMB Bank) - Credits</v>
      </c>
      <c r="C1493" s="37">
        <v>46167</v>
      </c>
      <c r="D1493" s="31">
        <v>161720</v>
      </c>
      <c r="E1493" s="33" t="str">
        <f>IF(Table3[[#This Row],[Type Received]]=2,"CC",(IF(Table3[[#This Row],[Type Received]]=3,"BILL","ACH")))</f>
        <v>ACH</v>
      </c>
      <c r="F1493" s="32">
        <v>25.95</v>
      </c>
      <c r="G1493" s="14" t="str">
        <f>VLOOKUP(D1493,Table4[],3,FALSE)</f>
        <v>2</v>
      </c>
      <c r="H1493" s="15"/>
      <c r="I1493" s="15"/>
      <c r="J1493" s="15" t="s">
        <v>85</v>
      </c>
      <c r="K1493" s="15">
        <v>818343850</v>
      </c>
      <c r="L1493" s="15" t="s">
        <v>29</v>
      </c>
      <c r="M1493" s="15" t="s">
        <v>29</v>
      </c>
    </row>
    <row r="1494" spans="1:13" x14ac:dyDescent="0.25">
      <c r="A1494" s="23">
        <f t="shared" si="77"/>
        <v>161895</v>
      </c>
      <c r="B1494" s="14" t="str">
        <f t="shared" si="76"/>
        <v>Direct Debit (UMB Bank) - Credits</v>
      </c>
      <c r="C1494" s="38">
        <v>46157</v>
      </c>
      <c r="D1494" s="34">
        <v>161895</v>
      </c>
      <c r="E1494" s="36" t="str">
        <f>IF(Table3[[#This Row],[Type Received]]=2,"CC",(IF(Table3[[#This Row],[Type Received]]=3,"BILL","ACH")))</f>
        <v>ACH</v>
      </c>
      <c r="F1494" s="35">
        <v>32.97</v>
      </c>
      <c r="G1494" s="14" t="str">
        <f>VLOOKUP(D1494,Table4[],3,FALSE)</f>
        <v>2</v>
      </c>
      <c r="H1494" s="15"/>
      <c r="I1494" s="15"/>
      <c r="J1494" s="24" t="s">
        <v>87</v>
      </c>
      <c r="K1494" s="15">
        <v>696699988</v>
      </c>
      <c r="L1494" s="15" t="s">
        <v>29</v>
      </c>
      <c r="M1494" s="15" t="s">
        <v>29</v>
      </c>
    </row>
    <row r="1495" spans="1:13" x14ac:dyDescent="0.25">
      <c r="A1495" s="23">
        <f t="shared" si="77"/>
        <v>161897</v>
      </c>
      <c r="B1495" s="14" t="str">
        <f t="shared" si="76"/>
        <v>Direct Debit (UMB Bank) - Credits</v>
      </c>
      <c r="C1495" s="37">
        <v>46157</v>
      </c>
      <c r="D1495" s="31">
        <v>161897</v>
      </c>
      <c r="E1495" s="33" t="str">
        <f>IF(Table3[[#This Row],[Type Received]]=2,"CC",(IF(Table3[[#This Row],[Type Received]]=3,"BILL","ACH")))</f>
        <v>ACH</v>
      </c>
      <c r="F1495" s="32">
        <v>17.940000000000001</v>
      </c>
      <c r="G1495" s="14" t="str">
        <f>VLOOKUP(D1495,Table4[],3,FALSE)</f>
        <v>1</v>
      </c>
      <c r="H1495" s="15"/>
      <c r="I1495" s="15"/>
      <c r="J1495" s="15" t="s">
        <v>87</v>
      </c>
      <c r="K1495" s="15">
        <v>696708763</v>
      </c>
      <c r="L1495" s="15" t="s">
        <v>29</v>
      </c>
      <c r="M1495" s="15"/>
    </row>
    <row r="1496" spans="1:13" x14ac:dyDescent="0.25">
      <c r="A1496" s="23">
        <f t="shared" si="77"/>
        <v>161906</v>
      </c>
      <c r="B1496" s="14" t="str">
        <f t="shared" si="76"/>
        <v>Direct Debit (UMB Bank) - Credits</v>
      </c>
      <c r="C1496" s="38">
        <v>46167</v>
      </c>
      <c r="D1496" s="34">
        <v>161906</v>
      </c>
      <c r="E1496" s="36" t="str">
        <f>IF(Table3[[#This Row],[Type Received]]=2,"CC",(IF(Table3[[#This Row],[Type Received]]=3,"BILL","ACH")))</f>
        <v>ACH</v>
      </c>
      <c r="F1496" s="35">
        <v>20.82</v>
      </c>
      <c r="G1496" s="14" t="str">
        <f>VLOOKUP(D1496,Table4[],3,FALSE)</f>
        <v>1</v>
      </c>
      <c r="H1496" s="15"/>
      <c r="I1496" s="15"/>
      <c r="J1496" s="15" t="s">
        <v>85</v>
      </c>
      <c r="K1496" s="15">
        <v>818363222</v>
      </c>
      <c r="L1496" s="15" t="s">
        <v>29</v>
      </c>
      <c r="M1496" s="15" t="s">
        <v>29</v>
      </c>
    </row>
    <row r="1497" spans="1:13" x14ac:dyDescent="0.25">
      <c r="A1497" s="23">
        <f t="shared" si="77"/>
        <v>161974</v>
      </c>
      <c r="B1497" s="14" t="str">
        <f t="shared" si="76"/>
        <v>Direct Debit (UMB Bank) - Credits</v>
      </c>
      <c r="C1497" s="37">
        <v>46144</v>
      </c>
      <c r="D1497" s="31">
        <v>161974</v>
      </c>
      <c r="E1497" s="33" t="str">
        <f>IF(Table3[[#This Row],[Type Received]]=2,"CC",(IF(Table3[[#This Row],[Type Received]]=3,"BILL","ACH")))</f>
        <v>ACH</v>
      </c>
      <c r="F1497" s="32">
        <v>26.22</v>
      </c>
      <c r="G1497" s="14" t="str">
        <f>VLOOKUP(D1497,Table4[],3,FALSE)</f>
        <v>2</v>
      </c>
      <c r="H1497" s="15"/>
      <c r="I1497" s="15"/>
      <c r="J1497" s="15" t="s">
        <v>89</v>
      </c>
      <c r="K1497" s="15">
        <v>535372912</v>
      </c>
      <c r="L1497" s="15" t="s">
        <v>29</v>
      </c>
      <c r="M1497" s="15" t="s">
        <v>29</v>
      </c>
    </row>
    <row r="1498" spans="1:13" x14ac:dyDescent="0.25">
      <c r="A1498" s="23">
        <f t="shared" si="77"/>
        <v>162007</v>
      </c>
      <c r="B1498" s="14" t="str">
        <f t="shared" si="76"/>
        <v>Credit Cards (UMB) - Credits</v>
      </c>
      <c r="C1498" s="38">
        <v>46144</v>
      </c>
      <c r="D1498" s="34">
        <v>162007</v>
      </c>
      <c r="E1498" s="36" t="str">
        <f>IF(Table3[[#This Row],[Type Received]]=2,"CC",(IF(Table3[[#This Row],[Type Received]]=3,"BILL","ACH")))</f>
        <v>CC</v>
      </c>
      <c r="F1498" s="35">
        <v>15.69</v>
      </c>
      <c r="G1498" s="14" t="str">
        <f>VLOOKUP(D1498,Table4[],3,FALSE)</f>
        <v>2</v>
      </c>
      <c r="H1498" s="15"/>
      <c r="I1498" s="15"/>
      <c r="J1498" s="24" t="s">
        <v>89</v>
      </c>
      <c r="K1498" s="15">
        <v>535374877</v>
      </c>
      <c r="L1498" s="15" t="s">
        <v>29</v>
      </c>
      <c r="M1498" s="15" t="s">
        <v>29</v>
      </c>
    </row>
    <row r="1499" spans="1:13" x14ac:dyDescent="0.25">
      <c r="A1499" s="23">
        <f t="shared" si="77"/>
        <v>162033</v>
      </c>
      <c r="B1499" s="14" t="str">
        <f t="shared" si="76"/>
        <v>Direct Debit (UMB Bank) - Credits</v>
      </c>
      <c r="C1499" s="37">
        <v>46155</v>
      </c>
      <c r="D1499" s="31">
        <v>162033</v>
      </c>
      <c r="E1499" s="33" t="str">
        <f>IF(Table3[[#This Row],[Type Received]]=2,"CC",(IF(Table3[[#This Row],[Type Received]]=3,"BILL","ACH")))</f>
        <v>ACH</v>
      </c>
      <c r="F1499" s="32">
        <v>29.73</v>
      </c>
      <c r="G1499" s="14" t="str">
        <f>VLOOKUP(D1499,Table4[],3,FALSE)</f>
        <v>2</v>
      </c>
      <c r="H1499" s="15"/>
      <c r="I1499" s="15">
        <v>181175</v>
      </c>
      <c r="J1499" s="15" t="s">
        <v>28</v>
      </c>
      <c r="K1499" s="15">
        <v>669493398</v>
      </c>
      <c r="L1499" s="15" t="s">
        <v>29</v>
      </c>
      <c r="M1499" s="15" t="s">
        <v>29</v>
      </c>
    </row>
    <row r="1500" spans="1:13" x14ac:dyDescent="0.25">
      <c r="A1500" s="23">
        <f t="shared" si="77"/>
        <v>162043</v>
      </c>
      <c r="B1500" s="14" t="str">
        <f t="shared" si="76"/>
        <v>Direct Debit (UMB Bank) - Credits</v>
      </c>
      <c r="C1500" s="38">
        <v>46158</v>
      </c>
      <c r="D1500" s="34">
        <v>162043</v>
      </c>
      <c r="E1500" s="36" t="str">
        <f>IF(Table3[[#This Row],[Type Received]]=2,"CC",(IF(Table3[[#This Row],[Type Received]]=3,"BILL","ACH")))</f>
        <v>ACH</v>
      </c>
      <c r="F1500" s="35">
        <v>14.88</v>
      </c>
      <c r="G1500" s="14" t="str">
        <f>VLOOKUP(D1500,Table4[],3,FALSE)</f>
        <v>2</v>
      </c>
      <c r="H1500" s="15"/>
      <c r="I1500" s="15"/>
      <c r="J1500" s="24" t="s">
        <v>106</v>
      </c>
      <c r="K1500" s="15">
        <v>710036051</v>
      </c>
      <c r="L1500" s="15" t="s">
        <v>29</v>
      </c>
      <c r="M1500" s="15" t="s">
        <v>29</v>
      </c>
    </row>
    <row r="1501" spans="1:13" x14ac:dyDescent="0.25">
      <c r="A1501" s="23">
        <f t="shared" si="77"/>
        <v>162046</v>
      </c>
      <c r="B1501" s="14" t="str">
        <f t="shared" si="76"/>
        <v>Direct Debit (UMB Bank) - Credits</v>
      </c>
      <c r="C1501" s="37">
        <v>46167</v>
      </c>
      <c r="D1501" s="31">
        <v>162046</v>
      </c>
      <c r="E1501" s="33" t="str">
        <f>IF(Table3[[#This Row],[Type Received]]=2,"CC",(IF(Table3[[#This Row],[Type Received]]=3,"BILL","ACH")))</f>
        <v>ACH</v>
      </c>
      <c r="F1501" s="32">
        <v>16.690000000000001</v>
      </c>
      <c r="G1501" s="14" t="str">
        <f>VLOOKUP(D1501,Table4[],3,FALSE)</f>
        <v>1</v>
      </c>
      <c r="H1501" s="15"/>
      <c r="I1501" s="15"/>
      <c r="J1501" s="15" t="s">
        <v>85</v>
      </c>
      <c r="K1501" s="15">
        <v>818362290</v>
      </c>
      <c r="L1501" s="15" t="s">
        <v>29</v>
      </c>
      <c r="M1501" s="15" t="s">
        <v>29</v>
      </c>
    </row>
    <row r="1502" spans="1:13" x14ac:dyDescent="0.25">
      <c r="A1502" s="23">
        <f t="shared" si="77"/>
        <v>162047</v>
      </c>
      <c r="B1502" s="14" t="str">
        <f t="shared" si="76"/>
        <v>Billing - Credits (from TPA)</v>
      </c>
      <c r="C1502" s="38">
        <v>46167</v>
      </c>
      <c r="D1502" s="34">
        <v>162047</v>
      </c>
      <c r="E1502" s="36" t="str">
        <f>IF(Table3[[#This Row],[Type Received]]=2,"CC",(IF(Table3[[#This Row],[Type Received]]=3,"BILL","ACH")))</f>
        <v>BILL</v>
      </c>
      <c r="F1502" s="35">
        <v>22.62</v>
      </c>
      <c r="G1502" s="14" t="str">
        <f>VLOOKUP(D1502,Table4[],3,FALSE)</f>
        <v>1</v>
      </c>
      <c r="H1502" s="15"/>
      <c r="I1502" s="15"/>
      <c r="J1502" s="15" t="s">
        <v>85</v>
      </c>
      <c r="K1502" s="15">
        <v>818358287</v>
      </c>
      <c r="L1502" s="15" t="s">
        <v>29</v>
      </c>
      <c r="M1502" s="15" t="s">
        <v>29</v>
      </c>
    </row>
    <row r="1503" spans="1:13" x14ac:dyDescent="0.25">
      <c r="A1503" s="23">
        <f t="shared" si="77"/>
        <v>162096</v>
      </c>
      <c r="B1503" s="14" t="str">
        <f t="shared" si="76"/>
        <v>Direct Debit (UMB Bank) - Credits</v>
      </c>
      <c r="C1503" s="37">
        <v>46147</v>
      </c>
      <c r="D1503" s="31">
        <v>162096</v>
      </c>
      <c r="E1503" s="33" t="str">
        <f>IF(Table3[[#This Row],[Type Received]]=2,"CC",(IF(Table3[[#This Row],[Type Received]]=3,"BILL","ACH")))</f>
        <v>ACH</v>
      </c>
      <c r="F1503" s="32">
        <v>9.76</v>
      </c>
      <c r="G1503" s="14" t="str">
        <f>VLOOKUP(D1503,Table4[],3,FALSE)</f>
        <v>1</v>
      </c>
      <c r="H1503" s="15">
        <v>57740045</v>
      </c>
      <c r="I1503" s="15"/>
      <c r="J1503" s="24"/>
      <c r="K1503" s="15"/>
      <c r="L1503" s="15"/>
      <c r="M1503" s="15"/>
    </row>
    <row r="1504" spans="1:13" x14ac:dyDescent="0.25">
      <c r="A1504" s="23">
        <f t="shared" si="77"/>
        <v>162354</v>
      </c>
      <c r="B1504" s="14" t="str">
        <f t="shared" si="76"/>
        <v>Direct Debit (UMB Bank) - Credits</v>
      </c>
      <c r="C1504" s="38">
        <v>46168</v>
      </c>
      <c r="D1504" s="34">
        <v>162354</v>
      </c>
      <c r="E1504" s="36" t="str">
        <f>IF(Table3[[#This Row],[Type Received]]=2,"CC",(IF(Table3[[#This Row],[Type Received]]=3,"BILL","ACH")))</f>
        <v>ACH</v>
      </c>
      <c r="F1504" s="35">
        <v>45.88</v>
      </c>
      <c r="G1504" s="14" t="str">
        <f>VLOOKUP(D1504,Table4[],3,FALSE)</f>
        <v>1</v>
      </c>
      <c r="H1504" s="15"/>
      <c r="I1504" s="15"/>
      <c r="J1504" s="24" t="s">
        <v>110</v>
      </c>
      <c r="K1504" s="15">
        <v>827793278</v>
      </c>
      <c r="L1504" s="15" t="s">
        <v>29</v>
      </c>
      <c r="M1504" s="15" t="s">
        <v>29</v>
      </c>
    </row>
    <row r="1505" spans="1:13" x14ac:dyDescent="0.25">
      <c r="A1505" s="23">
        <f t="shared" si="77"/>
        <v>162406</v>
      </c>
      <c r="B1505" s="14" t="str">
        <f t="shared" si="76"/>
        <v>Credit Cards (UMB) - Credits</v>
      </c>
      <c r="C1505" s="37">
        <v>46158</v>
      </c>
      <c r="D1505" s="31">
        <v>162406</v>
      </c>
      <c r="E1505" s="33" t="str">
        <f>IF(Table3[[#This Row],[Type Received]]=2,"CC",(IF(Table3[[#This Row],[Type Received]]=3,"BILL","ACH")))</f>
        <v>CC</v>
      </c>
      <c r="F1505" s="32">
        <v>18.48</v>
      </c>
      <c r="G1505" s="14" t="str">
        <f>VLOOKUP(D1505,Table4[],3,FALSE)</f>
        <v>1</v>
      </c>
      <c r="H1505" s="15"/>
      <c r="I1505" s="15"/>
      <c r="J1505" s="15" t="s">
        <v>106</v>
      </c>
      <c r="K1505" s="15">
        <v>710037038</v>
      </c>
      <c r="L1505" s="15" t="s">
        <v>29</v>
      </c>
      <c r="M1505" s="15" t="s">
        <v>29</v>
      </c>
    </row>
    <row r="1506" spans="1:13" x14ac:dyDescent="0.25">
      <c r="A1506" s="23">
        <f t="shared" si="77"/>
        <v>162416</v>
      </c>
      <c r="B1506" s="14" t="str">
        <f t="shared" si="76"/>
        <v>Direct Debit (UMB Bank) - Credits</v>
      </c>
      <c r="C1506" s="38">
        <v>46143</v>
      </c>
      <c r="D1506" s="34">
        <v>162416</v>
      </c>
      <c r="E1506" s="36" t="str">
        <f>IF(Table3[[#This Row],[Type Received]]=2,"CC",(IF(Table3[[#This Row],[Type Received]]=3,"BILL","ACH")))</f>
        <v>ACH</v>
      </c>
      <c r="F1506" s="35">
        <v>56.98</v>
      </c>
      <c r="G1506" s="14" t="str">
        <f>VLOOKUP(D1506,Table4[],3,FALSE)</f>
        <v>2</v>
      </c>
      <c r="H1506" s="15"/>
      <c r="I1506" s="15">
        <v>172920</v>
      </c>
      <c r="J1506" s="15" t="s">
        <v>28</v>
      </c>
      <c r="K1506" s="15">
        <v>526250903</v>
      </c>
      <c r="L1506" s="15" t="s">
        <v>29</v>
      </c>
      <c r="M1506" s="15" t="s">
        <v>29</v>
      </c>
    </row>
    <row r="1507" spans="1:13" x14ac:dyDescent="0.25">
      <c r="A1507" s="23">
        <f t="shared" si="77"/>
        <v>162635</v>
      </c>
      <c r="B1507" s="14" t="str">
        <f t="shared" si="76"/>
        <v>Direct Debit (UMB Bank) - Credits</v>
      </c>
      <c r="C1507" s="37">
        <v>46167</v>
      </c>
      <c r="D1507" s="31">
        <v>162635</v>
      </c>
      <c r="E1507" s="33" t="str">
        <f>IF(Table3[[#This Row],[Type Received]]=2,"CC",(IF(Table3[[#This Row],[Type Received]]=3,"BILL","ACH")))</f>
        <v>ACH</v>
      </c>
      <c r="F1507" s="32">
        <v>39.450000000000003</v>
      </c>
      <c r="G1507" s="14" t="str">
        <f>VLOOKUP(D1507,Table4[],3,FALSE)</f>
        <v>2</v>
      </c>
      <c r="H1507" s="15"/>
      <c r="I1507" s="15"/>
      <c r="J1507" s="15" t="s">
        <v>85</v>
      </c>
      <c r="K1507" s="15">
        <v>818359301</v>
      </c>
      <c r="L1507" s="15" t="s">
        <v>29</v>
      </c>
      <c r="M1507" s="15" t="s">
        <v>29</v>
      </c>
    </row>
    <row r="1508" spans="1:13" x14ac:dyDescent="0.25">
      <c r="A1508" s="23">
        <f t="shared" si="77"/>
        <v>162666</v>
      </c>
      <c r="B1508" s="14" t="str">
        <f t="shared" si="76"/>
        <v>Direct Debit (UMB Bank) - Credits</v>
      </c>
      <c r="C1508" s="38">
        <v>46167</v>
      </c>
      <c r="D1508" s="34">
        <v>162666</v>
      </c>
      <c r="E1508" s="36" t="str">
        <f>IF(Table3[[#This Row],[Type Received]]=2,"CC",(IF(Table3[[#This Row],[Type Received]]=3,"BILL","ACH")))</f>
        <v>ACH</v>
      </c>
      <c r="F1508" s="35">
        <v>29.73</v>
      </c>
      <c r="G1508" s="14" t="str">
        <f>VLOOKUP(D1508,Table4[],3,FALSE)</f>
        <v>2</v>
      </c>
      <c r="H1508" s="15"/>
      <c r="I1508" s="15"/>
      <c r="J1508" s="15" t="s">
        <v>85</v>
      </c>
      <c r="K1508" s="15">
        <v>818348751</v>
      </c>
      <c r="L1508" s="15" t="s">
        <v>29</v>
      </c>
      <c r="M1508" s="15" t="s">
        <v>29</v>
      </c>
    </row>
    <row r="1509" spans="1:13" x14ac:dyDescent="0.25">
      <c r="A1509" s="23">
        <f t="shared" si="77"/>
        <v>162682</v>
      </c>
      <c r="B1509" s="14" t="str">
        <f t="shared" si="76"/>
        <v>Direct Debit (UMB Bank) - Credits</v>
      </c>
      <c r="C1509" s="37">
        <v>46159</v>
      </c>
      <c r="D1509" s="31">
        <v>162682</v>
      </c>
      <c r="E1509" s="33" t="str">
        <f>IF(Table3[[#This Row],[Type Received]]=2,"CC",(IF(Table3[[#This Row],[Type Received]]=3,"BILL","ACH")))</f>
        <v>ACH</v>
      </c>
      <c r="F1509" s="32">
        <v>18.84</v>
      </c>
      <c r="G1509" s="14" t="str">
        <f>VLOOKUP(D1509,Table4[],3,FALSE)</f>
        <v>1</v>
      </c>
      <c r="H1509" s="15"/>
      <c r="I1509" s="15"/>
      <c r="J1509" s="15" t="s">
        <v>221</v>
      </c>
      <c r="K1509" s="15">
        <v>721664079</v>
      </c>
      <c r="L1509" s="15" t="s">
        <v>29</v>
      </c>
      <c r="M1509" s="15" t="s">
        <v>29</v>
      </c>
    </row>
    <row r="1510" spans="1:13" x14ac:dyDescent="0.25">
      <c r="A1510" s="23">
        <f t="shared" si="77"/>
        <v>162686</v>
      </c>
      <c r="B1510" s="14" t="str">
        <f t="shared" si="76"/>
        <v>Direct Debit (UMB Bank) - Credits</v>
      </c>
      <c r="C1510" s="38">
        <v>46159</v>
      </c>
      <c r="D1510" s="34">
        <v>162686</v>
      </c>
      <c r="E1510" s="36" t="str">
        <f>IF(Table3[[#This Row],[Type Received]]=2,"CC",(IF(Table3[[#This Row],[Type Received]]=3,"BILL","ACH")))</f>
        <v>ACH</v>
      </c>
      <c r="F1510" s="35">
        <v>16.420000000000002</v>
      </c>
      <c r="G1510" s="14" t="str">
        <f>VLOOKUP(D1510,Table4[],3,FALSE)</f>
        <v>1</v>
      </c>
      <c r="H1510" s="15"/>
      <c r="I1510" s="15"/>
      <c r="J1510" s="15" t="s">
        <v>221</v>
      </c>
      <c r="K1510" s="15">
        <v>721687352</v>
      </c>
      <c r="L1510" s="15" t="s">
        <v>29</v>
      </c>
      <c r="M1510" s="15" t="s">
        <v>29</v>
      </c>
    </row>
    <row r="1511" spans="1:13" x14ac:dyDescent="0.25">
      <c r="A1511" s="23">
        <f t="shared" si="77"/>
        <v>162805</v>
      </c>
      <c r="B1511" s="14" t="str">
        <f t="shared" si="76"/>
        <v>Direct Debit (UMB Bank) - Credits</v>
      </c>
      <c r="C1511" s="37">
        <v>46144</v>
      </c>
      <c r="D1511" s="31">
        <v>162805</v>
      </c>
      <c r="E1511" s="33" t="str">
        <f>IF(Table3[[#This Row],[Type Received]]=2,"CC",(IF(Table3[[#This Row],[Type Received]]=3,"BILL","ACH")))</f>
        <v>ACH</v>
      </c>
      <c r="F1511" s="32">
        <v>32.159999999999997</v>
      </c>
      <c r="G1511" s="14" t="str">
        <f>VLOOKUP(D1511,Table4[],3,FALSE)</f>
        <v>2</v>
      </c>
      <c r="H1511" s="15"/>
      <c r="I1511" s="15"/>
      <c r="J1511" s="15" t="s">
        <v>89</v>
      </c>
      <c r="K1511" s="15">
        <v>535377783</v>
      </c>
      <c r="L1511" s="15" t="s">
        <v>29</v>
      </c>
      <c r="M1511" s="15" t="s">
        <v>29</v>
      </c>
    </row>
    <row r="1512" spans="1:13" x14ac:dyDescent="0.25">
      <c r="A1512" s="23">
        <f t="shared" si="77"/>
        <v>162807</v>
      </c>
      <c r="B1512" s="14" t="str">
        <f t="shared" si="76"/>
        <v>Direct Debit (UMB Bank) - Credits</v>
      </c>
      <c r="C1512" s="38">
        <v>46144</v>
      </c>
      <c r="D1512" s="34">
        <v>162807</v>
      </c>
      <c r="E1512" s="36" t="str">
        <f>IF(Table3[[#This Row],[Type Received]]=2,"CC",(IF(Table3[[#This Row],[Type Received]]=3,"BILL","ACH")))</f>
        <v>ACH</v>
      </c>
      <c r="F1512" s="35">
        <v>23.52</v>
      </c>
      <c r="G1512" s="14" t="str">
        <f>VLOOKUP(D1512,Table4[],3,FALSE)</f>
        <v>1</v>
      </c>
      <c r="H1512" s="15"/>
      <c r="I1512" s="15"/>
      <c r="J1512" s="15" t="s">
        <v>89</v>
      </c>
      <c r="K1512" s="15">
        <v>535385638</v>
      </c>
      <c r="L1512" s="15" t="s">
        <v>29</v>
      </c>
      <c r="M1512" s="15" t="s">
        <v>29</v>
      </c>
    </row>
    <row r="1513" spans="1:13" x14ac:dyDescent="0.25">
      <c r="A1513" s="23">
        <f t="shared" si="77"/>
        <v>162809</v>
      </c>
      <c r="B1513" s="14" t="str">
        <f t="shared" si="76"/>
        <v>Credit Cards (UMB) - Credits</v>
      </c>
      <c r="C1513" s="37">
        <v>46144</v>
      </c>
      <c r="D1513" s="31">
        <v>162809</v>
      </c>
      <c r="E1513" s="33" t="str">
        <f>IF(Table3[[#This Row],[Type Received]]=2,"CC",(IF(Table3[[#This Row],[Type Received]]=3,"BILL","ACH")))</f>
        <v>CC</v>
      </c>
      <c r="F1513" s="32">
        <v>16.149999999999999</v>
      </c>
      <c r="G1513" s="14" t="str">
        <f>VLOOKUP(D1513,Table4[],3,FALSE)</f>
        <v>2</v>
      </c>
      <c r="H1513" s="15"/>
      <c r="I1513" s="15"/>
      <c r="J1513" s="15" t="s">
        <v>89</v>
      </c>
      <c r="K1513" s="15">
        <v>535380728</v>
      </c>
      <c r="L1513" s="15" t="s">
        <v>29</v>
      </c>
      <c r="M1513" s="15" t="s">
        <v>29</v>
      </c>
    </row>
    <row r="1514" spans="1:13" x14ac:dyDescent="0.25">
      <c r="A1514" s="23">
        <f t="shared" si="77"/>
        <v>162827</v>
      </c>
      <c r="B1514" s="14" t="str">
        <f t="shared" si="76"/>
        <v>Direct Debit (UMB Bank) - Credits</v>
      </c>
      <c r="C1514" s="38">
        <v>46163</v>
      </c>
      <c r="D1514" s="34">
        <v>162827</v>
      </c>
      <c r="E1514" s="36" t="str">
        <f>IF(Table3[[#This Row],[Type Received]]=2,"CC",(IF(Table3[[#This Row],[Type Received]]=3,"BILL","ACH")))</f>
        <v>ACH</v>
      </c>
      <c r="F1514" s="35">
        <v>52.24</v>
      </c>
      <c r="G1514" s="14" t="str">
        <f>VLOOKUP(D1514,Table4[],3,FALSE)</f>
        <v>1</v>
      </c>
      <c r="H1514" s="15"/>
      <c r="I1514" s="15">
        <v>123625</v>
      </c>
      <c r="J1514" s="15" t="s">
        <v>28</v>
      </c>
      <c r="K1514" s="15">
        <v>771446926</v>
      </c>
      <c r="L1514" s="15" t="s">
        <v>29</v>
      </c>
      <c r="M1514" s="15" t="s">
        <v>29</v>
      </c>
    </row>
    <row r="1515" spans="1:13" x14ac:dyDescent="0.25">
      <c r="A1515" s="23">
        <f t="shared" si="77"/>
        <v>162829</v>
      </c>
      <c r="B1515" s="14" t="str">
        <f t="shared" si="76"/>
        <v>Direct Debit (UMB Bank) - Credits</v>
      </c>
      <c r="C1515" s="37">
        <v>46144</v>
      </c>
      <c r="D1515" s="31">
        <v>162829</v>
      </c>
      <c r="E1515" s="33" t="str">
        <f>IF(Table3[[#This Row],[Type Received]]=2,"CC",(IF(Table3[[#This Row],[Type Received]]=3,"BILL","ACH")))</f>
        <v>ACH</v>
      </c>
      <c r="F1515" s="32">
        <v>16.239999999999998</v>
      </c>
      <c r="G1515" s="14" t="str">
        <f>VLOOKUP(D1515,Table4[],3,FALSE)</f>
        <v>1</v>
      </c>
      <c r="H1515" s="15"/>
      <c r="I1515" s="15"/>
      <c r="J1515" s="24" t="s">
        <v>89</v>
      </c>
      <c r="K1515" s="15">
        <v>535371980</v>
      </c>
      <c r="L1515" s="15" t="s">
        <v>29</v>
      </c>
      <c r="M1515" s="15" t="s">
        <v>29</v>
      </c>
    </row>
    <row r="1516" spans="1:13" x14ac:dyDescent="0.25">
      <c r="A1516" s="23">
        <f t="shared" si="77"/>
        <v>162891</v>
      </c>
      <c r="B1516" s="14" t="str">
        <f t="shared" si="76"/>
        <v>Direct Debit (UMB Bank) - Credits</v>
      </c>
      <c r="C1516" s="38">
        <v>46144</v>
      </c>
      <c r="D1516" s="34">
        <v>162891</v>
      </c>
      <c r="E1516" s="36" t="str">
        <f>IF(Table3[[#This Row],[Type Received]]=2,"CC",(IF(Table3[[#This Row],[Type Received]]=3,"BILL","ACH")))</f>
        <v>ACH</v>
      </c>
      <c r="F1516" s="35">
        <v>60.42</v>
      </c>
      <c r="G1516" s="14" t="str">
        <f>VLOOKUP(D1516,Table4[],3,FALSE)</f>
        <v>1</v>
      </c>
      <c r="H1516" s="15"/>
      <c r="I1516" s="15"/>
      <c r="J1516" s="24" t="s">
        <v>89</v>
      </c>
      <c r="K1516" s="15">
        <v>535385675</v>
      </c>
      <c r="L1516" s="15" t="s">
        <v>29</v>
      </c>
      <c r="M1516" s="15" t="s">
        <v>29</v>
      </c>
    </row>
    <row r="1517" spans="1:13" x14ac:dyDescent="0.25">
      <c r="A1517" s="23">
        <f t="shared" si="77"/>
        <v>162957</v>
      </c>
      <c r="B1517" s="14" t="str">
        <f t="shared" si="76"/>
        <v>Direct Debit (UMB Bank) - Credits</v>
      </c>
      <c r="C1517" s="37">
        <v>46167</v>
      </c>
      <c r="D1517" s="31">
        <v>162957</v>
      </c>
      <c r="E1517" s="33" t="str">
        <f>IF(Table3[[#This Row],[Type Received]]=2,"CC",(IF(Table3[[#This Row],[Type Received]]=3,"BILL","ACH")))</f>
        <v>ACH</v>
      </c>
      <c r="F1517" s="32">
        <v>14.62</v>
      </c>
      <c r="G1517" s="14" t="str">
        <f>VLOOKUP(D1517,Table4[],3,FALSE)</f>
        <v>1</v>
      </c>
      <c r="H1517" s="15"/>
      <c r="I1517" s="15"/>
      <c r="J1517" s="15" t="s">
        <v>85</v>
      </c>
      <c r="K1517" s="15">
        <v>818353481</v>
      </c>
      <c r="L1517" s="15" t="s">
        <v>29</v>
      </c>
      <c r="M1517" s="15" t="s">
        <v>29</v>
      </c>
    </row>
    <row r="1518" spans="1:13" x14ac:dyDescent="0.25">
      <c r="A1518" s="23">
        <f t="shared" ref="A1518:A1525" si="78">D1518</f>
        <v>162971</v>
      </c>
      <c r="B1518" s="14" t="str">
        <f t="shared" si="76"/>
        <v>Direct Debit (UMB Bank) - Credits</v>
      </c>
      <c r="C1518" s="38">
        <v>46159</v>
      </c>
      <c r="D1518" s="34">
        <v>162971</v>
      </c>
      <c r="E1518" s="36" t="str">
        <f>IF(Table3[[#This Row],[Type Received]]=2,"CC",(IF(Table3[[#This Row],[Type Received]]=3,"BILL","ACH")))</f>
        <v>ACH</v>
      </c>
      <c r="F1518" s="35">
        <v>24.83</v>
      </c>
      <c r="G1518" s="14" t="str">
        <f>VLOOKUP(D1518,Table4[],3,FALSE)</f>
        <v>2</v>
      </c>
      <c r="H1518" s="15"/>
      <c r="I1518" s="15"/>
      <c r="J1518" s="15" t="s">
        <v>221</v>
      </c>
      <c r="K1518" s="15">
        <v>721678673</v>
      </c>
      <c r="L1518" s="15" t="s">
        <v>29</v>
      </c>
      <c r="M1518" s="15" t="s">
        <v>29</v>
      </c>
    </row>
    <row r="1519" spans="1:13" x14ac:dyDescent="0.25">
      <c r="A1519" s="23">
        <f t="shared" si="78"/>
        <v>163104</v>
      </c>
      <c r="B1519" s="14" t="str">
        <f t="shared" si="76"/>
        <v>Billing - Credits (from TPA)</v>
      </c>
      <c r="C1519" s="37">
        <v>46159</v>
      </c>
      <c r="D1519" s="31">
        <v>163104</v>
      </c>
      <c r="E1519" s="33" t="str">
        <f>IF(Table3[[#This Row],[Type Received]]=2,"CC",(IF(Table3[[#This Row],[Type Received]]=3,"BILL","ACH")))</f>
        <v>BILL</v>
      </c>
      <c r="F1519" s="32">
        <v>20.28</v>
      </c>
      <c r="G1519" s="14" t="str">
        <f>VLOOKUP(D1519,Table4[],3,FALSE)</f>
        <v>1</v>
      </c>
      <c r="H1519" s="15"/>
      <c r="I1519" s="15"/>
      <c r="J1519" s="15" t="s">
        <v>221</v>
      </c>
      <c r="K1519" s="15">
        <v>721669949</v>
      </c>
      <c r="L1519" s="15" t="s">
        <v>29</v>
      </c>
      <c r="M1519" s="15" t="s">
        <v>29</v>
      </c>
    </row>
    <row r="1520" spans="1:13" x14ac:dyDescent="0.25">
      <c r="A1520" s="23">
        <f t="shared" si="78"/>
        <v>163130</v>
      </c>
      <c r="B1520" s="14" t="str">
        <f t="shared" si="76"/>
        <v>Credit Cards (UMB) - Credits</v>
      </c>
      <c r="C1520" s="38">
        <v>46146</v>
      </c>
      <c r="D1520" s="34">
        <v>163130</v>
      </c>
      <c r="E1520" s="36" t="str">
        <f>IF(Table3[[#This Row],[Type Received]]=2,"CC",(IF(Table3[[#This Row],[Type Received]]=3,"BILL","ACH")))</f>
        <v>CC</v>
      </c>
      <c r="F1520" s="35">
        <v>23.67</v>
      </c>
      <c r="G1520" s="14" t="str">
        <f>VLOOKUP(D1520,Table4[],3,FALSE)</f>
        <v>2</v>
      </c>
      <c r="H1520" s="15">
        <v>3298</v>
      </c>
      <c r="I1520" s="15"/>
      <c r="J1520" s="15"/>
      <c r="K1520" s="15"/>
      <c r="L1520" s="15"/>
      <c r="M1520" s="15" t="s">
        <v>29</v>
      </c>
    </row>
    <row r="1521" spans="1:13" x14ac:dyDescent="0.25">
      <c r="A1521" s="23">
        <f t="shared" si="78"/>
        <v>163243</v>
      </c>
      <c r="B1521" s="14" t="str">
        <f t="shared" si="76"/>
        <v>Direct Debit (UMB Bank) - Credits</v>
      </c>
      <c r="C1521" s="37">
        <v>46149</v>
      </c>
      <c r="D1521" s="31">
        <v>163243</v>
      </c>
      <c r="E1521" s="33" t="str">
        <f>IF(Table3[[#This Row],[Type Received]]=2,"CC",(IF(Table3[[#This Row],[Type Received]]=3,"BILL","ACH")))</f>
        <v>ACH</v>
      </c>
      <c r="F1521" s="32">
        <v>39.729999999999997</v>
      </c>
      <c r="G1521" s="14" t="str">
        <f>VLOOKUP(D1521,Table4[],3,FALSE)</f>
        <v>2</v>
      </c>
      <c r="H1521" s="15"/>
      <c r="I1521" s="15">
        <v>781565</v>
      </c>
      <c r="J1521" s="15" t="s">
        <v>28</v>
      </c>
      <c r="K1521" s="15">
        <v>595561221</v>
      </c>
      <c r="L1521" s="15" t="s">
        <v>29</v>
      </c>
      <c r="M1521" s="15" t="s">
        <v>29</v>
      </c>
    </row>
    <row r="1522" spans="1:13" x14ac:dyDescent="0.25">
      <c r="A1522" s="23">
        <f t="shared" si="78"/>
        <v>163346</v>
      </c>
      <c r="B1522" s="14" t="str">
        <f t="shared" si="76"/>
        <v>Direct Debit (UMB Bank) - Credits</v>
      </c>
      <c r="C1522" s="38">
        <v>46143</v>
      </c>
      <c r="D1522" s="34">
        <v>163346</v>
      </c>
      <c r="E1522" s="36" t="str">
        <f>IF(Table3[[#This Row],[Type Received]]=2,"CC",(IF(Table3[[#This Row],[Type Received]]=3,"BILL","ACH")))</f>
        <v>ACH</v>
      </c>
      <c r="F1522" s="35">
        <v>71.709999999999994</v>
      </c>
      <c r="G1522" s="14" t="str">
        <f>VLOOKUP(D1522,Table4[],3,FALSE)</f>
        <v>2</v>
      </c>
      <c r="H1522" s="15"/>
      <c r="I1522" s="15"/>
      <c r="J1522" s="15" t="s">
        <v>84</v>
      </c>
      <c r="K1522" s="15">
        <v>522258562</v>
      </c>
      <c r="L1522" s="15" t="s">
        <v>29</v>
      </c>
      <c r="M1522" s="15" t="s">
        <v>29</v>
      </c>
    </row>
    <row r="1523" spans="1:13" x14ac:dyDescent="0.25">
      <c r="A1523" s="23">
        <f t="shared" si="78"/>
        <v>163390</v>
      </c>
      <c r="B1523" s="14" t="str">
        <f t="shared" si="76"/>
        <v>Billing - Credits (from TPA)</v>
      </c>
      <c r="C1523" s="37">
        <v>46167</v>
      </c>
      <c r="D1523" s="31">
        <v>163390</v>
      </c>
      <c r="E1523" s="33" t="str">
        <f>IF(Table3[[#This Row],[Type Received]]=2,"CC",(IF(Table3[[#This Row],[Type Received]]=3,"BILL","ACH")))</f>
        <v>BILL</v>
      </c>
      <c r="F1523" s="32">
        <v>42.42</v>
      </c>
      <c r="G1523" s="14" t="str">
        <f>VLOOKUP(D1523,Table4[],3,FALSE)</f>
        <v>2</v>
      </c>
      <c r="H1523" s="15"/>
      <c r="I1523" s="15"/>
      <c r="J1523" s="15" t="s">
        <v>85</v>
      </c>
      <c r="K1523" s="15">
        <v>818361327</v>
      </c>
      <c r="L1523" s="15" t="s">
        <v>29</v>
      </c>
      <c r="M1523" s="15" t="s">
        <v>29</v>
      </c>
    </row>
    <row r="1524" spans="1:13" x14ac:dyDescent="0.25">
      <c r="A1524" s="23">
        <f t="shared" si="78"/>
        <v>163434</v>
      </c>
      <c r="B1524" s="14" t="str">
        <f t="shared" si="76"/>
        <v>Billing - Credits (from TPA)</v>
      </c>
      <c r="C1524" s="38">
        <v>46170</v>
      </c>
      <c r="D1524" s="34">
        <v>163434</v>
      </c>
      <c r="E1524" s="36" t="str">
        <f>IF(Table3[[#This Row],[Type Received]]=2,"CC",(IF(Table3[[#This Row],[Type Received]]=3,"BILL","ACH")))</f>
        <v>BILL</v>
      </c>
      <c r="F1524" s="35">
        <v>40.72</v>
      </c>
      <c r="G1524" s="14" t="str">
        <f>VLOOKUP(D1524,Table4[],3,FALSE)</f>
        <v>2</v>
      </c>
      <c r="H1524" s="15">
        <v>923905435</v>
      </c>
      <c r="I1524" s="15"/>
      <c r="J1524" s="15"/>
      <c r="K1524" s="15"/>
      <c r="L1524" s="15"/>
      <c r="M1524" s="15" t="s">
        <v>29</v>
      </c>
    </row>
    <row r="1525" spans="1:13" x14ac:dyDescent="0.25">
      <c r="A1525" s="23">
        <f t="shared" si="78"/>
        <v>163434</v>
      </c>
      <c r="B1525" s="14" t="str">
        <f t="shared" si="76"/>
        <v>Credit Cards (UMB) - Credits</v>
      </c>
      <c r="C1525" s="37">
        <v>46160</v>
      </c>
      <c r="D1525" s="31">
        <v>163434</v>
      </c>
      <c r="E1525" s="33" t="str">
        <f>IF(Table3[[#This Row],[Type Received]]=2,"CC",(IF(Table3[[#This Row],[Type Received]]=3,"BILL","ACH")))</f>
        <v>CC</v>
      </c>
      <c r="F1525" s="32">
        <v>40.72</v>
      </c>
      <c r="G1525" s="14" t="str">
        <f>VLOOKUP(D1525,Table4[],3,FALSE)</f>
        <v>2</v>
      </c>
      <c r="H1525" s="15">
        <v>922766564</v>
      </c>
      <c r="I1525" s="15"/>
      <c r="J1525" s="15"/>
      <c r="K1525" s="15"/>
      <c r="L1525" s="15"/>
      <c r="M1525" s="15"/>
    </row>
    <row r="1526" spans="1:13" x14ac:dyDescent="0.25">
      <c r="A1526" s="23"/>
      <c r="B1526" s="14" t="str">
        <f t="shared" si="76"/>
        <v>Billing - Credits (from TPA)</v>
      </c>
      <c r="C1526" s="38">
        <v>46169</v>
      </c>
      <c r="D1526" s="34">
        <v>163608</v>
      </c>
      <c r="E1526" s="36" t="str">
        <f>IF(Table3[[#This Row],[Type Received]]=2,"CC",(IF(Table3[[#This Row],[Type Received]]=3,"BILL","ACH")))</f>
        <v>BILL</v>
      </c>
      <c r="F1526" s="35">
        <v>21.64</v>
      </c>
      <c r="G1526" s="14" t="str">
        <f>VLOOKUP(D1526,Table4[],3,FALSE)</f>
        <v>1</v>
      </c>
      <c r="H1526" s="15"/>
      <c r="I1526" s="15" t="s">
        <v>222</v>
      </c>
      <c r="J1526" s="15">
        <v>749271671</v>
      </c>
      <c r="K1526" s="15">
        <v>356005746</v>
      </c>
      <c r="L1526" s="15"/>
      <c r="M1526" s="15" t="s">
        <v>29</v>
      </c>
    </row>
    <row r="1527" spans="1:13" x14ac:dyDescent="0.25">
      <c r="A1527" s="23">
        <f t="shared" ref="A1527:A1572" si="79">D1527</f>
        <v>163608</v>
      </c>
      <c r="B1527" s="14" t="str">
        <f t="shared" si="76"/>
        <v>Credit Cards (UMB) - Credits</v>
      </c>
      <c r="C1527" s="37">
        <v>46147</v>
      </c>
      <c r="D1527" s="31">
        <v>163608</v>
      </c>
      <c r="E1527" s="33" t="str">
        <f>IF(Table3[[#This Row],[Type Received]]=2,"CC",(IF(Table3[[#This Row],[Type Received]]=3,"BILL","ACH")))</f>
        <v>CC</v>
      </c>
      <c r="F1527" s="32">
        <v>21.64</v>
      </c>
      <c r="G1527" s="14" t="str">
        <f>VLOOKUP(D1527,Table4[],3,FALSE)</f>
        <v>1</v>
      </c>
      <c r="H1527" s="15">
        <v>1006</v>
      </c>
      <c r="I1527" s="15"/>
      <c r="J1527" s="24"/>
      <c r="K1527" s="15"/>
      <c r="L1527" s="15"/>
      <c r="M1527" s="15" t="s">
        <v>29</v>
      </c>
    </row>
    <row r="1528" spans="1:13" x14ac:dyDescent="0.25">
      <c r="A1528" s="23">
        <f t="shared" si="79"/>
        <v>163611</v>
      </c>
      <c r="B1528" s="14" t="str">
        <f t="shared" si="76"/>
        <v>Credit Cards (UMB) - Credits</v>
      </c>
      <c r="C1528" s="38">
        <v>46143</v>
      </c>
      <c r="D1528" s="34">
        <v>163611</v>
      </c>
      <c r="E1528" s="36" t="str">
        <f>IF(Table3[[#This Row],[Type Received]]=2,"CC",(IF(Table3[[#This Row],[Type Received]]=3,"BILL","ACH")))</f>
        <v>CC</v>
      </c>
      <c r="F1528" s="35">
        <v>65.86</v>
      </c>
      <c r="G1528" s="14" t="str">
        <f>VLOOKUP(D1528,Table4[],3,FALSE)</f>
        <v>2</v>
      </c>
      <c r="H1528" s="15"/>
      <c r="I1528" s="15">
        <v>160430</v>
      </c>
      <c r="J1528" s="15" t="s">
        <v>28</v>
      </c>
      <c r="K1528" s="15">
        <v>524394618</v>
      </c>
      <c r="L1528" s="15" t="s">
        <v>29</v>
      </c>
      <c r="M1528" s="15" t="s">
        <v>29</v>
      </c>
    </row>
    <row r="1529" spans="1:13" x14ac:dyDescent="0.25">
      <c r="A1529" s="23">
        <f t="shared" si="79"/>
        <v>163662</v>
      </c>
      <c r="B1529" s="14" t="str">
        <f t="shared" si="76"/>
        <v>Direct Debit (UMB Bank) - Credits</v>
      </c>
      <c r="C1529" s="37">
        <v>46163</v>
      </c>
      <c r="D1529" s="31">
        <v>163662</v>
      </c>
      <c r="E1529" s="33" t="str">
        <f>IF(Table3[[#This Row],[Type Received]]=2,"CC",(IF(Table3[[#This Row],[Type Received]]=3,"BILL","ACH")))</f>
        <v>ACH</v>
      </c>
      <c r="F1529" s="32">
        <v>36.130000000000003</v>
      </c>
      <c r="G1529" s="14" t="str">
        <f>VLOOKUP(D1529,Table4[],3,FALSE)</f>
        <v>2</v>
      </c>
      <c r="H1529" s="15"/>
      <c r="I1529" s="15">
        <v>104405</v>
      </c>
      <c r="J1529" s="15" t="s">
        <v>28</v>
      </c>
      <c r="K1529" s="15">
        <v>775569612</v>
      </c>
      <c r="L1529" s="15" t="s">
        <v>29</v>
      </c>
      <c r="M1529" s="15" t="s">
        <v>29</v>
      </c>
    </row>
    <row r="1530" spans="1:13" x14ac:dyDescent="0.25">
      <c r="A1530" s="23">
        <f t="shared" si="79"/>
        <v>163680</v>
      </c>
      <c r="B1530" s="14" t="str">
        <f t="shared" si="76"/>
        <v>Credit Cards (UMB) - Credits</v>
      </c>
      <c r="C1530" s="38">
        <v>46159</v>
      </c>
      <c r="D1530" s="34">
        <v>163680</v>
      </c>
      <c r="E1530" s="36" t="str">
        <f>IF(Table3[[#This Row],[Type Received]]=2,"CC",(IF(Table3[[#This Row],[Type Received]]=3,"BILL","ACH")))</f>
        <v>CC</v>
      </c>
      <c r="F1530" s="35">
        <v>50.52</v>
      </c>
      <c r="G1530" s="14" t="str">
        <f>VLOOKUP(D1530,Table4[],3,FALSE)</f>
        <v>2</v>
      </c>
      <c r="H1530" s="15"/>
      <c r="I1530" s="15"/>
      <c r="J1530" s="15" t="s">
        <v>221</v>
      </c>
      <c r="K1530" s="15">
        <v>721687389</v>
      </c>
      <c r="L1530" s="15" t="s">
        <v>29</v>
      </c>
      <c r="M1530" s="15" t="s">
        <v>29</v>
      </c>
    </row>
    <row r="1531" spans="1:13" x14ac:dyDescent="0.25">
      <c r="A1531" s="23">
        <f t="shared" si="79"/>
        <v>163831</v>
      </c>
      <c r="B1531" s="14" t="str">
        <f t="shared" si="76"/>
        <v>Direct Debit (UMB Bank) - Credits</v>
      </c>
      <c r="C1531" s="37">
        <v>46163</v>
      </c>
      <c r="D1531" s="31">
        <v>163831</v>
      </c>
      <c r="E1531" s="33" t="str">
        <f>IF(Table3[[#This Row],[Type Received]]=2,"CC",(IF(Table3[[#This Row],[Type Received]]=3,"BILL","ACH")))</f>
        <v>ACH</v>
      </c>
      <c r="F1531" s="32">
        <v>95.55</v>
      </c>
      <c r="G1531" s="14" t="str">
        <f>VLOOKUP(D1531,Table4[],3,FALSE)</f>
        <v>1</v>
      </c>
      <c r="H1531" s="15"/>
      <c r="I1531" s="15" t="s">
        <v>223</v>
      </c>
      <c r="J1531" s="15" t="s">
        <v>28</v>
      </c>
      <c r="K1531" s="15">
        <v>774064299</v>
      </c>
      <c r="L1531" s="15" t="s">
        <v>29</v>
      </c>
      <c r="M1531" s="15" t="s">
        <v>29</v>
      </c>
    </row>
    <row r="1532" spans="1:13" x14ac:dyDescent="0.25">
      <c r="A1532" s="23">
        <f t="shared" si="79"/>
        <v>163891</v>
      </c>
      <c r="B1532" s="14" t="str">
        <f t="shared" si="76"/>
        <v>Direct Debit (UMB Bank) - Credits</v>
      </c>
      <c r="C1532" s="38">
        <v>46144</v>
      </c>
      <c r="D1532" s="34">
        <v>163891</v>
      </c>
      <c r="E1532" s="36" t="str">
        <f>IF(Table3[[#This Row],[Type Received]]=2,"CC",(IF(Table3[[#This Row],[Type Received]]=3,"BILL","ACH")))</f>
        <v>ACH</v>
      </c>
      <c r="F1532" s="35">
        <v>24.24</v>
      </c>
      <c r="G1532" s="14" t="str">
        <f>VLOOKUP(D1532,Table4[],3,FALSE)</f>
        <v>1</v>
      </c>
      <c r="H1532" s="15"/>
      <c r="I1532" s="15"/>
      <c r="J1532" s="15" t="s">
        <v>89</v>
      </c>
      <c r="K1532" s="15">
        <v>535373993</v>
      </c>
      <c r="L1532" s="15" t="s">
        <v>29</v>
      </c>
      <c r="M1532" s="15" t="s">
        <v>29</v>
      </c>
    </row>
    <row r="1533" spans="1:13" x14ac:dyDescent="0.25">
      <c r="A1533" s="23">
        <f t="shared" si="79"/>
        <v>163935</v>
      </c>
      <c r="B1533" s="14" t="str">
        <f t="shared" si="76"/>
        <v>Direct Debit (UMB Bank) - Credits</v>
      </c>
      <c r="C1533" s="37">
        <v>46155</v>
      </c>
      <c r="D1533" s="31">
        <v>163935</v>
      </c>
      <c r="E1533" s="33" t="str">
        <f>IF(Table3[[#This Row],[Type Received]]=2,"CC",(IF(Table3[[#This Row],[Type Received]]=3,"BILL","ACH")))</f>
        <v>ACH</v>
      </c>
      <c r="F1533" s="32">
        <v>80.459999999999994</v>
      </c>
      <c r="G1533" s="14" t="str">
        <f>VLOOKUP(D1533,Table4[],3,FALSE)</f>
        <v>1</v>
      </c>
      <c r="H1533" s="15"/>
      <c r="I1533" s="15"/>
      <c r="J1533" s="15" t="s">
        <v>90</v>
      </c>
      <c r="K1533" s="15">
        <v>669427699</v>
      </c>
      <c r="L1533" s="15" t="s">
        <v>29</v>
      </c>
      <c r="M1533" s="15" t="s">
        <v>29</v>
      </c>
    </row>
    <row r="1534" spans="1:13" x14ac:dyDescent="0.25">
      <c r="A1534" s="23">
        <f t="shared" si="79"/>
        <v>163964</v>
      </c>
      <c r="B1534" s="14" t="str">
        <f t="shared" si="76"/>
        <v>Direct Debit (UMB Bank) - Credits</v>
      </c>
      <c r="C1534" s="38">
        <v>46167</v>
      </c>
      <c r="D1534" s="34">
        <v>163964</v>
      </c>
      <c r="E1534" s="36" t="str">
        <f>IF(Table3[[#This Row],[Type Received]]=2,"CC",(IF(Table3[[#This Row],[Type Received]]=3,"BILL","ACH")))</f>
        <v>ACH</v>
      </c>
      <c r="F1534" s="35">
        <v>16.059999999999999</v>
      </c>
      <c r="G1534" s="14" t="str">
        <f>VLOOKUP(D1534,Table4[],3,FALSE)</f>
        <v>1</v>
      </c>
      <c r="H1534" s="15"/>
      <c r="I1534" s="15"/>
      <c r="J1534" s="15" t="s">
        <v>85</v>
      </c>
      <c r="K1534" s="15">
        <v>818362343</v>
      </c>
      <c r="L1534" s="15" t="s">
        <v>29</v>
      </c>
      <c r="M1534" s="15" t="s">
        <v>29</v>
      </c>
    </row>
    <row r="1535" spans="1:13" x14ac:dyDescent="0.25">
      <c r="A1535" s="23">
        <f t="shared" si="79"/>
        <v>163967</v>
      </c>
      <c r="B1535" s="14" t="str">
        <f t="shared" si="76"/>
        <v>Direct Debit (UMB Bank) - Credits</v>
      </c>
      <c r="C1535" s="37">
        <v>46159</v>
      </c>
      <c r="D1535" s="31">
        <v>163967</v>
      </c>
      <c r="E1535" s="33" t="str">
        <f>IF(Table3[[#This Row],[Type Received]]=2,"CC",(IF(Table3[[#This Row],[Type Received]]=3,"BILL","ACH")))</f>
        <v>ACH</v>
      </c>
      <c r="F1535" s="32">
        <v>19.7</v>
      </c>
      <c r="G1535" s="14" t="str">
        <f>VLOOKUP(D1535,Table4[],3,FALSE)</f>
        <v>2</v>
      </c>
      <c r="H1535" s="15"/>
      <c r="I1535" s="15"/>
      <c r="J1535" s="15" t="s">
        <v>221</v>
      </c>
      <c r="K1535" s="15">
        <v>721688399</v>
      </c>
      <c r="L1535" s="15" t="s">
        <v>29</v>
      </c>
      <c r="M1535" s="15" t="s">
        <v>29</v>
      </c>
    </row>
    <row r="1536" spans="1:13" x14ac:dyDescent="0.25">
      <c r="A1536" s="23">
        <f t="shared" si="79"/>
        <v>164024</v>
      </c>
      <c r="B1536" s="14" t="str">
        <f t="shared" si="76"/>
        <v>Direct Debit (UMB Bank) - Credits</v>
      </c>
      <c r="C1536" s="38">
        <v>46167</v>
      </c>
      <c r="D1536" s="34">
        <v>164024</v>
      </c>
      <c r="E1536" s="36" t="str">
        <f>IF(Table3[[#This Row],[Type Received]]=2,"CC",(IF(Table3[[#This Row],[Type Received]]=3,"BILL","ACH")))</f>
        <v>ACH</v>
      </c>
      <c r="F1536" s="35">
        <v>11.92</v>
      </c>
      <c r="G1536" s="14" t="str">
        <f>VLOOKUP(D1536,Table4[],3,FALSE)</f>
        <v>1</v>
      </c>
      <c r="H1536" s="15"/>
      <c r="I1536" s="15"/>
      <c r="J1536" s="15" t="s">
        <v>85</v>
      </c>
      <c r="K1536" s="15">
        <v>818353518</v>
      </c>
      <c r="L1536" s="15" t="s">
        <v>29</v>
      </c>
      <c r="M1536" s="15"/>
    </row>
    <row r="1537" spans="1:13" x14ac:dyDescent="0.25">
      <c r="A1537" s="23">
        <f t="shared" si="79"/>
        <v>164025</v>
      </c>
      <c r="B1537" s="14" t="str">
        <f t="shared" si="76"/>
        <v>Direct Debit (UMB Bank) - Credits</v>
      </c>
      <c r="C1537" s="37">
        <v>46167</v>
      </c>
      <c r="D1537" s="31">
        <v>164025</v>
      </c>
      <c r="E1537" s="33" t="str">
        <f>IF(Table3[[#This Row],[Type Received]]=2,"CC",(IF(Table3[[#This Row],[Type Received]]=3,"BILL","ACH")))</f>
        <v>ACH</v>
      </c>
      <c r="F1537" s="32">
        <v>13.8</v>
      </c>
      <c r="G1537" s="14" t="str">
        <f>VLOOKUP(D1537,Table4[],3,FALSE)</f>
        <v>1</v>
      </c>
      <c r="H1537" s="15"/>
      <c r="I1537" s="15"/>
      <c r="J1537" s="15" t="s">
        <v>85</v>
      </c>
      <c r="K1537" s="15">
        <v>818361350</v>
      </c>
      <c r="L1537" s="15" t="s">
        <v>29</v>
      </c>
      <c r="M1537" s="15" t="s">
        <v>29</v>
      </c>
    </row>
    <row r="1538" spans="1:13" x14ac:dyDescent="0.25">
      <c r="A1538" s="23">
        <f t="shared" si="79"/>
        <v>164048</v>
      </c>
      <c r="B1538" s="14" t="str">
        <f t="shared" ref="B1538:B1601" si="80">IF(AND(E1538="BILL",F1538&lt;0),"Billing &amp; Direct Debit - Refunds",(IF(AND(E1538="BILL",F1538&gt;0),"Billing - Credits (from TPA)",(IF(AND(E1538="CC",F1538&lt;0),"Credit Cards (UMB) - Refunds",(IF(AND(E1538="CC",F1538&gt;0),"Credit Cards (UMB) - Credits",(IF(AND(E1538="ACH",F1538&gt;0),"Direct Debit (UMB Bank) - Credits","Direct Debit (UMB Bank) - Returned Items")))))))))</f>
        <v>Direct Debit (UMB Bank) - Credits</v>
      </c>
      <c r="C1538" s="38">
        <v>46144</v>
      </c>
      <c r="D1538" s="34">
        <v>164048</v>
      </c>
      <c r="E1538" s="36" t="str">
        <f>IF(Table3[[#This Row],[Type Received]]=2,"CC",(IF(Table3[[#This Row],[Type Received]]=3,"BILL","ACH")))</f>
        <v>ACH</v>
      </c>
      <c r="F1538" s="35">
        <v>23.16</v>
      </c>
      <c r="G1538" s="14" t="str">
        <f>VLOOKUP(D1538,Table4[],3,FALSE)</f>
        <v>1</v>
      </c>
      <c r="H1538" s="15"/>
      <c r="I1538" s="15"/>
      <c r="J1538" s="15" t="s">
        <v>89</v>
      </c>
      <c r="K1538" s="15">
        <v>535400106</v>
      </c>
      <c r="L1538" s="15" t="s">
        <v>29</v>
      </c>
      <c r="M1538" s="15"/>
    </row>
    <row r="1539" spans="1:13" x14ac:dyDescent="0.25">
      <c r="A1539" s="23">
        <f t="shared" si="79"/>
        <v>164108</v>
      </c>
      <c r="B1539" s="14" t="str">
        <f t="shared" si="80"/>
        <v>Billing - Credits (from TPA)</v>
      </c>
      <c r="C1539" s="37">
        <v>46144</v>
      </c>
      <c r="D1539" s="31">
        <v>164108</v>
      </c>
      <c r="E1539" s="33" t="str">
        <f>IF(Table3[[#This Row],[Type Received]]=2,"CC",(IF(Table3[[#This Row],[Type Received]]=3,"BILL","ACH")))</f>
        <v>BILL</v>
      </c>
      <c r="F1539" s="32">
        <v>12.46</v>
      </c>
      <c r="G1539" s="14" t="str">
        <f>VLOOKUP(D1539,Table4[],3,FALSE)</f>
        <v>1</v>
      </c>
      <c r="H1539" s="15"/>
      <c r="I1539" s="15"/>
      <c r="J1539" s="15" t="s">
        <v>89</v>
      </c>
      <c r="K1539" s="15">
        <v>535374010</v>
      </c>
      <c r="L1539" s="15" t="s">
        <v>29</v>
      </c>
      <c r="M1539" s="15" t="s">
        <v>29</v>
      </c>
    </row>
    <row r="1540" spans="1:13" x14ac:dyDescent="0.25">
      <c r="A1540" s="23">
        <f t="shared" si="79"/>
        <v>164262</v>
      </c>
      <c r="B1540" s="14" t="str">
        <f t="shared" si="80"/>
        <v>Direct Debit (UMB Bank) - Credits</v>
      </c>
      <c r="C1540" s="38">
        <v>46146</v>
      </c>
      <c r="D1540" s="34">
        <v>164262</v>
      </c>
      <c r="E1540" s="36" t="str">
        <f>IF(Table3[[#This Row],[Type Received]]=2,"CC",(IF(Table3[[#This Row],[Type Received]]=3,"BILL","ACH")))</f>
        <v>ACH</v>
      </c>
      <c r="F1540" s="35">
        <v>42.84</v>
      </c>
      <c r="G1540" s="14" t="str">
        <f>VLOOKUP(D1540,Table4[],3,FALSE)</f>
        <v>2</v>
      </c>
      <c r="H1540" s="15">
        <v>125</v>
      </c>
      <c r="I1540" s="15"/>
      <c r="J1540" s="15"/>
      <c r="K1540" s="15"/>
      <c r="L1540" s="15"/>
      <c r="M1540" s="15" t="s">
        <v>29</v>
      </c>
    </row>
    <row r="1541" spans="1:13" x14ac:dyDescent="0.25">
      <c r="A1541" s="23">
        <f t="shared" si="79"/>
        <v>164349</v>
      </c>
      <c r="B1541" s="14" t="str">
        <f t="shared" si="80"/>
        <v>Direct Debit (UMB Bank) - Credits</v>
      </c>
      <c r="C1541" s="37">
        <v>46159</v>
      </c>
      <c r="D1541" s="31">
        <v>164349</v>
      </c>
      <c r="E1541" s="33" t="str">
        <f>IF(Table3[[#This Row],[Type Received]]=2,"CC",(IF(Table3[[#This Row],[Type Received]]=3,"BILL","ACH")))</f>
        <v>ACH</v>
      </c>
      <c r="F1541" s="32">
        <v>23.75</v>
      </c>
      <c r="G1541" s="14" t="str">
        <f>VLOOKUP(D1541,Table4[],3,FALSE)</f>
        <v>2</v>
      </c>
      <c r="H1541" s="15"/>
      <c r="I1541" s="15"/>
      <c r="J1541" s="15" t="s">
        <v>221</v>
      </c>
      <c r="K1541" s="15">
        <v>721685480</v>
      </c>
      <c r="L1541" s="15" t="s">
        <v>29</v>
      </c>
      <c r="M1541" s="15" t="s">
        <v>29</v>
      </c>
    </row>
    <row r="1542" spans="1:13" x14ac:dyDescent="0.25">
      <c r="A1542" s="23">
        <f t="shared" si="79"/>
        <v>164362</v>
      </c>
      <c r="B1542" s="14" t="str">
        <f t="shared" si="80"/>
        <v>Direct Debit (UMB Bank) - Credits</v>
      </c>
      <c r="C1542" s="38">
        <v>46167</v>
      </c>
      <c r="D1542" s="34">
        <v>164362</v>
      </c>
      <c r="E1542" s="36" t="str">
        <f>IF(Table3[[#This Row],[Type Received]]=2,"CC",(IF(Table3[[#This Row],[Type Received]]=3,"BILL","ACH")))</f>
        <v>ACH</v>
      </c>
      <c r="F1542" s="35">
        <v>18.89</v>
      </c>
      <c r="G1542" s="14" t="str">
        <f>VLOOKUP(D1542,Table4[],3,FALSE)</f>
        <v>2</v>
      </c>
      <c r="H1542" s="15"/>
      <c r="I1542" s="15"/>
      <c r="J1542" s="15" t="s">
        <v>85</v>
      </c>
      <c r="K1542" s="15">
        <v>818353533</v>
      </c>
      <c r="L1542" s="15" t="s">
        <v>29</v>
      </c>
      <c r="M1542" s="15" t="s">
        <v>29</v>
      </c>
    </row>
    <row r="1543" spans="1:13" x14ac:dyDescent="0.25">
      <c r="A1543" s="23">
        <f t="shared" si="79"/>
        <v>164430</v>
      </c>
      <c r="B1543" s="14" t="str">
        <f t="shared" si="80"/>
        <v>Direct Debit (UMB Bank) - Credits</v>
      </c>
      <c r="C1543" s="37">
        <v>46144</v>
      </c>
      <c r="D1543" s="31">
        <v>164430</v>
      </c>
      <c r="E1543" s="33" t="str">
        <f>IF(Table3[[#This Row],[Type Received]]=2,"CC",(IF(Table3[[#This Row],[Type Received]]=3,"BILL","ACH")))</f>
        <v>ACH</v>
      </c>
      <c r="F1543" s="32">
        <v>26.47</v>
      </c>
      <c r="G1543" s="14" t="str">
        <f>VLOOKUP(D1543,Table4[],3,FALSE)</f>
        <v>2</v>
      </c>
      <c r="H1543" s="15"/>
      <c r="I1543" s="15"/>
      <c r="J1543" s="15" t="s">
        <v>89</v>
      </c>
      <c r="K1543" s="15">
        <v>535396282</v>
      </c>
      <c r="L1543" s="15" t="s">
        <v>29</v>
      </c>
      <c r="M1543" s="15" t="s">
        <v>29</v>
      </c>
    </row>
    <row r="1544" spans="1:13" x14ac:dyDescent="0.25">
      <c r="A1544" s="23">
        <f t="shared" si="79"/>
        <v>164493</v>
      </c>
      <c r="B1544" s="14" t="str">
        <f t="shared" si="80"/>
        <v>Billing - Credits (from TPA)</v>
      </c>
      <c r="C1544" s="38">
        <v>46144</v>
      </c>
      <c r="D1544" s="34">
        <v>164493</v>
      </c>
      <c r="E1544" s="36" t="str">
        <f>IF(Table3[[#This Row],[Type Received]]=2,"CC",(IF(Table3[[#This Row],[Type Received]]=3,"BILL","ACH")))</f>
        <v>BILL</v>
      </c>
      <c r="F1544" s="35">
        <v>16.600000000000001</v>
      </c>
      <c r="G1544" s="14" t="str">
        <f>VLOOKUP(D1544,Table4[],3,FALSE)</f>
        <v>1</v>
      </c>
      <c r="H1544" s="15"/>
      <c r="I1544" s="15"/>
      <c r="J1544" s="15" t="s">
        <v>89</v>
      </c>
      <c r="K1544" s="15">
        <v>535398287</v>
      </c>
      <c r="L1544" s="15" t="s">
        <v>29</v>
      </c>
      <c r="M1544" s="15" t="s">
        <v>29</v>
      </c>
    </row>
    <row r="1545" spans="1:13" x14ac:dyDescent="0.25">
      <c r="A1545" s="23">
        <f t="shared" si="79"/>
        <v>164678</v>
      </c>
      <c r="B1545" s="14" t="str">
        <f t="shared" si="80"/>
        <v>Credit Cards (UMB) - Credits</v>
      </c>
      <c r="C1545" s="37">
        <v>46143</v>
      </c>
      <c r="D1545" s="31">
        <v>164678</v>
      </c>
      <c r="E1545" s="33" t="str">
        <f>IF(Table3[[#This Row],[Type Received]]=2,"CC",(IF(Table3[[#This Row],[Type Received]]=3,"BILL","ACH")))</f>
        <v>CC</v>
      </c>
      <c r="F1545" s="32">
        <v>43.78</v>
      </c>
      <c r="G1545" s="14" t="str">
        <f>VLOOKUP(D1545,Table4[],3,FALSE)</f>
        <v>1</v>
      </c>
      <c r="H1545" s="15">
        <v>3078</v>
      </c>
      <c r="I1545" s="15"/>
      <c r="J1545" s="15"/>
      <c r="K1545" s="15"/>
      <c r="L1545" s="15"/>
      <c r="M1545" s="15" t="s">
        <v>29</v>
      </c>
    </row>
    <row r="1546" spans="1:13" x14ac:dyDescent="0.25">
      <c r="A1546" s="23">
        <f t="shared" si="79"/>
        <v>164781</v>
      </c>
      <c r="B1546" s="14" t="str">
        <f t="shared" si="80"/>
        <v>Credit Cards (UMB) - Credits</v>
      </c>
      <c r="C1546" s="38">
        <v>46149</v>
      </c>
      <c r="D1546" s="34">
        <v>164781</v>
      </c>
      <c r="E1546" s="36" t="str">
        <f>IF(Table3[[#This Row],[Type Received]]=2,"CC",(IF(Table3[[#This Row],[Type Received]]=3,"BILL","ACH")))</f>
        <v>CC</v>
      </c>
      <c r="F1546" s="35">
        <v>425.61</v>
      </c>
      <c r="G1546" s="14" t="str">
        <f>VLOOKUP(D1546,Table4[],3,FALSE)</f>
        <v>2</v>
      </c>
      <c r="H1546" s="15"/>
      <c r="I1546" s="15" t="s">
        <v>224</v>
      </c>
      <c r="J1546" s="15" t="s">
        <v>28</v>
      </c>
      <c r="K1546" s="15">
        <v>594463519</v>
      </c>
      <c r="L1546" s="15" t="s">
        <v>29</v>
      </c>
      <c r="M1546" s="15" t="s">
        <v>29</v>
      </c>
    </row>
    <row r="1547" spans="1:13" x14ac:dyDescent="0.25">
      <c r="A1547" s="23">
        <f t="shared" si="79"/>
        <v>164980</v>
      </c>
      <c r="B1547" s="14" t="str">
        <f t="shared" si="80"/>
        <v>Direct Debit (UMB Bank) - Credits</v>
      </c>
      <c r="C1547" s="37">
        <v>46150</v>
      </c>
      <c r="D1547" s="31">
        <v>164980</v>
      </c>
      <c r="E1547" s="33" t="str">
        <f>IF(Table3[[#This Row],[Type Received]]=2,"CC",(IF(Table3[[#This Row],[Type Received]]=3,"BILL","ACH")))</f>
        <v>ACH</v>
      </c>
      <c r="F1547" s="32">
        <v>16.34</v>
      </c>
      <c r="G1547" s="14" t="str">
        <f>VLOOKUP(D1547,Table4[],3,FALSE)</f>
        <v>2</v>
      </c>
      <c r="H1547" s="15"/>
      <c r="I1547" s="15">
        <v>135994</v>
      </c>
      <c r="J1547" s="15">
        <v>743671591</v>
      </c>
      <c r="K1547" s="15">
        <v>353967312</v>
      </c>
      <c r="L1547" s="15"/>
      <c r="M1547" s="15" t="s">
        <v>29</v>
      </c>
    </row>
    <row r="1548" spans="1:13" x14ac:dyDescent="0.25">
      <c r="A1548" s="23">
        <f t="shared" si="79"/>
        <v>165048</v>
      </c>
      <c r="B1548" s="14" t="str">
        <f t="shared" si="80"/>
        <v>Billing - Credits (from TPA)</v>
      </c>
      <c r="C1548" s="38">
        <v>46167</v>
      </c>
      <c r="D1548" s="34">
        <v>165048</v>
      </c>
      <c r="E1548" s="36" t="str">
        <f>IF(Table3[[#This Row],[Type Received]]=2,"CC",(IF(Table3[[#This Row],[Type Received]]=3,"BILL","ACH")))</f>
        <v>BILL</v>
      </c>
      <c r="F1548" s="35">
        <v>35.04</v>
      </c>
      <c r="G1548" s="14" t="str">
        <f>VLOOKUP(D1548,Table4[],3,FALSE)</f>
        <v>1</v>
      </c>
      <c r="H1548" s="15"/>
      <c r="I1548" s="15"/>
      <c r="J1548" s="15" t="s">
        <v>85</v>
      </c>
      <c r="K1548" s="15">
        <v>818342027</v>
      </c>
      <c r="L1548" s="15" t="s">
        <v>29</v>
      </c>
      <c r="M1548" s="15" t="s">
        <v>29</v>
      </c>
    </row>
    <row r="1549" spans="1:13" x14ac:dyDescent="0.25">
      <c r="A1549" s="23">
        <f t="shared" si="79"/>
        <v>165086</v>
      </c>
      <c r="B1549" s="14" t="str">
        <f t="shared" si="80"/>
        <v>Billing - Credits (from TPA)</v>
      </c>
      <c r="C1549" s="37">
        <v>46168</v>
      </c>
      <c r="D1549" s="31">
        <v>165086</v>
      </c>
      <c r="E1549" s="33" t="str">
        <f>IF(Table3[[#This Row],[Type Received]]=2,"CC",(IF(Table3[[#This Row],[Type Received]]=3,"BILL","ACH")))</f>
        <v>BILL</v>
      </c>
      <c r="F1549" s="32">
        <v>19.87</v>
      </c>
      <c r="G1549" s="14" t="str">
        <f>VLOOKUP(D1549,Table4[],3,FALSE)</f>
        <v>2</v>
      </c>
      <c r="H1549" s="15">
        <v>1034</v>
      </c>
      <c r="I1549" s="15"/>
      <c r="J1549" s="15"/>
      <c r="K1549" s="15"/>
      <c r="L1549" s="15"/>
      <c r="M1549" s="15"/>
    </row>
    <row r="1550" spans="1:13" x14ac:dyDescent="0.25">
      <c r="A1550" s="23">
        <f t="shared" si="79"/>
        <v>165163</v>
      </c>
      <c r="B1550" s="14" t="str">
        <f t="shared" si="80"/>
        <v>Credit Cards (UMB) - Credits</v>
      </c>
      <c r="C1550" s="38">
        <v>46143</v>
      </c>
      <c r="D1550" s="34">
        <v>165163</v>
      </c>
      <c r="E1550" s="36" t="str">
        <f>IF(Table3[[#This Row],[Type Received]]=2,"CC",(IF(Table3[[#This Row],[Type Received]]=3,"BILL","ACH")))</f>
        <v>CC</v>
      </c>
      <c r="F1550" s="35">
        <v>52.5</v>
      </c>
      <c r="G1550" s="14" t="str">
        <f>VLOOKUP(D1550,Table4[],3,FALSE)</f>
        <v>2</v>
      </c>
      <c r="H1550" s="15">
        <v>9792</v>
      </c>
      <c r="I1550" s="15"/>
      <c r="J1550" s="15"/>
      <c r="K1550" s="15"/>
      <c r="L1550" s="15"/>
      <c r="M1550" s="15" t="s">
        <v>29</v>
      </c>
    </row>
    <row r="1551" spans="1:13" x14ac:dyDescent="0.25">
      <c r="A1551" s="23">
        <f t="shared" si="79"/>
        <v>165202</v>
      </c>
      <c r="B1551" s="14" t="str">
        <f t="shared" si="80"/>
        <v>Credit Cards (UMB) - Credits</v>
      </c>
      <c r="C1551" s="37">
        <v>46170</v>
      </c>
      <c r="D1551" s="31">
        <v>165202</v>
      </c>
      <c r="E1551" s="33" t="str">
        <f>IF(Table3[[#This Row],[Type Received]]=2,"CC",(IF(Table3[[#This Row],[Type Received]]=3,"BILL","ACH")))</f>
        <v>CC</v>
      </c>
      <c r="F1551" s="32">
        <v>83.92</v>
      </c>
      <c r="G1551" s="14" t="str">
        <f>VLOOKUP(D1551,Table4[],3,FALSE)</f>
        <v>2</v>
      </c>
      <c r="H1551" s="15"/>
      <c r="I1551" s="15">
        <v>16781</v>
      </c>
      <c r="J1551" s="15" t="s">
        <v>28</v>
      </c>
      <c r="K1551" s="15">
        <v>856700444</v>
      </c>
      <c r="L1551" s="15" t="s">
        <v>29</v>
      </c>
      <c r="M1551" s="15" t="s">
        <v>29</v>
      </c>
    </row>
    <row r="1552" spans="1:13" x14ac:dyDescent="0.25">
      <c r="A1552" s="23">
        <f t="shared" si="79"/>
        <v>165408</v>
      </c>
      <c r="B1552" s="14" t="str">
        <f t="shared" si="80"/>
        <v>Credit Cards (UMB) - Credits</v>
      </c>
      <c r="C1552" s="38">
        <v>46143</v>
      </c>
      <c r="D1552" s="34">
        <v>165408</v>
      </c>
      <c r="E1552" s="36" t="str">
        <f>IF(Table3[[#This Row],[Type Received]]=2,"CC",(IF(Table3[[#This Row],[Type Received]]=3,"BILL","ACH")))</f>
        <v>CC</v>
      </c>
      <c r="F1552" s="35">
        <v>27.76</v>
      </c>
      <c r="G1552" s="14" t="str">
        <f>VLOOKUP(D1552,Table4[],3,FALSE)</f>
        <v>2</v>
      </c>
      <c r="H1552" s="15"/>
      <c r="I1552" s="15">
        <v>80477</v>
      </c>
      <c r="J1552" s="15" t="s">
        <v>28</v>
      </c>
      <c r="K1552" s="15">
        <v>522255543</v>
      </c>
      <c r="L1552" s="15" t="s">
        <v>29</v>
      </c>
      <c r="M1552" s="15" t="s">
        <v>29</v>
      </c>
    </row>
    <row r="1553" spans="1:13" x14ac:dyDescent="0.25">
      <c r="A1553" s="23">
        <f t="shared" si="79"/>
        <v>165419</v>
      </c>
      <c r="B1553" s="14" t="str">
        <f t="shared" si="80"/>
        <v>Credit Cards (UMB) - Credits</v>
      </c>
      <c r="C1553" s="37">
        <v>46143</v>
      </c>
      <c r="D1553" s="31">
        <v>165419</v>
      </c>
      <c r="E1553" s="33" t="str">
        <f>IF(Table3[[#This Row],[Type Received]]=2,"CC",(IF(Table3[[#This Row],[Type Received]]=3,"BILL","ACH")))</f>
        <v>CC</v>
      </c>
      <c r="F1553" s="32">
        <v>25.02</v>
      </c>
      <c r="G1553" s="14" t="str">
        <f>VLOOKUP(D1553,Table4[],3,FALSE)</f>
        <v>2</v>
      </c>
      <c r="H1553" s="15"/>
      <c r="I1553" s="15">
        <v>618010</v>
      </c>
      <c r="J1553" s="15">
        <v>741374152</v>
      </c>
      <c r="K1553" s="15">
        <v>353160995</v>
      </c>
      <c r="L1553" s="15"/>
      <c r="M1553" s="15" t="s">
        <v>29</v>
      </c>
    </row>
    <row r="1554" spans="1:13" x14ac:dyDescent="0.25">
      <c r="A1554" s="23">
        <f t="shared" si="79"/>
        <v>165448</v>
      </c>
      <c r="B1554" s="14" t="str">
        <f t="shared" si="80"/>
        <v>Direct Debit (UMB Bank) - Credits</v>
      </c>
      <c r="C1554" s="38">
        <v>46164</v>
      </c>
      <c r="D1554" s="34">
        <v>165448</v>
      </c>
      <c r="E1554" s="36" t="str">
        <f>IF(Table3[[#This Row],[Type Received]]=2,"CC",(IF(Table3[[#This Row],[Type Received]]=3,"BILL","ACH")))</f>
        <v>ACH</v>
      </c>
      <c r="F1554" s="35">
        <v>100.72</v>
      </c>
      <c r="G1554" s="14" t="str">
        <f>VLOOKUP(D1554,Table4[],3,FALSE)</f>
        <v>2</v>
      </c>
      <c r="H1554" s="15"/>
      <c r="I1554" s="15" t="s">
        <v>225</v>
      </c>
      <c r="J1554" s="15">
        <v>747909705</v>
      </c>
      <c r="K1554" s="15">
        <v>355510666</v>
      </c>
      <c r="L1554" s="15"/>
      <c r="M1554" s="15" t="s">
        <v>29</v>
      </c>
    </row>
    <row r="1555" spans="1:13" x14ac:dyDescent="0.25">
      <c r="A1555" s="23">
        <f t="shared" si="79"/>
        <v>165504</v>
      </c>
      <c r="B1555" s="14" t="str">
        <f t="shared" si="80"/>
        <v>Direct Debit (UMB Bank) - Credits</v>
      </c>
      <c r="C1555" s="37">
        <v>46157</v>
      </c>
      <c r="D1555" s="31">
        <v>165504</v>
      </c>
      <c r="E1555" s="33" t="str">
        <f>IF(Table3[[#This Row],[Type Received]]=2,"CC",(IF(Table3[[#This Row],[Type Received]]=3,"BILL","ACH")))</f>
        <v>ACH</v>
      </c>
      <c r="F1555" s="32">
        <v>17.86</v>
      </c>
      <c r="G1555" s="14" t="str">
        <f>VLOOKUP(D1555,Table4[],3,FALSE)</f>
        <v>1</v>
      </c>
      <c r="H1555" s="15"/>
      <c r="I1555" s="15"/>
      <c r="J1555" s="15" t="s">
        <v>87</v>
      </c>
      <c r="K1555" s="15">
        <v>696709821</v>
      </c>
      <c r="L1555" s="15" t="s">
        <v>29</v>
      </c>
      <c r="M1555" s="15" t="s">
        <v>29</v>
      </c>
    </row>
    <row r="1556" spans="1:13" x14ac:dyDescent="0.25">
      <c r="A1556" s="23">
        <f t="shared" si="79"/>
        <v>165512</v>
      </c>
      <c r="B1556" s="14" t="str">
        <f t="shared" si="80"/>
        <v>Credit Cards (UMB) - Credits</v>
      </c>
      <c r="C1556" s="38">
        <v>46143</v>
      </c>
      <c r="D1556" s="34">
        <v>165512</v>
      </c>
      <c r="E1556" s="36" t="str">
        <f>IF(Table3[[#This Row],[Type Received]]=2,"CC",(IF(Table3[[#This Row],[Type Received]]=3,"BILL","ACH")))</f>
        <v>CC</v>
      </c>
      <c r="F1556" s="35">
        <v>13.76</v>
      </c>
      <c r="G1556" s="14" t="str">
        <f>VLOOKUP(D1556,Table4[],3,FALSE)</f>
        <v>1</v>
      </c>
      <c r="H1556" s="15"/>
      <c r="I1556" s="15"/>
      <c r="J1556" s="15" t="s">
        <v>84</v>
      </c>
      <c r="K1556" s="15">
        <v>522220508</v>
      </c>
      <c r="L1556" s="15" t="s">
        <v>29</v>
      </c>
      <c r="M1556" s="15" t="s">
        <v>29</v>
      </c>
    </row>
    <row r="1557" spans="1:13" x14ac:dyDescent="0.25">
      <c r="A1557" s="23">
        <f t="shared" si="79"/>
        <v>165524</v>
      </c>
      <c r="B1557" s="14" t="str">
        <f t="shared" si="80"/>
        <v>Credit Cards (UMB) - Credits</v>
      </c>
      <c r="C1557" s="37">
        <v>46161</v>
      </c>
      <c r="D1557" s="31">
        <v>165524</v>
      </c>
      <c r="E1557" s="33" t="str">
        <f>IF(Table3[[#This Row],[Type Received]]=2,"CC",(IF(Table3[[#This Row],[Type Received]]=3,"BILL","ACH")))</f>
        <v>CC</v>
      </c>
      <c r="F1557" s="32">
        <v>140.38</v>
      </c>
      <c r="G1557" s="14" t="str">
        <f>VLOOKUP(D1557,Table4[],3,FALSE)</f>
        <v>2</v>
      </c>
      <c r="H1557" s="15"/>
      <c r="I1557" s="15">
        <v>304786</v>
      </c>
      <c r="J1557" s="15">
        <v>746805329</v>
      </c>
      <c r="K1557" s="15">
        <v>355105322</v>
      </c>
      <c r="L1557" s="15"/>
      <c r="M1557" s="15" t="s">
        <v>29</v>
      </c>
    </row>
    <row r="1558" spans="1:13" x14ac:dyDescent="0.25">
      <c r="A1558" s="23">
        <f t="shared" si="79"/>
        <v>165533</v>
      </c>
      <c r="B1558" s="14" t="str">
        <f t="shared" si="80"/>
        <v>Billing - Credits (from TPA)</v>
      </c>
      <c r="C1558" s="38">
        <v>46155</v>
      </c>
      <c r="D1558" s="34">
        <v>165533</v>
      </c>
      <c r="E1558" s="36" t="str">
        <f>IF(Table3[[#This Row],[Type Received]]=2,"CC",(IF(Table3[[#This Row],[Type Received]]=3,"BILL","ACH")))</f>
        <v>BILL</v>
      </c>
      <c r="F1558" s="35">
        <v>37.83</v>
      </c>
      <c r="G1558" s="14" t="str">
        <f>VLOOKUP(D1558,Table4[],3,FALSE)</f>
        <v>2</v>
      </c>
      <c r="H1558" s="15"/>
      <c r="I1558" s="15">
        <v>102237</v>
      </c>
      <c r="J1558" s="15" t="s">
        <v>28</v>
      </c>
      <c r="K1558" s="15">
        <v>669487539</v>
      </c>
      <c r="L1558" s="15" t="s">
        <v>29</v>
      </c>
      <c r="M1558" s="15" t="s">
        <v>29</v>
      </c>
    </row>
    <row r="1559" spans="1:13" x14ac:dyDescent="0.25">
      <c r="A1559" s="23">
        <f t="shared" si="79"/>
        <v>165592</v>
      </c>
      <c r="B1559" s="14" t="str">
        <f t="shared" si="80"/>
        <v>Direct Debit (UMB Bank) - Credits</v>
      </c>
      <c r="C1559" s="37">
        <v>46164</v>
      </c>
      <c r="D1559" s="31">
        <v>165592</v>
      </c>
      <c r="E1559" s="33" t="str">
        <f>IF(Table3[[#This Row],[Type Received]]=2,"CC",(IF(Table3[[#This Row],[Type Received]]=3,"BILL","ACH")))</f>
        <v>ACH</v>
      </c>
      <c r="F1559" s="32">
        <v>69.94</v>
      </c>
      <c r="G1559" s="14" t="str">
        <f>VLOOKUP(D1559,Table4[],3,FALSE)</f>
        <v>1</v>
      </c>
      <c r="H1559" s="15">
        <v>3393</v>
      </c>
      <c r="I1559" s="15"/>
      <c r="J1559" s="15"/>
      <c r="K1559" s="15"/>
      <c r="L1559" s="15"/>
      <c r="M1559" s="15" t="s">
        <v>29</v>
      </c>
    </row>
    <row r="1560" spans="1:13" x14ac:dyDescent="0.25">
      <c r="A1560" s="23">
        <f t="shared" si="79"/>
        <v>165633</v>
      </c>
      <c r="B1560" s="14" t="str">
        <f t="shared" si="80"/>
        <v>Billing - Credits (from TPA)</v>
      </c>
      <c r="C1560" s="38">
        <v>46157</v>
      </c>
      <c r="D1560" s="34">
        <v>165633</v>
      </c>
      <c r="E1560" s="36" t="str">
        <f>IF(Table3[[#This Row],[Type Received]]=2,"CC",(IF(Table3[[#This Row],[Type Received]]=3,"BILL","ACH")))</f>
        <v>BILL</v>
      </c>
      <c r="F1560" s="35">
        <v>25.64</v>
      </c>
      <c r="G1560" s="14" t="str">
        <f>VLOOKUP(D1560,Table4[],3,FALSE)</f>
        <v>2</v>
      </c>
      <c r="H1560" s="15"/>
      <c r="I1560" s="15"/>
      <c r="J1560" s="24" t="s">
        <v>87</v>
      </c>
      <c r="K1560" s="15">
        <v>696725212</v>
      </c>
      <c r="L1560" s="15" t="s">
        <v>29</v>
      </c>
      <c r="M1560" s="15" t="s">
        <v>29</v>
      </c>
    </row>
    <row r="1561" spans="1:13" x14ac:dyDescent="0.25">
      <c r="A1561" s="23">
        <f t="shared" si="79"/>
        <v>165703</v>
      </c>
      <c r="B1561" s="14" t="str">
        <f t="shared" si="80"/>
        <v>Billing - Credits (from TPA)</v>
      </c>
      <c r="C1561" s="37">
        <v>46169</v>
      </c>
      <c r="D1561" s="31">
        <v>165703</v>
      </c>
      <c r="E1561" s="33" t="str">
        <f>IF(Table3[[#This Row],[Type Received]]=2,"CC",(IF(Table3[[#This Row],[Type Received]]=3,"BILL","ACH")))</f>
        <v>BILL</v>
      </c>
      <c r="F1561" s="32">
        <v>35.14</v>
      </c>
      <c r="G1561" s="14" t="str">
        <f>VLOOKUP(D1561,Table4[],3,FALSE)</f>
        <v>1</v>
      </c>
      <c r="H1561" s="15">
        <v>888362</v>
      </c>
      <c r="I1561" s="15"/>
      <c r="J1561" s="15"/>
      <c r="K1561" s="15"/>
      <c r="L1561" s="15"/>
      <c r="M1561" s="15" t="s">
        <v>29</v>
      </c>
    </row>
    <row r="1562" spans="1:13" x14ac:dyDescent="0.25">
      <c r="A1562" s="23">
        <f t="shared" si="79"/>
        <v>165876</v>
      </c>
      <c r="B1562" s="14" t="str">
        <f t="shared" si="80"/>
        <v>Billing - Credits (from TPA)</v>
      </c>
      <c r="C1562" s="38">
        <v>46147</v>
      </c>
      <c r="D1562" s="34">
        <v>165876</v>
      </c>
      <c r="E1562" s="36" t="str">
        <f>IF(Table3[[#This Row],[Type Received]]=2,"CC",(IF(Table3[[#This Row],[Type Received]]=3,"BILL","ACH")))</f>
        <v>BILL</v>
      </c>
      <c r="F1562" s="35">
        <v>18.18</v>
      </c>
      <c r="G1562" s="14" t="str">
        <f>VLOOKUP(D1562,Table4[],3,FALSE)</f>
        <v>1</v>
      </c>
      <c r="H1562" s="15">
        <v>19823328590</v>
      </c>
      <c r="I1562" s="15"/>
      <c r="J1562" s="15"/>
      <c r="K1562" s="15"/>
      <c r="L1562" s="15"/>
      <c r="M1562" s="15" t="s">
        <v>29</v>
      </c>
    </row>
    <row r="1563" spans="1:13" x14ac:dyDescent="0.25">
      <c r="A1563" s="23">
        <f t="shared" si="79"/>
        <v>165935</v>
      </c>
      <c r="B1563" s="14" t="str">
        <f t="shared" si="80"/>
        <v>Direct Debit (UMB Bank) - Credits</v>
      </c>
      <c r="C1563" s="37">
        <v>46143</v>
      </c>
      <c r="D1563" s="31">
        <v>165935</v>
      </c>
      <c r="E1563" s="33" t="str">
        <f>IF(Table3[[#This Row],[Type Received]]=2,"CC",(IF(Table3[[#This Row],[Type Received]]=3,"BILL","ACH")))</f>
        <v>ACH</v>
      </c>
      <c r="F1563" s="32">
        <v>19.579999999999998</v>
      </c>
      <c r="G1563" s="14" t="str">
        <f>VLOOKUP(D1563,Table4[],3,FALSE)</f>
        <v>1</v>
      </c>
      <c r="H1563" s="15">
        <v>1039</v>
      </c>
      <c r="I1563" s="15"/>
      <c r="J1563" s="24"/>
      <c r="K1563" s="15"/>
      <c r="L1563" s="15"/>
      <c r="M1563" s="15" t="s">
        <v>29</v>
      </c>
    </row>
    <row r="1564" spans="1:13" x14ac:dyDescent="0.25">
      <c r="A1564" s="23">
        <f t="shared" si="79"/>
        <v>165984</v>
      </c>
      <c r="B1564" s="14" t="str">
        <f t="shared" si="80"/>
        <v>Direct Debit (UMB Bank) - Credits</v>
      </c>
      <c r="C1564" s="38">
        <v>46144</v>
      </c>
      <c r="D1564" s="34">
        <v>165984</v>
      </c>
      <c r="E1564" s="36" t="str">
        <f>IF(Table3[[#This Row],[Type Received]]=2,"CC",(IF(Table3[[#This Row],[Type Received]]=3,"BILL","ACH")))</f>
        <v>ACH</v>
      </c>
      <c r="F1564" s="35">
        <v>28.11</v>
      </c>
      <c r="G1564" s="14" t="str">
        <f>VLOOKUP(D1564,Table4[],3,FALSE)</f>
        <v>2</v>
      </c>
      <c r="H1564" s="15"/>
      <c r="I1564" s="15"/>
      <c r="J1564" s="15" t="s">
        <v>89</v>
      </c>
      <c r="K1564" s="15">
        <v>535373032</v>
      </c>
      <c r="L1564" s="15" t="s">
        <v>29</v>
      </c>
      <c r="M1564" s="15" t="s">
        <v>29</v>
      </c>
    </row>
    <row r="1565" spans="1:13" x14ac:dyDescent="0.25">
      <c r="A1565" s="23">
        <f t="shared" si="79"/>
        <v>166028</v>
      </c>
      <c r="B1565" s="14" t="str">
        <f t="shared" si="80"/>
        <v>Billing - Credits (from TPA)</v>
      </c>
      <c r="C1565" s="37">
        <v>46167</v>
      </c>
      <c r="D1565" s="31">
        <v>166028</v>
      </c>
      <c r="E1565" s="33" t="str">
        <f>IF(Table3[[#This Row],[Type Received]]=2,"CC",(IF(Table3[[#This Row],[Type Received]]=3,"BILL","ACH")))</f>
        <v>BILL</v>
      </c>
      <c r="F1565" s="32">
        <v>17.5</v>
      </c>
      <c r="G1565" s="14" t="str">
        <f>VLOOKUP(D1565,Table4[],3,FALSE)</f>
        <v>2</v>
      </c>
      <c r="H1565" s="15"/>
      <c r="I1565" s="15"/>
      <c r="J1565" s="15" t="s">
        <v>85</v>
      </c>
      <c r="K1565" s="15">
        <v>818365312</v>
      </c>
      <c r="L1565" s="15" t="s">
        <v>29</v>
      </c>
      <c r="M1565" s="15" t="s">
        <v>29</v>
      </c>
    </row>
    <row r="1566" spans="1:13" x14ac:dyDescent="0.25">
      <c r="A1566" s="23">
        <f t="shared" si="79"/>
        <v>166101</v>
      </c>
      <c r="B1566" s="14" t="str">
        <f t="shared" si="80"/>
        <v>Direct Debit (UMB Bank) - Credits</v>
      </c>
      <c r="C1566" s="38">
        <v>46169</v>
      </c>
      <c r="D1566" s="34">
        <v>166101</v>
      </c>
      <c r="E1566" s="36" t="str">
        <f>IF(Table3[[#This Row],[Type Received]]=2,"CC",(IF(Table3[[#This Row],[Type Received]]=3,"BILL","ACH")))</f>
        <v>ACH</v>
      </c>
      <c r="F1566" s="35">
        <v>43.1</v>
      </c>
      <c r="G1566" s="14" t="str">
        <f>VLOOKUP(D1566,Table4[],3,FALSE)</f>
        <v>2</v>
      </c>
      <c r="H1566" s="15">
        <v>5401681951</v>
      </c>
      <c r="I1566" s="15"/>
      <c r="J1566" s="15"/>
      <c r="K1566" s="15"/>
      <c r="L1566" s="15"/>
      <c r="M1566" s="15" t="s">
        <v>29</v>
      </c>
    </row>
    <row r="1567" spans="1:13" x14ac:dyDescent="0.25">
      <c r="A1567" s="23">
        <f t="shared" si="79"/>
        <v>166214</v>
      </c>
      <c r="B1567" s="14" t="str">
        <f t="shared" si="80"/>
        <v>Credit Cards (UMB) - Credits</v>
      </c>
      <c r="C1567" s="37">
        <v>46167</v>
      </c>
      <c r="D1567" s="31">
        <v>166214</v>
      </c>
      <c r="E1567" s="33" t="str">
        <f>IF(Table3[[#This Row],[Type Received]]=2,"CC",(IF(Table3[[#This Row],[Type Received]]=3,"BILL","ACH")))</f>
        <v>CC</v>
      </c>
      <c r="F1567" s="32">
        <v>20.64</v>
      </c>
      <c r="G1567" s="14" t="str">
        <f>VLOOKUP(D1567,Table4[],3,FALSE)</f>
        <v>1</v>
      </c>
      <c r="H1567" s="15"/>
      <c r="I1567" s="15"/>
      <c r="J1567" s="15" t="s">
        <v>85</v>
      </c>
      <c r="K1567" s="15">
        <v>818345892</v>
      </c>
      <c r="L1567" s="15" t="s">
        <v>29</v>
      </c>
      <c r="M1567" s="15" t="s">
        <v>29</v>
      </c>
    </row>
    <row r="1568" spans="1:13" x14ac:dyDescent="0.25">
      <c r="A1568" s="23">
        <f t="shared" si="79"/>
        <v>166268</v>
      </c>
      <c r="B1568" s="14" t="str">
        <f t="shared" si="80"/>
        <v>Credit Cards (UMB) - Credits</v>
      </c>
      <c r="C1568" s="38">
        <v>46171</v>
      </c>
      <c r="D1568" s="34">
        <v>166268</v>
      </c>
      <c r="E1568" s="36" t="str">
        <f>IF(Table3[[#This Row],[Type Received]]=2,"CC",(IF(Table3[[#This Row],[Type Received]]=3,"BILL","ACH")))</f>
        <v>CC</v>
      </c>
      <c r="F1568" s="35">
        <v>113.34</v>
      </c>
      <c r="G1568" s="14" t="str">
        <f>VLOOKUP(D1568,Table4[],3,FALSE)</f>
        <v>1</v>
      </c>
      <c r="H1568" s="15"/>
      <c r="I1568" s="15">
        <v>111146</v>
      </c>
      <c r="J1568" s="15" t="s">
        <v>28</v>
      </c>
      <c r="K1568" s="15">
        <v>870660862</v>
      </c>
      <c r="L1568" s="15" t="s">
        <v>29</v>
      </c>
      <c r="M1568" s="15" t="s">
        <v>29</v>
      </c>
    </row>
    <row r="1569" spans="1:13" x14ac:dyDescent="0.25">
      <c r="A1569" s="23">
        <f t="shared" si="79"/>
        <v>166268</v>
      </c>
      <c r="B1569" s="14" t="str">
        <f t="shared" si="80"/>
        <v>Direct Debit (UMB Bank) - Credits</v>
      </c>
      <c r="C1569" s="37">
        <v>46143</v>
      </c>
      <c r="D1569" s="31">
        <v>166268</v>
      </c>
      <c r="E1569" s="33" t="str">
        <f>IF(Table3[[#This Row],[Type Received]]=2,"CC",(IF(Table3[[#This Row],[Type Received]]=3,"BILL","ACH")))</f>
        <v>ACH</v>
      </c>
      <c r="F1569" s="32">
        <v>225.68</v>
      </c>
      <c r="G1569" s="14" t="str">
        <f>VLOOKUP(D1569,Table4[],3,FALSE)</f>
        <v>1</v>
      </c>
      <c r="H1569" s="15"/>
      <c r="I1569" s="15">
        <v>134211</v>
      </c>
      <c r="J1569" s="15" t="s">
        <v>28</v>
      </c>
      <c r="K1569" s="15">
        <v>527266456</v>
      </c>
      <c r="L1569" s="15" t="s">
        <v>29</v>
      </c>
      <c r="M1569" s="15" t="s">
        <v>29</v>
      </c>
    </row>
    <row r="1570" spans="1:13" x14ac:dyDescent="0.25">
      <c r="A1570" s="23">
        <f t="shared" si="79"/>
        <v>166313</v>
      </c>
      <c r="B1570" s="14" t="str">
        <f t="shared" si="80"/>
        <v>Billing - Credits (from TPA)</v>
      </c>
      <c r="C1570" s="38">
        <v>46144</v>
      </c>
      <c r="D1570" s="34">
        <v>166313</v>
      </c>
      <c r="E1570" s="36" t="str">
        <f>IF(Table3[[#This Row],[Type Received]]=2,"CC",(IF(Table3[[#This Row],[Type Received]]=3,"BILL","ACH")))</f>
        <v>BILL</v>
      </c>
      <c r="F1570" s="35">
        <v>23.48</v>
      </c>
      <c r="G1570" s="14" t="str">
        <f>VLOOKUP(D1570,Table4[],3,FALSE)</f>
        <v>2</v>
      </c>
      <c r="H1570" s="15"/>
      <c r="I1570" s="15"/>
      <c r="J1570" s="15" t="s">
        <v>89</v>
      </c>
      <c r="K1570" s="15">
        <v>535393370</v>
      </c>
      <c r="L1570" s="15" t="s">
        <v>29</v>
      </c>
      <c r="M1570" s="15" t="s">
        <v>29</v>
      </c>
    </row>
    <row r="1571" spans="1:13" x14ac:dyDescent="0.25">
      <c r="A1571" s="23">
        <f t="shared" si="79"/>
        <v>166364</v>
      </c>
      <c r="B1571" s="14" t="str">
        <f t="shared" si="80"/>
        <v>Credit Cards (UMB) - Credits</v>
      </c>
      <c r="C1571" s="37">
        <v>46146</v>
      </c>
      <c r="D1571" s="31">
        <v>166364</v>
      </c>
      <c r="E1571" s="33" t="str">
        <f>IF(Table3[[#This Row],[Type Received]]=2,"CC",(IF(Table3[[#This Row],[Type Received]]=3,"BILL","ACH")))</f>
        <v>CC</v>
      </c>
      <c r="F1571" s="32">
        <v>61.72</v>
      </c>
      <c r="G1571" s="14" t="str">
        <f>VLOOKUP(D1571,Table4[],3,FALSE)</f>
        <v>2</v>
      </c>
      <c r="H1571" s="15">
        <v>4580</v>
      </c>
      <c r="I1571" s="15"/>
      <c r="J1571" s="15"/>
      <c r="K1571" s="15"/>
      <c r="L1571" s="15"/>
      <c r="M1571" s="15" t="s">
        <v>29</v>
      </c>
    </row>
    <row r="1572" spans="1:13" x14ac:dyDescent="0.25">
      <c r="A1572" s="23">
        <f t="shared" si="79"/>
        <v>166480</v>
      </c>
      <c r="B1572" s="14" t="str">
        <f t="shared" si="80"/>
        <v>Direct Debit (UMB Bank) - Credits</v>
      </c>
      <c r="C1572" s="38">
        <v>46155</v>
      </c>
      <c r="D1572" s="34">
        <v>166480</v>
      </c>
      <c r="E1572" s="36" t="str">
        <f>IF(Table3[[#This Row],[Type Received]]=2,"CC",(IF(Table3[[#This Row],[Type Received]]=3,"BILL","ACH")))</f>
        <v>ACH</v>
      </c>
      <c r="F1572" s="35">
        <v>25.32</v>
      </c>
      <c r="G1572" s="14" t="str">
        <f>VLOOKUP(D1572,Table4[],3,FALSE)</f>
        <v>1</v>
      </c>
      <c r="H1572" s="15"/>
      <c r="I1572" s="15">
        <v>411</v>
      </c>
      <c r="J1572" s="24" t="s">
        <v>28</v>
      </c>
      <c r="K1572" s="15">
        <v>669493410</v>
      </c>
      <c r="L1572" s="15" t="s">
        <v>29</v>
      </c>
      <c r="M1572" s="15" t="s">
        <v>29</v>
      </c>
    </row>
    <row r="1573" spans="1:13" x14ac:dyDescent="0.25">
      <c r="A1573" s="23"/>
      <c r="B1573" s="14" t="str">
        <f t="shared" si="80"/>
        <v>Direct Debit (UMB Bank) - Credits</v>
      </c>
      <c r="C1573" s="37">
        <v>46167</v>
      </c>
      <c r="D1573" s="31">
        <v>166488</v>
      </c>
      <c r="E1573" s="33" t="str">
        <f>IF(Table3[[#This Row],[Type Received]]=2,"CC",(IF(Table3[[#This Row],[Type Received]]=3,"BILL","ACH")))</f>
        <v>ACH</v>
      </c>
      <c r="F1573" s="32">
        <v>21</v>
      </c>
      <c r="G1573" s="14" t="str">
        <f>VLOOKUP(D1573,Table4[],3,FALSE)</f>
        <v>1</v>
      </c>
      <c r="H1573" s="15"/>
      <c r="I1573" s="15"/>
      <c r="J1573" s="24" t="s">
        <v>85</v>
      </c>
      <c r="K1573" s="15">
        <v>818364325</v>
      </c>
      <c r="L1573" s="15" t="s">
        <v>29</v>
      </c>
      <c r="M1573" s="15" t="s">
        <v>29</v>
      </c>
    </row>
    <row r="1574" spans="1:13" x14ac:dyDescent="0.25">
      <c r="A1574" s="23">
        <f t="shared" ref="A1574:A1605" si="81">D1574</f>
        <v>166505</v>
      </c>
      <c r="B1574" s="14" t="str">
        <f t="shared" si="80"/>
        <v>Direct Debit (UMB Bank) - Credits</v>
      </c>
      <c r="C1574" s="38">
        <v>46167</v>
      </c>
      <c r="D1574" s="34">
        <v>166505</v>
      </c>
      <c r="E1574" s="36" t="str">
        <f>IF(Table3[[#This Row],[Type Received]]=2,"CC",(IF(Table3[[#This Row],[Type Received]]=3,"BILL","ACH")))</f>
        <v>ACH</v>
      </c>
      <c r="F1574" s="35">
        <v>51.42</v>
      </c>
      <c r="G1574" s="14" t="str">
        <f>VLOOKUP(D1574,Table4[],3,FALSE)</f>
        <v>1</v>
      </c>
      <c r="H1574" s="15"/>
      <c r="I1574" s="15"/>
      <c r="J1574" s="15" t="s">
        <v>85</v>
      </c>
      <c r="K1574" s="15">
        <v>818350749</v>
      </c>
      <c r="L1574" s="15" t="s">
        <v>29</v>
      </c>
      <c r="M1574" s="15" t="s">
        <v>29</v>
      </c>
    </row>
    <row r="1575" spans="1:13" x14ac:dyDescent="0.25">
      <c r="A1575" s="23">
        <f t="shared" si="81"/>
        <v>166517</v>
      </c>
      <c r="B1575" s="14" t="str">
        <f t="shared" si="80"/>
        <v>Direct Debit (UMB Bank) - Credits</v>
      </c>
      <c r="C1575" s="37">
        <v>46144</v>
      </c>
      <c r="D1575" s="31">
        <v>166517</v>
      </c>
      <c r="E1575" s="33" t="str">
        <f>IF(Table3[[#This Row],[Type Received]]=2,"CC",(IF(Table3[[#This Row],[Type Received]]=3,"BILL","ACH")))</f>
        <v>ACH</v>
      </c>
      <c r="F1575" s="32">
        <v>34.049999999999997</v>
      </c>
      <c r="G1575" s="14" t="str">
        <f>VLOOKUP(D1575,Table4[],3,FALSE)</f>
        <v>2</v>
      </c>
      <c r="H1575" s="15"/>
      <c r="I1575" s="15"/>
      <c r="J1575" s="15" t="s">
        <v>89</v>
      </c>
      <c r="K1575" s="15">
        <v>535379854</v>
      </c>
      <c r="L1575" s="15" t="s">
        <v>29</v>
      </c>
      <c r="M1575" s="15" t="s">
        <v>29</v>
      </c>
    </row>
    <row r="1576" spans="1:13" x14ac:dyDescent="0.25">
      <c r="A1576" s="23">
        <f t="shared" si="81"/>
        <v>166619</v>
      </c>
      <c r="B1576" s="14" t="str">
        <f t="shared" si="80"/>
        <v>Billing - Credits (from TPA)</v>
      </c>
      <c r="C1576" s="38">
        <v>46167</v>
      </c>
      <c r="D1576" s="34">
        <v>166619</v>
      </c>
      <c r="E1576" s="36" t="str">
        <f>IF(Table3[[#This Row],[Type Received]]=2,"CC",(IF(Table3[[#This Row],[Type Received]]=3,"BILL","ACH")))</f>
        <v>BILL</v>
      </c>
      <c r="F1576" s="35">
        <v>14.44</v>
      </c>
      <c r="G1576" s="14" t="str">
        <f>VLOOKUP(D1576,Table4[],3,FALSE)</f>
        <v>1</v>
      </c>
      <c r="H1576" s="15"/>
      <c r="I1576" s="15"/>
      <c r="J1576" s="15" t="s">
        <v>85</v>
      </c>
      <c r="K1576" s="15">
        <v>818346896</v>
      </c>
      <c r="L1576" s="15" t="s">
        <v>29</v>
      </c>
      <c r="M1576" s="15" t="s">
        <v>29</v>
      </c>
    </row>
    <row r="1577" spans="1:13" x14ac:dyDescent="0.25">
      <c r="A1577" s="23">
        <f t="shared" si="81"/>
        <v>166815</v>
      </c>
      <c r="B1577" s="14" t="str">
        <f t="shared" si="80"/>
        <v>Direct Debit (UMB Bank) - Credits</v>
      </c>
      <c r="C1577" s="37">
        <v>46143</v>
      </c>
      <c r="D1577" s="31">
        <v>166815</v>
      </c>
      <c r="E1577" s="33" t="str">
        <f>IF(Table3[[#This Row],[Type Received]]=2,"CC",(IF(Table3[[#This Row],[Type Received]]=3,"BILL","ACH")))</f>
        <v>ACH</v>
      </c>
      <c r="F1577" s="32">
        <v>42.37</v>
      </c>
      <c r="G1577" s="14" t="str">
        <f>VLOOKUP(D1577,Table4[],3,FALSE)</f>
        <v>2</v>
      </c>
      <c r="H1577" s="15">
        <v>74377797</v>
      </c>
      <c r="I1577" s="15"/>
      <c r="J1577" s="15"/>
      <c r="K1577" s="15"/>
      <c r="L1577" s="15"/>
      <c r="M1577" s="15" t="s">
        <v>29</v>
      </c>
    </row>
    <row r="1578" spans="1:13" x14ac:dyDescent="0.25">
      <c r="A1578" s="23">
        <f t="shared" si="81"/>
        <v>166873</v>
      </c>
      <c r="B1578" s="14" t="str">
        <f t="shared" si="80"/>
        <v>Direct Debit (UMB Bank) - Credits</v>
      </c>
      <c r="C1578" s="38">
        <v>46171</v>
      </c>
      <c r="D1578" s="34">
        <v>166873</v>
      </c>
      <c r="E1578" s="36" t="str">
        <f>IF(Table3[[#This Row],[Type Received]]=2,"CC",(IF(Table3[[#This Row],[Type Received]]=3,"BILL","ACH")))</f>
        <v>ACH</v>
      </c>
      <c r="F1578" s="35">
        <v>46.9</v>
      </c>
      <c r="G1578" s="14" t="str">
        <f>VLOOKUP(D1578,Table4[],3,FALSE)</f>
        <v>1</v>
      </c>
      <c r="H1578" s="15"/>
      <c r="I1578" s="15"/>
      <c r="J1578" s="15" t="s">
        <v>226</v>
      </c>
      <c r="K1578" s="15">
        <v>868402269</v>
      </c>
      <c r="L1578" s="15" t="s">
        <v>29</v>
      </c>
      <c r="M1578" s="15" t="s">
        <v>29</v>
      </c>
    </row>
    <row r="1579" spans="1:13" x14ac:dyDescent="0.25">
      <c r="A1579" s="23">
        <f t="shared" si="81"/>
        <v>166873</v>
      </c>
      <c r="B1579" s="14" t="str">
        <f t="shared" si="80"/>
        <v>Direct Debit (UMB Bank) - Credits</v>
      </c>
      <c r="C1579" s="37">
        <v>46155</v>
      </c>
      <c r="D1579" s="31">
        <v>166873</v>
      </c>
      <c r="E1579" s="33" t="str">
        <f>IF(Table3[[#This Row],[Type Received]]=2,"CC",(IF(Table3[[#This Row],[Type Received]]=3,"BILL","ACH")))</f>
        <v>ACH</v>
      </c>
      <c r="F1579" s="32">
        <v>46.9</v>
      </c>
      <c r="G1579" s="14" t="str">
        <f>VLOOKUP(D1579,Table4[],3,FALSE)</f>
        <v>1</v>
      </c>
      <c r="H1579" s="15"/>
      <c r="I1579" s="15"/>
      <c r="J1579" s="15" t="s">
        <v>90</v>
      </c>
      <c r="K1579" s="15">
        <v>673811589</v>
      </c>
      <c r="L1579" s="15" t="s">
        <v>29</v>
      </c>
      <c r="M1579" s="15" t="s">
        <v>29</v>
      </c>
    </row>
    <row r="1580" spans="1:13" x14ac:dyDescent="0.25">
      <c r="A1580" s="23">
        <f t="shared" si="81"/>
        <v>166889</v>
      </c>
      <c r="B1580" s="14" t="str">
        <f t="shared" si="80"/>
        <v>Direct Debit (UMB Bank) - Credits</v>
      </c>
      <c r="C1580" s="38">
        <v>46148</v>
      </c>
      <c r="D1580" s="34">
        <v>166889</v>
      </c>
      <c r="E1580" s="36" t="str">
        <f>IF(Table3[[#This Row],[Type Received]]=2,"CC",(IF(Table3[[#This Row],[Type Received]]=3,"BILL","ACH")))</f>
        <v>ACH</v>
      </c>
      <c r="F1580" s="35">
        <v>18.579999999999998</v>
      </c>
      <c r="G1580" s="14" t="str">
        <f>VLOOKUP(D1580,Table4[],3,FALSE)</f>
        <v>1</v>
      </c>
      <c r="H1580" s="15"/>
      <c r="I1580" s="15"/>
      <c r="J1580" s="24" t="s">
        <v>126</v>
      </c>
      <c r="K1580" s="15">
        <v>582147200</v>
      </c>
      <c r="L1580" s="15" t="s">
        <v>29</v>
      </c>
      <c r="M1580" s="15" t="s">
        <v>29</v>
      </c>
    </row>
    <row r="1581" spans="1:13" x14ac:dyDescent="0.25">
      <c r="A1581" s="23">
        <f t="shared" si="81"/>
        <v>166940</v>
      </c>
      <c r="B1581" s="14" t="str">
        <f t="shared" si="80"/>
        <v>Credit Cards (UMB) - Credits</v>
      </c>
      <c r="C1581" s="37">
        <v>46144</v>
      </c>
      <c r="D1581" s="31">
        <v>166940</v>
      </c>
      <c r="E1581" s="33" t="str">
        <f>IF(Table3[[#This Row],[Type Received]]=2,"CC",(IF(Table3[[#This Row],[Type Received]]=3,"BILL","ACH")))</f>
        <v>CC</v>
      </c>
      <c r="F1581" s="32">
        <v>21.9</v>
      </c>
      <c r="G1581" s="14" t="str">
        <f>VLOOKUP(D1581,Table4[],3,FALSE)</f>
        <v>1</v>
      </c>
      <c r="H1581" s="15"/>
      <c r="I1581" s="15"/>
      <c r="J1581" s="15" t="s">
        <v>89</v>
      </c>
      <c r="K1581" s="15">
        <v>535372063</v>
      </c>
      <c r="L1581" s="15" t="s">
        <v>29</v>
      </c>
      <c r="M1581" s="15" t="s">
        <v>29</v>
      </c>
    </row>
    <row r="1582" spans="1:13" x14ac:dyDescent="0.25">
      <c r="A1582" s="23">
        <f t="shared" si="81"/>
        <v>167114</v>
      </c>
      <c r="B1582" s="14" t="str">
        <f t="shared" si="80"/>
        <v>Direct Debit (UMB Bank) - Credits</v>
      </c>
      <c r="C1582" s="38">
        <v>46146</v>
      </c>
      <c r="D1582" s="34">
        <v>167114</v>
      </c>
      <c r="E1582" s="36" t="str">
        <f>IF(Table3[[#This Row],[Type Received]]=2,"CC",(IF(Table3[[#This Row],[Type Received]]=3,"BILL","ACH")))</f>
        <v>ACH</v>
      </c>
      <c r="F1582" s="35">
        <v>156.16</v>
      </c>
      <c r="G1582" s="14" t="str">
        <f>VLOOKUP(D1582,Table4[],3,FALSE)</f>
        <v>1</v>
      </c>
      <c r="H1582" s="15"/>
      <c r="I1582" s="15">
        <v>837462</v>
      </c>
      <c r="J1582" s="15" t="s">
        <v>28</v>
      </c>
      <c r="K1582" s="15">
        <v>562975604</v>
      </c>
      <c r="L1582" s="15" t="s">
        <v>29</v>
      </c>
      <c r="M1582" s="15"/>
    </row>
    <row r="1583" spans="1:13" x14ac:dyDescent="0.25">
      <c r="A1583" s="23">
        <f t="shared" si="81"/>
        <v>167203</v>
      </c>
      <c r="B1583" s="14" t="str">
        <f t="shared" si="80"/>
        <v>Direct Debit (UMB Bank) - Credits</v>
      </c>
      <c r="C1583" s="37">
        <v>46167</v>
      </c>
      <c r="D1583" s="31">
        <v>167203</v>
      </c>
      <c r="E1583" s="33" t="str">
        <f>IF(Table3[[#This Row],[Type Received]]=2,"CC",(IF(Table3[[#This Row],[Type Received]]=3,"BILL","ACH")))</f>
        <v>ACH</v>
      </c>
      <c r="F1583" s="32">
        <v>18.940000000000001</v>
      </c>
      <c r="G1583" s="14" t="str">
        <f>VLOOKUP(D1583,Table4[],3,FALSE)</f>
        <v>1</v>
      </c>
      <c r="H1583" s="15"/>
      <c r="I1583" s="15"/>
      <c r="J1583" s="15" t="s">
        <v>85</v>
      </c>
      <c r="K1583" s="15">
        <v>818364347</v>
      </c>
      <c r="L1583" s="15" t="s">
        <v>29</v>
      </c>
      <c r="M1583" s="15" t="s">
        <v>29</v>
      </c>
    </row>
    <row r="1584" spans="1:13" x14ac:dyDescent="0.25">
      <c r="A1584" s="23">
        <f t="shared" si="81"/>
        <v>167212</v>
      </c>
      <c r="B1584" s="14" t="str">
        <f t="shared" si="80"/>
        <v>Direct Debit (UMB Bank) - Credits</v>
      </c>
      <c r="C1584" s="38">
        <v>46167</v>
      </c>
      <c r="D1584" s="34">
        <v>167212</v>
      </c>
      <c r="E1584" s="36" t="str">
        <f>IF(Table3[[#This Row],[Type Received]]=2,"CC",(IF(Table3[[#This Row],[Type Received]]=3,"BILL","ACH")))</f>
        <v>ACH</v>
      </c>
      <c r="F1584" s="35">
        <v>8.32</v>
      </c>
      <c r="G1584" s="14" t="str">
        <f>VLOOKUP(D1584,Table4[],3,FALSE)</f>
        <v>1</v>
      </c>
      <c r="H1584" s="15"/>
      <c r="I1584" s="15"/>
      <c r="J1584" s="15" t="s">
        <v>85</v>
      </c>
      <c r="K1584" s="15">
        <v>818367161</v>
      </c>
      <c r="L1584" s="15" t="s">
        <v>29</v>
      </c>
      <c r="M1584" s="15"/>
    </row>
    <row r="1585" spans="1:13" x14ac:dyDescent="0.25">
      <c r="A1585" s="23">
        <f t="shared" si="81"/>
        <v>167613</v>
      </c>
      <c r="B1585" s="14" t="str">
        <f t="shared" si="80"/>
        <v>Direct Debit (UMB Bank) - Credits</v>
      </c>
      <c r="C1585" s="37">
        <v>46167</v>
      </c>
      <c r="D1585" s="31">
        <v>167613</v>
      </c>
      <c r="E1585" s="33" t="str">
        <f>IF(Table3[[#This Row],[Type Received]]=2,"CC",(IF(Table3[[#This Row],[Type Received]]=3,"BILL","ACH")))</f>
        <v>ACH</v>
      </c>
      <c r="F1585" s="32">
        <v>17.18</v>
      </c>
      <c r="G1585" s="14" t="str">
        <f>VLOOKUP(D1585,Table4[],3,FALSE)</f>
        <v>1</v>
      </c>
      <c r="H1585" s="15"/>
      <c r="I1585" s="15"/>
      <c r="J1585" s="15" t="s">
        <v>85</v>
      </c>
      <c r="K1585" s="15">
        <v>818343490</v>
      </c>
      <c r="L1585" s="15" t="s">
        <v>29</v>
      </c>
      <c r="M1585" s="15" t="s">
        <v>29</v>
      </c>
    </row>
    <row r="1586" spans="1:13" x14ac:dyDescent="0.25">
      <c r="A1586" s="23">
        <f t="shared" si="81"/>
        <v>167701</v>
      </c>
      <c r="B1586" s="14" t="str">
        <f t="shared" si="80"/>
        <v>Direct Debit (UMB Bank) - Credits</v>
      </c>
      <c r="C1586" s="38">
        <v>46144</v>
      </c>
      <c r="D1586" s="34">
        <v>167701</v>
      </c>
      <c r="E1586" s="36" t="str">
        <f>IF(Table3[[#This Row],[Type Received]]=2,"CC",(IF(Table3[[#This Row],[Type Received]]=3,"BILL","ACH")))</f>
        <v>ACH</v>
      </c>
      <c r="F1586" s="35">
        <v>35.4</v>
      </c>
      <c r="G1586" s="14" t="str">
        <f>VLOOKUP(D1586,Table4[],3,FALSE)</f>
        <v>2</v>
      </c>
      <c r="H1586" s="15"/>
      <c r="I1586" s="15"/>
      <c r="J1586" s="15" t="s">
        <v>89</v>
      </c>
      <c r="K1586" s="15">
        <v>535383783</v>
      </c>
      <c r="L1586" s="15" t="s">
        <v>29</v>
      </c>
      <c r="M1586" s="15" t="s">
        <v>29</v>
      </c>
    </row>
    <row r="1587" spans="1:13" x14ac:dyDescent="0.25">
      <c r="A1587" s="23">
        <f t="shared" si="81"/>
        <v>167558</v>
      </c>
      <c r="B1587" s="14" t="str">
        <f t="shared" si="80"/>
        <v>Direct Debit (UMB Bank) - Credits</v>
      </c>
      <c r="C1587" s="37">
        <v>46144</v>
      </c>
      <c r="D1587" s="31">
        <v>167558</v>
      </c>
      <c r="E1587" s="33" t="str">
        <f>IF(Table3[[#This Row],[Type Received]]=2,"CC",(IF(Table3[[#This Row],[Type Received]]=3,"BILL","ACH")))</f>
        <v>ACH</v>
      </c>
      <c r="F1587" s="32">
        <v>19.97</v>
      </c>
      <c r="G1587" s="14" t="str">
        <f>VLOOKUP(D1587,Table4[],3,FALSE)</f>
        <v>2</v>
      </c>
      <c r="H1587" s="15"/>
      <c r="I1587" s="15"/>
      <c r="J1587" s="24" t="s">
        <v>89</v>
      </c>
      <c r="K1587" s="15">
        <v>535393392</v>
      </c>
      <c r="L1587" s="15" t="s">
        <v>29</v>
      </c>
      <c r="M1587" s="15"/>
    </row>
    <row r="1588" spans="1:13" x14ac:dyDescent="0.25">
      <c r="A1588" s="23">
        <f t="shared" si="81"/>
        <v>167954</v>
      </c>
      <c r="B1588" s="14" t="str">
        <f t="shared" si="80"/>
        <v>Billing - Credits (from TPA)</v>
      </c>
      <c r="C1588" s="38">
        <v>46157</v>
      </c>
      <c r="D1588" s="34">
        <v>167954</v>
      </c>
      <c r="E1588" s="36" t="str">
        <f>IF(Table3[[#This Row],[Type Received]]=2,"CC",(IF(Table3[[#This Row],[Type Received]]=3,"BILL","ACH")))</f>
        <v>BILL</v>
      </c>
      <c r="F1588" s="35">
        <v>38.1</v>
      </c>
      <c r="G1588" s="14" t="str">
        <f>VLOOKUP(D1588,Table4[],3,FALSE)</f>
        <v>2</v>
      </c>
      <c r="H1588" s="15"/>
      <c r="I1588" s="15"/>
      <c r="J1588" s="15" t="s">
        <v>87</v>
      </c>
      <c r="K1588" s="15">
        <v>696705895</v>
      </c>
      <c r="L1588" s="15" t="s">
        <v>29</v>
      </c>
      <c r="M1588" s="15" t="s">
        <v>29</v>
      </c>
    </row>
    <row r="1589" spans="1:13" x14ac:dyDescent="0.25">
      <c r="A1589" s="23">
        <f t="shared" si="81"/>
        <v>168213</v>
      </c>
      <c r="B1589" s="14" t="str">
        <f t="shared" si="80"/>
        <v>Direct Debit (UMB Bank) - Credits</v>
      </c>
      <c r="C1589" s="37">
        <v>46168</v>
      </c>
      <c r="D1589" s="31">
        <v>168213</v>
      </c>
      <c r="E1589" s="33" t="str">
        <f>IF(Table3[[#This Row],[Type Received]]=2,"CC",(IF(Table3[[#This Row],[Type Received]]=3,"BILL","ACH")))</f>
        <v>ACH</v>
      </c>
      <c r="F1589" s="32">
        <v>39.82</v>
      </c>
      <c r="G1589" s="14" t="str">
        <f>VLOOKUP(D1589,Table4[],3,FALSE)</f>
        <v>1</v>
      </c>
      <c r="H1589" s="15">
        <v>1361</v>
      </c>
      <c r="I1589" s="15"/>
      <c r="J1589" s="15"/>
      <c r="K1589" s="15"/>
      <c r="L1589" s="15"/>
      <c r="M1589" s="15" t="s">
        <v>29</v>
      </c>
    </row>
    <row r="1590" spans="1:13" x14ac:dyDescent="0.25">
      <c r="A1590" s="23">
        <f t="shared" si="81"/>
        <v>168218</v>
      </c>
      <c r="B1590" s="14" t="str">
        <f t="shared" si="80"/>
        <v>Billing - Credits (from TPA)</v>
      </c>
      <c r="C1590" s="38">
        <v>46144</v>
      </c>
      <c r="D1590" s="34">
        <v>168218</v>
      </c>
      <c r="E1590" s="36" t="str">
        <f>IF(Table3[[#This Row],[Type Received]]=2,"CC",(IF(Table3[[#This Row],[Type Received]]=3,"BILL","ACH")))</f>
        <v>BILL</v>
      </c>
      <c r="F1590" s="35">
        <v>47.82</v>
      </c>
      <c r="G1590" s="14" t="str">
        <f>VLOOKUP(D1590,Table4[],3,FALSE)</f>
        <v>1</v>
      </c>
      <c r="H1590" s="15"/>
      <c r="I1590" s="15"/>
      <c r="J1590" s="15" t="s">
        <v>89</v>
      </c>
      <c r="K1590" s="15">
        <v>535395405</v>
      </c>
      <c r="L1590" s="15" t="s">
        <v>29</v>
      </c>
      <c r="M1590" s="15" t="s">
        <v>29</v>
      </c>
    </row>
    <row r="1591" spans="1:13" x14ac:dyDescent="0.25">
      <c r="A1591" s="23">
        <f t="shared" si="81"/>
        <v>168284</v>
      </c>
      <c r="B1591" s="14" t="str">
        <f t="shared" si="80"/>
        <v>Direct Debit (UMB Bank) - Credits</v>
      </c>
      <c r="C1591" s="37">
        <v>46169</v>
      </c>
      <c r="D1591" s="31">
        <v>168284</v>
      </c>
      <c r="E1591" s="33" t="str">
        <f>IF(Table3[[#This Row],[Type Received]]=2,"CC",(IF(Table3[[#This Row],[Type Received]]=3,"BILL","ACH")))</f>
        <v>ACH</v>
      </c>
      <c r="F1591" s="32">
        <v>47.42</v>
      </c>
      <c r="G1591" s="14" t="str">
        <f>VLOOKUP(D1591,Table4[],3,FALSE)</f>
        <v>2</v>
      </c>
      <c r="H1591" s="15">
        <v>7884</v>
      </c>
      <c r="I1591" s="15"/>
      <c r="J1591" s="15"/>
      <c r="K1591" s="15"/>
      <c r="L1591" s="15"/>
      <c r="M1591" s="15" t="s">
        <v>29</v>
      </c>
    </row>
    <row r="1592" spans="1:13" x14ac:dyDescent="0.25">
      <c r="A1592" s="23">
        <f t="shared" si="81"/>
        <v>168135</v>
      </c>
      <c r="B1592" s="14" t="str">
        <f t="shared" si="80"/>
        <v>Billing - Credits (from TPA)</v>
      </c>
      <c r="C1592" s="38">
        <v>46168</v>
      </c>
      <c r="D1592" s="34">
        <v>168135</v>
      </c>
      <c r="E1592" s="36" t="str">
        <f>IF(Table3[[#This Row],[Type Received]]=2,"CC",(IF(Table3[[#This Row],[Type Received]]=3,"BILL","ACH")))</f>
        <v>BILL</v>
      </c>
      <c r="F1592" s="35">
        <v>27.66</v>
      </c>
      <c r="G1592" s="14" t="str">
        <f>VLOOKUP(D1592,Table4[],3,FALSE)</f>
        <v>1</v>
      </c>
      <c r="H1592" s="15"/>
      <c r="I1592" s="15"/>
      <c r="J1592" s="15" t="s">
        <v>110</v>
      </c>
      <c r="K1592" s="15">
        <v>828213719</v>
      </c>
      <c r="L1592" s="15" t="s">
        <v>29</v>
      </c>
      <c r="M1592" s="15" t="s">
        <v>29</v>
      </c>
    </row>
    <row r="1593" spans="1:13" x14ac:dyDescent="0.25">
      <c r="A1593" s="23">
        <f t="shared" si="81"/>
        <v>168460</v>
      </c>
      <c r="B1593" s="14" t="str">
        <f t="shared" si="80"/>
        <v>Direct Debit (UMB Bank) - Credits</v>
      </c>
      <c r="C1593" s="37">
        <v>46143</v>
      </c>
      <c r="D1593" s="31">
        <v>168460</v>
      </c>
      <c r="E1593" s="33" t="str">
        <f>IF(Table3[[#This Row],[Type Received]]=2,"CC",(IF(Table3[[#This Row],[Type Received]]=3,"BILL","ACH")))</f>
        <v>ACH</v>
      </c>
      <c r="F1593" s="32">
        <v>103.96</v>
      </c>
      <c r="G1593" s="14" t="str">
        <f>VLOOKUP(D1593,Table4[],3,FALSE)</f>
        <v>1</v>
      </c>
      <c r="H1593" s="15">
        <v>2656</v>
      </c>
      <c r="I1593" s="15"/>
      <c r="J1593" s="24"/>
      <c r="K1593" s="15"/>
      <c r="L1593" s="15"/>
      <c r="M1593" s="15"/>
    </row>
    <row r="1594" spans="1:13" x14ac:dyDescent="0.25">
      <c r="A1594" s="23">
        <f t="shared" si="81"/>
        <v>168829</v>
      </c>
      <c r="B1594" s="14" t="str">
        <f t="shared" si="80"/>
        <v>Billing - Credits (from TPA)</v>
      </c>
      <c r="C1594" s="38">
        <v>46144</v>
      </c>
      <c r="D1594" s="34">
        <v>168829</v>
      </c>
      <c r="E1594" s="36" t="str">
        <f>IF(Table3[[#This Row],[Type Received]]=2,"CC",(IF(Table3[[#This Row],[Type Received]]=3,"BILL","ACH")))</f>
        <v>BILL</v>
      </c>
      <c r="F1594" s="35">
        <v>34.86</v>
      </c>
      <c r="G1594" s="14" t="str">
        <f>VLOOKUP(D1594,Table4[],3,FALSE)</f>
        <v>2</v>
      </c>
      <c r="H1594" s="15"/>
      <c r="I1594" s="15"/>
      <c r="J1594" s="24" t="s">
        <v>89</v>
      </c>
      <c r="K1594" s="15">
        <v>535389661</v>
      </c>
      <c r="L1594" s="15" t="s">
        <v>29</v>
      </c>
      <c r="M1594" s="15" t="s">
        <v>29</v>
      </c>
    </row>
    <row r="1595" spans="1:13" x14ac:dyDescent="0.25">
      <c r="A1595" s="23">
        <f t="shared" si="81"/>
        <v>168866</v>
      </c>
      <c r="B1595" s="14" t="str">
        <f t="shared" si="80"/>
        <v>Billing - Credits (from TPA)</v>
      </c>
      <c r="C1595" s="37">
        <v>46147</v>
      </c>
      <c r="D1595" s="31">
        <v>168866</v>
      </c>
      <c r="E1595" s="33" t="str">
        <f>IF(Table3[[#This Row],[Type Received]]=2,"CC",(IF(Table3[[#This Row],[Type Received]]=3,"BILL","ACH")))</f>
        <v>BILL</v>
      </c>
      <c r="F1595" s="32">
        <v>57.19</v>
      </c>
      <c r="G1595" s="14" t="str">
        <f>VLOOKUP(D1595,Table4[],3,FALSE)</f>
        <v>2</v>
      </c>
      <c r="H1595" s="15">
        <v>9008</v>
      </c>
      <c r="I1595" s="15"/>
      <c r="J1595" s="15"/>
      <c r="K1595" s="15"/>
      <c r="L1595" s="15"/>
      <c r="M1595" s="15" t="s">
        <v>29</v>
      </c>
    </row>
    <row r="1596" spans="1:13" x14ac:dyDescent="0.25">
      <c r="A1596" s="23">
        <f t="shared" si="81"/>
        <v>168901</v>
      </c>
      <c r="B1596" s="14" t="str">
        <f t="shared" si="80"/>
        <v>Billing - Credits (from TPA)</v>
      </c>
      <c r="C1596" s="38">
        <v>46143</v>
      </c>
      <c r="D1596" s="34">
        <v>168901</v>
      </c>
      <c r="E1596" s="36" t="str">
        <f>IF(Table3[[#This Row],[Type Received]]=2,"CC",(IF(Table3[[#This Row],[Type Received]]=3,"BILL","ACH")))</f>
        <v>BILL</v>
      </c>
      <c r="F1596" s="35">
        <v>56.2</v>
      </c>
      <c r="G1596" s="14" t="str">
        <f>VLOOKUP(D1596,Table4[],3,FALSE)</f>
        <v>1</v>
      </c>
      <c r="H1596" s="15">
        <v>271</v>
      </c>
      <c r="I1596" s="15"/>
      <c r="J1596" s="15"/>
      <c r="K1596" s="15"/>
      <c r="L1596" s="15"/>
      <c r="M1596" s="15" t="s">
        <v>29</v>
      </c>
    </row>
    <row r="1597" spans="1:13" x14ac:dyDescent="0.25">
      <c r="A1597" s="23">
        <f t="shared" si="81"/>
        <v>168990</v>
      </c>
      <c r="B1597" s="14" t="str">
        <f t="shared" si="80"/>
        <v>Direct Debit (UMB Bank) - Credits</v>
      </c>
      <c r="C1597" s="37">
        <v>46143</v>
      </c>
      <c r="D1597" s="31">
        <v>168990</v>
      </c>
      <c r="E1597" s="33" t="str">
        <f>IF(Table3[[#This Row],[Type Received]]=2,"CC",(IF(Table3[[#This Row],[Type Received]]=3,"BILL","ACH")))</f>
        <v>ACH</v>
      </c>
      <c r="F1597" s="32">
        <v>27.47</v>
      </c>
      <c r="G1597" s="14" t="str">
        <f>VLOOKUP(D1597,Table4[],3,FALSE)</f>
        <v>2</v>
      </c>
      <c r="H1597" s="15">
        <v>74427144</v>
      </c>
      <c r="I1597" s="15"/>
      <c r="J1597" s="15"/>
      <c r="K1597" s="15"/>
      <c r="L1597" s="15"/>
      <c r="M1597" s="15"/>
    </row>
    <row r="1598" spans="1:13" x14ac:dyDescent="0.25">
      <c r="A1598" s="23">
        <f t="shared" si="81"/>
        <v>168664</v>
      </c>
      <c r="B1598" s="14" t="str">
        <f t="shared" si="80"/>
        <v>Direct Debit (UMB Bank) - Credits</v>
      </c>
      <c r="C1598" s="38">
        <v>46157</v>
      </c>
      <c r="D1598" s="34">
        <v>168664</v>
      </c>
      <c r="E1598" s="36" t="str">
        <f>IF(Table3[[#This Row],[Type Received]]=2,"CC",(IF(Table3[[#This Row],[Type Received]]=3,"BILL","ACH")))</f>
        <v>ACH</v>
      </c>
      <c r="F1598" s="35">
        <v>18.22</v>
      </c>
      <c r="G1598" s="14" t="str">
        <f>VLOOKUP(D1598,Table4[],3,FALSE)</f>
        <v>1</v>
      </c>
      <c r="H1598" s="15"/>
      <c r="I1598" s="15"/>
      <c r="J1598" s="15" t="s">
        <v>87</v>
      </c>
      <c r="K1598" s="15">
        <v>696717552</v>
      </c>
      <c r="L1598" s="15" t="s">
        <v>29</v>
      </c>
      <c r="M1598" s="15"/>
    </row>
    <row r="1599" spans="1:13" x14ac:dyDescent="0.25">
      <c r="A1599" s="23">
        <f t="shared" si="81"/>
        <v>168747</v>
      </c>
      <c r="B1599" s="14" t="str">
        <f t="shared" si="80"/>
        <v>Direct Debit (UMB Bank) - Credits</v>
      </c>
      <c r="C1599" s="37">
        <v>46167</v>
      </c>
      <c r="D1599" s="31">
        <v>168747</v>
      </c>
      <c r="E1599" s="33" t="str">
        <f>IF(Table3[[#This Row],[Type Received]]=2,"CC",(IF(Table3[[#This Row],[Type Received]]=3,"BILL","ACH")))</f>
        <v>ACH</v>
      </c>
      <c r="F1599" s="32">
        <v>13.45</v>
      </c>
      <c r="G1599" s="14" t="str">
        <f>VLOOKUP(D1599,Table4[],3,FALSE)</f>
        <v>2</v>
      </c>
      <c r="H1599" s="15"/>
      <c r="I1599" s="15"/>
      <c r="J1599" s="15" t="s">
        <v>85</v>
      </c>
      <c r="K1599" s="15">
        <v>818358420</v>
      </c>
      <c r="L1599" s="15" t="s">
        <v>29</v>
      </c>
      <c r="M1599" s="15" t="s">
        <v>29</v>
      </c>
    </row>
    <row r="1600" spans="1:13" x14ac:dyDescent="0.25">
      <c r="A1600" s="23">
        <f t="shared" si="81"/>
        <v>168761</v>
      </c>
      <c r="B1600" s="14" t="str">
        <f t="shared" si="80"/>
        <v>Billing - Credits (from TPA)</v>
      </c>
      <c r="C1600" s="38">
        <v>46144</v>
      </c>
      <c r="D1600" s="34">
        <v>168761</v>
      </c>
      <c r="E1600" s="36" t="str">
        <f>IF(Table3[[#This Row],[Type Received]]=2,"CC",(IF(Table3[[#This Row],[Type Received]]=3,"BILL","ACH")))</f>
        <v>BILL</v>
      </c>
      <c r="F1600" s="35">
        <v>55.65</v>
      </c>
      <c r="G1600" s="14" t="str">
        <f>VLOOKUP(D1600,Table4[],3,FALSE)</f>
        <v>2</v>
      </c>
      <c r="H1600" s="15"/>
      <c r="I1600" s="15"/>
      <c r="J1600" s="15" t="s">
        <v>89</v>
      </c>
      <c r="K1600" s="15">
        <v>535417050</v>
      </c>
      <c r="L1600" s="15" t="s">
        <v>29</v>
      </c>
      <c r="M1600" s="15" t="s">
        <v>29</v>
      </c>
    </row>
    <row r="1601" spans="1:13" x14ac:dyDescent="0.25">
      <c r="A1601" s="23">
        <f t="shared" si="81"/>
        <v>168779</v>
      </c>
      <c r="B1601" s="14" t="str">
        <f t="shared" si="80"/>
        <v>Billing - Credits (from TPA)</v>
      </c>
      <c r="C1601" s="37">
        <v>46168</v>
      </c>
      <c r="D1601" s="31">
        <v>168779</v>
      </c>
      <c r="E1601" s="33" t="str">
        <f>IF(Table3[[#This Row],[Type Received]]=2,"CC",(IF(Table3[[#This Row],[Type Received]]=3,"BILL","ACH")))</f>
        <v>BILL</v>
      </c>
      <c r="F1601" s="32">
        <v>190.91</v>
      </c>
      <c r="G1601" s="14" t="str">
        <f>VLOOKUP(D1601,Table4[],3,FALSE)</f>
        <v>2</v>
      </c>
      <c r="H1601" s="15">
        <v>6724</v>
      </c>
      <c r="I1601" s="15"/>
      <c r="J1601" s="15"/>
      <c r="K1601" s="15"/>
      <c r="L1601" s="15"/>
      <c r="M1601" s="15"/>
    </row>
    <row r="1602" spans="1:13" x14ac:dyDescent="0.25">
      <c r="A1602" s="23">
        <f t="shared" si="81"/>
        <v>169133</v>
      </c>
      <c r="B1602" s="14" t="str">
        <f t="shared" ref="B1602:B1665" si="82">IF(AND(E1602="BILL",F1602&lt;0),"Billing &amp; Direct Debit - Refunds",(IF(AND(E1602="BILL",F1602&gt;0),"Billing - Credits (from TPA)",(IF(AND(E1602="CC",F1602&lt;0),"Credit Cards (UMB) - Refunds",(IF(AND(E1602="CC",F1602&gt;0),"Credit Cards (UMB) - Credits",(IF(AND(E1602="ACH",F1602&gt;0),"Direct Debit (UMB Bank) - Credits","Direct Debit (UMB Bank) - Returned Items")))))))))</f>
        <v>Credit Cards (UMB) - Credits</v>
      </c>
      <c r="C1602" s="38">
        <v>46168</v>
      </c>
      <c r="D1602" s="34">
        <v>169133</v>
      </c>
      <c r="E1602" s="36" t="str">
        <f>IF(Table3[[#This Row],[Type Received]]=2,"CC",(IF(Table3[[#This Row],[Type Received]]=3,"BILL","ACH")))</f>
        <v>CC</v>
      </c>
      <c r="F1602" s="35">
        <v>20.97</v>
      </c>
      <c r="G1602" s="14" t="str">
        <f>VLOOKUP(D1602,Table4[],3,FALSE)</f>
        <v>2</v>
      </c>
      <c r="H1602" s="15">
        <v>399</v>
      </c>
      <c r="I1602" s="15"/>
      <c r="J1602" s="15"/>
      <c r="K1602" s="15"/>
      <c r="L1602" s="15"/>
      <c r="M1602" s="15" t="s">
        <v>29</v>
      </c>
    </row>
    <row r="1603" spans="1:13" x14ac:dyDescent="0.25">
      <c r="A1603" s="23">
        <f t="shared" si="81"/>
        <v>169508</v>
      </c>
      <c r="B1603" s="14" t="str">
        <f t="shared" si="82"/>
        <v>Credit Cards (UMB) - Credits</v>
      </c>
      <c r="C1603" s="37">
        <v>46156</v>
      </c>
      <c r="D1603" s="31">
        <v>169508</v>
      </c>
      <c r="E1603" s="33" t="str">
        <f>IF(Table3[[#This Row],[Type Received]]=2,"CC",(IF(Table3[[#This Row],[Type Received]]=3,"BILL","ACH")))</f>
        <v>CC</v>
      </c>
      <c r="F1603" s="32">
        <v>137.19</v>
      </c>
      <c r="G1603" s="14" t="str">
        <f>VLOOKUP(D1603,Table4[],3,FALSE)</f>
        <v>2</v>
      </c>
      <c r="H1603" s="15"/>
      <c r="I1603" s="15">
        <v>130579</v>
      </c>
      <c r="J1603" s="15" t="s">
        <v>28</v>
      </c>
      <c r="K1603" s="15">
        <v>682531607</v>
      </c>
      <c r="L1603" s="15" t="s">
        <v>29</v>
      </c>
      <c r="M1603" s="15" t="s">
        <v>29</v>
      </c>
    </row>
    <row r="1604" spans="1:13" x14ac:dyDescent="0.25">
      <c r="A1604" s="23">
        <f t="shared" si="81"/>
        <v>169509</v>
      </c>
      <c r="B1604" s="14" t="str">
        <f t="shared" si="82"/>
        <v>Billing - Credits (from TPA)</v>
      </c>
      <c r="C1604" s="38">
        <v>46157</v>
      </c>
      <c r="D1604" s="34">
        <v>169509</v>
      </c>
      <c r="E1604" s="36" t="str">
        <f>IF(Table3[[#This Row],[Type Received]]=2,"CC",(IF(Table3[[#This Row],[Type Received]]=3,"BILL","ACH")))</f>
        <v>BILL</v>
      </c>
      <c r="F1604" s="35">
        <v>38.369999999999997</v>
      </c>
      <c r="G1604" s="14" t="str">
        <f>VLOOKUP(D1604,Table4[],3,FALSE)</f>
        <v>2</v>
      </c>
      <c r="H1604" s="15"/>
      <c r="I1604" s="15">
        <v>34153</v>
      </c>
      <c r="J1604" s="15" t="s">
        <v>28</v>
      </c>
      <c r="K1604" s="15">
        <v>696719516</v>
      </c>
      <c r="L1604" s="15" t="s">
        <v>29</v>
      </c>
      <c r="M1604" s="15"/>
    </row>
    <row r="1605" spans="1:13" x14ac:dyDescent="0.25">
      <c r="A1605" s="23">
        <f t="shared" si="81"/>
        <v>169528</v>
      </c>
      <c r="B1605" s="14" t="str">
        <f t="shared" si="82"/>
        <v>Billing - Credits (from TPA)</v>
      </c>
      <c r="C1605" s="37">
        <v>46169</v>
      </c>
      <c r="D1605" s="31">
        <v>169528</v>
      </c>
      <c r="E1605" s="33" t="str">
        <f>IF(Table3[[#This Row],[Type Received]]=2,"CC",(IF(Table3[[#This Row],[Type Received]]=3,"BILL","ACH")))</f>
        <v>BILL</v>
      </c>
      <c r="F1605" s="32">
        <v>84.52</v>
      </c>
      <c r="G1605" s="14" t="str">
        <f>VLOOKUP(D1605,Table4[],3,FALSE)</f>
        <v>2</v>
      </c>
      <c r="H1605" s="15">
        <v>1359</v>
      </c>
      <c r="I1605" s="15"/>
      <c r="J1605" s="15"/>
      <c r="K1605" s="15"/>
      <c r="L1605" s="15"/>
      <c r="M1605" s="15" t="s">
        <v>29</v>
      </c>
    </row>
    <row r="1606" spans="1:13" x14ac:dyDescent="0.25">
      <c r="A1606" s="23">
        <f t="shared" ref="A1606:A1637" si="83">D1606</f>
        <v>169559</v>
      </c>
      <c r="B1606" s="14" t="str">
        <f t="shared" si="82"/>
        <v>Direct Debit (UMB Bank) - Credits</v>
      </c>
      <c r="C1606" s="38">
        <v>46148</v>
      </c>
      <c r="D1606" s="34">
        <v>169559</v>
      </c>
      <c r="E1606" s="36" t="str">
        <f>IF(Table3[[#This Row],[Type Received]]=2,"CC",(IF(Table3[[#This Row],[Type Received]]=3,"BILL","ACH")))</f>
        <v>ACH</v>
      </c>
      <c r="F1606" s="35">
        <v>38.979999999999997</v>
      </c>
      <c r="G1606" s="14" t="str">
        <f>VLOOKUP(D1606,Table4[],3,FALSE)</f>
        <v>2</v>
      </c>
      <c r="H1606" s="15">
        <v>1495</v>
      </c>
      <c r="I1606" s="15"/>
      <c r="J1606" s="15"/>
      <c r="K1606" s="15"/>
      <c r="L1606" s="15"/>
      <c r="M1606" s="15" t="s">
        <v>29</v>
      </c>
    </row>
    <row r="1607" spans="1:13" x14ac:dyDescent="0.25">
      <c r="A1607" s="23">
        <f t="shared" si="83"/>
        <v>169210</v>
      </c>
      <c r="B1607" s="14" t="str">
        <f t="shared" si="82"/>
        <v>Direct Debit (UMB Bank) - Credits</v>
      </c>
      <c r="C1607" s="37">
        <v>46157</v>
      </c>
      <c r="D1607" s="31">
        <v>169210</v>
      </c>
      <c r="E1607" s="33" t="str">
        <f>IF(Table3[[#This Row],[Type Received]]=2,"CC",(IF(Table3[[#This Row],[Type Received]]=3,"BILL","ACH")))</f>
        <v>ACH</v>
      </c>
      <c r="F1607" s="32">
        <v>19.02</v>
      </c>
      <c r="G1607" s="14" t="str">
        <f>VLOOKUP(D1607,Table4[],3,FALSE)</f>
        <v>1</v>
      </c>
      <c r="H1607" s="15"/>
      <c r="I1607" s="15"/>
      <c r="J1607" s="15" t="s">
        <v>87</v>
      </c>
      <c r="K1607" s="15">
        <v>696700099</v>
      </c>
      <c r="L1607" s="15" t="s">
        <v>29</v>
      </c>
      <c r="M1607" s="15" t="s">
        <v>29</v>
      </c>
    </row>
    <row r="1608" spans="1:13" x14ac:dyDescent="0.25">
      <c r="A1608" s="23">
        <f t="shared" si="83"/>
        <v>169261</v>
      </c>
      <c r="B1608" s="14" t="str">
        <f t="shared" si="82"/>
        <v>Credit Cards (UMB) - Credits</v>
      </c>
      <c r="C1608" s="38">
        <v>46162</v>
      </c>
      <c r="D1608" s="34">
        <v>169261</v>
      </c>
      <c r="E1608" s="36" t="str">
        <f>IF(Table3[[#This Row],[Type Received]]=2,"CC",(IF(Table3[[#This Row],[Type Received]]=3,"BILL","ACH")))</f>
        <v>CC</v>
      </c>
      <c r="F1608" s="35">
        <v>101.68</v>
      </c>
      <c r="G1608" s="14" t="str">
        <f>VLOOKUP(D1608,Table4[],3,FALSE)</f>
        <v>1</v>
      </c>
      <c r="H1608" s="15"/>
      <c r="I1608" s="15"/>
      <c r="J1608" s="15" t="s">
        <v>107</v>
      </c>
      <c r="K1608" s="15">
        <v>758582238</v>
      </c>
      <c r="L1608" s="15" t="s">
        <v>29</v>
      </c>
      <c r="M1608" s="15" t="s">
        <v>29</v>
      </c>
    </row>
    <row r="1609" spans="1:13" x14ac:dyDescent="0.25">
      <c r="A1609" s="23">
        <f t="shared" si="83"/>
        <v>169288</v>
      </c>
      <c r="B1609" s="14" t="str">
        <f t="shared" si="82"/>
        <v>Direct Debit (UMB Bank) - Credits</v>
      </c>
      <c r="C1609" s="37">
        <v>46148</v>
      </c>
      <c r="D1609" s="31">
        <v>169288</v>
      </c>
      <c r="E1609" s="33" t="str">
        <f>IF(Table3[[#This Row],[Type Received]]=2,"CC",(IF(Table3[[#This Row],[Type Received]]=3,"BILL","ACH")))</f>
        <v>ACH</v>
      </c>
      <c r="F1609" s="32">
        <v>54.16</v>
      </c>
      <c r="G1609" s="14" t="str">
        <f>VLOOKUP(D1609,Table4[],3,FALSE)</f>
        <v>2</v>
      </c>
      <c r="H1609" s="15"/>
      <c r="I1609" s="15">
        <v>3295</v>
      </c>
      <c r="J1609" s="15" t="s">
        <v>28</v>
      </c>
      <c r="K1609" s="15">
        <v>585922575</v>
      </c>
      <c r="L1609" s="15" t="s">
        <v>29</v>
      </c>
      <c r="M1609" s="15" t="s">
        <v>29</v>
      </c>
    </row>
    <row r="1610" spans="1:13" x14ac:dyDescent="0.25">
      <c r="A1610" s="23">
        <f t="shared" si="83"/>
        <v>169374</v>
      </c>
      <c r="B1610" s="14" t="str">
        <f t="shared" si="82"/>
        <v>Direct Debit (UMB Bank) - Credits</v>
      </c>
      <c r="C1610" s="38">
        <v>46144</v>
      </c>
      <c r="D1610" s="34">
        <v>169374</v>
      </c>
      <c r="E1610" s="36" t="str">
        <f>IF(Table3[[#This Row],[Type Received]]=2,"CC",(IF(Table3[[#This Row],[Type Received]]=3,"BILL","ACH")))</f>
        <v>ACH</v>
      </c>
      <c r="F1610" s="35">
        <v>32.700000000000003</v>
      </c>
      <c r="G1610" s="14" t="str">
        <f>VLOOKUP(D1610,Table4[],3,FALSE)</f>
        <v>2</v>
      </c>
      <c r="H1610" s="15"/>
      <c r="I1610" s="15"/>
      <c r="J1610" s="15" t="s">
        <v>89</v>
      </c>
      <c r="K1610" s="15">
        <v>535385824</v>
      </c>
      <c r="L1610" s="15" t="s">
        <v>29</v>
      </c>
      <c r="M1610" s="15" t="s">
        <v>29</v>
      </c>
    </row>
    <row r="1611" spans="1:13" x14ac:dyDescent="0.25">
      <c r="A1611" s="23">
        <f t="shared" si="83"/>
        <v>169390</v>
      </c>
      <c r="B1611" s="14" t="str">
        <f t="shared" si="82"/>
        <v>Direct Debit (UMB Bank) - Credits</v>
      </c>
      <c r="C1611" s="37">
        <v>46144</v>
      </c>
      <c r="D1611" s="31">
        <v>169390</v>
      </c>
      <c r="E1611" s="33" t="str">
        <f>IF(Table3[[#This Row],[Type Received]]=2,"CC",(IF(Table3[[#This Row],[Type Received]]=3,"BILL","ACH")))</f>
        <v>ACH</v>
      </c>
      <c r="F1611" s="32">
        <v>43.5</v>
      </c>
      <c r="G1611" s="14" t="str">
        <f>VLOOKUP(D1611,Table4[],3,FALSE)</f>
        <v>2</v>
      </c>
      <c r="H1611" s="15"/>
      <c r="I1611" s="15"/>
      <c r="J1611" s="15" t="s">
        <v>89</v>
      </c>
      <c r="K1611" s="15">
        <v>535378005</v>
      </c>
      <c r="L1611" s="15" t="s">
        <v>29</v>
      </c>
      <c r="M1611" s="15"/>
    </row>
    <row r="1612" spans="1:13" x14ac:dyDescent="0.25">
      <c r="A1612" s="23">
        <f t="shared" si="83"/>
        <v>169707</v>
      </c>
      <c r="B1612" s="14" t="str">
        <f t="shared" si="82"/>
        <v>Credit Cards (UMB) - Credits</v>
      </c>
      <c r="C1612" s="38">
        <v>46157</v>
      </c>
      <c r="D1612" s="34">
        <v>169707</v>
      </c>
      <c r="E1612" s="36" t="str">
        <f>IF(Table3[[#This Row],[Type Received]]=2,"CC",(IF(Table3[[#This Row],[Type Received]]=3,"BILL","ACH")))</f>
        <v>CC</v>
      </c>
      <c r="F1612" s="35">
        <v>20.34</v>
      </c>
      <c r="G1612" s="14" t="str">
        <f>VLOOKUP(D1612,Table4[],3,FALSE)</f>
        <v>1</v>
      </c>
      <c r="H1612" s="15"/>
      <c r="I1612" s="15"/>
      <c r="J1612" s="15" t="s">
        <v>87</v>
      </c>
      <c r="K1612" s="15">
        <v>696715687</v>
      </c>
      <c r="L1612" s="15" t="s">
        <v>29</v>
      </c>
      <c r="M1612" s="15" t="s">
        <v>29</v>
      </c>
    </row>
    <row r="1613" spans="1:13" x14ac:dyDescent="0.25">
      <c r="A1613" s="23">
        <f t="shared" si="83"/>
        <v>169746</v>
      </c>
      <c r="B1613" s="14" t="str">
        <f t="shared" si="82"/>
        <v>Direct Debit (UMB Bank) - Credits</v>
      </c>
      <c r="C1613" s="37">
        <v>46145</v>
      </c>
      <c r="D1613" s="31">
        <v>169746</v>
      </c>
      <c r="E1613" s="33" t="str">
        <f>IF(Table3[[#This Row],[Type Received]]=2,"CC",(IF(Table3[[#This Row],[Type Received]]=3,"BILL","ACH")))</f>
        <v>ACH</v>
      </c>
      <c r="F1613" s="32">
        <v>12.02</v>
      </c>
      <c r="G1613" s="14" t="str">
        <f>VLOOKUP(D1613,Table4[],3,FALSE)</f>
        <v>1</v>
      </c>
      <c r="H1613" s="15"/>
      <c r="I1613" s="15">
        <v>1133</v>
      </c>
      <c r="J1613" s="15" t="s">
        <v>28</v>
      </c>
      <c r="K1613" s="15">
        <v>546408045</v>
      </c>
      <c r="L1613" s="15" t="s">
        <v>29</v>
      </c>
      <c r="M1613" s="15"/>
    </row>
    <row r="1614" spans="1:13" x14ac:dyDescent="0.25">
      <c r="A1614" s="23">
        <f t="shared" si="83"/>
        <v>169790</v>
      </c>
      <c r="B1614" s="14" t="str">
        <f t="shared" si="82"/>
        <v>Direct Debit (UMB Bank) - Credits</v>
      </c>
      <c r="C1614" s="38">
        <v>46157</v>
      </c>
      <c r="D1614" s="34">
        <v>169790</v>
      </c>
      <c r="E1614" s="36" t="str">
        <f>IF(Table3[[#This Row],[Type Received]]=2,"CC",(IF(Table3[[#This Row],[Type Received]]=3,"BILL","ACH")))</f>
        <v>ACH</v>
      </c>
      <c r="F1614" s="35">
        <v>51.33</v>
      </c>
      <c r="G1614" s="14" t="str">
        <f>VLOOKUP(D1614,Table4[],3,FALSE)</f>
        <v>2</v>
      </c>
      <c r="H1614" s="15"/>
      <c r="I1614" s="15"/>
      <c r="J1614" s="15" t="s">
        <v>87</v>
      </c>
      <c r="K1614" s="15">
        <v>696712691</v>
      </c>
      <c r="L1614" s="15" t="s">
        <v>29</v>
      </c>
      <c r="M1614" s="15" t="s">
        <v>29</v>
      </c>
    </row>
    <row r="1615" spans="1:13" x14ac:dyDescent="0.25">
      <c r="A1615" s="23">
        <f t="shared" si="83"/>
        <v>169817</v>
      </c>
      <c r="B1615" s="14" t="str">
        <f t="shared" si="82"/>
        <v>Billing - Credits (from TPA)</v>
      </c>
      <c r="C1615" s="37">
        <v>46157</v>
      </c>
      <c r="D1615" s="31">
        <v>169817</v>
      </c>
      <c r="E1615" s="33" t="str">
        <f>IF(Table3[[#This Row],[Type Received]]=2,"CC",(IF(Table3[[#This Row],[Type Received]]=3,"BILL","ACH")))</f>
        <v>BILL</v>
      </c>
      <c r="F1615" s="32">
        <v>23.67</v>
      </c>
      <c r="G1615" s="14" t="str">
        <f>VLOOKUP(D1615,Table4[],3,FALSE)</f>
        <v>2</v>
      </c>
      <c r="H1615" s="15"/>
      <c r="I1615" s="15"/>
      <c r="J1615" s="15" t="s">
        <v>87</v>
      </c>
      <c r="K1615" s="15">
        <v>696704964</v>
      </c>
      <c r="L1615" s="15" t="s">
        <v>29</v>
      </c>
      <c r="M1615" s="15" t="s">
        <v>29</v>
      </c>
    </row>
    <row r="1616" spans="1:13" x14ac:dyDescent="0.25">
      <c r="A1616" s="23">
        <f t="shared" si="83"/>
        <v>170063</v>
      </c>
      <c r="B1616" s="14" t="str">
        <f t="shared" si="82"/>
        <v>Billing - Credits (from TPA)</v>
      </c>
      <c r="C1616" s="38">
        <v>46169</v>
      </c>
      <c r="D1616" s="34">
        <v>170063</v>
      </c>
      <c r="E1616" s="36" t="str">
        <f>IF(Table3[[#This Row],[Type Received]]=2,"CC",(IF(Table3[[#This Row],[Type Received]]=3,"BILL","ACH")))</f>
        <v>BILL</v>
      </c>
      <c r="F1616" s="35">
        <v>18.46</v>
      </c>
      <c r="G1616" s="14" t="str">
        <f>VLOOKUP(D1616,Table4[],3,FALSE)</f>
        <v>2</v>
      </c>
      <c r="H1616" s="15">
        <v>27905</v>
      </c>
      <c r="I1616" s="15"/>
      <c r="J1616" s="24"/>
      <c r="K1616" s="15"/>
      <c r="L1616" s="15"/>
      <c r="M1616" s="15" t="s">
        <v>29</v>
      </c>
    </row>
    <row r="1617" spans="1:13" x14ac:dyDescent="0.25">
      <c r="A1617" s="23">
        <f t="shared" si="83"/>
        <v>170401</v>
      </c>
      <c r="B1617" s="14" t="str">
        <f t="shared" si="82"/>
        <v>Credit Cards (UMB) - Credits</v>
      </c>
      <c r="C1617" s="37">
        <v>46169</v>
      </c>
      <c r="D1617" s="31">
        <v>170401</v>
      </c>
      <c r="E1617" s="33" t="str">
        <f>IF(Table3[[#This Row],[Type Received]]=2,"CC",(IF(Table3[[#This Row],[Type Received]]=3,"BILL","ACH")))</f>
        <v>CC</v>
      </c>
      <c r="F1617" s="32">
        <v>102.97</v>
      </c>
      <c r="G1617" s="14" t="str">
        <f>VLOOKUP(D1617,Table4[],3,FALSE)</f>
        <v>2</v>
      </c>
      <c r="H1617" s="15">
        <v>8096</v>
      </c>
      <c r="I1617" s="15"/>
      <c r="J1617" s="15"/>
      <c r="K1617" s="15"/>
      <c r="L1617" s="15"/>
      <c r="M1617" s="15" t="s">
        <v>29</v>
      </c>
    </row>
    <row r="1618" spans="1:13" x14ac:dyDescent="0.25">
      <c r="A1618" s="23">
        <f t="shared" si="83"/>
        <v>170499</v>
      </c>
      <c r="B1618" s="14" t="str">
        <f t="shared" si="82"/>
        <v>Credit Cards (UMB) - Credits</v>
      </c>
      <c r="C1618" s="38">
        <v>46164</v>
      </c>
      <c r="D1618" s="34">
        <v>170499</v>
      </c>
      <c r="E1618" s="36" t="str">
        <f>IF(Table3[[#This Row],[Type Received]]=2,"CC",(IF(Table3[[#This Row],[Type Received]]=3,"BILL","ACH")))</f>
        <v>CC</v>
      </c>
      <c r="F1618" s="35">
        <v>46.24</v>
      </c>
      <c r="G1618" s="14" t="str">
        <f>VLOOKUP(D1618,Table4[],3,FALSE)</f>
        <v>2</v>
      </c>
      <c r="H1618" s="15"/>
      <c r="I1618" s="15">
        <v>3333</v>
      </c>
      <c r="J1618" s="15" t="s">
        <v>28</v>
      </c>
      <c r="K1618" s="15">
        <v>790278311</v>
      </c>
      <c r="L1618" s="15" t="s">
        <v>29</v>
      </c>
      <c r="M1618" s="15" t="s">
        <v>29</v>
      </c>
    </row>
    <row r="1619" spans="1:13" x14ac:dyDescent="0.25">
      <c r="A1619" s="23">
        <f t="shared" si="83"/>
        <v>170499</v>
      </c>
      <c r="B1619" s="14" t="str">
        <f t="shared" si="82"/>
        <v>Direct Debit (UMB Bank) - Credits</v>
      </c>
      <c r="C1619" s="37">
        <v>46146</v>
      </c>
      <c r="D1619" s="31">
        <v>170499</v>
      </c>
      <c r="E1619" s="33" t="str">
        <f>IF(Table3[[#This Row],[Type Received]]=2,"CC",(IF(Table3[[#This Row],[Type Received]]=3,"BILL","ACH")))</f>
        <v>ACH</v>
      </c>
      <c r="F1619" s="32">
        <v>46.24</v>
      </c>
      <c r="G1619" s="14" t="str">
        <f>VLOOKUP(D1619,Table4[],3,FALSE)</f>
        <v>2</v>
      </c>
      <c r="H1619" s="15"/>
      <c r="I1619" s="15">
        <v>7284</v>
      </c>
      <c r="J1619" s="15" t="s">
        <v>28</v>
      </c>
      <c r="K1619" s="15">
        <v>561976498</v>
      </c>
      <c r="L1619" s="15" t="s">
        <v>29</v>
      </c>
      <c r="M1619" s="15" t="s">
        <v>29</v>
      </c>
    </row>
    <row r="1620" spans="1:13" x14ac:dyDescent="0.25">
      <c r="A1620" s="23">
        <f t="shared" si="83"/>
        <v>170557</v>
      </c>
      <c r="B1620" s="14" t="str">
        <f t="shared" si="82"/>
        <v>Direct Debit (UMB Bank) - Credits</v>
      </c>
      <c r="C1620" s="38">
        <v>46144</v>
      </c>
      <c r="D1620" s="34">
        <v>170557</v>
      </c>
      <c r="E1620" s="36" t="str">
        <f>IF(Table3[[#This Row],[Type Received]]=2,"CC",(IF(Table3[[#This Row],[Type Received]]=3,"BILL","ACH")))</f>
        <v>ACH</v>
      </c>
      <c r="F1620" s="35">
        <v>28.84</v>
      </c>
      <c r="G1620" s="14" t="str">
        <f>VLOOKUP(D1620,Table4[],3,FALSE)</f>
        <v>1</v>
      </c>
      <c r="H1620" s="15"/>
      <c r="I1620" s="15"/>
      <c r="J1620" s="15" t="s">
        <v>89</v>
      </c>
      <c r="K1620" s="15">
        <v>535382906</v>
      </c>
      <c r="L1620" s="15" t="s">
        <v>29</v>
      </c>
      <c r="M1620" s="15" t="s">
        <v>29</v>
      </c>
    </row>
    <row r="1621" spans="1:13" x14ac:dyDescent="0.25">
      <c r="A1621" s="23">
        <f t="shared" si="83"/>
        <v>170584</v>
      </c>
      <c r="B1621" s="14" t="str">
        <f t="shared" si="82"/>
        <v>Direct Debit (UMB Bank) - Credits</v>
      </c>
      <c r="C1621" s="37">
        <v>46157</v>
      </c>
      <c r="D1621" s="31">
        <v>170584</v>
      </c>
      <c r="E1621" s="33" t="str">
        <f>IF(Table3[[#This Row],[Type Received]]=2,"CC",(IF(Table3[[#This Row],[Type Received]]=3,"BILL","ACH")))</f>
        <v>ACH</v>
      </c>
      <c r="F1621" s="32">
        <v>27.9</v>
      </c>
      <c r="G1621" s="14" t="str">
        <f>VLOOKUP(D1621,Table4[],3,FALSE)</f>
        <v>1</v>
      </c>
      <c r="H1621" s="15"/>
      <c r="I1621" s="15"/>
      <c r="J1621" s="15" t="s">
        <v>87</v>
      </c>
      <c r="K1621" s="15">
        <v>696716663</v>
      </c>
      <c r="L1621" s="15" t="s">
        <v>29</v>
      </c>
      <c r="M1621" s="15" t="s">
        <v>29</v>
      </c>
    </row>
    <row r="1622" spans="1:13" x14ac:dyDescent="0.25">
      <c r="A1622" s="23">
        <f t="shared" si="83"/>
        <v>170275</v>
      </c>
      <c r="B1622" s="14" t="str">
        <f t="shared" si="82"/>
        <v>Direct Debit (UMB Bank) - Credits</v>
      </c>
      <c r="C1622" s="38">
        <v>46157</v>
      </c>
      <c r="D1622" s="34">
        <v>170275</v>
      </c>
      <c r="E1622" s="36" t="str">
        <f>IF(Table3[[#This Row],[Type Received]]=2,"CC",(IF(Table3[[#This Row],[Type Received]]=3,"BILL","ACH")))</f>
        <v>ACH</v>
      </c>
      <c r="F1622" s="35">
        <v>35.799999999999997</v>
      </c>
      <c r="G1622" s="14" t="str">
        <f>VLOOKUP(D1622,Table4[],3,FALSE)</f>
        <v>2</v>
      </c>
      <c r="H1622" s="15"/>
      <c r="I1622" s="15"/>
      <c r="J1622" s="15" t="s">
        <v>87</v>
      </c>
      <c r="K1622" s="15">
        <v>696708916</v>
      </c>
      <c r="L1622" s="15" t="s">
        <v>29</v>
      </c>
      <c r="M1622" s="15" t="s">
        <v>29</v>
      </c>
    </row>
    <row r="1623" spans="1:13" x14ac:dyDescent="0.25">
      <c r="A1623" s="23">
        <f t="shared" si="83"/>
        <v>170392</v>
      </c>
      <c r="B1623" s="14" t="str">
        <f t="shared" si="82"/>
        <v>Direct Debit (UMB Bank) - Credits</v>
      </c>
      <c r="C1623" s="37">
        <v>46167</v>
      </c>
      <c r="D1623" s="31">
        <v>170392</v>
      </c>
      <c r="E1623" s="33" t="str">
        <f>IF(Table3[[#This Row],[Type Received]]=2,"CC",(IF(Table3[[#This Row],[Type Received]]=3,"BILL","ACH")))</f>
        <v>ACH</v>
      </c>
      <c r="F1623" s="32">
        <v>14.53</v>
      </c>
      <c r="G1623" s="14" t="str">
        <f>VLOOKUP(D1623,Table4[],3,FALSE)</f>
        <v>2</v>
      </c>
      <c r="H1623" s="15"/>
      <c r="I1623" s="15"/>
      <c r="J1623" s="24" t="s">
        <v>85</v>
      </c>
      <c r="K1623" s="15">
        <v>818362437</v>
      </c>
      <c r="L1623" s="15" t="s">
        <v>29</v>
      </c>
      <c r="M1623" s="15" t="s">
        <v>29</v>
      </c>
    </row>
    <row r="1624" spans="1:13" x14ac:dyDescent="0.25">
      <c r="A1624" s="23">
        <f t="shared" si="83"/>
        <v>170395</v>
      </c>
      <c r="B1624" s="14" t="str">
        <f t="shared" si="82"/>
        <v>Billing - Credits (from TPA)</v>
      </c>
      <c r="C1624" s="38">
        <v>46144</v>
      </c>
      <c r="D1624" s="34">
        <v>170395</v>
      </c>
      <c r="E1624" s="36" t="str">
        <f>IF(Table3[[#This Row],[Type Received]]=2,"CC",(IF(Table3[[#This Row],[Type Received]]=3,"BILL","ACH")))</f>
        <v>BILL</v>
      </c>
      <c r="F1624" s="35">
        <v>33.450000000000003</v>
      </c>
      <c r="G1624" s="14" t="str">
        <f>VLOOKUP(D1624,Table4[],3,FALSE)</f>
        <v>2</v>
      </c>
      <c r="H1624" s="15"/>
      <c r="I1624" s="15"/>
      <c r="J1624" s="24" t="s">
        <v>89</v>
      </c>
      <c r="K1624" s="15">
        <v>535391630</v>
      </c>
      <c r="L1624" s="15" t="s">
        <v>29</v>
      </c>
      <c r="M1624" s="15" t="s">
        <v>29</v>
      </c>
    </row>
    <row r="1625" spans="1:13" x14ac:dyDescent="0.25">
      <c r="A1625" s="23">
        <f t="shared" si="83"/>
        <v>170709</v>
      </c>
      <c r="B1625" s="14" t="str">
        <f t="shared" si="82"/>
        <v>Direct Debit (UMB Bank) - Credits</v>
      </c>
      <c r="C1625" s="37">
        <v>46146</v>
      </c>
      <c r="D1625" s="31">
        <v>170709</v>
      </c>
      <c r="E1625" s="33" t="str">
        <f>IF(Table3[[#This Row],[Type Received]]=2,"CC",(IF(Table3[[#This Row],[Type Received]]=3,"BILL","ACH")))</f>
        <v>ACH</v>
      </c>
      <c r="F1625" s="32">
        <v>275.02999999999997</v>
      </c>
      <c r="G1625" s="14" t="str">
        <f>VLOOKUP(D1625,Table4[],3,FALSE)</f>
        <v>1</v>
      </c>
      <c r="H1625" s="15">
        <v>234</v>
      </c>
      <c r="I1625" s="15"/>
      <c r="J1625" s="15"/>
      <c r="K1625" s="15"/>
      <c r="L1625" s="15"/>
      <c r="M1625" s="15" t="s">
        <v>29</v>
      </c>
    </row>
    <row r="1626" spans="1:13" x14ac:dyDescent="0.25">
      <c r="A1626" s="23">
        <f t="shared" si="83"/>
        <v>171230</v>
      </c>
      <c r="B1626" s="14" t="str">
        <f t="shared" si="82"/>
        <v>Credit Cards (UMB) - Credits</v>
      </c>
      <c r="C1626" s="38">
        <v>46157</v>
      </c>
      <c r="D1626" s="34">
        <v>171230</v>
      </c>
      <c r="E1626" s="36" t="str">
        <f>IF(Table3[[#This Row],[Type Received]]=2,"CC",(IF(Table3[[#This Row],[Type Received]]=3,"BILL","ACH")))</f>
        <v>CC</v>
      </c>
      <c r="F1626" s="35">
        <v>37.200000000000003</v>
      </c>
      <c r="G1626" s="14" t="str">
        <f>VLOOKUP(D1626,Table4[],3,FALSE)</f>
        <v>1</v>
      </c>
      <c r="H1626" s="15"/>
      <c r="I1626" s="15"/>
      <c r="J1626" s="15" t="s">
        <v>87</v>
      </c>
      <c r="K1626" s="15">
        <v>696712725</v>
      </c>
      <c r="L1626" s="15" t="s">
        <v>29</v>
      </c>
      <c r="M1626" s="15" t="s">
        <v>29</v>
      </c>
    </row>
    <row r="1627" spans="1:13" x14ac:dyDescent="0.25">
      <c r="A1627" s="23">
        <f t="shared" si="83"/>
        <v>171233</v>
      </c>
      <c r="B1627" s="14" t="str">
        <f t="shared" si="82"/>
        <v>Billing - Credits (from TPA)</v>
      </c>
      <c r="C1627" s="37">
        <v>46157</v>
      </c>
      <c r="D1627" s="31">
        <v>171233</v>
      </c>
      <c r="E1627" s="33" t="str">
        <f>IF(Table3[[#This Row],[Type Received]]=2,"CC",(IF(Table3[[#This Row],[Type Received]]=3,"BILL","ACH")))</f>
        <v>BILL</v>
      </c>
      <c r="F1627" s="32">
        <v>99.66</v>
      </c>
      <c r="G1627" s="14" t="str">
        <f>VLOOKUP(D1627,Table4[],3,FALSE)</f>
        <v>2</v>
      </c>
      <c r="H1627" s="15"/>
      <c r="I1627" s="15">
        <v>185381</v>
      </c>
      <c r="J1627" s="15" t="s">
        <v>28</v>
      </c>
      <c r="K1627" s="15">
        <v>696723366</v>
      </c>
      <c r="L1627" s="15" t="s">
        <v>29</v>
      </c>
      <c r="M1627" s="15" t="s">
        <v>29</v>
      </c>
    </row>
    <row r="1628" spans="1:13" x14ac:dyDescent="0.25">
      <c r="A1628" s="23">
        <f t="shared" si="83"/>
        <v>171296</v>
      </c>
      <c r="B1628" s="14" t="str">
        <f t="shared" si="82"/>
        <v>Credit Cards (UMB) - Credits</v>
      </c>
      <c r="C1628" s="38">
        <v>46168</v>
      </c>
      <c r="D1628" s="34">
        <v>171296</v>
      </c>
      <c r="E1628" s="36" t="str">
        <f>IF(Table3[[#This Row],[Type Received]]=2,"CC",(IF(Table3[[#This Row],[Type Received]]=3,"BILL","ACH")))</f>
        <v>CC</v>
      </c>
      <c r="F1628" s="35">
        <v>29.56</v>
      </c>
      <c r="G1628" s="14" t="str">
        <f>VLOOKUP(D1628,Table4[],3,FALSE)</f>
        <v>1</v>
      </c>
      <c r="H1628" s="15">
        <v>2134</v>
      </c>
      <c r="I1628" s="15"/>
      <c r="J1628" s="15"/>
      <c r="K1628" s="15"/>
      <c r="L1628" s="15"/>
      <c r="M1628" s="15" t="s">
        <v>29</v>
      </c>
    </row>
    <row r="1629" spans="1:13" x14ac:dyDescent="0.25">
      <c r="A1629" s="23">
        <f t="shared" si="83"/>
        <v>171346</v>
      </c>
      <c r="B1629" s="14" t="str">
        <f t="shared" si="82"/>
        <v>Billing - Credits (from TPA)</v>
      </c>
      <c r="C1629" s="37">
        <v>46148</v>
      </c>
      <c r="D1629" s="31">
        <v>171346</v>
      </c>
      <c r="E1629" s="33" t="str">
        <f>IF(Table3[[#This Row],[Type Received]]=2,"CC",(IF(Table3[[#This Row],[Type Received]]=3,"BILL","ACH")))</f>
        <v>BILL</v>
      </c>
      <c r="F1629" s="32">
        <v>136.36000000000001</v>
      </c>
      <c r="G1629" s="14" t="str">
        <f>VLOOKUP(D1629,Table4[],3,FALSE)</f>
        <v>2</v>
      </c>
      <c r="H1629" s="15"/>
      <c r="I1629" s="15">
        <v>679742</v>
      </c>
      <c r="J1629" s="15" t="s">
        <v>28</v>
      </c>
      <c r="K1629" s="15">
        <v>581970357</v>
      </c>
      <c r="L1629" s="15" t="s">
        <v>29</v>
      </c>
      <c r="M1629" s="15"/>
    </row>
    <row r="1630" spans="1:13" x14ac:dyDescent="0.25">
      <c r="A1630" s="23">
        <f t="shared" si="83"/>
        <v>171013</v>
      </c>
      <c r="B1630" s="14" t="str">
        <f t="shared" si="82"/>
        <v>Billing - Credits (from TPA)</v>
      </c>
      <c r="C1630" s="38">
        <v>46146</v>
      </c>
      <c r="D1630" s="34">
        <v>171013</v>
      </c>
      <c r="E1630" s="36" t="str">
        <f>IF(Table3[[#This Row],[Type Received]]=2,"CC",(IF(Table3[[#This Row],[Type Received]]=3,"BILL","ACH")))</f>
        <v>BILL</v>
      </c>
      <c r="F1630" s="35">
        <v>288.83</v>
      </c>
      <c r="G1630" s="14" t="str">
        <f>VLOOKUP(D1630,Table4[],3,FALSE)</f>
        <v>1</v>
      </c>
      <c r="H1630" s="15">
        <v>468</v>
      </c>
      <c r="I1630" s="15"/>
      <c r="J1630" s="15"/>
      <c r="K1630" s="15"/>
      <c r="L1630" s="15"/>
      <c r="M1630" s="15" t="s">
        <v>29</v>
      </c>
    </row>
    <row r="1631" spans="1:13" x14ac:dyDescent="0.25">
      <c r="A1631" s="23">
        <f t="shared" si="83"/>
        <v>171414</v>
      </c>
      <c r="B1631" s="14" t="str">
        <f t="shared" si="82"/>
        <v>Billing - Credits (from TPA)</v>
      </c>
      <c r="C1631" s="37">
        <v>46169</v>
      </c>
      <c r="D1631" s="31">
        <v>171414</v>
      </c>
      <c r="E1631" s="33" t="str">
        <f>IF(Table3[[#This Row],[Type Received]]=2,"CC",(IF(Table3[[#This Row],[Type Received]]=3,"BILL","ACH")))</f>
        <v>BILL</v>
      </c>
      <c r="F1631" s="32">
        <v>31.96</v>
      </c>
      <c r="G1631" s="14" t="str">
        <f>VLOOKUP(D1631,Table4[],3,FALSE)</f>
        <v>1</v>
      </c>
      <c r="H1631" s="15">
        <v>2964</v>
      </c>
      <c r="I1631" s="15"/>
      <c r="J1631" s="15"/>
      <c r="K1631" s="15"/>
      <c r="L1631" s="15"/>
      <c r="M1631" s="15" t="s">
        <v>29</v>
      </c>
    </row>
    <row r="1632" spans="1:13" x14ac:dyDescent="0.25">
      <c r="A1632" s="23">
        <f t="shared" si="83"/>
        <v>171414</v>
      </c>
      <c r="B1632" s="14" t="str">
        <f t="shared" si="82"/>
        <v>Billing - Credits (from TPA)</v>
      </c>
      <c r="C1632" s="38">
        <v>46146</v>
      </c>
      <c r="D1632" s="34">
        <v>171414</v>
      </c>
      <c r="E1632" s="36" t="str">
        <f>IF(Table3[[#This Row],[Type Received]]=2,"CC",(IF(Table3[[#This Row],[Type Received]]=3,"BILL","ACH")))</f>
        <v>BILL</v>
      </c>
      <c r="F1632" s="35">
        <v>16.48</v>
      </c>
      <c r="G1632" s="14" t="str">
        <f>VLOOKUP(D1632,Table4[],3,FALSE)</f>
        <v>1</v>
      </c>
      <c r="H1632" s="15">
        <v>2916</v>
      </c>
      <c r="I1632" s="15"/>
      <c r="J1632" s="15"/>
      <c r="K1632" s="15"/>
      <c r="L1632" s="15"/>
      <c r="M1632" s="15" t="s">
        <v>29</v>
      </c>
    </row>
    <row r="1633" spans="1:13" x14ac:dyDescent="0.25">
      <c r="A1633" s="23">
        <f t="shared" si="83"/>
        <v>171476</v>
      </c>
      <c r="B1633" s="14" t="str">
        <f t="shared" si="82"/>
        <v>Direct Debit (UMB Bank) - Credits</v>
      </c>
      <c r="C1633" s="37">
        <v>46168</v>
      </c>
      <c r="D1633" s="31">
        <v>171476</v>
      </c>
      <c r="E1633" s="33" t="str">
        <f>IF(Table3[[#This Row],[Type Received]]=2,"CC",(IF(Table3[[#This Row],[Type Received]]=3,"BILL","ACH")))</f>
        <v>ACH</v>
      </c>
      <c r="F1633" s="32">
        <v>18.100000000000001</v>
      </c>
      <c r="G1633" s="14" t="str">
        <f>VLOOKUP(D1633,Table4[],3,FALSE)</f>
        <v>1</v>
      </c>
      <c r="H1633" s="15">
        <v>7385</v>
      </c>
      <c r="I1633" s="15"/>
      <c r="J1633" s="24"/>
      <c r="K1633" s="15"/>
      <c r="L1633" s="15"/>
      <c r="M1633" s="15" t="s">
        <v>29</v>
      </c>
    </row>
    <row r="1634" spans="1:13" x14ac:dyDescent="0.25">
      <c r="A1634" s="23">
        <f t="shared" si="83"/>
        <v>171934</v>
      </c>
      <c r="B1634" s="14" t="str">
        <f t="shared" si="82"/>
        <v>Credit Cards (UMB) - Credits</v>
      </c>
      <c r="C1634" s="38">
        <v>46157</v>
      </c>
      <c r="D1634" s="34">
        <v>171934</v>
      </c>
      <c r="E1634" s="36" t="str">
        <f>IF(Table3[[#This Row],[Type Received]]=2,"CC",(IF(Table3[[#This Row],[Type Received]]=3,"BILL","ACH")))</f>
        <v>CC</v>
      </c>
      <c r="F1634" s="35">
        <v>37.229999999999997</v>
      </c>
      <c r="G1634" s="14" t="str">
        <f>VLOOKUP(D1634,Table4[],3,FALSE)</f>
        <v>2</v>
      </c>
      <c r="H1634" s="15"/>
      <c r="I1634" s="15"/>
      <c r="J1634" s="15" t="s">
        <v>87</v>
      </c>
      <c r="K1634" s="15">
        <v>696708956</v>
      </c>
      <c r="L1634" s="15" t="s">
        <v>29</v>
      </c>
      <c r="M1634" s="15"/>
    </row>
    <row r="1635" spans="1:13" x14ac:dyDescent="0.25">
      <c r="A1635" s="23">
        <f t="shared" si="83"/>
        <v>171956</v>
      </c>
      <c r="B1635" s="14" t="str">
        <f t="shared" si="82"/>
        <v>Credit Cards (UMB) - Credits</v>
      </c>
      <c r="C1635" s="37">
        <v>46161</v>
      </c>
      <c r="D1635" s="31">
        <v>171956</v>
      </c>
      <c r="E1635" s="33" t="str">
        <f>IF(Table3[[#This Row],[Type Received]]=2,"CC",(IF(Table3[[#This Row],[Type Received]]=3,"BILL","ACH")))</f>
        <v>CC</v>
      </c>
      <c r="F1635" s="32">
        <v>78.28</v>
      </c>
      <c r="G1635" s="14" t="str">
        <f>VLOOKUP(D1635,Table4[],3,FALSE)</f>
        <v>2</v>
      </c>
      <c r="H1635" s="15"/>
      <c r="I1635" s="15">
        <v>19168</v>
      </c>
      <c r="J1635" s="15" t="s">
        <v>28</v>
      </c>
      <c r="K1635" s="15">
        <v>749910001</v>
      </c>
      <c r="L1635" s="15" t="s">
        <v>29</v>
      </c>
      <c r="M1635" s="15" t="s">
        <v>29</v>
      </c>
    </row>
    <row r="1636" spans="1:13" x14ac:dyDescent="0.25">
      <c r="A1636" s="23">
        <f t="shared" si="83"/>
        <v>172098</v>
      </c>
      <c r="B1636" s="14" t="str">
        <f t="shared" si="82"/>
        <v>Direct Debit (UMB Bank) - Credits</v>
      </c>
      <c r="C1636" s="38">
        <v>46155</v>
      </c>
      <c r="D1636" s="34">
        <v>172098</v>
      </c>
      <c r="E1636" s="36" t="str">
        <f>IF(Table3[[#This Row],[Type Received]]=2,"CC",(IF(Table3[[#This Row],[Type Received]]=3,"BILL","ACH")))</f>
        <v>ACH</v>
      </c>
      <c r="F1636" s="35">
        <v>26.76</v>
      </c>
      <c r="G1636" s="14" t="str">
        <f>VLOOKUP(D1636,Table4[],3,FALSE)</f>
        <v>2</v>
      </c>
      <c r="H1636" s="15"/>
      <c r="I1636" s="15" t="s">
        <v>227</v>
      </c>
      <c r="J1636" s="15" t="s">
        <v>28</v>
      </c>
      <c r="K1636" s="15">
        <v>669488588</v>
      </c>
      <c r="L1636" s="15" t="s">
        <v>29</v>
      </c>
      <c r="M1636" s="15" t="s">
        <v>29</v>
      </c>
    </row>
    <row r="1637" spans="1:13" x14ac:dyDescent="0.25">
      <c r="A1637" s="23">
        <f t="shared" si="83"/>
        <v>172121</v>
      </c>
      <c r="B1637" s="14" t="str">
        <f t="shared" si="82"/>
        <v>Direct Debit (UMB Bank) - Credits</v>
      </c>
      <c r="C1637" s="37">
        <v>46167</v>
      </c>
      <c r="D1637" s="31">
        <v>172121</v>
      </c>
      <c r="E1637" s="33" t="str">
        <f>IF(Table3[[#This Row],[Type Received]]=2,"CC",(IF(Table3[[#This Row],[Type Received]]=3,"BILL","ACH")))</f>
        <v>ACH</v>
      </c>
      <c r="F1637" s="32">
        <v>9.18</v>
      </c>
      <c r="G1637" s="14" t="str">
        <f>VLOOKUP(D1637,Table4[],3,FALSE)</f>
        <v>1</v>
      </c>
      <c r="H1637" s="15"/>
      <c r="I1637" s="15"/>
      <c r="J1637" s="15" t="s">
        <v>85</v>
      </c>
      <c r="K1637" s="15">
        <v>818345061</v>
      </c>
      <c r="L1637" s="15" t="s">
        <v>29</v>
      </c>
      <c r="M1637" s="15" t="s">
        <v>29</v>
      </c>
    </row>
    <row r="1638" spans="1:13" x14ac:dyDescent="0.25">
      <c r="A1638" s="23">
        <f t="shared" ref="A1638:A1669" si="84">D1638</f>
        <v>172122</v>
      </c>
      <c r="B1638" s="14" t="str">
        <f t="shared" si="82"/>
        <v>Direct Debit (UMB Bank) - Credits</v>
      </c>
      <c r="C1638" s="38">
        <v>46150</v>
      </c>
      <c r="D1638" s="34">
        <v>172122</v>
      </c>
      <c r="E1638" s="36" t="str">
        <f>IF(Table3[[#This Row],[Type Received]]=2,"CC",(IF(Table3[[#This Row],[Type Received]]=3,"BILL","ACH")))</f>
        <v>ACH</v>
      </c>
      <c r="F1638" s="35">
        <v>10.02</v>
      </c>
      <c r="G1638" s="14" t="str">
        <f>VLOOKUP(D1638,Table4[],3,FALSE)</f>
        <v>1</v>
      </c>
      <c r="H1638" s="15"/>
      <c r="I1638" s="15"/>
      <c r="J1638" s="24" t="s">
        <v>104</v>
      </c>
      <c r="K1638" s="15">
        <v>608663284</v>
      </c>
      <c r="L1638" s="15" t="s">
        <v>29</v>
      </c>
      <c r="M1638" s="15" t="s">
        <v>29</v>
      </c>
    </row>
    <row r="1639" spans="1:13" x14ac:dyDescent="0.25">
      <c r="A1639" s="23">
        <f t="shared" si="84"/>
        <v>172122</v>
      </c>
      <c r="B1639" s="14" t="str">
        <f t="shared" si="82"/>
        <v>Billing - Credits (from TPA)</v>
      </c>
      <c r="C1639" s="37">
        <v>46144</v>
      </c>
      <c r="D1639" s="31">
        <v>172122</v>
      </c>
      <c r="E1639" s="33" t="str">
        <f>IF(Table3[[#This Row],[Type Received]]=2,"CC",(IF(Table3[[#This Row],[Type Received]]=3,"BILL","ACH")))</f>
        <v>BILL</v>
      </c>
      <c r="F1639" s="32">
        <v>10.02</v>
      </c>
      <c r="G1639" s="14" t="str">
        <f>VLOOKUP(D1639,Table4[],3,FALSE)</f>
        <v>1</v>
      </c>
      <c r="H1639" s="15"/>
      <c r="I1639" s="15"/>
      <c r="J1639" s="15" t="s">
        <v>89</v>
      </c>
      <c r="K1639" s="15">
        <v>535377098</v>
      </c>
      <c r="L1639" s="15" t="s">
        <v>29</v>
      </c>
      <c r="M1639" s="15" t="s">
        <v>29</v>
      </c>
    </row>
    <row r="1640" spans="1:13" x14ac:dyDescent="0.25">
      <c r="A1640" s="23">
        <f t="shared" si="84"/>
        <v>172135</v>
      </c>
      <c r="B1640" s="14" t="str">
        <f t="shared" si="82"/>
        <v>Credit Cards (UMB) - Credits</v>
      </c>
      <c r="C1640" s="38">
        <v>46147</v>
      </c>
      <c r="D1640" s="34">
        <v>172135</v>
      </c>
      <c r="E1640" s="36" t="str">
        <f>IF(Table3[[#This Row],[Type Received]]=2,"CC",(IF(Table3[[#This Row],[Type Received]]=3,"BILL","ACH")))</f>
        <v>CC</v>
      </c>
      <c r="F1640" s="35">
        <v>17.559999999999999</v>
      </c>
      <c r="G1640" s="14" t="str">
        <f>VLOOKUP(D1640,Table4[],3,FALSE)</f>
        <v>1</v>
      </c>
      <c r="H1640" s="15">
        <v>57701462</v>
      </c>
      <c r="I1640" s="15"/>
      <c r="J1640" s="15"/>
      <c r="K1640" s="15"/>
      <c r="L1640" s="15"/>
      <c r="M1640" s="15" t="s">
        <v>29</v>
      </c>
    </row>
    <row r="1641" spans="1:13" x14ac:dyDescent="0.25">
      <c r="A1641" s="23">
        <f t="shared" si="84"/>
        <v>172146</v>
      </c>
      <c r="B1641" s="14" t="str">
        <f t="shared" si="82"/>
        <v>Direct Debit (UMB Bank) - Credits</v>
      </c>
      <c r="C1641" s="37">
        <v>46143</v>
      </c>
      <c r="D1641" s="31">
        <v>172146</v>
      </c>
      <c r="E1641" s="33" t="str">
        <f>IF(Table3[[#This Row],[Type Received]]=2,"CC",(IF(Table3[[#This Row],[Type Received]]=3,"BILL","ACH")))</f>
        <v>ACH</v>
      </c>
      <c r="F1641" s="32">
        <v>227.62</v>
      </c>
      <c r="G1641" s="14" t="str">
        <f>VLOOKUP(D1641,Table4[],3,FALSE)</f>
        <v>2</v>
      </c>
      <c r="H1641" s="15"/>
      <c r="I1641" s="15">
        <v>767567</v>
      </c>
      <c r="J1641" s="24" t="s">
        <v>28</v>
      </c>
      <c r="K1641" s="15">
        <v>523125724</v>
      </c>
      <c r="L1641" s="15" t="s">
        <v>29</v>
      </c>
      <c r="M1641" s="15" t="s">
        <v>29</v>
      </c>
    </row>
    <row r="1642" spans="1:13" x14ac:dyDescent="0.25">
      <c r="A1642" s="23">
        <f t="shared" si="84"/>
        <v>172190</v>
      </c>
      <c r="B1642" s="14" t="str">
        <f t="shared" si="82"/>
        <v>Direct Debit (UMB Bank) - Credits</v>
      </c>
      <c r="C1642" s="38">
        <v>46155</v>
      </c>
      <c r="D1642" s="34">
        <v>172190</v>
      </c>
      <c r="E1642" s="36" t="str">
        <f>IF(Table3[[#This Row],[Type Received]]=2,"CC",(IF(Table3[[#This Row],[Type Received]]=3,"BILL","ACH")))</f>
        <v>ACH</v>
      </c>
      <c r="F1642" s="35">
        <v>18.64</v>
      </c>
      <c r="G1642" s="14" t="str">
        <f>VLOOKUP(D1642,Table4[],3,FALSE)</f>
        <v>1</v>
      </c>
      <c r="H1642" s="15"/>
      <c r="I1642" s="15"/>
      <c r="J1642" s="24" t="s">
        <v>90</v>
      </c>
      <c r="K1642" s="15">
        <v>669494505</v>
      </c>
      <c r="L1642" s="15" t="s">
        <v>29</v>
      </c>
      <c r="M1642" s="15" t="s">
        <v>29</v>
      </c>
    </row>
    <row r="1643" spans="1:13" x14ac:dyDescent="0.25">
      <c r="A1643" s="23">
        <f t="shared" si="84"/>
        <v>171623</v>
      </c>
      <c r="B1643" s="14" t="str">
        <f t="shared" si="82"/>
        <v>Direct Debit (UMB Bank) - Credits</v>
      </c>
      <c r="C1643" s="37">
        <v>46167</v>
      </c>
      <c r="D1643" s="31">
        <v>171623</v>
      </c>
      <c r="E1643" s="33" t="str">
        <f>IF(Table3[[#This Row],[Type Received]]=2,"CC",(IF(Table3[[#This Row],[Type Received]]=3,"BILL","ACH")))</f>
        <v>ACH</v>
      </c>
      <c r="F1643" s="32">
        <v>25.56</v>
      </c>
      <c r="G1643" s="14" t="str">
        <f>VLOOKUP(D1643,Table4[],3,FALSE)</f>
        <v>2</v>
      </c>
      <c r="H1643" s="15"/>
      <c r="I1643" s="15"/>
      <c r="J1643" s="15" t="s">
        <v>85</v>
      </c>
      <c r="K1643" s="15">
        <v>818345943</v>
      </c>
      <c r="L1643" s="15" t="s">
        <v>29</v>
      </c>
      <c r="M1643" s="15" t="s">
        <v>29</v>
      </c>
    </row>
    <row r="1644" spans="1:13" x14ac:dyDescent="0.25">
      <c r="A1644" s="23">
        <f t="shared" si="84"/>
        <v>171626</v>
      </c>
      <c r="B1644" s="14" t="str">
        <f t="shared" si="82"/>
        <v>Credit Cards (UMB) - Credits</v>
      </c>
      <c r="C1644" s="38">
        <v>46157</v>
      </c>
      <c r="D1644" s="34">
        <v>171626</v>
      </c>
      <c r="E1644" s="36" t="str">
        <f>IF(Table3[[#This Row],[Type Received]]=2,"CC",(IF(Table3[[#This Row],[Type Received]]=3,"BILL","ACH")))</f>
        <v>CC</v>
      </c>
      <c r="F1644" s="35">
        <v>55.74</v>
      </c>
      <c r="G1644" s="14" t="str">
        <f>VLOOKUP(D1644,Table4[],3,FALSE)</f>
        <v>1</v>
      </c>
      <c r="H1644" s="15"/>
      <c r="I1644" s="15"/>
      <c r="J1644" s="15" t="s">
        <v>87</v>
      </c>
      <c r="K1644" s="15">
        <v>696712758</v>
      </c>
      <c r="L1644" s="15" t="s">
        <v>29</v>
      </c>
      <c r="M1644" s="15" t="s">
        <v>29</v>
      </c>
    </row>
    <row r="1645" spans="1:13" x14ac:dyDescent="0.25">
      <c r="A1645" s="23">
        <f t="shared" si="84"/>
        <v>171689</v>
      </c>
      <c r="B1645" s="14" t="str">
        <f t="shared" si="82"/>
        <v>Credit Cards (UMB) - Credits</v>
      </c>
      <c r="C1645" s="37">
        <v>46143</v>
      </c>
      <c r="D1645" s="31">
        <v>171689</v>
      </c>
      <c r="E1645" s="33" t="str">
        <f>IF(Table3[[#This Row],[Type Received]]=2,"CC",(IF(Table3[[#This Row],[Type Received]]=3,"BILL","ACH")))</f>
        <v>CC</v>
      </c>
      <c r="F1645" s="32">
        <v>58.24</v>
      </c>
      <c r="G1645" s="14" t="str">
        <f>VLOOKUP(D1645,Table4[],3,FALSE)</f>
        <v>2</v>
      </c>
      <c r="H1645" s="15"/>
      <c r="I1645" s="15" t="s">
        <v>228</v>
      </c>
      <c r="J1645" s="15">
        <v>741374152</v>
      </c>
      <c r="K1645" s="15">
        <v>353073244</v>
      </c>
      <c r="L1645" s="15"/>
      <c r="M1645" s="15" t="s">
        <v>29</v>
      </c>
    </row>
    <row r="1646" spans="1:13" x14ac:dyDescent="0.25">
      <c r="A1646" s="23">
        <f t="shared" si="84"/>
        <v>171778</v>
      </c>
      <c r="B1646" s="14" t="str">
        <f t="shared" si="82"/>
        <v>Billing - Credits (from TPA)</v>
      </c>
      <c r="C1646" s="38">
        <v>46155</v>
      </c>
      <c r="D1646" s="34">
        <v>171778</v>
      </c>
      <c r="E1646" s="36" t="str">
        <f>IF(Table3[[#This Row],[Type Received]]=2,"CC",(IF(Table3[[#This Row],[Type Received]]=3,"BILL","ACH")))</f>
        <v>BILL</v>
      </c>
      <c r="F1646" s="35">
        <v>20.43</v>
      </c>
      <c r="G1646" s="14" t="str">
        <f>VLOOKUP(D1646,Table4[],3,FALSE)</f>
        <v>2</v>
      </c>
      <c r="H1646" s="15"/>
      <c r="I1646" s="15" t="s">
        <v>229</v>
      </c>
      <c r="J1646" s="15" t="s">
        <v>28</v>
      </c>
      <c r="K1646" s="15">
        <v>669478901</v>
      </c>
      <c r="L1646" s="15" t="s">
        <v>29</v>
      </c>
      <c r="M1646" s="15" t="s">
        <v>29</v>
      </c>
    </row>
    <row r="1647" spans="1:13" x14ac:dyDescent="0.25">
      <c r="A1647" s="23">
        <f t="shared" si="84"/>
        <v>172236</v>
      </c>
      <c r="B1647" s="14" t="str">
        <f t="shared" si="82"/>
        <v>Direct Debit (UMB Bank) - Credits</v>
      </c>
      <c r="C1647" s="37">
        <v>46147</v>
      </c>
      <c r="D1647" s="31">
        <v>172236</v>
      </c>
      <c r="E1647" s="33" t="str">
        <f>IF(Table3[[#This Row],[Type Received]]=2,"CC",(IF(Table3[[#This Row],[Type Received]]=3,"BILL","ACH")))</f>
        <v>ACH</v>
      </c>
      <c r="F1647" s="32">
        <v>15.76</v>
      </c>
      <c r="G1647" s="14" t="str">
        <f>VLOOKUP(D1647,Table4[],3,FALSE)</f>
        <v>1</v>
      </c>
      <c r="H1647" s="15">
        <v>4919</v>
      </c>
      <c r="I1647" s="15"/>
      <c r="J1647" s="15"/>
      <c r="K1647" s="15"/>
      <c r="L1647" s="15"/>
      <c r="M1647" s="15" t="s">
        <v>29</v>
      </c>
    </row>
    <row r="1648" spans="1:13" x14ac:dyDescent="0.25">
      <c r="A1648" s="23">
        <f t="shared" si="84"/>
        <v>172256</v>
      </c>
      <c r="B1648" s="14" t="str">
        <f t="shared" si="82"/>
        <v>Credit Cards (UMB) - Credits</v>
      </c>
      <c r="C1648" s="38">
        <v>46157</v>
      </c>
      <c r="D1648" s="34">
        <v>172256</v>
      </c>
      <c r="E1648" s="36" t="str">
        <f>IF(Table3[[#This Row],[Type Received]]=2,"CC",(IF(Table3[[#This Row],[Type Received]]=3,"BILL","ACH")))</f>
        <v>CC</v>
      </c>
      <c r="F1648" s="35">
        <v>26.64</v>
      </c>
      <c r="G1648" s="14" t="str">
        <f>VLOOKUP(D1648,Table4[],3,FALSE)</f>
        <v>2</v>
      </c>
      <c r="H1648" s="15"/>
      <c r="I1648" s="15"/>
      <c r="J1648" s="15" t="s">
        <v>87</v>
      </c>
      <c r="K1648" s="15">
        <v>696722448</v>
      </c>
      <c r="L1648" s="15" t="s">
        <v>29</v>
      </c>
      <c r="M1648" s="15" t="s">
        <v>29</v>
      </c>
    </row>
    <row r="1649" spans="1:13" x14ac:dyDescent="0.25">
      <c r="A1649" s="23">
        <f t="shared" si="84"/>
        <v>172268</v>
      </c>
      <c r="B1649" s="14" t="str">
        <f t="shared" si="82"/>
        <v>Billing - Credits (from TPA)</v>
      </c>
      <c r="C1649" s="37">
        <v>46164</v>
      </c>
      <c r="D1649" s="31">
        <v>172268</v>
      </c>
      <c r="E1649" s="33" t="str">
        <f>IF(Table3[[#This Row],[Type Received]]=2,"CC",(IF(Table3[[#This Row],[Type Received]]=3,"BILL","ACH")))</f>
        <v>BILL</v>
      </c>
      <c r="F1649" s="32">
        <v>12.83</v>
      </c>
      <c r="G1649" s="14" t="str">
        <f>VLOOKUP(D1649,Table4[],3,FALSE)</f>
        <v>2</v>
      </c>
      <c r="H1649" s="15"/>
      <c r="I1649" s="15">
        <v>2935</v>
      </c>
      <c r="J1649" s="15" t="s">
        <v>28</v>
      </c>
      <c r="K1649" s="15">
        <v>785607825</v>
      </c>
      <c r="L1649" s="15" t="s">
        <v>29</v>
      </c>
      <c r="M1649" s="15" t="s">
        <v>29</v>
      </c>
    </row>
    <row r="1650" spans="1:13" x14ac:dyDescent="0.25">
      <c r="A1650" s="23">
        <f t="shared" si="84"/>
        <v>172297</v>
      </c>
      <c r="B1650" s="14" t="str">
        <f t="shared" si="82"/>
        <v>Credit Cards (UMB) - Credits</v>
      </c>
      <c r="C1650" s="38">
        <v>46170</v>
      </c>
      <c r="D1650" s="34">
        <v>172297</v>
      </c>
      <c r="E1650" s="36" t="str">
        <f>IF(Table3[[#This Row],[Type Received]]=2,"CC",(IF(Table3[[#This Row],[Type Received]]=3,"BILL","ACH")))</f>
        <v>CC</v>
      </c>
      <c r="F1650" s="35">
        <v>112.24</v>
      </c>
      <c r="G1650" s="14" t="str">
        <f>VLOOKUP(D1650,Table4[],3,FALSE)</f>
        <v>1</v>
      </c>
      <c r="H1650" s="15">
        <v>19837013419</v>
      </c>
      <c r="I1650" s="15"/>
      <c r="J1650" s="15"/>
      <c r="K1650" s="15"/>
      <c r="L1650" s="15"/>
      <c r="M1650" s="15" t="s">
        <v>29</v>
      </c>
    </row>
    <row r="1651" spans="1:13" x14ac:dyDescent="0.25">
      <c r="A1651" s="23">
        <f t="shared" si="84"/>
        <v>172385</v>
      </c>
      <c r="B1651" s="14" t="str">
        <f t="shared" si="82"/>
        <v>Billing - Credits (from TPA)</v>
      </c>
      <c r="C1651" s="37">
        <v>46149</v>
      </c>
      <c r="D1651" s="31">
        <v>172385</v>
      </c>
      <c r="E1651" s="33" t="str">
        <f>IF(Table3[[#This Row],[Type Received]]=2,"CC",(IF(Table3[[#This Row],[Type Received]]=3,"BILL","ACH")))</f>
        <v>BILL</v>
      </c>
      <c r="F1651" s="32">
        <v>15.94</v>
      </c>
      <c r="G1651" s="14" t="str">
        <f>VLOOKUP(D1651,Table4[],3,FALSE)</f>
        <v>1</v>
      </c>
      <c r="H1651" s="15"/>
      <c r="I1651" s="15">
        <v>192926</v>
      </c>
      <c r="J1651" s="15">
        <v>743273545</v>
      </c>
      <c r="K1651" s="15">
        <v>353788980</v>
      </c>
      <c r="L1651" s="15"/>
      <c r="M1651" s="15" t="s">
        <v>29</v>
      </c>
    </row>
    <row r="1652" spans="1:13" x14ac:dyDescent="0.25">
      <c r="A1652" s="23">
        <f t="shared" si="84"/>
        <v>172463</v>
      </c>
      <c r="B1652" s="14" t="str">
        <f t="shared" si="82"/>
        <v>Direct Debit (UMB Bank) - Credits</v>
      </c>
      <c r="C1652" s="38">
        <v>46171</v>
      </c>
      <c r="D1652" s="34">
        <v>172463</v>
      </c>
      <c r="E1652" s="36" t="str">
        <f>IF(Table3[[#This Row],[Type Received]]=2,"CC",(IF(Table3[[#This Row],[Type Received]]=3,"BILL","ACH")))</f>
        <v>ACH</v>
      </c>
      <c r="F1652" s="35">
        <v>183.34</v>
      </c>
      <c r="G1652" s="14" t="str">
        <f>VLOOKUP(D1652,Table4[],3,FALSE)</f>
        <v>2</v>
      </c>
      <c r="H1652" s="15">
        <v>1</v>
      </c>
      <c r="I1652" s="15"/>
      <c r="J1652" s="24"/>
      <c r="K1652" s="15"/>
      <c r="L1652" s="15"/>
      <c r="M1652" s="15" t="s">
        <v>29</v>
      </c>
    </row>
    <row r="1653" spans="1:13" x14ac:dyDescent="0.25">
      <c r="A1653" s="23">
        <f t="shared" si="84"/>
        <v>172503</v>
      </c>
      <c r="B1653" s="14" t="str">
        <f t="shared" si="82"/>
        <v>Direct Debit (UMB Bank) - Credits</v>
      </c>
      <c r="C1653" s="37">
        <v>46167</v>
      </c>
      <c r="D1653" s="31">
        <v>172503</v>
      </c>
      <c r="E1653" s="33" t="str">
        <f>IF(Table3[[#This Row],[Type Received]]=2,"CC",(IF(Table3[[#This Row],[Type Received]]=3,"BILL","ACH")))</f>
        <v>ACH</v>
      </c>
      <c r="F1653" s="32">
        <v>25.38</v>
      </c>
      <c r="G1653" s="14" t="str">
        <f>VLOOKUP(D1653,Table4[],3,FALSE)</f>
        <v>1</v>
      </c>
      <c r="H1653" s="15"/>
      <c r="I1653" s="15"/>
      <c r="J1653" s="15" t="s">
        <v>85</v>
      </c>
      <c r="K1653" s="15">
        <v>818347921</v>
      </c>
      <c r="L1653" s="15" t="s">
        <v>29</v>
      </c>
      <c r="M1653" s="15"/>
    </row>
    <row r="1654" spans="1:13" x14ac:dyDescent="0.25">
      <c r="A1654" s="23">
        <f t="shared" si="84"/>
        <v>172508</v>
      </c>
      <c r="B1654" s="14" t="str">
        <f t="shared" si="82"/>
        <v>Billing - Credits (from TPA)</v>
      </c>
      <c r="C1654" s="38">
        <v>46157</v>
      </c>
      <c r="D1654" s="34">
        <v>172508</v>
      </c>
      <c r="E1654" s="36" t="str">
        <f>IF(Table3[[#This Row],[Type Received]]=2,"CC",(IF(Table3[[#This Row],[Type Received]]=3,"BILL","ACH")))</f>
        <v>BILL</v>
      </c>
      <c r="F1654" s="35">
        <v>28.84</v>
      </c>
      <c r="G1654" s="14" t="str">
        <f>VLOOKUP(D1654,Table4[],3,FALSE)</f>
        <v>2</v>
      </c>
      <c r="H1654" s="15"/>
      <c r="I1654" s="15"/>
      <c r="J1654" s="24" t="s">
        <v>87</v>
      </c>
      <c r="K1654" s="15">
        <v>696708997</v>
      </c>
      <c r="L1654" s="15" t="s">
        <v>29</v>
      </c>
      <c r="M1654" s="15" t="s">
        <v>29</v>
      </c>
    </row>
    <row r="1655" spans="1:13" x14ac:dyDescent="0.25">
      <c r="A1655" s="23">
        <f t="shared" si="84"/>
        <v>172555</v>
      </c>
      <c r="B1655" s="14" t="str">
        <f t="shared" si="82"/>
        <v>Direct Debit (UMB Bank) - Credits</v>
      </c>
      <c r="C1655" s="37">
        <v>46147</v>
      </c>
      <c r="D1655" s="31">
        <v>172555</v>
      </c>
      <c r="E1655" s="33" t="str">
        <f>IF(Table3[[#This Row],[Type Received]]=2,"CC",(IF(Table3[[#This Row],[Type Received]]=3,"BILL","ACH")))</f>
        <v>ACH</v>
      </c>
      <c r="F1655" s="32">
        <v>97.72</v>
      </c>
      <c r="G1655" s="14" t="str">
        <f>VLOOKUP(D1655,Table4[],3,FALSE)</f>
        <v>2</v>
      </c>
      <c r="H1655" s="15">
        <v>3093</v>
      </c>
      <c r="I1655" s="15"/>
      <c r="J1655" s="15"/>
      <c r="K1655" s="15"/>
      <c r="L1655" s="15"/>
      <c r="M1655" s="15" t="s">
        <v>29</v>
      </c>
    </row>
    <row r="1656" spans="1:13" x14ac:dyDescent="0.25">
      <c r="A1656" s="23">
        <f t="shared" si="84"/>
        <v>172815</v>
      </c>
      <c r="B1656" s="14" t="str">
        <f t="shared" si="82"/>
        <v>Credit Cards (UMB) - Credits</v>
      </c>
      <c r="C1656" s="38">
        <v>46156</v>
      </c>
      <c r="D1656" s="34">
        <v>172815</v>
      </c>
      <c r="E1656" s="36" t="str">
        <f>IF(Table3[[#This Row],[Type Received]]=2,"CC",(IF(Table3[[#This Row],[Type Received]]=3,"BILL","ACH")))</f>
        <v>CC</v>
      </c>
      <c r="F1656" s="35">
        <v>68.34</v>
      </c>
      <c r="G1656" s="14" t="str">
        <f>VLOOKUP(D1656,Table4[],3,FALSE)</f>
        <v>2</v>
      </c>
      <c r="H1656" s="15"/>
      <c r="I1656" s="15"/>
      <c r="J1656" s="15" t="s">
        <v>93</v>
      </c>
      <c r="K1656" s="15">
        <v>682512914</v>
      </c>
      <c r="L1656" s="15" t="s">
        <v>29</v>
      </c>
      <c r="M1656" s="15" t="s">
        <v>29</v>
      </c>
    </row>
    <row r="1657" spans="1:13" x14ac:dyDescent="0.25">
      <c r="A1657" s="23">
        <f t="shared" si="84"/>
        <v>172867</v>
      </c>
      <c r="B1657" s="14" t="str">
        <f t="shared" si="82"/>
        <v>Direct Debit (UMB Bank) - Credits</v>
      </c>
      <c r="C1657" s="37">
        <v>46160</v>
      </c>
      <c r="D1657" s="31">
        <v>172867</v>
      </c>
      <c r="E1657" s="33" t="str">
        <f>IF(Table3[[#This Row],[Type Received]]=2,"CC",(IF(Table3[[#This Row],[Type Received]]=3,"BILL","ACH")))</f>
        <v>ACH</v>
      </c>
      <c r="F1657" s="32">
        <v>34.72</v>
      </c>
      <c r="G1657" s="14" t="str">
        <f>VLOOKUP(D1657,Table4[],3,FALSE)</f>
        <v>2</v>
      </c>
      <c r="H1657" s="15"/>
      <c r="I1657" s="15">
        <v>141418</v>
      </c>
      <c r="J1657" s="15">
        <v>746573029</v>
      </c>
      <c r="K1657" s="15">
        <v>355068868</v>
      </c>
      <c r="L1657" s="15"/>
      <c r="M1657" s="15" t="s">
        <v>29</v>
      </c>
    </row>
    <row r="1658" spans="1:13" x14ac:dyDescent="0.25">
      <c r="A1658" s="23">
        <f t="shared" si="84"/>
        <v>172902</v>
      </c>
      <c r="B1658" s="14" t="str">
        <f t="shared" si="82"/>
        <v>Direct Debit (UMB Bank) - Credits</v>
      </c>
      <c r="C1658" s="38">
        <v>46143</v>
      </c>
      <c r="D1658" s="34">
        <v>172902</v>
      </c>
      <c r="E1658" s="36" t="str">
        <f>IF(Table3[[#This Row],[Type Received]]=2,"CC",(IF(Table3[[#This Row],[Type Received]]=3,"BILL","ACH")))</f>
        <v>ACH</v>
      </c>
      <c r="F1658" s="35">
        <v>25.89</v>
      </c>
      <c r="G1658" s="14" t="str">
        <f>VLOOKUP(D1658,Table4[],3,FALSE)</f>
        <v>1</v>
      </c>
      <c r="H1658" s="15"/>
      <c r="I1658" s="15"/>
      <c r="J1658" s="15" t="s">
        <v>84</v>
      </c>
      <c r="K1658" s="15">
        <v>522226439</v>
      </c>
      <c r="L1658" s="15" t="s">
        <v>29</v>
      </c>
      <c r="M1658" s="15" t="s">
        <v>29</v>
      </c>
    </row>
    <row r="1659" spans="1:13" x14ac:dyDescent="0.25">
      <c r="A1659" s="23">
        <f t="shared" si="84"/>
        <v>172917</v>
      </c>
      <c r="B1659" s="14" t="str">
        <f t="shared" si="82"/>
        <v>Billing - Credits (from TPA)</v>
      </c>
      <c r="C1659" s="37">
        <v>46167</v>
      </c>
      <c r="D1659" s="31">
        <v>172917</v>
      </c>
      <c r="E1659" s="33" t="str">
        <f>IF(Table3[[#This Row],[Type Received]]=2,"CC",(IF(Table3[[#This Row],[Type Received]]=3,"BILL","ACH")))</f>
        <v>BILL</v>
      </c>
      <c r="F1659" s="32">
        <v>29.82</v>
      </c>
      <c r="G1659" s="14" t="str">
        <f>VLOOKUP(D1659,Table4[],3,FALSE)</f>
        <v>1</v>
      </c>
      <c r="H1659" s="15"/>
      <c r="I1659" s="15"/>
      <c r="J1659" s="15" t="s">
        <v>85</v>
      </c>
      <c r="K1659" s="15">
        <v>818368170</v>
      </c>
      <c r="L1659" s="15" t="s">
        <v>29</v>
      </c>
      <c r="M1659" s="15" t="s">
        <v>29</v>
      </c>
    </row>
    <row r="1660" spans="1:13" x14ac:dyDescent="0.25">
      <c r="A1660" s="23">
        <f t="shared" si="84"/>
        <v>172695</v>
      </c>
      <c r="B1660" s="14" t="str">
        <f t="shared" si="82"/>
        <v>Billing - Credits (from TPA)</v>
      </c>
      <c r="C1660" s="38">
        <v>46169</v>
      </c>
      <c r="D1660" s="34">
        <v>172695</v>
      </c>
      <c r="E1660" s="36" t="str">
        <f>IF(Table3[[#This Row],[Type Received]]=2,"CC",(IF(Table3[[#This Row],[Type Received]]=3,"BILL","ACH")))</f>
        <v>BILL</v>
      </c>
      <c r="F1660" s="35">
        <v>10.67</v>
      </c>
      <c r="G1660" s="14" t="str">
        <f>VLOOKUP(D1660,Table4[],3,FALSE)</f>
        <v>2</v>
      </c>
      <c r="H1660" s="15">
        <v>8692</v>
      </c>
      <c r="I1660" s="15"/>
      <c r="J1660" s="15"/>
      <c r="K1660" s="15"/>
      <c r="L1660" s="15"/>
      <c r="M1660" s="15" t="s">
        <v>29</v>
      </c>
    </row>
    <row r="1661" spans="1:13" x14ac:dyDescent="0.25">
      <c r="A1661" s="23">
        <f t="shared" si="84"/>
        <v>172695</v>
      </c>
      <c r="B1661" s="14" t="str">
        <f t="shared" si="82"/>
        <v>Direct Debit (UMB Bank) - Credits</v>
      </c>
      <c r="C1661" s="37">
        <v>46146</v>
      </c>
      <c r="D1661" s="31">
        <v>172695</v>
      </c>
      <c r="E1661" s="33" t="str">
        <f>IF(Table3[[#This Row],[Type Received]]=2,"CC",(IF(Table3[[#This Row],[Type Received]]=3,"BILL","ACH")))</f>
        <v>ACH</v>
      </c>
      <c r="F1661" s="32">
        <v>10.67</v>
      </c>
      <c r="G1661" s="14" t="str">
        <f>VLOOKUP(D1661,Table4[],3,FALSE)</f>
        <v>2</v>
      </c>
      <c r="H1661" s="15">
        <v>8672</v>
      </c>
      <c r="I1661" s="15"/>
      <c r="J1661" s="15"/>
      <c r="K1661" s="15"/>
      <c r="L1661" s="15"/>
      <c r="M1661" s="15" t="s">
        <v>29</v>
      </c>
    </row>
    <row r="1662" spans="1:13" x14ac:dyDescent="0.25">
      <c r="A1662" s="23">
        <f t="shared" si="84"/>
        <v>172712</v>
      </c>
      <c r="B1662" s="14" t="str">
        <f t="shared" si="82"/>
        <v>Billing - Credits (from TPA)</v>
      </c>
      <c r="C1662" s="38">
        <v>46144</v>
      </c>
      <c r="D1662" s="34">
        <v>172712</v>
      </c>
      <c r="E1662" s="36" t="str">
        <f>IF(Table3[[#This Row],[Type Received]]=2,"CC",(IF(Table3[[#This Row],[Type Received]]=3,"BILL","ACH")))</f>
        <v>BILL</v>
      </c>
      <c r="F1662" s="35">
        <v>17.100000000000001</v>
      </c>
      <c r="G1662" s="14" t="str">
        <f>VLOOKUP(D1662,Table4[],3,FALSE)</f>
        <v>1</v>
      </c>
      <c r="H1662" s="15"/>
      <c r="I1662" s="15"/>
      <c r="J1662" s="15" t="s">
        <v>89</v>
      </c>
      <c r="K1662" s="15">
        <v>535380985</v>
      </c>
      <c r="L1662" s="15" t="s">
        <v>29</v>
      </c>
      <c r="M1662" s="15" t="s">
        <v>29</v>
      </c>
    </row>
    <row r="1663" spans="1:13" x14ac:dyDescent="0.25">
      <c r="A1663" s="23">
        <f t="shared" si="84"/>
        <v>172724</v>
      </c>
      <c r="B1663" s="14" t="str">
        <f t="shared" si="82"/>
        <v>Direct Debit (UMB Bank) - Credits</v>
      </c>
      <c r="C1663" s="37">
        <v>46148</v>
      </c>
      <c r="D1663" s="31">
        <v>172724</v>
      </c>
      <c r="E1663" s="33" t="str">
        <f>IF(Table3[[#This Row],[Type Received]]=2,"CC",(IF(Table3[[#This Row],[Type Received]]=3,"BILL","ACH")))</f>
        <v>ACH</v>
      </c>
      <c r="F1663" s="32">
        <v>48.82</v>
      </c>
      <c r="G1663" s="14" t="str">
        <f>VLOOKUP(D1663,Table4[],3,FALSE)</f>
        <v>1</v>
      </c>
      <c r="H1663" s="15">
        <v>1485</v>
      </c>
      <c r="I1663" s="15"/>
      <c r="J1663" s="15"/>
      <c r="K1663" s="15"/>
      <c r="L1663" s="15"/>
      <c r="M1663" s="15"/>
    </row>
    <row r="1664" spans="1:13" x14ac:dyDescent="0.25">
      <c r="A1664" s="23">
        <f t="shared" si="84"/>
        <v>173020</v>
      </c>
      <c r="B1664" s="14" t="str">
        <f t="shared" si="82"/>
        <v>Direct Debit (UMB Bank) - Credits</v>
      </c>
      <c r="C1664" s="38">
        <v>46157</v>
      </c>
      <c r="D1664" s="34">
        <v>173020</v>
      </c>
      <c r="E1664" s="36" t="str">
        <f>IF(Table3[[#This Row],[Type Received]]=2,"CC",(IF(Table3[[#This Row],[Type Received]]=3,"BILL","ACH")))</f>
        <v>ACH</v>
      </c>
      <c r="F1664" s="35">
        <v>20.7</v>
      </c>
      <c r="G1664" s="14" t="str">
        <f>VLOOKUP(D1664,Table4[],3,FALSE)</f>
        <v>1</v>
      </c>
      <c r="H1664" s="15"/>
      <c r="I1664" s="15"/>
      <c r="J1664" s="15" t="s">
        <v>87</v>
      </c>
      <c r="K1664" s="15">
        <v>696711787</v>
      </c>
      <c r="L1664" s="15" t="s">
        <v>29</v>
      </c>
      <c r="M1664" s="15"/>
    </row>
    <row r="1665" spans="1:13" x14ac:dyDescent="0.25">
      <c r="A1665" s="23">
        <f t="shared" si="84"/>
        <v>173493</v>
      </c>
      <c r="B1665" s="14" t="str">
        <f t="shared" si="82"/>
        <v>Credit Cards (UMB) - Credits</v>
      </c>
      <c r="C1665" s="37">
        <v>46157</v>
      </c>
      <c r="D1665" s="31">
        <v>173493</v>
      </c>
      <c r="E1665" s="33" t="str">
        <f>IF(Table3[[#This Row],[Type Received]]=2,"CC",(IF(Table3[[#This Row],[Type Received]]=3,"BILL","ACH")))</f>
        <v>CC</v>
      </c>
      <c r="F1665" s="32">
        <v>28.8</v>
      </c>
      <c r="G1665" s="14" t="str">
        <f>VLOOKUP(D1665,Table4[],3,FALSE)</f>
        <v>2</v>
      </c>
      <c r="H1665" s="15"/>
      <c r="I1665" s="15"/>
      <c r="J1665" s="15" t="s">
        <v>87</v>
      </c>
      <c r="K1665" s="15">
        <v>696715808</v>
      </c>
      <c r="L1665" s="15" t="s">
        <v>29</v>
      </c>
      <c r="M1665" s="15" t="s">
        <v>29</v>
      </c>
    </row>
    <row r="1666" spans="1:13" x14ac:dyDescent="0.25">
      <c r="A1666" s="23">
        <f t="shared" si="84"/>
        <v>173614</v>
      </c>
      <c r="B1666" s="14" t="str">
        <f t="shared" ref="B1666:B1729" si="85">IF(AND(E1666="BILL",F1666&lt;0),"Billing &amp; Direct Debit - Refunds",(IF(AND(E1666="BILL",F1666&gt;0),"Billing - Credits (from TPA)",(IF(AND(E1666="CC",F1666&lt;0),"Credit Cards (UMB) - Refunds",(IF(AND(E1666="CC",F1666&gt;0),"Credit Cards (UMB) - Credits",(IF(AND(E1666="ACH",F1666&gt;0),"Direct Debit (UMB Bank) - Credits","Direct Debit (UMB Bank) - Returned Items")))))))))</f>
        <v>Direct Debit (UMB Bank) - Credits</v>
      </c>
      <c r="C1666" s="38">
        <v>46155</v>
      </c>
      <c r="D1666" s="34">
        <v>173614</v>
      </c>
      <c r="E1666" s="36" t="str">
        <f>IF(Table3[[#This Row],[Type Received]]=2,"CC",(IF(Table3[[#This Row],[Type Received]]=3,"BILL","ACH")))</f>
        <v>ACH</v>
      </c>
      <c r="F1666" s="35">
        <v>26.1</v>
      </c>
      <c r="G1666" s="14" t="str">
        <f>VLOOKUP(D1666,Table4[],3,FALSE)</f>
        <v>1</v>
      </c>
      <c r="H1666" s="15"/>
      <c r="I1666" s="15" t="s">
        <v>230</v>
      </c>
      <c r="J1666" s="15" t="s">
        <v>28</v>
      </c>
      <c r="K1666" s="15">
        <v>669478914</v>
      </c>
      <c r="L1666" s="15" t="s">
        <v>29</v>
      </c>
      <c r="M1666" s="15"/>
    </row>
    <row r="1667" spans="1:13" x14ac:dyDescent="0.25">
      <c r="A1667" s="23">
        <f t="shared" si="84"/>
        <v>173762</v>
      </c>
      <c r="B1667" s="14" t="str">
        <f t="shared" si="85"/>
        <v>Direct Debit (UMB Bank) - Credits</v>
      </c>
      <c r="C1667" s="37">
        <v>46143</v>
      </c>
      <c r="D1667" s="31">
        <v>173762</v>
      </c>
      <c r="E1667" s="33" t="str">
        <f>IF(Table3[[#This Row],[Type Received]]=2,"CC",(IF(Table3[[#This Row],[Type Received]]=3,"BILL","ACH")))</f>
        <v>ACH</v>
      </c>
      <c r="F1667" s="32">
        <v>11.34</v>
      </c>
      <c r="G1667" s="14" t="str">
        <f>VLOOKUP(D1667,Table4[],3,FALSE)</f>
        <v>1</v>
      </c>
      <c r="H1667" s="15"/>
      <c r="I1667" s="15"/>
      <c r="J1667" s="15" t="s">
        <v>84</v>
      </c>
      <c r="K1667" s="15">
        <v>522437230</v>
      </c>
      <c r="L1667" s="15" t="s">
        <v>29</v>
      </c>
      <c r="M1667" s="15" t="s">
        <v>29</v>
      </c>
    </row>
    <row r="1668" spans="1:13" x14ac:dyDescent="0.25">
      <c r="A1668" s="23">
        <f t="shared" si="84"/>
        <v>173796</v>
      </c>
      <c r="B1668" s="14" t="str">
        <f t="shared" si="85"/>
        <v>Direct Debit (UMB Bank) - Credits</v>
      </c>
      <c r="C1668" s="38">
        <v>46144</v>
      </c>
      <c r="D1668" s="34">
        <v>173796</v>
      </c>
      <c r="E1668" s="36" t="str">
        <f>IF(Table3[[#This Row],[Type Received]]=2,"CC",(IF(Table3[[#This Row],[Type Received]]=3,"BILL","ACH")))</f>
        <v>ACH</v>
      </c>
      <c r="F1668" s="35">
        <v>45.66</v>
      </c>
      <c r="G1668" s="14" t="str">
        <f>VLOOKUP(D1668,Table4[],3,FALSE)</f>
        <v>2</v>
      </c>
      <c r="H1668" s="15"/>
      <c r="I1668" s="15"/>
      <c r="J1668" s="15" t="s">
        <v>89</v>
      </c>
      <c r="K1668" s="15">
        <v>535380994</v>
      </c>
      <c r="L1668" s="15" t="s">
        <v>29</v>
      </c>
      <c r="M1668" s="15" t="s">
        <v>29</v>
      </c>
    </row>
    <row r="1669" spans="1:13" x14ac:dyDescent="0.25">
      <c r="A1669" s="23">
        <f t="shared" si="84"/>
        <v>173974</v>
      </c>
      <c r="B1669" s="14" t="str">
        <f t="shared" si="85"/>
        <v>Billing - Credits (from TPA)</v>
      </c>
      <c r="C1669" s="37">
        <v>46143</v>
      </c>
      <c r="D1669" s="31">
        <v>173974</v>
      </c>
      <c r="E1669" s="33" t="str">
        <f>IF(Table3[[#This Row],[Type Received]]=2,"CC",(IF(Table3[[#This Row],[Type Received]]=3,"BILL","ACH")))</f>
        <v>BILL</v>
      </c>
      <c r="F1669" s="32">
        <v>64.98</v>
      </c>
      <c r="G1669" s="14" t="str">
        <f>VLOOKUP(D1669,Table4[],3,FALSE)</f>
        <v>1</v>
      </c>
      <c r="H1669" s="15"/>
      <c r="I1669" s="15"/>
      <c r="J1669" s="15" t="s">
        <v>84</v>
      </c>
      <c r="K1669" s="15">
        <v>522412856</v>
      </c>
      <c r="L1669" s="15" t="s">
        <v>29</v>
      </c>
      <c r="M1669" s="15" t="s">
        <v>29</v>
      </c>
    </row>
    <row r="1670" spans="1:13" x14ac:dyDescent="0.25">
      <c r="A1670" s="23">
        <f t="shared" ref="A1670:A1703" si="86">D1670</f>
        <v>174115</v>
      </c>
      <c r="B1670" s="14" t="str">
        <f t="shared" si="85"/>
        <v>Direct Debit (UMB Bank) - Credits</v>
      </c>
      <c r="C1670" s="38">
        <v>46168</v>
      </c>
      <c r="D1670" s="34">
        <v>174115</v>
      </c>
      <c r="E1670" s="36" t="str">
        <f>IF(Table3[[#This Row],[Type Received]]=2,"CC",(IF(Table3[[#This Row],[Type Received]]=3,"BILL","ACH")))</f>
        <v>ACH</v>
      </c>
      <c r="F1670" s="35">
        <v>28</v>
      </c>
      <c r="G1670" s="14" t="str">
        <f>VLOOKUP(D1670,Table4[],3,FALSE)</f>
        <v>1</v>
      </c>
      <c r="H1670" s="15">
        <v>2821</v>
      </c>
      <c r="I1670" s="15"/>
      <c r="J1670" s="15"/>
      <c r="K1670" s="15"/>
      <c r="L1670" s="15"/>
      <c r="M1670" s="15" t="s">
        <v>29</v>
      </c>
    </row>
    <row r="1671" spans="1:13" x14ac:dyDescent="0.25">
      <c r="A1671" s="23">
        <f t="shared" si="86"/>
        <v>174247</v>
      </c>
      <c r="B1671" s="14" t="str">
        <f t="shared" si="85"/>
        <v>Billing - Credits (from TPA)</v>
      </c>
      <c r="C1671" s="37">
        <v>46144</v>
      </c>
      <c r="D1671" s="31">
        <v>174247</v>
      </c>
      <c r="E1671" s="33" t="str">
        <f>IF(Table3[[#This Row],[Type Received]]=2,"CC",(IF(Table3[[#This Row],[Type Received]]=3,"BILL","ACH")))</f>
        <v>BILL</v>
      </c>
      <c r="F1671" s="32">
        <v>11.7</v>
      </c>
      <c r="G1671" s="14" t="str">
        <f>VLOOKUP(D1671,Table4[],3,FALSE)</f>
        <v>1</v>
      </c>
      <c r="H1671" s="15"/>
      <c r="I1671" s="15"/>
      <c r="J1671" s="15" t="s">
        <v>89</v>
      </c>
      <c r="K1671" s="15">
        <v>535406157</v>
      </c>
      <c r="L1671" s="15" t="s">
        <v>29</v>
      </c>
      <c r="M1671" s="15" t="s">
        <v>29</v>
      </c>
    </row>
    <row r="1672" spans="1:13" x14ac:dyDescent="0.25">
      <c r="A1672" s="23">
        <f t="shared" si="86"/>
        <v>174341</v>
      </c>
      <c r="B1672" s="14" t="str">
        <f t="shared" si="85"/>
        <v>Direct Debit (UMB Bank) - Credits</v>
      </c>
      <c r="C1672" s="38">
        <v>46160</v>
      </c>
      <c r="D1672" s="34">
        <v>174341</v>
      </c>
      <c r="E1672" s="36" t="str">
        <f>IF(Table3[[#This Row],[Type Received]]=2,"CC",(IF(Table3[[#This Row],[Type Received]]=3,"BILL","ACH")))</f>
        <v>ACH</v>
      </c>
      <c r="F1672" s="35">
        <v>57.52</v>
      </c>
      <c r="G1672" s="14" t="str">
        <f>VLOOKUP(D1672,Table4[],3,FALSE)</f>
        <v>2</v>
      </c>
      <c r="H1672" s="15">
        <v>4490061592</v>
      </c>
      <c r="I1672" s="15"/>
      <c r="J1672" s="15"/>
      <c r="K1672" s="15"/>
      <c r="L1672" s="15"/>
      <c r="M1672" s="15" t="s">
        <v>29</v>
      </c>
    </row>
    <row r="1673" spans="1:13" x14ac:dyDescent="0.25">
      <c r="A1673" s="23">
        <f t="shared" si="86"/>
        <v>174367</v>
      </c>
      <c r="B1673" s="14" t="str">
        <f t="shared" si="85"/>
        <v>Billing - Credits (from TPA)</v>
      </c>
      <c r="C1673" s="37">
        <v>46157</v>
      </c>
      <c r="D1673" s="31">
        <v>174367</v>
      </c>
      <c r="E1673" s="33" t="str">
        <f>IF(Table3[[#This Row],[Type Received]]=2,"CC",(IF(Table3[[#This Row],[Type Received]]=3,"BILL","ACH")))</f>
        <v>BILL</v>
      </c>
      <c r="F1673" s="32">
        <v>38.92</v>
      </c>
      <c r="G1673" s="14" t="str">
        <f>VLOOKUP(D1673,Table4[],3,FALSE)</f>
        <v>1</v>
      </c>
      <c r="H1673" s="15"/>
      <c r="I1673" s="15"/>
      <c r="J1673" s="15" t="s">
        <v>87</v>
      </c>
      <c r="K1673" s="15">
        <v>696733107</v>
      </c>
      <c r="L1673" s="15" t="s">
        <v>29</v>
      </c>
      <c r="M1673" s="15" t="s">
        <v>29</v>
      </c>
    </row>
    <row r="1674" spans="1:13" x14ac:dyDescent="0.25">
      <c r="A1674" s="23">
        <f t="shared" si="86"/>
        <v>174417</v>
      </c>
      <c r="B1674" s="14" t="str">
        <f t="shared" si="85"/>
        <v>Direct Debit (UMB Bank) - Credits</v>
      </c>
      <c r="C1674" s="38">
        <v>46150</v>
      </c>
      <c r="D1674" s="34">
        <v>174417</v>
      </c>
      <c r="E1674" s="36" t="str">
        <f>IF(Table3[[#This Row],[Type Received]]=2,"CC",(IF(Table3[[#This Row],[Type Received]]=3,"BILL","ACH")))</f>
        <v>ACH</v>
      </c>
      <c r="F1674" s="35">
        <v>47.71</v>
      </c>
      <c r="G1674" s="14" t="str">
        <f>VLOOKUP(D1674,Table4[],3,FALSE)</f>
        <v>2</v>
      </c>
      <c r="H1674" s="15">
        <v>900076</v>
      </c>
      <c r="I1674" s="15"/>
      <c r="J1674" s="15"/>
      <c r="K1674" s="15"/>
      <c r="L1674" s="15"/>
      <c r="M1674" s="15"/>
    </row>
    <row r="1675" spans="1:13" x14ac:dyDescent="0.25">
      <c r="A1675" s="23">
        <f t="shared" si="86"/>
        <v>174421</v>
      </c>
      <c r="B1675" s="14" t="str">
        <f t="shared" si="85"/>
        <v>Billing - Credits (from TPA)</v>
      </c>
      <c r="C1675" s="37">
        <v>46167</v>
      </c>
      <c r="D1675" s="31">
        <v>174421</v>
      </c>
      <c r="E1675" s="33" t="str">
        <f>IF(Table3[[#This Row],[Type Received]]=2,"CC",(IF(Table3[[#This Row],[Type Received]]=3,"BILL","ACH")))</f>
        <v>BILL</v>
      </c>
      <c r="F1675" s="32">
        <v>19.079999999999998</v>
      </c>
      <c r="G1675" s="14" t="str">
        <f>VLOOKUP(D1675,Table4[],3,FALSE)</f>
        <v>1</v>
      </c>
      <c r="H1675" s="15"/>
      <c r="I1675" s="15"/>
      <c r="J1675" s="15" t="s">
        <v>85</v>
      </c>
      <c r="K1675" s="15">
        <v>818343087</v>
      </c>
      <c r="L1675" s="15" t="s">
        <v>29</v>
      </c>
      <c r="M1675" s="15" t="s">
        <v>29</v>
      </c>
    </row>
    <row r="1676" spans="1:13" x14ac:dyDescent="0.25">
      <c r="A1676" s="23">
        <f t="shared" si="86"/>
        <v>174466</v>
      </c>
      <c r="B1676" s="14" t="str">
        <f t="shared" si="85"/>
        <v>Direct Debit (UMB Bank) - Credits</v>
      </c>
      <c r="C1676" s="38">
        <v>46168</v>
      </c>
      <c r="D1676" s="34">
        <v>174466</v>
      </c>
      <c r="E1676" s="36" t="str">
        <f>IF(Table3[[#This Row],[Type Received]]=2,"CC",(IF(Table3[[#This Row],[Type Received]]=3,"BILL","ACH")))</f>
        <v>ACH</v>
      </c>
      <c r="F1676" s="35">
        <v>131.68</v>
      </c>
      <c r="G1676" s="14" t="str">
        <f>VLOOKUP(D1676,Table4[],3,FALSE)</f>
        <v>1</v>
      </c>
      <c r="H1676" s="15">
        <v>717</v>
      </c>
      <c r="I1676" s="15"/>
      <c r="J1676" s="15"/>
      <c r="K1676" s="15"/>
      <c r="L1676" s="15"/>
      <c r="M1676" s="15"/>
    </row>
    <row r="1677" spans="1:13" x14ac:dyDescent="0.25">
      <c r="A1677" s="23">
        <f t="shared" si="86"/>
        <v>174514</v>
      </c>
      <c r="B1677" s="14" t="str">
        <f t="shared" si="85"/>
        <v>Direct Debit (UMB Bank) - Credits</v>
      </c>
      <c r="C1677" s="37">
        <v>46157</v>
      </c>
      <c r="D1677" s="31">
        <v>174514</v>
      </c>
      <c r="E1677" s="33" t="str">
        <f>IF(Table3[[#This Row],[Type Received]]=2,"CC",(IF(Table3[[#This Row],[Type Received]]=3,"BILL","ACH")))</f>
        <v>ACH</v>
      </c>
      <c r="F1677" s="32">
        <v>34.799999999999997</v>
      </c>
      <c r="G1677" s="14" t="str">
        <f>VLOOKUP(D1677,Table4[],3,FALSE)</f>
        <v>2</v>
      </c>
      <c r="H1677" s="15"/>
      <c r="I1677" s="15"/>
      <c r="J1677" s="15" t="s">
        <v>87</v>
      </c>
      <c r="K1677" s="15">
        <v>696705079</v>
      </c>
      <c r="L1677" s="15" t="s">
        <v>29</v>
      </c>
      <c r="M1677" s="15" t="s">
        <v>29</v>
      </c>
    </row>
    <row r="1678" spans="1:13" x14ac:dyDescent="0.25">
      <c r="A1678" s="23">
        <f t="shared" si="86"/>
        <v>174524</v>
      </c>
      <c r="B1678" s="14" t="str">
        <f t="shared" si="85"/>
        <v>Credit Cards (UMB) - Credits</v>
      </c>
      <c r="C1678" s="38">
        <v>46167</v>
      </c>
      <c r="D1678" s="34">
        <v>174524</v>
      </c>
      <c r="E1678" s="36" t="str">
        <f>IF(Table3[[#This Row],[Type Received]]=2,"CC",(IF(Table3[[#This Row],[Type Received]]=3,"BILL","ACH")))</f>
        <v>CC</v>
      </c>
      <c r="F1678" s="35">
        <v>28.8</v>
      </c>
      <c r="G1678" s="14" t="str">
        <f>VLOOKUP(D1678,Table4[],3,FALSE)</f>
        <v>2</v>
      </c>
      <c r="H1678" s="15"/>
      <c r="I1678" s="15"/>
      <c r="J1678" s="15" t="s">
        <v>85</v>
      </c>
      <c r="K1678" s="15">
        <v>818367211</v>
      </c>
      <c r="L1678" s="15" t="s">
        <v>29</v>
      </c>
      <c r="M1678" s="15" t="s">
        <v>29</v>
      </c>
    </row>
    <row r="1679" spans="1:13" x14ac:dyDescent="0.25">
      <c r="A1679" s="23">
        <f t="shared" si="86"/>
        <v>174535</v>
      </c>
      <c r="B1679" s="14" t="str">
        <f t="shared" si="85"/>
        <v>Billing - Credits (from TPA)</v>
      </c>
      <c r="C1679" s="37">
        <v>46156</v>
      </c>
      <c r="D1679" s="31">
        <v>174535</v>
      </c>
      <c r="E1679" s="33" t="str">
        <f>IF(Table3[[#This Row],[Type Received]]=2,"CC",(IF(Table3[[#This Row],[Type Received]]=3,"BILL","ACH")))</f>
        <v>BILL</v>
      </c>
      <c r="F1679" s="32">
        <v>52.66</v>
      </c>
      <c r="G1679" s="14" t="str">
        <f>VLOOKUP(D1679,Table4[],3,FALSE)</f>
        <v>2</v>
      </c>
      <c r="H1679" s="15"/>
      <c r="I1679" s="15">
        <v>82965</v>
      </c>
      <c r="J1679" s="15" t="s">
        <v>28</v>
      </c>
      <c r="K1679" s="15">
        <v>686913387</v>
      </c>
      <c r="L1679" s="15" t="s">
        <v>29</v>
      </c>
      <c r="M1679" s="15" t="s">
        <v>29</v>
      </c>
    </row>
    <row r="1680" spans="1:13" x14ac:dyDescent="0.25">
      <c r="A1680" s="23">
        <f t="shared" si="86"/>
        <v>174535</v>
      </c>
      <c r="B1680" s="14" t="str">
        <f t="shared" si="85"/>
        <v>Direct Debit (UMB Bank) - Credits</v>
      </c>
      <c r="C1680" s="38">
        <v>46153</v>
      </c>
      <c r="D1680" s="34">
        <v>174535</v>
      </c>
      <c r="E1680" s="36" t="str">
        <f>IF(Table3[[#This Row],[Type Received]]=2,"CC",(IF(Table3[[#This Row],[Type Received]]=3,"BILL","ACH")))</f>
        <v>ACH</v>
      </c>
      <c r="F1680" s="35">
        <v>52.66</v>
      </c>
      <c r="G1680" s="14" t="str">
        <f>VLOOKUP(D1680,Table4[],3,FALSE)</f>
        <v>2</v>
      </c>
      <c r="H1680" s="15">
        <v>2725</v>
      </c>
      <c r="I1680" s="15"/>
      <c r="J1680" s="15"/>
      <c r="K1680" s="15"/>
      <c r="L1680" s="15"/>
      <c r="M1680" s="15" t="s">
        <v>29</v>
      </c>
    </row>
    <row r="1681" spans="1:13" x14ac:dyDescent="0.25">
      <c r="A1681" s="23">
        <f t="shared" si="86"/>
        <v>174569</v>
      </c>
      <c r="B1681" s="14" t="str">
        <f t="shared" si="85"/>
        <v>Direct Debit (UMB Bank) - Credits</v>
      </c>
      <c r="C1681" s="37">
        <v>46157</v>
      </c>
      <c r="D1681" s="31">
        <v>174569</v>
      </c>
      <c r="E1681" s="33" t="str">
        <f>IF(Table3[[#This Row],[Type Received]]=2,"CC",(IF(Table3[[#This Row],[Type Received]]=3,"BILL","ACH")))</f>
        <v>ACH</v>
      </c>
      <c r="F1681" s="32">
        <v>22.59</v>
      </c>
      <c r="G1681" s="14" t="str">
        <f>VLOOKUP(D1681,Table4[],3,FALSE)</f>
        <v>2</v>
      </c>
      <c r="H1681" s="15"/>
      <c r="I1681" s="15"/>
      <c r="J1681" s="24" t="s">
        <v>87</v>
      </c>
      <c r="K1681" s="15">
        <v>696705090</v>
      </c>
      <c r="L1681" s="15" t="s">
        <v>29</v>
      </c>
      <c r="M1681" s="15" t="s">
        <v>29</v>
      </c>
    </row>
    <row r="1682" spans="1:13" x14ac:dyDescent="0.25">
      <c r="A1682" s="23">
        <f t="shared" si="86"/>
        <v>174590</v>
      </c>
      <c r="B1682" s="14" t="str">
        <f t="shared" si="85"/>
        <v>Credit Cards (UMB) - Credits</v>
      </c>
      <c r="C1682" s="38">
        <v>46144</v>
      </c>
      <c r="D1682" s="34">
        <v>174590</v>
      </c>
      <c r="E1682" s="36" t="str">
        <f>IF(Table3[[#This Row],[Type Received]]=2,"CC",(IF(Table3[[#This Row],[Type Received]]=3,"BILL","ACH")))</f>
        <v>CC</v>
      </c>
      <c r="F1682" s="35">
        <v>12.78</v>
      </c>
      <c r="G1682" s="14" t="str">
        <f>VLOOKUP(D1682,Table4[],3,FALSE)</f>
        <v>1</v>
      </c>
      <c r="H1682" s="15"/>
      <c r="I1682" s="15"/>
      <c r="J1682" s="24" t="s">
        <v>89</v>
      </c>
      <c r="K1682" s="15">
        <v>535379036</v>
      </c>
      <c r="L1682" s="15" t="s">
        <v>29</v>
      </c>
      <c r="M1682" s="15" t="s">
        <v>29</v>
      </c>
    </row>
    <row r="1683" spans="1:13" x14ac:dyDescent="0.25">
      <c r="A1683" s="23">
        <f t="shared" si="86"/>
        <v>174749</v>
      </c>
      <c r="B1683" s="14" t="str">
        <f t="shared" si="85"/>
        <v>Billing - Credits (from TPA)</v>
      </c>
      <c r="C1683" s="37">
        <v>46156</v>
      </c>
      <c r="D1683" s="31">
        <v>174749</v>
      </c>
      <c r="E1683" s="33" t="str">
        <f>IF(Table3[[#This Row],[Type Received]]=2,"CC",(IF(Table3[[#This Row],[Type Received]]=3,"BILL","ACH")))</f>
        <v>BILL</v>
      </c>
      <c r="F1683" s="32">
        <v>51.33</v>
      </c>
      <c r="G1683" s="14" t="str">
        <f>VLOOKUP(D1683,Table4[],3,FALSE)</f>
        <v>2</v>
      </c>
      <c r="H1683" s="15"/>
      <c r="I1683" s="15" t="s">
        <v>231</v>
      </c>
      <c r="J1683" s="24" t="s">
        <v>28</v>
      </c>
      <c r="K1683" s="15">
        <v>682514094</v>
      </c>
      <c r="L1683" s="15" t="s">
        <v>29</v>
      </c>
      <c r="M1683" s="15" t="s">
        <v>29</v>
      </c>
    </row>
    <row r="1684" spans="1:13" x14ac:dyDescent="0.25">
      <c r="A1684" s="23">
        <f t="shared" si="86"/>
        <v>174780</v>
      </c>
      <c r="B1684" s="14" t="str">
        <f t="shared" si="85"/>
        <v>Billing - Credits (from TPA)</v>
      </c>
      <c r="C1684" s="38">
        <v>46168</v>
      </c>
      <c r="D1684" s="34">
        <v>174780</v>
      </c>
      <c r="E1684" s="36" t="str">
        <f>IF(Table3[[#This Row],[Type Received]]=2,"CC",(IF(Table3[[#This Row],[Type Received]]=3,"BILL","ACH")))</f>
        <v>BILL</v>
      </c>
      <c r="F1684" s="35">
        <v>35.26</v>
      </c>
      <c r="G1684" s="14" t="str">
        <f>VLOOKUP(D1684,Table4[],3,FALSE)</f>
        <v>2</v>
      </c>
      <c r="H1684" s="15">
        <v>4993</v>
      </c>
      <c r="I1684" s="15"/>
      <c r="J1684" s="24"/>
      <c r="K1684" s="15"/>
      <c r="L1684" s="15"/>
      <c r="M1684" s="15" t="s">
        <v>29</v>
      </c>
    </row>
    <row r="1685" spans="1:13" x14ac:dyDescent="0.25">
      <c r="A1685" s="23">
        <f t="shared" si="86"/>
        <v>174780</v>
      </c>
      <c r="B1685" s="14" t="str">
        <f t="shared" si="85"/>
        <v>Billing - Credits (from TPA)</v>
      </c>
      <c r="C1685" s="37">
        <v>46146</v>
      </c>
      <c r="D1685" s="31">
        <v>174780</v>
      </c>
      <c r="E1685" s="33" t="str">
        <f>IF(Table3[[#This Row],[Type Received]]=2,"CC",(IF(Table3[[#This Row],[Type Received]]=3,"BILL","ACH")))</f>
        <v>BILL</v>
      </c>
      <c r="F1685" s="32">
        <v>35.26</v>
      </c>
      <c r="G1685" s="14" t="str">
        <f>VLOOKUP(D1685,Table4[],3,FALSE)</f>
        <v>2</v>
      </c>
      <c r="H1685" s="15">
        <v>5246</v>
      </c>
      <c r="I1685" s="15"/>
      <c r="J1685" s="15"/>
      <c r="K1685" s="15"/>
      <c r="L1685" s="15"/>
      <c r="M1685" s="15" t="s">
        <v>29</v>
      </c>
    </row>
    <row r="1686" spans="1:13" x14ac:dyDescent="0.25">
      <c r="A1686" s="23">
        <f t="shared" si="86"/>
        <v>174801</v>
      </c>
      <c r="B1686" s="14" t="str">
        <f t="shared" si="85"/>
        <v>Billing - Credits (from TPA)</v>
      </c>
      <c r="C1686" s="38">
        <v>46168</v>
      </c>
      <c r="D1686" s="34">
        <v>174801</v>
      </c>
      <c r="E1686" s="36" t="str">
        <f>IF(Table3[[#This Row],[Type Received]]=2,"CC",(IF(Table3[[#This Row],[Type Received]]=3,"BILL","ACH")))</f>
        <v>BILL</v>
      </c>
      <c r="F1686" s="35">
        <v>54.22</v>
      </c>
      <c r="G1686" s="14" t="str">
        <f>VLOOKUP(D1686,Table4[],3,FALSE)</f>
        <v>2</v>
      </c>
      <c r="H1686" s="15">
        <v>6794</v>
      </c>
      <c r="I1686" s="15"/>
      <c r="J1686" s="15"/>
      <c r="K1686" s="15"/>
      <c r="L1686" s="15"/>
      <c r="M1686" s="15" t="s">
        <v>29</v>
      </c>
    </row>
    <row r="1687" spans="1:13" x14ac:dyDescent="0.25">
      <c r="A1687" s="23">
        <f t="shared" si="86"/>
        <v>174830</v>
      </c>
      <c r="B1687" s="14" t="str">
        <f t="shared" si="85"/>
        <v>Direct Debit (UMB Bank) - Credits</v>
      </c>
      <c r="C1687" s="37">
        <v>46143</v>
      </c>
      <c r="D1687" s="31">
        <v>174830</v>
      </c>
      <c r="E1687" s="33" t="str">
        <f>IF(Table3[[#This Row],[Type Received]]=2,"CC",(IF(Table3[[#This Row],[Type Received]]=3,"BILL","ACH")))</f>
        <v>ACH</v>
      </c>
      <c r="F1687" s="32">
        <v>33.909999999999997</v>
      </c>
      <c r="G1687" s="14" t="str">
        <f>VLOOKUP(D1687,Table4[],3,FALSE)</f>
        <v>2</v>
      </c>
      <c r="H1687" s="15">
        <v>74738613</v>
      </c>
      <c r="I1687" s="15"/>
      <c r="J1687" s="15"/>
      <c r="K1687" s="15"/>
      <c r="L1687" s="15"/>
      <c r="M1687" s="15" t="s">
        <v>29</v>
      </c>
    </row>
    <row r="1688" spans="1:13" x14ac:dyDescent="0.25">
      <c r="A1688" s="23">
        <f t="shared" si="86"/>
        <v>175072</v>
      </c>
      <c r="B1688" s="14" t="str">
        <f t="shared" si="85"/>
        <v>Direct Debit (UMB Bank) - Credits</v>
      </c>
      <c r="C1688" s="38">
        <v>46157</v>
      </c>
      <c r="D1688" s="34">
        <v>175072</v>
      </c>
      <c r="E1688" s="36" t="str">
        <f>IF(Table3[[#This Row],[Type Received]]=2,"CC",(IF(Table3[[#This Row],[Type Received]]=3,"BILL","ACH")))</f>
        <v>ACH</v>
      </c>
      <c r="F1688" s="35">
        <v>27.18</v>
      </c>
      <c r="G1688" s="14" t="str">
        <f>VLOOKUP(D1688,Table4[],3,FALSE)</f>
        <v>2</v>
      </c>
      <c r="H1688" s="15"/>
      <c r="I1688" s="15"/>
      <c r="J1688" s="24" t="s">
        <v>87</v>
      </c>
      <c r="K1688" s="15">
        <v>696716804</v>
      </c>
      <c r="L1688" s="15" t="s">
        <v>29</v>
      </c>
      <c r="M1688" s="15"/>
    </row>
    <row r="1689" spans="1:13" x14ac:dyDescent="0.25">
      <c r="A1689" s="23">
        <f t="shared" si="86"/>
        <v>175111</v>
      </c>
      <c r="B1689" s="14" t="str">
        <f t="shared" si="85"/>
        <v>Credit Cards (UMB) - Credits</v>
      </c>
      <c r="C1689" s="37">
        <v>46157</v>
      </c>
      <c r="D1689" s="31">
        <v>175111</v>
      </c>
      <c r="E1689" s="33" t="str">
        <f>IF(Table3[[#This Row],[Type Received]]=2,"CC",(IF(Table3[[#This Row],[Type Received]]=3,"BILL","ACH")))</f>
        <v>CC</v>
      </c>
      <c r="F1689" s="32">
        <v>44.76</v>
      </c>
      <c r="G1689" s="14" t="str">
        <f>VLOOKUP(D1689,Table4[],3,FALSE)</f>
        <v>1</v>
      </c>
      <c r="H1689" s="15"/>
      <c r="I1689" s="15"/>
      <c r="J1689" s="15" t="s">
        <v>87</v>
      </c>
      <c r="K1689" s="15">
        <v>696615230</v>
      </c>
      <c r="L1689" s="15" t="s">
        <v>29</v>
      </c>
      <c r="M1689" s="15"/>
    </row>
    <row r="1690" spans="1:13" x14ac:dyDescent="0.25">
      <c r="A1690" s="23">
        <f t="shared" si="86"/>
        <v>175143</v>
      </c>
      <c r="B1690" s="14" t="str">
        <f t="shared" si="85"/>
        <v>Direct Debit (UMB Bank) - Credits</v>
      </c>
      <c r="C1690" s="38">
        <v>46155</v>
      </c>
      <c r="D1690" s="34">
        <v>175143</v>
      </c>
      <c r="E1690" s="36" t="str">
        <f>IF(Table3[[#This Row],[Type Received]]=2,"CC",(IF(Table3[[#This Row],[Type Received]]=3,"BILL","ACH")))</f>
        <v>ACH</v>
      </c>
      <c r="F1690" s="35">
        <v>70.23</v>
      </c>
      <c r="G1690" s="14" t="str">
        <f>VLOOKUP(D1690,Table4[],3,FALSE)</f>
        <v>2</v>
      </c>
      <c r="H1690" s="15"/>
      <c r="I1690" s="15">
        <v>247828</v>
      </c>
      <c r="J1690" s="15" t="s">
        <v>28</v>
      </c>
      <c r="K1690" s="15">
        <v>669477044</v>
      </c>
      <c r="L1690" s="15" t="s">
        <v>29</v>
      </c>
      <c r="M1690" s="15" t="s">
        <v>29</v>
      </c>
    </row>
    <row r="1691" spans="1:13" x14ac:dyDescent="0.25">
      <c r="A1691" s="23">
        <f t="shared" si="86"/>
        <v>175257</v>
      </c>
      <c r="B1691" s="14" t="str">
        <f t="shared" si="85"/>
        <v>Billing - Credits (from TPA)</v>
      </c>
      <c r="C1691" s="37">
        <v>46144</v>
      </c>
      <c r="D1691" s="31">
        <v>175257</v>
      </c>
      <c r="E1691" s="33" t="str">
        <f>IF(Table3[[#This Row],[Type Received]]=2,"CC",(IF(Table3[[#This Row],[Type Received]]=3,"BILL","ACH")))</f>
        <v>BILL</v>
      </c>
      <c r="F1691" s="32">
        <v>15.66</v>
      </c>
      <c r="G1691" s="14" t="str">
        <f>VLOOKUP(D1691,Table4[],3,FALSE)</f>
        <v>1</v>
      </c>
      <c r="H1691" s="15"/>
      <c r="I1691" s="15"/>
      <c r="J1691" s="15" t="s">
        <v>89</v>
      </c>
      <c r="K1691" s="15">
        <v>535367313</v>
      </c>
      <c r="L1691" s="15" t="s">
        <v>29</v>
      </c>
      <c r="M1691" s="15" t="s">
        <v>29</v>
      </c>
    </row>
    <row r="1692" spans="1:13" x14ac:dyDescent="0.25">
      <c r="A1692" s="23">
        <f t="shared" si="86"/>
        <v>175520</v>
      </c>
      <c r="B1692" s="14" t="str">
        <f t="shared" si="85"/>
        <v>Credit Cards (UMB) - Credits</v>
      </c>
      <c r="C1692" s="38">
        <v>46150</v>
      </c>
      <c r="D1692" s="34">
        <v>175520</v>
      </c>
      <c r="E1692" s="36" t="str">
        <f>IF(Table3[[#This Row],[Type Received]]=2,"CC",(IF(Table3[[#This Row],[Type Received]]=3,"BILL","ACH")))</f>
        <v>CC</v>
      </c>
      <c r="F1692" s="35">
        <v>242.03</v>
      </c>
      <c r="G1692" s="14" t="str">
        <f>VLOOKUP(D1692,Table4[],3,FALSE)</f>
        <v>1</v>
      </c>
      <c r="H1692" s="15">
        <v>986908</v>
      </c>
      <c r="I1692" s="15"/>
      <c r="J1692" s="15"/>
      <c r="K1692" s="15"/>
      <c r="L1692" s="15"/>
      <c r="M1692" s="15" t="s">
        <v>29</v>
      </c>
    </row>
    <row r="1693" spans="1:13" x14ac:dyDescent="0.25">
      <c r="A1693" s="23">
        <f t="shared" si="86"/>
        <v>175545</v>
      </c>
      <c r="B1693" s="14" t="str">
        <f t="shared" si="85"/>
        <v>Direct Debit (UMB Bank) - Credits</v>
      </c>
      <c r="C1693" s="37">
        <v>46143</v>
      </c>
      <c r="D1693" s="31">
        <v>175545</v>
      </c>
      <c r="E1693" s="33" t="str">
        <f>IF(Table3[[#This Row],[Type Received]]=2,"CC",(IF(Table3[[#This Row],[Type Received]]=3,"BILL","ACH")))</f>
        <v>ACH</v>
      </c>
      <c r="F1693" s="32">
        <v>28.72</v>
      </c>
      <c r="G1693" s="14" t="str">
        <f>VLOOKUP(D1693,Table4[],3,FALSE)</f>
        <v>1</v>
      </c>
      <c r="H1693" s="15"/>
      <c r="I1693" s="15" t="s">
        <v>232</v>
      </c>
      <c r="J1693" s="15" t="s">
        <v>28</v>
      </c>
      <c r="K1693" s="15">
        <v>521721661</v>
      </c>
      <c r="L1693" s="15" t="s">
        <v>29</v>
      </c>
      <c r="M1693" s="15" t="s">
        <v>29</v>
      </c>
    </row>
    <row r="1694" spans="1:13" x14ac:dyDescent="0.25">
      <c r="A1694" s="23">
        <f t="shared" si="86"/>
        <v>175592</v>
      </c>
      <c r="B1694" s="14" t="str">
        <f t="shared" si="85"/>
        <v>Billing - Credits (from TPA)</v>
      </c>
      <c r="C1694" s="38">
        <v>46167</v>
      </c>
      <c r="D1694" s="34">
        <v>175592</v>
      </c>
      <c r="E1694" s="36" t="str">
        <f>IF(Table3[[#This Row],[Type Received]]=2,"CC",(IF(Table3[[#This Row],[Type Received]]=3,"BILL","ACH")))</f>
        <v>BILL</v>
      </c>
      <c r="F1694" s="35">
        <v>30.48</v>
      </c>
      <c r="G1694" s="14" t="str">
        <f>VLOOKUP(D1694,Table4[],3,FALSE)</f>
        <v>2</v>
      </c>
      <c r="H1694" s="15"/>
      <c r="I1694" s="15"/>
      <c r="J1694" s="24" t="s">
        <v>85</v>
      </c>
      <c r="K1694" s="15">
        <v>818360471</v>
      </c>
      <c r="L1694" s="15" t="s">
        <v>29</v>
      </c>
      <c r="M1694" s="15" t="s">
        <v>29</v>
      </c>
    </row>
    <row r="1695" spans="1:13" x14ac:dyDescent="0.25">
      <c r="A1695" s="23">
        <f t="shared" si="86"/>
        <v>175642</v>
      </c>
      <c r="B1695" s="14" t="str">
        <f t="shared" si="85"/>
        <v>Direct Debit (UMB Bank) - Credits</v>
      </c>
      <c r="C1695" s="37">
        <v>46143</v>
      </c>
      <c r="D1695" s="31">
        <v>175642</v>
      </c>
      <c r="E1695" s="33" t="str">
        <f>IF(Table3[[#This Row],[Type Received]]=2,"CC",(IF(Table3[[#This Row],[Type Received]]=3,"BILL","ACH")))</f>
        <v>ACH</v>
      </c>
      <c r="F1695" s="32">
        <v>73.63</v>
      </c>
      <c r="G1695" s="14" t="str">
        <f>VLOOKUP(D1695,Table4[],3,FALSE)</f>
        <v>2</v>
      </c>
      <c r="H1695" s="15">
        <v>7324</v>
      </c>
      <c r="I1695" s="15"/>
      <c r="J1695" s="15"/>
      <c r="K1695" s="15"/>
      <c r="L1695" s="15"/>
      <c r="M1695" s="15" t="s">
        <v>29</v>
      </c>
    </row>
    <row r="1696" spans="1:13" x14ac:dyDescent="0.25">
      <c r="A1696" s="23">
        <f t="shared" si="86"/>
        <v>175667</v>
      </c>
      <c r="B1696" s="14" t="str">
        <f t="shared" si="85"/>
        <v>Direct Debit (UMB Bank) - Credits</v>
      </c>
      <c r="C1696" s="38">
        <v>46157</v>
      </c>
      <c r="D1696" s="34">
        <v>175667</v>
      </c>
      <c r="E1696" s="36" t="str">
        <f>IF(Table3[[#This Row],[Type Received]]=2,"CC",(IF(Table3[[#This Row],[Type Received]]=3,"BILL","ACH")))</f>
        <v>ACH</v>
      </c>
      <c r="F1696" s="35">
        <v>57.54</v>
      </c>
      <c r="G1696" s="14" t="str">
        <f>VLOOKUP(D1696,Table4[],3,FALSE)</f>
        <v>2</v>
      </c>
      <c r="H1696" s="15"/>
      <c r="I1696" s="15"/>
      <c r="J1696" s="24" t="s">
        <v>87</v>
      </c>
      <c r="K1696" s="15">
        <v>696716825</v>
      </c>
      <c r="L1696" s="15" t="s">
        <v>29</v>
      </c>
      <c r="M1696" s="15" t="s">
        <v>29</v>
      </c>
    </row>
    <row r="1697" spans="1:13" x14ac:dyDescent="0.25">
      <c r="A1697" s="23">
        <f t="shared" si="86"/>
        <v>175783</v>
      </c>
      <c r="B1697" s="14" t="str">
        <f t="shared" si="85"/>
        <v>Billing - Credits (from TPA)</v>
      </c>
      <c r="C1697" s="37">
        <v>46152</v>
      </c>
      <c r="D1697" s="31">
        <v>175783</v>
      </c>
      <c r="E1697" s="33" t="str">
        <f>IF(Table3[[#This Row],[Type Received]]=2,"CC",(IF(Table3[[#This Row],[Type Received]]=3,"BILL","ACH")))</f>
        <v>BILL</v>
      </c>
      <c r="F1697" s="32">
        <v>49.62</v>
      </c>
      <c r="G1697" s="14" t="str">
        <f>VLOOKUP(D1697,Table4[],3,FALSE)</f>
        <v>1</v>
      </c>
      <c r="H1697" s="15"/>
      <c r="I1697" s="15"/>
      <c r="J1697" s="24" t="s">
        <v>115</v>
      </c>
      <c r="K1697" s="15">
        <v>632881911</v>
      </c>
      <c r="L1697" s="15" t="s">
        <v>29</v>
      </c>
      <c r="M1697" s="15" t="s">
        <v>29</v>
      </c>
    </row>
    <row r="1698" spans="1:13" x14ac:dyDescent="0.25">
      <c r="A1698" s="23">
        <f t="shared" si="86"/>
        <v>175788</v>
      </c>
      <c r="B1698" s="14" t="str">
        <f t="shared" si="85"/>
        <v>Direct Debit (UMB Bank) - Credits</v>
      </c>
      <c r="C1698" s="38">
        <v>46146</v>
      </c>
      <c r="D1698" s="34">
        <v>175788</v>
      </c>
      <c r="E1698" s="36" t="str">
        <f>IF(Table3[[#This Row],[Type Received]]=2,"CC",(IF(Table3[[#This Row],[Type Received]]=3,"BILL","ACH")))</f>
        <v>ACH</v>
      </c>
      <c r="F1698" s="35">
        <v>24.04</v>
      </c>
      <c r="G1698" s="14" t="str">
        <f>VLOOKUP(D1698,Table4[],3,FALSE)</f>
        <v>2</v>
      </c>
      <c r="H1698" s="15">
        <v>6220</v>
      </c>
      <c r="I1698" s="15"/>
      <c r="J1698" s="15"/>
      <c r="K1698" s="15"/>
      <c r="L1698" s="15"/>
      <c r="M1698" s="15" t="s">
        <v>29</v>
      </c>
    </row>
    <row r="1699" spans="1:13" x14ac:dyDescent="0.25">
      <c r="A1699" s="23">
        <f t="shared" si="86"/>
        <v>175888</v>
      </c>
      <c r="B1699" s="14" t="str">
        <f t="shared" si="85"/>
        <v>Direct Debit (UMB Bank) - Credits</v>
      </c>
      <c r="C1699" s="37">
        <v>46167</v>
      </c>
      <c r="D1699" s="31">
        <v>175888</v>
      </c>
      <c r="E1699" s="33" t="str">
        <f>IF(Table3[[#This Row],[Type Received]]=2,"CC",(IF(Table3[[#This Row],[Type Received]]=3,"BILL","ACH")))</f>
        <v>ACH</v>
      </c>
      <c r="F1699" s="32">
        <v>15.48</v>
      </c>
      <c r="G1699" s="14" t="str">
        <f>VLOOKUP(D1699,Table4[],3,FALSE)</f>
        <v>1</v>
      </c>
      <c r="H1699" s="15"/>
      <c r="I1699" s="15"/>
      <c r="J1699" s="15" t="s">
        <v>85</v>
      </c>
      <c r="K1699" s="15">
        <v>818357518</v>
      </c>
      <c r="L1699" s="15" t="s">
        <v>29</v>
      </c>
      <c r="M1699" s="15" t="s">
        <v>29</v>
      </c>
    </row>
    <row r="1700" spans="1:13" x14ac:dyDescent="0.25">
      <c r="A1700" s="23">
        <f t="shared" si="86"/>
        <v>175895</v>
      </c>
      <c r="B1700" s="14" t="str">
        <f t="shared" si="85"/>
        <v>Direct Debit (UMB Bank) - Credits</v>
      </c>
      <c r="C1700" s="38">
        <v>46157</v>
      </c>
      <c r="D1700" s="34">
        <v>175895</v>
      </c>
      <c r="E1700" s="36" t="str">
        <f>IF(Table3[[#This Row],[Type Received]]=2,"CC",(IF(Table3[[#This Row],[Type Received]]=3,"BILL","ACH")))</f>
        <v>ACH</v>
      </c>
      <c r="F1700" s="35">
        <v>18.54</v>
      </c>
      <c r="G1700" s="14" t="str">
        <f>VLOOKUP(D1700,Table4[],3,FALSE)</f>
        <v>1</v>
      </c>
      <c r="H1700" s="15"/>
      <c r="I1700" s="15"/>
      <c r="J1700" s="15" t="s">
        <v>87</v>
      </c>
      <c r="K1700" s="15">
        <v>696718731</v>
      </c>
      <c r="L1700" s="15" t="s">
        <v>29</v>
      </c>
      <c r="M1700" s="15" t="s">
        <v>29</v>
      </c>
    </row>
    <row r="1701" spans="1:13" x14ac:dyDescent="0.25">
      <c r="A1701" s="23">
        <f t="shared" si="86"/>
        <v>176033</v>
      </c>
      <c r="B1701" s="14" t="str">
        <f t="shared" si="85"/>
        <v>Credit Cards (UMB) - Credits</v>
      </c>
      <c r="C1701" s="37">
        <v>46157</v>
      </c>
      <c r="D1701" s="31">
        <v>176033</v>
      </c>
      <c r="E1701" s="33" t="str">
        <f>IF(Table3[[#This Row],[Type Received]]=2,"CC",(IF(Table3[[#This Row],[Type Received]]=3,"BILL","ACH")))</f>
        <v>CC</v>
      </c>
      <c r="F1701" s="32">
        <v>36.96</v>
      </c>
      <c r="G1701" s="14" t="str">
        <f>VLOOKUP(D1701,Table4[],3,FALSE)</f>
        <v>2</v>
      </c>
      <c r="H1701" s="15"/>
      <c r="I1701" s="15"/>
      <c r="J1701" s="15" t="s">
        <v>87</v>
      </c>
      <c r="K1701" s="15">
        <v>696713847</v>
      </c>
      <c r="L1701" s="15" t="s">
        <v>29</v>
      </c>
      <c r="M1701" s="15"/>
    </row>
    <row r="1702" spans="1:13" x14ac:dyDescent="0.25">
      <c r="A1702" s="23">
        <f t="shared" si="86"/>
        <v>176567</v>
      </c>
      <c r="B1702" s="14" t="str">
        <f t="shared" si="85"/>
        <v>Credit Cards (UMB) - Credits</v>
      </c>
      <c r="C1702" s="38">
        <v>46150</v>
      </c>
      <c r="D1702" s="34">
        <v>176567</v>
      </c>
      <c r="E1702" s="36" t="str">
        <f>IF(Table3[[#This Row],[Type Received]]=2,"CC",(IF(Table3[[#This Row],[Type Received]]=3,"BILL","ACH")))</f>
        <v>CC</v>
      </c>
      <c r="F1702" s="35">
        <v>43.66</v>
      </c>
      <c r="G1702" s="14" t="str">
        <f>VLOOKUP(D1702,Table4[],3,FALSE)</f>
        <v>1</v>
      </c>
      <c r="H1702" s="15"/>
      <c r="I1702" s="15">
        <v>52079</v>
      </c>
      <c r="J1702" s="15" t="s">
        <v>28</v>
      </c>
      <c r="K1702" s="15">
        <v>612305027</v>
      </c>
      <c r="L1702" s="15" t="s">
        <v>29</v>
      </c>
      <c r="M1702" s="15"/>
    </row>
    <row r="1703" spans="1:13" x14ac:dyDescent="0.25">
      <c r="A1703" s="23">
        <f t="shared" si="86"/>
        <v>176579</v>
      </c>
      <c r="B1703" s="14" t="str">
        <f t="shared" si="85"/>
        <v>Direct Debit (UMB Bank) - Credits</v>
      </c>
      <c r="C1703" s="37">
        <v>46150</v>
      </c>
      <c r="D1703" s="31">
        <v>176579</v>
      </c>
      <c r="E1703" s="33" t="str">
        <f>IF(Table3[[#This Row],[Type Received]]=2,"CC",(IF(Table3[[#This Row],[Type Received]]=3,"BILL","ACH")))</f>
        <v>ACH</v>
      </c>
      <c r="F1703" s="32">
        <v>179.26</v>
      </c>
      <c r="G1703" s="14" t="str">
        <f>VLOOKUP(D1703,Table4[],3,FALSE)</f>
        <v>2</v>
      </c>
      <c r="H1703" s="15"/>
      <c r="I1703" s="15">
        <v>844499</v>
      </c>
      <c r="J1703" s="15" t="s">
        <v>28</v>
      </c>
      <c r="K1703" s="15">
        <v>609213648</v>
      </c>
      <c r="L1703" s="15" t="s">
        <v>29</v>
      </c>
      <c r="M1703" s="15" t="s">
        <v>29</v>
      </c>
    </row>
    <row r="1704" spans="1:13" x14ac:dyDescent="0.25">
      <c r="A1704" s="25"/>
      <c r="B1704" s="14" t="str">
        <f t="shared" si="85"/>
        <v>Direct Debit (UMB Bank) - Credits</v>
      </c>
      <c r="C1704" s="38">
        <v>46163</v>
      </c>
      <c r="D1704" s="34">
        <v>176304</v>
      </c>
      <c r="E1704" s="36" t="str">
        <f>IF(Table3[[#This Row],[Type Received]]=2,"CC",(IF(Table3[[#This Row],[Type Received]]=3,"BILL","ACH")))</f>
        <v>ACH</v>
      </c>
      <c r="F1704" s="35">
        <v>23.4</v>
      </c>
      <c r="G1704" s="14" t="str">
        <f>VLOOKUP(D1704,Table4[],3,FALSE)</f>
        <v>2</v>
      </c>
      <c r="H1704" s="15"/>
      <c r="I1704" s="15"/>
      <c r="J1704" s="15" t="s">
        <v>214</v>
      </c>
      <c r="K1704" s="15">
        <v>771088852</v>
      </c>
      <c r="L1704" s="15" t="s">
        <v>29</v>
      </c>
      <c r="M1704" s="15"/>
    </row>
    <row r="1705" spans="1:13" x14ac:dyDescent="0.25">
      <c r="A1705" s="23"/>
      <c r="B1705" s="14" t="str">
        <f t="shared" si="85"/>
        <v>Direct Debit (UMB Bank) - Credits</v>
      </c>
      <c r="C1705" s="37">
        <v>46144</v>
      </c>
      <c r="D1705" s="31">
        <v>176314</v>
      </c>
      <c r="E1705" s="33" t="str">
        <f>IF(Table3[[#This Row],[Type Received]]=2,"CC",(IF(Table3[[#This Row],[Type Received]]=3,"BILL","ACH")))</f>
        <v>ACH</v>
      </c>
      <c r="F1705" s="32">
        <v>33.06</v>
      </c>
      <c r="G1705" s="14" t="str">
        <f>VLOOKUP(D1705,Table4[],3,FALSE)</f>
        <v>1</v>
      </c>
      <c r="H1705" s="15"/>
      <c r="I1705" s="15"/>
      <c r="J1705" s="15" t="s">
        <v>89</v>
      </c>
      <c r="K1705" s="15">
        <v>535389829</v>
      </c>
      <c r="L1705" s="15" t="s">
        <v>29</v>
      </c>
      <c r="M1705" s="15" t="s">
        <v>29</v>
      </c>
    </row>
    <row r="1706" spans="1:13" x14ac:dyDescent="0.25">
      <c r="A1706" s="23">
        <f t="shared" ref="A1706:A1769" si="87">D1706</f>
        <v>176370</v>
      </c>
      <c r="B1706" s="14" t="str">
        <f t="shared" si="85"/>
        <v>Billing - Credits (from TPA)</v>
      </c>
      <c r="C1706" s="38">
        <v>46157</v>
      </c>
      <c r="D1706" s="34">
        <v>176370</v>
      </c>
      <c r="E1706" s="36" t="str">
        <f>IF(Table3[[#This Row],[Type Received]]=2,"CC",(IF(Table3[[#This Row],[Type Received]]=3,"BILL","ACH")))</f>
        <v>BILL</v>
      </c>
      <c r="F1706" s="35">
        <v>10.8</v>
      </c>
      <c r="G1706" s="14" t="str">
        <f>VLOOKUP(D1706,Table4[],3,FALSE)</f>
        <v>1</v>
      </c>
      <c r="H1706" s="15"/>
      <c r="I1706" s="15"/>
      <c r="J1706" s="24" t="s">
        <v>87</v>
      </c>
      <c r="K1706" s="15">
        <v>696711066</v>
      </c>
      <c r="L1706" s="15" t="s">
        <v>29</v>
      </c>
      <c r="M1706" s="15" t="s">
        <v>29</v>
      </c>
    </row>
    <row r="1707" spans="1:13" x14ac:dyDescent="0.25">
      <c r="A1707" s="23">
        <f t="shared" si="87"/>
        <v>176375</v>
      </c>
      <c r="B1707" s="14" t="str">
        <f t="shared" si="85"/>
        <v>Direct Debit (UMB Bank) - Credits</v>
      </c>
      <c r="C1707" s="37">
        <v>46143</v>
      </c>
      <c r="D1707" s="31">
        <v>176375</v>
      </c>
      <c r="E1707" s="33" t="str">
        <f>IF(Table3[[#This Row],[Type Received]]=2,"CC",(IF(Table3[[#This Row],[Type Received]]=3,"BILL","ACH")))</f>
        <v>ACH</v>
      </c>
      <c r="F1707" s="32">
        <v>83.65</v>
      </c>
      <c r="G1707" s="14" t="str">
        <f>VLOOKUP(D1707,Table4[],3,FALSE)</f>
        <v>2</v>
      </c>
      <c r="H1707" s="15">
        <v>74832278</v>
      </c>
      <c r="I1707" s="15"/>
      <c r="J1707" s="15"/>
      <c r="K1707" s="15"/>
      <c r="L1707" s="15"/>
      <c r="M1707" s="15"/>
    </row>
    <row r="1708" spans="1:13" x14ac:dyDescent="0.25">
      <c r="A1708" s="23">
        <f t="shared" si="87"/>
        <v>176723</v>
      </c>
      <c r="B1708" s="14" t="str">
        <f t="shared" si="85"/>
        <v>Billing - Credits (from TPA)</v>
      </c>
      <c r="C1708" s="38">
        <v>46144</v>
      </c>
      <c r="D1708" s="34">
        <v>176723</v>
      </c>
      <c r="E1708" s="36" t="str">
        <f>IF(Table3[[#This Row],[Type Received]]=2,"CC",(IF(Table3[[#This Row],[Type Received]]=3,"BILL","ACH")))</f>
        <v>BILL</v>
      </c>
      <c r="F1708" s="35">
        <v>15.26</v>
      </c>
      <c r="G1708" s="14" t="str">
        <f>VLOOKUP(D1708,Table4[],3,FALSE)</f>
        <v>1</v>
      </c>
      <c r="H1708" s="15"/>
      <c r="I1708" s="15"/>
      <c r="J1708" s="15" t="s">
        <v>89</v>
      </c>
      <c r="K1708" s="15">
        <v>535405204</v>
      </c>
      <c r="L1708" s="15" t="s">
        <v>29</v>
      </c>
      <c r="M1708" s="15"/>
    </row>
    <row r="1709" spans="1:13" x14ac:dyDescent="0.25">
      <c r="A1709" s="23">
        <f t="shared" si="87"/>
        <v>176911</v>
      </c>
      <c r="B1709" s="14" t="str">
        <f t="shared" si="85"/>
        <v>Credit Cards (UMB) - Credits</v>
      </c>
      <c r="C1709" s="37">
        <v>46146</v>
      </c>
      <c r="D1709" s="31">
        <v>176911</v>
      </c>
      <c r="E1709" s="33" t="str">
        <f>IF(Table3[[#This Row],[Type Received]]=2,"CC",(IF(Table3[[#This Row],[Type Received]]=3,"BILL","ACH")))</f>
        <v>CC</v>
      </c>
      <c r="F1709" s="32">
        <v>14.82</v>
      </c>
      <c r="G1709" s="14" t="str">
        <f>VLOOKUP(D1709,Table4[],3,FALSE)</f>
        <v>1</v>
      </c>
      <c r="H1709" s="15">
        <v>3487</v>
      </c>
      <c r="I1709" s="15"/>
      <c r="J1709" s="15"/>
      <c r="K1709" s="15"/>
      <c r="L1709" s="15"/>
      <c r="M1709" s="15" t="s">
        <v>29</v>
      </c>
    </row>
    <row r="1710" spans="1:13" x14ac:dyDescent="0.25">
      <c r="A1710" s="23">
        <f t="shared" si="87"/>
        <v>177088</v>
      </c>
      <c r="B1710" s="14" t="str">
        <f t="shared" si="85"/>
        <v>Billing - Credits (from TPA)</v>
      </c>
      <c r="C1710" s="38">
        <v>46166</v>
      </c>
      <c r="D1710" s="34">
        <v>177088</v>
      </c>
      <c r="E1710" s="36" t="str">
        <f>IF(Table3[[#This Row],[Type Received]]=2,"CC",(IF(Table3[[#This Row],[Type Received]]=3,"BILL","ACH")))</f>
        <v>BILL</v>
      </c>
      <c r="F1710" s="35">
        <v>33.25</v>
      </c>
      <c r="G1710" s="14" t="str">
        <f>VLOOKUP(D1710,Table4[],3,FALSE)</f>
        <v>2</v>
      </c>
      <c r="H1710" s="15"/>
      <c r="I1710" s="15">
        <v>75306</v>
      </c>
      <c r="J1710" s="15">
        <v>748427872</v>
      </c>
      <c r="K1710" s="15">
        <v>355674878</v>
      </c>
      <c r="L1710" s="15"/>
      <c r="M1710" s="15" t="s">
        <v>29</v>
      </c>
    </row>
    <row r="1711" spans="1:13" x14ac:dyDescent="0.25">
      <c r="A1711" s="23">
        <f t="shared" si="87"/>
        <v>177191</v>
      </c>
      <c r="B1711" s="14" t="str">
        <f t="shared" si="85"/>
        <v>Direct Debit (UMB Bank) - Credits</v>
      </c>
      <c r="C1711" s="37">
        <v>46168</v>
      </c>
      <c r="D1711" s="31">
        <v>177191</v>
      </c>
      <c r="E1711" s="33" t="str">
        <f>IF(Table3[[#This Row],[Type Received]]=2,"CC",(IF(Table3[[#This Row],[Type Received]]=3,"BILL","ACH")))</f>
        <v>ACH</v>
      </c>
      <c r="F1711" s="32">
        <v>84.73</v>
      </c>
      <c r="G1711" s="14" t="str">
        <f>VLOOKUP(D1711,Table4[],3,FALSE)</f>
        <v>2</v>
      </c>
      <c r="H1711" s="15">
        <v>4673</v>
      </c>
      <c r="I1711" s="15"/>
      <c r="J1711" s="15"/>
      <c r="K1711" s="15"/>
      <c r="L1711" s="15"/>
      <c r="M1711" s="15"/>
    </row>
    <row r="1712" spans="1:13" x14ac:dyDescent="0.25">
      <c r="A1712" s="23">
        <f t="shared" si="87"/>
        <v>177281</v>
      </c>
      <c r="B1712" s="14" t="str">
        <f t="shared" si="85"/>
        <v>Direct Debit (UMB Bank) - Credits</v>
      </c>
      <c r="C1712" s="38">
        <v>46144</v>
      </c>
      <c r="D1712" s="34">
        <v>177281</v>
      </c>
      <c r="E1712" s="36" t="str">
        <f>IF(Table3[[#This Row],[Type Received]]=2,"CC",(IF(Table3[[#This Row],[Type Received]]=3,"BILL","ACH")))</f>
        <v>ACH</v>
      </c>
      <c r="F1712" s="35">
        <v>29.36</v>
      </c>
      <c r="G1712" s="14" t="str">
        <f>VLOOKUP(D1712,Table4[],3,FALSE)</f>
        <v>2</v>
      </c>
      <c r="H1712" s="15"/>
      <c r="I1712" s="15"/>
      <c r="J1712" s="15" t="s">
        <v>89</v>
      </c>
      <c r="K1712" s="15">
        <v>535396590</v>
      </c>
      <c r="L1712" s="15" t="s">
        <v>29</v>
      </c>
      <c r="M1712" s="15"/>
    </row>
    <row r="1713" spans="1:13" x14ac:dyDescent="0.25">
      <c r="A1713" s="23">
        <f t="shared" si="87"/>
        <v>177331</v>
      </c>
      <c r="B1713" s="14" t="str">
        <f t="shared" si="85"/>
        <v>Billing - Credits (from TPA)</v>
      </c>
      <c r="C1713" s="37">
        <v>46167</v>
      </c>
      <c r="D1713" s="31">
        <v>177331</v>
      </c>
      <c r="E1713" s="33" t="str">
        <f>IF(Table3[[#This Row],[Type Received]]=2,"CC",(IF(Table3[[#This Row],[Type Received]]=3,"BILL","ACH")))</f>
        <v>BILL</v>
      </c>
      <c r="F1713" s="32">
        <v>22.82</v>
      </c>
      <c r="G1713" s="14" t="str">
        <f>VLOOKUP(D1713,Table4[],3,FALSE)</f>
        <v>1</v>
      </c>
      <c r="H1713" s="15"/>
      <c r="I1713" s="15"/>
      <c r="J1713" s="15" t="s">
        <v>85</v>
      </c>
      <c r="K1713" s="15">
        <v>818365433</v>
      </c>
      <c r="L1713" s="15" t="s">
        <v>29</v>
      </c>
      <c r="M1713" s="15" t="s">
        <v>29</v>
      </c>
    </row>
    <row r="1714" spans="1:13" x14ac:dyDescent="0.25">
      <c r="A1714" s="23">
        <f t="shared" si="87"/>
        <v>177389</v>
      </c>
      <c r="B1714" s="14" t="str">
        <f t="shared" si="85"/>
        <v>Direct Debit (UMB Bank) - Credits</v>
      </c>
      <c r="C1714" s="38">
        <v>46164</v>
      </c>
      <c r="D1714" s="34">
        <v>177389</v>
      </c>
      <c r="E1714" s="36" t="str">
        <f>IF(Table3[[#This Row],[Type Received]]=2,"CC",(IF(Table3[[#This Row],[Type Received]]=3,"BILL","ACH")))</f>
        <v>ACH</v>
      </c>
      <c r="F1714" s="35">
        <v>69.28</v>
      </c>
      <c r="G1714" s="14" t="str">
        <f>VLOOKUP(D1714,Table4[],3,FALSE)</f>
        <v>2</v>
      </c>
      <c r="H1714" s="15">
        <v>5557</v>
      </c>
      <c r="I1714" s="15"/>
      <c r="J1714" s="15"/>
      <c r="K1714" s="15"/>
      <c r="L1714" s="15"/>
      <c r="M1714" s="15" t="s">
        <v>29</v>
      </c>
    </row>
    <row r="1715" spans="1:13" x14ac:dyDescent="0.25">
      <c r="A1715" s="23">
        <f t="shared" si="87"/>
        <v>177397</v>
      </c>
      <c r="B1715" s="14" t="str">
        <f t="shared" si="85"/>
        <v>Direct Debit (UMB Bank) - Credits</v>
      </c>
      <c r="C1715" s="37">
        <v>46144</v>
      </c>
      <c r="D1715" s="31">
        <v>177397</v>
      </c>
      <c r="E1715" s="33" t="str">
        <f>IF(Table3[[#This Row],[Type Received]]=2,"CC",(IF(Table3[[#This Row],[Type Received]]=3,"BILL","ACH")))</f>
        <v>ACH</v>
      </c>
      <c r="F1715" s="32">
        <v>48.36</v>
      </c>
      <c r="G1715" s="14" t="str">
        <f>VLOOKUP(D1715,Table4[],3,FALSE)</f>
        <v>2</v>
      </c>
      <c r="H1715" s="15"/>
      <c r="I1715" s="15"/>
      <c r="J1715" s="24" t="s">
        <v>89</v>
      </c>
      <c r="K1715" s="15">
        <v>535383049</v>
      </c>
      <c r="L1715" s="15" t="s">
        <v>29</v>
      </c>
      <c r="M1715" s="15" t="s">
        <v>29</v>
      </c>
    </row>
    <row r="1716" spans="1:13" x14ac:dyDescent="0.25">
      <c r="A1716" s="23">
        <f t="shared" si="87"/>
        <v>177417</v>
      </c>
      <c r="B1716" s="14" t="str">
        <f t="shared" si="85"/>
        <v>Billing - Credits (from TPA)</v>
      </c>
      <c r="C1716" s="38">
        <v>46157</v>
      </c>
      <c r="D1716" s="34">
        <v>177417</v>
      </c>
      <c r="E1716" s="36" t="str">
        <f>IF(Table3[[#This Row],[Type Received]]=2,"CC",(IF(Table3[[#This Row],[Type Received]]=3,"BILL","ACH")))</f>
        <v>BILL</v>
      </c>
      <c r="F1716" s="35">
        <v>43.46</v>
      </c>
      <c r="G1716" s="14" t="str">
        <f>VLOOKUP(D1716,Table4[],3,FALSE)</f>
        <v>2</v>
      </c>
      <c r="H1716" s="15"/>
      <c r="I1716" s="15"/>
      <c r="J1716" s="15" t="s">
        <v>87</v>
      </c>
      <c r="K1716" s="15">
        <v>696725462</v>
      </c>
      <c r="L1716" s="15" t="s">
        <v>29</v>
      </c>
      <c r="M1716" s="15" t="s">
        <v>29</v>
      </c>
    </row>
    <row r="1717" spans="1:13" x14ac:dyDescent="0.25">
      <c r="A1717" s="23">
        <f t="shared" si="87"/>
        <v>177468</v>
      </c>
      <c r="B1717" s="14" t="str">
        <f t="shared" si="85"/>
        <v>Direct Debit (UMB Bank) - Credits</v>
      </c>
      <c r="C1717" s="37">
        <v>46150</v>
      </c>
      <c r="D1717" s="31">
        <v>177468</v>
      </c>
      <c r="E1717" s="33" t="str">
        <f>IF(Table3[[#This Row],[Type Received]]=2,"CC",(IF(Table3[[#This Row],[Type Received]]=3,"BILL","ACH")))</f>
        <v>ACH</v>
      </c>
      <c r="F1717" s="32">
        <v>14.64</v>
      </c>
      <c r="G1717" s="14" t="str">
        <f>VLOOKUP(D1717,Table4[],3,FALSE)</f>
        <v>2</v>
      </c>
      <c r="H1717" s="15">
        <v>58008594</v>
      </c>
      <c r="I1717" s="15"/>
      <c r="J1717" s="15"/>
      <c r="K1717" s="15"/>
      <c r="L1717" s="15"/>
      <c r="M1717" s="15" t="s">
        <v>29</v>
      </c>
    </row>
    <row r="1718" spans="1:13" x14ac:dyDescent="0.25">
      <c r="A1718" s="23">
        <f t="shared" si="87"/>
        <v>177614</v>
      </c>
      <c r="B1718" s="14" t="str">
        <f t="shared" si="85"/>
        <v>Billing - Credits (from TPA)</v>
      </c>
      <c r="C1718" s="38">
        <v>46157</v>
      </c>
      <c r="D1718" s="34">
        <v>177614</v>
      </c>
      <c r="E1718" s="36" t="str">
        <f>IF(Table3[[#This Row],[Type Received]]=2,"CC",(IF(Table3[[#This Row],[Type Received]]=3,"BILL","ACH")))</f>
        <v>BILL</v>
      </c>
      <c r="F1718" s="35">
        <v>19.579999999999998</v>
      </c>
      <c r="G1718" s="14" t="str">
        <f>VLOOKUP(D1718,Table4[],3,FALSE)</f>
        <v>1</v>
      </c>
      <c r="H1718" s="15"/>
      <c r="I1718" s="15"/>
      <c r="J1718" s="15" t="s">
        <v>87</v>
      </c>
      <c r="K1718" s="15">
        <v>696734173</v>
      </c>
      <c r="L1718" s="15" t="s">
        <v>29</v>
      </c>
      <c r="M1718" s="15" t="s">
        <v>29</v>
      </c>
    </row>
    <row r="1719" spans="1:13" x14ac:dyDescent="0.25">
      <c r="A1719" s="23">
        <f t="shared" si="87"/>
        <v>177654</v>
      </c>
      <c r="B1719" s="14" t="str">
        <f t="shared" si="85"/>
        <v>Direct Debit (UMB Bank) - Credits</v>
      </c>
      <c r="C1719" s="37">
        <v>46169</v>
      </c>
      <c r="D1719" s="31">
        <v>177654</v>
      </c>
      <c r="E1719" s="33" t="str">
        <f>IF(Table3[[#This Row],[Type Received]]=2,"CC",(IF(Table3[[#This Row],[Type Received]]=3,"BILL","ACH")))</f>
        <v>ACH</v>
      </c>
      <c r="F1719" s="32">
        <v>149.26</v>
      </c>
      <c r="G1719" s="14" t="str">
        <f>VLOOKUP(D1719,Table4[],3,FALSE)</f>
        <v>2</v>
      </c>
      <c r="H1719" s="15">
        <v>5499</v>
      </c>
      <c r="I1719" s="15"/>
      <c r="J1719" s="15"/>
      <c r="K1719" s="15"/>
      <c r="L1719" s="15"/>
      <c r="M1719" s="15" t="s">
        <v>29</v>
      </c>
    </row>
    <row r="1720" spans="1:13" x14ac:dyDescent="0.25">
      <c r="A1720" s="23">
        <f t="shared" si="87"/>
        <v>177662</v>
      </c>
      <c r="B1720" s="14" t="str">
        <f t="shared" si="85"/>
        <v>Direct Debit (UMB Bank) - Credits</v>
      </c>
      <c r="C1720" s="38">
        <v>46144</v>
      </c>
      <c r="D1720" s="34">
        <v>177662</v>
      </c>
      <c r="E1720" s="36" t="str">
        <f>IF(Table3[[#This Row],[Type Received]]=2,"CC",(IF(Table3[[#This Row],[Type Received]]=3,"BILL","ACH")))</f>
        <v>ACH</v>
      </c>
      <c r="F1720" s="35">
        <v>12.02</v>
      </c>
      <c r="G1720" s="14" t="str">
        <f>VLOOKUP(D1720,Table4[],3,FALSE)</f>
        <v>1</v>
      </c>
      <c r="H1720" s="15"/>
      <c r="I1720" s="15"/>
      <c r="J1720" s="15" t="s">
        <v>89</v>
      </c>
      <c r="K1720" s="15">
        <v>535396622</v>
      </c>
      <c r="L1720" s="15" t="s">
        <v>29</v>
      </c>
      <c r="M1720" s="15" t="s">
        <v>29</v>
      </c>
    </row>
    <row r="1721" spans="1:13" x14ac:dyDescent="0.25">
      <c r="A1721" s="23">
        <f t="shared" si="87"/>
        <v>177709</v>
      </c>
      <c r="B1721" s="14" t="str">
        <f t="shared" si="85"/>
        <v>Direct Debit (UMB Bank) - Credits</v>
      </c>
      <c r="C1721" s="37">
        <v>46144</v>
      </c>
      <c r="D1721" s="31">
        <v>177709</v>
      </c>
      <c r="E1721" s="33" t="str">
        <f>IF(Table3[[#This Row],[Type Received]]=2,"CC",(IF(Table3[[#This Row],[Type Received]]=3,"BILL","ACH")))</f>
        <v>ACH</v>
      </c>
      <c r="F1721" s="32">
        <v>46.47</v>
      </c>
      <c r="G1721" s="14" t="str">
        <f>VLOOKUP(D1721,Table4[],3,FALSE)</f>
        <v>2</v>
      </c>
      <c r="H1721" s="15"/>
      <c r="I1721" s="15"/>
      <c r="J1721" s="15" t="s">
        <v>89</v>
      </c>
      <c r="K1721" s="15">
        <v>535401373</v>
      </c>
      <c r="L1721" s="15" t="s">
        <v>29</v>
      </c>
      <c r="M1721" s="15" t="s">
        <v>29</v>
      </c>
    </row>
    <row r="1722" spans="1:13" x14ac:dyDescent="0.25">
      <c r="A1722" s="23">
        <f t="shared" si="87"/>
        <v>177715</v>
      </c>
      <c r="B1722" s="14" t="str">
        <f t="shared" si="85"/>
        <v>Direct Debit (UMB Bank) - Credits</v>
      </c>
      <c r="C1722" s="38">
        <v>46144</v>
      </c>
      <c r="D1722" s="34">
        <v>177715</v>
      </c>
      <c r="E1722" s="36" t="str">
        <f>IF(Table3[[#This Row],[Type Received]]=2,"CC",(IF(Table3[[#This Row],[Type Received]]=3,"BILL","ACH")))</f>
        <v>ACH</v>
      </c>
      <c r="F1722" s="35">
        <v>34.950000000000003</v>
      </c>
      <c r="G1722" s="14" t="str">
        <f>VLOOKUP(D1722,Table4[],3,FALSE)</f>
        <v>2</v>
      </c>
      <c r="H1722" s="15"/>
      <c r="I1722" s="15"/>
      <c r="J1722" s="15" t="s">
        <v>89</v>
      </c>
      <c r="K1722" s="15">
        <v>535385086</v>
      </c>
      <c r="L1722" s="15" t="s">
        <v>29</v>
      </c>
      <c r="M1722" s="15"/>
    </row>
    <row r="1723" spans="1:13" x14ac:dyDescent="0.25">
      <c r="A1723" s="23">
        <f t="shared" si="87"/>
        <v>177798</v>
      </c>
      <c r="B1723" s="14" t="str">
        <f t="shared" si="85"/>
        <v>Direct Debit (UMB Bank) - Credits</v>
      </c>
      <c r="C1723" s="37">
        <v>46148</v>
      </c>
      <c r="D1723" s="31">
        <v>177798</v>
      </c>
      <c r="E1723" s="33" t="str">
        <f>IF(Table3[[#This Row],[Type Received]]=2,"CC",(IF(Table3[[#This Row],[Type Received]]=3,"BILL","ACH")))</f>
        <v>ACH</v>
      </c>
      <c r="F1723" s="32">
        <v>14</v>
      </c>
      <c r="G1723" s="14" t="str">
        <f>VLOOKUP(D1723,Table4[],3,FALSE)</f>
        <v>1</v>
      </c>
      <c r="H1723" s="15"/>
      <c r="I1723" s="15"/>
      <c r="J1723" s="15" t="s">
        <v>126</v>
      </c>
      <c r="K1723" s="15">
        <v>582140455</v>
      </c>
      <c r="L1723" s="15" t="s">
        <v>29</v>
      </c>
      <c r="M1723" s="15" t="s">
        <v>29</v>
      </c>
    </row>
    <row r="1724" spans="1:13" x14ac:dyDescent="0.25">
      <c r="A1724" s="23">
        <f t="shared" si="87"/>
        <v>177971</v>
      </c>
      <c r="B1724" s="14" t="str">
        <f t="shared" si="85"/>
        <v>Direct Debit (UMB Bank) - Credits</v>
      </c>
      <c r="C1724" s="38">
        <v>46157</v>
      </c>
      <c r="D1724" s="34">
        <v>177971</v>
      </c>
      <c r="E1724" s="36" t="str">
        <f>IF(Table3[[#This Row],[Type Received]]=2,"CC",(IF(Table3[[#This Row],[Type Received]]=3,"BILL","ACH")))</f>
        <v>ACH</v>
      </c>
      <c r="F1724" s="35">
        <v>47.28</v>
      </c>
      <c r="G1724" s="14" t="str">
        <f>VLOOKUP(D1724,Table4[],3,FALSE)</f>
        <v>1</v>
      </c>
      <c r="H1724" s="15"/>
      <c r="I1724" s="15"/>
      <c r="J1724" s="15" t="s">
        <v>87</v>
      </c>
      <c r="K1724" s="15">
        <v>696590596</v>
      </c>
      <c r="L1724" s="15" t="s">
        <v>29</v>
      </c>
      <c r="M1724" s="15" t="s">
        <v>29</v>
      </c>
    </row>
    <row r="1725" spans="1:13" x14ac:dyDescent="0.25">
      <c r="A1725" s="23">
        <f t="shared" si="87"/>
        <v>177972</v>
      </c>
      <c r="B1725" s="14" t="str">
        <f t="shared" si="85"/>
        <v>Direct Debit (UMB Bank) - Credits</v>
      </c>
      <c r="C1725" s="37">
        <v>46167</v>
      </c>
      <c r="D1725" s="31">
        <v>177972</v>
      </c>
      <c r="E1725" s="33" t="str">
        <f>IF(Table3[[#This Row],[Type Received]]=2,"CC",(IF(Table3[[#This Row],[Type Received]]=3,"BILL","ACH")))</f>
        <v>ACH</v>
      </c>
      <c r="F1725" s="32">
        <v>44.58</v>
      </c>
      <c r="G1725" s="14" t="str">
        <f>VLOOKUP(D1725,Table4[],3,FALSE)</f>
        <v>2</v>
      </c>
      <c r="H1725" s="15"/>
      <c r="I1725" s="15"/>
      <c r="J1725" s="15" t="s">
        <v>85</v>
      </c>
      <c r="K1725" s="15">
        <v>818353669</v>
      </c>
      <c r="L1725" s="15" t="s">
        <v>29</v>
      </c>
      <c r="M1725" s="15" t="s">
        <v>29</v>
      </c>
    </row>
    <row r="1726" spans="1:13" x14ac:dyDescent="0.25">
      <c r="A1726" s="23">
        <f t="shared" si="87"/>
        <v>177973</v>
      </c>
      <c r="B1726" s="14" t="str">
        <f t="shared" si="85"/>
        <v>Direct Debit (UMB Bank) - Credits</v>
      </c>
      <c r="C1726" s="38">
        <v>46167</v>
      </c>
      <c r="D1726" s="34">
        <v>177973</v>
      </c>
      <c r="E1726" s="36" t="str">
        <f>IF(Table3[[#This Row],[Type Received]]=2,"CC",(IF(Table3[[#This Row],[Type Received]]=3,"BILL","ACH")))</f>
        <v>ACH</v>
      </c>
      <c r="F1726" s="35">
        <v>9.08</v>
      </c>
      <c r="G1726" s="14" t="str">
        <f>VLOOKUP(D1726,Table4[],3,FALSE)</f>
        <v>2</v>
      </c>
      <c r="H1726" s="15"/>
      <c r="I1726" s="15"/>
      <c r="J1726" s="15" t="s">
        <v>85</v>
      </c>
      <c r="K1726" s="15">
        <v>818349921</v>
      </c>
      <c r="L1726" s="15" t="s">
        <v>29</v>
      </c>
      <c r="M1726" s="15" t="s">
        <v>29</v>
      </c>
    </row>
    <row r="1727" spans="1:13" x14ac:dyDescent="0.25">
      <c r="A1727" s="23">
        <f t="shared" si="87"/>
        <v>178028</v>
      </c>
      <c r="B1727" s="14" t="str">
        <f t="shared" si="85"/>
        <v>Billing - Credits (from TPA)</v>
      </c>
      <c r="C1727" s="37">
        <v>46167</v>
      </c>
      <c r="D1727" s="31">
        <v>178028</v>
      </c>
      <c r="E1727" s="33" t="str">
        <f>IF(Table3[[#This Row],[Type Received]]=2,"CC",(IF(Table3[[#This Row],[Type Received]]=3,"BILL","ACH")))</f>
        <v>BILL</v>
      </c>
      <c r="F1727" s="32">
        <v>24.62</v>
      </c>
      <c r="G1727" s="14" t="str">
        <f>VLOOKUP(D1727,Table4[],3,FALSE)</f>
        <v>1</v>
      </c>
      <c r="H1727" s="15"/>
      <c r="I1727" s="15"/>
      <c r="J1727" s="15" t="s">
        <v>85</v>
      </c>
      <c r="K1727" s="15">
        <v>818354652</v>
      </c>
      <c r="L1727" s="15" t="s">
        <v>29</v>
      </c>
      <c r="M1727" s="15" t="s">
        <v>29</v>
      </c>
    </row>
    <row r="1728" spans="1:13" x14ac:dyDescent="0.25">
      <c r="A1728" s="23">
        <f t="shared" si="87"/>
        <v>178225</v>
      </c>
      <c r="B1728" s="14" t="str">
        <f t="shared" si="85"/>
        <v>Billing - Credits (from TPA)</v>
      </c>
      <c r="C1728" s="38">
        <v>46153</v>
      </c>
      <c r="D1728" s="34">
        <v>178225</v>
      </c>
      <c r="E1728" s="36" t="str">
        <f>IF(Table3[[#This Row],[Type Received]]=2,"CC",(IF(Table3[[#This Row],[Type Received]]=3,"BILL","ACH")))</f>
        <v>BILL</v>
      </c>
      <c r="F1728" s="35">
        <v>17.2</v>
      </c>
      <c r="G1728" s="14" t="str">
        <f>VLOOKUP(D1728,Table4[],3,FALSE)</f>
        <v>2</v>
      </c>
      <c r="H1728" s="15">
        <v>78057081179</v>
      </c>
      <c r="I1728" s="15"/>
      <c r="J1728" s="24"/>
      <c r="K1728" s="15"/>
      <c r="L1728" s="15"/>
      <c r="M1728" s="15" t="s">
        <v>29</v>
      </c>
    </row>
    <row r="1729" spans="1:13" x14ac:dyDescent="0.25">
      <c r="A1729" s="23">
        <f t="shared" si="87"/>
        <v>178235</v>
      </c>
      <c r="B1729" s="14" t="str">
        <f t="shared" si="85"/>
        <v>Billing - Credits (from TPA)</v>
      </c>
      <c r="C1729" s="37">
        <v>46164</v>
      </c>
      <c r="D1729" s="31">
        <v>178235</v>
      </c>
      <c r="E1729" s="33" t="str">
        <f>IF(Table3[[#This Row],[Type Received]]=2,"CC",(IF(Table3[[#This Row],[Type Received]]=3,"BILL","ACH")))</f>
        <v>BILL</v>
      </c>
      <c r="F1729" s="32">
        <v>80</v>
      </c>
      <c r="G1729" s="14" t="str">
        <f>VLOOKUP(D1729,Table4[],3,FALSE)</f>
        <v>2</v>
      </c>
      <c r="H1729" s="15">
        <v>4496482197</v>
      </c>
      <c r="I1729" s="15"/>
      <c r="J1729" s="15"/>
      <c r="K1729" s="15"/>
      <c r="L1729" s="15"/>
      <c r="M1729" s="15" t="s">
        <v>29</v>
      </c>
    </row>
    <row r="1730" spans="1:13" x14ac:dyDescent="0.25">
      <c r="A1730" s="23">
        <f t="shared" si="87"/>
        <v>178235</v>
      </c>
      <c r="B1730" s="14" t="str">
        <f t="shared" ref="B1730:B1793" si="88">IF(AND(E1730="BILL",F1730&lt;0),"Billing &amp; Direct Debit - Refunds",(IF(AND(E1730="BILL",F1730&gt;0),"Billing - Credits (from TPA)",(IF(AND(E1730="CC",F1730&lt;0),"Credit Cards (UMB) - Refunds",(IF(AND(E1730="CC",F1730&gt;0),"Credit Cards (UMB) - Credits",(IF(AND(E1730="ACH",F1730&gt;0),"Direct Debit (UMB Bank) - Credits","Direct Debit (UMB Bank) - Returned Items")))))))))</f>
        <v>Direct Debit (UMB Bank) - Credits</v>
      </c>
      <c r="C1730" s="38">
        <v>46146</v>
      </c>
      <c r="D1730" s="34">
        <v>178235</v>
      </c>
      <c r="E1730" s="36" t="str">
        <f>IF(Table3[[#This Row],[Type Received]]=2,"CC",(IF(Table3[[#This Row],[Type Received]]=3,"BILL","ACH")))</f>
        <v>ACH</v>
      </c>
      <c r="F1730" s="35">
        <v>75</v>
      </c>
      <c r="G1730" s="14" t="str">
        <f>VLOOKUP(D1730,Table4[],3,FALSE)</f>
        <v>2</v>
      </c>
      <c r="H1730" s="15">
        <v>4459779050</v>
      </c>
      <c r="I1730" s="15"/>
      <c r="J1730" s="15"/>
      <c r="K1730" s="15"/>
      <c r="L1730" s="15"/>
      <c r="M1730" s="15" t="s">
        <v>29</v>
      </c>
    </row>
    <row r="1731" spans="1:13" x14ac:dyDescent="0.25">
      <c r="A1731" s="23">
        <f t="shared" si="87"/>
        <v>178327</v>
      </c>
      <c r="B1731" s="14" t="str">
        <f t="shared" si="88"/>
        <v>Direct Debit (UMB Bank) - Credits</v>
      </c>
      <c r="C1731" s="37">
        <v>46144</v>
      </c>
      <c r="D1731" s="31">
        <v>178327</v>
      </c>
      <c r="E1731" s="33" t="str">
        <f>IF(Table3[[#This Row],[Type Received]]=2,"CC",(IF(Table3[[#This Row],[Type Received]]=3,"BILL","ACH")))</f>
        <v>ACH</v>
      </c>
      <c r="F1731" s="32">
        <v>33.700000000000003</v>
      </c>
      <c r="G1731" s="14" t="str">
        <f>VLOOKUP(D1731,Table4[],3,FALSE)</f>
        <v>1</v>
      </c>
      <c r="H1731" s="15"/>
      <c r="I1731" s="15"/>
      <c r="J1731" s="15" t="s">
        <v>89</v>
      </c>
      <c r="K1731" s="15">
        <v>535387954</v>
      </c>
      <c r="L1731" s="15" t="s">
        <v>29</v>
      </c>
      <c r="M1731" s="15" t="s">
        <v>29</v>
      </c>
    </row>
    <row r="1732" spans="1:13" x14ac:dyDescent="0.25">
      <c r="A1732" s="23">
        <f t="shared" si="87"/>
        <v>178339</v>
      </c>
      <c r="B1732" s="14" t="str">
        <f t="shared" si="88"/>
        <v>Direct Debit (UMB Bank) - Credits</v>
      </c>
      <c r="C1732" s="38">
        <v>46167</v>
      </c>
      <c r="D1732" s="34">
        <v>178339</v>
      </c>
      <c r="E1732" s="36" t="str">
        <f>IF(Table3[[#This Row],[Type Received]]=2,"CC",(IF(Table3[[#This Row],[Type Received]]=3,"BILL","ACH")))</f>
        <v>ACH</v>
      </c>
      <c r="F1732" s="35">
        <v>28.41</v>
      </c>
      <c r="G1732" s="14" t="str">
        <f>VLOOKUP(D1732,Table4[],3,FALSE)</f>
        <v>2</v>
      </c>
      <c r="H1732" s="15"/>
      <c r="I1732" s="15"/>
      <c r="J1732" s="24" t="s">
        <v>85</v>
      </c>
      <c r="K1732" s="15">
        <v>818325571</v>
      </c>
      <c r="L1732" s="15" t="s">
        <v>29</v>
      </c>
      <c r="M1732" s="15" t="s">
        <v>29</v>
      </c>
    </row>
    <row r="1733" spans="1:13" x14ac:dyDescent="0.25">
      <c r="A1733" s="23">
        <f t="shared" si="87"/>
        <v>178401</v>
      </c>
      <c r="B1733" s="14" t="str">
        <f t="shared" si="88"/>
        <v>Direct Debit (UMB Bank) - Credits</v>
      </c>
      <c r="C1733" s="37">
        <v>46158</v>
      </c>
      <c r="D1733" s="31">
        <v>178401</v>
      </c>
      <c r="E1733" s="33" t="str">
        <f>IF(Table3[[#This Row],[Type Received]]=2,"CC",(IF(Table3[[#This Row],[Type Received]]=3,"BILL","ACH")))</f>
        <v>ACH</v>
      </c>
      <c r="F1733" s="32">
        <v>21.92</v>
      </c>
      <c r="G1733" s="14" t="str">
        <f>VLOOKUP(D1733,Table4[],3,FALSE)</f>
        <v>1</v>
      </c>
      <c r="H1733" s="15"/>
      <c r="I1733" s="15"/>
      <c r="J1733" s="15" t="s">
        <v>106</v>
      </c>
      <c r="K1733" s="15">
        <v>710029081</v>
      </c>
      <c r="L1733" s="15" t="s">
        <v>29</v>
      </c>
      <c r="M1733" s="15" t="s">
        <v>29</v>
      </c>
    </row>
    <row r="1734" spans="1:13" x14ac:dyDescent="0.25">
      <c r="A1734" s="23">
        <f t="shared" si="87"/>
        <v>178406</v>
      </c>
      <c r="B1734" s="14" t="str">
        <f t="shared" si="88"/>
        <v>Billing - Credits (from TPA)</v>
      </c>
      <c r="C1734" s="38">
        <v>46167</v>
      </c>
      <c r="D1734" s="34">
        <v>178406</v>
      </c>
      <c r="E1734" s="36" t="str">
        <f>IF(Table3[[#This Row],[Type Received]]=2,"CC",(IF(Table3[[#This Row],[Type Received]]=3,"BILL","ACH")))</f>
        <v>BILL</v>
      </c>
      <c r="F1734" s="35">
        <v>35.340000000000003</v>
      </c>
      <c r="G1734" s="14" t="str">
        <f>VLOOKUP(D1734,Table4[],3,FALSE)</f>
        <v>1</v>
      </c>
      <c r="H1734" s="15"/>
      <c r="I1734" s="15"/>
      <c r="J1734" s="15" t="s">
        <v>85</v>
      </c>
      <c r="K1734" s="15">
        <v>818347025</v>
      </c>
      <c r="L1734" s="15" t="s">
        <v>29</v>
      </c>
      <c r="M1734" s="15"/>
    </row>
    <row r="1735" spans="1:13" x14ac:dyDescent="0.25">
      <c r="A1735" s="23">
        <f t="shared" si="87"/>
        <v>178449</v>
      </c>
      <c r="B1735" s="14" t="str">
        <f t="shared" si="88"/>
        <v>Billing - Credits (from TPA)</v>
      </c>
      <c r="C1735" s="37">
        <v>46146</v>
      </c>
      <c r="D1735" s="31">
        <v>178449</v>
      </c>
      <c r="E1735" s="33" t="str">
        <f>IF(Table3[[#This Row],[Type Received]]=2,"CC",(IF(Table3[[#This Row],[Type Received]]=3,"BILL","ACH")))</f>
        <v>BILL</v>
      </c>
      <c r="F1735" s="32">
        <v>31.06</v>
      </c>
      <c r="G1735" s="14" t="str">
        <f>VLOOKUP(D1735,Table4[],3,FALSE)</f>
        <v>2</v>
      </c>
      <c r="H1735" s="15">
        <v>101</v>
      </c>
      <c r="I1735" s="15"/>
      <c r="J1735" s="15"/>
      <c r="K1735" s="15"/>
      <c r="L1735" s="15"/>
      <c r="M1735" s="15"/>
    </row>
    <row r="1736" spans="1:13" x14ac:dyDescent="0.25">
      <c r="A1736" s="23">
        <f t="shared" si="87"/>
        <v>178477</v>
      </c>
      <c r="B1736" s="14" t="str">
        <f t="shared" si="88"/>
        <v>Direct Debit (UMB Bank) - Credits</v>
      </c>
      <c r="C1736" s="38">
        <v>46146</v>
      </c>
      <c r="D1736" s="34">
        <v>178477</v>
      </c>
      <c r="E1736" s="36" t="str">
        <f>IF(Table3[[#This Row],[Type Received]]=2,"CC",(IF(Table3[[#This Row],[Type Received]]=3,"BILL","ACH")))</f>
        <v>ACH</v>
      </c>
      <c r="F1736" s="35">
        <v>67.72</v>
      </c>
      <c r="G1736" s="14" t="str">
        <f>VLOOKUP(D1736,Table4[],3,FALSE)</f>
        <v>2</v>
      </c>
      <c r="H1736" s="15">
        <v>2701</v>
      </c>
      <c r="I1736" s="15"/>
      <c r="J1736" s="15"/>
      <c r="K1736" s="15"/>
      <c r="L1736" s="15"/>
      <c r="M1736" s="15"/>
    </row>
    <row r="1737" spans="1:13" x14ac:dyDescent="0.25">
      <c r="A1737" s="23">
        <f t="shared" si="87"/>
        <v>178662</v>
      </c>
      <c r="B1737" s="14" t="str">
        <f t="shared" si="88"/>
        <v>Credit Cards (UMB) - Credits</v>
      </c>
      <c r="C1737" s="37">
        <v>46144</v>
      </c>
      <c r="D1737" s="31">
        <v>178662</v>
      </c>
      <c r="E1737" s="33" t="str">
        <f>IF(Table3[[#This Row],[Type Received]]=2,"CC",(IF(Table3[[#This Row],[Type Received]]=3,"BILL","ACH")))</f>
        <v>CC</v>
      </c>
      <c r="F1737" s="32">
        <v>30.72</v>
      </c>
      <c r="G1737" s="14" t="str">
        <f>VLOOKUP(D1737,Table4[],3,FALSE)</f>
        <v>1</v>
      </c>
      <c r="H1737" s="15"/>
      <c r="I1737" s="15"/>
      <c r="J1737" s="24" t="s">
        <v>89</v>
      </c>
      <c r="K1737" s="15">
        <v>535409187</v>
      </c>
      <c r="L1737" s="15" t="s">
        <v>29</v>
      </c>
      <c r="M1737" s="15"/>
    </row>
    <row r="1738" spans="1:13" x14ac:dyDescent="0.25">
      <c r="A1738" s="23">
        <f t="shared" si="87"/>
        <v>178670</v>
      </c>
      <c r="B1738" s="14" t="str">
        <f t="shared" si="88"/>
        <v>Direct Debit (UMB Bank) - Credits</v>
      </c>
      <c r="C1738" s="38">
        <v>46163</v>
      </c>
      <c r="D1738" s="34">
        <v>178670</v>
      </c>
      <c r="E1738" s="36" t="str">
        <f>IF(Table3[[#This Row],[Type Received]]=2,"CC",(IF(Table3[[#This Row],[Type Received]]=3,"BILL","ACH")))</f>
        <v>ACH</v>
      </c>
      <c r="F1738" s="35">
        <v>23.14</v>
      </c>
      <c r="G1738" s="14" t="str">
        <f>VLOOKUP(D1738,Table4[],3,FALSE)</f>
        <v>2</v>
      </c>
      <c r="H1738" s="15"/>
      <c r="I1738" s="15">
        <v>105379</v>
      </c>
      <c r="J1738" s="24" t="s">
        <v>28</v>
      </c>
      <c r="K1738" s="15">
        <v>776727272</v>
      </c>
      <c r="L1738" s="15" t="s">
        <v>29</v>
      </c>
      <c r="M1738" s="15"/>
    </row>
    <row r="1739" spans="1:13" x14ac:dyDescent="0.25">
      <c r="A1739" s="23">
        <f t="shared" si="87"/>
        <v>178760</v>
      </c>
      <c r="B1739" s="14" t="str">
        <f t="shared" si="88"/>
        <v>Billing - Credits (from TPA)</v>
      </c>
      <c r="C1739" s="37">
        <v>46167</v>
      </c>
      <c r="D1739" s="31">
        <v>178760</v>
      </c>
      <c r="E1739" s="33" t="str">
        <f>IF(Table3[[#This Row],[Type Received]]=2,"CC",(IF(Table3[[#This Row],[Type Received]]=3,"BILL","ACH")))</f>
        <v>BILL</v>
      </c>
      <c r="F1739" s="32">
        <v>26.76</v>
      </c>
      <c r="G1739" s="14" t="str">
        <f>VLOOKUP(D1739,Table4[],3,FALSE)</f>
        <v>1</v>
      </c>
      <c r="H1739" s="15"/>
      <c r="I1739" s="15"/>
      <c r="J1739" s="24" t="s">
        <v>85</v>
      </c>
      <c r="K1739" s="15">
        <v>818362550</v>
      </c>
      <c r="L1739" s="15" t="s">
        <v>29</v>
      </c>
      <c r="M1739" s="15"/>
    </row>
    <row r="1740" spans="1:13" x14ac:dyDescent="0.25">
      <c r="A1740" s="23">
        <f t="shared" si="87"/>
        <v>178813</v>
      </c>
      <c r="B1740" s="14" t="str">
        <f t="shared" si="88"/>
        <v>Credit Cards (UMB) - Credits</v>
      </c>
      <c r="C1740" s="38">
        <v>46169</v>
      </c>
      <c r="D1740" s="34">
        <v>178813</v>
      </c>
      <c r="E1740" s="36" t="str">
        <f>IF(Table3[[#This Row],[Type Received]]=2,"CC",(IF(Table3[[#This Row],[Type Received]]=3,"BILL","ACH")))</f>
        <v>CC</v>
      </c>
      <c r="F1740" s="35">
        <v>19.84</v>
      </c>
      <c r="G1740" s="14" t="str">
        <f>VLOOKUP(D1740,Table4[],3,FALSE)</f>
        <v>2</v>
      </c>
      <c r="H1740" s="15">
        <v>4415859711</v>
      </c>
      <c r="I1740" s="15"/>
      <c r="J1740" s="15"/>
      <c r="K1740" s="15"/>
      <c r="L1740" s="15"/>
      <c r="M1740" s="15" t="s">
        <v>29</v>
      </c>
    </row>
    <row r="1741" spans="1:13" x14ac:dyDescent="0.25">
      <c r="A1741" s="23">
        <f t="shared" si="87"/>
        <v>178874</v>
      </c>
      <c r="B1741" s="14" t="str">
        <f t="shared" si="88"/>
        <v>Direct Debit (UMB Bank) - Credits</v>
      </c>
      <c r="C1741" s="37">
        <v>46147</v>
      </c>
      <c r="D1741" s="31">
        <v>178874</v>
      </c>
      <c r="E1741" s="33" t="str">
        <f>IF(Table3[[#This Row],[Type Received]]=2,"CC",(IF(Table3[[#This Row],[Type Received]]=3,"BILL","ACH")))</f>
        <v>ACH</v>
      </c>
      <c r="F1741" s="32">
        <v>269.68</v>
      </c>
      <c r="G1741" s="14" t="str">
        <f>VLOOKUP(D1741,Table4[],3,FALSE)</f>
        <v>2</v>
      </c>
      <c r="H1741" s="15"/>
      <c r="I1741" s="15">
        <v>248653</v>
      </c>
      <c r="J1741" s="15" t="s">
        <v>28</v>
      </c>
      <c r="K1741" s="15">
        <v>570192996</v>
      </c>
      <c r="L1741" s="15" t="s">
        <v>29</v>
      </c>
      <c r="M1741" s="15" t="s">
        <v>29</v>
      </c>
    </row>
    <row r="1742" spans="1:13" x14ac:dyDescent="0.25">
      <c r="A1742" s="23">
        <f t="shared" si="87"/>
        <v>178981</v>
      </c>
      <c r="B1742" s="14" t="str">
        <f t="shared" si="88"/>
        <v>Direct Debit (UMB Bank) - Credits</v>
      </c>
      <c r="C1742" s="38">
        <v>46145</v>
      </c>
      <c r="D1742" s="34">
        <v>178981</v>
      </c>
      <c r="E1742" s="36" t="str">
        <f>IF(Table3[[#This Row],[Type Received]]=2,"CC",(IF(Table3[[#This Row],[Type Received]]=3,"BILL","ACH")))</f>
        <v>ACH</v>
      </c>
      <c r="F1742" s="35">
        <v>53.82</v>
      </c>
      <c r="G1742" s="14" t="str">
        <f>VLOOKUP(D1742,Table4[],3,FALSE)</f>
        <v>2</v>
      </c>
      <c r="H1742" s="15"/>
      <c r="I1742" s="15"/>
      <c r="J1742" s="15" t="s">
        <v>113</v>
      </c>
      <c r="K1742" s="15">
        <v>546440159</v>
      </c>
      <c r="L1742" s="15" t="s">
        <v>29</v>
      </c>
      <c r="M1742" s="15" t="s">
        <v>29</v>
      </c>
    </row>
    <row r="1743" spans="1:13" x14ac:dyDescent="0.25">
      <c r="A1743" s="23">
        <f t="shared" si="87"/>
        <v>179067</v>
      </c>
      <c r="B1743" s="14" t="str">
        <f t="shared" si="88"/>
        <v>Billing - Credits (from TPA)</v>
      </c>
      <c r="C1743" s="37">
        <v>46157</v>
      </c>
      <c r="D1743" s="31">
        <v>179067</v>
      </c>
      <c r="E1743" s="33" t="str">
        <f>IF(Table3[[#This Row],[Type Received]]=2,"CC",(IF(Table3[[#This Row],[Type Received]]=3,"BILL","ACH")))</f>
        <v>BILL</v>
      </c>
      <c r="F1743" s="32">
        <v>28.49</v>
      </c>
      <c r="G1743" s="14" t="str">
        <f>VLOOKUP(D1743,Table4[],3,FALSE)</f>
        <v>2</v>
      </c>
      <c r="H1743" s="15"/>
      <c r="I1743" s="15"/>
      <c r="J1743" s="15" t="s">
        <v>87</v>
      </c>
      <c r="K1743" s="15">
        <v>696726508</v>
      </c>
      <c r="L1743" s="15" t="s">
        <v>29</v>
      </c>
      <c r="M1743" s="15" t="s">
        <v>29</v>
      </c>
    </row>
    <row r="1744" spans="1:13" x14ac:dyDescent="0.25">
      <c r="A1744" s="23">
        <f t="shared" si="87"/>
        <v>179109</v>
      </c>
      <c r="B1744" s="14" t="str">
        <f t="shared" si="88"/>
        <v>Billing - Credits (from TPA)</v>
      </c>
      <c r="C1744" s="38">
        <v>46168</v>
      </c>
      <c r="D1744" s="34">
        <v>179109</v>
      </c>
      <c r="E1744" s="36" t="str">
        <f>IF(Table3[[#This Row],[Type Received]]=2,"CC",(IF(Table3[[#This Row],[Type Received]]=3,"BILL","ACH")))</f>
        <v>BILL</v>
      </c>
      <c r="F1744" s="35">
        <v>16.98</v>
      </c>
      <c r="G1744" s="14" t="str">
        <f>VLOOKUP(D1744,Table4[],3,FALSE)</f>
        <v>1</v>
      </c>
      <c r="H1744" s="15">
        <v>19818208756</v>
      </c>
      <c r="I1744" s="15"/>
      <c r="J1744" s="15"/>
      <c r="K1744" s="15"/>
      <c r="L1744" s="15"/>
      <c r="M1744" s="15" t="s">
        <v>29</v>
      </c>
    </row>
    <row r="1745" spans="1:13" x14ac:dyDescent="0.25">
      <c r="A1745" s="23">
        <f t="shared" si="87"/>
        <v>179146</v>
      </c>
      <c r="B1745" s="14" t="str">
        <f t="shared" si="88"/>
        <v>Direct Debit (UMB Bank) - Credits</v>
      </c>
      <c r="C1745" s="37">
        <v>46153</v>
      </c>
      <c r="D1745" s="31">
        <v>179146</v>
      </c>
      <c r="E1745" s="33" t="str">
        <f>IF(Table3[[#This Row],[Type Received]]=2,"CC",(IF(Table3[[#This Row],[Type Received]]=3,"BILL","ACH")))</f>
        <v>ACH</v>
      </c>
      <c r="F1745" s="32">
        <v>26.44</v>
      </c>
      <c r="G1745" s="14" t="str">
        <f>VLOOKUP(D1745,Table4[],3,FALSE)</f>
        <v>1</v>
      </c>
      <c r="H1745" s="15">
        <v>265</v>
      </c>
      <c r="I1745" s="15"/>
      <c r="J1745" s="15"/>
      <c r="K1745" s="15"/>
      <c r="L1745" s="15"/>
      <c r="M1745" s="15" t="s">
        <v>29</v>
      </c>
    </row>
    <row r="1746" spans="1:13" x14ac:dyDescent="0.25">
      <c r="A1746" s="23">
        <f t="shared" si="87"/>
        <v>179278</v>
      </c>
      <c r="B1746" s="14" t="str">
        <f t="shared" si="88"/>
        <v>Direct Debit (UMB Bank) - Credits</v>
      </c>
      <c r="C1746" s="38">
        <v>46145</v>
      </c>
      <c r="D1746" s="34">
        <v>179278</v>
      </c>
      <c r="E1746" s="36" t="str">
        <f>IF(Table3[[#This Row],[Type Received]]=2,"CC",(IF(Table3[[#This Row],[Type Received]]=3,"BILL","ACH")))</f>
        <v>ACH</v>
      </c>
      <c r="F1746" s="35">
        <v>9.6</v>
      </c>
      <c r="G1746" s="14" t="str">
        <f>VLOOKUP(D1746,Table4[],3,FALSE)</f>
        <v>1</v>
      </c>
      <c r="H1746" s="15"/>
      <c r="I1746" s="15"/>
      <c r="J1746" s="15" t="s">
        <v>113</v>
      </c>
      <c r="K1746" s="15">
        <v>546440167</v>
      </c>
      <c r="L1746" s="15" t="s">
        <v>29</v>
      </c>
      <c r="M1746" s="15" t="s">
        <v>29</v>
      </c>
    </row>
    <row r="1747" spans="1:13" x14ac:dyDescent="0.25">
      <c r="A1747" s="23">
        <f t="shared" si="87"/>
        <v>179370</v>
      </c>
      <c r="B1747" s="14" t="str">
        <f t="shared" si="88"/>
        <v>Billing - Credits (from TPA)</v>
      </c>
      <c r="C1747" s="37">
        <v>46143</v>
      </c>
      <c r="D1747" s="31">
        <v>179370</v>
      </c>
      <c r="E1747" s="33" t="str">
        <f>IF(Table3[[#This Row],[Type Received]]=2,"CC",(IF(Table3[[#This Row],[Type Received]]=3,"BILL","ACH")))</f>
        <v>BILL</v>
      </c>
      <c r="F1747" s="32">
        <v>40.840000000000003</v>
      </c>
      <c r="G1747" s="14" t="str">
        <f>VLOOKUP(D1747,Table4[],3,FALSE)</f>
        <v>1</v>
      </c>
      <c r="H1747" s="15"/>
      <c r="I1747" s="15"/>
      <c r="J1747" s="15" t="s">
        <v>84</v>
      </c>
      <c r="K1747" s="15">
        <v>522418766</v>
      </c>
      <c r="L1747" s="15" t="s">
        <v>29</v>
      </c>
      <c r="M1747" s="15" t="s">
        <v>29</v>
      </c>
    </row>
    <row r="1748" spans="1:13" x14ac:dyDescent="0.25">
      <c r="A1748" s="23">
        <f t="shared" si="87"/>
        <v>179394</v>
      </c>
      <c r="B1748" s="14" t="str">
        <f t="shared" si="88"/>
        <v>Billing - Credits (from TPA)</v>
      </c>
      <c r="C1748" s="38">
        <v>46143</v>
      </c>
      <c r="D1748" s="34">
        <v>179394</v>
      </c>
      <c r="E1748" s="36" t="str">
        <f>IF(Table3[[#This Row],[Type Received]]=2,"CC",(IF(Table3[[#This Row],[Type Received]]=3,"BILL","ACH")))</f>
        <v>BILL</v>
      </c>
      <c r="F1748" s="35">
        <v>36.56</v>
      </c>
      <c r="G1748" s="14" t="str">
        <f>VLOOKUP(D1748,Table4[],3,FALSE)</f>
        <v>1</v>
      </c>
      <c r="H1748" s="15">
        <v>74882531</v>
      </c>
      <c r="I1748" s="15"/>
      <c r="J1748" s="15"/>
      <c r="K1748" s="15"/>
      <c r="L1748" s="15"/>
      <c r="M1748" s="15" t="s">
        <v>29</v>
      </c>
    </row>
    <row r="1749" spans="1:13" x14ac:dyDescent="0.25">
      <c r="A1749" s="23">
        <f t="shared" si="87"/>
        <v>179395</v>
      </c>
      <c r="B1749" s="14" t="str">
        <f t="shared" si="88"/>
        <v>Billing - Credits (from TPA)</v>
      </c>
      <c r="C1749" s="37">
        <v>46155</v>
      </c>
      <c r="D1749" s="31">
        <v>179395</v>
      </c>
      <c r="E1749" s="33" t="str">
        <f>IF(Table3[[#This Row],[Type Received]]=2,"CC",(IF(Table3[[#This Row],[Type Received]]=3,"BILL","ACH")))</f>
        <v>BILL</v>
      </c>
      <c r="F1749" s="32">
        <v>20.5</v>
      </c>
      <c r="G1749" s="14" t="str">
        <f>VLOOKUP(D1749,Table4[],3,FALSE)</f>
        <v>2</v>
      </c>
      <c r="H1749" s="15">
        <v>4503061799</v>
      </c>
      <c r="I1749" s="15"/>
      <c r="J1749" s="24"/>
      <c r="K1749" s="15"/>
      <c r="L1749" s="15"/>
      <c r="M1749" s="15" t="s">
        <v>29</v>
      </c>
    </row>
    <row r="1750" spans="1:13" x14ac:dyDescent="0.25">
      <c r="A1750" s="23">
        <f t="shared" si="87"/>
        <v>179409</v>
      </c>
      <c r="B1750" s="14" t="str">
        <f t="shared" si="88"/>
        <v>Credit Cards (UMB) - Credits</v>
      </c>
      <c r="C1750" s="38">
        <v>46157</v>
      </c>
      <c r="D1750" s="34">
        <v>179409</v>
      </c>
      <c r="E1750" s="36" t="str">
        <f>IF(Table3[[#This Row],[Type Received]]=2,"CC",(IF(Table3[[#This Row],[Type Received]]=3,"BILL","ACH")))</f>
        <v>CC</v>
      </c>
      <c r="F1750" s="35">
        <v>66</v>
      </c>
      <c r="G1750" s="14" t="str">
        <f>VLOOKUP(D1750,Table4[],3,FALSE)</f>
        <v>1</v>
      </c>
      <c r="H1750" s="15">
        <v>109408148003</v>
      </c>
      <c r="I1750" s="15"/>
      <c r="J1750" s="15"/>
      <c r="K1750" s="15"/>
      <c r="L1750" s="15"/>
      <c r="M1750" s="15"/>
    </row>
    <row r="1751" spans="1:13" x14ac:dyDescent="0.25">
      <c r="A1751" s="23">
        <f t="shared" si="87"/>
        <v>179437</v>
      </c>
      <c r="B1751" s="14" t="str">
        <f t="shared" si="88"/>
        <v>Credit Cards (UMB) - Credits</v>
      </c>
      <c r="C1751" s="37">
        <v>46163</v>
      </c>
      <c r="D1751" s="31">
        <v>179437</v>
      </c>
      <c r="E1751" s="33" t="str">
        <f>IF(Table3[[#This Row],[Type Received]]=2,"CC",(IF(Table3[[#This Row],[Type Received]]=3,"BILL","ACH")))</f>
        <v>CC</v>
      </c>
      <c r="F1751" s="32">
        <v>44.26</v>
      </c>
      <c r="G1751" s="14" t="str">
        <f>VLOOKUP(D1751,Table4[],3,FALSE)</f>
        <v>2</v>
      </c>
      <c r="H1751" s="15"/>
      <c r="I1751" s="15">
        <v>190179</v>
      </c>
      <c r="J1751" s="15" t="s">
        <v>28</v>
      </c>
      <c r="K1751" s="15">
        <v>777257913</v>
      </c>
      <c r="L1751" s="15" t="s">
        <v>29</v>
      </c>
      <c r="M1751" s="15" t="s">
        <v>29</v>
      </c>
    </row>
    <row r="1752" spans="1:13" x14ac:dyDescent="0.25">
      <c r="A1752" s="23">
        <f t="shared" si="87"/>
        <v>179527</v>
      </c>
      <c r="B1752" s="14" t="str">
        <f t="shared" si="88"/>
        <v>Billing - Credits (from TPA)</v>
      </c>
      <c r="C1752" s="38">
        <v>46143</v>
      </c>
      <c r="D1752" s="34">
        <v>179527</v>
      </c>
      <c r="E1752" s="36" t="str">
        <f>IF(Table3[[#This Row],[Type Received]]=2,"CC",(IF(Table3[[#This Row],[Type Received]]=3,"BILL","ACH")))</f>
        <v>BILL</v>
      </c>
      <c r="F1752" s="35">
        <v>45.9</v>
      </c>
      <c r="G1752" s="14" t="str">
        <f>VLOOKUP(D1752,Table4[],3,FALSE)</f>
        <v>2</v>
      </c>
      <c r="H1752" s="15"/>
      <c r="I1752" s="15">
        <v>32888</v>
      </c>
      <c r="J1752" s="15" t="s">
        <v>28</v>
      </c>
      <c r="K1752" s="15">
        <v>522310469</v>
      </c>
      <c r="L1752" s="15" t="s">
        <v>29</v>
      </c>
      <c r="M1752" s="15"/>
    </row>
    <row r="1753" spans="1:13" x14ac:dyDescent="0.25">
      <c r="A1753" s="23">
        <f t="shared" si="87"/>
        <v>179592</v>
      </c>
      <c r="B1753" s="14" t="str">
        <f t="shared" si="88"/>
        <v>Direct Debit (UMB Bank) - Credits</v>
      </c>
      <c r="C1753" s="37">
        <v>46153</v>
      </c>
      <c r="D1753" s="31">
        <v>179592</v>
      </c>
      <c r="E1753" s="33" t="str">
        <f>IF(Table3[[#This Row],[Type Received]]=2,"CC",(IF(Table3[[#This Row],[Type Received]]=3,"BILL","ACH")))</f>
        <v>ACH</v>
      </c>
      <c r="F1753" s="32">
        <v>51.19</v>
      </c>
      <c r="G1753" s="14" t="str">
        <f>VLOOKUP(D1753,Table4[],3,FALSE)</f>
        <v>2</v>
      </c>
      <c r="H1753" s="15">
        <v>55096634577</v>
      </c>
      <c r="I1753" s="15"/>
      <c r="J1753" s="15"/>
      <c r="K1753" s="15"/>
      <c r="L1753" s="15"/>
      <c r="M1753" s="15" t="s">
        <v>29</v>
      </c>
    </row>
    <row r="1754" spans="1:13" x14ac:dyDescent="0.25">
      <c r="A1754" s="23">
        <f t="shared" si="87"/>
        <v>179622</v>
      </c>
      <c r="B1754" s="14" t="str">
        <f t="shared" si="88"/>
        <v>Credit Cards (UMB) - Credits</v>
      </c>
      <c r="C1754" s="38">
        <v>46143</v>
      </c>
      <c r="D1754" s="34">
        <v>179622</v>
      </c>
      <c r="E1754" s="36" t="str">
        <f>IF(Table3[[#This Row],[Type Received]]=2,"CC",(IF(Table3[[#This Row],[Type Received]]=3,"BILL","ACH")))</f>
        <v>CC</v>
      </c>
      <c r="F1754" s="35">
        <v>39.97</v>
      </c>
      <c r="G1754" s="14" t="str">
        <f>VLOOKUP(D1754,Table4[],3,FALSE)</f>
        <v>2</v>
      </c>
      <c r="H1754" s="15"/>
      <c r="I1754" s="15"/>
      <c r="J1754" s="15" t="s">
        <v>84</v>
      </c>
      <c r="K1754" s="15">
        <v>522314396</v>
      </c>
      <c r="L1754" s="15" t="s">
        <v>29</v>
      </c>
      <c r="M1754" s="15" t="s">
        <v>29</v>
      </c>
    </row>
    <row r="1755" spans="1:13" x14ac:dyDescent="0.25">
      <c r="A1755" s="23">
        <f t="shared" si="87"/>
        <v>179645</v>
      </c>
      <c r="B1755" s="14" t="str">
        <f t="shared" si="88"/>
        <v>Credit Cards (UMB) - Credits</v>
      </c>
      <c r="C1755" s="37">
        <v>46143</v>
      </c>
      <c r="D1755" s="31">
        <v>179645</v>
      </c>
      <c r="E1755" s="33" t="str">
        <f>IF(Table3[[#This Row],[Type Received]]=2,"CC",(IF(Table3[[#This Row],[Type Received]]=3,"BILL","ACH")))</f>
        <v>CC</v>
      </c>
      <c r="F1755" s="32">
        <v>19.170000000000002</v>
      </c>
      <c r="G1755" s="14" t="str">
        <f>VLOOKUP(D1755,Table4[],3,FALSE)</f>
        <v>2</v>
      </c>
      <c r="H1755" s="15"/>
      <c r="I1755" s="15" t="s">
        <v>233</v>
      </c>
      <c r="J1755" s="15" t="s">
        <v>28</v>
      </c>
      <c r="K1755" s="15">
        <v>522323150</v>
      </c>
      <c r="L1755" s="15" t="s">
        <v>29</v>
      </c>
      <c r="M1755" s="15" t="s">
        <v>29</v>
      </c>
    </row>
    <row r="1756" spans="1:13" x14ac:dyDescent="0.25">
      <c r="A1756" s="23">
        <f t="shared" si="87"/>
        <v>179675</v>
      </c>
      <c r="B1756" s="14" t="str">
        <f t="shared" si="88"/>
        <v>Billing - Credits (from TPA)</v>
      </c>
      <c r="C1756" s="38">
        <v>46150</v>
      </c>
      <c r="D1756" s="34">
        <v>179675</v>
      </c>
      <c r="E1756" s="36" t="str">
        <f>IF(Table3[[#This Row],[Type Received]]=2,"CC",(IF(Table3[[#This Row],[Type Received]]=3,"BILL","ACH")))</f>
        <v>BILL</v>
      </c>
      <c r="F1756" s="35">
        <v>17.64</v>
      </c>
      <c r="G1756" s="14" t="str">
        <f>VLOOKUP(D1756,Table4[],3,FALSE)</f>
        <v>1</v>
      </c>
      <c r="H1756" s="15"/>
      <c r="I1756" s="15">
        <v>162605</v>
      </c>
      <c r="J1756" s="15" t="s">
        <v>28</v>
      </c>
      <c r="K1756" s="15">
        <v>612895639</v>
      </c>
      <c r="L1756" s="15" t="s">
        <v>29</v>
      </c>
      <c r="M1756" s="15" t="s">
        <v>29</v>
      </c>
    </row>
    <row r="1757" spans="1:13" x14ac:dyDescent="0.25">
      <c r="A1757" s="23">
        <f t="shared" si="87"/>
        <v>179731</v>
      </c>
      <c r="B1757" s="14" t="str">
        <f t="shared" si="88"/>
        <v>Direct Debit (UMB Bank) - Credits</v>
      </c>
      <c r="C1757" s="37">
        <v>46164</v>
      </c>
      <c r="D1757" s="31">
        <v>179731</v>
      </c>
      <c r="E1757" s="33" t="str">
        <f>IF(Table3[[#This Row],[Type Received]]=2,"CC",(IF(Table3[[#This Row],[Type Received]]=3,"BILL","ACH")))</f>
        <v>ACH</v>
      </c>
      <c r="F1757" s="32">
        <v>19.760000000000002</v>
      </c>
      <c r="G1757" s="14" t="str">
        <f>VLOOKUP(D1757,Table4[],3,FALSE)</f>
        <v>1</v>
      </c>
      <c r="H1757" s="15">
        <v>7864</v>
      </c>
      <c r="I1757" s="15"/>
      <c r="J1757" s="15"/>
      <c r="K1757" s="15"/>
      <c r="L1757" s="15"/>
      <c r="M1757" s="15" t="s">
        <v>29</v>
      </c>
    </row>
    <row r="1758" spans="1:13" x14ac:dyDescent="0.25">
      <c r="A1758" s="23">
        <f t="shared" si="87"/>
        <v>179827</v>
      </c>
      <c r="B1758" s="14" t="str">
        <f t="shared" si="88"/>
        <v>Direct Debit (UMB Bank) - Credits</v>
      </c>
      <c r="C1758" s="38">
        <v>46167</v>
      </c>
      <c r="D1758" s="34">
        <v>179827</v>
      </c>
      <c r="E1758" s="36" t="str">
        <f>IF(Table3[[#This Row],[Type Received]]=2,"CC",(IF(Table3[[#This Row],[Type Received]]=3,"BILL","ACH")))</f>
        <v>ACH</v>
      </c>
      <c r="F1758" s="35">
        <v>33.04</v>
      </c>
      <c r="G1758" s="14" t="str">
        <f>VLOOKUP(D1758,Table4[],3,FALSE)</f>
        <v>2</v>
      </c>
      <c r="H1758" s="15"/>
      <c r="I1758" s="15"/>
      <c r="J1758" s="15" t="s">
        <v>85</v>
      </c>
      <c r="K1758" s="15">
        <v>818368259</v>
      </c>
      <c r="L1758" s="15" t="s">
        <v>29</v>
      </c>
      <c r="M1758" s="15" t="s">
        <v>29</v>
      </c>
    </row>
    <row r="1759" spans="1:13" x14ac:dyDescent="0.25">
      <c r="A1759" s="23">
        <f t="shared" si="87"/>
        <v>179866</v>
      </c>
      <c r="B1759" s="14" t="str">
        <f t="shared" si="88"/>
        <v>Billing - Credits (from TPA)</v>
      </c>
      <c r="C1759" s="37">
        <v>46167</v>
      </c>
      <c r="D1759" s="31">
        <v>179866</v>
      </c>
      <c r="E1759" s="33" t="str">
        <f>IF(Table3[[#This Row],[Type Received]]=2,"CC",(IF(Table3[[#This Row],[Type Received]]=3,"BILL","ACH")))</f>
        <v>BILL</v>
      </c>
      <c r="F1759" s="32">
        <v>21.92</v>
      </c>
      <c r="G1759" s="14" t="str">
        <f>VLOOKUP(D1759,Table4[],3,FALSE)</f>
        <v>1</v>
      </c>
      <c r="H1759" s="15"/>
      <c r="I1759" s="15"/>
      <c r="J1759" s="15" t="s">
        <v>85</v>
      </c>
      <c r="K1759" s="15">
        <v>818349962</v>
      </c>
      <c r="L1759" s="15" t="s">
        <v>29</v>
      </c>
      <c r="M1759" s="15" t="s">
        <v>29</v>
      </c>
    </row>
    <row r="1760" spans="1:13" x14ac:dyDescent="0.25">
      <c r="A1760" s="23">
        <f t="shared" si="87"/>
        <v>179926</v>
      </c>
      <c r="B1760" s="14" t="str">
        <f t="shared" si="88"/>
        <v>Direct Debit (UMB Bank) - Credits</v>
      </c>
      <c r="C1760" s="38">
        <v>46143</v>
      </c>
      <c r="D1760" s="34">
        <v>179926</v>
      </c>
      <c r="E1760" s="36" t="str">
        <f>IF(Table3[[#This Row],[Type Received]]=2,"CC",(IF(Table3[[#This Row],[Type Received]]=3,"BILL","ACH")))</f>
        <v>ACH</v>
      </c>
      <c r="F1760" s="35">
        <v>16.100000000000001</v>
      </c>
      <c r="G1760" s="14" t="str">
        <f>VLOOKUP(D1760,Table4[],3,FALSE)</f>
        <v>1</v>
      </c>
      <c r="H1760" s="15">
        <v>996049</v>
      </c>
      <c r="I1760" s="15"/>
      <c r="J1760" s="15"/>
      <c r="K1760" s="15"/>
      <c r="L1760" s="15"/>
      <c r="M1760" s="15" t="s">
        <v>29</v>
      </c>
    </row>
    <row r="1761" spans="1:13" x14ac:dyDescent="0.25">
      <c r="A1761" s="23">
        <f t="shared" si="87"/>
        <v>179951</v>
      </c>
      <c r="B1761" s="14" t="str">
        <f t="shared" si="88"/>
        <v>Direct Debit (UMB Bank) - Credits</v>
      </c>
      <c r="C1761" s="37">
        <v>46157</v>
      </c>
      <c r="D1761" s="31">
        <v>179951</v>
      </c>
      <c r="E1761" s="33" t="str">
        <f>IF(Table3[[#This Row],[Type Received]]=2,"CC",(IF(Table3[[#This Row],[Type Received]]=3,"BILL","ACH")))</f>
        <v>ACH</v>
      </c>
      <c r="F1761" s="32">
        <v>167.01</v>
      </c>
      <c r="G1761" s="14" t="str">
        <f>VLOOKUP(D1761,Table4[],3,FALSE)</f>
        <v>2</v>
      </c>
      <c r="H1761" s="15"/>
      <c r="I1761" s="15"/>
      <c r="J1761" s="15" t="s">
        <v>87</v>
      </c>
      <c r="K1761" s="15">
        <v>696651029</v>
      </c>
      <c r="L1761" s="15" t="s">
        <v>29</v>
      </c>
      <c r="M1761" s="15"/>
    </row>
    <row r="1762" spans="1:13" x14ac:dyDescent="0.25">
      <c r="A1762" s="23">
        <f t="shared" si="87"/>
        <v>179952</v>
      </c>
      <c r="B1762" s="14" t="str">
        <f t="shared" si="88"/>
        <v>Direct Debit (UMB Bank) - Credits</v>
      </c>
      <c r="C1762" s="38">
        <v>46143</v>
      </c>
      <c r="D1762" s="34">
        <v>179952</v>
      </c>
      <c r="E1762" s="36" t="str">
        <f>IF(Table3[[#This Row],[Type Received]]=2,"CC",(IF(Table3[[#This Row],[Type Received]]=3,"BILL","ACH")))</f>
        <v>ACH</v>
      </c>
      <c r="F1762" s="35">
        <v>28.41</v>
      </c>
      <c r="G1762" s="14" t="str">
        <f>VLOOKUP(D1762,Table4[],3,FALSE)</f>
        <v>2</v>
      </c>
      <c r="H1762" s="15"/>
      <c r="I1762" s="15"/>
      <c r="J1762" s="15" t="s">
        <v>84</v>
      </c>
      <c r="K1762" s="15">
        <v>522299953</v>
      </c>
      <c r="L1762" s="15" t="s">
        <v>29</v>
      </c>
      <c r="M1762" s="15" t="s">
        <v>29</v>
      </c>
    </row>
    <row r="1763" spans="1:13" x14ac:dyDescent="0.25">
      <c r="A1763" s="23">
        <f t="shared" si="87"/>
        <v>180101</v>
      </c>
      <c r="B1763" s="14" t="str">
        <f t="shared" si="88"/>
        <v>Direct Debit (UMB Bank) - Credits</v>
      </c>
      <c r="C1763" s="37">
        <v>46167</v>
      </c>
      <c r="D1763" s="31">
        <v>180101</v>
      </c>
      <c r="E1763" s="33" t="str">
        <f>IF(Table3[[#This Row],[Type Received]]=2,"CC",(IF(Table3[[#This Row],[Type Received]]=3,"BILL","ACH")))</f>
        <v>ACH</v>
      </c>
      <c r="F1763" s="32">
        <v>25.22</v>
      </c>
      <c r="G1763" s="14" t="str">
        <f>VLOOKUP(D1763,Table4[],3,FALSE)</f>
        <v>1</v>
      </c>
      <c r="H1763" s="15"/>
      <c r="I1763" s="15"/>
      <c r="J1763" s="15" t="s">
        <v>85</v>
      </c>
      <c r="K1763" s="15">
        <v>818359551</v>
      </c>
      <c r="L1763" s="15" t="s">
        <v>29</v>
      </c>
      <c r="M1763" s="15" t="s">
        <v>29</v>
      </c>
    </row>
    <row r="1764" spans="1:13" x14ac:dyDescent="0.25">
      <c r="A1764" s="23">
        <f t="shared" si="87"/>
        <v>180119</v>
      </c>
      <c r="B1764" s="14" t="str">
        <f t="shared" si="88"/>
        <v>Direct Debit (UMB Bank) - Credits</v>
      </c>
      <c r="C1764" s="38">
        <v>46167</v>
      </c>
      <c r="D1764" s="34">
        <v>180119</v>
      </c>
      <c r="E1764" s="36" t="str">
        <f>IF(Table3[[#This Row],[Type Received]]=2,"CC",(IF(Table3[[#This Row],[Type Received]]=3,"BILL","ACH")))</f>
        <v>ACH</v>
      </c>
      <c r="F1764" s="35">
        <v>14.44</v>
      </c>
      <c r="G1764" s="14" t="str">
        <f>VLOOKUP(D1764,Table4[],3,FALSE)</f>
        <v>1</v>
      </c>
      <c r="H1764" s="15"/>
      <c r="I1764" s="15"/>
      <c r="J1764" s="15" t="s">
        <v>85</v>
      </c>
      <c r="K1764" s="15">
        <v>818349984</v>
      </c>
      <c r="L1764" s="15" t="s">
        <v>29</v>
      </c>
      <c r="M1764" s="15" t="s">
        <v>29</v>
      </c>
    </row>
    <row r="1765" spans="1:13" x14ac:dyDescent="0.25">
      <c r="A1765" s="23">
        <f t="shared" si="87"/>
        <v>180129</v>
      </c>
      <c r="B1765" s="14" t="str">
        <f t="shared" si="88"/>
        <v>Billing - Credits (from TPA)</v>
      </c>
      <c r="C1765" s="37">
        <v>46157</v>
      </c>
      <c r="D1765" s="31">
        <v>180129</v>
      </c>
      <c r="E1765" s="33" t="str">
        <f>IF(Table3[[#This Row],[Type Received]]=2,"CC",(IF(Table3[[#This Row],[Type Received]]=3,"BILL","ACH")))</f>
        <v>BILL</v>
      </c>
      <c r="F1765" s="32">
        <v>99.03</v>
      </c>
      <c r="G1765" s="14" t="str">
        <f>VLOOKUP(D1765,Table4[],3,FALSE)</f>
        <v>2</v>
      </c>
      <c r="H1765" s="15"/>
      <c r="I1765" s="15"/>
      <c r="J1765" s="15" t="s">
        <v>87</v>
      </c>
      <c r="K1765" s="15">
        <v>696712941</v>
      </c>
      <c r="L1765" s="15" t="s">
        <v>29</v>
      </c>
      <c r="M1765" s="15" t="s">
        <v>29</v>
      </c>
    </row>
    <row r="1766" spans="1:13" x14ac:dyDescent="0.25">
      <c r="A1766" s="23">
        <f t="shared" si="87"/>
        <v>180234</v>
      </c>
      <c r="B1766" s="14" t="str">
        <f t="shared" si="88"/>
        <v>Direct Debit (UMB Bank) - Credits</v>
      </c>
      <c r="C1766" s="38">
        <v>46143</v>
      </c>
      <c r="D1766" s="34">
        <v>180234</v>
      </c>
      <c r="E1766" s="36" t="str">
        <f>IF(Table3[[#This Row],[Type Received]]=2,"CC",(IF(Table3[[#This Row],[Type Received]]=3,"BILL","ACH")))</f>
        <v>ACH</v>
      </c>
      <c r="F1766" s="35">
        <v>53</v>
      </c>
      <c r="G1766" s="14" t="str">
        <f>VLOOKUP(D1766,Table4[],3,FALSE)</f>
        <v>1</v>
      </c>
      <c r="H1766" s="15">
        <v>459</v>
      </c>
      <c r="I1766" s="15"/>
      <c r="J1766" s="15"/>
      <c r="K1766" s="15"/>
      <c r="L1766" s="15"/>
      <c r="M1766" s="15" t="s">
        <v>29</v>
      </c>
    </row>
    <row r="1767" spans="1:13" x14ac:dyDescent="0.25">
      <c r="A1767" s="23">
        <f t="shared" si="87"/>
        <v>180268</v>
      </c>
      <c r="B1767" s="14" t="str">
        <f t="shared" si="88"/>
        <v>Billing - Credits (from TPA)</v>
      </c>
      <c r="C1767" s="37">
        <v>46143</v>
      </c>
      <c r="D1767" s="31">
        <v>180268</v>
      </c>
      <c r="E1767" s="33" t="str">
        <f>IF(Table3[[#This Row],[Type Received]]=2,"CC",(IF(Table3[[#This Row],[Type Received]]=3,"BILL","ACH")))</f>
        <v>BILL</v>
      </c>
      <c r="F1767" s="32">
        <v>29.45</v>
      </c>
      <c r="G1767" s="14" t="str">
        <f>VLOOKUP(D1767,Table4[],3,FALSE)</f>
        <v>1</v>
      </c>
      <c r="H1767" s="15"/>
      <c r="I1767" s="15"/>
      <c r="J1767" s="15" t="s">
        <v>84</v>
      </c>
      <c r="K1767" s="15">
        <v>522308651</v>
      </c>
      <c r="L1767" s="15" t="s">
        <v>29</v>
      </c>
      <c r="M1767" s="15" t="s">
        <v>29</v>
      </c>
    </row>
    <row r="1768" spans="1:13" x14ac:dyDescent="0.25">
      <c r="A1768" s="23">
        <f t="shared" si="87"/>
        <v>180354</v>
      </c>
      <c r="B1768" s="14" t="str">
        <f t="shared" si="88"/>
        <v>Billing - Credits (from TPA)</v>
      </c>
      <c r="C1768" s="38">
        <v>46150</v>
      </c>
      <c r="D1768" s="34">
        <v>180354</v>
      </c>
      <c r="E1768" s="36" t="str">
        <f>IF(Table3[[#This Row],[Type Received]]=2,"CC",(IF(Table3[[#This Row],[Type Received]]=3,"BILL","ACH")))</f>
        <v>BILL</v>
      </c>
      <c r="F1768" s="35">
        <v>95.74</v>
      </c>
      <c r="G1768" s="14" t="str">
        <f>VLOOKUP(D1768,Table4[],3,FALSE)</f>
        <v>1</v>
      </c>
      <c r="H1768" s="15">
        <v>57915431</v>
      </c>
      <c r="I1768" s="15"/>
      <c r="J1768" s="15"/>
      <c r="K1768" s="15"/>
      <c r="L1768" s="15"/>
      <c r="M1768" s="15" t="s">
        <v>29</v>
      </c>
    </row>
    <row r="1769" spans="1:13" x14ac:dyDescent="0.25">
      <c r="A1769" s="23">
        <f t="shared" si="87"/>
        <v>180374</v>
      </c>
      <c r="B1769" s="14" t="str">
        <f t="shared" si="88"/>
        <v>Credit Cards (UMB) - Credits</v>
      </c>
      <c r="C1769" s="37">
        <v>46143</v>
      </c>
      <c r="D1769" s="31">
        <v>180374</v>
      </c>
      <c r="E1769" s="33" t="str">
        <f>IF(Table3[[#This Row],[Type Received]]=2,"CC",(IF(Table3[[#This Row],[Type Received]]=3,"BILL","ACH")))</f>
        <v>CC</v>
      </c>
      <c r="F1769" s="32">
        <v>43.27</v>
      </c>
      <c r="G1769" s="14" t="str">
        <f>VLOOKUP(D1769,Table4[],3,FALSE)</f>
        <v>2</v>
      </c>
      <c r="H1769" s="15">
        <v>5654</v>
      </c>
      <c r="I1769" s="15"/>
      <c r="J1769" s="15"/>
      <c r="K1769" s="15"/>
      <c r="L1769" s="15"/>
      <c r="M1769" s="15" t="s">
        <v>29</v>
      </c>
    </row>
    <row r="1770" spans="1:13" x14ac:dyDescent="0.25">
      <c r="A1770" s="23">
        <f t="shared" ref="A1770:A1833" si="89">D1770</f>
        <v>180383</v>
      </c>
      <c r="B1770" s="14" t="str">
        <f t="shared" si="88"/>
        <v>Credit Cards (UMB) - Credits</v>
      </c>
      <c r="C1770" s="38">
        <v>46163</v>
      </c>
      <c r="D1770" s="34">
        <v>180383</v>
      </c>
      <c r="E1770" s="36" t="str">
        <f>IF(Table3[[#This Row],[Type Received]]=2,"CC",(IF(Table3[[#This Row],[Type Received]]=3,"BILL","ACH")))</f>
        <v>CC</v>
      </c>
      <c r="F1770" s="35">
        <v>145.24</v>
      </c>
      <c r="G1770" s="14" t="str">
        <f>VLOOKUP(D1770,Table4[],3,FALSE)</f>
        <v>2</v>
      </c>
      <c r="H1770" s="15"/>
      <c r="I1770" s="15">
        <v>78437</v>
      </c>
      <c r="J1770" s="15" t="s">
        <v>28</v>
      </c>
      <c r="K1770" s="15">
        <v>771275680</v>
      </c>
      <c r="L1770" s="15" t="s">
        <v>29</v>
      </c>
      <c r="M1770" s="15" t="s">
        <v>29</v>
      </c>
    </row>
    <row r="1771" spans="1:13" x14ac:dyDescent="0.25">
      <c r="A1771" s="23">
        <f t="shared" si="89"/>
        <v>180434</v>
      </c>
      <c r="B1771" s="14" t="str">
        <f t="shared" si="88"/>
        <v>Direct Debit (UMB Bank) - Credits</v>
      </c>
      <c r="C1771" s="37">
        <v>46170</v>
      </c>
      <c r="D1771" s="31">
        <v>180434</v>
      </c>
      <c r="E1771" s="33" t="str">
        <f>IF(Table3[[#This Row],[Type Received]]=2,"CC",(IF(Table3[[#This Row],[Type Received]]=3,"BILL","ACH")))</f>
        <v>ACH</v>
      </c>
      <c r="F1771" s="32">
        <v>84.84</v>
      </c>
      <c r="G1771" s="14" t="str">
        <f>VLOOKUP(D1771,Table4[],3,FALSE)</f>
        <v>2</v>
      </c>
      <c r="H1771" s="15"/>
      <c r="I1771" s="15">
        <v>379111</v>
      </c>
      <c r="J1771" s="15" t="s">
        <v>28</v>
      </c>
      <c r="K1771" s="15">
        <v>853929658</v>
      </c>
      <c r="L1771" s="15" t="s">
        <v>29</v>
      </c>
      <c r="M1771" s="15" t="s">
        <v>29</v>
      </c>
    </row>
    <row r="1772" spans="1:13" x14ac:dyDescent="0.25">
      <c r="A1772" s="23">
        <f t="shared" si="89"/>
        <v>180487</v>
      </c>
      <c r="B1772" s="14" t="str">
        <f t="shared" si="88"/>
        <v>Direct Debit (UMB Bank) - Credits</v>
      </c>
      <c r="C1772" s="38">
        <v>46143</v>
      </c>
      <c r="D1772" s="34">
        <v>180487</v>
      </c>
      <c r="E1772" s="36" t="str">
        <f>IF(Table3[[#This Row],[Type Received]]=2,"CC",(IF(Table3[[#This Row],[Type Received]]=3,"BILL","ACH")))</f>
        <v>ACH</v>
      </c>
      <c r="F1772" s="35">
        <v>24.78</v>
      </c>
      <c r="G1772" s="14" t="str">
        <f>VLOOKUP(D1772,Table4[],3,FALSE)</f>
        <v>1</v>
      </c>
      <c r="H1772" s="15"/>
      <c r="I1772" s="15"/>
      <c r="J1772" s="15" t="s">
        <v>84</v>
      </c>
      <c r="K1772" s="15">
        <v>522436482</v>
      </c>
      <c r="L1772" s="15" t="s">
        <v>29</v>
      </c>
      <c r="M1772" s="15" t="s">
        <v>29</v>
      </c>
    </row>
    <row r="1773" spans="1:13" x14ac:dyDescent="0.25">
      <c r="A1773" s="23">
        <f t="shared" si="89"/>
        <v>180493</v>
      </c>
      <c r="B1773" s="14" t="str">
        <f t="shared" si="88"/>
        <v>Direct Debit (UMB Bank) - Credits</v>
      </c>
      <c r="C1773" s="37">
        <v>46157</v>
      </c>
      <c r="D1773" s="31">
        <v>180493</v>
      </c>
      <c r="E1773" s="33" t="str">
        <f>IF(Table3[[#This Row],[Type Received]]=2,"CC",(IF(Table3[[#This Row],[Type Received]]=3,"BILL","ACH")))</f>
        <v>ACH</v>
      </c>
      <c r="F1773" s="32">
        <v>31.08</v>
      </c>
      <c r="G1773" s="14" t="str">
        <f>VLOOKUP(D1773,Table4[],3,FALSE)</f>
        <v>2</v>
      </c>
      <c r="H1773" s="15"/>
      <c r="I1773" s="15"/>
      <c r="J1773" s="24" t="s">
        <v>87</v>
      </c>
      <c r="K1773" s="15">
        <v>696733235</v>
      </c>
      <c r="L1773" s="15" t="s">
        <v>29</v>
      </c>
      <c r="M1773" s="15" t="s">
        <v>29</v>
      </c>
    </row>
    <row r="1774" spans="1:13" x14ac:dyDescent="0.25">
      <c r="A1774" s="23">
        <f t="shared" si="89"/>
        <v>180500</v>
      </c>
      <c r="B1774" s="14" t="str">
        <f t="shared" si="88"/>
        <v>Billing - Credits (from TPA)</v>
      </c>
      <c r="C1774" s="38">
        <v>46157</v>
      </c>
      <c r="D1774" s="34">
        <v>180500</v>
      </c>
      <c r="E1774" s="36" t="str">
        <f>IF(Table3[[#This Row],[Type Received]]=2,"CC",(IF(Table3[[#This Row],[Type Received]]=3,"BILL","ACH")))</f>
        <v>BILL</v>
      </c>
      <c r="F1774" s="35">
        <v>16.86</v>
      </c>
      <c r="G1774" s="14" t="str">
        <f>VLOOKUP(D1774,Table4[],3,FALSE)</f>
        <v>1</v>
      </c>
      <c r="H1774" s="15"/>
      <c r="I1774" s="15"/>
      <c r="J1774" s="15" t="s">
        <v>87</v>
      </c>
      <c r="K1774" s="15">
        <v>696714989</v>
      </c>
      <c r="L1774" s="15" t="s">
        <v>29</v>
      </c>
      <c r="M1774" s="15"/>
    </row>
    <row r="1775" spans="1:13" x14ac:dyDescent="0.25">
      <c r="A1775" s="23">
        <f t="shared" si="89"/>
        <v>180548</v>
      </c>
      <c r="B1775" s="14" t="str">
        <f t="shared" si="88"/>
        <v>Credit Cards (UMB) - Credits</v>
      </c>
      <c r="C1775" s="37">
        <v>46146</v>
      </c>
      <c r="D1775" s="31">
        <v>180548</v>
      </c>
      <c r="E1775" s="33" t="str">
        <f>IF(Table3[[#This Row],[Type Received]]=2,"CC",(IF(Table3[[#This Row],[Type Received]]=3,"BILL","ACH")))</f>
        <v>CC</v>
      </c>
      <c r="F1775" s="32">
        <v>40.630000000000003</v>
      </c>
      <c r="G1775" s="14" t="str">
        <f>VLOOKUP(D1775,Table4[],3,FALSE)</f>
        <v>2</v>
      </c>
      <c r="H1775" s="15">
        <v>4344</v>
      </c>
      <c r="I1775" s="15"/>
      <c r="J1775" s="15"/>
      <c r="K1775" s="15"/>
      <c r="L1775" s="15"/>
      <c r="M1775" s="15"/>
    </row>
    <row r="1776" spans="1:13" x14ac:dyDescent="0.25">
      <c r="A1776" s="23">
        <f t="shared" si="89"/>
        <v>180706</v>
      </c>
      <c r="B1776" s="14" t="str">
        <f t="shared" si="88"/>
        <v>Direct Debit (UMB Bank) - Credits</v>
      </c>
      <c r="C1776" s="38">
        <v>46145</v>
      </c>
      <c r="D1776" s="34">
        <v>180706</v>
      </c>
      <c r="E1776" s="36" t="str">
        <f>IF(Table3[[#This Row],[Type Received]]=2,"CC",(IF(Table3[[#This Row],[Type Received]]=3,"BILL","ACH")))</f>
        <v>ACH</v>
      </c>
      <c r="F1776" s="35">
        <v>8.94</v>
      </c>
      <c r="G1776" s="14" t="str">
        <f>VLOOKUP(D1776,Table4[],3,FALSE)</f>
        <v>1</v>
      </c>
      <c r="H1776" s="15"/>
      <c r="I1776" s="15">
        <v>984073</v>
      </c>
      <c r="J1776" s="15" t="s">
        <v>28</v>
      </c>
      <c r="K1776" s="15">
        <v>546413711</v>
      </c>
      <c r="L1776" s="15" t="s">
        <v>29</v>
      </c>
      <c r="M1776" s="15" t="s">
        <v>29</v>
      </c>
    </row>
    <row r="1777" spans="1:13" x14ac:dyDescent="0.25">
      <c r="A1777" s="23">
        <f t="shared" si="89"/>
        <v>180787</v>
      </c>
      <c r="B1777" s="14" t="str">
        <f t="shared" si="88"/>
        <v>Credit Cards (UMB) - Credits</v>
      </c>
      <c r="C1777" s="37">
        <v>46157</v>
      </c>
      <c r="D1777" s="31">
        <v>180787</v>
      </c>
      <c r="E1777" s="33" t="str">
        <f>IF(Table3[[#This Row],[Type Received]]=2,"CC",(IF(Table3[[#This Row],[Type Received]]=3,"BILL","ACH")))</f>
        <v>CC</v>
      </c>
      <c r="F1777" s="32">
        <v>46.23</v>
      </c>
      <c r="G1777" s="14" t="str">
        <f>VLOOKUP(D1777,Table4[],3,FALSE)</f>
        <v>2</v>
      </c>
      <c r="H1777" s="15"/>
      <c r="I1777" s="15"/>
      <c r="J1777" s="15" t="s">
        <v>87</v>
      </c>
      <c r="K1777" s="15">
        <v>696723568</v>
      </c>
      <c r="L1777" s="15" t="s">
        <v>29</v>
      </c>
      <c r="M1777" s="15" t="s">
        <v>29</v>
      </c>
    </row>
    <row r="1778" spans="1:13" x14ac:dyDescent="0.25">
      <c r="A1778" s="23">
        <f t="shared" si="89"/>
        <v>181061</v>
      </c>
      <c r="B1778" s="14" t="str">
        <f t="shared" si="88"/>
        <v>Direct Debit (UMB Bank) - Credits</v>
      </c>
      <c r="C1778" s="38">
        <v>46146</v>
      </c>
      <c r="D1778" s="34">
        <v>181061</v>
      </c>
      <c r="E1778" s="36" t="str">
        <f>IF(Table3[[#This Row],[Type Received]]=2,"CC",(IF(Table3[[#This Row],[Type Received]]=3,"BILL","ACH")))</f>
        <v>ACH</v>
      </c>
      <c r="F1778" s="35">
        <v>56.8</v>
      </c>
      <c r="G1778" s="14" t="str">
        <f>VLOOKUP(D1778,Table4[],3,FALSE)</f>
        <v>2</v>
      </c>
      <c r="H1778" s="15"/>
      <c r="I1778" s="15">
        <v>376568</v>
      </c>
      <c r="J1778" s="15" t="s">
        <v>28</v>
      </c>
      <c r="K1778" s="15">
        <v>558161987</v>
      </c>
      <c r="L1778" s="15" t="s">
        <v>29</v>
      </c>
      <c r="M1778" s="15" t="s">
        <v>29</v>
      </c>
    </row>
    <row r="1779" spans="1:13" x14ac:dyDescent="0.25">
      <c r="A1779" s="23">
        <f t="shared" si="89"/>
        <v>181086</v>
      </c>
      <c r="B1779" s="14" t="str">
        <f t="shared" si="88"/>
        <v>Direct Debit (UMB Bank) - Credits</v>
      </c>
      <c r="C1779" s="37">
        <v>46144</v>
      </c>
      <c r="D1779" s="31">
        <v>181086</v>
      </c>
      <c r="E1779" s="33" t="str">
        <f>IF(Table3[[#This Row],[Type Received]]=2,"CC",(IF(Table3[[#This Row],[Type Received]]=3,"BILL","ACH")))</f>
        <v>ACH</v>
      </c>
      <c r="F1779" s="32">
        <v>51.51</v>
      </c>
      <c r="G1779" s="14" t="str">
        <f>VLOOKUP(D1779,Table4[],3,FALSE)</f>
        <v>2</v>
      </c>
      <c r="H1779" s="15"/>
      <c r="I1779" s="15"/>
      <c r="J1779" s="15" t="s">
        <v>89</v>
      </c>
      <c r="K1779" s="15">
        <v>535333027</v>
      </c>
      <c r="L1779" s="15" t="s">
        <v>29</v>
      </c>
      <c r="M1779" s="15" t="s">
        <v>29</v>
      </c>
    </row>
    <row r="1780" spans="1:13" x14ac:dyDescent="0.25">
      <c r="A1780" s="23">
        <f t="shared" si="89"/>
        <v>181195</v>
      </c>
      <c r="B1780" s="14" t="str">
        <f t="shared" si="88"/>
        <v>Direct Debit (UMB Bank) - Credits</v>
      </c>
      <c r="C1780" s="38">
        <v>46146</v>
      </c>
      <c r="D1780" s="34">
        <v>181195</v>
      </c>
      <c r="E1780" s="36" t="str">
        <f>IF(Table3[[#This Row],[Type Received]]=2,"CC",(IF(Table3[[#This Row],[Type Received]]=3,"BILL","ACH")))</f>
        <v>ACH</v>
      </c>
      <c r="F1780" s="35">
        <v>61.64</v>
      </c>
      <c r="G1780" s="14" t="str">
        <f>VLOOKUP(D1780,Table4[],3,FALSE)</f>
        <v>1</v>
      </c>
      <c r="H1780" s="15"/>
      <c r="I1780" s="15"/>
      <c r="J1780" s="15" t="s">
        <v>92</v>
      </c>
      <c r="K1780" s="15">
        <v>562009754</v>
      </c>
      <c r="L1780" s="15" t="s">
        <v>29</v>
      </c>
      <c r="M1780" s="15" t="s">
        <v>29</v>
      </c>
    </row>
    <row r="1781" spans="1:13" x14ac:dyDescent="0.25">
      <c r="A1781" s="23">
        <f t="shared" si="89"/>
        <v>180852</v>
      </c>
      <c r="B1781" s="14" t="str">
        <f t="shared" si="88"/>
        <v>Direct Debit (UMB Bank) - Credits</v>
      </c>
      <c r="C1781" s="37">
        <v>46157</v>
      </c>
      <c r="D1781" s="31">
        <v>180852</v>
      </c>
      <c r="E1781" s="33" t="str">
        <f>IF(Table3[[#This Row],[Type Received]]=2,"CC",(IF(Table3[[#This Row],[Type Received]]=3,"BILL","ACH")))</f>
        <v>ACH</v>
      </c>
      <c r="F1781" s="32">
        <v>29.08</v>
      </c>
      <c r="G1781" s="14" t="str">
        <f>VLOOKUP(D1781,Table4[],3,FALSE)</f>
        <v>1</v>
      </c>
      <c r="H1781" s="15"/>
      <c r="I1781" s="15"/>
      <c r="J1781" s="15" t="s">
        <v>87</v>
      </c>
      <c r="K1781" s="15">
        <v>696740143</v>
      </c>
      <c r="L1781" s="15" t="s">
        <v>29</v>
      </c>
      <c r="M1781" s="15" t="s">
        <v>29</v>
      </c>
    </row>
    <row r="1782" spans="1:13" x14ac:dyDescent="0.25">
      <c r="A1782" s="23">
        <f t="shared" si="89"/>
        <v>180861</v>
      </c>
      <c r="B1782" s="14" t="str">
        <f t="shared" si="88"/>
        <v>Direct Debit (UMB Bank) - Credits</v>
      </c>
      <c r="C1782" s="38">
        <v>46143</v>
      </c>
      <c r="D1782" s="34">
        <v>180861</v>
      </c>
      <c r="E1782" s="36" t="str">
        <f>IF(Table3[[#This Row],[Type Received]]=2,"CC",(IF(Table3[[#This Row],[Type Received]]=3,"BILL","ACH")))</f>
        <v>ACH</v>
      </c>
      <c r="F1782" s="35">
        <v>9.6</v>
      </c>
      <c r="G1782" s="14" t="str">
        <f>VLOOKUP(D1782,Table4[],3,FALSE)</f>
        <v>2</v>
      </c>
      <c r="H1782" s="15"/>
      <c r="I1782" s="15"/>
      <c r="J1782" s="15" t="s">
        <v>84</v>
      </c>
      <c r="K1782" s="15">
        <v>522300977</v>
      </c>
      <c r="L1782" s="15" t="s">
        <v>29</v>
      </c>
      <c r="M1782" s="15" t="s">
        <v>29</v>
      </c>
    </row>
    <row r="1783" spans="1:13" x14ac:dyDescent="0.25">
      <c r="A1783" s="23">
        <f t="shared" si="89"/>
        <v>180928</v>
      </c>
      <c r="B1783" s="14" t="str">
        <f t="shared" si="88"/>
        <v>Billing - Credits (from TPA)</v>
      </c>
      <c r="C1783" s="37">
        <v>46167</v>
      </c>
      <c r="D1783" s="31">
        <v>180928</v>
      </c>
      <c r="E1783" s="33" t="str">
        <f>IF(Table3[[#This Row],[Type Received]]=2,"CC",(IF(Table3[[#This Row],[Type Received]]=3,"BILL","ACH")))</f>
        <v>BILL</v>
      </c>
      <c r="F1783" s="32">
        <v>42.6</v>
      </c>
      <c r="G1783" s="14" t="str">
        <f>VLOOKUP(D1783,Table4[],3,FALSE)</f>
        <v>1</v>
      </c>
      <c r="H1783" s="15"/>
      <c r="I1783" s="15"/>
      <c r="J1783" s="15" t="s">
        <v>85</v>
      </c>
      <c r="K1783" s="15">
        <v>818351888</v>
      </c>
      <c r="L1783" s="15" t="s">
        <v>29</v>
      </c>
      <c r="M1783" s="15" t="s">
        <v>29</v>
      </c>
    </row>
    <row r="1784" spans="1:13" x14ac:dyDescent="0.25">
      <c r="A1784" s="23">
        <f t="shared" si="89"/>
        <v>180970</v>
      </c>
      <c r="B1784" s="14" t="str">
        <f t="shared" si="88"/>
        <v>Billing - Credits (from TPA)</v>
      </c>
      <c r="C1784" s="38">
        <v>46143</v>
      </c>
      <c r="D1784" s="34">
        <v>180970</v>
      </c>
      <c r="E1784" s="36" t="str">
        <f>IF(Table3[[#This Row],[Type Received]]=2,"CC",(IF(Table3[[#This Row],[Type Received]]=3,"BILL","ACH")))</f>
        <v>BILL</v>
      </c>
      <c r="F1784" s="35">
        <v>93.68</v>
      </c>
      <c r="G1784" s="14" t="str">
        <f>VLOOKUP(D1784,Table4[],3,FALSE)</f>
        <v>1</v>
      </c>
      <c r="H1784" s="15">
        <v>19824769980</v>
      </c>
      <c r="I1784" s="15"/>
      <c r="J1784" s="15"/>
      <c r="K1784" s="15"/>
      <c r="L1784" s="15"/>
      <c r="M1784" s="15" t="s">
        <v>29</v>
      </c>
    </row>
    <row r="1785" spans="1:13" x14ac:dyDescent="0.25">
      <c r="A1785" s="23">
        <f t="shared" si="89"/>
        <v>181362</v>
      </c>
      <c r="B1785" s="14" t="str">
        <f t="shared" si="88"/>
        <v>Direct Debit (UMB Bank) - Credits</v>
      </c>
      <c r="C1785" s="37">
        <v>46143</v>
      </c>
      <c r="D1785" s="31">
        <v>181362</v>
      </c>
      <c r="E1785" s="33" t="str">
        <f>IF(Table3[[#This Row],[Type Received]]=2,"CC",(IF(Table3[[#This Row],[Type Received]]=3,"BILL","ACH")))</f>
        <v>ACH</v>
      </c>
      <c r="F1785" s="32">
        <v>76.930000000000007</v>
      </c>
      <c r="G1785" s="14" t="str">
        <f>VLOOKUP(D1785,Table4[],3,FALSE)</f>
        <v>2</v>
      </c>
      <c r="H1785" s="15">
        <v>995221</v>
      </c>
      <c r="I1785" s="15"/>
      <c r="J1785" s="15"/>
      <c r="K1785" s="15"/>
      <c r="L1785" s="15"/>
      <c r="M1785" s="15" t="s">
        <v>29</v>
      </c>
    </row>
    <row r="1786" spans="1:13" x14ac:dyDescent="0.25">
      <c r="A1786" s="23">
        <f t="shared" si="89"/>
        <v>181486</v>
      </c>
      <c r="B1786" s="14" t="str">
        <f t="shared" si="88"/>
        <v>Direct Debit (UMB Bank) - Credits</v>
      </c>
      <c r="C1786" s="38">
        <v>46157</v>
      </c>
      <c r="D1786" s="34">
        <v>181486</v>
      </c>
      <c r="E1786" s="36" t="str">
        <f>IF(Table3[[#This Row],[Type Received]]=2,"CC",(IF(Table3[[#This Row],[Type Received]]=3,"BILL","ACH")))</f>
        <v>ACH</v>
      </c>
      <c r="F1786" s="35">
        <v>45.24</v>
      </c>
      <c r="G1786" s="14" t="str">
        <f>VLOOKUP(D1786,Table4[],3,FALSE)</f>
        <v>2</v>
      </c>
      <c r="H1786" s="15"/>
      <c r="I1786" s="15"/>
      <c r="J1786" s="15" t="s">
        <v>87</v>
      </c>
      <c r="K1786" s="15">
        <v>696716949</v>
      </c>
      <c r="L1786" s="15" t="s">
        <v>29</v>
      </c>
      <c r="M1786" s="15"/>
    </row>
    <row r="1787" spans="1:13" x14ac:dyDescent="0.25">
      <c r="A1787" s="23">
        <f t="shared" si="89"/>
        <v>181493</v>
      </c>
      <c r="B1787" s="14" t="str">
        <f t="shared" si="88"/>
        <v>Billing - Credits (from TPA)</v>
      </c>
      <c r="C1787" s="37">
        <v>46167</v>
      </c>
      <c r="D1787" s="31">
        <v>181493</v>
      </c>
      <c r="E1787" s="33" t="str">
        <f>IF(Table3[[#This Row],[Type Received]]=2,"CC",(IF(Table3[[#This Row],[Type Received]]=3,"BILL","ACH")))</f>
        <v>BILL</v>
      </c>
      <c r="F1787" s="32">
        <v>22.8</v>
      </c>
      <c r="G1787" s="14" t="str">
        <f>VLOOKUP(D1787,Table4[],3,FALSE)</f>
        <v>2</v>
      </c>
      <c r="H1787" s="15"/>
      <c r="I1787" s="15"/>
      <c r="J1787" s="15" t="s">
        <v>85</v>
      </c>
      <c r="K1787" s="15">
        <v>818348040</v>
      </c>
      <c r="L1787" s="15" t="s">
        <v>29</v>
      </c>
      <c r="M1787" s="15" t="s">
        <v>29</v>
      </c>
    </row>
    <row r="1788" spans="1:13" x14ac:dyDescent="0.25">
      <c r="A1788" s="23">
        <f t="shared" si="89"/>
        <v>181539</v>
      </c>
      <c r="B1788" s="14" t="str">
        <f t="shared" si="88"/>
        <v>Direct Debit (UMB Bank) - Credits</v>
      </c>
      <c r="C1788" s="38">
        <v>46150</v>
      </c>
      <c r="D1788" s="34">
        <v>181539</v>
      </c>
      <c r="E1788" s="36" t="str">
        <f>IF(Table3[[#This Row],[Type Received]]=2,"CC",(IF(Table3[[#This Row],[Type Received]]=3,"BILL","ACH")))</f>
        <v>ACH</v>
      </c>
      <c r="F1788" s="35">
        <v>35.35</v>
      </c>
      <c r="G1788" s="14" t="str">
        <f>VLOOKUP(D1788,Table4[],3,FALSE)</f>
        <v>2</v>
      </c>
      <c r="H1788" s="15">
        <v>57804409</v>
      </c>
      <c r="I1788" s="15"/>
      <c r="J1788" s="15"/>
      <c r="K1788" s="15"/>
      <c r="L1788" s="15"/>
      <c r="M1788" s="15" t="s">
        <v>29</v>
      </c>
    </row>
    <row r="1789" spans="1:13" x14ac:dyDescent="0.25">
      <c r="A1789" s="23">
        <f t="shared" si="89"/>
        <v>181662</v>
      </c>
      <c r="B1789" s="14" t="str">
        <f t="shared" si="88"/>
        <v>Credit Cards (UMB) - Credits</v>
      </c>
      <c r="C1789" s="37">
        <v>46143</v>
      </c>
      <c r="D1789" s="31">
        <v>181662</v>
      </c>
      <c r="E1789" s="33" t="str">
        <f>IF(Table3[[#This Row],[Type Received]]=2,"CC",(IF(Table3[[#This Row],[Type Received]]=3,"BILL","ACH")))</f>
        <v>CC</v>
      </c>
      <c r="F1789" s="32">
        <v>26.54</v>
      </c>
      <c r="G1789" s="14" t="str">
        <f>VLOOKUP(D1789,Table4[],3,FALSE)</f>
        <v>1</v>
      </c>
      <c r="H1789" s="15"/>
      <c r="I1789" s="15"/>
      <c r="J1789" s="15" t="s">
        <v>84</v>
      </c>
      <c r="K1789" s="15">
        <v>522302911</v>
      </c>
      <c r="L1789" s="15" t="s">
        <v>29</v>
      </c>
      <c r="M1789" s="15" t="s">
        <v>29</v>
      </c>
    </row>
    <row r="1790" spans="1:13" x14ac:dyDescent="0.25">
      <c r="A1790" s="23">
        <f t="shared" si="89"/>
        <v>181663</v>
      </c>
      <c r="B1790" s="14" t="str">
        <f t="shared" si="88"/>
        <v>Direct Debit (UMB Bank) - Credits</v>
      </c>
      <c r="C1790" s="38">
        <v>46155</v>
      </c>
      <c r="D1790" s="34">
        <v>181663</v>
      </c>
      <c r="E1790" s="36" t="str">
        <f>IF(Table3[[#This Row],[Type Received]]=2,"CC",(IF(Table3[[#This Row],[Type Received]]=3,"BILL","ACH")))</f>
        <v>ACH</v>
      </c>
      <c r="F1790" s="35">
        <v>45.68</v>
      </c>
      <c r="G1790" s="14" t="str">
        <f>VLOOKUP(D1790,Table4[],3,FALSE)</f>
        <v>1</v>
      </c>
      <c r="H1790" s="15"/>
      <c r="I1790" s="15">
        <v>937149</v>
      </c>
      <c r="J1790" s="15" t="s">
        <v>28</v>
      </c>
      <c r="K1790" s="15">
        <v>669452131</v>
      </c>
      <c r="L1790" s="15" t="s">
        <v>29</v>
      </c>
      <c r="M1790" s="15" t="s">
        <v>29</v>
      </c>
    </row>
    <row r="1791" spans="1:13" x14ac:dyDescent="0.25">
      <c r="A1791" s="23">
        <f t="shared" si="89"/>
        <v>181742</v>
      </c>
      <c r="B1791" s="14" t="str">
        <f t="shared" si="88"/>
        <v>Direct Debit (UMB Bank) - Credits</v>
      </c>
      <c r="C1791" s="37">
        <v>46167</v>
      </c>
      <c r="D1791" s="31">
        <v>181742</v>
      </c>
      <c r="E1791" s="33" t="str">
        <f>IF(Table3[[#This Row],[Type Received]]=2,"CC",(IF(Table3[[#This Row],[Type Received]]=3,"BILL","ACH")))</f>
        <v>ACH</v>
      </c>
      <c r="F1791" s="32">
        <v>15.76</v>
      </c>
      <c r="G1791" s="14" t="str">
        <f>VLOOKUP(D1791,Table4[],3,FALSE)</f>
        <v>1</v>
      </c>
      <c r="H1791" s="15"/>
      <c r="I1791" s="15"/>
      <c r="J1791" s="15" t="s">
        <v>85</v>
      </c>
      <c r="K1791" s="15">
        <v>818357623</v>
      </c>
      <c r="L1791" s="15" t="s">
        <v>29</v>
      </c>
      <c r="M1791" s="15" t="s">
        <v>29</v>
      </c>
    </row>
    <row r="1792" spans="1:13" x14ac:dyDescent="0.25">
      <c r="A1792" s="23">
        <f t="shared" si="89"/>
        <v>182110</v>
      </c>
      <c r="B1792" s="14" t="str">
        <f t="shared" si="88"/>
        <v>Billing - Credits (from TPA)</v>
      </c>
      <c r="C1792" s="38">
        <v>46157</v>
      </c>
      <c r="D1792" s="34">
        <v>182110</v>
      </c>
      <c r="E1792" s="36" t="str">
        <f>IF(Table3[[#This Row],[Type Received]]=2,"CC",(IF(Table3[[#This Row],[Type Received]]=3,"BILL","ACH")))</f>
        <v>BILL</v>
      </c>
      <c r="F1792" s="35">
        <v>21.92</v>
      </c>
      <c r="G1792" s="14" t="str">
        <f>VLOOKUP(D1792,Table4[],3,FALSE)</f>
        <v>1</v>
      </c>
      <c r="H1792" s="15"/>
      <c r="I1792" s="15"/>
      <c r="J1792" s="15" t="s">
        <v>87</v>
      </c>
      <c r="K1792" s="15">
        <v>696733287</v>
      </c>
      <c r="L1792" s="15" t="s">
        <v>29</v>
      </c>
      <c r="M1792" s="15"/>
    </row>
    <row r="1793" spans="1:13" x14ac:dyDescent="0.25">
      <c r="A1793" s="23">
        <f t="shared" si="89"/>
        <v>182142</v>
      </c>
      <c r="B1793" s="14" t="str">
        <f t="shared" si="88"/>
        <v>Direct Debit (UMB Bank) - Credits</v>
      </c>
      <c r="C1793" s="37">
        <v>46168</v>
      </c>
      <c r="D1793" s="31">
        <v>182142</v>
      </c>
      <c r="E1793" s="33" t="str">
        <f>IF(Table3[[#This Row],[Type Received]]=2,"CC",(IF(Table3[[#This Row],[Type Received]]=3,"BILL","ACH")))</f>
        <v>ACH</v>
      </c>
      <c r="F1793" s="32">
        <v>71.98</v>
      </c>
      <c r="G1793" s="14" t="str">
        <f>VLOOKUP(D1793,Table4[],3,FALSE)</f>
        <v>2</v>
      </c>
      <c r="H1793" s="15">
        <v>4403</v>
      </c>
      <c r="I1793" s="15"/>
      <c r="J1793" s="15"/>
      <c r="K1793" s="15"/>
      <c r="L1793" s="15"/>
      <c r="M1793" s="15" t="s">
        <v>29</v>
      </c>
    </row>
    <row r="1794" spans="1:13" x14ac:dyDescent="0.25">
      <c r="A1794" s="23">
        <f t="shared" si="89"/>
        <v>182200</v>
      </c>
      <c r="B1794" s="14" t="str">
        <f t="shared" ref="B1794:B1857" si="90">IF(AND(E1794="BILL",F1794&lt;0),"Billing &amp; Direct Debit - Refunds",(IF(AND(E1794="BILL",F1794&gt;0),"Billing - Credits (from TPA)",(IF(AND(E1794="CC",F1794&lt;0),"Credit Cards (UMB) - Refunds",(IF(AND(E1794="CC",F1794&gt;0),"Credit Cards (UMB) - Credits",(IF(AND(E1794="ACH",F1794&gt;0),"Direct Debit (UMB Bank) - Credits","Direct Debit (UMB Bank) - Returned Items")))))))))</f>
        <v>Direct Debit (UMB Bank) - Credits</v>
      </c>
      <c r="C1794" s="38">
        <v>46157</v>
      </c>
      <c r="D1794" s="34">
        <v>182200</v>
      </c>
      <c r="E1794" s="36" t="str">
        <f>IF(Table3[[#This Row],[Type Received]]=2,"CC",(IF(Table3[[#This Row],[Type Received]]=3,"BILL","ACH")))</f>
        <v>ACH</v>
      </c>
      <c r="F1794" s="35">
        <v>42.82</v>
      </c>
      <c r="G1794" s="14" t="str">
        <f>VLOOKUP(D1794,Table4[],3,FALSE)</f>
        <v>1</v>
      </c>
      <c r="H1794" s="15"/>
      <c r="I1794" s="15"/>
      <c r="J1794" s="15" t="s">
        <v>87</v>
      </c>
      <c r="K1794" s="15">
        <v>696739229</v>
      </c>
      <c r="L1794" s="15" t="s">
        <v>29</v>
      </c>
      <c r="M1794" s="15" t="s">
        <v>29</v>
      </c>
    </row>
    <row r="1795" spans="1:13" x14ac:dyDescent="0.25">
      <c r="A1795" s="23">
        <f t="shared" si="89"/>
        <v>182273</v>
      </c>
      <c r="B1795" s="14" t="str">
        <f t="shared" si="90"/>
        <v>Direct Debit (UMB Bank) - Credits</v>
      </c>
      <c r="C1795" s="37">
        <v>46143</v>
      </c>
      <c r="D1795" s="31">
        <v>182273</v>
      </c>
      <c r="E1795" s="33" t="str">
        <f>IF(Table3[[#This Row],[Type Received]]=2,"CC",(IF(Table3[[#This Row],[Type Received]]=3,"BILL","ACH")))</f>
        <v>ACH</v>
      </c>
      <c r="F1795" s="32">
        <v>68.34</v>
      </c>
      <c r="G1795" s="14" t="str">
        <f>VLOOKUP(D1795,Table4[],3,FALSE)</f>
        <v>1</v>
      </c>
      <c r="H1795" s="15"/>
      <c r="I1795" s="15"/>
      <c r="J1795" s="15" t="s">
        <v>84</v>
      </c>
      <c r="K1795" s="15">
        <v>522326119</v>
      </c>
      <c r="L1795" s="15" t="s">
        <v>29</v>
      </c>
      <c r="M1795" s="15" t="s">
        <v>29</v>
      </c>
    </row>
    <row r="1796" spans="1:13" x14ac:dyDescent="0.25">
      <c r="A1796" s="23">
        <f t="shared" si="89"/>
        <v>182316</v>
      </c>
      <c r="B1796" s="14" t="str">
        <f t="shared" si="90"/>
        <v>Billing - Credits (from TPA)</v>
      </c>
      <c r="C1796" s="38">
        <v>46157</v>
      </c>
      <c r="D1796" s="34">
        <v>182316</v>
      </c>
      <c r="E1796" s="36" t="str">
        <f>IF(Table3[[#This Row],[Type Received]]=2,"CC",(IF(Table3[[#This Row],[Type Received]]=3,"BILL","ACH")))</f>
        <v>BILL</v>
      </c>
      <c r="F1796" s="35">
        <v>32.04</v>
      </c>
      <c r="G1796" s="14" t="str">
        <f>VLOOKUP(D1796,Table4[],3,FALSE)</f>
        <v>1</v>
      </c>
      <c r="H1796" s="15"/>
      <c r="I1796" s="15"/>
      <c r="J1796" s="15" t="s">
        <v>87</v>
      </c>
      <c r="K1796" s="15">
        <v>696729413</v>
      </c>
      <c r="L1796" s="15" t="s">
        <v>29</v>
      </c>
      <c r="M1796" s="15"/>
    </row>
    <row r="1797" spans="1:13" x14ac:dyDescent="0.25">
      <c r="A1797" s="23">
        <f t="shared" si="89"/>
        <v>182369</v>
      </c>
      <c r="B1797" s="14" t="str">
        <f t="shared" si="90"/>
        <v>Credit Cards (UMB) - Credits</v>
      </c>
      <c r="C1797" s="37">
        <v>46168</v>
      </c>
      <c r="D1797" s="31">
        <v>182369</v>
      </c>
      <c r="E1797" s="33" t="str">
        <f>IF(Table3[[#This Row],[Type Received]]=2,"CC",(IF(Table3[[#This Row],[Type Received]]=3,"BILL","ACH")))</f>
        <v>CC</v>
      </c>
      <c r="F1797" s="32">
        <v>34.03</v>
      </c>
      <c r="G1797" s="14" t="str">
        <f>VLOOKUP(D1797,Table4[],3,FALSE)</f>
        <v>2</v>
      </c>
      <c r="H1797" s="15">
        <v>2248709784</v>
      </c>
      <c r="I1797" s="15"/>
      <c r="J1797" s="15"/>
      <c r="K1797" s="15"/>
      <c r="L1797" s="15"/>
      <c r="M1797" s="15" t="s">
        <v>29</v>
      </c>
    </row>
    <row r="1798" spans="1:13" x14ac:dyDescent="0.25">
      <c r="A1798" s="23">
        <f t="shared" si="89"/>
        <v>182416</v>
      </c>
      <c r="B1798" s="14" t="str">
        <f t="shared" si="90"/>
        <v>Direct Debit (UMB Bank) - Credits</v>
      </c>
      <c r="C1798" s="38">
        <v>46143</v>
      </c>
      <c r="D1798" s="34">
        <v>182416</v>
      </c>
      <c r="E1798" s="36" t="str">
        <f>IF(Table3[[#This Row],[Type Received]]=2,"CC",(IF(Table3[[#This Row],[Type Received]]=3,"BILL","ACH")))</f>
        <v>ACH</v>
      </c>
      <c r="F1798" s="35">
        <v>22.48</v>
      </c>
      <c r="G1798" s="14" t="str">
        <f>VLOOKUP(D1798,Table4[],3,FALSE)</f>
        <v>1</v>
      </c>
      <c r="H1798" s="15"/>
      <c r="I1798" s="15">
        <v>767162</v>
      </c>
      <c r="J1798" s="15" t="s">
        <v>28</v>
      </c>
      <c r="K1798" s="15">
        <v>525626829</v>
      </c>
      <c r="L1798" s="15" t="s">
        <v>29</v>
      </c>
      <c r="M1798" s="15" t="s">
        <v>29</v>
      </c>
    </row>
    <row r="1799" spans="1:13" x14ac:dyDescent="0.25">
      <c r="A1799" s="23">
        <f t="shared" si="89"/>
        <v>182452</v>
      </c>
      <c r="B1799" s="14" t="str">
        <f t="shared" si="90"/>
        <v>Credit Cards (UMB) - Credits</v>
      </c>
      <c r="C1799" s="37">
        <v>46167</v>
      </c>
      <c r="D1799" s="31">
        <v>182452</v>
      </c>
      <c r="E1799" s="33" t="str">
        <f>IF(Table3[[#This Row],[Type Received]]=2,"CC",(IF(Table3[[#This Row],[Type Received]]=3,"BILL","ACH")))</f>
        <v>CC</v>
      </c>
      <c r="F1799" s="32">
        <v>31.05</v>
      </c>
      <c r="G1799" s="14" t="str">
        <f>VLOOKUP(D1799,Table4[],3,FALSE)</f>
        <v>2</v>
      </c>
      <c r="H1799" s="15"/>
      <c r="I1799" s="15"/>
      <c r="J1799" s="15" t="s">
        <v>85</v>
      </c>
      <c r="K1799" s="15">
        <v>818351909</v>
      </c>
      <c r="L1799" s="15" t="s">
        <v>29</v>
      </c>
      <c r="M1799" s="15" t="s">
        <v>29</v>
      </c>
    </row>
    <row r="1800" spans="1:13" x14ac:dyDescent="0.25">
      <c r="A1800" s="23">
        <f t="shared" si="89"/>
        <v>182461</v>
      </c>
      <c r="B1800" s="14" t="str">
        <f t="shared" si="90"/>
        <v>Billing - Credits (from TPA)</v>
      </c>
      <c r="C1800" s="38">
        <v>46148</v>
      </c>
      <c r="D1800" s="34">
        <v>182461</v>
      </c>
      <c r="E1800" s="36" t="str">
        <f>IF(Table3[[#This Row],[Type Received]]=2,"CC",(IF(Table3[[#This Row],[Type Received]]=3,"BILL","ACH")))</f>
        <v>BILL</v>
      </c>
      <c r="F1800" s="35">
        <v>135.34</v>
      </c>
      <c r="G1800" s="14" t="str">
        <f>VLOOKUP(D1800,Table4[],3,FALSE)</f>
        <v>1</v>
      </c>
      <c r="H1800" s="15"/>
      <c r="I1800" s="15">
        <v>25724</v>
      </c>
      <c r="J1800" s="15" t="s">
        <v>28</v>
      </c>
      <c r="K1800" s="15">
        <v>586113160</v>
      </c>
      <c r="L1800" s="15" t="s">
        <v>29</v>
      </c>
      <c r="M1800" s="15" t="s">
        <v>29</v>
      </c>
    </row>
    <row r="1801" spans="1:13" x14ac:dyDescent="0.25">
      <c r="A1801" s="23">
        <f t="shared" si="89"/>
        <v>182463</v>
      </c>
      <c r="B1801" s="14" t="str">
        <f t="shared" si="90"/>
        <v>Direct Debit (UMB Bank) - Credits</v>
      </c>
      <c r="C1801" s="37">
        <v>46146</v>
      </c>
      <c r="D1801" s="31">
        <v>182463</v>
      </c>
      <c r="E1801" s="33" t="str">
        <f>IF(Table3[[#This Row],[Type Received]]=2,"CC",(IF(Table3[[#This Row],[Type Received]]=3,"BILL","ACH")))</f>
        <v>ACH</v>
      </c>
      <c r="F1801" s="32">
        <v>61.42</v>
      </c>
      <c r="G1801" s="14" t="str">
        <f>VLOOKUP(D1801,Table4[],3,FALSE)</f>
        <v>2</v>
      </c>
      <c r="H1801" s="15">
        <v>8508</v>
      </c>
      <c r="I1801" s="15"/>
      <c r="J1801" s="15"/>
      <c r="K1801" s="15"/>
      <c r="L1801" s="15"/>
      <c r="M1801" s="15" t="s">
        <v>29</v>
      </c>
    </row>
    <row r="1802" spans="1:13" x14ac:dyDescent="0.25">
      <c r="A1802" s="23">
        <f t="shared" si="89"/>
        <v>182522</v>
      </c>
      <c r="B1802" s="14" t="str">
        <f t="shared" si="90"/>
        <v>Credit Cards (UMB) - Credits</v>
      </c>
      <c r="C1802" s="38">
        <v>46167</v>
      </c>
      <c r="D1802" s="34">
        <v>182522</v>
      </c>
      <c r="E1802" s="36" t="str">
        <f>IF(Table3[[#This Row],[Type Received]]=2,"CC",(IF(Table3[[#This Row],[Type Received]]=3,"BILL","ACH")))</f>
        <v>CC</v>
      </c>
      <c r="F1802" s="35">
        <v>11.33</v>
      </c>
      <c r="G1802" s="14" t="str">
        <f>VLOOKUP(D1802,Table4[],3,FALSE)</f>
        <v>1</v>
      </c>
      <c r="H1802" s="15"/>
      <c r="I1802" s="15"/>
      <c r="J1802" s="15" t="s">
        <v>85</v>
      </c>
      <c r="K1802" s="15">
        <v>818356682</v>
      </c>
      <c r="L1802" s="15" t="s">
        <v>29</v>
      </c>
      <c r="M1802" s="15" t="s">
        <v>29</v>
      </c>
    </row>
    <row r="1803" spans="1:13" x14ac:dyDescent="0.25">
      <c r="A1803" s="23">
        <f t="shared" si="89"/>
        <v>182605</v>
      </c>
      <c r="B1803" s="14" t="str">
        <f t="shared" si="90"/>
        <v>Direct Debit (UMB Bank) - Credits</v>
      </c>
      <c r="C1803" s="37">
        <v>46145</v>
      </c>
      <c r="D1803" s="31">
        <v>182605</v>
      </c>
      <c r="E1803" s="33" t="str">
        <f>IF(Table3[[#This Row],[Type Received]]=2,"CC",(IF(Table3[[#This Row],[Type Received]]=3,"BILL","ACH")))</f>
        <v>ACH</v>
      </c>
      <c r="F1803" s="32">
        <v>38.979999999999997</v>
      </c>
      <c r="G1803" s="14" t="str">
        <f>VLOOKUP(D1803,Table4[],3,FALSE)</f>
        <v>2</v>
      </c>
      <c r="H1803" s="15"/>
      <c r="I1803" s="15" t="s">
        <v>234</v>
      </c>
      <c r="J1803" s="15">
        <v>742039970</v>
      </c>
      <c r="K1803" s="15">
        <v>353328890</v>
      </c>
      <c r="L1803" s="15"/>
      <c r="M1803" s="15" t="s">
        <v>29</v>
      </c>
    </row>
    <row r="1804" spans="1:13" x14ac:dyDescent="0.25">
      <c r="A1804" s="23">
        <f t="shared" si="89"/>
        <v>182628</v>
      </c>
      <c r="B1804" s="14" t="str">
        <f t="shared" si="90"/>
        <v>Direct Debit (UMB Bank) - Credits</v>
      </c>
      <c r="C1804" s="38">
        <v>46157</v>
      </c>
      <c r="D1804" s="34">
        <v>182628</v>
      </c>
      <c r="E1804" s="36" t="str">
        <f>IF(Table3[[#This Row],[Type Received]]=2,"CC",(IF(Table3[[#This Row],[Type Received]]=3,"BILL","ACH")))</f>
        <v>ACH</v>
      </c>
      <c r="F1804" s="35">
        <v>18.47</v>
      </c>
      <c r="G1804" s="14" t="str">
        <f>VLOOKUP(D1804,Table4[],3,FALSE)</f>
        <v>1</v>
      </c>
      <c r="H1804" s="15"/>
      <c r="I1804" s="15"/>
      <c r="J1804" s="15" t="s">
        <v>87</v>
      </c>
      <c r="K1804" s="15">
        <v>696735295</v>
      </c>
      <c r="L1804" s="15" t="s">
        <v>29</v>
      </c>
      <c r="M1804" s="15" t="s">
        <v>29</v>
      </c>
    </row>
    <row r="1805" spans="1:13" x14ac:dyDescent="0.25">
      <c r="A1805" s="23">
        <f t="shared" si="89"/>
        <v>182720</v>
      </c>
      <c r="B1805" s="14" t="str">
        <f t="shared" si="90"/>
        <v>Direct Debit (UMB Bank) - Credits</v>
      </c>
      <c r="C1805" s="37">
        <v>46157</v>
      </c>
      <c r="D1805" s="31">
        <v>182720</v>
      </c>
      <c r="E1805" s="33" t="str">
        <f>IF(Table3[[#This Row],[Type Received]]=2,"CC",(IF(Table3[[#This Row],[Type Received]]=3,"BILL","ACH")))</f>
        <v>ACH</v>
      </c>
      <c r="F1805" s="32">
        <v>10.33</v>
      </c>
      <c r="G1805" s="14" t="str">
        <f>VLOOKUP(D1805,Table4[],3,FALSE)</f>
        <v>1</v>
      </c>
      <c r="H1805" s="15"/>
      <c r="I1805" s="15"/>
      <c r="J1805" s="24" t="s">
        <v>87</v>
      </c>
      <c r="K1805" s="15">
        <v>696725602</v>
      </c>
      <c r="L1805" s="15" t="s">
        <v>29</v>
      </c>
      <c r="M1805" s="15" t="s">
        <v>29</v>
      </c>
    </row>
    <row r="1806" spans="1:13" x14ac:dyDescent="0.25">
      <c r="A1806" s="23">
        <f t="shared" si="89"/>
        <v>182813</v>
      </c>
      <c r="B1806" s="14" t="str">
        <f t="shared" si="90"/>
        <v>Direct Debit (UMB Bank) - Credits</v>
      </c>
      <c r="C1806" s="38">
        <v>46157</v>
      </c>
      <c r="D1806" s="34">
        <v>182813</v>
      </c>
      <c r="E1806" s="36" t="str">
        <f>IF(Table3[[#This Row],[Type Received]]=2,"CC",(IF(Table3[[#This Row],[Type Received]]=3,"BILL","ACH")))</f>
        <v>ACH</v>
      </c>
      <c r="F1806" s="35">
        <v>61.56</v>
      </c>
      <c r="G1806" s="14" t="str">
        <f>VLOOKUP(D1806,Table4[],3,FALSE)</f>
        <v>1</v>
      </c>
      <c r="H1806" s="15"/>
      <c r="I1806" s="15"/>
      <c r="J1806" s="15" t="s">
        <v>87</v>
      </c>
      <c r="K1806" s="15">
        <v>696727571</v>
      </c>
      <c r="L1806" s="15" t="s">
        <v>29</v>
      </c>
      <c r="M1806" s="15"/>
    </row>
    <row r="1807" spans="1:13" x14ac:dyDescent="0.25">
      <c r="A1807" s="23">
        <f t="shared" si="89"/>
        <v>183009</v>
      </c>
      <c r="B1807" s="14" t="str">
        <f t="shared" si="90"/>
        <v>Direct Debit (UMB Bank) - Credits</v>
      </c>
      <c r="C1807" s="37">
        <v>46143</v>
      </c>
      <c r="D1807" s="31">
        <v>183009</v>
      </c>
      <c r="E1807" s="33" t="str">
        <f>IF(Table3[[#This Row],[Type Received]]=2,"CC",(IF(Table3[[#This Row],[Type Received]]=3,"BILL","ACH")))</f>
        <v>ACH</v>
      </c>
      <c r="F1807" s="32">
        <v>107.24</v>
      </c>
      <c r="G1807" s="14" t="str">
        <f>VLOOKUP(D1807,Table4[],3,FALSE)</f>
        <v>2</v>
      </c>
      <c r="H1807" s="15"/>
      <c r="I1807" s="15"/>
      <c r="J1807" s="24" t="s">
        <v>84</v>
      </c>
      <c r="K1807" s="15">
        <v>522325195</v>
      </c>
      <c r="L1807" s="15" t="s">
        <v>29</v>
      </c>
      <c r="M1807" s="15" t="s">
        <v>29</v>
      </c>
    </row>
    <row r="1808" spans="1:13" x14ac:dyDescent="0.25">
      <c r="A1808" s="23">
        <f t="shared" si="89"/>
        <v>183020</v>
      </c>
      <c r="B1808" s="14" t="str">
        <f t="shared" si="90"/>
        <v>Direct Debit (UMB Bank) - Credits</v>
      </c>
      <c r="C1808" s="38">
        <v>46157</v>
      </c>
      <c r="D1808" s="34">
        <v>183020</v>
      </c>
      <c r="E1808" s="36" t="str">
        <f>IF(Table3[[#This Row],[Type Received]]=2,"CC",(IF(Table3[[#This Row],[Type Received]]=3,"BILL","ACH")))</f>
        <v>ACH</v>
      </c>
      <c r="F1808" s="35">
        <v>15.39</v>
      </c>
      <c r="G1808" s="14" t="str">
        <f>VLOOKUP(D1808,Table4[],3,FALSE)</f>
        <v>1</v>
      </c>
      <c r="H1808" s="15"/>
      <c r="I1808" s="15"/>
      <c r="J1808" s="24" t="s">
        <v>87</v>
      </c>
      <c r="K1808" s="15">
        <v>696732371</v>
      </c>
      <c r="L1808" s="15" t="s">
        <v>29</v>
      </c>
      <c r="M1808" s="15"/>
    </row>
    <row r="1809" spans="1:13" x14ac:dyDescent="0.25">
      <c r="A1809" s="23">
        <f t="shared" si="89"/>
        <v>183021</v>
      </c>
      <c r="B1809" s="14" t="str">
        <f t="shared" si="90"/>
        <v>Direct Debit (UMB Bank) - Credits</v>
      </c>
      <c r="C1809" s="37">
        <v>46157</v>
      </c>
      <c r="D1809" s="31">
        <v>183021</v>
      </c>
      <c r="E1809" s="33" t="str">
        <f>IF(Table3[[#This Row],[Type Received]]=2,"CC",(IF(Table3[[#This Row],[Type Received]]=3,"BILL","ACH")))</f>
        <v>ACH</v>
      </c>
      <c r="F1809" s="32">
        <v>8.1300000000000008</v>
      </c>
      <c r="G1809" s="14" t="str">
        <f>VLOOKUP(D1809,Table4[],3,FALSE)</f>
        <v>1</v>
      </c>
      <c r="H1809" s="15"/>
      <c r="I1809" s="15"/>
      <c r="J1809" s="15" t="s">
        <v>87</v>
      </c>
      <c r="K1809" s="15">
        <v>696716097</v>
      </c>
      <c r="L1809" s="15" t="s">
        <v>29</v>
      </c>
      <c r="M1809" s="15" t="s">
        <v>29</v>
      </c>
    </row>
    <row r="1810" spans="1:13" x14ac:dyDescent="0.25">
      <c r="A1810" s="23">
        <f t="shared" si="89"/>
        <v>183049</v>
      </c>
      <c r="B1810" s="14" t="str">
        <f t="shared" si="90"/>
        <v>Credit Cards (UMB) - Credits</v>
      </c>
      <c r="C1810" s="38">
        <v>46157</v>
      </c>
      <c r="D1810" s="34">
        <v>183049</v>
      </c>
      <c r="E1810" s="36" t="str">
        <f>IF(Table3[[#This Row],[Type Received]]=2,"CC",(IF(Table3[[#This Row],[Type Received]]=3,"BILL","ACH")))</f>
        <v>CC</v>
      </c>
      <c r="F1810" s="35">
        <v>16.71</v>
      </c>
      <c r="G1810" s="14" t="str">
        <f>VLOOKUP(D1810,Table4[],3,FALSE)</f>
        <v>1</v>
      </c>
      <c r="H1810" s="15"/>
      <c r="I1810" s="15"/>
      <c r="J1810" s="15" t="s">
        <v>87</v>
      </c>
      <c r="K1810" s="15">
        <v>696734338</v>
      </c>
      <c r="L1810" s="15" t="s">
        <v>29</v>
      </c>
      <c r="M1810" s="15" t="s">
        <v>29</v>
      </c>
    </row>
    <row r="1811" spans="1:13" x14ac:dyDescent="0.25">
      <c r="A1811" s="23">
        <f t="shared" si="89"/>
        <v>183050</v>
      </c>
      <c r="B1811" s="14" t="str">
        <f t="shared" si="90"/>
        <v>Credit Cards (UMB) - Credits</v>
      </c>
      <c r="C1811" s="37">
        <v>46156</v>
      </c>
      <c r="D1811" s="31">
        <v>183050</v>
      </c>
      <c r="E1811" s="33" t="str">
        <f>IF(Table3[[#This Row],[Type Received]]=2,"CC",(IF(Table3[[#This Row],[Type Received]]=3,"BILL","ACH")))</f>
        <v>CC</v>
      </c>
      <c r="F1811" s="32">
        <v>18.14</v>
      </c>
      <c r="G1811" s="14" t="str">
        <f>VLOOKUP(D1811,Table4[],3,FALSE)</f>
        <v>2</v>
      </c>
      <c r="H1811" s="15"/>
      <c r="I1811" s="15">
        <v>14537</v>
      </c>
      <c r="J1811" s="15" t="s">
        <v>28</v>
      </c>
      <c r="K1811" s="15">
        <v>682532596</v>
      </c>
      <c r="L1811" s="15" t="s">
        <v>29</v>
      </c>
      <c r="M1811" s="15" t="s">
        <v>29</v>
      </c>
    </row>
    <row r="1812" spans="1:13" x14ac:dyDescent="0.25">
      <c r="A1812" s="23">
        <f t="shared" si="89"/>
        <v>183098</v>
      </c>
      <c r="B1812" s="14" t="str">
        <f t="shared" si="90"/>
        <v>Billing - Credits (from TPA)</v>
      </c>
      <c r="C1812" s="38">
        <v>46147</v>
      </c>
      <c r="D1812" s="34">
        <v>183098</v>
      </c>
      <c r="E1812" s="36" t="str">
        <f>IF(Table3[[#This Row],[Type Received]]=2,"CC",(IF(Table3[[#This Row],[Type Received]]=3,"BILL","ACH")))</f>
        <v>BILL</v>
      </c>
      <c r="F1812" s="35">
        <v>67.64</v>
      </c>
      <c r="G1812" s="14" t="str">
        <f>VLOOKUP(D1812,Table4[],3,FALSE)</f>
        <v>2</v>
      </c>
      <c r="H1812" s="15"/>
      <c r="I1812" s="15">
        <v>93455</v>
      </c>
      <c r="J1812" s="15" t="s">
        <v>28</v>
      </c>
      <c r="K1812" s="15">
        <v>569461915</v>
      </c>
      <c r="L1812" s="15" t="s">
        <v>29</v>
      </c>
      <c r="M1812" s="15" t="s">
        <v>29</v>
      </c>
    </row>
    <row r="1813" spans="1:13" x14ac:dyDescent="0.25">
      <c r="A1813" s="23">
        <f t="shared" si="89"/>
        <v>183195</v>
      </c>
      <c r="B1813" s="14" t="str">
        <f t="shared" si="90"/>
        <v>Direct Debit (UMB Bank) - Credits</v>
      </c>
      <c r="C1813" s="37">
        <v>46143</v>
      </c>
      <c r="D1813" s="31">
        <v>183195</v>
      </c>
      <c r="E1813" s="33" t="str">
        <f>IF(Table3[[#This Row],[Type Received]]=2,"CC",(IF(Table3[[#This Row],[Type Received]]=3,"BILL","ACH")))</f>
        <v>ACH</v>
      </c>
      <c r="F1813" s="32">
        <v>85.14</v>
      </c>
      <c r="G1813" s="14" t="str">
        <f>VLOOKUP(D1813,Table4[],3,FALSE)</f>
        <v>2</v>
      </c>
      <c r="H1813" s="15">
        <v>70049772</v>
      </c>
      <c r="I1813" s="15"/>
      <c r="J1813" s="15"/>
      <c r="K1813" s="15"/>
      <c r="L1813" s="15"/>
      <c r="M1813" s="15" t="s">
        <v>29</v>
      </c>
    </row>
    <row r="1814" spans="1:13" x14ac:dyDescent="0.25">
      <c r="A1814" s="23">
        <f t="shared" si="89"/>
        <v>183311</v>
      </c>
      <c r="B1814" s="14" t="str">
        <f t="shared" si="90"/>
        <v>Direct Debit (UMB Bank) - Credits</v>
      </c>
      <c r="C1814" s="38">
        <v>46157</v>
      </c>
      <c r="D1814" s="34">
        <v>183311</v>
      </c>
      <c r="E1814" s="36" t="str">
        <f>IF(Table3[[#This Row],[Type Received]]=2,"CC",(IF(Table3[[#This Row],[Type Received]]=3,"BILL","ACH")))</f>
        <v>ACH</v>
      </c>
      <c r="F1814" s="35">
        <v>13.85</v>
      </c>
      <c r="G1814" s="14" t="str">
        <f>VLOOKUP(D1814,Table4[],3,FALSE)</f>
        <v>1</v>
      </c>
      <c r="H1814" s="15"/>
      <c r="I1814" s="15"/>
      <c r="J1814" s="15" t="s">
        <v>87</v>
      </c>
      <c r="K1814" s="15">
        <v>696734352</v>
      </c>
      <c r="L1814" s="15" t="s">
        <v>29</v>
      </c>
      <c r="M1814" s="15" t="s">
        <v>29</v>
      </c>
    </row>
    <row r="1815" spans="1:13" x14ac:dyDescent="0.25">
      <c r="A1815" s="23">
        <f t="shared" si="89"/>
        <v>183315</v>
      </c>
      <c r="B1815" s="14" t="str">
        <f t="shared" si="90"/>
        <v>Direct Debit (UMB Bank) - Credits</v>
      </c>
      <c r="C1815" s="37">
        <v>46167</v>
      </c>
      <c r="D1815" s="31">
        <v>183315</v>
      </c>
      <c r="E1815" s="33" t="str">
        <f>IF(Table3[[#This Row],[Type Received]]=2,"CC",(IF(Table3[[#This Row],[Type Received]]=3,"BILL","ACH")))</f>
        <v>ACH</v>
      </c>
      <c r="F1815" s="32">
        <v>28.37</v>
      </c>
      <c r="G1815" s="14" t="str">
        <f>VLOOKUP(D1815,Table4[],3,FALSE)</f>
        <v>2</v>
      </c>
      <c r="H1815" s="15"/>
      <c r="I1815" s="15"/>
      <c r="J1815" s="15" t="s">
        <v>85</v>
      </c>
      <c r="K1815" s="15">
        <v>818353770</v>
      </c>
      <c r="L1815" s="15" t="s">
        <v>29</v>
      </c>
      <c r="M1815" s="15" t="s">
        <v>29</v>
      </c>
    </row>
    <row r="1816" spans="1:13" x14ac:dyDescent="0.25">
      <c r="A1816" s="23">
        <f t="shared" si="89"/>
        <v>183332</v>
      </c>
      <c r="B1816" s="14" t="str">
        <f t="shared" si="90"/>
        <v>Direct Debit (UMB Bank) - Credits</v>
      </c>
      <c r="C1816" s="38">
        <v>46157</v>
      </c>
      <c r="D1816" s="34">
        <v>183332</v>
      </c>
      <c r="E1816" s="36" t="str">
        <f>IF(Table3[[#This Row],[Type Received]]=2,"CC",(IF(Table3[[#This Row],[Type Received]]=3,"BILL","ACH")))</f>
        <v>ACH</v>
      </c>
      <c r="F1816" s="35">
        <v>29.69</v>
      </c>
      <c r="G1816" s="14" t="str">
        <f>VLOOKUP(D1816,Table4[],3,FALSE)</f>
        <v>2</v>
      </c>
      <c r="H1816" s="15"/>
      <c r="I1816" s="15"/>
      <c r="J1816" s="15" t="s">
        <v>87</v>
      </c>
      <c r="K1816" s="15">
        <v>696721841</v>
      </c>
      <c r="L1816" s="15" t="s">
        <v>29</v>
      </c>
      <c r="M1816" s="15"/>
    </row>
    <row r="1817" spans="1:13" x14ac:dyDescent="0.25">
      <c r="A1817" s="23">
        <f t="shared" si="89"/>
        <v>183338</v>
      </c>
      <c r="B1817" s="14" t="str">
        <f t="shared" si="90"/>
        <v>Billing - Credits (from TPA)</v>
      </c>
      <c r="C1817" s="37">
        <v>46168</v>
      </c>
      <c r="D1817" s="31">
        <v>183338</v>
      </c>
      <c r="E1817" s="33" t="str">
        <f>IF(Table3[[#This Row],[Type Received]]=2,"CC",(IF(Table3[[#This Row],[Type Received]]=3,"BILL","ACH")))</f>
        <v>BILL</v>
      </c>
      <c r="F1817" s="32">
        <v>9.89</v>
      </c>
      <c r="G1817" s="14" t="str">
        <f>VLOOKUP(D1817,Table4[],3,FALSE)</f>
        <v>1</v>
      </c>
      <c r="H1817" s="15"/>
      <c r="I1817" s="15"/>
      <c r="J1817" s="15" t="s">
        <v>110</v>
      </c>
      <c r="K1817" s="15">
        <v>828257478</v>
      </c>
      <c r="L1817" s="15" t="s">
        <v>29</v>
      </c>
      <c r="M1817" s="15"/>
    </row>
    <row r="1818" spans="1:13" x14ac:dyDescent="0.25">
      <c r="A1818" s="23">
        <f t="shared" si="89"/>
        <v>183363</v>
      </c>
      <c r="B1818" s="14" t="str">
        <f t="shared" si="90"/>
        <v>Direct Debit (UMB Bank) - Credits</v>
      </c>
      <c r="C1818" s="38">
        <v>46146</v>
      </c>
      <c r="D1818" s="34">
        <v>183363</v>
      </c>
      <c r="E1818" s="36" t="str">
        <f>IF(Table3[[#This Row],[Type Received]]=2,"CC",(IF(Table3[[#This Row],[Type Received]]=3,"BILL","ACH")))</f>
        <v>ACH</v>
      </c>
      <c r="F1818" s="35">
        <v>33.659999999999997</v>
      </c>
      <c r="G1818" s="14" t="str">
        <f>VLOOKUP(D1818,Table4[],3,FALSE)</f>
        <v>2</v>
      </c>
      <c r="H1818" s="15">
        <v>6641</v>
      </c>
      <c r="I1818" s="15"/>
      <c r="J1818" s="15"/>
      <c r="K1818" s="15"/>
      <c r="L1818" s="15"/>
      <c r="M1818" s="15" t="s">
        <v>29</v>
      </c>
    </row>
    <row r="1819" spans="1:13" x14ac:dyDescent="0.25">
      <c r="A1819" s="23">
        <f t="shared" si="89"/>
        <v>183625</v>
      </c>
      <c r="B1819" s="14" t="str">
        <f t="shared" si="90"/>
        <v>Direct Debit (UMB Bank) - Credits</v>
      </c>
      <c r="C1819" s="37">
        <v>46143</v>
      </c>
      <c r="D1819" s="31">
        <v>183625</v>
      </c>
      <c r="E1819" s="33" t="str">
        <f>IF(Table3[[#This Row],[Type Received]]=2,"CC",(IF(Table3[[#This Row],[Type Received]]=3,"BILL","ACH")))</f>
        <v>ACH</v>
      </c>
      <c r="F1819" s="32">
        <v>19.28</v>
      </c>
      <c r="G1819" s="14" t="str">
        <f>VLOOKUP(D1819,Table4[],3,FALSE)</f>
        <v>1</v>
      </c>
      <c r="H1819" s="15"/>
      <c r="I1819" s="15"/>
      <c r="J1819" s="15" t="s">
        <v>84</v>
      </c>
      <c r="K1819" s="15">
        <v>522315582</v>
      </c>
      <c r="L1819" s="15" t="s">
        <v>29</v>
      </c>
      <c r="M1819" s="15" t="s">
        <v>29</v>
      </c>
    </row>
    <row r="1820" spans="1:13" x14ac:dyDescent="0.25">
      <c r="A1820" s="23">
        <f t="shared" si="89"/>
        <v>183783</v>
      </c>
      <c r="B1820" s="14" t="str">
        <f t="shared" si="90"/>
        <v>Direct Debit (UMB Bank) - Credits</v>
      </c>
      <c r="C1820" s="38">
        <v>46167</v>
      </c>
      <c r="D1820" s="34">
        <v>183783</v>
      </c>
      <c r="E1820" s="36" t="str">
        <f>IF(Table3[[#This Row],[Type Received]]=2,"CC",(IF(Table3[[#This Row],[Type Received]]=3,"BILL","ACH")))</f>
        <v>ACH</v>
      </c>
      <c r="F1820" s="35">
        <v>30.35</v>
      </c>
      <c r="G1820" s="14" t="str">
        <f>VLOOKUP(D1820,Table4[],3,FALSE)</f>
        <v>1</v>
      </c>
      <c r="H1820" s="15"/>
      <c r="I1820" s="15"/>
      <c r="J1820" s="15" t="s">
        <v>85</v>
      </c>
      <c r="K1820" s="15">
        <v>818360637</v>
      </c>
      <c r="L1820" s="15" t="s">
        <v>29</v>
      </c>
      <c r="M1820" s="15" t="s">
        <v>29</v>
      </c>
    </row>
    <row r="1821" spans="1:13" x14ac:dyDescent="0.25">
      <c r="A1821" s="23">
        <f t="shared" si="89"/>
        <v>183435</v>
      </c>
      <c r="B1821" s="14" t="str">
        <f t="shared" si="90"/>
        <v>Direct Debit (UMB Bank) - Credits</v>
      </c>
      <c r="C1821" s="37">
        <v>46167</v>
      </c>
      <c r="D1821" s="31">
        <v>183435</v>
      </c>
      <c r="E1821" s="33" t="str">
        <f>IF(Table3[[#This Row],[Type Received]]=2,"CC",(IF(Table3[[#This Row],[Type Received]]=3,"BILL","ACH")))</f>
        <v>ACH</v>
      </c>
      <c r="F1821" s="32">
        <v>16.93</v>
      </c>
      <c r="G1821" s="14" t="str">
        <f>VLOOKUP(D1821,Table4[],3,FALSE)</f>
        <v>1</v>
      </c>
      <c r="H1821" s="15"/>
      <c r="I1821" s="15"/>
      <c r="J1821" s="15" t="s">
        <v>85</v>
      </c>
      <c r="K1821" s="15">
        <v>818368347</v>
      </c>
      <c r="L1821" s="15" t="s">
        <v>29</v>
      </c>
      <c r="M1821" s="15" t="s">
        <v>29</v>
      </c>
    </row>
    <row r="1822" spans="1:13" x14ac:dyDescent="0.25">
      <c r="A1822" s="23">
        <f t="shared" si="89"/>
        <v>183500</v>
      </c>
      <c r="B1822" s="14" t="str">
        <f t="shared" si="90"/>
        <v>Credit Cards (UMB) - Credits</v>
      </c>
      <c r="C1822" s="38">
        <v>46167</v>
      </c>
      <c r="D1822" s="34">
        <v>183500</v>
      </c>
      <c r="E1822" s="36" t="str">
        <f>IF(Table3[[#This Row],[Type Received]]=2,"CC",(IF(Table3[[#This Row],[Type Received]]=3,"BILL","ACH")))</f>
        <v>CC</v>
      </c>
      <c r="F1822" s="35">
        <v>19.13</v>
      </c>
      <c r="G1822" s="14" t="str">
        <f>VLOOKUP(D1822,Table4[],3,FALSE)</f>
        <v>1</v>
      </c>
      <c r="H1822" s="15"/>
      <c r="I1822" s="15"/>
      <c r="J1822" s="15" t="s">
        <v>85</v>
      </c>
      <c r="K1822" s="15">
        <v>818364562</v>
      </c>
      <c r="L1822" s="15" t="s">
        <v>29</v>
      </c>
      <c r="M1822" s="15" t="s">
        <v>29</v>
      </c>
    </row>
    <row r="1823" spans="1:13" x14ac:dyDescent="0.25">
      <c r="A1823" s="23">
        <f t="shared" si="89"/>
        <v>183540</v>
      </c>
      <c r="B1823" s="14" t="str">
        <f t="shared" si="90"/>
        <v>Credit Cards (UMB) - Credits</v>
      </c>
      <c r="C1823" s="37">
        <v>46170</v>
      </c>
      <c r="D1823" s="31">
        <v>183540</v>
      </c>
      <c r="E1823" s="33" t="str">
        <f>IF(Table3[[#This Row],[Type Received]]=2,"CC",(IF(Table3[[#This Row],[Type Received]]=3,"BILL","ACH")))</f>
        <v>CC</v>
      </c>
      <c r="F1823" s="32">
        <v>36.96</v>
      </c>
      <c r="G1823" s="14" t="str">
        <f>VLOOKUP(D1823,Table4[],3,FALSE)</f>
        <v>2</v>
      </c>
      <c r="H1823" s="15"/>
      <c r="I1823" s="15">
        <v>414506</v>
      </c>
      <c r="J1823" s="15">
        <v>749514569</v>
      </c>
      <c r="K1823" s="15">
        <v>356040033</v>
      </c>
      <c r="L1823" s="15"/>
      <c r="M1823" s="15" t="s">
        <v>29</v>
      </c>
    </row>
    <row r="1824" spans="1:13" x14ac:dyDescent="0.25">
      <c r="A1824" s="23">
        <f t="shared" si="89"/>
        <v>183571</v>
      </c>
      <c r="B1824" s="14" t="str">
        <f t="shared" si="90"/>
        <v>Direct Debit (UMB Bank) - Credits</v>
      </c>
      <c r="C1824" s="38">
        <v>46155</v>
      </c>
      <c r="D1824" s="34">
        <v>183571</v>
      </c>
      <c r="E1824" s="36" t="str">
        <f>IF(Table3[[#This Row],[Type Received]]=2,"CC",(IF(Table3[[#This Row],[Type Received]]=3,"BILL","ACH")))</f>
        <v>ACH</v>
      </c>
      <c r="F1824" s="35">
        <v>23.75</v>
      </c>
      <c r="G1824" s="14" t="str">
        <f>VLOOKUP(D1824,Table4[],3,FALSE)</f>
        <v>1</v>
      </c>
      <c r="H1824" s="15"/>
      <c r="I1824" s="15">
        <v>28104</v>
      </c>
      <c r="J1824" s="15" t="s">
        <v>28</v>
      </c>
      <c r="K1824" s="15">
        <v>669481777</v>
      </c>
      <c r="L1824" s="15" t="s">
        <v>29</v>
      </c>
      <c r="M1824" s="15"/>
    </row>
    <row r="1825" spans="1:13" x14ac:dyDescent="0.25">
      <c r="A1825" s="23">
        <f t="shared" si="89"/>
        <v>183586</v>
      </c>
      <c r="B1825" s="14" t="str">
        <f t="shared" si="90"/>
        <v>Billing - Credits (from TPA)</v>
      </c>
      <c r="C1825" s="37">
        <v>46144</v>
      </c>
      <c r="D1825" s="31">
        <v>183586</v>
      </c>
      <c r="E1825" s="33" t="str">
        <f>IF(Table3[[#This Row],[Type Received]]=2,"CC",(IF(Table3[[#This Row],[Type Received]]=3,"BILL","ACH")))</f>
        <v>BILL</v>
      </c>
      <c r="F1825" s="32">
        <v>14.51</v>
      </c>
      <c r="G1825" s="14" t="str">
        <f>VLOOKUP(D1825,Table4[],3,FALSE)</f>
        <v>1</v>
      </c>
      <c r="H1825" s="15"/>
      <c r="I1825" s="15"/>
      <c r="J1825" s="15" t="s">
        <v>89</v>
      </c>
      <c r="K1825" s="15">
        <v>535433508</v>
      </c>
      <c r="L1825" s="15" t="s">
        <v>29</v>
      </c>
      <c r="M1825" s="15" t="s">
        <v>29</v>
      </c>
    </row>
    <row r="1826" spans="1:13" x14ac:dyDescent="0.25">
      <c r="A1826" s="23">
        <f t="shared" si="89"/>
        <v>184032</v>
      </c>
      <c r="B1826" s="14" t="str">
        <f t="shared" si="90"/>
        <v>Billing - Credits (from TPA)</v>
      </c>
      <c r="C1826" s="38">
        <v>46150</v>
      </c>
      <c r="D1826" s="34">
        <v>184032</v>
      </c>
      <c r="E1826" s="36" t="str">
        <f>IF(Table3[[#This Row],[Type Received]]=2,"CC",(IF(Table3[[#This Row],[Type Received]]=3,"BILL","ACH")))</f>
        <v>BILL</v>
      </c>
      <c r="F1826" s="35">
        <v>150.22</v>
      </c>
      <c r="G1826" s="14" t="str">
        <f>VLOOKUP(D1826,Table4[],3,FALSE)</f>
        <v>1</v>
      </c>
      <c r="H1826" s="15">
        <v>75556748</v>
      </c>
      <c r="I1826" s="15"/>
      <c r="J1826" s="24"/>
      <c r="K1826" s="15"/>
      <c r="L1826" s="15"/>
      <c r="M1826" s="15" t="s">
        <v>29</v>
      </c>
    </row>
    <row r="1827" spans="1:13" x14ac:dyDescent="0.25">
      <c r="A1827" s="23">
        <f t="shared" si="89"/>
        <v>184102</v>
      </c>
      <c r="B1827" s="14" t="str">
        <f t="shared" si="90"/>
        <v>Billing - Credits (from TPA)</v>
      </c>
      <c r="C1827" s="37">
        <v>46153</v>
      </c>
      <c r="D1827" s="31">
        <v>184102</v>
      </c>
      <c r="E1827" s="33" t="str">
        <f>IF(Table3[[#This Row],[Type Received]]=2,"CC",(IF(Table3[[#This Row],[Type Received]]=3,"BILL","ACH")))</f>
        <v>BILL</v>
      </c>
      <c r="F1827" s="32">
        <v>19.03</v>
      </c>
      <c r="G1827" s="14" t="str">
        <f>VLOOKUP(D1827,Table4[],3,FALSE)</f>
        <v>1</v>
      </c>
      <c r="H1827" s="15">
        <v>22125045739</v>
      </c>
      <c r="I1827" s="15"/>
      <c r="J1827" s="15"/>
      <c r="K1827" s="15"/>
      <c r="L1827" s="15"/>
      <c r="M1827" s="15" t="s">
        <v>29</v>
      </c>
    </row>
    <row r="1828" spans="1:13" x14ac:dyDescent="0.25">
      <c r="A1828" s="23">
        <f t="shared" si="89"/>
        <v>184177</v>
      </c>
      <c r="B1828" s="14" t="str">
        <f t="shared" si="90"/>
        <v>Direct Debit (UMB Bank) - Credits</v>
      </c>
      <c r="C1828" s="38">
        <v>46171</v>
      </c>
      <c r="D1828" s="34">
        <v>184177</v>
      </c>
      <c r="E1828" s="36" t="str">
        <f>IF(Table3[[#This Row],[Type Received]]=2,"CC",(IF(Table3[[#This Row],[Type Received]]=3,"BILL","ACH")))</f>
        <v>ACH</v>
      </c>
      <c r="F1828" s="35">
        <v>87.12</v>
      </c>
      <c r="G1828" s="14" t="str">
        <f>VLOOKUP(D1828,Table4[],3,FALSE)</f>
        <v>2</v>
      </c>
      <c r="H1828" s="15">
        <v>204</v>
      </c>
      <c r="I1828" s="15"/>
      <c r="J1828" s="15"/>
      <c r="K1828" s="15"/>
      <c r="L1828" s="15"/>
      <c r="M1828" s="15"/>
    </row>
    <row r="1829" spans="1:13" x14ac:dyDescent="0.25">
      <c r="A1829" s="23">
        <f t="shared" si="89"/>
        <v>184193</v>
      </c>
      <c r="B1829" s="14" t="str">
        <f t="shared" si="90"/>
        <v>Direct Debit (UMB Bank) - Credits</v>
      </c>
      <c r="C1829" s="37">
        <v>46143</v>
      </c>
      <c r="D1829" s="31">
        <v>184193</v>
      </c>
      <c r="E1829" s="33" t="str">
        <f>IF(Table3[[#This Row],[Type Received]]=2,"CC",(IF(Table3[[#This Row],[Type Received]]=3,"BILL","ACH")))</f>
        <v>ACH</v>
      </c>
      <c r="F1829" s="32">
        <v>21.99</v>
      </c>
      <c r="G1829" s="14" t="str">
        <f>VLOOKUP(D1829,Table4[],3,FALSE)</f>
        <v>1</v>
      </c>
      <c r="H1829" s="15"/>
      <c r="I1829" s="15"/>
      <c r="J1829" s="15" t="s">
        <v>84</v>
      </c>
      <c r="K1829" s="15">
        <v>522324359</v>
      </c>
      <c r="L1829" s="15" t="s">
        <v>29</v>
      </c>
      <c r="M1829" s="15" t="s">
        <v>29</v>
      </c>
    </row>
    <row r="1830" spans="1:13" x14ac:dyDescent="0.25">
      <c r="A1830" s="23">
        <f t="shared" si="89"/>
        <v>184209</v>
      </c>
      <c r="B1830" s="14" t="str">
        <f t="shared" si="90"/>
        <v>Direct Debit (UMB Bank) - Credits</v>
      </c>
      <c r="C1830" s="38">
        <v>46157</v>
      </c>
      <c r="D1830" s="34">
        <v>184209</v>
      </c>
      <c r="E1830" s="36" t="str">
        <f>IF(Table3[[#This Row],[Type Received]]=2,"CC",(IF(Table3[[#This Row],[Type Received]]=3,"BILL","ACH")))</f>
        <v>ACH</v>
      </c>
      <c r="F1830" s="35">
        <v>21.11</v>
      </c>
      <c r="G1830" s="14" t="str">
        <f>VLOOKUP(D1830,Table4[],3,FALSE)</f>
        <v>1</v>
      </c>
      <c r="H1830" s="15"/>
      <c r="I1830" s="15"/>
      <c r="J1830" s="15" t="s">
        <v>87</v>
      </c>
      <c r="K1830" s="15">
        <v>696726707</v>
      </c>
      <c r="L1830" s="15" t="s">
        <v>29</v>
      </c>
      <c r="M1830" s="15" t="s">
        <v>29</v>
      </c>
    </row>
    <row r="1831" spans="1:13" x14ac:dyDescent="0.25">
      <c r="A1831" s="23">
        <f t="shared" si="89"/>
        <v>184223</v>
      </c>
      <c r="B1831" s="14" t="str">
        <f t="shared" si="90"/>
        <v>Direct Debit (UMB Bank) - Credits</v>
      </c>
      <c r="C1831" s="37">
        <v>46157</v>
      </c>
      <c r="D1831" s="31">
        <v>184223</v>
      </c>
      <c r="E1831" s="33" t="str">
        <f>IF(Table3[[#This Row],[Type Received]]=2,"CC",(IF(Table3[[#This Row],[Type Received]]=3,"BILL","ACH")))</f>
        <v>ACH</v>
      </c>
      <c r="F1831" s="32">
        <v>29.4</v>
      </c>
      <c r="G1831" s="14" t="str">
        <f>VLOOKUP(D1831,Table4[],3,FALSE)</f>
        <v>2</v>
      </c>
      <c r="H1831" s="15"/>
      <c r="I1831" s="15"/>
      <c r="J1831" s="15" t="s">
        <v>87</v>
      </c>
      <c r="K1831" s="15">
        <v>696727673</v>
      </c>
      <c r="L1831" s="15" t="s">
        <v>29</v>
      </c>
      <c r="M1831" s="15"/>
    </row>
    <row r="1832" spans="1:13" x14ac:dyDescent="0.25">
      <c r="A1832" s="23">
        <f t="shared" si="89"/>
        <v>184226</v>
      </c>
      <c r="B1832" s="14" t="str">
        <f t="shared" si="90"/>
        <v>Credit Cards (UMB) - Credits</v>
      </c>
      <c r="C1832" s="38">
        <v>46167</v>
      </c>
      <c r="D1832" s="34">
        <v>184226</v>
      </c>
      <c r="E1832" s="36" t="str">
        <f>IF(Table3[[#This Row],[Type Received]]=2,"CC",(IF(Table3[[#This Row],[Type Received]]=3,"BILL","ACH")))</f>
        <v>CC</v>
      </c>
      <c r="F1832" s="35">
        <v>11.43</v>
      </c>
      <c r="G1832" s="14" t="str">
        <f>VLOOKUP(D1832,Table4[],3,FALSE)</f>
        <v>1</v>
      </c>
      <c r="H1832" s="15"/>
      <c r="I1832" s="15"/>
      <c r="J1832" s="15" t="s">
        <v>85</v>
      </c>
      <c r="K1832" s="15">
        <v>818361624</v>
      </c>
      <c r="L1832" s="15" t="s">
        <v>29</v>
      </c>
      <c r="M1832" s="15"/>
    </row>
    <row r="1833" spans="1:13" x14ac:dyDescent="0.25">
      <c r="A1833" s="23">
        <f t="shared" si="89"/>
        <v>184230</v>
      </c>
      <c r="B1833" s="14" t="str">
        <f t="shared" si="90"/>
        <v>Billing - Credits (from TPA)</v>
      </c>
      <c r="C1833" s="37">
        <v>46144</v>
      </c>
      <c r="D1833" s="31">
        <v>184230</v>
      </c>
      <c r="E1833" s="33" t="str">
        <f>IF(Table3[[#This Row],[Type Received]]=2,"CC",(IF(Table3[[#This Row],[Type Received]]=3,"BILL","ACH")))</f>
        <v>BILL</v>
      </c>
      <c r="F1833" s="32">
        <v>12.24</v>
      </c>
      <c r="G1833" s="14" t="str">
        <f>VLOOKUP(D1833,Table4[],3,FALSE)</f>
        <v>1</v>
      </c>
      <c r="H1833" s="15"/>
      <c r="I1833" s="15">
        <v>120457</v>
      </c>
      <c r="J1833" s="15" t="s">
        <v>28</v>
      </c>
      <c r="K1833" s="15">
        <v>535386132</v>
      </c>
      <c r="L1833" s="15" t="s">
        <v>29</v>
      </c>
      <c r="M1833" s="15" t="s">
        <v>29</v>
      </c>
    </row>
    <row r="1834" spans="1:13" x14ac:dyDescent="0.25">
      <c r="A1834" s="23">
        <f t="shared" ref="A1834:A1897" si="91">D1834</f>
        <v>184255</v>
      </c>
      <c r="B1834" s="14" t="str">
        <f t="shared" si="90"/>
        <v>Direct Debit (UMB Bank) - Credits</v>
      </c>
      <c r="C1834" s="38">
        <v>46143</v>
      </c>
      <c r="D1834" s="34">
        <v>184255</v>
      </c>
      <c r="E1834" s="36" t="str">
        <f>IF(Table3[[#This Row],[Type Received]]=2,"CC",(IF(Table3[[#This Row],[Type Received]]=3,"BILL","ACH")))</f>
        <v>ACH</v>
      </c>
      <c r="F1834" s="35">
        <v>153.69999999999999</v>
      </c>
      <c r="G1834" s="14" t="str">
        <f>VLOOKUP(D1834,Table4[],3,FALSE)</f>
        <v>1</v>
      </c>
      <c r="H1834" s="15">
        <v>7159</v>
      </c>
      <c r="I1834" s="15"/>
      <c r="J1834" s="15"/>
      <c r="K1834" s="15"/>
      <c r="L1834" s="15"/>
      <c r="M1834" s="15" t="s">
        <v>29</v>
      </c>
    </row>
    <row r="1835" spans="1:13" x14ac:dyDescent="0.25">
      <c r="A1835" s="23">
        <f t="shared" si="91"/>
        <v>183828</v>
      </c>
      <c r="B1835" s="14" t="str">
        <f t="shared" si="90"/>
        <v>Direct Debit (UMB Bank) - Credits</v>
      </c>
      <c r="C1835" s="37">
        <v>46155</v>
      </c>
      <c r="D1835" s="31">
        <v>183828</v>
      </c>
      <c r="E1835" s="33" t="str">
        <f>IF(Table3[[#This Row],[Type Received]]=2,"CC",(IF(Table3[[#This Row],[Type Received]]=3,"BILL","ACH")))</f>
        <v>ACH</v>
      </c>
      <c r="F1835" s="32">
        <v>51.14</v>
      </c>
      <c r="G1835" s="14" t="str">
        <f>VLOOKUP(D1835,Table4[],3,FALSE)</f>
        <v>2</v>
      </c>
      <c r="H1835" s="15"/>
      <c r="I1835" s="15"/>
      <c r="J1835" s="15" t="s">
        <v>90</v>
      </c>
      <c r="K1835" s="15">
        <v>669486650</v>
      </c>
      <c r="L1835" s="15" t="s">
        <v>29</v>
      </c>
      <c r="M1835" s="15" t="s">
        <v>29</v>
      </c>
    </row>
    <row r="1836" spans="1:13" x14ac:dyDescent="0.25">
      <c r="A1836" s="23">
        <f t="shared" si="91"/>
        <v>183871</v>
      </c>
      <c r="B1836" s="14" t="str">
        <f t="shared" si="90"/>
        <v>Direct Debit (UMB Bank) - Credits</v>
      </c>
      <c r="C1836" s="38">
        <v>46143</v>
      </c>
      <c r="D1836" s="34">
        <v>183871</v>
      </c>
      <c r="E1836" s="36" t="str">
        <f>IF(Table3[[#This Row],[Type Received]]=2,"CC",(IF(Table3[[#This Row],[Type Received]]=3,"BILL","ACH")))</f>
        <v>ACH</v>
      </c>
      <c r="F1836" s="35">
        <v>46.52</v>
      </c>
      <c r="G1836" s="14" t="str">
        <f>VLOOKUP(D1836,Table4[],3,FALSE)</f>
        <v>2</v>
      </c>
      <c r="H1836" s="15"/>
      <c r="I1836" s="15"/>
      <c r="J1836" s="15" t="s">
        <v>84</v>
      </c>
      <c r="K1836" s="15">
        <v>522314581</v>
      </c>
      <c r="L1836" s="15" t="s">
        <v>29</v>
      </c>
      <c r="M1836" s="15" t="s">
        <v>29</v>
      </c>
    </row>
    <row r="1837" spans="1:13" x14ac:dyDescent="0.25">
      <c r="A1837" s="23">
        <f t="shared" si="91"/>
        <v>183965</v>
      </c>
      <c r="B1837" s="14" t="str">
        <f t="shared" si="90"/>
        <v>Billing - Credits (from TPA)</v>
      </c>
      <c r="C1837" s="37">
        <v>46143</v>
      </c>
      <c r="D1837" s="31">
        <v>183965</v>
      </c>
      <c r="E1837" s="33" t="str">
        <f>IF(Table3[[#This Row],[Type Received]]=2,"CC",(IF(Table3[[#This Row],[Type Received]]=3,"BILL","ACH")))</f>
        <v>BILL</v>
      </c>
      <c r="F1837" s="32">
        <v>23.42</v>
      </c>
      <c r="G1837" s="14" t="str">
        <f>VLOOKUP(D1837,Table4[],3,FALSE)</f>
        <v>2</v>
      </c>
      <c r="H1837" s="15"/>
      <c r="I1837" s="15"/>
      <c r="J1837" s="15" t="s">
        <v>84</v>
      </c>
      <c r="K1837" s="15">
        <v>522329144</v>
      </c>
      <c r="L1837" s="15" t="s">
        <v>29</v>
      </c>
      <c r="M1837" s="15" t="s">
        <v>29</v>
      </c>
    </row>
    <row r="1838" spans="1:13" x14ac:dyDescent="0.25">
      <c r="A1838" s="23">
        <f t="shared" si="91"/>
        <v>184697</v>
      </c>
      <c r="B1838" s="14" t="str">
        <f t="shared" si="90"/>
        <v>Billing - Credits (from TPA)</v>
      </c>
      <c r="C1838" s="38">
        <v>46171</v>
      </c>
      <c r="D1838" s="34">
        <v>184697</v>
      </c>
      <c r="E1838" s="36" t="str">
        <f>IF(Table3[[#This Row],[Type Received]]=2,"CC",(IF(Table3[[#This Row],[Type Received]]=3,"BILL","ACH")))</f>
        <v>BILL</v>
      </c>
      <c r="F1838" s="35">
        <v>54.78</v>
      </c>
      <c r="G1838" s="14" t="str">
        <f>VLOOKUP(D1838,Table4[],3,FALSE)</f>
        <v>2</v>
      </c>
      <c r="H1838" s="15">
        <v>111</v>
      </c>
      <c r="I1838" s="15"/>
      <c r="J1838" s="15"/>
      <c r="K1838" s="15"/>
      <c r="L1838" s="15"/>
      <c r="M1838" s="15" t="s">
        <v>29</v>
      </c>
    </row>
    <row r="1839" spans="1:13" x14ac:dyDescent="0.25">
      <c r="A1839" s="23">
        <f t="shared" si="91"/>
        <v>184697</v>
      </c>
      <c r="B1839" s="14" t="str">
        <f t="shared" si="90"/>
        <v>Direct Debit (UMB Bank) - Credits</v>
      </c>
      <c r="C1839" s="37">
        <v>46143</v>
      </c>
      <c r="D1839" s="31">
        <v>184697</v>
      </c>
      <c r="E1839" s="33" t="str">
        <f>IF(Table3[[#This Row],[Type Received]]=2,"CC",(IF(Table3[[#This Row],[Type Received]]=3,"BILL","ACH")))</f>
        <v>ACH</v>
      </c>
      <c r="F1839" s="32">
        <v>54.78</v>
      </c>
      <c r="G1839" s="14" t="str">
        <f>VLOOKUP(D1839,Table4[],3,FALSE)</f>
        <v>2</v>
      </c>
      <c r="H1839" s="15">
        <v>9600</v>
      </c>
      <c r="I1839" s="15"/>
      <c r="J1839" s="15"/>
      <c r="K1839" s="15"/>
      <c r="L1839" s="15"/>
      <c r="M1839" s="15"/>
    </row>
    <row r="1840" spans="1:13" x14ac:dyDescent="0.25">
      <c r="A1840" s="23">
        <f t="shared" si="91"/>
        <v>184758</v>
      </c>
      <c r="B1840" s="14" t="str">
        <f t="shared" si="90"/>
        <v>Billing - Credits (from TPA)</v>
      </c>
      <c r="C1840" s="38">
        <v>46143</v>
      </c>
      <c r="D1840" s="34">
        <v>184758</v>
      </c>
      <c r="E1840" s="36" t="str">
        <f>IF(Table3[[#This Row],[Type Received]]=2,"CC",(IF(Table3[[#This Row],[Type Received]]=3,"BILL","ACH")))</f>
        <v>BILL</v>
      </c>
      <c r="F1840" s="35">
        <v>21.77</v>
      </c>
      <c r="G1840" s="14" t="str">
        <f>VLOOKUP(D1840,Table4[],3,FALSE)</f>
        <v>2</v>
      </c>
      <c r="H1840" s="15"/>
      <c r="I1840" s="15"/>
      <c r="J1840" s="24" t="s">
        <v>84</v>
      </c>
      <c r="K1840" s="15">
        <v>522323372</v>
      </c>
      <c r="L1840" s="15" t="s">
        <v>29</v>
      </c>
      <c r="M1840" s="15" t="s">
        <v>29</v>
      </c>
    </row>
    <row r="1841" spans="1:13" x14ac:dyDescent="0.25">
      <c r="A1841" s="23">
        <f t="shared" si="91"/>
        <v>184783</v>
      </c>
      <c r="B1841" s="14" t="str">
        <f t="shared" si="90"/>
        <v>Direct Debit (UMB Bank) - Credits</v>
      </c>
      <c r="C1841" s="37">
        <v>46147</v>
      </c>
      <c r="D1841" s="31">
        <v>184783</v>
      </c>
      <c r="E1841" s="33" t="str">
        <f>IF(Table3[[#This Row],[Type Received]]=2,"CC",(IF(Table3[[#This Row],[Type Received]]=3,"BILL","ACH")))</f>
        <v>ACH</v>
      </c>
      <c r="F1841" s="32">
        <v>187.06</v>
      </c>
      <c r="G1841" s="14" t="str">
        <f>VLOOKUP(D1841,Table4[],3,FALSE)</f>
        <v>2</v>
      </c>
      <c r="H1841" s="15">
        <v>75825491</v>
      </c>
      <c r="I1841" s="15"/>
      <c r="J1841" s="15"/>
      <c r="K1841" s="15"/>
      <c r="L1841" s="15"/>
      <c r="M1841" s="15" t="s">
        <v>29</v>
      </c>
    </row>
    <row r="1842" spans="1:13" x14ac:dyDescent="0.25">
      <c r="A1842" s="23">
        <f t="shared" si="91"/>
        <v>184797</v>
      </c>
      <c r="B1842" s="14" t="str">
        <f t="shared" si="90"/>
        <v>Direct Debit (UMB Bank) - Credits</v>
      </c>
      <c r="C1842" s="38">
        <v>46157</v>
      </c>
      <c r="D1842" s="34">
        <v>184797</v>
      </c>
      <c r="E1842" s="36" t="str">
        <f>IF(Table3[[#This Row],[Type Received]]=2,"CC",(IF(Table3[[#This Row],[Type Received]]=3,"BILL","ACH")))</f>
        <v>ACH</v>
      </c>
      <c r="F1842" s="35">
        <v>17.809999999999999</v>
      </c>
      <c r="G1842" s="14" t="str">
        <f>VLOOKUP(D1842,Table4[],3,FALSE)</f>
        <v>1</v>
      </c>
      <c r="H1842" s="15"/>
      <c r="I1842" s="15"/>
      <c r="J1842" s="15" t="s">
        <v>87</v>
      </c>
      <c r="K1842" s="15">
        <v>696731528</v>
      </c>
      <c r="L1842" s="15" t="s">
        <v>29</v>
      </c>
      <c r="M1842" s="15" t="s">
        <v>29</v>
      </c>
    </row>
    <row r="1843" spans="1:13" x14ac:dyDescent="0.25">
      <c r="A1843" s="23">
        <f t="shared" si="91"/>
        <v>184549</v>
      </c>
      <c r="B1843" s="14" t="str">
        <f t="shared" si="90"/>
        <v>Direct Debit (UMB Bank) - Credits</v>
      </c>
      <c r="C1843" s="37">
        <v>46167</v>
      </c>
      <c r="D1843" s="31">
        <v>184549</v>
      </c>
      <c r="E1843" s="33" t="str">
        <f>IF(Table3[[#This Row],[Type Received]]=2,"CC",(IF(Table3[[#This Row],[Type Received]]=3,"BILL","ACH")))</f>
        <v>ACH</v>
      </c>
      <c r="F1843" s="32">
        <v>19.03</v>
      </c>
      <c r="G1843" s="14" t="str">
        <f>VLOOKUP(D1843,Table4[],3,FALSE)</f>
        <v>1</v>
      </c>
      <c r="H1843" s="15"/>
      <c r="I1843" s="15"/>
      <c r="J1843" s="15" t="s">
        <v>85</v>
      </c>
      <c r="K1843" s="15">
        <v>818365571</v>
      </c>
      <c r="L1843" s="15" t="s">
        <v>29</v>
      </c>
      <c r="M1843" s="15" t="s">
        <v>29</v>
      </c>
    </row>
    <row r="1844" spans="1:13" x14ac:dyDescent="0.25">
      <c r="A1844" s="23">
        <f t="shared" si="91"/>
        <v>184593</v>
      </c>
      <c r="B1844" s="14" t="str">
        <f t="shared" si="90"/>
        <v>Direct Debit (UMB Bank) - Credits</v>
      </c>
      <c r="C1844" s="38">
        <v>46157</v>
      </c>
      <c r="D1844" s="34">
        <v>184593</v>
      </c>
      <c r="E1844" s="36" t="str">
        <f>IF(Table3[[#This Row],[Type Received]]=2,"CC",(IF(Table3[[#This Row],[Type Received]]=3,"BILL","ACH")))</f>
        <v>ACH</v>
      </c>
      <c r="F1844" s="35">
        <v>12.31</v>
      </c>
      <c r="G1844" s="14" t="str">
        <f>VLOOKUP(D1844,Table4[],3,FALSE)</f>
        <v>1</v>
      </c>
      <c r="H1844" s="15"/>
      <c r="I1844" s="15"/>
      <c r="J1844" s="24" t="s">
        <v>87</v>
      </c>
      <c r="K1844" s="15">
        <v>696712091</v>
      </c>
      <c r="L1844" s="15" t="s">
        <v>29</v>
      </c>
      <c r="M1844" s="15"/>
    </row>
    <row r="1845" spans="1:13" x14ac:dyDescent="0.25">
      <c r="A1845" s="23">
        <f t="shared" si="91"/>
        <v>185048</v>
      </c>
      <c r="B1845" s="14" t="str">
        <f t="shared" si="90"/>
        <v>Direct Debit (UMB Bank) - Credits</v>
      </c>
      <c r="C1845" s="37">
        <v>46157</v>
      </c>
      <c r="D1845" s="31">
        <v>185048</v>
      </c>
      <c r="E1845" s="33" t="str">
        <f>IF(Table3[[#This Row],[Type Received]]=2,"CC",(IF(Table3[[#This Row],[Type Received]]=3,"BILL","ACH")))</f>
        <v>ACH</v>
      </c>
      <c r="F1845" s="32">
        <v>21.77</v>
      </c>
      <c r="G1845" s="14" t="str">
        <f>VLOOKUP(D1845,Table4[],3,FALSE)</f>
        <v>2</v>
      </c>
      <c r="H1845" s="15"/>
      <c r="I1845" s="15"/>
      <c r="J1845" s="15" t="s">
        <v>87</v>
      </c>
      <c r="K1845" s="15">
        <v>696734419</v>
      </c>
      <c r="L1845" s="15" t="s">
        <v>29</v>
      </c>
      <c r="M1845" s="15" t="s">
        <v>29</v>
      </c>
    </row>
    <row r="1846" spans="1:13" x14ac:dyDescent="0.25">
      <c r="A1846" s="23">
        <f t="shared" si="91"/>
        <v>185144</v>
      </c>
      <c r="B1846" s="14" t="str">
        <f t="shared" si="90"/>
        <v>Direct Debit (UMB Bank) - Credits</v>
      </c>
      <c r="C1846" s="38">
        <v>46167</v>
      </c>
      <c r="D1846" s="34">
        <v>185144</v>
      </c>
      <c r="E1846" s="36" t="str">
        <f>IF(Table3[[#This Row],[Type Received]]=2,"CC",(IF(Table3[[#This Row],[Type Received]]=3,"BILL","ACH")))</f>
        <v>ACH</v>
      </c>
      <c r="F1846" s="35">
        <v>11.65</v>
      </c>
      <c r="G1846" s="14" t="str">
        <f>VLOOKUP(D1846,Table4[],3,FALSE)</f>
        <v>1</v>
      </c>
      <c r="H1846" s="15"/>
      <c r="I1846" s="15"/>
      <c r="J1846" s="24" t="s">
        <v>85</v>
      </c>
      <c r="K1846" s="15">
        <v>818351968</v>
      </c>
      <c r="L1846" s="15" t="s">
        <v>29</v>
      </c>
      <c r="M1846" s="15" t="s">
        <v>29</v>
      </c>
    </row>
    <row r="1847" spans="1:13" x14ac:dyDescent="0.25">
      <c r="A1847" s="23">
        <f t="shared" si="91"/>
        <v>184929</v>
      </c>
      <c r="B1847" s="14" t="str">
        <f t="shared" si="90"/>
        <v>Direct Debit (UMB Bank) - Credits</v>
      </c>
      <c r="C1847" s="37">
        <v>46143</v>
      </c>
      <c r="D1847" s="31">
        <v>184929</v>
      </c>
      <c r="E1847" s="33" t="str">
        <f>IF(Table3[[#This Row],[Type Received]]=2,"CC",(IF(Table3[[#This Row],[Type Received]]=3,"BILL","ACH")))</f>
        <v>ACH</v>
      </c>
      <c r="F1847" s="32">
        <v>47.22</v>
      </c>
      <c r="G1847" s="14" t="str">
        <f>VLOOKUP(D1847,Table4[],3,FALSE)</f>
        <v>2</v>
      </c>
      <c r="H1847" s="15"/>
      <c r="I1847" s="15"/>
      <c r="J1847" s="24" t="s">
        <v>84</v>
      </c>
      <c r="K1847" s="15">
        <v>522322447</v>
      </c>
      <c r="L1847" s="15" t="s">
        <v>29</v>
      </c>
      <c r="M1847" s="15" t="s">
        <v>29</v>
      </c>
    </row>
    <row r="1848" spans="1:13" x14ac:dyDescent="0.25">
      <c r="A1848" s="23">
        <f t="shared" si="91"/>
        <v>184960</v>
      </c>
      <c r="B1848" s="14" t="str">
        <f t="shared" si="90"/>
        <v>Credit Cards (UMB) - Credits</v>
      </c>
      <c r="C1848" s="38">
        <v>46143</v>
      </c>
      <c r="D1848" s="34">
        <v>184960</v>
      </c>
      <c r="E1848" s="36" t="str">
        <f>IF(Table3[[#This Row],[Type Received]]=2,"CC",(IF(Table3[[#This Row],[Type Received]]=3,"BILL","ACH")))</f>
        <v>CC</v>
      </c>
      <c r="F1848" s="35">
        <v>50.15</v>
      </c>
      <c r="G1848" s="14" t="str">
        <f>VLOOKUP(D1848,Table4[],3,FALSE)</f>
        <v>2</v>
      </c>
      <c r="H1848" s="15"/>
      <c r="I1848" s="15"/>
      <c r="J1848" s="15" t="s">
        <v>84</v>
      </c>
      <c r="K1848" s="15">
        <v>522304097</v>
      </c>
      <c r="L1848" s="15" t="s">
        <v>29</v>
      </c>
      <c r="M1848" s="15" t="s">
        <v>29</v>
      </c>
    </row>
    <row r="1849" spans="1:13" x14ac:dyDescent="0.25">
      <c r="A1849" s="23">
        <f t="shared" si="91"/>
        <v>185246</v>
      </c>
      <c r="B1849" s="14" t="str">
        <f t="shared" si="90"/>
        <v>Direct Debit (UMB Bank) - Credits</v>
      </c>
      <c r="C1849" s="37">
        <v>46149</v>
      </c>
      <c r="D1849" s="31">
        <v>185246</v>
      </c>
      <c r="E1849" s="33" t="str">
        <f>IF(Table3[[#This Row],[Type Received]]=2,"CC",(IF(Table3[[#This Row],[Type Received]]=3,"BILL","ACH")))</f>
        <v>ACH</v>
      </c>
      <c r="F1849" s="32">
        <v>29.37</v>
      </c>
      <c r="G1849" s="14" t="str">
        <f>VLOOKUP(D1849,Table4[],3,FALSE)</f>
        <v>2</v>
      </c>
      <c r="H1849" s="15"/>
      <c r="I1849" s="15">
        <v>60326</v>
      </c>
      <c r="J1849" s="24" t="s">
        <v>28</v>
      </c>
      <c r="K1849" s="15">
        <v>597721996</v>
      </c>
      <c r="L1849" s="15" t="s">
        <v>29</v>
      </c>
      <c r="M1849" s="15" t="s">
        <v>29</v>
      </c>
    </row>
    <row r="1850" spans="1:13" x14ac:dyDescent="0.25">
      <c r="A1850" s="23">
        <f t="shared" si="91"/>
        <v>185268</v>
      </c>
      <c r="B1850" s="14" t="str">
        <f t="shared" si="90"/>
        <v>Direct Debit (UMB Bank) - Credits</v>
      </c>
      <c r="C1850" s="38">
        <v>46143</v>
      </c>
      <c r="D1850" s="34">
        <v>185268</v>
      </c>
      <c r="E1850" s="36" t="str">
        <f>IF(Table3[[#This Row],[Type Received]]=2,"CC",(IF(Table3[[#This Row],[Type Received]]=3,"BILL","ACH")))</f>
        <v>ACH</v>
      </c>
      <c r="F1850" s="35">
        <v>11.21</v>
      </c>
      <c r="G1850" s="14" t="str">
        <f>VLOOKUP(D1850,Table4[],3,FALSE)</f>
        <v>1</v>
      </c>
      <c r="H1850" s="15"/>
      <c r="I1850" s="15"/>
      <c r="J1850" s="15" t="s">
        <v>84</v>
      </c>
      <c r="K1850" s="15">
        <v>522324462</v>
      </c>
      <c r="L1850" s="15" t="s">
        <v>29</v>
      </c>
      <c r="M1850" s="15" t="s">
        <v>29</v>
      </c>
    </row>
    <row r="1851" spans="1:13" x14ac:dyDescent="0.25">
      <c r="A1851" s="23">
        <f t="shared" si="91"/>
        <v>185365</v>
      </c>
      <c r="B1851" s="14" t="str">
        <f t="shared" si="90"/>
        <v>Direct Debit (UMB Bank) - Credits</v>
      </c>
      <c r="C1851" s="37">
        <v>46157</v>
      </c>
      <c r="D1851" s="31">
        <v>185365</v>
      </c>
      <c r="E1851" s="33" t="str">
        <f>IF(Table3[[#This Row],[Type Received]]=2,"CC",(IF(Table3[[#This Row],[Type Received]]=3,"BILL","ACH")))</f>
        <v>ACH</v>
      </c>
      <c r="F1851" s="32">
        <v>26.83</v>
      </c>
      <c r="G1851" s="14" t="str">
        <f>VLOOKUP(D1851,Table4[],3,FALSE)</f>
        <v>1</v>
      </c>
      <c r="H1851" s="15"/>
      <c r="I1851" s="15"/>
      <c r="J1851" s="15" t="s">
        <v>87</v>
      </c>
      <c r="K1851" s="15">
        <v>696732474</v>
      </c>
      <c r="L1851" s="15" t="s">
        <v>29</v>
      </c>
      <c r="M1851" s="15" t="s">
        <v>29</v>
      </c>
    </row>
    <row r="1852" spans="1:13" x14ac:dyDescent="0.25">
      <c r="A1852" s="23">
        <f t="shared" si="91"/>
        <v>185368</v>
      </c>
      <c r="B1852" s="14" t="str">
        <f t="shared" si="90"/>
        <v>Credit Cards (UMB) - Credits</v>
      </c>
      <c r="C1852" s="38">
        <v>46143</v>
      </c>
      <c r="D1852" s="34">
        <v>185368</v>
      </c>
      <c r="E1852" s="36" t="str">
        <f>IF(Table3[[#This Row],[Type Received]]=2,"CC",(IF(Table3[[#This Row],[Type Received]]=3,"BILL","ACH")))</f>
        <v>CC</v>
      </c>
      <c r="F1852" s="35">
        <v>23.09</v>
      </c>
      <c r="G1852" s="14" t="str">
        <f>VLOOKUP(D1852,Table4[],3,FALSE)</f>
        <v>2</v>
      </c>
      <c r="H1852" s="15"/>
      <c r="I1852" s="15"/>
      <c r="J1852" s="15" t="s">
        <v>84</v>
      </c>
      <c r="K1852" s="15">
        <v>522307980</v>
      </c>
      <c r="L1852" s="15" t="s">
        <v>29</v>
      </c>
      <c r="M1852" s="15"/>
    </row>
    <row r="1853" spans="1:13" x14ac:dyDescent="0.25">
      <c r="A1853" s="23">
        <f t="shared" si="91"/>
        <v>185418</v>
      </c>
      <c r="B1853" s="14" t="str">
        <f t="shared" si="90"/>
        <v>Direct Debit (UMB Bank) - Credits</v>
      </c>
      <c r="C1853" s="37">
        <v>46146</v>
      </c>
      <c r="D1853" s="31">
        <v>185418</v>
      </c>
      <c r="E1853" s="33" t="str">
        <f>IF(Table3[[#This Row],[Type Received]]=2,"CC",(IF(Table3[[#This Row],[Type Received]]=3,"BILL","ACH")))</f>
        <v>ACH</v>
      </c>
      <c r="F1853" s="32">
        <v>92.05</v>
      </c>
      <c r="G1853" s="14" t="str">
        <f>VLOOKUP(D1853,Table4[],3,FALSE)</f>
        <v>2</v>
      </c>
      <c r="H1853" s="15"/>
      <c r="I1853" s="15" t="s">
        <v>235</v>
      </c>
      <c r="J1853" s="15">
        <v>742259380</v>
      </c>
      <c r="K1853" s="15">
        <v>353416673</v>
      </c>
      <c r="L1853" s="15"/>
      <c r="M1853" s="15" t="s">
        <v>29</v>
      </c>
    </row>
    <row r="1854" spans="1:13" x14ac:dyDescent="0.25">
      <c r="A1854" s="23">
        <f t="shared" si="91"/>
        <v>185479</v>
      </c>
      <c r="B1854" s="14" t="str">
        <f t="shared" si="90"/>
        <v>Direct Debit (UMB Bank) - Credits</v>
      </c>
      <c r="C1854" s="38">
        <v>46157</v>
      </c>
      <c r="D1854" s="34">
        <v>185479</v>
      </c>
      <c r="E1854" s="36" t="str">
        <f>IF(Table3[[#This Row],[Type Received]]=2,"CC",(IF(Table3[[#This Row],[Type Received]]=3,"BILL","ACH")))</f>
        <v>ACH</v>
      </c>
      <c r="F1854" s="35">
        <v>36.07</v>
      </c>
      <c r="G1854" s="14" t="str">
        <f>VLOOKUP(D1854,Table4[],3,FALSE)</f>
        <v>1</v>
      </c>
      <c r="H1854" s="15"/>
      <c r="I1854" s="15"/>
      <c r="J1854" s="24" t="s">
        <v>87</v>
      </c>
      <c r="K1854" s="15">
        <v>696733463</v>
      </c>
      <c r="L1854" s="15" t="s">
        <v>29</v>
      </c>
      <c r="M1854" s="15" t="s">
        <v>29</v>
      </c>
    </row>
    <row r="1855" spans="1:13" x14ac:dyDescent="0.25">
      <c r="A1855" s="23">
        <f t="shared" si="91"/>
        <v>185527</v>
      </c>
      <c r="B1855" s="14" t="str">
        <f t="shared" si="90"/>
        <v>Credit Cards (UMB) - Credits</v>
      </c>
      <c r="C1855" s="37">
        <v>46157</v>
      </c>
      <c r="D1855" s="31">
        <v>185527</v>
      </c>
      <c r="E1855" s="33" t="str">
        <f>IF(Table3[[#This Row],[Type Received]]=2,"CC",(IF(Table3[[#This Row],[Type Received]]=3,"BILL","ACH")))</f>
        <v>CC</v>
      </c>
      <c r="F1855" s="32">
        <v>12.31</v>
      </c>
      <c r="G1855" s="14" t="str">
        <f>VLOOKUP(D1855,Table4[],3,FALSE)</f>
        <v>1</v>
      </c>
      <c r="H1855" s="15"/>
      <c r="I1855" s="15"/>
      <c r="J1855" s="15" t="s">
        <v>87</v>
      </c>
      <c r="K1855" s="15">
        <v>696719056</v>
      </c>
      <c r="L1855" s="15" t="s">
        <v>29</v>
      </c>
      <c r="M1855" s="15" t="s">
        <v>29</v>
      </c>
    </row>
    <row r="1856" spans="1:13" x14ac:dyDescent="0.25">
      <c r="A1856" s="23">
        <f t="shared" si="91"/>
        <v>185814</v>
      </c>
      <c r="B1856" s="14" t="str">
        <f t="shared" si="90"/>
        <v>Direct Debit (UMB Bank) - Credits</v>
      </c>
      <c r="C1856" s="38">
        <v>46143</v>
      </c>
      <c r="D1856" s="34">
        <v>185814</v>
      </c>
      <c r="E1856" s="36" t="str">
        <f>IF(Table3[[#This Row],[Type Received]]=2,"CC",(IF(Table3[[#This Row],[Type Received]]=3,"BILL","ACH")))</f>
        <v>ACH</v>
      </c>
      <c r="F1856" s="35">
        <v>29.7</v>
      </c>
      <c r="G1856" s="14" t="str">
        <f>VLOOKUP(D1856,Table4[],3,FALSE)</f>
        <v>2</v>
      </c>
      <c r="H1856" s="15"/>
      <c r="I1856" s="15">
        <v>695175</v>
      </c>
      <c r="J1856" s="15">
        <v>741374152</v>
      </c>
      <c r="K1856" s="15">
        <v>353190040</v>
      </c>
      <c r="L1856" s="15"/>
      <c r="M1856" s="15" t="s">
        <v>29</v>
      </c>
    </row>
    <row r="1857" spans="1:13" x14ac:dyDescent="0.25">
      <c r="A1857" s="23">
        <f t="shared" si="91"/>
        <v>185833</v>
      </c>
      <c r="B1857" s="14" t="str">
        <f t="shared" si="90"/>
        <v>Direct Debit (UMB Bank) - Credits</v>
      </c>
      <c r="C1857" s="37">
        <v>46157</v>
      </c>
      <c r="D1857" s="31">
        <v>185833</v>
      </c>
      <c r="E1857" s="33" t="str">
        <f>IF(Table3[[#This Row],[Type Received]]=2,"CC",(IF(Table3[[#This Row],[Type Received]]=3,"BILL","ACH")))</f>
        <v>ACH</v>
      </c>
      <c r="F1857" s="32">
        <v>16.05</v>
      </c>
      <c r="G1857" s="14" t="str">
        <f>VLOOKUP(D1857,Table4[],3,FALSE)</f>
        <v>1</v>
      </c>
      <c r="H1857" s="15"/>
      <c r="I1857" s="15"/>
      <c r="J1857" s="24" t="s">
        <v>87</v>
      </c>
      <c r="K1857" s="15">
        <v>696741221</v>
      </c>
      <c r="L1857" s="15" t="s">
        <v>29</v>
      </c>
      <c r="M1857" s="15" t="s">
        <v>29</v>
      </c>
    </row>
    <row r="1858" spans="1:13" x14ac:dyDescent="0.25">
      <c r="A1858" s="23">
        <f t="shared" si="91"/>
        <v>185836</v>
      </c>
      <c r="B1858" s="14" t="str">
        <f t="shared" ref="B1858:B1921" si="92">IF(AND(E1858="BILL",F1858&lt;0),"Billing &amp; Direct Debit - Refunds",(IF(AND(E1858="BILL",F1858&gt;0),"Billing - Credits (from TPA)",(IF(AND(E1858="CC",F1858&lt;0),"Credit Cards (UMB) - Refunds",(IF(AND(E1858="CC",F1858&gt;0),"Credit Cards (UMB) - Credits",(IF(AND(E1858="ACH",F1858&gt;0),"Direct Debit (UMB Bank) - Credits","Direct Debit (UMB Bank) - Returned Items")))))))))</f>
        <v>Billing - Credits (from TPA)</v>
      </c>
      <c r="C1858" s="38">
        <v>46143</v>
      </c>
      <c r="D1858" s="34">
        <v>185836</v>
      </c>
      <c r="E1858" s="36" t="str">
        <f>IF(Table3[[#This Row],[Type Received]]=2,"CC",(IF(Table3[[#This Row],[Type Received]]=3,"BILL","ACH")))</f>
        <v>BILL</v>
      </c>
      <c r="F1858" s="35">
        <v>15.39</v>
      </c>
      <c r="G1858" s="14" t="str">
        <f>VLOOKUP(D1858,Table4[],3,FALSE)</f>
        <v>1</v>
      </c>
      <c r="H1858" s="15"/>
      <c r="I1858" s="15"/>
      <c r="J1858" s="15" t="s">
        <v>84</v>
      </c>
      <c r="K1858" s="15">
        <v>522321580</v>
      </c>
      <c r="L1858" s="15" t="s">
        <v>29</v>
      </c>
      <c r="M1858" s="15" t="s">
        <v>29</v>
      </c>
    </row>
    <row r="1859" spans="1:13" x14ac:dyDescent="0.25">
      <c r="A1859" s="23">
        <f t="shared" si="91"/>
        <v>185912</v>
      </c>
      <c r="B1859" s="14" t="str">
        <f t="shared" si="92"/>
        <v>Direct Debit (UMB Bank) - Credits</v>
      </c>
      <c r="C1859" s="37">
        <v>46168</v>
      </c>
      <c r="D1859" s="31">
        <v>185912</v>
      </c>
      <c r="E1859" s="33" t="str">
        <f>IF(Table3[[#This Row],[Type Received]]=2,"CC",(IF(Table3[[#This Row],[Type Received]]=3,"BILL","ACH")))</f>
        <v>ACH</v>
      </c>
      <c r="F1859" s="32">
        <v>52.45</v>
      </c>
      <c r="G1859" s="14" t="str">
        <f>VLOOKUP(D1859,Table4[],3,FALSE)</f>
        <v>2</v>
      </c>
      <c r="H1859" s="15">
        <v>8269</v>
      </c>
      <c r="I1859" s="15"/>
      <c r="J1859" s="15"/>
      <c r="K1859" s="15"/>
      <c r="L1859" s="15"/>
      <c r="M1859" s="15" t="s">
        <v>29</v>
      </c>
    </row>
    <row r="1860" spans="1:13" x14ac:dyDescent="0.25">
      <c r="A1860" s="23">
        <f t="shared" si="91"/>
        <v>185978</v>
      </c>
      <c r="B1860" s="14" t="str">
        <f t="shared" si="92"/>
        <v>Direct Debit (UMB Bank) - Credits</v>
      </c>
      <c r="C1860" s="38">
        <v>46157</v>
      </c>
      <c r="D1860" s="34">
        <v>185978</v>
      </c>
      <c r="E1860" s="36" t="str">
        <f>IF(Table3[[#This Row],[Type Received]]=2,"CC",(IF(Table3[[#This Row],[Type Received]]=3,"BILL","ACH")))</f>
        <v>ACH</v>
      </c>
      <c r="F1860" s="35">
        <v>32</v>
      </c>
      <c r="G1860" s="14" t="str">
        <f>VLOOKUP(D1860,Table4[],3,FALSE)</f>
        <v>2</v>
      </c>
      <c r="H1860" s="15"/>
      <c r="I1860" s="15"/>
      <c r="J1860" s="15" t="s">
        <v>87</v>
      </c>
      <c r="K1860" s="15">
        <v>696732517</v>
      </c>
      <c r="L1860" s="15" t="s">
        <v>29</v>
      </c>
      <c r="M1860" s="15" t="s">
        <v>29</v>
      </c>
    </row>
    <row r="1861" spans="1:13" x14ac:dyDescent="0.25">
      <c r="A1861" s="23">
        <f t="shared" si="91"/>
        <v>185684</v>
      </c>
      <c r="B1861" s="14" t="str">
        <f t="shared" si="92"/>
        <v>Billing - Credits (from TPA)</v>
      </c>
      <c r="C1861" s="37">
        <v>46143</v>
      </c>
      <c r="D1861" s="31">
        <v>185684</v>
      </c>
      <c r="E1861" s="33" t="str">
        <f>IF(Table3[[#This Row],[Type Received]]=2,"CC",(IF(Table3[[#This Row],[Type Received]]=3,"BILL","ACH")))</f>
        <v>BILL</v>
      </c>
      <c r="F1861" s="32">
        <v>32.99</v>
      </c>
      <c r="G1861" s="14" t="str">
        <f>VLOOKUP(D1861,Table4[],3,FALSE)</f>
        <v>2</v>
      </c>
      <c r="H1861" s="15"/>
      <c r="I1861" s="15"/>
      <c r="J1861" s="24" t="s">
        <v>84</v>
      </c>
      <c r="K1861" s="15">
        <v>522328315</v>
      </c>
      <c r="L1861" s="15" t="s">
        <v>29</v>
      </c>
      <c r="M1861" s="15"/>
    </row>
    <row r="1862" spans="1:13" x14ac:dyDescent="0.25">
      <c r="A1862" s="23">
        <f t="shared" si="91"/>
        <v>186007</v>
      </c>
      <c r="B1862" s="14" t="str">
        <f t="shared" si="92"/>
        <v>Billing - Credits (from TPA)</v>
      </c>
      <c r="C1862" s="38">
        <v>46169</v>
      </c>
      <c r="D1862" s="34">
        <v>186007</v>
      </c>
      <c r="E1862" s="36" t="str">
        <f>IF(Table3[[#This Row],[Type Received]]=2,"CC",(IF(Table3[[#This Row],[Type Received]]=3,"BILL","ACH")))</f>
        <v>BILL</v>
      </c>
      <c r="F1862" s="35">
        <v>22.77</v>
      </c>
      <c r="G1862" s="14" t="str">
        <f>VLOOKUP(D1862,Table4[],3,FALSE)</f>
        <v>1</v>
      </c>
      <c r="H1862" s="15">
        <v>4562</v>
      </c>
      <c r="I1862" s="15"/>
      <c r="J1862" s="15"/>
      <c r="K1862" s="15"/>
      <c r="L1862" s="15"/>
      <c r="M1862" s="15" t="s">
        <v>29</v>
      </c>
    </row>
    <row r="1863" spans="1:13" x14ac:dyDescent="0.25">
      <c r="A1863" s="23">
        <f t="shared" si="91"/>
        <v>186077</v>
      </c>
      <c r="B1863" s="14" t="str">
        <f t="shared" si="92"/>
        <v>Credit Cards (UMB) - Credits</v>
      </c>
      <c r="C1863" s="37">
        <v>46164</v>
      </c>
      <c r="D1863" s="31">
        <v>186077</v>
      </c>
      <c r="E1863" s="33" t="str">
        <f>IF(Table3[[#This Row],[Type Received]]=2,"CC",(IF(Table3[[#This Row],[Type Received]]=3,"BILL","ACH")))</f>
        <v>CC</v>
      </c>
      <c r="F1863" s="32">
        <v>92</v>
      </c>
      <c r="G1863" s="14" t="str">
        <f>VLOOKUP(D1863,Table4[],3,FALSE)</f>
        <v>2</v>
      </c>
      <c r="H1863" s="15">
        <v>1662</v>
      </c>
      <c r="I1863" s="15"/>
      <c r="J1863" s="15"/>
      <c r="K1863" s="15"/>
      <c r="L1863" s="15"/>
      <c r="M1863" s="15" t="s">
        <v>29</v>
      </c>
    </row>
    <row r="1864" spans="1:13" x14ac:dyDescent="0.25">
      <c r="A1864" s="23">
        <f t="shared" si="91"/>
        <v>186091</v>
      </c>
      <c r="B1864" s="14" t="str">
        <f t="shared" si="92"/>
        <v>Credit Cards (UMB) - Credits</v>
      </c>
      <c r="C1864" s="38">
        <v>46146</v>
      </c>
      <c r="D1864" s="34">
        <v>186091</v>
      </c>
      <c r="E1864" s="36" t="str">
        <f>IF(Table3[[#This Row],[Type Received]]=2,"CC",(IF(Table3[[#This Row],[Type Received]]=3,"BILL","ACH")))</f>
        <v>CC</v>
      </c>
      <c r="F1864" s="35">
        <v>43.87</v>
      </c>
      <c r="G1864" s="14" t="str">
        <f>VLOOKUP(D1864,Table4[],3,FALSE)</f>
        <v>1</v>
      </c>
      <c r="H1864" s="15"/>
      <c r="I1864" s="15">
        <v>152947</v>
      </c>
      <c r="J1864" s="15" t="s">
        <v>28</v>
      </c>
      <c r="K1864" s="15">
        <v>556773547</v>
      </c>
      <c r="L1864" s="15" t="s">
        <v>29</v>
      </c>
      <c r="M1864" s="15" t="s">
        <v>29</v>
      </c>
    </row>
    <row r="1865" spans="1:13" x14ac:dyDescent="0.25">
      <c r="A1865" s="23">
        <f t="shared" si="91"/>
        <v>186116</v>
      </c>
      <c r="B1865" s="14" t="str">
        <f t="shared" si="92"/>
        <v>Billing - Credits (from TPA)</v>
      </c>
      <c r="C1865" s="37">
        <v>46155</v>
      </c>
      <c r="D1865" s="31">
        <v>186116</v>
      </c>
      <c r="E1865" s="33" t="str">
        <f>IF(Table3[[#This Row],[Type Received]]=2,"CC",(IF(Table3[[#This Row],[Type Received]]=3,"BILL","ACH")))</f>
        <v>BILL</v>
      </c>
      <c r="F1865" s="32">
        <v>43.22</v>
      </c>
      <c r="G1865" s="14" t="str">
        <f>VLOOKUP(D1865,Table4[],3,FALSE)</f>
        <v>1</v>
      </c>
      <c r="H1865" s="15"/>
      <c r="I1865" s="15">
        <v>72848</v>
      </c>
      <c r="J1865" s="15" t="s">
        <v>28</v>
      </c>
      <c r="K1865" s="15">
        <v>674992590</v>
      </c>
      <c r="L1865" s="15" t="s">
        <v>29</v>
      </c>
      <c r="M1865" s="15" t="s">
        <v>29</v>
      </c>
    </row>
    <row r="1866" spans="1:13" x14ac:dyDescent="0.25">
      <c r="A1866" s="23">
        <f t="shared" si="91"/>
        <v>186687</v>
      </c>
      <c r="B1866" s="14" t="str">
        <f t="shared" si="92"/>
        <v>Direct Debit (UMB Bank) - Credits</v>
      </c>
      <c r="C1866" s="38">
        <v>46160</v>
      </c>
      <c r="D1866" s="34">
        <v>186687</v>
      </c>
      <c r="E1866" s="36" t="str">
        <f>IF(Table3[[#This Row],[Type Received]]=2,"CC",(IF(Table3[[#This Row],[Type Received]]=3,"BILL","ACH")))</f>
        <v>ACH</v>
      </c>
      <c r="F1866" s="35">
        <v>26.94</v>
      </c>
      <c r="G1866" s="14" t="str">
        <f>VLOOKUP(D1866,Table4[],3,FALSE)</f>
        <v>1</v>
      </c>
      <c r="H1866" s="15">
        <v>78067447161</v>
      </c>
      <c r="I1866" s="15"/>
      <c r="J1866" s="15"/>
      <c r="K1866" s="15"/>
      <c r="L1866" s="15"/>
      <c r="M1866" s="15" t="s">
        <v>29</v>
      </c>
    </row>
    <row r="1867" spans="1:13" x14ac:dyDescent="0.25">
      <c r="A1867" s="23">
        <f t="shared" si="91"/>
        <v>186734</v>
      </c>
      <c r="B1867" s="14" t="str">
        <f t="shared" si="92"/>
        <v>Direct Debit (UMB Bank) - Credits</v>
      </c>
      <c r="C1867" s="37">
        <v>46143</v>
      </c>
      <c r="D1867" s="31">
        <v>186734</v>
      </c>
      <c r="E1867" s="33" t="str">
        <f>IF(Table3[[#This Row],[Type Received]]=2,"CC",(IF(Table3[[#This Row],[Type Received]]=3,"BILL","ACH")))</f>
        <v>ACH</v>
      </c>
      <c r="F1867" s="32">
        <v>19.79</v>
      </c>
      <c r="G1867" s="14" t="str">
        <f>VLOOKUP(D1867,Table4[],3,FALSE)</f>
        <v>1</v>
      </c>
      <c r="H1867" s="15"/>
      <c r="I1867" s="15"/>
      <c r="J1867" s="15" t="s">
        <v>84</v>
      </c>
      <c r="K1867" s="15">
        <v>522318767</v>
      </c>
      <c r="L1867" s="15" t="s">
        <v>29</v>
      </c>
      <c r="M1867" s="15" t="s">
        <v>29</v>
      </c>
    </row>
    <row r="1868" spans="1:13" x14ac:dyDescent="0.25">
      <c r="A1868" s="23">
        <f t="shared" si="91"/>
        <v>186457</v>
      </c>
      <c r="B1868" s="14" t="str">
        <f t="shared" si="92"/>
        <v>Billing - Credits (from TPA)</v>
      </c>
      <c r="C1868" s="38">
        <v>46167</v>
      </c>
      <c r="D1868" s="34">
        <v>186457</v>
      </c>
      <c r="E1868" s="36" t="str">
        <f>IF(Table3[[#This Row],[Type Received]]=2,"CC",(IF(Table3[[#This Row],[Type Received]]=3,"BILL","ACH")))</f>
        <v>BILL</v>
      </c>
      <c r="F1868" s="35">
        <v>14.95</v>
      </c>
      <c r="G1868" s="14" t="str">
        <f>VLOOKUP(D1868,Table4[],3,FALSE)</f>
        <v>1</v>
      </c>
      <c r="H1868" s="15"/>
      <c r="I1868" s="15"/>
      <c r="J1868" s="15" t="s">
        <v>85</v>
      </c>
      <c r="K1868" s="15">
        <v>818367401</v>
      </c>
      <c r="L1868" s="15" t="s">
        <v>29</v>
      </c>
      <c r="M1868" s="15" t="s">
        <v>29</v>
      </c>
    </row>
    <row r="1869" spans="1:13" x14ac:dyDescent="0.25">
      <c r="A1869" s="23">
        <f t="shared" si="91"/>
        <v>186901</v>
      </c>
      <c r="B1869" s="14" t="str">
        <f t="shared" si="92"/>
        <v>Direct Debit (UMB Bank) - Credits</v>
      </c>
      <c r="C1869" s="37">
        <v>46146</v>
      </c>
      <c r="D1869" s="31">
        <v>186901</v>
      </c>
      <c r="E1869" s="33" t="str">
        <f>IF(Table3[[#This Row],[Type Received]]=2,"CC",(IF(Table3[[#This Row],[Type Received]]=3,"BILL","ACH")))</f>
        <v>ACH</v>
      </c>
      <c r="F1869" s="32">
        <v>45.19</v>
      </c>
      <c r="G1869" s="14" t="str">
        <f>VLOOKUP(D1869,Table4[],3,FALSE)</f>
        <v>1</v>
      </c>
      <c r="H1869" s="15">
        <v>6824</v>
      </c>
      <c r="I1869" s="15"/>
      <c r="J1869" s="15"/>
      <c r="K1869" s="15"/>
      <c r="L1869" s="15"/>
      <c r="M1869" s="15" t="s">
        <v>29</v>
      </c>
    </row>
    <row r="1870" spans="1:13" x14ac:dyDescent="0.25">
      <c r="A1870" s="23">
        <f t="shared" si="91"/>
        <v>187060</v>
      </c>
      <c r="B1870" s="14" t="str">
        <f t="shared" si="92"/>
        <v>Direct Debit (UMB Bank) - Credits</v>
      </c>
      <c r="C1870" s="38">
        <v>46143</v>
      </c>
      <c r="D1870" s="34">
        <v>187060</v>
      </c>
      <c r="E1870" s="36" t="str">
        <f>IF(Table3[[#This Row],[Type Received]]=2,"CC",(IF(Table3[[#This Row],[Type Received]]=3,"BILL","ACH")))</f>
        <v>ACH</v>
      </c>
      <c r="F1870" s="35">
        <v>48.49</v>
      </c>
      <c r="G1870" s="14" t="str">
        <f>VLOOKUP(D1870,Table4[],3,FALSE)</f>
        <v>1</v>
      </c>
      <c r="H1870" s="15"/>
      <c r="I1870" s="15"/>
      <c r="J1870" s="15" t="s">
        <v>84</v>
      </c>
      <c r="K1870" s="15">
        <v>522197440</v>
      </c>
      <c r="L1870" s="15" t="s">
        <v>29</v>
      </c>
      <c r="M1870" s="15" t="s">
        <v>29</v>
      </c>
    </row>
    <row r="1871" spans="1:13" x14ac:dyDescent="0.25">
      <c r="A1871" s="23">
        <f t="shared" si="91"/>
        <v>187077</v>
      </c>
      <c r="B1871" s="14" t="str">
        <f t="shared" si="92"/>
        <v>Direct Debit (UMB Bank) - Credits</v>
      </c>
      <c r="C1871" s="37">
        <v>46157</v>
      </c>
      <c r="D1871" s="31">
        <v>187077</v>
      </c>
      <c r="E1871" s="33" t="str">
        <f>IF(Table3[[#This Row],[Type Received]]=2,"CC",(IF(Table3[[#This Row],[Type Received]]=3,"BILL","ACH")))</f>
        <v>ACH</v>
      </c>
      <c r="F1871" s="32">
        <v>43.56</v>
      </c>
      <c r="G1871" s="14" t="str">
        <f>VLOOKUP(D1871,Table4[],3,FALSE)</f>
        <v>2</v>
      </c>
      <c r="H1871" s="15"/>
      <c r="I1871" s="15"/>
      <c r="J1871" s="15" t="s">
        <v>87</v>
      </c>
      <c r="K1871" s="15">
        <v>696748102</v>
      </c>
      <c r="L1871" s="15" t="s">
        <v>29</v>
      </c>
      <c r="M1871" s="15" t="s">
        <v>29</v>
      </c>
    </row>
    <row r="1872" spans="1:13" x14ac:dyDescent="0.25">
      <c r="A1872" s="23">
        <f t="shared" si="91"/>
        <v>187093</v>
      </c>
      <c r="B1872" s="14" t="str">
        <f t="shared" si="92"/>
        <v>Direct Debit (UMB Bank) - Credits</v>
      </c>
      <c r="C1872" s="38">
        <v>46167</v>
      </c>
      <c r="D1872" s="34">
        <v>187093</v>
      </c>
      <c r="E1872" s="36" t="str">
        <f>IF(Table3[[#This Row],[Type Received]]=2,"CC",(IF(Table3[[#This Row],[Type Received]]=3,"BILL","ACH")))</f>
        <v>ACH</v>
      </c>
      <c r="F1872" s="35">
        <v>36.950000000000003</v>
      </c>
      <c r="G1872" s="14" t="str">
        <f>VLOOKUP(D1872,Table4[],3,FALSE)</f>
        <v>1</v>
      </c>
      <c r="H1872" s="15"/>
      <c r="I1872" s="15"/>
      <c r="J1872" s="15" t="s">
        <v>85</v>
      </c>
      <c r="K1872" s="15">
        <v>818362693</v>
      </c>
      <c r="L1872" s="15" t="s">
        <v>29</v>
      </c>
      <c r="M1872" s="15" t="s">
        <v>29</v>
      </c>
    </row>
    <row r="1873" spans="1:13" x14ac:dyDescent="0.25">
      <c r="A1873" s="23">
        <f t="shared" si="91"/>
        <v>187120</v>
      </c>
      <c r="B1873" s="14" t="str">
        <f t="shared" si="92"/>
        <v>Direct Debit (UMB Bank) - Credits</v>
      </c>
      <c r="C1873" s="37">
        <v>46147</v>
      </c>
      <c r="D1873" s="31">
        <v>187120</v>
      </c>
      <c r="E1873" s="33" t="str">
        <f>IF(Table3[[#This Row],[Type Received]]=2,"CC",(IF(Table3[[#This Row],[Type Received]]=3,"BILL","ACH")))</f>
        <v>ACH</v>
      </c>
      <c r="F1873" s="32">
        <v>17.05</v>
      </c>
      <c r="G1873" s="14" t="str">
        <f>VLOOKUP(D1873,Table4[],3,FALSE)</f>
        <v>1</v>
      </c>
      <c r="H1873" s="15"/>
      <c r="I1873" s="15"/>
      <c r="J1873" s="15" t="s">
        <v>86</v>
      </c>
      <c r="K1873" s="15">
        <v>569969654</v>
      </c>
      <c r="L1873" s="15" t="s">
        <v>29</v>
      </c>
      <c r="M1873" s="15" t="s">
        <v>29</v>
      </c>
    </row>
    <row r="1874" spans="1:13" x14ac:dyDescent="0.25">
      <c r="A1874" s="23">
        <f t="shared" si="91"/>
        <v>187176</v>
      </c>
      <c r="B1874" s="14" t="str">
        <f t="shared" si="92"/>
        <v>Direct Debit (UMB Bank) - Credits</v>
      </c>
      <c r="C1874" s="38">
        <v>46157</v>
      </c>
      <c r="D1874" s="34">
        <v>187176</v>
      </c>
      <c r="E1874" s="36" t="str">
        <f>IF(Table3[[#This Row],[Type Received]]=2,"CC",(IF(Table3[[#This Row],[Type Received]]=3,"BILL","ACH")))</f>
        <v>ACH</v>
      </c>
      <c r="F1874" s="35">
        <v>28.37</v>
      </c>
      <c r="G1874" s="14" t="str">
        <f>VLOOKUP(D1874,Table4[],3,FALSE)</f>
        <v>2</v>
      </c>
      <c r="H1874" s="15"/>
      <c r="I1874" s="15"/>
      <c r="J1874" s="15" t="s">
        <v>87</v>
      </c>
      <c r="K1874" s="15">
        <v>696742263</v>
      </c>
      <c r="L1874" s="15" t="s">
        <v>29</v>
      </c>
      <c r="M1874" s="15"/>
    </row>
    <row r="1875" spans="1:13" x14ac:dyDescent="0.25">
      <c r="A1875" s="23">
        <f t="shared" si="91"/>
        <v>187206</v>
      </c>
      <c r="B1875" s="14" t="str">
        <f t="shared" si="92"/>
        <v>Direct Debit (UMB Bank) - Credits</v>
      </c>
      <c r="C1875" s="37">
        <v>46144</v>
      </c>
      <c r="D1875" s="31">
        <v>187206</v>
      </c>
      <c r="E1875" s="33" t="str">
        <f>IF(Table3[[#This Row],[Type Received]]=2,"CC",(IF(Table3[[#This Row],[Type Received]]=3,"BILL","ACH")))</f>
        <v>ACH</v>
      </c>
      <c r="F1875" s="32">
        <v>35.96</v>
      </c>
      <c r="G1875" s="14" t="str">
        <f>VLOOKUP(D1875,Table4[],3,FALSE)</f>
        <v>2</v>
      </c>
      <c r="H1875" s="15"/>
      <c r="I1875" s="15"/>
      <c r="J1875" s="15" t="s">
        <v>89</v>
      </c>
      <c r="K1875" s="15">
        <v>535374106</v>
      </c>
      <c r="L1875" s="15" t="s">
        <v>29</v>
      </c>
      <c r="M1875" s="15"/>
    </row>
    <row r="1876" spans="1:13" x14ac:dyDescent="0.25">
      <c r="A1876" s="23">
        <f t="shared" si="91"/>
        <v>187225</v>
      </c>
      <c r="B1876" s="14" t="str">
        <f t="shared" si="92"/>
        <v>Direct Debit (UMB Bank) - Credits</v>
      </c>
      <c r="C1876" s="38">
        <v>46157</v>
      </c>
      <c r="D1876" s="34">
        <v>187225</v>
      </c>
      <c r="E1876" s="36" t="str">
        <f>IF(Table3[[#This Row],[Type Received]]=2,"CC",(IF(Table3[[#This Row],[Type Received]]=3,"BILL","ACH")))</f>
        <v>ACH</v>
      </c>
      <c r="F1876" s="35">
        <v>21.44</v>
      </c>
      <c r="G1876" s="14" t="str">
        <f>VLOOKUP(D1876,Table4[],3,FALSE)</f>
        <v>2</v>
      </c>
      <c r="H1876" s="15"/>
      <c r="I1876" s="15"/>
      <c r="J1876" s="24" t="s">
        <v>87</v>
      </c>
      <c r="K1876" s="15">
        <v>696726837</v>
      </c>
      <c r="L1876" s="15" t="s">
        <v>29</v>
      </c>
      <c r="M1876" s="15"/>
    </row>
    <row r="1877" spans="1:13" x14ac:dyDescent="0.25">
      <c r="A1877" s="23">
        <f t="shared" si="91"/>
        <v>187228</v>
      </c>
      <c r="B1877" s="14" t="str">
        <f t="shared" si="92"/>
        <v>Direct Debit (UMB Bank) - Credits</v>
      </c>
      <c r="C1877" s="37">
        <v>46145</v>
      </c>
      <c r="D1877" s="31">
        <v>187228</v>
      </c>
      <c r="E1877" s="33" t="str">
        <f>IF(Table3[[#This Row],[Type Received]]=2,"CC",(IF(Table3[[#This Row],[Type Received]]=3,"BILL","ACH")))</f>
        <v>ACH</v>
      </c>
      <c r="F1877" s="32">
        <v>18.47</v>
      </c>
      <c r="G1877" s="14" t="str">
        <f>VLOOKUP(D1877,Table4[],3,FALSE)</f>
        <v>1</v>
      </c>
      <c r="H1877" s="15"/>
      <c r="I1877" s="15"/>
      <c r="J1877" s="15" t="s">
        <v>113</v>
      </c>
      <c r="K1877" s="15">
        <v>546403722</v>
      </c>
      <c r="L1877" s="15" t="s">
        <v>29</v>
      </c>
      <c r="M1877" s="15" t="s">
        <v>29</v>
      </c>
    </row>
    <row r="1878" spans="1:13" x14ac:dyDescent="0.25">
      <c r="A1878" s="23">
        <f t="shared" si="91"/>
        <v>187321</v>
      </c>
      <c r="B1878" s="14" t="str">
        <f t="shared" si="92"/>
        <v>Billing - Credits (from TPA)</v>
      </c>
      <c r="C1878" s="38">
        <v>46143</v>
      </c>
      <c r="D1878" s="34">
        <v>187321</v>
      </c>
      <c r="E1878" s="36" t="str">
        <f>IF(Table3[[#This Row],[Type Received]]=2,"CC",(IF(Table3[[#This Row],[Type Received]]=3,"BILL","ACH")))</f>
        <v>BILL</v>
      </c>
      <c r="F1878" s="35">
        <v>68.63</v>
      </c>
      <c r="G1878" s="14" t="str">
        <f>VLOOKUP(D1878,Table4[],3,FALSE)</f>
        <v>2</v>
      </c>
      <c r="H1878" s="15"/>
      <c r="I1878" s="15"/>
      <c r="J1878" s="15" t="s">
        <v>84</v>
      </c>
      <c r="K1878" s="15">
        <v>522322634</v>
      </c>
      <c r="L1878" s="15" t="s">
        <v>29</v>
      </c>
      <c r="M1878" s="15"/>
    </row>
    <row r="1879" spans="1:13" x14ac:dyDescent="0.25">
      <c r="A1879" s="23">
        <f t="shared" si="91"/>
        <v>187423</v>
      </c>
      <c r="B1879" s="14" t="str">
        <f t="shared" si="92"/>
        <v>Direct Debit (UMB Bank) - Credits</v>
      </c>
      <c r="C1879" s="37">
        <v>46146</v>
      </c>
      <c r="D1879" s="31">
        <v>187423</v>
      </c>
      <c r="E1879" s="33" t="str">
        <f>IF(Table3[[#This Row],[Type Received]]=2,"CC",(IF(Table3[[#This Row],[Type Received]]=3,"BILL","ACH")))</f>
        <v>ACH</v>
      </c>
      <c r="F1879" s="32">
        <v>148.55000000000001</v>
      </c>
      <c r="G1879" s="14" t="str">
        <f>VLOOKUP(D1879,Table4[],3,FALSE)</f>
        <v>2</v>
      </c>
      <c r="H1879" s="15">
        <v>208</v>
      </c>
      <c r="I1879" s="15"/>
      <c r="J1879" s="15"/>
      <c r="K1879" s="15"/>
      <c r="L1879" s="15"/>
      <c r="M1879" s="15" t="s">
        <v>29</v>
      </c>
    </row>
    <row r="1880" spans="1:13" x14ac:dyDescent="0.25">
      <c r="A1880" s="23">
        <f t="shared" si="91"/>
        <v>187576</v>
      </c>
      <c r="B1880" s="14" t="str">
        <f t="shared" si="92"/>
        <v>Direct Debit (UMB Bank) - Credits</v>
      </c>
      <c r="C1880" s="38">
        <v>46156</v>
      </c>
      <c r="D1880" s="34">
        <v>187576</v>
      </c>
      <c r="E1880" s="36" t="str">
        <f>IF(Table3[[#This Row],[Type Received]]=2,"CC",(IF(Table3[[#This Row],[Type Received]]=3,"BILL","ACH")))</f>
        <v>ACH</v>
      </c>
      <c r="F1880" s="35">
        <v>23.75</v>
      </c>
      <c r="G1880" s="14" t="str">
        <f>VLOOKUP(D1880,Table4[],3,FALSE)</f>
        <v>1</v>
      </c>
      <c r="H1880" s="15"/>
      <c r="I1880" s="15"/>
      <c r="J1880" s="15" t="s">
        <v>93</v>
      </c>
      <c r="K1880" s="15">
        <v>682537118</v>
      </c>
      <c r="L1880" s="15" t="s">
        <v>29</v>
      </c>
      <c r="M1880" s="15"/>
    </row>
    <row r="1881" spans="1:13" x14ac:dyDescent="0.25">
      <c r="A1881" s="23">
        <f t="shared" si="91"/>
        <v>187578</v>
      </c>
      <c r="B1881" s="14" t="str">
        <f t="shared" si="92"/>
        <v>Direct Debit (UMB Bank) - Credits</v>
      </c>
      <c r="C1881" s="37">
        <v>46157</v>
      </c>
      <c r="D1881" s="31">
        <v>187578</v>
      </c>
      <c r="E1881" s="33" t="str">
        <f>IF(Table3[[#This Row],[Type Received]]=2,"CC",(IF(Table3[[#This Row],[Type Received]]=3,"BILL","ACH")))</f>
        <v>ACH</v>
      </c>
      <c r="F1881" s="32">
        <v>36.950000000000003</v>
      </c>
      <c r="G1881" s="14" t="str">
        <f>VLOOKUP(D1881,Table4[],3,FALSE)</f>
        <v>2</v>
      </c>
      <c r="H1881" s="15"/>
      <c r="I1881" s="15"/>
      <c r="J1881" s="24" t="s">
        <v>87</v>
      </c>
      <c r="K1881" s="15">
        <v>696733540</v>
      </c>
      <c r="L1881" s="15" t="s">
        <v>29</v>
      </c>
      <c r="M1881" s="15" t="s">
        <v>29</v>
      </c>
    </row>
    <row r="1882" spans="1:13" x14ac:dyDescent="0.25">
      <c r="A1882" s="23">
        <f t="shared" si="91"/>
        <v>187616</v>
      </c>
      <c r="B1882" s="14" t="str">
        <f t="shared" si="92"/>
        <v>Credit Cards (UMB) - Credits</v>
      </c>
      <c r="C1882" s="38">
        <v>46143</v>
      </c>
      <c r="D1882" s="34">
        <v>187616</v>
      </c>
      <c r="E1882" s="36" t="str">
        <f>IF(Table3[[#This Row],[Type Received]]=2,"CC",(IF(Table3[[#This Row],[Type Received]]=3,"BILL","ACH")))</f>
        <v>CC</v>
      </c>
      <c r="F1882" s="35">
        <v>15.61</v>
      </c>
      <c r="G1882" s="14" t="str">
        <f>VLOOKUP(D1882,Table4[],3,FALSE)</f>
        <v>1</v>
      </c>
      <c r="H1882" s="15"/>
      <c r="I1882" s="15"/>
      <c r="J1882" s="15" t="s">
        <v>84</v>
      </c>
      <c r="K1882" s="15">
        <v>522312917</v>
      </c>
      <c r="L1882" s="15" t="s">
        <v>29</v>
      </c>
      <c r="M1882" s="15" t="s">
        <v>29</v>
      </c>
    </row>
    <row r="1883" spans="1:13" x14ac:dyDescent="0.25">
      <c r="A1883" s="23">
        <f t="shared" si="91"/>
        <v>187634</v>
      </c>
      <c r="B1883" s="14" t="str">
        <f t="shared" si="92"/>
        <v>Direct Debit (UMB Bank) - Credits</v>
      </c>
      <c r="C1883" s="37">
        <v>46155</v>
      </c>
      <c r="D1883" s="31">
        <v>187634</v>
      </c>
      <c r="E1883" s="33" t="str">
        <f>IF(Table3[[#This Row],[Type Received]]=2,"CC",(IF(Table3[[#This Row],[Type Received]]=3,"BILL","ACH")))</f>
        <v>ACH</v>
      </c>
      <c r="F1883" s="32">
        <v>19.309999999999999</v>
      </c>
      <c r="G1883" s="14" t="str">
        <f>VLOOKUP(D1883,Table4[],3,FALSE)</f>
        <v>2</v>
      </c>
      <c r="H1883" s="15"/>
      <c r="I1883" s="15" t="s">
        <v>236</v>
      </c>
      <c r="J1883" s="15" t="s">
        <v>28</v>
      </c>
      <c r="K1883" s="15">
        <v>669504153</v>
      </c>
      <c r="L1883" s="15" t="s">
        <v>29</v>
      </c>
      <c r="M1883" s="15" t="s">
        <v>29</v>
      </c>
    </row>
    <row r="1884" spans="1:13" x14ac:dyDescent="0.25">
      <c r="A1884" s="23">
        <f t="shared" si="91"/>
        <v>187783</v>
      </c>
      <c r="B1884" s="14" t="str">
        <f t="shared" si="92"/>
        <v>Credit Cards (UMB) - Credits</v>
      </c>
      <c r="C1884" s="38">
        <v>46143</v>
      </c>
      <c r="D1884" s="34">
        <v>187783</v>
      </c>
      <c r="E1884" s="36" t="str">
        <f>IF(Table3[[#This Row],[Type Received]]=2,"CC",(IF(Table3[[#This Row],[Type Received]]=3,"BILL","ACH")))</f>
        <v>CC</v>
      </c>
      <c r="F1884" s="35">
        <v>25.29</v>
      </c>
      <c r="G1884" s="14" t="str">
        <f>VLOOKUP(D1884,Table4[],3,FALSE)</f>
        <v>1</v>
      </c>
      <c r="H1884" s="15"/>
      <c r="I1884" s="15"/>
      <c r="J1884" s="15" t="s">
        <v>84</v>
      </c>
      <c r="K1884" s="15">
        <v>522331341</v>
      </c>
      <c r="L1884" s="15" t="s">
        <v>29</v>
      </c>
      <c r="M1884" s="15" t="s">
        <v>29</v>
      </c>
    </row>
    <row r="1885" spans="1:13" x14ac:dyDescent="0.25">
      <c r="A1885" s="23">
        <f t="shared" si="91"/>
        <v>187842</v>
      </c>
      <c r="B1885" s="14" t="str">
        <f t="shared" si="92"/>
        <v>Direct Debit (UMB Bank) - Credits</v>
      </c>
      <c r="C1885" s="37">
        <v>46155</v>
      </c>
      <c r="D1885" s="31">
        <v>187842</v>
      </c>
      <c r="E1885" s="33" t="str">
        <f>IF(Table3[[#This Row],[Type Received]]=2,"CC",(IF(Table3[[#This Row],[Type Received]]=3,"BILL","ACH")))</f>
        <v>ACH</v>
      </c>
      <c r="F1885" s="32">
        <v>21.33</v>
      </c>
      <c r="G1885" s="14" t="str">
        <f>VLOOKUP(D1885,Table4[],3,FALSE)</f>
        <v>1</v>
      </c>
      <c r="H1885" s="15"/>
      <c r="I1885" s="15">
        <v>115142</v>
      </c>
      <c r="J1885" s="24" t="s">
        <v>28</v>
      </c>
      <c r="K1885" s="15">
        <v>669496402</v>
      </c>
      <c r="L1885" s="15" t="s">
        <v>29</v>
      </c>
      <c r="M1885" s="15" t="s">
        <v>29</v>
      </c>
    </row>
    <row r="1886" spans="1:13" x14ac:dyDescent="0.25">
      <c r="A1886" s="23">
        <f t="shared" si="91"/>
        <v>187862</v>
      </c>
      <c r="B1886" s="14" t="str">
        <f t="shared" si="92"/>
        <v>Billing - Credits (from TPA)</v>
      </c>
      <c r="C1886" s="38">
        <v>46157</v>
      </c>
      <c r="D1886" s="34">
        <v>187862</v>
      </c>
      <c r="E1886" s="36" t="str">
        <f>IF(Table3[[#This Row],[Type Received]]=2,"CC",(IF(Table3[[#This Row],[Type Received]]=3,"BILL","ACH")))</f>
        <v>BILL</v>
      </c>
      <c r="F1886" s="35">
        <v>9.89</v>
      </c>
      <c r="G1886" s="14" t="str">
        <f>VLOOKUP(D1886,Table4[],3,FALSE)</f>
        <v>2</v>
      </c>
      <c r="H1886" s="15"/>
      <c r="I1886" s="15"/>
      <c r="J1886" s="15" t="s">
        <v>87</v>
      </c>
      <c r="K1886" s="15">
        <v>696725830</v>
      </c>
      <c r="L1886" s="15" t="s">
        <v>29</v>
      </c>
      <c r="M1886" s="15" t="s">
        <v>29</v>
      </c>
    </row>
    <row r="1887" spans="1:13" x14ac:dyDescent="0.25">
      <c r="A1887" s="23">
        <f t="shared" si="91"/>
        <v>187874</v>
      </c>
      <c r="B1887" s="14" t="str">
        <f t="shared" si="92"/>
        <v>Billing - Credits (from TPA)</v>
      </c>
      <c r="C1887" s="37">
        <v>46163</v>
      </c>
      <c r="D1887" s="31">
        <v>187874</v>
      </c>
      <c r="E1887" s="33" t="str">
        <f>IF(Table3[[#This Row],[Type Received]]=2,"CC",(IF(Table3[[#This Row],[Type Received]]=3,"BILL","ACH")))</f>
        <v>BILL</v>
      </c>
      <c r="F1887" s="32">
        <v>123.75</v>
      </c>
      <c r="G1887" s="14" t="str">
        <f>VLOOKUP(D1887,Table4[],3,FALSE)</f>
        <v>2</v>
      </c>
      <c r="H1887" s="15">
        <v>998369</v>
      </c>
      <c r="I1887" s="15"/>
      <c r="J1887" s="15"/>
      <c r="K1887" s="15"/>
      <c r="L1887" s="15"/>
      <c r="M1887" s="15" t="s">
        <v>29</v>
      </c>
    </row>
    <row r="1888" spans="1:13" x14ac:dyDescent="0.25">
      <c r="A1888" s="23">
        <f t="shared" si="91"/>
        <v>187874</v>
      </c>
      <c r="B1888" s="14" t="str">
        <f t="shared" si="92"/>
        <v>Billing - Credits (from TPA)</v>
      </c>
      <c r="C1888" s="38">
        <v>46161</v>
      </c>
      <c r="D1888" s="34">
        <v>187874</v>
      </c>
      <c r="E1888" s="36" t="str">
        <f>IF(Table3[[#This Row],[Type Received]]=2,"CC",(IF(Table3[[#This Row],[Type Received]]=3,"BILL","ACH")))</f>
        <v>BILL</v>
      </c>
      <c r="F1888" s="35">
        <v>123.75</v>
      </c>
      <c r="G1888" s="14" t="str">
        <f>VLOOKUP(D1888,Table4[],3,FALSE)</f>
        <v>2</v>
      </c>
      <c r="H1888" s="15">
        <v>998363</v>
      </c>
      <c r="I1888" s="15"/>
      <c r="J1888" s="15"/>
      <c r="K1888" s="15"/>
      <c r="L1888" s="15"/>
      <c r="M1888" s="15"/>
    </row>
    <row r="1889" spans="1:13" x14ac:dyDescent="0.25">
      <c r="A1889" s="23">
        <f t="shared" si="91"/>
        <v>188240</v>
      </c>
      <c r="B1889" s="14" t="str">
        <f t="shared" si="92"/>
        <v>Credit Cards (UMB) - Credits</v>
      </c>
      <c r="C1889" s="37">
        <v>46149</v>
      </c>
      <c r="D1889" s="31">
        <v>188240</v>
      </c>
      <c r="E1889" s="33" t="str">
        <f>IF(Table3[[#This Row],[Type Received]]=2,"CC",(IF(Table3[[#This Row],[Type Received]]=3,"BILL","ACH")))</f>
        <v>CC</v>
      </c>
      <c r="F1889" s="32">
        <v>34</v>
      </c>
      <c r="G1889" s="14" t="str">
        <f>VLOOKUP(D1889,Table4[],3,FALSE)</f>
        <v>1</v>
      </c>
      <c r="H1889" s="15">
        <v>19818835581</v>
      </c>
      <c r="I1889" s="15"/>
      <c r="J1889" s="15"/>
      <c r="K1889" s="15"/>
      <c r="L1889" s="15"/>
      <c r="M1889" s="15"/>
    </row>
    <row r="1890" spans="1:13" x14ac:dyDescent="0.25">
      <c r="A1890" s="23">
        <f t="shared" si="91"/>
        <v>188373</v>
      </c>
      <c r="B1890" s="14" t="str">
        <f t="shared" si="92"/>
        <v>Billing - Credits (from TPA)</v>
      </c>
      <c r="C1890" s="38">
        <v>46163</v>
      </c>
      <c r="D1890" s="34">
        <v>188373</v>
      </c>
      <c r="E1890" s="36" t="str">
        <f>IF(Table3[[#This Row],[Type Received]]=2,"CC",(IF(Table3[[#This Row],[Type Received]]=3,"BILL","ACH")))</f>
        <v>BILL</v>
      </c>
      <c r="F1890" s="35">
        <v>59.38</v>
      </c>
      <c r="G1890" s="14" t="str">
        <f>VLOOKUP(D1890,Table4[],3,FALSE)</f>
        <v>2</v>
      </c>
      <c r="H1890" s="15"/>
      <c r="I1890" s="15">
        <v>975137</v>
      </c>
      <c r="J1890" s="15" t="s">
        <v>28</v>
      </c>
      <c r="K1890" s="15">
        <v>776036564</v>
      </c>
      <c r="L1890" s="15" t="s">
        <v>29</v>
      </c>
      <c r="M1890" s="15" t="s">
        <v>29</v>
      </c>
    </row>
    <row r="1891" spans="1:13" x14ac:dyDescent="0.25">
      <c r="A1891" s="23">
        <f t="shared" si="91"/>
        <v>188433</v>
      </c>
      <c r="B1891" s="14" t="str">
        <f t="shared" si="92"/>
        <v>Direct Debit (UMB Bank) - Credits</v>
      </c>
      <c r="C1891" s="37">
        <v>46168</v>
      </c>
      <c r="D1891" s="31">
        <v>188433</v>
      </c>
      <c r="E1891" s="33" t="str">
        <f>IF(Table3[[#This Row],[Type Received]]=2,"CC",(IF(Table3[[#This Row],[Type Received]]=3,"BILL","ACH")))</f>
        <v>ACH</v>
      </c>
      <c r="F1891" s="32">
        <v>47.83</v>
      </c>
      <c r="G1891" s="14" t="str">
        <f>VLOOKUP(D1891,Table4[],3,FALSE)</f>
        <v>1</v>
      </c>
      <c r="H1891" s="15">
        <v>20610084</v>
      </c>
      <c r="I1891" s="15"/>
      <c r="J1891" s="15"/>
      <c r="K1891" s="15"/>
      <c r="L1891" s="15"/>
      <c r="M1891" s="15" t="s">
        <v>29</v>
      </c>
    </row>
    <row r="1892" spans="1:13" x14ac:dyDescent="0.25">
      <c r="A1892" s="23">
        <f t="shared" si="91"/>
        <v>188489</v>
      </c>
      <c r="B1892" s="14" t="str">
        <f t="shared" si="92"/>
        <v>Billing - Credits (from TPA)</v>
      </c>
      <c r="C1892" s="38">
        <v>46145</v>
      </c>
      <c r="D1892" s="34">
        <v>188489</v>
      </c>
      <c r="E1892" s="36" t="str">
        <f>IF(Table3[[#This Row],[Type Received]]=2,"CC",(IF(Table3[[#This Row],[Type Received]]=3,"BILL","ACH")))</f>
        <v>BILL</v>
      </c>
      <c r="F1892" s="35">
        <v>34.19</v>
      </c>
      <c r="G1892" s="14" t="str">
        <f>VLOOKUP(D1892,Table4[],3,FALSE)</f>
        <v>1</v>
      </c>
      <c r="H1892" s="15"/>
      <c r="I1892" s="15"/>
      <c r="J1892" s="15" t="s">
        <v>113</v>
      </c>
      <c r="K1892" s="15">
        <v>546431187</v>
      </c>
      <c r="L1892" s="15" t="s">
        <v>29</v>
      </c>
      <c r="M1892" s="15" t="s">
        <v>29</v>
      </c>
    </row>
    <row r="1893" spans="1:13" x14ac:dyDescent="0.25">
      <c r="A1893" s="23">
        <f t="shared" si="91"/>
        <v>188560</v>
      </c>
      <c r="B1893" s="14" t="str">
        <f t="shared" si="92"/>
        <v>Credit Cards (UMB) - Credits</v>
      </c>
      <c r="C1893" s="37">
        <v>46146</v>
      </c>
      <c r="D1893" s="31">
        <v>188560</v>
      </c>
      <c r="E1893" s="33" t="str">
        <f>IF(Table3[[#This Row],[Type Received]]=2,"CC",(IF(Table3[[#This Row],[Type Received]]=3,"BILL","ACH")))</f>
        <v>CC</v>
      </c>
      <c r="F1893" s="32">
        <v>92.51</v>
      </c>
      <c r="G1893" s="14" t="str">
        <f>VLOOKUP(D1893,Table4[],3,FALSE)</f>
        <v>1</v>
      </c>
      <c r="H1893" s="15">
        <v>3923</v>
      </c>
      <c r="I1893" s="15"/>
      <c r="J1893" s="15"/>
      <c r="K1893" s="15"/>
      <c r="L1893" s="15"/>
      <c r="M1893" s="15" t="s">
        <v>29</v>
      </c>
    </row>
    <row r="1894" spans="1:13" x14ac:dyDescent="0.25">
      <c r="A1894" s="23">
        <f t="shared" si="91"/>
        <v>188599</v>
      </c>
      <c r="B1894" s="14" t="str">
        <f t="shared" si="92"/>
        <v>Direct Debit (UMB Bank) - Credits</v>
      </c>
      <c r="C1894" s="38">
        <v>46143</v>
      </c>
      <c r="D1894" s="34">
        <v>188599</v>
      </c>
      <c r="E1894" s="36" t="str">
        <f>IF(Table3[[#This Row],[Type Received]]=2,"CC",(IF(Table3[[#This Row],[Type Received]]=3,"BILL","ACH")))</f>
        <v>ACH</v>
      </c>
      <c r="F1894" s="35">
        <v>146.83000000000001</v>
      </c>
      <c r="G1894" s="14" t="str">
        <f>VLOOKUP(D1894,Table4[],3,FALSE)</f>
        <v>1</v>
      </c>
      <c r="H1894" s="15"/>
      <c r="I1894" s="15">
        <v>240010</v>
      </c>
      <c r="J1894" s="15">
        <v>741374152</v>
      </c>
      <c r="K1894" s="15">
        <v>353208184</v>
      </c>
      <c r="L1894" s="15"/>
      <c r="M1894" s="15" t="s">
        <v>29</v>
      </c>
    </row>
    <row r="1895" spans="1:13" x14ac:dyDescent="0.25">
      <c r="A1895" s="23">
        <f t="shared" si="91"/>
        <v>188672</v>
      </c>
      <c r="B1895" s="14" t="str">
        <f t="shared" si="92"/>
        <v>Direct Debit (UMB Bank) - Credits</v>
      </c>
      <c r="C1895" s="37">
        <v>46157</v>
      </c>
      <c r="D1895" s="31">
        <v>188672</v>
      </c>
      <c r="E1895" s="33" t="str">
        <f>IF(Table3[[#This Row],[Type Received]]=2,"CC",(IF(Table3[[#This Row],[Type Received]]=3,"BILL","ACH")))</f>
        <v>ACH</v>
      </c>
      <c r="F1895" s="32">
        <v>53.45</v>
      </c>
      <c r="G1895" s="14" t="str">
        <f>VLOOKUP(D1895,Table4[],3,FALSE)</f>
        <v>2</v>
      </c>
      <c r="H1895" s="15"/>
      <c r="I1895" s="15"/>
      <c r="J1895" s="15" t="s">
        <v>87</v>
      </c>
      <c r="K1895" s="15">
        <v>696726863</v>
      </c>
      <c r="L1895" s="15" t="s">
        <v>29</v>
      </c>
      <c r="M1895" s="15" t="s">
        <v>29</v>
      </c>
    </row>
    <row r="1896" spans="1:13" x14ac:dyDescent="0.25">
      <c r="A1896" s="23">
        <f t="shared" si="91"/>
        <v>188725</v>
      </c>
      <c r="B1896" s="14" t="str">
        <f t="shared" si="92"/>
        <v>Billing - Credits (from TPA)</v>
      </c>
      <c r="C1896" s="38">
        <v>46157</v>
      </c>
      <c r="D1896" s="34">
        <v>188725</v>
      </c>
      <c r="E1896" s="36" t="str">
        <f>IF(Table3[[#This Row],[Type Received]]=2,"CC",(IF(Table3[[#This Row],[Type Received]]=3,"BILL","ACH")))</f>
        <v>BILL</v>
      </c>
      <c r="F1896" s="35">
        <v>38.979999999999997</v>
      </c>
      <c r="G1896" s="14" t="str">
        <f>VLOOKUP(D1896,Table4[],3,FALSE)</f>
        <v>1</v>
      </c>
      <c r="H1896" s="15"/>
      <c r="I1896" s="15"/>
      <c r="J1896" s="24" t="s">
        <v>87</v>
      </c>
      <c r="K1896" s="15">
        <v>696648194</v>
      </c>
      <c r="L1896" s="15" t="s">
        <v>29</v>
      </c>
      <c r="M1896" s="15"/>
    </row>
    <row r="1897" spans="1:13" x14ac:dyDescent="0.25">
      <c r="A1897" s="23">
        <f t="shared" si="91"/>
        <v>188977</v>
      </c>
      <c r="B1897" s="14" t="str">
        <f t="shared" si="92"/>
        <v>Credit Cards (UMB) - Credits</v>
      </c>
      <c r="C1897" s="37">
        <v>46169</v>
      </c>
      <c r="D1897" s="31">
        <v>188977</v>
      </c>
      <c r="E1897" s="33" t="str">
        <f>IF(Table3[[#This Row],[Type Received]]=2,"CC",(IF(Table3[[#This Row],[Type Received]]=3,"BILL","ACH")))</f>
        <v>CC</v>
      </c>
      <c r="F1897" s="32">
        <v>36</v>
      </c>
      <c r="G1897" s="14" t="str">
        <f>VLOOKUP(D1897,Table4[],3,FALSE)</f>
        <v>2</v>
      </c>
      <c r="H1897" s="15">
        <v>3883</v>
      </c>
      <c r="I1897" s="15"/>
      <c r="J1897" s="15"/>
      <c r="K1897" s="15"/>
      <c r="L1897" s="15"/>
      <c r="M1897" s="15"/>
    </row>
    <row r="1898" spans="1:13" x14ac:dyDescent="0.25">
      <c r="A1898" s="23">
        <f t="shared" ref="A1898:A1914" si="93">D1898</f>
        <v>189065</v>
      </c>
      <c r="B1898" s="14" t="str">
        <f t="shared" si="92"/>
        <v>Billing - Credits (from TPA)</v>
      </c>
      <c r="C1898" s="38">
        <v>46147</v>
      </c>
      <c r="D1898" s="34">
        <v>189065</v>
      </c>
      <c r="E1898" s="36" t="str">
        <f>IF(Table3[[#This Row],[Type Received]]=2,"CC",(IF(Table3[[#This Row],[Type Received]]=3,"BILL","ACH")))</f>
        <v>BILL</v>
      </c>
      <c r="F1898" s="35">
        <v>45.86</v>
      </c>
      <c r="G1898" s="14" t="str">
        <f>VLOOKUP(D1898,Table4[],3,FALSE)</f>
        <v>2</v>
      </c>
      <c r="H1898" s="15"/>
      <c r="I1898" s="15">
        <v>113</v>
      </c>
      <c r="J1898" s="15" t="s">
        <v>28</v>
      </c>
      <c r="K1898" s="15">
        <v>569492196</v>
      </c>
      <c r="L1898" s="15" t="s">
        <v>29</v>
      </c>
      <c r="M1898" s="15"/>
    </row>
    <row r="1899" spans="1:13" x14ac:dyDescent="0.25">
      <c r="A1899" s="23">
        <f t="shared" si="93"/>
        <v>189167</v>
      </c>
      <c r="B1899" s="14" t="str">
        <f t="shared" si="92"/>
        <v>Billing - Credits (from TPA)</v>
      </c>
      <c r="C1899" s="37">
        <v>46146</v>
      </c>
      <c r="D1899" s="31">
        <v>189167</v>
      </c>
      <c r="E1899" s="33" t="str">
        <f>IF(Table3[[#This Row],[Type Received]]=2,"CC",(IF(Table3[[#This Row],[Type Received]]=3,"BILL","ACH")))</f>
        <v>BILL</v>
      </c>
      <c r="F1899" s="32">
        <v>39.26</v>
      </c>
      <c r="G1899" s="14" t="str">
        <f>VLOOKUP(D1899,Table4[],3,FALSE)</f>
        <v>1</v>
      </c>
      <c r="H1899" s="15">
        <v>19820479431</v>
      </c>
      <c r="I1899" s="15"/>
      <c r="J1899" s="15"/>
      <c r="K1899" s="15"/>
      <c r="L1899" s="15"/>
      <c r="M1899" s="15" t="s">
        <v>29</v>
      </c>
    </row>
    <row r="1900" spans="1:13" x14ac:dyDescent="0.25">
      <c r="A1900" s="23">
        <f t="shared" si="93"/>
        <v>189186</v>
      </c>
      <c r="B1900" s="14" t="str">
        <f t="shared" si="92"/>
        <v>Billing - Credits (from TPA)</v>
      </c>
      <c r="C1900" s="38">
        <v>46169</v>
      </c>
      <c r="D1900" s="34">
        <v>189186</v>
      </c>
      <c r="E1900" s="36" t="str">
        <f>IF(Table3[[#This Row],[Type Received]]=2,"CC",(IF(Table3[[#This Row],[Type Received]]=3,"BILL","ACH")))</f>
        <v>BILL</v>
      </c>
      <c r="F1900" s="35">
        <v>47.17</v>
      </c>
      <c r="G1900" s="14" t="str">
        <f>VLOOKUP(D1900,Table4[],3,FALSE)</f>
        <v>1</v>
      </c>
      <c r="H1900" s="15">
        <v>148</v>
      </c>
      <c r="I1900" s="15"/>
      <c r="J1900" s="15"/>
      <c r="K1900" s="15"/>
      <c r="L1900" s="15"/>
      <c r="M1900" s="15" t="s">
        <v>29</v>
      </c>
    </row>
    <row r="1901" spans="1:13" x14ac:dyDescent="0.25">
      <c r="A1901" s="23">
        <f t="shared" si="93"/>
        <v>189188</v>
      </c>
      <c r="B1901" s="14" t="str">
        <f t="shared" si="92"/>
        <v>Direct Debit (UMB Bank) - Credits</v>
      </c>
      <c r="C1901" s="37">
        <v>46143</v>
      </c>
      <c r="D1901" s="31">
        <v>189188</v>
      </c>
      <c r="E1901" s="33" t="str">
        <f>IF(Table3[[#This Row],[Type Received]]=2,"CC",(IF(Table3[[#This Row],[Type Received]]=3,"BILL","ACH")))</f>
        <v>ACH</v>
      </c>
      <c r="F1901" s="32">
        <v>33.33</v>
      </c>
      <c r="G1901" s="14" t="str">
        <f>VLOOKUP(D1901,Table4[],3,FALSE)</f>
        <v>2</v>
      </c>
      <c r="H1901" s="15">
        <v>1836</v>
      </c>
      <c r="I1901" s="15"/>
      <c r="J1901" s="15"/>
      <c r="K1901" s="15"/>
      <c r="L1901" s="15"/>
      <c r="M1901" s="15"/>
    </row>
    <row r="1902" spans="1:13" x14ac:dyDescent="0.25">
      <c r="A1902" s="23">
        <f t="shared" si="93"/>
        <v>189225</v>
      </c>
      <c r="B1902" s="14" t="str">
        <f t="shared" si="92"/>
        <v>Direct Debit (UMB Bank) - Credits</v>
      </c>
      <c r="C1902" s="38">
        <v>46157</v>
      </c>
      <c r="D1902" s="34">
        <v>189225</v>
      </c>
      <c r="E1902" s="36" t="str">
        <f>IF(Table3[[#This Row],[Type Received]]=2,"CC",(IF(Table3[[#This Row],[Type Received]]=3,"BILL","ACH")))</f>
        <v>ACH</v>
      </c>
      <c r="F1902" s="35">
        <v>26.9</v>
      </c>
      <c r="G1902" s="14" t="str">
        <f>VLOOKUP(D1902,Table4[],3,FALSE)</f>
        <v>2</v>
      </c>
      <c r="H1902" s="15"/>
      <c r="I1902" s="15"/>
      <c r="J1902" s="24" t="s">
        <v>87</v>
      </c>
      <c r="K1902" s="15">
        <v>696726878</v>
      </c>
      <c r="L1902" s="15" t="s">
        <v>29</v>
      </c>
      <c r="M1902" s="15" t="s">
        <v>29</v>
      </c>
    </row>
    <row r="1903" spans="1:13" x14ac:dyDescent="0.25">
      <c r="A1903" s="23">
        <f t="shared" si="93"/>
        <v>189237</v>
      </c>
      <c r="B1903" s="14" t="str">
        <f t="shared" si="92"/>
        <v>Billing - Credits (from TPA)</v>
      </c>
      <c r="C1903" s="37">
        <v>46157</v>
      </c>
      <c r="D1903" s="31">
        <v>189237</v>
      </c>
      <c r="E1903" s="33" t="str">
        <f>IF(Table3[[#This Row],[Type Received]]=2,"CC",(IF(Table3[[#This Row],[Type Received]]=3,"BILL","ACH")))</f>
        <v>BILL</v>
      </c>
      <c r="F1903" s="32">
        <v>167.96</v>
      </c>
      <c r="G1903" s="14" t="str">
        <f>VLOOKUP(D1903,Table4[],3,FALSE)</f>
        <v>2</v>
      </c>
      <c r="H1903" s="15"/>
      <c r="I1903" s="15"/>
      <c r="J1903" s="15" t="s">
        <v>87</v>
      </c>
      <c r="K1903" s="15">
        <v>696646351</v>
      </c>
      <c r="L1903" s="15" t="s">
        <v>29</v>
      </c>
      <c r="M1903" s="15" t="s">
        <v>29</v>
      </c>
    </row>
    <row r="1904" spans="1:13" x14ac:dyDescent="0.25">
      <c r="A1904" s="23">
        <f t="shared" si="93"/>
        <v>189296</v>
      </c>
      <c r="B1904" s="14" t="str">
        <f t="shared" si="92"/>
        <v>Direct Debit (UMB Bank) - Credits</v>
      </c>
      <c r="C1904" s="38">
        <v>46147</v>
      </c>
      <c r="D1904" s="34">
        <v>189296</v>
      </c>
      <c r="E1904" s="36" t="str">
        <f>IF(Table3[[#This Row],[Type Received]]=2,"CC",(IF(Table3[[#This Row],[Type Received]]=3,"BILL","ACH")))</f>
        <v>ACH</v>
      </c>
      <c r="F1904" s="35">
        <v>19.03</v>
      </c>
      <c r="G1904" s="14" t="str">
        <f>VLOOKUP(D1904,Table4[],3,FALSE)</f>
        <v>1</v>
      </c>
      <c r="H1904" s="15">
        <v>995046</v>
      </c>
      <c r="I1904" s="15"/>
      <c r="J1904" s="15"/>
      <c r="K1904" s="15"/>
      <c r="L1904" s="15"/>
      <c r="M1904" s="15" t="s">
        <v>29</v>
      </c>
    </row>
    <row r="1905" spans="1:13" x14ac:dyDescent="0.25">
      <c r="A1905" s="23">
        <f t="shared" si="93"/>
        <v>189300</v>
      </c>
      <c r="B1905" s="14" t="str">
        <f t="shared" si="92"/>
        <v>Billing - Credits (from TPA)</v>
      </c>
      <c r="C1905" s="37">
        <v>46147</v>
      </c>
      <c r="D1905" s="31">
        <v>189300</v>
      </c>
      <c r="E1905" s="33" t="str">
        <f>IF(Table3[[#This Row],[Type Received]]=2,"CC",(IF(Table3[[#This Row],[Type Received]]=3,"BILL","ACH")))</f>
        <v>BILL</v>
      </c>
      <c r="F1905" s="32">
        <v>17.809999999999999</v>
      </c>
      <c r="G1905" s="14" t="str">
        <f>VLOOKUP(D1905,Table4[],3,FALSE)</f>
        <v>1</v>
      </c>
      <c r="H1905" s="15"/>
      <c r="I1905" s="15"/>
      <c r="J1905" s="15" t="s">
        <v>86</v>
      </c>
      <c r="K1905" s="15">
        <v>569476484</v>
      </c>
      <c r="L1905" s="15" t="s">
        <v>29</v>
      </c>
      <c r="M1905" s="15"/>
    </row>
    <row r="1906" spans="1:13" x14ac:dyDescent="0.25">
      <c r="A1906" s="23">
        <f t="shared" si="93"/>
        <v>189370</v>
      </c>
      <c r="B1906" s="14" t="str">
        <f t="shared" si="92"/>
        <v>Direct Debit (UMB Bank) - Credits</v>
      </c>
      <c r="C1906" s="38">
        <v>46147</v>
      </c>
      <c r="D1906" s="34">
        <v>189370</v>
      </c>
      <c r="E1906" s="36" t="str">
        <f>IF(Table3[[#This Row],[Type Received]]=2,"CC",(IF(Table3[[#This Row],[Type Received]]=3,"BILL","ACH")))</f>
        <v>ACH</v>
      </c>
      <c r="F1906" s="35">
        <v>24.09</v>
      </c>
      <c r="G1906" s="14" t="str">
        <f>VLOOKUP(D1906,Table4[],3,FALSE)</f>
        <v>1</v>
      </c>
      <c r="H1906" s="15">
        <v>75302898</v>
      </c>
      <c r="I1906" s="15"/>
      <c r="J1906" s="15"/>
      <c r="K1906" s="15"/>
      <c r="L1906" s="15"/>
      <c r="M1906" s="15" t="s">
        <v>29</v>
      </c>
    </row>
    <row r="1907" spans="1:13" x14ac:dyDescent="0.25">
      <c r="A1907" s="23">
        <f t="shared" si="93"/>
        <v>189619</v>
      </c>
      <c r="B1907" s="14" t="str">
        <f t="shared" si="92"/>
        <v>Credit Cards (UMB) - Credits</v>
      </c>
      <c r="C1907" s="37">
        <v>46167</v>
      </c>
      <c r="D1907" s="31">
        <v>189619</v>
      </c>
      <c r="E1907" s="33" t="str">
        <f>IF(Table3[[#This Row],[Type Received]]=2,"CC",(IF(Table3[[#This Row],[Type Received]]=3,"BILL","ACH")))</f>
        <v>CC</v>
      </c>
      <c r="F1907" s="32">
        <v>46.85</v>
      </c>
      <c r="G1907" s="14" t="str">
        <f>VLOOKUP(D1907,Table4[],3,FALSE)</f>
        <v>2</v>
      </c>
      <c r="H1907" s="15"/>
      <c r="I1907" s="15"/>
      <c r="J1907" s="15" t="s">
        <v>85</v>
      </c>
      <c r="K1907" s="15">
        <v>818370371</v>
      </c>
      <c r="L1907" s="15" t="s">
        <v>29</v>
      </c>
      <c r="M1907" s="15" t="s">
        <v>29</v>
      </c>
    </row>
    <row r="1908" spans="1:13" x14ac:dyDescent="0.25">
      <c r="A1908" s="23">
        <f t="shared" si="93"/>
        <v>189688</v>
      </c>
      <c r="B1908" s="14" t="str">
        <f t="shared" si="92"/>
        <v>Credit Cards (UMB) - Credits</v>
      </c>
      <c r="C1908" s="38">
        <v>46155</v>
      </c>
      <c r="D1908" s="34">
        <v>189688</v>
      </c>
      <c r="E1908" s="36" t="str">
        <f>IF(Table3[[#This Row],[Type Received]]=2,"CC",(IF(Table3[[#This Row],[Type Received]]=3,"BILL","ACH")))</f>
        <v>CC</v>
      </c>
      <c r="F1908" s="35">
        <v>41.9</v>
      </c>
      <c r="G1908" s="14" t="str">
        <f>VLOOKUP(D1908,Table4[],3,FALSE)</f>
        <v>2</v>
      </c>
      <c r="H1908" s="15"/>
      <c r="I1908" s="15">
        <v>147803</v>
      </c>
      <c r="J1908" s="15" t="s">
        <v>28</v>
      </c>
      <c r="K1908" s="15">
        <v>669480821</v>
      </c>
      <c r="L1908" s="15" t="s">
        <v>29</v>
      </c>
      <c r="M1908" s="15" t="s">
        <v>29</v>
      </c>
    </row>
    <row r="1909" spans="1:13" x14ac:dyDescent="0.25">
      <c r="A1909" s="23">
        <f t="shared" si="93"/>
        <v>189690</v>
      </c>
      <c r="B1909" s="14" t="str">
        <f t="shared" si="92"/>
        <v>Direct Debit (UMB Bank) - Credits</v>
      </c>
      <c r="C1909" s="37">
        <v>46155</v>
      </c>
      <c r="D1909" s="31">
        <v>189690</v>
      </c>
      <c r="E1909" s="33" t="str">
        <f>IF(Table3[[#This Row],[Type Received]]=2,"CC",(IF(Table3[[#This Row],[Type Received]]=3,"BILL","ACH")))</f>
        <v>ACH</v>
      </c>
      <c r="F1909" s="32">
        <v>32.67</v>
      </c>
      <c r="G1909" s="14" t="str">
        <f>VLOOKUP(D1909,Table4[],3,FALSE)</f>
        <v>2</v>
      </c>
      <c r="H1909" s="15"/>
      <c r="I1909" s="15">
        <v>100127</v>
      </c>
      <c r="J1909" s="15" t="s">
        <v>28</v>
      </c>
      <c r="K1909" s="15">
        <v>670734517</v>
      </c>
      <c r="L1909" s="15" t="s">
        <v>29</v>
      </c>
      <c r="M1909" s="15"/>
    </row>
    <row r="1910" spans="1:13" x14ac:dyDescent="0.25">
      <c r="A1910" s="23">
        <f t="shared" si="93"/>
        <v>189717</v>
      </c>
      <c r="B1910" s="14" t="str">
        <f t="shared" si="92"/>
        <v>Direct Debit (UMB Bank) - Credits</v>
      </c>
      <c r="C1910" s="38">
        <v>46157</v>
      </c>
      <c r="D1910" s="34">
        <v>189717</v>
      </c>
      <c r="E1910" s="36" t="str">
        <f>IF(Table3[[#This Row],[Type Received]]=2,"CC",(IF(Table3[[#This Row],[Type Received]]=3,"BILL","ACH")))</f>
        <v>ACH</v>
      </c>
      <c r="F1910" s="35">
        <v>12.53</v>
      </c>
      <c r="G1910" s="14" t="str">
        <f>VLOOKUP(D1910,Table4[],3,FALSE)</f>
        <v>1</v>
      </c>
      <c r="H1910" s="15"/>
      <c r="I1910" s="15"/>
      <c r="J1910" s="15" t="s">
        <v>87</v>
      </c>
      <c r="K1910" s="15">
        <v>696738509</v>
      </c>
      <c r="L1910" s="15" t="s">
        <v>29</v>
      </c>
      <c r="M1910" s="15" t="s">
        <v>29</v>
      </c>
    </row>
    <row r="1911" spans="1:13" x14ac:dyDescent="0.25">
      <c r="A1911" s="23">
        <f t="shared" si="93"/>
        <v>189408</v>
      </c>
      <c r="B1911" s="14" t="str">
        <f t="shared" si="92"/>
        <v>Billing - Credits (from TPA)</v>
      </c>
      <c r="C1911" s="37">
        <v>46162</v>
      </c>
      <c r="D1911" s="31">
        <v>189408</v>
      </c>
      <c r="E1911" s="33" t="str">
        <f>IF(Table3[[#This Row],[Type Received]]=2,"CC",(IF(Table3[[#This Row],[Type Received]]=3,"BILL","ACH")))</f>
        <v>BILL</v>
      </c>
      <c r="F1911" s="32">
        <v>101.96</v>
      </c>
      <c r="G1911" s="14" t="str">
        <f>VLOOKUP(D1911,Table4[],3,FALSE)</f>
        <v>2</v>
      </c>
      <c r="H1911" s="15"/>
      <c r="I1911" s="15"/>
      <c r="J1911" s="15" t="s">
        <v>107</v>
      </c>
      <c r="K1911" s="15">
        <v>757837346</v>
      </c>
      <c r="L1911" s="15" t="s">
        <v>29</v>
      </c>
      <c r="M1911" s="15" t="s">
        <v>29</v>
      </c>
    </row>
    <row r="1912" spans="1:13" x14ac:dyDescent="0.25">
      <c r="A1912" s="23">
        <f t="shared" si="93"/>
        <v>189461</v>
      </c>
      <c r="B1912" s="14" t="str">
        <f t="shared" si="92"/>
        <v>Billing - Credits (from TPA)</v>
      </c>
      <c r="C1912" s="38">
        <v>46150</v>
      </c>
      <c r="D1912" s="34">
        <v>189461</v>
      </c>
      <c r="E1912" s="36" t="str">
        <f>IF(Table3[[#This Row],[Type Received]]=2,"CC",(IF(Table3[[#This Row],[Type Received]]=3,"BILL","ACH")))</f>
        <v>BILL</v>
      </c>
      <c r="F1912" s="35">
        <v>61</v>
      </c>
      <c r="G1912" s="14" t="str">
        <f>VLOOKUP(D1912,Table4[],3,FALSE)</f>
        <v>2</v>
      </c>
      <c r="H1912" s="15">
        <v>944457</v>
      </c>
      <c r="I1912" s="15"/>
      <c r="J1912" s="15"/>
      <c r="K1912" s="15"/>
      <c r="L1912" s="15"/>
      <c r="M1912" s="15"/>
    </row>
    <row r="1913" spans="1:13" x14ac:dyDescent="0.25">
      <c r="A1913" s="23">
        <f t="shared" si="93"/>
        <v>189899</v>
      </c>
      <c r="B1913" s="14" t="str">
        <f t="shared" si="92"/>
        <v>Billing - Credits (from TPA)</v>
      </c>
      <c r="C1913" s="37">
        <v>46143</v>
      </c>
      <c r="D1913" s="31">
        <v>189899</v>
      </c>
      <c r="E1913" s="33" t="str">
        <f>IF(Table3[[#This Row],[Type Received]]=2,"CC",(IF(Table3[[#This Row],[Type Received]]=3,"BILL","ACH")))</f>
        <v>BILL</v>
      </c>
      <c r="F1913" s="32">
        <v>26.73</v>
      </c>
      <c r="G1913" s="14" t="str">
        <f>VLOOKUP(D1913,Table4[],3,FALSE)</f>
        <v>1</v>
      </c>
      <c r="H1913" s="15">
        <v>7622</v>
      </c>
      <c r="I1913" s="15"/>
      <c r="J1913" s="15"/>
      <c r="K1913" s="15"/>
      <c r="L1913" s="15"/>
      <c r="M1913" s="15"/>
    </row>
    <row r="1914" spans="1:13" x14ac:dyDescent="0.25">
      <c r="A1914" s="23">
        <f t="shared" si="93"/>
        <v>189974</v>
      </c>
      <c r="B1914" s="14" t="str">
        <f t="shared" si="92"/>
        <v>Direct Debit (UMB Bank) - Credits</v>
      </c>
      <c r="C1914" s="38">
        <v>46143</v>
      </c>
      <c r="D1914" s="34">
        <v>189974</v>
      </c>
      <c r="E1914" s="36" t="str">
        <f>IF(Table3[[#This Row],[Type Received]]=2,"CC",(IF(Table3[[#This Row],[Type Received]]=3,"BILL","ACH")))</f>
        <v>ACH</v>
      </c>
      <c r="F1914" s="35">
        <v>46.3</v>
      </c>
      <c r="G1914" s="14" t="str">
        <f>VLOOKUP(D1914,Table4[],3,FALSE)</f>
        <v>1</v>
      </c>
      <c r="H1914" s="15">
        <v>7524</v>
      </c>
      <c r="I1914" s="15"/>
      <c r="J1914" s="15"/>
      <c r="K1914" s="15"/>
      <c r="L1914" s="15"/>
      <c r="M1914" s="15" t="s">
        <v>29</v>
      </c>
    </row>
    <row r="1915" spans="1:13" x14ac:dyDescent="0.25">
      <c r="A1915" s="23"/>
      <c r="B1915" s="14" t="str">
        <f t="shared" si="92"/>
        <v>Billing - Credits (from TPA)</v>
      </c>
      <c r="C1915" s="37">
        <v>46157</v>
      </c>
      <c r="D1915" s="31">
        <v>190052</v>
      </c>
      <c r="E1915" s="33" t="str">
        <f>IF(Table3[[#This Row],[Type Received]]=2,"CC",(IF(Table3[[#This Row],[Type Received]]=3,"BILL","ACH")))</f>
        <v>BILL</v>
      </c>
      <c r="F1915" s="32">
        <v>43.88</v>
      </c>
      <c r="G1915" s="14" t="str">
        <f>VLOOKUP(D1915,Table4[],3,FALSE)</f>
        <v>2</v>
      </c>
      <c r="H1915" s="15"/>
      <c r="I1915" s="15"/>
      <c r="J1915" s="24" t="s">
        <v>87</v>
      </c>
      <c r="K1915" s="15">
        <v>696733588</v>
      </c>
      <c r="L1915" s="15" t="s">
        <v>29</v>
      </c>
      <c r="M1915" s="15" t="s">
        <v>29</v>
      </c>
    </row>
    <row r="1916" spans="1:13" x14ac:dyDescent="0.25">
      <c r="A1916" s="23"/>
      <c r="B1916" s="14" t="str">
        <f t="shared" si="92"/>
        <v>Direct Debit (UMB Bank) - Credits</v>
      </c>
      <c r="C1916" s="38">
        <v>46168</v>
      </c>
      <c r="D1916" s="34">
        <v>190140</v>
      </c>
      <c r="E1916" s="36" t="str">
        <f>IF(Table3[[#This Row],[Type Received]]=2,"CC",(IF(Table3[[#This Row],[Type Received]]=3,"BILL","ACH")))</f>
        <v>ACH</v>
      </c>
      <c r="F1916" s="35">
        <v>32.229999999999997</v>
      </c>
      <c r="G1916" s="14" t="str">
        <f>VLOOKUP(D1916,Table4[],3,FALSE)</f>
        <v>1</v>
      </c>
      <c r="H1916" s="15">
        <v>222</v>
      </c>
      <c r="I1916" s="15"/>
      <c r="J1916" s="24"/>
      <c r="K1916" s="15"/>
      <c r="L1916" s="15"/>
      <c r="M1916" s="15" t="s">
        <v>29</v>
      </c>
    </row>
    <row r="1917" spans="1:13" x14ac:dyDescent="0.25">
      <c r="A1917" s="23"/>
      <c r="B1917" s="14" t="str">
        <f t="shared" si="92"/>
        <v>Direct Debit (UMB Bank) - Credits</v>
      </c>
      <c r="C1917" s="37">
        <v>46147</v>
      </c>
      <c r="D1917" s="31">
        <v>190161</v>
      </c>
      <c r="E1917" s="33" t="str">
        <f>IF(Table3[[#This Row],[Type Received]]=2,"CC",(IF(Table3[[#This Row],[Type Received]]=3,"BILL","ACH")))</f>
        <v>ACH</v>
      </c>
      <c r="F1917" s="32">
        <v>13.85</v>
      </c>
      <c r="G1917" s="14" t="str">
        <f>VLOOKUP(D1917,Table4[],3,FALSE)</f>
        <v>1</v>
      </c>
      <c r="H1917" s="15"/>
      <c r="I1917" s="15"/>
      <c r="J1917" s="15" t="s">
        <v>86</v>
      </c>
      <c r="K1917" s="15">
        <v>569480534</v>
      </c>
      <c r="L1917" s="15" t="s">
        <v>29</v>
      </c>
      <c r="M1917" s="15" t="s">
        <v>29</v>
      </c>
    </row>
    <row r="1918" spans="1:13" x14ac:dyDescent="0.25">
      <c r="A1918" s="23"/>
      <c r="B1918" s="14" t="str">
        <f t="shared" si="92"/>
        <v>Direct Debit (UMB Bank) - Credits</v>
      </c>
      <c r="C1918" s="38">
        <v>46157</v>
      </c>
      <c r="D1918" s="34">
        <v>190168</v>
      </c>
      <c r="E1918" s="36" t="str">
        <f>IF(Table3[[#This Row],[Type Received]]=2,"CC",(IF(Table3[[#This Row],[Type Received]]=3,"BILL","ACH")))</f>
        <v>ACH</v>
      </c>
      <c r="F1918" s="35">
        <v>21.99</v>
      </c>
      <c r="G1918" s="14" t="str">
        <f>VLOOKUP(D1918,Table4[],3,FALSE)</f>
        <v>1</v>
      </c>
      <c r="H1918" s="15"/>
      <c r="I1918" s="15"/>
      <c r="J1918" s="15" t="s">
        <v>87</v>
      </c>
      <c r="K1918" s="15">
        <v>696734577</v>
      </c>
      <c r="L1918" s="15" t="s">
        <v>29</v>
      </c>
      <c r="M1918" s="15" t="s">
        <v>29</v>
      </c>
    </row>
    <row r="1919" spans="1:13" x14ac:dyDescent="0.25">
      <c r="A1919" s="23">
        <f t="shared" ref="A1919:A1950" si="94">D1919</f>
        <v>190171</v>
      </c>
      <c r="B1919" s="14" t="str">
        <f t="shared" si="92"/>
        <v>Direct Debit (UMB Bank) - Credits</v>
      </c>
      <c r="C1919" s="37">
        <v>46157</v>
      </c>
      <c r="D1919" s="31">
        <v>190171</v>
      </c>
      <c r="E1919" s="33" t="str">
        <f>IF(Table3[[#This Row],[Type Received]]=2,"CC",(IF(Table3[[#This Row],[Type Received]]=3,"BILL","ACH")))</f>
        <v>ACH</v>
      </c>
      <c r="F1919" s="32">
        <v>18.47</v>
      </c>
      <c r="G1919" s="14" t="str">
        <f>VLOOKUP(D1919,Table4[],3,FALSE)</f>
        <v>1</v>
      </c>
      <c r="H1919" s="15"/>
      <c r="I1919" s="15"/>
      <c r="J1919" s="15" t="s">
        <v>87</v>
      </c>
      <c r="K1919" s="15">
        <v>696734584</v>
      </c>
      <c r="L1919" s="15" t="s">
        <v>29</v>
      </c>
      <c r="M1919" s="15"/>
    </row>
    <row r="1920" spans="1:13" x14ac:dyDescent="0.25">
      <c r="A1920" s="23">
        <f t="shared" si="94"/>
        <v>190204</v>
      </c>
      <c r="B1920" s="14" t="str">
        <f t="shared" si="92"/>
        <v>Direct Debit (UMB Bank) - Credits</v>
      </c>
      <c r="C1920" s="38">
        <v>46143</v>
      </c>
      <c r="D1920" s="34">
        <v>190204</v>
      </c>
      <c r="E1920" s="36" t="str">
        <f>IF(Table3[[#This Row],[Type Received]]=2,"CC",(IF(Table3[[#This Row],[Type Received]]=3,"BILL","ACH")))</f>
        <v>ACH</v>
      </c>
      <c r="F1920" s="35">
        <v>80.510000000000005</v>
      </c>
      <c r="G1920" s="14" t="str">
        <f>VLOOKUP(D1920,Table4[],3,FALSE)</f>
        <v>2</v>
      </c>
      <c r="H1920" s="15"/>
      <c r="I1920" s="15"/>
      <c r="J1920" s="15" t="s">
        <v>84</v>
      </c>
      <c r="K1920" s="15">
        <v>522319801</v>
      </c>
      <c r="L1920" s="15" t="s">
        <v>29</v>
      </c>
      <c r="M1920" s="15"/>
    </row>
    <row r="1921" spans="1:13" x14ac:dyDescent="0.25">
      <c r="A1921" s="23">
        <f t="shared" si="94"/>
        <v>190212</v>
      </c>
      <c r="B1921" s="14" t="str">
        <f t="shared" si="92"/>
        <v>Direct Debit (UMB Bank) - Credits</v>
      </c>
      <c r="C1921" s="37">
        <v>46157</v>
      </c>
      <c r="D1921" s="31">
        <v>190212</v>
      </c>
      <c r="E1921" s="33" t="str">
        <f>IF(Table3[[#This Row],[Type Received]]=2,"CC",(IF(Table3[[#This Row],[Type Received]]=3,"BILL","ACH")))</f>
        <v>ACH</v>
      </c>
      <c r="F1921" s="32">
        <v>11.87</v>
      </c>
      <c r="G1921" s="14" t="str">
        <f>VLOOKUP(D1921,Table4[],3,FALSE)</f>
        <v>1</v>
      </c>
      <c r="H1921" s="15"/>
      <c r="I1921" s="15"/>
      <c r="J1921" s="15" t="s">
        <v>87</v>
      </c>
      <c r="K1921" s="15">
        <v>696737552</v>
      </c>
      <c r="L1921" s="15" t="s">
        <v>29</v>
      </c>
      <c r="M1921" s="15" t="s">
        <v>29</v>
      </c>
    </row>
    <row r="1922" spans="1:13" x14ac:dyDescent="0.25">
      <c r="A1922" s="23">
        <f t="shared" si="94"/>
        <v>190275</v>
      </c>
      <c r="B1922" s="14" t="str">
        <f t="shared" ref="B1922:B1985" si="95">IF(AND(E1922="BILL",F1922&lt;0),"Billing &amp; Direct Debit - Refunds",(IF(AND(E1922="BILL",F1922&gt;0),"Billing - Credits (from TPA)",(IF(AND(E1922="CC",F1922&lt;0),"Credit Cards (UMB) - Refunds",(IF(AND(E1922="CC",F1922&gt;0),"Credit Cards (UMB) - Credits",(IF(AND(E1922="ACH",F1922&gt;0),"Direct Debit (UMB Bank) - Credits","Direct Debit (UMB Bank) - Returned Items")))))))))</f>
        <v>Direct Debit (UMB Bank) - Credits</v>
      </c>
      <c r="C1922" s="38">
        <v>46171</v>
      </c>
      <c r="D1922" s="34">
        <v>190275</v>
      </c>
      <c r="E1922" s="36" t="str">
        <f>IF(Table3[[#This Row],[Type Received]]=2,"CC",(IF(Table3[[#This Row],[Type Received]]=3,"BILL","ACH")))</f>
        <v>ACH</v>
      </c>
      <c r="F1922" s="35">
        <v>26.94</v>
      </c>
      <c r="G1922" s="14" t="str">
        <f>VLOOKUP(D1922,Table4[],3,FALSE)</f>
        <v>1</v>
      </c>
      <c r="H1922" s="15"/>
      <c r="I1922" s="15"/>
      <c r="J1922" s="15" t="s">
        <v>226</v>
      </c>
      <c r="K1922" s="15">
        <v>872363117</v>
      </c>
      <c r="L1922" s="15" t="s">
        <v>29</v>
      </c>
      <c r="M1922" s="15" t="s">
        <v>29</v>
      </c>
    </row>
    <row r="1923" spans="1:13" x14ac:dyDescent="0.25">
      <c r="A1923" s="23">
        <f t="shared" si="94"/>
        <v>190366</v>
      </c>
      <c r="B1923" s="14" t="str">
        <f t="shared" si="95"/>
        <v>Direct Debit (UMB Bank) - Credits</v>
      </c>
      <c r="C1923" s="37">
        <v>46167</v>
      </c>
      <c r="D1923" s="31">
        <v>190366</v>
      </c>
      <c r="E1923" s="33" t="str">
        <f>IF(Table3[[#This Row],[Type Received]]=2,"CC",(IF(Table3[[#This Row],[Type Received]]=3,"BILL","ACH")))</f>
        <v>ACH</v>
      </c>
      <c r="F1923" s="32">
        <v>32</v>
      </c>
      <c r="G1923" s="14" t="str">
        <f>VLOOKUP(D1923,Table4[],3,FALSE)</f>
        <v>2</v>
      </c>
      <c r="H1923" s="15"/>
      <c r="I1923" s="15"/>
      <c r="J1923" s="15" t="s">
        <v>85</v>
      </c>
      <c r="K1923" s="15">
        <v>818355845</v>
      </c>
      <c r="L1923" s="15" t="s">
        <v>29</v>
      </c>
      <c r="M1923" s="15" t="s">
        <v>29</v>
      </c>
    </row>
    <row r="1924" spans="1:13" x14ac:dyDescent="0.25">
      <c r="A1924" s="23">
        <f t="shared" si="94"/>
        <v>190369</v>
      </c>
      <c r="B1924" s="14" t="str">
        <f t="shared" si="95"/>
        <v>Direct Debit (UMB Bank) - Credits</v>
      </c>
      <c r="C1924" s="38">
        <v>46167</v>
      </c>
      <c r="D1924" s="34">
        <v>190369</v>
      </c>
      <c r="E1924" s="36" t="str">
        <f>IF(Table3[[#This Row],[Type Received]]=2,"CC",(IF(Table3[[#This Row],[Type Received]]=3,"BILL","ACH")))</f>
        <v>ACH</v>
      </c>
      <c r="F1924" s="35">
        <v>108.23</v>
      </c>
      <c r="G1924" s="14" t="str">
        <f>VLOOKUP(D1924,Table4[],3,FALSE)</f>
        <v>1</v>
      </c>
      <c r="H1924" s="15"/>
      <c r="I1924" s="15"/>
      <c r="J1924" s="15" t="s">
        <v>85</v>
      </c>
      <c r="K1924" s="15">
        <v>818324754</v>
      </c>
      <c r="L1924" s="15" t="s">
        <v>29</v>
      </c>
      <c r="M1924" s="15" t="s">
        <v>29</v>
      </c>
    </row>
    <row r="1925" spans="1:13" x14ac:dyDescent="0.25">
      <c r="A1925" s="23">
        <f t="shared" si="94"/>
        <v>190485</v>
      </c>
      <c r="B1925" s="14" t="str">
        <f t="shared" si="95"/>
        <v>Direct Debit (UMB Bank) - Credits</v>
      </c>
      <c r="C1925" s="37">
        <v>46167</v>
      </c>
      <c r="D1925" s="31">
        <v>190485</v>
      </c>
      <c r="E1925" s="33" t="str">
        <f>IF(Table3[[#This Row],[Type Received]]=2,"CC",(IF(Table3[[#This Row],[Type Received]]=3,"BILL","ACH")))</f>
        <v>ACH</v>
      </c>
      <c r="F1925" s="32">
        <v>20.89</v>
      </c>
      <c r="G1925" s="14" t="str">
        <f>VLOOKUP(D1925,Table4[],3,FALSE)</f>
        <v>1</v>
      </c>
      <c r="H1925" s="15"/>
      <c r="I1925" s="15"/>
      <c r="J1925" s="15" t="s">
        <v>85</v>
      </c>
      <c r="K1925" s="15">
        <v>818378147</v>
      </c>
      <c r="L1925" s="15" t="s">
        <v>29</v>
      </c>
      <c r="M1925" s="15"/>
    </row>
    <row r="1926" spans="1:13" x14ac:dyDescent="0.25">
      <c r="A1926" s="23">
        <f t="shared" si="94"/>
        <v>190712</v>
      </c>
      <c r="B1926" s="14" t="str">
        <f t="shared" si="95"/>
        <v>Billing - Credits (from TPA)</v>
      </c>
      <c r="C1926" s="38">
        <v>46157</v>
      </c>
      <c r="D1926" s="34">
        <v>190712</v>
      </c>
      <c r="E1926" s="36" t="str">
        <f>IF(Table3[[#This Row],[Type Received]]=2,"CC",(IF(Table3[[#This Row],[Type Received]]=3,"BILL","ACH")))</f>
        <v>BILL</v>
      </c>
      <c r="F1926" s="35">
        <v>34.869999999999997</v>
      </c>
      <c r="G1926" s="14" t="str">
        <f>VLOOKUP(D1926,Table4[],3,FALSE)</f>
        <v>1</v>
      </c>
      <c r="H1926" s="15"/>
      <c r="I1926" s="15"/>
      <c r="J1926" s="15" t="s">
        <v>87</v>
      </c>
      <c r="K1926" s="15">
        <v>696741385</v>
      </c>
      <c r="L1926" s="15" t="s">
        <v>29</v>
      </c>
      <c r="M1926" s="15"/>
    </row>
    <row r="1927" spans="1:13" x14ac:dyDescent="0.25">
      <c r="A1927" s="23">
        <f t="shared" si="94"/>
        <v>190789</v>
      </c>
      <c r="B1927" s="14" t="str">
        <f t="shared" si="95"/>
        <v>Direct Debit (UMB Bank) - Credits</v>
      </c>
      <c r="C1927" s="37">
        <v>46160</v>
      </c>
      <c r="D1927" s="31">
        <v>190789</v>
      </c>
      <c r="E1927" s="33" t="str">
        <f>IF(Table3[[#This Row],[Type Received]]=2,"CC",(IF(Table3[[#This Row],[Type Received]]=3,"BILL","ACH")))</f>
        <v>ACH</v>
      </c>
      <c r="F1927" s="32">
        <v>75</v>
      </c>
      <c r="G1927" s="14" t="str">
        <f>VLOOKUP(D1927,Table4[],3,FALSE)</f>
        <v>2</v>
      </c>
      <c r="H1927" s="15">
        <v>234511012</v>
      </c>
      <c r="I1927" s="15"/>
      <c r="J1927" s="15"/>
      <c r="K1927" s="15"/>
      <c r="L1927" s="15"/>
      <c r="M1927" s="15"/>
    </row>
    <row r="1928" spans="1:13" x14ac:dyDescent="0.25">
      <c r="A1928" s="23">
        <f t="shared" si="94"/>
        <v>190829</v>
      </c>
      <c r="B1928" s="14" t="str">
        <f t="shared" si="95"/>
        <v>Direct Debit (UMB Bank) - Credits</v>
      </c>
      <c r="C1928" s="38">
        <v>46167</v>
      </c>
      <c r="D1928" s="34">
        <v>190829</v>
      </c>
      <c r="E1928" s="36" t="str">
        <f>IF(Table3[[#This Row],[Type Received]]=2,"CC",(IF(Table3[[#This Row],[Type Received]]=3,"BILL","ACH")))</f>
        <v>ACH</v>
      </c>
      <c r="F1928" s="35">
        <v>35.19</v>
      </c>
      <c r="G1928" s="14" t="str">
        <f>VLOOKUP(D1928,Table4[],3,FALSE)</f>
        <v>1</v>
      </c>
      <c r="H1928" s="15"/>
      <c r="I1928" s="15"/>
      <c r="J1928" s="15" t="s">
        <v>85</v>
      </c>
      <c r="K1928" s="15">
        <v>818354822</v>
      </c>
      <c r="L1928" s="15" t="s">
        <v>29</v>
      </c>
      <c r="M1928" s="15"/>
    </row>
    <row r="1929" spans="1:13" x14ac:dyDescent="0.25">
      <c r="A1929" s="23">
        <f t="shared" si="94"/>
        <v>190892</v>
      </c>
      <c r="B1929" s="14" t="str">
        <f t="shared" si="95"/>
        <v>Billing - Credits (from TPA)</v>
      </c>
      <c r="C1929" s="37">
        <v>46169</v>
      </c>
      <c r="D1929" s="31">
        <v>190892</v>
      </c>
      <c r="E1929" s="33" t="str">
        <f>IF(Table3[[#This Row],[Type Received]]=2,"CC",(IF(Table3[[#This Row],[Type Received]]=3,"BILL","ACH")))</f>
        <v>BILL</v>
      </c>
      <c r="F1929" s="32">
        <v>18.47</v>
      </c>
      <c r="G1929" s="14" t="str">
        <f>VLOOKUP(D1929,Table4[],3,FALSE)</f>
        <v>1</v>
      </c>
      <c r="H1929" s="15"/>
      <c r="I1929" s="15"/>
      <c r="J1929" s="15" t="s">
        <v>117</v>
      </c>
      <c r="K1929" s="15">
        <v>842229231</v>
      </c>
      <c r="L1929" s="15" t="s">
        <v>29</v>
      </c>
      <c r="M1929" s="15" t="s">
        <v>29</v>
      </c>
    </row>
    <row r="1930" spans="1:13" x14ac:dyDescent="0.25">
      <c r="A1930" s="23">
        <f t="shared" si="94"/>
        <v>190896</v>
      </c>
      <c r="B1930" s="14" t="str">
        <f t="shared" si="95"/>
        <v>Billing - Credits (from TPA)</v>
      </c>
      <c r="C1930" s="38">
        <v>46147</v>
      </c>
      <c r="D1930" s="34">
        <v>190896</v>
      </c>
      <c r="E1930" s="36" t="str">
        <f>IF(Table3[[#This Row],[Type Received]]=2,"CC",(IF(Table3[[#This Row],[Type Received]]=3,"BILL","ACH")))</f>
        <v>BILL</v>
      </c>
      <c r="F1930" s="35">
        <v>22.77</v>
      </c>
      <c r="G1930" s="14" t="str">
        <f>VLOOKUP(D1930,Table4[],3,FALSE)</f>
        <v>2</v>
      </c>
      <c r="H1930" s="15">
        <v>19826025998</v>
      </c>
      <c r="I1930" s="15"/>
      <c r="J1930" s="15"/>
      <c r="K1930" s="15"/>
      <c r="L1930" s="15"/>
      <c r="M1930" s="15"/>
    </row>
    <row r="1931" spans="1:13" x14ac:dyDescent="0.25">
      <c r="A1931" s="23">
        <f t="shared" si="94"/>
        <v>190905</v>
      </c>
      <c r="B1931" s="14" t="str">
        <f t="shared" si="95"/>
        <v>Billing - Credits (from TPA)</v>
      </c>
      <c r="C1931" s="37">
        <v>46171</v>
      </c>
      <c r="D1931" s="31">
        <v>190905</v>
      </c>
      <c r="E1931" s="33" t="str">
        <f>IF(Table3[[#This Row],[Type Received]]=2,"CC",(IF(Table3[[#This Row],[Type Received]]=3,"BILL","ACH")))</f>
        <v>BILL</v>
      </c>
      <c r="F1931" s="32">
        <v>78.2</v>
      </c>
      <c r="G1931" s="14" t="str">
        <f>VLOOKUP(D1931,Table4[],3,FALSE)</f>
        <v>2</v>
      </c>
      <c r="H1931" s="15">
        <v>2417</v>
      </c>
      <c r="I1931" s="15"/>
      <c r="J1931" s="15"/>
      <c r="K1931" s="15"/>
      <c r="L1931" s="15"/>
      <c r="M1931" s="15"/>
    </row>
    <row r="1932" spans="1:13" x14ac:dyDescent="0.25">
      <c r="A1932" s="23">
        <f t="shared" si="94"/>
        <v>191050</v>
      </c>
      <c r="B1932" s="14" t="str">
        <f t="shared" si="95"/>
        <v>Direct Debit (UMB Bank) - Credits</v>
      </c>
      <c r="C1932" s="38">
        <v>46171</v>
      </c>
      <c r="D1932" s="34">
        <v>191050</v>
      </c>
      <c r="E1932" s="36" t="str">
        <f>IF(Table3[[#This Row],[Type Received]]=2,"CC",(IF(Table3[[#This Row],[Type Received]]=3,"BILL","ACH")))</f>
        <v>ACH</v>
      </c>
      <c r="F1932" s="35">
        <v>39.270000000000003</v>
      </c>
      <c r="G1932" s="14" t="str">
        <f>VLOOKUP(D1932,Table4[],3,FALSE)</f>
        <v>2</v>
      </c>
      <c r="H1932" s="15">
        <v>2441</v>
      </c>
      <c r="I1932" s="15"/>
      <c r="J1932" s="15"/>
      <c r="K1932" s="15"/>
      <c r="L1932" s="15"/>
      <c r="M1932" s="15" t="s">
        <v>29</v>
      </c>
    </row>
    <row r="1933" spans="1:13" x14ac:dyDescent="0.25">
      <c r="A1933" s="23">
        <f t="shared" si="94"/>
        <v>191078</v>
      </c>
      <c r="B1933" s="14" t="str">
        <f t="shared" si="95"/>
        <v>Direct Debit (UMB Bank) - Credits</v>
      </c>
      <c r="C1933" s="37">
        <v>46143</v>
      </c>
      <c r="D1933" s="31">
        <v>191078</v>
      </c>
      <c r="E1933" s="33" t="str">
        <f>IF(Table3[[#This Row],[Type Received]]=2,"CC",(IF(Table3[[#This Row],[Type Received]]=3,"BILL","ACH")))</f>
        <v>ACH</v>
      </c>
      <c r="F1933" s="32">
        <v>62.69</v>
      </c>
      <c r="G1933" s="14" t="str">
        <f>VLOOKUP(D1933,Table4[],3,FALSE)</f>
        <v>2</v>
      </c>
      <c r="H1933" s="15"/>
      <c r="I1933" s="15"/>
      <c r="J1933" s="15" t="s">
        <v>84</v>
      </c>
      <c r="K1933" s="15">
        <v>522329501</v>
      </c>
      <c r="L1933" s="15" t="s">
        <v>29</v>
      </c>
      <c r="M1933" s="15"/>
    </row>
    <row r="1934" spans="1:13" x14ac:dyDescent="0.25">
      <c r="A1934" s="23">
        <f t="shared" si="94"/>
        <v>191209</v>
      </c>
      <c r="B1934" s="14" t="str">
        <f t="shared" si="95"/>
        <v>Billing - Credits (from TPA)</v>
      </c>
      <c r="C1934" s="38">
        <v>46169</v>
      </c>
      <c r="D1934" s="34">
        <v>191209</v>
      </c>
      <c r="E1934" s="36" t="str">
        <f>IF(Table3[[#This Row],[Type Received]]=2,"CC",(IF(Table3[[#This Row],[Type Received]]=3,"BILL","ACH")))</f>
        <v>BILL</v>
      </c>
      <c r="F1934" s="35">
        <v>85.46</v>
      </c>
      <c r="G1934" s="14" t="str">
        <f>VLOOKUP(D1934,Table4[],3,FALSE)</f>
        <v>2</v>
      </c>
      <c r="H1934" s="15"/>
      <c r="I1934" s="15"/>
      <c r="J1934" s="24" t="s">
        <v>117</v>
      </c>
      <c r="K1934" s="15">
        <v>842214933</v>
      </c>
      <c r="L1934" s="15" t="s">
        <v>29</v>
      </c>
      <c r="M1934" s="15" t="s">
        <v>29</v>
      </c>
    </row>
    <row r="1935" spans="1:13" x14ac:dyDescent="0.25">
      <c r="A1935" s="23">
        <f t="shared" si="94"/>
        <v>191396</v>
      </c>
      <c r="B1935" s="14" t="str">
        <f t="shared" si="95"/>
        <v>Direct Debit (UMB Bank) - Credits</v>
      </c>
      <c r="C1935" s="37">
        <v>46168</v>
      </c>
      <c r="D1935" s="31">
        <v>191396</v>
      </c>
      <c r="E1935" s="33" t="str">
        <f>IF(Table3[[#This Row],[Type Received]]=2,"CC",(IF(Table3[[#This Row],[Type Received]]=3,"BILL","ACH")))</f>
        <v>ACH</v>
      </c>
      <c r="F1935" s="32">
        <v>648.73</v>
      </c>
      <c r="G1935" s="14" t="str">
        <f>VLOOKUP(D1935,Table4[],3,FALSE)</f>
        <v>1</v>
      </c>
      <c r="H1935" s="15">
        <v>6211</v>
      </c>
      <c r="I1935" s="15"/>
      <c r="J1935" s="15"/>
      <c r="K1935" s="15"/>
      <c r="L1935" s="15"/>
      <c r="M1935" s="15" t="s">
        <v>29</v>
      </c>
    </row>
    <row r="1936" spans="1:13" x14ac:dyDescent="0.25">
      <c r="A1936" s="23">
        <f t="shared" si="94"/>
        <v>191462</v>
      </c>
      <c r="B1936" s="14" t="str">
        <f t="shared" si="95"/>
        <v>Direct Debit (UMB Bank) - Credits</v>
      </c>
      <c r="C1936" s="38">
        <v>46157</v>
      </c>
      <c r="D1936" s="34">
        <v>191462</v>
      </c>
      <c r="E1936" s="36" t="str">
        <f>IF(Table3[[#This Row],[Type Received]]=2,"CC",(IF(Table3[[#This Row],[Type Received]]=3,"BILL","ACH")))</f>
        <v>ACH</v>
      </c>
      <c r="F1936" s="35">
        <v>42.56</v>
      </c>
      <c r="G1936" s="14" t="str">
        <f>VLOOKUP(D1936,Table4[],3,FALSE)</f>
        <v>2</v>
      </c>
      <c r="H1936" s="15"/>
      <c r="I1936" s="15"/>
      <c r="J1936" s="15" t="s">
        <v>87</v>
      </c>
      <c r="K1936" s="15">
        <v>696742411</v>
      </c>
      <c r="L1936" s="15" t="s">
        <v>29</v>
      </c>
      <c r="M1936" s="15"/>
    </row>
    <row r="1937" spans="1:13" x14ac:dyDescent="0.25">
      <c r="A1937" s="23">
        <f t="shared" si="94"/>
        <v>191509</v>
      </c>
      <c r="B1937" s="14" t="str">
        <f t="shared" si="95"/>
        <v>Billing - Credits (from TPA)</v>
      </c>
      <c r="C1937" s="37">
        <v>46143</v>
      </c>
      <c r="D1937" s="31">
        <v>191509</v>
      </c>
      <c r="E1937" s="33" t="str">
        <f>IF(Table3[[#This Row],[Type Received]]=2,"CC",(IF(Table3[[#This Row],[Type Received]]=3,"BILL","ACH")))</f>
        <v>BILL</v>
      </c>
      <c r="F1937" s="32">
        <v>24.63</v>
      </c>
      <c r="G1937" s="14" t="str">
        <f>VLOOKUP(D1937,Table4[],3,FALSE)</f>
        <v>1</v>
      </c>
      <c r="H1937" s="15"/>
      <c r="I1937" s="15"/>
      <c r="J1937" s="15" t="s">
        <v>84</v>
      </c>
      <c r="K1937" s="15">
        <v>522329559</v>
      </c>
      <c r="L1937" s="15" t="s">
        <v>29</v>
      </c>
      <c r="M1937" s="15" t="s">
        <v>29</v>
      </c>
    </row>
    <row r="1938" spans="1:13" x14ac:dyDescent="0.25">
      <c r="A1938" s="23">
        <f t="shared" si="94"/>
        <v>191609</v>
      </c>
      <c r="B1938" s="14" t="str">
        <f t="shared" si="95"/>
        <v>Billing - Credits (from TPA)</v>
      </c>
      <c r="C1938" s="38">
        <v>46146</v>
      </c>
      <c r="D1938" s="34">
        <v>191609</v>
      </c>
      <c r="E1938" s="36" t="str">
        <f>IF(Table3[[#This Row],[Type Received]]=2,"CC",(IF(Table3[[#This Row],[Type Received]]=3,"BILL","ACH")))</f>
        <v>BILL</v>
      </c>
      <c r="F1938" s="35">
        <v>27.39</v>
      </c>
      <c r="G1938" s="14" t="str">
        <f>VLOOKUP(D1938,Table4[],3,FALSE)</f>
        <v>2</v>
      </c>
      <c r="H1938" s="15">
        <v>9811373462</v>
      </c>
      <c r="I1938" s="15"/>
      <c r="J1938" s="15"/>
      <c r="K1938" s="15"/>
      <c r="L1938" s="15"/>
      <c r="M1938" s="15" t="s">
        <v>29</v>
      </c>
    </row>
    <row r="1939" spans="1:13" x14ac:dyDescent="0.25">
      <c r="A1939" s="23">
        <f t="shared" si="94"/>
        <v>191619</v>
      </c>
      <c r="B1939" s="14" t="str">
        <f t="shared" si="95"/>
        <v>Direct Debit (UMB Bank) - Credits</v>
      </c>
      <c r="C1939" s="37">
        <v>46169</v>
      </c>
      <c r="D1939" s="31">
        <v>191619</v>
      </c>
      <c r="E1939" s="33" t="str">
        <f>IF(Table3[[#This Row],[Type Received]]=2,"CC",(IF(Table3[[#This Row],[Type Received]]=3,"BILL","ACH")))</f>
        <v>ACH</v>
      </c>
      <c r="F1939" s="32">
        <v>55.09</v>
      </c>
      <c r="G1939" s="14" t="str">
        <f>VLOOKUP(D1939,Table4[],3,FALSE)</f>
        <v>1</v>
      </c>
      <c r="H1939" s="15">
        <v>628</v>
      </c>
      <c r="I1939" s="15"/>
      <c r="J1939" s="15"/>
      <c r="K1939" s="15"/>
      <c r="L1939" s="15"/>
      <c r="M1939" s="15" t="s">
        <v>29</v>
      </c>
    </row>
    <row r="1940" spans="1:13" x14ac:dyDescent="0.25">
      <c r="A1940" s="23">
        <f t="shared" si="94"/>
        <v>191631</v>
      </c>
      <c r="B1940" s="14" t="str">
        <f t="shared" si="95"/>
        <v>Credit Cards (UMB) - Credits</v>
      </c>
      <c r="C1940" s="38">
        <v>46155</v>
      </c>
      <c r="D1940" s="34">
        <v>191631</v>
      </c>
      <c r="E1940" s="36" t="str">
        <f>IF(Table3[[#This Row],[Type Received]]=2,"CC",(IF(Table3[[#This Row],[Type Received]]=3,"BILL","ACH")))</f>
        <v>CC</v>
      </c>
      <c r="F1940" s="35">
        <v>21.33</v>
      </c>
      <c r="G1940" s="14" t="str">
        <f>VLOOKUP(D1940,Table4[],3,FALSE)</f>
        <v>1</v>
      </c>
      <c r="H1940" s="15"/>
      <c r="I1940" s="15"/>
      <c r="J1940" s="15" t="s">
        <v>90</v>
      </c>
      <c r="K1940" s="15">
        <v>669447426</v>
      </c>
      <c r="L1940" s="15" t="s">
        <v>29</v>
      </c>
      <c r="M1940" s="15" t="s">
        <v>29</v>
      </c>
    </row>
    <row r="1941" spans="1:13" x14ac:dyDescent="0.25">
      <c r="A1941" s="23">
        <f t="shared" si="94"/>
        <v>191658</v>
      </c>
      <c r="B1941" s="14" t="str">
        <f t="shared" si="95"/>
        <v>Direct Debit (UMB Bank) - Credits</v>
      </c>
      <c r="C1941" s="37">
        <v>46170</v>
      </c>
      <c r="D1941" s="31">
        <v>191658</v>
      </c>
      <c r="E1941" s="33" t="str">
        <f>IF(Table3[[#This Row],[Type Received]]=2,"CC",(IF(Table3[[#This Row],[Type Received]]=3,"BILL","ACH")))</f>
        <v>ACH</v>
      </c>
      <c r="F1941" s="32">
        <v>47.19</v>
      </c>
      <c r="G1941" s="14" t="str">
        <f>VLOOKUP(D1941,Table4[],3,FALSE)</f>
        <v>1</v>
      </c>
      <c r="H1941" s="15"/>
      <c r="I1941" s="15">
        <v>86663</v>
      </c>
      <c r="J1941" s="15" t="s">
        <v>28</v>
      </c>
      <c r="K1941" s="15">
        <v>853851209</v>
      </c>
      <c r="L1941" s="15" t="s">
        <v>29</v>
      </c>
      <c r="M1941" s="15" t="s">
        <v>29</v>
      </c>
    </row>
    <row r="1942" spans="1:13" x14ac:dyDescent="0.25">
      <c r="A1942" s="23">
        <f t="shared" si="94"/>
        <v>191708</v>
      </c>
      <c r="B1942" s="14" t="str">
        <f t="shared" si="95"/>
        <v>Credit Cards (UMB) - Credits</v>
      </c>
      <c r="C1942" s="38">
        <v>46143</v>
      </c>
      <c r="D1942" s="34">
        <v>191708</v>
      </c>
      <c r="E1942" s="36" t="str">
        <f>IF(Table3[[#This Row],[Type Received]]=2,"CC",(IF(Table3[[#This Row],[Type Received]]=3,"BILL","ACH")))</f>
        <v>CC</v>
      </c>
      <c r="F1942" s="35">
        <v>85.46</v>
      </c>
      <c r="G1942" s="14" t="str">
        <f>VLOOKUP(D1942,Table4[],3,FALSE)</f>
        <v>2</v>
      </c>
      <c r="H1942" s="15"/>
      <c r="I1942" s="15"/>
      <c r="J1942" s="15" t="s">
        <v>84</v>
      </c>
      <c r="K1942" s="15">
        <v>522328541</v>
      </c>
      <c r="L1942" s="15" t="s">
        <v>29</v>
      </c>
      <c r="M1942" s="15" t="s">
        <v>29</v>
      </c>
    </row>
    <row r="1943" spans="1:13" x14ac:dyDescent="0.25">
      <c r="A1943" s="23">
        <f t="shared" si="94"/>
        <v>191728</v>
      </c>
      <c r="B1943" s="14" t="str">
        <f t="shared" si="95"/>
        <v>Direct Debit (UMB Bank) - Credits</v>
      </c>
      <c r="C1943" s="37">
        <v>46143</v>
      </c>
      <c r="D1943" s="31">
        <v>191728</v>
      </c>
      <c r="E1943" s="33" t="str">
        <f>IF(Table3[[#This Row],[Type Received]]=2,"CC",(IF(Table3[[#This Row],[Type Received]]=3,"BILL","ACH")))</f>
        <v>ACH</v>
      </c>
      <c r="F1943" s="32">
        <v>35.96</v>
      </c>
      <c r="G1943" s="14" t="str">
        <f>VLOOKUP(D1943,Table4[],3,FALSE)</f>
        <v>2</v>
      </c>
      <c r="H1943" s="15"/>
      <c r="I1943" s="15" t="s">
        <v>237</v>
      </c>
      <c r="J1943" s="15" t="s">
        <v>28</v>
      </c>
      <c r="K1943" s="15">
        <v>522434336</v>
      </c>
      <c r="L1943" s="15" t="s">
        <v>29</v>
      </c>
      <c r="M1943" s="15" t="s">
        <v>29</v>
      </c>
    </row>
    <row r="1944" spans="1:13" x14ac:dyDescent="0.25">
      <c r="A1944" s="23">
        <f t="shared" si="94"/>
        <v>191731</v>
      </c>
      <c r="B1944" s="14" t="str">
        <f t="shared" si="95"/>
        <v>Direct Debit (UMB Bank) - Credits</v>
      </c>
      <c r="C1944" s="38">
        <v>46157</v>
      </c>
      <c r="D1944" s="34">
        <v>191731</v>
      </c>
      <c r="E1944" s="36" t="str">
        <f>IF(Table3[[#This Row],[Type Received]]=2,"CC",(IF(Table3[[#This Row],[Type Received]]=3,"BILL","ACH")))</f>
        <v>ACH</v>
      </c>
      <c r="F1944" s="35">
        <v>21.33</v>
      </c>
      <c r="G1944" s="14" t="str">
        <f>VLOOKUP(D1944,Table4[],3,FALSE)</f>
        <v>1</v>
      </c>
      <c r="H1944" s="15"/>
      <c r="I1944" s="15"/>
      <c r="J1944" s="15" t="s">
        <v>87</v>
      </c>
      <c r="K1944" s="15">
        <v>696732669</v>
      </c>
      <c r="L1944" s="15" t="s">
        <v>29</v>
      </c>
      <c r="M1944" s="15"/>
    </row>
    <row r="1945" spans="1:13" x14ac:dyDescent="0.25">
      <c r="A1945" s="23">
        <f t="shared" si="94"/>
        <v>191812</v>
      </c>
      <c r="B1945" s="14" t="str">
        <f t="shared" si="95"/>
        <v>Direct Debit (UMB Bank) - Credits</v>
      </c>
      <c r="C1945" s="37">
        <v>46143</v>
      </c>
      <c r="D1945" s="31">
        <v>191812</v>
      </c>
      <c r="E1945" s="33" t="str">
        <f>IF(Table3[[#This Row],[Type Received]]=2,"CC",(IF(Table3[[#This Row],[Type Received]]=3,"BILL","ACH")))</f>
        <v>ACH</v>
      </c>
      <c r="F1945" s="32">
        <v>25.07</v>
      </c>
      <c r="G1945" s="14" t="str">
        <f>VLOOKUP(D1945,Table4[],3,FALSE)</f>
        <v>2</v>
      </c>
      <c r="H1945" s="15"/>
      <c r="I1945" s="15"/>
      <c r="J1945" s="15" t="s">
        <v>84</v>
      </c>
      <c r="K1945" s="15">
        <v>522334434</v>
      </c>
      <c r="L1945" s="15" t="s">
        <v>29</v>
      </c>
      <c r="M1945" s="15" t="s">
        <v>29</v>
      </c>
    </row>
    <row r="1946" spans="1:13" x14ac:dyDescent="0.25">
      <c r="A1946" s="23">
        <f t="shared" si="94"/>
        <v>192203</v>
      </c>
      <c r="B1946" s="14" t="str">
        <f t="shared" si="95"/>
        <v>Credit Cards (UMB) - Credits</v>
      </c>
      <c r="C1946" s="38">
        <v>46143</v>
      </c>
      <c r="D1946" s="34">
        <v>192203</v>
      </c>
      <c r="E1946" s="36" t="str">
        <f>IF(Table3[[#This Row],[Type Received]]=2,"CC",(IF(Table3[[#This Row],[Type Received]]=3,"BILL","ACH")))</f>
        <v>CC</v>
      </c>
      <c r="F1946" s="35">
        <v>24.63</v>
      </c>
      <c r="G1946" s="14" t="str">
        <f>VLOOKUP(D1946,Table4[],3,FALSE)</f>
        <v>1</v>
      </c>
      <c r="H1946" s="15"/>
      <c r="I1946" s="15"/>
      <c r="J1946" s="15" t="s">
        <v>84</v>
      </c>
      <c r="K1946" s="15">
        <v>522326679</v>
      </c>
      <c r="L1946" s="15" t="s">
        <v>29</v>
      </c>
      <c r="M1946" s="15" t="s">
        <v>29</v>
      </c>
    </row>
    <row r="1947" spans="1:13" x14ac:dyDescent="0.25">
      <c r="A1947" s="23">
        <f t="shared" si="94"/>
        <v>192204</v>
      </c>
      <c r="B1947" s="14" t="str">
        <f t="shared" si="95"/>
        <v>Direct Debit (UMB Bank) - Credits</v>
      </c>
      <c r="C1947" s="37">
        <v>46155</v>
      </c>
      <c r="D1947" s="31">
        <v>192204</v>
      </c>
      <c r="E1947" s="33" t="str">
        <f>IF(Table3[[#This Row],[Type Received]]=2,"CC",(IF(Table3[[#This Row],[Type Received]]=3,"BILL","ACH")))</f>
        <v>ACH</v>
      </c>
      <c r="F1947" s="32">
        <v>11.21</v>
      </c>
      <c r="G1947" s="14" t="str">
        <f>VLOOKUP(D1947,Table4[],3,FALSE)</f>
        <v>2</v>
      </c>
      <c r="H1947" s="15"/>
      <c r="I1947" s="15" t="s">
        <v>238</v>
      </c>
      <c r="J1947" s="15" t="s">
        <v>28</v>
      </c>
      <c r="K1947" s="15">
        <v>669480832</v>
      </c>
      <c r="L1947" s="15" t="s">
        <v>29</v>
      </c>
      <c r="M1947" s="15" t="s">
        <v>29</v>
      </c>
    </row>
    <row r="1948" spans="1:13" x14ac:dyDescent="0.25">
      <c r="A1948" s="23">
        <f t="shared" si="94"/>
        <v>192232</v>
      </c>
      <c r="B1948" s="14" t="str">
        <f t="shared" si="95"/>
        <v>Direct Debit (UMB Bank) - Credits</v>
      </c>
      <c r="C1948" s="38">
        <v>46157</v>
      </c>
      <c r="D1948" s="34">
        <v>192232</v>
      </c>
      <c r="E1948" s="36" t="str">
        <f>IF(Table3[[#This Row],[Type Received]]=2,"CC",(IF(Table3[[#This Row],[Type Received]]=3,"BILL","ACH")))</f>
        <v>ACH</v>
      </c>
      <c r="F1948" s="35">
        <v>32.67</v>
      </c>
      <c r="G1948" s="14" t="str">
        <f>VLOOKUP(D1948,Table4[],3,FALSE)</f>
        <v>2</v>
      </c>
      <c r="H1948" s="15"/>
      <c r="I1948" s="15"/>
      <c r="J1948" s="15" t="s">
        <v>87</v>
      </c>
      <c r="K1948" s="15">
        <v>696723058</v>
      </c>
      <c r="L1948" s="15" t="s">
        <v>29</v>
      </c>
      <c r="M1948" s="15" t="s">
        <v>29</v>
      </c>
    </row>
    <row r="1949" spans="1:13" x14ac:dyDescent="0.25">
      <c r="A1949" s="23">
        <f t="shared" si="94"/>
        <v>192044</v>
      </c>
      <c r="B1949" s="14" t="str">
        <f t="shared" si="95"/>
        <v>Billing - Credits (from TPA)</v>
      </c>
      <c r="C1949" s="37">
        <v>46169</v>
      </c>
      <c r="D1949" s="31">
        <v>192044</v>
      </c>
      <c r="E1949" s="33" t="str">
        <f>IF(Table3[[#This Row],[Type Received]]=2,"CC",(IF(Table3[[#This Row],[Type Received]]=3,"BILL","ACH")))</f>
        <v>BILL</v>
      </c>
      <c r="F1949" s="32">
        <v>33.11</v>
      </c>
      <c r="G1949" s="14" t="str">
        <f>VLOOKUP(D1949,Table4[],3,FALSE)</f>
        <v>1</v>
      </c>
      <c r="H1949" s="15"/>
      <c r="I1949" s="15"/>
      <c r="J1949" s="24" t="s">
        <v>117</v>
      </c>
      <c r="K1949" s="15">
        <v>842221600</v>
      </c>
      <c r="L1949" s="15" t="s">
        <v>29</v>
      </c>
      <c r="M1949" s="15" t="s">
        <v>29</v>
      </c>
    </row>
    <row r="1950" spans="1:13" x14ac:dyDescent="0.25">
      <c r="A1950" s="23">
        <f t="shared" si="94"/>
        <v>192049</v>
      </c>
      <c r="B1950" s="14" t="str">
        <f t="shared" si="95"/>
        <v>Billing - Credits (from TPA)</v>
      </c>
      <c r="C1950" s="38">
        <v>46146</v>
      </c>
      <c r="D1950" s="34">
        <v>192049</v>
      </c>
      <c r="E1950" s="36" t="str">
        <f>IF(Table3[[#This Row],[Type Received]]=2,"CC",(IF(Table3[[#This Row],[Type Received]]=3,"BILL","ACH")))</f>
        <v>BILL</v>
      </c>
      <c r="F1950" s="35">
        <v>31.13</v>
      </c>
      <c r="G1950" s="14" t="str">
        <f>VLOOKUP(D1950,Table4[],3,FALSE)</f>
        <v>1</v>
      </c>
      <c r="H1950" s="15">
        <v>3352</v>
      </c>
      <c r="I1950" s="15"/>
      <c r="J1950" s="24"/>
      <c r="K1950" s="15"/>
      <c r="L1950" s="15"/>
      <c r="M1950" s="15" t="s">
        <v>29</v>
      </c>
    </row>
    <row r="1951" spans="1:13" x14ac:dyDescent="0.25">
      <c r="A1951" s="23">
        <f t="shared" ref="A1951:A1968" si="96">D1951</f>
        <v>192107</v>
      </c>
      <c r="B1951" s="14" t="str">
        <f t="shared" si="95"/>
        <v>Direct Debit (UMB Bank) - Credits</v>
      </c>
      <c r="C1951" s="37">
        <v>46155</v>
      </c>
      <c r="D1951" s="31">
        <v>192107</v>
      </c>
      <c r="E1951" s="33" t="str">
        <f>IF(Table3[[#This Row],[Type Received]]=2,"CC",(IF(Table3[[#This Row],[Type Received]]=3,"BILL","ACH")))</f>
        <v>ACH</v>
      </c>
      <c r="F1951" s="32">
        <v>28.71</v>
      </c>
      <c r="G1951" s="14" t="str">
        <f>VLOOKUP(D1951,Table4[],3,FALSE)</f>
        <v>2</v>
      </c>
      <c r="H1951" s="15">
        <v>925</v>
      </c>
      <c r="I1951" s="15"/>
      <c r="J1951" s="15"/>
      <c r="K1951" s="15"/>
      <c r="L1951" s="15"/>
      <c r="M1951" s="15" t="s">
        <v>29</v>
      </c>
    </row>
    <row r="1952" spans="1:13" x14ac:dyDescent="0.25">
      <c r="A1952" s="23">
        <f t="shared" si="96"/>
        <v>192147</v>
      </c>
      <c r="B1952" s="14" t="str">
        <f t="shared" si="95"/>
        <v>Direct Debit (UMB Bank) - Credits</v>
      </c>
      <c r="C1952" s="38">
        <v>46169</v>
      </c>
      <c r="D1952" s="34">
        <v>192147</v>
      </c>
      <c r="E1952" s="36" t="str">
        <f>IF(Table3[[#This Row],[Type Received]]=2,"CC",(IF(Table3[[#This Row],[Type Received]]=3,"BILL","ACH")))</f>
        <v>ACH</v>
      </c>
      <c r="F1952" s="35">
        <v>32.11</v>
      </c>
      <c r="G1952" s="14" t="str">
        <f>VLOOKUP(D1952,Table4[],3,FALSE)</f>
        <v>1</v>
      </c>
      <c r="H1952" s="15"/>
      <c r="I1952" s="15"/>
      <c r="J1952" s="15" t="s">
        <v>117</v>
      </c>
      <c r="K1952" s="15">
        <v>842210072</v>
      </c>
      <c r="L1952" s="15" t="s">
        <v>29</v>
      </c>
      <c r="M1952" s="15" t="s">
        <v>29</v>
      </c>
    </row>
    <row r="1953" spans="1:13" x14ac:dyDescent="0.25">
      <c r="A1953" s="23">
        <f t="shared" si="96"/>
        <v>192483</v>
      </c>
      <c r="B1953" s="14" t="str">
        <f t="shared" si="95"/>
        <v>Direct Debit (UMB Bank) - Credits</v>
      </c>
      <c r="C1953" s="37">
        <v>46145</v>
      </c>
      <c r="D1953" s="31">
        <v>192483</v>
      </c>
      <c r="E1953" s="33" t="str">
        <f>IF(Table3[[#This Row],[Type Received]]=2,"CC",(IF(Table3[[#This Row],[Type Received]]=3,"BILL","ACH")))</f>
        <v>ACH</v>
      </c>
      <c r="F1953" s="32">
        <v>29.03</v>
      </c>
      <c r="G1953" s="14" t="str">
        <f>VLOOKUP(D1953,Table4[],3,FALSE)</f>
        <v>1</v>
      </c>
      <c r="H1953" s="15"/>
      <c r="I1953" s="15"/>
      <c r="J1953" s="15" t="s">
        <v>113</v>
      </c>
      <c r="K1953" s="15">
        <v>546441772</v>
      </c>
      <c r="L1953" s="15" t="s">
        <v>29</v>
      </c>
      <c r="M1953" s="15" t="s">
        <v>29</v>
      </c>
    </row>
    <row r="1954" spans="1:13" x14ac:dyDescent="0.25">
      <c r="A1954" s="23">
        <f t="shared" si="96"/>
        <v>192566</v>
      </c>
      <c r="B1954" s="14" t="str">
        <f t="shared" si="95"/>
        <v>Direct Debit (UMB Bank) - Credits</v>
      </c>
      <c r="C1954" s="38">
        <v>46157</v>
      </c>
      <c r="D1954" s="34">
        <v>192566</v>
      </c>
      <c r="E1954" s="36" t="str">
        <f>IF(Table3[[#This Row],[Type Received]]=2,"CC",(IF(Table3[[#This Row],[Type Received]]=3,"BILL","ACH")))</f>
        <v>ACH</v>
      </c>
      <c r="F1954" s="35">
        <v>37.94</v>
      </c>
      <c r="G1954" s="14" t="str">
        <f>VLOOKUP(D1954,Table4[],3,FALSE)</f>
        <v>2</v>
      </c>
      <c r="H1954" s="15"/>
      <c r="I1954" s="15"/>
      <c r="J1954" s="15" t="s">
        <v>87</v>
      </c>
      <c r="K1954" s="15">
        <v>696730735</v>
      </c>
      <c r="L1954" s="15" t="s">
        <v>29</v>
      </c>
      <c r="M1954" s="15" t="s">
        <v>29</v>
      </c>
    </row>
    <row r="1955" spans="1:13" x14ac:dyDescent="0.25">
      <c r="A1955" s="23">
        <f t="shared" si="96"/>
        <v>192659</v>
      </c>
      <c r="B1955" s="14" t="str">
        <f t="shared" si="95"/>
        <v>Credit Cards (UMB) - Credits</v>
      </c>
      <c r="C1955" s="37">
        <v>46168</v>
      </c>
      <c r="D1955" s="31">
        <v>192659</v>
      </c>
      <c r="E1955" s="33" t="str">
        <f>IF(Table3[[#This Row],[Type Received]]=2,"CC",(IF(Table3[[#This Row],[Type Received]]=3,"BILL","ACH")))</f>
        <v>CC</v>
      </c>
      <c r="F1955" s="32">
        <v>43.66</v>
      </c>
      <c r="G1955" s="14" t="str">
        <f>VLOOKUP(D1955,Table4[],3,FALSE)</f>
        <v>1</v>
      </c>
      <c r="H1955" s="15"/>
      <c r="I1955" s="15"/>
      <c r="J1955" s="15" t="s">
        <v>110</v>
      </c>
      <c r="K1955" s="15">
        <v>830682562</v>
      </c>
      <c r="L1955" s="15" t="s">
        <v>29</v>
      </c>
      <c r="M1955" s="15"/>
    </row>
    <row r="1956" spans="1:13" x14ac:dyDescent="0.25">
      <c r="A1956" s="23">
        <f t="shared" si="96"/>
        <v>192732</v>
      </c>
      <c r="B1956" s="14" t="str">
        <f t="shared" si="95"/>
        <v>Credit Cards (UMB) - Credits</v>
      </c>
      <c r="C1956" s="38">
        <v>46143</v>
      </c>
      <c r="D1956" s="34">
        <v>192732</v>
      </c>
      <c r="E1956" s="36" t="str">
        <f>IF(Table3[[#This Row],[Type Received]]=2,"CC",(IF(Table3[[#This Row],[Type Received]]=3,"BILL","ACH")))</f>
        <v>CC</v>
      </c>
      <c r="F1956" s="35">
        <v>14.18</v>
      </c>
      <c r="G1956" s="14" t="str">
        <f>VLOOKUP(D1956,Table4[],3,FALSE)</f>
        <v>2</v>
      </c>
      <c r="H1956" s="15"/>
      <c r="I1956" s="15">
        <v>60360</v>
      </c>
      <c r="J1956" s="15" t="s">
        <v>28</v>
      </c>
      <c r="K1956" s="15">
        <v>522439243</v>
      </c>
      <c r="L1956" s="15" t="s">
        <v>29</v>
      </c>
      <c r="M1956" s="15" t="s">
        <v>29</v>
      </c>
    </row>
    <row r="1957" spans="1:13" x14ac:dyDescent="0.25">
      <c r="A1957" s="23">
        <f t="shared" si="96"/>
        <v>192794</v>
      </c>
      <c r="B1957" s="14" t="str">
        <f t="shared" si="95"/>
        <v>Billing - Credits (from TPA)</v>
      </c>
      <c r="C1957" s="37">
        <v>46146</v>
      </c>
      <c r="D1957" s="31">
        <v>192794</v>
      </c>
      <c r="E1957" s="33" t="str">
        <f>IF(Table3[[#This Row],[Type Received]]=2,"CC",(IF(Table3[[#This Row],[Type Received]]=3,"BILL","ACH")))</f>
        <v>BILL</v>
      </c>
      <c r="F1957" s="32">
        <v>81.290000000000006</v>
      </c>
      <c r="G1957" s="14" t="str">
        <f>VLOOKUP(D1957,Table4[],3,FALSE)</f>
        <v>1</v>
      </c>
      <c r="H1957" s="15"/>
      <c r="I1957" s="15">
        <v>46495</v>
      </c>
      <c r="J1957" s="15" t="s">
        <v>28</v>
      </c>
      <c r="K1957" s="15">
        <v>559254713</v>
      </c>
      <c r="L1957" s="15" t="s">
        <v>29</v>
      </c>
      <c r="M1957" s="15" t="s">
        <v>29</v>
      </c>
    </row>
    <row r="1958" spans="1:13" x14ac:dyDescent="0.25">
      <c r="A1958" s="23">
        <f t="shared" si="96"/>
        <v>193361</v>
      </c>
      <c r="B1958" s="14" t="str">
        <f t="shared" si="95"/>
        <v>Direct Debit (UMB Bank) - Credits</v>
      </c>
      <c r="C1958" s="38">
        <v>46156</v>
      </c>
      <c r="D1958" s="34">
        <v>193361</v>
      </c>
      <c r="E1958" s="36" t="str">
        <f>IF(Table3[[#This Row],[Type Received]]=2,"CC",(IF(Table3[[#This Row],[Type Received]]=3,"BILL","ACH")))</f>
        <v>ACH</v>
      </c>
      <c r="F1958" s="35">
        <v>21.45</v>
      </c>
      <c r="G1958" s="14" t="str">
        <f>VLOOKUP(D1958,Table4[],3,FALSE)</f>
        <v>1</v>
      </c>
      <c r="H1958" s="15">
        <v>58394261</v>
      </c>
      <c r="I1958" s="15"/>
      <c r="J1958" s="15"/>
      <c r="K1958" s="15"/>
      <c r="L1958" s="15"/>
      <c r="M1958" s="15" t="s">
        <v>29</v>
      </c>
    </row>
    <row r="1959" spans="1:13" x14ac:dyDescent="0.25">
      <c r="A1959" s="23">
        <f t="shared" si="96"/>
        <v>193014</v>
      </c>
      <c r="B1959" s="14" t="str">
        <f t="shared" si="95"/>
        <v>Direct Debit (UMB Bank) - Credits</v>
      </c>
      <c r="C1959" s="37">
        <v>46145</v>
      </c>
      <c r="D1959" s="31">
        <v>193014</v>
      </c>
      <c r="E1959" s="33" t="str">
        <f>IF(Table3[[#This Row],[Type Received]]=2,"CC",(IF(Table3[[#This Row],[Type Received]]=3,"BILL","ACH")))</f>
        <v>ACH</v>
      </c>
      <c r="F1959" s="32">
        <v>17.37</v>
      </c>
      <c r="G1959" s="14" t="str">
        <f>VLOOKUP(D1959,Table4[],3,FALSE)</f>
        <v>1</v>
      </c>
      <c r="H1959" s="15"/>
      <c r="I1959" s="15"/>
      <c r="J1959" s="15" t="s">
        <v>113</v>
      </c>
      <c r="K1959" s="15">
        <v>546427543</v>
      </c>
      <c r="L1959" s="15" t="s">
        <v>29</v>
      </c>
      <c r="M1959" s="15" t="s">
        <v>29</v>
      </c>
    </row>
    <row r="1960" spans="1:13" x14ac:dyDescent="0.25">
      <c r="A1960" s="23">
        <f t="shared" si="96"/>
        <v>193068</v>
      </c>
      <c r="B1960" s="14" t="str">
        <f t="shared" si="95"/>
        <v>Direct Debit (UMB Bank) - Credits</v>
      </c>
      <c r="C1960" s="38">
        <v>46155</v>
      </c>
      <c r="D1960" s="34">
        <v>193068</v>
      </c>
      <c r="E1960" s="36" t="str">
        <f>IF(Table3[[#This Row],[Type Received]]=2,"CC",(IF(Table3[[#This Row],[Type Received]]=3,"BILL","ACH")))</f>
        <v>ACH</v>
      </c>
      <c r="F1960" s="35">
        <v>25.43</v>
      </c>
      <c r="G1960" s="14" t="str">
        <f>VLOOKUP(D1960,Table4[],3,FALSE)</f>
        <v>1</v>
      </c>
      <c r="H1960" s="15"/>
      <c r="I1960" s="15"/>
      <c r="J1960" s="15" t="s">
        <v>90</v>
      </c>
      <c r="K1960" s="15">
        <v>669470528</v>
      </c>
      <c r="L1960" s="15" t="s">
        <v>29</v>
      </c>
      <c r="M1960" s="15" t="s">
        <v>29</v>
      </c>
    </row>
    <row r="1961" spans="1:13" x14ac:dyDescent="0.25">
      <c r="A1961" s="23">
        <f t="shared" si="96"/>
        <v>193080</v>
      </c>
      <c r="B1961" s="14" t="str">
        <f t="shared" si="95"/>
        <v>Direct Debit (UMB Bank) - Credits</v>
      </c>
      <c r="C1961" s="37">
        <v>46169</v>
      </c>
      <c r="D1961" s="31">
        <v>193080</v>
      </c>
      <c r="E1961" s="33" t="str">
        <f>IF(Table3[[#This Row],[Type Received]]=2,"CC",(IF(Table3[[#This Row],[Type Received]]=3,"BILL","ACH")))</f>
        <v>ACH</v>
      </c>
      <c r="F1961" s="32">
        <v>19.79</v>
      </c>
      <c r="G1961" s="14" t="str">
        <f>VLOOKUP(D1961,Table4[],3,FALSE)</f>
        <v>1</v>
      </c>
      <c r="H1961" s="15"/>
      <c r="I1961" s="15"/>
      <c r="J1961" s="15" t="s">
        <v>117</v>
      </c>
      <c r="K1961" s="15">
        <v>842232357</v>
      </c>
      <c r="L1961" s="15" t="s">
        <v>29</v>
      </c>
      <c r="M1961" s="15" t="s">
        <v>29</v>
      </c>
    </row>
    <row r="1962" spans="1:13" x14ac:dyDescent="0.25">
      <c r="A1962" s="23">
        <f t="shared" si="96"/>
        <v>193122</v>
      </c>
      <c r="B1962" s="14" t="str">
        <f t="shared" si="95"/>
        <v>Credit Cards (UMB) - Credits</v>
      </c>
      <c r="C1962" s="38">
        <v>46145</v>
      </c>
      <c r="D1962" s="34">
        <v>193122</v>
      </c>
      <c r="E1962" s="36" t="str">
        <f>IF(Table3[[#This Row],[Type Received]]=2,"CC",(IF(Table3[[#This Row],[Type Received]]=3,"BILL","ACH")))</f>
        <v>CC</v>
      </c>
      <c r="F1962" s="35">
        <v>20.23</v>
      </c>
      <c r="G1962" s="14" t="str">
        <f>VLOOKUP(D1962,Table4[],3,FALSE)</f>
        <v>1</v>
      </c>
      <c r="H1962" s="15"/>
      <c r="I1962" s="15"/>
      <c r="J1962" s="24" t="s">
        <v>113</v>
      </c>
      <c r="K1962" s="15">
        <v>546435330</v>
      </c>
      <c r="L1962" s="15" t="s">
        <v>29</v>
      </c>
      <c r="M1962" s="15" t="s">
        <v>29</v>
      </c>
    </row>
    <row r="1963" spans="1:13" x14ac:dyDescent="0.25">
      <c r="A1963" s="23">
        <f t="shared" si="96"/>
        <v>193150</v>
      </c>
      <c r="B1963" s="14" t="str">
        <f t="shared" si="95"/>
        <v>Credit Cards (UMB) - Credits</v>
      </c>
      <c r="C1963" s="37">
        <v>46144</v>
      </c>
      <c r="D1963" s="31">
        <v>193150</v>
      </c>
      <c r="E1963" s="33" t="str">
        <f>IF(Table3[[#This Row],[Type Received]]=2,"CC",(IF(Table3[[#This Row],[Type Received]]=3,"BILL","ACH")))</f>
        <v>CC</v>
      </c>
      <c r="F1963" s="32">
        <v>123.09</v>
      </c>
      <c r="G1963" s="14" t="str">
        <f>VLOOKUP(D1963,Table4[],3,FALSE)</f>
        <v>2</v>
      </c>
      <c r="H1963" s="15"/>
      <c r="I1963" s="15">
        <v>650988</v>
      </c>
      <c r="J1963" s="15">
        <v>741651752</v>
      </c>
      <c r="K1963" s="15">
        <v>353293709</v>
      </c>
      <c r="L1963" s="15"/>
      <c r="M1963" s="15"/>
    </row>
    <row r="1964" spans="1:13" x14ac:dyDescent="0.25">
      <c r="A1964" s="23">
        <f t="shared" si="96"/>
        <v>193152</v>
      </c>
      <c r="B1964" s="14" t="str">
        <f t="shared" si="95"/>
        <v>Billing - Credits (from TPA)</v>
      </c>
      <c r="C1964" s="38">
        <v>46145</v>
      </c>
      <c r="D1964" s="34">
        <v>193152</v>
      </c>
      <c r="E1964" s="36" t="str">
        <f>IF(Table3[[#This Row],[Type Received]]=2,"CC",(IF(Table3[[#This Row],[Type Received]]=3,"BILL","ACH")))</f>
        <v>BILL</v>
      </c>
      <c r="F1964" s="35">
        <v>70.39</v>
      </c>
      <c r="G1964" s="14" t="str">
        <f>VLOOKUP(D1964,Table4[],3,FALSE)</f>
        <v>1</v>
      </c>
      <c r="H1964" s="15"/>
      <c r="I1964" s="15">
        <v>787827</v>
      </c>
      <c r="J1964" s="15" t="s">
        <v>28</v>
      </c>
      <c r="K1964" s="15">
        <v>546419036</v>
      </c>
      <c r="L1964" s="15" t="s">
        <v>29</v>
      </c>
      <c r="M1964" s="15" t="s">
        <v>29</v>
      </c>
    </row>
    <row r="1965" spans="1:13" x14ac:dyDescent="0.25">
      <c r="A1965" s="23">
        <f t="shared" si="96"/>
        <v>193180</v>
      </c>
      <c r="B1965" s="14" t="str">
        <f t="shared" si="95"/>
        <v>Billing - Credits (from TPA)</v>
      </c>
      <c r="C1965" s="37">
        <v>46169</v>
      </c>
      <c r="D1965" s="31">
        <v>193180</v>
      </c>
      <c r="E1965" s="33" t="str">
        <f>IF(Table3[[#This Row],[Type Received]]=2,"CC",(IF(Table3[[#This Row],[Type Received]]=3,"BILL","ACH")))</f>
        <v>BILL</v>
      </c>
      <c r="F1965" s="32">
        <v>36.630000000000003</v>
      </c>
      <c r="G1965" s="14" t="str">
        <f>VLOOKUP(D1965,Table4[],3,FALSE)</f>
        <v>2</v>
      </c>
      <c r="H1965" s="15">
        <v>173</v>
      </c>
      <c r="I1965" s="15"/>
      <c r="J1965" s="15"/>
      <c r="K1965" s="15"/>
      <c r="L1965" s="15"/>
      <c r="M1965" s="15" t="s">
        <v>29</v>
      </c>
    </row>
    <row r="1966" spans="1:13" x14ac:dyDescent="0.25">
      <c r="A1966" s="23">
        <f t="shared" si="96"/>
        <v>193180</v>
      </c>
      <c r="B1966" s="14" t="str">
        <f t="shared" si="95"/>
        <v>Credit Cards (UMB) - Credits</v>
      </c>
      <c r="C1966" s="38">
        <v>46148</v>
      </c>
      <c r="D1966" s="34">
        <v>193180</v>
      </c>
      <c r="E1966" s="36" t="str">
        <f>IF(Table3[[#This Row],[Type Received]]=2,"CC",(IF(Table3[[#This Row],[Type Received]]=3,"BILL","ACH")))</f>
        <v>CC</v>
      </c>
      <c r="F1966" s="35">
        <v>36.630000000000003</v>
      </c>
      <c r="G1966" s="14" t="str">
        <f>VLOOKUP(D1966,Table4[],3,FALSE)</f>
        <v>2</v>
      </c>
      <c r="H1966" s="15">
        <v>161</v>
      </c>
      <c r="I1966" s="15"/>
      <c r="J1966" s="15"/>
      <c r="K1966" s="15"/>
      <c r="L1966" s="15"/>
      <c r="M1966" s="15" t="s">
        <v>29</v>
      </c>
    </row>
    <row r="1967" spans="1:13" x14ac:dyDescent="0.25">
      <c r="A1967" s="23">
        <f t="shared" si="96"/>
        <v>193423</v>
      </c>
      <c r="B1967" s="14" t="str">
        <f t="shared" si="95"/>
        <v>Credit Cards (UMB) - Credits</v>
      </c>
      <c r="C1967" s="37">
        <v>46157</v>
      </c>
      <c r="D1967" s="31">
        <v>193423</v>
      </c>
      <c r="E1967" s="33" t="str">
        <f>IF(Table3[[#This Row],[Type Received]]=2,"CC",(IF(Table3[[#This Row],[Type Received]]=3,"BILL","ACH")))</f>
        <v>CC</v>
      </c>
      <c r="F1967" s="32">
        <v>48.51</v>
      </c>
      <c r="G1967" s="14" t="str">
        <f>VLOOKUP(D1967,Table4[],3,FALSE)</f>
        <v>1</v>
      </c>
      <c r="H1967" s="15"/>
      <c r="I1967" s="15">
        <v>438493</v>
      </c>
      <c r="J1967" s="15" t="s">
        <v>28</v>
      </c>
      <c r="K1967" s="15">
        <v>696568239</v>
      </c>
      <c r="L1967" s="15" t="s">
        <v>29</v>
      </c>
      <c r="M1967" s="15"/>
    </row>
    <row r="1968" spans="1:13" x14ac:dyDescent="0.25">
      <c r="A1968" s="23">
        <f t="shared" si="96"/>
        <v>193424</v>
      </c>
      <c r="B1968" s="14" t="str">
        <f t="shared" si="95"/>
        <v>Direct Debit (UMB Bank) - Credits</v>
      </c>
      <c r="C1968" s="38">
        <v>46143</v>
      </c>
      <c r="D1968" s="34">
        <v>193424</v>
      </c>
      <c r="E1968" s="36" t="str">
        <f>IF(Table3[[#This Row],[Type Received]]=2,"CC",(IF(Table3[[#This Row],[Type Received]]=3,"BILL","ACH")))</f>
        <v>ACH</v>
      </c>
      <c r="F1968" s="35">
        <v>60.37</v>
      </c>
      <c r="G1968" s="14" t="str">
        <f>VLOOKUP(D1968,Table4[],3,FALSE)</f>
        <v>2</v>
      </c>
      <c r="H1968" s="15"/>
      <c r="I1968" s="15">
        <v>19518</v>
      </c>
      <c r="J1968" s="15" t="s">
        <v>28</v>
      </c>
      <c r="K1968" s="15">
        <v>523249321</v>
      </c>
      <c r="L1968" s="15" t="s">
        <v>29</v>
      </c>
      <c r="M1968" s="15" t="s">
        <v>29</v>
      </c>
    </row>
    <row r="1969" spans="1:13" x14ac:dyDescent="0.25">
      <c r="A1969" s="23"/>
      <c r="B1969" s="14" t="str">
        <f t="shared" si="95"/>
        <v>Credit Cards (UMB) - Credits</v>
      </c>
      <c r="C1969" s="37">
        <v>46156</v>
      </c>
      <c r="D1969" s="31">
        <v>193506</v>
      </c>
      <c r="E1969" s="33" t="str">
        <f>IF(Table3[[#This Row],[Type Received]]=2,"CC",(IF(Table3[[#This Row],[Type Received]]=3,"BILL","ACH")))</f>
        <v>CC</v>
      </c>
      <c r="F1969" s="32">
        <v>113.29</v>
      </c>
      <c r="G1969" s="14" t="str">
        <f>VLOOKUP(D1969,Table4[],3,FALSE)</f>
        <v>1</v>
      </c>
      <c r="H1969" s="15"/>
      <c r="I1969" s="15"/>
      <c r="J1969" s="15" t="s">
        <v>93</v>
      </c>
      <c r="K1969" s="15">
        <v>682539104</v>
      </c>
      <c r="L1969" s="15" t="s">
        <v>29</v>
      </c>
      <c r="M1969" s="15" t="s">
        <v>29</v>
      </c>
    </row>
    <row r="1970" spans="1:13" x14ac:dyDescent="0.25">
      <c r="A1970" s="23">
        <f t="shared" ref="A1970:A2001" si="97">D1970</f>
        <v>193527</v>
      </c>
      <c r="B1970" s="14" t="str">
        <f t="shared" si="95"/>
        <v>Credit Cards (UMB) - Credits</v>
      </c>
      <c r="C1970" s="38">
        <v>46154</v>
      </c>
      <c r="D1970" s="34">
        <v>193527</v>
      </c>
      <c r="E1970" s="36" t="str">
        <f>IF(Table3[[#This Row],[Type Received]]=2,"CC",(IF(Table3[[#This Row],[Type Received]]=3,"BILL","ACH")))</f>
        <v>CC</v>
      </c>
      <c r="F1970" s="35">
        <v>26.29</v>
      </c>
      <c r="G1970" s="14" t="str">
        <f>VLOOKUP(D1970,Table4[],3,FALSE)</f>
        <v>1</v>
      </c>
      <c r="H1970" s="15"/>
      <c r="I1970" s="15">
        <v>8745</v>
      </c>
      <c r="J1970" s="15">
        <v>744853534</v>
      </c>
      <c r="K1970" s="15">
        <v>354384948</v>
      </c>
      <c r="L1970" s="15"/>
      <c r="M1970" s="15" t="s">
        <v>29</v>
      </c>
    </row>
    <row r="1971" spans="1:13" x14ac:dyDescent="0.25">
      <c r="A1971" s="23">
        <f t="shared" si="97"/>
        <v>193586</v>
      </c>
      <c r="B1971" s="14" t="str">
        <f t="shared" si="95"/>
        <v>Direct Debit (UMB Bank) - Credits</v>
      </c>
      <c r="C1971" s="37">
        <v>46143</v>
      </c>
      <c r="D1971" s="31">
        <v>193586</v>
      </c>
      <c r="E1971" s="33" t="str">
        <f>IF(Table3[[#This Row],[Type Received]]=2,"CC",(IF(Table3[[#This Row],[Type Received]]=3,"BILL","ACH")))</f>
        <v>ACH</v>
      </c>
      <c r="F1971" s="32">
        <v>110.86</v>
      </c>
      <c r="G1971" s="14" t="str">
        <f>VLOOKUP(D1971,Table4[],3,FALSE)</f>
        <v>2</v>
      </c>
      <c r="H1971" s="15"/>
      <c r="I1971" s="15">
        <v>32711</v>
      </c>
      <c r="J1971" s="15" t="s">
        <v>28</v>
      </c>
      <c r="K1971" s="15">
        <v>528325053</v>
      </c>
      <c r="L1971" s="15" t="s">
        <v>29</v>
      </c>
      <c r="M1971" s="15" t="s">
        <v>29</v>
      </c>
    </row>
    <row r="1972" spans="1:13" x14ac:dyDescent="0.25">
      <c r="A1972" s="23">
        <f t="shared" si="97"/>
        <v>193608</v>
      </c>
      <c r="B1972" s="14" t="str">
        <f t="shared" si="95"/>
        <v>Direct Debit (UMB Bank) - Credits</v>
      </c>
      <c r="C1972" s="38">
        <v>46169</v>
      </c>
      <c r="D1972" s="34">
        <v>193608</v>
      </c>
      <c r="E1972" s="36" t="str">
        <f>IF(Table3[[#This Row],[Type Received]]=2,"CC",(IF(Table3[[#This Row],[Type Received]]=3,"BILL","ACH")))</f>
        <v>ACH</v>
      </c>
      <c r="F1972" s="35">
        <v>21.99</v>
      </c>
      <c r="G1972" s="14" t="str">
        <f>VLOOKUP(D1972,Table4[],3,FALSE)</f>
        <v>1</v>
      </c>
      <c r="H1972" s="15"/>
      <c r="I1972" s="15"/>
      <c r="J1972" s="15" t="s">
        <v>117</v>
      </c>
      <c r="K1972" s="15">
        <v>842244134</v>
      </c>
      <c r="L1972" s="15" t="s">
        <v>29</v>
      </c>
      <c r="M1972" s="15" t="s">
        <v>29</v>
      </c>
    </row>
    <row r="1973" spans="1:13" x14ac:dyDescent="0.25">
      <c r="A1973" s="23">
        <f t="shared" si="97"/>
        <v>193679</v>
      </c>
      <c r="B1973" s="14" t="str">
        <f t="shared" si="95"/>
        <v>Direct Debit (UMB Bank) - Credits</v>
      </c>
      <c r="C1973" s="37">
        <v>46169</v>
      </c>
      <c r="D1973" s="31">
        <v>193679</v>
      </c>
      <c r="E1973" s="33" t="str">
        <f>IF(Table3[[#This Row],[Type Received]]=2,"CC",(IF(Table3[[#This Row],[Type Received]]=3,"BILL","ACH")))</f>
        <v>ACH</v>
      </c>
      <c r="F1973" s="32">
        <v>18.91</v>
      </c>
      <c r="G1973" s="14" t="str">
        <f>VLOOKUP(D1973,Table4[],3,FALSE)</f>
        <v>1</v>
      </c>
      <c r="H1973" s="15"/>
      <c r="I1973" s="15"/>
      <c r="J1973" s="15" t="s">
        <v>117</v>
      </c>
      <c r="K1973" s="15">
        <v>842220954</v>
      </c>
      <c r="L1973" s="15" t="s">
        <v>29</v>
      </c>
      <c r="M1973" s="15"/>
    </row>
    <row r="1974" spans="1:13" x14ac:dyDescent="0.25">
      <c r="A1974" s="23">
        <f t="shared" si="97"/>
        <v>193873</v>
      </c>
      <c r="B1974" s="14" t="str">
        <f t="shared" si="95"/>
        <v>Direct Debit (UMB Bank) - Credits</v>
      </c>
      <c r="C1974" s="38">
        <v>46157</v>
      </c>
      <c r="D1974" s="34">
        <v>193873</v>
      </c>
      <c r="E1974" s="36" t="str">
        <f>IF(Table3[[#This Row],[Type Received]]=2,"CC",(IF(Table3[[#This Row],[Type Received]]=3,"BILL","ACH")))</f>
        <v>ACH</v>
      </c>
      <c r="F1974" s="35">
        <v>25.29</v>
      </c>
      <c r="G1974" s="14" t="str">
        <f>VLOOKUP(D1974,Table4[],3,FALSE)</f>
        <v>1</v>
      </c>
      <c r="H1974" s="15"/>
      <c r="I1974" s="15"/>
      <c r="J1974" s="15" t="s">
        <v>87</v>
      </c>
      <c r="K1974" s="15">
        <v>696743419</v>
      </c>
      <c r="L1974" s="15" t="s">
        <v>29</v>
      </c>
      <c r="M1974" s="15" t="s">
        <v>29</v>
      </c>
    </row>
    <row r="1975" spans="1:13" x14ac:dyDescent="0.25">
      <c r="A1975" s="23">
        <f t="shared" si="97"/>
        <v>194146</v>
      </c>
      <c r="B1975" s="14" t="str">
        <f t="shared" si="95"/>
        <v>Billing - Credits (from TPA)</v>
      </c>
      <c r="C1975" s="37">
        <v>46145</v>
      </c>
      <c r="D1975" s="31">
        <v>194146</v>
      </c>
      <c r="E1975" s="33" t="str">
        <f>IF(Table3[[#This Row],[Type Received]]=2,"CC",(IF(Table3[[#This Row],[Type Received]]=3,"BILL","ACH")))</f>
        <v>BILL</v>
      </c>
      <c r="F1975" s="32">
        <v>33.43</v>
      </c>
      <c r="G1975" s="14" t="str">
        <f>VLOOKUP(D1975,Table4[],3,FALSE)</f>
        <v>1</v>
      </c>
      <c r="H1975" s="15"/>
      <c r="I1975" s="15"/>
      <c r="J1975" s="15" t="s">
        <v>113</v>
      </c>
      <c r="K1975" s="15">
        <v>546431434</v>
      </c>
      <c r="L1975" s="15" t="s">
        <v>29</v>
      </c>
      <c r="M1975" s="15" t="s">
        <v>29</v>
      </c>
    </row>
    <row r="1976" spans="1:13" x14ac:dyDescent="0.25">
      <c r="A1976" s="23">
        <f t="shared" si="97"/>
        <v>194226</v>
      </c>
      <c r="B1976" s="14" t="str">
        <f t="shared" si="95"/>
        <v>Billing - Credits (from TPA)</v>
      </c>
      <c r="C1976" s="38">
        <v>46169</v>
      </c>
      <c r="D1976" s="34">
        <v>194226</v>
      </c>
      <c r="E1976" s="36" t="str">
        <f>IF(Table3[[#This Row],[Type Received]]=2,"CC",(IF(Table3[[#This Row],[Type Received]]=3,"BILL","ACH")))</f>
        <v>BILL</v>
      </c>
      <c r="F1976" s="35">
        <v>16.39</v>
      </c>
      <c r="G1976" s="14" t="str">
        <f>VLOOKUP(D1976,Table4[],3,FALSE)</f>
        <v>1</v>
      </c>
      <c r="H1976" s="15">
        <v>3642</v>
      </c>
      <c r="I1976" s="15"/>
      <c r="J1976" s="15"/>
      <c r="K1976" s="15"/>
      <c r="L1976" s="15"/>
      <c r="M1976" s="15" t="s">
        <v>29</v>
      </c>
    </row>
    <row r="1977" spans="1:13" x14ac:dyDescent="0.25">
      <c r="A1977" s="23">
        <f t="shared" si="97"/>
        <v>194226</v>
      </c>
      <c r="B1977" s="14" t="str">
        <f t="shared" si="95"/>
        <v>Billing - Credits (from TPA)</v>
      </c>
      <c r="C1977" s="37">
        <v>46143</v>
      </c>
      <c r="D1977" s="31">
        <v>194226</v>
      </c>
      <c r="E1977" s="33" t="str">
        <f>IF(Table3[[#This Row],[Type Received]]=2,"CC",(IF(Table3[[#This Row],[Type Received]]=3,"BILL","ACH")))</f>
        <v>BILL</v>
      </c>
      <c r="F1977" s="32">
        <v>16.39</v>
      </c>
      <c r="G1977" s="14" t="str">
        <f>VLOOKUP(D1977,Table4[],3,FALSE)</f>
        <v>1</v>
      </c>
      <c r="H1977" s="15">
        <v>3638</v>
      </c>
      <c r="I1977" s="15"/>
      <c r="J1977" s="15"/>
      <c r="K1977" s="15"/>
      <c r="L1977" s="15"/>
      <c r="M1977" s="15" t="s">
        <v>29</v>
      </c>
    </row>
    <row r="1978" spans="1:13" x14ac:dyDescent="0.25">
      <c r="A1978" s="23">
        <f t="shared" si="97"/>
        <v>194391</v>
      </c>
      <c r="B1978" s="14" t="str">
        <f t="shared" si="95"/>
        <v>Direct Debit (UMB Bank) - Credits</v>
      </c>
      <c r="C1978" s="38">
        <v>46168</v>
      </c>
      <c r="D1978" s="34">
        <v>194391</v>
      </c>
      <c r="E1978" s="36" t="str">
        <f>IF(Table3[[#This Row],[Type Received]]=2,"CC",(IF(Table3[[#This Row],[Type Received]]=3,"BILL","ACH")))</f>
        <v>ACH</v>
      </c>
      <c r="F1978" s="35">
        <v>59.5</v>
      </c>
      <c r="G1978" s="14" t="str">
        <f>VLOOKUP(D1978,Table4[],3,FALSE)</f>
        <v>1</v>
      </c>
      <c r="H1978" s="15">
        <v>8431</v>
      </c>
      <c r="I1978" s="15"/>
      <c r="J1978" s="15"/>
      <c r="K1978" s="15"/>
      <c r="L1978" s="15"/>
      <c r="M1978" s="15" t="s">
        <v>29</v>
      </c>
    </row>
    <row r="1979" spans="1:13" x14ac:dyDescent="0.25">
      <c r="A1979" s="23">
        <f t="shared" si="97"/>
        <v>194394</v>
      </c>
      <c r="B1979" s="14" t="str">
        <f t="shared" si="95"/>
        <v>Direct Debit (UMB Bank) - Credits</v>
      </c>
      <c r="C1979" s="37">
        <v>46157</v>
      </c>
      <c r="D1979" s="31">
        <v>194394</v>
      </c>
      <c r="E1979" s="33" t="str">
        <f>IF(Table3[[#This Row],[Type Received]]=2,"CC",(IF(Table3[[#This Row],[Type Received]]=3,"BILL","ACH")))</f>
        <v>ACH</v>
      </c>
      <c r="F1979" s="32">
        <v>11.43</v>
      </c>
      <c r="G1979" s="14" t="str">
        <f>VLOOKUP(D1979,Table4[],3,FALSE)</f>
        <v>1</v>
      </c>
      <c r="H1979" s="15"/>
      <c r="I1979" s="15"/>
      <c r="J1979" s="15" t="s">
        <v>87</v>
      </c>
      <c r="K1979" s="15">
        <v>696673515</v>
      </c>
      <c r="L1979" s="15" t="s">
        <v>29</v>
      </c>
      <c r="M1979" s="15" t="s">
        <v>29</v>
      </c>
    </row>
    <row r="1980" spans="1:13" x14ac:dyDescent="0.25">
      <c r="A1980" s="23">
        <f t="shared" si="97"/>
        <v>194455</v>
      </c>
      <c r="B1980" s="14" t="str">
        <f t="shared" si="95"/>
        <v>Direct Debit (UMB Bank) - Credits</v>
      </c>
      <c r="C1980" s="38">
        <v>46145</v>
      </c>
      <c r="D1980" s="34">
        <v>194455</v>
      </c>
      <c r="E1980" s="36" t="str">
        <f>IF(Table3[[#This Row],[Type Received]]=2,"CC",(IF(Table3[[#This Row],[Type Received]]=3,"BILL","ACH")))</f>
        <v>ACH</v>
      </c>
      <c r="F1980" s="35">
        <v>44.35</v>
      </c>
      <c r="G1980" s="14" t="str">
        <f>VLOOKUP(D1980,Table4[],3,FALSE)</f>
        <v>1</v>
      </c>
      <c r="H1980" s="15"/>
      <c r="I1980" s="15"/>
      <c r="J1980" s="24" t="s">
        <v>113</v>
      </c>
      <c r="K1980" s="15">
        <v>546430550</v>
      </c>
      <c r="L1980" s="15" t="s">
        <v>29</v>
      </c>
      <c r="M1980" s="15" t="s">
        <v>29</v>
      </c>
    </row>
    <row r="1981" spans="1:13" x14ac:dyDescent="0.25">
      <c r="A1981" s="23">
        <f t="shared" si="97"/>
        <v>194697</v>
      </c>
      <c r="B1981" s="14" t="str">
        <f t="shared" si="95"/>
        <v>Direct Debit (UMB Bank) - Credits</v>
      </c>
      <c r="C1981" s="37">
        <v>46143</v>
      </c>
      <c r="D1981" s="31">
        <v>194697</v>
      </c>
      <c r="E1981" s="33" t="str">
        <f>IF(Table3[[#This Row],[Type Received]]=2,"CC",(IF(Table3[[#This Row],[Type Received]]=3,"BILL","ACH")))</f>
        <v>ACH</v>
      </c>
      <c r="F1981" s="32">
        <v>97</v>
      </c>
      <c r="G1981" s="14" t="str">
        <f>VLOOKUP(D1981,Table4[],3,FALSE)</f>
        <v>2</v>
      </c>
      <c r="H1981" s="15"/>
      <c r="I1981" s="15"/>
      <c r="J1981" s="15" t="s">
        <v>84</v>
      </c>
      <c r="K1981" s="15">
        <v>527962669</v>
      </c>
      <c r="L1981" s="15" t="s">
        <v>29</v>
      </c>
      <c r="M1981" s="15" t="s">
        <v>29</v>
      </c>
    </row>
    <row r="1982" spans="1:13" x14ac:dyDescent="0.25">
      <c r="A1982" s="23">
        <f t="shared" si="97"/>
        <v>194710</v>
      </c>
      <c r="B1982" s="14" t="str">
        <f t="shared" si="95"/>
        <v>Billing - Credits (from TPA)</v>
      </c>
      <c r="C1982" s="38">
        <v>46157</v>
      </c>
      <c r="D1982" s="34">
        <v>194710</v>
      </c>
      <c r="E1982" s="36" t="str">
        <f>IF(Table3[[#This Row],[Type Received]]=2,"CC",(IF(Table3[[#This Row],[Type Received]]=3,"BILL","ACH")))</f>
        <v>BILL</v>
      </c>
      <c r="F1982" s="35">
        <v>29.03</v>
      </c>
      <c r="G1982" s="14" t="str">
        <f>VLOOKUP(D1982,Table4[],3,FALSE)</f>
        <v>1</v>
      </c>
      <c r="H1982" s="15"/>
      <c r="I1982" s="15"/>
      <c r="J1982" s="15" t="s">
        <v>87</v>
      </c>
      <c r="K1982" s="15">
        <v>696748286</v>
      </c>
      <c r="L1982" s="15" t="s">
        <v>29</v>
      </c>
      <c r="M1982" s="15" t="s">
        <v>29</v>
      </c>
    </row>
    <row r="1983" spans="1:13" x14ac:dyDescent="0.25">
      <c r="A1983" s="23">
        <f t="shared" si="97"/>
        <v>194741</v>
      </c>
      <c r="B1983" s="14" t="str">
        <f t="shared" si="95"/>
        <v>Direct Debit (UMB Bank) - Credits</v>
      </c>
      <c r="C1983" s="37">
        <v>46146</v>
      </c>
      <c r="D1983" s="31">
        <v>194741</v>
      </c>
      <c r="E1983" s="33" t="str">
        <f>IF(Table3[[#This Row],[Type Received]]=2,"CC",(IF(Table3[[#This Row],[Type Received]]=3,"BILL","ACH")))</f>
        <v>ACH</v>
      </c>
      <c r="F1983" s="32">
        <v>76.22</v>
      </c>
      <c r="G1983" s="14" t="str">
        <f>VLOOKUP(D1983,Table4[],3,FALSE)</f>
        <v>2</v>
      </c>
      <c r="H1983" s="15">
        <v>9807</v>
      </c>
      <c r="I1983" s="15"/>
      <c r="J1983" s="15"/>
      <c r="K1983" s="15"/>
      <c r="L1983" s="15"/>
      <c r="M1983" s="15" t="s">
        <v>29</v>
      </c>
    </row>
    <row r="1984" spans="1:13" x14ac:dyDescent="0.25">
      <c r="A1984" s="23">
        <f t="shared" si="97"/>
        <v>194791</v>
      </c>
      <c r="B1984" s="14" t="str">
        <f t="shared" si="95"/>
        <v>Credit Cards (UMB) - Credits</v>
      </c>
      <c r="C1984" s="38">
        <v>46157</v>
      </c>
      <c r="D1984" s="34">
        <v>194791</v>
      </c>
      <c r="E1984" s="36" t="str">
        <f>IF(Table3[[#This Row],[Type Received]]=2,"CC",(IF(Table3[[#This Row],[Type Received]]=3,"BILL","ACH")))</f>
        <v>CC</v>
      </c>
      <c r="F1984" s="35">
        <v>32</v>
      </c>
      <c r="G1984" s="14" t="str">
        <f>VLOOKUP(D1984,Table4[],3,FALSE)</f>
        <v>2</v>
      </c>
      <c r="H1984" s="15"/>
      <c r="I1984" s="15"/>
      <c r="J1984" s="15" t="s">
        <v>87</v>
      </c>
      <c r="K1984" s="15">
        <v>696751159</v>
      </c>
      <c r="L1984" s="15" t="s">
        <v>29</v>
      </c>
      <c r="M1984" s="15" t="s">
        <v>29</v>
      </c>
    </row>
    <row r="1985" spans="1:13" x14ac:dyDescent="0.25">
      <c r="A1985" s="23">
        <f t="shared" si="97"/>
        <v>194840</v>
      </c>
      <c r="B1985" s="14" t="str">
        <f t="shared" si="95"/>
        <v>Direct Debit (UMB Bank) - Credits</v>
      </c>
      <c r="C1985" s="37">
        <v>46155</v>
      </c>
      <c r="D1985" s="31">
        <v>194840</v>
      </c>
      <c r="E1985" s="33" t="str">
        <f>IF(Table3[[#This Row],[Type Received]]=2,"CC",(IF(Table3[[#This Row],[Type Received]]=3,"BILL","ACH")))</f>
        <v>ACH</v>
      </c>
      <c r="F1985" s="32">
        <v>30.13</v>
      </c>
      <c r="G1985" s="14" t="str">
        <f>VLOOKUP(D1985,Table4[],3,FALSE)</f>
        <v>1</v>
      </c>
      <c r="H1985" s="15"/>
      <c r="I1985" s="15">
        <v>168805</v>
      </c>
      <c r="J1985" s="15" t="s">
        <v>28</v>
      </c>
      <c r="K1985" s="15">
        <v>669502283</v>
      </c>
      <c r="L1985" s="15" t="s">
        <v>29</v>
      </c>
      <c r="M1985" s="15" t="s">
        <v>29</v>
      </c>
    </row>
    <row r="1986" spans="1:13" x14ac:dyDescent="0.25">
      <c r="A1986" s="23">
        <f t="shared" si="97"/>
        <v>194854</v>
      </c>
      <c r="B1986" s="14" t="str">
        <f t="shared" ref="B1986:B2049" si="98">IF(AND(E1986="BILL",F1986&lt;0),"Billing &amp; Direct Debit - Refunds",(IF(AND(E1986="BILL",F1986&gt;0),"Billing - Credits (from TPA)",(IF(AND(E1986="CC",F1986&lt;0),"Credit Cards (UMB) - Refunds",(IF(AND(E1986="CC",F1986&gt;0),"Credit Cards (UMB) - Credits",(IF(AND(E1986="ACH",F1986&gt;0),"Direct Debit (UMB Bank) - Credits","Direct Debit (UMB Bank) - Returned Items")))))))))</f>
        <v>Direct Debit (UMB Bank) - Credits</v>
      </c>
      <c r="C1986" s="38">
        <v>46146</v>
      </c>
      <c r="D1986" s="34">
        <v>194854</v>
      </c>
      <c r="E1986" s="36" t="str">
        <f>IF(Table3[[#This Row],[Type Received]]=2,"CC",(IF(Table3[[#This Row],[Type Received]]=3,"BILL","ACH")))</f>
        <v>ACH</v>
      </c>
      <c r="F1986" s="35">
        <v>104.93</v>
      </c>
      <c r="G1986" s="14" t="str">
        <f>VLOOKUP(D1986,Table4[],3,FALSE)</f>
        <v>2</v>
      </c>
      <c r="H1986" s="15"/>
      <c r="I1986" s="15"/>
      <c r="J1986" s="15" t="s">
        <v>92</v>
      </c>
      <c r="K1986" s="15">
        <v>557105112</v>
      </c>
      <c r="L1986" s="15" t="s">
        <v>29</v>
      </c>
      <c r="M1986" s="15" t="s">
        <v>29</v>
      </c>
    </row>
    <row r="1987" spans="1:13" x14ac:dyDescent="0.25">
      <c r="A1987" s="23">
        <f t="shared" si="97"/>
        <v>194865</v>
      </c>
      <c r="B1987" s="14" t="str">
        <f t="shared" si="98"/>
        <v>Billing - Credits (from TPA)</v>
      </c>
      <c r="C1987" s="37">
        <v>46158</v>
      </c>
      <c r="D1987" s="31">
        <v>194865</v>
      </c>
      <c r="E1987" s="33" t="str">
        <f>IF(Table3[[#This Row],[Type Received]]=2,"CC",(IF(Table3[[#This Row],[Type Received]]=3,"BILL","ACH")))</f>
        <v>BILL</v>
      </c>
      <c r="F1987" s="32">
        <v>28.37</v>
      </c>
      <c r="G1987" s="14" t="str">
        <f>VLOOKUP(D1987,Table4[],3,FALSE)</f>
        <v>2</v>
      </c>
      <c r="H1987" s="15"/>
      <c r="I1987" s="15"/>
      <c r="J1987" s="15" t="s">
        <v>106</v>
      </c>
      <c r="K1987" s="15">
        <v>710049538</v>
      </c>
      <c r="L1987" s="15" t="s">
        <v>29</v>
      </c>
      <c r="M1987" s="15" t="s">
        <v>29</v>
      </c>
    </row>
    <row r="1988" spans="1:13" x14ac:dyDescent="0.25">
      <c r="A1988" s="23">
        <f t="shared" si="97"/>
        <v>194882</v>
      </c>
      <c r="B1988" s="14" t="str">
        <f t="shared" si="98"/>
        <v>Billing - Credits (from TPA)</v>
      </c>
      <c r="C1988" s="38">
        <v>46150</v>
      </c>
      <c r="D1988" s="34">
        <v>194882</v>
      </c>
      <c r="E1988" s="36" t="str">
        <f>IF(Table3[[#This Row],[Type Received]]=2,"CC",(IF(Table3[[#This Row],[Type Received]]=3,"BILL","ACH")))</f>
        <v>BILL</v>
      </c>
      <c r="F1988" s="35">
        <v>49.06</v>
      </c>
      <c r="G1988" s="14" t="str">
        <f>VLOOKUP(D1988,Table4[],3,FALSE)</f>
        <v>1</v>
      </c>
      <c r="H1988" s="15">
        <v>1958</v>
      </c>
      <c r="I1988" s="15"/>
      <c r="J1988" s="15"/>
      <c r="K1988" s="15"/>
      <c r="L1988" s="15"/>
      <c r="M1988" s="15" t="s">
        <v>29</v>
      </c>
    </row>
    <row r="1989" spans="1:13" x14ac:dyDescent="0.25">
      <c r="A1989" s="23">
        <f t="shared" si="97"/>
        <v>194911</v>
      </c>
      <c r="B1989" s="14" t="str">
        <f t="shared" si="98"/>
        <v>Billing - Credits (from TPA)</v>
      </c>
      <c r="C1989" s="37">
        <v>46143</v>
      </c>
      <c r="D1989" s="31">
        <v>194911</v>
      </c>
      <c r="E1989" s="33" t="str">
        <f>IF(Table3[[#This Row],[Type Received]]=2,"CC",(IF(Table3[[#This Row],[Type Received]]=3,"BILL","ACH")))</f>
        <v>BILL</v>
      </c>
      <c r="F1989" s="32">
        <v>37.950000000000003</v>
      </c>
      <c r="G1989" s="14" t="str">
        <f>VLOOKUP(D1989,Table4[],3,FALSE)</f>
        <v>1</v>
      </c>
      <c r="H1989" s="15">
        <v>74882532</v>
      </c>
      <c r="I1989" s="15"/>
      <c r="J1989" s="15"/>
      <c r="K1989" s="15"/>
      <c r="L1989" s="15"/>
      <c r="M1989" s="15" t="s">
        <v>29</v>
      </c>
    </row>
    <row r="1990" spans="1:13" x14ac:dyDescent="0.25">
      <c r="A1990" s="23">
        <f t="shared" si="97"/>
        <v>194921</v>
      </c>
      <c r="B1990" s="14" t="str">
        <f t="shared" si="98"/>
        <v>Billing - Credits (from TPA)</v>
      </c>
      <c r="C1990" s="38">
        <v>46146</v>
      </c>
      <c r="D1990" s="34">
        <v>194921</v>
      </c>
      <c r="E1990" s="36" t="str">
        <f>IF(Table3[[#This Row],[Type Received]]=2,"CC",(IF(Table3[[#This Row],[Type Received]]=3,"BILL","ACH")))</f>
        <v>BILL</v>
      </c>
      <c r="F1990" s="35">
        <v>31.13</v>
      </c>
      <c r="G1990" s="14" t="str">
        <f>VLOOKUP(D1990,Table4[],3,FALSE)</f>
        <v>1</v>
      </c>
      <c r="H1990" s="15">
        <v>6316</v>
      </c>
      <c r="I1990" s="15"/>
      <c r="J1990" s="24"/>
      <c r="K1990" s="15"/>
      <c r="L1990" s="15"/>
      <c r="M1990" s="15" t="s">
        <v>29</v>
      </c>
    </row>
    <row r="1991" spans="1:13" x14ac:dyDescent="0.25">
      <c r="A1991" s="23">
        <f t="shared" si="97"/>
        <v>194926</v>
      </c>
      <c r="B1991" s="14" t="str">
        <f t="shared" si="98"/>
        <v>Direct Debit (UMB Bank) - Credits</v>
      </c>
      <c r="C1991" s="37">
        <v>46169</v>
      </c>
      <c r="D1991" s="31">
        <v>194926</v>
      </c>
      <c r="E1991" s="33" t="str">
        <f>IF(Table3[[#This Row],[Type Received]]=2,"CC",(IF(Table3[[#This Row],[Type Received]]=3,"BILL","ACH")))</f>
        <v>ACH</v>
      </c>
      <c r="F1991" s="32">
        <v>33.33</v>
      </c>
      <c r="G1991" s="14" t="str">
        <f>VLOOKUP(D1991,Table4[],3,FALSE)</f>
        <v>2</v>
      </c>
      <c r="H1991" s="15">
        <v>2023</v>
      </c>
      <c r="I1991" s="15"/>
      <c r="J1991" s="15"/>
      <c r="K1991" s="15"/>
      <c r="L1991" s="15"/>
      <c r="M1991" s="15"/>
    </row>
    <row r="1992" spans="1:13" x14ac:dyDescent="0.25">
      <c r="A1992" s="23">
        <f t="shared" si="97"/>
        <v>194976</v>
      </c>
      <c r="B1992" s="14" t="str">
        <f t="shared" si="98"/>
        <v>Credit Cards (UMB) - Credits</v>
      </c>
      <c r="C1992" s="38">
        <v>46169</v>
      </c>
      <c r="D1992" s="34">
        <v>194976</v>
      </c>
      <c r="E1992" s="36" t="str">
        <f>IF(Table3[[#This Row],[Type Received]]=2,"CC",(IF(Table3[[#This Row],[Type Received]]=3,"BILL","ACH")))</f>
        <v>CC</v>
      </c>
      <c r="F1992" s="35">
        <v>31.01</v>
      </c>
      <c r="G1992" s="14" t="str">
        <f>VLOOKUP(D1992,Table4[],3,FALSE)</f>
        <v>1</v>
      </c>
      <c r="H1992" s="15"/>
      <c r="I1992" s="15"/>
      <c r="J1992" s="15" t="s">
        <v>117</v>
      </c>
      <c r="K1992" s="15">
        <v>842224836</v>
      </c>
      <c r="L1992" s="15" t="s">
        <v>29</v>
      </c>
      <c r="M1992" s="15" t="s">
        <v>29</v>
      </c>
    </row>
    <row r="1993" spans="1:13" x14ac:dyDescent="0.25">
      <c r="A1993" s="23">
        <f t="shared" si="97"/>
        <v>195030</v>
      </c>
      <c r="B1993" s="14" t="str">
        <f t="shared" si="98"/>
        <v>Credit Cards (UMB) - Credits</v>
      </c>
      <c r="C1993" s="37">
        <v>46169</v>
      </c>
      <c r="D1993" s="31">
        <v>195030</v>
      </c>
      <c r="E1993" s="33" t="str">
        <f>IF(Table3[[#This Row],[Type Received]]=2,"CC",(IF(Table3[[#This Row],[Type Received]]=3,"BILL","ACH")))</f>
        <v>CC</v>
      </c>
      <c r="F1993" s="32">
        <v>67.430000000000007</v>
      </c>
      <c r="G1993" s="14" t="str">
        <f>VLOOKUP(D1993,Table4[],3,FALSE)</f>
        <v>1</v>
      </c>
      <c r="H1993" s="15"/>
      <c r="I1993" s="15" t="s">
        <v>239</v>
      </c>
      <c r="J1993" s="15">
        <v>749271671</v>
      </c>
      <c r="K1993" s="15">
        <v>355971428</v>
      </c>
      <c r="L1993" s="15"/>
      <c r="M1993" s="15" t="s">
        <v>29</v>
      </c>
    </row>
    <row r="1994" spans="1:13" x14ac:dyDescent="0.25">
      <c r="A1994" s="23">
        <f t="shared" si="97"/>
        <v>195085</v>
      </c>
      <c r="B1994" s="14" t="str">
        <f t="shared" si="98"/>
        <v>Direct Debit (UMB Bank) - Credits</v>
      </c>
      <c r="C1994" s="38">
        <v>46155</v>
      </c>
      <c r="D1994" s="34">
        <v>195085</v>
      </c>
      <c r="E1994" s="36" t="str">
        <f>IF(Table3[[#This Row],[Type Received]]=2,"CC",(IF(Table3[[#This Row],[Type Received]]=3,"BILL","ACH")))</f>
        <v>ACH</v>
      </c>
      <c r="F1994" s="35">
        <v>455.38</v>
      </c>
      <c r="G1994" s="14" t="str">
        <f>VLOOKUP(D1994,Table4[],3,FALSE)</f>
        <v>2</v>
      </c>
      <c r="H1994" s="15"/>
      <c r="I1994" s="15" t="s">
        <v>240</v>
      </c>
      <c r="J1994" s="24">
        <v>744917848</v>
      </c>
      <c r="K1994" s="15">
        <v>354514332</v>
      </c>
      <c r="L1994" s="15"/>
      <c r="M1994" s="15" t="s">
        <v>29</v>
      </c>
    </row>
    <row r="1995" spans="1:13" x14ac:dyDescent="0.25">
      <c r="A1995" s="23">
        <f t="shared" si="97"/>
        <v>195110</v>
      </c>
      <c r="B1995" s="14" t="str">
        <f t="shared" si="98"/>
        <v>Credit Cards (UMB) - Credits</v>
      </c>
      <c r="C1995" s="37">
        <v>46169</v>
      </c>
      <c r="D1995" s="31">
        <v>195110</v>
      </c>
      <c r="E1995" s="33" t="str">
        <f>IF(Table3[[#This Row],[Type Received]]=2,"CC",(IF(Table3[[#This Row],[Type Received]]=3,"BILL","ACH")))</f>
        <v>CC</v>
      </c>
      <c r="F1995" s="32">
        <v>31.62</v>
      </c>
      <c r="G1995" s="14" t="str">
        <f>VLOOKUP(D1995,Table4[],3,FALSE)</f>
        <v>1</v>
      </c>
      <c r="H1995" s="15"/>
      <c r="I1995" s="15"/>
      <c r="J1995" s="15" t="s">
        <v>117</v>
      </c>
      <c r="K1995" s="15">
        <v>846976734</v>
      </c>
      <c r="L1995" s="15" t="s">
        <v>29</v>
      </c>
      <c r="M1995" s="15" t="s">
        <v>29</v>
      </c>
    </row>
    <row r="1996" spans="1:13" x14ac:dyDescent="0.25">
      <c r="A1996" s="23">
        <f t="shared" si="97"/>
        <v>195150</v>
      </c>
      <c r="B1996" s="14" t="str">
        <f t="shared" si="98"/>
        <v>Direct Debit (UMB Bank) - Credits</v>
      </c>
      <c r="C1996" s="38">
        <v>46155</v>
      </c>
      <c r="D1996" s="34">
        <v>195150</v>
      </c>
      <c r="E1996" s="36" t="str">
        <f>IF(Table3[[#This Row],[Type Received]]=2,"CC",(IF(Table3[[#This Row],[Type Received]]=3,"BILL","ACH")))</f>
        <v>ACH</v>
      </c>
      <c r="F1996" s="35">
        <v>34.01</v>
      </c>
      <c r="G1996" s="14" t="str">
        <f>VLOOKUP(D1996,Table4[],3,FALSE)</f>
        <v>1</v>
      </c>
      <c r="H1996" s="15"/>
      <c r="I1996" s="15">
        <v>627873</v>
      </c>
      <c r="J1996" s="15" t="s">
        <v>28</v>
      </c>
      <c r="K1996" s="15">
        <v>669495518</v>
      </c>
      <c r="L1996" s="15" t="s">
        <v>29</v>
      </c>
      <c r="M1996" s="15" t="s">
        <v>29</v>
      </c>
    </row>
    <row r="1997" spans="1:13" x14ac:dyDescent="0.25">
      <c r="A1997" s="23">
        <f t="shared" si="97"/>
        <v>195184</v>
      </c>
      <c r="B1997" s="14" t="str">
        <f t="shared" si="98"/>
        <v>Billing - Credits (from TPA)</v>
      </c>
      <c r="C1997" s="37">
        <v>46158</v>
      </c>
      <c r="D1997" s="31">
        <v>195184</v>
      </c>
      <c r="E1997" s="33" t="str">
        <f>IF(Table3[[#This Row],[Type Received]]=2,"CC",(IF(Table3[[#This Row],[Type Received]]=3,"BILL","ACH")))</f>
        <v>BILL</v>
      </c>
      <c r="F1997" s="32">
        <v>99.35</v>
      </c>
      <c r="G1997" s="14" t="str">
        <f>VLOOKUP(D1997,Table4[],3,FALSE)</f>
        <v>2</v>
      </c>
      <c r="H1997" s="15"/>
      <c r="I1997" s="15"/>
      <c r="J1997" s="15" t="s">
        <v>106</v>
      </c>
      <c r="K1997" s="15">
        <v>710042058</v>
      </c>
      <c r="L1997" s="15" t="s">
        <v>29</v>
      </c>
      <c r="M1997" s="15" t="s">
        <v>29</v>
      </c>
    </row>
    <row r="1998" spans="1:13" x14ac:dyDescent="0.25">
      <c r="A1998" s="23">
        <f t="shared" si="97"/>
        <v>195268</v>
      </c>
      <c r="B1998" s="14" t="str">
        <f t="shared" si="98"/>
        <v>Billing - Credits (from TPA)</v>
      </c>
      <c r="C1998" s="38">
        <v>46147</v>
      </c>
      <c r="D1998" s="34">
        <v>195268</v>
      </c>
      <c r="E1998" s="36" t="str">
        <f>IF(Table3[[#This Row],[Type Received]]=2,"CC",(IF(Table3[[#This Row],[Type Received]]=3,"BILL","ACH")))</f>
        <v>BILL</v>
      </c>
      <c r="F1998" s="35">
        <v>26.65</v>
      </c>
      <c r="G1998" s="14" t="str">
        <f>VLOOKUP(D1998,Table4[],3,FALSE)</f>
        <v>1</v>
      </c>
      <c r="H1998" s="15">
        <v>4439</v>
      </c>
      <c r="I1998" s="15"/>
      <c r="J1998" s="15"/>
      <c r="K1998" s="15"/>
      <c r="L1998" s="15"/>
      <c r="M1998" s="15" t="s">
        <v>29</v>
      </c>
    </row>
    <row r="1999" spans="1:13" x14ac:dyDescent="0.25">
      <c r="A1999" s="23">
        <f t="shared" si="97"/>
        <v>195273</v>
      </c>
      <c r="B1999" s="14" t="str">
        <f t="shared" si="98"/>
        <v>Direct Debit (UMB Bank) - Credits</v>
      </c>
      <c r="C1999" s="37">
        <v>46171</v>
      </c>
      <c r="D1999" s="31">
        <v>195273</v>
      </c>
      <c r="E1999" s="33" t="str">
        <f>IF(Table3[[#This Row],[Type Received]]=2,"CC",(IF(Table3[[#This Row],[Type Received]]=3,"BILL","ACH")))</f>
        <v>ACH</v>
      </c>
      <c r="F1999" s="32">
        <v>41.28</v>
      </c>
      <c r="G1999" s="14" t="str">
        <f>VLOOKUP(D1999,Table4[],3,FALSE)</f>
        <v>2</v>
      </c>
      <c r="H1999" s="15">
        <v>3840</v>
      </c>
      <c r="I1999" s="15"/>
      <c r="J1999" s="24"/>
      <c r="K1999" s="15"/>
      <c r="L1999" s="15"/>
      <c r="M1999" s="15" t="s">
        <v>29</v>
      </c>
    </row>
    <row r="2000" spans="1:13" x14ac:dyDescent="0.25">
      <c r="A2000" s="23">
        <f t="shared" si="97"/>
        <v>195392</v>
      </c>
      <c r="B2000" s="14" t="str">
        <f t="shared" si="98"/>
        <v>Billing - Credits (from TPA)</v>
      </c>
      <c r="C2000" s="38">
        <v>46147</v>
      </c>
      <c r="D2000" s="34">
        <v>195392</v>
      </c>
      <c r="E2000" s="36" t="str">
        <f>IF(Table3[[#This Row],[Type Received]]=2,"CC",(IF(Table3[[#This Row],[Type Received]]=3,"BILL","ACH")))</f>
        <v>BILL</v>
      </c>
      <c r="F2000" s="35">
        <v>69.650000000000006</v>
      </c>
      <c r="G2000" s="14" t="str">
        <f>VLOOKUP(D2000,Table4[],3,FALSE)</f>
        <v>2</v>
      </c>
      <c r="H2000" s="15"/>
      <c r="I2000" s="15"/>
      <c r="J2000" s="15" t="s">
        <v>86</v>
      </c>
      <c r="K2000" s="15">
        <v>569496206</v>
      </c>
      <c r="L2000" s="15" t="s">
        <v>29</v>
      </c>
      <c r="M2000" s="15" t="s">
        <v>29</v>
      </c>
    </row>
    <row r="2001" spans="1:13" x14ac:dyDescent="0.25">
      <c r="A2001" s="23">
        <f t="shared" si="97"/>
        <v>195738</v>
      </c>
      <c r="B2001" s="14" t="str">
        <f t="shared" si="98"/>
        <v>Billing - Credits (from TPA)</v>
      </c>
      <c r="C2001" s="37">
        <v>46169</v>
      </c>
      <c r="D2001" s="31">
        <v>195738</v>
      </c>
      <c r="E2001" s="33" t="str">
        <f>IF(Table3[[#This Row],[Type Received]]=2,"CC",(IF(Table3[[#This Row],[Type Received]]=3,"BILL","ACH")))</f>
        <v>BILL</v>
      </c>
      <c r="F2001" s="32">
        <v>24.23</v>
      </c>
      <c r="G2001" s="14" t="str">
        <f>VLOOKUP(D2001,Table4[],3,FALSE)</f>
        <v>1</v>
      </c>
      <c r="H2001" s="15">
        <v>3408</v>
      </c>
      <c r="I2001" s="15"/>
      <c r="J2001" s="15"/>
      <c r="K2001" s="15"/>
      <c r="L2001" s="15"/>
      <c r="M2001" s="15"/>
    </row>
    <row r="2002" spans="1:13" x14ac:dyDescent="0.25">
      <c r="A2002" s="23">
        <f t="shared" ref="A2002:A2033" si="99">D2002</f>
        <v>195739</v>
      </c>
      <c r="B2002" s="14" t="str">
        <f t="shared" si="98"/>
        <v>Direct Debit (UMB Bank) - Credits</v>
      </c>
      <c r="C2002" s="38">
        <v>46169</v>
      </c>
      <c r="D2002" s="34">
        <v>195739</v>
      </c>
      <c r="E2002" s="36" t="str">
        <f>IF(Table3[[#This Row],[Type Received]]=2,"CC",(IF(Table3[[#This Row],[Type Received]]=3,"BILL","ACH")))</f>
        <v>ACH</v>
      </c>
      <c r="F2002" s="35">
        <v>34.68</v>
      </c>
      <c r="G2002" s="14" t="str">
        <f>VLOOKUP(D2002,Table4[],3,FALSE)</f>
        <v>2</v>
      </c>
      <c r="H2002" s="15">
        <v>128</v>
      </c>
      <c r="I2002" s="15"/>
      <c r="J2002" s="15"/>
      <c r="K2002" s="15"/>
      <c r="L2002" s="15"/>
      <c r="M2002" s="15" t="s">
        <v>29</v>
      </c>
    </row>
    <row r="2003" spans="1:13" x14ac:dyDescent="0.25">
      <c r="A2003" s="23">
        <f t="shared" si="99"/>
        <v>195786</v>
      </c>
      <c r="B2003" s="14" t="str">
        <f t="shared" si="98"/>
        <v>Credit Cards (UMB) - Credits</v>
      </c>
      <c r="C2003" s="37">
        <v>46169</v>
      </c>
      <c r="D2003" s="31">
        <v>195786</v>
      </c>
      <c r="E2003" s="33" t="str">
        <f>IF(Table3[[#This Row],[Type Received]]=2,"CC",(IF(Table3[[#This Row],[Type Received]]=3,"BILL","ACH")))</f>
        <v>CC</v>
      </c>
      <c r="F2003" s="32">
        <v>77.900000000000006</v>
      </c>
      <c r="G2003" s="14" t="str">
        <f>VLOOKUP(D2003,Table4[],3,FALSE)</f>
        <v>2</v>
      </c>
      <c r="H2003" s="15"/>
      <c r="I2003" s="15"/>
      <c r="J2003" s="15" t="s">
        <v>117</v>
      </c>
      <c r="K2003" s="15">
        <v>842230780</v>
      </c>
      <c r="L2003" s="15" t="s">
        <v>29</v>
      </c>
      <c r="M2003" s="15"/>
    </row>
    <row r="2004" spans="1:13" x14ac:dyDescent="0.25">
      <c r="A2004" s="23">
        <f t="shared" si="99"/>
        <v>195829</v>
      </c>
      <c r="B2004" s="14" t="str">
        <f t="shared" si="98"/>
        <v>Direct Debit (UMB Bank) - Credits</v>
      </c>
      <c r="C2004" s="38">
        <v>46163</v>
      </c>
      <c r="D2004" s="34">
        <v>195829</v>
      </c>
      <c r="E2004" s="36" t="str">
        <f>IF(Table3[[#This Row],[Type Received]]=2,"CC",(IF(Table3[[#This Row],[Type Received]]=3,"BILL","ACH")))</f>
        <v>ACH</v>
      </c>
      <c r="F2004" s="35">
        <v>667.59</v>
      </c>
      <c r="G2004" s="14" t="str">
        <f>VLOOKUP(D2004,Table4[],3,FALSE)</f>
        <v>1</v>
      </c>
      <c r="H2004" s="15"/>
      <c r="I2004" s="15">
        <v>92513</v>
      </c>
      <c r="J2004" s="15">
        <v>747461115</v>
      </c>
      <c r="K2004" s="15">
        <v>355430564</v>
      </c>
      <c r="L2004" s="15"/>
      <c r="M2004" s="15"/>
    </row>
    <row r="2005" spans="1:13" x14ac:dyDescent="0.25">
      <c r="A2005" s="23">
        <f t="shared" si="99"/>
        <v>195842</v>
      </c>
      <c r="B2005" s="14" t="str">
        <f t="shared" si="98"/>
        <v>Direct Debit (UMB Bank) - Credits</v>
      </c>
      <c r="C2005" s="37">
        <v>46169</v>
      </c>
      <c r="D2005" s="31">
        <v>195842</v>
      </c>
      <c r="E2005" s="33" t="str">
        <f>IF(Table3[[#This Row],[Type Received]]=2,"CC",(IF(Table3[[#This Row],[Type Received]]=3,"BILL","ACH")))</f>
        <v>ACH</v>
      </c>
      <c r="F2005" s="32">
        <v>31.59</v>
      </c>
      <c r="G2005" s="14" t="str">
        <f>VLOOKUP(D2005,Table4[],3,FALSE)</f>
        <v>1</v>
      </c>
      <c r="H2005" s="15"/>
      <c r="I2005" s="15"/>
      <c r="J2005" s="15" t="s">
        <v>117</v>
      </c>
      <c r="K2005" s="15">
        <v>842247349</v>
      </c>
      <c r="L2005" s="15" t="s">
        <v>29</v>
      </c>
      <c r="M2005" s="15" t="s">
        <v>29</v>
      </c>
    </row>
    <row r="2006" spans="1:13" x14ac:dyDescent="0.25">
      <c r="A2006" s="23">
        <f t="shared" si="99"/>
        <v>195874</v>
      </c>
      <c r="B2006" s="14" t="str">
        <f t="shared" si="98"/>
        <v>Direct Debit (UMB Bank) - Credits</v>
      </c>
      <c r="C2006" s="38">
        <v>46158</v>
      </c>
      <c r="D2006" s="34">
        <v>195874</v>
      </c>
      <c r="E2006" s="36" t="str">
        <f>IF(Table3[[#This Row],[Type Received]]=2,"CC",(IF(Table3[[#This Row],[Type Received]]=3,"BILL","ACH")))</f>
        <v>ACH</v>
      </c>
      <c r="F2006" s="35">
        <v>26.09</v>
      </c>
      <c r="G2006" s="14" t="str">
        <f>VLOOKUP(D2006,Table4[],3,FALSE)</f>
        <v>2</v>
      </c>
      <c r="H2006" s="15"/>
      <c r="I2006" s="15"/>
      <c r="J2006" s="15" t="s">
        <v>106</v>
      </c>
      <c r="K2006" s="15">
        <v>710043973</v>
      </c>
      <c r="L2006" s="15" t="s">
        <v>29</v>
      </c>
      <c r="M2006" s="15" t="s">
        <v>29</v>
      </c>
    </row>
    <row r="2007" spans="1:13" x14ac:dyDescent="0.25">
      <c r="A2007" s="23">
        <f t="shared" si="99"/>
        <v>195890</v>
      </c>
      <c r="B2007" s="14" t="str">
        <f t="shared" si="98"/>
        <v>Direct Debit (UMB Bank) - Credits</v>
      </c>
      <c r="C2007" s="37">
        <v>46158</v>
      </c>
      <c r="D2007" s="31">
        <v>195890</v>
      </c>
      <c r="E2007" s="33" t="str">
        <f>IF(Table3[[#This Row],[Type Received]]=2,"CC",(IF(Table3[[#This Row],[Type Received]]=3,"BILL","ACH")))</f>
        <v>ACH</v>
      </c>
      <c r="F2007" s="32">
        <v>72.95</v>
      </c>
      <c r="G2007" s="14" t="str">
        <f>VLOOKUP(D2007,Table4[],3,FALSE)</f>
        <v>2</v>
      </c>
      <c r="H2007" s="15"/>
      <c r="I2007" s="15"/>
      <c r="J2007" s="15" t="s">
        <v>106</v>
      </c>
      <c r="K2007" s="15">
        <v>710062196</v>
      </c>
      <c r="L2007" s="15" t="s">
        <v>29</v>
      </c>
      <c r="M2007" s="15" t="s">
        <v>29</v>
      </c>
    </row>
    <row r="2008" spans="1:13" x14ac:dyDescent="0.25">
      <c r="A2008" s="23">
        <f t="shared" si="99"/>
        <v>195900</v>
      </c>
      <c r="B2008" s="14" t="str">
        <f t="shared" si="98"/>
        <v>Direct Debit (UMB Bank) - Credits</v>
      </c>
      <c r="C2008" s="38">
        <v>46158</v>
      </c>
      <c r="D2008" s="34">
        <v>195900</v>
      </c>
      <c r="E2008" s="36" t="str">
        <f>IF(Table3[[#This Row],[Type Received]]=2,"CC",(IF(Table3[[#This Row],[Type Received]]=3,"BILL","ACH")))</f>
        <v>ACH</v>
      </c>
      <c r="F2008" s="35">
        <v>38.299999999999997</v>
      </c>
      <c r="G2008" s="14" t="str">
        <f>VLOOKUP(D2008,Table4[],3,FALSE)</f>
        <v>2</v>
      </c>
      <c r="H2008" s="15"/>
      <c r="I2008" s="15"/>
      <c r="J2008" s="15" t="s">
        <v>106</v>
      </c>
      <c r="K2008" s="15">
        <v>710064183</v>
      </c>
      <c r="L2008" s="15" t="s">
        <v>29</v>
      </c>
      <c r="M2008" s="15" t="s">
        <v>29</v>
      </c>
    </row>
    <row r="2009" spans="1:13" x14ac:dyDescent="0.25">
      <c r="A2009" s="23">
        <f t="shared" si="99"/>
        <v>195912</v>
      </c>
      <c r="B2009" s="14" t="str">
        <f t="shared" si="98"/>
        <v>Direct Debit (UMB Bank) - Credits</v>
      </c>
      <c r="C2009" s="37">
        <v>46145</v>
      </c>
      <c r="D2009" s="31">
        <v>195912</v>
      </c>
      <c r="E2009" s="33" t="str">
        <f>IF(Table3[[#This Row],[Type Received]]=2,"CC",(IF(Table3[[#This Row],[Type Received]]=3,"BILL","ACH")))</f>
        <v>ACH</v>
      </c>
      <c r="F2009" s="32">
        <v>39.29</v>
      </c>
      <c r="G2009" s="14" t="str">
        <f>VLOOKUP(D2009,Table4[],3,FALSE)</f>
        <v>2</v>
      </c>
      <c r="H2009" s="15"/>
      <c r="I2009" s="15"/>
      <c r="J2009" s="15" t="s">
        <v>113</v>
      </c>
      <c r="K2009" s="15">
        <v>546421885</v>
      </c>
      <c r="L2009" s="15" t="s">
        <v>29</v>
      </c>
      <c r="M2009" s="15" t="s">
        <v>29</v>
      </c>
    </row>
    <row r="2010" spans="1:13" x14ac:dyDescent="0.25">
      <c r="A2010" s="23">
        <f t="shared" si="99"/>
        <v>195914</v>
      </c>
      <c r="B2010" s="14" t="str">
        <f t="shared" si="98"/>
        <v>Billing - Credits (from TPA)</v>
      </c>
      <c r="C2010" s="38">
        <v>46168</v>
      </c>
      <c r="D2010" s="34">
        <v>195914</v>
      </c>
      <c r="E2010" s="36" t="str">
        <f>IF(Table3[[#This Row],[Type Received]]=2,"CC",(IF(Table3[[#This Row],[Type Received]]=3,"BILL","ACH")))</f>
        <v>BILL</v>
      </c>
      <c r="F2010" s="35">
        <v>21.03</v>
      </c>
      <c r="G2010" s="14" t="str">
        <f>VLOOKUP(D2010,Table4[],3,FALSE)</f>
        <v>1</v>
      </c>
      <c r="H2010" s="15"/>
      <c r="I2010" s="15"/>
      <c r="J2010" s="15" t="s">
        <v>110</v>
      </c>
      <c r="K2010" s="15">
        <v>828229760</v>
      </c>
      <c r="L2010" s="15" t="s">
        <v>29</v>
      </c>
      <c r="M2010" s="15"/>
    </row>
    <row r="2011" spans="1:13" x14ac:dyDescent="0.25">
      <c r="A2011" s="23">
        <f t="shared" si="99"/>
        <v>195928</v>
      </c>
      <c r="B2011" s="14" t="str">
        <f t="shared" si="98"/>
        <v>Direct Debit (UMB Bank) - Credits</v>
      </c>
      <c r="C2011" s="37">
        <v>46150</v>
      </c>
      <c r="D2011" s="31">
        <v>195928</v>
      </c>
      <c r="E2011" s="33" t="str">
        <f>IF(Table3[[#This Row],[Type Received]]=2,"CC",(IF(Table3[[#This Row],[Type Received]]=3,"BILL","ACH")))</f>
        <v>ACH</v>
      </c>
      <c r="F2011" s="32">
        <v>29.29</v>
      </c>
      <c r="G2011" s="14" t="str">
        <f>VLOOKUP(D2011,Table4[],3,FALSE)</f>
        <v>1</v>
      </c>
      <c r="H2011" s="15">
        <v>75578887</v>
      </c>
      <c r="I2011" s="15"/>
      <c r="J2011" s="15"/>
      <c r="K2011" s="15"/>
      <c r="L2011" s="15"/>
      <c r="M2011" s="15" t="s">
        <v>29</v>
      </c>
    </row>
    <row r="2012" spans="1:13" x14ac:dyDescent="0.25">
      <c r="A2012" s="23">
        <f t="shared" si="99"/>
        <v>195948</v>
      </c>
      <c r="B2012" s="14" t="str">
        <f t="shared" si="98"/>
        <v>Direct Debit (UMB Bank) - Credits</v>
      </c>
      <c r="C2012" s="38">
        <v>46171</v>
      </c>
      <c r="D2012" s="34">
        <v>195948</v>
      </c>
      <c r="E2012" s="36" t="str">
        <f>IF(Table3[[#This Row],[Type Received]]=2,"CC",(IF(Table3[[#This Row],[Type Received]]=3,"BILL","ACH")))</f>
        <v>ACH</v>
      </c>
      <c r="F2012" s="35">
        <v>24.89</v>
      </c>
      <c r="G2012" s="14" t="str">
        <f>VLOOKUP(D2012,Table4[],3,FALSE)</f>
        <v>1</v>
      </c>
      <c r="H2012" s="15"/>
      <c r="I2012" s="15"/>
      <c r="J2012" s="15" t="s">
        <v>226</v>
      </c>
      <c r="K2012" s="15">
        <v>873083332</v>
      </c>
      <c r="L2012" s="15" t="s">
        <v>29</v>
      </c>
      <c r="M2012" s="15"/>
    </row>
    <row r="2013" spans="1:13" x14ac:dyDescent="0.25">
      <c r="A2013" s="23">
        <f t="shared" si="99"/>
        <v>196299</v>
      </c>
      <c r="B2013" s="14" t="str">
        <f t="shared" si="98"/>
        <v>Direct Debit (UMB Bank) - Credits</v>
      </c>
      <c r="C2013" s="37">
        <v>46158</v>
      </c>
      <c r="D2013" s="31">
        <v>196299</v>
      </c>
      <c r="E2013" s="33" t="str">
        <f>IF(Table3[[#This Row],[Type Received]]=2,"CC",(IF(Table3[[#This Row],[Type Received]]=3,"BILL","ACH")))</f>
        <v>ACH</v>
      </c>
      <c r="F2013" s="32">
        <v>40.61</v>
      </c>
      <c r="G2013" s="14" t="str">
        <f>VLOOKUP(D2013,Table4[],3,FALSE)</f>
        <v>2</v>
      </c>
      <c r="H2013" s="15"/>
      <c r="I2013" s="15"/>
      <c r="J2013" s="15" t="s">
        <v>106</v>
      </c>
      <c r="K2013" s="15">
        <v>710051610</v>
      </c>
      <c r="L2013" s="15" t="s">
        <v>29</v>
      </c>
      <c r="M2013" s="15" t="s">
        <v>29</v>
      </c>
    </row>
    <row r="2014" spans="1:13" x14ac:dyDescent="0.25">
      <c r="A2014" s="23">
        <f t="shared" si="99"/>
        <v>196300</v>
      </c>
      <c r="B2014" s="14" t="str">
        <f t="shared" si="98"/>
        <v>Billing - Credits (from TPA)</v>
      </c>
      <c r="C2014" s="38">
        <v>46145</v>
      </c>
      <c r="D2014" s="34">
        <v>196300</v>
      </c>
      <c r="E2014" s="36" t="str">
        <f>IF(Table3[[#This Row],[Type Received]]=2,"CC",(IF(Table3[[#This Row],[Type Received]]=3,"BILL","ACH")))</f>
        <v>BILL</v>
      </c>
      <c r="F2014" s="35">
        <v>126.41</v>
      </c>
      <c r="G2014" s="14" t="str">
        <f>VLOOKUP(D2014,Table4[],3,FALSE)</f>
        <v>2</v>
      </c>
      <c r="H2014" s="15"/>
      <c r="I2014" s="15"/>
      <c r="J2014" s="15" t="s">
        <v>113</v>
      </c>
      <c r="K2014" s="15">
        <v>546416025</v>
      </c>
      <c r="L2014" s="15" t="s">
        <v>29</v>
      </c>
      <c r="M2014" s="15"/>
    </row>
    <row r="2015" spans="1:13" x14ac:dyDescent="0.25">
      <c r="A2015" s="23">
        <f t="shared" si="99"/>
        <v>196344</v>
      </c>
      <c r="B2015" s="14" t="str">
        <f t="shared" si="98"/>
        <v>Direct Debit (UMB Bank) - Credits</v>
      </c>
      <c r="C2015" s="37">
        <v>46168</v>
      </c>
      <c r="D2015" s="31">
        <v>196344</v>
      </c>
      <c r="E2015" s="33" t="str">
        <f>IF(Table3[[#This Row],[Type Received]]=2,"CC",(IF(Table3[[#This Row],[Type Received]]=3,"BILL","ACH")))</f>
        <v>ACH</v>
      </c>
      <c r="F2015" s="32">
        <v>115.22</v>
      </c>
      <c r="G2015" s="14" t="str">
        <f>VLOOKUP(D2015,Table4[],3,FALSE)</f>
        <v>2</v>
      </c>
      <c r="H2015" s="15">
        <v>2845</v>
      </c>
      <c r="I2015" s="15"/>
      <c r="J2015" s="15"/>
      <c r="K2015" s="15"/>
      <c r="L2015" s="15"/>
      <c r="M2015" s="15"/>
    </row>
    <row r="2016" spans="1:13" x14ac:dyDescent="0.25">
      <c r="A2016" s="23">
        <f t="shared" si="99"/>
        <v>196393</v>
      </c>
      <c r="B2016" s="14" t="str">
        <f t="shared" si="98"/>
        <v>Direct Debit (UMB Bank) - Credits</v>
      </c>
      <c r="C2016" s="38">
        <v>46145</v>
      </c>
      <c r="D2016" s="34">
        <v>196393</v>
      </c>
      <c r="E2016" s="36" t="str">
        <f>IF(Table3[[#This Row],[Type Received]]=2,"CC",(IF(Table3[[#This Row],[Type Received]]=3,"BILL","ACH")))</f>
        <v>ACH</v>
      </c>
      <c r="F2016" s="35">
        <v>37.97</v>
      </c>
      <c r="G2016" s="14" t="str">
        <f>VLOOKUP(D2016,Table4[],3,FALSE)</f>
        <v>1</v>
      </c>
      <c r="H2016" s="15"/>
      <c r="I2016" s="15"/>
      <c r="J2016" s="24" t="s">
        <v>113</v>
      </c>
      <c r="K2016" s="15">
        <v>546423846</v>
      </c>
      <c r="L2016" s="15" t="s">
        <v>29</v>
      </c>
      <c r="M2016" s="15"/>
    </row>
    <row r="2017" spans="1:13" x14ac:dyDescent="0.25">
      <c r="A2017" s="23">
        <f t="shared" si="99"/>
        <v>196437</v>
      </c>
      <c r="B2017" s="14" t="str">
        <f t="shared" si="98"/>
        <v>Credit Cards (UMB) - Credits</v>
      </c>
      <c r="C2017" s="37">
        <v>46146</v>
      </c>
      <c r="D2017" s="31">
        <v>196437</v>
      </c>
      <c r="E2017" s="33" t="str">
        <f>IF(Table3[[#This Row],[Type Received]]=2,"CC",(IF(Table3[[#This Row],[Type Received]]=3,"BILL","ACH")))</f>
        <v>CC</v>
      </c>
      <c r="F2017" s="32">
        <v>45.7</v>
      </c>
      <c r="G2017" s="14" t="str">
        <f>VLOOKUP(D2017,Table4[],3,FALSE)</f>
        <v>1</v>
      </c>
      <c r="H2017" s="15"/>
      <c r="I2017" s="15"/>
      <c r="J2017" s="15" t="s">
        <v>92</v>
      </c>
      <c r="K2017" s="15">
        <v>562592991</v>
      </c>
      <c r="L2017" s="15" t="s">
        <v>29</v>
      </c>
      <c r="M2017" s="15" t="s">
        <v>29</v>
      </c>
    </row>
    <row r="2018" spans="1:13" x14ac:dyDescent="0.25">
      <c r="A2018" s="23">
        <f t="shared" si="99"/>
        <v>196534</v>
      </c>
      <c r="B2018" s="14" t="str">
        <f t="shared" si="98"/>
        <v>Billing - Credits (from TPA)</v>
      </c>
      <c r="C2018" s="38">
        <v>46145</v>
      </c>
      <c r="D2018" s="34">
        <v>196534</v>
      </c>
      <c r="E2018" s="36" t="str">
        <f>IF(Table3[[#This Row],[Type Received]]=2,"CC",(IF(Table3[[#This Row],[Type Received]]=3,"BILL","ACH")))</f>
        <v>BILL</v>
      </c>
      <c r="F2018" s="35">
        <v>60.08</v>
      </c>
      <c r="G2018" s="14" t="str">
        <f>VLOOKUP(D2018,Table4[],3,FALSE)</f>
        <v>2</v>
      </c>
      <c r="H2018" s="15"/>
      <c r="I2018" s="15">
        <v>190136</v>
      </c>
      <c r="J2018" s="15" t="s">
        <v>28</v>
      </c>
      <c r="K2018" s="15">
        <v>546436353</v>
      </c>
      <c r="L2018" s="15" t="s">
        <v>29</v>
      </c>
      <c r="M2018" s="15" t="s">
        <v>29</v>
      </c>
    </row>
    <row r="2019" spans="1:13" x14ac:dyDescent="0.25">
      <c r="A2019" s="23">
        <f t="shared" si="99"/>
        <v>196695</v>
      </c>
      <c r="B2019" s="14" t="str">
        <f t="shared" si="98"/>
        <v>Direct Debit (UMB Bank) - Credits</v>
      </c>
      <c r="C2019" s="37">
        <v>46147</v>
      </c>
      <c r="D2019" s="31">
        <v>196695</v>
      </c>
      <c r="E2019" s="33" t="str">
        <f>IF(Table3[[#This Row],[Type Received]]=2,"CC",(IF(Table3[[#This Row],[Type Received]]=3,"BILL","ACH")))</f>
        <v>ACH</v>
      </c>
      <c r="F2019" s="32">
        <v>33.380000000000003</v>
      </c>
      <c r="G2019" s="14" t="str">
        <f>VLOOKUP(D2019,Table4[],3,FALSE)</f>
        <v>1</v>
      </c>
      <c r="H2019" s="15">
        <v>109426762160</v>
      </c>
      <c r="I2019" s="15"/>
      <c r="J2019" s="24"/>
      <c r="K2019" s="15"/>
      <c r="L2019" s="15"/>
      <c r="M2019" s="15" t="s">
        <v>29</v>
      </c>
    </row>
    <row r="2020" spans="1:13" x14ac:dyDescent="0.25">
      <c r="A2020" s="23">
        <f t="shared" si="99"/>
        <v>196786</v>
      </c>
      <c r="B2020" s="14" t="str">
        <f t="shared" si="98"/>
        <v>Direct Debit (UMB Bank) - Credits</v>
      </c>
      <c r="C2020" s="38">
        <v>46168</v>
      </c>
      <c r="D2020" s="34">
        <v>196786</v>
      </c>
      <c r="E2020" s="36" t="str">
        <f>IF(Table3[[#This Row],[Type Received]]=2,"CC",(IF(Table3[[#This Row],[Type Received]]=3,"BILL","ACH")))</f>
        <v>ACH</v>
      </c>
      <c r="F2020" s="35">
        <v>97.18</v>
      </c>
      <c r="G2020" s="14" t="str">
        <f>VLOOKUP(D2020,Table4[],3,FALSE)</f>
        <v>1</v>
      </c>
      <c r="H2020" s="15"/>
      <c r="I2020" s="15"/>
      <c r="J2020" s="15" t="s">
        <v>110</v>
      </c>
      <c r="K2020" s="15">
        <v>833029225</v>
      </c>
      <c r="L2020" s="15" t="s">
        <v>29</v>
      </c>
      <c r="M2020" s="15" t="s">
        <v>29</v>
      </c>
    </row>
    <row r="2021" spans="1:13" x14ac:dyDescent="0.25">
      <c r="A2021" s="23">
        <f t="shared" si="99"/>
        <v>196812</v>
      </c>
      <c r="B2021" s="14" t="str">
        <f t="shared" si="98"/>
        <v>Direct Debit (UMB Bank) - Credits</v>
      </c>
      <c r="C2021" s="37">
        <v>46169</v>
      </c>
      <c r="D2021" s="31">
        <v>196812</v>
      </c>
      <c r="E2021" s="33" t="str">
        <f>IF(Table3[[#This Row],[Type Received]]=2,"CC",(IF(Table3[[#This Row],[Type Received]]=3,"BILL","ACH")))</f>
        <v>ACH</v>
      </c>
      <c r="F2021" s="32">
        <v>24.55</v>
      </c>
      <c r="G2021" s="14" t="str">
        <f>VLOOKUP(D2021,Table4[],3,FALSE)</f>
        <v>1</v>
      </c>
      <c r="H2021" s="15"/>
      <c r="I2021" s="15"/>
      <c r="J2021" s="15" t="s">
        <v>117</v>
      </c>
      <c r="K2021" s="15">
        <v>840839868</v>
      </c>
      <c r="L2021" s="15" t="s">
        <v>29</v>
      </c>
      <c r="M2021" s="15" t="s">
        <v>29</v>
      </c>
    </row>
    <row r="2022" spans="1:13" x14ac:dyDescent="0.25">
      <c r="A2022" s="23">
        <f t="shared" si="99"/>
        <v>196843</v>
      </c>
      <c r="B2022" s="14" t="str">
        <f t="shared" si="98"/>
        <v>Direct Debit (UMB Bank) - Credits</v>
      </c>
      <c r="C2022" s="38">
        <v>46158</v>
      </c>
      <c r="D2022" s="34">
        <v>196843</v>
      </c>
      <c r="E2022" s="36" t="str">
        <f>IF(Table3[[#This Row],[Type Received]]=2,"CC",(IF(Table3[[#This Row],[Type Received]]=3,"BILL","ACH")))</f>
        <v>ACH</v>
      </c>
      <c r="F2022" s="35">
        <v>30.71</v>
      </c>
      <c r="G2022" s="14" t="str">
        <f>VLOOKUP(D2022,Table4[],3,FALSE)</f>
        <v>2</v>
      </c>
      <c r="H2022" s="15"/>
      <c r="I2022" s="15"/>
      <c r="J2022" s="15" t="s">
        <v>106</v>
      </c>
      <c r="K2022" s="15">
        <v>710045080</v>
      </c>
      <c r="L2022" s="15" t="s">
        <v>29</v>
      </c>
      <c r="M2022" s="15" t="s">
        <v>29</v>
      </c>
    </row>
    <row r="2023" spans="1:13" x14ac:dyDescent="0.25">
      <c r="A2023" s="23">
        <f t="shared" si="99"/>
        <v>196845</v>
      </c>
      <c r="B2023" s="14" t="str">
        <f t="shared" si="98"/>
        <v>Billing - Credits (from TPA)</v>
      </c>
      <c r="C2023" s="37">
        <v>46158</v>
      </c>
      <c r="D2023" s="31">
        <v>196845</v>
      </c>
      <c r="E2023" s="33" t="str">
        <f>IF(Table3[[#This Row],[Type Received]]=2,"CC",(IF(Table3[[#This Row],[Type Received]]=3,"BILL","ACH")))</f>
        <v>BILL</v>
      </c>
      <c r="F2023" s="32">
        <v>23.45</v>
      </c>
      <c r="G2023" s="14" t="str">
        <f>VLOOKUP(D2023,Table4[],3,FALSE)</f>
        <v>2</v>
      </c>
      <c r="H2023" s="15"/>
      <c r="I2023" s="15"/>
      <c r="J2023" s="24" t="s">
        <v>106</v>
      </c>
      <c r="K2023" s="15">
        <v>710067181</v>
      </c>
      <c r="L2023" s="15" t="s">
        <v>29</v>
      </c>
      <c r="M2023" s="15" t="s">
        <v>29</v>
      </c>
    </row>
    <row r="2024" spans="1:13" x14ac:dyDescent="0.25">
      <c r="A2024" s="23">
        <f t="shared" si="99"/>
        <v>196915</v>
      </c>
      <c r="B2024" s="14" t="str">
        <f t="shared" si="98"/>
        <v>Billing - Credits (from TPA)</v>
      </c>
      <c r="C2024" s="38">
        <v>46169</v>
      </c>
      <c r="D2024" s="34">
        <v>196915</v>
      </c>
      <c r="E2024" s="36" t="str">
        <f>IF(Table3[[#This Row],[Type Received]]=2,"CC",(IF(Table3[[#This Row],[Type Received]]=3,"BILL","ACH")))</f>
        <v>BILL</v>
      </c>
      <c r="F2024" s="35">
        <v>33.69</v>
      </c>
      <c r="G2024" s="14" t="str">
        <f>VLOOKUP(D2024,Table4[],3,FALSE)</f>
        <v>2</v>
      </c>
      <c r="H2024" s="15">
        <v>7872</v>
      </c>
      <c r="I2024" s="15"/>
      <c r="J2024" s="15"/>
      <c r="K2024" s="15"/>
      <c r="L2024" s="15"/>
      <c r="M2024" s="15" t="s">
        <v>29</v>
      </c>
    </row>
    <row r="2025" spans="1:13" x14ac:dyDescent="0.25">
      <c r="A2025" s="23">
        <f t="shared" si="99"/>
        <v>196915</v>
      </c>
      <c r="B2025" s="14" t="str">
        <f t="shared" si="98"/>
        <v>Direct Debit (UMB Bank) - Credits</v>
      </c>
      <c r="C2025" s="37">
        <v>46146</v>
      </c>
      <c r="D2025" s="31">
        <v>196915</v>
      </c>
      <c r="E2025" s="33" t="str">
        <f>IF(Table3[[#This Row],[Type Received]]=2,"CC",(IF(Table3[[#This Row],[Type Received]]=3,"BILL","ACH")))</f>
        <v>ACH</v>
      </c>
      <c r="F2025" s="32">
        <v>33.69</v>
      </c>
      <c r="G2025" s="14" t="str">
        <f>VLOOKUP(D2025,Table4[],3,FALSE)</f>
        <v>2</v>
      </c>
      <c r="H2025" s="15">
        <v>7868</v>
      </c>
      <c r="I2025" s="15"/>
      <c r="J2025" s="15"/>
      <c r="K2025" s="15"/>
      <c r="L2025" s="15"/>
      <c r="M2025" s="15" t="s">
        <v>29</v>
      </c>
    </row>
    <row r="2026" spans="1:13" x14ac:dyDescent="0.25">
      <c r="A2026" s="23">
        <f t="shared" si="99"/>
        <v>197045</v>
      </c>
      <c r="B2026" s="14" t="str">
        <f t="shared" si="98"/>
        <v>Direct Debit (UMB Bank) - Credits</v>
      </c>
      <c r="C2026" s="38">
        <v>46145</v>
      </c>
      <c r="D2026" s="34">
        <v>197045</v>
      </c>
      <c r="E2026" s="36" t="str">
        <f>IF(Table3[[#This Row],[Type Received]]=2,"CC",(IF(Table3[[#This Row],[Type Received]]=3,"BILL","ACH")))</f>
        <v>ACH</v>
      </c>
      <c r="F2026" s="35">
        <v>11.79</v>
      </c>
      <c r="G2026" s="14" t="str">
        <f>VLOOKUP(D2026,Table4[],3,FALSE)</f>
        <v>1</v>
      </c>
      <c r="H2026" s="15"/>
      <c r="I2026" s="15"/>
      <c r="J2026" s="15" t="s">
        <v>113</v>
      </c>
      <c r="K2026" s="15">
        <v>546426704</v>
      </c>
      <c r="L2026" s="15" t="s">
        <v>29</v>
      </c>
      <c r="M2026" s="15" t="s">
        <v>29</v>
      </c>
    </row>
    <row r="2027" spans="1:13" x14ac:dyDescent="0.25">
      <c r="A2027" s="23">
        <f t="shared" si="99"/>
        <v>197096</v>
      </c>
      <c r="B2027" s="14" t="str">
        <f t="shared" si="98"/>
        <v>Credit Cards (UMB) - Credits</v>
      </c>
      <c r="C2027" s="37">
        <v>46145</v>
      </c>
      <c r="D2027" s="31">
        <v>197096</v>
      </c>
      <c r="E2027" s="33" t="str">
        <f>IF(Table3[[#This Row],[Type Received]]=2,"CC",(IF(Table3[[#This Row],[Type Received]]=3,"BILL","ACH")))</f>
        <v>CC</v>
      </c>
      <c r="F2027" s="32">
        <v>45.23</v>
      </c>
      <c r="G2027" s="14" t="str">
        <f>VLOOKUP(D2027,Table4[],3,FALSE)</f>
        <v>2</v>
      </c>
      <c r="H2027" s="15"/>
      <c r="I2027" s="15"/>
      <c r="J2027" s="15" t="s">
        <v>113</v>
      </c>
      <c r="K2027" s="15">
        <v>546428606</v>
      </c>
      <c r="L2027" s="15" t="s">
        <v>29</v>
      </c>
      <c r="M2027" s="15" t="s">
        <v>29</v>
      </c>
    </row>
    <row r="2028" spans="1:13" x14ac:dyDescent="0.25">
      <c r="A2028" s="23">
        <f t="shared" si="99"/>
        <v>197100</v>
      </c>
      <c r="B2028" s="14" t="str">
        <f t="shared" si="98"/>
        <v>Direct Debit (UMB Bank) - Credits</v>
      </c>
      <c r="C2028" s="38">
        <v>46147</v>
      </c>
      <c r="D2028" s="34">
        <v>197100</v>
      </c>
      <c r="E2028" s="36" t="str">
        <f>IF(Table3[[#This Row],[Type Received]]=2,"CC",(IF(Table3[[#This Row],[Type Received]]=3,"BILL","ACH")))</f>
        <v>ACH</v>
      </c>
      <c r="F2028" s="35">
        <v>143.62</v>
      </c>
      <c r="G2028" s="14" t="str">
        <f>VLOOKUP(D2028,Table4[],3,FALSE)</f>
        <v>2</v>
      </c>
      <c r="H2028" s="15"/>
      <c r="I2028" s="15">
        <v>887415</v>
      </c>
      <c r="J2028" s="15" t="s">
        <v>28</v>
      </c>
      <c r="K2028" s="15">
        <v>572833750</v>
      </c>
      <c r="L2028" s="15" t="s">
        <v>29</v>
      </c>
      <c r="M2028" s="15" t="s">
        <v>29</v>
      </c>
    </row>
    <row r="2029" spans="1:13" x14ac:dyDescent="0.25">
      <c r="A2029" s="23">
        <f t="shared" si="99"/>
        <v>197143</v>
      </c>
      <c r="B2029" s="14" t="str">
        <f t="shared" si="98"/>
        <v>Billing - Credits (from TPA)</v>
      </c>
      <c r="C2029" s="37">
        <v>46143</v>
      </c>
      <c r="D2029" s="31">
        <v>197143</v>
      </c>
      <c r="E2029" s="33" t="str">
        <f>IF(Table3[[#This Row],[Type Received]]=2,"CC",(IF(Table3[[#This Row],[Type Received]]=3,"BILL","ACH")))</f>
        <v>BILL</v>
      </c>
      <c r="F2029" s="32">
        <v>222.26</v>
      </c>
      <c r="G2029" s="14" t="str">
        <f>VLOOKUP(D2029,Table4[],3,FALSE)</f>
        <v>1</v>
      </c>
      <c r="H2029" s="15"/>
      <c r="I2029" s="15"/>
      <c r="J2029" s="24" t="s">
        <v>84</v>
      </c>
      <c r="K2029" s="15">
        <v>525590601</v>
      </c>
      <c r="L2029" s="15" t="s">
        <v>29</v>
      </c>
      <c r="M2029" s="15" t="s">
        <v>29</v>
      </c>
    </row>
    <row r="2030" spans="1:13" x14ac:dyDescent="0.25">
      <c r="A2030" s="23">
        <f t="shared" si="99"/>
        <v>197177</v>
      </c>
      <c r="B2030" s="14" t="str">
        <f t="shared" si="98"/>
        <v>Direct Debit (UMB Bank) - Credits</v>
      </c>
      <c r="C2030" s="38">
        <v>46168</v>
      </c>
      <c r="D2030" s="34">
        <v>197177</v>
      </c>
      <c r="E2030" s="36" t="str">
        <f>IF(Table3[[#This Row],[Type Received]]=2,"CC",(IF(Table3[[#This Row],[Type Received]]=3,"BILL","ACH")))</f>
        <v>ACH</v>
      </c>
      <c r="F2030" s="35">
        <v>168.21</v>
      </c>
      <c r="G2030" s="14" t="str">
        <f>VLOOKUP(D2030,Table4[],3,FALSE)</f>
        <v>1</v>
      </c>
      <c r="H2030" s="15">
        <v>6226</v>
      </c>
      <c r="I2030" s="15"/>
      <c r="J2030" s="15"/>
      <c r="K2030" s="15"/>
      <c r="L2030" s="15"/>
      <c r="M2030" s="15"/>
    </row>
    <row r="2031" spans="1:13" x14ac:dyDescent="0.25">
      <c r="A2031" s="23">
        <f t="shared" si="99"/>
        <v>197233</v>
      </c>
      <c r="B2031" s="14" t="str">
        <f t="shared" si="98"/>
        <v>Direct Debit (UMB Bank) - Credits</v>
      </c>
      <c r="C2031" s="37">
        <v>46158</v>
      </c>
      <c r="D2031" s="31">
        <v>197233</v>
      </c>
      <c r="E2031" s="33" t="str">
        <f>IF(Table3[[#This Row],[Type Received]]=2,"CC",(IF(Table3[[#This Row],[Type Received]]=3,"BILL","ACH")))</f>
        <v>ACH</v>
      </c>
      <c r="F2031" s="32">
        <v>13.11</v>
      </c>
      <c r="G2031" s="14" t="str">
        <f>VLOOKUP(D2031,Table4[],3,FALSE)</f>
        <v>1</v>
      </c>
      <c r="H2031" s="15"/>
      <c r="I2031" s="15"/>
      <c r="J2031" s="15" t="s">
        <v>106</v>
      </c>
      <c r="K2031" s="15">
        <v>710056477</v>
      </c>
      <c r="L2031" s="15" t="s">
        <v>29</v>
      </c>
      <c r="M2031" s="15"/>
    </row>
    <row r="2032" spans="1:13" x14ac:dyDescent="0.25">
      <c r="A2032" s="23">
        <f t="shared" si="99"/>
        <v>197612</v>
      </c>
      <c r="B2032" s="14" t="str">
        <f t="shared" si="98"/>
        <v>Credit Cards (UMB) - Credits</v>
      </c>
      <c r="C2032" s="38">
        <v>46169</v>
      </c>
      <c r="D2032" s="34">
        <v>197612</v>
      </c>
      <c r="E2032" s="36" t="str">
        <f>IF(Table3[[#This Row],[Type Received]]=2,"CC",(IF(Table3[[#This Row],[Type Received]]=3,"BILL","ACH")))</f>
        <v>CC</v>
      </c>
      <c r="F2032" s="35">
        <v>54.8</v>
      </c>
      <c r="G2032" s="14" t="str">
        <f>VLOOKUP(D2032,Table4[],3,FALSE)</f>
        <v>2</v>
      </c>
      <c r="H2032" s="15"/>
      <c r="I2032" s="15"/>
      <c r="J2032" s="15" t="s">
        <v>117</v>
      </c>
      <c r="K2032" s="15">
        <v>840862116</v>
      </c>
      <c r="L2032" s="15" t="s">
        <v>29</v>
      </c>
      <c r="M2032" s="15" t="s">
        <v>29</v>
      </c>
    </row>
    <row r="2033" spans="1:13" x14ac:dyDescent="0.25">
      <c r="A2033" s="23">
        <f t="shared" si="99"/>
        <v>197618</v>
      </c>
      <c r="B2033" s="14" t="str">
        <f t="shared" si="98"/>
        <v>Direct Debit (UMB Bank) - Credits</v>
      </c>
      <c r="C2033" s="37">
        <v>46145</v>
      </c>
      <c r="D2033" s="31">
        <v>197618</v>
      </c>
      <c r="E2033" s="33" t="str">
        <f>IF(Table3[[#This Row],[Type Received]]=2,"CC",(IF(Table3[[#This Row],[Type Received]]=3,"BILL","ACH")))</f>
        <v>ACH</v>
      </c>
      <c r="F2033" s="32">
        <v>82.19</v>
      </c>
      <c r="G2033" s="14" t="str">
        <f>VLOOKUP(D2033,Table4[],3,FALSE)</f>
        <v>2</v>
      </c>
      <c r="H2033" s="15"/>
      <c r="I2033" s="15">
        <v>601194</v>
      </c>
      <c r="J2033" s="24" t="s">
        <v>28</v>
      </c>
      <c r="K2033" s="15">
        <v>546416051</v>
      </c>
      <c r="L2033" s="15" t="s">
        <v>29</v>
      </c>
      <c r="M2033" s="15" t="s">
        <v>29</v>
      </c>
    </row>
    <row r="2034" spans="1:13" x14ac:dyDescent="0.25">
      <c r="A2034" s="23">
        <f t="shared" ref="A2034:A2065" si="100">D2034</f>
        <v>197658</v>
      </c>
      <c r="B2034" s="14" t="str">
        <f t="shared" si="98"/>
        <v>Billing - Credits (from TPA)</v>
      </c>
      <c r="C2034" s="38">
        <v>46158</v>
      </c>
      <c r="D2034" s="34">
        <v>197658</v>
      </c>
      <c r="E2034" s="36" t="str">
        <f>IF(Table3[[#This Row],[Type Received]]=2,"CC",(IF(Table3[[#This Row],[Type Received]]=3,"BILL","ACH")))</f>
        <v>BILL</v>
      </c>
      <c r="F2034" s="35">
        <v>32.36</v>
      </c>
      <c r="G2034" s="14" t="str">
        <f>VLOOKUP(D2034,Table4[],3,FALSE)</f>
        <v>2</v>
      </c>
      <c r="H2034" s="15"/>
      <c r="I2034" s="15"/>
      <c r="J2034" s="15" t="s">
        <v>106</v>
      </c>
      <c r="K2034" s="15">
        <v>710046955</v>
      </c>
      <c r="L2034" s="15" t="s">
        <v>29</v>
      </c>
      <c r="M2034" s="15" t="s">
        <v>29</v>
      </c>
    </row>
    <row r="2035" spans="1:13" x14ac:dyDescent="0.25">
      <c r="A2035" s="23">
        <f t="shared" si="100"/>
        <v>198005</v>
      </c>
      <c r="B2035" s="14" t="str">
        <f t="shared" si="98"/>
        <v>Billing - Credits (from TPA)</v>
      </c>
      <c r="C2035" s="37">
        <v>46147</v>
      </c>
      <c r="D2035" s="31">
        <v>198005</v>
      </c>
      <c r="E2035" s="33" t="str">
        <f>IF(Table3[[#This Row],[Type Received]]=2,"CC",(IF(Table3[[#This Row],[Type Received]]=3,"BILL","ACH")))</f>
        <v>BILL</v>
      </c>
      <c r="F2035" s="32">
        <v>55.91</v>
      </c>
      <c r="G2035" s="14" t="str">
        <f>VLOOKUP(D2035,Table4[],3,FALSE)</f>
        <v>1</v>
      </c>
      <c r="H2035" s="15">
        <v>1038</v>
      </c>
      <c r="I2035" s="15"/>
      <c r="J2035" s="15"/>
      <c r="K2035" s="15"/>
      <c r="L2035" s="15"/>
      <c r="M2035" s="15" t="s">
        <v>29</v>
      </c>
    </row>
    <row r="2036" spans="1:13" x14ac:dyDescent="0.25">
      <c r="A2036" s="23">
        <f t="shared" si="100"/>
        <v>198088</v>
      </c>
      <c r="B2036" s="14" t="str">
        <f t="shared" si="98"/>
        <v>Direct Debit (UMB Bank) - Credits</v>
      </c>
      <c r="C2036" s="38">
        <v>46146</v>
      </c>
      <c r="D2036" s="34">
        <v>198088</v>
      </c>
      <c r="E2036" s="36" t="str">
        <f>IF(Table3[[#This Row],[Type Received]]=2,"CC",(IF(Table3[[#This Row],[Type Received]]=3,"BILL","ACH")))</f>
        <v>ACH</v>
      </c>
      <c r="F2036" s="35">
        <v>21.15</v>
      </c>
      <c r="G2036" s="14" t="str">
        <f>VLOOKUP(D2036,Table4[],3,FALSE)</f>
        <v>1</v>
      </c>
      <c r="H2036" s="15">
        <v>1004</v>
      </c>
      <c r="I2036" s="15"/>
      <c r="J2036" s="15"/>
      <c r="K2036" s="15"/>
      <c r="L2036" s="15"/>
      <c r="M2036" s="15"/>
    </row>
    <row r="2037" spans="1:13" x14ac:dyDescent="0.25">
      <c r="A2037" s="23">
        <f t="shared" si="100"/>
        <v>198095</v>
      </c>
      <c r="B2037" s="14" t="str">
        <f t="shared" si="98"/>
        <v>Credit Cards (UMB) - Credits</v>
      </c>
      <c r="C2037" s="37">
        <v>46158</v>
      </c>
      <c r="D2037" s="31">
        <v>198095</v>
      </c>
      <c r="E2037" s="33" t="str">
        <f>IF(Table3[[#This Row],[Type Received]]=2,"CC",(IF(Table3[[#This Row],[Type Received]]=3,"BILL","ACH")))</f>
        <v>CC</v>
      </c>
      <c r="F2037" s="32">
        <v>33.79</v>
      </c>
      <c r="G2037" s="14" t="str">
        <f>VLOOKUP(D2037,Table4[],3,FALSE)</f>
        <v>1</v>
      </c>
      <c r="H2037" s="15"/>
      <c r="I2037" s="15"/>
      <c r="J2037" s="15" t="s">
        <v>106</v>
      </c>
      <c r="K2037" s="15">
        <v>710058396</v>
      </c>
      <c r="L2037" s="15" t="s">
        <v>29</v>
      </c>
      <c r="M2037" s="15" t="s">
        <v>29</v>
      </c>
    </row>
    <row r="2038" spans="1:13" x14ac:dyDescent="0.25">
      <c r="A2038" s="23">
        <f t="shared" si="100"/>
        <v>198133</v>
      </c>
      <c r="B2038" s="14" t="str">
        <f t="shared" si="98"/>
        <v>Direct Debit (UMB Bank) - Credits</v>
      </c>
      <c r="C2038" s="38">
        <v>46143</v>
      </c>
      <c r="D2038" s="34">
        <v>198133</v>
      </c>
      <c r="E2038" s="36" t="str">
        <f>IF(Table3[[#This Row],[Type Received]]=2,"CC",(IF(Table3[[#This Row],[Type Received]]=3,"BILL","ACH")))</f>
        <v>ACH</v>
      </c>
      <c r="F2038" s="35">
        <v>24.44</v>
      </c>
      <c r="G2038" s="14" t="str">
        <f>VLOOKUP(D2038,Table4[],3,FALSE)</f>
        <v>2</v>
      </c>
      <c r="H2038" s="15"/>
      <c r="I2038" s="15">
        <v>109123</v>
      </c>
      <c r="J2038" s="24" t="s">
        <v>28</v>
      </c>
      <c r="K2038" s="15">
        <v>522176419</v>
      </c>
      <c r="L2038" s="15" t="s">
        <v>29</v>
      </c>
      <c r="M2038" s="15"/>
    </row>
    <row r="2039" spans="1:13" x14ac:dyDescent="0.25">
      <c r="A2039" s="23">
        <f t="shared" si="100"/>
        <v>198191</v>
      </c>
      <c r="B2039" s="14" t="str">
        <f t="shared" si="98"/>
        <v>Direct Debit (UMB Bank) - Credits</v>
      </c>
      <c r="C2039" s="37">
        <v>46145</v>
      </c>
      <c r="D2039" s="31">
        <v>198191</v>
      </c>
      <c r="E2039" s="33" t="str">
        <f>IF(Table3[[#This Row],[Type Received]]=2,"CC",(IF(Table3[[#This Row],[Type Received]]=3,"BILL","ACH")))</f>
        <v>ACH</v>
      </c>
      <c r="F2039" s="32">
        <v>71.63</v>
      </c>
      <c r="G2039" s="14" t="str">
        <f>VLOOKUP(D2039,Table4[],3,FALSE)</f>
        <v>1</v>
      </c>
      <c r="H2039" s="15"/>
      <c r="I2039" s="15"/>
      <c r="J2039" s="15" t="s">
        <v>113</v>
      </c>
      <c r="K2039" s="15">
        <v>546434433</v>
      </c>
      <c r="L2039" s="15" t="s">
        <v>29</v>
      </c>
      <c r="M2039" s="15" t="s">
        <v>29</v>
      </c>
    </row>
    <row r="2040" spans="1:13" x14ac:dyDescent="0.25">
      <c r="A2040" s="23">
        <f t="shared" si="100"/>
        <v>197807</v>
      </c>
      <c r="B2040" s="14" t="str">
        <f t="shared" si="98"/>
        <v>Direct Debit (UMB Bank) - Credits</v>
      </c>
      <c r="C2040" s="38">
        <v>46169</v>
      </c>
      <c r="D2040" s="34">
        <v>197807</v>
      </c>
      <c r="E2040" s="36" t="str">
        <f>IF(Table3[[#This Row],[Type Received]]=2,"CC",(IF(Table3[[#This Row],[Type Received]]=3,"BILL","ACH")))</f>
        <v>ACH</v>
      </c>
      <c r="F2040" s="35">
        <v>25.76</v>
      </c>
      <c r="G2040" s="14" t="str">
        <f>VLOOKUP(D2040,Table4[],3,FALSE)</f>
        <v>2</v>
      </c>
      <c r="H2040" s="15"/>
      <c r="I2040" s="15"/>
      <c r="J2040" s="15" t="s">
        <v>117</v>
      </c>
      <c r="K2040" s="15">
        <v>840834077</v>
      </c>
      <c r="L2040" s="15" t="s">
        <v>29</v>
      </c>
      <c r="M2040" s="15" t="s">
        <v>29</v>
      </c>
    </row>
    <row r="2041" spans="1:13" x14ac:dyDescent="0.25">
      <c r="A2041" s="23">
        <f t="shared" si="100"/>
        <v>197916</v>
      </c>
      <c r="B2041" s="14" t="str">
        <f t="shared" si="98"/>
        <v>Direct Debit (UMB Bank) - Credits</v>
      </c>
      <c r="C2041" s="37">
        <v>46158</v>
      </c>
      <c r="D2041" s="31">
        <v>197916</v>
      </c>
      <c r="E2041" s="33" t="str">
        <f>IF(Table3[[#This Row],[Type Received]]=2,"CC",(IF(Table3[[#This Row],[Type Received]]=3,"BILL","ACH")))</f>
        <v>ACH</v>
      </c>
      <c r="F2041" s="32">
        <v>40.950000000000003</v>
      </c>
      <c r="G2041" s="14" t="str">
        <f>VLOOKUP(D2041,Table4[],3,FALSE)</f>
        <v>1</v>
      </c>
      <c r="H2041" s="15"/>
      <c r="I2041" s="15"/>
      <c r="J2041" s="15" t="s">
        <v>106</v>
      </c>
      <c r="K2041" s="15">
        <v>710046987</v>
      </c>
      <c r="L2041" s="15" t="s">
        <v>29</v>
      </c>
      <c r="M2041" s="15"/>
    </row>
    <row r="2042" spans="1:13" x14ac:dyDescent="0.25">
      <c r="A2042" s="23">
        <f t="shared" si="100"/>
        <v>197955</v>
      </c>
      <c r="B2042" s="14" t="str">
        <f t="shared" si="98"/>
        <v>Credit Cards (UMB) - Credits</v>
      </c>
      <c r="C2042" s="38">
        <v>46145</v>
      </c>
      <c r="D2042" s="34">
        <v>197955</v>
      </c>
      <c r="E2042" s="36" t="str">
        <f>IF(Table3[[#This Row],[Type Received]]=2,"CC",(IF(Table3[[#This Row],[Type Received]]=3,"BILL","ACH")))</f>
        <v>CC</v>
      </c>
      <c r="F2042" s="35">
        <v>28.07</v>
      </c>
      <c r="G2042" s="14" t="str">
        <f>VLOOKUP(D2042,Table4[],3,FALSE)</f>
        <v>2</v>
      </c>
      <c r="H2042" s="15"/>
      <c r="I2042" s="15"/>
      <c r="J2042" s="15" t="s">
        <v>113</v>
      </c>
      <c r="K2042" s="15">
        <v>546419080</v>
      </c>
      <c r="L2042" s="15" t="s">
        <v>29</v>
      </c>
      <c r="M2042" s="15" t="s">
        <v>29</v>
      </c>
    </row>
    <row r="2043" spans="1:13" x14ac:dyDescent="0.25">
      <c r="A2043" s="23">
        <f t="shared" si="100"/>
        <v>197982</v>
      </c>
      <c r="B2043" s="14" t="str">
        <f t="shared" si="98"/>
        <v>Credit Cards (UMB) - Credits</v>
      </c>
      <c r="C2043" s="37">
        <v>46169</v>
      </c>
      <c r="D2043" s="31">
        <v>197982</v>
      </c>
      <c r="E2043" s="33" t="str">
        <f>IF(Table3[[#This Row],[Type Received]]=2,"CC",(IF(Table3[[#This Row],[Type Received]]=3,"BILL","ACH")))</f>
        <v>CC</v>
      </c>
      <c r="F2043" s="32">
        <v>30.39</v>
      </c>
      <c r="G2043" s="14" t="str">
        <f>VLOOKUP(D2043,Table4[],3,FALSE)</f>
        <v>2</v>
      </c>
      <c r="H2043" s="15"/>
      <c r="I2043" s="15">
        <v>101632</v>
      </c>
      <c r="J2043" s="15" t="s">
        <v>28</v>
      </c>
      <c r="K2043" s="15">
        <v>843878757</v>
      </c>
      <c r="L2043" s="15" t="s">
        <v>29</v>
      </c>
      <c r="M2043" s="15" t="s">
        <v>29</v>
      </c>
    </row>
    <row r="2044" spans="1:13" x14ac:dyDescent="0.25">
      <c r="A2044" s="23">
        <f t="shared" si="100"/>
        <v>197982</v>
      </c>
      <c r="B2044" s="14" t="str">
        <f t="shared" si="98"/>
        <v>Direct Debit (UMB Bank) - Credits</v>
      </c>
      <c r="C2044" s="38">
        <v>46143</v>
      </c>
      <c r="D2044" s="34">
        <v>197982</v>
      </c>
      <c r="E2044" s="36" t="str">
        <f>IF(Table3[[#This Row],[Type Received]]=2,"CC",(IF(Table3[[#This Row],[Type Received]]=3,"BILL","ACH")))</f>
        <v>ACH</v>
      </c>
      <c r="F2044" s="35">
        <v>30.39</v>
      </c>
      <c r="G2044" s="14" t="str">
        <f>VLOOKUP(D2044,Table4[],3,FALSE)</f>
        <v>2</v>
      </c>
      <c r="H2044" s="15"/>
      <c r="I2044" s="15">
        <v>125948</v>
      </c>
      <c r="J2044" s="15" t="s">
        <v>28</v>
      </c>
      <c r="K2044" s="15">
        <v>522746165</v>
      </c>
      <c r="L2044" s="15" t="s">
        <v>29</v>
      </c>
      <c r="M2044" s="15" t="s">
        <v>29</v>
      </c>
    </row>
    <row r="2045" spans="1:13" x14ac:dyDescent="0.25">
      <c r="A2045" s="23">
        <f t="shared" si="100"/>
        <v>198217</v>
      </c>
      <c r="B2045" s="14" t="str">
        <f t="shared" si="98"/>
        <v>Billing - Credits (from TPA)</v>
      </c>
      <c r="C2045" s="37">
        <v>46145</v>
      </c>
      <c r="D2045" s="31">
        <v>198217</v>
      </c>
      <c r="E2045" s="33" t="str">
        <f>IF(Table3[[#This Row],[Type Received]]=2,"CC",(IF(Table3[[#This Row],[Type Received]]=3,"BILL","ACH")))</f>
        <v>BILL</v>
      </c>
      <c r="F2045" s="32">
        <v>14.87</v>
      </c>
      <c r="G2045" s="14" t="str">
        <f>VLOOKUP(D2045,Table4[],3,FALSE)</f>
        <v>1</v>
      </c>
      <c r="H2045" s="15"/>
      <c r="I2045" s="15"/>
      <c r="J2045" s="15" t="s">
        <v>113</v>
      </c>
      <c r="K2045" s="15">
        <v>546449556</v>
      </c>
      <c r="L2045" s="15" t="s">
        <v>29</v>
      </c>
      <c r="M2045" s="15" t="s">
        <v>29</v>
      </c>
    </row>
    <row r="2046" spans="1:13" x14ac:dyDescent="0.25">
      <c r="A2046" s="23">
        <f t="shared" si="100"/>
        <v>198337</v>
      </c>
      <c r="B2046" s="14" t="str">
        <f t="shared" si="98"/>
        <v>Billing - Credits (from TPA)</v>
      </c>
      <c r="C2046" s="38">
        <v>46171</v>
      </c>
      <c r="D2046" s="34">
        <v>198337</v>
      </c>
      <c r="E2046" s="36" t="str">
        <f>IF(Table3[[#This Row],[Type Received]]=2,"CC",(IF(Table3[[#This Row],[Type Received]]=3,"BILL","ACH")))</f>
        <v>BILL</v>
      </c>
      <c r="F2046" s="35">
        <v>29.07</v>
      </c>
      <c r="G2046" s="14" t="str">
        <f>VLOOKUP(D2046,Table4[],3,FALSE)</f>
        <v>2</v>
      </c>
      <c r="H2046" s="15">
        <v>3961</v>
      </c>
      <c r="I2046" s="15"/>
      <c r="J2046" s="15"/>
      <c r="K2046" s="15"/>
      <c r="L2046" s="15"/>
      <c r="M2046" s="15" t="s">
        <v>29</v>
      </c>
    </row>
    <row r="2047" spans="1:13" x14ac:dyDescent="0.25">
      <c r="A2047" s="23">
        <f t="shared" si="100"/>
        <v>198350</v>
      </c>
      <c r="B2047" s="14" t="str">
        <f t="shared" si="98"/>
        <v>Direct Debit (UMB Bank) - Credits</v>
      </c>
      <c r="C2047" s="37">
        <v>46169</v>
      </c>
      <c r="D2047" s="31">
        <v>198350</v>
      </c>
      <c r="E2047" s="33" t="str">
        <f>IF(Table3[[#This Row],[Type Received]]=2,"CC",(IF(Table3[[#This Row],[Type Received]]=3,"BILL","ACH")))</f>
        <v>ACH</v>
      </c>
      <c r="F2047" s="32">
        <v>24.15</v>
      </c>
      <c r="G2047" s="14" t="str">
        <f>VLOOKUP(D2047,Table4[],3,FALSE)</f>
        <v>1</v>
      </c>
      <c r="H2047" s="15">
        <v>11963</v>
      </c>
      <c r="I2047" s="15"/>
      <c r="J2047" s="15"/>
      <c r="K2047" s="15"/>
      <c r="L2047" s="15"/>
      <c r="M2047" s="15" t="s">
        <v>29</v>
      </c>
    </row>
    <row r="2048" spans="1:13" x14ac:dyDescent="0.25">
      <c r="A2048" s="23">
        <f t="shared" si="100"/>
        <v>198492</v>
      </c>
      <c r="B2048" s="14" t="str">
        <f t="shared" si="98"/>
        <v>Credit Cards (UMB) - Credits</v>
      </c>
      <c r="C2048" s="38">
        <v>46157</v>
      </c>
      <c r="D2048" s="34">
        <v>198492</v>
      </c>
      <c r="E2048" s="36" t="str">
        <f>IF(Table3[[#This Row],[Type Received]]=2,"CC",(IF(Table3[[#This Row],[Type Received]]=3,"BILL","ACH")))</f>
        <v>CC</v>
      </c>
      <c r="F2048" s="35">
        <v>104.96</v>
      </c>
      <c r="G2048" s="14" t="str">
        <f>VLOOKUP(D2048,Table4[],3,FALSE)</f>
        <v>2</v>
      </c>
      <c r="H2048" s="15"/>
      <c r="I2048" s="15"/>
      <c r="J2048" s="15" t="s">
        <v>87</v>
      </c>
      <c r="K2048" s="15">
        <v>696588976</v>
      </c>
      <c r="L2048" s="15" t="s">
        <v>29</v>
      </c>
      <c r="M2048" s="15" t="s">
        <v>29</v>
      </c>
    </row>
    <row r="2049" spans="1:13" x14ac:dyDescent="0.25">
      <c r="A2049" s="23">
        <f t="shared" si="100"/>
        <v>198555</v>
      </c>
      <c r="B2049" s="14" t="str">
        <f t="shared" si="98"/>
        <v>Direct Debit (UMB Bank) - Credits</v>
      </c>
      <c r="C2049" s="37">
        <v>46147</v>
      </c>
      <c r="D2049" s="31">
        <v>198555</v>
      </c>
      <c r="E2049" s="33" t="str">
        <f>IF(Table3[[#This Row],[Type Received]]=2,"CC",(IF(Table3[[#This Row],[Type Received]]=3,"BILL","ACH")))</f>
        <v>ACH</v>
      </c>
      <c r="F2049" s="32">
        <v>33.25</v>
      </c>
      <c r="G2049" s="14" t="str">
        <f>VLOOKUP(D2049,Table4[],3,FALSE)</f>
        <v>1</v>
      </c>
      <c r="H2049" s="15"/>
      <c r="I2049" s="15">
        <v>10949</v>
      </c>
      <c r="J2049" s="15" t="s">
        <v>28</v>
      </c>
      <c r="K2049" s="15">
        <v>572948485</v>
      </c>
      <c r="L2049" s="15" t="s">
        <v>29</v>
      </c>
      <c r="M2049" s="15" t="s">
        <v>29</v>
      </c>
    </row>
    <row r="2050" spans="1:13" x14ac:dyDescent="0.25">
      <c r="A2050" s="23">
        <f t="shared" si="100"/>
        <v>198750</v>
      </c>
      <c r="B2050" s="14" t="str">
        <f t="shared" ref="B2050:B2113" si="101">IF(AND(E2050="BILL",F2050&lt;0),"Billing &amp; Direct Debit - Refunds",(IF(AND(E2050="BILL",F2050&gt;0),"Billing - Credits (from TPA)",(IF(AND(E2050="CC",F2050&lt;0),"Credit Cards (UMB) - Refunds",(IF(AND(E2050="CC",F2050&gt;0),"Credit Cards (UMB) - Credits",(IF(AND(E2050="ACH",F2050&gt;0),"Direct Debit (UMB Bank) - Credits","Direct Debit (UMB Bank) - Returned Items")))))))))</f>
        <v>Billing - Credits (from TPA)</v>
      </c>
      <c r="C2050" s="38">
        <v>46145</v>
      </c>
      <c r="D2050" s="34">
        <v>198750</v>
      </c>
      <c r="E2050" s="36" t="str">
        <f>IF(Table3[[#This Row],[Type Received]]=2,"CC",(IF(Table3[[#This Row],[Type Received]]=3,"BILL","ACH")))</f>
        <v>BILL</v>
      </c>
      <c r="F2050" s="35">
        <v>21.69</v>
      </c>
      <c r="G2050" s="14" t="str">
        <f>VLOOKUP(D2050,Table4[],3,FALSE)</f>
        <v>1</v>
      </c>
      <c r="H2050" s="15"/>
      <c r="I2050" s="15"/>
      <c r="J2050" s="15" t="s">
        <v>113</v>
      </c>
      <c r="K2050" s="15">
        <v>546426733</v>
      </c>
      <c r="L2050" s="15" t="s">
        <v>29</v>
      </c>
      <c r="M2050" s="15" t="s">
        <v>29</v>
      </c>
    </row>
    <row r="2051" spans="1:13" x14ac:dyDescent="0.25">
      <c r="A2051" s="23">
        <f t="shared" si="100"/>
        <v>198755</v>
      </c>
      <c r="B2051" s="14" t="str">
        <f t="shared" si="101"/>
        <v>Billing - Credits (from TPA)</v>
      </c>
      <c r="C2051" s="37">
        <v>46161</v>
      </c>
      <c r="D2051" s="31">
        <v>198755</v>
      </c>
      <c r="E2051" s="33" t="str">
        <f>IF(Table3[[#This Row],[Type Received]]=2,"CC",(IF(Table3[[#This Row],[Type Received]]=3,"BILL","ACH")))</f>
        <v>BILL</v>
      </c>
      <c r="F2051" s="32">
        <v>57.12</v>
      </c>
      <c r="G2051" s="14" t="str">
        <f>VLOOKUP(D2051,Table4[],3,FALSE)</f>
        <v>2</v>
      </c>
      <c r="H2051" s="15">
        <v>10022</v>
      </c>
      <c r="I2051" s="15"/>
      <c r="J2051" s="15"/>
      <c r="K2051" s="15"/>
      <c r="L2051" s="15"/>
      <c r="M2051" s="15" t="s">
        <v>29</v>
      </c>
    </row>
    <row r="2052" spans="1:13" x14ac:dyDescent="0.25">
      <c r="A2052" s="23">
        <f t="shared" si="100"/>
        <v>198813</v>
      </c>
      <c r="B2052" s="14" t="str">
        <f t="shared" si="101"/>
        <v>Billing - Credits (from TPA)</v>
      </c>
      <c r="C2052" s="38">
        <v>46170</v>
      </c>
      <c r="D2052" s="34">
        <v>198813</v>
      </c>
      <c r="E2052" s="36" t="str">
        <f>IF(Table3[[#This Row],[Type Received]]=2,"CC",(IF(Table3[[#This Row],[Type Received]]=3,"BILL","ACH")))</f>
        <v>BILL</v>
      </c>
      <c r="F2052" s="35">
        <v>92.78</v>
      </c>
      <c r="G2052" s="14" t="str">
        <f>VLOOKUP(D2052,Table4[],3,FALSE)</f>
        <v>2</v>
      </c>
      <c r="H2052" s="15">
        <v>5401685121</v>
      </c>
      <c r="I2052" s="15"/>
      <c r="J2052" s="15"/>
      <c r="K2052" s="15"/>
      <c r="L2052" s="15"/>
      <c r="M2052" s="15" t="s">
        <v>29</v>
      </c>
    </row>
    <row r="2053" spans="1:13" x14ac:dyDescent="0.25">
      <c r="A2053" s="23">
        <f t="shared" si="100"/>
        <v>198887</v>
      </c>
      <c r="B2053" s="14" t="str">
        <f t="shared" si="101"/>
        <v>Direct Debit (UMB Bank) - Credits</v>
      </c>
      <c r="C2053" s="37">
        <v>46153</v>
      </c>
      <c r="D2053" s="31">
        <v>198887</v>
      </c>
      <c r="E2053" s="33" t="str">
        <f>IF(Table3[[#This Row],[Type Received]]=2,"CC",(IF(Table3[[#This Row],[Type Received]]=3,"BILL","ACH")))</f>
        <v>ACH</v>
      </c>
      <c r="F2053" s="32">
        <v>573.33000000000004</v>
      </c>
      <c r="G2053" s="14" t="str">
        <f>VLOOKUP(D2053,Table4[],3,FALSE)</f>
        <v>1</v>
      </c>
      <c r="H2053" s="15">
        <v>176</v>
      </c>
      <c r="I2053" s="15"/>
      <c r="J2053" s="15"/>
      <c r="K2053" s="15"/>
      <c r="L2053" s="15"/>
      <c r="M2053" s="15" t="s">
        <v>29</v>
      </c>
    </row>
    <row r="2054" spans="1:13" x14ac:dyDescent="0.25">
      <c r="A2054" s="23">
        <f t="shared" si="100"/>
        <v>198929</v>
      </c>
      <c r="B2054" s="14" t="str">
        <f t="shared" si="101"/>
        <v>Billing - Credits (from TPA)</v>
      </c>
      <c r="C2054" s="38">
        <v>46169</v>
      </c>
      <c r="D2054" s="34">
        <v>198929</v>
      </c>
      <c r="E2054" s="36" t="str">
        <f>IF(Table3[[#This Row],[Type Received]]=2,"CC",(IF(Table3[[#This Row],[Type Received]]=3,"BILL","ACH")))</f>
        <v>BILL</v>
      </c>
      <c r="F2054" s="35">
        <v>23.45</v>
      </c>
      <c r="G2054" s="14" t="str">
        <f>VLOOKUP(D2054,Table4[],3,FALSE)</f>
        <v>1</v>
      </c>
      <c r="H2054" s="15"/>
      <c r="I2054" s="15"/>
      <c r="J2054" s="15" t="s">
        <v>117</v>
      </c>
      <c r="K2054" s="15">
        <v>840857262</v>
      </c>
      <c r="L2054" s="15" t="s">
        <v>29</v>
      </c>
      <c r="M2054" s="15" t="s">
        <v>29</v>
      </c>
    </row>
    <row r="2055" spans="1:13" x14ac:dyDescent="0.25">
      <c r="A2055" s="23">
        <f t="shared" si="100"/>
        <v>199281</v>
      </c>
      <c r="B2055" s="14" t="str">
        <f t="shared" si="101"/>
        <v>Credit Cards (UMB) - Credits</v>
      </c>
      <c r="C2055" s="37">
        <v>46143</v>
      </c>
      <c r="D2055" s="31">
        <v>199281</v>
      </c>
      <c r="E2055" s="33" t="str">
        <f>IF(Table3[[#This Row],[Type Received]]=2,"CC",(IF(Table3[[#This Row],[Type Received]]=3,"BILL","ACH")))</f>
        <v>CC</v>
      </c>
      <c r="F2055" s="32">
        <v>34.35</v>
      </c>
      <c r="G2055" s="14" t="str">
        <f>VLOOKUP(D2055,Table4[],3,FALSE)</f>
        <v>2</v>
      </c>
      <c r="H2055" s="15">
        <v>996564</v>
      </c>
      <c r="I2055" s="15"/>
      <c r="J2055" s="15"/>
      <c r="K2055" s="15"/>
      <c r="L2055" s="15"/>
      <c r="M2055" s="15" t="s">
        <v>29</v>
      </c>
    </row>
    <row r="2056" spans="1:13" x14ac:dyDescent="0.25">
      <c r="A2056" s="23">
        <f t="shared" si="100"/>
        <v>199284</v>
      </c>
      <c r="B2056" s="14" t="str">
        <f t="shared" si="101"/>
        <v>Credit Cards (UMB) - Credits</v>
      </c>
      <c r="C2056" s="38">
        <v>46150</v>
      </c>
      <c r="D2056" s="34">
        <v>199284</v>
      </c>
      <c r="E2056" s="36" t="str">
        <f>IF(Table3[[#This Row],[Type Received]]=2,"CC",(IF(Table3[[#This Row],[Type Received]]=3,"BILL","ACH")))</f>
        <v>CC</v>
      </c>
      <c r="F2056" s="35">
        <v>37.979999999999997</v>
      </c>
      <c r="G2056" s="14" t="str">
        <f>VLOOKUP(D2056,Table4[],3,FALSE)</f>
        <v>2</v>
      </c>
      <c r="H2056" s="15"/>
      <c r="I2056" s="15">
        <v>21841</v>
      </c>
      <c r="J2056" s="24">
        <v>743671591</v>
      </c>
      <c r="K2056" s="15">
        <v>354019761</v>
      </c>
      <c r="L2056" s="15"/>
      <c r="M2056" s="15" t="s">
        <v>29</v>
      </c>
    </row>
    <row r="2057" spans="1:13" x14ac:dyDescent="0.25">
      <c r="A2057" s="23">
        <f t="shared" si="100"/>
        <v>199307</v>
      </c>
      <c r="B2057" s="14" t="str">
        <f t="shared" si="101"/>
        <v>Credit Cards (UMB) - Credits</v>
      </c>
      <c r="C2057" s="37">
        <v>46170</v>
      </c>
      <c r="D2057" s="31">
        <v>199307</v>
      </c>
      <c r="E2057" s="33" t="str">
        <f>IF(Table3[[#This Row],[Type Received]]=2,"CC",(IF(Table3[[#This Row],[Type Received]]=3,"BILL","ACH")))</f>
        <v>CC</v>
      </c>
      <c r="F2057" s="32">
        <v>71.64</v>
      </c>
      <c r="G2057" s="14" t="str">
        <f>VLOOKUP(D2057,Table4[],3,FALSE)</f>
        <v>2</v>
      </c>
      <c r="H2057" s="15"/>
      <c r="I2057" s="15" t="s">
        <v>241</v>
      </c>
      <c r="J2057" s="15" t="s">
        <v>28</v>
      </c>
      <c r="K2057" s="15">
        <v>854879348</v>
      </c>
      <c r="L2057" s="15" t="s">
        <v>29</v>
      </c>
      <c r="M2057" s="15" t="s">
        <v>29</v>
      </c>
    </row>
    <row r="2058" spans="1:13" x14ac:dyDescent="0.25">
      <c r="A2058" s="23">
        <f t="shared" si="100"/>
        <v>199344</v>
      </c>
      <c r="B2058" s="14" t="str">
        <f t="shared" si="101"/>
        <v>Billing - Credits (from TPA)</v>
      </c>
      <c r="C2058" s="38">
        <v>46155</v>
      </c>
      <c r="D2058" s="34">
        <v>199344</v>
      </c>
      <c r="E2058" s="36" t="str">
        <f>IF(Table3[[#This Row],[Type Received]]=2,"CC",(IF(Table3[[#This Row],[Type Received]]=3,"BILL","ACH")))</f>
        <v>BILL</v>
      </c>
      <c r="F2058" s="35">
        <v>60.41</v>
      </c>
      <c r="G2058" s="14" t="str">
        <f>VLOOKUP(D2058,Table4[],3,FALSE)</f>
        <v>2</v>
      </c>
      <c r="H2058" s="15"/>
      <c r="I2058" s="15">
        <v>167538</v>
      </c>
      <c r="J2058" s="15" t="s">
        <v>28</v>
      </c>
      <c r="K2058" s="15">
        <v>669482839</v>
      </c>
      <c r="L2058" s="15" t="s">
        <v>29</v>
      </c>
      <c r="M2058" s="15" t="s">
        <v>29</v>
      </c>
    </row>
    <row r="2059" spans="1:13" x14ac:dyDescent="0.25">
      <c r="A2059" s="23">
        <f t="shared" si="100"/>
        <v>199349</v>
      </c>
      <c r="B2059" s="14" t="str">
        <f t="shared" si="101"/>
        <v>Direct Debit (UMB Bank) - Credits</v>
      </c>
      <c r="C2059" s="37">
        <v>46168</v>
      </c>
      <c r="D2059" s="31">
        <v>199349</v>
      </c>
      <c r="E2059" s="33" t="str">
        <f>IF(Table3[[#This Row],[Type Received]]=2,"CC",(IF(Table3[[#This Row],[Type Received]]=3,"BILL","ACH")))</f>
        <v>ACH</v>
      </c>
      <c r="F2059" s="32">
        <v>43.15</v>
      </c>
      <c r="G2059" s="14" t="str">
        <f>VLOOKUP(D2059,Table4[],3,FALSE)</f>
        <v>1</v>
      </c>
      <c r="H2059" s="15">
        <v>2264</v>
      </c>
      <c r="I2059" s="15"/>
      <c r="J2059" s="15"/>
      <c r="K2059" s="15"/>
      <c r="L2059" s="15"/>
      <c r="M2059" s="15" t="s">
        <v>29</v>
      </c>
    </row>
    <row r="2060" spans="1:13" x14ac:dyDescent="0.25">
      <c r="A2060" s="23">
        <f t="shared" si="100"/>
        <v>199397</v>
      </c>
      <c r="B2060" s="14" t="str">
        <f t="shared" si="101"/>
        <v>Billing - Credits (from TPA)</v>
      </c>
      <c r="C2060" s="38">
        <v>46157</v>
      </c>
      <c r="D2060" s="34">
        <v>199397</v>
      </c>
      <c r="E2060" s="36" t="str">
        <f>IF(Table3[[#This Row],[Type Received]]=2,"CC",(IF(Table3[[#This Row],[Type Received]]=3,"BILL","ACH")))</f>
        <v>BILL</v>
      </c>
      <c r="F2060" s="35">
        <v>23.45</v>
      </c>
      <c r="G2060" s="14" t="str">
        <f>VLOOKUP(D2060,Table4[],3,FALSE)</f>
        <v>1</v>
      </c>
      <c r="H2060" s="15"/>
      <c r="I2060" s="15"/>
      <c r="J2060" s="15" t="s">
        <v>87</v>
      </c>
      <c r="K2060" s="15">
        <v>696726052</v>
      </c>
      <c r="L2060" s="15" t="s">
        <v>29</v>
      </c>
      <c r="M2060" s="15"/>
    </row>
    <row r="2061" spans="1:13" x14ac:dyDescent="0.25">
      <c r="A2061" s="23">
        <f t="shared" si="100"/>
        <v>199609</v>
      </c>
      <c r="B2061" s="14" t="str">
        <f t="shared" si="101"/>
        <v>Direct Debit (UMB Bank) - Credits</v>
      </c>
      <c r="C2061" s="37">
        <v>46146</v>
      </c>
      <c r="D2061" s="31">
        <v>199609</v>
      </c>
      <c r="E2061" s="33" t="str">
        <f>IF(Table3[[#This Row],[Type Received]]=2,"CC",(IF(Table3[[#This Row],[Type Received]]=3,"BILL","ACH")))</f>
        <v>ACH</v>
      </c>
      <c r="F2061" s="32">
        <v>85.5</v>
      </c>
      <c r="G2061" s="14" t="str">
        <f>VLOOKUP(D2061,Table4[],3,FALSE)</f>
        <v>2</v>
      </c>
      <c r="H2061" s="15">
        <v>11945</v>
      </c>
      <c r="I2061" s="15"/>
      <c r="J2061" s="15"/>
      <c r="K2061" s="15"/>
      <c r="L2061" s="15"/>
      <c r="M2061" s="15"/>
    </row>
    <row r="2062" spans="1:13" x14ac:dyDescent="0.25">
      <c r="A2062" s="23">
        <f t="shared" si="100"/>
        <v>199616</v>
      </c>
      <c r="B2062" s="14" t="str">
        <f t="shared" si="101"/>
        <v>Credit Cards (UMB) - Credits</v>
      </c>
      <c r="C2062" s="38">
        <v>46169</v>
      </c>
      <c r="D2062" s="34">
        <v>199616</v>
      </c>
      <c r="E2062" s="36" t="str">
        <f>IF(Table3[[#This Row],[Type Received]]=2,"CC",(IF(Table3[[#This Row],[Type Received]]=3,"BILL","ACH")))</f>
        <v>CC</v>
      </c>
      <c r="F2062" s="35">
        <v>35</v>
      </c>
      <c r="G2062" s="14" t="str">
        <f>VLOOKUP(D2062,Table4[],3,FALSE)</f>
        <v>2</v>
      </c>
      <c r="H2062" s="15"/>
      <c r="I2062" s="15"/>
      <c r="J2062" s="15" t="s">
        <v>117</v>
      </c>
      <c r="K2062" s="15">
        <v>840863107</v>
      </c>
      <c r="L2062" s="15" t="s">
        <v>29</v>
      </c>
      <c r="M2062" s="15" t="s">
        <v>29</v>
      </c>
    </row>
    <row r="2063" spans="1:13" x14ac:dyDescent="0.25">
      <c r="A2063" s="23">
        <f t="shared" si="100"/>
        <v>199627</v>
      </c>
      <c r="B2063" s="14" t="str">
        <f t="shared" si="101"/>
        <v>Direct Debit (UMB Bank) - Credits</v>
      </c>
      <c r="C2063" s="37">
        <v>46161</v>
      </c>
      <c r="D2063" s="31">
        <v>199627</v>
      </c>
      <c r="E2063" s="33" t="str">
        <f>IF(Table3[[#This Row],[Type Received]]=2,"CC",(IF(Table3[[#This Row],[Type Received]]=3,"BILL","ACH")))</f>
        <v>ACH</v>
      </c>
      <c r="F2063" s="32">
        <v>103.03</v>
      </c>
      <c r="G2063" s="14" t="str">
        <f>VLOOKUP(D2063,Table4[],3,FALSE)</f>
        <v>2</v>
      </c>
      <c r="H2063" s="15"/>
      <c r="I2063" s="15">
        <v>791381</v>
      </c>
      <c r="J2063" s="15">
        <v>746805329</v>
      </c>
      <c r="K2063" s="15">
        <v>355166982</v>
      </c>
      <c r="L2063" s="15"/>
      <c r="M2063" s="15" t="s">
        <v>29</v>
      </c>
    </row>
    <row r="2064" spans="1:13" x14ac:dyDescent="0.25">
      <c r="A2064" s="23">
        <f t="shared" si="100"/>
        <v>199642</v>
      </c>
      <c r="B2064" s="14" t="str">
        <f t="shared" si="101"/>
        <v>Credit Cards (UMB) - Credits</v>
      </c>
      <c r="C2064" s="38">
        <v>46145</v>
      </c>
      <c r="D2064" s="34">
        <v>199642</v>
      </c>
      <c r="E2064" s="36" t="str">
        <f>IF(Table3[[#This Row],[Type Received]]=2,"CC",(IF(Table3[[#This Row],[Type Received]]=3,"BILL","ACH")))</f>
        <v>CC</v>
      </c>
      <c r="F2064" s="35">
        <v>18.39</v>
      </c>
      <c r="G2064" s="14" t="str">
        <f>VLOOKUP(D2064,Table4[],3,FALSE)</f>
        <v>1</v>
      </c>
      <c r="H2064" s="15"/>
      <c r="I2064" s="15"/>
      <c r="J2064" s="24" t="s">
        <v>113</v>
      </c>
      <c r="K2064" s="15">
        <v>546433449</v>
      </c>
      <c r="L2064" s="15" t="s">
        <v>29</v>
      </c>
      <c r="M2064" s="15" t="s">
        <v>29</v>
      </c>
    </row>
    <row r="2065" spans="1:13" x14ac:dyDescent="0.25">
      <c r="A2065" s="23">
        <f t="shared" si="100"/>
        <v>199709</v>
      </c>
      <c r="B2065" s="14" t="str">
        <f t="shared" si="101"/>
        <v>Direct Debit (UMB Bank) - Credits</v>
      </c>
      <c r="C2065" s="37">
        <v>46155</v>
      </c>
      <c r="D2065" s="31">
        <v>199709</v>
      </c>
      <c r="E2065" s="33" t="str">
        <f>IF(Table3[[#This Row],[Type Received]]=2,"CC",(IF(Table3[[#This Row],[Type Received]]=3,"BILL","ACH")))</f>
        <v>ACH</v>
      </c>
      <c r="F2065" s="32">
        <v>21.47</v>
      </c>
      <c r="G2065" s="14" t="str">
        <f>VLOOKUP(D2065,Table4[],3,FALSE)</f>
        <v>2</v>
      </c>
      <c r="H2065" s="15"/>
      <c r="I2065" s="15">
        <v>85884</v>
      </c>
      <c r="J2065" s="15" t="s">
        <v>28</v>
      </c>
      <c r="K2065" s="15">
        <v>669495524</v>
      </c>
      <c r="L2065" s="15" t="s">
        <v>29</v>
      </c>
      <c r="M2065" s="15" t="s">
        <v>29</v>
      </c>
    </row>
    <row r="2066" spans="1:13" x14ac:dyDescent="0.25">
      <c r="A2066" s="23">
        <f t="shared" ref="A2066:A2097" si="102">D2066</f>
        <v>199774</v>
      </c>
      <c r="B2066" s="14" t="str">
        <f t="shared" si="101"/>
        <v>Credit Cards (UMB) - Credits</v>
      </c>
      <c r="C2066" s="38">
        <v>46156</v>
      </c>
      <c r="D2066" s="34">
        <v>199774</v>
      </c>
      <c r="E2066" s="36" t="str">
        <f>IF(Table3[[#This Row],[Type Received]]=2,"CC",(IF(Table3[[#This Row],[Type Received]]=3,"BILL","ACH")))</f>
        <v>CC</v>
      </c>
      <c r="F2066" s="35">
        <v>232.56</v>
      </c>
      <c r="G2066" s="14" t="str">
        <f>VLOOKUP(D2066,Table4[],3,FALSE)</f>
        <v>1</v>
      </c>
      <c r="H2066" s="15"/>
      <c r="I2066" s="15"/>
      <c r="J2066" s="15" t="s">
        <v>93</v>
      </c>
      <c r="K2066" s="15">
        <v>682541343</v>
      </c>
      <c r="L2066" s="15" t="s">
        <v>29</v>
      </c>
      <c r="M2066" s="15" t="s">
        <v>29</v>
      </c>
    </row>
    <row r="2067" spans="1:13" x14ac:dyDescent="0.25">
      <c r="A2067" s="23">
        <f t="shared" si="102"/>
        <v>199785</v>
      </c>
      <c r="B2067" s="14" t="str">
        <f t="shared" si="101"/>
        <v>Billing - Credits (from TPA)</v>
      </c>
      <c r="C2067" s="37">
        <v>46169</v>
      </c>
      <c r="D2067" s="31">
        <v>199785</v>
      </c>
      <c r="E2067" s="33" t="str">
        <f>IF(Table3[[#This Row],[Type Received]]=2,"CC",(IF(Table3[[#This Row],[Type Received]]=3,"BILL","ACH")))</f>
        <v>BILL</v>
      </c>
      <c r="F2067" s="32">
        <v>128.5</v>
      </c>
      <c r="G2067" s="14" t="str">
        <f>VLOOKUP(D2067,Table4[],3,FALSE)</f>
        <v>1</v>
      </c>
      <c r="H2067" s="15"/>
      <c r="I2067" s="15">
        <v>580220</v>
      </c>
      <c r="J2067" s="15" t="s">
        <v>28</v>
      </c>
      <c r="K2067" s="15">
        <v>846719124</v>
      </c>
      <c r="L2067" s="15" t="s">
        <v>29</v>
      </c>
      <c r="M2067" s="15"/>
    </row>
    <row r="2068" spans="1:13" x14ac:dyDescent="0.25">
      <c r="A2068" s="23">
        <f t="shared" si="102"/>
        <v>199494</v>
      </c>
      <c r="B2068" s="14" t="str">
        <f t="shared" si="101"/>
        <v>Direct Debit (UMB Bank) - Credits</v>
      </c>
      <c r="C2068" s="38">
        <v>46146</v>
      </c>
      <c r="D2068" s="34">
        <v>199494</v>
      </c>
      <c r="E2068" s="36" t="str">
        <f>IF(Table3[[#This Row],[Type Received]]=2,"CC",(IF(Table3[[#This Row],[Type Received]]=3,"BILL","ACH")))</f>
        <v>ACH</v>
      </c>
      <c r="F2068" s="35">
        <v>16.75</v>
      </c>
      <c r="G2068" s="14" t="str">
        <f>VLOOKUP(D2068,Table4[],3,FALSE)</f>
        <v>1</v>
      </c>
      <c r="H2068" s="15">
        <v>4459770175</v>
      </c>
      <c r="I2068" s="15"/>
      <c r="J2068" s="15"/>
      <c r="K2068" s="15"/>
      <c r="L2068" s="15"/>
      <c r="M2068" s="15"/>
    </row>
    <row r="2069" spans="1:13" x14ac:dyDescent="0.25">
      <c r="A2069" s="23">
        <f t="shared" si="102"/>
        <v>199523</v>
      </c>
      <c r="B2069" s="14" t="str">
        <f t="shared" si="101"/>
        <v>Direct Debit (UMB Bank) - Credits</v>
      </c>
      <c r="C2069" s="37">
        <v>46145</v>
      </c>
      <c r="D2069" s="31">
        <v>199523</v>
      </c>
      <c r="E2069" s="33" t="str">
        <f>IF(Table3[[#This Row],[Type Received]]=2,"CC",(IF(Table3[[#This Row],[Type Received]]=3,"BILL","ACH")))</f>
        <v>ACH</v>
      </c>
      <c r="F2069" s="32">
        <v>56.12</v>
      </c>
      <c r="G2069" s="14" t="str">
        <f>VLOOKUP(D2069,Table4[],3,FALSE)</f>
        <v>2</v>
      </c>
      <c r="H2069" s="15"/>
      <c r="I2069" s="15"/>
      <c r="J2069" s="15" t="s">
        <v>113</v>
      </c>
      <c r="K2069" s="15">
        <v>546420093</v>
      </c>
      <c r="L2069" s="15" t="s">
        <v>29</v>
      </c>
      <c r="M2069" s="15" t="s">
        <v>29</v>
      </c>
    </row>
    <row r="2070" spans="1:13" x14ac:dyDescent="0.25">
      <c r="A2070" s="23">
        <f t="shared" si="102"/>
        <v>199589</v>
      </c>
      <c r="B2070" s="14" t="str">
        <f t="shared" si="101"/>
        <v>Billing - Credits (from TPA)</v>
      </c>
      <c r="C2070" s="38">
        <v>46145</v>
      </c>
      <c r="D2070" s="34">
        <v>199589</v>
      </c>
      <c r="E2070" s="36" t="str">
        <f>IF(Table3[[#This Row],[Type Received]]=2,"CC",(IF(Table3[[#This Row],[Type Received]]=3,"BILL","ACH")))</f>
        <v>BILL</v>
      </c>
      <c r="F2070" s="35">
        <v>32.36</v>
      </c>
      <c r="G2070" s="14" t="str">
        <f>VLOOKUP(D2070,Table4[],3,FALSE)</f>
        <v>2</v>
      </c>
      <c r="H2070" s="15"/>
      <c r="I2070" s="15"/>
      <c r="J2070" s="24" t="s">
        <v>113</v>
      </c>
      <c r="K2070" s="15">
        <v>546445107</v>
      </c>
      <c r="L2070" s="15" t="s">
        <v>29</v>
      </c>
      <c r="M2070" s="15" t="s">
        <v>29</v>
      </c>
    </row>
    <row r="2071" spans="1:13" x14ac:dyDescent="0.25">
      <c r="A2071" s="23">
        <f t="shared" si="102"/>
        <v>199916</v>
      </c>
      <c r="B2071" s="14" t="str">
        <f t="shared" si="101"/>
        <v>Direct Debit (UMB Bank) - Credits</v>
      </c>
      <c r="C2071" s="37">
        <v>46168</v>
      </c>
      <c r="D2071" s="31">
        <v>199916</v>
      </c>
      <c r="E2071" s="33" t="str">
        <f>IF(Table3[[#This Row],[Type Received]]=2,"CC",(IF(Table3[[#This Row],[Type Received]]=3,"BILL","ACH")))</f>
        <v>ACH</v>
      </c>
      <c r="F2071" s="32">
        <v>40.86</v>
      </c>
      <c r="G2071" s="14" t="str">
        <f>VLOOKUP(D2071,Table4[],3,FALSE)</f>
        <v>1</v>
      </c>
      <c r="H2071" s="15">
        <v>7928</v>
      </c>
      <c r="I2071" s="15"/>
      <c r="J2071" s="15"/>
      <c r="K2071" s="15"/>
      <c r="L2071" s="15"/>
      <c r="M2071" s="15"/>
    </row>
    <row r="2072" spans="1:13" x14ac:dyDescent="0.25">
      <c r="A2072" s="23">
        <f t="shared" si="102"/>
        <v>199979</v>
      </c>
      <c r="B2072" s="14" t="str">
        <f t="shared" si="101"/>
        <v>Billing - Credits (from TPA)</v>
      </c>
      <c r="C2072" s="38">
        <v>46169</v>
      </c>
      <c r="D2072" s="34">
        <v>199979</v>
      </c>
      <c r="E2072" s="36" t="str">
        <f>IF(Table3[[#This Row],[Type Received]]=2,"CC",(IF(Table3[[#This Row],[Type Received]]=3,"BILL","ACH")))</f>
        <v>BILL</v>
      </c>
      <c r="F2072" s="35">
        <v>41.59</v>
      </c>
      <c r="G2072" s="14" t="str">
        <f>VLOOKUP(D2072,Table4[],3,FALSE)</f>
        <v>1</v>
      </c>
      <c r="H2072" s="15"/>
      <c r="I2072" s="15"/>
      <c r="J2072" s="15" t="s">
        <v>117</v>
      </c>
      <c r="K2072" s="15">
        <v>840838966</v>
      </c>
      <c r="L2072" s="15" t="s">
        <v>29</v>
      </c>
      <c r="M2072" s="15"/>
    </row>
    <row r="2073" spans="1:13" x14ac:dyDescent="0.25">
      <c r="A2073" s="23">
        <f t="shared" si="102"/>
        <v>199995</v>
      </c>
      <c r="B2073" s="14" t="str">
        <f t="shared" si="101"/>
        <v>Direct Debit (UMB Bank) - Credits</v>
      </c>
      <c r="C2073" s="37">
        <v>46146</v>
      </c>
      <c r="D2073" s="31">
        <v>199995</v>
      </c>
      <c r="E2073" s="33" t="str">
        <f>IF(Table3[[#This Row],[Type Received]]=2,"CC",(IF(Table3[[#This Row],[Type Received]]=3,"BILL","ACH")))</f>
        <v>ACH</v>
      </c>
      <c r="F2073" s="32">
        <v>16.97</v>
      </c>
      <c r="G2073" s="14" t="str">
        <f>VLOOKUP(D2073,Table4[],3,FALSE)</f>
        <v>1</v>
      </c>
      <c r="H2073" s="15">
        <v>706</v>
      </c>
      <c r="I2073" s="15"/>
      <c r="J2073" s="15"/>
      <c r="K2073" s="15"/>
      <c r="L2073" s="15"/>
      <c r="M2073" s="15" t="s">
        <v>29</v>
      </c>
    </row>
    <row r="2074" spans="1:13" x14ac:dyDescent="0.25">
      <c r="A2074" s="23">
        <f t="shared" si="102"/>
        <v>200029</v>
      </c>
      <c r="B2074" s="14" t="str">
        <f t="shared" si="101"/>
        <v>Billing - Credits (from TPA)</v>
      </c>
      <c r="C2074" s="38">
        <v>46156</v>
      </c>
      <c r="D2074" s="34">
        <v>200029</v>
      </c>
      <c r="E2074" s="36" t="str">
        <f>IF(Table3[[#This Row],[Type Received]]=2,"CC",(IF(Table3[[#This Row],[Type Received]]=3,"BILL","ACH")))</f>
        <v>BILL</v>
      </c>
      <c r="F2074" s="35">
        <v>32.869999999999997</v>
      </c>
      <c r="G2074" s="14" t="str">
        <f>VLOOKUP(D2074,Table4[],3,FALSE)</f>
        <v>1</v>
      </c>
      <c r="H2074" s="15"/>
      <c r="I2074" s="15"/>
      <c r="J2074" s="15" t="s">
        <v>93</v>
      </c>
      <c r="K2074" s="15">
        <v>682523903</v>
      </c>
      <c r="L2074" s="15" t="s">
        <v>29</v>
      </c>
      <c r="M2074" s="15" t="s">
        <v>29</v>
      </c>
    </row>
    <row r="2075" spans="1:13" x14ac:dyDescent="0.25">
      <c r="A2075" s="23">
        <f t="shared" si="102"/>
        <v>200142</v>
      </c>
      <c r="B2075" s="14" t="str">
        <f t="shared" si="101"/>
        <v>Direct Debit (UMB Bank) - Credits</v>
      </c>
      <c r="C2075" s="37">
        <v>46164</v>
      </c>
      <c r="D2075" s="31">
        <v>200142</v>
      </c>
      <c r="E2075" s="33" t="str">
        <f>IF(Table3[[#This Row],[Type Received]]=2,"CC",(IF(Table3[[#This Row],[Type Received]]=3,"BILL","ACH")))</f>
        <v>ACH</v>
      </c>
      <c r="F2075" s="32">
        <v>158.47</v>
      </c>
      <c r="G2075" s="14" t="str">
        <f>VLOOKUP(D2075,Table4[],3,FALSE)</f>
        <v>2</v>
      </c>
      <c r="H2075" s="15">
        <v>2976</v>
      </c>
      <c r="I2075" s="15"/>
      <c r="J2075" s="15"/>
      <c r="K2075" s="15"/>
      <c r="L2075" s="15"/>
      <c r="M2075" s="15"/>
    </row>
    <row r="2076" spans="1:13" x14ac:dyDescent="0.25">
      <c r="A2076" s="23">
        <f t="shared" si="102"/>
        <v>200178</v>
      </c>
      <c r="B2076" s="14" t="str">
        <f t="shared" si="101"/>
        <v>Billing - Credits (from TPA)</v>
      </c>
      <c r="C2076" s="38">
        <v>46157</v>
      </c>
      <c r="D2076" s="34">
        <v>200178</v>
      </c>
      <c r="E2076" s="36" t="str">
        <f>IF(Table3[[#This Row],[Type Received]]=2,"CC",(IF(Table3[[#This Row],[Type Received]]=3,"BILL","ACH")))</f>
        <v>BILL</v>
      </c>
      <c r="F2076" s="35">
        <v>23.45</v>
      </c>
      <c r="G2076" s="14" t="str">
        <f>VLOOKUP(D2076,Table4[],3,FALSE)</f>
        <v>2</v>
      </c>
      <c r="H2076" s="15"/>
      <c r="I2076" s="15"/>
      <c r="J2076" s="15" t="s">
        <v>87</v>
      </c>
      <c r="K2076" s="15">
        <v>696734752</v>
      </c>
      <c r="L2076" s="15" t="s">
        <v>29</v>
      </c>
      <c r="M2076" s="15" t="s">
        <v>29</v>
      </c>
    </row>
    <row r="2077" spans="1:13" x14ac:dyDescent="0.25">
      <c r="A2077" s="23">
        <f t="shared" si="102"/>
        <v>200495</v>
      </c>
      <c r="B2077" s="14" t="str">
        <f t="shared" si="101"/>
        <v>Credit Cards (UMB) - Credits</v>
      </c>
      <c r="C2077" s="37">
        <v>46156</v>
      </c>
      <c r="D2077" s="31">
        <v>200495</v>
      </c>
      <c r="E2077" s="33" t="str">
        <f>IF(Table3[[#This Row],[Type Received]]=2,"CC",(IF(Table3[[#This Row],[Type Received]]=3,"BILL","ACH")))</f>
        <v>CC</v>
      </c>
      <c r="F2077" s="32">
        <v>37.65</v>
      </c>
      <c r="G2077" s="14" t="str">
        <f>VLOOKUP(D2077,Table4[],3,FALSE)</f>
        <v>2</v>
      </c>
      <c r="H2077" s="15">
        <v>6849</v>
      </c>
      <c r="I2077" s="15"/>
      <c r="J2077" s="15"/>
      <c r="K2077" s="15"/>
      <c r="L2077" s="15"/>
      <c r="M2077" s="15" t="s">
        <v>29</v>
      </c>
    </row>
    <row r="2078" spans="1:13" x14ac:dyDescent="0.25">
      <c r="A2078" s="23">
        <f t="shared" si="102"/>
        <v>200495</v>
      </c>
      <c r="B2078" s="14" t="str">
        <f t="shared" si="101"/>
        <v>Direct Debit (UMB Bank) - Credits</v>
      </c>
      <c r="C2078" s="38">
        <v>46154</v>
      </c>
      <c r="D2078" s="34">
        <v>200495</v>
      </c>
      <c r="E2078" s="36" t="str">
        <f>IF(Table3[[#This Row],[Type Received]]=2,"CC",(IF(Table3[[#This Row],[Type Received]]=3,"BILL","ACH")))</f>
        <v>ACH</v>
      </c>
      <c r="F2078" s="35">
        <v>73.3</v>
      </c>
      <c r="G2078" s="14" t="str">
        <f>VLOOKUP(D2078,Table4[],3,FALSE)</f>
        <v>2</v>
      </c>
      <c r="H2078" s="15"/>
      <c r="I2078" s="15">
        <v>772680</v>
      </c>
      <c r="J2078" s="15" t="s">
        <v>28</v>
      </c>
      <c r="K2078" s="15">
        <v>661102189</v>
      </c>
      <c r="L2078" s="15" t="s">
        <v>29</v>
      </c>
      <c r="M2078" s="15" t="s">
        <v>29</v>
      </c>
    </row>
    <row r="2079" spans="1:13" x14ac:dyDescent="0.25">
      <c r="A2079" s="23">
        <f t="shared" si="102"/>
        <v>200580</v>
      </c>
      <c r="B2079" s="14" t="str">
        <f t="shared" si="101"/>
        <v>Billing - Credits (from TPA)</v>
      </c>
      <c r="C2079" s="37">
        <v>46169</v>
      </c>
      <c r="D2079" s="31">
        <v>200580</v>
      </c>
      <c r="E2079" s="33" t="str">
        <f>IF(Table3[[#This Row],[Type Received]]=2,"CC",(IF(Table3[[#This Row],[Type Received]]=3,"BILL","ACH")))</f>
        <v>BILL</v>
      </c>
      <c r="F2079" s="32">
        <v>28.29</v>
      </c>
      <c r="G2079" s="14" t="str">
        <f>VLOOKUP(D2079,Table4[],3,FALSE)</f>
        <v>1</v>
      </c>
      <c r="H2079" s="15"/>
      <c r="I2079" s="15"/>
      <c r="J2079" s="15" t="s">
        <v>117</v>
      </c>
      <c r="K2079" s="15">
        <v>840861203</v>
      </c>
      <c r="L2079" s="15" t="s">
        <v>29</v>
      </c>
      <c r="M2079" s="15" t="s">
        <v>29</v>
      </c>
    </row>
    <row r="2080" spans="1:13" x14ac:dyDescent="0.25">
      <c r="A2080" s="23">
        <f t="shared" si="102"/>
        <v>200382</v>
      </c>
      <c r="B2080" s="14" t="str">
        <f t="shared" si="101"/>
        <v>Billing - Credits (from TPA)</v>
      </c>
      <c r="C2080" s="38">
        <v>46149</v>
      </c>
      <c r="D2080" s="34">
        <v>200382</v>
      </c>
      <c r="E2080" s="36" t="str">
        <f>IF(Table3[[#This Row],[Type Received]]=2,"CC",(IF(Table3[[#This Row],[Type Received]]=3,"BILL","ACH")))</f>
        <v>BILL</v>
      </c>
      <c r="F2080" s="35">
        <v>18.07</v>
      </c>
      <c r="G2080" s="14" t="str">
        <f>VLOOKUP(D2080,Table4[],3,FALSE)</f>
        <v>1</v>
      </c>
      <c r="H2080" s="15">
        <v>2264</v>
      </c>
      <c r="I2080" s="15"/>
      <c r="J2080" s="24"/>
      <c r="K2080" s="15"/>
      <c r="L2080" s="15"/>
      <c r="M2080" s="15" t="s">
        <v>29</v>
      </c>
    </row>
    <row r="2081" spans="1:13" x14ac:dyDescent="0.25">
      <c r="A2081" s="23">
        <f t="shared" si="102"/>
        <v>200638</v>
      </c>
      <c r="B2081" s="14" t="str">
        <f t="shared" si="101"/>
        <v>Billing - Credits (from TPA)</v>
      </c>
      <c r="C2081" s="37">
        <v>46170</v>
      </c>
      <c r="D2081" s="31">
        <v>200638</v>
      </c>
      <c r="E2081" s="33" t="str">
        <f>IF(Table3[[#This Row],[Type Received]]=2,"CC",(IF(Table3[[#This Row],[Type Received]]=3,"BILL","ACH")))</f>
        <v>BILL</v>
      </c>
      <c r="F2081" s="32">
        <v>66.36</v>
      </c>
      <c r="G2081" s="14" t="str">
        <f>VLOOKUP(D2081,Table4[],3,FALSE)</f>
        <v>2</v>
      </c>
      <c r="H2081" s="15">
        <v>923942706</v>
      </c>
      <c r="I2081" s="15"/>
      <c r="J2081" s="24"/>
      <c r="K2081" s="15"/>
      <c r="L2081" s="15"/>
      <c r="M2081" s="15" t="s">
        <v>29</v>
      </c>
    </row>
    <row r="2082" spans="1:13" x14ac:dyDescent="0.25">
      <c r="A2082" s="23">
        <f t="shared" si="102"/>
        <v>200738</v>
      </c>
      <c r="B2082" s="14" t="str">
        <f t="shared" si="101"/>
        <v>Direct Debit (UMB Bank) - Credits</v>
      </c>
      <c r="C2082" s="38">
        <v>46150</v>
      </c>
      <c r="D2082" s="34">
        <v>200738</v>
      </c>
      <c r="E2082" s="36" t="str">
        <f>IF(Table3[[#This Row],[Type Received]]=2,"CC",(IF(Table3[[#This Row],[Type Received]]=3,"BILL","ACH")))</f>
        <v>ACH</v>
      </c>
      <c r="F2082" s="35">
        <v>50.98</v>
      </c>
      <c r="G2082" s="14" t="str">
        <f>VLOOKUP(D2082,Table4[],3,FALSE)</f>
        <v>1</v>
      </c>
      <c r="H2082" s="15">
        <v>11260</v>
      </c>
      <c r="I2082" s="15"/>
      <c r="J2082" s="15"/>
      <c r="K2082" s="15"/>
      <c r="L2082" s="15"/>
      <c r="M2082" s="15" t="s">
        <v>29</v>
      </c>
    </row>
    <row r="2083" spans="1:13" x14ac:dyDescent="0.25">
      <c r="A2083" s="23">
        <f t="shared" si="102"/>
        <v>200753</v>
      </c>
      <c r="B2083" s="14" t="str">
        <f t="shared" si="101"/>
        <v>Billing - Credits (from TPA)</v>
      </c>
      <c r="C2083" s="37">
        <v>46157</v>
      </c>
      <c r="D2083" s="31">
        <v>200753</v>
      </c>
      <c r="E2083" s="33" t="str">
        <f>IF(Table3[[#This Row],[Type Received]]=2,"CC",(IF(Table3[[#This Row],[Type Received]]=3,"BILL","ACH")))</f>
        <v>BILL</v>
      </c>
      <c r="F2083" s="32">
        <v>37.31</v>
      </c>
      <c r="G2083" s="14" t="str">
        <f>VLOOKUP(D2083,Table4[],3,FALSE)</f>
        <v>2</v>
      </c>
      <c r="H2083" s="15"/>
      <c r="I2083" s="15"/>
      <c r="J2083" s="15" t="s">
        <v>87</v>
      </c>
      <c r="K2083" s="15">
        <v>696731895</v>
      </c>
      <c r="L2083" s="15" t="s">
        <v>29</v>
      </c>
      <c r="M2083" s="15" t="s">
        <v>29</v>
      </c>
    </row>
    <row r="2084" spans="1:13" x14ac:dyDescent="0.25">
      <c r="A2084" s="23">
        <f t="shared" si="102"/>
        <v>200778</v>
      </c>
      <c r="B2084" s="14" t="str">
        <f t="shared" si="101"/>
        <v>Billing - Credits (from TPA)</v>
      </c>
      <c r="C2084" s="38">
        <v>46163</v>
      </c>
      <c r="D2084" s="34">
        <v>200778</v>
      </c>
      <c r="E2084" s="36" t="str">
        <f>IF(Table3[[#This Row],[Type Received]]=2,"CC",(IF(Table3[[#This Row],[Type Received]]=3,"BILL","ACH")))</f>
        <v>BILL</v>
      </c>
      <c r="F2084" s="35">
        <v>32.369999999999997</v>
      </c>
      <c r="G2084" s="14" t="str">
        <f>VLOOKUP(D2084,Table4[],3,FALSE)</f>
        <v>2</v>
      </c>
      <c r="H2084" s="15">
        <v>4561</v>
      </c>
      <c r="I2084" s="15"/>
      <c r="J2084" s="15"/>
      <c r="K2084" s="15"/>
      <c r="L2084" s="15"/>
      <c r="M2084" s="15"/>
    </row>
    <row r="2085" spans="1:13" x14ac:dyDescent="0.25">
      <c r="A2085" s="23">
        <f t="shared" si="102"/>
        <v>200797</v>
      </c>
      <c r="B2085" s="14" t="str">
        <f t="shared" si="101"/>
        <v>Direct Debit (UMB Bank) - Credits</v>
      </c>
      <c r="C2085" s="37">
        <v>46161</v>
      </c>
      <c r="D2085" s="31">
        <v>200797</v>
      </c>
      <c r="E2085" s="33" t="str">
        <f>IF(Table3[[#This Row],[Type Received]]=2,"CC",(IF(Table3[[#This Row],[Type Received]]=3,"BILL","ACH")))</f>
        <v>ACH</v>
      </c>
      <c r="F2085" s="32">
        <v>113.9</v>
      </c>
      <c r="G2085" s="14" t="str">
        <f>VLOOKUP(D2085,Table4[],3,FALSE)</f>
        <v>2</v>
      </c>
      <c r="H2085" s="15">
        <v>8262</v>
      </c>
      <c r="I2085" s="15"/>
      <c r="J2085" s="15"/>
      <c r="K2085" s="15"/>
      <c r="L2085" s="15"/>
      <c r="M2085" s="15"/>
    </row>
    <row r="2086" spans="1:13" x14ac:dyDescent="0.25">
      <c r="A2086" s="23">
        <f t="shared" si="102"/>
        <v>200863</v>
      </c>
      <c r="B2086" s="14" t="str">
        <f t="shared" si="101"/>
        <v>Credit Cards (UMB) - Credits</v>
      </c>
      <c r="C2086" s="38">
        <v>46145</v>
      </c>
      <c r="D2086" s="34">
        <v>200863</v>
      </c>
      <c r="E2086" s="36" t="str">
        <f>IF(Table3[[#This Row],[Type Received]]=2,"CC",(IF(Table3[[#This Row],[Type Received]]=3,"BILL","ACH")))</f>
        <v>CC</v>
      </c>
      <c r="F2086" s="35">
        <v>72.62</v>
      </c>
      <c r="G2086" s="14" t="str">
        <f>VLOOKUP(D2086,Table4[],3,FALSE)</f>
        <v>2</v>
      </c>
      <c r="H2086" s="15"/>
      <c r="I2086" s="15"/>
      <c r="J2086" s="15" t="s">
        <v>113</v>
      </c>
      <c r="K2086" s="15">
        <v>546432491</v>
      </c>
      <c r="L2086" s="15" t="s">
        <v>29</v>
      </c>
      <c r="M2086" s="15" t="s">
        <v>29</v>
      </c>
    </row>
    <row r="2087" spans="1:13" x14ac:dyDescent="0.25">
      <c r="A2087" s="23">
        <f t="shared" si="102"/>
        <v>200909</v>
      </c>
      <c r="B2087" s="14" t="str">
        <f t="shared" si="101"/>
        <v>Direct Debit (UMB Bank) - Credits</v>
      </c>
      <c r="C2087" s="37">
        <v>46164</v>
      </c>
      <c r="D2087" s="31">
        <v>200909</v>
      </c>
      <c r="E2087" s="33" t="str">
        <f>IF(Table3[[#This Row],[Type Received]]=2,"CC",(IF(Table3[[#This Row],[Type Received]]=3,"BILL","ACH")))</f>
        <v>ACH</v>
      </c>
      <c r="F2087" s="32">
        <v>27.75</v>
      </c>
      <c r="G2087" s="14" t="str">
        <f>VLOOKUP(D2087,Table4[],3,FALSE)</f>
        <v>1</v>
      </c>
      <c r="H2087" s="15"/>
      <c r="I2087" s="15">
        <v>1010</v>
      </c>
      <c r="J2087" s="15" t="s">
        <v>28</v>
      </c>
      <c r="K2087" s="15">
        <v>789654521</v>
      </c>
      <c r="L2087" s="15" t="s">
        <v>29</v>
      </c>
      <c r="M2087" s="15" t="s">
        <v>29</v>
      </c>
    </row>
    <row r="2088" spans="1:13" x14ac:dyDescent="0.25">
      <c r="A2088" s="23">
        <f t="shared" si="102"/>
        <v>200916</v>
      </c>
      <c r="B2088" s="14" t="str">
        <f t="shared" si="101"/>
        <v>Billing - Credits (from TPA)</v>
      </c>
      <c r="C2088" s="38">
        <v>46157</v>
      </c>
      <c r="D2088" s="34">
        <v>200916</v>
      </c>
      <c r="E2088" s="36" t="str">
        <f>IF(Table3[[#This Row],[Type Received]]=2,"CC",(IF(Table3[[#This Row],[Type Received]]=3,"BILL","ACH")))</f>
        <v>BILL</v>
      </c>
      <c r="F2088" s="35">
        <v>31.05</v>
      </c>
      <c r="G2088" s="14" t="str">
        <f>VLOOKUP(D2088,Table4[],3,FALSE)</f>
        <v>2</v>
      </c>
      <c r="H2088" s="15"/>
      <c r="I2088" s="15"/>
      <c r="J2088" s="15" t="s">
        <v>87</v>
      </c>
      <c r="K2088" s="15">
        <v>700834832</v>
      </c>
      <c r="L2088" s="15" t="s">
        <v>29</v>
      </c>
      <c r="M2088" s="15" t="s">
        <v>29</v>
      </c>
    </row>
    <row r="2089" spans="1:13" x14ac:dyDescent="0.25">
      <c r="A2089" s="23">
        <f t="shared" si="102"/>
        <v>201062</v>
      </c>
      <c r="B2089" s="14" t="str">
        <f t="shared" si="101"/>
        <v>Billing - Credits (from TPA)</v>
      </c>
      <c r="C2089" s="37">
        <v>46169</v>
      </c>
      <c r="D2089" s="31">
        <v>201062</v>
      </c>
      <c r="E2089" s="33" t="str">
        <f>IF(Table3[[#This Row],[Type Received]]=2,"CC",(IF(Table3[[#This Row],[Type Received]]=3,"BILL","ACH")))</f>
        <v>BILL</v>
      </c>
      <c r="F2089" s="32">
        <v>38.31</v>
      </c>
      <c r="G2089" s="14" t="str">
        <f>VLOOKUP(D2089,Table4[],3,FALSE)</f>
        <v>1</v>
      </c>
      <c r="H2089" s="15">
        <v>8077</v>
      </c>
      <c r="I2089" s="15"/>
      <c r="J2089" s="15"/>
      <c r="K2089" s="15"/>
      <c r="L2089" s="15"/>
      <c r="M2089" s="15" t="s">
        <v>29</v>
      </c>
    </row>
    <row r="2090" spans="1:13" x14ac:dyDescent="0.25">
      <c r="A2090" s="23">
        <f t="shared" si="102"/>
        <v>201069</v>
      </c>
      <c r="B2090" s="14" t="str">
        <f t="shared" si="101"/>
        <v>Direct Debit (UMB Bank) - Credits</v>
      </c>
      <c r="C2090" s="38">
        <v>46150</v>
      </c>
      <c r="D2090" s="34">
        <v>201069</v>
      </c>
      <c r="E2090" s="36" t="str">
        <f>IF(Table3[[#This Row],[Type Received]]=2,"CC",(IF(Table3[[#This Row],[Type Received]]=3,"BILL","ACH")))</f>
        <v>ACH</v>
      </c>
      <c r="F2090" s="35">
        <v>19.61</v>
      </c>
      <c r="G2090" s="14" t="str">
        <f>VLOOKUP(D2090,Table4[],3,FALSE)</f>
        <v>1</v>
      </c>
      <c r="H2090" s="15">
        <v>19832341951</v>
      </c>
      <c r="I2090" s="15"/>
      <c r="J2090" s="15"/>
      <c r="K2090" s="15"/>
      <c r="L2090" s="15"/>
      <c r="M2090" s="15" t="s">
        <v>29</v>
      </c>
    </row>
    <row r="2091" spans="1:13" x14ac:dyDescent="0.25">
      <c r="A2091" s="23">
        <f t="shared" si="102"/>
        <v>201225</v>
      </c>
      <c r="B2091" s="14" t="str">
        <f t="shared" si="101"/>
        <v>Direct Debit (UMB Bank) - Credits</v>
      </c>
      <c r="C2091" s="37">
        <v>46145</v>
      </c>
      <c r="D2091" s="31">
        <v>201225</v>
      </c>
      <c r="E2091" s="33" t="str">
        <f>IF(Table3[[#This Row],[Type Received]]=2,"CC",(IF(Table3[[#This Row],[Type Received]]=3,"BILL","ACH")))</f>
        <v>ACH</v>
      </c>
      <c r="F2091" s="32">
        <v>83.51</v>
      </c>
      <c r="G2091" s="14" t="str">
        <f>VLOOKUP(D2091,Table4[],3,FALSE)</f>
        <v>2</v>
      </c>
      <c r="H2091" s="15"/>
      <c r="I2091" s="15"/>
      <c r="J2091" s="15" t="s">
        <v>113</v>
      </c>
      <c r="K2091" s="15">
        <v>546434461</v>
      </c>
      <c r="L2091" s="15" t="s">
        <v>29</v>
      </c>
      <c r="M2091" s="15" t="s">
        <v>29</v>
      </c>
    </row>
    <row r="2092" spans="1:13" x14ac:dyDescent="0.25">
      <c r="A2092" s="23">
        <f t="shared" si="102"/>
        <v>201226</v>
      </c>
      <c r="B2092" s="14" t="str">
        <f t="shared" si="101"/>
        <v>Billing - Credits (from TPA)</v>
      </c>
      <c r="C2092" s="38">
        <v>46145</v>
      </c>
      <c r="D2092" s="34">
        <v>201226</v>
      </c>
      <c r="E2092" s="36" t="str">
        <f>IF(Table3[[#This Row],[Type Received]]=2,"CC",(IF(Table3[[#This Row],[Type Received]]=3,"BILL","ACH")))</f>
        <v>BILL</v>
      </c>
      <c r="F2092" s="35">
        <v>92.75</v>
      </c>
      <c r="G2092" s="14" t="str">
        <f>VLOOKUP(D2092,Table4[],3,FALSE)</f>
        <v>2</v>
      </c>
      <c r="H2092" s="15"/>
      <c r="I2092" s="15"/>
      <c r="J2092" s="15" t="s">
        <v>113</v>
      </c>
      <c r="K2092" s="15">
        <v>546421968</v>
      </c>
      <c r="L2092" s="15" t="s">
        <v>29</v>
      </c>
      <c r="M2092" s="15"/>
    </row>
    <row r="2093" spans="1:13" x14ac:dyDescent="0.25">
      <c r="A2093" s="23">
        <f t="shared" si="102"/>
        <v>201227</v>
      </c>
      <c r="B2093" s="14" t="str">
        <f t="shared" si="101"/>
        <v>Direct Debit (UMB Bank) - Credits</v>
      </c>
      <c r="C2093" s="37">
        <v>46150</v>
      </c>
      <c r="D2093" s="31">
        <v>201227</v>
      </c>
      <c r="E2093" s="33" t="str">
        <f>IF(Table3[[#This Row],[Type Received]]=2,"CC",(IF(Table3[[#This Row],[Type Received]]=3,"BILL","ACH")))</f>
        <v>ACH</v>
      </c>
      <c r="F2093" s="32">
        <v>44.25</v>
      </c>
      <c r="G2093" s="14" t="str">
        <f>VLOOKUP(D2093,Table4[],3,FALSE)</f>
        <v>2</v>
      </c>
      <c r="H2093" s="15">
        <v>57881726</v>
      </c>
      <c r="I2093" s="15"/>
      <c r="J2093" s="15"/>
      <c r="K2093" s="15"/>
      <c r="L2093" s="15"/>
      <c r="M2093" s="15"/>
    </row>
    <row r="2094" spans="1:13" x14ac:dyDescent="0.25">
      <c r="A2094" s="23">
        <f t="shared" si="102"/>
        <v>201243</v>
      </c>
      <c r="B2094" s="14" t="str">
        <f t="shared" si="101"/>
        <v>Credit Cards (UMB) - Credits</v>
      </c>
      <c r="C2094" s="38">
        <v>46157</v>
      </c>
      <c r="D2094" s="34">
        <v>201243</v>
      </c>
      <c r="E2094" s="36" t="str">
        <f>IF(Table3[[#This Row],[Type Received]]=2,"CC",(IF(Table3[[#This Row],[Type Received]]=3,"BILL","ACH")))</f>
        <v>CC</v>
      </c>
      <c r="F2094" s="35">
        <v>21.47</v>
      </c>
      <c r="G2094" s="14" t="str">
        <f>VLOOKUP(D2094,Table4[],3,FALSE)</f>
        <v>2</v>
      </c>
      <c r="H2094" s="15"/>
      <c r="I2094" s="15"/>
      <c r="J2094" s="24" t="s">
        <v>87</v>
      </c>
      <c r="K2094" s="15">
        <v>696728060</v>
      </c>
      <c r="L2094" s="15" t="s">
        <v>29</v>
      </c>
      <c r="M2094" s="15" t="s">
        <v>29</v>
      </c>
    </row>
    <row r="2095" spans="1:13" x14ac:dyDescent="0.25">
      <c r="A2095" s="23">
        <f t="shared" si="102"/>
        <v>201309</v>
      </c>
      <c r="B2095" s="14" t="str">
        <f t="shared" si="101"/>
        <v>Billing - Credits (from TPA)</v>
      </c>
      <c r="C2095" s="37">
        <v>46155</v>
      </c>
      <c r="D2095" s="31">
        <v>201309</v>
      </c>
      <c r="E2095" s="33" t="str">
        <f>IF(Table3[[#This Row],[Type Received]]=2,"CC",(IF(Table3[[#This Row],[Type Received]]=3,"BILL","ACH")))</f>
        <v>BILL</v>
      </c>
      <c r="F2095" s="32">
        <v>30.05</v>
      </c>
      <c r="G2095" s="14" t="str">
        <f>VLOOKUP(D2095,Table4[],3,FALSE)</f>
        <v>2</v>
      </c>
      <c r="H2095" s="15"/>
      <c r="I2095" s="15">
        <v>90438</v>
      </c>
      <c r="J2095" s="15" t="s">
        <v>28</v>
      </c>
      <c r="K2095" s="15">
        <v>669483826</v>
      </c>
      <c r="L2095" s="15" t="s">
        <v>29</v>
      </c>
      <c r="M2095" s="15" t="s">
        <v>29</v>
      </c>
    </row>
    <row r="2096" spans="1:13" x14ac:dyDescent="0.25">
      <c r="A2096" s="23">
        <f t="shared" si="102"/>
        <v>201350</v>
      </c>
      <c r="B2096" s="14" t="str">
        <f t="shared" si="101"/>
        <v>Direct Debit (UMB Bank) - Credits</v>
      </c>
      <c r="C2096" s="38">
        <v>46160</v>
      </c>
      <c r="D2096" s="34">
        <v>201350</v>
      </c>
      <c r="E2096" s="36" t="str">
        <f>IF(Table3[[#This Row],[Type Received]]=2,"CC",(IF(Table3[[#This Row],[Type Received]]=3,"BILL","ACH")))</f>
        <v>ACH</v>
      </c>
      <c r="F2096" s="35">
        <v>29.4</v>
      </c>
      <c r="G2096" s="14" t="str">
        <f>VLOOKUP(D2096,Table4[],3,FALSE)</f>
        <v>2</v>
      </c>
      <c r="H2096" s="15">
        <v>19819809811</v>
      </c>
      <c r="I2096" s="15"/>
      <c r="J2096" s="15"/>
      <c r="K2096" s="15"/>
      <c r="L2096" s="15"/>
      <c r="M2096" s="15" t="s">
        <v>29</v>
      </c>
    </row>
    <row r="2097" spans="1:13" x14ac:dyDescent="0.25">
      <c r="A2097" s="23">
        <f t="shared" si="102"/>
        <v>201351</v>
      </c>
      <c r="B2097" s="14" t="str">
        <f t="shared" si="101"/>
        <v>Billing - Credits (from TPA)</v>
      </c>
      <c r="C2097" s="37">
        <v>46157</v>
      </c>
      <c r="D2097" s="31">
        <v>201351</v>
      </c>
      <c r="E2097" s="33" t="str">
        <f>IF(Table3[[#This Row],[Type Received]]=2,"CC",(IF(Table3[[#This Row],[Type Received]]=3,"BILL","ACH")))</f>
        <v>BILL</v>
      </c>
      <c r="F2097" s="32">
        <v>36.65</v>
      </c>
      <c r="G2097" s="14" t="str">
        <f>VLOOKUP(D2097,Table4[],3,FALSE)</f>
        <v>2</v>
      </c>
      <c r="H2097" s="15"/>
      <c r="I2097" s="15"/>
      <c r="J2097" s="15" t="s">
        <v>87</v>
      </c>
      <c r="K2097" s="15">
        <v>696744504</v>
      </c>
      <c r="L2097" s="15" t="s">
        <v>29</v>
      </c>
      <c r="M2097" s="15"/>
    </row>
    <row r="2098" spans="1:13" x14ac:dyDescent="0.25">
      <c r="A2098" s="23">
        <f t="shared" ref="A2098:A2129" si="103">D2098</f>
        <v>201422</v>
      </c>
      <c r="B2098" s="14" t="str">
        <f t="shared" si="101"/>
        <v>Credit Cards (UMB) - Credits</v>
      </c>
      <c r="C2098" s="38">
        <v>46171</v>
      </c>
      <c r="D2098" s="34">
        <v>201422</v>
      </c>
      <c r="E2098" s="36" t="str">
        <f>IF(Table3[[#This Row],[Type Received]]=2,"CC",(IF(Table3[[#This Row],[Type Received]]=3,"BILL","ACH")))</f>
        <v>CC</v>
      </c>
      <c r="F2098" s="35">
        <v>148.57</v>
      </c>
      <c r="G2098" s="14" t="str">
        <f>VLOOKUP(D2098,Table4[],3,FALSE)</f>
        <v>2</v>
      </c>
      <c r="H2098" s="15">
        <v>4352</v>
      </c>
      <c r="I2098" s="15"/>
      <c r="J2098" s="15"/>
      <c r="K2098" s="15"/>
      <c r="L2098" s="15"/>
      <c r="M2098" s="15" t="s">
        <v>29</v>
      </c>
    </row>
    <row r="2099" spans="1:13" x14ac:dyDescent="0.25">
      <c r="A2099" s="23">
        <f t="shared" si="103"/>
        <v>201431</v>
      </c>
      <c r="B2099" s="14" t="str">
        <f t="shared" si="101"/>
        <v>Billing - Credits (from TPA)</v>
      </c>
      <c r="C2099" s="37">
        <v>46144</v>
      </c>
      <c r="D2099" s="31">
        <v>201431</v>
      </c>
      <c r="E2099" s="33" t="str">
        <f>IF(Table3[[#This Row],[Type Received]]=2,"CC",(IF(Table3[[#This Row],[Type Received]]=3,"BILL","ACH")))</f>
        <v>BILL</v>
      </c>
      <c r="F2099" s="32">
        <v>21.03</v>
      </c>
      <c r="G2099" s="14" t="str">
        <f>VLOOKUP(D2099,Table4[],3,FALSE)</f>
        <v>1</v>
      </c>
      <c r="H2099" s="15"/>
      <c r="I2099" s="15">
        <v>69186</v>
      </c>
      <c r="J2099" s="15" t="s">
        <v>28</v>
      </c>
      <c r="K2099" s="15">
        <v>535372543</v>
      </c>
      <c r="L2099" s="15" t="s">
        <v>29</v>
      </c>
      <c r="M2099" s="15" t="s">
        <v>29</v>
      </c>
    </row>
    <row r="2100" spans="1:13" x14ac:dyDescent="0.25">
      <c r="A2100" s="23">
        <f t="shared" si="103"/>
        <v>201436</v>
      </c>
      <c r="B2100" s="14" t="str">
        <f t="shared" si="101"/>
        <v>Billing - Credits (from TPA)</v>
      </c>
      <c r="C2100" s="38">
        <v>46150</v>
      </c>
      <c r="D2100" s="34">
        <v>201436</v>
      </c>
      <c r="E2100" s="36" t="str">
        <f>IF(Table3[[#This Row],[Type Received]]=2,"CC",(IF(Table3[[#This Row],[Type Received]]=3,"BILL","ACH")))</f>
        <v>BILL</v>
      </c>
      <c r="F2100" s="35">
        <v>67.39</v>
      </c>
      <c r="G2100" s="14" t="str">
        <f>VLOOKUP(D2100,Table4[],3,FALSE)</f>
        <v>1</v>
      </c>
      <c r="H2100" s="15">
        <v>438</v>
      </c>
      <c r="I2100" s="15"/>
      <c r="J2100" s="24"/>
      <c r="K2100" s="15"/>
      <c r="L2100" s="15"/>
      <c r="M2100" s="15"/>
    </row>
    <row r="2101" spans="1:13" x14ac:dyDescent="0.25">
      <c r="A2101" s="23">
        <f t="shared" si="103"/>
        <v>201440</v>
      </c>
      <c r="B2101" s="14" t="str">
        <f t="shared" si="101"/>
        <v>Billing - Credits (from TPA)</v>
      </c>
      <c r="C2101" s="37">
        <v>46168</v>
      </c>
      <c r="D2101" s="31">
        <v>201440</v>
      </c>
      <c r="E2101" s="33" t="str">
        <f>IF(Table3[[#This Row],[Type Received]]=2,"CC",(IF(Table3[[#This Row],[Type Received]]=3,"BILL","ACH")))</f>
        <v>BILL</v>
      </c>
      <c r="F2101" s="32">
        <v>60</v>
      </c>
      <c r="G2101" s="14" t="str">
        <f>VLOOKUP(D2101,Table4[],3,FALSE)</f>
        <v>1</v>
      </c>
      <c r="H2101" s="15">
        <v>6804</v>
      </c>
      <c r="I2101" s="15"/>
      <c r="J2101" s="15"/>
      <c r="K2101" s="15"/>
      <c r="L2101" s="15"/>
      <c r="M2101" s="15" t="s">
        <v>29</v>
      </c>
    </row>
    <row r="2102" spans="1:13" x14ac:dyDescent="0.25">
      <c r="A2102" s="23">
        <f t="shared" si="103"/>
        <v>201440</v>
      </c>
      <c r="B2102" s="14" t="str">
        <f t="shared" si="101"/>
        <v>Direct Debit (UMB Bank) - Credits</v>
      </c>
      <c r="C2102" s="38">
        <v>46146</v>
      </c>
      <c r="D2102" s="34">
        <v>201440</v>
      </c>
      <c r="E2102" s="36" t="str">
        <f>IF(Table3[[#This Row],[Type Received]]=2,"CC",(IF(Table3[[#This Row],[Type Received]]=3,"BILL","ACH")))</f>
        <v>ACH</v>
      </c>
      <c r="F2102" s="35">
        <v>60</v>
      </c>
      <c r="G2102" s="14" t="str">
        <f>VLOOKUP(D2102,Table4[],3,FALSE)</f>
        <v>1</v>
      </c>
      <c r="H2102" s="15">
        <v>4303</v>
      </c>
      <c r="I2102" s="15"/>
      <c r="J2102" s="15"/>
      <c r="K2102" s="15"/>
      <c r="L2102" s="15"/>
      <c r="M2102" s="15" t="s">
        <v>29</v>
      </c>
    </row>
    <row r="2103" spans="1:13" x14ac:dyDescent="0.25">
      <c r="A2103" s="23">
        <f t="shared" si="103"/>
        <v>201454</v>
      </c>
      <c r="B2103" s="14" t="str">
        <f t="shared" si="101"/>
        <v>Direct Debit (UMB Bank) - Credits</v>
      </c>
      <c r="C2103" s="37">
        <v>46157</v>
      </c>
      <c r="D2103" s="31">
        <v>201454</v>
      </c>
      <c r="E2103" s="33" t="str">
        <f>IF(Table3[[#This Row],[Type Received]]=2,"CC",(IF(Table3[[#This Row],[Type Received]]=3,"BILL","ACH")))</f>
        <v>ACH</v>
      </c>
      <c r="F2103" s="32">
        <v>36.43</v>
      </c>
      <c r="G2103" s="14" t="str">
        <f>VLOOKUP(D2103,Table4[],3,FALSE)</f>
        <v>1</v>
      </c>
      <c r="H2103" s="15"/>
      <c r="I2103" s="15"/>
      <c r="J2103" s="15" t="s">
        <v>87</v>
      </c>
      <c r="K2103" s="15">
        <v>696752196</v>
      </c>
      <c r="L2103" s="15" t="s">
        <v>29</v>
      </c>
      <c r="M2103" s="15" t="s">
        <v>29</v>
      </c>
    </row>
    <row r="2104" spans="1:13" x14ac:dyDescent="0.25">
      <c r="A2104" s="23">
        <f t="shared" si="103"/>
        <v>201465</v>
      </c>
      <c r="B2104" s="14" t="str">
        <f t="shared" si="101"/>
        <v>Credit Cards (UMB) - Credits</v>
      </c>
      <c r="C2104" s="38">
        <v>46145</v>
      </c>
      <c r="D2104" s="34">
        <v>201465</v>
      </c>
      <c r="E2104" s="36" t="str">
        <f>IF(Table3[[#This Row],[Type Received]]=2,"CC",(IF(Table3[[#This Row],[Type Received]]=3,"BILL","ACH")))</f>
        <v>CC</v>
      </c>
      <c r="F2104" s="35">
        <v>53.15</v>
      </c>
      <c r="G2104" s="14" t="str">
        <f>VLOOKUP(D2104,Table4[],3,FALSE)</f>
        <v>2</v>
      </c>
      <c r="H2104" s="15"/>
      <c r="I2104" s="15"/>
      <c r="J2104" s="24" t="s">
        <v>113</v>
      </c>
      <c r="K2104" s="15">
        <v>546440268</v>
      </c>
      <c r="L2104" s="15" t="s">
        <v>29</v>
      </c>
      <c r="M2104" s="15" t="s">
        <v>29</v>
      </c>
    </row>
    <row r="2105" spans="1:13" x14ac:dyDescent="0.25">
      <c r="A2105" s="23">
        <f t="shared" si="103"/>
        <v>201506</v>
      </c>
      <c r="B2105" s="14" t="str">
        <f t="shared" si="101"/>
        <v>Billing - Credits (from TPA)</v>
      </c>
      <c r="C2105" s="37">
        <v>46146</v>
      </c>
      <c r="D2105" s="31">
        <v>201506</v>
      </c>
      <c r="E2105" s="33" t="str">
        <f>IF(Table3[[#This Row],[Type Received]]=2,"CC",(IF(Table3[[#This Row],[Type Received]]=3,"BILL","ACH")))</f>
        <v>BILL</v>
      </c>
      <c r="F2105" s="32">
        <v>32.81</v>
      </c>
      <c r="G2105" s="14" t="str">
        <f>VLOOKUP(D2105,Table4[],3,FALSE)</f>
        <v>1</v>
      </c>
      <c r="H2105" s="15"/>
      <c r="I2105" s="15" t="s">
        <v>242</v>
      </c>
      <c r="J2105" s="15" t="s">
        <v>28</v>
      </c>
      <c r="K2105" s="15">
        <v>557617995</v>
      </c>
      <c r="L2105" s="15" t="s">
        <v>29</v>
      </c>
      <c r="M2105" s="15"/>
    </row>
    <row r="2106" spans="1:13" x14ac:dyDescent="0.25">
      <c r="A2106" s="23">
        <f t="shared" si="103"/>
        <v>201528</v>
      </c>
      <c r="B2106" s="14" t="str">
        <f t="shared" si="101"/>
        <v>Credit Cards (UMB) - Credits</v>
      </c>
      <c r="C2106" s="38">
        <v>46156</v>
      </c>
      <c r="D2106" s="34">
        <v>201528</v>
      </c>
      <c r="E2106" s="36" t="str">
        <f>IF(Table3[[#This Row],[Type Received]]=2,"CC",(IF(Table3[[#This Row],[Type Received]]=3,"BILL","ACH")))</f>
        <v>CC</v>
      </c>
      <c r="F2106" s="35">
        <v>38.31</v>
      </c>
      <c r="G2106" s="14" t="str">
        <f>VLOOKUP(D2106,Table4[],3,FALSE)</f>
        <v>2</v>
      </c>
      <c r="H2106" s="15">
        <v>997349</v>
      </c>
      <c r="I2106" s="15"/>
      <c r="J2106" s="15"/>
      <c r="K2106" s="15"/>
      <c r="L2106" s="15"/>
      <c r="M2106" s="15"/>
    </row>
    <row r="2107" spans="1:13" x14ac:dyDescent="0.25">
      <c r="A2107" s="23">
        <f t="shared" si="103"/>
        <v>201814</v>
      </c>
      <c r="B2107" s="14" t="str">
        <f t="shared" si="101"/>
        <v>Credit Cards (UMB) - Credits</v>
      </c>
      <c r="C2107" s="37">
        <v>46148</v>
      </c>
      <c r="D2107" s="31">
        <v>201814</v>
      </c>
      <c r="E2107" s="33" t="str">
        <f>IF(Table3[[#This Row],[Type Received]]=2,"CC",(IF(Table3[[#This Row],[Type Received]]=3,"BILL","ACH")))</f>
        <v>CC</v>
      </c>
      <c r="F2107" s="32">
        <v>94.76</v>
      </c>
      <c r="G2107" s="14" t="str">
        <f>VLOOKUP(D2107,Table4[],3,FALSE)</f>
        <v>2</v>
      </c>
      <c r="H2107" s="15"/>
      <c r="I2107" s="15">
        <v>95257</v>
      </c>
      <c r="J2107" s="15">
        <v>743046280</v>
      </c>
      <c r="K2107" s="15">
        <v>353725011</v>
      </c>
      <c r="L2107" s="15"/>
      <c r="M2107" s="15" t="s">
        <v>29</v>
      </c>
    </row>
    <row r="2108" spans="1:13" x14ac:dyDescent="0.25">
      <c r="A2108" s="23">
        <f t="shared" si="103"/>
        <v>201816</v>
      </c>
      <c r="B2108" s="14" t="str">
        <f t="shared" si="101"/>
        <v>Direct Debit (UMB Bank) - Credits</v>
      </c>
      <c r="C2108" s="38">
        <v>46169</v>
      </c>
      <c r="D2108" s="34">
        <v>201816</v>
      </c>
      <c r="E2108" s="36" t="str">
        <f>IF(Table3[[#This Row],[Type Received]]=2,"CC",(IF(Table3[[#This Row],[Type Received]]=3,"BILL","ACH")))</f>
        <v>ACH</v>
      </c>
      <c r="F2108" s="35">
        <v>65.72</v>
      </c>
      <c r="G2108" s="14" t="str">
        <f>VLOOKUP(D2108,Table4[],3,FALSE)</f>
        <v>2</v>
      </c>
      <c r="H2108" s="15"/>
      <c r="I2108" s="15">
        <v>15580</v>
      </c>
      <c r="J2108" s="24" t="s">
        <v>28</v>
      </c>
      <c r="K2108" s="15">
        <v>844155340</v>
      </c>
      <c r="L2108" s="15" t="s">
        <v>29</v>
      </c>
      <c r="M2108" s="15" t="s">
        <v>29</v>
      </c>
    </row>
    <row r="2109" spans="1:13" x14ac:dyDescent="0.25">
      <c r="A2109" s="23">
        <f t="shared" si="103"/>
        <v>201818</v>
      </c>
      <c r="B2109" s="14" t="str">
        <f t="shared" si="101"/>
        <v>Billing - Credits (from TPA)</v>
      </c>
      <c r="C2109" s="37">
        <v>46145</v>
      </c>
      <c r="D2109" s="31">
        <v>201818</v>
      </c>
      <c r="E2109" s="33" t="str">
        <f>IF(Table3[[#This Row],[Type Received]]=2,"CC",(IF(Table3[[#This Row],[Type Received]]=3,"BILL","ACH")))</f>
        <v>BILL</v>
      </c>
      <c r="F2109" s="32">
        <v>30.49</v>
      </c>
      <c r="G2109" s="14" t="str">
        <f>VLOOKUP(D2109,Table4[],3,FALSE)</f>
        <v>1</v>
      </c>
      <c r="H2109" s="15"/>
      <c r="I2109" s="15"/>
      <c r="J2109" s="15" t="s">
        <v>113</v>
      </c>
      <c r="K2109" s="15">
        <v>546421988</v>
      </c>
      <c r="L2109" s="15" t="s">
        <v>29</v>
      </c>
      <c r="M2109" s="15" t="s">
        <v>29</v>
      </c>
    </row>
    <row r="2110" spans="1:13" x14ac:dyDescent="0.25">
      <c r="A2110" s="23">
        <f t="shared" si="103"/>
        <v>201862</v>
      </c>
      <c r="B2110" s="14" t="str">
        <f t="shared" si="101"/>
        <v>Billing - Credits (from TPA)</v>
      </c>
      <c r="C2110" s="38">
        <v>46160</v>
      </c>
      <c r="D2110" s="34">
        <v>201862</v>
      </c>
      <c r="E2110" s="36" t="str">
        <f>IF(Table3[[#This Row],[Type Received]]=2,"CC",(IF(Table3[[#This Row],[Type Received]]=3,"BILL","ACH")))</f>
        <v>BILL</v>
      </c>
      <c r="F2110" s="35">
        <v>63</v>
      </c>
      <c r="G2110" s="14" t="str">
        <f>VLOOKUP(D2110,Table4[],3,FALSE)</f>
        <v>2</v>
      </c>
      <c r="H2110" s="15">
        <v>359</v>
      </c>
      <c r="I2110" s="15"/>
      <c r="J2110" s="24"/>
      <c r="K2110" s="15"/>
      <c r="L2110" s="15"/>
      <c r="M2110" s="15" t="s">
        <v>29</v>
      </c>
    </row>
    <row r="2111" spans="1:13" x14ac:dyDescent="0.25">
      <c r="A2111" s="23">
        <f t="shared" si="103"/>
        <v>201945</v>
      </c>
      <c r="B2111" s="14" t="str">
        <f t="shared" si="101"/>
        <v>Billing - Credits (from TPA)</v>
      </c>
      <c r="C2111" s="37">
        <v>46168</v>
      </c>
      <c r="D2111" s="31">
        <v>201945</v>
      </c>
      <c r="E2111" s="33" t="str">
        <f>IF(Table3[[#This Row],[Type Received]]=2,"CC",(IF(Table3[[#This Row],[Type Received]]=3,"BILL","ACH")))</f>
        <v>BILL</v>
      </c>
      <c r="F2111" s="32">
        <v>23.79</v>
      </c>
      <c r="G2111" s="14" t="str">
        <f>VLOOKUP(D2111,Table4[],3,FALSE)</f>
        <v>2</v>
      </c>
      <c r="H2111" s="15">
        <v>828</v>
      </c>
      <c r="I2111" s="15"/>
      <c r="J2111" s="15"/>
      <c r="K2111" s="15"/>
      <c r="L2111" s="15"/>
      <c r="M2111" s="15"/>
    </row>
    <row r="2112" spans="1:13" x14ac:dyDescent="0.25">
      <c r="A2112" s="23">
        <f t="shared" si="103"/>
        <v>201945</v>
      </c>
      <c r="B2112" s="14" t="str">
        <f t="shared" si="101"/>
        <v>Direct Debit (UMB Bank) - Credits</v>
      </c>
      <c r="C2112" s="38">
        <v>46146</v>
      </c>
      <c r="D2112" s="34">
        <v>201945</v>
      </c>
      <c r="E2112" s="36" t="str">
        <f>IF(Table3[[#This Row],[Type Received]]=2,"CC",(IF(Table3[[#This Row],[Type Received]]=3,"BILL","ACH")))</f>
        <v>ACH</v>
      </c>
      <c r="F2112" s="35">
        <v>23.79</v>
      </c>
      <c r="G2112" s="14" t="str">
        <f>VLOOKUP(D2112,Table4[],3,FALSE)</f>
        <v>2</v>
      </c>
      <c r="H2112" s="15">
        <v>825</v>
      </c>
      <c r="I2112" s="15"/>
      <c r="J2112" s="15"/>
      <c r="K2112" s="15"/>
      <c r="L2112" s="15"/>
      <c r="M2112" s="15"/>
    </row>
    <row r="2113" spans="1:13" x14ac:dyDescent="0.25">
      <c r="A2113" s="23">
        <f t="shared" si="103"/>
        <v>201642</v>
      </c>
      <c r="B2113" s="14" t="str">
        <f t="shared" si="101"/>
        <v>Direct Debit (UMB Bank) - Credits</v>
      </c>
      <c r="C2113" s="37">
        <v>46157</v>
      </c>
      <c r="D2113" s="31">
        <v>201642</v>
      </c>
      <c r="E2113" s="33" t="str">
        <f>IF(Table3[[#This Row],[Type Received]]=2,"CC",(IF(Table3[[#This Row],[Type Received]]=3,"BILL","ACH")))</f>
        <v>ACH</v>
      </c>
      <c r="F2113" s="32">
        <v>28.73</v>
      </c>
      <c r="G2113" s="14" t="str">
        <f>VLOOKUP(D2113,Table4[],3,FALSE)</f>
        <v>1</v>
      </c>
      <c r="H2113" s="15"/>
      <c r="I2113" s="15"/>
      <c r="J2113" s="15" t="s">
        <v>87</v>
      </c>
      <c r="K2113" s="15">
        <v>696729957</v>
      </c>
      <c r="L2113" s="15" t="s">
        <v>29</v>
      </c>
      <c r="M2113" s="15" t="s">
        <v>29</v>
      </c>
    </row>
    <row r="2114" spans="1:13" x14ac:dyDescent="0.25">
      <c r="A2114" s="23">
        <f t="shared" si="103"/>
        <v>201650</v>
      </c>
      <c r="B2114" s="14" t="str">
        <f t="shared" ref="B2114:B2177" si="104">IF(AND(E2114="BILL",F2114&lt;0),"Billing &amp; Direct Debit - Refunds",(IF(AND(E2114="BILL",F2114&gt;0),"Billing - Credits (from TPA)",(IF(AND(E2114="CC",F2114&lt;0),"Credit Cards (UMB) - Refunds",(IF(AND(E2114="CC",F2114&gt;0),"Credit Cards (UMB) - Credits",(IF(AND(E2114="ACH",F2114&gt;0),"Direct Debit (UMB Bank) - Credits","Direct Debit (UMB Bank) - Returned Items")))))))))</f>
        <v>Direct Debit (UMB Bank) - Credits</v>
      </c>
      <c r="C2114" s="38">
        <v>46169</v>
      </c>
      <c r="D2114" s="34">
        <v>201650</v>
      </c>
      <c r="E2114" s="36" t="str">
        <f>IF(Table3[[#This Row],[Type Received]]=2,"CC",(IF(Table3[[#This Row],[Type Received]]=3,"BILL","ACH")))</f>
        <v>ACH</v>
      </c>
      <c r="F2114" s="35">
        <v>21.91</v>
      </c>
      <c r="G2114" s="14" t="str">
        <f>VLOOKUP(D2114,Table4[],3,FALSE)</f>
        <v>1</v>
      </c>
      <c r="H2114" s="15"/>
      <c r="I2114" s="15"/>
      <c r="J2114" s="15" t="s">
        <v>117</v>
      </c>
      <c r="K2114" s="15">
        <v>840841921</v>
      </c>
      <c r="L2114" s="15" t="s">
        <v>29</v>
      </c>
      <c r="M2114" s="15"/>
    </row>
    <row r="2115" spans="1:13" x14ac:dyDescent="0.25">
      <c r="A2115" s="23">
        <f t="shared" si="103"/>
        <v>201660</v>
      </c>
      <c r="B2115" s="14" t="str">
        <f t="shared" si="104"/>
        <v>Direct Debit (UMB Bank) - Credits</v>
      </c>
      <c r="C2115" s="37">
        <v>46145</v>
      </c>
      <c r="D2115" s="31">
        <v>201660</v>
      </c>
      <c r="E2115" s="33" t="str">
        <f>IF(Table3[[#This Row],[Type Received]]=2,"CC",(IF(Table3[[#This Row],[Type Received]]=3,"BILL","ACH")))</f>
        <v>ACH</v>
      </c>
      <c r="F2115" s="32">
        <v>36.21</v>
      </c>
      <c r="G2115" s="14" t="str">
        <f>VLOOKUP(D2115,Table4[],3,FALSE)</f>
        <v>1</v>
      </c>
      <c r="H2115" s="15"/>
      <c r="I2115" s="15"/>
      <c r="J2115" s="15" t="s">
        <v>113</v>
      </c>
      <c r="K2115" s="15">
        <v>546431528</v>
      </c>
      <c r="L2115" s="15" t="s">
        <v>29</v>
      </c>
      <c r="M2115" s="15"/>
    </row>
    <row r="2116" spans="1:13" x14ac:dyDescent="0.25">
      <c r="A2116" s="23">
        <f t="shared" si="103"/>
        <v>201722</v>
      </c>
      <c r="B2116" s="14" t="str">
        <f t="shared" si="104"/>
        <v>Credit Cards (UMB) - Credits</v>
      </c>
      <c r="C2116" s="38">
        <v>46145</v>
      </c>
      <c r="D2116" s="34">
        <v>201722</v>
      </c>
      <c r="E2116" s="36" t="str">
        <f>IF(Table3[[#This Row],[Type Received]]=2,"CC",(IF(Table3[[#This Row],[Type Received]]=3,"BILL","ACH")))</f>
        <v>CC</v>
      </c>
      <c r="F2116" s="35">
        <v>17.510000000000002</v>
      </c>
      <c r="G2116" s="14" t="str">
        <f>VLOOKUP(D2116,Table4[],3,FALSE)</f>
        <v>1</v>
      </c>
      <c r="H2116" s="15"/>
      <c r="I2116" s="15"/>
      <c r="J2116" s="15" t="s">
        <v>113</v>
      </c>
      <c r="K2116" s="15">
        <v>546421057</v>
      </c>
      <c r="L2116" s="15" t="s">
        <v>29</v>
      </c>
      <c r="M2116" s="15" t="s">
        <v>29</v>
      </c>
    </row>
    <row r="2117" spans="1:13" x14ac:dyDescent="0.25">
      <c r="A2117" s="23">
        <f t="shared" si="103"/>
        <v>202322</v>
      </c>
      <c r="B2117" s="14" t="str">
        <f t="shared" si="104"/>
        <v>Billing - Credits (from TPA)</v>
      </c>
      <c r="C2117" s="37">
        <v>46145</v>
      </c>
      <c r="D2117" s="31">
        <v>202322</v>
      </c>
      <c r="E2117" s="33" t="str">
        <f>IF(Table3[[#This Row],[Type Received]]=2,"CC",(IF(Table3[[#This Row],[Type Received]]=3,"BILL","ACH")))</f>
        <v>BILL</v>
      </c>
      <c r="F2117" s="32">
        <v>91.43</v>
      </c>
      <c r="G2117" s="14" t="str">
        <f>VLOOKUP(D2117,Table4[],3,FALSE)</f>
        <v>2</v>
      </c>
      <c r="H2117" s="15"/>
      <c r="I2117" s="15">
        <v>37186</v>
      </c>
      <c r="J2117" s="24" t="s">
        <v>28</v>
      </c>
      <c r="K2117" s="15">
        <v>546442292</v>
      </c>
      <c r="L2117" s="15" t="s">
        <v>29</v>
      </c>
      <c r="M2117" s="15" t="s">
        <v>29</v>
      </c>
    </row>
    <row r="2118" spans="1:13" x14ac:dyDescent="0.25">
      <c r="A2118" s="23">
        <f t="shared" si="103"/>
        <v>202336</v>
      </c>
      <c r="B2118" s="14" t="str">
        <f t="shared" si="104"/>
        <v>Credit Cards (UMB) - Credits</v>
      </c>
      <c r="C2118" s="38">
        <v>46153</v>
      </c>
      <c r="D2118" s="34">
        <v>202336</v>
      </c>
      <c r="E2118" s="36" t="str">
        <f>IF(Table3[[#This Row],[Type Received]]=2,"CC",(IF(Table3[[#This Row],[Type Received]]=3,"BILL","ACH")))</f>
        <v>CC</v>
      </c>
      <c r="F2118" s="35">
        <v>15</v>
      </c>
      <c r="G2118" s="14" t="str">
        <f>VLOOKUP(D2118,Table4[],3,FALSE)</f>
        <v>1</v>
      </c>
      <c r="H2118" s="15">
        <v>78035968417</v>
      </c>
      <c r="I2118" s="15"/>
      <c r="J2118" s="15"/>
      <c r="K2118" s="15"/>
      <c r="L2118" s="15"/>
      <c r="M2118" s="15" t="s">
        <v>29</v>
      </c>
    </row>
    <row r="2119" spans="1:13" x14ac:dyDescent="0.25">
      <c r="A2119" s="23">
        <f t="shared" si="103"/>
        <v>202382</v>
      </c>
      <c r="B2119" s="14" t="str">
        <f t="shared" si="104"/>
        <v>Credit Cards (UMB) - Credits</v>
      </c>
      <c r="C2119" s="37">
        <v>46157</v>
      </c>
      <c r="D2119" s="31">
        <v>202382</v>
      </c>
      <c r="E2119" s="33" t="str">
        <f>IF(Table3[[#This Row],[Type Received]]=2,"CC",(IF(Table3[[#This Row],[Type Received]]=3,"BILL","ACH")))</f>
        <v>CC</v>
      </c>
      <c r="F2119" s="32">
        <v>24.11</v>
      </c>
      <c r="G2119" s="14" t="str">
        <f>VLOOKUP(D2119,Table4[],3,FALSE)</f>
        <v>2</v>
      </c>
      <c r="H2119" s="15"/>
      <c r="I2119" s="15">
        <v>673015</v>
      </c>
      <c r="J2119" s="15" t="s">
        <v>28</v>
      </c>
      <c r="K2119" s="15">
        <v>696757127</v>
      </c>
      <c r="L2119" s="15" t="s">
        <v>29</v>
      </c>
      <c r="M2119" s="15"/>
    </row>
    <row r="2120" spans="1:13" x14ac:dyDescent="0.25">
      <c r="A2120" s="23">
        <f t="shared" si="103"/>
        <v>202084</v>
      </c>
      <c r="B2120" s="14" t="str">
        <f t="shared" si="104"/>
        <v>Direct Debit (UMB Bank) - Credits</v>
      </c>
      <c r="C2120" s="38">
        <v>46159</v>
      </c>
      <c r="D2120" s="34">
        <v>202084</v>
      </c>
      <c r="E2120" s="36" t="str">
        <f>IF(Table3[[#This Row],[Type Received]]=2,"CC",(IF(Table3[[#This Row],[Type Received]]=3,"BILL","ACH")))</f>
        <v>ACH</v>
      </c>
      <c r="F2120" s="35">
        <v>20.05</v>
      </c>
      <c r="G2120" s="14" t="str">
        <f>VLOOKUP(D2120,Table4[],3,FALSE)</f>
        <v>1</v>
      </c>
      <c r="H2120" s="15"/>
      <c r="I2120" s="15">
        <v>85451</v>
      </c>
      <c r="J2120" s="15">
        <v>746397880</v>
      </c>
      <c r="K2120" s="15">
        <v>354938420</v>
      </c>
      <c r="L2120" s="15"/>
      <c r="M2120" s="15" t="s">
        <v>29</v>
      </c>
    </row>
    <row r="2121" spans="1:13" x14ac:dyDescent="0.25">
      <c r="A2121" s="23">
        <f t="shared" si="103"/>
        <v>202109</v>
      </c>
      <c r="B2121" s="14" t="str">
        <f t="shared" si="104"/>
        <v>Direct Debit (UMB Bank) - Credits</v>
      </c>
      <c r="C2121" s="37">
        <v>46157</v>
      </c>
      <c r="D2121" s="31">
        <v>202109</v>
      </c>
      <c r="E2121" s="33" t="str">
        <f>IF(Table3[[#This Row],[Type Received]]=2,"CC",(IF(Table3[[#This Row],[Type Received]]=3,"BILL","ACH")))</f>
        <v>ACH</v>
      </c>
      <c r="F2121" s="32">
        <v>47.21</v>
      </c>
      <c r="G2121" s="14" t="str">
        <f>VLOOKUP(D2121,Table4[],3,FALSE)</f>
        <v>1</v>
      </c>
      <c r="H2121" s="15"/>
      <c r="I2121" s="15"/>
      <c r="J2121" s="15" t="s">
        <v>87</v>
      </c>
      <c r="K2121" s="15">
        <v>696744526</v>
      </c>
      <c r="L2121" s="15" t="s">
        <v>29</v>
      </c>
      <c r="M2121" s="15" t="s">
        <v>29</v>
      </c>
    </row>
    <row r="2122" spans="1:13" x14ac:dyDescent="0.25">
      <c r="A2122" s="23">
        <f t="shared" si="103"/>
        <v>202200</v>
      </c>
      <c r="B2122" s="14" t="str">
        <f t="shared" si="104"/>
        <v>Billing - Credits (from TPA)</v>
      </c>
      <c r="C2122" s="38">
        <v>46157</v>
      </c>
      <c r="D2122" s="34">
        <v>202200</v>
      </c>
      <c r="E2122" s="36" t="str">
        <f>IF(Table3[[#This Row],[Type Received]]=2,"CC",(IF(Table3[[#This Row],[Type Received]]=3,"BILL","ACH")))</f>
        <v>BILL</v>
      </c>
      <c r="F2122" s="35">
        <v>67.34</v>
      </c>
      <c r="G2122" s="14" t="str">
        <f>VLOOKUP(D2122,Table4[],3,FALSE)</f>
        <v>2</v>
      </c>
      <c r="H2122" s="15"/>
      <c r="I2122" s="15"/>
      <c r="J2122" s="15" t="s">
        <v>87</v>
      </c>
      <c r="K2122" s="15">
        <v>696752244</v>
      </c>
      <c r="L2122" s="15" t="s">
        <v>29</v>
      </c>
      <c r="M2122" s="15" t="s">
        <v>29</v>
      </c>
    </row>
    <row r="2123" spans="1:13" x14ac:dyDescent="0.25">
      <c r="A2123" s="23">
        <f t="shared" si="103"/>
        <v>202420</v>
      </c>
      <c r="B2123" s="14" t="str">
        <f t="shared" si="104"/>
        <v>Direct Debit (UMB Bank) - Credits</v>
      </c>
      <c r="C2123" s="37">
        <v>46150</v>
      </c>
      <c r="D2123" s="31">
        <v>202420</v>
      </c>
      <c r="E2123" s="33" t="str">
        <f>IF(Table3[[#This Row],[Type Received]]=2,"CC",(IF(Table3[[#This Row],[Type Received]]=3,"BILL","ACH")))</f>
        <v>ACH</v>
      </c>
      <c r="F2123" s="32">
        <v>47.22</v>
      </c>
      <c r="G2123" s="14" t="str">
        <f>VLOOKUP(D2123,Table4[],3,FALSE)</f>
        <v>2</v>
      </c>
      <c r="H2123" s="15">
        <v>1791</v>
      </c>
      <c r="I2123" s="15"/>
      <c r="J2123" s="15"/>
      <c r="K2123" s="15"/>
      <c r="L2123" s="15"/>
      <c r="M2123" s="15" t="s">
        <v>29</v>
      </c>
    </row>
    <row r="2124" spans="1:13" x14ac:dyDescent="0.25">
      <c r="A2124" s="23">
        <f t="shared" si="103"/>
        <v>202565</v>
      </c>
      <c r="B2124" s="14" t="str">
        <f t="shared" si="104"/>
        <v>Direct Debit (UMB Bank) - Credits</v>
      </c>
      <c r="C2124" s="38">
        <v>46157</v>
      </c>
      <c r="D2124" s="34">
        <v>202565</v>
      </c>
      <c r="E2124" s="36" t="str">
        <f>IF(Table3[[#This Row],[Type Received]]=2,"CC",(IF(Table3[[#This Row],[Type Received]]=3,"BILL","ACH")))</f>
        <v>ACH</v>
      </c>
      <c r="F2124" s="35">
        <v>29.72</v>
      </c>
      <c r="G2124" s="14" t="str">
        <f>VLOOKUP(D2124,Table4[],3,FALSE)</f>
        <v>2</v>
      </c>
      <c r="H2124" s="15"/>
      <c r="I2124" s="15"/>
      <c r="J2124" s="15" t="s">
        <v>87</v>
      </c>
      <c r="K2124" s="15">
        <v>696733878</v>
      </c>
      <c r="L2124" s="15" t="s">
        <v>29</v>
      </c>
      <c r="M2124" s="15" t="s">
        <v>29</v>
      </c>
    </row>
    <row r="2125" spans="1:13" x14ac:dyDescent="0.25">
      <c r="A2125" s="23">
        <f t="shared" si="103"/>
        <v>202584</v>
      </c>
      <c r="B2125" s="14" t="str">
        <f t="shared" si="104"/>
        <v>Direct Debit (UMB Bank) - Credits</v>
      </c>
      <c r="C2125" s="37">
        <v>46169</v>
      </c>
      <c r="D2125" s="31">
        <v>202584</v>
      </c>
      <c r="E2125" s="33" t="str">
        <f>IF(Table3[[#This Row],[Type Received]]=2,"CC",(IF(Table3[[#This Row],[Type Received]]=3,"BILL","ACH")))</f>
        <v>ACH</v>
      </c>
      <c r="F2125" s="32">
        <v>14.21</v>
      </c>
      <c r="G2125" s="14" t="str">
        <f>VLOOKUP(D2125,Table4[],3,FALSE)</f>
        <v>1</v>
      </c>
      <c r="H2125" s="15"/>
      <c r="I2125" s="15"/>
      <c r="J2125" s="15" t="s">
        <v>117</v>
      </c>
      <c r="K2125" s="15">
        <v>840842825</v>
      </c>
      <c r="L2125" s="15" t="s">
        <v>29</v>
      </c>
      <c r="M2125" s="15" t="s">
        <v>29</v>
      </c>
    </row>
    <row r="2126" spans="1:13" x14ac:dyDescent="0.25">
      <c r="A2126" s="23">
        <f t="shared" si="103"/>
        <v>202822</v>
      </c>
      <c r="B2126" s="14" t="str">
        <f t="shared" si="104"/>
        <v>Direct Debit (UMB Bank) - Credits</v>
      </c>
      <c r="C2126" s="38">
        <v>46157</v>
      </c>
      <c r="D2126" s="34">
        <v>202822</v>
      </c>
      <c r="E2126" s="36" t="str">
        <f>IF(Table3[[#This Row],[Type Received]]=2,"CC",(IF(Table3[[#This Row],[Type Received]]=3,"BILL","ACH")))</f>
        <v>ACH</v>
      </c>
      <c r="F2126" s="35">
        <v>27.08</v>
      </c>
      <c r="G2126" s="14" t="str">
        <f>VLOOKUP(D2126,Table4[],3,FALSE)</f>
        <v>2</v>
      </c>
      <c r="H2126" s="15"/>
      <c r="I2126" s="15"/>
      <c r="J2126" s="15" t="s">
        <v>87</v>
      </c>
      <c r="K2126" s="15">
        <v>696742664</v>
      </c>
      <c r="L2126" s="15" t="s">
        <v>29</v>
      </c>
      <c r="M2126" s="15" t="s">
        <v>29</v>
      </c>
    </row>
    <row r="2127" spans="1:13" x14ac:dyDescent="0.25">
      <c r="A2127" s="23">
        <f t="shared" si="103"/>
        <v>202839</v>
      </c>
      <c r="B2127" s="14" t="str">
        <f t="shared" si="104"/>
        <v>Credit Cards (UMB) - Credits</v>
      </c>
      <c r="C2127" s="37">
        <v>46145</v>
      </c>
      <c r="D2127" s="31">
        <v>202839</v>
      </c>
      <c r="E2127" s="33" t="str">
        <f>IF(Table3[[#This Row],[Type Received]]=2,"CC",(IF(Table3[[#This Row],[Type Received]]=3,"BILL","ACH")))</f>
        <v>CC</v>
      </c>
      <c r="F2127" s="32">
        <v>10.25</v>
      </c>
      <c r="G2127" s="14" t="str">
        <f>VLOOKUP(D2127,Table4[],3,FALSE)</f>
        <v>1</v>
      </c>
      <c r="H2127" s="15"/>
      <c r="I2127" s="15"/>
      <c r="J2127" s="15" t="s">
        <v>113</v>
      </c>
      <c r="K2127" s="15">
        <v>546435473</v>
      </c>
      <c r="L2127" s="15" t="s">
        <v>29</v>
      </c>
      <c r="M2127" s="15" t="s">
        <v>29</v>
      </c>
    </row>
    <row r="2128" spans="1:13" x14ac:dyDescent="0.25">
      <c r="A2128" s="23">
        <f t="shared" si="103"/>
        <v>202857</v>
      </c>
      <c r="B2128" s="14" t="str">
        <f t="shared" si="104"/>
        <v>Credit Cards (UMB) - Credits</v>
      </c>
      <c r="C2128" s="38">
        <v>46147</v>
      </c>
      <c r="D2128" s="34">
        <v>202857</v>
      </c>
      <c r="E2128" s="36" t="str">
        <f>IF(Table3[[#This Row],[Type Received]]=2,"CC",(IF(Table3[[#This Row],[Type Received]]=3,"BILL","ACH")))</f>
        <v>CC</v>
      </c>
      <c r="F2128" s="35">
        <v>23.45</v>
      </c>
      <c r="G2128" s="14" t="str">
        <f>VLOOKUP(D2128,Table4[],3,FALSE)</f>
        <v>2</v>
      </c>
      <c r="H2128" s="15"/>
      <c r="I2128" s="15">
        <v>183466</v>
      </c>
      <c r="J2128" s="15" t="s">
        <v>28</v>
      </c>
      <c r="K2128" s="15">
        <v>569472900</v>
      </c>
      <c r="L2128" s="15" t="s">
        <v>29</v>
      </c>
      <c r="M2128" s="15" t="s">
        <v>29</v>
      </c>
    </row>
    <row r="2129" spans="1:13" x14ac:dyDescent="0.25">
      <c r="A2129" s="23">
        <f t="shared" si="103"/>
        <v>202898</v>
      </c>
      <c r="B2129" s="14" t="str">
        <f t="shared" si="104"/>
        <v>Direct Debit (UMB Bank) - Credits</v>
      </c>
      <c r="C2129" s="37">
        <v>46155</v>
      </c>
      <c r="D2129" s="31">
        <v>202898</v>
      </c>
      <c r="E2129" s="33" t="str">
        <f>IF(Table3[[#This Row],[Type Received]]=2,"CC",(IF(Table3[[#This Row],[Type Received]]=3,"BILL","ACH")))</f>
        <v>ACH</v>
      </c>
      <c r="F2129" s="32">
        <v>52.83</v>
      </c>
      <c r="G2129" s="14" t="str">
        <f>VLOOKUP(D2129,Table4[],3,FALSE)</f>
        <v>2</v>
      </c>
      <c r="H2129" s="15"/>
      <c r="I2129" s="15">
        <v>2529</v>
      </c>
      <c r="J2129" s="15">
        <v>744917848</v>
      </c>
      <c r="K2129" s="15">
        <v>354511544</v>
      </c>
      <c r="L2129" s="15"/>
      <c r="M2129" s="15" t="s">
        <v>29</v>
      </c>
    </row>
    <row r="2130" spans="1:13" x14ac:dyDescent="0.25">
      <c r="A2130" s="23">
        <f t="shared" ref="A2130:A2156" si="105">D2130</f>
        <v>202654</v>
      </c>
      <c r="B2130" s="14" t="str">
        <f t="shared" si="104"/>
        <v>Billing - Credits (from TPA)</v>
      </c>
      <c r="C2130" s="38">
        <v>46145</v>
      </c>
      <c r="D2130" s="34">
        <v>202654</v>
      </c>
      <c r="E2130" s="36" t="str">
        <f>IF(Table3[[#This Row],[Type Received]]=2,"CC",(IF(Table3[[#This Row],[Type Received]]=3,"BILL","ACH")))</f>
        <v>BILL</v>
      </c>
      <c r="F2130" s="35">
        <v>23.34</v>
      </c>
      <c r="G2130" s="14" t="str">
        <f>VLOOKUP(D2130,Table4[],3,FALSE)</f>
        <v>2</v>
      </c>
      <c r="H2130" s="15"/>
      <c r="I2130" s="15"/>
      <c r="J2130" s="15" t="s">
        <v>113</v>
      </c>
      <c r="K2130" s="15">
        <v>546421998</v>
      </c>
      <c r="L2130" s="15" t="s">
        <v>29</v>
      </c>
      <c r="M2130" s="15"/>
    </row>
    <row r="2131" spans="1:13" x14ac:dyDescent="0.25">
      <c r="A2131" s="23">
        <f t="shared" si="105"/>
        <v>202713</v>
      </c>
      <c r="B2131" s="14" t="str">
        <f t="shared" si="104"/>
        <v>Direct Debit (UMB Bank) - Credits</v>
      </c>
      <c r="C2131" s="37">
        <v>46146</v>
      </c>
      <c r="D2131" s="31">
        <v>202713</v>
      </c>
      <c r="E2131" s="33" t="str">
        <f>IF(Table3[[#This Row],[Type Received]]=2,"CC",(IF(Table3[[#This Row],[Type Received]]=3,"BILL","ACH")))</f>
        <v>ACH</v>
      </c>
      <c r="F2131" s="32">
        <v>66.38</v>
      </c>
      <c r="G2131" s="14" t="str">
        <f>VLOOKUP(D2131,Table4[],3,FALSE)</f>
        <v>2</v>
      </c>
      <c r="H2131" s="15">
        <v>55130626488</v>
      </c>
      <c r="I2131" s="15"/>
      <c r="J2131" s="15"/>
      <c r="K2131" s="15"/>
      <c r="L2131" s="15"/>
      <c r="M2131" s="15" t="s">
        <v>29</v>
      </c>
    </row>
    <row r="2132" spans="1:13" x14ac:dyDescent="0.25">
      <c r="A2132" s="23">
        <f t="shared" si="105"/>
        <v>202725</v>
      </c>
      <c r="B2132" s="14" t="str">
        <f t="shared" si="104"/>
        <v>Billing - Credits (from TPA)</v>
      </c>
      <c r="C2132" s="38">
        <v>46145</v>
      </c>
      <c r="D2132" s="34">
        <v>202725</v>
      </c>
      <c r="E2132" s="36" t="str">
        <f>IF(Table3[[#This Row],[Type Received]]=2,"CC",(IF(Table3[[#This Row],[Type Received]]=3,"BILL","ACH")))</f>
        <v>BILL</v>
      </c>
      <c r="F2132" s="35">
        <v>39.950000000000003</v>
      </c>
      <c r="G2132" s="14" t="str">
        <f>VLOOKUP(D2132,Table4[],3,FALSE)</f>
        <v>2</v>
      </c>
      <c r="H2132" s="15"/>
      <c r="I2132" s="15"/>
      <c r="J2132" s="15" t="s">
        <v>113</v>
      </c>
      <c r="K2132" s="15">
        <v>546446156</v>
      </c>
      <c r="L2132" s="15" t="s">
        <v>29</v>
      </c>
      <c r="M2132" s="15" t="s">
        <v>29</v>
      </c>
    </row>
    <row r="2133" spans="1:13" x14ac:dyDescent="0.25">
      <c r="A2133" s="23">
        <f t="shared" si="105"/>
        <v>202745</v>
      </c>
      <c r="B2133" s="14" t="str">
        <f t="shared" si="104"/>
        <v>Credit Cards (UMB) - Credits</v>
      </c>
      <c r="C2133" s="37">
        <v>46153</v>
      </c>
      <c r="D2133" s="31">
        <v>202745</v>
      </c>
      <c r="E2133" s="33" t="str">
        <f>IF(Table3[[#This Row],[Type Received]]=2,"CC",(IF(Table3[[#This Row],[Type Received]]=3,"BILL","ACH")))</f>
        <v>CC</v>
      </c>
      <c r="F2133" s="32">
        <v>53.18</v>
      </c>
      <c r="G2133" s="14" t="str">
        <f>VLOOKUP(D2133,Table4[],3,FALSE)</f>
        <v>1</v>
      </c>
      <c r="H2133" s="15">
        <v>9326</v>
      </c>
      <c r="I2133" s="15"/>
      <c r="J2133" s="15"/>
      <c r="K2133" s="15"/>
      <c r="L2133" s="15"/>
      <c r="M2133" s="15"/>
    </row>
    <row r="2134" spans="1:13" x14ac:dyDescent="0.25">
      <c r="A2134" s="23">
        <f t="shared" si="105"/>
        <v>202747</v>
      </c>
      <c r="B2134" s="14" t="str">
        <f t="shared" si="104"/>
        <v>Direct Debit (UMB Bank) - Credits</v>
      </c>
      <c r="C2134" s="38">
        <v>46170</v>
      </c>
      <c r="D2134" s="34">
        <v>202747</v>
      </c>
      <c r="E2134" s="36" t="str">
        <f>IF(Table3[[#This Row],[Type Received]]=2,"CC",(IF(Table3[[#This Row],[Type Received]]=3,"BILL","ACH")))</f>
        <v>ACH</v>
      </c>
      <c r="F2134" s="35">
        <v>84.22</v>
      </c>
      <c r="G2134" s="14" t="str">
        <f>VLOOKUP(D2134,Table4[],3,FALSE)</f>
        <v>2</v>
      </c>
      <c r="H2134" s="15"/>
      <c r="I2134" s="15">
        <v>76285</v>
      </c>
      <c r="J2134" s="15" t="s">
        <v>28</v>
      </c>
      <c r="K2134" s="15">
        <v>859202351</v>
      </c>
      <c r="L2134" s="15" t="s">
        <v>29</v>
      </c>
      <c r="M2134" s="15" t="s">
        <v>29</v>
      </c>
    </row>
    <row r="2135" spans="1:13" x14ac:dyDescent="0.25">
      <c r="A2135" s="23">
        <f t="shared" si="105"/>
        <v>203004</v>
      </c>
      <c r="B2135" s="14" t="str">
        <f t="shared" si="104"/>
        <v>Direct Debit (UMB Bank) - Credits</v>
      </c>
      <c r="C2135" s="37">
        <v>46145</v>
      </c>
      <c r="D2135" s="31">
        <v>203004</v>
      </c>
      <c r="E2135" s="33" t="str">
        <f>IF(Table3[[#This Row],[Type Received]]=2,"CC",(IF(Table3[[#This Row],[Type Received]]=3,"BILL","ACH")))</f>
        <v>ACH</v>
      </c>
      <c r="F2135" s="32">
        <v>43.03</v>
      </c>
      <c r="G2135" s="14" t="str">
        <f>VLOOKUP(D2135,Table4[],3,FALSE)</f>
        <v>1</v>
      </c>
      <c r="H2135" s="15"/>
      <c r="I2135" s="15"/>
      <c r="J2135" s="15" t="s">
        <v>113</v>
      </c>
      <c r="K2135" s="15">
        <v>546446171</v>
      </c>
      <c r="L2135" s="15" t="s">
        <v>29</v>
      </c>
      <c r="M2135" s="15" t="s">
        <v>29</v>
      </c>
    </row>
    <row r="2136" spans="1:13" x14ac:dyDescent="0.25">
      <c r="A2136" s="23">
        <f t="shared" si="105"/>
        <v>203078</v>
      </c>
      <c r="B2136" s="14" t="str">
        <f t="shared" si="104"/>
        <v>Direct Debit (UMB Bank) - Credits</v>
      </c>
      <c r="C2136" s="38">
        <v>46169</v>
      </c>
      <c r="D2136" s="34">
        <v>203078</v>
      </c>
      <c r="E2136" s="36" t="str">
        <f>IF(Table3[[#This Row],[Type Received]]=2,"CC",(IF(Table3[[#This Row],[Type Received]]=3,"BILL","ACH")))</f>
        <v>ACH</v>
      </c>
      <c r="F2136" s="35">
        <v>42.7</v>
      </c>
      <c r="G2136" s="14" t="str">
        <f>VLOOKUP(D2136,Table4[],3,FALSE)</f>
        <v>2</v>
      </c>
      <c r="H2136" s="15"/>
      <c r="I2136" s="15"/>
      <c r="J2136" s="15" t="s">
        <v>117</v>
      </c>
      <c r="K2136" s="15">
        <v>840853447</v>
      </c>
      <c r="L2136" s="15" t="s">
        <v>29</v>
      </c>
      <c r="M2136" s="15" t="s">
        <v>29</v>
      </c>
    </row>
    <row r="2137" spans="1:13" x14ac:dyDescent="0.25">
      <c r="A2137" s="23">
        <f t="shared" si="105"/>
        <v>203084</v>
      </c>
      <c r="B2137" s="14" t="str">
        <f t="shared" si="104"/>
        <v>Direct Debit (UMB Bank) - Credits</v>
      </c>
      <c r="C2137" s="37">
        <v>46145</v>
      </c>
      <c r="D2137" s="31">
        <v>203084</v>
      </c>
      <c r="E2137" s="33" t="str">
        <f>IF(Table3[[#This Row],[Type Received]]=2,"CC",(IF(Table3[[#This Row],[Type Received]]=3,"BILL","ACH")))</f>
        <v>ACH</v>
      </c>
      <c r="F2137" s="32">
        <v>33.79</v>
      </c>
      <c r="G2137" s="14" t="str">
        <f>VLOOKUP(D2137,Table4[],3,FALSE)</f>
        <v>1</v>
      </c>
      <c r="H2137" s="15"/>
      <c r="I2137" s="15"/>
      <c r="J2137" s="15" t="s">
        <v>113</v>
      </c>
      <c r="K2137" s="15">
        <v>546408501</v>
      </c>
      <c r="L2137" s="15" t="s">
        <v>29</v>
      </c>
      <c r="M2137" s="15"/>
    </row>
    <row r="2138" spans="1:13" x14ac:dyDescent="0.25">
      <c r="A2138" s="23">
        <f t="shared" si="105"/>
        <v>203091</v>
      </c>
      <c r="B2138" s="14" t="str">
        <f t="shared" si="104"/>
        <v>Credit Cards (UMB) - Credits</v>
      </c>
      <c r="C2138" s="38">
        <v>46157</v>
      </c>
      <c r="D2138" s="34">
        <v>203091</v>
      </c>
      <c r="E2138" s="36" t="str">
        <f>IF(Table3[[#This Row],[Type Received]]=2,"CC",(IF(Table3[[#This Row],[Type Received]]=3,"BILL","ACH")))</f>
        <v>CC</v>
      </c>
      <c r="F2138" s="35">
        <v>25.32</v>
      </c>
      <c r="G2138" s="14" t="str">
        <f>VLOOKUP(D2138,Table4[],3,FALSE)</f>
        <v>2</v>
      </c>
      <c r="H2138" s="15"/>
      <c r="I2138" s="15"/>
      <c r="J2138" s="15" t="s">
        <v>87</v>
      </c>
      <c r="K2138" s="15">
        <v>696754289</v>
      </c>
      <c r="L2138" s="15" t="s">
        <v>29</v>
      </c>
      <c r="M2138" s="15" t="s">
        <v>29</v>
      </c>
    </row>
    <row r="2139" spans="1:13" x14ac:dyDescent="0.25">
      <c r="A2139" s="23">
        <f t="shared" si="105"/>
        <v>203189</v>
      </c>
      <c r="B2139" s="14" t="str">
        <f t="shared" si="104"/>
        <v>Billing - Credits (from TPA)</v>
      </c>
      <c r="C2139" s="37">
        <v>46155</v>
      </c>
      <c r="D2139" s="31">
        <v>203189</v>
      </c>
      <c r="E2139" s="33" t="str">
        <f>IF(Table3[[#This Row],[Type Received]]=2,"CC",(IF(Table3[[#This Row],[Type Received]]=3,"BILL","ACH")))</f>
        <v>BILL</v>
      </c>
      <c r="F2139" s="32">
        <v>31.05</v>
      </c>
      <c r="G2139" s="14" t="str">
        <f>VLOOKUP(D2139,Table4[],3,FALSE)</f>
        <v>2</v>
      </c>
      <c r="H2139" s="15"/>
      <c r="I2139" s="15">
        <v>805232</v>
      </c>
      <c r="J2139" s="15" t="s">
        <v>28</v>
      </c>
      <c r="K2139" s="15">
        <v>672610326</v>
      </c>
      <c r="L2139" s="15" t="s">
        <v>29</v>
      </c>
      <c r="M2139" s="15" t="s">
        <v>29</v>
      </c>
    </row>
    <row r="2140" spans="1:13" x14ac:dyDescent="0.25">
      <c r="A2140" s="23">
        <f t="shared" si="105"/>
        <v>203241</v>
      </c>
      <c r="B2140" s="14" t="str">
        <f t="shared" si="104"/>
        <v>Credit Cards (UMB) - Credits</v>
      </c>
      <c r="C2140" s="38">
        <v>46150</v>
      </c>
      <c r="D2140" s="34">
        <v>203241</v>
      </c>
      <c r="E2140" s="36" t="str">
        <f>IF(Table3[[#This Row],[Type Received]]=2,"CC",(IF(Table3[[#This Row],[Type Received]]=3,"BILL","ACH")))</f>
        <v>CC</v>
      </c>
      <c r="F2140" s="35">
        <v>34.35</v>
      </c>
      <c r="G2140" s="14" t="str">
        <f>VLOOKUP(D2140,Table4[],3,FALSE)</f>
        <v>2</v>
      </c>
      <c r="H2140" s="15">
        <v>5576</v>
      </c>
      <c r="I2140" s="15"/>
      <c r="J2140" s="15"/>
      <c r="K2140" s="15"/>
      <c r="L2140" s="15"/>
      <c r="M2140" s="15"/>
    </row>
    <row r="2141" spans="1:13" x14ac:dyDescent="0.25">
      <c r="A2141" s="23">
        <f t="shared" si="105"/>
        <v>203246</v>
      </c>
      <c r="B2141" s="14" t="str">
        <f t="shared" si="104"/>
        <v>Billing - Credits (from TPA)</v>
      </c>
      <c r="C2141" s="37">
        <v>46162</v>
      </c>
      <c r="D2141" s="31">
        <v>203246</v>
      </c>
      <c r="E2141" s="33" t="str">
        <f>IF(Table3[[#This Row],[Type Received]]=2,"CC",(IF(Table3[[#This Row],[Type Received]]=3,"BILL","ACH")))</f>
        <v>BILL</v>
      </c>
      <c r="F2141" s="32">
        <v>64.41</v>
      </c>
      <c r="G2141" s="14" t="str">
        <f>VLOOKUP(D2141,Table4[],3,FALSE)</f>
        <v>2</v>
      </c>
      <c r="H2141" s="15"/>
      <c r="I2141" s="15" t="s">
        <v>243</v>
      </c>
      <c r="J2141" s="15" t="s">
        <v>28</v>
      </c>
      <c r="K2141" s="15">
        <v>763372202</v>
      </c>
      <c r="L2141" s="15" t="s">
        <v>29</v>
      </c>
      <c r="M2141" s="15" t="s">
        <v>29</v>
      </c>
    </row>
    <row r="2142" spans="1:13" x14ac:dyDescent="0.25">
      <c r="A2142" s="23">
        <f t="shared" si="105"/>
        <v>203259</v>
      </c>
      <c r="B2142" s="14" t="str">
        <f t="shared" si="104"/>
        <v>Billing - Credits (from TPA)</v>
      </c>
      <c r="C2142" s="38">
        <v>46150</v>
      </c>
      <c r="D2142" s="34">
        <v>203259</v>
      </c>
      <c r="E2142" s="36" t="str">
        <f>IF(Table3[[#This Row],[Type Received]]=2,"CC",(IF(Table3[[#This Row],[Type Received]]=3,"BILL","ACH")))</f>
        <v>BILL</v>
      </c>
      <c r="F2142" s="35">
        <v>16.53</v>
      </c>
      <c r="G2142" s="14" t="str">
        <f>VLOOKUP(D2142,Table4[],3,FALSE)</f>
        <v>1</v>
      </c>
      <c r="H2142" s="15">
        <v>193339178</v>
      </c>
      <c r="I2142" s="15"/>
      <c r="J2142" s="15"/>
      <c r="K2142" s="15"/>
      <c r="L2142" s="15"/>
      <c r="M2142" s="15" t="s">
        <v>29</v>
      </c>
    </row>
    <row r="2143" spans="1:13" x14ac:dyDescent="0.25">
      <c r="A2143" s="23">
        <f t="shared" si="105"/>
        <v>203348</v>
      </c>
      <c r="B2143" s="14" t="str">
        <f t="shared" si="104"/>
        <v>Direct Debit (UMB Bank) - Credits</v>
      </c>
      <c r="C2143" s="37">
        <v>46148</v>
      </c>
      <c r="D2143" s="31">
        <v>203348</v>
      </c>
      <c r="E2143" s="33" t="str">
        <f>IF(Table3[[#This Row],[Type Received]]=2,"CC",(IF(Table3[[#This Row],[Type Received]]=3,"BILL","ACH")))</f>
        <v>ACH</v>
      </c>
      <c r="F2143" s="32">
        <v>31.93</v>
      </c>
      <c r="G2143" s="14" t="str">
        <f>VLOOKUP(D2143,Table4[],3,FALSE)</f>
        <v>1</v>
      </c>
      <c r="H2143" s="15">
        <v>3913</v>
      </c>
      <c r="I2143" s="15"/>
      <c r="J2143" s="15"/>
      <c r="K2143" s="15"/>
      <c r="L2143" s="15"/>
      <c r="M2143" s="15" t="s">
        <v>29</v>
      </c>
    </row>
    <row r="2144" spans="1:13" x14ac:dyDescent="0.25">
      <c r="A2144" s="23">
        <f t="shared" si="105"/>
        <v>203368</v>
      </c>
      <c r="B2144" s="14" t="str">
        <f t="shared" si="104"/>
        <v>Direct Debit (UMB Bank) - Credits</v>
      </c>
      <c r="C2144" s="38">
        <v>46162</v>
      </c>
      <c r="D2144" s="34">
        <v>203368</v>
      </c>
      <c r="E2144" s="36" t="str">
        <f>IF(Table3[[#This Row],[Type Received]]=2,"CC",(IF(Table3[[#This Row],[Type Received]]=3,"BILL","ACH")))</f>
        <v>ACH</v>
      </c>
      <c r="F2144" s="35">
        <v>33.35</v>
      </c>
      <c r="G2144" s="14" t="str">
        <f>VLOOKUP(D2144,Table4[],3,FALSE)</f>
        <v>1</v>
      </c>
      <c r="H2144" s="15"/>
      <c r="I2144" s="15"/>
      <c r="J2144" s="15" t="s">
        <v>107</v>
      </c>
      <c r="K2144" s="15">
        <v>757837469</v>
      </c>
      <c r="L2144" s="15" t="s">
        <v>29</v>
      </c>
      <c r="M2144" s="15"/>
    </row>
    <row r="2145" spans="1:13" x14ac:dyDescent="0.25">
      <c r="A2145" s="23">
        <f t="shared" si="105"/>
        <v>203415</v>
      </c>
      <c r="B2145" s="14" t="str">
        <f t="shared" si="104"/>
        <v>Direct Debit (UMB Bank) - Credits</v>
      </c>
      <c r="C2145" s="37">
        <v>46157</v>
      </c>
      <c r="D2145" s="31">
        <v>203415</v>
      </c>
      <c r="E2145" s="33" t="str">
        <f>IF(Table3[[#This Row],[Type Received]]=2,"CC",(IF(Table3[[#This Row],[Type Received]]=3,"BILL","ACH")))</f>
        <v>ACH</v>
      </c>
      <c r="F2145" s="32">
        <v>39.950000000000003</v>
      </c>
      <c r="G2145" s="14" t="str">
        <f>VLOOKUP(D2145,Table4[],3,FALSE)</f>
        <v>2</v>
      </c>
      <c r="H2145" s="15"/>
      <c r="I2145" s="15"/>
      <c r="J2145" s="15" t="s">
        <v>87</v>
      </c>
      <c r="K2145" s="15">
        <v>696756200</v>
      </c>
      <c r="L2145" s="15" t="s">
        <v>29</v>
      </c>
      <c r="M2145" s="15" t="s">
        <v>29</v>
      </c>
    </row>
    <row r="2146" spans="1:13" x14ac:dyDescent="0.25">
      <c r="A2146" s="23">
        <f t="shared" si="105"/>
        <v>203424</v>
      </c>
      <c r="B2146" s="14" t="str">
        <f t="shared" si="104"/>
        <v>Direct Debit (UMB Bank) - Credits</v>
      </c>
      <c r="C2146" s="38">
        <v>46169</v>
      </c>
      <c r="D2146" s="34">
        <v>203424</v>
      </c>
      <c r="E2146" s="36" t="str">
        <f>IF(Table3[[#This Row],[Type Received]]=2,"CC",(IF(Table3[[#This Row],[Type Received]]=3,"BILL","ACH")))</f>
        <v>ACH</v>
      </c>
      <c r="F2146" s="35">
        <v>30.05</v>
      </c>
      <c r="G2146" s="14" t="str">
        <f>VLOOKUP(D2146,Table4[],3,FALSE)</f>
        <v>2</v>
      </c>
      <c r="H2146" s="15"/>
      <c r="I2146" s="15"/>
      <c r="J2146" s="15" t="s">
        <v>117</v>
      </c>
      <c r="K2146" s="15">
        <v>840853471</v>
      </c>
      <c r="L2146" s="15" t="s">
        <v>29</v>
      </c>
      <c r="M2146" s="15"/>
    </row>
    <row r="2147" spans="1:13" x14ac:dyDescent="0.25">
      <c r="A2147" s="23">
        <f t="shared" si="105"/>
        <v>203428</v>
      </c>
      <c r="B2147" s="14" t="str">
        <f t="shared" si="104"/>
        <v>Credit Cards (UMB) - Credits</v>
      </c>
      <c r="C2147" s="37">
        <v>46169</v>
      </c>
      <c r="D2147" s="31">
        <v>203428</v>
      </c>
      <c r="E2147" s="33" t="str">
        <f>IF(Table3[[#This Row],[Type Received]]=2,"CC",(IF(Table3[[#This Row],[Type Received]]=3,"BILL","ACH")))</f>
        <v>CC</v>
      </c>
      <c r="F2147" s="32">
        <v>74.930000000000007</v>
      </c>
      <c r="G2147" s="14" t="str">
        <f>VLOOKUP(D2147,Table4[],3,FALSE)</f>
        <v>2</v>
      </c>
      <c r="H2147" s="15"/>
      <c r="I2147" s="15"/>
      <c r="J2147" s="15" t="s">
        <v>117</v>
      </c>
      <c r="K2147" s="15">
        <v>840864188</v>
      </c>
      <c r="L2147" s="15" t="s">
        <v>29</v>
      </c>
      <c r="M2147" s="15" t="s">
        <v>29</v>
      </c>
    </row>
    <row r="2148" spans="1:13" x14ac:dyDescent="0.25">
      <c r="A2148" s="23">
        <f t="shared" si="105"/>
        <v>203445</v>
      </c>
      <c r="B2148" s="14" t="str">
        <f t="shared" si="104"/>
        <v>Direct Debit (UMB Bank) - Credits</v>
      </c>
      <c r="C2148" s="38">
        <v>46162</v>
      </c>
      <c r="D2148" s="34">
        <v>203445</v>
      </c>
      <c r="E2148" s="36" t="str">
        <f>IF(Table3[[#This Row],[Type Received]]=2,"CC",(IF(Table3[[#This Row],[Type Received]]=3,"BILL","ACH")))</f>
        <v>ACH</v>
      </c>
      <c r="F2148" s="35">
        <v>34</v>
      </c>
      <c r="G2148" s="14" t="str">
        <f>VLOOKUP(D2148,Table4[],3,FALSE)</f>
        <v>2</v>
      </c>
      <c r="H2148" s="15"/>
      <c r="I2148" s="15">
        <v>54017</v>
      </c>
      <c r="J2148" s="15">
        <v>747121142</v>
      </c>
      <c r="K2148" s="15">
        <v>355206633</v>
      </c>
      <c r="L2148" s="15"/>
      <c r="M2148" s="15" t="s">
        <v>29</v>
      </c>
    </row>
    <row r="2149" spans="1:13" x14ac:dyDescent="0.25">
      <c r="A2149" s="23">
        <f t="shared" si="105"/>
        <v>203504</v>
      </c>
      <c r="B2149" s="14" t="str">
        <f t="shared" si="104"/>
        <v>Credit Cards (UMB) - Credits</v>
      </c>
      <c r="C2149" s="37">
        <v>46157</v>
      </c>
      <c r="D2149" s="31">
        <v>203504</v>
      </c>
      <c r="E2149" s="33" t="str">
        <f>IF(Table3[[#This Row],[Type Received]]=2,"CC",(IF(Table3[[#This Row],[Type Received]]=3,"BILL","ACH")))</f>
        <v>CC</v>
      </c>
      <c r="F2149" s="32">
        <v>106.94</v>
      </c>
      <c r="G2149" s="14" t="str">
        <f>VLOOKUP(D2149,Table4[],3,FALSE)</f>
        <v>2</v>
      </c>
      <c r="H2149" s="15"/>
      <c r="I2149" s="15"/>
      <c r="J2149" s="15" t="s">
        <v>87</v>
      </c>
      <c r="K2149" s="15">
        <v>696750398</v>
      </c>
      <c r="L2149" s="15" t="s">
        <v>29</v>
      </c>
      <c r="M2149" s="15" t="s">
        <v>29</v>
      </c>
    </row>
    <row r="2150" spans="1:13" x14ac:dyDescent="0.25">
      <c r="A2150" s="23">
        <f t="shared" si="105"/>
        <v>203629</v>
      </c>
      <c r="B2150" s="14" t="str">
        <f t="shared" si="104"/>
        <v>Direct Debit (UMB Bank) - Credits</v>
      </c>
      <c r="C2150" s="38">
        <v>46161</v>
      </c>
      <c r="D2150" s="34">
        <v>203629</v>
      </c>
      <c r="E2150" s="36" t="str">
        <f>IF(Table3[[#This Row],[Type Received]]=2,"CC",(IF(Table3[[#This Row],[Type Received]]=3,"BILL","ACH")))</f>
        <v>ACH</v>
      </c>
      <c r="F2150" s="35">
        <v>32.369999999999997</v>
      </c>
      <c r="G2150" s="14" t="str">
        <f>VLOOKUP(D2150,Table4[],3,FALSE)</f>
        <v>2</v>
      </c>
      <c r="H2150" s="15"/>
      <c r="I2150" s="15">
        <v>154940</v>
      </c>
      <c r="J2150" s="15" t="s">
        <v>28</v>
      </c>
      <c r="K2150" s="15">
        <v>750732087</v>
      </c>
      <c r="L2150" s="15" t="s">
        <v>29</v>
      </c>
      <c r="M2150" s="15" t="s">
        <v>29</v>
      </c>
    </row>
    <row r="2151" spans="1:13" x14ac:dyDescent="0.25">
      <c r="A2151" s="23">
        <f t="shared" si="105"/>
        <v>203638</v>
      </c>
      <c r="B2151" s="14" t="str">
        <f t="shared" si="104"/>
        <v>Direct Debit (UMB Bank) - Credits</v>
      </c>
      <c r="C2151" s="37">
        <v>46169</v>
      </c>
      <c r="D2151" s="31">
        <v>203638</v>
      </c>
      <c r="E2151" s="33" t="str">
        <f>IF(Table3[[#This Row],[Type Received]]=2,"CC",(IF(Table3[[#This Row],[Type Received]]=3,"BILL","ACH")))</f>
        <v>ACH</v>
      </c>
      <c r="F2151" s="32">
        <v>41.6</v>
      </c>
      <c r="G2151" s="14" t="str">
        <f>VLOOKUP(D2151,Table4[],3,FALSE)</f>
        <v>2</v>
      </c>
      <c r="H2151" s="15"/>
      <c r="I2151" s="15"/>
      <c r="J2151" s="15" t="s">
        <v>117</v>
      </c>
      <c r="K2151" s="15">
        <v>840844833</v>
      </c>
      <c r="L2151" s="15" t="s">
        <v>29</v>
      </c>
      <c r="M2151" s="15" t="s">
        <v>29</v>
      </c>
    </row>
    <row r="2152" spans="1:13" x14ac:dyDescent="0.25">
      <c r="A2152" s="23">
        <f t="shared" si="105"/>
        <v>203674</v>
      </c>
      <c r="B2152" s="14" t="str">
        <f t="shared" si="104"/>
        <v>Direct Debit (UMB Bank) - Credits</v>
      </c>
      <c r="C2152" s="38">
        <v>46157</v>
      </c>
      <c r="D2152" s="34">
        <v>203674</v>
      </c>
      <c r="E2152" s="36" t="str">
        <f>IF(Table3[[#This Row],[Type Received]]=2,"CC",(IF(Table3[[#This Row],[Type Received]]=3,"BILL","ACH")))</f>
        <v>ACH</v>
      </c>
      <c r="F2152" s="35">
        <v>26.09</v>
      </c>
      <c r="G2152" s="14" t="str">
        <f>VLOOKUP(D2152,Table4[],3,FALSE)</f>
        <v>1</v>
      </c>
      <c r="H2152" s="15"/>
      <c r="I2152" s="15"/>
      <c r="J2152" s="15" t="s">
        <v>87</v>
      </c>
      <c r="K2152" s="15">
        <v>696733940</v>
      </c>
      <c r="L2152" s="15" t="s">
        <v>29</v>
      </c>
      <c r="M2152" s="15" t="s">
        <v>29</v>
      </c>
    </row>
    <row r="2153" spans="1:13" x14ac:dyDescent="0.25">
      <c r="A2153" s="23">
        <f t="shared" si="105"/>
        <v>203678</v>
      </c>
      <c r="B2153" s="14" t="str">
        <f t="shared" si="104"/>
        <v>Credit Cards (UMB) - Credits</v>
      </c>
      <c r="C2153" s="37">
        <v>46157</v>
      </c>
      <c r="D2153" s="31">
        <v>203678</v>
      </c>
      <c r="E2153" s="33" t="str">
        <f>IF(Table3[[#This Row],[Type Received]]=2,"CC",(IF(Table3[[#This Row],[Type Received]]=3,"BILL","ACH")))</f>
        <v>CC</v>
      </c>
      <c r="F2153" s="32">
        <v>18.170000000000002</v>
      </c>
      <c r="G2153" s="14" t="str">
        <f>VLOOKUP(D2153,Table4[],3,FALSE)</f>
        <v>1</v>
      </c>
      <c r="H2153" s="15"/>
      <c r="I2153" s="15"/>
      <c r="J2153" s="24" t="s">
        <v>87</v>
      </c>
      <c r="K2153" s="15">
        <v>696752332</v>
      </c>
      <c r="L2153" s="15" t="s">
        <v>29</v>
      </c>
      <c r="M2153" s="15" t="s">
        <v>29</v>
      </c>
    </row>
    <row r="2154" spans="1:13" x14ac:dyDescent="0.25">
      <c r="A2154" s="23">
        <f t="shared" si="105"/>
        <v>203711</v>
      </c>
      <c r="B2154" s="14" t="str">
        <f t="shared" si="104"/>
        <v>Credit Cards (UMB) - Credits</v>
      </c>
      <c r="C2154" s="38">
        <v>46144</v>
      </c>
      <c r="D2154" s="34">
        <v>203711</v>
      </c>
      <c r="E2154" s="36" t="str">
        <f>IF(Table3[[#This Row],[Type Received]]=2,"CC",(IF(Table3[[#This Row],[Type Received]]=3,"BILL","ACH")))</f>
        <v>CC</v>
      </c>
      <c r="F2154" s="35">
        <v>17.29</v>
      </c>
      <c r="G2154" s="14" t="str">
        <f>VLOOKUP(D2154,Table4[],3,FALSE)</f>
        <v>1</v>
      </c>
      <c r="H2154" s="15"/>
      <c r="I2154" s="15">
        <v>372734</v>
      </c>
      <c r="J2154" s="15" t="s">
        <v>28</v>
      </c>
      <c r="K2154" s="15">
        <v>535383496</v>
      </c>
      <c r="L2154" s="15" t="s">
        <v>29</v>
      </c>
      <c r="M2154" s="15" t="s">
        <v>29</v>
      </c>
    </row>
    <row r="2155" spans="1:13" x14ac:dyDescent="0.25">
      <c r="A2155" s="23">
        <f t="shared" si="105"/>
        <v>203782</v>
      </c>
      <c r="B2155" s="14" t="str">
        <f t="shared" si="104"/>
        <v>Credit Cards (UMB) - Credits</v>
      </c>
      <c r="C2155" s="37">
        <v>46169</v>
      </c>
      <c r="D2155" s="31">
        <v>203782</v>
      </c>
      <c r="E2155" s="33" t="str">
        <f>IF(Table3[[#This Row],[Type Received]]=2,"CC",(IF(Table3[[#This Row],[Type Received]]=3,"BILL","ACH")))</f>
        <v>CC</v>
      </c>
      <c r="F2155" s="32">
        <v>108.31</v>
      </c>
      <c r="G2155" s="14" t="str">
        <f>VLOOKUP(D2155,Table4[],3,FALSE)</f>
        <v>1</v>
      </c>
      <c r="H2155" s="15"/>
      <c r="I2155" s="15" t="s">
        <v>244</v>
      </c>
      <c r="J2155" s="24">
        <v>749271671</v>
      </c>
      <c r="K2155" s="15">
        <v>355945238</v>
      </c>
      <c r="L2155" s="15"/>
      <c r="M2155" s="15" t="s">
        <v>29</v>
      </c>
    </row>
    <row r="2156" spans="1:13" x14ac:dyDescent="0.25">
      <c r="A2156" s="23">
        <f t="shared" si="105"/>
        <v>203874</v>
      </c>
      <c r="B2156" s="14" t="str">
        <f t="shared" si="104"/>
        <v>Credit Cards (UMB) - Credits</v>
      </c>
      <c r="C2156" s="38">
        <v>46156</v>
      </c>
      <c r="D2156" s="34">
        <v>203874</v>
      </c>
      <c r="E2156" s="36" t="str">
        <f>IF(Table3[[#This Row],[Type Received]]=2,"CC",(IF(Table3[[#This Row],[Type Received]]=3,"BILL","ACH")))</f>
        <v>CC</v>
      </c>
      <c r="F2156" s="35">
        <v>31.05</v>
      </c>
      <c r="G2156" s="14" t="str">
        <f>VLOOKUP(D2156,Table4[],3,FALSE)</f>
        <v>1</v>
      </c>
      <c r="H2156" s="15"/>
      <c r="I2156" s="15">
        <v>707274</v>
      </c>
      <c r="J2156" s="15">
        <v>745301931</v>
      </c>
      <c r="K2156" s="15">
        <v>354521186</v>
      </c>
      <c r="L2156" s="15"/>
      <c r="M2156" s="15" t="s">
        <v>29</v>
      </c>
    </row>
    <row r="2157" spans="1:13" x14ac:dyDescent="0.25">
      <c r="A2157" s="23"/>
      <c r="B2157" s="14" t="str">
        <f t="shared" si="104"/>
        <v>Direct Debit (UMB Bank) - Credits</v>
      </c>
      <c r="C2157" s="37">
        <v>46171</v>
      </c>
      <c r="D2157" s="31">
        <v>203900</v>
      </c>
      <c r="E2157" s="33" t="str">
        <f>IF(Table3[[#This Row],[Type Received]]=2,"CC",(IF(Table3[[#This Row],[Type Received]]=3,"BILL","ACH")))</f>
        <v>ACH</v>
      </c>
      <c r="F2157" s="32">
        <v>142.13999999999999</v>
      </c>
      <c r="G2157" s="14" t="str">
        <f>VLOOKUP(D2157,Table4[],3,FALSE)</f>
        <v>2</v>
      </c>
      <c r="H2157" s="15"/>
      <c r="I2157" s="15">
        <v>273868</v>
      </c>
      <c r="J2157" s="24" t="s">
        <v>28</v>
      </c>
      <c r="K2157" s="15">
        <v>867500950</v>
      </c>
      <c r="L2157" s="15" t="s">
        <v>29</v>
      </c>
      <c r="M2157" s="15"/>
    </row>
    <row r="2158" spans="1:13" x14ac:dyDescent="0.25">
      <c r="A2158" s="23"/>
      <c r="B2158" s="14" t="str">
        <f t="shared" si="104"/>
        <v>Direct Debit (UMB Bank) - Credits</v>
      </c>
      <c r="C2158" s="38">
        <v>46169</v>
      </c>
      <c r="D2158" s="34">
        <v>203937</v>
      </c>
      <c r="E2158" s="36" t="str">
        <f>IF(Table3[[#This Row],[Type Received]]=2,"CC",(IF(Table3[[#This Row],[Type Received]]=3,"BILL","ACH")))</f>
        <v>ACH</v>
      </c>
      <c r="F2158" s="35">
        <v>39.729999999999997</v>
      </c>
      <c r="G2158" s="14" t="str">
        <f>VLOOKUP(D2158,Table4[],3,FALSE)</f>
        <v>1</v>
      </c>
      <c r="H2158" s="15"/>
      <c r="I2158" s="15"/>
      <c r="J2158" s="15" t="s">
        <v>117</v>
      </c>
      <c r="K2158" s="15">
        <v>840860388</v>
      </c>
      <c r="L2158" s="15" t="s">
        <v>29</v>
      </c>
      <c r="M2158" s="15"/>
    </row>
    <row r="2159" spans="1:13" x14ac:dyDescent="0.25">
      <c r="A2159" s="23"/>
      <c r="B2159" s="14" t="str">
        <f t="shared" si="104"/>
        <v>Direct Debit (UMB Bank) - Credits</v>
      </c>
      <c r="C2159" s="37">
        <v>46157</v>
      </c>
      <c r="D2159" s="31">
        <v>203992</v>
      </c>
      <c r="E2159" s="33" t="str">
        <f>IF(Table3[[#This Row],[Type Received]]=2,"CC",(IF(Table3[[#This Row],[Type Received]]=3,"BILL","ACH")))</f>
        <v>ACH</v>
      </c>
      <c r="F2159" s="32">
        <v>14.21</v>
      </c>
      <c r="G2159" s="14" t="str">
        <f>VLOOKUP(D2159,Table4[],3,FALSE)</f>
        <v>1</v>
      </c>
      <c r="H2159" s="15"/>
      <c r="I2159" s="15"/>
      <c r="J2159" s="15" t="s">
        <v>87</v>
      </c>
      <c r="K2159" s="15">
        <v>696758214</v>
      </c>
      <c r="L2159" s="15" t="s">
        <v>29</v>
      </c>
      <c r="M2159" s="15" t="s">
        <v>29</v>
      </c>
    </row>
    <row r="2160" spans="1:13" x14ac:dyDescent="0.25">
      <c r="A2160" s="23">
        <f t="shared" ref="A2160:A2191" si="106">D2160</f>
        <v>204022</v>
      </c>
      <c r="B2160" s="14" t="str">
        <f t="shared" si="104"/>
        <v>Direct Debit (UMB Bank) - Credits</v>
      </c>
      <c r="C2160" s="38">
        <v>46145</v>
      </c>
      <c r="D2160" s="34">
        <v>204022</v>
      </c>
      <c r="E2160" s="36" t="str">
        <f>IF(Table3[[#This Row],[Type Received]]=2,"CC",(IF(Table3[[#This Row],[Type Received]]=3,"BILL","ACH")))</f>
        <v>ACH</v>
      </c>
      <c r="F2160" s="35">
        <v>21.46</v>
      </c>
      <c r="G2160" s="14" t="str">
        <f>VLOOKUP(D2160,Table4[],3,FALSE)</f>
        <v>2</v>
      </c>
      <c r="H2160" s="15"/>
      <c r="I2160" s="15"/>
      <c r="J2160" s="15" t="s">
        <v>113</v>
      </c>
      <c r="K2160" s="15">
        <v>546445177</v>
      </c>
      <c r="L2160" s="15" t="s">
        <v>29</v>
      </c>
      <c r="M2160" s="15"/>
    </row>
    <row r="2161" spans="1:13" x14ac:dyDescent="0.25">
      <c r="A2161" s="23">
        <f t="shared" si="106"/>
        <v>204119</v>
      </c>
      <c r="B2161" s="14" t="str">
        <f t="shared" si="104"/>
        <v>Direct Debit (UMB Bank) - Credits</v>
      </c>
      <c r="C2161" s="37">
        <v>46145</v>
      </c>
      <c r="D2161" s="31">
        <v>204119</v>
      </c>
      <c r="E2161" s="33" t="str">
        <f>IF(Table3[[#This Row],[Type Received]]=2,"CC",(IF(Table3[[#This Row],[Type Received]]=3,"BILL","ACH")))</f>
        <v>ACH</v>
      </c>
      <c r="F2161" s="32">
        <v>39.130000000000003</v>
      </c>
      <c r="G2161" s="14" t="str">
        <f>VLOOKUP(D2161,Table4[],3,FALSE)</f>
        <v>2</v>
      </c>
      <c r="H2161" s="15"/>
      <c r="I2161" s="15"/>
      <c r="J2161" s="24" t="s">
        <v>113</v>
      </c>
      <c r="K2161" s="15">
        <v>546422026</v>
      </c>
      <c r="L2161" s="15" t="s">
        <v>29</v>
      </c>
      <c r="M2161" s="15" t="s">
        <v>29</v>
      </c>
    </row>
    <row r="2162" spans="1:13" x14ac:dyDescent="0.25">
      <c r="A2162" s="23">
        <f t="shared" si="106"/>
        <v>204156</v>
      </c>
      <c r="B2162" s="14" t="str">
        <f t="shared" si="104"/>
        <v>Direct Debit (UMB Bank) - Credits</v>
      </c>
      <c r="C2162" s="38">
        <v>46145</v>
      </c>
      <c r="D2162" s="34">
        <v>204156</v>
      </c>
      <c r="E2162" s="36" t="str">
        <f>IF(Table3[[#This Row],[Type Received]]=2,"CC",(IF(Table3[[#This Row],[Type Received]]=3,"BILL","ACH")))</f>
        <v>ACH</v>
      </c>
      <c r="F2162" s="35">
        <v>24.99</v>
      </c>
      <c r="G2162" s="14" t="str">
        <f>VLOOKUP(D2162,Table4[],3,FALSE)</f>
        <v>2</v>
      </c>
      <c r="H2162" s="15"/>
      <c r="I2162" s="15"/>
      <c r="J2162" s="15" t="s">
        <v>113</v>
      </c>
      <c r="K2162" s="15">
        <v>546423977</v>
      </c>
      <c r="L2162" s="15" t="s">
        <v>29</v>
      </c>
      <c r="M2162" s="15" t="s">
        <v>29</v>
      </c>
    </row>
    <row r="2163" spans="1:13" x14ac:dyDescent="0.25">
      <c r="A2163" s="23">
        <f t="shared" si="106"/>
        <v>204166</v>
      </c>
      <c r="B2163" s="14" t="str">
        <f t="shared" si="104"/>
        <v>Direct Debit (UMB Bank) - Credits</v>
      </c>
      <c r="C2163" s="37">
        <v>46169</v>
      </c>
      <c r="D2163" s="31">
        <v>204166</v>
      </c>
      <c r="E2163" s="33" t="str">
        <f>IF(Table3[[#This Row],[Type Received]]=2,"CC",(IF(Table3[[#This Row],[Type Received]]=3,"BILL","ACH")))</f>
        <v>ACH</v>
      </c>
      <c r="F2163" s="32">
        <v>17.95</v>
      </c>
      <c r="G2163" s="14" t="str">
        <f>VLOOKUP(D2163,Table4[],3,FALSE)</f>
        <v>1</v>
      </c>
      <c r="H2163" s="15"/>
      <c r="I2163" s="15"/>
      <c r="J2163" s="15" t="s">
        <v>117</v>
      </c>
      <c r="K2163" s="15">
        <v>840866196</v>
      </c>
      <c r="L2163" s="15" t="s">
        <v>29</v>
      </c>
      <c r="M2163" s="15"/>
    </row>
    <row r="2164" spans="1:13" x14ac:dyDescent="0.25">
      <c r="A2164" s="23">
        <f t="shared" si="106"/>
        <v>204383</v>
      </c>
      <c r="B2164" s="14" t="str">
        <f t="shared" si="104"/>
        <v>Direct Debit (UMB Bank) - Credits</v>
      </c>
      <c r="C2164" s="38">
        <v>46157</v>
      </c>
      <c r="D2164" s="34">
        <v>204383</v>
      </c>
      <c r="E2164" s="36" t="str">
        <f>IF(Table3[[#This Row],[Type Received]]=2,"CC",(IF(Table3[[#This Row],[Type Received]]=3,"BILL","ACH")))</f>
        <v>ACH</v>
      </c>
      <c r="F2164" s="35">
        <v>39.29</v>
      </c>
      <c r="G2164" s="14" t="str">
        <f>VLOOKUP(D2164,Table4[],3,FALSE)</f>
        <v>2</v>
      </c>
      <c r="H2164" s="15"/>
      <c r="I2164" s="15"/>
      <c r="J2164" s="15" t="s">
        <v>87</v>
      </c>
      <c r="K2164" s="15">
        <v>696735986</v>
      </c>
      <c r="L2164" s="15" t="s">
        <v>29</v>
      </c>
      <c r="M2164" s="15" t="s">
        <v>29</v>
      </c>
    </row>
    <row r="2165" spans="1:13" x14ac:dyDescent="0.25">
      <c r="A2165" s="23">
        <f t="shared" si="106"/>
        <v>204384</v>
      </c>
      <c r="B2165" s="14" t="str">
        <f t="shared" si="104"/>
        <v>Direct Debit (UMB Bank) - Credits</v>
      </c>
      <c r="C2165" s="37">
        <v>46157</v>
      </c>
      <c r="D2165" s="31">
        <v>204384</v>
      </c>
      <c r="E2165" s="33" t="str">
        <f>IF(Table3[[#This Row],[Type Received]]=2,"CC",(IF(Table3[[#This Row],[Type Received]]=3,"BILL","ACH")))</f>
        <v>ACH</v>
      </c>
      <c r="F2165" s="32">
        <v>28.31</v>
      </c>
      <c r="G2165" s="14" t="str">
        <f>VLOOKUP(D2165,Table4[],3,FALSE)</f>
        <v>1</v>
      </c>
      <c r="H2165" s="15"/>
      <c r="I2165" s="15"/>
      <c r="J2165" s="15" t="s">
        <v>87</v>
      </c>
      <c r="K2165" s="15">
        <v>696739894</v>
      </c>
      <c r="L2165" s="15" t="s">
        <v>29</v>
      </c>
      <c r="M2165" s="15"/>
    </row>
    <row r="2166" spans="1:13" x14ac:dyDescent="0.25">
      <c r="A2166" s="23">
        <f t="shared" si="106"/>
        <v>204386</v>
      </c>
      <c r="B2166" s="14" t="str">
        <f t="shared" si="104"/>
        <v>Billing - Credits (from TPA)</v>
      </c>
      <c r="C2166" s="38">
        <v>46162</v>
      </c>
      <c r="D2166" s="34">
        <v>204386</v>
      </c>
      <c r="E2166" s="36" t="str">
        <f>IF(Table3[[#This Row],[Type Received]]=2,"CC",(IF(Table3[[#This Row],[Type Received]]=3,"BILL","ACH")))</f>
        <v>BILL</v>
      </c>
      <c r="F2166" s="35">
        <v>46.22</v>
      </c>
      <c r="G2166" s="14" t="str">
        <f>VLOOKUP(D2166,Table4[],3,FALSE)</f>
        <v>2</v>
      </c>
      <c r="H2166" s="15"/>
      <c r="I2166" s="15"/>
      <c r="J2166" s="24" t="s">
        <v>107</v>
      </c>
      <c r="K2166" s="15">
        <v>757834554</v>
      </c>
      <c r="L2166" s="15" t="s">
        <v>29</v>
      </c>
      <c r="M2166" s="15"/>
    </row>
    <row r="2167" spans="1:13" x14ac:dyDescent="0.25">
      <c r="A2167" s="23">
        <f t="shared" si="106"/>
        <v>204450</v>
      </c>
      <c r="B2167" s="14" t="str">
        <f t="shared" si="104"/>
        <v>Billing - Credits (from TPA)</v>
      </c>
      <c r="C2167" s="37">
        <v>46169</v>
      </c>
      <c r="D2167" s="31">
        <v>204450</v>
      </c>
      <c r="E2167" s="33" t="str">
        <f>IF(Table3[[#This Row],[Type Received]]=2,"CC",(IF(Table3[[#This Row],[Type Received]]=3,"BILL","ACH")))</f>
        <v>BILL</v>
      </c>
      <c r="F2167" s="32">
        <v>38.33</v>
      </c>
      <c r="G2167" s="14" t="str">
        <f>VLOOKUP(D2167,Table4[],3,FALSE)</f>
        <v>1</v>
      </c>
      <c r="H2167" s="15">
        <v>3471</v>
      </c>
      <c r="I2167" s="15"/>
      <c r="J2167" s="15"/>
      <c r="K2167" s="15"/>
      <c r="L2167" s="15"/>
      <c r="M2167" s="15"/>
    </row>
    <row r="2168" spans="1:13" x14ac:dyDescent="0.25">
      <c r="A2168" s="23">
        <f t="shared" si="106"/>
        <v>204450</v>
      </c>
      <c r="B2168" s="14" t="str">
        <f t="shared" si="104"/>
        <v>Direct Debit (UMB Bank) - Credits</v>
      </c>
      <c r="C2168" s="38">
        <v>46146</v>
      </c>
      <c r="D2168" s="34">
        <v>204450</v>
      </c>
      <c r="E2168" s="36" t="str">
        <f>IF(Table3[[#This Row],[Type Received]]=2,"CC",(IF(Table3[[#This Row],[Type Received]]=3,"BILL","ACH")))</f>
        <v>ACH</v>
      </c>
      <c r="F2168" s="35">
        <v>38.33</v>
      </c>
      <c r="G2168" s="14" t="str">
        <f>VLOOKUP(D2168,Table4[],3,FALSE)</f>
        <v>1</v>
      </c>
      <c r="H2168" s="15">
        <v>3467</v>
      </c>
      <c r="I2168" s="15"/>
      <c r="J2168" s="15"/>
      <c r="K2168" s="15"/>
      <c r="L2168" s="15"/>
      <c r="M2168" s="15" t="s">
        <v>29</v>
      </c>
    </row>
    <row r="2169" spans="1:13" x14ac:dyDescent="0.25">
      <c r="A2169" s="23">
        <f t="shared" si="106"/>
        <v>204504</v>
      </c>
      <c r="B2169" s="14" t="str">
        <f t="shared" si="104"/>
        <v>Direct Debit (UMB Bank) - Credits</v>
      </c>
      <c r="C2169" s="37">
        <v>46157</v>
      </c>
      <c r="D2169" s="31">
        <v>204504</v>
      </c>
      <c r="E2169" s="33" t="str">
        <f>IF(Table3[[#This Row],[Type Received]]=2,"CC",(IF(Table3[[#This Row],[Type Received]]=3,"BILL","ACH")))</f>
        <v>ACH</v>
      </c>
      <c r="F2169" s="32">
        <v>51.52</v>
      </c>
      <c r="G2169" s="14" t="str">
        <f>VLOOKUP(D2169,Table4[],3,FALSE)</f>
        <v>2</v>
      </c>
      <c r="H2169" s="15"/>
      <c r="I2169" s="15"/>
      <c r="J2169" s="15" t="s">
        <v>87</v>
      </c>
      <c r="K2169" s="15">
        <v>696749571</v>
      </c>
      <c r="L2169" s="15" t="s">
        <v>29</v>
      </c>
      <c r="M2169" s="15" t="s">
        <v>29</v>
      </c>
    </row>
    <row r="2170" spans="1:13" x14ac:dyDescent="0.25">
      <c r="A2170" s="23">
        <f t="shared" si="106"/>
        <v>204516</v>
      </c>
      <c r="B2170" s="14" t="str">
        <f t="shared" si="104"/>
        <v>Credit Cards (UMB) - Credits</v>
      </c>
      <c r="C2170" s="38">
        <v>46157</v>
      </c>
      <c r="D2170" s="34">
        <v>204516</v>
      </c>
      <c r="E2170" s="36" t="str">
        <f>IF(Table3[[#This Row],[Type Received]]=2,"CC",(IF(Table3[[#This Row],[Type Received]]=3,"BILL","ACH")))</f>
        <v>CC</v>
      </c>
      <c r="F2170" s="35">
        <v>28.75</v>
      </c>
      <c r="G2170" s="14" t="str">
        <f>VLOOKUP(D2170,Table4[],3,FALSE)</f>
        <v>1</v>
      </c>
      <c r="H2170" s="15"/>
      <c r="I2170" s="15"/>
      <c r="J2170" s="15" t="s">
        <v>87</v>
      </c>
      <c r="K2170" s="15">
        <v>696753348</v>
      </c>
      <c r="L2170" s="15" t="s">
        <v>29</v>
      </c>
      <c r="M2170" s="15" t="s">
        <v>29</v>
      </c>
    </row>
    <row r="2171" spans="1:13" x14ac:dyDescent="0.25">
      <c r="A2171" s="23">
        <f t="shared" si="106"/>
        <v>204582</v>
      </c>
      <c r="B2171" s="14" t="str">
        <f t="shared" si="104"/>
        <v>Credit Cards (UMB) - Credits</v>
      </c>
      <c r="C2171" s="37">
        <v>46143</v>
      </c>
      <c r="D2171" s="31">
        <v>204582</v>
      </c>
      <c r="E2171" s="33" t="str">
        <f>IF(Table3[[#This Row],[Type Received]]=2,"CC",(IF(Table3[[#This Row],[Type Received]]=3,"BILL","ACH")))</f>
        <v>CC</v>
      </c>
      <c r="F2171" s="32">
        <v>29.09</v>
      </c>
      <c r="G2171" s="14" t="str">
        <f>VLOOKUP(D2171,Table4[],3,FALSE)</f>
        <v>1</v>
      </c>
      <c r="H2171" s="15"/>
      <c r="I2171" s="15">
        <v>124990</v>
      </c>
      <c r="J2171" s="15" t="s">
        <v>28</v>
      </c>
      <c r="K2171" s="15">
        <v>522673812</v>
      </c>
      <c r="L2171" s="15" t="s">
        <v>29</v>
      </c>
      <c r="M2171" s="15" t="s">
        <v>29</v>
      </c>
    </row>
    <row r="2172" spans="1:13" x14ac:dyDescent="0.25">
      <c r="A2172" s="23">
        <f t="shared" si="106"/>
        <v>204592</v>
      </c>
      <c r="B2172" s="14" t="str">
        <f t="shared" si="104"/>
        <v>Billing - Credits (from TPA)</v>
      </c>
      <c r="C2172" s="38">
        <v>46170</v>
      </c>
      <c r="D2172" s="34">
        <v>204592</v>
      </c>
      <c r="E2172" s="36" t="str">
        <f>IF(Table3[[#This Row],[Type Received]]=2,"CC",(IF(Table3[[#This Row],[Type Received]]=3,"BILL","ACH")))</f>
        <v>BILL</v>
      </c>
      <c r="F2172" s="35">
        <v>56.26</v>
      </c>
      <c r="G2172" s="14" t="str">
        <f>VLOOKUP(D2172,Table4[],3,FALSE)</f>
        <v>1</v>
      </c>
      <c r="H2172" s="15"/>
      <c r="I2172" s="15">
        <v>19697</v>
      </c>
      <c r="J2172" s="15">
        <v>749514569</v>
      </c>
      <c r="K2172" s="15">
        <v>356055560</v>
      </c>
      <c r="L2172" s="15"/>
      <c r="M2172" s="15" t="s">
        <v>29</v>
      </c>
    </row>
    <row r="2173" spans="1:13" x14ac:dyDescent="0.25">
      <c r="A2173" s="23">
        <f t="shared" si="106"/>
        <v>204622</v>
      </c>
      <c r="B2173" s="14" t="str">
        <f t="shared" si="104"/>
        <v>Credit Cards (UMB) - Credits</v>
      </c>
      <c r="C2173" s="37">
        <v>46143</v>
      </c>
      <c r="D2173" s="31">
        <v>204622</v>
      </c>
      <c r="E2173" s="33" t="str">
        <f>IF(Table3[[#This Row],[Type Received]]=2,"CC",(IF(Table3[[#This Row],[Type Received]]=3,"BILL","ACH")))</f>
        <v>CC</v>
      </c>
      <c r="F2173" s="32">
        <v>47.22</v>
      </c>
      <c r="G2173" s="14" t="str">
        <f>VLOOKUP(D2173,Table4[],3,FALSE)</f>
        <v>2</v>
      </c>
      <c r="H2173" s="15">
        <v>5628</v>
      </c>
      <c r="I2173" s="15"/>
      <c r="J2173" s="15"/>
      <c r="K2173" s="15"/>
      <c r="L2173" s="15"/>
      <c r="M2173" s="15" t="s">
        <v>29</v>
      </c>
    </row>
    <row r="2174" spans="1:13" x14ac:dyDescent="0.25">
      <c r="A2174" s="23">
        <f t="shared" si="106"/>
        <v>204730</v>
      </c>
      <c r="B2174" s="14" t="str">
        <f t="shared" si="104"/>
        <v>Billing - Credits (from TPA)</v>
      </c>
      <c r="C2174" s="38">
        <v>46155</v>
      </c>
      <c r="D2174" s="34">
        <v>204730</v>
      </c>
      <c r="E2174" s="36" t="str">
        <f>IF(Table3[[#This Row],[Type Received]]=2,"CC",(IF(Table3[[#This Row],[Type Received]]=3,"BILL","ACH")))</f>
        <v>BILL</v>
      </c>
      <c r="F2174" s="35">
        <v>43.05</v>
      </c>
      <c r="G2174" s="14" t="str">
        <f>VLOOKUP(D2174,Table4[],3,FALSE)</f>
        <v>1</v>
      </c>
      <c r="H2174" s="15"/>
      <c r="I2174" s="15" t="s">
        <v>245</v>
      </c>
      <c r="J2174" s="15" t="s">
        <v>28</v>
      </c>
      <c r="K2174" s="15">
        <v>669500389</v>
      </c>
      <c r="L2174" s="15" t="s">
        <v>29</v>
      </c>
      <c r="M2174" s="15" t="s">
        <v>29</v>
      </c>
    </row>
    <row r="2175" spans="1:13" x14ac:dyDescent="0.25">
      <c r="A2175" s="23">
        <f t="shared" si="106"/>
        <v>204867</v>
      </c>
      <c r="B2175" s="14" t="str">
        <f t="shared" si="104"/>
        <v>Direct Debit (UMB Bank) - Credits</v>
      </c>
      <c r="C2175" s="37">
        <v>46143</v>
      </c>
      <c r="D2175" s="31">
        <v>204867</v>
      </c>
      <c r="E2175" s="33" t="str">
        <f>IF(Table3[[#This Row],[Type Received]]=2,"CC",(IF(Table3[[#This Row],[Type Received]]=3,"BILL","ACH")))</f>
        <v>ACH</v>
      </c>
      <c r="F2175" s="32">
        <v>51.9</v>
      </c>
      <c r="G2175" s="14" t="str">
        <f>VLOOKUP(D2175,Table4[],3,FALSE)</f>
        <v>1</v>
      </c>
      <c r="H2175" s="15">
        <v>8073</v>
      </c>
      <c r="I2175" s="15"/>
      <c r="J2175" s="15"/>
      <c r="K2175" s="15"/>
      <c r="L2175" s="15"/>
      <c r="M2175" s="15" t="s">
        <v>29</v>
      </c>
    </row>
    <row r="2176" spans="1:13" x14ac:dyDescent="0.25">
      <c r="A2176" s="23">
        <f t="shared" si="106"/>
        <v>204900</v>
      </c>
      <c r="B2176" s="14" t="str">
        <f t="shared" si="104"/>
        <v>Direct Debit (UMB Bank) - Credits</v>
      </c>
      <c r="C2176" s="38">
        <v>46145</v>
      </c>
      <c r="D2176" s="34">
        <v>204900</v>
      </c>
      <c r="E2176" s="36" t="str">
        <f>IF(Table3[[#This Row],[Type Received]]=2,"CC",(IF(Table3[[#This Row],[Type Received]]=3,"BILL","ACH")))</f>
        <v>ACH</v>
      </c>
      <c r="F2176" s="35">
        <v>17.73</v>
      </c>
      <c r="G2176" s="14" t="str">
        <f>VLOOKUP(D2176,Table4[],3,FALSE)</f>
        <v>1</v>
      </c>
      <c r="H2176" s="15"/>
      <c r="I2176" s="15"/>
      <c r="J2176" s="15" t="s">
        <v>113</v>
      </c>
      <c r="K2176" s="15">
        <v>546424901</v>
      </c>
      <c r="L2176" s="15" t="s">
        <v>29</v>
      </c>
      <c r="M2176" s="15"/>
    </row>
    <row r="2177" spans="1:13" x14ac:dyDescent="0.25">
      <c r="A2177" s="23">
        <f t="shared" si="106"/>
        <v>204903</v>
      </c>
      <c r="B2177" s="14" t="str">
        <f t="shared" si="104"/>
        <v>Billing - Credits (from TPA)</v>
      </c>
      <c r="C2177" s="37">
        <v>46145</v>
      </c>
      <c r="D2177" s="31">
        <v>204903</v>
      </c>
      <c r="E2177" s="33" t="str">
        <f>IF(Table3[[#This Row],[Type Received]]=2,"CC",(IF(Table3[[#This Row],[Type Received]]=3,"BILL","ACH")))</f>
        <v>BILL</v>
      </c>
      <c r="F2177" s="32">
        <v>17.420000000000002</v>
      </c>
      <c r="G2177" s="14" t="str">
        <f>VLOOKUP(D2177,Table4[],3,FALSE)</f>
        <v>2</v>
      </c>
      <c r="H2177" s="15"/>
      <c r="I2177" s="15"/>
      <c r="J2177" s="15" t="s">
        <v>113</v>
      </c>
      <c r="K2177" s="15">
        <v>546440352</v>
      </c>
      <c r="L2177" s="15" t="s">
        <v>29</v>
      </c>
      <c r="M2177" s="15"/>
    </row>
    <row r="2178" spans="1:13" x14ac:dyDescent="0.25">
      <c r="A2178" s="23">
        <f t="shared" si="106"/>
        <v>204921</v>
      </c>
      <c r="B2178" s="14" t="str">
        <f t="shared" ref="B2178:B2241" si="107">IF(AND(E2178="BILL",F2178&lt;0),"Billing &amp; Direct Debit - Refunds",(IF(AND(E2178="BILL",F2178&gt;0),"Billing - Credits (from TPA)",(IF(AND(E2178="CC",F2178&lt;0),"Credit Cards (UMB) - Refunds",(IF(AND(E2178="CC",F2178&gt;0),"Credit Cards (UMB) - Credits",(IF(AND(E2178="ACH",F2178&gt;0),"Direct Debit (UMB Bank) - Credits","Direct Debit (UMB Bank) - Returned Items")))))))))</f>
        <v>Direct Debit (UMB Bank) - Credits</v>
      </c>
      <c r="C2178" s="38">
        <v>46147</v>
      </c>
      <c r="D2178" s="34">
        <v>204921</v>
      </c>
      <c r="E2178" s="36" t="str">
        <f>IF(Table3[[#This Row],[Type Received]]=2,"CC",(IF(Table3[[#This Row],[Type Received]]=3,"BILL","ACH")))</f>
        <v>ACH</v>
      </c>
      <c r="F2178" s="35">
        <v>69.5</v>
      </c>
      <c r="G2178" s="14" t="str">
        <f>VLOOKUP(D2178,Table4[],3,FALSE)</f>
        <v>1</v>
      </c>
      <c r="H2178" s="15">
        <v>670</v>
      </c>
      <c r="I2178" s="15"/>
      <c r="J2178" s="15"/>
      <c r="K2178" s="15"/>
      <c r="L2178" s="15"/>
      <c r="M2178" s="15" t="s">
        <v>29</v>
      </c>
    </row>
    <row r="2179" spans="1:13" x14ac:dyDescent="0.25">
      <c r="A2179" s="23">
        <f t="shared" si="106"/>
        <v>204979</v>
      </c>
      <c r="B2179" s="14" t="str">
        <f t="shared" si="107"/>
        <v>Credit Cards (UMB) - Credits</v>
      </c>
      <c r="C2179" s="37">
        <v>46169</v>
      </c>
      <c r="D2179" s="31">
        <v>204979</v>
      </c>
      <c r="E2179" s="33" t="str">
        <f>IF(Table3[[#This Row],[Type Received]]=2,"CC",(IF(Table3[[#This Row],[Type Received]]=3,"BILL","ACH")))</f>
        <v>CC</v>
      </c>
      <c r="F2179" s="32">
        <v>30.38</v>
      </c>
      <c r="G2179" s="14" t="str">
        <f>VLOOKUP(D2179,Table4[],3,FALSE)</f>
        <v>2</v>
      </c>
      <c r="H2179" s="15"/>
      <c r="I2179" s="15"/>
      <c r="J2179" s="15" t="s">
        <v>117</v>
      </c>
      <c r="K2179" s="15">
        <v>840852576</v>
      </c>
      <c r="L2179" s="15" t="s">
        <v>29</v>
      </c>
      <c r="M2179" s="15" t="s">
        <v>29</v>
      </c>
    </row>
    <row r="2180" spans="1:13" x14ac:dyDescent="0.25">
      <c r="A2180" s="23">
        <f t="shared" si="106"/>
        <v>204982</v>
      </c>
      <c r="B2180" s="14" t="str">
        <f t="shared" si="107"/>
        <v>Direct Debit (UMB Bank) - Credits</v>
      </c>
      <c r="C2180" s="38">
        <v>46163</v>
      </c>
      <c r="D2180" s="34">
        <v>204982</v>
      </c>
      <c r="E2180" s="36" t="str">
        <f>IF(Table3[[#This Row],[Type Received]]=2,"CC",(IF(Table3[[#This Row],[Type Received]]=3,"BILL","ACH")))</f>
        <v>ACH</v>
      </c>
      <c r="F2180" s="35">
        <v>105.07</v>
      </c>
      <c r="G2180" s="14" t="str">
        <f>VLOOKUP(D2180,Table4[],3,FALSE)</f>
        <v>2</v>
      </c>
      <c r="H2180" s="15"/>
      <c r="I2180" s="15">
        <v>185848</v>
      </c>
      <c r="J2180" s="15">
        <v>747461115</v>
      </c>
      <c r="K2180" s="15">
        <v>355428767</v>
      </c>
      <c r="L2180" s="15"/>
      <c r="M2180" s="15" t="s">
        <v>29</v>
      </c>
    </row>
    <row r="2181" spans="1:13" x14ac:dyDescent="0.25">
      <c r="A2181" s="23">
        <f t="shared" si="106"/>
        <v>204987</v>
      </c>
      <c r="B2181" s="14" t="str">
        <f t="shared" si="107"/>
        <v>Billing - Credits (from TPA)</v>
      </c>
      <c r="C2181" s="37">
        <v>46145</v>
      </c>
      <c r="D2181" s="31">
        <v>204987</v>
      </c>
      <c r="E2181" s="33" t="str">
        <f>IF(Table3[[#This Row],[Type Received]]=2,"CC",(IF(Table3[[#This Row],[Type Received]]=3,"BILL","ACH")))</f>
        <v>BILL</v>
      </c>
      <c r="F2181" s="32">
        <v>39.97</v>
      </c>
      <c r="G2181" s="14" t="str">
        <f>VLOOKUP(D2181,Table4[],3,FALSE)</f>
        <v>2</v>
      </c>
      <c r="H2181" s="15"/>
      <c r="I2181" s="15"/>
      <c r="J2181" s="15" t="s">
        <v>113</v>
      </c>
      <c r="K2181" s="15">
        <v>546448168</v>
      </c>
      <c r="L2181" s="15" t="s">
        <v>29</v>
      </c>
      <c r="M2181" s="15" t="s">
        <v>29</v>
      </c>
    </row>
    <row r="2182" spans="1:13" x14ac:dyDescent="0.25">
      <c r="A2182" s="23">
        <f t="shared" si="106"/>
        <v>204996</v>
      </c>
      <c r="B2182" s="14" t="str">
        <f t="shared" si="107"/>
        <v>Direct Debit (UMB Bank) - Credits</v>
      </c>
      <c r="C2182" s="38">
        <v>46169</v>
      </c>
      <c r="D2182" s="34">
        <v>204996</v>
      </c>
      <c r="E2182" s="36" t="str">
        <f>IF(Table3[[#This Row],[Type Received]]=2,"CC",(IF(Table3[[#This Row],[Type Received]]=3,"BILL","ACH")))</f>
        <v>ACH</v>
      </c>
      <c r="F2182" s="35">
        <v>60.77</v>
      </c>
      <c r="G2182" s="14" t="str">
        <f>VLOOKUP(D2182,Table4[],3,FALSE)</f>
        <v>2</v>
      </c>
      <c r="H2182" s="15">
        <v>5145</v>
      </c>
      <c r="I2182" s="15"/>
      <c r="J2182" s="15"/>
      <c r="K2182" s="15"/>
      <c r="L2182" s="15"/>
      <c r="M2182" s="15" t="s">
        <v>29</v>
      </c>
    </row>
    <row r="2183" spans="1:13" x14ac:dyDescent="0.25">
      <c r="A2183" s="23">
        <f t="shared" si="106"/>
        <v>205114</v>
      </c>
      <c r="B2183" s="14" t="str">
        <f t="shared" si="107"/>
        <v>Credit Cards (UMB) - Credits</v>
      </c>
      <c r="C2183" s="37">
        <v>46169</v>
      </c>
      <c r="D2183" s="31">
        <v>205114</v>
      </c>
      <c r="E2183" s="33" t="str">
        <f>IF(Table3[[#This Row],[Type Received]]=2,"CC",(IF(Table3[[#This Row],[Type Received]]=3,"BILL","ACH")))</f>
        <v>CC</v>
      </c>
      <c r="F2183" s="32">
        <v>26.31</v>
      </c>
      <c r="G2183" s="14" t="str">
        <f>VLOOKUP(D2183,Table4[],3,FALSE)</f>
        <v>1</v>
      </c>
      <c r="H2183" s="15"/>
      <c r="I2183" s="15"/>
      <c r="J2183" s="24" t="s">
        <v>117</v>
      </c>
      <c r="K2183" s="15">
        <v>840863320</v>
      </c>
      <c r="L2183" s="15" t="s">
        <v>29</v>
      </c>
      <c r="M2183" s="15" t="s">
        <v>29</v>
      </c>
    </row>
    <row r="2184" spans="1:13" x14ac:dyDescent="0.25">
      <c r="A2184" s="23">
        <f t="shared" si="106"/>
        <v>205203</v>
      </c>
      <c r="B2184" s="14" t="str">
        <f t="shared" si="107"/>
        <v>Direct Debit (UMB Bank) - Credits</v>
      </c>
      <c r="C2184" s="38">
        <v>46155</v>
      </c>
      <c r="D2184" s="34">
        <v>205203</v>
      </c>
      <c r="E2184" s="36" t="str">
        <f>IF(Table3[[#This Row],[Type Received]]=2,"CC",(IF(Table3[[#This Row],[Type Received]]=3,"BILL","ACH")))</f>
        <v>ACH</v>
      </c>
      <c r="F2184" s="35">
        <v>55.15</v>
      </c>
      <c r="G2184" s="14" t="str">
        <f>VLOOKUP(D2184,Table4[],3,FALSE)</f>
        <v>2</v>
      </c>
      <c r="H2184" s="15"/>
      <c r="I2184" s="15">
        <v>672603</v>
      </c>
      <c r="J2184" s="15" t="s">
        <v>28</v>
      </c>
      <c r="K2184" s="15">
        <v>669483837</v>
      </c>
      <c r="L2184" s="15" t="s">
        <v>29</v>
      </c>
      <c r="M2184" s="15" t="s">
        <v>29</v>
      </c>
    </row>
    <row r="2185" spans="1:13" x14ac:dyDescent="0.25">
      <c r="A2185" s="23">
        <f t="shared" si="106"/>
        <v>205280</v>
      </c>
      <c r="B2185" s="14" t="str">
        <f t="shared" si="107"/>
        <v>Billing - Credits (from TPA)</v>
      </c>
      <c r="C2185" s="37">
        <v>46157</v>
      </c>
      <c r="D2185" s="31">
        <v>205280</v>
      </c>
      <c r="E2185" s="33" t="str">
        <f>IF(Table3[[#This Row],[Type Received]]=2,"CC",(IF(Table3[[#This Row],[Type Received]]=3,"BILL","ACH")))</f>
        <v>BILL</v>
      </c>
      <c r="F2185" s="32">
        <v>34.03</v>
      </c>
      <c r="G2185" s="14" t="str">
        <f>VLOOKUP(D2185,Table4[],3,FALSE)</f>
        <v>2</v>
      </c>
      <c r="H2185" s="15"/>
      <c r="I2185" s="15"/>
      <c r="J2185" s="15" t="s">
        <v>87</v>
      </c>
      <c r="K2185" s="15">
        <v>696739909</v>
      </c>
      <c r="L2185" s="15" t="s">
        <v>29</v>
      </c>
      <c r="M2185" s="15" t="s">
        <v>29</v>
      </c>
    </row>
    <row r="2186" spans="1:13" x14ac:dyDescent="0.25">
      <c r="A2186" s="23">
        <f t="shared" si="106"/>
        <v>205297</v>
      </c>
      <c r="B2186" s="14" t="str">
        <f t="shared" si="107"/>
        <v>Credit Cards (UMB) - Credits</v>
      </c>
      <c r="C2186" s="38">
        <v>46169</v>
      </c>
      <c r="D2186" s="34">
        <v>205297</v>
      </c>
      <c r="E2186" s="36" t="str">
        <f>IF(Table3[[#This Row],[Type Received]]=2,"CC",(IF(Table3[[#This Row],[Type Received]]=3,"BILL","ACH")))</f>
        <v>CC</v>
      </c>
      <c r="F2186" s="35">
        <v>165.46</v>
      </c>
      <c r="G2186" s="14" t="str">
        <f>VLOOKUP(D2186,Table4[],3,FALSE)</f>
        <v>2</v>
      </c>
      <c r="H2186" s="15">
        <v>2888</v>
      </c>
      <c r="I2186" s="15"/>
      <c r="J2186" s="15"/>
      <c r="K2186" s="15"/>
      <c r="L2186" s="15"/>
      <c r="M2186" s="15" t="s">
        <v>29</v>
      </c>
    </row>
    <row r="2187" spans="1:13" x14ac:dyDescent="0.25">
      <c r="A2187" s="23">
        <f t="shared" si="106"/>
        <v>205423</v>
      </c>
      <c r="B2187" s="14" t="str">
        <f t="shared" si="107"/>
        <v>Credit Cards (UMB) - Credits</v>
      </c>
      <c r="C2187" s="37">
        <v>46162</v>
      </c>
      <c r="D2187" s="31">
        <v>205423</v>
      </c>
      <c r="E2187" s="33" t="str">
        <f>IF(Table3[[#This Row],[Type Received]]=2,"CC",(IF(Table3[[#This Row],[Type Received]]=3,"BILL","ACH")))</f>
        <v>CC</v>
      </c>
      <c r="F2187" s="32">
        <v>23.81</v>
      </c>
      <c r="G2187" s="14" t="str">
        <f>VLOOKUP(D2187,Table4[],3,FALSE)</f>
        <v>2</v>
      </c>
      <c r="H2187" s="15"/>
      <c r="I2187" s="15">
        <v>665200</v>
      </c>
      <c r="J2187" s="15" t="s">
        <v>28</v>
      </c>
      <c r="K2187" s="15">
        <v>757560967</v>
      </c>
      <c r="L2187" s="15" t="s">
        <v>29</v>
      </c>
      <c r="M2187" s="15" t="s">
        <v>29</v>
      </c>
    </row>
    <row r="2188" spans="1:13" x14ac:dyDescent="0.25">
      <c r="A2188" s="23">
        <f t="shared" si="106"/>
        <v>205423</v>
      </c>
      <c r="B2188" s="14" t="str">
        <f t="shared" si="107"/>
        <v>Direct Debit (UMB Bank) - Credits</v>
      </c>
      <c r="C2188" s="38">
        <v>46146</v>
      </c>
      <c r="D2188" s="34">
        <v>205423</v>
      </c>
      <c r="E2188" s="36" t="str">
        <f>IF(Table3[[#This Row],[Type Received]]=2,"CC",(IF(Table3[[#This Row],[Type Received]]=3,"BILL","ACH")))</f>
        <v>ACH</v>
      </c>
      <c r="F2188" s="35">
        <v>23.81</v>
      </c>
      <c r="G2188" s="14" t="str">
        <f>VLOOKUP(D2188,Table4[],3,FALSE)</f>
        <v>2</v>
      </c>
      <c r="H2188" s="15"/>
      <c r="I2188" s="15">
        <v>742419</v>
      </c>
      <c r="J2188" s="15" t="s">
        <v>28</v>
      </c>
      <c r="K2188" s="15">
        <v>561300203</v>
      </c>
      <c r="L2188" s="15" t="s">
        <v>29</v>
      </c>
      <c r="M2188" s="15" t="s">
        <v>29</v>
      </c>
    </row>
    <row r="2189" spans="1:13" x14ac:dyDescent="0.25">
      <c r="A2189" s="23">
        <f t="shared" si="106"/>
        <v>205699</v>
      </c>
      <c r="B2189" s="14" t="str">
        <f t="shared" si="107"/>
        <v>Direct Debit (UMB Bank) - Credits</v>
      </c>
      <c r="C2189" s="37">
        <v>46145</v>
      </c>
      <c r="D2189" s="31">
        <v>205699</v>
      </c>
      <c r="E2189" s="33" t="str">
        <f>IF(Table3[[#This Row],[Type Received]]=2,"CC",(IF(Table3[[#This Row],[Type Received]]=3,"BILL","ACH")))</f>
        <v>ACH</v>
      </c>
      <c r="F2189" s="32">
        <v>27.1</v>
      </c>
      <c r="G2189" s="14" t="str">
        <f>VLOOKUP(D2189,Table4[],3,FALSE)</f>
        <v>2</v>
      </c>
      <c r="H2189" s="15"/>
      <c r="I2189" s="15"/>
      <c r="J2189" s="15" t="s">
        <v>113</v>
      </c>
      <c r="K2189" s="15">
        <v>546448174</v>
      </c>
      <c r="L2189" s="15" t="s">
        <v>29</v>
      </c>
      <c r="M2189" s="15" t="s">
        <v>29</v>
      </c>
    </row>
    <row r="2190" spans="1:13" x14ac:dyDescent="0.25">
      <c r="A2190" s="23">
        <f t="shared" si="106"/>
        <v>205735</v>
      </c>
      <c r="B2190" s="14" t="str">
        <f t="shared" si="107"/>
        <v>Direct Debit (UMB Bank) - Credits</v>
      </c>
      <c r="C2190" s="38">
        <v>46145</v>
      </c>
      <c r="D2190" s="34">
        <v>205735</v>
      </c>
      <c r="E2190" s="36" t="str">
        <f>IF(Table3[[#This Row],[Type Received]]=2,"CC",(IF(Table3[[#This Row],[Type Received]]=3,"BILL","ACH")))</f>
        <v>ACH</v>
      </c>
      <c r="F2190" s="35">
        <v>22.04</v>
      </c>
      <c r="G2190" s="14" t="str">
        <f>VLOOKUP(D2190,Table4[],3,FALSE)</f>
        <v>2</v>
      </c>
      <c r="H2190" s="15"/>
      <c r="I2190" s="15"/>
      <c r="J2190" s="15" t="s">
        <v>113</v>
      </c>
      <c r="K2190" s="15">
        <v>546441346</v>
      </c>
      <c r="L2190" s="15" t="s">
        <v>29</v>
      </c>
      <c r="M2190" s="15" t="s">
        <v>29</v>
      </c>
    </row>
    <row r="2191" spans="1:13" x14ac:dyDescent="0.25">
      <c r="A2191" s="23">
        <f t="shared" si="106"/>
        <v>205746</v>
      </c>
      <c r="B2191" s="14" t="str">
        <f t="shared" si="107"/>
        <v>Credit Cards (UMB) - Credits</v>
      </c>
      <c r="C2191" s="37">
        <v>46169</v>
      </c>
      <c r="D2191" s="31">
        <v>205746</v>
      </c>
      <c r="E2191" s="33" t="str">
        <f>IF(Table3[[#This Row],[Type Received]]=2,"CC",(IF(Table3[[#This Row],[Type Received]]=3,"BILL","ACH")))</f>
        <v>CC</v>
      </c>
      <c r="F2191" s="32">
        <v>27.87</v>
      </c>
      <c r="G2191" s="14" t="str">
        <f>VLOOKUP(D2191,Table4[],3,FALSE)</f>
        <v>1</v>
      </c>
      <c r="H2191" s="15"/>
      <c r="I2191" s="15"/>
      <c r="J2191" s="15" t="s">
        <v>117</v>
      </c>
      <c r="K2191" s="15">
        <v>840848715</v>
      </c>
      <c r="L2191" s="15" t="s">
        <v>29</v>
      </c>
      <c r="M2191" s="15" t="s">
        <v>29</v>
      </c>
    </row>
    <row r="2192" spans="1:13" x14ac:dyDescent="0.25">
      <c r="A2192" s="23">
        <f t="shared" ref="A2192:A2223" si="108">D2192</f>
        <v>205748</v>
      </c>
      <c r="B2192" s="14" t="str">
        <f t="shared" si="107"/>
        <v>Direct Debit (UMB Bank) - Credits</v>
      </c>
      <c r="C2192" s="38">
        <v>46155</v>
      </c>
      <c r="D2192" s="34">
        <v>205748</v>
      </c>
      <c r="E2192" s="36" t="str">
        <f>IF(Table3[[#This Row],[Type Received]]=2,"CC",(IF(Table3[[#This Row],[Type Received]]=3,"BILL","ACH")))</f>
        <v>ACH</v>
      </c>
      <c r="F2192" s="35">
        <v>36.869999999999997</v>
      </c>
      <c r="G2192" s="14" t="str">
        <f>VLOOKUP(D2192,Table4[],3,FALSE)</f>
        <v>1</v>
      </c>
      <c r="H2192" s="15"/>
      <c r="I2192" s="15">
        <v>286686</v>
      </c>
      <c r="J2192" s="15" t="s">
        <v>28</v>
      </c>
      <c r="K2192" s="15">
        <v>669497465</v>
      </c>
      <c r="L2192" s="15" t="s">
        <v>29</v>
      </c>
      <c r="M2192" s="15" t="s">
        <v>29</v>
      </c>
    </row>
    <row r="2193" spans="1:13" x14ac:dyDescent="0.25">
      <c r="A2193" s="23">
        <f t="shared" si="108"/>
        <v>205960</v>
      </c>
      <c r="B2193" s="14" t="str">
        <f t="shared" si="107"/>
        <v>Direct Debit (UMB Bank) - Credits</v>
      </c>
      <c r="C2193" s="37">
        <v>46169</v>
      </c>
      <c r="D2193" s="31">
        <v>205960</v>
      </c>
      <c r="E2193" s="33" t="str">
        <f>IF(Table3[[#This Row],[Type Received]]=2,"CC",(IF(Table3[[#This Row],[Type Received]]=3,"BILL","ACH")))</f>
        <v>ACH</v>
      </c>
      <c r="F2193" s="32">
        <v>16.32</v>
      </c>
      <c r="G2193" s="14" t="str">
        <f>VLOOKUP(D2193,Table4[],3,FALSE)</f>
        <v>2</v>
      </c>
      <c r="H2193" s="15"/>
      <c r="I2193" s="15"/>
      <c r="J2193" s="15" t="s">
        <v>117</v>
      </c>
      <c r="K2193" s="15">
        <v>840862399</v>
      </c>
      <c r="L2193" s="15" t="s">
        <v>29</v>
      </c>
      <c r="M2193" s="15" t="s">
        <v>29</v>
      </c>
    </row>
    <row r="2194" spans="1:13" x14ac:dyDescent="0.25">
      <c r="A2194" s="23">
        <f t="shared" si="108"/>
        <v>206208</v>
      </c>
      <c r="B2194" s="14" t="str">
        <f t="shared" si="107"/>
        <v>Credit Cards (UMB) - Credits</v>
      </c>
      <c r="C2194" s="38">
        <v>46158</v>
      </c>
      <c r="D2194" s="34">
        <v>206208</v>
      </c>
      <c r="E2194" s="36" t="str">
        <f>IF(Table3[[#This Row],[Type Received]]=2,"CC",(IF(Table3[[#This Row],[Type Received]]=3,"BILL","ACH")))</f>
        <v>CC</v>
      </c>
      <c r="F2194" s="35">
        <v>13.11</v>
      </c>
      <c r="G2194" s="14" t="str">
        <f>VLOOKUP(D2194,Table4[],3,FALSE)</f>
        <v>1</v>
      </c>
      <c r="H2194" s="15"/>
      <c r="I2194" s="15"/>
      <c r="J2194" s="15" t="s">
        <v>106</v>
      </c>
      <c r="K2194" s="15">
        <v>710021917</v>
      </c>
      <c r="L2194" s="15" t="s">
        <v>29</v>
      </c>
      <c r="M2194" s="15" t="s">
        <v>29</v>
      </c>
    </row>
    <row r="2195" spans="1:13" x14ac:dyDescent="0.25">
      <c r="A2195" s="23">
        <f t="shared" si="108"/>
        <v>206275</v>
      </c>
      <c r="B2195" s="14" t="str">
        <f t="shared" si="107"/>
        <v>Direct Debit (UMB Bank) - Credits</v>
      </c>
      <c r="C2195" s="37">
        <v>46164</v>
      </c>
      <c r="D2195" s="31">
        <v>206275</v>
      </c>
      <c r="E2195" s="33" t="str">
        <f>IF(Table3[[#This Row],[Type Received]]=2,"CC",(IF(Table3[[#This Row],[Type Received]]=3,"BILL","ACH")))</f>
        <v>ACH</v>
      </c>
      <c r="F2195" s="32">
        <v>46.58</v>
      </c>
      <c r="G2195" s="14" t="str">
        <f>VLOOKUP(D2195,Table4[],3,FALSE)</f>
        <v>2</v>
      </c>
      <c r="H2195" s="15"/>
      <c r="I2195" s="15">
        <v>90210</v>
      </c>
      <c r="J2195" s="15">
        <v>747909705</v>
      </c>
      <c r="K2195" s="15">
        <v>355553518</v>
      </c>
      <c r="L2195" s="15"/>
      <c r="M2195" s="15" t="s">
        <v>29</v>
      </c>
    </row>
    <row r="2196" spans="1:13" x14ac:dyDescent="0.25">
      <c r="A2196" s="23">
        <f t="shared" si="108"/>
        <v>206384</v>
      </c>
      <c r="B2196" s="14" t="str">
        <f t="shared" si="107"/>
        <v>Billing - Credits (from TPA)</v>
      </c>
      <c r="C2196" s="38">
        <v>46157</v>
      </c>
      <c r="D2196" s="34">
        <v>206384</v>
      </c>
      <c r="E2196" s="36" t="str">
        <f>IF(Table3[[#This Row],[Type Received]]=2,"CC",(IF(Table3[[#This Row],[Type Received]]=3,"BILL","ACH")))</f>
        <v>BILL</v>
      </c>
      <c r="F2196" s="35">
        <v>80.56</v>
      </c>
      <c r="G2196" s="14" t="str">
        <f>VLOOKUP(D2196,Table4[],3,FALSE)</f>
        <v>2</v>
      </c>
      <c r="H2196" s="15"/>
      <c r="I2196" s="15"/>
      <c r="J2196" s="15" t="s">
        <v>87</v>
      </c>
      <c r="K2196" s="15">
        <v>696655418</v>
      </c>
      <c r="L2196" s="15" t="s">
        <v>29</v>
      </c>
      <c r="M2196" s="15" t="s">
        <v>29</v>
      </c>
    </row>
    <row r="2197" spans="1:13" x14ac:dyDescent="0.25">
      <c r="A2197" s="23">
        <f t="shared" si="108"/>
        <v>206684</v>
      </c>
      <c r="B2197" s="14" t="str">
        <f t="shared" si="107"/>
        <v>Credit Cards (UMB) - Credits</v>
      </c>
      <c r="C2197" s="37">
        <v>46171</v>
      </c>
      <c r="D2197" s="31">
        <v>206684</v>
      </c>
      <c r="E2197" s="33" t="str">
        <f>IF(Table3[[#This Row],[Type Received]]=2,"CC",(IF(Table3[[#This Row],[Type Received]]=3,"BILL","ACH")))</f>
        <v>CC</v>
      </c>
      <c r="F2197" s="32">
        <v>66.13</v>
      </c>
      <c r="G2197" s="14" t="str">
        <f>VLOOKUP(D2197,Table4[],3,FALSE)</f>
        <v>1</v>
      </c>
      <c r="H2197" s="15">
        <v>701010040</v>
      </c>
      <c r="I2197" s="15"/>
      <c r="J2197" s="24"/>
      <c r="K2197" s="15"/>
      <c r="L2197" s="15"/>
      <c r="M2197" s="15" t="s">
        <v>29</v>
      </c>
    </row>
    <row r="2198" spans="1:13" x14ac:dyDescent="0.25">
      <c r="A2198" s="23">
        <f t="shared" si="108"/>
        <v>206530</v>
      </c>
      <c r="B2198" s="14" t="str">
        <f t="shared" si="107"/>
        <v>Credit Cards (UMB) - Credits</v>
      </c>
      <c r="C2198" s="38">
        <v>46146</v>
      </c>
      <c r="D2198" s="34">
        <v>206530</v>
      </c>
      <c r="E2198" s="36" t="str">
        <f>IF(Table3[[#This Row],[Type Received]]=2,"CC",(IF(Table3[[#This Row],[Type Received]]=3,"BILL","ACH")))</f>
        <v>CC</v>
      </c>
      <c r="F2198" s="35">
        <v>107.05</v>
      </c>
      <c r="G2198" s="14" t="str">
        <f>VLOOKUP(D2198,Table4[],3,FALSE)</f>
        <v>2</v>
      </c>
      <c r="H2198" s="15"/>
      <c r="I2198" s="15">
        <v>85090</v>
      </c>
      <c r="J2198" s="24" t="s">
        <v>28</v>
      </c>
      <c r="K2198" s="15">
        <v>557121534</v>
      </c>
      <c r="L2198" s="15" t="s">
        <v>29</v>
      </c>
      <c r="M2198" s="15" t="s">
        <v>29</v>
      </c>
    </row>
    <row r="2199" spans="1:13" x14ac:dyDescent="0.25">
      <c r="A2199" s="23">
        <f t="shared" si="108"/>
        <v>206547</v>
      </c>
      <c r="B2199" s="14" t="str">
        <f t="shared" si="107"/>
        <v>Billing - Credits (from TPA)</v>
      </c>
      <c r="C2199" s="37">
        <v>46143</v>
      </c>
      <c r="D2199" s="31">
        <v>206547</v>
      </c>
      <c r="E2199" s="33" t="str">
        <f>IF(Table3[[#This Row],[Type Received]]=2,"CC",(IF(Table3[[#This Row],[Type Received]]=3,"BILL","ACH")))</f>
        <v>BILL</v>
      </c>
      <c r="F2199" s="32">
        <v>59.71</v>
      </c>
      <c r="G2199" s="14" t="str">
        <f>VLOOKUP(D2199,Table4[],3,FALSE)</f>
        <v>1</v>
      </c>
      <c r="H2199" s="15"/>
      <c r="I2199" s="15">
        <v>540420</v>
      </c>
      <c r="J2199" s="15" t="s">
        <v>28</v>
      </c>
      <c r="K2199" s="15">
        <v>524597076</v>
      </c>
      <c r="L2199" s="15" t="s">
        <v>29</v>
      </c>
      <c r="M2199" s="15" t="s">
        <v>29</v>
      </c>
    </row>
    <row r="2200" spans="1:13" x14ac:dyDescent="0.25">
      <c r="A2200" s="23">
        <f t="shared" si="108"/>
        <v>206806</v>
      </c>
      <c r="B2200" s="14" t="str">
        <f t="shared" si="107"/>
        <v>Billing - Credits (from TPA)</v>
      </c>
      <c r="C2200" s="38">
        <v>46149</v>
      </c>
      <c r="D2200" s="34">
        <v>206806</v>
      </c>
      <c r="E2200" s="36" t="str">
        <f>IF(Table3[[#This Row],[Type Received]]=2,"CC",(IF(Table3[[#This Row],[Type Received]]=3,"BILL","ACH")))</f>
        <v>BILL</v>
      </c>
      <c r="F2200" s="35">
        <v>71.41</v>
      </c>
      <c r="G2200" s="14" t="str">
        <f>VLOOKUP(D2200,Table4[],3,FALSE)</f>
        <v>1</v>
      </c>
      <c r="H2200" s="15">
        <v>887</v>
      </c>
      <c r="I2200" s="15"/>
      <c r="J2200" s="15"/>
      <c r="K2200" s="15"/>
      <c r="L2200" s="15"/>
      <c r="M2200" s="15" t="s">
        <v>29</v>
      </c>
    </row>
    <row r="2201" spans="1:13" x14ac:dyDescent="0.25">
      <c r="A2201" s="23">
        <f t="shared" si="108"/>
        <v>206884</v>
      </c>
      <c r="B2201" s="14" t="str">
        <f t="shared" si="107"/>
        <v>Direct Debit (UMB Bank) - Credits</v>
      </c>
      <c r="C2201" s="37">
        <v>46170</v>
      </c>
      <c r="D2201" s="31">
        <v>206884</v>
      </c>
      <c r="E2201" s="33" t="str">
        <f>IF(Table3[[#This Row],[Type Received]]=2,"CC",(IF(Table3[[#This Row],[Type Received]]=3,"BILL","ACH")))</f>
        <v>ACH</v>
      </c>
      <c r="F2201" s="32">
        <v>54.52</v>
      </c>
      <c r="G2201" s="14" t="str">
        <f>VLOOKUP(D2201,Table4[],3,FALSE)</f>
        <v>1</v>
      </c>
      <c r="H2201" s="15">
        <v>6197</v>
      </c>
      <c r="I2201" s="15"/>
      <c r="J2201" s="15"/>
      <c r="K2201" s="15"/>
      <c r="L2201" s="15"/>
      <c r="M2201" s="15"/>
    </row>
    <row r="2202" spans="1:13" x14ac:dyDescent="0.25">
      <c r="A2202" s="23">
        <f t="shared" si="108"/>
        <v>207012</v>
      </c>
      <c r="B2202" s="14" t="str">
        <f t="shared" si="107"/>
        <v>Direct Debit (UMB Bank) - Credits</v>
      </c>
      <c r="C2202" s="38">
        <v>46169</v>
      </c>
      <c r="D2202" s="34">
        <v>207012</v>
      </c>
      <c r="E2202" s="36" t="str">
        <f>IF(Table3[[#This Row],[Type Received]]=2,"CC",(IF(Table3[[#This Row],[Type Received]]=3,"BILL","ACH")))</f>
        <v>ACH</v>
      </c>
      <c r="F2202" s="35">
        <v>12.94</v>
      </c>
      <c r="G2202" s="14" t="str">
        <f>VLOOKUP(D2202,Table4[],3,FALSE)</f>
        <v>1</v>
      </c>
      <c r="H2202" s="15"/>
      <c r="I2202" s="15"/>
      <c r="J2202" s="15" t="s">
        <v>117</v>
      </c>
      <c r="K2202" s="15">
        <v>840867258</v>
      </c>
      <c r="L2202" s="15" t="s">
        <v>29</v>
      </c>
      <c r="M2202" s="15" t="s">
        <v>29</v>
      </c>
    </row>
    <row r="2203" spans="1:13" x14ac:dyDescent="0.25">
      <c r="A2203" s="23">
        <f t="shared" si="108"/>
        <v>207024</v>
      </c>
      <c r="B2203" s="14" t="str">
        <f t="shared" si="107"/>
        <v>Direct Debit (UMB Bank) - Credits</v>
      </c>
      <c r="C2203" s="37">
        <v>46169</v>
      </c>
      <c r="D2203" s="31">
        <v>207024</v>
      </c>
      <c r="E2203" s="33" t="str">
        <f>IF(Table3[[#This Row],[Type Received]]=2,"CC",(IF(Table3[[#This Row],[Type Received]]=3,"BILL","ACH")))</f>
        <v>ACH</v>
      </c>
      <c r="F2203" s="32">
        <v>28.09</v>
      </c>
      <c r="G2203" s="14" t="str">
        <f>VLOOKUP(D2203,Table4[],3,FALSE)</f>
        <v>1</v>
      </c>
      <c r="H2203" s="15"/>
      <c r="I2203" s="15"/>
      <c r="J2203" s="15" t="s">
        <v>117</v>
      </c>
      <c r="K2203" s="15">
        <v>840856578</v>
      </c>
      <c r="L2203" s="15" t="s">
        <v>29</v>
      </c>
      <c r="M2203" s="15" t="s">
        <v>29</v>
      </c>
    </row>
    <row r="2204" spans="1:13" x14ac:dyDescent="0.25">
      <c r="A2204" s="23">
        <f t="shared" si="108"/>
        <v>207046</v>
      </c>
      <c r="B2204" s="14" t="str">
        <f t="shared" si="107"/>
        <v>Credit Cards (UMB) - Credits</v>
      </c>
      <c r="C2204" s="38">
        <v>46169</v>
      </c>
      <c r="D2204" s="34">
        <v>207046</v>
      </c>
      <c r="E2204" s="36" t="str">
        <f>IF(Table3[[#This Row],[Type Received]]=2,"CC",(IF(Table3[[#This Row],[Type Received]]=3,"BILL","ACH")))</f>
        <v>CC</v>
      </c>
      <c r="F2204" s="35">
        <v>37.56</v>
      </c>
      <c r="G2204" s="14" t="str">
        <f>VLOOKUP(D2204,Table4[],3,FALSE)</f>
        <v>2</v>
      </c>
      <c r="H2204" s="15"/>
      <c r="I2204" s="15"/>
      <c r="J2204" s="24" t="s">
        <v>117</v>
      </c>
      <c r="K2204" s="15">
        <v>840862472</v>
      </c>
      <c r="L2204" s="15" t="s">
        <v>29</v>
      </c>
      <c r="M2204" s="15" t="s">
        <v>29</v>
      </c>
    </row>
    <row r="2205" spans="1:13" x14ac:dyDescent="0.25">
      <c r="A2205" s="23">
        <f t="shared" si="108"/>
        <v>207193</v>
      </c>
      <c r="B2205" s="14" t="str">
        <f t="shared" si="107"/>
        <v>Direct Debit (UMB Bank) - Credits</v>
      </c>
      <c r="C2205" s="37">
        <v>46155</v>
      </c>
      <c r="D2205" s="31">
        <v>207193</v>
      </c>
      <c r="E2205" s="33" t="str">
        <f>IF(Table3[[#This Row],[Type Received]]=2,"CC",(IF(Table3[[#This Row],[Type Received]]=3,"BILL","ACH")))</f>
        <v>ACH</v>
      </c>
      <c r="F2205" s="32">
        <v>24.68</v>
      </c>
      <c r="G2205" s="14" t="str">
        <f>VLOOKUP(D2205,Table4[],3,FALSE)</f>
        <v>2</v>
      </c>
      <c r="H2205" s="15"/>
      <c r="I2205" s="15">
        <v>188432</v>
      </c>
      <c r="J2205" s="15" t="s">
        <v>28</v>
      </c>
      <c r="K2205" s="15">
        <v>669499414</v>
      </c>
      <c r="L2205" s="15" t="s">
        <v>29</v>
      </c>
      <c r="M2205" s="15" t="s">
        <v>29</v>
      </c>
    </row>
    <row r="2206" spans="1:13" x14ac:dyDescent="0.25">
      <c r="A2206" s="23">
        <f t="shared" si="108"/>
        <v>207197</v>
      </c>
      <c r="B2206" s="14" t="str">
        <f t="shared" si="107"/>
        <v>Direct Debit (UMB Bank) - Credits</v>
      </c>
      <c r="C2206" s="38">
        <v>46157</v>
      </c>
      <c r="D2206" s="34">
        <v>207197</v>
      </c>
      <c r="E2206" s="36" t="str">
        <f>IF(Table3[[#This Row],[Type Received]]=2,"CC",(IF(Table3[[#This Row],[Type Received]]=3,"BILL","ACH")))</f>
        <v>ACH</v>
      </c>
      <c r="F2206" s="35">
        <v>13.29</v>
      </c>
      <c r="G2206" s="14" t="str">
        <f>VLOOKUP(D2206,Table4[],3,FALSE)</f>
        <v>1</v>
      </c>
      <c r="H2206" s="15"/>
      <c r="I2206" s="15"/>
      <c r="J2206" s="24" t="s">
        <v>87</v>
      </c>
      <c r="K2206" s="15">
        <v>696738990</v>
      </c>
      <c r="L2206" s="15" t="s">
        <v>29</v>
      </c>
      <c r="M2206" s="15" t="s">
        <v>29</v>
      </c>
    </row>
    <row r="2207" spans="1:13" x14ac:dyDescent="0.25">
      <c r="A2207" s="23">
        <f t="shared" si="108"/>
        <v>207261</v>
      </c>
      <c r="B2207" s="14" t="str">
        <f t="shared" si="107"/>
        <v>Billing - Credits (from TPA)</v>
      </c>
      <c r="C2207" s="37">
        <v>46157</v>
      </c>
      <c r="D2207" s="31">
        <v>207261</v>
      </c>
      <c r="E2207" s="33" t="str">
        <f>IF(Table3[[#This Row],[Type Received]]=2,"CC",(IF(Table3[[#This Row],[Type Received]]=3,"BILL","ACH")))</f>
        <v>BILL</v>
      </c>
      <c r="F2207" s="32">
        <v>15.88</v>
      </c>
      <c r="G2207" s="14" t="str">
        <f>VLOOKUP(D2207,Table4[],3,FALSE)</f>
        <v>2</v>
      </c>
      <c r="H2207" s="15"/>
      <c r="I2207" s="15"/>
      <c r="J2207" s="15" t="s">
        <v>87</v>
      </c>
      <c r="K2207" s="15">
        <v>696742820</v>
      </c>
      <c r="L2207" s="15" t="s">
        <v>29</v>
      </c>
      <c r="M2207" s="15" t="s">
        <v>29</v>
      </c>
    </row>
    <row r="2208" spans="1:13" x14ac:dyDescent="0.25">
      <c r="A2208" s="23">
        <f t="shared" si="108"/>
        <v>207286</v>
      </c>
      <c r="B2208" s="14" t="str">
        <f t="shared" si="107"/>
        <v>Direct Debit (UMB Bank) - Credits</v>
      </c>
      <c r="C2208" s="38">
        <v>46146</v>
      </c>
      <c r="D2208" s="34">
        <v>207286</v>
      </c>
      <c r="E2208" s="36" t="str">
        <f>IF(Table3[[#This Row],[Type Received]]=2,"CC",(IF(Table3[[#This Row],[Type Received]]=3,"BILL","ACH")))</f>
        <v>ACH</v>
      </c>
      <c r="F2208" s="35">
        <v>56.81</v>
      </c>
      <c r="G2208" s="14" t="str">
        <f>VLOOKUP(D2208,Table4[],3,FALSE)</f>
        <v>2</v>
      </c>
      <c r="H2208" s="15">
        <v>1389</v>
      </c>
      <c r="I2208" s="15"/>
      <c r="J2208" s="15"/>
      <c r="K2208" s="15"/>
      <c r="L2208" s="15"/>
      <c r="M2208" s="15" t="s">
        <v>29</v>
      </c>
    </row>
    <row r="2209" spans="1:13" x14ac:dyDescent="0.25">
      <c r="A2209" s="23">
        <f t="shared" si="108"/>
        <v>207459</v>
      </c>
      <c r="B2209" s="14" t="str">
        <f t="shared" si="107"/>
        <v>Direct Debit (UMB Bank) - Credits</v>
      </c>
      <c r="C2209" s="37">
        <v>46157</v>
      </c>
      <c r="D2209" s="31">
        <v>207459</v>
      </c>
      <c r="E2209" s="33" t="str">
        <f>IF(Table3[[#This Row],[Type Received]]=2,"CC",(IF(Table3[[#This Row],[Type Received]]=3,"BILL","ACH")))</f>
        <v>ACH</v>
      </c>
      <c r="F2209" s="32">
        <v>16.510000000000002</v>
      </c>
      <c r="G2209" s="14" t="str">
        <f>VLOOKUP(D2209,Table4[],3,FALSE)</f>
        <v>1</v>
      </c>
      <c r="H2209" s="15"/>
      <c r="I2209" s="15"/>
      <c r="J2209" s="15" t="s">
        <v>87</v>
      </c>
      <c r="K2209" s="15">
        <v>696741803</v>
      </c>
      <c r="L2209" s="15" t="s">
        <v>29</v>
      </c>
      <c r="M2209" s="15" t="s">
        <v>29</v>
      </c>
    </row>
    <row r="2210" spans="1:13" x14ac:dyDescent="0.25">
      <c r="A2210" s="23">
        <f t="shared" si="108"/>
        <v>207460</v>
      </c>
      <c r="B2210" s="14" t="str">
        <f t="shared" si="107"/>
        <v>Direct Debit (UMB Bank) - Credits</v>
      </c>
      <c r="C2210" s="38">
        <v>46157</v>
      </c>
      <c r="D2210" s="34">
        <v>207460</v>
      </c>
      <c r="E2210" s="36" t="str">
        <f>IF(Table3[[#This Row],[Type Received]]=2,"CC",(IF(Table3[[#This Row],[Type Received]]=3,"BILL","ACH")))</f>
        <v>ACH</v>
      </c>
      <c r="F2210" s="35">
        <v>15.99</v>
      </c>
      <c r="G2210" s="14" t="str">
        <f>VLOOKUP(D2210,Table4[],3,FALSE)</f>
        <v>2</v>
      </c>
      <c r="H2210" s="15"/>
      <c r="I2210" s="15"/>
      <c r="J2210" s="15" t="s">
        <v>87</v>
      </c>
      <c r="K2210" s="15">
        <v>696739950</v>
      </c>
      <c r="L2210" s="15" t="s">
        <v>29</v>
      </c>
      <c r="M2210" s="15" t="s">
        <v>29</v>
      </c>
    </row>
    <row r="2211" spans="1:13" x14ac:dyDescent="0.25">
      <c r="A2211" s="23">
        <f t="shared" si="108"/>
        <v>207463</v>
      </c>
      <c r="B2211" s="14" t="str">
        <f t="shared" si="107"/>
        <v>Direct Debit (UMB Bank) - Credits</v>
      </c>
      <c r="C2211" s="37">
        <v>46146</v>
      </c>
      <c r="D2211" s="31">
        <v>207463</v>
      </c>
      <c r="E2211" s="33" t="str">
        <f>IF(Table3[[#This Row],[Type Received]]=2,"CC",(IF(Table3[[#This Row],[Type Received]]=3,"BILL","ACH")))</f>
        <v>ACH</v>
      </c>
      <c r="F2211" s="32">
        <v>51.52</v>
      </c>
      <c r="G2211" s="14" t="str">
        <f>VLOOKUP(D2211,Table4[],3,FALSE)</f>
        <v>2</v>
      </c>
      <c r="H2211" s="15"/>
      <c r="I2211" s="15"/>
      <c r="J2211" s="15" t="s">
        <v>92</v>
      </c>
      <c r="K2211" s="15">
        <v>558766688</v>
      </c>
      <c r="L2211" s="15" t="s">
        <v>29</v>
      </c>
      <c r="M2211" s="15" t="s">
        <v>29</v>
      </c>
    </row>
    <row r="2212" spans="1:13" x14ac:dyDescent="0.25">
      <c r="A2212" s="23">
        <f t="shared" si="108"/>
        <v>207543</v>
      </c>
      <c r="B2212" s="14" t="str">
        <f t="shared" si="107"/>
        <v>Direct Debit (UMB Bank) - Credits</v>
      </c>
      <c r="C2212" s="38">
        <v>46169</v>
      </c>
      <c r="D2212" s="34">
        <v>207543</v>
      </c>
      <c r="E2212" s="36" t="str">
        <f>IF(Table3[[#This Row],[Type Received]]=2,"CC",(IF(Table3[[#This Row],[Type Received]]=3,"BILL","ACH")))</f>
        <v>ACH</v>
      </c>
      <c r="F2212" s="35">
        <v>57.13</v>
      </c>
      <c r="G2212" s="14" t="str">
        <f>VLOOKUP(D2212,Table4[],3,FALSE)</f>
        <v>1</v>
      </c>
      <c r="H2212" s="15"/>
      <c r="I2212" s="15"/>
      <c r="J2212" s="15" t="s">
        <v>117</v>
      </c>
      <c r="K2212" s="15">
        <v>840868212</v>
      </c>
      <c r="L2212" s="15" t="s">
        <v>29</v>
      </c>
      <c r="M2212" s="15"/>
    </row>
    <row r="2213" spans="1:13" x14ac:dyDescent="0.25">
      <c r="A2213" s="23">
        <f t="shared" si="108"/>
        <v>207558</v>
      </c>
      <c r="B2213" s="14" t="str">
        <f t="shared" si="107"/>
        <v>Billing - Credits (from TPA)</v>
      </c>
      <c r="C2213" s="37">
        <v>46169</v>
      </c>
      <c r="D2213" s="31">
        <v>207558</v>
      </c>
      <c r="E2213" s="33" t="str">
        <f>IF(Table3[[#This Row],[Type Received]]=2,"CC",(IF(Table3[[#This Row],[Type Received]]=3,"BILL","ACH")))</f>
        <v>BILL</v>
      </c>
      <c r="F2213" s="32">
        <v>18.190000000000001</v>
      </c>
      <c r="G2213" s="14" t="str">
        <f>VLOOKUP(D2213,Table4[],3,FALSE)</f>
        <v>2</v>
      </c>
      <c r="H2213" s="15"/>
      <c r="I2213" s="15"/>
      <c r="J2213" s="15" t="s">
        <v>117</v>
      </c>
      <c r="K2213" s="15">
        <v>840845974</v>
      </c>
      <c r="L2213" s="15" t="s">
        <v>29</v>
      </c>
      <c r="M2213" s="15" t="s">
        <v>29</v>
      </c>
    </row>
    <row r="2214" spans="1:13" x14ac:dyDescent="0.25">
      <c r="A2214" s="23">
        <f t="shared" si="108"/>
        <v>207587</v>
      </c>
      <c r="B2214" s="14" t="str">
        <f t="shared" si="107"/>
        <v>Billing - Credits (from TPA)</v>
      </c>
      <c r="C2214" s="38">
        <v>46153</v>
      </c>
      <c r="D2214" s="34">
        <v>207587</v>
      </c>
      <c r="E2214" s="36" t="str">
        <f>IF(Table3[[#This Row],[Type Received]]=2,"CC",(IF(Table3[[#This Row],[Type Received]]=3,"BILL","ACH")))</f>
        <v>BILL</v>
      </c>
      <c r="F2214" s="35">
        <v>232</v>
      </c>
      <c r="G2214" s="14" t="str">
        <f>VLOOKUP(D2214,Table4[],3,FALSE)</f>
        <v>1</v>
      </c>
      <c r="H2214" s="15">
        <v>8952</v>
      </c>
      <c r="I2214" s="15"/>
      <c r="J2214" s="15"/>
      <c r="K2214" s="15"/>
      <c r="L2214" s="15"/>
      <c r="M2214" s="15" t="s">
        <v>29</v>
      </c>
    </row>
    <row r="2215" spans="1:13" x14ac:dyDescent="0.25">
      <c r="A2215" s="23">
        <f t="shared" si="108"/>
        <v>207679</v>
      </c>
      <c r="B2215" s="14" t="str">
        <f t="shared" si="107"/>
        <v>Direct Debit (UMB Bank) - Credits</v>
      </c>
      <c r="C2215" s="37">
        <v>46171</v>
      </c>
      <c r="D2215" s="31">
        <v>207679</v>
      </c>
      <c r="E2215" s="33" t="str">
        <f>IF(Table3[[#This Row],[Type Received]]=2,"CC",(IF(Table3[[#This Row],[Type Received]]=3,"BILL","ACH")))</f>
        <v>ACH</v>
      </c>
      <c r="F2215" s="32">
        <v>41.96</v>
      </c>
      <c r="G2215" s="14" t="str">
        <f>VLOOKUP(D2215,Table4[],3,FALSE)</f>
        <v>2</v>
      </c>
      <c r="H2215" s="15">
        <v>5794</v>
      </c>
      <c r="I2215" s="15"/>
      <c r="J2215" s="24"/>
      <c r="K2215" s="15"/>
      <c r="L2215" s="15"/>
      <c r="M2215" s="15"/>
    </row>
    <row r="2216" spans="1:13" x14ac:dyDescent="0.25">
      <c r="A2216" s="23">
        <f t="shared" si="108"/>
        <v>207686</v>
      </c>
      <c r="B2216" s="14" t="str">
        <f t="shared" si="107"/>
        <v>Direct Debit (UMB Bank) - Credits</v>
      </c>
      <c r="C2216" s="38">
        <v>46169</v>
      </c>
      <c r="D2216" s="34">
        <v>207686</v>
      </c>
      <c r="E2216" s="36" t="str">
        <f>IF(Table3[[#This Row],[Type Received]]=2,"CC",(IF(Table3[[#This Row],[Type Received]]=3,"BILL","ACH")))</f>
        <v>ACH</v>
      </c>
      <c r="F2216" s="35">
        <v>54.16</v>
      </c>
      <c r="G2216" s="14" t="str">
        <f>VLOOKUP(D2216,Table4[],3,FALSE)</f>
        <v>2</v>
      </c>
      <c r="H2216" s="15"/>
      <c r="I2216" s="15"/>
      <c r="J2216" s="15" t="s">
        <v>117</v>
      </c>
      <c r="K2216" s="15">
        <v>840861504</v>
      </c>
      <c r="L2216" s="15" t="s">
        <v>29</v>
      </c>
      <c r="M2216" s="15" t="s">
        <v>29</v>
      </c>
    </row>
    <row r="2217" spans="1:13" x14ac:dyDescent="0.25">
      <c r="A2217" s="23">
        <f t="shared" si="108"/>
        <v>207700</v>
      </c>
      <c r="B2217" s="14" t="str">
        <f t="shared" si="107"/>
        <v>Direct Debit (UMB Bank) - Credits</v>
      </c>
      <c r="C2217" s="37">
        <v>46156</v>
      </c>
      <c r="D2217" s="31">
        <v>207700</v>
      </c>
      <c r="E2217" s="33" t="str">
        <f>IF(Table3[[#This Row],[Type Received]]=2,"CC",(IF(Table3[[#This Row],[Type Received]]=3,"BILL","ACH")))</f>
        <v>ACH</v>
      </c>
      <c r="F2217" s="32">
        <v>99.71</v>
      </c>
      <c r="G2217" s="14" t="str">
        <f>VLOOKUP(D2217,Table4[],3,FALSE)</f>
        <v>2</v>
      </c>
      <c r="H2217" s="15"/>
      <c r="I2217" s="15"/>
      <c r="J2217" s="15" t="s">
        <v>93</v>
      </c>
      <c r="K2217" s="15">
        <v>686401174</v>
      </c>
      <c r="L2217" s="15" t="s">
        <v>29</v>
      </c>
      <c r="M2217" s="15" t="s">
        <v>29</v>
      </c>
    </row>
    <row r="2218" spans="1:13" x14ac:dyDescent="0.25">
      <c r="A2218" s="23">
        <f t="shared" si="108"/>
        <v>207710</v>
      </c>
      <c r="B2218" s="14" t="str">
        <f t="shared" si="107"/>
        <v>Direct Debit (UMB Bank) - Credits</v>
      </c>
      <c r="C2218" s="38">
        <v>46157</v>
      </c>
      <c r="D2218" s="34">
        <v>207710</v>
      </c>
      <c r="E2218" s="36" t="str">
        <f>IF(Table3[[#This Row],[Type Received]]=2,"CC",(IF(Table3[[#This Row],[Type Received]]=3,"BILL","ACH")))</f>
        <v>ACH</v>
      </c>
      <c r="F2218" s="35">
        <v>20.170000000000002</v>
      </c>
      <c r="G2218" s="14" t="str">
        <f>VLOOKUP(D2218,Table4[],3,FALSE)</f>
        <v>2</v>
      </c>
      <c r="H2218" s="15"/>
      <c r="I2218" s="15"/>
      <c r="J2218" s="15" t="s">
        <v>87</v>
      </c>
      <c r="K2218" s="15">
        <v>696759193</v>
      </c>
      <c r="L2218" s="15" t="s">
        <v>29</v>
      </c>
      <c r="M2218" s="15" t="s">
        <v>29</v>
      </c>
    </row>
    <row r="2219" spans="1:13" x14ac:dyDescent="0.25">
      <c r="A2219" s="23">
        <f t="shared" si="108"/>
        <v>207773</v>
      </c>
      <c r="B2219" s="14" t="str">
        <f t="shared" si="107"/>
        <v>Direct Debit (UMB Bank) - Credits</v>
      </c>
      <c r="C2219" s="37">
        <v>46145</v>
      </c>
      <c r="D2219" s="31">
        <v>207773</v>
      </c>
      <c r="E2219" s="33" t="str">
        <f>IF(Table3[[#This Row],[Type Received]]=2,"CC",(IF(Table3[[#This Row],[Type Received]]=3,"BILL","ACH")))</f>
        <v>ACH</v>
      </c>
      <c r="F2219" s="32">
        <v>19.510000000000002</v>
      </c>
      <c r="G2219" s="14" t="str">
        <f>VLOOKUP(D2219,Table4[],3,FALSE)</f>
        <v>2</v>
      </c>
      <c r="H2219" s="15"/>
      <c r="I2219" s="15"/>
      <c r="J2219" s="15" t="s">
        <v>113</v>
      </c>
      <c r="K2219" s="15">
        <v>546431613</v>
      </c>
      <c r="L2219" s="15" t="s">
        <v>29</v>
      </c>
      <c r="M2219" s="15" t="s">
        <v>29</v>
      </c>
    </row>
    <row r="2220" spans="1:13" x14ac:dyDescent="0.25">
      <c r="A2220" s="23">
        <f t="shared" si="108"/>
        <v>207777</v>
      </c>
      <c r="B2220" s="14" t="str">
        <f t="shared" si="107"/>
        <v>Direct Debit (UMB Bank) - Credits</v>
      </c>
      <c r="C2220" s="38">
        <v>46146</v>
      </c>
      <c r="D2220" s="34">
        <v>207777</v>
      </c>
      <c r="E2220" s="36" t="str">
        <f>IF(Table3[[#This Row],[Type Received]]=2,"CC",(IF(Table3[[#This Row],[Type Received]]=3,"BILL","ACH")))</f>
        <v>ACH</v>
      </c>
      <c r="F2220" s="35">
        <v>63.73</v>
      </c>
      <c r="G2220" s="14" t="str">
        <f>VLOOKUP(D2220,Table4[],3,FALSE)</f>
        <v>2</v>
      </c>
      <c r="H2220" s="15"/>
      <c r="I2220" s="15"/>
      <c r="J2220" s="15" t="s">
        <v>92</v>
      </c>
      <c r="K2220" s="15">
        <v>557097486</v>
      </c>
      <c r="L2220" s="15" t="s">
        <v>29</v>
      </c>
      <c r="M2220" s="15" t="s">
        <v>29</v>
      </c>
    </row>
    <row r="2221" spans="1:13" x14ac:dyDescent="0.25">
      <c r="A2221" s="23">
        <f t="shared" si="108"/>
        <v>208000</v>
      </c>
      <c r="B2221" s="14" t="str">
        <f t="shared" si="107"/>
        <v>Direct Debit (UMB Bank) - Credits</v>
      </c>
      <c r="C2221" s="37">
        <v>46157</v>
      </c>
      <c r="D2221" s="31">
        <v>208000</v>
      </c>
      <c r="E2221" s="33" t="str">
        <f>IF(Table3[[#This Row],[Type Received]]=2,"CC",(IF(Table3[[#This Row],[Type Received]]=3,"BILL","ACH")))</f>
        <v>ACH</v>
      </c>
      <c r="F2221" s="32">
        <v>26</v>
      </c>
      <c r="G2221" s="14" t="str">
        <f>VLOOKUP(D2221,Table4[],3,FALSE)</f>
        <v>2</v>
      </c>
      <c r="H2221" s="15"/>
      <c r="I2221" s="15"/>
      <c r="J2221" s="15" t="s">
        <v>87</v>
      </c>
      <c r="K2221" s="15">
        <v>696752464</v>
      </c>
      <c r="L2221" s="15" t="s">
        <v>29</v>
      </c>
      <c r="M2221" s="15"/>
    </row>
    <row r="2222" spans="1:13" x14ac:dyDescent="0.25">
      <c r="A2222" s="23">
        <f t="shared" si="108"/>
        <v>208223</v>
      </c>
      <c r="B2222" s="14" t="str">
        <f t="shared" si="107"/>
        <v>Billing - Credits (from TPA)</v>
      </c>
      <c r="C2222" s="38">
        <v>46157</v>
      </c>
      <c r="D2222" s="34">
        <v>208223</v>
      </c>
      <c r="E2222" s="36" t="str">
        <f>IF(Table3[[#This Row],[Type Received]]=2,"CC",(IF(Table3[[#This Row],[Type Received]]=3,"BILL","ACH")))</f>
        <v>BILL</v>
      </c>
      <c r="F2222" s="35">
        <v>45.25</v>
      </c>
      <c r="G2222" s="14" t="str">
        <f>VLOOKUP(D2222,Table4[],3,FALSE)</f>
        <v>1</v>
      </c>
      <c r="H2222" s="15"/>
      <c r="I2222" s="15"/>
      <c r="J2222" s="15" t="s">
        <v>87</v>
      </c>
      <c r="K2222" s="15">
        <v>696743836</v>
      </c>
      <c r="L2222" s="15" t="s">
        <v>29</v>
      </c>
      <c r="M2222" s="15" t="s">
        <v>29</v>
      </c>
    </row>
    <row r="2223" spans="1:13" x14ac:dyDescent="0.25">
      <c r="A2223" s="23">
        <f t="shared" si="108"/>
        <v>208230</v>
      </c>
      <c r="B2223" s="14" t="str">
        <f t="shared" si="107"/>
        <v>Credit Cards (UMB) - Credits</v>
      </c>
      <c r="C2223" s="37">
        <v>46153</v>
      </c>
      <c r="D2223" s="31">
        <v>208230</v>
      </c>
      <c r="E2223" s="33" t="str">
        <f>IF(Table3[[#This Row],[Type Received]]=2,"CC",(IF(Table3[[#This Row],[Type Received]]=3,"BILL","ACH")))</f>
        <v>CC</v>
      </c>
      <c r="F2223" s="32">
        <v>60.85</v>
      </c>
      <c r="G2223" s="14" t="str">
        <f>VLOOKUP(D2223,Table4[],3,FALSE)</f>
        <v>1</v>
      </c>
      <c r="H2223" s="15">
        <v>5330</v>
      </c>
      <c r="I2223" s="15"/>
      <c r="J2223" s="15"/>
      <c r="K2223" s="15"/>
      <c r="L2223" s="15"/>
      <c r="M2223" s="15" t="s">
        <v>29</v>
      </c>
    </row>
    <row r="2224" spans="1:13" x14ac:dyDescent="0.25">
      <c r="A2224" s="23">
        <f t="shared" ref="A2224:A2238" si="109">D2224</f>
        <v>208316</v>
      </c>
      <c r="B2224" s="14" t="str">
        <f t="shared" si="107"/>
        <v>Billing - Credits (from TPA)</v>
      </c>
      <c r="C2224" s="38">
        <v>46146</v>
      </c>
      <c r="D2224" s="34">
        <v>208316</v>
      </c>
      <c r="E2224" s="36" t="str">
        <f>IF(Table3[[#This Row],[Type Received]]=2,"CC",(IF(Table3[[#This Row],[Type Received]]=3,"BILL","ACH")))</f>
        <v>BILL</v>
      </c>
      <c r="F2224" s="35">
        <v>45.3</v>
      </c>
      <c r="G2224" s="14" t="str">
        <f>VLOOKUP(D2224,Table4[],3,FALSE)</f>
        <v>1</v>
      </c>
      <c r="H2224" s="15"/>
      <c r="I2224" s="15">
        <v>104608</v>
      </c>
      <c r="J2224" s="15" t="s">
        <v>28</v>
      </c>
      <c r="K2224" s="15">
        <v>563148415</v>
      </c>
      <c r="L2224" s="15" t="s">
        <v>29</v>
      </c>
      <c r="M2224" s="15" t="s">
        <v>29</v>
      </c>
    </row>
    <row r="2225" spans="1:13" x14ac:dyDescent="0.25">
      <c r="A2225" s="23">
        <f t="shared" si="109"/>
        <v>208100</v>
      </c>
      <c r="B2225" s="14" t="str">
        <f t="shared" si="107"/>
        <v>Billing - Credits (from TPA)</v>
      </c>
      <c r="C2225" s="37">
        <v>46169</v>
      </c>
      <c r="D2225" s="31">
        <v>208100</v>
      </c>
      <c r="E2225" s="33" t="str">
        <f>IF(Table3[[#This Row],[Type Received]]=2,"CC",(IF(Table3[[#This Row],[Type Received]]=3,"BILL","ACH")))</f>
        <v>BILL</v>
      </c>
      <c r="F2225" s="32">
        <v>45.34</v>
      </c>
      <c r="G2225" s="14" t="str">
        <f>VLOOKUP(D2225,Table4[],3,FALSE)</f>
        <v>2</v>
      </c>
      <c r="H2225" s="15">
        <v>2244716676</v>
      </c>
      <c r="I2225" s="15"/>
      <c r="J2225" s="15"/>
      <c r="K2225" s="15"/>
      <c r="L2225" s="15"/>
      <c r="M2225" s="15" t="s">
        <v>29</v>
      </c>
    </row>
    <row r="2226" spans="1:13" x14ac:dyDescent="0.25">
      <c r="A2226" s="23">
        <f t="shared" si="109"/>
        <v>208155</v>
      </c>
      <c r="B2226" s="14" t="str">
        <f t="shared" si="107"/>
        <v>Direct Debit (UMB Bank) - Credits</v>
      </c>
      <c r="C2226" s="38">
        <v>46148</v>
      </c>
      <c r="D2226" s="34">
        <v>208155</v>
      </c>
      <c r="E2226" s="36" t="str">
        <f>IF(Table3[[#This Row],[Type Received]]=2,"CC",(IF(Table3[[#This Row],[Type Received]]=3,"BILL","ACH")))</f>
        <v>ACH</v>
      </c>
      <c r="F2226" s="35">
        <v>30.08</v>
      </c>
      <c r="G2226" s="14" t="str">
        <f>VLOOKUP(D2226,Table4[],3,FALSE)</f>
        <v>2</v>
      </c>
      <c r="H2226" s="15">
        <v>959</v>
      </c>
      <c r="I2226" s="15"/>
      <c r="J2226" s="15"/>
      <c r="K2226" s="15"/>
      <c r="L2226" s="15"/>
      <c r="M2226" s="15" t="s">
        <v>29</v>
      </c>
    </row>
    <row r="2227" spans="1:13" x14ac:dyDescent="0.25">
      <c r="A2227" s="23">
        <f t="shared" si="109"/>
        <v>208166</v>
      </c>
      <c r="B2227" s="14" t="str">
        <f t="shared" si="107"/>
        <v>Direct Debit (UMB Bank) - Credits</v>
      </c>
      <c r="C2227" s="37">
        <v>46157</v>
      </c>
      <c r="D2227" s="31">
        <v>208166</v>
      </c>
      <c r="E2227" s="33" t="str">
        <f>IF(Table3[[#This Row],[Type Received]]=2,"CC",(IF(Table3[[#This Row],[Type Received]]=3,"BILL","ACH")))</f>
        <v>ACH</v>
      </c>
      <c r="F2227" s="32">
        <v>25.67</v>
      </c>
      <c r="G2227" s="14" t="str">
        <f>VLOOKUP(D2227,Table4[],3,FALSE)</f>
        <v>2</v>
      </c>
      <c r="H2227" s="15"/>
      <c r="I2227" s="15"/>
      <c r="J2227" s="15" t="s">
        <v>87</v>
      </c>
      <c r="K2227" s="15">
        <v>696735037</v>
      </c>
      <c r="L2227" s="15" t="s">
        <v>29</v>
      </c>
      <c r="M2227" s="15" t="s">
        <v>29</v>
      </c>
    </row>
    <row r="2228" spans="1:13" x14ac:dyDescent="0.25">
      <c r="A2228" s="23">
        <f t="shared" si="109"/>
        <v>208170</v>
      </c>
      <c r="B2228" s="14" t="str">
        <f t="shared" si="107"/>
        <v>Credit Cards (UMB) - Credits</v>
      </c>
      <c r="C2228" s="38">
        <v>46157</v>
      </c>
      <c r="D2228" s="34">
        <v>208170</v>
      </c>
      <c r="E2228" s="36" t="str">
        <f>IF(Table3[[#This Row],[Type Received]]=2,"CC",(IF(Table3[[#This Row],[Type Received]]=3,"BILL","ACH")))</f>
        <v>CC</v>
      </c>
      <c r="F2228" s="35">
        <v>62.41</v>
      </c>
      <c r="G2228" s="14" t="str">
        <f>VLOOKUP(D2228,Table4[],3,FALSE)</f>
        <v>1</v>
      </c>
      <c r="H2228" s="15"/>
      <c r="I2228" s="15"/>
      <c r="J2228" s="15" t="s">
        <v>87</v>
      </c>
      <c r="K2228" s="15">
        <v>696749700</v>
      </c>
      <c r="L2228" s="15" t="s">
        <v>29</v>
      </c>
      <c r="M2228" s="15" t="s">
        <v>29</v>
      </c>
    </row>
    <row r="2229" spans="1:13" x14ac:dyDescent="0.25">
      <c r="A2229" s="23">
        <f t="shared" si="109"/>
        <v>208185</v>
      </c>
      <c r="B2229" s="14" t="str">
        <f t="shared" si="107"/>
        <v>Billing - Credits (from TPA)</v>
      </c>
      <c r="C2229" s="37">
        <v>46162</v>
      </c>
      <c r="D2229" s="31">
        <v>208185</v>
      </c>
      <c r="E2229" s="33" t="str">
        <f>IF(Table3[[#This Row],[Type Received]]=2,"CC",(IF(Table3[[#This Row],[Type Received]]=3,"BILL","ACH")))</f>
        <v>BILL</v>
      </c>
      <c r="F2229" s="32">
        <v>38.659999999999997</v>
      </c>
      <c r="G2229" s="14" t="str">
        <f>VLOOKUP(D2229,Table4[],3,FALSE)</f>
        <v>2</v>
      </c>
      <c r="H2229" s="15"/>
      <c r="I2229" s="15">
        <v>712037</v>
      </c>
      <c r="J2229" s="15" t="s">
        <v>28</v>
      </c>
      <c r="K2229" s="15">
        <v>760484262</v>
      </c>
      <c r="L2229" s="15" t="s">
        <v>29</v>
      </c>
      <c r="M2229" s="15" t="s">
        <v>29</v>
      </c>
    </row>
    <row r="2230" spans="1:13" x14ac:dyDescent="0.25">
      <c r="A2230" s="23">
        <f t="shared" si="109"/>
        <v>208427</v>
      </c>
      <c r="B2230" s="14" t="str">
        <f t="shared" si="107"/>
        <v>Direct Debit (UMB Bank) - Credits</v>
      </c>
      <c r="C2230" s="38">
        <v>46169</v>
      </c>
      <c r="D2230" s="34">
        <v>208427</v>
      </c>
      <c r="E2230" s="36" t="str">
        <f>IF(Table3[[#This Row],[Type Received]]=2,"CC",(IF(Table3[[#This Row],[Type Received]]=3,"BILL","ACH")))</f>
        <v>ACH</v>
      </c>
      <c r="F2230" s="35">
        <v>20.29</v>
      </c>
      <c r="G2230" s="14" t="str">
        <f>VLOOKUP(D2230,Table4[],3,FALSE)</f>
        <v>2</v>
      </c>
      <c r="H2230" s="15">
        <v>3279</v>
      </c>
      <c r="I2230" s="15"/>
      <c r="J2230" s="15"/>
      <c r="K2230" s="15"/>
      <c r="L2230" s="15"/>
      <c r="M2230" s="15" t="s">
        <v>29</v>
      </c>
    </row>
    <row r="2231" spans="1:13" x14ac:dyDescent="0.25">
      <c r="A2231" s="23">
        <f t="shared" si="109"/>
        <v>208493</v>
      </c>
      <c r="B2231" s="14" t="str">
        <f t="shared" si="107"/>
        <v>Direct Debit (UMB Bank) - Credits</v>
      </c>
      <c r="C2231" s="37">
        <v>46157</v>
      </c>
      <c r="D2231" s="31">
        <v>208493</v>
      </c>
      <c r="E2231" s="33" t="str">
        <f>IF(Table3[[#This Row],[Type Received]]=2,"CC",(IF(Table3[[#This Row],[Type Received]]=3,"BILL","ACH")))</f>
        <v>ACH</v>
      </c>
      <c r="F2231" s="32">
        <v>49.54</v>
      </c>
      <c r="G2231" s="14" t="str">
        <f>VLOOKUP(D2231,Table4[],3,FALSE)</f>
        <v>2</v>
      </c>
      <c r="H2231" s="15"/>
      <c r="I2231" s="15"/>
      <c r="J2231" s="24" t="s">
        <v>87</v>
      </c>
      <c r="K2231" s="15">
        <v>696760236</v>
      </c>
      <c r="L2231" s="15" t="s">
        <v>29</v>
      </c>
      <c r="M2231" s="15"/>
    </row>
    <row r="2232" spans="1:13" x14ac:dyDescent="0.25">
      <c r="A2232" s="23">
        <f t="shared" si="109"/>
        <v>208527</v>
      </c>
      <c r="B2232" s="14" t="str">
        <f t="shared" si="107"/>
        <v>Credit Cards (UMB) - Credits</v>
      </c>
      <c r="C2232" s="38">
        <v>46169</v>
      </c>
      <c r="D2232" s="34">
        <v>208527</v>
      </c>
      <c r="E2232" s="36" t="str">
        <f>IF(Table3[[#This Row],[Type Received]]=2,"CC",(IF(Table3[[#This Row],[Type Received]]=3,"BILL","ACH")))</f>
        <v>CC</v>
      </c>
      <c r="F2232" s="35">
        <v>23.25</v>
      </c>
      <c r="G2232" s="14" t="str">
        <f>VLOOKUP(D2232,Table4[],3,FALSE)</f>
        <v>1</v>
      </c>
      <c r="H2232" s="15"/>
      <c r="I2232" s="15"/>
      <c r="J2232" s="15" t="s">
        <v>117</v>
      </c>
      <c r="K2232" s="15">
        <v>840865396</v>
      </c>
      <c r="L2232" s="15" t="s">
        <v>29</v>
      </c>
      <c r="M2232" s="15" t="s">
        <v>29</v>
      </c>
    </row>
    <row r="2233" spans="1:13" x14ac:dyDescent="0.25">
      <c r="A2233" s="23">
        <f t="shared" si="109"/>
        <v>208572</v>
      </c>
      <c r="B2233" s="14" t="str">
        <f t="shared" si="107"/>
        <v>Direct Debit (UMB Bank) - Credits</v>
      </c>
      <c r="C2233" s="37">
        <v>46162</v>
      </c>
      <c r="D2233" s="31">
        <v>208572</v>
      </c>
      <c r="E2233" s="33" t="str">
        <f>IF(Table3[[#This Row],[Type Received]]=2,"CC",(IF(Table3[[#This Row],[Type Received]]=3,"BILL","ACH")))</f>
        <v>ACH</v>
      </c>
      <c r="F2233" s="32">
        <v>77.64</v>
      </c>
      <c r="G2233" s="14" t="str">
        <f>VLOOKUP(D2233,Table4[],3,FALSE)</f>
        <v>2</v>
      </c>
      <c r="H2233" s="15"/>
      <c r="I2233" s="15">
        <v>714734</v>
      </c>
      <c r="J2233" s="15" t="s">
        <v>28</v>
      </c>
      <c r="K2233" s="15">
        <v>764441450</v>
      </c>
      <c r="L2233" s="15" t="s">
        <v>29</v>
      </c>
      <c r="M2233" s="15" t="s">
        <v>29</v>
      </c>
    </row>
    <row r="2234" spans="1:13" x14ac:dyDescent="0.25">
      <c r="A2234" s="23">
        <f t="shared" si="109"/>
        <v>208585</v>
      </c>
      <c r="B2234" s="14" t="str">
        <f t="shared" si="107"/>
        <v>Billing - Credits (from TPA)</v>
      </c>
      <c r="C2234" s="38">
        <v>46152</v>
      </c>
      <c r="D2234" s="34">
        <v>208585</v>
      </c>
      <c r="E2234" s="36" t="str">
        <f>IF(Table3[[#This Row],[Type Received]]=2,"CC",(IF(Table3[[#This Row],[Type Received]]=3,"BILL","ACH")))</f>
        <v>BILL</v>
      </c>
      <c r="F2234" s="35">
        <v>12.52</v>
      </c>
      <c r="G2234" s="14" t="str">
        <f>VLOOKUP(D2234,Table4[],3,FALSE)</f>
        <v>1</v>
      </c>
      <c r="H2234" s="15"/>
      <c r="I2234" s="15"/>
      <c r="J2234" s="15" t="s">
        <v>115</v>
      </c>
      <c r="K2234" s="15">
        <v>632899354</v>
      </c>
      <c r="L2234" s="15" t="s">
        <v>29</v>
      </c>
      <c r="M2234" s="15" t="s">
        <v>29</v>
      </c>
    </row>
    <row r="2235" spans="1:13" x14ac:dyDescent="0.25">
      <c r="A2235" s="23">
        <f t="shared" si="109"/>
        <v>208617</v>
      </c>
      <c r="B2235" s="14" t="str">
        <f t="shared" si="107"/>
        <v>Billing - Credits (from TPA)</v>
      </c>
      <c r="C2235" s="37">
        <v>46160</v>
      </c>
      <c r="D2235" s="31">
        <v>208617</v>
      </c>
      <c r="E2235" s="33" t="str">
        <f>IF(Table3[[#This Row],[Type Received]]=2,"CC",(IF(Table3[[#This Row],[Type Received]]=3,"BILL","ACH")))</f>
        <v>BILL</v>
      </c>
      <c r="F2235" s="32">
        <v>14.08</v>
      </c>
      <c r="G2235" s="14" t="str">
        <f>VLOOKUP(D2235,Table4[],3,FALSE)</f>
        <v>1</v>
      </c>
      <c r="H2235" s="15">
        <v>6517</v>
      </c>
      <c r="I2235" s="15"/>
      <c r="J2235" s="15"/>
      <c r="K2235" s="15"/>
      <c r="L2235" s="15"/>
      <c r="M2235" s="15" t="s">
        <v>29</v>
      </c>
    </row>
    <row r="2236" spans="1:13" x14ac:dyDescent="0.25">
      <c r="A2236" s="23">
        <f t="shared" si="109"/>
        <v>208723</v>
      </c>
      <c r="B2236" s="14" t="str">
        <f t="shared" si="107"/>
        <v>Direct Debit (UMB Bank) - Credits</v>
      </c>
      <c r="C2236" s="38">
        <v>46168</v>
      </c>
      <c r="D2236" s="34">
        <v>208723</v>
      </c>
      <c r="E2236" s="36" t="str">
        <f>IF(Table3[[#This Row],[Type Received]]=2,"CC",(IF(Table3[[#This Row],[Type Received]]=3,"BILL","ACH")))</f>
        <v>ACH</v>
      </c>
      <c r="F2236" s="35">
        <v>21.61</v>
      </c>
      <c r="G2236" s="14" t="str">
        <f>VLOOKUP(D2236,Table4[],3,FALSE)</f>
        <v>1</v>
      </c>
      <c r="H2236" s="15">
        <v>1672</v>
      </c>
      <c r="I2236" s="15"/>
      <c r="J2236" s="15"/>
      <c r="K2236" s="15"/>
      <c r="L2236" s="15"/>
      <c r="M2236" s="15" t="s">
        <v>29</v>
      </c>
    </row>
    <row r="2237" spans="1:13" x14ac:dyDescent="0.25">
      <c r="A2237" s="23">
        <f t="shared" si="109"/>
        <v>208790</v>
      </c>
      <c r="B2237" s="14" t="str">
        <f t="shared" si="107"/>
        <v>Credit Cards (UMB) - Credits</v>
      </c>
      <c r="C2237" s="37">
        <v>46146</v>
      </c>
      <c r="D2237" s="31">
        <v>208790</v>
      </c>
      <c r="E2237" s="33" t="str">
        <f>IF(Table3[[#This Row],[Type Received]]=2,"CC",(IF(Table3[[#This Row],[Type Received]]=3,"BILL","ACH")))</f>
        <v>CC</v>
      </c>
      <c r="F2237" s="32">
        <v>47.56</v>
      </c>
      <c r="G2237" s="14" t="str">
        <f>VLOOKUP(D2237,Table4[],3,FALSE)</f>
        <v>2</v>
      </c>
      <c r="H2237" s="15"/>
      <c r="I2237" s="15"/>
      <c r="J2237" s="24" t="s">
        <v>92</v>
      </c>
      <c r="K2237" s="15">
        <v>557086677</v>
      </c>
      <c r="L2237" s="15" t="s">
        <v>29</v>
      </c>
      <c r="M2237" s="15"/>
    </row>
    <row r="2238" spans="1:13" x14ac:dyDescent="0.25">
      <c r="A2238" s="23">
        <f t="shared" si="109"/>
        <v>208821</v>
      </c>
      <c r="B2238" s="14" t="str">
        <f t="shared" si="107"/>
        <v>Billing - Credits (from TPA)</v>
      </c>
      <c r="C2238" s="38">
        <v>46143</v>
      </c>
      <c r="D2238" s="34">
        <v>208821</v>
      </c>
      <c r="E2238" s="36" t="str">
        <f>IF(Table3[[#This Row],[Type Received]]=2,"CC",(IF(Table3[[#This Row],[Type Received]]=3,"BILL","ACH")))</f>
        <v>BILL</v>
      </c>
      <c r="F2238" s="35">
        <v>29.09</v>
      </c>
      <c r="G2238" s="14" t="str">
        <f>VLOOKUP(D2238,Table4[],3,FALSE)</f>
        <v>2</v>
      </c>
      <c r="H2238" s="15"/>
      <c r="I2238" s="15">
        <v>841954</v>
      </c>
      <c r="J2238" s="15" t="s">
        <v>28</v>
      </c>
      <c r="K2238" s="15">
        <v>525815095</v>
      </c>
      <c r="L2238" s="15" t="s">
        <v>29</v>
      </c>
      <c r="M2238" s="15" t="s">
        <v>29</v>
      </c>
    </row>
    <row r="2239" spans="1:13" x14ac:dyDescent="0.25">
      <c r="A2239" s="23"/>
      <c r="B2239" s="14" t="str">
        <f t="shared" si="107"/>
        <v>Billing - Credits (from TPA)</v>
      </c>
      <c r="C2239" s="37">
        <v>46169</v>
      </c>
      <c r="D2239" s="31">
        <v>208923</v>
      </c>
      <c r="E2239" s="33" t="str">
        <f>IF(Table3[[#This Row],[Type Received]]=2,"CC",(IF(Table3[[#This Row],[Type Received]]=3,"BILL","ACH")))</f>
        <v>BILL</v>
      </c>
      <c r="F2239" s="32">
        <v>59.12</v>
      </c>
      <c r="G2239" s="14" t="str">
        <f>VLOOKUP(D2239,Table4[],3,FALSE)</f>
        <v>2</v>
      </c>
      <c r="H2239" s="15">
        <v>177</v>
      </c>
      <c r="I2239" s="15"/>
      <c r="J2239" s="15"/>
      <c r="K2239" s="15"/>
      <c r="L2239" s="15"/>
      <c r="M2239" s="15" t="s">
        <v>29</v>
      </c>
    </row>
    <row r="2240" spans="1:13" x14ac:dyDescent="0.25">
      <c r="A2240" s="23"/>
      <c r="B2240" s="14" t="str">
        <f t="shared" si="107"/>
        <v>Credit Cards (UMB) - Credits</v>
      </c>
      <c r="C2240" s="38">
        <v>46147</v>
      </c>
      <c r="D2240" s="34">
        <v>208966</v>
      </c>
      <c r="E2240" s="36" t="str">
        <f>IF(Table3[[#This Row],[Type Received]]=2,"CC",(IF(Table3[[#This Row],[Type Received]]=3,"BILL","ACH")))</f>
        <v>CC</v>
      </c>
      <c r="F2240" s="35">
        <v>100</v>
      </c>
      <c r="G2240" s="14" t="str">
        <f>VLOOKUP(D2240,Table4[],3,FALSE)</f>
        <v>2</v>
      </c>
      <c r="H2240" s="15">
        <v>8021</v>
      </c>
      <c r="I2240" s="15"/>
      <c r="J2240" s="15"/>
      <c r="K2240" s="15"/>
      <c r="L2240" s="15"/>
      <c r="M2240" s="15"/>
    </row>
    <row r="2241" spans="1:13" x14ac:dyDescent="0.25">
      <c r="A2241" s="23"/>
      <c r="B2241" s="14" t="str">
        <f t="shared" si="107"/>
        <v>Credit Cards (UMB) - Credits</v>
      </c>
      <c r="C2241" s="37">
        <v>46160</v>
      </c>
      <c r="D2241" s="31">
        <v>208972</v>
      </c>
      <c r="E2241" s="33" t="str">
        <f>IF(Table3[[#This Row],[Type Received]]=2,"CC",(IF(Table3[[#This Row],[Type Received]]=3,"BILL","ACH")))</f>
        <v>CC</v>
      </c>
      <c r="F2241" s="32">
        <v>29.9</v>
      </c>
      <c r="G2241" s="14" t="str">
        <f>VLOOKUP(D2241,Table4[],3,FALSE)</f>
        <v>1</v>
      </c>
      <c r="H2241" s="15"/>
      <c r="I2241" s="15">
        <v>121547</v>
      </c>
      <c r="J2241" s="15" t="s">
        <v>28</v>
      </c>
      <c r="K2241" s="15">
        <v>736436350</v>
      </c>
      <c r="L2241" s="15" t="s">
        <v>29</v>
      </c>
      <c r="M2241" s="15"/>
    </row>
    <row r="2242" spans="1:13" x14ac:dyDescent="0.25">
      <c r="A2242" s="23"/>
      <c r="B2242" s="14" t="str">
        <f t="shared" ref="B2242:B2305" si="110">IF(AND(E2242="BILL",F2242&lt;0),"Billing &amp; Direct Debit - Refunds",(IF(AND(E2242="BILL",F2242&gt;0),"Billing - Credits (from TPA)",(IF(AND(E2242="CC",F2242&lt;0),"Credit Cards (UMB) - Refunds",(IF(AND(E2242="CC",F2242&gt;0),"Credit Cards (UMB) - Credits",(IF(AND(E2242="ACH",F2242&gt;0),"Direct Debit (UMB Bank) - Credits","Direct Debit (UMB Bank) - Returned Items")))))))))</f>
        <v>Direct Debit (UMB Bank) - Credits</v>
      </c>
      <c r="C2242" s="38">
        <v>46155</v>
      </c>
      <c r="D2242" s="34">
        <v>208978</v>
      </c>
      <c r="E2242" s="36" t="str">
        <f>IF(Table3[[#This Row],[Type Received]]=2,"CC",(IF(Table3[[#This Row],[Type Received]]=3,"BILL","ACH")))</f>
        <v>ACH</v>
      </c>
      <c r="F2242" s="35">
        <v>36.78</v>
      </c>
      <c r="G2242" s="14" t="str">
        <f>VLOOKUP(D2242,Table4[],3,FALSE)</f>
        <v>2</v>
      </c>
      <c r="H2242" s="15"/>
      <c r="I2242" s="15" t="s">
        <v>246</v>
      </c>
      <c r="J2242" s="15" t="s">
        <v>28</v>
      </c>
      <c r="K2242" s="15">
        <v>669506151</v>
      </c>
      <c r="L2242" s="15" t="s">
        <v>29</v>
      </c>
      <c r="M2242" s="15" t="s">
        <v>29</v>
      </c>
    </row>
    <row r="2243" spans="1:13" x14ac:dyDescent="0.25">
      <c r="A2243" s="23"/>
      <c r="B2243" s="14" t="str">
        <f t="shared" si="110"/>
        <v>Direct Debit (UMB Bank) - Credits</v>
      </c>
      <c r="C2243" s="37">
        <v>46146</v>
      </c>
      <c r="D2243" s="31">
        <v>208984</v>
      </c>
      <c r="E2243" s="33" t="str">
        <f>IF(Table3[[#This Row],[Type Received]]=2,"CC",(IF(Table3[[#This Row],[Type Received]]=3,"BILL","ACH")))</f>
        <v>ACH</v>
      </c>
      <c r="F2243" s="32">
        <v>172.96</v>
      </c>
      <c r="G2243" s="14" t="str">
        <f>VLOOKUP(D2243,Table4[],3,FALSE)</f>
        <v>2</v>
      </c>
      <c r="H2243" s="15"/>
      <c r="I2243" s="15"/>
      <c r="J2243" s="15" t="s">
        <v>92</v>
      </c>
      <c r="K2243" s="15">
        <v>557079945</v>
      </c>
      <c r="L2243" s="15" t="s">
        <v>29</v>
      </c>
      <c r="M2243" s="15"/>
    </row>
    <row r="2244" spans="1:13" x14ac:dyDescent="0.25">
      <c r="A2244" s="23"/>
      <c r="B2244" s="14" t="str">
        <f t="shared" si="110"/>
        <v>Direct Debit (UMB Bank) - Credits</v>
      </c>
      <c r="C2244" s="38">
        <v>46157</v>
      </c>
      <c r="D2244" s="34">
        <v>209271</v>
      </c>
      <c r="E2244" s="36" t="str">
        <f>IF(Table3[[#This Row],[Type Received]]=2,"CC",(IF(Table3[[#This Row],[Type Received]]=3,"BILL","ACH")))</f>
        <v>ACH</v>
      </c>
      <c r="F2244" s="35">
        <v>22.37</v>
      </c>
      <c r="G2244" s="14" t="str">
        <f>VLOOKUP(D2244,Table4[],3,FALSE)</f>
        <v>1</v>
      </c>
      <c r="H2244" s="15"/>
      <c r="I2244" s="15"/>
      <c r="J2244" s="24" t="s">
        <v>87</v>
      </c>
      <c r="K2244" s="15">
        <v>696623476</v>
      </c>
      <c r="L2244" s="15" t="s">
        <v>29</v>
      </c>
      <c r="M2244" s="15" t="s">
        <v>29</v>
      </c>
    </row>
    <row r="2245" spans="1:13" x14ac:dyDescent="0.25">
      <c r="A2245" s="23"/>
      <c r="B2245" s="14" t="str">
        <f t="shared" si="110"/>
        <v>Credit Cards (UMB) - Credits</v>
      </c>
      <c r="C2245" s="37">
        <v>46155</v>
      </c>
      <c r="D2245" s="31">
        <v>209333</v>
      </c>
      <c r="E2245" s="33" t="str">
        <f>IF(Table3[[#This Row],[Type Received]]=2,"CC",(IF(Table3[[#This Row],[Type Received]]=3,"BILL","ACH")))</f>
        <v>CC</v>
      </c>
      <c r="F2245" s="32">
        <v>51.79</v>
      </c>
      <c r="G2245" s="14" t="str">
        <f>VLOOKUP(D2245,Table4[],3,FALSE)</f>
        <v>1</v>
      </c>
      <c r="H2245" s="15"/>
      <c r="I2245" s="15"/>
      <c r="J2245" s="15" t="s">
        <v>90</v>
      </c>
      <c r="K2245" s="15">
        <v>673390245</v>
      </c>
      <c r="L2245" s="15" t="s">
        <v>29</v>
      </c>
      <c r="M2245" s="15" t="s">
        <v>29</v>
      </c>
    </row>
    <row r="2246" spans="1:13" x14ac:dyDescent="0.25">
      <c r="A2246" s="23"/>
      <c r="B2246" s="14" t="str">
        <f t="shared" si="110"/>
        <v>Direct Debit (UMB Bank) - Credits</v>
      </c>
      <c r="C2246" s="38">
        <v>46143</v>
      </c>
      <c r="D2246" s="34">
        <v>209364</v>
      </c>
      <c r="E2246" s="36" t="str">
        <f>IF(Table3[[#This Row],[Type Received]]=2,"CC",(IF(Table3[[#This Row],[Type Received]]=3,"BILL","ACH")))</f>
        <v>ACH</v>
      </c>
      <c r="F2246" s="35">
        <v>38.32</v>
      </c>
      <c r="G2246" s="14" t="str">
        <f>VLOOKUP(D2246,Table4[],3,FALSE)</f>
        <v>2</v>
      </c>
      <c r="H2246" s="15"/>
      <c r="I2246" s="15">
        <v>524344</v>
      </c>
      <c r="J2246" s="15" t="s">
        <v>28</v>
      </c>
      <c r="K2246" s="15">
        <v>522185644</v>
      </c>
      <c r="L2246" s="15" t="s">
        <v>29</v>
      </c>
      <c r="M2246" s="15" t="s">
        <v>29</v>
      </c>
    </row>
    <row r="2247" spans="1:13" x14ac:dyDescent="0.25">
      <c r="A2247" s="23"/>
      <c r="B2247" s="14" t="str">
        <f t="shared" si="110"/>
        <v>Direct Debit (UMB Bank) - Credits</v>
      </c>
      <c r="C2247" s="37">
        <v>46146</v>
      </c>
      <c r="D2247" s="31">
        <v>209372</v>
      </c>
      <c r="E2247" s="33" t="str">
        <f>IF(Table3[[#This Row],[Type Received]]=2,"CC",(IF(Table3[[#This Row],[Type Received]]=3,"BILL","ACH")))</f>
        <v>ACH</v>
      </c>
      <c r="F2247" s="32">
        <v>52.84</v>
      </c>
      <c r="G2247" s="14" t="str">
        <f>VLOOKUP(D2247,Table4[],3,FALSE)</f>
        <v>2</v>
      </c>
      <c r="H2247" s="15"/>
      <c r="I2247" s="15"/>
      <c r="J2247" s="15" t="s">
        <v>92</v>
      </c>
      <c r="K2247" s="15">
        <v>557101294</v>
      </c>
      <c r="L2247" s="15" t="s">
        <v>29</v>
      </c>
      <c r="M2247" s="15" t="s">
        <v>29</v>
      </c>
    </row>
    <row r="2248" spans="1:13" x14ac:dyDescent="0.25">
      <c r="A2248" s="23"/>
      <c r="B2248" s="14" t="str">
        <f t="shared" si="110"/>
        <v>Credit Cards (UMB) - Credits</v>
      </c>
      <c r="C2248" s="38">
        <v>46146</v>
      </c>
      <c r="D2248" s="34">
        <v>209008</v>
      </c>
      <c r="E2248" s="36" t="str">
        <f>IF(Table3[[#This Row],[Type Received]]=2,"CC",(IF(Table3[[#This Row],[Type Received]]=3,"BILL","ACH")))</f>
        <v>CC</v>
      </c>
      <c r="F2248" s="35">
        <v>16.43</v>
      </c>
      <c r="G2248" s="14" t="str">
        <f>VLOOKUP(D2248,Table4[],3,FALSE)</f>
        <v>2</v>
      </c>
      <c r="H2248" s="15"/>
      <c r="I2248" s="15"/>
      <c r="J2248" s="15" t="s">
        <v>92</v>
      </c>
      <c r="K2248" s="15">
        <v>557082906</v>
      </c>
      <c r="L2248" s="15" t="s">
        <v>29</v>
      </c>
      <c r="M2248" s="15" t="s">
        <v>29</v>
      </c>
    </row>
    <row r="2249" spans="1:13" x14ac:dyDescent="0.25">
      <c r="A2249" s="23">
        <f t="shared" ref="A2249:A2255" si="111">D2249</f>
        <v>209052</v>
      </c>
      <c r="B2249" s="14" t="str">
        <f t="shared" si="110"/>
        <v>Credit Cards (UMB) - Credits</v>
      </c>
      <c r="C2249" s="37">
        <v>46155</v>
      </c>
      <c r="D2249" s="31">
        <v>209052</v>
      </c>
      <c r="E2249" s="33" t="str">
        <f>IF(Table3[[#This Row],[Type Received]]=2,"CC",(IF(Table3[[#This Row],[Type Received]]=3,"BILL","ACH")))</f>
        <v>CC</v>
      </c>
      <c r="F2249" s="32">
        <v>19.63</v>
      </c>
      <c r="G2249" s="14" t="str">
        <f>VLOOKUP(D2249,Table4[],3,FALSE)</f>
        <v>2</v>
      </c>
      <c r="H2249" s="15"/>
      <c r="I2249" s="15">
        <v>65258</v>
      </c>
      <c r="J2249" s="15" t="s">
        <v>28</v>
      </c>
      <c r="K2249" s="15">
        <v>673775378</v>
      </c>
      <c r="L2249" s="15" t="s">
        <v>29</v>
      </c>
      <c r="M2249" s="15" t="s">
        <v>29</v>
      </c>
    </row>
    <row r="2250" spans="1:13" x14ac:dyDescent="0.25">
      <c r="A2250" s="23">
        <f t="shared" si="111"/>
        <v>209052</v>
      </c>
      <c r="B2250" s="14" t="str">
        <f t="shared" si="110"/>
        <v>Credit Cards (UMB) - Credits</v>
      </c>
      <c r="C2250" s="38">
        <v>46155</v>
      </c>
      <c r="D2250" s="34">
        <v>209052</v>
      </c>
      <c r="E2250" s="36" t="str">
        <f>IF(Table3[[#This Row],[Type Received]]=2,"CC",(IF(Table3[[#This Row],[Type Received]]=3,"BILL","ACH")))</f>
        <v>CC</v>
      </c>
      <c r="F2250" s="35">
        <v>56.89</v>
      </c>
      <c r="G2250" s="14" t="str">
        <f>VLOOKUP(D2250,Table4[],3,FALSE)</f>
        <v>2</v>
      </c>
      <c r="H2250" s="15"/>
      <c r="I2250" s="15">
        <v>52831</v>
      </c>
      <c r="J2250" s="15" t="s">
        <v>28</v>
      </c>
      <c r="K2250" s="15">
        <v>673751097</v>
      </c>
      <c r="L2250" s="15" t="s">
        <v>29</v>
      </c>
      <c r="M2250" s="15" t="s">
        <v>29</v>
      </c>
    </row>
    <row r="2251" spans="1:13" x14ac:dyDescent="0.25">
      <c r="A2251" s="23">
        <f t="shared" si="111"/>
        <v>209056</v>
      </c>
      <c r="B2251" s="14" t="str">
        <f t="shared" si="110"/>
        <v>Direct Debit (UMB Bank) - Credits</v>
      </c>
      <c r="C2251" s="37">
        <v>46150</v>
      </c>
      <c r="D2251" s="31">
        <v>209056</v>
      </c>
      <c r="E2251" s="33" t="str">
        <f>IF(Table3[[#This Row],[Type Received]]=2,"CC",(IF(Table3[[#This Row],[Type Received]]=3,"BILL","ACH")))</f>
        <v>ACH</v>
      </c>
      <c r="F2251" s="32">
        <v>27.86</v>
      </c>
      <c r="G2251" s="14" t="str">
        <f>VLOOKUP(D2251,Table4[],3,FALSE)</f>
        <v>1</v>
      </c>
      <c r="H2251" s="15"/>
      <c r="I2251" s="15">
        <v>85839</v>
      </c>
      <c r="J2251" s="15" t="s">
        <v>28</v>
      </c>
      <c r="K2251" s="15">
        <v>608145745</v>
      </c>
      <c r="L2251" s="15" t="s">
        <v>29</v>
      </c>
      <c r="M2251" s="15" t="s">
        <v>29</v>
      </c>
    </row>
    <row r="2252" spans="1:13" x14ac:dyDescent="0.25">
      <c r="A2252" s="23">
        <f t="shared" si="111"/>
        <v>209087</v>
      </c>
      <c r="B2252" s="14" t="str">
        <f t="shared" si="110"/>
        <v>Billing - Credits (from TPA)</v>
      </c>
      <c r="C2252" s="38">
        <v>46157</v>
      </c>
      <c r="D2252" s="34">
        <v>209087</v>
      </c>
      <c r="E2252" s="36" t="str">
        <f>IF(Table3[[#This Row],[Type Received]]=2,"CC",(IF(Table3[[#This Row],[Type Received]]=3,"BILL","ACH")))</f>
        <v>BILL</v>
      </c>
      <c r="F2252" s="35">
        <v>32.049999999999997</v>
      </c>
      <c r="G2252" s="14" t="str">
        <f>VLOOKUP(D2252,Table4[],3,FALSE)</f>
        <v>1</v>
      </c>
      <c r="H2252" s="15"/>
      <c r="I2252" s="15"/>
      <c r="J2252" s="24" t="s">
        <v>87</v>
      </c>
      <c r="K2252" s="15">
        <v>696761205</v>
      </c>
      <c r="L2252" s="15" t="s">
        <v>29</v>
      </c>
      <c r="M2252" s="15" t="s">
        <v>29</v>
      </c>
    </row>
    <row r="2253" spans="1:13" x14ac:dyDescent="0.25">
      <c r="A2253" s="23">
        <f t="shared" si="111"/>
        <v>209112</v>
      </c>
      <c r="B2253" s="14" t="str">
        <f t="shared" si="110"/>
        <v>Direct Debit (UMB Bank) - Credits</v>
      </c>
      <c r="C2253" s="37">
        <v>46147</v>
      </c>
      <c r="D2253" s="31">
        <v>209112</v>
      </c>
      <c r="E2253" s="33" t="str">
        <f>IF(Table3[[#This Row],[Type Received]]=2,"CC",(IF(Table3[[#This Row],[Type Received]]=3,"BILL","ACH")))</f>
        <v>ACH</v>
      </c>
      <c r="F2253" s="32">
        <v>25.79</v>
      </c>
      <c r="G2253" s="14" t="str">
        <f>VLOOKUP(D2253,Table4[],3,FALSE)</f>
        <v>1</v>
      </c>
      <c r="H2253" s="15">
        <v>55156930368</v>
      </c>
      <c r="I2253" s="15"/>
      <c r="J2253" s="15"/>
      <c r="K2253" s="15"/>
      <c r="L2253" s="15"/>
      <c r="M2253" s="15" t="s">
        <v>29</v>
      </c>
    </row>
    <row r="2254" spans="1:13" x14ac:dyDescent="0.25">
      <c r="A2254" s="23">
        <f t="shared" si="111"/>
        <v>209604</v>
      </c>
      <c r="B2254" s="14" t="str">
        <f t="shared" si="110"/>
        <v>Direct Debit (UMB Bank) - Credits</v>
      </c>
      <c r="C2254" s="38">
        <v>46157</v>
      </c>
      <c r="D2254" s="34">
        <v>209604</v>
      </c>
      <c r="E2254" s="36" t="str">
        <f>IF(Table3[[#This Row],[Type Received]]=2,"CC",(IF(Table3[[#This Row],[Type Received]]=3,"BILL","ACH")))</f>
        <v>ACH</v>
      </c>
      <c r="F2254" s="35">
        <v>12.24</v>
      </c>
      <c r="G2254" s="14" t="str">
        <f>VLOOKUP(D2254,Table4[],3,FALSE)</f>
        <v>1</v>
      </c>
      <c r="H2254" s="15"/>
      <c r="I2254" s="15"/>
      <c r="J2254" s="15" t="s">
        <v>87</v>
      </c>
      <c r="K2254" s="15">
        <v>696749751</v>
      </c>
      <c r="L2254" s="15" t="s">
        <v>29</v>
      </c>
      <c r="M2254" s="15" t="s">
        <v>29</v>
      </c>
    </row>
    <row r="2255" spans="1:13" x14ac:dyDescent="0.25">
      <c r="A2255" s="23">
        <f t="shared" si="111"/>
        <v>209706</v>
      </c>
      <c r="B2255" s="14" t="str">
        <f t="shared" si="110"/>
        <v>Direct Debit (UMB Bank) - Credits</v>
      </c>
      <c r="C2255" s="37">
        <v>46157</v>
      </c>
      <c r="D2255" s="31">
        <v>209706</v>
      </c>
      <c r="E2255" s="33" t="str">
        <f>IF(Table3[[#This Row],[Type Received]]=2,"CC",(IF(Table3[[#This Row],[Type Received]]=3,"BILL","ACH")))</f>
        <v>ACH</v>
      </c>
      <c r="F2255" s="32">
        <v>25.67</v>
      </c>
      <c r="G2255" s="14" t="str">
        <f>VLOOKUP(D2255,Table4[],3,FALSE)</f>
        <v>1</v>
      </c>
      <c r="H2255" s="15"/>
      <c r="I2255" s="15"/>
      <c r="J2255" s="15" t="s">
        <v>87</v>
      </c>
      <c r="K2255" s="15">
        <v>696761223</v>
      </c>
      <c r="L2255" s="15" t="s">
        <v>29</v>
      </c>
      <c r="M2255" s="15" t="s">
        <v>29</v>
      </c>
    </row>
    <row r="2256" spans="1:13" x14ac:dyDescent="0.25">
      <c r="A2256" s="23"/>
      <c r="B2256" s="14" t="str">
        <f t="shared" si="110"/>
        <v>Direct Debit (UMB Bank) - Credits</v>
      </c>
      <c r="C2256" s="38">
        <v>46146</v>
      </c>
      <c r="D2256" s="34">
        <v>209806</v>
      </c>
      <c r="E2256" s="36" t="str">
        <f>IF(Table3[[#This Row],[Type Received]]=2,"CC",(IF(Table3[[#This Row],[Type Received]]=3,"BILL","ACH")))</f>
        <v>ACH</v>
      </c>
      <c r="F2256" s="35">
        <v>30.29</v>
      </c>
      <c r="G2256" s="14" t="str">
        <f>VLOOKUP(D2256,Table4[],3,FALSE)</f>
        <v>1</v>
      </c>
      <c r="H2256" s="15"/>
      <c r="I2256" s="15"/>
      <c r="J2256" s="24" t="s">
        <v>92</v>
      </c>
      <c r="K2256" s="15">
        <v>557102306</v>
      </c>
      <c r="L2256" s="15" t="s">
        <v>29</v>
      </c>
      <c r="M2256" s="15" t="s">
        <v>29</v>
      </c>
    </row>
    <row r="2257" spans="1:13" x14ac:dyDescent="0.25">
      <c r="A2257" s="23"/>
      <c r="B2257" s="14" t="str">
        <f t="shared" si="110"/>
        <v>Credit Cards (UMB) - Credits</v>
      </c>
      <c r="C2257" s="37">
        <v>46157</v>
      </c>
      <c r="D2257" s="31">
        <v>209870</v>
      </c>
      <c r="E2257" s="33" t="str">
        <f>IF(Table3[[#This Row],[Type Received]]=2,"CC",(IF(Table3[[#This Row],[Type Received]]=3,"BILL","ACH")))</f>
        <v>CC</v>
      </c>
      <c r="F2257" s="32">
        <v>21.27</v>
      </c>
      <c r="G2257" s="14" t="str">
        <f>VLOOKUP(D2257,Table4[],3,FALSE)</f>
        <v>1</v>
      </c>
      <c r="H2257" s="15"/>
      <c r="I2257" s="15"/>
      <c r="J2257" s="15" t="s">
        <v>87</v>
      </c>
      <c r="K2257" s="15">
        <v>696756418</v>
      </c>
      <c r="L2257" s="15" t="s">
        <v>29</v>
      </c>
      <c r="M2257" s="15" t="s">
        <v>29</v>
      </c>
    </row>
    <row r="2258" spans="1:13" x14ac:dyDescent="0.25">
      <c r="A2258" s="23"/>
      <c r="B2258" s="14" t="str">
        <f t="shared" si="110"/>
        <v>Credit Cards (UMB) - Credits</v>
      </c>
      <c r="C2258" s="38">
        <v>46143</v>
      </c>
      <c r="D2258" s="34">
        <v>209951</v>
      </c>
      <c r="E2258" s="36" t="str">
        <f>IF(Table3[[#This Row],[Type Received]]=2,"CC",(IF(Table3[[#This Row],[Type Received]]=3,"BILL","ACH")))</f>
        <v>CC</v>
      </c>
      <c r="F2258" s="35">
        <v>129.12</v>
      </c>
      <c r="G2258" s="14" t="str">
        <f>VLOOKUP(D2258,Table4[],3,FALSE)</f>
        <v>2</v>
      </c>
      <c r="H2258" s="15"/>
      <c r="I2258" s="15">
        <v>612168</v>
      </c>
      <c r="J2258" s="15" t="s">
        <v>28</v>
      </c>
      <c r="K2258" s="15">
        <v>521760499</v>
      </c>
      <c r="L2258" s="15" t="s">
        <v>29</v>
      </c>
      <c r="M2258" s="15"/>
    </row>
    <row r="2259" spans="1:13" x14ac:dyDescent="0.25">
      <c r="A2259" s="23"/>
      <c r="B2259" s="14" t="str">
        <f t="shared" si="110"/>
        <v>Direct Debit (UMB Bank) - Credits</v>
      </c>
      <c r="C2259" s="37">
        <v>46154</v>
      </c>
      <c r="D2259" s="31">
        <v>209990</v>
      </c>
      <c r="E2259" s="33" t="str">
        <f>IF(Table3[[#This Row],[Type Received]]=2,"CC",(IF(Table3[[#This Row],[Type Received]]=3,"BILL","ACH")))</f>
        <v>ACH</v>
      </c>
      <c r="F2259" s="32">
        <v>132.44999999999999</v>
      </c>
      <c r="G2259" s="14" t="str">
        <f>VLOOKUP(D2259,Table4[],3,FALSE)</f>
        <v>1</v>
      </c>
      <c r="H2259" s="15"/>
      <c r="I2259" s="15">
        <v>201325</v>
      </c>
      <c r="J2259" s="15" t="s">
        <v>28</v>
      </c>
      <c r="K2259" s="15">
        <v>661116471</v>
      </c>
      <c r="L2259" s="15" t="s">
        <v>29</v>
      </c>
      <c r="M2259" s="15" t="s">
        <v>29</v>
      </c>
    </row>
    <row r="2260" spans="1:13" x14ac:dyDescent="0.25">
      <c r="A2260" s="23">
        <f>D2260</f>
        <v>209996</v>
      </c>
      <c r="B2260" s="14" t="str">
        <f t="shared" si="110"/>
        <v>Direct Debit (UMB Bank) - Credits</v>
      </c>
      <c r="C2260" s="38">
        <v>46146</v>
      </c>
      <c r="D2260" s="34">
        <v>209996</v>
      </c>
      <c r="E2260" s="36" t="str">
        <f>IF(Table3[[#This Row],[Type Received]]=2,"CC",(IF(Table3[[#This Row],[Type Received]]=3,"BILL","ACH")))</f>
        <v>ACH</v>
      </c>
      <c r="F2260" s="35">
        <v>21.71</v>
      </c>
      <c r="G2260" s="14" t="str">
        <f>VLOOKUP(D2260,Table4[],3,FALSE)</f>
        <v>1</v>
      </c>
      <c r="H2260" s="15"/>
      <c r="I2260" s="15"/>
      <c r="J2260" s="15" t="s">
        <v>92</v>
      </c>
      <c r="K2260" s="15">
        <v>557081919</v>
      </c>
      <c r="L2260" s="15" t="s">
        <v>29</v>
      </c>
      <c r="M2260" s="15" t="s">
        <v>29</v>
      </c>
    </row>
    <row r="2261" spans="1:13" x14ac:dyDescent="0.25">
      <c r="A2261" s="23">
        <f>D2261</f>
        <v>210012</v>
      </c>
      <c r="B2261" s="14" t="str">
        <f t="shared" si="110"/>
        <v>Direct Debit (UMB Bank) - Credits</v>
      </c>
      <c r="C2261" s="37">
        <v>46169</v>
      </c>
      <c r="D2261" s="31">
        <v>210012</v>
      </c>
      <c r="E2261" s="33" t="str">
        <f>IF(Table3[[#This Row],[Type Received]]=2,"CC",(IF(Table3[[#This Row],[Type Received]]=3,"BILL","ACH")))</f>
        <v>ACH</v>
      </c>
      <c r="F2261" s="32">
        <v>54.16</v>
      </c>
      <c r="G2261" s="14" t="str">
        <f>VLOOKUP(D2261,Table4[],3,FALSE)</f>
        <v>2</v>
      </c>
      <c r="H2261" s="15"/>
      <c r="I2261" s="15"/>
      <c r="J2261" s="24" t="s">
        <v>117</v>
      </c>
      <c r="K2261" s="15">
        <v>840856682</v>
      </c>
      <c r="L2261" s="15" t="s">
        <v>29</v>
      </c>
      <c r="M2261" s="15" t="s">
        <v>29</v>
      </c>
    </row>
    <row r="2262" spans="1:13" x14ac:dyDescent="0.25">
      <c r="A2262" s="23">
        <f>D2262</f>
        <v>210057</v>
      </c>
      <c r="B2262" s="14" t="str">
        <f t="shared" si="110"/>
        <v>Direct Debit (UMB Bank) - Credits</v>
      </c>
      <c r="C2262" s="38">
        <v>46146</v>
      </c>
      <c r="D2262" s="34">
        <v>210057</v>
      </c>
      <c r="E2262" s="36" t="str">
        <f>IF(Table3[[#This Row],[Type Received]]=2,"CC",(IF(Table3[[#This Row],[Type Received]]=3,"BILL","ACH")))</f>
        <v>ACH</v>
      </c>
      <c r="F2262" s="35">
        <v>36.67</v>
      </c>
      <c r="G2262" s="14" t="str">
        <f>VLOOKUP(D2262,Table4[],3,FALSE)</f>
        <v>2</v>
      </c>
      <c r="H2262" s="15"/>
      <c r="I2262" s="15"/>
      <c r="J2262" s="15" t="s">
        <v>92</v>
      </c>
      <c r="K2262" s="15">
        <v>557092738</v>
      </c>
      <c r="L2262" s="15" t="s">
        <v>29</v>
      </c>
      <c r="M2262" s="15" t="s">
        <v>29</v>
      </c>
    </row>
    <row r="2263" spans="1:13" x14ac:dyDescent="0.25">
      <c r="A2263" s="23">
        <f>D2263</f>
        <v>210095</v>
      </c>
      <c r="B2263" s="14" t="str">
        <f t="shared" si="110"/>
        <v>Direct Debit (UMB Bank) - Credits</v>
      </c>
      <c r="C2263" s="37">
        <v>46146</v>
      </c>
      <c r="D2263" s="31">
        <v>210095</v>
      </c>
      <c r="E2263" s="33" t="str">
        <f>IF(Table3[[#This Row],[Type Received]]=2,"CC",(IF(Table3[[#This Row],[Type Received]]=3,"BILL","ACH")))</f>
        <v>ACH</v>
      </c>
      <c r="F2263" s="32">
        <v>37.549999999999997</v>
      </c>
      <c r="G2263" s="14" t="str">
        <f>VLOOKUP(D2263,Table4[],3,FALSE)</f>
        <v>1</v>
      </c>
      <c r="H2263" s="15"/>
      <c r="I2263" s="15"/>
      <c r="J2263" s="15" t="s">
        <v>92</v>
      </c>
      <c r="K2263" s="15">
        <v>557096833</v>
      </c>
      <c r="L2263" s="15" t="s">
        <v>29</v>
      </c>
      <c r="M2263" s="15" t="s">
        <v>29</v>
      </c>
    </row>
    <row r="2264" spans="1:13" x14ac:dyDescent="0.25">
      <c r="A2264" s="23">
        <f>D2264</f>
        <v>210097</v>
      </c>
      <c r="B2264" s="14" t="str">
        <f t="shared" si="110"/>
        <v>Credit Cards (UMB) - Credits</v>
      </c>
      <c r="C2264" s="38">
        <v>46169</v>
      </c>
      <c r="D2264" s="34">
        <v>210097</v>
      </c>
      <c r="E2264" s="36" t="str">
        <f>IF(Table3[[#This Row],[Type Received]]=2,"CC",(IF(Table3[[#This Row],[Type Received]]=3,"BILL","ACH")))</f>
        <v>CC</v>
      </c>
      <c r="F2264" s="35">
        <v>41.95</v>
      </c>
      <c r="G2264" s="14" t="str">
        <f>VLOOKUP(D2264,Table4[],3,FALSE)</f>
        <v>2</v>
      </c>
      <c r="H2264" s="15"/>
      <c r="I2264" s="15"/>
      <c r="J2264" s="15" t="s">
        <v>117</v>
      </c>
      <c r="K2264" s="15">
        <v>840870315</v>
      </c>
      <c r="L2264" s="15" t="s">
        <v>29</v>
      </c>
      <c r="M2264" s="15" t="s">
        <v>29</v>
      </c>
    </row>
    <row r="2265" spans="1:13" x14ac:dyDescent="0.25">
      <c r="A2265" s="23"/>
      <c r="B2265" s="14" t="str">
        <f t="shared" si="110"/>
        <v>Billing - Credits (from TPA)</v>
      </c>
      <c r="C2265" s="37">
        <v>46162</v>
      </c>
      <c r="D2265" s="31">
        <v>210210</v>
      </c>
      <c r="E2265" s="33" t="str">
        <f>IF(Table3[[#This Row],[Type Received]]=2,"CC",(IF(Table3[[#This Row],[Type Received]]=3,"BILL","ACH")))</f>
        <v>BILL</v>
      </c>
      <c r="F2265" s="32">
        <v>64.62</v>
      </c>
      <c r="G2265" s="14" t="str">
        <f>VLOOKUP(D2265,Table4[],3,FALSE)</f>
        <v>2</v>
      </c>
      <c r="H2265" s="15"/>
      <c r="I2265" s="15">
        <v>53246</v>
      </c>
      <c r="J2265" s="15">
        <v>747121142</v>
      </c>
      <c r="K2265" s="15">
        <v>355208768</v>
      </c>
      <c r="L2265" s="15"/>
      <c r="M2265" s="15"/>
    </row>
    <row r="2266" spans="1:13" x14ac:dyDescent="0.25">
      <c r="A2266" s="23">
        <f>D2266</f>
        <v>210229</v>
      </c>
      <c r="B2266" s="14" t="str">
        <f t="shared" si="110"/>
        <v>Billing - Credits (from TPA)</v>
      </c>
      <c r="C2266" s="38">
        <v>46168</v>
      </c>
      <c r="D2266" s="34">
        <v>210229</v>
      </c>
      <c r="E2266" s="36" t="str">
        <f>IF(Table3[[#This Row],[Type Received]]=2,"CC",(IF(Table3[[#This Row],[Type Received]]=3,"BILL","ACH")))</f>
        <v>BILL</v>
      </c>
      <c r="F2266" s="35">
        <v>106.46</v>
      </c>
      <c r="G2266" s="14" t="str">
        <f>VLOOKUP(D2266,Table4[],3,FALSE)</f>
        <v>2</v>
      </c>
      <c r="H2266" s="15">
        <v>1958</v>
      </c>
      <c r="I2266" s="15"/>
      <c r="J2266" s="15"/>
      <c r="K2266" s="15"/>
      <c r="L2266" s="15"/>
      <c r="M2266" s="15"/>
    </row>
    <row r="2267" spans="1:13" x14ac:dyDescent="0.25">
      <c r="A2267" s="23">
        <f>D2267</f>
        <v>210236</v>
      </c>
      <c r="B2267" s="14" t="str">
        <f t="shared" si="110"/>
        <v>Direct Debit (UMB Bank) - Credits</v>
      </c>
      <c r="C2267" s="37">
        <v>46161</v>
      </c>
      <c r="D2267" s="31">
        <v>210236</v>
      </c>
      <c r="E2267" s="33" t="str">
        <f>IF(Table3[[#This Row],[Type Received]]=2,"CC",(IF(Table3[[#This Row],[Type Received]]=3,"BILL","ACH")))</f>
        <v>ACH</v>
      </c>
      <c r="F2267" s="32">
        <v>121.82</v>
      </c>
      <c r="G2267" s="14" t="str">
        <f>VLOOKUP(D2267,Table4[],3,FALSE)</f>
        <v>2</v>
      </c>
      <c r="H2267" s="15">
        <v>77686630</v>
      </c>
      <c r="I2267" s="15"/>
      <c r="J2267" s="24"/>
      <c r="K2267" s="15"/>
      <c r="L2267" s="15"/>
      <c r="M2267" s="15" t="s">
        <v>29</v>
      </c>
    </row>
    <row r="2268" spans="1:13" x14ac:dyDescent="0.25">
      <c r="A2268" s="23">
        <f>D2268</f>
        <v>210258</v>
      </c>
      <c r="B2268" s="14" t="str">
        <f t="shared" si="110"/>
        <v>Direct Debit (UMB Bank) - Credits</v>
      </c>
      <c r="C2268" s="38">
        <v>46167</v>
      </c>
      <c r="D2268" s="34">
        <v>210258</v>
      </c>
      <c r="E2268" s="36" t="str">
        <f>IF(Table3[[#This Row],[Type Received]]=2,"CC",(IF(Table3[[#This Row],[Type Received]]=3,"BILL","ACH")))</f>
        <v>ACH</v>
      </c>
      <c r="F2268" s="35">
        <v>12.38</v>
      </c>
      <c r="G2268" s="14" t="str">
        <f>VLOOKUP(D2268,Table4[],3,FALSE)</f>
        <v>1</v>
      </c>
      <c r="H2268" s="15"/>
      <c r="I2268" s="15"/>
      <c r="J2268" s="15" t="s">
        <v>85</v>
      </c>
      <c r="K2268" s="15">
        <v>818363658</v>
      </c>
      <c r="L2268" s="15" t="s">
        <v>29</v>
      </c>
      <c r="M2268" s="15" t="s">
        <v>29</v>
      </c>
    </row>
    <row r="2269" spans="1:13" x14ac:dyDescent="0.25">
      <c r="A2269" s="23">
        <f>D2269</f>
        <v>210281</v>
      </c>
      <c r="B2269" s="14" t="str">
        <f t="shared" si="110"/>
        <v>Direct Debit (UMB Bank) - Credits</v>
      </c>
      <c r="C2269" s="37">
        <v>46146</v>
      </c>
      <c r="D2269" s="31">
        <v>210281</v>
      </c>
      <c r="E2269" s="33" t="str">
        <f>IF(Table3[[#This Row],[Type Received]]=2,"CC",(IF(Table3[[#This Row],[Type Received]]=3,"BILL","ACH")))</f>
        <v>ACH</v>
      </c>
      <c r="F2269" s="32">
        <v>45.25</v>
      </c>
      <c r="G2269" s="14" t="str">
        <f>VLOOKUP(D2269,Table4[],3,FALSE)</f>
        <v>2</v>
      </c>
      <c r="H2269" s="15"/>
      <c r="I2269" s="15"/>
      <c r="J2269" s="15" t="s">
        <v>92</v>
      </c>
      <c r="K2269" s="15">
        <v>557102394</v>
      </c>
      <c r="L2269" s="15" t="s">
        <v>29</v>
      </c>
      <c r="M2269" s="15" t="s">
        <v>29</v>
      </c>
    </row>
    <row r="2270" spans="1:13" x14ac:dyDescent="0.25">
      <c r="A2270" s="23"/>
      <c r="B2270" s="14" t="str">
        <f t="shared" si="110"/>
        <v>Direct Debit (UMB Bank) - Credits</v>
      </c>
      <c r="C2270" s="38">
        <v>46157</v>
      </c>
      <c r="D2270" s="34">
        <v>210283</v>
      </c>
      <c r="E2270" s="36" t="str">
        <f>IF(Table3[[#This Row],[Type Received]]=2,"CC",(IF(Table3[[#This Row],[Type Received]]=3,"BILL","ACH")))</f>
        <v>ACH</v>
      </c>
      <c r="F2270" s="35">
        <v>36.67</v>
      </c>
      <c r="G2270" s="14" t="str">
        <f>VLOOKUP(D2270,Table4[],3,FALSE)</f>
        <v>2</v>
      </c>
      <c r="H2270" s="15"/>
      <c r="I2270" s="15"/>
      <c r="J2270" s="24" t="s">
        <v>87</v>
      </c>
      <c r="K2270" s="15">
        <v>696737037</v>
      </c>
      <c r="L2270" s="15" t="s">
        <v>29</v>
      </c>
      <c r="M2270" s="15" t="s">
        <v>29</v>
      </c>
    </row>
    <row r="2271" spans="1:13" x14ac:dyDescent="0.25">
      <c r="A2271" s="23">
        <f>D2271</f>
        <v>210475</v>
      </c>
      <c r="B2271" s="14" t="str">
        <f t="shared" si="110"/>
        <v>Direct Debit (UMB Bank) - Credits</v>
      </c>
      <c r="C2271" s="37">
        <v>46167</v>
      </c>
      <c r="D2271" s="31">
        <v>210475</v>
      </c>
      <c r="E2271" s="33" t="str">
        <f>IF(Table3[[#This Row],[Type Received]]=2,"CC",(IF(Table3[[#This Row],[Type Received]]=3,"BILL","ACH")))</f>
        <v>ACH</v>
      </c>
      <c r="F2271" s="32">
        <v>33.04</v>
      </c>
      <c r="G2271" s="14" t="str">
        <f>VLOOKUP(D2271,Table4[],3,FALSE)</f>
        <v>2</v>
      </c>
      <c r="H2271" s="15"/>
      <c r="I2271" s="15"/>
      <c r="J2271" s="15" t="s">
        <v>85</v>
      </c>
      <c r="K2271" s="15">
        <v>818371367</v>
      </c>
      <c r="L2271" s="15" t="s">
        <v>29</v>
      </c>
      <c r="M2271" s="15" t="s">
        <v>29</v>
      </c>
    </row>
    <row r="2272" spans="1:13" x14ac:dyDescent="0.25">
      <c r="A2272" s="23"/>
      <c r="B2272" s="14" t="str">
        <f t="shared" si="110"/>
        <v>Direct Debit (UMB Bank) - Credits</v>
      </c>
      <c r="C2272" s="38">
        <v>46146</v>
      </c>
      <c r="D2272" s="34">
        <v>210860</v>
      </c>
      <c r="E2272" s="36" t="str">
        <f>IF(Table3[[#This Row],[Type Received]]=2,"CC",(IF(Table3[[#This Row],[Type Received]]=3,"BILL","ACH")))</f>
        <v>ACH</v>
      </c>
      <c r="F2272" s="35">
        <v>37.659999999999997</v>
      </c>
      <c r="G2272" s="14" t="str">
        <f>VLOOKUP(D2272,Table4[],3,FALSE)</f>
        <v>2</v>
      </c>
      <c r="H2272" s="15"/>
      <c r="I2272" s="15"/>
      <c r="J2272" s="15" t="s">
        <v>92</v>
      </c>
      <c r="K2272" s="15">
        <v>557101430</v>
      </c>
      <c r="L2272" s="15" t="s">
        <v>29</v>
      </c>
      <c r="M2272" s="15" t="s">
        <v>29</v>
      </c>
    </row>
    <row r="2273" spans="1:13" x14ac:dyDescent="0.25">
      <c r="A2273" s="23"/>
      <c r="B2273" s="14" t="str">
        <f t="shared" si="110"/>
        <v>Direct Debit (UMB Bank) - Credits</v>
      </c>
      <c r="C2273" s="37">
        <v>46157</v>
      </c>
      <c r="D2273" s="31">
        <v>210939</v>
      </c>
      <c r="E2273" s="33" t="str">
        <f>IF(Table3[[#This Row],[Type Received]]=2,"CC",(IF(Table3[[#This Row],[Type Received]]=3,"BILL","ACH")))</f>
        <v>ACH</v>
      </c>
      <c r="F2273" s="32">
        <v>23.86</v>
      </c>
      <c r="G2273" s="14" t="str">
        <f>VLOOKUP(D2273,Table4[],3,FALSE)</f>
        <v>1</v>
      </c>
      <c r="H2273" s="15"/>
      <c r="I2273" s="15"/>
      <c r="J2273" s="15" t="s">
        <v>87</v>
      </c>
      <c r="K2273" s="15">
        <v>696747806</v>
      </c>
      <c r="L2273" s="15" t="s">
        <v>29</v>
      </c>
      <c r="M2273" s="15" t="s">
        <v>29</v>
      </c>
    </row>
    <row r="2274" spans="1:13" x14ac:dyDescent="0.25">
      <c r="A2274" s="23"/>
      <c r="B2274" s="14" t="str">
        <f t="shared" si="110"/>
        <v>Direct Debit (UMB Bank) - Credits</v>
      </c>
      <c r="C2274" s="38">
        <v>46157</v>
      </c>
      <c r="D2274" s="34">
        <v>210941</v>
      </c>
      <c r="E2274" s="36" t="str">
        <f>IF(Table3[[#This Row],[Type Received]]=2,"CC",(IF(Table3[[#This Row],[Type Received]]=3,"BILL","ACH")))</f>
        <v>ACH</v>
      </c>
      <c r="F2274" s="35">
        <v>97.39</v>
      </c>
      <c r="G2274" s="14" t="str">
        <f>VLOOKUP(D2274,Table4[],3,FALSE)</f>
        <v>2</v>
      </c>
      <c r="H2274" s="15"/>
      <c r="I2274" s="15"/>
      <c r="J2274" s="15" t="s">
        <v>87</v>
      </c>
      <c r="K2274" s="15">
        <v>696758429</v>
      </c>
      <c r="L2274" s="15" t="s">
        <v>29</v>
      </c>
      <c r="M2274" s="15"/>
    </row>
    <row r="2275" spans="1:13" x14ac:dyDescent="0.25">
      <c r="A2275" s="23"/>
      <c r="B2275" s="14" t="str">
        <f t="shared" si="110"/>
        <v>Direct Debit (UMB Bank) - Credits</v>
      </c>
      <c r="C2275" s="37">
        <v>46146</v>
      </c>
      <c r="D2275" s="31">
        <v>210744</v>
      </c>
      <c r="E2275" s="33" t="str">
        <f>IF(Table3[[#This Row],[Type Received]]=2,"CC",(IF(Table3[[#This Row],[Type Received]]=3,"BILL","ACH")))</f>
        <v>ACH</v>
      </c>
      <c r="F2275" s="32">
        <v>36.67</v>
      </c>
      <c r="G2275" s="14" t="str">
        <f>VLOOKUP(D2275,Table4[],3,FALSE)</f>
        <v>2</v>
      </c>
      <c r="H2275" s="15"/>
      <c r="I2275" s="15"/>
      <c r="J2275" s="15" t="s">
        <v>92</v>
      </c>
      <c r="K2275" s="15">
        <v>557106356</v>
      </c>
      <c r="L2275" s="15" t="s">
        <v>29</v>
      </c>
      <c r="M2275" s="15" t="s">
        <v>29</v>
      </c>
    </row>
    <row r="2276" spans="1:13" x14ac:dyDescent="0.25">
      <c r="A2276" s="23"/>
      <c r="B2276" s="14" t="str">
        <f t="shared" si="110"/>
        <v>Credit Cards (UMB) - Credits</v>
      </c>
      <c r="C2276" s="38">
        <v>46157</v>
      </c>
      <c r="D2276" s="34">
        <v>210749</v>
      </c>
      <c r="E2276" s="36" t="str">
        <f>IF(Table3[[#This Row],[Type Received]]=2,"CC",(IF(Table3[[#This Row],[Type Received]]=3,"BILL","ACH")))</f>
        <v>CC</v>
      </c>
      <c r="F2276" s="35">
        <v>15.11</v>
      </c>
      <c r="G2276" s="14" t="str">
        <f>VLOOKUP(D2276,Table4[],3,FALSE)</f>
        <v>1</v>
      </c>
      <c r="H2276" s="15"/>
      <c r="I2276" s="15"/>
      <c r="J2276" s="15" t="s">
        <v>87</v>
      </c>
      <c r="K2276" s="15">
        <v>696741952</v>
      </c>
      <c r="L2276" s="15" t="s">
        <v>29</v>
      </c>
      <c r="M2276" s="15" t="s">
        <v>29</v>
      </c>
    </row>
    <row r="2277" spans="1:13" x14ac:dyDescent="0.25">
      <c r="A2277" s="23"/>
      <c r="B2277" s="14" t="str">
        <f t="shared" si="110"/>
        <v>Direct Debit (UMB Bank) - Credits</v>
      </c>
      <c r="C2277" s="37">
        <v>46170</v>
      </c>
      <c r="D2277" s="31">
        <v>211225</v>
      </c>
      <c r="E2277" s="33" t="str">
        <f>IF(Table3[[#This Row],[Type Received]]=2,"CC",(IF(Table3[[#This Row],[Type Received]]=3,"BILL","ACH")))</f>
        <v>ACH</v>
      </c>
      <c r="F2277" s="32">
        <v>31.07</v>
      </c>
      <c r="G2277" s="14" t="str">
        <f>VLOOKUP(D2277,Table4[],3,FALSE)</f>
        <v>2</v>
      </c>
      <c r="H2277" s="15"/>
      <c r="I2277" s="15">
        <v>720860</v>
      </c>
      <c r="J2277" s="15" t="s">
        <v>28</v>
      </c>
      <c r="K2277" s="15">
        <v>858207075</v>
      </c>
      <c r="L2277" s="15" t="s">
        <v>29</v>
      </c>
      <c r="M2277" s="15"/>
    </row>
    <row r="2278" spans="1:13" x14ac:dyDescent="0.25">
      <c r="A2278" s="23"/>
      <c r="B2278" s="14" t="str">
        <f t="shared" si="110"/>
        <v>Direct Debit (UMB Bank) - Credits</v>
      </c>
      <c r="C2278" s="38">
        <v>46157</v>
      </c>
      <c r="D2278" s="34">
        <v>211233</v>
      </c>
      <c r="E2278" s="36" t="str">
        <f>IF(Table3[[#This Row],[Type Received]]=2,"CC",(IF(Table3[[#This Row],[Type Received]]=3,"BILL","ACH")))</f>
        <v>ACH</v>
      </c>
      <c r="F2278" s="35">
        <v>24.35</v>
      </c>
      <c r="G2278" s="14" t="str">
        <f>VLOOKUP(D2278,Table4[],3,FALSE)</f>
        <v>1</v>
      </c>
      <c r="H2278" s="15"/>
      <c r="I2278" s="15"/>
      <c r="J2278" s="15" t="s">
        <v>87</v>
      </c>
      <c r="K2278" s="15">
        <v>696690763</v>
      </c>
      <c r="L2278" s="15" t="s">
        <v>29</v>
      </c>
      <c r="M2278" s="15" t="s">
        <v>29</v>
      </c>
    </row>
    <row r="2279" spans="1:13" x14ac:dyDescent="0.25">
      <c r="A2279" s="23">
        <f t="shared" ref="A2279:A2317" si="112">D2279</f>
        <v>211273</v>
      </c>
      <c r="B2279" s="14" t="str">
        <f t="shared" si="110"/>
        <v>Direct Debit (UMB Bank) - Credits</v>
      </c>
      <c r="C2279" s="37">
        <v>46146</v>
      </c>
      <c r="D2279" s="31">
        <v>211273</v>
      </c>
      <c r="E2279" s="33" t="str">
        <f>IF(Table3[[#This Row],[Type Received]]=2,"CC",(IF(Table3[[#This Row],[Type Received]]=3,"BILL","ACH")))</f>
        <v>ACH</v>
      </c>
      <c r="F2279" s="32">
        <v>13.15</v>
      </c>
      <c r="G2279" s="14" t="str">
        <f>VLOOKUP(D2279,Table4[],3,FALSE)</f>
        <v>1</v>
      </c>
      <c r="H2279" s="15"/>
      <c r="I2279" s="15"/>
      <c r="J2279" s="15" t="s">
        <v>92</v>
      </c>
      <c r="K2279" s="15">
        <v>557084009</v>
      </c>
      <c r="L2279" s="15" t="s">
        <v>29</v>
      </c>
      <c r="M2279" s="15"/>
    </row>
    <row r="2280" spans="1:13" x14ac:dyDescent="0.25">
      <c r="A2280" s="23">
        <f t="shared" si="112"/>
        <v>211382</v>
      </c>
      <c r="B2280" s="14" t="str">
        <f t="shared" si="110"/>
        <v>Billing - Credits (from TPA)</v>
      </c>
      <c r="C2280" s="38">
        <v>46157</v>
      </c>
      <c r="D2280" s="34">
        <v>211382</v>
      </c>
      <c r="E2280" s="36" t="str">
        <f>IF(Table3[[#This Row],[Type Received]]=2,"CC",(IF(Table3[[#This Row],[Type Received]]=3,"BILL","ACH")))</f>
        <v>BILL</v>
      </c>
      <c r="F2280" s="35">
        <v>32.93</v>
      </c>
      <c r="G2280" s="14" t="str">
        <f>VLOOKUP(D2280,Table4[],3,FALSE)</f>
        <v>1</v>
      </c>
      <c r="H2280" s="15"/>
      <c r="I2280" s="15"/>
      <c r="J2280" s="15" t="s">
        <v>87</v>
      </c>
      <c r="K2280" s="15">
        <v>696767170</v>
      </c>
      <c r="L2280" s="15" t="s">
        <v>29</v>
      </c>
      <c r="M2280" s="15" t="s">
        <v>29</v>
      </c>
    </row>
    <row r="2281" spans="1:13" x14ac:dyDescent="0.25">
      <c r="A2281" s="23">
        <f t="shared" si="112"/>
        <v>211008</v>
      </c>
      <c r="B2281" s="14" t="str">
        <f t="shared" si="110"/>
        <v>Direct Debit (UMB Bank) - Credits</v>
      </c>
      <c r="C2281" s="37">
        <v>46169</v>
      </c>
      <c r="D2281" s="31">
        <v>211008</v>
      </c>
      <c r="E2281" s="33" t="str">
        <f>IF(Table3[[#This Row],[Type Received]]=2,"CC",(IF(Table3[[#This Row],[Type Received]]=3,"BILL","ACH")))</f>
        <v>ACH</v>
      </c>
      <c r="F2281" s="32">
        <v>30.08</v>
      </c>
      <c r="G2281" s="14" t="str">
        <f>VLOOKUP(D2281,Table4[],3,FALSE)</f>
        <v>2</v>
      </c>
      <c r="H2281" s="15">
        <v>4045</v>
      </c>
      <c r="I2281" s="15"/>
      <c r="J2281" s="15"/>
      <c r="K2281" s="15"/>
      <c r="L2281" s="15"/>
      <c r="M2281" s="15" t="s">
        <v>29</v>
      </c>
    </row>
    <row r="2282" spans="1:13" x14ac:dyDescent="0.25">
      <c r="A2282" s="23">
        <f t="shared" si="112"/>
        <v>211017</v>
      </c>
      <c r="B2282" s="14" t="str">
        <f t="shared" si="110"/>
        <v>Billing - Credits (from TPA)</v>
      </c>
      <c r="C2282" s="38">
        <v>46163</v>
      </c>
      <c r="D2282" s="34">
        <v>211017</v>
      </c>
      <c r="E2282" s="36" t="str">
        <f>IF(Table3[[#This Row],[Type Received]]=2,"CC",(IF(Table3[[#This Row],[Type Received]]=3,"BILL","ACH")))</f>
        <v>BILL</v>
      </c>
      <c r="F2282" s="35">
        <v>40.020000000000003</v>
      </c>
      <c r="G2282" s="14" t="str">
        <f>VLOOKUP(D2282,Table4[],3,FALSE)</f>
        <v>1</v>
      </c>
      <c r="H2282" s="15"/>
      <c r="I2282" s="15"/>
      <c r="J2282" s="24" t="s">
        <v>214</v>
      </c>
      <c r="K2282" s="15">
        <v>776981219</v>
      </c>
      <c r="L2282" s="15" t="s">
        <v>29</v>
      </c>
      <c r="M2282" s="15" t="s">
        <v>29</v>
      </c>
    </row>
    <row r="2283" spans="1:13" x14ac:dyDescent="0.25">
      <c r="A2283" s="23">
        <f t="shared" si="112"/>
        <v>211429</v>
      </c>
      <c r="B2283" s="14" t="str">
        <f t="shared" si="110"/>
        <v>Credit Cards (UMB) - Credits</v>
      </c>
      <c r="C2283" s="37">
        <v>46146</v>
      </c>
      <c r="D2283" s="31">
        <v>211429</v>
      </c>
      <c r="E2283" s="33" t="str">
        <f>IF(Table3[[#This Row],[Type Received]]=2,"CC",(IF(Table3[[#This Row],[Type Received]]=3,"BILL","ACH")))</f>
        <v>CC</v>
      </c>
      <c r="F2283" s="32">
        <v>53.51</v>
      </c>
      <c r="G2283" s="14" t="str">
        <f>VLOOKUP(D2283,Table4[],3,FALSE)</f>
        <v>2</v>
      </c>
      <c r="H2283" s="15">
        <v>2242</v>
      </c>
      <c r="I2283" s="15"/>
      <c r="J2283" s="15"/>
      <c r="K2283" s="15"/>
      <c r="L2283" s="15"/>
      <c r="M2283" s="15" t="s">
        <v>29</v>
      </c>
    </row>
    <row r="2284" spans="1:13" x14ac:dyDescent="0.25">
      <c r="A2284" s="23">
        <f t="shared" si="112"/>
        <v>211430</v>
      </c>
      <c r="B2284" s="14" t="str">
        <f t="shared" si="110"/>
        <v>Credit Cards (UMB) - Credits</v>
      </c>
      <c r="C2284" s="38">
        <v>46144</v>
      </c>
      <c r="D2284" s="34">
        <v>211430</v>
      </c>
      <c r="E2284" s="36" t="str">
        <f>IF(Table3[[#This Row],[Type Received]]=2,"CC",(IF(Table3[[#This Row],[Type Received]]=3,"BILL","ACH")))</f>
        <v>CC</v>
      </c>
      <c r="F2284" s="35">
        <v>39.58</v>
      </c>
      <c r="G2284" s="14" t="str">
        <f>VLOOKUP(D2284,Table4[],3,FALSE)</f>
        <v>1</v>
      </c>
      <c r="H2284" s="15"/>
      <c r="I2284" s="15" t="s">
        <v>247</v>
      </c>
      <c r="J2284" s="24">
        <v>741651752</v>
      </c>
      <c r="K2284" s="15">
        <v>353259748</v>
      </c>
      <c r="L2284" s="15"/>
      <c r="M2284" s="15" t="s">
        <v>29</v>
      </c>
    </row>
    <row r="2285" spans="1:13" x14ac:dyDescent="0.25">
      <c r="A2285" s="23">
        <f t="shared" si="112"/>
        <v>211437</v>
      </c>
      <c r="B2285" s="14" t="str">
        <f t="shared" si="110"/>
        <v>Direct Debit (UMB Bank) - Credits</v>
      </c>
      <c r="C2285" s="37">
        <v>46162</v>
      </c>
      <c r="D2285" s="31">
        <v>211437</v>
      </c>
      <c r="E2285" s="33" t="str">
        <f>IF(Table3[[#This Row],[Type Received]]=2,"CC",(IF(Table3[[#This Row],[Type Received]]=3,"BILL","ACH")))</f>
        <v>ACH</v>
      </c>
      <c r="F2285" s="32">
        <v>31.51</v>
      </c>
      <c r="G2285" s="14" t="str">
        <f>VLOOKUP(D2285,Table4[],3,FALSE)</f>
        <v>1</v>
      </c>
      <c r="H2285" s="15"/>
      <c r="I2285" s="15">
        <v>85636</v>
      </c>
      <c r="J2285" s="15" t="s">
        <v>28</v>
      </c>
      <c r="K2285" s="15">
        <v>757771986</v>
      </c>
      <c r="L2285" s="15" t="s">
        <v>29</v>
      </c>
      <c r="M2285" s="15" t="s">
        <v>29</v>
      </c>
    </row>
    <row r="2286" spans="1:13" x14ac:dyDescent="0.25">
      <c r="A2286" s="23">
        <f t="shared" si="112"/>
        <v>211743</v>
      </c>
      <c r="B2286" s="14" t="str">
        <f t="shared" si="110"/>
        <v>Direct Debit (UMB Bank) - Credits</v>
      </c>
      <c r="C2286" s="38">
        <v>46157</v>
      </c>
      <c r="D2286" s="34">
        <v>211743</v>
      </c>
      <c r="E2286" s="36" t="str">
        <f>IF(Table3[[#This Row],[Type Received]]=2,"CC",(IF(Table3[[#This Row],[Type Received]]=3,"BILL","ACH")))</f>
        <v>ACH</v>
      </c>
      <c r="F2286" s="35">
        <v>41.73</v>
      </c>
      <c r="G2286" s="14" t="str">
        <f>VLOOKUP(D2286,Table4[],3,FALSE)</f>
        <v>2</v>
      </c>
      <c r="H2286" s="15"/>
      <c r="I2286" s="15"/>
      <c r="J2286" s="24" t="s">
        <v>87</v>
      </c>
      <c r="K2286" s="15">
        <v>696769130</v>
      </c>
      <c r="L2286" s="15" t="s">
        <v>29</v>
      </c>
      <c r="M2286" s="15" t="s">
        <v>29</v>
      </c>
    </row>
    <row r="2287" spans="1:13" x14ac:dyDescent="0.25">
      <c r="A2287" s="23">
        <f t="shared" si="112"/>
        <v>211745</v>
      </c>
      <c r="B2287" s="14" t="str">
        <f t="shared" si="110"/>
        <v>Direct Debit (UMB Bank) - Credits</v>
      </c>
      <c r="C2287" s="37">
        <v>46167</v>
      </c>
      <c r="D2287" s="31">
        <v>211745</v>
      </c>
      <c r="E2287" s="33" t="str">
        <f>IF(Table3[[#This Row],[Type Received]]=2,"CC",(IF(Table3[[#This Row],[Type Received]]=3,"BILL","ACH")))</f>
        <v>ACH</v>
      </c>
      <c r="F2287" s="32">
        <v>20.94</v>
      </c>
      <c r="G2287" s="14" t="str">
        <f>VLOOKUP(D2287,Table4[],3,FALSE)</f>
        <v>2</v>
      </c>
      <c r="H2287" s="15"/>
      <c r="I2287" s="15"/>
      <c r="J2287" s="15" t="s">
        <v>85</v>
      </c>
      <c r="K2287" s="15">
        <v>818380116</v>
      </c>
      <c r="L2287" s="15" t="s">
        <v>29</v>
      </c>
      <c r="M2287" s="15" t="s">
        <v>29</v>
      </c>
    </row>
    <row r="2288" spans="1:13" x14ac:dyDescent="0.25">
      <c r="A2288" s="23">
        <f t="shared" si="112"/>
        <v>211758</v>
      </c>
      <c r="B2288" s="14" t="str">
        <f t="shared" si="110"/>
        <v>Direct Debit (UMB Bank) - Credits</v>
      </c>
      <c r="C2288" s="38">
        <v>46145</v>
      </c>
      <c r="D2288" s="34">
        <v>211758</v>
      </c>
      <c r="E2288" s="36" t="str">
        <f>IF(Table3[[#This Row],[Type Received]]=2,"CC",(IF(Table3[[#This Row],[Type Received]]=3,"BILL","ACH")))</f>
        <v>ACH</v>
      </c>
      <c r="F2288" s="35">
        <v>21.41</v>
      </c>
      <c r="G2288" s="14" t="str">
        <f>VLOOKUP(D2288,Table4[],3,FALSE)</f>
        <v>1</v>
      </c>
      <c r="H2288" s="15"/>
      <c r="I2288" s="15"/>
      <c r="J2288" s="15" t="s">
        <v>113</v>
      </c>
      <c r="K2288" s="15">
        <v>546449213</v>
      </c>
      <c r="L2288" s="15" t="s">
        <v>29</v>
      </c>
      <c r="M2288" s="15" t="s">
        <v>29</v>
      </c>
    </row>
    <row r="2289" spans="1:13" x14ac:dyDescent="0.25">
      <c r="A2289" s="23">
        <f t="shared" si="112"/>
        <v>211836</v>
      </c>
      <c r="B2289" s="14" t="str">
        <f t="shared" si="110"/>
        <v>Direct Debit (UMB Bank) - Credits</v>
      </c>
      <c r="C2289" s="37">
        <v>46167</v>
      </c>
      <c r="D2289" s="31">
        <v>211836</v>
      </c>
      <c r="E2289" s="33" t="str">
        <f>IF(Table3[[#This Row],[Type Received]]=2,"CC",(IF(Table3[[#This Row],[Type Received]]=3,"BILL","ACH")))</f>
        <v>ACH</v>
      </c>
      <c r="F2289" s="32">
        <v>63.73</v>
      </c>
      <c r="G2289" s="14" t="str">
        <f>VLOOKUP(D2289,Table4[],3,FALSE)</f>
        <v>2</v>
      </c>
      <c r="H2289" s="15"/>
      <c r="I2289" s="15"/>
      <c r="J2289" s="15" t="s">
        <v>85</v>
      </c>
      <c r="K2289" s="15">
        <v>818375272</v>
      </c>
      <c r="L2289" s="15" t="s">
        <v>29</v>
      </c>
      <c r="M2289" s="15" t="s">
        <v>29</v>
      </c>
    </row>
    <row r="2290" spans="1:13" x14ac:dyDescent="0.25">
      <c r="A2290" s="23">
        <f t="shared" si="112"/>
        <v>211874</v>
      </c>
      <c r="B2290" s="14" t="str">
        <f t="shared" si="110"/>
        <v>Direct Debit (UMB Bank) - Credits</v>
      </c>
      <c r="C2290" s="38">
        <v>46167</v>
      </c>
      <c r="D2290" s="34">
        <v>211874</v>
      </c>
      <c r="E2290" s="36" t="str">
        <f>IF(Table3[[#This Row],[Type Received]]=2,"CC",(IF(Table3[[#This Row],[Type Received]]=3,"BILL","ACH")))</f>
        <v>ACH</v>
      </c>
      <c r="F2290" s="35">
        <v>30.29</v>
      </c>
      <c r="G2290" s="14" t="str">
        <f>VLOOKUP(D2290,Table4[],3,FALSE)</f>
        <v>1</v>
      </c>
      <c r="H2290" s="15"/>
      <c r="I2290" s="15"/>
      <c r="J2290" s="15" t="s">
        <v>85</v>
      </c>
      <c r="K2290" s="15">
        <v>818361741</v>
      </c>
      <c r="L2290" s="15" t="s">
        <v>29</v>
      </c>
      <c r="M2290" s="15" t="s">
        <v>29</v>
      </c>
    </row>
    <row r="2291" spans="1:13" x14ac:dyDescent="0.25">
      <c r="A2291" s="23">
        <f t="shared" si="112"/>
        <v>211984</v>
      </c>
      <c r="B2291" s="14" t="str">
        <f t="shared" si="110"/>
        <v>Direct Debit (UMB Bank) - Credits</v>
      </c>
      <c r="C2291" s="37">
        <v>46145</v>
      </c>
      <c r="D2291" s="31">
        <v>211984</v>
      </c>
      <c r="E2291" s="33" t="str">
        <f>IF(Table3[[#This Row],[Type Received]]=2,"CC",(IF(Table3[[#This Row],[Type Received]]=3,"BILL","ACH")))</f>
        <v>ACH</v>
      </c>
      <c r="F2291" s="32">
        <v>18.190000000000001</v>
      </c>
      <c r="G2291" s="14" t="str">
        <f>VLOOKUP(D2291,Table4[],3,FALSE)</f>
        <v>1</v>
      </c>
      <c r="H2291" s="15"/>
      <c r="I2291" s="15"/>
      <c r="J2291" s="15" t="s">
        <v>113</v>
      </c>
      <c r="K2291" s="15">
        <v>546440418</v>
      </c>
      <c r="L2291" s="15" t="s">
        <v>29</v>
      </c>
      <c r="M2291" s="15" t="s">
        <v>29</v>
      </c>
    </row>
    <row r="2292" spans="1:13" x14ac:dyDescent="0.25">
      <c r="A2292" s="23">
        <f t="shared" si="112"/>
        <v>212063</v>
      </c>
      <c r="B2292" s="14" t="str">
        <f t="shared" si="110"/>
        <v>Credit Cards (UMB) - Credits</v>
      </c>
      <c r="C2292" s="38">
        <v>46145</v>
      </c>
      <c r="D2292" s="34">
        <v>212063</v>
      </c>
      <c r="E2292" s="36" t="str">
        <f>IF(Table3[[#This Row],[Type Received]]=2,"CC",(IF(Table3[[#This Row],[Type Received]]=3,"BILL","ACH")))</f>
        <v>CC</v>
      </c>
      <c r="F2292" s="35">
        <v>64.150000000000006</v>
      </c>
      <c r="G2292" s="14" t="str">
        <f>VLOOKUP(D2292,Table4[],3,FALSE)</f>
        <v>1</v>
      </c>
      <c r="H2292" s="15"/>
      <c r="I2292" s="15"/>
      <c r="J2292" s="15" t="s">
        <v>113</v>
      </c>
      <c r="K2292" s="15">
        <v>546441389</v>
      </c>
      <c r="L2292" s="15" t="s">
        <v>29</v>
      </c>
      <c r="M2292" s="15" t="s">
        <v>29</v>
      </c>
    </row>
    <row r="2293" spans="1:13" x14ac:dyDescent="0.25">
      <c r="A2293" s="23">
        <f t="shared" si="112"/>
        <v>212243</v>
      </c>
      <c r="B2293" s="14" t="str">
        <f t="shared" si="110"/>
        <v>Billing - Credits (from TPA)</v>
      </c>
      <c r="C2293" s="37">
        <v>46162</v>
      </c>
      <c r="D2293" s="31">
        <v>212243</v>
      </c>
      <c r="E2293" s="33" t="str">
        <f>IF(Table3[[#This Row],[Type Received]]=2,"CC",(IF(Table3[[#This Row],[Type Received]]=3,"BILL","ACH")))</f>
        <v>BILL</v>
      </c>
      <c r="F2293" s="32">
        <v>61.14</v>
      </c>
      <c r="G2293" s="14" t="str">
        <f>VLOOKUP(D2293,Table4[],3,FALSE)</f>
        <v>2</v>
      </c>
      <c r="H2293" s="15"/>
      <c r="I2293" s="15">
        <v>633299</v>
      </c>
      <c r="J2293" s="15" t="s">
        <v>28</v>
      </c>
      <c r="K2293" s="15">
        <v>757932613</v>
      </c>
      <c r="L2293" s="15" t="s">
        <v>29</v>
      </c>
      <c r="M2293" s="15" t="s">
        <v>29</v>
      </c>
    </row>
    <row r="2294" spans="1:13" x14ac:dyDescent="0.25">
      <c r="A2294" s="23">
        <f t="shared" si="112"/>
        <v>212261</v>
      </c>
      <c r="B2294" s="14" t="str">
        <f t="shared" si="110"/>
        <v>Direct Debit (UMB Bank) - Credits</v>
      </c>
      <c r="C2294" s="38">
        <v>46147</v>
      </c>
      <c r="D2294" s="34">
        <v>212261</v>
      </c>
      <c r="E2294" s="36" t="str">
        <f>IF(Table3[[#This Row],[Type Received]]=2,"CC",(IF(Table3[[#This Row],[Type Received]]=3,"BILL","ACH")))</f>
        <v>ACH</v>
      </c>
      <c r="F2294" s="35">
        <v>54.25</v>
      </c>
      <c r="G2294" s="14" t="str">
        <f>VLOOKUP(D2294,Table4[],3,FALSE)</f>
        <v>1</v>
      </c>
      <c r="H2294" s="15">
        <v>2053</v>
      </c>
      <c r="I2294" s="15"/>
      <c r="J2294" s="15"/>
      <c r="K2294" s="15"/>
      <c r="L2294" s="15"/>
      <c r="M2294" s="15" t="s">
        <v>29</v>
      </c>
    </row>
    <row r="2295" spans="1:13" x14ac:dyDescent="0.25">
      <c r="A2295" s="23">
        <f t="shared" si="112"/>
        <v>212332</v>
      </c>
      <c r="B2295" s="14" t="str">
        <f t="shared" si="110"/>
        <v>Direct Debit (UMB Bank) - Credits</v>
      </c>
      <c r="C2295" s="37">
        <v>46157</v>
      </c>
      <c r="D2295" s="31">
        <v>212332</v>
      </c>
      <c r="E2295" s="33" t="str">
        <f>IF(Table3[[#This Row],[Type Received]]=2,"CC",(IF(Table3[[#This Row],[Type Received]]=3,"BILL","ACH")))</f>
        <v>ACH</v>
      </c>
      <c r="F2295" s="32">
        <v>20.39</v>
      </c>
      <c r="G2295" s="14" t="str">
        <f>VLOOKUP(D2295,Table4[],3,FALSE)</f>
        <v>2</v>
      </c>
      <c r="H2295" s="15"/>
      <c r="I2295" s="15"/>
      <c r="J2295" s="15" t="s">
        <v>87</v>
      </c>
      <c r="K2295" s="15">
        <v>696751651</v>
      </c>
      <c r="L2295" s="15" t="s">
        <v>29</v>
      </c>
      <c r="M2295" s="15" t="s">
        <v>29</v>
      </c>
    </row>
    <row r="2296" spans="1:13" x14ac:dyDescent="0.25">
      <c r="A2296" s="23">
        <f t="shared" si="112"/>
        <v>212337</v>
      </c>
      <c r="B2296" s="14" t="str">
        <f t="shared" si="110"/>
        <v>Direct Debit (UMB Bank) - Credits</v>
      </c>
      <c r="C2296" s="38">
        <v>46167</v>
      </c>
      <c r="D2296" s="34">
        <v>212337</v>
      </c>
      <c r="E2296" s="36" t="str">
        <f>IF(Table3[[#This Row],[Type Received]]=2,"CC",(IF(Table3[[#This Row],[Type Received]]=3,"BILL","ACH")))</f>
        <v>ACH</v>
      </c>
      <c r="F2296" s="35">
        <v>44.37</v>
      </c>
      <c r="G2296" s="14" t="str">
        <f>VLOOKUP(D2296,Table4[],3,FALSE)</f>
        <v>1</v>
      </c>
      <c r="H2296" s="15"/>
      <c r="I2296" s="15"/>
      <c r="J2296" s="15" t="s">
        <v>85</v>
      </c>
      <c r="K2296" s="15">
        <v>818312533</v>
      </c>
      <c r="L2296" s="15" t="s">
        <v>29</v>
      </c>
      <c r="M2296" s="15" t="s">
        <v>29</v>
      </c>
    </row>
    <row r="2297" spans="1:13" x14ac:dyDescent="0.25">
      <c r="A2297" s="23">
        <f t="shared" si="112"/>
        <v>212344</v>
      </c>
      <c r="B2297" s="14" t="str">
        <f t="shared" si="110"/>
        <v>Direct Debit (UMB Bank) - Credits</v>
      </c>
      <c r="C2297" s="37">
        <v>46144</v>
      </c>
      <c r="D2297" s="31">
        <v>212344</v>
      </c>
      <c r="E2297" s="33" t="str">
        <f>IF(Table3[[#This Row],[Type Received]]=2,"CC",(IF(Table3[[#This Row],[Type Received]]=3,"BILL","ACH")))</f>
        <v>ACH</v>
      </c>
      <c r="F2297" s="32">
        <v>58.45</v>
      </c>
      <c r="G2297" s="14" t="str">
        <f>VLOOKUP(D2297,Table4[],3,FALSE)</f>
        <v>2</v>
      </c>
      <c r="H2297" s="15"/>
      <c r="I2297" s="15"/>
      <c r="J2297" s="15" t="s">
        <v>89</v>
      </c>
      <c r="K2297" s="15">
        <v>535408249</v>
      </c>
      <c r="L2297" s="15" t="s">
        <v>29</v>
      </c>
      <c r="M2297" s="15" t="s">
        <v>29</v>
      </c>
    </row>
    <row r="2298" spans="1:13" x14ac:dyDescent="0.25">
      <c r="A2298" s="23">
        <f t="shared" si="112"/>
        <v>212684</v>
      </c>
      <c r="B2298" s="14" t="str">
        <f t="shared" si="110"/>
        <v>Direct Debit (UMB Bank) - Credits</v>
      </c>
      <c r="C2298" s="38">
        <v>46169</v>
      </c>
      <c r="D2298" s="34">
        <v>212684</v>
      </c>
      <c r="E2298" s="36" t="str">
        <f>IF(Table3[[#This Row],[Type Received]]=2,"CC",(IF(Table3[[#This Row],[Type Received]]=3,"BILL","ACH")))</f>
        <v>ACH</v>
      </c>
      <c r="F2298" s="35">
        <v>44.15</v>
      </c>
      <c r="G2298" s="14" t="str">
        <f>VLOOKUP(D2298,Table4[],3,FALSE)</f>
        <v>1</v>
      </c>
      <c r="H2298" s="15"/>
      <c r="I2298" s="15"/>
      <c r="J2298" s="15" t="s">
        <v>117</v>
      </c>
      <c r="K2298" s="15">
        <v>840834610</v>
      </c>
      <c r="L2298" s="15" t="s">
        <v>29</v>
      </c>
      <c r="M2298" s="15" t="s">
        <v>29</v>
      </c>
    </row>
    <row r="2299" spans="1:13" x14ac:dyDescent="0.25">
      <c r="A2299" s="23">
        <f t="shared" si="112"/>
        <v>212751</v>
      </c>
      <c r="B2299" s="14" t="str">
        <f t="shared" si="110"/>
        <v>Direct Debit (UMB Bank) - Credits</v>
      </c>
      <c r="C2299" s="37">
        <v>46157</v>
      </c>
      <c r="D2299" s="31">
        <v>212751</v>
      </c>
      <c r="E2299" s="33" t="str">
        <f>IF(Table3[[#This Row],[Type Received]]=2,"CC",(IF(Table3[[#This Row],[Type Received]]=3,"BILL","ACH")))</f>
        <v>ACH</v>
      </c>
      <c r="F2299" s="32">
        <v>26.44</v>
      </c>
      <c r="G2299" s="14" t="str">
        <f>VLOOKUP(D2299,Table4[],3,FALSE)</f>
        <v>2</v>
      </c>
      <c r="H2299" s="15"/>
      <c r="I2299" s="15"/>
      <c r="J2299" s="15" t="s">
        <v>87</v>
      </c>
      <c r="K2299" s="15">
        <v>696764262</v>
      </c>
      <c r="L2299" s="15" t="s">
        <v>29</v>
      </c>
      <c r="M2299" s="15" t="s">
        <v>29</v>
      </c>
    </row>
    <row r="2300" spans="1:13" x14ac:dyDescent="0.25">
      <c r="A2300" s="23">
        <f t="shared" si="112"/>
        <v>212784</v>
      </c>
      <c r="B2300" s="14" t="str">
        <f t="shared" si="110"/>
        <v>Billing - Credits (from TPA)</v>
      </c>
      <c r="C2300" s="38">
        <v>46157</v>
      </c>
      <c r="D2300" s="34">
        <v>212784</v>
      </c>
      <c r="E2300" s="36" t="str">
        <f>IF(Table3[[#This Row],[Type Received]]=2,"CC",(IF(Table3[[#This Row],[Type Received]]=3,"BILL","ACH")))</f>
        <v>BILL</v>
      </c>
      <c r="F2300" s="35">
        <v>15.55</v>
      </c>
      <c r="G2300" s="14" t="str">
        <f>VLOOKUP(D2300,Table4[],3,FALSE)</f>
        <v>1</v>
      </c>
      <c r="H2300" s="15"/>
      <c r="I2300" s="15"/>
      <c r="J2300" s="15" t="s">
        <v>87</v>
      </c>
      <c r="K2300" s="15">
        <v>696742030</v>
      </c>
      <c r="L2300" s="15" t="s">
        <v>29</v>
      </c>
      <c r="M2300" s="15" t="s">
        <v>29</v>
      </c>
    </row>
    <row r="2301" spans="1:13" x14ac:dyDescent="0.25">
      <c r="A2301" s="23">
        <f t="shared" si="112"/>
        <v>212469</v>
      </c>
      <c r="B2301" s="14" t="str">
        <f t="shared" si="110"/>
        <v>Credit Cards (UMB) - Credits</v>
      </c>
      <c r="C2301" s="37">
        <v>46147</v>
      </c>
      <c r="D2301" s="31">
        <v>212469</v>
      </c>
      <c r="E2301" s="33" t="str">
        <f>IF(Table3[[#This Row],[Type Received]]=2,"CC",(IF(Table3[[#This Row],[Type Received]]=3,"BILL","ACH")))</f>
        <v>CC</v>
      </c>
      <c r="F2301" s="32">
        <v>77.349999999999994</v>
      </c>
      <c r="G2301" s="14" t="str">
        <f>VLOOKUP(D2301,Table4[],3,FALSE)</f>
        <v>1</v>
      </c>
      <c r="H2301" s="15">
        <v>9630</v>
      </c>
      <c r="I2301" s="15"/>
      <c r="J2301" s="15"/>
      <c r="K2301" s="15"/>
      <c r="L2301" s="15"/>
      <c r="M2301" s="15" t="s">
        <v>29</v>
      </c>
    </row>
    <row r="2302" spans="1:13" x14ac:dyDescent="0.25">
      <c r="A2302" s="23">
        <f t="shared" si="112"/>
        <v>212518</v>
      </c>
      <c r="B2302" s="14" t="str">
        <f t="shared" si="110"/>
        <v>Direct Debit (UMB Bank) - Credits</v>
      </c>
      <c r="C2302" s="38">
        <v>46155</v>
      </c>
      <c r="D2302" s="34">
        <v>212518</v>
      </c>
      <c r="E2302" s="36" t="str">
        <f>IF(Table3[[#This Row],[Type Received]]=2,"CC",(IF(Table3[[#This Row],[Type Received]]=3,"BILL","ACH")))</f>
        <v>ACH</v>
      </c>
      <c r="F2302" s="35">
        <v>58.78</v>
      </c>
      <c r="G2302" s="14" t="e">
        <f>VLOOKUP(D2302,Table4[],3,FALSE)</f>
        <v>#N/A</v>
      </c>
      <c r="H2302" s="15"/>
      <c r="I2302" s="15">
        <v>191793</v>
      </c>
      <c r="J2302" s="15" t="s">
        <v>28</v>
      </c>
      <c r="K2302" s="15">
        <v>669495558</v>
      </c>
      <c r="L2302" s="15" t="s">
        <v>29</v>
      </c>
      <c r="M2302" s="15" t="s">
        <v>29</v>
      </c>
    </row>
    <row r="2303" spans="1:13" x14ac:dyDescent="0.25">
      <c r="A2303" s="23">
        <f t="shared" si="112"/>
        <v>212563</v>
      </c>
      <c r="B2303" s="14" t="str">
        <f t="shared" si="110"/>
        <v>Billing - Credits (from TPA)</v>
      </c>
      <c r="C2303" s="37">
        <v>46157</v>
      </c>
      <c r="D2303" s="31">
        <v>212563</v>
      </c>
      <c r="E2303" s="33" t="str">
        <f>IF(Table3[[#This Row],[Type Received]]=2,"CC",(IF(Table3[[#This Row],[Type Received]]=3,"BILL","ACH")))</f>
        <v>BILL</v>
      </c>
      <c r="F2303" s="32">
        <v>48.22</v>
      </c>
      <c r="G2303" s="14" t="str">
        <f>VLOOKUP(D2303,Table4[],3,FALSE)</f>
        <v>2</v>
      </c>
      <c r="H2303" s="15"/>
      <c r="I2303" s="15"/>
      <c r="J2303" s="15" t="s">
        <v>87</v>
      </c>
      <c r="K2303" s="15">
        <v>696759365</v>
      </c>
      <c r="L2303" s="15" t="s">
        <v>29</v>
      </c>
      <c r="M2303" s="15"/>
    </row>
    <row r="2304" spans="1:13" x14ac:dyDescent="0.25">
      <c r="A2304" s="23">
        <f t="shared" si="112"/>
        <v>213106</v>
      </c>
      <c r="B2304" s="14" t="str">
        <f t="shared" si="110"/>
        <v>Direct Debit (UMB Bank) - Credits</v>
      </c>
      <c r="C2304" s="38">
        <v>46163</v>
      </c>
      <c r="D2304" s="34">
        <v>213106</v>
      </c>
      <c r="E2304" s="36" t="str">
        <f>IF(Table3[[#This Row],[Type Received]]=2,"CC",(IF(Table3[[#This Row],[Type Received]]=3,"BILL","ACH")))</f>
        <v>ACH</v>
      </c>
      <c r="F2304" s="35">
        <v>21.06</v>
      </c>
      <c r="G2304" s="14" t="str">
        <f>VLOOKUP(D2304,Table4[],3,FALSE)</f>
        <v>2</v>
      </c>
      <c r="H2304" s="15">
        <v>78601467</v>
      </c>
      <c r="I2304" s="15"/>
      <c r="J2304" s="15"/>
      <c r="K2304" s="15"/>
      <c r="L2304" s="15"/>
      <c r="M2304" s="15" t="s">
        <v>29</v>
      </c>
    </row>
    <row r="2305" spans="1:13" x14ac:dyDescent="0.25">
      <c r="A2305" s="23">
        <f t="shared" si="112"/>
        <v>213189</v>
      </c>
      <c r="B2305" s="14" t="str">
        <f t="shared" si="110"/>
        <v>Direct Debit (UMB Bank) - Credits</v>
      </c>
      <c r="C2305" s="37">
        <v>46155</v>
      </c>
      <c r="D2305" s="31">
        <v>213189</v>
      </c>
      <c r="E2305" s="33" t="str">
        <f>IF(Table3[[#This Row],[Type Received]]=2,"CC",(IF(Table3[[#This Row],[Type Received]]=3,"BILL","ACH")))</f>
        <v>ACH</v>
      </c>
      <c r="F2305" s="32">
        <v>45.25</v>
      </c>
      <c r="G2305" s="14" t="str">
        <f>VLOOKUP(D2305,Table4[],3,FALSE)</f>
        <v>2</v>
      </c>
      <c r="H2305" s="15"/>
      <c r="I2305" s="15"/>
      <c r="J2305" s="15" t="s">
        <v>90</v>
      </c>
      <c r="K2305" s="15">
        <v>669439633</v>
      </c>
      <c r="L2305" s="15" t="s">
        <v>29</v>
      </c>
      <c r="M2305" s="15"/>
    </row>
    <row r="2306" spans="1:13" x14ac:dyDescent="0.25">
      <c r="A2306" s="23">
        <f t="shared" si="112"/>
        <v>212801</v>
      </c>
      <c r="B2306" s="14" t="str">
        <f t="shared" ref="B2306:B2369" si="113">IF(AND(E2306="BILL",F2306&lt;0),"Billing &amp; Direct Debit - Refunds",(IF(AND(E2306="BILL",F2306&gt;0),"Billing - Credits (from TPA)",(IF(AND(E2306="CC",F2306&lt;0),"Credit Cards (UMB) - Refunds",(IF(AND(E2306="CC",F2306&gt;0),"Credit Cards (UMB) - Credits",(IF(AND(E2306="ACH",F2306&gt;0),"Direct Debit (UMB Bank) - Credits","Direct Debit (UMB Bank) - Returned Items")))))))))</f>
        <v>Credit Cards (UMB) - Credits</v>
      </c>
      <c r="C2306" s="38">
        <v>46157</v>
      </c>
      <c r="D2306" s="34">
        <v>212801</v>
      </c>
      <c r="E2306" s="36" t="str">
        <f>IF(Table3[[#This Row],[Type Received]]=2,"CC",(IF(Table3[[#This Row],[Type Received]]=3,"BILL","ACH")))</f>
        <v>CC</v>
      </c>
      <c r="F2306" s="35">
        <v>28.75</v>
      </c>
      <c r="G2306" s="14" t="str">
        <f>VLOOKUP(D2306,Table4[],3,FALSE)</f>
        <v>1</v>
      </c>
      <c r="H2306" s="15"/>
      <c r="I2306" s="15"/>
      <c r="J2306" s="15" t="s">
        <v>87</v>
      </c>
      <c r="K2306" s="15">
        <v>696759399</v>
      </c>
      <c r="L2306" s="15" t="s">
        <v>29</v>
      </c>
      <c r="M2306" s="15"/>
    </row>
    <row r="2307" spans="1:13" x14ac:dyDescent="0.25">
      <c r="A2307" s="23">
        <f t="shared" si="112"/>
        <v>212844</v>
      </c>
      <c r="B2307" s="14" t="str">
        <f t="shared" si="113"/>
        <v>Credit Cards (UMB) - Credits</v>
      </c>
      <c r="C2307" s="37">
        <v>46143</v>
      </c>
      <c r="D2307" s="31">
        <v>212844</v>
      </c>
      <c r="E2307" s="33" t="str">
        <f>IF(Table3[[#This Row],[Type Received]]=2,"CC",(IF(Table3[[#This Row],[Type Received]]=3,"BILL","ACH")))</f>
        <v>CC</v>
      </c>
      <c r="F2307" s="32">
        <v>73.39</v>
      </c>
      <c r="G2307" s="14" t="str">
        <f>VLOOKUP(D2307,Table4[],3,FALSE)</f>
        <v>1</v>
      </c>
      <c r="H2307" s="15"/>
      <c r="I2307" s="15">
        <v>25108</v>
      </c>
      <c r="J2307" s="15" t="s">
        <v>28</v>
      </c>
      <c r="K2307" s="15">
        <v>525037462</v>
      </c>
      <c r="L2307" s="15" t="s">
        <v>29</v>
      </c>
      <c r="M2307" s="15" t="s">
        <v>29</v>
      </c>
    </row>
    <row r="2308" spans="1:13" x14ac:dyDescent="0.25">
      <c r="A2308" s="23">
        <f t="shared" si="112"/>
        <v>212877</v>
      </c>
      <c r="B2308" s="14" t="str">
        <f t="shared" si="113"/>
        <v>Billing - Credits (from TPA)</v>
      </c>
      <c r="C2308" s="38">
        <v>46155</v>
      </c>
      <c r="D2308" s="34">
        <v>212877</v>
      </c>
      <c r="E2308" s="36" t="str">
        <f>IF(Table3[[#This Row],[Type Received]]=2,"CC",(IF(Table3[[#This Row],[Type Received]]=3,"BILL","ACH")))</f>
        <v>BILL</v>
      </c>
      <c r="F2308" s="35">
        <v>114.22</v>
      </c>
      <c r="G2308" s="14" t="str">
        <f>VLOOKUP(D2308,Table4[],3,FALSE)</f>
        <v>2</v>
      </c>
      <c r="H2308" s="15"/>
      <c r="I2308" s="15">
        <v>143495</v>
      </c>
      <c r="J2308" s="15" t="s">
        <v>28</v>
      </c>
      <c r="K2308" s="15">
        <v>669498475</v>
      </c>
      <c r="L2308" s="15" t="s">
        <v>29</v>
      </c>
      <c r="M2308" s="15" t="s">
        <v>29</v>
      </c>
    </row>
    <row r="2309" spans="1:13" x14ac:dyDescent="0.25">
      <c r="A2309" s="23">
        <f t="shared" si="112"/>
        <v>212915</v>
      </c>
      <c r="B2309" s="14" t="str">
        <f t="shared" si="113"/>
        <v>Billing - Credits (from TPA)</v>
      </c>
      <c r="C2309" s="37">
        <v>46160</v>
      </c>
      <c r="D2309" s="31">
        <v>212915</v>
      </c>
      <c r="E2309" s="33" t="str">
        <f>IF(Table3[[#This Row],[Type Received]]=2,"CC",(IF(Table3[[#This Row],[Type Received]]=3,"BILL","ACH")))</f>
        <v>BILL</v>
      </c>
      <c r="F2309" s="32">
        <v>22.49</v>
      </c>
      <c r="G2309" s="14" t="str">
        <f>VLOOKUP(D2309,Table4[],3,FALSE)</f>
        <v>1</v>
      </c>
      <c r="H2309" s="15">
        <v>19981</v>
      </c>
      <c r="I2309" s="15"/>
      <c r="J2309" s="15"/>
      <c r="K2309" s="15"/>
      <c r="L2309" s="15"/>
      <c r="M2309" s="15"/>
    </row>
    <row r="2310" spans="1:13" x14ac:dyDescent="0.25">
      <c r="A2310" s="23">
        <f t="shared" si="112"/>
        <v>212991</v>
      </c>
      <c r="B2310" s="14" t="str">
        <f t="shared" si="113"/>
        <v>Billing - Credits (from TPA)</v>
      </c>
      <c r="C2310" s="38">
        <v>46150</v>
      </c>
      <c r="D2310" s="34">
        <v>212991</v>
      </c>
      <c r="E2310" s="36" t="str">
        <f>IF(Table3[[#This Row],[Type Received]]=2,"CC",(IF(Table3[[#This Row],[Type Received]]=3,"BILL","ACH")))</f>
        <v>BILL</v>
      </c>
      <c r="F2310" s="35">
        <v>21</v>
      </c>
      <c r="G2310" s="14" t="str">
        <f>VLOOKUP(D2310,Table4[],3,FALSE)</f>
        <v>1</v>
      </c>
      <c r="H2310" s="15">
        <v>19835841290</v>
      </c>
      <c r="I2310" s="15"/>
      <c r="J2310" s="15"/>
      <c r="K2310" s="15"/>
      <c r="L2310" s="15"/>
      <c r="M2310" s="15"/>
    </row>
    <row r="2311" spans="1:13" x14ac:dyDescent="0.25">
      <c r="A2311" s="23">
        <f t="shared" si="112"/>
        <v>212996</v>
      </c>
      <c r="B2311" s="14" t="str">
        <f t="shared" si="113"/>
        <v>Direct Debit (UMB Bank) - Credits</v>
      </c>
      <c r="C2311" s="37">
        <v>46170</v>
      </c>
      <c r="D2311" s="31">
        <v>212996</v>
      </c>
      <c r="E2311" s="33" t="str">
        <f>IF(Table3[[#This Row],[Type Received]]=2,"CC",(IF(Table3[[#This Row],[Type Received]]=3,"BILL","ACH")))</f>
        <v>ACH</v>
      </c>
      <c r="F2311" s="32">
        <v>99.13</v>
      </c>
      <c r="G2311" s="14" t="str">
        <f>VLOOKUP(D2311,Table4[],3,FALSE)</f>
        <v>1</v>
      </c>
      <c r="H2311" s="15">
        <v>405</v>
      </c>
      <c r="I2311" s="15"/>
      <c r="J2311" s="15"/>
      <c r="K2311" s="15"/>
      <c r="L2311" s="15"/>
      <c r="M2311" s="15" t="s">
        <v>29</v>
      </c>
    </row>
    <row r="2312" spans="1:13" x14ac:dyDescent="0.25">
      <c r="A2312" s="23">
        <f t="shared" si="112"/>
        <v>213260</v>
      </c>
      <c r="B2312" s="14" t="str">
        <f t="shared" si="113"/>
        <v>Credit Cards (UMB) - Credits</v>
      </c>
      <c r="C2312" s="38">
        <v>46167</v>
      </c>
      <c r="D2312" s="34">
        <v>213260</v>
      </c>
      <c r="E2312" s="36" t="str">
        <f>IF(Table3[[#This Row],[Type Received]]=2,"CC",(IF(Table3[[#This Row],[Type Received]]=3,"BILL","ACH")))</f>
        <v>CC</v>
      </c>
      <c r="F2312" s="35">
        <v>23.25</v>
      </c>
      <c r="G2312" s="14" t="str">
        <f>VLOOKUP(D2312,Table4[],3,FALSE)</f>
        <v>1</v>
      </c>
      <c r="H2312" s="15"/>
      <c r="I2312" s="15"/>
      <c r="J2312" s="15" t="s">
        <v>85</v>
      </c>
      <c r="K2312" s="15">
        <v>818373368</v>
      </c>
      <c r="L2312" s="15" t="s">
        <v>29</v>
      </c>
      <c r="M2312" s="15" t="s">
        <v>29</v>
      </c>
    </row>
    <row r="2313" spans="1:13" x14ac:dyDescent="0.25">
      <c r="A2313" s="23">
        <f t="shared" si="112"/>
        <v>213298</v>
      </c>
      <c r="B2313" s="14" t="str">
        <f t="shared" si="113"/>
        <v>Billing - Credits (from TPA)</v>
      </c>
      <c r="C2313" s="37">
        <v>46157</v>
      </c>
      <c r="D2313" s="31">
        <v>213298</v>
      </c>
      <c r="E2313" s="33" t="str">
        <f>IF(Table3[[#This Row],[Type Received]]=2,"CC",(IF(Table3[[#This Row],[Type Received]]=3,"BILL","ACH")))</f>
        <v>BILL</v>
      </c>
      <c r="F2313" s="32">
        <v>11.89</v>
      </c>
      <c r="G2313" s="14" t="str">
        <f>VLOOKUP(D2313,Table4[],3,FALSE)</f>
        <v>1</v>
      </c>
      <c r="H2313" s="15"/>
      <c r="I2313" s="15">
        <v>48587</v>
      </c>
      <c r="J2313" s="15" t="s">
        <v>28</v>
      </c>
      <c r="K2313" s="15">
        <v>696634036</v>
      </c>
      <c r="L2313" s="15" t="s">
        <v>29</v>
      </c>
      <c r="M2313" s="15" t="s">
        <v>29</v>
      </c>
    </row>
    <row r="2314" spans="1:13" x14ac:dyDescent="0.25">
      <c r="A2314" s="23">
        <f t="shared" si="112"/>
        <v>213356</v>
      </c>
      <c r="B2314" s="14" t="str">
        <f t="shared" si="113"/>
        <v>Billing - Credits (from TPA)</v>
      </c>
      <c r="C2314" s="38">
        <v>46170</v>
      </c>
      <c r="D2314" s="34">
        <v>213356</v>
      </c>
      <c r="E2314" s="36" t="str">
        <f>IF(Table3[[#This Row],[Type Received]]=2,"CC",(IF(Table3[[#This Row],[Type Received]]=3,"BILL","ACH")))</f>
        <v>BILL</v>
      </c>
      <c r="F2314" s="35">
        <v>27.44</v>
      </c>
      <c r="G2314" s="14" t="str">
        <f>VLOOKUP(D2314,Table4[],3,FALSE)</f>
        <v>2</v>
      </c>
      <c r="H2314" s="15">
        <v>923942649</v>
      </c>
      <c r="I2314" s="15"/>
      <c r="J2314" s="15"/>
      <c r="K2314" s="15"/>
      <c r="L2314" s="15"/>
      <c r="M2314" s="15" t="s">
        <v>29</v>
      </c>
    </row>
    <row r="2315" spans="1:13" x14ac:dyDescent="0.25">
      <c r="A2315" s="23">
        <f t="shared" si="112"/>
        <v>213362</v>
      </c>
      <c r="B2315" s="14" t="str">
        <f t="shared" si="113"/>
        <v>Direct Debit (UMB Bank) - Credits</v>
      </c>
      <c r="C2315" s="37">
        <v>46147</v>
      </c>
      <c r="D2315" s="31">
        <v>213362</v>
      </c>
      <c r="E2315" s="33" t="str">
        <f>IF(Table3[[#This Row],[Type Received]]=2,"CC",(IF(Table3[[#This Row],[Type Received]]=3,"BILL","ACH")))</f>
        <v>ACH</v>
      </c>
      <c r="F2315" s="32">
        <v>44.86</v>
      </c>
      <c r="G2315" s="14" t="str">
        <f>VLOOKUP(D2315,Table4[],3,FALSE)</f>
        <v>1</v>
      </c>
      <c r="H2315" s="15">
        <v>1359</v>
      </c>
      <c r="I2315" s="15"/>
      <c r="J2315" s="15"/>
      <c r="K2315" s="15"/>
      <c r="L2315" s="15"/>
      <c r="M2315" s="15"/>
    </row>
    <row r="2316" spans="1:13" x14ac:dyDescent="0.25">
      <c r="A2316" s="23">
        <f t="shared" si="112"/>
        <v>213429</v>
      </c>
      <c r="B2316" s="14" t="str">
        <f t="shared" si="113"/>
        <v>Credit Cards (UMB) - Credits</v>
      </c>
      <c r="C2316" s="38">
        <v>46157</v>
      </c>
      <c r="D2316" s="34">
        <v>213429</v>
      </c>
      <c r="E2316" s="36" t="str">
        <f>IF(Table3[[#This Row],[Type Received]]=2,"CC",(IF(Table3[[#This Row],[Type Received]]=3,"BILL","ACH")))</f>
        <v>CC</v>
      </c>
      <c r="F2316" s="35">
        <v>18.96</v>
      </c>
      <c r="G2316" s="14" t="str">
        <f>VLOOKUP(D2316,Table4[],3,FALSE)</f>
        <v>2</v>
      </c>
      <c r="H2316" s="15"/>
      <c r="I2316" s="15"/>
      <c r="J2316" s="15" t="s">
        <v>87</v>
      </c>
      <c r="K2316" s="15">
        <v>696764297</v>
      </c>
      <c r="L2316" s="15" t="s">
        <v>29</v>
      </c>
      <c r="M2316" s="15" t="s">
        <v>29</v>
      </c>
    </row>
    <row r="2317" spans="1:13" x14ac:dyDescent="0.25">
      <c r="A2317" s="23">
        <f t="shared" si="112"/>
        <v>213453</v>
      </c>
      <c r="B2317" s="14" t="str">
        <f t="shared" si="113"/>
        <v>Direct Debit (UMB Bank) - Credits</v>
      </c>
      <c r="C2317" s="37">
        <v>46155</v>
      </c>
      <c r="D2317" s="31">
        <v>213453</v>
      </c>
      <c r="E2317" s="33" t="str">
        <f>IF(Table3[[#This Row],[Type Received]]=2,"CC",(IF(Table3[[#This Row],[Type Received]]=3,"BILL","ACH")))</f>
        <v>ACH</v>
      </c>
      <c r="F2317" s="32">
        <v>16.09</v>
      </c>
      <c r="G2317" s="14" t="str">
        <f>VLOOKUP(D2317,Table4[],3,FALSE)</f>
        <v>1</v>
      </c>
      <c r="H2317" s="15"/>
      <c r="I2317" s="15">
        <v>178454</v>
      </c>
      <c r="J2317" s="15" t="s">
        <v>28</v>
      </c>
      <c r="K2317" s="15">
        <v>669483858</v>
      </c>
      <c r="L2317" s="15" t="s">
        <v>29</v>
      </c>
      <c r="M2317" s="15" t="s">
        <v>29</v>
      </c>
    </row>
    <row r="2318" spans="1:13" x14ac:dyDescent="0.25">
      <c r="A2318" s="23"/>
      <c r="B2318" s="14" t="str">
        <f t="shared" si="113"/>
        <v>Direct Debit (UMB Bank) - Credits</v>
      </c>
      <c r="C2318" s="38">
        <v>46144</v>
      </c>
      <c r="D2318" s="34">
        <v>213490</v>
      </c>
      <c r="E2318" s="36" t="str">
        <f>IF(Table3[[#This Row],[Type Received]]=2,"CC",(IF(Table3[[#This Row],[Type Received]]=3,"BILL","ACH")))</f>
        <v>ACH</v>
      </c>
      <c r="F2318" s="35">
        <v>37.22</v>
      </c>
      <c r="G2318" s="14" t="str">
        <f>VLOOKUP(D2318,Table4[],3,FALSE)</f>
        <v>2</v>
      </c>
      <c r="H2318" s="15"/>
      <c r="I2318" s="15"/>
      <c r="J2318" s="15" t="s">
        <v>89</v>
      </c>
      <c r="K2318" s="15">
        <v>535395754</v>
      </c>
      <c r="L2318" s="15" t="s">
        <v>29</v>
      </c>
      <c r="M2318" s="15" t="s">
        <v>29</v>
      </c>
    </row>
    <row r="2319" spans="1:13" x14ac:dyDescent="0.25">
      <c r="A2319" s="23"/>
      <c r="B2319" s="14" t="str">
        <f t="shared" si="113"/>
        <v>Credit Cards (UMB) - Credits</v>
      </c>
      <c r="C2319" s="37">
        <v>46167</v>
      </c>
      <c r="D2319" s="31">
        <v>213559</v>
      </c>
      <c r="E2319" s="33" t="str">
        <f>IF(Table3[[#This Row],[Type Received]]=2,"CC",(IF(Table3[[#This Row],[Type Received]]=3,"BILL","ACH")))</f>
        <v>CC</v>
      </c>
      <c r="F2319" s="32">
        <v>31.28</v>
      </c>
      <c r="G2319" s="14" t="str">
        <f>VLOOKUP(D2319,Table4[],3,FALSE)</f>
        <v>2</v>
      </c>
      <c r="H2319" s="15"/>
      <c r="I2319" s="15"/>
      <c r="J2319" s="15" t="s">
        <v>85</v>
      </c>
      <c r="K2319" s="15">
        <v>818328610</v>
      </c>
      <c r="L2319" s="15" t="s">
        <v>29</v>
      </c>
      <c r="M2319" s="15" t="s">
        <v>29</v>
      </c>
    </row>
    <row r="2320" spans="1:13" x14ac:dyDescent="0.25">
      <c r="A2320" s="23"/>
      <c r="B2320" s="14" t="str">
        <f t="shared" si="113"/>
        <v>Billing - Credits (from TPA)</v>
      </c>
      <c r="C2320" s="38">
        <v>46157</v>
      </c>
      <c r="D2320" s="34">
        <v>213562</v>
      </c>
      <c r="E2320" s="36" t="str">
        <f>IF(Table3[[#This Row],[Type Received]]=2,"CC",(IF(Table3[[#This Row],[Type Received]]=3,"BILL","ACH")))</f>
        <v>BILL</v>
      </c>
      <c r="F2320" s="35">
        <v>11.75</v>
      </c>
      <c r="G2320" s="14" t="str">
        <f>VLOOKUP(D2320,Table4[],3,FALSE)</f>
        <v>1</v>
      </c>
      <c r="H2320" s="15"/>
      <c r="I2320" s="15">
        <v>43094</v>
      </c>
      <c r="J2320" s="15" t="s">
        <v>28</v>
      </c>
      <c r="K2320" s="15">
        <v>696704438</v>
      </c>
      <c r="L2320" s="15" t="s">
        <v>29</v>
      </c>
      <c r="M2320" s="15" t="s">
        <v>29</v>
      </c>
    </row>
    <row r="2321" spans="1:13" x14ac:dyDescent="0.25">
      <c r="A2321" s="23">
        <f t="shared" ref="A2321:A2349" si="114">D2321</f>
        <v>213625</v>
      </c>
      <c r="B2321" s="14" t="str">
        <f t="shared" si="113"/>
        <v>Billing - Credits (from TPA)</v>
      </c>
      <c r="C2321" s="37">
        <v>46169</v>
      </c>
      <c r="D2321" s="31">
        <v>213625</v>
      </c>
      <c r="E2321" s="33" t="str">
        <f>IF(Table3[[#This Row],[Type Received]]=2,"CC",(IF(Table3[[#This Row],[Type Received]]=3,"BILL","ACH")))</f>
        <v>BILL</v>
      </c>
      <c r="F2321" s="32">
        <v>56.48</v>
      </c>
      <c r="G2321" s="14" t="str">
        <f>VLOOKUP(D2321,Table4[],3,FALSE)</f>
        <v>2</v>
      </c>
      <c r="H2321" s="15">
        <v>3000</v>
      </c>
      <c r="I2321" s="15"/>
      <c r="J2321" s="15"/>
      <c r="K2321" s="15"/>
      <c r="L2321" s="15"/>
      <c r="M2321" s="15" t="s">
        <v>29</v>
      </c>
    </row>
    <row r="2322" spans="1:13" x14ac:dyDescent="0.25">
      <c r="A2322" s="23">
        <f t="shared" si="114"/>
        <v>213673</v>
      </c>
      <c r="B2322" s="14" t="str">
        <f t="shared" si="113"/>
        <v>Direct Debit (UMB Bank) - Credits</v>
      </c>
      <c r="C2322" s="38">
        <v>46146</v>
      </c>
      <c r="D2322" s="34">
        <v>213673</v>
      </c>
      <c r="E2322" s="36" t="str">
        <f>IF(Table3[[#This Row],[Type Received]]=2,"CC",(IF(Table3[[#This Row],[Type Received]]=3,"BILL","ACH")))</f>
        <v>ACH</v>
      </c>
      <c r="F2322" s="35">
        <v>42.29</v>
      </c>
      <c r="G2322" s="14" t="str">
        <f>VLOOKUP(D2322,Table4[],3,FALSE)</f>
        <v>1</v>
      </c>
      <c r="H2322" s="15">
        <v>105</v>
      </c>
      <c r="I2322" s="15"/>
      <c r="J2322" s="15"/>
      <c r="K2322" s="15"/>
      <c r="L2322" s="15"/>
      <c r="M2322" s="15" t="s">
        <v>29</v>
      </c>
    </row>
    <row r="2323" spans="1:13" x14ac:dyDescent="0.25">
      <c r="A2323" s="23">
        <f t="shared" si="114"/>
        <v>213699</v>
      </c>
      <c r="B2323" s="14" t="str">
        <f t="shared" si="113"/>
        <v>Credit Cards (UMB) - Credits</v>
      </c>
      <c r="C2323" s="37">
        <v>46167</v>
      </c>
      <c r="D2323" s="31">
        <v>213699</v>
      </c>
      <c r="E2323" s="33" t="str">
        <f>IF(Table3[[#This Row],[Type Received]]=2,"CC",(IF(Table3[[#This Row],[Type Received]]=3,"BILL","ACH")))</f>
        <v>CC</v>
      </c>
      <c r="F2323" s="32">
        <v>22.81</v>
      </c>
      <c r="G2323" s="14" t="str">
        <f>VLOOKUP(D2323,Table4[],3,FALSE)</f>
        <v>2</v>
      </c>
      <c r="H2323" s="15"/>
      <c r="I2323" s="15"/>
      <c r="J2323" s="15" t="s">
        <v>85</v>
      </c>
      <c r="K2323" s="15">
        <v>818359767</v>
      </c>
      <c r="L2323" s="15" t="s">
        <v>29</v>
      </c>
      <c r="M2323" s="15" t="s">
        <v>29</v>
      </c>
    </row>
    <row r="2324" spans="1:13" x14ac:dyDescent="0.25">
      <c r="A2324" s="23">
        <f t="shared" si="114"/>
        <v>213711</v>
      </c>
      <c r="B2324" s="14" t="str">
        <f t="shared" si="113"/>
        <v>Credit Cards (UMB) - Credits</v>
      </c>
      <c r="C2324" s="38">
        <v>46144</v>
      </c>
      <c r="D2324" s="34">
        <v>213711</v>
      </c>
      <c r="E2324" s="36" t="str">
        <f>IF(Table3[[#This Row],[Type Received]]=2,"CC",(IF(Table3[[#This Row],[Type Received]]=3,"BILL","ACH")))</f>
        <v>CC</v>
      </c>
      <c r="F2324" s="35">
        <v>27.54</v>
      </c>
      <c r="G2324" s="14" t="str">
        <f>VLOOKUP(D2324,Table4[],3,FALSE)</f>
        <v>2</v>
      </c>
      <c r="H2324" s="15"/>
      <c r="I2324" s="15">
        <v>140339</v>
      </c>
      <c r="J2324" s="15" t="s">
        <v>28</v>
      </c>
      <c r="K2324" s="15">
        <v>535407346</v>
      </c>
      <c r="L2324" s="15" t="s">
        <v>29</v>
      </c>
      <c r="M2324" s="15" t="s">
        <v>29</v>
      </c>
    </row>
    <row r="2325" spans="1:13" x14ac:dyDescent="0.25">
      <c r="A2325" s="23">
        <f t="shared" si="114"/>
        <v>213862</v>
      </c>
      <c r="B2325" s="14" t="str">
        <f t="shared" si="113"/>
        <v>Direct Debit (UMB Bank) - Credits</v>
      </c>
      <c r="C2325" s="37">
        <v>46145</v>
      </c>
      <c r="D2325" s="31">
        <v>213862</v>
      </c>
      <c r="E2325" s="33" t="str">
        <f>IF(Table3[[#This Row],[Type Received]]=2,"CC",(IF(Table3[[#This Row],[Type Received]]=3,"BILL","ACH")))</f>
        <v>ACH</v>
      </c>
      <c r="F2325" s="32">
        <v>166.74</v>
      </c>
      <c r="G2325" s="14" t="str">
        <f>VLOOKUP(D2325,Table4[],3,FALSE)</f>
        <v>2</v>
      </c>
      <c r="H2325" s="15"/>
      <c r="I2325" s="15">
        <v>122368</v>
      </c>
      <c r="J2325" s="15">
        <v>742039970</v>
      </c>
      <c r="K2325" s="15">
        <v>353334100</v>
      </c>
      <c r="L2325" s="15"/>
      <c r="M2325" s="15" t="s">
        <v>29</v>
      </c>
    </row>
    <row r="2326" spans="1:13" x14ac:dyDescent="0.25">
      <c r="A2326" s="23">
        <f t="shared" si="114"/>
        <v>213916</v>
      </c>
      <c r="B2326" s="14" t="str">
        <f t="shared" si="113"/>
        <v>Credit Cards (UMB) - Credits</v>
      </c>
      <c r="C2326" s="38">
        <v>46144</v>
      </c>
      <c r="D2326" s="34">
        <v>213916</v>
      </c>
      <c r="E2326" s="36" t="str">
        <f>IF(Table3[[#This Row],[Type Received]]=2,"CC",(IF(Table3[[#This Row],[Type Received]]=3,"BILL","ACH")))</f>
        <v>CC</v>
      </c>
      <c r="F2326" s="35">
        <v>14.69</v>
      </c>
      <c r="G2326" s="14" t="str">
        <f>VLOOKUP(D2326,Table4[],3,FALSE)</f>
        <v>1</v>
      </c>
      <c r="H2326" s="15"/>
      <c r="I2326" s="15"/>
      <c r="J2326" s="15" t="s">
        <v>89</v>
      </c>
      <c r="K2326" s="15">
        <v>535390035</v>
      </c>
      <c r="L2326" s="15" t="s">
        <v>29</v>
      </c>
      <c r="M2326" s="15" t="s">
        <v>29</v>
      </c>
    </row>
    <row r="2327" spans="1:13" x14ac:dyDescent="0.25">
      <c r="A2327" s="23">
        <f t="shared" si="114"/>
        <v>213923</v>
      </c>
      <c r="B2327" s="14" t="str">
        <f t="shared" si="113"/>
        <v>Direct Debit (UMB Bank) - Credits</v>
      </c>
      <c r="C2327" s="37">
        <v>46155</v>
      </c>
      <c r="D2327" s="31">
        <v>213923</v>
      </c>
      <c r="E2327" s="33" t="str">
        <f>IF(Table3[[#This Row],[Type Received]]=2,"CC",(IF(Table3[[#This Row],[Type Received]]=3,"BILL","ACH")))</f>
        <v>ACH</v>
      </c>
      <c r="F2327" s="32">
        <v>37.770000000000003</v>
      </c>
      <c r="G2327" s="14" t="str">
        <f>VLOOKUP(D2327,Table4[],3,FALSE)</f>
        <v>1</v>
      </c>
      <c r="H2327" s="15"/>
      <c r="I2327" s="15">
        <v>130197</v>
      </c>
      <c r="J2327" s="15" t="s">
        <v>28</v>
      </c>
      <c r="K2327" s="15">
        <v>669482890</v>
      </c>
      <c r="L2327" s="15" t="s">
        <v>29</v>
      </c>
      <c r="M2327" s="15" t="s">
        <v>29</v>
      </c>
    </row>
    <row r="2328" spans="1:13" x14ac:dyDescent="0.25">
      <c r="A2328" s="23">
        <f t="shared" si="114"/>
        <v>213948</v>
      </c>
      <c r="B2328" s="14" t="str">
        <f t="shared" si="113"/>
        <v>Direct Debit (UMB Bank) - Credits</v>
      </c>
      <c r="C2328" s="38">
        <v>46144</v>
      </c>
      <c r="D2328" s="34">
        <v>213948</v>
      </c>
      <c r="E2328" s="36" t="str">
        <f>IF(Table3[[#This Row],[Type Received]]=2,"CC",(IF(Table3[[#This Row],[Type Received]]=3,"BILL","ACH")))</f>
        <v>ACH</v>
      </c>
      <c r="F2328" s="35">
        <v>13.01</v>
      </c>
      <c r="G2328" s="14" t="str">
        <f>VLOOKUP(D2328,Table4[],3,FALSE)</f>
        <v>1</v>
      </c>
      <c r="H2328" s="15"/>
      <c r="I2328" s="15"/>
      <c r="J2328" s="15" t="s">
        <v>89</v>
      </c>
      <c r="K2328" s="15">
        <v>535390949</v>
      </c>
      <c r="L2328" s="15" t="s">
        <v>29</v>
      </c>
      <c r="M2328" s="15" t="s">
        <v>29</v>
      </c>
    </row>
    <row r="2329" spans="1:13" x14ac:dyDescent="0.25">
      <c r="A2329" s="23">
        <f t="shared" si="114"/>
        <v>213998</v>
      </c>
      <c r="B2329" s="14" t="str">
        <f t="shared" si="113"/>
        <v>Direct Debit (UMB Bank) - Credits</v>
      </c>
      <c r="C2329" s="37">
        <v>46157</v>
      </c>
      <c r="D2329" s="31">
        <v>213998</v>
      </c>
      <c r="E2329" s="33" t="str">
        <f>IF(Table3[[#This Row],[Type Received]]=2,"CC",(IF(Table3[[#This Row],[Type Received]]=3,"BILL","ACH")))</f>
        <v>ACH</v>
      </c>
      <c r="F2329" s="32">
        <v>41.73</v>
      </c>
      <c r="G2329" s="14" t="str">
        <f>VLOOKUP(D2329,Table4[],3,FALSE)</f>
        <v>2</v>
      </c>
      <c r="H2329" s="15"/>
      <c r="I2329" s="15"/>
      <c r="J2329" s="15" t="s">
        <v>87</v>
      </c>
      <c r="K2329" s="15">
        <v>696757572</v>
      </c>
      <c r="L2329" s="15" t="s">
        <v>29</v>
      </c>
      <c r="M2329" s="15" t="s">
        <v>29</v>
      </c>
    </row>
    <row r="2330" spans="1:13" x14ac:dyDescent="0.25">
      <c r="A2330" s="23">
        <f t="shared" si="114"/>
        <v>214056</v>
      </c>
      <c r="B2330" s="14" t="str">
        <f t="shared" si="113"/>
        <v>Billing - Credits (from TPA)</v>
      </c>
      <c r="C2330" s="38">
        <v>46167</v>
      </c>
      <c r="D2330" s="34">
        <v>214056</v>
      </c>
      <c r="E2330" s="36" t="str">
        <f>IF(Table3[[#This Row],[Type Received]]=2,"CC",(IF(Table3[[#This Row],[Type Received]]=3,"BILL","ACH")))</f>
        <v>BILL</v>
      </c>
      <c r="F2330" s="35">
        <v>39.54</v>
      </c>
      <c r="G2330" s="14" t="str">
        <f>VLOOKUP(D2330,Table4[],3,FALSE)</f>
        <v>1</v>
      </c>
      <c r="H2330" s="15"/>
      <c r="I2330" s="15"/>
      <c r="J2330" s="15" t="s">
        <v>85</v>
      </c>
      <c r="K2330" s="15">
        <v>818407510</v>
      </c>
      <c r="L2330" s="15" t="s">
        <v>29</v>
      </c>
      <c r="M2330" s="15" t="s">
        <v>29</v>
      </c>
    </row>
    <row r="2331" spans="1:13" x14ac:dyDescent="0.25">
      <c r="A2331" s="23">
        <f t="shared" si="114"/>
        <v>214087</v>
      </c>
      <c r="B2331" s="14" t="str">
        <f t="shared" si="113"/>
        <v>Direct Debit (UMB Bank) - Credits</v>
      </c>
      <c r="C2331" s="37">
        <v>46170</v>
      </c>
      <c r="D2331" s="31">
        <v>214087</v>
      </c>
      <c r="E2331" s="33" t="str">
        <f>IF(Table3[[#This Row],[Type Received]]=2,"CC",(IF(Table3[[#This Row],[Type Received]]=3,"BILL","ACH")))</f>
        <v>ACH</v>
      </c>
      <c r="F2331" s="32">
        <v>49.3</v>
      </c>
      <c r="G2331" s="14" t="str">
        <f>VLOOKUP(D2331,Table4[],3,FALSE)</f>
        <v>2</v>
      </c>
      <c r="H2331" s="15">
        <v>1379</v>
      </c>
      <c r="I2331" s="15"/>
      <c r="J2331" s="15"/>
      <c r="K2331" s="15"/>
      <c r="L2331" s="15"/>
      <c r="M2331" s="15" t="s">
        <v>29</v>
      </c>
    </row>
    <row r="2332" spans="1:13" x14ac:dyDescent="0.25">
      <c r="A2332" s="23">
        <f t="shared" si="114"/>
        <v>214101</v>
      </c>
      <c r="B2332" s="14" t="str">
        <f t="shared" si="113"/>
        <v>Credit Cards (UMB) - Credits</v>
      </c>
      <c r="C2332" s="38">
        <v>46144</v>
      </c>
      <c r="D2332" s="34">
        <v>214101</v>
      </c>
      <c r="E2332" s="36" t="str">
        <f>IF(Table3[[#This Row],[Type Received]]=2,"CC",(IF(Table3[[#This Row],[Type Received]]=3,"BILL","ACH")))</f>
        <v>CC</v>
      </c>
      <c r="F2332" s="35">
        <v>10.91</v>
      </c>
      <c r="G2332" s="14" t="str">
        <f>VLOOKUP(D2332,Table4[],3,FALSE)</f>
        <v>1</v>
      </c>
      <c r="H2332" s="15"/>
      <c r="I2332" s="15"/>
      <c r="J2332" s="15" t="s">
        <v>89</v>
      </c>
      <c r="K2332" s="15">
        <v>535416109</v>
      </c>
      <c r="L2332" s="15" t="s">
        <v>29</v>
      </c>
      <c r="M2332" s="15"/>
    </row>
    <row r="2333" spans="1:13" x14ac:dyDescent="0.25">
      <c r="A2333" s="23">
        <f t="shared" si="114"/>
        <v>214112</v>
      </c>
      <c r="B2333" s="14" t="str">
        <f t="shared" si="113"/>
        <v>Billing - Credits (from TPA)</v>
      </c>
      <c r="C2333" s="37">
        <v>46155</v>
      </c>
      <c r="D2333" s="31">
        <v>214112</v>
      </c>
      <c r="E2333" s="33" t="str">
        <f>IF(Table3[[#This Row],[Type Received]]=2,"CC",(IF(Table3[[#This Row],[Type Received]]=3,"BILL","ACH")))</f>
        <v>BILL</v>
      </c>
      <c r="F2333" s="32">
        <v>67.25</v>
      </c>
      <c r="G2333" s="14" t="str">
        <f>VLOOKUP(D2333,Table4[],3,FALSE)</f>
        <v>1</v>
      </c>
      <c r="H2333" s="15"/>
      <c r="I2333" s="15">
        <v>163400</v>
      </c>
      <c r="J2333" s="15" t="s">
        <v>28</v>
      </c>
      <c r="K2333" s="15">
        <v>669485784</v>
      </c>
      <c r="L2333" s="15" t="s">
        <v>29</v>
      </c>
      <c r="M2333" s="15" t="s">
        <v>29</v>
      </c>
    </row>
    <row r="2334" spans="1:13" x14ac:dyDescent="0.25">
      <c r="A2334" s="23">
        <f t="shared" si="114"/>
        <v>214168</v>
      </c>
      <c r="B2334" s="14" t="str">
        <f t="shared" si="113"/>
        <v>Direct Debit (UMB Bank) - Credits</v>
      </c>
      <c r="C2334" s="38">
        <v>46168</v>
      </c>
      <c r="D2334" s="34">
        <v>214168</v>
      </c>
      <c r="E2334" s="36" t="str">
        <f>IF(Table3[[#This Row],[Type Received]]=2,"CC",(IF(Table3[[#This Row],[Type Received]]=3,"BILL","ACH")))</f>
        <v>ACH</v>
      </c>
      <c r="F2334" s="35">
        <v>118.19</v>
      </c>
      <c r="G2334" s="14" t="str">
        <f>VLOOKUP(D2334,Table4[],3,FALSE)</f>
        <v>2</v>
      </c>
      <c r="H2334" s="15">
        <v>4773</v>
      </c>
      <c r="I2334" s="15"/>
      <c r="J2334" s="15"/>
      <c r="K2334" s="15"/>
      <c r="L2334" s="15"/>
      <c r="M2334" s="15" t="s">
        <v>29</v>
      </c>
    </row>
    <row r="2335" spans="1:13" x14ac:dyDescent="0.25">
      <c r="A2335" s="23">
        <f t="shared" si="114"/>
        <v>214523</v>
      </c>
      <c r="B2335" s="14" t="str">
        <f t="shared" si="113"/>
        <v>Direct Debit (UMB Bank) - Credits</v>
      </c>
      <c r="C2335" s="37">
        <v>46167</v>
      </c>
      <c r="D2335" s="31">
        <v>214523</v>
      </c>
      <c r="E2335" s="33" t="str">
        <f>IF(Table3[[#This Row],[Type Received]]=2,"CC",(IF(Table3[[#This Row],[Type Received]]=3,"BILL","ACH")))</f>
        <v>ACH</v>
      </c>
      <c r="F2335" s="32">
        <v>80.23</v>
      </c>
      <c r="G2335" s="14" t="str">
        <f>VLOOKUP(D2335,Table4[],3,FALSE)</f>
        <v>2</v>
      </c>
      <c r="H2335" s="15"/>
      <c r="I2335" s="15"/>
      <c r="J2335" s="15" t="s">
        <v>85</v>
      </c>
      <c r="K2335" s="15">
        <v>818375303</v>
      </c>
      <c r="L2335" s="15" t="s">
        <v>29</v>
      </c>
      <c r="M2335" s="15" t="s">
        <v>29</v>
      </c>
    </row>
    <row r="2336" spans="1:13" x14ac:dyDescent="0.25">
      <c r="A2336" s="23">
        <f t="shared" si="114"/>
        <v>214528</v>
      </c>
      <c r="B2336" s="14" t="str">
        <f t="shared" si="113"/>
        <v>Billing - Credits (from TPA)</v>
      </c>
      <c r="C2336" s="38">
        <v>46167</v>
      </c>
      <c r="D2336" s="34">
        <v>214528</v>
      </c>
      <c r="E2336" s="36" t="str">
        <f>IF(Table3[[#This Row],[Type Received]]=2,"CC",(IF(Table3[[#This Row],[Type Received]]=3,"BILL","ACH")))</f>
        <v>BILL</v>
      </c>
      <c r="F2336" s="35">
        <v>18.63</v>
      </c>
      <c r="G2336" s="14" t="str">
        <f>VLOOKUP(D2336,Table4[],3,FALSE)</f>
        <v>1</v>
      </c>
      <c r="H2336" s="15"/>
      <c r="I2336" s="15"/>
      <c r="J2336" s="15" t="s">
        <v>85</v>
      </c>
      <c r="K2336" s="15">
        <v>818353067</v>
      </c>
      <c r="L2336" s="15" t="s">
        <v>29</v>
      </c>
      <c r="M2336" s="15"/>
    </row>
    <row r="2337" spans="1:13" x14ac:dyDescent="0.25">
      <c r="A2337" s="23">
        <f t="shared" si="114"/>
        <v>214732</v>
      </c>
      <c r="B2337" s="14" t="str">
        <f t="shared" si="113"/>
        <v>Billing - Credits (from TPA)</v>
      </c>
      <c r="C2337" s="37">
        <v>46153</v>
      </c>
      <c r="D2337" s="31">
        <v>214732</v>
      </c>
      <c r="E2337" s="33" t="str">
        <f>IF(Table3[[#This Row],[Type Received]]=2,"CC",(IF(Table3[[#This Row],[Type Received]]=3,"BILL","ACH")))</f>
        <v>BILL</v>
      </c>
      <c r="F2337" s="32">
        <v>41.98</v>
      </c>
      <c r="G2337" s="14" t="str">
        <f>VLOOKUP(D2337,Table4[],3,FALSE)</f>
        <v>2</v>
      </c>
      <c r="H2337" s="15">
        <v>201</v>
      </c>
      <c r="I2337" s="15"/>
      <c r="J2337" s="15"/>
      <c r="K2337" s="15"/>
      <c r="L2337" s="15"/>
      <c r="M2337" s="15" t="s">
        <v>29</v>
      </c>
    </row>
    <row r="2338" spans="1:13" x14ac:dyDescent="0.25">
      <c r="A2338" s="23">
        <f t="shared" si="114"/>
        <v>214742</v>
      </c>
      <c r="B2338" s="14" t="str">
        <f t="shared" si="113"/>
        <v>Direct Debit (UMB Bank) - Credits</v>
      </c>
      <c r="C2338" s="38">
        <v>46169</v>
      </c>
      <c r="D2338" s="34">
        <v>214742</v>
      </c>
      <c r="E2338" s="36" t="str">
        <f>IF(Table3[[#This Row],[Type Received]]=2,"CC",(IF(Table3[[#This Row],[Type Received]]=3,"BILL","ACH")))</f>
        <v>ACH</v>
      </c>
      <c r="F2338" s="35">
        <v>50</v>
      </c>
      <c r="G2338" s="14" t="str">
        <f>VLOOKUP(D2338,Table4[],3,FALSE)</f>
        <v>2</v>
      </c>
      <c r="H2338" s="15">
        <v>4123</v>
      </c>
      <c r="I2338" s="15"/>
      <c r="J2338" s="15"/>
      <c r="K2338" s="15"/>
      <c r="L2338" s="15"/>
      <c r="M2338" s="15" t="s">
        <v>29</v>
      </c>
    </row>
    <row r="2339" spans="1:13" x14ac:dyDescent="0.25">
      <c r="A2339" s="23">
        <f t="shared" si="114"/>
        <v>214823</v>
      </c>
      <c r="B2339" s="14" t="str">
        <f t="shared" si="113"/>
        <v>Direct Debit (UMB Bank) - Credits</v>
      </c>
      <c r="C2339" s="37">
        <v>46157</v>
      </c>
      <c r="D2339" s="31">
        <v>214823</v>
      </c>
      <c r="E2339" s="33" t="str">
        <f>IF(Table3[[#This Row],[Type Received]]=2,"CC",(IF(Table3[[#This Row],[Type Received]]=3,"BILL","ACH")))</f>
        <v>ACH</v>
      </c>
      <c r="F2339" s="32">
        <v>43.27</v>
      </c>
      <c r="G2339" s="14" t="str">
        <f>VLOOKUP(D2339,Table4[],3,FALSE)</f>
        <v>2</v>
      </c>
      <c r="H2339" s="15"/>
      <c r="I2339" s="15"/>
      <c r="J2339" s="15" t="s">
        <v>87</v>
      </c>
      <c r="K2339" s="15">
        <v>696755621</v>
      </c>
      <c r="L2339" s="15" t="s">
        <v>29</v>
      </c>
      <c r="M2339" s="15" t="s">
        <v>29</v>
      </c>
    </row>
    <row r="2340" spans="1:13" x14ac:dyDescent="0.25">
      <c r="A2340" s="23">
        <f t="shared" si="114"/>
        <v>214844</v>
      </c>
      <c r="B2340" s="14" t="str">
        <f t="shared" si="113"/>
        <v>Direct Debit (UMB Bank) - Credits</v>
      </c>
      <c r="C2340" s="38">
        <v>46158</v>
      </c>
      <c r="D2340" s="34">
        <v>214844</v>
      </c>
      <c r="E2340" s="36" t="str">
        <f>IF(Table3[[#This Row],[Type Received]]=2,"CC",(IF(Table3[[#This Row],[Type Received]]=3,"BILL","ACH")))</f>
        <v>ACH</v>
      </c>
      <c r="F2340" s="35">
        <v>36.229999999999997</v>
      </c>
      <c r="G2340" s="14" t="str">
        <f>VLOOKUP(D2340,Table4[],3,FALSE)</f>
        <v>1</v>
      </c>
      <c r="H2340" s="15"/>
      <c r="I2340" s="15"/>
      <c r="J2340" s="15" t="s">
        <v>106</v>
      </c>
      <c r="K2340" s="15">
        <v>710028079</v>
      </c>
      <c r="L2340" s="15" t="s">
        <v>29</v>
      </c>
      <c r="M2340" s="15" t="s">
        <v>29</v>
      </c>
    </row>
    <row r="2341" spans="1:13" x14ac:dyDescent="0.25">
      <c r="A2341" s="23">
        <f t="shared" si="114"/>
        <v>214909</v>
      </c>
      <c r="B2341" s="14" t="str">
        <f t="shared" si="113"/>
        <v>Direct Debit (UMB Bank) - Credits</v>
      </c>
      <c r="C2341" s="37">
        <v>46157</v>
      </c>
      <c r="D2341" s="31">
        <v>214909</v>
      </c>
      <c r="E2341" s="33" t="str">
        <f>IF(Table3[[#This Row],[Type Received]]=2,"CC",(IF(Table3[[#This Row],[Type Received]]=3,"BILL","ACH")))</f>
        <v>ACH</v>
      </c>
      <c r="F2341" s="32">
        <v>19.62</v>
      </c>
      <c r="G2341" s="14" t="str">
        <f>VLOOKUP(D2341,Table4[],3,FALSE)</f>
        <v>2</v>
      </c>
      <c r="H2341" s="15"/>
      <c r="I2341" s="15"/>
      <c r="J2341" s="15" t="s">
        <v>87</v>
      </c>
      <c r="K2341" s="15">
        <v>696746913</v>
      </c>
      <c r="L2341" s="15" t="s">
        <v>29</v>
      </c>
      <c r="M2341" s="15"/>
    </row>
    <row r="2342" spans="1:13" x14ac:dyDescent="0.25">
      <c r="A2342" s="23">
        <f t="shared" si="114"/>
        <v>215112</v>
      </c>
      <c r="B2342" s="14" t="str">
        <f t="shared" si="113"/>
        <v>Billing - Credits (from TPA)</v>
      </c>
      <c r="C2342" s="38">
        <v>46143</v>
      </c>
      <c r="D2342" s="34">
        <v>215112</v>
      </c>
      <c r="E2342" s="36" t="str">
        <f>IF(Table3[[#This Row],[Type Received]]=2,"CC",(IF(Table3[[#This Row],[Type Received]]=3,"BILL","ACH")))</f>
        <v>BILL</v>
      </c>
      <c r="F2342" s="35">
        <v>66.7</v>
      </c>
      <c r="G2342" s="14" t="str">
        <f>VLOOKUP(D2342,Table4[],3,FALSE)</f>
        <v>2</v>
      </c>
      <c r="H2342" s="15"/>
      <c r="I2342" s="15"/>
      <c r="J2342" s="24" t="s">
        <v>84</v>
      </c>
      <c r="K2342" s="15">
        <v>522319059</v>
      </c>
      <c r="L2342" s="15" t="s">
        <v>29</v>
      </c>
      <c r="M2342" s="15" t="s">
        <v>29</v>
      </c>
    </row>
    <row r="2343" spans="1:13" x14ac:dyDescent="0.25">
      <c r="A2343" s="23">
        <f t="shared" si="114"/>
        <v>215140</v>
      </c>
      <c r="B2343" s="14" t="str">
        <f t="shared" si="113"/>
        <v>Credit Cards (UMB) - Credits</v>
      </c>
      <c r="C2343" s="37">
        <v>46146</v>
      </c>
      <c r="D2343" s="31">
        <v>215140</v>
      </c>
      <c r="E2343" s="33" t="str">
        <f>IF(Table3[[#This Row],[Type Received]]=2,"CC",(IF(Table3[[#This Row],[Type Received]]=3,"BILL","ACH")))</f>
        <v>CC</v>
      </c>
      <c r="F2343" s="32">
        <v>18.559999999999999</v>
      </c>
      <c r="G2343" s="14" t="str">
        <f>VLOOKUP(D2343,Table4[],3,FALSE)</f>
        <v>1</v>
      </c>
      <c r="H2343" s="15">
        <v>5332</v>
      </c>
      <c r="I2343" s="15"/>
      <c r="J2343" s="15"/>
      <c r="K2343" s="15"/>
      <c r="L2343" s="15"/>
      <c r="M2343" s="15"/>
    </row>
    <row r="2344" spans="1:13" x14ac:dyDescent="0.25">
      <c r="A2344" s="23">
        <f t="shared" si="114"/>
        <v>215295</v>
      </c>
      <c r="B2344" s="14" t="str">
        <f t="shared" si="113"/>
        <v>Direct Debit (UMB Bank) - Credits</v>
      </c>
      <c r="C2344" s="38">
        <v>46155</v>
      </c>
      <c r="D2344" s="34">
        <v>215295</v>
      </c>
      <c r="E2344" s="36" t="str">
        <f>IF(Table3[[#This Row],[Type Received]]=2,"CC",(IF(Table3[[#This Row],[Type Received]]=3,"BILL","ACH")))</f>
        <v>ACH</v>
      </c>
      <c r="F2344" s="35">
        <v>22.15</v>
      </c>
      <c r="G2344" s="14" t="str">
        <f>VLOOKUP(D2344,Table4[],3,FALSE)</f>
        <v>2</v>
      </c>
      <c r="H2344" s="15"/>
      <c r="I2344" s="15">
        <v>124982</v>
      </c>
      <c r="J2344" s="15" t="s">
        <v>28</v>
      </c>
      <c r="K2344" s="15">
        <v>669503361</v>
      </c>
      <c r="L2344" s="15" t="s">
        <v>29</v>
      </c>
      <c r="M2344" s="15" t="s">
        <v>29</v>
      </c>
    </row>
    <row r="2345" spans="1:13" x14ac:dyDescent="0.25">
      <c r="A2345" s="23">
        <f t="shared" si="114"/>
        <v>215363</v>
      </c>
      <c r="B2345" s="14" t="str">
        <f t="shared" si="113"/>
        <v>Billing - Credits (from TPA)</v>
      </c>
      <c r="C2345" s="37">
        <v>46157</v>
      </c>
      <c r="D2345" s="31">
        <v>215363</v>
      </c>
      <c r="E2345" s="33" t="str">
        <f>IF(Table3[[#This Row],[Type Received]]=2,"CC",(IF(Table3[[#This Row],[Type Received]]=3,"BILL","ACH")))</f>
        <v>BILL</v>
      </c>
      <c r="F2345" s="32">
        <v>12.59</v>
      </c>
      <c r="G2345" s="14" t="str">
        <f>VLOOKUP(D2345,Table4[],3,FALSE)</f>
        <v>1</v>
      </c>
      <c r="H2345" s="15"/>
      <c r="I2345" s="15"/>
      <c r="J2345" s="15" t="s">
        <v>87</v>
      </c>
      <c r="K2345" s="15">
        <v>696754726</v>
      </c>
      <c r="L2345" s="15" t="s">
        <v>29</v>
      </c>
      <c r="M2345" s="15" t="s">
        <v>29</v>
      </c>
    </row>
    <row r="2346" spans="1:13" x14ac:dyDescent="0.25">
      <c r="A2346" s="23">
        <f t="shared" si="114"/>
        <v>215440</v>
      </c>
      <c r="B2346" s="14" t="str">
        <f t="shared" si="113"/>
        <v>Direct Debit (UMB Bank) - Credits</v>
      </c>
      <c r="C2346" s="38">
        <v>46148</v>
      </c>
      <c r="D2346" s="34">
        <v>215440</v>
      </c>
      <c r="E2346" s="36" t="str">
        <f>IF(Table3[[#This Row],[Type Received]]=2,"CC",(IF(Table3[[#This Row],[Type Received]]=3,"BILL","ACH")))</f>
        <v>ACH</v>
      </c>
      <c r="F2346" s="35">
        <v>20.84</v>
      </c>
      <c r="G2346" s="14" t="str">
        <f>VLOOKUP(D2346,Table4[],3,FALSE)</f>
        <v>2</v>
      </c>
      <c r="H2346" s="15">
        <v>7038</v>
      </c>
      <c r="I2346" s="15"/>
      <c r="J2346" s="15"/>
      <c r="K2346" s="15"/>
      <c r="L2346" s="15"/>
      <c r="M2346" s="15" t="s">
        <v>29</v>
      </c>
    </row>
    <row r="2347" spans="1:13" x14ac:dyDescent="0.25">
      <c r="A2347" s="23">
        <f t="shared" si="114"/>
        <v>215506</v>
      </c>
      <c r="B2347" s="14" t="str">
        <f t="shared" si="113"/>
        <v>Direct Debit (UMB Bank) - Credits</v>
      </c>
      <c r="C2347" s="37">
        <v>46143</v>
      </c>
      <c r="D2347" s="31">
        <v>215506</v>
      </c>
      <c r="E2347" s="33" t="str">
        <f>IF(Table3[[#This Row],[Type Received]]=2,"CC",(IF(Table3[[#This Row],[Type Received]]=3,"BILL","ACH")))</f>
        <v>ACH</v>
      </c>
      <c r="F2347" s="32">
        <v>53.83</v>
      </c>
      <c r="G2347" s="14" t="str">
        <f>VLOOKUP(D2347,Table4[],3,FALSE)</f>
        <v>2</v>
      </c>
      <c r="H2347" s="15"/>
      <c r="I2347" s="15"/>
      <c r="J2347" s="15" t="s">
        <v>84</v>
      </c>
      <c r="K2347" s="15">
        <v>522324860</v>
      </c>
      <c r="L2347" s="15" t="s">
        <v>29</v>
      </c>
      <c r="M2347" s="15" t="s">
        <v>29</v>
      </c>
    </row>
    <row r="2348" spans="1:13" x14ac:dyDescent="0.25">
      <c r="A2348" s="23">
        <f t="shared" si="114"/>
        <v>215550</v>
      </c>
      <c r="B2348" s="14" t="str">
        <f t="shared" si="113"/>
        <v>Direct Debit (UMB Bank) - Credits</v>
      </c>
      <c r="C2348" s="38">
        <v>46143</v>
      </c>
      <c r="D2348" s="34">
        <v>215550</v>
      </c>
      <c r="E2348" s="36" t="str">
        <f>IF(Table3[[#This Row],[Type Received]]=2,"CC",(IF(Table3[[#This Row],[Type Received]]=3,"BILL","ACH")))</f>
        <v>ACH</v>
      </c>
      <c r="F2348" s="35">
        <v>21.49</v>
      </c>
      <c r="G2348" s="14" t="str">
        <f>VLOOKUP(D2348,Table4[],3,FALSE)</f>
        <v>1</v>
      </c>
      <c r="H2348" s="15"/>
      <c r="I2348" s="15"/>
      <c r="J2348" s="15" t="s">
        <v>84</v>
      </c>
      <c r="K2348" s="15">
        <v>522331619</v>
      </c>
      <c r="L2348" s="15" t="s">
        <v>29</v>
      </c>
      <c r="M2348" s="15" t="s">
        <v>29</v>
      </c>
    </row>
    <row r="2349" spans="1:13" x14ac:dyDescent="0.25">
      <c r="A2349" s="23">
        <f t="shared" si="114"/>
        <v>215555</v>
      </c>
      <c r="B2349" s="14" t="str">
        <f t="shared" si="113"/>
        <v>Credit Cards (UMB) - Credits</v>
      </c>
      <c r="C2349" s="37">
        <v>46157</v>
      </c>
      <c r="D2349" s="31">
        <v>215555</v>
      </c>
      <c r="E2349" s="33" t="str">
        <f>IF(Table3[[#This Row],[Type Received]]=2,"CC",(IF(Table3[[#This Row],[Type Received]]=3,"BILL","ACH")))</f>
        <v>CC</v>
      </c>
      <c r="F2349" s="32">
        <v>32.71</v>
      </c>
      <c r="G2349" s="14" t="str">
        <f>VLOOKUP(D2349,Table4[],3,FALSE)</f>
        <v>2</v>
      </c>
      <c r="H2349" s="15"/>
      <c r="I2349" s="15"/>
      <c r="J2349" s="15" t="s">
        <v>87</v>
      </c>
      <c r="K2349" s="15">
        <v>696766299</v>
      </c>
      <c r="L2349" s="15" t="s">
        <v>29</v>
      </c>
      <c r="M2349" s="15"/>
    </row>
    <row r="2350" spans="1:13" x14ac:dyDescent="0.25">
      <c r="A2350" s="23"/>
      <c r="B2350" s="14" t="str">
        <f t="shared" si="113"/>
        <v>Billing - Credits (from TPA)</v>
      </c>
      <c r="C2350" s="38">
        <v>46155</v>
      </c>
      <c r="D2350" s="34">
        <v>215722</v>
      </c>
      <c r="E2350" s="36" t="str">
        <f>IF(Table3[[#This Row],[Type Received]]=2,"CC",(IF(Table3[[#This Row],[Type Received]]=3,"BILL","ACH")))</f>
        <v>BILL</v>
      </c>
      <c r="F2350" s="35">
        <v>30.73</v>
      </c>
      <c r="G2350" s="14" t="str">
        <f>VLOOKUP(D2350,Table4[],3,FALSE)</f>
        <v>2</v>
      </c>
      <c r="H2350" s="15"/>
      <c r="I2350" s="15" t="s">
        <v>248</v>
      </c>
      <c r="J2350" s="15" t="s">
        <v>28</v>
      </c>
      <c r="K2350" s="15">
        <v>669486768</v>
      </c>
      <c r="L2350" s="15" t="s">
        <v>29</v>
      </c>
      <c r="M2350" s="15" t="s">
        <v>29</v>
      </c>
    </row>
    <row r="2351" spans="1:13" x14ac:dyDescent="0.25">
      <c r="A2351" s="23"/>
      <c r="B2351" s="14" t="str">
        <f t="shared" si="113"/>
        <v>Direct Debit (UMB Bank) - Credits</v>
      </c>
      <c r="C2351" s="37">
        <v>46143</v>
      </c>
      <c r="D2351" s="31">
        <v>215956</v>
      </c>
      <c r="E2351" s="33" t="str">
        <f>IF(Table3[[#This Row],[Type Received]]=2,"CC",(IF(Table3[[#This Row],[Type Received]]=3,"BILL","ACH")))</f>
        <v>ACH</v>
      </c>
      <c r="F2351" s="32">
        <v>22.93</v>
      </c>
      <c r="G2351" s="14" t="str">
        <f>VLOOKUP(D2351,Table4[],3,FALSE)</f>
        <v>1</v>
      </c>
      <c r="H2351" s="15">
        <v>19836400572</v>
      </c>
      <c r="I2351" s="15"/>
      <c r="J2351" s="15"/>
      <c r="K2351" s="15"/>
      <c r="L2351" s="15"/>
      <c r="M2351" s="15"/>
    </row>
    <row r="2352" spans="1:13" x14ac:dyDescent="0.25">
      <c r="A2352" s="23"/>
      <c r="B2352" s="14" t="str">
        <f t="shared" si="113"/>
        <v>Direct Debit (UMB Bank) - Credits</v>
      </c>
      <c r="C2352" s="38">
        <v>46143</v>
      </c>
      <c r="D2352" s="34">
        <v>215977</v>
      </c>
      <c r="E2352" s="36" t="str">
        <f>IF(Table3[[#This Row],[Type Received]]=2,"CC",(IF(Table3[[#This Row],[Type Received]]=3,"BILL","ACH")))</f>
        <v>ACH</v>
      </c>
      <c r="F2352" s="35">
        <v>25.45</v>
      </c>
      <c r="G2352" s="14" t="str">
        <f>VLOOKUP(D2352,Table4[],3,FALSE)</f>
        <v>2</v>
      </c>
      <c r="H2352" s="15"/>
      <c r="I2352" s="15"/>
      <c r="J2352" s="15" t="s">
        <v>84</v>
      </c>
      <c r="K2352" s="15">
        <v>522339405</v>
      </c>
      <c r="L2352" s="15" t="s">
        <v>29</v>
      </c>
      <c r="M2352" s="15" t="s">
        <v>29</v>
      </c>
    </row>
    <row r="2353" spans="1:13" x14ac:dyDescent="0.25">
      <c r="A2353" s="23">
        <f t="shared" ref="A2353:A2366" si="115">D2353</f>
        <v>216017</v>
      </c>
      <c r="B2353" s="14" t="str">
        <f t="shared" si="113"/>
        <v>Direct Debit (UMB Bank) - Credits</v>
      </c>
      <c r="C2353" s="37">
        <v>46157</v>
      </c>
      <c r="D2353" s="31">
        <v>216017</v>
      </c>
      <c r="E2353" s="33" t="str">
        <f>IF(Table3[[#This Row],[Type Received]]=2,"CC",(IF(Table3[[#This Row],[Type Received]]=3,"BILL","ACH")))</f>
        <v>ACH</v>
      </c>
      <c r="F2353" s="32">
        <v>106.96</v>
      </c>
      <c r="G2353" s="14" t="str">
        <f>VLOOKUP(D2353,Table4[],3,FALSE)</f>
        <v>2</v>
      </c>
      <c r="H2353" s="15"/>
      <c r="I2353" s="15"/>
      <c r="J2353" s="15" t="s">
        <v>87</v>
      </c>
      <c r="K2353" s="15">
        <v>696596736</v>
      </c>
      <c r="L2353" s="15" t="s">
        <v>29</v>
      </c>
      <c r="M2353" s="15"/>
    </row>
    <row r="2354" spans="1:13" x14ac:dyDescent="0.25">
      <c r="A2354" s="23">
        <f t="shared" si="115"/>
        <v>216030</v>
      </c>
      <c r="B2354" s="14" t="str">
        <f t="shared" si="113"/>
        <v>Direct Debit (UMB Bank) - Credits</v>
      </c>
      <c r="C2354" s="38">
        <v>46143</v>
      </c>
      <c r="D2354" s="34">
        <v>216030</v>
      </c>
      <c r="E2354" s="36" t="str">
        <f>IF(Table3[[#This Row],[Type Received]]=2,"CC",(IF(Table3[[#This Row],[Type Received]]=3,"BILL","ACH")))</f>
        <v>ACH</v>
      </c>
      <c r="F2354" s="35">
        <v>14.12</v>
      </c>
      <c r="G2354" s="14" t="str">
        <f>VLOOKUP(D2354,Table4[],3,FALSE)</f>
        <v>2</v>
      </c>
      <c r="H2354" s="15"/>
      <c r="I2354" s="15"/>
      <c r="J2354" s="15" t="s">
        <v>84</v>
      </c>
      <c r="K2354" s="15">
        <v>522328784</v>
      </c>
      <c r="L2354" s="15" t="s">
        <v>29</v>
      </c>
      <c r="M2354" s="15" t="s">
        <v>29</v>
      </c>
    </row>
    <row r="2355" spans="1:13" x14ac:dyDescent="0.25">
      <c r="A2355" s="23">
        <f t="shared" si="115"/>
        <v>216039</v>
      </c>
      <c r="B2355" s="14" t="str">
        <f t="shared" si="113"/>
        <v>Billing - Credits (from TPA)</v>
      </c>
      <c r="C2355" s="37">
        <v>46157</v>
      </c>
      <c r="D2355" s="31">
        <v>216039</v>
      </c>
      <c r="E2355" s="33" t="str">
        <f>IF(Table3[[#This Row],[Type Received]]=2,"CC",(IF(Table3[[#This Row],[Type Received]]=3,"BILL","ACH")))</f>
        <v>BILL</v>
      </c>
      <c r="F2355" s="32">
        <v>44.92</v>
      </c>
      <c r="G2355" s="14" t="str">
        <f>VLOOKUP(D2355,Table4[],3,FALSE)</f>
        <v>2</v>
      </c>
      <c r="H2355" s="15"/>
      <c r="I2355" s="15"/>
      <c r="J2355" s="15" t="s">
        <v>87</v>
      </c>
      <c r="K2355" s="15">
        <v>696748976</v>
      </c>
      <c r="L2355" s="15" t="s">
        <v>29</v>
      </c>
      <c r="M2355" s="15" t="s">
        <v>29</v>
      </c>
    </row>
    <row r="2356" spans="1:13" x14ac:dyDescent="0.25">
      <c r="A2356" s="23">
        <f t="shared" si="115"/>
        <v>216088</v>
      </c>
      <c r="B2356" s="14" t="str">
        <f t="shared" si="113"/>
        <v>Direct Debit (UMB Bank) - Credits</v>
      </c>
      <c r="C2356" s="38">
        <v>46168</v>
      </c>
      <c r="D2356" s="34">
        <v>216088</v>
      </c>
      <c r="E2356" s="36" t="str">
        <f>IF(Table3[[#This Row],[Type Received]]=2,"CC",(IF(Table3[[#This Row],[Type Received]]=3,"BILL","ACH")))</f>
        <v>ACH</v>
      </c>
      <c r="F2356" s="35">
        <v>30.78</v>
      </c>
      <c r="G2356" s="14" t="str">
        <f>VLOOKUP(D2356,Table4[],3,FALSE)</f>
        <v>2</v>
      </c>
      <c r="H2356" s="15">
        <v>537</v>
      </c>
      <c r="I2356" s="15"/>
      <c r="J2356" s="15"/>
      <c r="K2356" s="15"/>
      <c r="L2356" s="15"/>
      <c r="M2356" s="15" t="s">
        <v>29</v>
      </c>
    </row>
    <row r="2357" spans="1:13" x14ac:dyDescent="0.25">
      <c r="A2357" s="23">
        <f t="shared" si="115"/>
        <v>216215</v>
      </c>
      <c r="B2357" s="14" t="str">
        <f t="shared" si="113"/>
        <v>Credit Cards (UMB) - Credits</v>
      </c>
      <c r="C2357" s="37">
        <v>46143</v>
      </c>
      <c r="D2357" s="31">
        <v>216215</v>
      </c>
      <c r="E2357" s="33" t="str">
        <f>IF(Table3[[#This Row],[Type Received]]=2,"CC",(IF(Table3[[#This Row],[Type Received]]=3,"BILL","ACH")))</f>
        <v>CC</v>
      </c>
      <c r="F2357" s="32">
        <v>35.020000000000003</v>
      </c>
      <c r="G2357" s="14" t="str">
        <f>VLOOKUP(D2357,Table4[],3,FALSE)</f>
        <v>2</v>
      </c>
      <c r="H2357" s="15"/>
      <c r="I2357" s="15"/>
      <c r="J2357" s="15" t="s">
        <v>84</v>
      </c>
      <c r="K2357" s="15">
        <v>522328812</v>
      </c>
      <c r="L2357" s="15" t="s">
        <v>29</v>
      </c>
      <c r="M2357" s="15" t="s">
        <v>29</v>
      </c>
    </row>
    <row r="2358" spans="1:13" x14ac:dyDescent="0.25">
      <c r="A2358" s="23">
        <f t="shared" si="115"/>
        <v>216244</v>
      </c>
      <c r="B2358" s="14" t="str">
        <f t="shared" si="113"/>
        <v>Direct Debit (UMB Bank) - Credits</v>
      </c>
      <c r="C2358" s="38">
        <v>46162</v>
      </c>
      <c r="D2358" s="34">
        <v>216244</v>
      </c>
      <c r="E2358" s="36" t="str">
        <f>IF(Table3[[#This Row],[Type Received]]=2,"CC",(IF(Table3[[#This Row],[Type Received]]=3,"BILL","ACH")))</f>
        <v>ACH</v>
      </c>
      <c r="F2358" s="35">
        <v>181.3</v>
      </c>
      <c r="G2358" s="14" t="str">
        <f>VLOOKUP(D2358,Table4[],3,FALSE)</f>
        <v>2</v>
      </c>
      <c r="H2358" s="15"/>
      <c r="I2358" s="15">
        <v>934571</v>
      </c>
      <c r="J2358" s="15" t="s">
        <v>28</v>
      </c>
      <c r="K2358" s="15">
        <v>761341157</v>
      </c>
      <c r="L2358" s="15" t="s">
        <v>29</v>
      </c>
      <c r="M2358" s="15" t="s">
        <v>29</v>
      </c>
    </row>
    <row r="2359" spans="1:13" x14ac:dyDescent="0.25">
      <c r="A2359" s="23">
        <f t="shared" si="115"/>
        <v>216650</v>
      </c>
      <c r="B2359" s="14" t="str">
        <f t="shared" si="113"/>
        <v>Billing - Credits (from TPA)</v>
      </c>
      <c r="C2359" s="37">
        <v>46167</v>
      </c>
      <c r="D2359" s="31">
        <v>216650</v>
      </c>
      <c r="E2359" s="33" t="str">
        <f>IF(Table3[[#This Row],[Type Received]]=2,"CC",(IF(Table3[[#This Row],[Type Received]]=3,"BILL","ACH")))</f>
        <v>BILL</v>
      </c>
      <c r="F2359" s="32">
        <v>18.850000000000001</v>
      </c>
      <c r="G2359" s="14" t="str">
        <f>VLOOKUP(D2359,Table4[],3,FALSE)</f>
        <v>2</v>
      </c>
      <c r="H2359" s="15"/>
      <c r="I2359" s="15"/>
      <c r="J2359" s="15" t="s">
        <v>85</v>
      </c>
      <c r="K2359" s="15">
        <v>818355962</v>
      </c>
      <c r="L2359" s="15" t="s">
        <v>29</v>
      </c>
      <c r="M2359" s="15" t="s">
        <v>29</v>
      </c>
    </row>
    <row r="2360" spans="1:13" x14ac:dyDescent="0.25">
      <c r="A2360" s="23">
        <f t="shared" si="115"/>
        <v>216698</v>
      </c>
      <c r="B2360" s="14" t="str">
        <f t="shared" si="113"/>
        <v>Direct Debit (UMB Bank) - Credits</v>
      </c>
      <c r="C2360" s="38">
        <v>46168</v>
      </c>
      <c r="D2360" s="34">
        <v>216698</v>
      </c>
      <c r="E2360" s="36" t="str">
        <f>IF(Table3[[#This Row],[Type Received]]=2,"CC",(IF(Table3[[#This Row],[Type Received]]=3,"BILL","ACH")))</f>
        <v>ACH</v>
      </c>
      <c r="F2360" s="35">
        <v>24.03</v>
      </c>
      <c r="G2360" s="14" t="str">
        <f>VLOOKUP(D2360,Table4[],3,FALSE)</f>
        <v>1</v>
      </c>
      <c r="H2360" s="15">
        <v>55101421669</v>
      </c>
      <c r="I2360" s="15"/>
      <c r="J2360" s="15"/>
      <c r="K2360" s="15"/>
      <c r="L2360" s="15"/>
      <c r="M2360" s="15"/>
    </row>
    <row r="2361" spans="1:13" x14ac:dyDescent="0.25">
      <c r="A2361" s="23">
        <f t="shared" si="115"/>
        <v>216737</v>
      </c>
      <c r="B2361" s="14" t="str">
        <f t="shared" si="113"/>
        <v>Credit Cards (UMB) - Credits</v>
      </c>
      <c r="C2361" s="37">
        <v>46155</v>
      </c>
      <c r="D2361" s="31">
        <v>216737</v>
      </c>
      <c r="E2361" s="33" t="str">
        <f>IF(Table3[[#This Row],[Type Received]]=2,"CC",(IF(Table3[[#This Row],[Type Received]]=3,"BILL","ACH")))</f>
        <v>CC</v>
      </c>
      <c r="F2361" s="32">
        <v>118.29</v>
      </c>
      <c r="G2361" s="14" t="str">
        <f>VLOOKUP(D2361,Table4[],3,FALSE)</f>
        <v>1</v>
      </c>
      <c r="H2361" s="15"/>
      <c r="I2361" s="15"/>
      <c r="J2361" s="24" t="s">
        <v>90</v>
      </c>
      <c r="K2361" s="15">
        <v>669466164</v>
      </c>
      <c r="L2361" s="15" t="s">
        <v>29</v>
      </c>
      <c r="M2361" s="15" t="s">
        <v>29</v>
      </c>
    </row>
    <row r="2362" spans="1:13" x14ac:dyDescent="0.25">
      <c r="A2362" s="23">
        <f t="shared" si="115"/>
        <v>216746</v>
      </c>
      <c r="B2362" s="14" t="str">
        <f t="shared" si="113"/>
        <v>Direct Debit (UMB Bank) - Credits</v>
      </c>
      <c r="C2362" s="38">
        <v>46143</v>
      </c>
      <c r="D2362" s="34">
        <v>216746</v>
      </c>
      <c r="E2362" s="36" t="str">
        <f>IF(Table3[[#This Row],[Type Received]]=2,"CC",(IF(Table3[[#This Row],[Type Received]]=3,"BILL","ACH")))</f>
        <v>ACH</v>
      </c>
      <c r="F2362" s="35">
        <v>104.33</v>
      </c>
      <c r="G2362" s="14" t="str">
        <f>VLOOKUP(D2362,Table4[],3,FALSE)</f>
        <v>2</v>
      </c>
      <c r="H2362" s="15"/>
      <c r="I2362" s="15" t="s">
        <v>249</v>
      </c>
      <c r="J2362" s="15" t="s">
        <v>28</v>
      </c>
      <c r="K2362" s="15">
        <v>527247418</v>
      </c>
      <c r="L2362" s="15" t="s">
        <v>29</v>
      </c>
      <c r="M2362" s="15" t="s">
        <v>29</v>
      </c>
    </row>
    <row r="2363" spans="1:13" x14ac:dyDescent="0.25">
      <c r="A2363" s="23">
        <f t="shared" si="115"/>
        <v>216780</v>
      </c>
      <c r="B2363" s="14" t="str">
        <f t="shared" si="113"/>
        <v>Direct Debit (UMB Bank) - Credits</v>
      </c>
      <c r="C2363" s="37">
        <v>46167</v>
      </c>
      <c r="D2363" s="31">
        <v>216780</v>
      </c>
      <c r="E2363" s="33" t="str">
        <f>IF(Table3[[#This Row],[Type Received]]=2,"CC",(IF(Table3[[#This Row],[Type Received]]=3,"BILL","ACH")))</f>
        <v>ACH</v>
      </c>
      <c r="F2363" s="32">
        <v>21.34</v>
      </c>
      <c r="G2363" s="14" t="str">
        <f>VLOOKUP(D2363,Table4[],3,FALSE)</f>
        <v>1</v>
      </c>
      <c r="H2363" s="15"/>
      <c r="I2363" s="15"/>
      <c r="J2363" s="15" t="s">
        <v>85</v>
      </c>
      <c r="K2363" s="15">
        <v>818356893</v>
      </c>
      <c r="L2363" s="15" t="s">
        <v>29</v>
      </c>
      <c r="M2363" s="15" t="s">
        <v>29</v>
      </c>
    </row>
    <row r="2364" spans="1:13" x14ac:dyDescent="0.25">
      <c r="A2364" s="23">
        <f t="shared" si="115"/>
        <v>216800</v>
      </c>
      <c r="B2364" s="14" t="str">
        <f t="shared" si="113"/>
        <v>Direct Debit (UMB Bank) - Credits</v>
      </c>
      <c r="C2364" s="38">
        <v>46143</v>
      </c>
      <c r="D2364" s="34">
        <v>216800</v>
      </c>
      <c r="E2364" s="36" t="str">
        <f>IF(Table3[[#This Row],[Type Received]]=2,"CC",(IF(Table3[[#This Row],[Type Received]]=3,"BILL","ACH")))</f>
        <v>ACH</v>
      </c>
      <c r="F2364" s="35">
        <v>34.69</v>
      </c>
      <c r="G2364" s="14" t="str">
        <f>VLOOKUP(D2364,Table4[],3,FALSE)</f>
        <v>1</v>
      </c>
      <c r="H2364" s="15"/>
      <c r="I2364" s="15"/>
      <c r="J2364" s="15" t="s">
        <v>84</v>
      </c>
      <c r="K2364" s="15">
        <v>522335563</v>
      </c>
      <c r="L2364" s="15" t="s">
        <v>29</v>
      </c>
      <c r="M2364" s="15"/>
    </row>
    <row r="2365" spans="1:13" x14ac:dyDescent="0.25">
      <c r="A2365" s="23">
        <f t="shared" si="115"/>
        <v>216445</v>
      </c>
      <c r="B2365" s="14" t="str">
        <f t="shared" si="113"/>
        <v>Billing - Credits (from TPA)</v>
      </c>
      <c r="C2365" s="37">
        <v>46167</v>
      </c>
      <c r="D2365" s="31">
        <v>216445</v>
      </c>
      <c r="E2365" s="33" t="str">
        <f>IF(Table3[[#This Row],[Type Received]]=2,"CC",(IF(Table3[[#This Row],[Type Received]]=3,"BILL","ACH")))</f>
        <v>BILL</v>
      </c>
      <c r="F2365" s="32">
        <v>23.25</v>
      </c>
      <c r="G2365" s="14" t="str">
        <f>VLOOKUP(D2365,Table4[],3,FALSE)</f>
        <v>1</v>
      </c>
      <c r="H2365" s="15"/>
      <c r="I2365" s="15"/>
      <c r="J2365" s="15" t="s">
        <v>85</v>
      </c>
      <c r="K2365" s="15">
        <v>818353957</v>
      </c>
      <c r="L2365" s="15" t="s">
        <v>29</v>
      </c>
      <c r="M2365" s="15" t="s">
        <v>29</v>
      </c>
    </row>
    <row r="2366" spans="1:13" x14ac:dyDescent="0.25">
      <c r="A2366" s="23">
        <f t="shared" si="115"/>
        <v>216541</v>
      </c>
      <c r="B2366" s="14" t="str">
        <f t="shared" si="113"/>
        <v>Direct Debit (UMB Bank) - Credits</v>
      </c>
      <c r="C2366" s="38">
        <v>46168</v>
      </c>
      <c r="D2366" s="34">
        <v>216541</v>
      </c>
      <c r="E2366" s="36" t="str">
        <f>IF(Table3[[#This Row],[Type Received]]=2,"CC",(IF(Table3[[#This Row],[Type Received]]=3,"BILL","ACH")))</f>
        <v>ACH</v>
      </c>
      <c r="F2366" s="35">
        <v>96.08</v>
      </c>
      <c r="G2366" s="14" t="str">
        <f>VLOOKUP(D2366,Table4[],3,FALSE)</f>
        <v>2</v>
      </c>
      <c r="H2366" s="15">
        <v>50307</v>
      </c>
      <c r="I2366" s="15"/>
      <c r="J2366" s="15"/>
      <c r="K2366" s="15"/>
      <c r="L2366" s="15"/>
      <c r="M2366" s="15" t="s">
        <v>29</v>
      </c>
    </row>
    <row r="2367" spans="1:13" x14ac:dyDescent="0.25">
      <c r="A2367" s="23"/>
      <c r="B2367" s="14" t="str">
        <f t="shared" si="113"/>
        <v>Direct Debit (UMB Bank) - Credits</v>
      </c>
      <c r="C2367" s="37">
        <v>46155</v>
      </c>
      <c r="D2367" s="31">
        <v>216883</v>
      </c>
      <c r="E2367" s="33" t="str">
        <f>IF(Table3[[#This Row],[Type Received]]=2,"CC",(IF(Table3[[#This Row],[Type Received]]=3,"BILL","ACH")))</f>
        <v>ACH</v>
      </c>
      <c r="F2367" s="32">
        <v>45.58</v>
      </c>
      <c r="G2367" s="14" t="str">
        <f>VLOOKUP(D2367,Table4[],3,FALSE)</f>
        <v>2</v>
      </c>
      <c r="H2367" s="15"/>
      <c r="I2367" s="15"/>
      <c r="J2367" s="15" t="s">
        <v>90</v>
      </c>
      <c r="K2367" s="15">
        <v>669448379</v>
      </c>
      <c r="L2367" s="15" t="s">
        <v>29</v>
      </c>
      <c r="M2367" s="15" t="s">
        <v>29</v>
      </c>
    </row>
    <row r="2368" spans="1:13" x14ac:dyDescent="0.25">
      <c r="A2368" s="23">
        <f>D2368</f>
        <v>216925</v>
      </c>
      <c r="B2368" s="14" t="str">
        <f t="shared" si="113"/>
        <v>Billing - Credits (from TPA)</v>
      </c>
      <c r="C2368" s="38">
        <v>46167</v>
      </c>
      <c r="D2368" s="34">
        <v>216925</v>
      </c>
      <c r="E2368" s="36" t="str">
        <f>IF(Table3[[#This Row],[Type Received]]=2,"CC",(IF(Table3[[#This Row],[Type Received]]=3,"BILL","ACH")))</f>
        <v>BILL</v>
      </c>
      <c r="F2368" s="35">
        <v>46.57</v>
      </c>
      <c r="G2368" s="14" t="str">
        <f>VLOOKUP(D2368,Table4[],3,FALSE)</f>
        <v>2</v>
      </c>
      <c r="H2368" s="15"/>
      <c r="I2368" s="15"/>
      <c r="J2368" s="15" t="s">
        <v>85</v>
      </c>
      <c r="K2368" s="15">
        <v>818369464</v>
      </c>
      <c r="L2368" s="15" t="s">
        <v>29</v>
      </c>
      <c r="M2368" s="15" t="s">
        <v>29</v>
      </c>
    </row>
    <row r="2369" spans="1:13" x14ac:dyDescent="0.25">
      <c r="A2369" s="23">
        <f>D2369</f>
        <v>216954</v>
      </c>
      <c r="B2369" s="14" t="str">
        <f t="shared" si="113"/>
        <v>Direct Debit (UMB Bank) - Credits</v>
      </c>
      <c r="C2369" s="37">
        <v>46146</v>
      </c>
      <c r="D2369" s="31">
        <v>216954</v>
      </c>
      <c r="E2369" s="33" t="str">
        <f>IF(Table3[[#This Row],[Type Received]]=2,"CC",(IF(Table3[[#This Row],[Type Received]]=3,"BILL","ACH")))</f>
        <v>ACH</v>
      </c>
      <c r="F2369" s="32">
        <v>40.450000000000003</v>
      </c>
      <c r="G2369" s="14" t="str">
        <f>VLOOKUP(D2369,Table4[],3,FALSE)</f>
        <v>1</v>
      </c>
      <c r="H2369" s="15">
        <v>19822767140</v>
      </c>
      <c r="I2369" s="15"/>
      <c r="J2369" s="15"/>
      <c r="K2369" s="15"/>
      <c r="L2369" s="15"/>
      <c r="M2369" s="15" t="s">
        <v>29</v>
      </c>
    </row>
    <row r="2370" spans="1:13" x14ac:dyDescent="0.25">
      <c r="A2370" s="23">
        <f>D2370</f>
        <v>216985</v>
      </c>
      <c r="B2370" s="14" t="str">
        <f t="shared" ref="B2370:B2433" si="116">IF(AND(E2370="BILL",F2370&lt;0),"Billing &amp; Direct Debit - Refunds",(IF(AND(E2370="BILL",F2370&gt;0),"Billing - Credits (from TPA)",(IF(AND(E2370="CC",F2370&lt;0),"Credit Cards (UMB) - Refunds",(IF(AND(E2370="CC",F2370&gt;0),"Credit Cards (UMB) - Credits",(IF(AND(E2370="ACH",F2370&gt;0),"Direct Debit (UMB Bank) - Credits","Direct Debit (UMB Bank) - Returned Items")))))))))</f>
        <v>Direct Debit (UMB Bank) - Credits</v>
      </c>
      <c r="C2370" s="38">
        <v>46157</v>
      </c>
      <c r="D2370" s="34">
        <v>216985</v>
      </c>
      <c r="E2370" s="36" t="str">
        <f>IF(Table3[[#This Row],[Type Received]]=2,"CC",(IF(Table3[[#This Row],[Type Received]]=3,"BILL","ACH")))</f>
        <v>ACH</v>
      </c>
      <c r="F2370" s="35">
        <v>17.420000000000002</v>
      </c>
      <c r="G2370" s="14" t="str">
        <f>VLOOKUP(D2370,Table4[],3,FALSE)</f>
        <v>2</v>
      </c>
      <c r="H2370" s="15"/>
      <c r="I2370" s="15"/>
      <c r="J2370" s="15" t="s">
        <v>87</v>
      </c>
      <c r="K2370" s="15">
        <v>696759484</v>
      </c>
      <c r="L2370" s="15" t="s">
        <v>29</v>
      </c>
      <c r="M2370" s="15" t="s">
        <v>29</v>
      </c>
    </row>
    <row r="2371" spans="1:13" x14ac:dyDescent="0.25">
      <c r="A2371" s="23">
        <f>D2371</f>
        <v>216986</v>
      </c>
      <c r="B2371" s="14" t="str">
        <f t="shared" si="116"/>
        <v>Billing - Credits (from TPA)</v>
      </c>
      <c r="C2371" s="37">
        <v>46157</v>
      </c>
      <c r="D2371" s="31">
        <v>216986</v>
      </c>
      <c r="E2371" s="33" t="str">
        <f>IF(Table3[[#This Row],[Type Received]]=2,"CC",(IF(Table3[[#This Row],[Type Received]]=3,"BILL","ACH")))</f>
        <v>BILL</v>
      </c>
      <c r="F2371" s="32">
        <v>35.35</v>
      </c>
      <c r="G2371" s="14" t="str">
        <f>VLOOKUP(D2371,Table4[],3,FALSE)</f>
        <v>1</v>
      </c>
      <c r="H2371" s="15"/>
      <c r="I2371" s="15"/>
      <c r="J2371" s="15" t="s">
        <v>87</v>
      </c>
      <c r="K2371" s="15">
        <v>696772138</v>
      </c>
      <c r="L2371" s="15" t="s">
        <v>29</v>
      </c>
      <c r="M2371" s="15" t="s">
        <v>29</v>
      </c>
    </row>
    <row r="2372" spans="1:13" x14ac:dyDescent="0.25">
      <c r="A2372" s="23">
        <f>D2372</f>
        <v>217101</v>
      </c>
      <c r="B2372" s="14" t="str">
        <f t="shared" si="116"/>
        <v>Direct Debit (UMB Bank) - Credits</v>
      </c>
      <c r="C2372" s="38">
        <v>46147</v>
      </c>
      <c r="D2372" s="34">
        <v>217101</v>
      </c>
      <c r="E2372" s="36" t="str">
        <f>IF(Table3[[#This Row],[Type Received]]=2,"CC",(IF(Table3[[#This Row],[Type Received]]=3,"BILL","ACH")))</f>
        <v>ACH</v>
      </c>
      <c r="F2372" s="35">
        <v>15</v>
      </c>
      <c r="G2372" s="14" t="str">
        <f>VLOOKUP(D2372,Table4[],3,FALSE)</f>
        <v>1</v>
      </c>
      <c r="H2372" s="15">
        <v>996225</v>
      </c>
      <c r="I2372" s="15"/>
      <c r="J2372" s="15"/>
      <c r="K2372" s="15"/>
      <c r="L2372" s="15"/>
      <c r="M2372" s="15"/>
    </row>
    <row r="2373" spans="1:13" x14ac:dyDescent="0.25">
      <c r="A2373" s="23"/>
      <c r="B2373" s="14" t="str">
        <f t="shared" si="116"/>
        <v>Billing - Credits (from TPA)</v>
      </c>
      <c r="C2373" s="37">
        <v>46143</v>
      </c>
      <c r="D2373" s="31">
        <v>217282</v>
      </c>
      <c r="E2373" s="33" t="str">
        <f>IF(Table3[[#This Row],[Type Received]]=2,"CC",(IF(Table3[[#This Row],[Type Received]]=3,"BILL","ACH")))</f>
        <v>BILL</v>
      </c>
      <c r="F2373" s="32">
        <v>41.51</v>
      </c>
      <c r="G2373" s="14" t="str">
        <f>VLOOKUP(D2373,Table4[],3,FALSE)</f>
        <v>1</v>
      </c>
      <c r="H2373" s="15"/>
      <c r="I2373" s="15"/>
      <c r="J2373" s="15" t="s">
        <v>84</v>
      </c>
      <c r="K2373" s="15">
        <v>522339529</v>
      </c>
      <c r="L2373" s="15" t="s">
        <v>29</v>
      </c>
      <c r="M2373" s="15" t="s">
        <v>29</v>
      </c>
    </row>
    <row r="2374" spans="1:13" x14ac:dyDescent="0.25">
      <c r="A2374" s="23"/>
      <c r="B2374" s="14" t="str">
        <f t="shared" si="116"/>
        <v>Credit Cards (UMB) - Credits</v>
      </c>
      <c r="C2374" s="38">
        <v>46143</v>
      </c>
      <c r="D2374" s="34">
        <v>217315</v>
      </c>
      <c r="E2374" s="36" t="str">
        <f>IF(Table3[[#This Row],[Type Received]]=2,"CC",(IF(Table3[[#This Row],[Type Received]]=3,"BILL","ACH")))</f>
        <v>CC</v>
      </c>
      <c r="F2374" s="35">
        <v>53.88</v>
      </c>
      <c r="G2374" s="14" t="str">
        <f>VLOOKUP(D2374,Table4[],3,FALSE)</f>
        <v>2</v>
      </c>
      <c r="H2374" s="15">
        <v>2614</v>
      </c>
      <c r="I2374" s="15"/>
      <c r="J2374" s="15"/>
      <c r="K2374" s="15"/>
      <c r="L2374" s="15"/>
      <c r="M2374" s="15" t="s">
        <v>29</v>
      </c>
    </row>
    <row r="2375" spans="1:13" x14ac:dyDescent="0.25">
      <c r="A2375" s="23">
        <f t="shared" ref="A2375:A2385" si="117">D2375</f>
        <v>217390</v>
      </c>
      <c r="B2375" s="14" t="str">
        <f t="shared" si="116"/>
        <v>Billing - Credits (from TPA)</v>
      </c>
      <c r="C2375" s="37">
        <v>46171</v>
      </c>
      <c r="D2375" s="31">
        <v>217390</v>
      </c>
      <c r="E2375" s="33" t="str">
        <f>IF(Table3[[#This Row],[Type Received]]=2,"CC",(IF(Table3[[#This Row],[Type Received]]=3,"BILL","ACH")))</f>
        <v>BILL</v>
      </c>
      <c r="F2375" s="32">
        <v>42.29</v>
      </c>
      <c r="G2375" s="14" t="str">
        <f>VLOOKUP(D2375,Table4[],3,FALSE)</f>
        <v>2</v>
      </c>
      <c r="H2375" s="15"/>
      <c r="I2375" s="15">
        <v>29557</v>
      </c>
      <c r="J2375" s="15" t="s">
        <v>28</v>
      </c>
      <c r="K2375" s="15">
        <v>867473991</v>
      </c>
      <c r="L2375" s="15" t="s">
        <v>29</v>
      </c>
      <c r="M2375" s="15" t="s">
        <v>29</v>
      </c>
    </row>
    <row r="2376" spans="1:13" x14ac:dyDescent="0.25">
      <c r="A2376" s="23">
        <f t="shared" si="117"/>
        <v>217395</v>
      </c>
      <c r="B2376" s="14" t="str">
        <f t="shared" si="116"/>
        <v>Billing - Credits (from TPA)</v>
      </c>
      <c r="C2376" s="38">
        <v>46156</v>
      </c>
      <c r="D2376" s="34">
        <v>217395</v>
      </c>
      <c r="E2376" s="36" t="str">
        <f>IF(Table3[[#This Row],[Type Received]]=2,"CC",(IF(Table3[[#This Row],[Type Received]]=3,"BILL","ACH")))</f>
        <v>BILL</v>
      </c>
      <c r="F2376" s="35">
        <v>39.21</v>
      </c>
      <c r="G2376" s="14" t="str">
        <f>VLOOKUP(D2376,Table4[],3,FALSE)</f>
        <v>1</v>
      </c>
      <c r="H2376" s="15">
        <v>58349317</v>
      </c>
      <c r="I2376" s="15"/>
      <c r="J2376" s="15"/>
      <c r="K2376" s="15"/>
      <c r="L2376" s="15"/>
      <c r="M2376" s="15" t="s">
        <v>29</v>
      </c>
    </row>
    <row r="2377" spans="1:13" x14ac:dyDescent="0.25">
      <c r="A2377" s="23">
        <f t="shared" si="117"/>
        <v>217473</v>
      </c>
      <c r="B2377" s="14" t="str">
        <f t="shared" si="116"/>
        <v>Direct Debit (UMB Bank) - Credits</v>
      </c>
      <c r="C2377" s="37">
        <v>46147</v>
      </c>
      <c r="D2377" s="31">
        <v>217473</v>
      </c>
      <c r="E2377" s="33" t="str">
        <f>IF(Table3[[#This Row],[Type Received]]=2,"CC",(IF(Table3[[#This Row],[Type Received]]=3,"BILL","ACH")))</f>
        <v>ACH</v>
      </c>
      <c r="F2377" s="32">
        <v>33.71</v>
      </c>
      <c r="G2377" s="14" t="str">
        <f>VLOOKUP(D2377,Table4[],3,FALSE)</f>
        <v>1</v>
      </c>
      <c r="H2377" s="15">
        <v>57618911</v>
      </c>
      <c r="I2377" s="15"/>
      <c r="J2377" s="15"/>
      <c r="K2377" s="15"/>
      <c r="L2377" s="15"/>
      <c r="M2377" s="15" t="s">
        <v>29</v>
      </c>
    </row>
    <row r="2378" spans="1:13" x14ac:dyDescent="0.25">
      <c r="A2378" s="23">
        <f t="shared" si="117"/>
        <v>217565</v>
      </c>
      <c r="B2378" s="14" t="str">
        <f t="shared" si="116"/>
        <v>Direct Debit (UMB Bank) - Credits</v>
      </c>
      <c r="C2378" s="38">
        <v>46143</v>
      </c>
      <c r="D2378" s="34">
        <v>217565</v>
      </c>
      <c r="E2378" s="36" t="str">
        <f>IF(Table3[[#This Row],[Type Received]]=2,"CC",(IF(Table3[[#This Row],[Type Received]]=3,"BILL","ACH")))</f>
        <v>ACH</v>
      </c>
      <c r="F2378" s="35">
        <v>21.16</v>
      </c>
      <c r="G2378" s="14" t="str">
        <f>VLOOKUP(D2378,Table4[],3,FALSE)</f>
        <v>2</v>
      </c>
      <c r="H2378" s="15"/>
      <c r="I2378" s="15"/>
      <c r="J2378" s="15" t="s">
        <v>84</v>
      </c>
      <c r="K2378" s="15">
        <v>522343289</v>
      </c>
      <c r="L2378" s="15" t="s">
        <v>29</v>
      </c>
      <c r="M2378" s="15" t="s">
        <v>29</v>
      </c>
    </row>
    <row r="2379" spans="1:13" x14ac:dyDescent="0.25">
      <c r="A2379" s="23">
        <f t="shared" si="117"/>
        <v>217588</v>
      </c>
      <c r="B2379" s="14" t="str">
        <f t="shared" si="116"/>
        <v>Billing - Credits (from TPA)</v>
      </c>
      <c r="C2379" s="37">
        <v>46167</v>
      </c>
      <c r="D2379" s="31">
        <v>217588</v>
      </c>
      <c r="E2379" s="33" t="str">
        <f>IF(Table3[[#This Row],[Type Received]]=2,"CC",(IF(Table3[[#This Row],[Type Received]]=3,"BILL","ACH")))</f>
        <v>BILL</v>
      </c>
      <c r="F2379" s="32">
        <v>33.369999999999997</v>
      </c>
      <c r="G2379" s="14" t="str">
        <f>VLOOKUP(D2379,Table4[],3,FALSE)</f>
        <v>2</v>
      </c>
      <c r="H2379" s="15"/>
      <c r="I2379" s="15"/>
      <c r="J2379" s="15" t="s">
        <v>85</v>
      </c>
      <c r="K2379" s="15">
        <v>818355989</v>
      </c>
      <c r="L2379" s="15" t="s">
        <v>29</v>
      </c>
      <c r="M2379" s="15" t="s">
        <v>29</v>
      </c>
    </row>
    <row r="2380" spans="1:13" x14ac:dyDescent="0.25">
      <c r="A2380" s="23">
        <f t="shared" si="117"/>
        <v>217650</v>
      </c>
      <c r="B2380" s="14" t="str">
        <f t="shared" si="116"/>
        <v>Credit Cards (UMB) - Credits</v>
      </c>
      <c r="C2380" s="38">
        <v>46153</v>
      </c>
      <c r="D2380" s="34">
        <v>217650</v>
      </c>
      <c r="E2380" s="36" t="str">
        <f>IF(Table3[[#This Row],[Type Received]]=2,"CC",(IF(Table3[[#This Row],[Type Received]]=3,"BILL","ACH")))</f>
        <v>CC</v>
      </c>
      <c r="F2380" s="35">
        <v>71.12</v>
      </c>
      <c r="G2380" s="14" t="str">
        <f>VLOOKUP(D2380,Table4[],3,FALSE)</f>
        <v>1</v>
      </c>
      <c r="H2380" s="15">
        <v>5667</v>
      </c>
      <c r="I2380" s="15"/>
      <c r="J2380" s="15"/>
      <c r="K2380" s="15"/>
      <c r="L2380" s="15"/>
      <c r="M2380" s="15" t="s">
        <v>29</v>
      </c>
    </row>
    <row r="2381" spans="1:13" x14ac:dyDescent="0.25">
      <c r="A2381" s="23">
        <f t="shared" si="117"/>
        <v>217718</v>
      </c>
      <c r="B2381" s="14" t="str">
        <f t="shared" si="116"/>
        <v>Direct Debit (UMB Bank) - Credits</v>
      </c>
      <c r="C2381" s="37">
        <v>46143</v>
      </c>
      <c r="D2381" s="31">
        <v>217718</v>
      </c>
      <c r="E2381" s="33" t="str">
        <f>IF(Table3[[#This Row],[Type Received]]=2,"CC",(IF(Table3[[#This Row],[Type Received]]=3,"BILL","ACH")))</f>
        <v>ACH</v>
      </c>
      <c r="F2381" s="32">
        <v>130.44</v>
      </c>
      <c r="G2381" s="14" t="str">
        <f>VLOOKUP(D2381,Table4[],3,FALSE)</f>
        <v>2</v>
      </c>
      <c r="H2381" s="15"/>
      <c r="I2381" s="15">
        <v>469309</v>
      </c>
      <c r="J2381" s="15" t="s">
        <v>28</v>
      </c>
      <c r="K2381" s="15">
        <v>527438506</v>
      </c>
      <c r="L2381" s="15" t="s">
        <v>29</v>
      </c>
      <c r="M2381" s="15" t="s">
        <v>29</v>
      </c>
    </row>
    <row r="2382" spans="1:13" x14ac:dyDescent="0.25">
      <c r="A2382" s="23">
        <f t="shared" si="117"/>
        <v>217737</v>
      </c>
      <c r="B2382" s="14" t="str">
        <f t="shared" si="116"/>
        <v>Credit Cards (UMB) - Credits</v>
      </c>
      <c r="C2382" s="38">
        <v>46167</v>
      </c>
      <c r="D2382" s="34">
        <v>217737</v>
      </c>
      <c r="E2382" s="36" t="str">
        <f>IF(Table3[[#This Row],[Type Received]]=2,"CC",(IF(Table3[[#This Row],[Type Received]]=3,"BILL","ACH")))</f>
        <v>CC</v>
      </c>
      <c r="F2382" s="35">
        <v>16.98</v>
      </c>
      <c r="G2382" s="14" t="str">
        <f>VLOOKUP(D2382,Table4[],3,FALSE)</f>
        <v>2</v>
      </c>
      <c r="H2382" s="15"/>
      <c r="I2382" s="15"/>
      <c r="J2382" s="15" t="s">
        <v>85</v>
      </c>
      <c r="K2382" s="15">
        <v>818353993</v>
      </c>
      <c r="L2382" s="15" t="s">
        <v>29</v>
      </c>
      <c r="M2382" s="15" t="s">
        <v>29</v>
      </c>
    </row>
    <row r="2383" spans="1:13" x14ac:dyDescent="0.25">
      <c r="A2383" s="23">
        <f t="shared" si="117"/>
        <v>217781</v>
      </c>
      <c r="B2383" s="14" t="str">
        <f t="shared" si="116"/>
        <v>Credit Cards (UMB) - Credits</v>
      </c>
      <c r="C2383" s="37">
        <v>46143</v>
      </c>
      <c r="D2383" s="31">
        <v>217781</v>
      </c>
      <c r="E2383" s="33" t="str">
        <f>IF(Table3[[#This Row],[Type Received]]=2,"CC",(IF(Table3[[#This Row],[Type Received]]=3,"BILL","ACH")))</f>
        <v>CC</v>
      </c>
      <c r="F2383" s="32">
        <v>187.24</v>
      </c>
      <c r="G2383" s="14" t="str">
        <f>VLOOKUP(D2383,Table4[],3,FALSE)</f>
        <v>2</v>
      </c>
      <c r="H2383" s="15"/>
      <c r="I2383" s="15" t="s">
        <v>250</v>
      </c>
      <c r="J2383" s="15">
        <v>741374152</v>
      </c>
      <c r="K2383" s="15">
        <v>353127755</v>
      </c>
      <c r="L2383" s="15"/>
      <c r="M2383" s="15" t="s">
        <v>29</v>
      </c>
    </row>
    <row r="2384" spans="1:13" x14ac:dyDescent="0.25">
      <c r="A2384" s="23">
        <f t="shared" si="117"/>
        <v>218079</v>
      </c>
      <c r="B2384" s="14" t="str">
        <f t="shared" si="116"/>
        <v>Direct Debit (UMB Bank) - Credits</v>
      </c>
      <c r="C2384" s="38">
        <v>46147</v>
      </c>
      <c r="D2384" s="34">
        <v>218079</v>
      </c>
      <c r="E2384" s="36" t="str">
        <f>IF(Table3[[#This Row],[Type Received]]=2,"CC",(IF(Table3[[#This Row],[Type Received]]=3,"BILL","ACH")))</f>
        <v>ACH</v>
      </c>
      <c r="F2384" s="35">
        <v>54.1</v>
      </c>
      <c r="G2384" s="14" t="str">
        <f>VLOOKUP(D2384,Table4[],3,FALSE)</f>
        <v>1</v>
      </c>
      <c r="H2384" s="15"/>
      <c r="I2384" s="15">
        <v>90328</v>
      </c>
      <c r="J2384" s="15" t="s">
        <v>28</v>
      </c>
      <c r="K2384" s="15">
        <v>568973595</v>
      </c>
      <c r="L2384" s="15" t="s">
        <v>29</v>
      </c>
      <c r="M2384" s="15"/>
    </row>
    <row r="2385" spans="1:13" x14ac:dyDescent="0.25">
      <c r="A2385" s="23">
        <f t="shared" si="117"/>
        <v>218091</v>
      </c>
      <c r="B2385" s="14" t="str">
        <f t="shared" si="116"/>
        <v>Billing - Credits (from TPA)</v>
      </c>
      <c r="C2385" s="37">
        <v>46157</v>
      </c>
      <c r="D2385" s="31">
        <v>218091</v>
      </c>
      <c r="E2385" s="33" t="str">
        <f>IF(Table3[[#This Row],[Type Received]]=2,"CC",(IF(Table3[[#This Row],[Type Received]]=3,"BILL","ACH")))</f>
        <v>BILL</v>
      </c>
      <c r="F2385" s="32">
        <v>26.33</v>
      </c>
      <c r="G2385" s="14" t="str">
        <f>VLOOKUP(D2385,Table4[],3,FALSE)</f>
        <v>2</v>
      </c>
      <c r="H2385" s="15"/>
      <c r="I2385" s="15"/>
      <c r="J2385" s="15" t="s">
        <v>87</v>
      </c>
      <c r="K2385" s="15">
        <v>696748032</v>
      </c>
      <c r="L2385" s="15" t="s">
        <v>29</v>
      </c>
      <c r="M2385" s="15" t="s">
        <v>29</v>
      </c>
    </row>
    <row r="2386" spans="1:13" x14ac:dyDescent="0.25">
      <c r="A2386" s="23"/>
      <c r="B2386" s="14" t="str">
        <f t="shared" si="116"/>
        <v>Billing - Credits (from TPA)</v>
      </c>
      <c r="C2386" s="38">
        <v>46168</v>
      </c>
      <c r="D2386" s="34">
        <v>218103</v>
      </c>
      <c r="E2386" s="36" t="str">
        <f>IF(Table3[[#This Row],[Type Received]]=2,"CC",(IF(Table3[[#This Row],[Type Received]]=3,"BILL","ACH")))</f>
        <v>BILL</v>
      </c>
      <c r="F2386" s="35">
        <v>57.62</v>
      </c>
      <c r="G2386" s="14" t="str">
        <f>VLOOKUP(D2386,Table4[],3,FALSE)</f>
        <v>1</v>
      </c>
      <c r="H2386" s="15">
        <v>19829498010</v>
      </c>
      <c r="I2386" s="15"/>
      <c r="J2386" s="15"/>
      <c r="K2386" s="15"/>
      <c r="L2386" s="15"/>
      <c r="M2386" s="15" t="s">
        <v>29</v>
      </c>
    </row>
    <row r="2387" spans="1:13" x14ac:dyDescent="0.25">
      <c r="A2387" s="23">
        <f>D2387</f>
        <v>218148</v>
      </c>
      <c r="B2387" s="14" t="str">
        <f t="shared" si="116"/>
        <v>Credit Cards (UMB) - Credits</v>
      </c>
      <c r="C2387" s="37">
        <v>46153</v>
      </c>
      <c r="D2387" s="31">
        <v>218148</v>
      </c>
      <c r="E2387" s="33" t="str">
        <f>IF(Table3[[#This Row],[Type Received]]=2,"CC",(IF(Table3[[#This Row],[Type Received]]=3,"BILL","ACH")))</f>
        <v>CC</v>
      </c>
      <c r="F2387" s="32">
        <v>42.88</v>
      </c>
      <c r="G2387" s="14" t="str">
        <f>VLOOKUP(D2387,Table4[],3,FALSE)</f>
        <v>2</v>
      </c>
      <c r="H2387" s="15">
        <v>2630</v>
      </c>
      <c r="I2387" s="15"/>
      <c r="J2387" s="15"/>
      <c r="K2387" s="15"/>
      <c r="L2387" s="15"/>
      <c r="M2387" s="15" t="s">
        <v>29</v>
      </c>
    </row>
    <row r="2388" spans="1:13" x14ac:dyDescent="0.25">
      <c r="A2388" s="23">
        <f>D2388</f>
        <v>217846</v>
      </c>
      <c r="B2388" s="14" t="str">
        <f t="shared" si="116"/>
        <v>Direct Debit (UMB Bank) - Credits</v>
      </c>
      <c r="C2388" s="38">
        <v>46143</v>
      </c>
      <c r="D2388" s="34">
        <v>217846</v>
      </c>
      <c r="E2388" s="36" t="str">
        <f>IF(Table3[[#This Row],[Type Received]]=2,"CC",(IF(Table3[[#This Row],[Type Received]]=3,"BILL","ACH")))</f>
        <v>ACH</v>
      </c>
      <c r="F2388" s="35">
        <v>68.77</v>
      </c>
      <c r="G2388" s="14" t="str">
        <f>VLOOKUP(D2388,Table4[],3,FALSE)</f>
        <v>1</v>
      </c>
      <c r="H2388" s="15"/>
      <c r="I2388" s="15">
        <v>384876</v>
      </c>
      <c r="J2388" s="15">
        <v>741374152</v>
      </c>
      <c r="K2388" s="15">
        <v>353132285</v>
      </c>
      <c r="L2388" s="15"/>
      <c r="M2388" s="15" t="s">
        <v>29</v>
      </c>
    </row>
    <row r="2389" spans="1:13" x14ac:dyDescent="0.25">
      <c r="A2389" s="23">
        <f>D2389</f>
        <v>217881</v>
      </c>
      <c r="B2389" s="14" t="str">
        <f t="shared" si="116"/>
        <v>Credit Cards (UMB) - Credits</v>
      </c>
      <c r="C2389" s="37">
        <v>46157</v>
      </c>
      <c r="D2389" s="31">
        <v>217881</v>
      </c>
      <c r="E2389" s="33" t="str">
        <f>IF(Table3[[#This Row],[Type Received]]=2,"CC",(IF(Table3[[#This Row],[Type Received]]=3,"BILL","ACH")))</f>
        <v>CC</v>
      </c>
      <c r="F2389" s="32">
        <v>25.34</v>
      </c>
      <c r="G2389" s="14" t="str">
        <f>VLOOKUP(D2389,Table4[],3,FALSE)</f>
        <v>2</v>
      </c>
      <c r="H2389" s="15"/>
      <c r="I2389" s="15"/>
      <c r="J2389" s="15" t="s">
        <v>87</v>
      </c>
      <c r="K2389" s="15">
        <v>696762403</v>
      </c>
      <c r="L2389" s="15" t="s">
        <v>29</v>
      </c>
      <c r="M2389" s="15" t="s">
        <v>29</v>
      </c>
    </row>
    <row r="2390" spans="1:13" x14ac:dyDescent="0.25">
      <c r="A2390" s="23">
        <f>D2390</f>
        <v>217884</v>
      </c>
      <c r="B2390" s="14" t="str">
        <f t="shared" si="116"/>
        <v>Credit Cards (UMB) - Credits</v>
      </c>
      <c r="C2390" s="38">
        <v>46158</v>
      </c>
      <c r="D2390" s="34">
        <v>217884</v>
      </c>
      <c r="E2390" s="36" t="str">
        <f>IF(Table3[[#This Row],[Type Received]]=2,"CC",(IF(Table3[[#This Row],[Type Received]]=3,"BILL","ACH")))</f>
        <v>CC</v>
      </c>
      <c r="F2390" s="35">
        <v>52.62</v>
      </c>
      <c r="G2390" s="14" t="str">
        <f>VLOOKUP(D2390,Table4[],3,FALSE)</f>
        <v>2</v>
      </c>
      <c r="H2390" s="15"/>
      <c r="I2390" s="15">
        <v>166848</v>
      </c>
      <c r="J2390" s="15" t="s">
        <v>28</v>
      </c>
      <c r="K2390" s="15">
        <v>710066671</v>
      </c>
      <c r="L2390" s="15" t="s">
        <v>29</v>
      </c>
      <c r="M2390" s="15" t="s">
        <v>29</v>
      </c>
    </row>
    <row r="2391" spans="1:13" x14ac:dyDescent="0.25">
      <c r="A2391" s="23"/>
      <c r="B2391" s="14" t="str">
        <f t="shared" si="116"/>
        <v>Direct Debit (UMB Bank) - Credits</v>
      </c>
      <c r="C2391" s="37">
        <v>46146</v>
      </c>
      <c r="D2391" s="31">
        <v>217897</v>
      </c>
      <c r="E2391" s="33" t="str">
        <f>IF(Table3[[#This Row],[Type Received]]=2,"CC",(IF(Table3[[#This Row],[Type Received]]=3,"BILL","ACH")))</f>
        <v>ACH</v>
      </c>
      <c r="F2391" s="32">
        <v>125.82</v>
      </c>
      <c r="G2391" s="14" t="str">
        <f>VLOOKUP(D2391,Table4[],3,FALSE)</f>
        <v>2</v>
      </c>
      <c r="H2391" s="15"/>
      <c r="I2391" s="15">
        <v>27270</v>
      </c>
      <c r="J2391" s="24" t="s">
        <v>28</v>
      </c>
      <c r="K2391" s="15">
        <v>556748773</v>
      </c>
      <c r="L2391" s="15" t="s">
        <v>29</v>
      </c>
      <c r="M2391" s="15" t="s">
        <v>29</v>
      </c>
    </row>
    <row r="2392" spans="1:13" x14ac:dyDescent="0.25">
      <c r="A2392" s="23">
        <f t="shared" ref="A2392:A2399" si="118">D2392</f>
        <v>217900</v>
      </c>
      <c r="B2392" s="14" t="str">
        <f t="shared" si="116"/>
        <v>Billing - Credits (from TPA)</v>
      </c>
      <c r="C2392" s="38">
        <v>46167</v>
      </c>
      <c r="D2392" s="34">
        <v>217900</v>
      </c>
      <c r="E2392" s="36" t="str">
        <f>IF(Table3[[#This Row],[Type Received]]=2,"CC",(IF(Table3[[#This Row],[Type Received]]=3,"BILL","ACH")))</f>
        <v>BILL</v>
      </c>
      <c r="F2392" s="35">
        <v>33.79</v>
      </c>
      <c r="G2392" s="14" t="str">
        <f>VLOOKUP(D2392,Table4[],3,FALSE)</f>
        <v>1</v>
      </c>
      <c r="H2392" s="15"/>
      <c r="I2392" s="15"/>
      <c r="J2392" s="24" t="s">
        <v>85</v>
      </c>
      <c r="K2392" s="15">
        <v>818354006</v>
      </c>
      <c r="L2392" s="15" t="s">
        <v>29</v>
      </c>
      <c r="M2392" s="15" t="s">
        <v>29</v>
      </c>
    </row>
    <row r="2393" spans="1:13" x14ac:dyDescent="0.25">
      <c r="A2393" s="23">
        <f t="shared" si="118"/>
        <v>217904</v>
      </c>
      <c r="B2393" s="14" t="str">
        <f t="shared" si="116"/>
        <v>Direct Debit (UMB Bank) - Credits</v>
      </c>
      <c r="C2393" s="37">
        <v>46147</v>
      </c>
      <c r="D2393" s="31">
        <v>217904</v>
      </c>
      <c r="E2393" s="33" t="str">
        <f>IF(Table3[[#This Row],[Type Received]]=2,"CC",(IF(Table3[[#This Row],[Type Received]]=3,"BILL","ACH")))</f>
        <v>ACH</v>
      </c>
      <c r="F2393" s="32">
        <v>72.650000000000006</v>
      </c>
      <c r="G2393" s="14" t="str">
        <f>VLOOKUP(D2393,Table4[],3,FALSE)</f>
        <v>2</v>
      </c>
      <c r="H2393" s="15">
        <v>4465750055</v>
      </c>
      <c r="I2393" s="15"/>
      <c r="J2393" s="15"/>
      <c r="K2393" s="15"/>
      <c r="L2393" s="15"/>
      <c r="M2393" s="15"/>
    </row>
    <row r="2394" spans="1:13" x14ac:dyDescent="0.25">
      <c r="A2394" s="23">
        <f t="shared" si="118"/>
        <v>217947</v>
      </c>
      <c r="B2394" s="14" t="str">
        <f t="shared" si="116"/>
        <v>Direct Debit (UMB Bank) - Credits</v>
      </c>
      <c r="C2394" s="38">
        <v>46157</v>
      </c>
      <c r="D2394" s="34">
        <v>217947</v>
      </c>
      <c r="E2394" s="36" t="str">
        <f>IF(Table3[[#This Row],[Type Received]]=2,"CC",(IF(Table3[[#This Row],[Type Received]]=3,"BILL","ACH")))</f>
        <v>ACH</v>
      </c>
      <c r="F2394" s="35">
        <v>18.41</v>
      </c>
      <c r="G2394" s="14" t="str">
        <f>VLOOKUP(D2394,Table4[],3,FALSE)</f>
        <v>1</v>
      </c>
      <c r="H2394" s="15"/>
      <c r="I2394" s="15"/>
      <c r="J2394" s="15" t="s">
        <v>87</v>
      </c>
      <c r="K2394" s="15">
        <v>696752801</v>
      </c>
      <c r="L2394" s="15" t="s">
        <v>29</v>
      </c>
      <c r="M2394" s="15" t="s">
        <v>29</v>
      </c>
    </row>
    <row r="2395" spans="1:13" x14ac:dyDescent="0.25">
      <c r="A2395" s="23">
        <f t="shared" si="118"/>
        <v>218328</v>
      </c>
      <c r="B2395" s="14" t="str">
        <f t="shared" si="116"/>
        <v>Direct Debit (UMB Bank) - Credits</v>
      </c>
      <c r="C2395" s="37">
        <v>46157</v>
      </c>
      <c r="D2395" s="31">
        <v>218328</v>
      </c>
      <c r="E2395" s="33" t="str">
        <f>IF(Table3[[#This Row],[Type Received]]=2,"CC",(IF(Table3[[#This Row],[Type Received]]=3,"BILL","ACH")))</f>
        <v>ACH</v>
      </c>
      <c r="F2395" s="32">
        <v>16.23</v>
      </c>
      <c r="G2395" s="14" t="str">
        <f>VLOOKUP(D2395,Table4[],3,FALSE)</f>
        <v>1</v>
      </c>
      <c r="H2395" s="15"/>
      <c r="I2395" s="15"/>
      <c r="J2395" s="15" t="s">
        <v>87</v>
      </c>
      <c r="K2395" s="15">
        <v>696765408</v>
      </c>
      <c r="L2395" s="15" t="s">
        <v>29</v>
      </c>
      <c r="M2395" s="15" t="s">
        <v>29</v>
      </c>
    </row>
    <row r="2396" spans="1:13" x14ac:dyDescent="0.25">
      <c r="A2396" s="23">
        <f t="shared" si="118"/>
        <v>218332</v>
      </c>
      <c r="B2396" s="14" t="str">
        <f t="shared" si="116"/>
        <v>Billing - Credits (from TPA)</v>
      </c>
      <c r="C2396" s="38">
        <v>46167</v>
      </c>
      <c r="D2396" s="34">
        <v>218332</v>
      </c>
      <c r="E2396" s="36" t="str">
        <f>IF(Table3[[#This Row],[Type Received]]=2,"CC",(IF(Table3[[#This Row],[Type Received]]=3,"BILL","ACH")))</f>
        <v>BILL</v>
      </c>
      <c r="F2396" s="35">
        <v>16.579999999999998</v>
      </c>
      <c r="G2396" s="14" t="str">
        <f>VLOOKUP(D2396,Table4[],3,FALSE)</f>
        <v>1</v>
      </c>
      <c r="H2396" s="15"/>
      <c r="I2396" s="15"/>
      <c r="J2396" s="15" t="s">
        <v>85</v>
      </c>
      <c r="K2396" s="15">
        <v>818356920</v>
      </c>
      <c r="L2396" s="15" t="s">
        <v>29</v>
      </c>
      <c r="M2396" s="15" t="s">
        <v>29</v>
      </c>
    </row>
    <row r="2397" spans="1:13" x14ac:dyDescent="0.25">
      <c r="A2397" s="23">
        <f t="shared" si="118"/>
        <v>218610</v>
      </c>
      <c r="B2397" s="14" t="str">
        <f t="shared" si="116"/>
        <v>Billing - Credits (from TPA)</v>
      </c>
      <c r="C2397" s="37">
        <v>46143</v>
      </c>
      <c r="D2397" s="31">
        <v>218610</v>
      </c>
      <c r="E2397" s="33" t="str">
        <f>IF(Table3[[#This Row],[Type Received]]=2,"CC",(IF(Table3[[#This Row],[Type Received]]=3,"BILL","ACH")))</f>
        <v>BILL</v>
      </c>
      <c r="F2397" s="32">
        <v>37.67</v>
      </c>
      <c r="G2397" s="14" t="str">
        <f>VLOOKUP(D2397,Table4[],3,FALSE)</f>
        <v>1</v>
      </c>
      <c r="H2397" s="15">
        <v>8035</v>
      </c>
      <c r="I2397" s="15"/>
      <c r="J2397" s="15"/>
      <c r="K2397" s="15"/>
      <c r="L2397" s="15"/>
      <c r="M2397" s="15" t="s">
        <v>29</v>
      </c>
    </row>
    <row r="2398" spans="1:13" x14ac:dyDescent="0.25">
      <c r="A2398" s="23">
        <f t="shared" si="118"/>
        <v>218666</v>
      </c>
      <c r="B2398" s="14" t="str">
        <f t="shared" si="116"/>
        <v>Direct Debit (UMB Bank) - Credits</v>
      </c>
      <c r="C2398" s="38">
        <v>46146</v>
      </c>
      <c r="D2398" s="34">
        <v>218666</v>
      </c>
      <c r="E2398" s="36" t="str">
        <f>IF(Table3[[#This Row],[Type Received]]=2,"CC",(IF(Table3[[#This Row],[Type Received]]=3,"BILL","ACH")))</f>
        <v>ACH</v>
      </c>
      <c r="F2398" s="35">
        <v>26.23</v>
      </c>
      <c r="G2398" s="14" t="str">
        <f>VLOOKUP(D2398,Table4[],3,FALSE)</f>
        <v>2</v>
      </c>
      <c r="H2398" s="15">
        <v>3091</v>
      </c>
      <c r="I2398" s="15"/>
      <c r="J2398" s="15"/>
      <c r="K2398" s="15"/>
      <c r="L2398" s="15"/>
      <c r="M2398" s="15" t="s">
        <v>29</v>
      </c>
    </row>
    <row r="2399" spans="1:13" x14ac:dyDescent="0.25">
      <c r="A2399" s="23">
        <f t="shared" si="118"/>
        <v>218776</v>
      </c>
      <c r="B2399" s="14" t="str">
        <f t="shared" si="116"/>
        <v>Direct Debit (UMB Bank) - Credits</v>
      </c>
      <c r="C2399" s="37">
        <v>46157</v>
      </c>
      <c r="D2399" s="31">
        <v>218776</v>
      </c>
      <c r="E2399" s="33" t="str">
        <f>IF(Table3[[#This Row],[Type Received]]=2,"CC",(IF(Table3[[#This Row],[Type Received]]=3,"BILL","ACH")))</f>
        <v>ACH</v>
      </c>
      <c r="F2399" s="32">
        <v>41.62</v>
      </c>
      <c r="G2399" s="14" t="str">
        <f>VLOOKUP(D2399,Table4[],3,FALSE)</f>
        <v>2</v>
      </c>
      <c r="H2399" s="15"/>
      <c r="I2399" s="15"/>
      <c r="J2399" s="15" t="s">
        <v>87</v>
      </c>
      <c r="K2399" s="15">
        <v>696766393</v>
      </c>
      <c r="L2399" s="15" t="s">
        <v>29</v>
      </c>
      <c r="M2399" s="15" t="s">
        <v>29</v>
      </c>
    </row>
    <row r="2400" spans="1:13" x14ac:dyDescent="0.25">
      <c r="A2400" s="23"/>
      <c r="B2400" s="14" t="str">
        <f t="shared" si="116"/>
        <v>Direct Debit (UMB Bank) - Credits</v>
      </c>
      <c r="C2400" s="38">
        <v>46158</v>
      </c>
      <c r="D2400" s="34">
        <v>218792</v>
      </c>
      <c r="E2400" s="36" t="str">
        <f>IF(Table3[[#This Row],[Type Received]]=2,"CC",(IF(Table3[[#This Row],[Type Received]]=3,"BILL","ACH")))</f>
        <v>ACH</v>
      </c>
      <c r="F2400" s="35">
        <v>39.31</v>
      </c>
      <c r="G2400" s="14" t="str">
        <f>VLOOKUP(D2400,Table4[],3,FALSE)</f>
        <v>1</v>
      </c>
      <c r="H2400" s="15"/>
      <c r="I2400" s="15"/>
      <c r="J2400" s="15" t="s">
        <v>106</v>
      </c>
      <c r="K2400" s="15">
        <v>710025014</v>
      </c>
      <c r="L2400" s="15" t="s">
        <v>29</v>
      </c>
      <c r="M2400" s="15" t="s">
        <v>29</v>
      </c>
    </row>
    <row r="2401" spans="1:13" x14ac:dyDescent="0.25">
      <c r="A2401" s="23">
        <f>D2401</f>
        <v>218873</v>
      </c>
      <c r="B2401" s="14" t="str">
        <f t="shared" si="116"/>
        <v>Billing - Credits (from TPA)</v>
      </c>
      <c r="C2401" s="37">
        <v>46157</v>
      </c>
      <c r="D2401" s="31">
        <v>218873</v>
      </c>
      <c r="E2401" s="33" t="str">
        <f>IF(Table3[[#This Row],[Type Received]]=2,"CC",(IF(Table3[[#This Row],[Type Received]]=3,"BILL","ACH")))</f>
        <v>BILL</v>
      </c>
      <c r="F2401" s="32">
        <v>18.63</v>
      </c>
      <c r="G2401" s="14" t="str">
        <f>VLOOKUP(D2401,Table4[],3,FALSE)</f>
        <v>2</v>
      </c>
      <c r="H2401" s="15"/>
      <c r="I2401" s="15"/>
      <c r="J2401" s="15" t="s">
        <v>87</v>
      </c>
      <c r="K2401" s="15">
        <v>696753824</v>
      </c>
      <c r="L2401" s="15" t="s">
        <v>29</v>
      </c>
      <c r="M2401" s="15" t="s">
        <v>29</v>
      </c>
    </row>
    <row r="2402" spans="1:13" x14ac:dyDescent="0.25">
      <c r="A2402" s="23"/>
      <c r="B2402" s="14" t="str">
        <f t="shared" si="116"/>
        <v>Billing - Credits (from TPA)</v>
      </c>
      <c r="C2402" s="38">
        <v>46147</v>
      </c>
      <c r="D2402" s="34">
        <v>218891</v>
      </c>
      <c r="E2402" s="36" t="str">
        <f>IF(Table3[[#This Row],[Type Received]]=2,"CC",(IF(Table3[[#This Row],[Type Received]]=3,"BILL","ACH")))</f>
        <v>BILL</v>
      </c>
      <c r="F2402" s="35">
        <v>58.06</v>
      </c>
      <c r="G2402" s="14" t="str">
        <f>VLOOKUP(D2402,Table4[],3,FALSE)</f>
        <v>1</v>
      </c>
      <c r="H2402" s="15">
        <v>2852</v>
      </c>
      <c r="I2402" s="15"/>
      <c r="J2402" s="15"/>
      <c r="K2402" s="15"/>
      <c r="L2402" s="15"/>
      <c r="M2402" s="15" t="s">
        <v>29</v>
      </c>
    </row>
    <row r="2403" spans="1:13" x14ac:dyDescent="0.25">
      <c r="A2403" s="23">
        <f t="shared" ref="A2403:A2426" si="119">D2403</f>
        <v>218910</v>
      </c>
      <c r="B2403" s="14" t="str">
        <f t="shared" si="116"/>
        <v>Direct Debit (UMB Bank) - Credits</v>
      </c>
      <c r="C2403" s="37">
        <v>46146</v>
      </c>
      <c r="D2403" s="31">
        <v>218910</v>
      </c>
      <c r="E2403" s="33" t="str">
        <f>IF(Table3[[#This Row],[Type Received]]=2,"CC",(IF(Table3[[#This Row],[Type Received]]=3,"BILL","ACH")))</f>
        <v>ACH</v>
      </c>
      <c r="F2403" s="32">
        <v>98.54</v>
      </c>
      <c r="G2403" s="14" t="str">
        <f>VLOOKUP(D2403,Table4[],3,FALSE)</f>
        <v>1</v>
      </c>
      <c r="H2403" s="15">
        <v>1904</v>
      </c>
      <c r="I2403" s="15"/>
      <c r="J2403" s="15"/>
      <c r="K2403" s="15"/>
      <c r="L2403" s="15"/>
      <c r="M2403" s="15"/>
    </row>
    <row r="2404" spans="1:13" x14ac:dyDescent="0.25">
      <c r="A2404" s="23">
        <f t="shared" si="119"/>
        <v>218933</v>
      </c>
      <c r="B2404" s="14" t="str">
        <f t="shared" si="116"/>
        <v>Direct Debit (UMB Bank) - Credits</v>
      </c>
      <c r="C2404" s="38">
        <v>46167</v>
      </c>
      <c r="D2404" s="34">
        <v>218933</v>
      </c>
      <c r="E2404" s="36" t="str">
        <f>IF(Table3[[#This Row],[Type Received]]=2,"CC",(IF(Table3[[#This Row],[Type Received]]=3,"BILL","ACH")))</f>
        <v>ACH</v>
      </c>
      <c r="F2404" s="35">
        <v>74.290000000000006</v>
      </c>
      <c r="G2404" s="14" t="str">
        <f>VLOOKUP(D2404,Table4[],3,FALSE)</f>
        <v>2</v>
      </c>
      <c r="H2404" s="15"/>
      <c r="I2404" s="15"/>
      <c r="J2404" s="15" t="s">
        <v>85</v>
      </c>
      <c r="K2404" s="15">
        <v>818356928</v>
      </c>
      <c r="L2404" s="15" t="s">
        <v>29</v>
      </c>
      <c r="M2404" s="15" t="s">
        <v>29</v>
      </c>
    </row>
    <row r="2405" spans="1:13" x14ac:dyDescent="0.25">
      <c r="A2405" s="23">
        <f t="shared" si="119"/>
        <v>218935</v>
      </c>
      <c r="B2405" s="14" t="str">
        <f t="shared" si="116"/>
        <v>Direct Debit (UMB Bank) - Credits</v>
      </c>
      <c r="C2405" s="37">
        <v>46167</v>
      </c>
      <c r="D2405" s="31">
        <v>218935</v>
      </c>
      <c r="E2405" s="33" t="str">
        <f>IF(Table3[[#This Row],[Type Received]]=2,"CC",(IF(Table3[[#This Row],[Type Received]]=3,"BILL","ACH")))</f>
        <v>ACH</v>
      </c>
      <c r="F2405" s="32">
        <v>20.39</v>
      </c>
      <c r="G2405" s="14" t="str">
        <f>VLOOKUP(D2405,Table4[],3,FALSE)</f>
        <v>2</v>
      </c>
      <c r="H2405" s="15"/>
      <c r="I2405" s="15"/>
      <c r="J2405" s="15" t="s">
        <v>85</v>
      </c>
      <c r="K2405" s="15">
        <v>818368604</v>
      </c>
      <c r="L2405" s="15" t="s">
        <v>29</v>
      </c>
      <c r="M2405" s="15" t="s">
        <v>29</v>
      </c>
    </row>
    <row r="2406" spans="1:13" x14ac:dyDescent="0.25">
      <c r="A2406" s="23">
        <f t="shared" si="119"/>
        <v>218985</v>
      </c>
      <c r="B2406" s="14" t="str">
        <f t="shared" si="116"/>
        <v>Billing - Credits (from TPA)</v>
      </c>
      <c r="C2406" s="38">
        <v>46143</v>
      </c>
      <c r="D2406" s="34">
        <v>218985</v>
      </c>
      <c r="E2406" s="36" t="str">
        <f>IF(Table3[[#This Row],[Type Received]]=2,"CC",(IF(Table3[[#This Row],[Type Received]]=3,"BILL","ACH")))</f>
        <v>BILL</v>
      </c>
      <c r="F2406" s="35">
        <v>70</v>
      </c>
      <c r="G2406" s="14" t="str">
        <f>VLOOKUP(D2406,Table4[],3,FALSE)</f>
        <v>2</v>
      </c>
      <c r="H2406" s="15"/>
      <c r="I2406" s="15"/>
      <c r="J2406" s="15" t="s">
        <v>84</v>
      </c>
      <c r="K2406" s="15">
        <v>522349188</v>
      </c>
      <c r="L2406" s="15" t="s">
        <v>29</v>
      </c>
      <c r="M2406" s="15"/>
    </row>
    <row r="2407" spans="1:13" x14ac:dyDescent="0.25">
      <c r="A2407" s="23">
        <f t="shared" si="119"/>
        <v>219000</v>
      </c>
      <c r="B2407" s="14" t="str">
        <f t="shared" si="116"/>
        <v>Direct Debit (UMB Bank) - Credits</v>
      </c>
      <c r="C2407" s="37">
        <v>46146</v>
      </c>
      <c r="D2407" s="31">
        <v>219000</v>
      </c>
      <c r="E2407" s="33" t="str">
        <f>IF(Table3[[#This Row],[Type Received]]=2,"CC",(IF(Table3[[#This Row],[Type Received]]=3,"BILL","ACH")))</f>
        <v>ACH</v>
      </c>
      <c r="F2407" s="32">
        <v>19.96</v>
      </c>
      <c r="G2407" s="14" t="str">
        <f>VLOOKUP(D2407,Table4[],3,FALSE)</f>
        <v>2</v>
      </c>
      <c r="H2407" s="15">
        <v>5898</v>
      </c>
      <c r="I2407" s="15"/>
      <c r="J2407" s="15"/>
      <c r="K2407" s="15"/>
      <c r="L2407" s="15"/>
      <c r="M2407" s="15" t="s">
        <v>29</v>
      </c>
    </row>
    <row r="2408" spans="1:13" x14ac:dyDescent="0.25">
      <c r="A2408" s="23">
        <f t="shared" si="119"/>
        <v>219052</v>
      </c>
      <c r="B2408" s="14" t="str">
        <f t="shared" si="116"/>
        <v>Credit Cards (UMB) - Credits</v>
      </c>
      <c r="C2408" s="38">
        <v>46143</v>
      </c>
      <c r="D2408" s="34">
        <v>219052</v>
      </c>
      <c r="E2408" s="36" t="str">
        <f>IF(Table3[[#This Row],[Type Received]]=2,"CC",(IF(Table3[[#This Row],[Type Received]]=3,"BILL","ACH")))</f>
        <v>CC</v>
      </c>
      <c r="F2408" s="35">
        <v>55.15</v>
      </c>
      <c r="G2408" s="14" t="str">
        <f>VLOOKUP(D2408,Table4[],3,FALSE)</f>
        <v>2</v>
      </c>
      <c r="H2408" s="15"/>
      <c r="I2408" s="15"/>
      <c r="J2408" s="15" t="s">
        <v>84</v>
      </c>
      <c r="K2408" s="15">
        <v>522325079</v>
      </c>
      <c r="L2408" s="15" t="s">
        <v>29</v>
      </c>
      <c r="M2408" s="15"/>
    </row>
    <row r="2409" spans="1:13" x14ac:dyDescent="0.25">
      <c r="A2409" s="23">
        <f t="shared" si="119"/>
        <v>219093</v>
      </c>
      <c r="B2409" s="14" t="str">
        <f t="shared" si="116"/>
        <v>Direct Debit (UMB Bank) - Credits</v>
      </c>
      <c r="C2409" s="37">
        <v>46149</v>
      </c>
      <c r="D2409" s="31">
        <v>219093</v>
      </c>
      <c r="E2409" s="33" t="str">
        <f>IF(Table3[[#This Row],[Type Received]]=2,"CC",(IF(Table3[[#This Row],[Type Received]]=3,"BILL","ACH")))</f>
        <v>ACH</v>
      </c>
      <c r="F2409" s="32">
        <v>51.85</v>
      </c>
      <c r="G2409" s="14" t="str">
        <f>VLOOKUP(D2409,Table4[],3,FALSE)</f>
        <v>2</v>
      </c>
      <c r="H2409" s="15"/>
      <c r="I2409" s="15">
        <v>21642</v>
      </c>
      <c r="J2409" s="15" t="s">
        <v>28</v>
      </c>
      <c r="K2409" s="15">
        <v>594886048</v>
      </c>
      <c r="L2409" s="15" t="s">
        <v>29</v>
      </c>
      <c r="M2409" s="15" t="s">
        <v>29</v>
      </c>
    </row>
    <row r="2410" spans="1:13" x14ac:dyDescent="0.25">
      <c r="A2410" s="23">
        <f t="shared" si="119"/>
        <v>219283</v>
      </c>
      <c r="B2410" s="14" t="str">
        <f t="shared" si="116"/>
        <v>Direct Debit (UMB Bank) - Credits</v>
      </c>
      <c r="C2410" s="38">
        <v>46167</v>
      </c>
      <c r="D2410" s="34">
        <v>219283</v>
      </c>
      <c r="E2410" s="36" t="str">
        <f>IF(Table3[[#This Row],[Type Received]]=2,"CC",(IF(Table3[[#This Row],[Type Received]]=3,"BILL","ACH")))</f>
        <v>ACH</v>
      </c>
      <c r="F2410" s="35">
        <v>95.41</v>
      </c>
      <c r="G2410" s="14" t="str">
        <f>VLOOKUP(D2410,Table4[],3,FALSE)</f>
        <v>2</v>
      </c>
      <c r="H2410" s="15"/>
      <c r="I2410" s="15"/>
      <c r="J2410" s="15" t="s">
        <v>85</v>
      </c>
      <c r="K2410" s="15">
        <v>818378333</v>
      </c>
      <c r="L2410" s="15" t="s">
        <v>29</v>
      </c>
      <c r="M2410" s="15" t="s">
        <v>29</v>
      </c>
    </row>
    <row r="2411" spans="1:13" x14ac:dyDescent="0.25">
      <c r="A2411" s="23">
        <f t="shared" si="119"/>
        <v>219357</v>
      </c>
      <c r="B2411" s="14" t="str">
        <f t="shared" si="116"/>
        <v>Direct Debit (UMB Bank) - Credits</v>
      </c>
      <c r="C2411" s="37">
        <v>46167</v>
      </c>
      <c r="D2411" s="31">
        <v>219357</v>
      </c>
      <c r="E2411" s="33" t="str">
        <f>IF(Table3[[#This Row],[Type Received]]=2,"CC",(IF(Table3[[#This Row],[Type Received]]=3,"BILL","ACH")))</f>
        <v>ACH</v>
      </c>
      <c r="F2411" s="32">
        <v>14.34</v>
      </c>
      <c r="G2411" s="14" t="str">
        <f>VLOOKUP(D2411,Table4[],3,FALSE)</f>
        <v>1</v>
      </c>
      <c r="H2411" s="15"/>
      <c r="I2411" s="15"/>
      <c r="J2411" s="15" t="s">
        <v>85</v>
      </c>
      <c r="K2411" s="15">
        <v>818377333</v>
      </c>
      <c r="L2411" s="15" t="s">
        <v>29</v>
      </c>
      <c r="M2411" s="15" t="s">
        <v>29</v>
      </c>
    </row>
    <row r="2412" spans="1:13" x14ac:dyDescent="0.25">
      <c r="A2412" s="23">
        <f t="shared" si="119"/>
        <v>219366</v>
      </c>
      <c r="B2412" s="14" t="str">
        <f t="shared" si="116"/>
        <v>Direct Debit (UMB Bank) - Credits</v>
      </c>
      <c r="C2412" s="38">
        <v>46157</v>
      </c>
      <c r="D2412" s="34">
        <v>219366</v>
      </c>
      <c r="E2412" s="36" t="str">
        <f>IF(Table3[[#This Row],[Type Received]]=2,"CC",(IF(Table3[[#This Row],[Type Received]]=3,"BILL","ACH")))</f>
        <v>ACH</v>
      </c>
      <c r="F2412" s="35">
        <v>35.79</v>
      </c>
      <c r="G2412" s="14" t="str">
        <f>VLOOKUP(D2412,Table4[],3,FALSE)</f>
        <v>1</v>
      </c>
      <c r="H2412" s="15"/>
      <c r="I2412" s="15"/>
      <c r="J2412" s="15" t="s">
        <v>87</v>
      </c>
      <c r="K2412" s="15">
        <v>696758688</v>
      </c>
      <c r="L2412" s="15" t="s">
        <v>29</v>
      </c>
      <c r="M2412" s="15" t="s">
        <v>29</v>
      </c>
    </row>
    <row r="2413" spans="1:13" x14ac:dyDescent="0.25">
      <c r="A2413" s="23">
        <f t="shared" si="119"/>
        <v>219387</v>
      </c>
      <c r="B2413" s="14" t="str">
        <f t="shared" si="116"/>
        <v>Direct Debit (UMB Bank) - Credits</v>
      </c>
      <c r="C2413" s="37">
        <v>46158</v>
      </c>
      <c r="D2413" s="31">
        <v>219387</v>
      </c>
      <c r="E2413" s="33" t="str">
        <f>IF(Table3[[#This Row],[Type Received]]=2,"CC",(IF(Table3[[#This Row],[Type Received]]=3,"BILL","ACH")))</f>
        <v>ACH</v>
      </c>
      <c r="F2413" s="32">
        <v>47.12</v>
      </c>
      <c r="G2413" s="14" t="str">
        <f>VLOOKUP(D2413,Table4[],3,FALSE)</f>
        <v>2</v>
      </c>
      <c r="H2413" s="15"/>
      <c r="I2413" s="15"/>
      <c r="J2413" s="15" t="s">
        <v>106</v>
      </c>
      <c r="K2413" s="15">
        <v>710042665</v>
      </c>
      <c r="L2413" s="15" t="s">
        <v>29</v>
      </c>
      <c r="M2413" s="15"/>
    </row>
    <row r="2414" spans="1:13" x14ac:dyDescent="0.25">
      <c r="A2414" s="23">
        <f t="shared" si="119"/>
        <v>219454</v>
      </c>
      <c r="B2414" s="14" t="str">
        <f t="shared" si="116"/>
        <v>Direct Debit (UMB Bank) - Credits</v>
      </c>
      <c r="C2414" s="38">
        <v>46157</v>
      </c>
      <c r="D2414" s="34">
        <v>219454</v>
      </c>
      <c r="E2414" s="36" t="str">
        <f>IF(Table3[[#This Row],[Type Received]]=2,"CC",(IF(Table3[[#This Row],[Type Received]]=3,"BILL","ACH")))</f>
        <v>ACH</v>
      </c>
      <c r="F2414" s="35">
        <v>48.55</v>
      </c>
      <c r="G2414" s="14" t="str">
        <f>VLOOKUP(D2414,Table4[],3,FALSE)</f>
        <v>2</v>
      </c>
      <c r="H2414" s="15"/>
      <c r="I2414" s="15"/>
      <c r="J2414" s="15" t="s">
        <v>87</v>
      </c>
      <c r="K2414" s="15">
        <v>696772214</v>
      </c>
      <c r="L2414" s="15" t="s">
        <v>29</v>
      </c>
      <c r="M2414" s="15" t="s">
        <v>29</v>
      </c>
    </row>
    <row r="2415" spans="1:13" x14ac:dyDescent="0.25">
      <c r="A2415" s="23">
        <f t="shared" si="119"/>
        <v>219457</v>
      </c>
      <c r="B2415" s="14" t="str">
        <f t="shared" si="116"/>
        <v>Credit Cards (UMB) - Credits</v>
      </c>
      <c r="C2415" s="37">
        <v>46145</v>
      </c>
      <c r="D2415" s="31">
        <v>219457</v>
      </c>
      <c r="E2415" s="33" t="str">
        <f>IF(Table3[[#This Row],[Type Received]]=2,"CC",(IF(Table3[[#This Row],[Type Received]]=3,"BILL","ACH")))</f>
        <v>CC</v>
      </c>
      <c r="F2415" s="32">
        <v>17.309999999999999</v>
      </c>
      <c r="G2415" s="14" t="str">
        <f>VLOOKUP(D2415,Table4[],3,FALSE)</f>
        <v>1</v>
      </c>
      <c r="H2415" s="15"/>
      <c r="I2415" s="15"/>
      <c r="J2415" s="15" t="s">
        <v>113</v>
      </c>
      <c r="K2415" s="15">
        <v>546432654</v>
      </c>
      <c r="L2415" s="15" t="s">
        <v>29</v>
      </c>
      <c r="M2415" s="15" t="s">
        <v>29</v>
      </c>
    </row>
    <row r="2416" spans="1:13" x14ac:dyDescent="0.25">
      <c r="A2416" s="23">
        <f t="shared" si="119"/>
        <v>219517</v>
      </c>
      <c r="B2416" s="14" t="str">
        <f t="shared" si="116"/>
        <v>Credit Cards (UMB) - Credits</v>
      </c>
      <c r="C2416" s="38">
        <v>46161</v>
      </c>
      <c r="D2416" s="34">
        <v>219517</v>
      </c>
      <c r="E2416" s="36" t="str">
        <f>IF(Table3[[#This Row],[Type Received]]=2,"CC",(IF(Table3[[#This Row],[Type Received]]=3,"BILL","ACH")))</f>
        <v>CC</v>
      </c>
      <c r="F2416" s="35">
        <v>69.430000000000007</v>
      </c>
      <c r="G2416" s="14" t="str">
        <f>VLOOKUP(D2416,Table4[],3,FALSE)</f>
        <v>2</v>
      </c>
      <c r="H2416" s="15"/>
      <c r="I2416" s="15">
        <v>313836</v>
      </c>
      <c r="J2416" s="15" t="s">
        <v>28</v>
      </c>
      <c r="K2416" s="15">
        <v>744574540</v>
      </c>
      <c r="L2416" s="15" t="s">
        <v>29</v>
      </c>
      <c r="M2416" s="15" t="s">
        <v>29</v>
      </c>
    </row>
    <row r="2417" spans="1:13" x14ac:dyDescent="0.25">
      <c r="A2417" s="23">
        <f t="shared" si="119"/>
        <v>219521</v>
      </c>
      <c r="B2417" s="14" t="str">
        <f t="shared" si="116"/>
        <v>Direct Debit (UMB Bank) - Credits</v>
      </c>
      <c r="C2417" s="37">
        <v>46169</v>
      </c>
      <c r="D2417" s="31">
        <v>219521</v>
      </c>
      <c r="E2417" s="33" t="str">
        <f>IF(Table3[[#This Row],[Type Received]]=2,"CC",(IF(Table3[[#This Row],[Type Received]]=3,"BILL","ACH")))</f>
        <v>ACH</v>
      </c>
      <c r="F2417" s="32">
        <v>96.16</v>
      </c>
      <c r="G2417" s="14" t="str">
        <f>VLOOKUP(D2417,Table4[],3,FALSE)</f>
        <v>2</v>
      </c>
      <c r="H2417" s="15"/>
      <c r="I2417" s="15">
        <v>342475</v>
      </c>
      <c r="J2417" s="24" t="s">
        <v>28</v>
      </c>
      <c r="K2417" s="15">
        <v>845372442</v>
      </c>
      <c r="L2417" s="15" t="s">
        <v>29</v>
      </c>
      <c r="M2417" s="15" t="s">
        <v>29</v>
      </c>
    </row>
    <row r="2418" spans="1:13" x14ac:dyDescent="0.25">
      <c r="A2418" s="23">
        <f t="shared" si="119"/>
        <v>219632</v>
      </c>
      <c r="B2418" s="14" t="str">
        <f t="shared" si="116"/>
        <v>Billing - Credits (from TPA)</v>
      </c>
      <c r="C2418" s="38">
        <v>46157</v>
      </c>
      <c r="D2418" s="34">
        <v>219632</v>
      </c>
      <c r="E2418" s="36" t="str">
        <f>IF(Table3[[#This Row],[Type Received]]=2,"CC",(IF(Table3[[#This Row],[Type Received]]=3,"BILL","ACH")))</f>
        <v>BILL</v>
      </c>
      <c r="F2418" s="35">
        <v>70.989999999999995</v>
      </c>
      <c r="G2418" s="14" t="str">
        <f>VLOOKUP(D2418,Table4[],3,FALSE)</f>
        <v>2</v>
      </c>
      <c r="H2418" s="15"/>
      <c r="I2418" s="15"/>
      <c r="J2418" s="15" t="s">
        <v>87</v>
      </c>
      <c r="K2418" s="15">
        <v>696769379</v>
      </c>
      <c r="L2418" s="15" t="s">
        <v>29</v>
      </c>
      <c r="M2418" s="15" t="s">
        <v>29</v>
      </c>
    </row>
    <row r="2419" spans="1:13" x14ac:dyDescent="0.25">
      <c r="A2419" s="23">
        <f t="shared" si="119"/>
        <v>219833</v>
      </c>
      <c r="B2419" s="14" t="str">
        <f t="shared" si="116"/>
        <v>Credit Cards (UMB) - Credits</v>
      </c>
      <c r="C2419" s="37">
        <v>46169</v>
      </c>
      <c r="D2419" s="31">
        <v>219833</v>
      </c>
      <c r="E2419" s="33" t="str">
        <f>IF(Table3[[#This Row],[Type Received]]=2,"CC",(IF(Table3[[#This Row],[Type Received]]=3,"BILL","ACH")))</f>
        <v>CC</v>
      </c>
      <c r="F2419" s="32">
        <v>108</v>
      </c>
      <c r="G2419" s="14" t="str">
        <f>VLOOKUP(D2419,Table4[],3,FALSE)</f>
        <v>2</v>
      </c>
      <c r="H2419" s="15">
        <v>1312</v>
      </c>
      <c r="I2419" s="15"/>
      <c r="J2419" s="15"/>
      <c r="K2419" s="15"/>
      <c r="L2419" s="15"/>
      <c r="M2419" s="15" t="s">
        <v>29</v>
      </c>
    </row>
    <row r="2420" spans="1:13" x14ac:dyDescent="0.25">
      <c r="A2420" s="23">
        <f t="shared" si="119"/>
        <v>219876</v>
      </c>
      <c r="B2420" s="14" t="str">
        <f t="shared" si="116"/>
        <v>Direct Debit (UMB Bank) - Credits</v>
      </c>
      <c r="C2420" s="38">
        <v>46143</v>
      </c>
      <c r="D2420" s="34">
        <v>219876</v>
      </c>
      <c r="E2420" s="36" t="str">
        <f>IF(Table3[[#This Row],[Type Received]]=2,"CC",(IF(Table3[[#This Row],[Type Received]]=3,"BILL","ACH")))</f>
        <v>ACH</v>
      </c>
      <c r="F2420" s="35">
        <v>76.98</v>
      </c>
      <c r="G2420" s="14" t="str">
        <f>VLOOKUP(D2420,Table4[],3,FALSE)</f>
        <v>2</v>
      </c>
      <c r="H2420" s="15"/>
      <c r="I2420" s="15">
        <v>161906</v>
      </c>
      <c r="J2420" s="15">
        <v>741374152</v>
      </c>
      <c r="K2420" s="15">
        <v>353100824</v>
      </c>
      <c r="L2420" s="15"/>
      <c r="M2420" s="15" t="s">
        <v>29</v>
      </c>
    </row>
    <row r="2421" spans="1:13" x14ac:dyDescent="0.25">
      <c r="A2421" s="23">
        <f t="shared" si="119"/>
        <v>219902</v>
      </c>
      <c r="B2421" s="14" t="str">
        <f t="shared" si="116"/>
        <v>Direct Debit (UMB Bank) - Credits</v>
      </c>
      <c r="C2421" s="37">
        <v>46170</v>
      </c>
      <c r="D2421" s="31">
        <v>219902</v>
      </c>
      <c r="E2421" s="33" t="str">
        <f>IF(Table3[[#This Row],[Type Received]]=2,"CC",(IF(Table3[[#This Row],[Type Received]]=3,"BILL","ACH")))</f>
        <v>ACH</v>
      </c>
      <c r="F2421" s="32">
        <v>54.54</v>
      </c>
      <c r="G2421" s="14" t="str">
        <f>VLOOKUP(D2421,Table4[],3,FALSE)</f>
        <v>2</v>
      </c>
      <c r="H2421" s="15"/>
      <c r="I2421" s="15"/>
      <c r="J2421" s="15" t="s">
        <v>91</v>
      </c>
      <c r="K2421" s="15">
        <v>860373737</v>
      </c>
      <c r="L2421" s="15" t="s">
        <v>29</v>
      </c>
      <c r="M2421" s="15" t="s">
        <v>29</v>
      </c>
    </row>
    <row r="2422" spans="1:13" x14ac:dyDescent="0.25">
      <c r="A2422" s="23">
        <f t="shared" si="119"/>
        <v>219925</v>
      </c>
      <c r="B2422" s="14" t="str">
        <f t="shared" si="116"/>
        <v>Direct Debit (UMB Bank) - Credits</v>
      </c>
      <c r="C2422" s="38">
        <v>46157</v>
      </c>
      <c r="D2422" s="34">
        <v>219925</v>
      </c>
      <c r="E2422" s="36" t="str">
        <f>IF(Table3[[#This Row],[Type Received]]=2,"CC",(IF(Table3[[#This Row],[Type Received]]=3,"BILL","ACH")))</f>
        <v>ACH</v>
      </c>
      <c r="F2422" s="35">
        <v>14.45</v>
      </c>
      <c r="G2422" s="14" t="str">
        <f>VLOOKUP(D2422,Table4[],3,FALSE)</f>
        <v>2</v>
      </c>
      <c r="H2422" s="15"/>
      <c r="I2422" s="15"/>
      <c r="J2422" s="15" t="s">
        <v>87</v>
      </c>
      <c r="K2422" s="15">
        <v>696775117</v>
      </c>
      <c r="L2422" s="15" t="s">
        <v>29</v>
      </c>
      <c r="M2422" s="15" t="s">
        <v>29</v>
      </c>
    </row>
    <row r="2423" spans="1:13" x14ac:dyDescent="0.25">
      <c r="A2423" s="23">
        <f t="shared" si="119"/>
        <v>219931</v>
      </c>
      <c r="B2423" s="14" t="str">
        <f t="shared" si="116"/>
        <v>Direct Debit (UMB Bank) - Credits</v>
      </c>
      <c r="C2423" s="37">
        <v>46157</v>
      </c>
      <c r="D2423" s="31">
        <v>219931</v>
      </c>
      <c r="E2423" s="33" t="str">
        <f>IF(Table3[[#This Row],[Type Received]]=2,"CC",(IF(Table3[[#This Row],[Type Received]]=3,"BILL","ACH")))</f>
        <v>ACH</v>
      </c>
      <c r="F2423" s="32">
        <v>40.409999999999997</v>
      </c>
      <c r="G2423" s="14" t="str">
        <f>VLOOKUP(D2423,Table4[],3,FALSE)</f>
        <v>1</v>
      </c>
      <c r="H2423" s="15"/>
      <c r="I2423" s="15"/>
      <c r="J2423" s="24" t="s">
        <v>87</v>
      </c>
      <c r="K2423" s="15">
        <v>696770352</v>
      </c>
      <c r="L2423" s="15" t="s">
        <v>29</v>
      </c>
      <c r="M2423" s="15" t="s">
        <v>29</v>
      </c>
    </row>
    <row r="2424" spans="1:13" x14ac:dyDescent="0.25">
      <c r="A2424" s="23">
        <f t="shared" si="119"/>
        <v>220092</v>
      </c>
      <c r="B2424" s="14" t="str">
        <f t="shared" si="116"/>
        <v>Billing - Credits (from TPA)</v>
      </c>
      <c r="C2424" s="38">
        <v>46143</v>
      </c>
      <c r="D2424" s="34">
        <v>220092</v>
      </c>
      <c r="E2424" s="36" t="str">
        <f>IF(Table3[[#This Row],[Type Received]]=2,"CC",(IF(Table3[[#This Row],[Type Received]]=3,"BILL","ACH")))</f>
        <v>BILL</v>
      </c>
      <c r="F2424" s="35">
        <v>25.61</v>
      </c>
      <c r="G2424" s="14" t="str">
        <f>VLOOKUP(D2424,Table4[],3,FALSE)</f>
        <v>1</v>
      </c>
      <c r="H2424" s="15"/>
      <c r="I2424" s="15"/>
      <c r="J2424" s="15" t="s">
        <v>84</v>
      </c>
      <c r="K2424" s="15">
        <v>522340473</v>
      </c>
      <c r="L2424" s="15" t="s">
        <v>29</v>
      </c>
      <c r="M2424" s="15" t="s">
        <v>29</v>
      </c>
    </row>
    <row r="2425" spans="1:13" x14ac:dyDescent="0.25">
      <c r="A2425" s="23">
        <f t="shared" si="119"/>
        <v>220204</v>
      </c>
      <c r="B2425" s="14" t="str">
        <f t="shared" si="116"/>
        <v>Credit Cards (UMB) - Credits</v>
      </c>
      <c r="C2425" s="37">
        <v>46143</v>
      </c>
      <c r="D2425" s="31">
        <v>220204</v>
      </c>
      <c r="E2425" s="33" t="str">
        <f>IF(Table3[[#This Row],[Type Received]]=2,"CC",(IF(Table3[[#This Row],[Type Received]]=3,"BILL","ACH")))</f>
        <v>CC</v>
      </c>
      <c r="F2425" s="32">
        <v>214.92</v>
      </c>
      <c r="G2425" s="14" t="str">
        <f>VLOOKUP(D2425,Table4[],3,FALSE)</f>
        <v>2</v>
      </c>
      <c r="H2425" s="15">
        <v>9115</v>
      </c>
      <c r="I2425" s="15"/>
      <c r="J2425" s="15"/>
      <c r="K2425" s="15"/>
      <c r="L2425" s="15"/>
      <c r="M2425" s="15"/>
    </row>
    <row r="2426" spans="1:13" x14ac:dyDescent="0.25">
      <c r="A2426" s="23">
        <f t="shared" si="119"/>
        <v>220210</v>
      </c>
      <c r="B2426" s="14" t="str">
        <f t="shared" si="116"/>
        <v>Direct Debit (UMB Bank) - Credits</v>
      </c>
      <c r="C2426" s="38">
        <v>46146</v>
      </c>
      <c r="D2426" s="34">
        <v>220210</v>
      </c>
      <c r="E2426" s="36" t="str">
        <f>IF(Table3[[#This Row],[Type Received]]=2,"CC",(IF(Table3[[#This Row],[Type Received]]=3,"BILL","ACH")))</f>
        <v>ACH</v>
      </c>
      <c r="F2426" s="35">
        <v>48.56</v>
      </c>
      <c r="G2426" s="14" t="str">
        <f>VLOOKUP(D2426,Table4[],3,FALSE)</f>
        <v>2</v>
      </c>
      <c r="H2426" s="15"/>
      <c r="I2426" s="15">
        <v>387893</v>
      </c>
      <c r="J2426" s="15">
        <v>742259380</v>
      </c>
      <c r="K2426" s="15">
        <v>353448881</v>
      </c>
      <c r="L2426" s="15"/>
      <c r="M2426" s="15" t="s">
        <v>29</v>
      </c>
    </row>
    <row r="2427" spans="1:13" x14ac:dyDescent="0.25">
      <c r="A2427" s="23"/>
      <c r="B2427" s="14" t="str">
        <f t="shared" si="116"/>
        <v>Direct Debit (UMB Bank) - Credits</v>
      </c>
      <c r="C2427" s="37">
        <v>46167</v>
      </c>
      <c r="D2427" s="31">
        <v>220273</v>
      </c>
      <c r="E2427" s="33" t="str">
        <f>IF(Table3[[#This Row],[Type Received]]=2,"CC",(IF(Table3[[#This Row],[Type Received]]=3,"BILL","ACH")))</f>
        <v>ACH</v>
      </c>
      <c r="F2427" s="32">
        <v>56.14</v>
      </c>
      <c r="G2427" s="14" t="str">
        <f>VLOOKUP(D2427,Table4[],3,FALSE)</f>
        <v>2</v>
      </c>
      <c r="H2427" s="15"/>
      <c r="I2427" s="15"/>
      <c r="J2427" s="15" t="s">
        <v>85</v>
      </c>
      <c r="K2427" s="15">
        <v>818373476</v>
      </c>
      <c r="L2427" s="15" t="s">
        <v>29</v>
      </c>
      <c r="M2427" s="15"/>
    </row>
    <row r="2428" spans="1:13" x14ac:dyDescent="0.25">
      <c r="A2428" s="23">
        <f t="shared" ref="A2428:A2437" si="120">D2428</f>
        <v>220274</v>
      </c>
      <c r="B2428" s="14" t="str">
        <f t="shared" si="116"/>
        <v>Direct Debit (UMB Bank) - Credits</v>
      </c>
      <c r="C2428" s="38">
        <v>46167</v>
      </c>
      <c r="D2428" s="34">
        <v>220274</v>
      </c>
      <c r="E2428" s="36" t="str">
        <f>IF(Table3[[#This Row],[Type Received]]=2,"CC",(IF(Table3[[#This Row],[Type Received]]=3,"BILL","ACH")))</f>
        <v>ACH</v>
      </c>
      <c r="F2428" s="35">
        <v>18.12</v>
      </c>
      <c r="G2428" s="14" t="str">
        <f>VLOOKUP(D2428,Table4[],3,FALSE)</f>
        <v>1</v>
      </c>
      <c r="H2428" s="15"/>
      <c r="I2428" s="15"/>
      <c r="J2428" s="15" t="s">
        <v>85</v>
      </c>
      <c r="K2428" s="15">
        <v>818379306</v>
      </c>
      <c r="L2428" s="15" t="s">
        <v>29</v>
      </c>
      <c r="M2428" s="15" t="s">
        <v>29</v>
      </c>
    </row>
    <row r="2429" spans="1:13" x14ac:dyDescent="0.25">
      <c r="A2429" s="23">
        <f t="shared" si="120"/>
        <v>220312</v>
      </c>
      <c r="B2429" s="14" t="str">
        <f t="shared" si="116"/>
        <v>Direct Debit (UMB Bank) - Credits</v>
      </c>
      <c r="C2429" s="37">
        <v>46157</v>
      </c>
      <c r="D2429" s="31">
        <v>220312</v>
      </c>
      <c r="E2429" s="33" t="str">
        <f>IF(Table3[[#This Row],[Type Received]]=2,"CC",(IF(Table3[[#This Row],[Type Received]]=3,"BILL","ACH")))</f>
        <v>ACH</v>
      </c>
      <c r="F2429" s="32">
        <v>40.31</v>
      </c>
      <c r="G2429" s="14" t="str">
        <f>VLOOKUP(D2429,Table4[],3,FALSE)</f>
        <v>1</v>
      </c>
      <c r="H2429" s="15"/>
      <c r="I2429" s="15"/>
      <c r="J2429" s="15" t="s">
        <v>87</v>
      </c>
      <c r="K2429" s="15">
        <v>696751921</v>
      </c>
      <c r="L2429" s="15" t="s">
        <v>29</v>
      </c>
      <c r="M2429" s="15" t="s">
        <v>29</v>
      </c>
    </row>
    <row r="2430" spans="1:13" x14ac:dyDescent="0.25">
      <c r="A2430" s="23">
        <f t="shared" si="120"/>
        <v>220379</v>
      </c>
      <c r="B2430" s="14" t="str">
        <f t="shared" si="116"/>
        <v>Credit Cards (UMB) - Credits</v>
      </c>
      <c r="C2430" s="38">
        <v>46157</v>
      </c>
      <c r="D2430" s="34">
        <v>220379</v>
      </c>
      <c r="E2430" s="36" t="str">
        <f>IF(Table3[[#This Row],[Type Received]]=2,"CC",(IF(Table3[[#This Row],[Type Received]]=3,"BILL","ACH")))</f>
        <v>CC</v>
      </c>
      <c r="F2430" s="35">
        <v>59.44</v>
      </c>
      <c r="G2430" s="14" t="str">
        <f>VLOOKUP(D2430,Table4[],3,FALSE)</f>
        <v>2</v>
      </c>
      <c r="H2430" s="15"/>
      <c r="I2430" s="15"/>
      <c r="J2430" s="15" t="s">
        <v>87</v>
      </c>
      <c r="K2430" s="15">
        <v>696762524</v>
      </c>
      <c r="L2430" s="15" t="s">
        <v>29</v>
      </c>
      <c r="M2430" s="15" t="s">
        <v>29</v>
      </c>
    </row>
    <row r="2431" spans="1:13" x14ac:dyDescent="0.25">
      <c r="A2431" s="23">
        <f t="shared" si="120"/>
        <v>220439</v>
      </c>
      <c r="B2431" s="14" t="str">
        <f t="shared" si="116"/>
        <v>Direct Debit (UMB Bank) - Credits</v>
      </c>
      <c r="C2431" s="37">
        <v>46155</v>
      </c>
      <c r="D2431" s="31">
        <v>220439</v>
      </c>
      <c r="E2431" s="33" t="str">
        <f>IF(Table3[[#This Row],[Type Received]]=2,"CC",(IF(Table3[[#This Row],[Type Received]]=3,"BILL","ACH")))</f>
        <v>ACH</v>
      </c>
      <c r="F2431" s="32">
        <v>37.33</v>
      </c>
      <c r="G2431" s="14" t="str">
        <f>VLOOKUP(D2431,Table4[],3,FALSE)</f>
        <v>2</v>
      </c>
      <c r="H2431" s="15"/>
      <c r="I2431" s="15">
        <v>836636</v>
      </c>
      <c r="J2431" s="15" t="s">
        <v>28</v>
      </c>
      <c r="K2431" s="15">
        <v>669482908</v>
      </c>
      <c r="L2431" s="15" t="s">
        <v>29</v>
      </c>
      <c r="M2431" s="15"/>
    </row>
    <row r="2432" spans="1:13" x14ac:dyDescent="0.25">
      <c r="A2432" s="23">
        <f t="shared" si="120"/>
        <v>220470</v>
      </c>
      <c r="B2432" s="14" t="str">
        <f t="shared" si="116"/>
        <v>Billing - Credits (from TPA)</v>
      </c>
      <c r="C2432" s="38">
        <v>46168</v>
      </c>
      <c r="D2432" s="34">
        <v>220470</v>
      </c>
      <c r="E2432" s="36" t="str">
        <f>IF(Table3[[#This Row],[Type Received]]=2,"CC",(IF(Table3[[#This Row],[Type Received]]=3,"BILL","ACH")))</f>
        <v>BILL</v>
      </c>
      <c r="F2432" s="35">
        <v>36.67</v>
      </c>
      <c r="G2432" s="14" t="str">
        <f>VLOOKUP(D2432,Table4[],3,FALSE)</f>
        <v>2</v>
      </c>
      <c r="H2432" s="15"/>
      <c r="I2432" s="15"/>
      <c r="J2432" s="15" t="s">
        <v>110</v>
      </c>
      <c r="K2432" s="15">
        <v>828242653</v>
      </c>
      <c r="L2432" s="15" t="s">
        <v>29</v>
      </c>
      <c r="M2432" s="15"/>
    </row>
    <row r="2433" spans="1:13" x14ac:dyDescent="0.25">
      <c r="A2433" s="23">
        <f t="shared" si="120"/>
        <v>220489</v>
      </c>
      <c r="B2433" s="14" t="str">
        <f t="shared" si="116"/>
        <v>Direct Debit (UMB Bank) - Credits</v>
      </c>
      <c r="C2433" s="37">
        <v>46168</v>
      </c>
      <c r="D2433" s="31">
        <v>220489</v>
      </c>
      <c r="E2433" s="33" t="str">
        <f>IF(Table3[[#This Row],[Type Received]]=2,"CC",(IF(Table3[[#This Row],[Type Received]]=3,"BILL","ACH")))</f>
        <v>ACH</v>
      </c>
      <c r="F2433" s="32">
        <v>99.22</v>
      </c>
      <c r="G2433" s="14" t="str">
        <f>VLOOKUP(D2433,Table4[],3,FALSE)</f>
        <v>1</v>
      </c>
      <c r="H2433" s="15">
        <v>1128</v>
      </c>
      <c r="I2433" s="15"/>
      <c r="J2433" s="15"/>
      <c r="K2433" s="15"/>
      <c r="L2433" s="15"/>
      <c r="M2433" s="15" t="s">
        <v>29</v>
      </c>
    </row>
    <row r="2434" spans="1:13" x14ac:dyDescent="0.25">
      <c r="A2434" s="23">
        <f t="shared" si="120"/>
        <v>220516</v>
      </c>
      <c r="B2434" s="14" t="str">
        <f t="shared" ref="B2434:B2497" si="121">IF(AND(E2434="BILL",F2434&lt;0),"Billing &amp; Direct Debit - Refunds",(IF(AND(E2434="BILL",F2434&gt;0),"Billing - Credits (from TPA)",(IF(AND(E2434="CC",F2434&lt;0),"Credit Cards (UMB) - Refunds",(IF(AND(E2434="CC",F2434&gt;0),"Credit Cards (UMB) - Credits",(IF(AND(E2434="ACH",F2434&gt;0),"Direct Debit (UMB Bank) - Credits","Direct Debit (UMB Bank) - Returned Items")))))))))</f>
        <v>Direct Debit (UMB Bank) - Credits</v>
      </c>
      <c r="C2434" s="38">
        <v>46167</v>
      </c>
      <c r="D2434" s="34">
        <v>220516</v>
      </c>
      <c r="E2434" s="36" t="str">
        <f>IF(Table3[[#This Row],[Type Received]]=2,"CC",(IF(Table3[[#This Row],[Type Received]]=3,"BILL","ACH")))</f>
        <v>ACH</v>
      </c>
      <c r="F2434" s="35">
        <v>17.86</v>
      </c>
      <c r="G2434" s="14" t="str">
        <f>VLOOKUP(D2434,Table4[],3,FALSE)</f>
        <v>2</v>
      </c>
      <c r="H2434" s="15"/>
      <c r="I2434" s="15"/>
      <c r="J2434" s="15" t="s">
        <v>85</v>
      </c>
      <c r="K2434" s="15">
        <v>818359875</v>
      </c>
      <c r="L2434" s="15" t="s">
        <v>29</v>
      </c>
      <c r="M2434" s="15" t="s">
        <v>29</v>
      </c>
    </row>
    <row r="2435" spans="1:13" x14ac:dyDescent="0.25">
      <c r="A2435" s="23">
        <f t="shared" si="120"/>
        <v>220526</v>
      </c>
      <c r="B2435" s="14" t="str">
        <f t="shared" si="121"/>
        <v>Direct Debit (UMB Bank) - Credits</v>
      </c>
      <c r="C2435" s="37">
        <v>46143</v>
      </c>
      <c r="D2435" s="31">
        <v>220526</v>
      </c>
      <c r="E2435" s="33" t="str">
        <f>IF(Table3[[#This Row],[Type Received]]=2,"CC",(IF(Table3[[#This Row],[Type Received]]=3,"BILL","ACH")))</f>
        <v>ACH</v>
      </c>
      <c r="F2435" s="32">
        <v>12.58</v>
      </c>
      <c r="G2435" s="14" t="str">
        <f>VLOOKUP(D2435,Table4[],3,FALSE)</f>
        <v>2</v>
      </c>
      <c r="H2435" s="15"/>
      <c r="I2435" s="15"/>
      <c r="J2435" s="15" t="s">
        <v>84</v>
      </c>
      <c r="K2435" s="15">
        <v>522350187</v>
      </c>
      <c r="L2435" s="15" t="s">
        <v>29</v>
      </c>
      <c r="M2435" s="15" t="s">
        <v>29</v>
      </c>
    </row>
    <row r="2436" spans="1:13" x14ac:dyDescent="0.25">
      <c r="A2436" s="23">
        <f t="shared" si="120"/>
        <v>220590</v>
      </c>
      <c r="B2436" s="14" t="str">
        <f t="shared" si="121"/>
        <v>Billing - Credits (from TPA)</v>
      </c>
      <c r="C2436" s="38">
        <v>46157</v>
      </c>
      <c r="D2436" s="34">
        <v>220590</v>
      </c>
      <c r="E2436" s="36" t="str">
        <f>IF(Table3[[#This Row],[Type Received]]=2,"CC",(IF(Table3[[#This Row],[Type Received]]=3,"BILL","ACH")))</f>
        <v>BILL</v>
      </c>
      <c r="F2436" s="35">
        <v>34.69</v>
      </c>
      <c r="G2436" s="14" t="str">
        <f>VLOOKUP(D2436,Table4[],3,FALSE)</f>
        <v>2</v>
      </c>
      <c r="H2436" s="15"/>
      <c r="I2436" s="15"/>
      <c r="J2436" s="15" t="s">
        <v>87</v>
      </c>
      <c r="K2436" s="15">
        <v>696762532</v>
      </c>
      <c r="L2436" s="15" t="s">
        <v>29</v>
      </c>
      <c r="M2436" s="15" t="s">
        <v>29</v>
      </c>
    </row>
    <row r="2437" spans="1:13" x14ac:dyDescent="0.25">
      <c r="A2437" s="23">
        <f t="shared" si="120"/>
        <v>220654</v>
      </c>
      <c r="B2437" s="14" t="str">
        <f t="shared" si="121"/>
        <v>Credit Cards (UMB) - Credits</v>
      </c>
      <c r="C2437" s="37">
        <v>46171</v>
      </c>
      <c r="D2437" s="31">
        <v>220654</v>
      </c>
      <c r="E2437" s="33" t="str">
        <f>IF(Table3[[#This Row],[Type Received]]=2,"CC",(IF(Table3[[#This Row],[Type Received]]=3,"BILL","ACH")))</f>
        <v>CC</v>
      </c>
      <c r="F2437" s="32">
        <v>62.75</v>
      </c>
      <c r="G2437" s="14" t="str">
        <f>VLOOKUP(D2437,Table4[],3,FALSE)</f>
        <v>2</v>
      </c>
      <c r="H2437" s="15">
        <v>6366</v>
      </c>
      <c r="I2437" s="15"/>
      <c r="J2437" s="24"/>
      <c r="K2437" s="15"/>
      <c r="L2437" s="15"/>
      <c r="M2437" s="15" t="s">
        <v>29</v>
      </c>
    </row>
    <row r="2438" spans="1:13" x14ac:dyDescent="0.25">
      <c r="A2438" s="23"/>
      <c r="B2438" s="14" t="str">
        <f t="shared" si="121"/>
        <v>Direct Debit (UMB Bank) - Credits</v>
      </c>
      <c r="C2438" s="38">
        <v>46162</v>
      </c>
      <c r="D2438" s="34">
        <v>220763</v>
      </c>
      <c r="E2438" s="36" t="str">
        <f>IF(Table3[[#This Row],[Type Received]]=2,"CC",(IF(Table3[[#This Row],[Type Received]]=3,"BILL","ACH")))</f>
        <v>ACH</v>
      </c>
      <c r="F2438" s="35">
        <v>31.07</v>
      </c>
      <c r="G2438" s="14" t="str">
        <f>VLOOKUP(D2438,Table4[],3,FALSE)</f>
        <v>2</v>
      </c>
      <c r="H2438" s="15"/>
      <c r="I2438" s="15">
        <v>12790</v>
      </c>
      <c r="J2438" s="15" t="s">
        <v>28</v>
      </c>
      <c r="K2438" s="15">
        <v>758300097</v>
      </c>
      <c r="L2438" s="15" t="s">
        <v>29</v>
      </c>
      <c r="M2438" s="15" t="s">
        <v>29</v>
      </c>
    </row>
    <row r="2439" spans="1:13" x14ac:dyDescent="0.25">
      <c r="A2439" s="23"/>
      <c r="B2439" s="14" t="str">
        <f t="shared" si="121"/>
        <v>Direct Debit (UMB Bank) - Credits</v>
      </c>
      <c r="C2439" s="37">
        <v>46167</v>
      </c>
      <c r="D2439" s="31">
        <v>220828</v>
      </c>
      <c r="E2439" s="33" t="str">
        <f>IF(Table3[[#This Row],[Type Received]]=2,"CC",(IF(Table3[[#This Row],[Type Received]]=3,"BILL","ACH")))</f>
        <v>ACH</v>
      </c>
      <c r="F2439" s="32">
        <v>23.58</v>
      </c>
      <c r="G2439" s="14" t="str">
        <f>VLOOKUP(D2439,Table4[],3,FALSE)</f>
        <v>1</v>
      </c>
      <c r="H2439" s="15"/>
      <c r="I2439" s="15"/>
      <c r="J2439" s="15" t="s">
        <v>85</v>
      </c>
      <c r="K2439" s="15">
        <v>818366779</v>
      </c>
      <c r="L2439" s="15" t="s">
        <v>29</v>
      </c>
      <c r="M2439" s="15" t="s">
        <v>29</v>
      </c>
    </row>
    <row r="2440" spans="1:13" x14ac:dyDescent="0.25">
      <c r="A2440" s="23"/>
      <c r="B2440" s="14" t="str">
        <f t="shared" si="121"/>
        <v>Direct Debit (UMB Bank) - Credits</v>
      </c>
      <c r="C2440" s="38">
        <v>46143</v>
      </c>
      <c r="D2440" s="34">
        <v>220839</v>
      </c>
      <c r="E2440" s="36" t="str">
        <f>IF(Table3[[#This Row],[Type Received]]=2,"CC",(IF(Table3[[#This Row],[Type Received]]=3,"BILL","ACH")))</f>
        <v>ACH</v>
      </c>
      <c r="F2440" s="35">
        <v>27.65</v>
      </c>
      <c r="G2440" s="14" t="str">
        <f>VLOOKUP(D2440,Table4[],3,FALSE)</f>
        <v>1</v>
      </c>
      <c r="H2440" s="15"/>
      <c r="I2440" s="15"/>
      <c r="J2440" s="15" t="s">
        <v>84</v>
      </c>
      <c r="K2440" s="15">
        <v>522352206</v>
      </c>
      <c r="L2440" s="15" t="s">
        <v>29</v>
      </c>
      <c r="M2440" s="15" t="s">
        <v>29</v>
      </c>
    </row>
    <row r="2441" spans="1:13" x14ac:dyDescent="0.25">
      <c r="A2441" s="23"/>
      <c r="B2441" s="14" t="str">
        <f t="shared" si="121"/>
        <v>Direct Debit (UMB Bank) - Credits</v>
      </c>
      <c r="C2441" s="37">
        <v>46167</v>
      </c>
      <c r="D2441" s="31">
        <v>220980</v>
      </c>
      <c r="E2441" s="33" t="str">
        <f>IF(Table3[[#This Row],[Type Received]]=2,"CC",(IF(Table3[[#This Row],[Type Received]]=3,"BILL","ACH")))</f>
        <v>ACH</v>
      </c>
      <c r="F2441" s="32">
        <v>37</v>
      </c>
      <c r="G2441" s="14" t="str">
        <f>VLOOKUP(D2441,Table4[],3,FALSE)</f>
        <v>2</v>
      </c>
      <c r="H2441" s="15"/>
      <c r="I2441" s="15"/>
      <c r="J2441" s="15" t="s">
        <v>85</v>
      </c>
      <c r="K2441" s="15">
        <v>818365844</v>
      </c>
      <c r="L2441" s="15" t="s">
        <v>29</v>
      </c>
      <c r="M2441" s="15" t="s">
        <v>29</v>
      </c>
    </row>
    <row r="2442" spans="1:13" x14ac:dyDescent="0.25">
      <c r="A2442" s="23"/>
      <c r="B2442" s="14" t="str">
        <f t="shared" si="121"/>
        <v>Direct Debit (UMB Bank) - Credits</v>
      </c>
      <c r="C2442" s="38">
        <v>46144</v>
      </c>
      <c r="D2442" s="34">
        <v>221021</v>
      </c>
      <c r="E2442" s="36" t="str">
        <f>IF(Table3[[#This Row],[Type Received]]=2,"CC",(IF(Table3[[#This Row],[Type Received]]=3,"BILL","ACH")))</f>
        <v>ACH</v>
      </c>
      <c r="F2442" s="35">
        <v>46.56</v>
      </c>
      <c r="G2442" s="14" t="str">
        <f>VLOOKUP(D2442,Table4[],3,FALSE)</f>
        <v>2</v>
      </c>
      <c r="H2442" s="15"/>
      <c r="I2442" s="15"/>
      <c r="J2442" s="15" t="s">
        <v>89</v>
      </c>
      <c r="K2442" s="15">
        <v>535417097</v>
      </c>
      <c r="L2442" s="15" t="s">
        <v>29</v>
      </c>
      <c r="M2442" s="15" t="s">
        <v>29</v>
      </c>
    </row>
    <row r="2443" spans="1:13" x14ac:dyDescent="0.25">
      <c r="A2443" s="23"/>
      <c r="B2443" s="14" t="str">
        <f t="shared" si="121"/>
        <v>Direct Debit (UMB Bank) - Credits</v>
      </c>
      <c r="C2443" s="37">
        <v>46167</v>
      </c>
      <c r="D2443" s="31">
        <v>221097</v>
      </c>
      <c r="E2443" s="33" t="str">
        <f>IF(Table3[[#This Row],[Type Received]]=2,"CC",(IF(Table3[[#This Row],[Type Received]]=3,"BILL","ACH")))</f>
        <v>ACH</v>
      </c>
      <c r="F2443" s="32">
        <v>34.03</v>
      </c>
      <c r="G2443" s="14" t="str">
        <f>VLOOKUP(D2443,Table4[],3,FALSE)</f>
        <v>2</v>
      </c>
      <c r="H2443" s="15"/>
      <c r="I2443" s="15"/>
      <c r="J2443" s="15" t="s">
        <v>85</v>
      </c>
      <c r="K2443" s="15">
        <v>818369564</v>
      </c>
      <c r="L2443" s="15" t="s">
        <v>29</v>
      </c>
      <c r="M2443" s="15" t="s">
        <v>29</v>
      </c>
    </row>
    <row r="2444" spans="1:13" x14ac:dyDescent="0.25">
      <c r="A2444" s="23"/>
      <c r="B2444" s="14" t="str">
        <f t="shared" si="121"/>
        <v>Direct Debit (UMB Bank) - Credits</v>
      </c>
      <c r="C2444" s="38">
        <v>46158</v>
      </c>
      <c r="D2444" s="34">
        <v>221197</v>
      </c>
      <c r="E2444" s="36" t="str">
        <f>IF(Table3[[#This Row],[Type Received]]=2,"CC",(IF(Table3[[#This Row],[Type Received]]=3,"BILL","ACH")))</f>
        <v>ACH</v>
      </c>
      <c r="F2444" s="35">
        <v>14.69</v>
      </c>
      <c r="G2444" s="14" t="str">
        <f>VLOOKUP(D2444,Table4[],3,FALSE)</f>
        <v>1</v>
      </c>
      <c r="H2444" s="15"/>
      <c r="I2444" s="15"/>
      <c r="J2444" s="15" t="s">
        <v>106</v>
      </c>
      <c r="K2444" s="15">
        <v>710028534</v>
      </c>
      <c r="L2444" s="15" t="s">
        <v>29</v>
      </c>
      <c r="M2444" s="15" t="s">
        <v>29</v>
      </c>
    </row>
    <row r="2445" spans="1:13" x14ac:dyDescent="0.25">
      <c r="A2445" s="23">
        <f t="shared" ref="A2445:A2459" si="122">D2445</f>
        <v>221230</v>
      </c>
      <c r="B2445" s="14" t="str">
        <f t="shared" si="121"/>
        <v>Billing - Credits (from TPA)</v>
      </c>
      <c r="C2445" s="37">
        <v>46143</v>
      </c>
      <c r="D2445" s="31">
        <v>221230</v>
      </c>
      <c r="E2445" s="33" t="str">
        <f>IF(Table3[[#This Row],[Type Received]]=2,"CC",(IF(Table3[[#This Row],[Type Received]]=3,"BILL","ACH")))</f>
        <v>BILL</v>
      </c>
      <c r="F2445" s="32">
        <v>32.93</v>
      </c>
      <c r="G2445" s="14" t="str">
        <f>VLOOKUP(D2445,Table4[],3,FALSE)</f>
        <v>1</v>
      </c>
      <c r="H2445" s="15"/>
      <c r="I2445" s="15"/>
      <c r="J2445" s="15" t="s">
        <v>84</v>
      </c>
      <c r="K2445" s="15">
        <v>522331909</v>
      </c>
      <c r="L2445" s="15" t="s">
        <v>29</v>
      </c>
      <c r="M2445" s="15" t="s">
        <v>29</v>
      </c>
    </row>
    <row r="2446" spans="1:13" x14ac:dyDescent="0.25">
      <c r="A2446" s="23">
        <f t="shared" si="122"/>
        <v>221311</v>
      </c>
      <c r="B2446" s="14" t="str">
        <f t="shared" si="121"/>
        <v>Direct Debit (UMB Bank) - Credits</v>
      </c>
      <c r="C2446" s="38">
        <v>46161</v>
      </c>
      <c r="D2446" s="34">
        <v>221311</v>
      </c>
      <c r="E2446" s="36" t="str">
        <f>IF(Table3[[#This Row],[Type Received]]=2,"CC",(IF(Table3[[#This Row],[Type Received]]=3,"BILL","ACH")))</f>
        <v>ACH</v>
      </c>
      <c r="F2446" s="35">
        <v>42</v>
      </c>
      <c r="G2446" s="14" t="str">
        <f>VLOOKUP(D2446,Table4[],3,FALSE)</f>
        <v>2</v>
      </c>
      <c r="H2446" s="15">
        <v>989307</v>
      </c>
      <c r="I2446" s="15"/>
      <c r="J2446" s="15"/>
      <c r="K2446" s="15"/>
      <c r="L2446" s="15"/>
      <c r="M2446" s="15" t="s">
        <v>29</v>
      </c>
    </row>
    <row r="2447" spans="1:13" x14ac:dyDescent="0.25">
      <c r="A2447" s="23">
        <f t="shared" si="122"/>
        <v>221317</v>
      </c>
      <c r="B2447" s="14" t="str">
        <f t="shared" si="121"/>
        <v>Direct Debit (UMB Bank) - Credits</v>
      </c>
      <c r="C2447" s="37">
        <v>46149</v>
      </c>
      <c r="D2447" s="31">
        <v>221317</v>
      </c>
      <c r="E2447" s="33" t="str">
        <f>IF(Table3[[#This Row],[Type Received]]=2,"CC",(IF(Table3[[#This Row],[Type Received]]=3,"BILL","ACH")))</f>
        <v>ACH</v>
      </c>
      <c r="F2447" s="32">
        <v>46.58</v>
      </c>
      <c r="G2447" s="14" t="str">
        <f>VLOOKUP(D2447,Table4[],3,FALSE)</f>
        <v>2</v>
      </c>
      <c r="H2447" s="15"/>
      <c r="I2447" s="15"/>
      <c r="J2447" s="15" t="s">
        <v>109</v>
      </c>
      <c r="K2447" s="15">
        <v>595232709</v>
      </c>
      <c r="L2447" s="15" t="s">
        <v>29</v>
      </c>
      <c r="M2447" s="15" t="s">
        <v>29</v>
      </c>
    </row>
    <row r="2448" spans="1:13" x14ac:dyDescent="0.25">
      <c r="A2448" s="23">
        <f t="shared" si="122"/>
        <v>221368</v>
      </c>
      <c r="B2448" s="14" t="str">
        <f t="shared" si="121"/>
        <v>Direct Debit (UMB Bank) - Credits</v>
      </c>
      <c r="C2448" s="38">
        <v>46167</v>
      </c>
      <c r="D2448" s="34">
        <v>221368</v>
      </c>
      <c r="E2448" s="36" t="str">
        <f>IF(Table3[[#This Row],[Type Received]]=2,"CC",(IF(Table3[[#This Row],[Type Received]]=3,"BILL","ACH")))</f>
        <v>ACH</v>
      </c>
      <c r="F2448" s="35">
        <v>15.6</v>
      </c>
      <c r="G2448" s="14" t="str">
        <f>VLOOKUP(D2448,Table4[],3,FALSE)</f>
        <v>1</v>
      </c>
      <c r="H2448" s="15"/>
      <c r="I2448" s="15"/>
      <c r="J2448" s="15" t="s">
        <v>85</v>
      </c>
      <c r="K2448" s="15">
        <v>818358912</v>
      </c>
      <c r="L2448" s="15" t="s">
        <v>29</v>
      </c>
      <c r="M2448" s="15" t="s">
        <v>29</v>
      </c>
    </row>
    <row r="2449" spans="1:13" x14ac:dyDescent="0.25">
      <c r="A2449" s="23">
        <f t="shared" si="122"/>
        <v>221373</v>
      </c>
      <c r="B2449" s="14" t="str">
        <f t="shared" si="121"/>
        <v>Billing - Credits (from TPA)</v>
      </c>
      <c r="C2449" s="37">
        <v>46167</v>
      </c>
      <c r="D2449" s="31">
        <v>221373</v>
      </c>
      <c r="E2449" s="33" t="str">
        <f>IF(Table3[[#This Row],[Type Received]]=2,"CC",(IF(Table3[[#This Row],[Type Received]]=3,"BILL","ACH")))</f>
        <v>BILL</v>
      </c>
      <c r="F2449" s="32">
        <v>65.709999999999994</v>
      </c>
      <c r="G2449" s="14" t="str">
        <f>VLOOKUP(D2449,Table4[],3,FALSE)</f>
        <v>2</v>
      </c>
      <c r="H2449" s="15"/>
      <c r="I2449" s="15"/>
      <c r="J2449" s="24" t="s">
        <v>85</v>
      </c>
      <c r="K2449" s="15">
        <v>818366809</v>
      </c>
      <c r="L2449" s="15" t="s">
        <v>29</v>
      </c>
      <c r="M2449" s="15"/>
    </row>
    <row r="2450" spans="1:13" x14ac:dyDescent="0.25">
      <c r="A2450" s="23">
        <f t="shared" si="122"/>
        <v>221445</v>
      </c>
      <c r="B2450" s="14" t="str">
        <f t="shared" si="121"/>
        <v>Direct Debit (UMB Bank) - Credits</v>
      </c>
      <c r="C2450" s="38">
        <v>46149</v>
      </c>
      <c r="D2450" s="34">
        <v>221445</v>
      </c>
      <c r="E2450" s="36" t="str">
        <f>IF(Table3[[#This Row],[Type Received]]=2,"CC",(IF(Table3[[#This Row],[Type Received]]=3,"BILL","ACH")))</f>
        <v>ACH</v>
      </c>
      <c r="F2450" s="35">
        <v>49.55</v>
      </c>
      <c r="G2450" s="14" t="str">
        <f>VLOOKUP(D2450,Table4[],3,FALSE)</f>
        <v>1</v>
      </c>
      <c r="H2450" s="15">
        <v>139367</v>
      </c>
      <c r="I2450" s="15"/>
      <c r="J2450" s="15"/>
      <c r="K2450" s="15"/>
      <c r="L2450" s="15"/>
      <c r="M2450" s="15" t="s">
        <v>29</v>
      </c>
    </row>
    <row r="2451" spans="1:13" x14ac:dyDescent="0.25">
      <c r="A2451" s="23">
        <f t="shared" si="122"/>
        <v>221543</v>
      </c>
      <c r="B2451" s="14" t="str">
        <f t="shared" si="121"/>
        <v>Credit Cards (UMB) - Credits</v>
      </c>
      <c r="C2451" s="37">
        <v>46157</v>
      </c>
      <c r="D2451" s="31">
        <v>221543</v>
      </c>
      <c r="E2451" s="33" t="str">
        <f>IF(Table3[[#This Row],[Type Received]]=2,"CC",(IF(Table3[[#This Row],[Type Received]]=3,"BILL","ACH")))</f>
        <v>CC</v>
      </c>
      <c r="F2451" s="32">
        <v>34.69</v>
      </c>
      <c r="G2451" s="14" t="str">
        <f>VLOOKUP(D2451,Table4[],3,FALSE)</f>
        <v>1</v>
      </c>
      <c r="H2451" s="15"/>
      <c r="I2451" s="15"/>
      <c r="J2451" s="24" t="s">
        <v>87</v>
      </c>
      <c r="K2451" s="15">
        <v>696766501</v>
      </c>
      <c r="L2451" s="15" t="s">
        <v>29</v>
      </c>
      <c r="M2451" s="15" t="s">
        <v>29</v>
      </c>
    </row>
    <row r="2452" spans="1:13" x14ac:dyDescent="0.25">
      <c r="A2452" s="23">
        <f t="shared" si="122"/>
        <v>221585</v>
      </c>
      <c r="B2452" s="14" t="str">
        <f t="shared" si="121"/>
        <v>Direct Debit (UMB Bank) - Credits</v>
      </c>
      <c r="C2452" s="38">
        <v>46149</v>
      </c>
      <c r="D2452" s="34">
        <v>221585</v>
      </c>
      <c r="E2452" s="36" t="str">
        <f>IF(Table3[[#This Row],[Type Received]]=2,"CC",(IF(Table3[[#This Row],[Type Received]]=3,"BILL","ACH")))</f>
        <v>ACH</v>
      </c>
      <c r="F2452" s="35">
        <v>17.93</v>
      </c>
      <c r="G2452" s="14" t="str">
        <f>VLOOKUP(D2452,Table4[],3,FALSE)</f>
        <v>1</v>
      </c>
      <c r="H2452" s="15"/>
      <c r="I2452" s="15">
        <v>610278</v>
      </c>
      <c r="J2452" s="15">
        <v>743273545</v>
      </c>
      <c r="K2452" s="15">
        <v>353836001</v>
      </c>
      <c r="L2452" s="15"/>
      <c r="M2452" s="15"/>
    </row>
    <row r="2453" spans="1:13" x14ac:dyDescent="0.25">
      <c r="A2453" s="23">
        <f t="shared" si="122"/>
        <v>221798</v>
      </c>
      <c r="B2453" s="14" t="str">
        <f t="shared" si="121"/>
        <v>Direct Debit (UMB Bank) - Credits</v>
      </c>
      <c r="C2453" s="37">
        <v>46143</v>
      </c>
      <c r="D2453" s="31">
        <v>221798</v>
      </c>
      <c r="E2453" s="33" t="str">
        <f>IF(Table3[[#This Row],[Type Received]]=2,"CC",(IF(Table3[[#This Row],[Type Received]]=3,"BILL","ACH")))</f>
        <v>ACH</v>
      </c>
      <c r="F2453" s="32">
        <v>108.28</v>
      </c>
      <c r="G2453" s="14" t="str">
        <f>VLOOKUP(D2453,Table4[],3,FALSE)</f>
        <v>2</v>
      </c>
      <c r="H2453" s="15"/>
      <c r="I2453" s="15"/>
      <c r="J2453" s="15" t="s">
        <v>84</v>
      </c>
      <c r="K2453" s="15">
        <v>522347469</v>
      </c>
      <c r="L2453" s="15" t="s">
        <v>29</v>
      </c>
      <c r="M2453" s="15" t="s">
        <v>29</v>
      </c>
    </row>
    <row r="2454" spans="1:13" x14ac:dyDescent="0.25">
      <c r="A2454" s="23">
        <f t="shared" si="122"/>
        <v>221800</v>
      </c>
      <c r="B2454" s="14" t="str">
        <f t="shared" si="121"/>
        <v>Direct Debit (UMB Bank) - Credits</v>
      </c>
      <c r="C2454" s="38">
        <v>46157</v>
      </c>
      <c r="D2454" s="34">
        <v>221800</v>
      </c>
      <c r="E2454" s="36" t="str">
        <f>IF(Table3[[#This Row],[Type Received]]=2,"CC",(IF(Table3[[#This Row],[Type Received]]=3,"BILL","ACH")))</f>
        <v>ACH</v>
      </c>
      <c r="F2454" s="35">
        <v>15.81</v>
      </c>
      <c r="G2454" s="14" t="str">
        <f>VLOOKUP(D2454,Table4[],3,FALSE)</f>
        <v>1</v>
      </c>
      <c r="H2454" s="15"/>
      <c r="I2454" s="15"/>
      <c r="J2454" s="24" t="s">
        <v>87</v>
      </c>
      <c r="K2454" s="15">
        <v>696772310</v>
      </c>
      <c r="L2454" s="15" t="s">
        <v>29</v>
      </c>
      <c r="M2454" s="15" t="s">
        <v>29</v>
      </c>
    </row>
    <row r="2455" spans="1:13" x14ac:dyDescent="0.25">
      <c r="A2455" s="23">
        <f t="shared" si="122"/>
        <v>221913</v>
      </c>
      <c r="B2455" s="14" t="str">
        <f t="shared" si="121"/>
        <v>Direct Debit (UMB Bank) - Credits</v>
      </c>
      <c r="C2455" s="37">
        <v>46168</v>
      </c>
      <c r="D2455" s="31">
        <v>221913</v>
      </c>
      <c r="E2455" s="33" t="str">
        <f>IF(Table3[[#This Row],[Type Received]]=2,"CC",(IF(Table3[[#This Row],[Type Received]]=3,"BILL","ACH")))</f>
        <v>ACH</v>
      </c>
      <c r="F2455" s="32">
        <v>15.11</v>
      </c>
      <c r="G2455" s="14" t="str">
        <f>VLOOKUP(D2455,Table4[],3,FALSE)</f>
        <v>1</v>
      </c>
      <c r="H2455" s="15"/>
      <c r="I2455" s="15"/>
      <c r="J2455" s="15" t="s">
        <v>110</v>
      </c>
      <c r="K2455" s="15">
        <v>828308331</v>
      </c>
      <c r="L2455" s="15" t="s">
        <v>29</v>
      </c>
      <c r="M2455" s="15"/>
    </row>
    <row r="2456" spans="1:13" x14ac:dyDescent="0.25">
      <c r="A2456" s="23">
        <f t="shared" si="122"/>
        <v>221914</v>
      </c>
      <c r="B2456" s="14" t="str">
        <f t="shared" si="121"/>
        <v>Direct Debit (UMB Bank) - Credits</v>
      </c>
      <c r="C2456" s="38">
        <v>46167</v>
      </c>
      <c r="D2456" s="34">
        <v>221914</v>
      </c>
      <c r="E2456" s="36" t="str">
        <f>IF(Table3[[#This Row],[Type Received]]=2,"CC",(IF(Table3[[#This Row],[Type Received]]=3,"BILL","ACH")))</f>
        <v>ACH</v>
      </c>
      <c r="F2456" s="35">
        <v>33.369999999999997</v>
      </c>
      <c r="G2456" s="14" t="str">
        <f>VLOOKUP(D2456,Table4[],3,FALSE)</f>
        <v>2</v>
      </c>
      <c r="H2456" s="15"/>
      <c r="I2456" s="15"/>
      <c r="J2456" s="15" t="s">
        <v>85</v>
      </c>
      <c r="K2456" s="15">
        <v>818380319</v>
      </c>
      <c r="L2456" s="15" t="s">
        <v>29</v>
      </c>
      <c r="M2456" s="15" t="s">
        <v>29</v>
      </c>
    </row>
    <row r="2457" spans="1:13" x14ac:dyDescent="0.25">
      <c r="A2457" s="23">
        <f t="shared" si="122"/>
        <v>221915</v>
      </c>
      <c r="B2457" s="14" t="str">
        <f t="shared" si="121"/>
        <v>Credit Cards (UMB) - Credits</v>
      </c>
      <c r="C2457" s="37">
        <v>46167</v>
      </c>
      <c r="D2457" s="31">
        <v>221915</v>
      </c>
      <c r="E2457" s="33" t="str">
        <f>IF(Table3[[#This Row],[Type Received]]=2,"CC",(IF(Table3[[#This Row],[Type Received]]=3,"BILL","ACH")))</f>
        <v>CC</v>
      </c>
      <c r="F2457" s="32">
        <v>19.95</v>
      </c>
      <c r="G2457" s="14" t="str">
        <f>VLOOKUP(D2457,Table4[],3,FALSE)</f>
        <v>2</v>
      </c>
      <c r="H2457" s="15"/>
      <c r="I2457" s="15"/>
      <c r="J2457" s="15" t="s">
        <v>85</v>
      </c>
      <c r="K2457" s="15">
        <v>818368691</v>
      </c>
      <c r="L2457" s="15" t="s">
        <v>29</v>
      </c>
      <c r="M2457" s="15"/>
    </row>
    <row r="2458" spans="1:13" x14ac:dyDescent="0.25">
      <c r="A2458" s="23">
        <f t="shared" si="122"/>
        <v>221921</v>
      </c>
      <c r="B2458" s="14" t="str">
        <f t="shared" si="121"/>
        <v>Direct Debit (UMB Bank) - Credits</v>
      </c>
      <c r="C2458" s="38">
        <v>46157</v>
      </c>
      <c r="D2458" s="34">
        <v>221921</v>
      </c>
      <c r="E2458" s="36" t="str">
        <f>IF(Table3[[#This Row],[Type Received]]=2,"CC",(IF(Table3[[#This Row],[Type Received]]=3,"BILL","ACH")))</f>
        <v>ACH</v>
      </c>
      <c r="F2458" s="35">
        <v>18.68</v>
      </c>
      <c r="G2458" s="14" t="str">
        <f>VLOOKUP(D2458,Table4[],3,FALSE)</f>
        <v>1</v>
      </c>
      <c r="H2458" s="15"/>
      <c r="I2458" s="15" t="s">
        <v>251</v>
      </c>
      <c r="J2458" s="15" t="s">
        <v>28</v>
      </c>
      <c r="K2458" s="15">
        <v>696764556</v>
      </c>
      <c r="L2458" s="15" t="s">
        <v>29</v>
      </c>
      <c r="M2458" s="15" t="s">
        <v>29</v>
      </c>
    </row>
    <row r="2459" spans="1:13" x14ac:dyDescent="0.25">
      <c r="A2459" s="23">
        <f t="shared" si="122"/>
        <v>221927</v>
      </c>
      <c r="B2459" s="14" t="str">
        <f t="shared" si="121"/>
        <v>Direct Debit (UMB Bank) - Credits</v>
      </c>
      <c r="C2459" s="37">
        <v>46167</v>
      </c>
      <c r="D2459" s="31">
        <v>221927</v>
      </c>
      <c r="E2459" s="33" t="str">
        <f>IF(Table3[[#This Row],[Type Received]]=2,"CC",(IF(Table3[[#This Row],[Type Received]]=3,"BILL","ACH")))</f>
        <v>ACH</v>
      </c>
      <c r="F2459" s="32">
        <v>74.95</v>
      </c>
      <c r="G2459" s="14" t="str">
        <f>VLOOKUP(D2459,Table4[],3,FALSE)</f>
        <v>1</v>
      </c>
      <c r="H2459" s="15"/>
      <c r="I2459" s="15"/>
      <c r="J2459" s="15" t="s">
        <v>85</v>
      </c>
      <c r="K2459" s="15">
        <v>818374527</v>
      </c>
      <c r="L2459" s="15" t="s">
        <v>29</v>
      </c>
      <c r="M2459" s="15" t="s">
        <v>29</v>
      </c>
    </row>
    <row r="2460" spans="1:13" x14ac:dyDescent="0.25">
      <c r="A2460" s="23"/>
      <c r="B2460" s="14" t="str">
        <f t="shared" si="121"/>
        <v>Direct Debit (UMB Bank) - Credits</v>
      </c>
      <c r="C2460" s="38">
        <v>46143</v>
      </c>
      <c r="D2460" s="34">
        <v>222046</v>
      </c>
      <c r="E2460" s="36" t="str">
        <f>IF(Table3[[#This Row],[Type Received]]=2,"CC",(IF(Table3[[#This Row],[Type Received]]=3,"BILL","ACH")))</f>
        <v>ACH</v>
      </c>
      <c r="F2460" s="35">
        <v>47.34</v>
      </c>
      <c r="G2460" s="14" t="str">
        <f>VLOOKUP(D2460,Table4[],3,FALSE)</f>
        <v>2</v>
      </c>
      <c r="H2460" s="15"/>
      <c r="I2460" s="15"/>
      <c r="J2460" s="15" t="s">
        <v>84</v>
      </c>
      <c r="K2460" s="15">
        <v>522356148</v>
      </c>
      <c r="L2460" s="15" t="s">
        <v>29</v>
      </c>
      <c r="M2460" s="15" t="s">
        <v>29</v>
      </c>
    </row>
    <row r="2461" spans="1:13" x14ac:dyDescent="0.25">
      <c r="A2461" s="23">
        <f>D2461</f>
        <v>222077</v>
      </c>
      <c r="B2461" s="14" t="str">
        <f t="shared" si="121"/>
        <v>Direct Debit (UMB Bank) - Credits</v>
      </c>
      <c r="C2461" s="37">
        <v>46143</v>
      </c>
      <c r="D2461" s="31">
        <v>222077</v>
      </c>
      <c r="E2461" s="33" t="str">
        <f>IF(Table3[[#This Row],[Type Received]]=2,"CC",(IF(Table3[[#This Row],[Type Received]]=3,"BILL","ACH")))</f>
        <v>ACH</v>
      </c>
      <c r="F2461" s="32">
        <v>60.43</v>
      </c>
      <c r="G2461" s="14" t="str">
        <f>VLOOKUP(D2461,Table4[],3,FALSE)</f>
        <v>1</v>
      </c>
      <c r="H2461" s="15"/>
      <c r="I2461" s="15"/>
      <c r="J2461" s="15" t="s">
        <v>84</v>
      </c>
      <c r="K2461" s="15">
        <v>522347522</v>
      </c>
      <c r="L2461" s="15" t="s">
        <v>29</v>
      </c>
      <c r="M2461" s="15" t="s">
        <v>29</v>
      </c>
    </row>
    <row r="2462" spans="1:13" x14ac:dyDescent="0.25">
      <c r="A2462" s="23"/>
      <c r="B2462" s="14" t="str">
        <f t="shared" si="121"/>
        <v>Billing - Credits (from TPA)</v>
      </c>
      <c r="C2462" s="38">
        <v>46167</v>
      </c>
      <c r="D2462" s="34">
        <v>222123</v>
      </c>
      <c r="E2462" s="36" t="str">
        <f>IF(Table3[[#This Row],[Type Received]]=2,"CC",(IF(Table3[[#This Row],[Type Received]]=3,"BILL","ACH")))</f>
        <v>BILL</v>
      </c>
      <c r="F2462" s="35">
        <v>31.61</v>
      </c>
      <c r="G2462" s="14" t="str">
        <f>VLOOKUP(D2462,Table4[],3,FALSE)</f>
        <v>2</v>
      </c>
      <c r="H2462" s="15"/>
      <c r="I2462" s="15"/>
      <c r="J2462" s="15" t="s">
        <v>85</v>
      </c>
      <c r="K2462" s="15">
        <v>818383133</v>
      </c>
      <c r="L2462" s="15" t="s">
        <v>29</v>
      </c>
      <c r="M2462" s="15" t="s">
        <v>29</v>
      </c>
    </row>
    <row r="2463" spans="1:13" x14ac:dyDescent="0.25">
      <c r="A2463" s="23">
        <f t="shared" ref="A2463:A2489" si="123">D2463</f>
        <v>222136</v>
      </c>
      <c r="B2463" s="14" t="str">
        <f t="shared" si="121"/>
        <v>Direct Debit (UMB Bank) - Credits</v>
      </c>
      <c r="C2463" s="37">
        <v>46171</v>
      </c>
      <c r="D2463" s="31">
        <v>222136</v>
      </c>
      <c r="E2463" s="33" t="str">
        <f>IF(Table3[[#This Row],[Type Received]]=2,"CC",(IF(Table3[[#This Row],[Type Received]]=3,"BILL","ACH")))</f>
        <v>ACH</v>
      </c>
      <c r="F2463" s="32">
        <v>30.41</v>
      </c>
      <c r="G2463" s="14" t="str">
        <f>VLOOKUP(D2463,Table4[],3,FALSE)</f>
        <v>1</v>
      </c>
      <c r="H2463" s="15">
        <v>208088</v>
      </c>
      <c r="I2463" s="15"/>
      <c r="J2463" s="15"/>
      <c r="K2463" s="15"/>
      <c r="L2463" s="15"/>
      <c r="M2463" s="15"/>
    </row>
    <row r="2464" spans="1:13" x14ac:dyDescent="0.25">
      <c r="A2464" s="23">
        <f t="shared" si="123"/>
        <v>222249</v>
      </c>
      <c r="B2464" s="14" t="str">
        <f t="shared" si="121"/>
        <v>Direct Debit (UMB Bank) - Credits</v>
      </c>
      <c r="C2464" s="38">
        <v>46157</v>
      </c>
      <c r="D2464" s="34">
        <v>222249</v>
      </c>
      <c r="E2464" s="36" t="str">
        <f>IF(Table3[[#This Row],[Type Received]]=2,"CC",(IF(Table3[[#This Row],[Type Received]]=3,"BILL","ACH")))</f>
        <v>ACH</v>
      </c>
      <c r="F2464" s="35">
        <v>43.6</v>
      </c>
      <c r="G2464" s="14" t="str">
        <f>VLOOKUP(D2464,Table4[],3,FALSE)</f>
        <v>2</v>
      </c>
      <c r="H2464" s="15"/>
      <c r="I2464" s="15"/>
      <c r="J2464" s="15" t="s">
        <v>87</v>
      </c>
      <c r="K2464" s="15">
        <v>696770407</v>
      </c>
      <c r="L2464" s="15" t="s">
        <v>29</v>
      </c>
      <c r="M2464" s="15" t="s">
        <v>29</v>
      </c>
    </row>
    <row r="2465" spans="1:13" x14ac:dyDescent="0.25">
      <c r="A2465" s="23">
        <f t="shared" si="123"/>
        <v>222259</v>
      </c>
      <c r="B2465" s="14" t="str">
        <f t="shared" si="121"/>
        <v>Direct Debit (UMB Bank) - Credits</v>
      </c>
      <c r="C2465" s="37">
        <v>46157</v>
      </c>
      <c r="D2465" s="31">
        <v>222259</v>
      </c>
      <c r="E2465" s="33" t="str">
        <f>IF(Table3[[#This Row],[Type Received]]=2,"CC",(IF(Table3[[#This Row],[Type Received]]=3,"BILL","ACH")))</f>
        <v>ACH</v>
      </c>
      <c r="F2465" s="32">
        <v>45.03</v>
      </c>
      <c r="G2465" s="14" t="str">
        <f>VLOOKUP(D2465,Table4[],3,FALSE)</f>
        <v>1</v>
      </c>
      <c r="H2465" s="15"/>
      <c r="I2465" s="15"/>
      <c r="J2465" s="15" t="s">
        <v>87</v>
      </c>
      <c r="K2465" s="15">
        <v>696758804</v>
      </c>
      <c r="L2465" s="15" t="s">
        <v>29</v>
      </c>
      <c r="M2465" s="15" t="s">
        <v>29</v>
      </c>
    </row>
    <row r="2466" spans="1:13" x14ac:dyDescent="0.25">
      <c r="A2466" s="23">
        <f t="shared" si="123"/>
        <v>222263</v>
      </c>
      <c r="B2466" s="14" t="str">
        <f t="shared" si="121"/>
        <v>Direct Debit (UMB Bank) - Credits</v>
      </c>
      <c r="C2466" s="38">
        <v>46157</v>
      </c>
      <c r="D2466" s="34">
        <v>222263</v>
      </c>
      <c r="E2466" s="36" t="str">
        <f>IF(Table3[[#This Row],[Type Received]]=2,"CC",(IF(Table3[[#This Row],[Type Received]]=3,"BILL","ACH")))</f>
        <v>ACH</v>
      </c>
      <c r="F2466" s="35">
        <v>20.22</v>
      </c>
      <c r="G2466" s="14" t="str">
        <f>VLOOKUP(D2466,Table4[],3,FALSE)</f>
        <v>1</v>
      </c>
      <c r="H2466" s="15"/>
      <c r="I2466" s="15"/>
      <c r="J2466" s="15" t="s">
        <v>87</v>
      </c>
      <c r="K2466" s="15">
        <v>696755874</v>
      </c>
      <c r="L2466" s="15" t="s">
        <v>29</v>
      </c>
      <c r="M2466" s="15" t="s">
        <v>29</v>
      </c>
    </row>
    <row r="2467" spans="1:13" x14ac:dyDescent="0.25">
      <c r="A2467" s="23">
        <f t="shared" si="123"/>
        <v>222282</v>
      </c>
      <c r="B2467" s="14" t="str">
        <f t="shared" si="121"/>
        <v>Direct Debit (UMB Bank) - Credits</v>
      </c>
      <c r="C2467" s="37">
        <v>46157</v>
      </c>
      <c r="D2467" s="31">
        <v>222282</v>
      </c>
      <c r="E2467" s="33" t="str">
        <f>IF(Table3[[#This Row],[Type Received]]=2,"CC",(IF(Table3[[#This Row],[Type Received]]=3,"BILL","ACH")))</f>
        <v>ACH</v>
      </c>
      <c r="F2467" s="32">
        <v>47.45</v>
      </c>
      <c r="G2467" s="14" t="str">
        <f>VLOOKUP(D2467,Table4[],3,FALSE)</f>
        <v>2</v>
      </c>
      <c r="H2467" s="15"/>
      <c r="I2467" s="15"/>
      <c r="J2467" s="15" t="s">
        <v>87</v>
      </c>
      <c r="K2467" s="15">
        <v>696759703</v>
      </c>
      <c r="L2467" s="15" t="s">
        <v>29</v>
      </c>
      <c r="M2467" s="15" t="s">
        <v>29</v>
      </c>
    </row>
    <row r="2468" spans="1:13" x14ac:dyDescent="0.25">
      <c r="A2468" s="23">
        <f t="shared" si="123"/>
        <v>222326</v>
      </c>
      <c r="B2468" s="14" t="str">
        <f t="shared" si="121"/>
        <v>Direct Debit (UMB Bank) - Credits</v>
      </c>
      <c r="C2468" s="38">
        <v>46167</v>
      </c>
      <c r="D2468" s="34">
        <v>222326</v>
      </c>
      <c r="E2468" s="36" t="str">
        <f>IF(Table3[[#This Row],[Type Received]]=2,"CC",(IF(Table3[[#This Row],[Type Received]]=3,"BILL","ACH")))</f>
        <v>ACH</v>
      </c>
      <c r="F2468" s="35">
        <v>23.8</v>
      </c>
      <c r="G2468" s="14" t="str">
        <f>VLOOKUP(D2468,Table4[],3,FALSE)</f>
        <v>2</v>
      </c>
      <c r="H2468" s="15"/>
      <c r="I2468" s="15"/>
      <c r="J2468" s="15" t="s">
        <v>85</v>
      </c>
      <c r="K2468" s="15">
        <v>818380350</v>
      </c>
      <c r="L2468" s="15" t="s">
        <v>29</v>
      </c>
      <c r="M2468" s="15" t="s">
        <v>29</v>
      </c>
    </row>
    <row r="2469" spans="1:13" x14ac:dyDescent="0.25">
      <c r="A2469" s="23">
        <f t="shared" si="123"/>
        <v>222332</v>
      </c>
      <c r="B2469" s="14" t="str">
        <f t="shared" si="121"/>
        <v>Direct Debit (UMB Bank) - Credits</v>
      </c>
      <c r="C2469" s="37">
        <v>46167</v>
      </c>
      <c r="D2469" s="31">
        <v>222332</v>
      </c>
      <c r="E2469" s="33" t="str">
        <f>IF(Table3[[#This Row],[Type Received]]=2,"CC",(IF(Table3[[#This Row],[Type Received]]=3,"BILL","ACH")))</f>
        <v>ACH</v>
      </c>
      <c r="F2469" s="32">
        <v>58.45</v>
      </c>
      <c r="G2469" s="14" t="str">
        <f>VLOOKUP(D2469,Table4[],3,FALSE)</f>
        <v>2</v>
      </c>
      <c r="H2469" s="15"/>
      <c r="I2469" s="15"/>
      <c r="J2469" s="15" t="s">
        <v>85</v>
      </c>
      <c r="K2469" s="15">
        <v>818366851</v>
      </c>
      <c r="L2469" s="15" t="s">
        <v>29</v>
      </c>
      <c r="M2469" s="15"/>
    </row>
    <row r="2470" spans="1:13" x14ac:dyDescent="0.25">
      <c r="A2470" s="23">
        <f t="shared" si="123"/>
        <v>222345</v>
      </c>
      <c r="B2470" s="14" t="str">
        <f t="shared" si="121"/>
        <v>Direct Debit (UMB Bank) - Credits</v>
      </c>
      <c r="C2470" s="38">
        <v>46143</v>
      </c>
      <c r="D2470" s="34">
        <v>222345</v>
      </c>
      <c r="E2470" s="36" t="str">
        <f>IF(Table3[[#This Row],[Type Received]]=2,"CC",(IF(Table3[[#This Row],[Type Received]]=3,"BILL","ACH")))</f>
        <v>ACH</v>
      </c>
      <c r="F2470" s="35">
        <v>18.260000000000002</v>
      </c>
      <c r="G2470" s="14" t="str">
        <f>VLOOKUP(D2470,Table4[],3,FALSE)</f>
        <v>1</v>
      </c>
      <c r="H2470" s="15"/>
      <c r="I2470" s="15"/>
      <c r="J2470" s="15" t="s">
        <v>84</v>
      </c>
      <c r="K2470" s="15">
        <v>522336810</v>
      </c>
      <c r="L2470" s="15" t="s">
        <v>29</v>
      </c>
      <c r="M2470" s="15" t="s">
        <v>29</v>
      </c>
    </row>
    <row r="2471" spans="1:13" x14ac:dyDescent="0.25">
      <c r="A2471" s="23">
        <f t="shared" si="123"/>
        <v>222349</v>
      </c>
      <c r="B2471" s="14" t="str">
        <f t="shared" si="121"/>
        <v>Billing - Credits (from TPA)</v>
      </c>
      <c r="C2471" s="37">
        <v>46143</v>
      </c>
      <c r="D2471" s="31">
        <v>222349</v>
      </c>
      <c r="E2471" s="33" t="str">
        <f>IF(Table3[[#This Row],[Type Received]]=2,"CC",(IF(Table3[[#This Row],[Type Received]]=3,"BILL","ACH")))</f>
        <v>BILL</v>
      </c>
      <c r="F2471" s="32">
        <v>17.63</v>
      </c>
      <c r="G2471" s="14" t="str">
        <f>VLOOKUP(D2471,Table4[],3,FALSE)</f>
        <v>1</v>
      </c>
      <c r="H2471" s="15"/>
      <c r="I2471" s="15"/>
      <c r="J2471" s="15" t="s">
        <v>84</v>
      </c>
      <c r="K2471" s="15">
        <v>522335898</v>
      </c>
      <c r="L2471" s="15" t="s">
        <v>29</v>
      </c>
      <c r="M2471" s="15" t="s">
        <v>29</v>
      </c>
    </row>
    <row r="2472" spans="1:13" x14ac:dyDescent="0.25">
      <c r="A2472" s="23">
        <f t="shared" si="123"/>
        <v>222387</v>
      </c>
      <c r="B2472" s="14" t="str">
        <f t="shared" si="121"/>
        <v>Credit Cards (UMB) - Credits</v>
      </c>
      <c r="C2472" s="38">
        <v>46150</v>
      </c>
      <c r="D2472" s="34">
        <v>222387</v>
      </c>
      <c r="E2472" s="36" t="str">
        <f>IF(Table3[[#This Row],[Type Received]]=2,"CC",(IF(Table3[[#This Row],[Type Received]]=3,"BILL","ACH")))</f>
        <v>CC</v>
      </c>
      <c r="F2472" s="35">
        <v>23.2</v>
      </c>
      <c r="G2472" s="14" t="str">
        <f>VLOOKUP(D2472,Table4[],3,FALSE)</f>
        <v>2</v>
      </c>
      <c r="H2472" s="15">
        <v>76214589</v>
      </c>
      <c r="I2472" s="15"/>
      <c r="J2472" s="15"/>
      <c r="K2472" s="15"/>
      <c r="L2472" s="15"/>
      <c r="M2472" s="15" t="s">
        <v>29</v>
      </c>
    </row>
    <row r="2473" spans="1:13" x14ac:dyDescent="0.25">
      <c r="A2473" s="23">
        <f t="shared" si="123"/>
        <v>222401</v>
      </c>
      <c r="B2473" s="14" t="str">
        <f t="shared" si="121"/>
        <v>Direct Debit (UMB Bank) - Credits</v>
      </c>
      <c r="C2473" s="37">
        <v>46155</v>
      </c>
      <c r="D2473" s="31">
        <v>222401</v>
      </c>
      <c r="E2473" s="33" t="str">
        <f>IF(Table3[[#This Row],[Type Received]]=2,"CC",(IF(Table3[[#This Row],[Type Received]]=3,"BILL","ACH")))</f>
        <v>ACH</v>
      </c>
      <c r="F2473" s="32">
        <v>30.18</v>
      </c>
      <c r="G2473" s="14" t="str">
        <f>VLOOKUP(D2473,Table4[],3,FALSE)</f>
        <v>2</v>
      </c>
      <c r="H2473" s="15"/>
      <c r="I2473" s="15">
        <v>124564</v>
      </c>
      <c r="J2473" s="15" t="s">
        <v>28</v>
      </c>
      <c r="K2473" s="15">
        <v>669493651</v>
      </c>
      <c r="L2473" s="15" t="s">
        <v>29</v>
      </c>
      <c r="M2473" s="15"/>
    </row>
    <row r="2474" spans="1:13" x14ac:dyDescent="0.25">
      <c r="A2474" s="23">
        <f t="shared" si="123"/>
        <v>222406</v>
      </c>
      <c r="B2474" s="14" t="str">
        <f t="shared" si="121"/>
        <v>Direct Debit (UMB Bank) - Credits</v>
      </c>
      <c r="C2474" s="38">
        <v>46143</v>
      </c>
      <c r="D2474" s="34">
        <v>222406</v>
      </c>
      <c r="E2474" s="36" t="str">
        <f>IF(Table3[[#This Row],[Type Received]]=2,"CC",(IF(Table3[[#This Row],[Type Received]]=3,"BILL","ACH")))</f>
        <v>ACH</v>
      </c>
      <c r="F2474" s="35">
        <v>17.75</v>
      </c>
      <c r="G2474" s="14" t="str">
        <f>VLOOKUP(D2474,Table4[],3,FALSE)</f>
        <v>1</v>
      </c>
      <c r="H2474" s="15"/>
      <c r="I2474" s="15"/>
      <c r="J2474" s="15" t="s">
        <v>84</v>
      </c>
      <c r="K2474" s="15">
        <v>522355271</v>
      </c>
      <c r="L2474" s="15" t="s">
        <v>29</v>
      </c>
      <c r="M2474" s="15" t="s">
        <v>29</v>
      </c>
    </row>
    <row r="2475" spans="1:13" x14ac:dyDescent="0.25">
      <c r="A2475" s="23">
        <f t="shared" si="123"/>
        <v>222460</v>
      </c>
      <c r="B2475" s="14" t="str">
        <f t="shared" si="121"/>
        <v>Direct Debit (UMB Bank) - Credits</v>
      </c>
      <c r="C2475" s="37">
        <v>46157</v>
      </c>
      <c r="D2475" s="31">
        <v>222460</v>
      </c>
      <c r="E2475" s="33" t="str">
        <f>IF(Table3[[#This Row],[Type Received]]=2,"CC",(IF(Table3[[#This Row],[Type Received]]=3,"BILL","ACH")))</f>
        <v>ACH</v>
      </c>
      <c r="F2475" s="32">
        <v>63.95</v>
      </c>
      <c r="G2475" s="14" t="str">
        <f>VLOOKUP(D2475,Table4[],3,FALSE)</f>
        <v>2</v>
      </c>
      <c r="H2475" s="15"/>
      <c r="I2475" s="15"/>
      <c r="J2475" s="15" t="s">
        <v>87</v>
      </c>
      <c r="K2475" s="15">
        <v>696757850</v>
      </c>
      <c r="L2475" s="15" t="s">
        <v>29</v>
      </c>
      <c r="M2475" s="15" t="s">
        <v>29</v>
      </c>
    </row>
    <row r="2476" spans="1:13" x14ac:dyDescent="0.25">
      <c r="A2476" s="23">
        <f t="shared" si="123"/>
        <v>222494</v>
      </c>
      <c r="B2476" s="14" t="str">
        <f t="shared" si="121"/>
        <v>Direct Debit (UMB Bank) - Credits</v>
      </c>
      <c r="C2476" s="38">
        <v>46157</v>
      </c>
      <c r="D2476" s="34">
        <v>222494</v>
      </c>
      <c r="E2476" s="36" t="str">
        <f>IF(Table3[[#This Row],[Type Received]]=2,"CC",(IF(Table3[[#This Row],[Type Received]]=3,"BILL","ACH")))</f>
        <v>ACH</v>
      </c>
      <c r="F2476" s="35">
        <v>172.96</v>
      </c>
      <c r="G2476" s="14" t="str">
        <f>VLOOKUP(D2476,Table4[],3,FALSE)</f>
        <v>2</v>
      </c>
      <c r="H2476" s="15"/>
      <c r="I2476" s="15"/>
      <c r="J2476" s="24" t="s">
        <v>87</v>
      </c>
      <c r="K2476" s="15">
        <v>696774239</v>
      </c>
      <c r="L2476" s="15" t="s">
        <v>29</v>
      </c>
      <c r="M2476" s="15" t="s">
        <v>29</v>
      </c>
    </row>
    <row r="2477" spans="1:13" x14ac:dyDescent="0.25">
      <c r="A2477" s="23">
        <f t="shared" si="123"/>
        <v>222515</v>
      </c>
      <c r="B2477" s="14" t="str">
        <f t="shared" si="121"/>
        <v>Direct Debit (UMB Bank) - Credits</v>
      </c>
      <c r="C2477" s="37">
        <v>46143</v>
      </c>
      <c r="D2477" s="31">
        <v>222515</v>
      </c>
      <c r="E2477" s="33" t="str">
        <f>IF(Table3[[#This Row],[Type Received]]=2,"CC",(IF(Table3[[#This Row],[Type Received]]=3,"BILL","ACH")))</f>
        <v>ACH</v>
      </c>
      <c r="F2477" s="32">
        <v>14.83</v>
      </c>
      <c r="G2477" s="14" t="str">
        <f>VLOOKUP(D2477,Table4[],3,FALSE)</f>
        <v>1</v>
      </c>
      <c r="H2477" s="15"/>
      <c r="I2477" s="15"/>
      <c r="J2477" s="15" t="s">
        <v>84</v>
      </c>
      <c r="K2477" s="15">
        <v>522360158</v>
      </c>
      <c r="L2477" s="15" t="s">
        <v>29</v>
      </c>
      <c r="M2477" s="15"/>
    </row>
    <row r="2478" spans="1:13" x14ac:dyDescent="0.25">
      <c r="A2478" s="23">
        <f t="shared" si="123"/>
        <v>222536</v>
      </c>
      <c r="B2478" s="14" t="str">
        <f t="shared" si="121"/>
        <v>Billing - Credits (from TPA)</v>
      </c>
      <c r="C2478" s="38">
        <v>46167</v>
      </c>
      <c r="D2478" s="34">
        <v>222536</v>
      </c>
      <c r="E2478" s="36" t="str">
        <f>IF(Table3[[#This Row],[Type Received]]=2,"CC",(IF(Table3[[#This Row],[Type Received]]=3,"BILL","ACH")))</f>
        <v>BILL</v>
      </c>
      <c r="F2478" s="35">
        <v>64.06</v>
      </c>
      <c r="G2478" s="14" t="str">
        <f>VLOOKUP(D2478,Table4[],3,FALSE)</f>
        <v>2</v>
      </c>
      <c r="H2478" s="15"/>
      <c r="I2478" s="15"/>
      <c r="J2478" s="15" t="s">
        <v>85</v>
      </c>
      <c r="K2478" s="15">
        <v>818384140</v>
      </c>
      <c r="L2478" s="15" t="s">
        <v>29</v>
      </c>
      <c r="M2478" s="15" t="s">
        <v>29</v>
      </c>
    </row>
    <row r="2479" spans="1:13" x14ac:dyDescent="0.25">
      <c r="A2479" s="23">
        <f t="shared" si="123"/>
        <v>222582</v>
      </c>
      <c r="B2479" s="14" t="str">
        <f t="shared" si="121"/>
        <v>Billing - Credits (from TPA)</v>
      </c>
      <c r="C2479" s="37">
        <v>46170</v>
      </c>
      <c r="D2479" s="31">
        <v>222582</v>
      </c>
      <c r="E2479" s="33" t="str">
        <f>IF(Table3[[#This Row],[Type Received]]=2,"CC",(IF(Table3[[#This Row],[Type Received]]=3,"BILL","ACH")))</f>
        <v>BILL</v>
      </c>
      <c r="F2479" s="32">
        <v>48.89</v>
      </c>
      <c r="G2479" s="14" t="str">
        <f>VLOOKUP(D2479,Table4[],3,FALSE)</f>
        <v>2</v>
      </c>
      <c r="H2479" s="15">
        <v>923583745</v>
      </c>
      <c r="I2479" s="15"/>
      <c r="J2479" s="15"/>
      <c r="K2479" s="15"/>
      <c r="L2479" s="15"/>
      <c r="M2479" s="15"/>
    </row>
    <row r="2480" spans="1:13" x14ac:dyDescent="0.25">
      <c r="A2480" s="23">
        <f t="shared" si="123"/>
        <v>222683</v>
      </c>
      <c r="B2480" s="14" t="str">
        <f t="shared" si="121"/>
        <v>Credit Cards (UMB) - Credits</v>
      </c>
      <c r="C2480" s="38">
        <v>46146</v>
      </c>
      <c r="D2480" s="34">
        <v>222683</v>
      </c>
      <c r="E2480" s="36" t="str">
        <f>IF(Table3[[#This Row],[Type Received]]=2,"CC",(IF(Table3[[#This Row],[Type Received]]=3,"BILL","ACH")))</f>
        <v>CC</v>
      </c>
      <c r="F2480" s="35">
        <v>86</v>
      </c>
      <c r="G2480" s="14" t="str">
        <f>VLOOKUP(D2480,Table4[],3,FALSE)</f>
        <v>2</v>
      </c>
      <c r="H2480" s="15">
        <v>6615</v>
      </c>
      <c r="I2480" s="15"/>
      <c r="J2480" s="15"/>
      <c r="K2480" s="15"/>
      <c r="L2480" s="15"/>
      <c r="M2480" s="15" t="s">
        <v>29</v>
      </c>
    </row>
    <row r="2481" spans="1:13" x14ac:dyDescent="0.25">
      <c r="A2481" s="23">
        <f t="shared" si="123"/>
        <v>222764</v>
      </c>
      <c r="B2481" s="14" t="str">
        <f t="shared" si="121"/>
        <v>Direct Debit (UMB Bank) - Credits</v>
      </c>
      <c r="C2481" s="37">
        <v>46143</v>
      </c>
      <c r="D2481" s="31">
        <v>222764</v>
      </c>
      <c r="E2481" s="33" t="str">
        <f>IF(Table3[[#This Row],[Type Received]]=2,"CC",(IF(Table3[[#This Row],[Type Received]]=3,"BILL","ACH")))</f>
        <v>ACH</v>
      </c>
      <c r="F2481" s="32">
        <v>26.78</v>
      </c>
      <c r="G2481" s="14" t="str">
        <f>VLOOKUP(D2481,Table4[],3,FALSE)</f>
        <v>2</v>
      </c>
      <c r="H2481" s="15"/>
      <c r="I2481" s="15">
        <v>60848</v>
      </c>
      <c r="J2481" s="15">
        <v>741374152</v>
      </c>
      <c r="K2481" s="15">
        <v>353073593</v>
      </c>
      <c r="L2481" s="15"/>
      <c r="M2481" s="15" t="s">
        <v>29</v>
      </c>
    </row>
    <row r="2482" spans="1:13" x14ac:dyDescent="0.25">
      <c r="A2482" s="23">
        <f t="shared" si="123"/>
        <v>222807</v>
      </c>
      <c r="B2482" s="14" t="str">
        <f t="shared" si="121"/>
        <v>Billing - Credits (from TPA)</v>
      </c>
      <c r="C2482" s="38">
        <v>46157</v>
      </c>
      <c r="D2482" s="34">
        <v>222807</v>
      </c>
      <c r="E2482" s="36" t="str">
        <f>IF(Table3[[#This Row],[Type Received]]=2,"CC",(IF(Table3[[#This Row],[Type Received]]=3,"BILL","ACH")))</f>
        <v>BILL</v>
      </c>
      <c r="F2482" s="35">
        <v>41.29</v>
      </c>
      <c r="G2482" s="14" t="str">
        <f>VLOOKUP(D2482,Table4[],3,FALSE)</f>
        <v>1</v>
      </c>
      <c r="H2482" s="15"/>
      <c r="I2482" s="15"/>
      <c r="J2482" s="15" t="s">
        <v>87</v>
      </c>
      <c r="K2482" s="15">
        <v>696840877</v>
      </c>
      <c r="L2482" s="15" t="s">
        <v>29</v>
      </c>
      <c r="M2482" s="15" t="s">
        <v>29</v>
      </c>
    </row>
    <row r="2483" spans="1:13" x14ac:dyDescent="0.25">
      <c r="A2483" s="23">
        <f t="shared" si="123"/>
        <v>230612</v>
      </c>
      <c r="B2483" s="14" t="str">
        <f t="shared" si="121"/>
        <v>Direct Debit (UMB Bank) - Credits</v>
      </c>
      <c r="C2483" s="37">
        <v>46168</v>
      </c>
      <c r="D2483" s="31">
        <v>230612</v>
      </c>
      <c r="E2483" s="33" t="str">
        <f>IF(Table3[[#This Row],[Type Received]]=2,"CC",(IF(Table3[[#This Row],[Type Received]]=3,"BILL","ACH")))</f>
        <v>ACH</v>
      </c>
      <c r="F2483" s="32">
        <v>152.35</v>
      </c>
      <c r="G2483" s="14" t="str">
        <f>VLOOKUP(D2483,Table4[],3,FALSE)</f>
        <v>1</v>
      </c>
      <c r="H2483" s="15">
        <v>3591</v>
      </c>
      <c r="I2483" s="15"/>
      <c r="J2483" s="15"/>
      <c r="K2483" s="15"/>
      <c r="L2483" s="15"/>
      <c r="M2483" s="15" t="s">
        <v>29</v>
      </c>
    </row>
    <row r="2484" spans="1:13" x14ac:dyDescent="0.25">
      <c r="A2484" s="23">
        <f t="shared" si="123"/>
        <v>222810</v>
      </c>
      <c r="B2484" s="14" t="str">
        <f t="shared" si="121"/>
        <v>Credit Cards (UMB) - Credits</v>
      </c>
      <c r="C2484" s="38">
        <v>46157</v>
      </c>
      <c r="D2484" s="34">
        <v>222810</v>
      </c>
      <c r="E2484" s="36" t="str">
        <f>IF(Table3[[#This Row],[Type Received]]=2,"CC",(IF(Table3[[#This Row],[Type Received]]=3,"BILL","ACH")))</f>
        <v>CC</v>
      </c>
      <c r="F2484" s="35">
        <v>57.79</v>
      </c>
      <c r="G2484" s="14" t="str">
        <f>VLOOKUP(D2484,Table4[],3,FALSE)</f>
        <v>2</v>
      </c>
      <c r="H2484" s="15"/>
      <c r="I2484" s="15"/>
      <c r="J2484" s="15" t="s">
        <v>87</v>
      </c>
      <c r="K2484" s="15">
        <v>696768528</v>
      </c>
      <c r="L2484" s="15" t="s">
        <v>29</v>
      </c>
      <c r="M2484" s="15"/>
    </row>
    <row r="2485" spans="1:13" x14ac:dyDescent="0.25">
      <c r="A2485" s="23">
        <f t="shared" si="123"/>
        <v>222893</v>
      </c>
      <c r="B2485" s="14" t="str">
        <f t="shared" si="121"/>
        <v>Billing - Credits (from TPA)</v>
      </c>
      <c r="C2485" s="37">
        <v>46167</v>
      </c>
      <c r="D2485" s="31">
        <v>222893</v>
      </c>
      <c r="E2485" s="33" t="str">
        <f>IF(Table3[[#This Row],[Type Received]]=2,"CC",(IF(Table3[[#This Row],[Type Received]]=3,"BILL","ACH")))</f>
        <v>BILL</v>
      </c>
      <c r="F2485" s="32">
        <v>17.28</v>
      </c>
      <c r="G2485" s="14" t="str">
        <f>VLOOKUP(D2485,Table4[],3,FALSE)</f>
        <v>1</v>
      </c>
      <c r="H2485" s="15"/>
      <c r="I2485" s="15" t="s">
        <v>252</v>
      </c>
      <c r="J2485" s="15" t="s">
        <v>28</v>
      </c>
      <c r="K2485" s="15">
        <v>818369631</v>
      </c>
      <c r="L2485" s="15" t="s">
        <v>29</v>
      </c>
      <c r="M2485" s="15" t="s">
        <v>29</v>
      </c>
    </row>
    <row r="2486" spans="1:13" x14ac:dyDescent="0.25">
      <c r="A2486" s="23">
        <f t="shared" si="123"/>
        <v>222924</v>
      </c>
      <c r="B2486" s="14" t="str">
        <f t="shared" si="121"/>
        <v>Direct Debit (UMB Bank) - Credits</v>
      </c>
      <c r="C2486" s="38">
        <v>46153</v>
      </c>
      <c r="D2486" s="34">
        <v>222924</v>
      </c>
      <c r="E2486" s="36" t="str">
        <f>IF(Table3[[#This Row],[Type Received]]=2,"CC",(IF(Table3[[#This Row],[Type Received]]=3,"BILL","ACH")))</f>
        <v>ACH</v>
      </c>
      <c r="F2486" s="35">
        <v>26.34</v>
      </c>
      <c r="G2486" s="14" t="str">
        <f>VLOOKUP(D2486,Table4[],3,FALSE)</f>
        <v>2</v>
      </c>
      <c r="H2486" s="15">
        <v>5093</v>
      </c>
      <c r="I2486" s="15"/>
      <c r="J2486" s="15"/>
      <c r="K2486" s="15"/>
      <c r="L2486" s="15"/>
      <c r="M2486" s="15" t="s">
        <v>29</v>
      </c>
    </row>
    <row r="2487" spans="1:13" x14ac:dyDescent="0.25">
      <c r="A2487" s="23">
        <f t="shared" si="123"/>
        <v>222930</v>
      </c>
      <c r="B2487" s="14" t="str">
        <f t="shared" si="121"/>
        <v>Direct Debit (UMB Bank) - Credits</v>
      </c>
      <c r="C2487" s="37">
        <v>46156</v>
      </c>
      <c r="D2487" s="31">
        <v>222930</v>
      </c>
      <c r="E2487" s="33" t="str">
        <f>IF(Table3[[#This Row],[Type Received]]=2,"CC",(IF(Table3[[#This Row],[Type Received]]=3,"BILL","ACH")))</f>
        <v>ACH</v>
      </c>
      <c r="F2487" s="32">
        <v>21.93</v>
      </c>
      <c r="G2487" s="14" t="str">
        <f>VLOOKUP(D2487,Table4[],3,FALSE)</f>
        <v>2</v>
      </c>
      <c r="H2487" s="15"/>
      <c r="I2487" s="15"/>
      <c r="J2487" s="15" t="s">
        <v>93</v>
      </c>
      <c r="K2487" s="15">
        <v>682540226</v>
      </c>
      <c r="L2487" s="15" t="s">
        <v>29</v>
      </c>
      <c r="M2487" s="15" t="s">
        <v>29</v>
      </c>
    </row>
    <row r="2488" spans="1:13" x14ac:dyDescent="0.25">
      <c r="A2488" s="23">
        <f t="shared" si="123"/>
        <v>223110</v>
      </c>
      <c r="B2488" s="14" t="str">
        <f t="shared" si="121"/>
        <v>Direct Debit (UMB Bank) - Credits</v>
      </c>
      <c r="C2488" s="38">
        <v>46143</v>
      </c>
      <c r="D2488" s="34">
        <v>223110</v>
      </c>
      <c r="E2488" s="36" t="str">
        <f>IF(Table3[[#This Row],[Type Received]]=2,"CC",(IF(Table3[[#This Row],[Type Received]]=3,"BILL","ACH")))</f>
        <v>ACH</v>
      </c>
      <c r="F2488" s="35">
        <v>48.87</v>
      </c>
      <c r="G2488" s="14" t="str">
        <f>VLOOKUP(D2488,Table4[],3,FALSE)</f>
        <v>2</v>
      </c>
      <c r="H2488" s="15"/>
      <c r="I2488" s="15"/>
      <c r="J2488" s="15" t="s">
        <v>84</v>
      </c>
      <c r="K2488" s="15">
        <v>522349537</v>
      </c>
      <c r="L2488" s="15" t="s">
        <v>29</v>
      </c>
      <c r="M2488" s="15" t="s">
        <v>29</v>
      </c>
    </row>
    <row r="2489" spans="1:13" x14ac:dyDescent="0.25">
      <c r="A2489" s="23">
        <f t="shared" si="123"/>
        <v>223116</v>
      </c>
      <c r="B2489" s="14" t="str">
        <f t="shared" si="121"/>
        <v>Billing - Credits (from TPA)</v>
      </c>
      <c r="C2489" s="37">
        <v>46155</v>
      </c>
      <c r="D2489" s="31">
        <v>223116</v>
      </c>
      <c r="E2489" s="33" t="str">
        <f>IF(Table3[[#This Row],[Type Received]]=2,"CC",(IF(Table3[[#This Row],[Type Received]]=3,"BILL","ACH")))</f>
        <v>BILL</v>
      </c>
      <c r="F2489" s="32">
        <v>121.15</v>
      </c>
      <c r="G2489" s="14" t="str">
        <f>VLOOKUP(D2489,Table4[],3,FALSE)</f>
        <v>2</v>
      </c>
      <c r="H2489" s="15"/>
      <c r="I2489" s="15"/>
      <c r="J2489" s="15" t="s">
        <v>90</v>
      </c>
      <c r="K2489" s="15">
        <v>669496520</v>
      </c>
      <c r="L2489" s="15" t="s">
        <v>29</v>
      </c>
      <c r="M2489" s="15" t="s">
        <v>29</v>
      </c>
    </row>
    <row r="2490" spans="1:13" x14ac:dyDescent="0.25">
      <c r="A2490" s="23"/>
      <c r="B2490" s="14" t="str">
        <f t="shared" si="121"/>
        <v>Direct Debit (UMB Bank) - Credits</v>
      </c>
      <c r="C2490" s="38">
        <v>46146</v>
      </c>
      <c r="D2490" s="34">
        <v>223212</v>
      </c>
      <c r="E2490" s="36" t="str">
        <f>IF(Table3[[#This Row],[Type Received]]=2,"CC",(IF(Table3[[#This Row],[Type Received]]=3,"BILL","ACH")))</f>
        <v>ACH</v>
      </c>
      <c r="F2490" s="35">
        <v>34.81</v>
      </c>
      <c r="G2490" s="14" t="str">
        <f>VLOOKUP(D2490,Table4[],3,FALSE)</f>
        <v>1</v>
      </c>
      <c r="H2490" s="15">
        <v>4945</v>
      </c>
      <c r="I2490" s="15"/>
      <c r="J2490" s="15"/>
      <c r="K2490" s="15"/>
      <c r="L2490" s="15"/>
      <c r="M2490" s="15" t="s">
        <v>29</v>
      </c>
    </row>
    <row r="2491" spans="1:13" x14ac:dyDescent="0.25">
      <c r="A2491" s="23">
        <f t="shared" ref="A2491:A2522" si="124">D2491</f>
        <v>223245</v>
      </c>
      <c r="B2491" s="14" t="str">
        <f t="shared" si="121"/>
        <v>Direct Debit (UMB Bank) - Credits</v>
      </c>
      <c r="C2491" s="37">
        <v>46157</v>
      </c>
      <c r="D2491" s="31">
        <v>223245</v>
      </c>
      <c r="E2491" s="33" t="str">
        <f>IF(Table3[[#This Row],[Type Received]]=2,"CC",(IF(Table3[[#This Row],[Type Received]]=3,"BILL","ACH")))</f>
        <v>ACH</v>
      </c>
      <c r="F2491" s="32">
        <v>54.16</v>
      </c>
      <c r="G2491" s="14" t="str">
        <f>VLOOKUP(D2491,Table4[],3,FALSE)</f>
        <v>2</v>
      </c>
      <c r="H2491" s="15"/>
      <c r="I2491" s="15"/>
      <c r="J2491" s="15" t="s">
        <v>87</v>
      </c>
      <c r="K2491" s="15">
        <v>696764635</v>
      </c>
      <c r="L2491" s="15" t="s">
        <v>29</v>
      </c>
      <c r="M2491" s="15"/>
    </row>
    <row r="2492" spans="1:13" x14ac:dyDescent="0.25">
      <c r="A2492" s="23">
        <f t="shared" si="124"/>
        <v>223403</v>
      </c>
      <c r="B2492" s="14" t="str">
        <f t="shared" si="121"/>
        <v>Direct Debit (UMB Bank) - Credits</v>
      </c>
      <c r="C2492" s="38">
        <v>46157</v>
      </c>
      <c r="D2492" s="34">
        <v>223403</v>
      </c>
      <c r="E2492" s="36" t="str">
        <f>IF(Table3[[#This Row],[Type Received]]=2,"CC",(IF(Table3[[#This Row],[Type Received]]=3,"BILL","ACH")))</f>
        <v>ACH</v>
      </c>
      <c r="F2492" s="35">
        <v>18.89</v>
      </c>
      <c r="G2492" s="14" t="str">
        <f>VLOOKUP(D2492,Table4[],3,FALSE)</f>
        <v>1</v>
      </c>
      <c r="H2492" s="15"/>
      <c r="I2492" s="15"/>
      <c r="J2492" s="15" t="s">
        <v>87</v>
      </c>
      <c r="K2492" s="15">
        <v>696756889</v>
      </c>
      <c r="L2492" s="15" t="s">
        <v>29</v>
      </c>
      <c r="M2492" s="15" t="s">
        <v>29</v>
      </c>
    </row>
    <row r="2493" spans="1:13" x14ac:dyDescent="0.25">
      <c r="A2493" s="23">
        <f t="shared" si="124"/>
        <v>223408</v>
      </c>
      <c r="B2493" s="14" t="str">
        <f t="shared" si="121"/>
        <v>Credit Cards (UMB) - Credits</v>
      </c>
      <c r="C2493" s="37">
        <v>46167</v>
      </c>
      <c r="D2493" s="31">
        <v>223408</v>
      </c>
      <c r="E2493" s="33" t="str">
        <f>IF(Table3[[#This Row],[Type Received]]=2,"CC",(IF(Table3[[#This Row],[Type Received]]=3,"BILL","ACH")))</f>
        <v>CC</v>
      </c>
      <c r="F2493" s="32">
        <v>88.81</v>
      </c>
      <c r="G2493" s="14" t="str">
        <f>VLOOKUP(D2493,Table4[],3,FALSE)</f>
        <v>2</v>
      </c>
      <c r="H2493" s="15"/>
      <c r="I2493" s="15"/>
      <c r="J2493" s="15" t="s">
        <v>85</v>
      </c>
      <c r="K2493" s="15">
        <v>818373583</v>
      </c>
      <c r="L2493" s="15" t="s">
        <v>29</v>
      </c>
      <c r="M2493" s="15"/>
    </row>
    <row r="2494" spans="1:13" x14ac:dyDescent="0.25">
      <c r="A2494" s="23">
        <f t="shared" si="124"/>
        <v>223476</v>
      </c>
      <c r="B2494" s="14" t="str">
        <f t="shared" si="121"/>
        <v>Direct Debit (UMB Bank) - Credits</v>
      </c>
      <c r="C2494" s="38">
        <v>46170</v>
      </c>
      <c r="D2494" s="34">
        <v>223476</v>
      </c>
      <c r="E2494" s="36" t="str">
        <f>IF(Table3[[#This Row],[Type Received]]=2,"CC",(IF(Table3[[#This Row],[Type Received]]=3,"BILL","ACH")))</f>
        <v>ACH</v>
      </c>
      <c r="F2494" s="35">
        <v>348.58</v>
      </c>
      <c r="G2494" s="14" t="str">
        <f>VLOOKUP(D2494,Table4[],3,FALSE)</f>
        <v>2</v>
      </c>
      <c r="H2494" s="15"/>
      <c r="I2494" s="15">
        <v>110502</v>
      </c>
      <c r="J2494" s="15">
        <v>749514569</v>
      </c>
      <c r="K2494" s="15">
        <v>356113345</v>
      </c>
      <c r="L2494" s="15"/>
      <c r="M2494" s="15" t="s">
        <v>29</v>
      </c>
    </row>
    <row r="2495" spans="1:13" x14ac:dyDescent="0.25">
      <c r="A2495" s="23">
        <f t="shared" si="124"/>
        <v>223508</v>
      </c>
      <c r="B2495" s="14" t="str">
        <f t="shared" si="121"/>
        <v>Billing - Credits (from TPA)</v>
      </c>
      <c r="C2495" s="37">
        <v>46167</v>
      </c>
      <c r="D2495" s="31">
        <v>223508</v>
      </c>
      <c r="E2495" s="33" t="str">
        <f>IF(Table3[[#This Row],[Type Received]]=2,"CC",(IF(Table3[[#This Row],[Type Received]]=3,"BILL","ACH")))</f>
        <v>BILL</v>
      </c>
      <c r="F2495" s="32">
        <v>19.07</v>
      </c>
      <c r="G2495" s="14" t="str">
        <f>VLOOKUP(D2495,Table4[],3,FALSE)</f>
        <v>1</v>
      </c>
      <c r="H2495" s="15"/>
      <c r="I2495" s="15"/>
      <c r="J2495" s="15" t="s">
        <v>85</v>
      </c>
      <c r="K2495" s="15">
        <v>818367742</v>
      </c>
      <c r="L2495" s="15" t="s">
        <v>29</v>
      </c>
      <c r="M2495" s="15" t="s">
        <v>29</v>
      </c>
    </row>
    <row r="2496" spans="1:13" x14ac:dyDescent="0.25">
      <c r="A2496" s="23">
        <f t="shared" si="124"/>
        <v>223536</v>
      </c>
      <c r="B2496" s="14" t="str">
        <f t="shared" si="121"/>
        <v>Credit Cards (UMB) - Credits</v>
      </c>
      <c r="C2496" s="38">
        <v>46143</v>
      </c>
      <c r="D2496" s="34">
        <v>223536</v>
      </c>
      <c r="E2496" s="36" t="str">
        <f>IF(Table3[[#This Row],[Type Received]]=2,"CC",(IF(Table3[[#This Row],[Type Received]]=3,"BILL","ACH")))</f>
        <v>CC</v>
      </c>
      <c r="F2496" s="35">
        <v>318.7</v>
      </c>
      <c r="G2496" s="14" t="str">
        <f>VLOOKUP(D2496,Table4[],3,FALSE)</f>
        <v>1</v>
      </c>
      <c r="H2496" s="15">
        <v>12560</v>
      </c>
      <c r="I2496" s="15"/>
      <c r="J2496" s="24"/>
      <c r="K2496" s="15"/>
      <c r="L2496" s="15"/>
      <c r="M2496" s="15" t="s">
        <v>29</v>
      </c>
    </row>
    <row r="2497" spans="1:13" x14ac:dyDescent="0.25">
      <c r="A2497" s="23">
        <f t="shared" si="124"/>
        <v>223659</v>
      </c>
      <c r="B2497" s="14" t="str">
        <f t="shared" si="121"/>
        <v>Direct Debit (UMB Bank) - Credits</v>
      </c>
      <c r="C2497" s="37">
        <v>46150</v>
      </c>
      <c r="D2497" s="31">
        <v>223659</v>
      </c>
      <c r="E2497" s="33" t="str">
        <f>IF(Table3[[#This Row],[Type Received]]=2,"CC",(IF(Table3[[#This Row],[Type Received]]=3,"BILL","ACH")))</f>
        <v>ACH</v>
      </c>
      <c r="F2497" s="32">
        <v>32.840000000000003</v>
      </c>
      <c r="G2497" s="14" t="str">
        <f>VLOOKUP(D2497,Table4[],3,FALSE)</f>
        <v>1</v>
      </c>
      <c r="H2497" s="15"/>
      <c r="I2497" s="15">
        <v>33900</v>
      </c>
      <c r="J2497" s="15">
        <v>743671591</v>
      </c>
      <c r="K2497" s="15">
        <v>353949069</v>
      </c>
      <c r="L2497" s="15"/>
      <c r="M2497" s="15" t="s">
        <v>29</v>
      </c>
    </row>
    <row r="2498" spans="1:13" x14ac:dyDescent="0.25">
      <c r="A2498" s="23">
        <f t="shared" si="124"/>
        <v>223691</v>
      </c>
      <c r="B2498" s="14" t="str">
        <f t="shared" ref="B2498:B2561" si="125">IF(AND(E2498="BILL",F2498&lt;0),"Billing &amp; Direct Debit - Refunds",(IF(AND(E2498="BILL",F2498&gt;0),"Billing - Credits (from TPA)",(IF(AND(E2498="CC",F2498&lt;0),"Credit Cards (UMB) - Refunds",(IF(AND(E2498="CC",F2498&gt;0),"Credit Cards (UMB) - Credits",(IF(AND(E2498="ACH",F2498&gt;0),"Direct Debit (UMB Bank) - Credits","Direct Debit (UMB Bank) - Returned Items")))))))))</f>
        <v>Direct Debit (UMB Bank) - Credits</v>
      </c>
      <c r="C2498" s="38">
        <v>46167</v>
      </c>
      <c r="D2498" s="34">
        <v>223691</v>
      </c>
      <c r="E2498" s="36" t="str">
        <f>IF(Table3[[#This Row],[Type Received]]=2,"CC",(IF(Table3[[#This Row],[Type Received]]=3,"BILL","ACH")))</f>
        <v>ACH</v>
      </c>
      <c r="F2498" s="35">
        <v>13.85</v>
      </c>
      <c r="G2498" s="14" t="str">
        <f>VLOOKUP(D2498,Table4[],3,FALSE)</f>
        <v>1</v>
      </c>
      <c r="H2498" s="15"/>
      <c r="I2498" s="15"/>
      <c r="J2498" s="15" t="s">
        <v>85</v>
      </c>
      <c r="K2498" s="15">
        <v>818383178</v>
      </c>
      <c r="L2498" s="15" t="s">
        <v>29</v>
      </c>
      <c r="M2498" s="15" t="s">
        <v>29</v>
      </c>
    </row>
    <row r="2499" spans="1:13" x14ac:dyDescent="0.25">
      <c r="A2499" s="23">
        <f t="shared" si="124"/>
        <v>223694</v>
      </c>
      <c r="B2499" s="14" t="str">
        <f t="shared" si="125"/>
        <v>Direct Debit (UMB Bank) - Credits</v>
      </c>
      <c r="C2499" s="37">
        <v>46157</v>
      </c>
      <c r="D2499" s="31">
        <v>223694</v>
      </c>
      <c r="E2499" s="33" t="str">
        <f>IF(Table3[[#This Row],[Type Received]]=2,"CC",(IF(Table3[[#This Row],[Type Received]]=3,"BILL","ACH")))</f>
        <v>ACH</v>
      </c>
      <c r="F2499" s="32">
        <v>17.63</v>
      </c>
      <c r="G2499" s="14" t="str">
        <f>VLOOKUP(D2499,Table4[],3,FALSE)</f>
        <v>1</v>
      </c>
      <c r="H2499" s="15"/>
      <c r="I2499" s="15"/>
      <c r="J2499" s="15" t="s">
        <v>87</v>
      </c>
      <c r="K2499" s="15">
        <v>696757909</v>
      </c>
      <c r="L2499" s="15" t="s">
        <v>29</v>
      </c>
      <c r="M2499" s="15" t="s">
        <v>29</v>
      </c>
    </row>
    <row r="2500" spans="1:13" x14ac:dyDescent="0.25">
      <c r="A2500" s="23">
        <f t="shared" si="124"/>
        <v>223696</v>
      </c>
      <c r="B2500" s="14" t="str">
        <f t="shared" si="125"/>
        <v>Credit Cards (UMB) - Credits</v>
      </c>
      <c r="C2500" s="38">
        <v>46167</v>
      </c>
      <c r="D2500" s="34">
        <v>223696</v>
      </c>
      <c r="E2500" s="36" t="str">
        <f>IF(Table3[[#This Row],[Type Received]]=2,"CC",(IF(Table3[[#This Row],[Type Received]]=3,"BILL","ACH")))</f>
        <v>CC</v>
      </c>
      <c r="F2500" s="35">
        <v>15.67</v>
      </c>
      <c r="G2500" s="14" t="str">
        <f>VLOOKUP(D2500,Table4[],3,FALSE)</f>
        <v>1</v>
      </c>
      <c r="H2500" s="15"/>
      <c r="I2500" s="15"/>
      <c r="J2500" s="15" t="s">
        <v>85</v>
      </c>
      <c r="K2500" s="15">
        <v>818358990</v>
      </c>
      <c r="L2500" s="15" t="s">
        <v>29</v>
      </c>
      <c r="M2500" s="15" t="s">
        <v>29</v>
      </c>
    </row>
    <row r="2501" spans="1:13" x14ac:dyDescent="0.25">
      <c r="A2501" s="23">
        <f t="shared" si="124"/>
        <v>223772</v>
      </c>
      <c r="B2501" s="14" t="str">
        <f t="shared" si="125"/>
        <v>Direct Debit (UMB Bank) - Credits</v>
      </c>
      <c r="C2501" s="37">
        <v>46171</v>
      </c>
      <c r="D2501" s="31">
        <v>223772</v>
      </c>
      <c r="E2501" s="33" t="str">
        <f>IF(Table3[[#This Row],[Type Received]]=2,"CC",(IF(Table3[[#This Row],[Type Received]]=3,"BILL","ACH")))</f>
        <v>ACH</v>
      </c>
      <c r="F2501" s="32">
        <v>98.39</v>
      </c>
      <c r="G2501" s="14" t="str">
        <f>VLOOKUP(D2501,Table4[],3,FALSE)</f>
        <v>2</v>
      </c>
      <c r="H2501" s="15"/>
      <c r="I2501" s="15">
        <v>73115</v>
      </c>
      <c r="J2501" s="15" t="s">
        <v>28</v>
      </c>
      <c r="K2501" s="15">
        <v>869842888</v>
      </c>
      <c r="L2501" s="15" t="s">
        <v>29</v>
      </c>
      <c r="M2501" s="15" t="s">
        <v>29</v>
      </c>
    </row>
    <row r="2502" spans="1:13" x14ac:dyDescent="0.25">
      <c r="A2502" s="23">
        <f t="shared" si="124"/>
        <v>223788</v>
      </c>
      <c r="B2502" s="14" t="str">
        <f t="shared" si="125"/>
        <v>Direct Debit (UMB Bank) - Credits</v>
      </c>
      <c r="C2502" s="38">
        <v>46167</v>
      </c>
      <c r="D2502" s="34">
        <v>223788</v>
      </c>
      <c r="E2502" s="36" t="str">
        <f>IF(Table3[[#This Row],[Type Received]]=2,"CC",(IF(Table3[[#This Row],[Type Received]]=3,"BILL","ACH")))</f>
        <v>ACH</v>
      </c>
      <c r="F2502" s="35">
        <v>26.55</v>
      </c>
      <c r="G2502" s="14" t="str">
        <f>VLOOKUP(D2502,Table4[],3,FALSE)</f>
        <v>2</v>
      </c>
      <c r="H2502" s="15"/>
      <c r="I2502" s="15"/>
      <c r="J2502" s="15" t="s">
        <v>85</v>
      </c>
      <c r="K2502" s="15">
        <v>818382319</v>
      </c>
      <c r="L2502" s="15" t="s">
        <v>29</v>
      </c>
      <c r="M2502" s="15" t="s">
        <v>29</v>
      </c>
    </row>
    <row r="2503" spans="1:13" x14ac:dyDescent="0.25">
      <c r="A2503" s="23">
        <f t="shared" si="124"/>
        <v>224011</v>
      </c>
      <c r="B2503" s="14" t="str">
        <f t="shared" si="125"/>
        <v>Direct Debit (UMB Bank) - Credits</v>
      </c>
      <c r="C2503" s="37">
        <v>46143</v>
      </c>
      <c r="D2503" s="31">
        <v>224011</v>
      </c>
      <c r="E2503" s="33" t="str">
        <f>IF(Table3[[#This Row],[Type Received]]=2,"CC",(IF(Table3[[#This Row],[Type Received]]=3,"BILL","ACH")))</f>
        <v>ACH</v>
      </c>
      <c r="F2503" s="32">
        <v>16.649999999999999</v>
      </c>
      <c r="G2503" s="14" t="str">
        <f>VLOOKUP(D2503,Table4[],3,FALSE)</f>
        <v>1</v>
      </c>
      <c r="H2503" s="15"/>
      <c r="I2503" s="15"/>
      <c r="J2503" s="24" t="s">
        <v>84</v>
      </c>
      <c r="K2503" s="15">
        <v>522357297</v>
      </c>
      <c r="L2503" s="15" t="s">
        <v>29</v>
      </c>
      <c r="M2503" s="15" t="s">
        <v>29</v>
      </c>
    </row>
    <row r="2504" spans="1:13" x14ac:dyDescent="0.25">
      <c r="A2504" s="23">
        <f t="shared" si="124"/>
        <v>224013</v>
      </c>
      <c r="B2504" s="14" t="str">
        <f t="shared" si="125"/>
        <v>Billing - Credits (from TPA)</v>
      </c>
      <c r="C2504" s="38">
        <v>46143</v>
      </c>
      <c r="D2504" s="34">
        <v>224013</v>
      </c>
      <c r="E2504" s="36" t="str">
        <f>IF(Table3[[#This Row],[Type Received]]=2,"CC",(IF(Table3[[#This Row],[Type Received]]=3,"BILL","ACH")))</f>
        <v>BILL</v>
      </c>
      <c r="F2504" s="35">
        <v>23.91</v>
      </c>
      <c r="G2504" s="14" t="str">
        <f>VLOOKUP(D2504,Table4[],3,FALSE)</f>
        <v>2</v>
      </c>
      <c r="H2504" s="15"/>
      <c r="I2504" s="15"/>
      <c r="J2504" s="15" t="s">
        <v>84</v>
      </c>
      <c r="K2504" s="15">
        <v>522352495</v>
      </c>
      <c r="L2504" s="15" t="s">
        <v>29</v>
      </c>
      <c r="M2504" s="15" t="s">
        <v>29</v>
      </c>
    </row>
    <row r="2505" spans="1:13" x14ac:dyDescent="0.25">
      <c r="A2505" s="23">
        <f t="shared" si="124"/>
        <v>224018</v>
      </c>
      <c r="B2505" s="14" t="str">
        <f t="shared" si="125"/>
        <v>Credit Cards (UMB) - Credits</v>
      </c>
      <c r="C2505" s="37">
        <v>46143</v>
      </c>
      <c r="D2505" s="31">
        <v>224018</v>
      </c>
      <c r="E2505" s="33" t="str">
        <f>IF(Table3[[#This Row],[Type Received]]=2,"CC",(IF(Table3[[#This Row],[Type Received]]=3,"BILL","ACH")))</f>
        <v>CC</v>
      </c>
      <c r="F2505" s="32">
        <v>104.7</v>
      </c>
      <c r="G2505" s="14" t="str">
        <f>VLOOKUP(D2505,Table4[],3,FALSE)</f>
        <v>1</v>
      </c>
      <c r="H2505" s="15">
        <v>5243</v>
      </c>
      <c r="I2505" s="15"/>
      <c r="J2505" s="15"/>
      <c r="K2505" s="15"/>
      <c r="L2505" s="15"/>
      <c r="M2505" s="15" t="s">
        <v>29</v>
      </c>
    </row>
    <row r="2506" spans="1:13" x14ac:dyDescent="0.25">
      <c r="A2506" s="23">
        <f t="shared" si="124"/>
        <v>224054</v>
      </c>
      <c r="B2506" s="14" t="str">
        <f t="shared" si="125"/>
        <v>Direct Debit (UMB Bank) - Credits</v>
      </c>
      <c r="C2506" s="38">
        <v>46144</v>
      </c>
      <c r="D2506" s="34">
        <v>224054</v>
      </c>
      <c r="E2506" s="36" t="str">
        <f>IF(Table3[[#This Row],[Type Received]]=2,"CC",(IF(Table3[[#This Row],[Type Received]]=3,"BILL","ACH")))</f>
        <v>ACH</v>
      </c>
      <c r="F2506" s="35">
        <v>21.06</v>
      </c>
      <c r="G2506" s="14" t="str">
        <f>VLOOKUP(D2506,Table4[],3,FALSE)</f>
        <v>2</v>
      </c>
      <c r="H2506" s="15"/>
      <c r="I2506" s="15">
        <v>112183</v>
      </c>
      <c r="J2506" s="15">
        <v>741651752</v>
      </c>
      <c r="K2506" s="15">
        <v>353282329</v>
      </c>
      <c r="L2506" s="15"/>
      <c r="M2506" s="15" t="s">
        <v>29</v>
      </c>
    </row>
    <row r="2507" spans="1:13" x14ac:dyDescent="0.25">
      <c r="A2507" s="23">
        <f t="shared" si="124"/>
        <v>224069</v>
      </c>
      <c r="B2507" s="14" t="str">
        <f t="shared" si="125"/>
        <v>Direct Debit (UMB Bank) - Credits</v>
      </c>
      <c r="C2507" s="37">
        <v>46157</v>
      </c>
      <c r="D2507" s="31">
        <v>224069</v>
      </c>
      <c r="E2507" s="33" t="str">
        <f>IF(Table3[[#This Row],[Type Received]]=2,"CC",(IF(Table3[[#This Row],[Type Received]]=3,"BILL","ACH")))</f>
        <v>ACH</v>
      </c>
      <c r="F2507" s="32">
        <v>31.94</v>
      </c>
      <c r="G2507" s="14" t="str">
        <f>VLOOKUP(D2507,Table4[],3,FALSE)</f>
        <v>2</v>
      </c>
      <c r="H2507" s="15"/>
      <c r="I2507" s="15"/>
      <c r="J2507" s="15" t="s">
        <v>87</v>
      </c>
      <c r="K2507" s="15">
        <v>696777280</v>
      </c>
      <c r="L2507" s="15" t="s">
        <v>29</v>
      </c>
      <c r="M2507" s="15" t="s">
        <v>29</v>
      </c>
    </row>
    <row r="2508" spans="1:13" x14ac:dyDescent="0.25">
      <c r="A2508" s="23">
        <f t="shared" si="124"/>
        <v>224078</v>
      </c>
      <c r="B2508" s="14" t="str">
        <f t="shared" si="125"/>
        <v>Billing - Credits (from TPA)</v>
      </c>
      <c r="C2508" s="38">
        <v>46143</v>
      </c>
      <c r="D2508" s="34">
        <v>224078</v>
      </c>
      <c r="E2508" s="36" t="str">
        <f>IF(Table3[[#This Row],[Type Received]]=2,"CC",(IF(Table3[[#This Row],[Type Received]]=3,"BILL","ACH")))</f>
        <v>BILL</v>
      </c>
      <c r="F2508" s="35">
        <v>22.04</v>
      </c>
      <c r="G2508" s="14" t="str">
        <f>VLOOKUP(D2508,Table4[],3,FALSE)</f>
        <v>2</v>
      </c>
      <c r="H2508" s="15"/>
      <c r="I2508" s="15"/>
      <c r="J2508" s="15" t="s">
        <v>84</v>
      </c>
      <c r="K2508" s="15">
        <v>522340856</v>
      </c>
      <c r="L2508" s="15" t="s">
        <v>29</v>
      </c>
      <c r="M2508" s="15"/>
    </row>
    <row r="2509" spans="1:13" x14ac:dyDescent="0.25">
      <c r="A2509" s="23">
        <f t="shared" si="124"/>
        <v>224170</v>
      </c>
      <c r="B2509" s="14" t="str">
        <f t="shared" si="125"/>
        <v>Direct Debit (UMB Bank) - Credits</v>
      </c>
      <c r="C2509" s="37">
        <v>46143</v>
      </c>
      <c r="D2509" s="31">
        <v>224170</v>
      </c>
      <c r="E2509" s="33" t="str">
        <f>IF(Table3[[#This Row],[Type Received]]=2,"CC",(IF(Table3[[#This Row],[Type Received]]=3,"BILL","ACH")))</f>
        <v>ACH</v>
      </c>
      <c r="F2509" s="32">
        <v>55.57</v>
      </c>
      <c r="G2509" s="14" t="str">
        <f>VLOOKUP(D2509,Table4[],3,FALSE)</f>
        <v>1</v>
      </c>
      <c r="H2509" s="15">
        <v>985436</v>
      </c>
      <c r="I2509" s="15"/>
      <c r="J2509" s="15"/>
      <c r="K2509" s="15"/>
      <c r="L2509" s="15"/>
      <c r="M2509" s="15" t="s">
        <v>29</v>
      </c>
    </row>
    <row r="2510" spans="1:13" x14ac:dyDescent="0.25">
      <c r="A2510" s="23">
        <f t="shared" si="124"/>
        <v>224191</v>
      </c>
      <c r="B2510" s="14" t="str">
        <f t="shared" si="125"/>
        <v>Direct Debit (UMB Bank) - Credits</v>
      </c>
      <c r="C2510" s="38">
        <v>46157</v>
      </c>
      <c r="D2510" s="34">
        <v>224191</v>
      </c>
      <c r="E2510" s="36" t="str">
        <f>IF(Table3[[#This Row],[Type Received]]=2,"CC",(IF(Table3[[#This Row],[Type Received]]=3,"BILL","ACH")))</f>
        <v>ACH</v>
      </c>
      <c r="F2510" s="35">
        <v>76.489999999999995</v>
      </c>
      <c r="G2510" s="14" t="str">
        <f>VLOOKUP(D2510,Table4[],3,FALSE)</f>
        <v>1</v>
      </c>
      <c r="H2510" s="15"/>
      <c r="I2510" s="15"/>
      <c r="J2510" s="15" t="s">
        <v>87</v>
      </c>
      <c r="K2510" s="15">
        <v>696704355</v>
      </c>
      <c r="L2510" s="15" t="s">
        <v>29</v>
      </c>
      <c r="M2510" s="15" t="s">
        <v>29</v>
      </c>
    </row>
    <row r="2511" spans="1:13" x14ac:dyDescent="0.25">
      <c r="A2511" s="23">
        <f t="shared" si="124"/>
        <v>223828</v>
      </c>
      <c r="B2511" s="14" t="str">
        <f t="shared" si="125"/>
        <v>Billing - Credits (from TPA)</v>
      </c>
      <c r="C2511" s="37">
        <v>46157</v>
      </c>
      <c r="D2511" s="31">
        <v>223828</v>
      </c>
      <c r="E2511" s="33" t="str">
        <f>IF(Table3[[#This Row],[Type Received]]=2,"CC",(IF(Table3[[#This Row],[Type Received]]=3,"BILL","ACH")))</f>
        <v>BILL</v>
      </c>
      <c r="F2511" s="32">
        <v>13.85</v>
      </c>
      <c r="G2511" s="14" t="str">
        <f>VLOOKUP(D2511,Table4[],3,FALSE)</f>
        <v>1</v>
      </c>
      <c r="H2511" s="15"/>
      <c r="I2511" s="15"/>
      <c r="J2511" s="15" t="s">
        <v>87</v>
      </c>
      <c r="K2511" s="15">
        <v>696770491</v>
      </c>
      <c r="L2511" s="15" t="s">
        <v>29</v>
      </c>
      <c r="M2511" s="15"/>
    </row>
    <row r="2512" spans="1:13" x14ac:dyDescent="0.25">
      <c r="A2512" s="23">
        <f t="shared" si="124"/>
        <v>223847</v>
      </c>
      <c r="B2512" s="14" t="str">
        <f t="shared" si="125"/>
        <v>Direct Debit (UMB Bank) - Credits</v>
      </c>
      <c r="C2512" s="38">
        <v>46149</v>
      </c>
      <c r="D2512" s="34">
        <v>223847</v>
      </c>
      <c r="E2512" s="36" t="str">
        <f>IF(Table3[[#This Row],[Type Received]]=2,"CC",(IF(Table3[[#This Row],[Type Received]]=3,"BILL","ACH")))</f>
        <v>ACH</v>
      </c>
      <c r="F2512" s="35">
        <v>74.959999999999994</v>
      </c>
      <c r="G2512" s="14" t="str">
        <f>VLOOKUP(D2512,Table4[],3,FALSE)</f>
        <v>2</v>
      </c>
      <c r="H2512" s="15">
        <v>1233</v>
      </c>
      <c r="I2512" s="15"/>
      <c r="J2512" s="15"/>
      <c r="K2512" s="15"/>
      <c r="L2512" s="15"/>
      <c r="M2512" s="15" t="s">
        <v>29</v>
      </c>
    </row>
    <row r="2513" spans="1:13" x14ac:dyDescent="0.25">
      <c r="A2513" s="23">
        <f t="shared" si="124"/>
        <v>223876</v>
      </c>
      <c r="B2513" s="14" t="str">
        <f t="shared" si="125"/>
        <v>Direct Debit (UMB Bank) - Credits</v>
      </c>
      <c r="C2513" s="37">
        <v>46146</v>
      </c>
      <c r="D2513" s="31">
        <v>223876</v>
      </c>
      <c r="E2513" s="33" t="str">
        <f>IF(Table3[[#This Row],[Type Received]]=2,"CC",(IF(Table3[[#This Row],[Type Received]]=3,"BILL","ACH")))</f>
        <v>ACH</v>
      </c>
      <c r="F2513" s="32">
        <v>77.599999999999994</v>
      </c>
      <c r="G2513" s="14" t="str">
        <f>VLOOKUP(D2513,Table4[],3,FALSE)</f>
        <v>2</v>
      </c>
      <c r="H2513" s="15"/>
      <c r="I2513" s="15"/>
      <c r="J2513" s="15" t="s">
        <v>92</v>
      </c>
      <c r="K2513" s="15">
        <v>561942437</v>
      </c>
      <c r="L2513" s="15" t="s">
        <v>29</v>
      </c>
      <c r="M2513" s="15" t="s">
        <v>29</v>
      </c>
    </row>
    <row r="2514" spans="1:13" x14ac:dyDescent="0.25">
      <c r="A2514" s="23">
        <f t="shared" si="124"/>
        <v>223881</v>
      </c>
      <c r="B2514" s="14" t="str">
        <f t="shared" si="125"/>
        <v>Billing - Credits (from TPA)</v>
      </c>
      <c r="C2514" s="38">
        <v>46143</v>
      </c>
      <c r="D2514" s="34">
        <v>223881</v>
      </c>
      <c r="E2514" s="36" t="str">
        <f>IF(Table3[[#This Row],[Type Received]]=2,"CC",(IF(Table3[[#This Row],[Type Received]]=3,"BILL","ACH")))</f>
        <v>BILL</v>
      </c>
      <c r="F2514" s="35">
        <v>43.27</v>
      </c>
      <c r="G2514" s="14" t="e">
        <f>VLOOKUP(D2514,Table4[],3,FALSE)</f>
        <v>#N/A</v>
      </c>
      <c r="H2514" s="15"/>
      <c r="I2514" s="15"/>
      <c r="J2514" s="15" t="s">
        <v>84</v>
      </c>
      <c r="K2514" s="15">
        <v>522352452</v>
      </c>
      <c r="L2514" s="15" t="s">
        <v>29</v>
      </c>
      <c r="M2514" s="15" t="s">
        <v>29</v>
      </c>
    </row>
    <row r="2515" spans="1:13" x14ac:dyDescent="0.25">
      <c r="A2515" s="23">
        <f t="shared" si="124"/>
        <v>223995</v>
      </c>
      <c r="B2515" s="14" t="str">
        <f t="shared" si="125"/>
        <v>Direct Debit (UMB Bank) - Credits</v>
      </c>
      <c r="C2515" s="37">
        <v>46169</v>
      </c>
      <c r="D2515" s="31">
        <v>223995</v>
      </c>
      <c r="E2515" s="33" t="str">
        <f>IF(Table3[[#This Row],[Type Received]]=2,"CC",(IF(Table3[[#This Row],[Type Received]]=3,"BILL","ACH")))</f>
        <v>ACH</v>
      </c>
      <c r="F2515" s="32">
        <v>732.15</v>
      </c>
      <c r="G2515" s="14" t="str">
        <f>VLOOKUP(D2515,Table4[],3,FALSE)</f>
        <v>2</v>
      </c>
      <c r="H2515" s="15">
        <v>3772</v>
      </c>
      <c r="I2515" s="15"/>
      <c r="J2515" s="15"/>
      <c r="K2515" s="15"/>
      <c r="L2515" s="15"/>
      <c r="M2515" s="15" t="s">
        <v>29</v>
      </c>
    </row>
    <row r="2516" spans="1:13" x14ac:dyDescent="0.25">
      <c r="A2516" s="23">
        <f t="shared" si="124"/>
        <v>224006</v>
      </c>
      <c r="B2516" s="14" t="str">
        <f t="shared" si="125"/>
        <v>Billing - Credits (from TPA)</v>
      </c>
      <c r="C2516" s="38">
        <v>46167</v>
      </c>
      <c r="D2516" s="34">
        <v>224006</v>
      </c>
      <c r="E2516" s="36" t="str">
        <f>IF(Table3[[#This Row],[Type Received]]=2,"CC",(IF(Table3[[#This Row],[Type Received]]=3,"BILL","ACH")))</f>
        <v>BILL</v>
      </c>
      <c r="F2516" s="35">
        <v>74.62</v>
      </c>
      <c r="G2516" s="14" t="str">
        <f>VLOOKUP(D2516,Table4[],3,FALSE)</f>
        <v>2</v>
      </c>
      <c r="H2516" s="15"/>
      <c r="I2516" s="15"/>
      <c r="J2516" s="15" t="s">
        <v>85</v>
      </c>
      <c r="K2516" s="15">
        <v>818381355</v>
      </c>
      <c r="L2516" s="15" t="s">
        <v>29</v>
      </c>
      <c r="M2516" s="15"/>
    </row>
    <row r="2517" spans="1:13" x14ac:dyDescent="0.25">
      <c r="A2517" s="23">
        <f t="shared" si="124"/>
        <v>224226</v>
      </c>
      <c r="B2517" s="14" t="str">
        <f t="shared" si="125"/>
        <v>Direct Debit (UMB Bank) - Credits</v>
      </c>
      <c r="C2517" s="37">
        <v>46169</v>
      </c>
      <c r="D2517" s="31">
        <v>224226</v>
      </c>
      <c r="E2517" s="33" t="str">
        <f>IF(Table3[[#This Row],[Type Received]]=2,"CC",(IF(Table3[[#This Row],[Type Received]]=3,"BILL","ACH")))</f>
        <v>ACH</v>
      </c>
      <c r="F2517" s="32">
        <v>405.16</v>
      </c>
      <c r="G2517" s="14" t="str">
        <f>VLOOKUP(D2517,Table4[],3,FALSE)</f>
        <v>2</v>
      </c>
      <c r="H2517" s="15">
        <v>5109</v>
      </c>
      <c r="I2517" s="15"/>
      <c r="J2517" s="15"/>
      <c r="K2517" s="15"/>
      <c r="L2517" s="15"/>
      <c r="M2517" s="15"/>
    </row>
    <row r="2518" spans="1:13" x14ac:dyDescent="0.25">
      <c r="A2518" s="23">
        <f t="shared" si="124"/>
        <v>224227</v>
      </c>
      <c r="B2518" s="14" t="str">
        <f t="shared" si="125"/>
        <v>Direct Debit (UMB Bank) - Credits</v>
      </c>
      <c r="C2518" s="38">
        <v>46143</v>
      </c>
      <c r="D2518" s="34">
        <v>224227</v>
      </c>
      <c r="E2518" s="36" t="str">
        <f>IF(Table3[[#This Row],[Type Received]]=2,"CC",(IF(Table3[[#This Row],[Type Received]]=3,"BILL","ACH")))</f>
        <v>ACH</v>
      </c>
      <c r="F2518" s="35">
        <v>46.57</v>
      </c>
      <c r="G2518" s="14" t="str">
        <f>VLOOKUP(D2518,Table4[],3,FALSE)</f>
        <v>2</v>
      </c>
      <c r="H2518" s="15"/>
      <c r="I2518" s="15"/>
      <c r="J2518" s="15" t="s">
        <v>84</v>
      </c>
      <c r="K2518" s="15">
        <v>522360300</v>
      </c>
      <c r="L2518" s="15" t="s">
        <v>29</v>
      </c>
      <c r="M2518" s="15" t="s">
        <v>29</v>
      </c>
    </row>
    <row r="2519" spans="1:13" x14ac:dyDescent="0.25">
      <c r="A2519" s="23">
        <f t="shared" si="124"/>
        <v>224394</v>
      </c>
      <c r="B2519" s="14" t="str">
        <f t="shared" si="125"/>
        <v>Direct Debit (UMB Bank) - Credits</v>
      </c>
      <c r="C2519" s="37">
        <v>46167</v>
      </c>
      <c r="D2519" s="31">
        <v>224394</v>
      </c>
      <c r="E2519" s="33" t="str">
        <f>IF(Table3[[#This Row],[Type Received]]=2,"CC",(IF(Table3[[#This Row],[Type Received]]=3,"BILL","ACH")))</f>
        <v>ACH</v>
      </c>
      <c r="F2519" s="32">
        <v>57.46</v>
      </c>
      <c r="G2519" s="14" t="str">
        <f>VLOOKUP(D2519,Table4[],3,FALSE)</f>
        <v>2</v>
      </c>
      <c r="H2519" s="15"/>
      <c r="I2519" s="15"/>
      <c r="J2519" s="15" t="s">
        <v>85</v>
      </c>
      <c r="K2519" s="15">
        <v>818364955</v>
      </c>
      <c r="L2519" s="15" t="s">
        <v>29</v>
      </c>
      <c r="M2519" s="15"/>
    </row>
    <row r="2520" spans="1:13" x14ac:dyDescent="0.25">
      <c r="A2520" s="23">
        <f t="shared" si="124"/>
        <v>224396</v>
      </c>
      <c r="B2520" s="14" t="str">
        <f t="shared" si="125"/>
        <v>Direct Debit (UMB Bank) - Credits</v>
      </c>
      <c r="C2520" s="38">
        <v>46167</v>
      </c>
      <c r="D2520" s="34">
        <v>224396</v>
      </c>
      <c r="E2520" s="36" t="str">
        <f>IF(Table3[[#This Row],[Type Received]]=2,"CC",(IF(Table3[[#This Row],[Type Received]]=3,"BILL","ACH")))</f>
        <v>ACH</v>
      </c>
      <c r="F2520" s="35">
        <v>49.54</v>
      </c>
      <c r="G2520" s="14" t="str">
        <f>VLOOKUP(D2520,Table4[],3,FALSE)</f>
        <v>2</v>
      </c>
      <c r="H2520" s="15"/>
      <c r="I2520" s="15"/>
      <c r="J2520" s="15" t="s">
        <v>85</v>
      </c>
      <c r="K2520" s="15">
        <v>818302988</v>
      </c>
      <c r="L2520" s="15" t="s">
        <v>29</v>
      </c>
      <c r="M2520" s="15" t="s">
        <v>29</v>
      </c>
    </row>
    <row r="2521" spans="1:13" x14ac:dyDescent="0.25">
      <c r="A2521" s="23">
        <f t="shared" si="124"/>
        <v>224397</v>
      </c>
      <c r="B2521" s="14" t="str">
        <f t="shared" si="125"/>
        <v>Billing - Credits (from TPA)</v>
      </c>
      <c r="C2521" s="37">
        <v>46167</v>
      </c>
      <c r="D2521" s="31">
        <v>224397</v>
      </c>
      <c r="E2521" s="33" t="str">
        <f>IF(Table3[[#This Row],[Type Received]]=2,"CC",(IF(Table3[[#This Row],[Type Received]]=3,"BILL","ACH")))</f>
        <v>BILL</v>
      </c>
      <c r="F2521" s="32">
        <v>19.73</v>
      </c>
      <c r="G2521" s="14" t="str">
        <f>VLOOKUP(D2521,Table4[],3,FALSE)</f>
        <v>1</v>
      </c>
      <c r="H2521" s="15"/>
      <c r="I2521" s="15"/>
      <c r="J2521" s="15" t="s">
        <v>85</v>
      </c>
      <c r="K2521" s="15">
        <v>818358099</v>
      </c>
      <c r="L2521" s="15" t="s">
        <v>29</v>
      </c>
      <c r="M2521" s="15"/>
    </row>
    <row r="2522" spans="1:13" x14ac:dyDescent="0.25">
      <c r="A2522" s="23">
        <f t="shared" si="124"/>
        <v>224449</v>
      </c>
      <c r="B2522" s="14" t="str">
        <f t="shared" si="125"/>
        <v>Direct Debit (UMB Bank) - Credits</v>
      </c>
      <c r="C2522" s="38">
        <v>46147</v>
      </c>
      <c r="D2522" s="34">
        <v>224449</v>
      </c>
      <c r="E2522" s="36" t="str">
        <f>IF(Table3[[#This Row],[Type Received]]=2,"CC",(IF(Table3[[#This Row],[Type Received]]=3,"BILL","ACH")))</f>
        <v>ACH</v>
      </c>
      <c r="F2522" s="35">
        <v>27.22</v>
      </c>
      <c r="G2522" s="14" t="str">
        <f>VLOOKUP(D2522,Table4[],3,FALSE)</f>
        <v>2</v>
      </c>
      <c r="H2522" s="15">
        <v>57674759</v>
      </c>
      <c r="I2522" s="15"/>
      <c r="J2522" s="15"/>
      <c r="K2522" s="15"/>
      <c r="L2522" s="15"/>
      <c r="M2522" s="15" t="s">
        <v>29</v>
      </c>
    </row>
    <row r="2523" spans="1:13" x14ac:dyDescent="0.25">
      <c r="A2523" s="23">
        <f t="shared" ref="A2523:A2557" si="126">D2523</f>
        <v>224480</v>
      </c>
      <c r="B2523" s="14" t="str">
        <f t="shared" si="125"/>
        <v>Direct Debit (UMB Bank) - Credits</v>
      </c>
      <c r="C2523" s="37">
        <v>46167</v>
      </c>
      <c r="D2523" s="31">
        <v>224480</v>
      </c>
      <c r="E2523" s="33" t="str">
        <f>IF(Table3[[#This Row],[Type Received]]=2,"CC",(IF(Table3[[#This Row],[Type Received]]=3,"BILL","ACH")))</f>
        <v>ACH</v>
      </c>
      <c r="F2523" s="32">
        <v>45.25</v>
      </c>
      <c r="G2523" s="14" t="str">
        <f>VLOOKUP(D2523,Table4[],3,FALSE)</f>
        <v>2</v>
      </c>
      <c r="H2523" s="15"/>
      <c r="I2523" s="15"/>
      <c r="J2523" s="15" t="s">
        <v>85</v>
      </c>
      <c r="K2523" s="15">
        <v>818365959</v>
      </c>
      <c r="L2523" s="15" t="s">
        <v>29</v>
      </c>
      <c r="M2523" s="15" t="s">
        <v>29</v>
      </c>
    </row>
    <row r="2524" spans="1:13" x14ac:dyDescent="0.25">
      <c r="A2524" s="23">
        <f t="shared" si="126"/>
        <v>224482</v>
      </c>
      <c r="B2524" s="14" t="str">
        <f t="shared" si="125"/>
        <v>Credit Cards (UMB) - Credits</v>
      </c>
      <c r="C2524" s="38">
        <v>46167</v>
      </c>
      <c r="D2524" s="34">
        <v>224482</v>
      </c>
      <c r="E2524" s="36" t="str">
        <f>IF(Table3[[#This Row],[Type Received]]=2,"CC",(IF(Table3[[#This Row],[Type Received]]=3,"BILL","ACH")))</f>
        <v>CC</v>
      </c>
      <c r="F2524" s="35">
        <v>12.94</v>
      </c>
      <c r="G2524" s="14" t="str">
        <f>VLOOKUP(D2524,Table4[],3,FALSE)</f>
        <v>1</v>
      </c>
      <c r="H2524" s="15"/>
      <c r="I2524" s="15"/>
      <c r="J2524" s="15" t="s">
        <v>85</v>
      </c>
      <c r="K2524" s="15">
        <v>818376506</v>
      </c>
      <c r="L2524" s="15" t="s">
        <v>29</v>
      </c>
      <c r="M2524" s="15"/>
    </row>
    <row r="2525" spans="1:13" x14ac:dyDescent="0.25">
      <c r="A2525" s="23">
        <f t="shared" si="126"/>
        <v>224525</v>
      </c>
      <c r="B2525" s="14" t="str">
        <f t="shared" si="125"/>
        <v>Direct Debit (UMB Bank) - Credits</v>
      </c>
      <c r="C2525" s="37">
        <v>46147</v>
      </c>
      <c r="D2525" s="31">
        <v>224525</v>
      </c>
      <c r="E2525" s="33" t="str">
        <f>IF(Table3[[#This Row],[Type Received]]=2,"CC",(IF(Table3[[#This Row],[Type Received]]=3,"BILL","ACH")))</f>
        <v>ACH</v>
      </c>
      <c r="F2525" s="32">
        <v>16.989999999999998</v>
      </c>
      <c r="G2525" s="14" t="str">
        <f>VLOOKUP(D2525,Table4[],3,FALSE)</f>
        <v>2</v>
      </c>
      <c r="H2525" s="15"/>
      <c r="I2525" s="15">
        <v>55828</v>
      </c>
      <c r="J2525" s="24" t="s">
        <v>28</v>
      </c>
      <c r="K2525" s="15">
        <v>572991270</v>
      </c>
      <c r="L2525" s="15" t="s">
        <v>29</v>
      </c>
      <c r="M2525" s="15"/>
    </row>
    <row r="2526" spans="1:13" x14ac:dyDescent="0.25">
      <c r="A2526" s="23">
        <f t="shared" si="126"/>
        <v>224529</v>
      </c>
      <c r="B2526" s="14" t="str">
        <f t="shared" si="125"/>
        <v>Credit Cards (UMB) - Credits</v>
      </c>
      <c r="C2526" s="38">
        <v>46158</v>
      </c>
      <c r="D2526" s="34">
        <v>224529</v>
      </c>
      <c r="E2526" s="36" t="str">
        <f>IF(Table3[[#This Row],[Type Received]]=2,"CC",(IF(Table3[[#This Row],[Type Received]]=3,"BILL","ACH")))</f>
        <v>CC</v>
      </c>
      <c r="F2526" s="35">
        <v>82.87</v>
      </c>
      <c r="G2526" s="14" t="str">
        <f>VLOOKUP(D2526,Table4[],3,FALSE)</f>
        <v>1</v>
      </c>
      <c r="H2526" s="15"/>
      <c r="I2526" s="15"/>
      <c r="J2526" s="15" t="s">
        <v>106</v>
      </c>
      <c r="K2526" s="15">
        <v>710059370</v>
      </c>
      <c r="L2526" s="15" t="s">
        <v>29</v>
      </c>
      <c r="M2526" s="15"/>
    </row>
    <row r="2527" spans="1:13" x14ac:dyDescent="0.25">
      <c r="A2527" s="23">
        <f t="shared" si="126"/>
        <v>224535</v>
      </c>
      <c r="B2527" s="14" t="str">
        <f t="shared" si="125"/>
        <v>Direct Debit (UMB Bank) - Credits</v>
      </c>
      <c r="C2527" s="37">
        <v>46155</v>
      </c>
      <c r="D2527" s="31">
        <v>224535</v>
      </c>
      <c r="E2527" s="33" t="str">
        <f>IF(Table3[[#This Row],[Type Received]]=2,"CC",(IF(Table3[[#This Row],[Type Received]]=3,"BILL","ACH")))</f>
        <v>ACH</v>
      </c>
      <c r="F2527" s="32">
        <v>57.47</v>
      </c>
      <c r="G2527" s="14" t="str">
        <f>VLOOKUP(D2527,Table4[],3,FALSE)</f>
        <v>2</v>
      </c>
      <c r="H2527" s="15"/>
      <c r="I2527" s="15">
        <v>140154</v>
      </c>
      <c r="J2527" s="15" t="s">
        <v>28</v>
      </c>
      <c r="K2527" s="15">
        <v>674015249</v>
      </c>
      <c r="L2527" s="15" t="s">
        <v>29</v>
      </c>
      <c r="M2527" s="15" t="s">
        <v>29</v>
      </c>
    </row>
    <row r="2528" spans="1:13" x14ac:dyDescent="0.25">
      <c r="A2528" s="23">
        <f t="shared" si="126"/>
        <v>224573</v>
      </c>
      <c r="B2528" s="14" t="str">
        <f t="shared" si="125"/>
        <v>Direct Debit (UMB Bank) - Credits</v>
      </c>
      <c r="C2528" s="38">
        <v>46143</v>
      </c>
      <c r="D2528" s="34">
        <v>224573</v>
      </c>
      <c r="E2528" s="36" t="str">
        <f>IF(Table3[[#This Row],[Type Received]]=2,"CC",(IF(Table3[[#This Row],[Type Received]]=3,"BILL","ACH")))</f>
        <v>ACH</v>
      </c>
      <c r="F2528" s="35">
        <v>19.95</v>
      </c>
      <c r="G2528" s="14" t="str">
        <f>VLOOKUP(D2528,Table4[],3,FALSE)</f>
        <v>2</v>
      </c>
      <c r="H2528" s="15"/>
      <c r="I2528" s="15"/>
      <c r="J2528" s="24" t="s">
        <v>84</v>
      </c>
      <c r="K2528" s="15">
        <v>522356440</v>
      </c>
      <c r="L2528" s="15" t="s">
        <v>29</v>
      </c>
      <c r="M2528" s="15" t="s">
        <v>29</v>
      </c>
    </row>
    <row r="2529" spans="1:13" x14ac:dyDescent="0.25">
      <c r="A2529" s="23">
        <f t="shared" si="126"/>
        <v>224577</v>
      </c>
      <c r="B2529" s="14" t="str">
        <f t="shared" si="125"/>
        <v>Credit Cards (UMB) - Credits</v>
      </c>
      <c r="C2529" s="37">
        <v>46158</v>
      </c>
      <c r="D2529" s="31">
        <v>224577</v>
      </c>
      <c r="E2529" s="33" t="str">
        <f>IF(Table3[[#This Row],[Type Received]]=2,"CC",(IF(Table3[[#This Row],[Type Received]]=3,"BILL","ACH")))</f>
        <v>CC</v>
      </c>
      <c r="F2529" s="32">
        <v>31.83</v>
      </c>
      <c r="G2529" s="14" t="str">
        <f>VLOOKUP(D2529,Table4[],3,FALSE)</f>
        <v>2</v>
      </c>
      <c r="H2529" s="15"/>
      <c r="I2529" s="15"/>
      <c r="J2529" s="15" t="s">
        <v>106</v>
      </c>
      <c r="K2529" s="15">
        <v>710050760</v>
      </c>
      <c r="L2529" s="15" t="s">
        <v>29</v>
      </c>
      <c r="M2529" s="15" t="s">
        <v>29</v>
      </c>
    </row>
    <row r="2530" spans="1:13" x14ac:dyDescent="0.25">
      <c r="A2530" s="23">
        <f t="shared" si="126"/>
        <v>224584</v>
      </c>
      <c r="B2530" s="14" t="str">
        <f t="shared" si="125"/>
        <v>Direct Debit (UMB Bank) - Credits</v>
      </c>
      <c r="C2530" s="38">
        <v>46143</v>
      </c>
      <c r="D2530" s="34">
        <v>224584</v>
      </c>
      <c r="E2530" s="36" t="str">
        <f>IF(Table3[[#This Row],[Type Received]]=2,"CC",(IF(Table3[[#This Row],[Type Received]]=3,"BILL","ACH")))</f>
        <v>ACH</v>
      </c>
      <c r="F2530" s="35">
        <v>46.57</v>
      </c>
      <c r="G2530" s="14" t="str">
        <f>VLOOKUP(D2530,Table4[],3,FALSE)</f>
        <v>2</v>
      </c>
      <c r="H2530" s="15"/>
      <c r="I2530" s="15">
        <v>1846</v>
      </c>
      <c r="J2530" s="24" t="s">
        <v>28</v>
      </c>
      <c r="K2530" s="15">
        <v>522344855</v>
      </c>
      <c r="L2530" s="15" t="s">
        <v>29</v>
      </c>
      <c r="M2530" s="15" t="s">
        <v>29</v>
      </c>
    </row>
    <row r="2531" spans="1:13" x14ac:dyDescent="0.25">
      <c r="A2531" s="23">
        <f t="shared" si="126"/>
        <v>224627</v>
      </c>
      <c r="B2531" s="14" t="str">
        <f t="shared" si="125"/>
        <v>Direct Debit (UMB Bank) - Credits</v>
      </c>
      <c r="C2531" s="37">
        <v>46158</v>
      </c>
      <c r="D2531" s="31">
        <v>224627</v>
      </c>
      <c r="E2531" s="33" t="str">
        <f>IF(Table3[[#This Row],[Type Received]]=2,"CC",(IF(Table3[[#This Row],[Type Received]]=3,"BILL","ACH")))</f>
        <v>ACH</v>
      </c>
      <c r="F2531" s="32">
        <v>25.45</v>
      </c>
      <c r="G2531" s="14" t="str">
        <f>VLOOKUP(D2531,Table4[],3,FALSE)</f>
        <v>2</v>
      </c>
      <c r="H2531" s="15"/>
      <c r="I2531" s="15"/>
      <c r="J2531" s="15" t="s">
        <v>106</v>
      </c>
      <c r="K2531" s="15">
        <v>710055579</v>
      </c>
      <c r="L2531" s="15" t="s">
        <v>29</v>
      </c>
      <c r="M2531" s="15" t="s">
        <v>29</v>
      </c>
    </row>
    <row r="2532" spans="1:13" x14ac:dyDescent="0.25">
      <c r="A2532" s="23">
        <f t="shared" si="126"/>
        <v>224632</v>
      </c>
      <c r="B2532" s="14" t="str">
        <f t="shared" si="125"/>
        <v>Direct Debit (UMB Bank) - Credits</v>
      </c>
      <c r="C2532" s="38">
        <v>46158</v>
      </c>
      <c r="D2532" s="34">
        <v>224632</v>
      </c>
      <c r="E2532" s="36" t="str">
        <f>IF(Table3[[#This Row],[Type Received]]=2,"CC",(IF(Table3[[#This Row],[Type Received]]=3,"BILL","ACH")))</f>
        <v>ACH</v>
      </c>
      <c r="F2532" s="35">
        <v>26.99</v>
      </c>
      <c r="G2532" s="14" t="str">
        <f>VLOOKUP(D2532,Table4[],3,FALSE)</f>
        <v>1</v>
      </c>
      <c r="H2532" s="15"/>
      <c r="I2532" s="15"/>
      <c r="J2532" s="15" t="s">
        <v>106</v>
      </c>
      <c r="K2532" s="15">
        <v>710058436</v>
      </c>
      <c r="L2532" s="15" t="s">
        <v>29</v>
      </c>
      <c r="M2532" s="15" t="s">
        <v>29</v>
      </c>
    </row>
    <row r="2533" spans="1:13" x14ac:dyDescent="0.25">
      <c r="A2533" s="23">
        <f t="shared" si="126"/>
        <v>224684</v>
      </c>
      <c r="B2533" s="14" t="str">
        <f t="shared" si="125"/>
        <v>Direct Debit (UMB Bank) - Credits</v>
      </c>
      <c r="C2533" s="37">
        <v>46143</v>
      </c>
      <c r="D2533" s="31">
        <v>224684</v>
      </c>
      <c r="E2533" s="33" t="str">
        <f>IF(Table3[[#This Row],[Type Received]]=2,"CC",(IF(Table3[[#This Row],[Type Received]]=3,"BILL","ACH")))</f>
        <v>ACH</v>
      </c>
      <c r="F2533" s="32">
        <v>30.18</v>
      </c>
      <c r="G2533" s="14" t="str">
        <f>VLOOKUP(D2533,Table4[],3,FALSE)</f>
        <v>2</v>
      </c>
      <c r="H2533" s="15"/>
      <c r="I2533" s="15"/>
      <c r="J2533" s="15" t="s">
        <v>84</v>
      </c>
      <c r="K2533" s="15">
        <v>522352594</v>
      </c>
      <c r="L2533" s="15" t="s">
        <v>29</v>
      </c>
      <c r="M2533" s="15" t="s">
        <v>29</v>
      </c>
    </row>
    <row r="2534" spans="1:13" x14ac:dyDescent="0.25">
      <c r="A2534" s="23">
        <f t="shared" si="126"/>
        <v>224687</v>
      </c>
      <c r="B2534" s="14" t="str">
        <f t="shared" si="125"/>
        <v>Direct Debit (UMB Bank) - Credits</v>
      </c>
      <c r="C2534" s="38">
        <v>46158</v>
      </c>
      <c r="D2534" s="34">
        <v>224687</v>
      </c>
      <c r="E2534" s="36" t="str">
        <f>IF(Table3[[#This Row],[Type Received]]=2,"CC",(IF(Table3[[#This Row],[Type Received]]=3,"BILL","ACH")))</f>
        <v>ACH</v>
      </c>
      <c r="F2534" s="35">
        <v>47.89</v>
      </c>
      <c r="G2534" s="14" t="str">
        <f>VLOOKUP(D2534,Table4[],3,FALSE)</f>
        <v>2</v>
      </c>
      <c r="H2534" s="15"/>
      <c r="I2534" s="15"/>
      <c r="J2534" s="15" t="s">
        <v>106</v>
      </c>
      <c r="K2534" s="15">
        <v>710055607</v>
      </c>
      <c r="L2534" s="15" t="s">
        <v>29</v>
      </c>
      <c r="M2534" s="15" t="s">
        <v>29</v>
      </c>
    </row>
    <row r="2535" spans="1:13" x14ac:dyDescent="0.25">
      <c r="A2535" s="23">
        <f t="shared" si="126"/>
        <v>224952</v>
      </c>
      <c r="B2535" s="14" t="str">
        <f t="shared" si="125"/>
        <v>Direct Debit (UMB Bank) - Credits</v>
      </c>
      <c r="C2535" s="37">
        <v>46143</v>
      </c>
      <c r="D2535" s="31">
        <v>224952</v>
      </c>
      <c r="E2535" s="33" t="str">
        <f>IF(Table3[[#This Row],[Type Received]]=2,"CC",(IF(Table3[[#This Row],[Type Received]]=3,"BILL","ACH")))</f>
        <v>ACH</v>
      </c>
      <c r="F2535" s="32">
        <v>46.35</v>
      </c>
      <c r="G2535" s="14" t="str">
        <f>VLOOKUP(D2535,Table4[],3,FALSE)</f>
        <v>1</v>
      </c>
      <c r="H2535" s="15"/>
      <c r="I2535" s="15"/>
      <c r="J2535" s="15" t="s">
        <v>84</v>
      </c>
      <c r="K2535" s="15">
        <v>522357435</v>
      </c>
      <c r="L2535" s="15" t="s">
        <v>29</v>
      </c>
      <c r="M2535" s="15" t="s">
        <v>29</v>
      </c>
    </row>
    <row r="2536" spans="1:13" x14ac:dyDescent="0.25">
      <c r="A2536" s="23">
        <f t="shared" si="126"/>
        <v>224964</v>
      </c>
      <c r="B2536" s="14" t="str">
        <f t="shared" si="125"/>
        <v>Direct Debit (UMB Bank) - Credits</v>
      </c>
      <c r="C2536" s="38">
        <v>46143</v>
      </c>
      <c r="D2536" s="34">
        <v>224964</v>
      </c>
      <c r="E2536" s="36" t="str">
        <f>IF(Table3[[#This Row],[Type Received]]=2,"CC",(IF(Table3[[#This Row],[Type Received]]=3,"BILL","ACH")))</f>
        <v>ACH</v>
      </c>
      <c r="F2536" s="35">
        <v>75.27</v>
      </c>
      <c r="G2536" s="14" t="str">
        <f>VLOOKUP(D2536,Table4[],3,FALSE)</f>
        <v>1</v>
      </c>
      <c r="H2536" s="15"/>
      <c r="I2536" s="15"/>
      <c r="J2536" s="15" t="s">
        <v>84</v>
      </c>
      <c r="K2536" s="15">
        <v>522352626</v>
      </c>
      <c r="L2536" s="15" t="s">
        <v>29</v>
      </c>
      <c r="M2536" s="15" t="s">
        <v>29</v>
      </c>
    </row>
    <row r="2537" spans="1:13" x14ac:dyDescent="0.25">
      <c r="A2537" s="23">
        <f t="shared" si="126"/>
        <v>224978</v>
      </c>
      <c r="B2537" s="14" t="str">
        <f t="shared" si="125"/>
        <v>Direct Debit (UMB Bank) - Credits</v>
      </c>
      <c r="C2537" s="37">
        <v>46158</v>
      </c>
      <c r="D2537" s="31">
        <v>224978</v>
      </c>
      <c r="E2537" s="33" t="str">
        <f>IF(Table3[[#This Row],[Type Received]]=2,"CC",(IF(Table3[[#This Row],[Type Received]]=3,"BILL","ACH")))</f>
        <v>ACH</v>
      </c>
      <c r="F2537" s="32">
        <v>21.55</v>
      </c>
      <c r="G2537" s="14" t="str">
        <f>VLOOKUP(D2537,Table4[],3,FALSE)</f>
        <v>1</v>
      </c>
      <c r="H2537" s="15"/>
      <c r="I2537" s="15"/>
      <c r="J2537" s="15" t="s">
        <v>106</v>
      </c>
      <c r="K2537" s="15">
        <v>710073220</v>
      </c>
      <c r="L2537" s="15" t="s">
        <v>29</v>
      </c>
      <c r="M2537" s="15" t="s">
        <v>29</v>
      </c>
    </row>
    <row r="2538" spans="1:13" x14ac:dyDescent="0.25">
      <c r="A2538" s="23">
        <f t="shared" si="126"/>
        <v>224980</v>
      </c>
      <c r="B2538" s="14" t="str">
        <f t="shared" si="125"/>
        <v>Direct Debit (UMB Bank) - Credits</v>
      </c>
      <c r="C2538" s="38">
        <v>46158</v>
      </c>
      <c r="D2538" s="34">
        <v>224980</v>
      </c>
      <c r="E2538" s="36" t="str">
        <f>IF(Table3[[#This Row],[Type Received]]=2,"CC",(IF(Table3[[#This Row],[Type Received]]=3,"BILL","ACH")))</f>
        <v>ACH</v>
      </c>
      <c r="F2538" s="35">
        <v>24.24</v>
      </c>
      <c r="G2538" s="14" t="str">
        <f>VLOOKUP(D2538,Table4[],3,FALSE)</f>
        <v>2</v>
      </c>
      <c r="H2538" s="15"/>
      <c r="I2538" s="15"/>
      <c r="J2538" s="15" t="s">
        <v>106</v>
      </c>
      <c r="K2538" s="15">
        <v>710051773</v>
      </c>
      <c r="L2538" s="15" t="s">
        <v>29</v>
      </c>
      <c r="M2538" s="15" t="s">
        <v>29</v>
      </c>
    </row>
    <row r="2539" spans="1:13" x14ac:dyDescent="0.25">
      <c r="A2539" s="23">
        <f t="shared" si="126"/>
        <v>225053</v>
      </c>
      <c r="B2539" s="14" t="str">
        <f t="shared" si="125"/>
        <v>Direct Debit (UMB Bank) - Credits</v>
      </c>
      <c r="C2539" s="37">
        <v>46143</v>
      </c>
      <c r="D2539" s="31">
        <v>225053</v>
      </c>
      <c r="E2539" s="33" t="str">
        <f>IF(Table3[[#This Row],[Type Received]]=2,"CC",(IF(Table3[[#This Row],[Type Received]]=3,"BILL","ACH")))</f>
        <v>ACH</v>
      </c>
      <c r="F2539" s="32">
        <v>36.119999999999997</v>
      </c>
      <c r="G2539" s="14" t="str">
        <f>VLOOKUP(D2539,Table4[],3,FALSE)</f>
        <v>2</v>
      </c>
      <c r="H2539" s="15"/>
      <c r="I2539" s="15"/>
      <c r="J2539" s="15" t="s">
        <v>84</v>
      </c>
      <c r="K2539" s="15">
        <v>522347895</v>
      </c>
      <c r="L2539" s="15" t="s">
        <v>29</v>
      </c>
      <c r="M2539" s="15" t="s">
        <v>29</v>
      </c>
    </row>
    <row r="2540" spans="1:13" x14ac:dyDescent="0.25">
      <c r="A2540" s="23">
        <f t="shared" si="126"/>
        <v>225104</v>
      </c>
      <c r="B2540" s="14" t="str">
        <f t="shared" si="125"/>
        <v>Billing - Credits (from TPA)</v>
      </c>
      <c r="C2540" s="38">
        <v>46167</v>
      </c>
      <c r="D2540" s="34">
        <v>225104</v>
      </c>
      <c r="E2540" s="36" t="str">
        <f>IF(Table3[[#This Row],[Type Received]]=2,"CC",(IF(Table3[[#This Row],[Type Received]]=3,"BILL","ACH")))</f>
        <v>BILL</v>
      </c>
      <c r="F2540" s="35">
        <v>28.2</v>
      </c>
      <c r="G2540" s="14" t="str">
        <f>VLOOKUP(D2540,Table4[],3,FALSE)</f>
        <v>2</v>
      </c>
      <c r="H2540" s="15"/>
      <c r="I2540" s="15"/>
      <c r="J2540" s="15" t="s">
        <v>85</v>
      </c>
      <c r="K2540" s="15">
        <v>818359037</v>
      </c>
      <c r="L2540" s="15" t="s">
        <v>29</v>
      </c>
      <c r="M2540" s="15"/>
    </row>
    <row r="2541" spans="1:13" x14ac:dyDescent="0.25">
      <c r="A2541" s="23">
        <f t="shared" si="126"/>
        <v>225108</v>
      </c>
      <c r="B2541" s="14" t="str">
        <f t="shared" si="125"/>
        <v>Billing - Credits (from TPA)</v>
      </c>
      <c r="C2541" s="37">
        <v>46170</v>
      </c>
      <c r="D2541" s="31">
        <v>225108</v>
      </c>
      <c r="E2541" s="33" t="str">
        <f>IF(Table3[[#This Row],[Type Received]]=2,"CC",(IF(Table3[[#This Row],[Type Received]]=3,"BILL","ACH")))</f>
        <v>BILL</v>
      </c>
      <c r="F2541" s="32">
        <v>54.83</v>
      </c>
      <c r="G2541" s="14" t="str">
        <f>VLOOKUP(D2541,Table4[],3,FALSE)</f>
        <v>2</v>
      </c>
      <c r="H2541" s="15">
        <v>923650062</v>
      </c>
      <c r="I2541" s="15"/>
      <c r="J2541" s="24"/>
      <c r="K2541" s="15"/>
      <c r="L2541" s="15"/>
      <c r="M2541" s="15" t="s">
        <v>29</v>
      </c>
    </row>
    <row r="2542" spans="1:13" x14ac:dyDescent="0.25">
      <c r="A2542" s="23">
        <f t="shared" si="126"/>
        <v>225108</v>
      </c>
      <c r="B2542" s="14" t="str">
        <f t="shared" si="125"/>
        <v>Direct Debit (UMB Bank) - Credits</v>
      </c>
      <c r="C2542" s="38">
        <v>46146</v>
      </c>
      <c r="D2542" s="34">
        <v>225108</v>
      </c>
      <c r="E2542" s="36" t="str">
        <f>IF(Table3[[#This Row],[Type Received]]=2,"CC",(IF(Table3[[#This Row],[Type Received]]=3,"BILL","ACH")))</f>
        <v>ACH</v>
      </c>
      <c r="F2542" s="35">
        <v>54.83</v>
      </c>
      <c r="G2542" s="14" t="str">
        <f>VLOOKUP(D2542,Table4[],3,FALSE)</f>
        <v>2</v>
      </c>
      <c r="H2542" s="15">
        <v>920712927</v>
      </c>
      <c r="I2542" s="15"/>
      <c r="J2542" s="15"/>
      <c r="K2542" s="15"/>
      <c r="L2542" s="15"/>
      <c r="M2542" s="15" t="s">
        <v>29</v>
      </c>
    </row>
    <row r="2543" spans="1:13" x14ac:dyDescent="0.25">
      <c r="A2543" s="23">
        <f t="shared" si="126"/>
        <v>225137</v>
      </c>
      <c r="B2543" s="14" t="str">
        <f t="shared" si="125"/>
        <v>Direct Debit (UMB Bank) - Credits</v>
      </c>
      <c r="C2543" s="37">
        <v>46158</v>
      </c>
      <c r="D2543" s="31">
        <v>225137</v>
      </c>
      <c r="E2543" s="33" t="str">
        <f>IF(Table3[[#This Row],[Type Received]]=2,"CC",(IF(Table3[[#This Row],[Type Received]]=3,"BILL","ACH")))</f>
        <v>ACH</v>
      </c>
      <c r="F2543" s="32">
        <v>16.3</v>
      </c>
      <c r="G2543" s="14" t="str">
        <f>VLOOKUP(D2543,Table4[],3,FALSE)</f>
        <v>1</v>
      </c>
      <c r="H2543" s="15"/>
      <c r="I2543" s="15"/>
      <c r="J2543" s="24" t="s">
        <v>106</v>
      </c>
      <c r="K2543" s="15">
        <v>710054629</v>
      </c>
      <c r="L2543" s="15" t="s">
        <v>29</v>
      </c>
      <c r="M2543" s="15" t="s">
        <v>29</v>
      </c>
    </row>
    <row r="2544" spans="1:13" x14ac:dyDescent="0.25">
      <c r="A2544" s="23">
        <f t="shared" si="126"/>
        <v>225203</v>
      </c>
      <c r="B2544" s="14" t="str">
        <f t="shared" si="125"/>
        <v>Direct Debit (UMB Bank) - Credits</v>
      </c>
      <c r="C2544" s="38">
        <v>46167</v>
      </c>
      <c r="D2544" s="34">
        <v>225203</v>
      </c>
      <c r="E2544" s="36" t="str">
        <f>IF(Table3[[#This Row],[Type Received]]=2,"CC",(IF(Table3[[#This Row],[Type Received]]=3,"BILL","ACH")))</f>
        <v>ACH</v>
      </c>
      <c r="F2544" s="35">
        <v>15.39</v>
      </c>
      <c r="G2544" s="14" t="str">
        <f>VLOOKUP(D2544,Table4[],3,FALSE)</f>
        <v>1</v>
      </c>
      <c r="H2544" s="15"/>
      <c r="I2544" s="15"/>
      <c r="J2544" s="15" t="s">
        <v>85</v>
      </c>
      <c r="K2544" s="15">
        <v>818381408</v>
      </c>
      <c r="L2544" s="15" t="s">
        <v>29</v>
      </c>
      <c r="M2544" s="15" t="s">
        <v>29</v>
      </c>
    </row>
    <row r="2545" spans="1:13" x14ac:dyDescent="0.25">
      <c r="A2545" s="23">
        <f t="shared" si="126"/>
        <v>225264</v>
      </c>
      <c r="B2545" s="14" t="str">
        <f t="shared" si="125"/>
        <v>Billing - Credits (from TPA)</v>
      </c>
      <c r="C2545" s="37">
        <v>46167</v>
      </c>
      <c r="D2545" s="31">
        <v>225264</v>
      </c>
      <c r="E2545" s="33" t="str">
        <f>IF(Table3[[#This Row],[Type Received]]=2,"CC",(IF(Table3[[#This Row],[Type Received]]=3,"BILL","ACH")))</f>
        <v>BILL</v>
      </c>
      <c r="F2545" s="32">
        <v>22.81</v>
      </c>
      <c r="G2545" s="14" t="str">
        <f>VLOOKUP(D2545,Table4[],3,FALSE)</f>
        <v>2</v>
      </c>
      <c r="H2545" s="15"/>
      <c r="I2545" s="15"/>
      <c r="J2545" s="15" t="s">
        <v>85</v>
      </c>
      <c r="K2545" s="15">
        <v>818377529</v>
      </c>
      <c r="L2545" s="15" t="s">
        <v>29</v>
      </c>
      <c r="M2545" s="15" t="s">
        <v>29</v>
      </c>
    </row>
    <row r="2546" spans="1:13" x14ac:dyDescent="0.25">
      <c r="A2546" s="23">
        <f t="shared" si="126"/>
        <v>225278</v>
      </c>
      <c r="B2546" s="14" t="str">
        <f t="shared" si="125"/>
        <v>Direct Debit (UMB Bank) - Credits</v>
      </c>
      <c r="C2546" s="38">
        <v>46170</v>
      </c>
      <c r="D2546" s="34">
        <v>225278</v>
      </c>
      <c r="E2546" s="36" t="str">
        <f>IF(Table3[[#This Row],[Type Received]]=2,"CC",(IF(Table3[[#This Row],[Type Received]]=3,"BILL","ACH")))</f>
        <v>ACH</v>
      </c>
      <c r="F2546" s="35">
        <v>63.82</v>
      </c>
      <c r="G2546" s="14" t="str">
        <f>VLOOKUP(D2546,Table4[],3,FALSE)</f>
        <v>2</v>
      </c>
      <c r="H2546" s="15">
        <v>371</v>
      </c>
      <c r="I2546" s="15"/>
      <c r="J2546" s="15"/>
      <c r="K2546" s="15"/>
      <c r="L2546" s="15"/>
      <c r="M2546" s="15" t="s">
        <v>29</v>
      </c>
    </row>
    <row r="2547" spans="1:13" x14ac:dyDescent="0.25">
      <c r="A2547" s="23">
        <f t="shared" si="126"/>
        <v>225283</v>
      </c>
      <c r="B2547" s="14" t="str">
        <f t="shared" si="125"/>
        <v>Direct Debit (UMB Bank) - Credits</v>
      </c>
      <c r="C2547" s="37">
        <v>46167</v>
      </c>
      <c r="D2547" s="31">
        <v>225283</v>
      </c>
      <c r="E2547" s="33" t="str">
        <f>IF(Table3[[#This Row],[Type Received]]=2,"CC",(IF(Table3[[#This Row],[Type Received]]=3,"BILL","ACH")))</f>
        <v>ACH</v>
      </c>
      <c r="F2547" s="32">
        <v>42.17</v>
      </c>
      <c r="G2547" s="14" t="str">
        <f>VLOOKUP(D2547,Table4[],3,FALSE)</f>
        <v>1</v>
      </c>
      <c r="H2547" s="15"/>
      <c r="I2547" s="15"/>
      <c r="J2547" s="15" t="s">
        <v>85</v>
      </c>
      <c r="K2547" s="15">
        <v>818364013</v>
      </c>
      <c r="L2547" s="15" t="s">
        <v>29</v>
      </c>
      <c r="M2547" s="15" t="s">
        <v>29</v>
      </c>
    </row>
    <row r="2548" spans="1:13" x14ac:dyDescent="0.25">
      <c r="A2548" s="23">
        <f t="shared" si="126"/>
        <v>225319</v>
      </c>
      <c r="B2548" s="14" t="str">
        <f t="shared" si="125"/>
        <v>Credit Cards (UMB) - Credits</v>
      </c>
      <c r="C2548" s="38">
        <v>46167</v>
      </c>
      <c r="D2548" s="34">
        <v>225319</v>
      </c>
      <c r="E2548" s="36" t="str">
        <f>IF(Table3[[#This Row],[Type Received]]=2,"CC",(IF(Table3[[#This Row],[Type Received]]=3,"BILL","ACH")))</f>
        <v>CC</v>
      </c>
      <c r="F2548" s="35">
        <v>24.79</v>
      </c>
      <c r="G2548" s="14" t="str">
        <f>VLOOKUP(D2548,Table4[],3,FALSE)</f>
        <v>1</v>
      </c>
      <c r="H2548" s="15"/>
      <c r="I2548" s="15"/>
      <c r="J2548" s="15" t="s">
        <v>85</v>
      </c>
      <c r="K2548" s="15">
        <v>818368835</v>
      </c>
      <c r="L2548" s="15" t="s">
        <v>29</v>
      </c>
      <c r="M2548" s="15" t="s">
        <v>29</v>
      </c>
    </row>
    <row r="2549" spans="1:13" x14ac:dyDescent="0.25">
      <c r="A2549" s="23">
        <f t="shared" si="126"/>
        <v>225372</v>
      </c>
      <c r="B2549" s="14" t="str">
        <f t="shared" si="125"/>
        <v>Direct Debit (UMB Bank) - Credits</v>
      </c>
      <c r="C2549" s="37">
        <v>46169</v>
      </c>
      <c r="D2549" s="31">
        <v>225372</v>
      </c>
      <c r="E2549" s="33" t="str">
        <f>IF(Table3[[#This Row],[Type Received]]=2,"CC",(IF(Table3[[#This Row],[Type Received]]=3,"BILL","ACH")))</f>
        <v>ACH</v>
      </c>
      <c r="F2549" s="32">
        <v>18.96</v>
      </c>
      <c r="G2549" s="14" t="str">
        <f>VLOOKUP(D2549,Table4[],3,FALSE)</f>
        <v>2</v>
      </c>
      <c r="H2549" s="15"/>
      <c r="I2549" s="15" t="s">
        <v>253</v>
      </c>
      <c r="J2549" s="15" t="s">
        <v>28</v>
      </c>
      <c r="K2549" s="15">
        <v>840859620</v>
      </c>
      <c r="L2549" s="15" t="s">
        <v>29</v>
      </c>
      <c r="M2549" s="15"/>
    </row>
    <row r="2550" spans="1:13" x14ac:dyDescent="0.25">
      <c r="A2550" s="23">
        <f t="shared" si="126"/>
        <v>225392</v>
      </c>
      <c r="B2550" s="14" t="str">
        <f t="shared" si="125"/>
        <v>Billing - Credits (from TPA)</v>
      </c>
      <c r="C2550" s="38">
        <v>46158</v>
      </c>
      <c r="D2550" s="34">
        <v>225392</v>
      </c>
      <c r="E2550" s="36" t="str">
        <f>IF(Table3[[#This Row],[Type Received]]=2,"CC",(IF(Table3[[#This Row],[Type Received]]=3,"BILL","ACH")))</f>
        <v>BILL</v>
      </c>
      <c r="F2550" s="35">
        <v>43.93</v>
      </c>
      <c r="G2550" s="14" t="str">
        <f>VLOOKUP(D2550,Table4[],3,FALSE)</f>
        <v>2</v>
      </c>
      <c r="H2550" s="15"/>
      <c r="I2550" s="15"/>
      <c r="J2550" s="15" t="s">
        <v>106</v>
      </c>
      <c r="K2550" s="15">
        <v>710059449</v>
      </c>
      <c r="L2550" s="15" t="s">
        <v>29</v>
      </c>
      <c r="M2550" s="15" t="s">
        <v>29</v>
      </c>
    </row>
    <row r="2551" spans="1:13" x14ac:dyDescent="0.25">
      <c r="A2551" s="23">
        <f t="shared" si="126"/>
        <v>225400</v>
      </c>
      <c r="B2551" s="14" t="str">
        <f t="shared" si="125"/>
        <v>Direct Debit (UMB Bank) - Credits</v>
      </c>
      <c r="C2551" s="37">
        <v>46163</v>
      </c>
      <c r="D2551" s="31">
        <v>225400</v>
      </c>
      <c r="E2551" s="33" t="str">
        <f>IF(Table3[[#This Row],[Type Received]]=2,"CC",(IF(Table3[[#This Row],[Type Received]]=3,"BILL","ACH")))</f>
        <v>ACH</v>
      </c>
      <c r="F2551" s="32">
        <v>124</v>
      </c>
      <c r="G2551" s="14" t="str">
        <f>VLOOKUP(D2551,Table4[],3,FALSE)</f>
        <v>2</v>
      </c>
      <c r="H2551" s="15">
        <v>1579</v>
      </c>
      <c r="I2551" s="15"/>
      <c r="J2551" s="15"/>
      <c r="K2551" s="15"/>
      <c r="L2551" s="15"/>
      <c r="M2551" s="15"/>
    </row>
    <row r="2552" spans="1:13" x14ac:dyDescent="0.25">
      <c r="A2552" s="23">
        <f t="shared" si="126"/>
        <v>225560</v>
      </c>
      <c r="B2552" s="14" t="str">
        <f t="shared" si="125"/>
        <v>Direct Debit (UMB Bank) - Credits</v>
      </c>
      <c r="C2552" s="38">
        <v>46143</v>
      </c>
      <c r="D2552" s="34">
        <v>225560</v>
      </c>
      <c r="E2552" s="36" t="str">
        <f>IF(Table3[[#This Row],[Type Received]]=2,"CC",(IF(Table3[[#This Row],[Type Received]]=3,"BILL","ACH")))</f>
        <v>ACH</v>
      </c>
      <c r="F2552" s="35">
        <v>85.95</v>
      </c>
      <c r="G2552" s="14" t="str">
        <f>VLOOKUP(D2552,Table4[],3,FALSE)</f>
        <v>1</v>
      </c>
      <c r="H2552" s="15"/>
      <c r="I2552" s="15"/>
      <c r="J2552" s="24" t="s">
        <v>84</v>
      </c>
      <c r="K2552" s="15">
        <v>522364350</v>
      </c>
      <c r="L2552" s="15" t="s">
        <v>29</v>
      </c>
      <c r="M2552" s="15"/>
    </row>
    <row r="2553" spans="1:13" x14ac:dyDescent="0.25">
      <c r="A2553" s="23">
        <f t="shared" si="126"/>
        <v>225638</v>
      </c>
      <c r="B2553" s="14" t="str">
        <f t="shared" si="125"/>
        <v>Direct Debit (UMB Bank) - Credits</v>
      </c>
      <c r="C2553" s="37">
        <v>46169</v>
      </c>
      <c r="D2553" s="31">
        <v>225638</v>
      </c>
      <c r="E2553" s="33" t="str">
        <f>IF(Table3[[#This Row],[Type Received]]=2,"CC",(IF(Table3[[#This Row],[Type Received]]=3,"BILL","ACH")))</f>
        <v>ACH</v>
      </c>
      <c r="F2553" s="32">
        <v>20.28</v>
      </c>
      <c r="G2553" s="14" t="str">
        <f>VLOOKUP(D2553,Table4[],3,FALSE)</f>
        <v>2</v>
      </c>
      <c r="H2553" s="15"/>
      <c r="I2553" s="15"/>
      <c r="J2553" s="15" t="s">
        <v>117</v>
      </c>
      <c r="K2553" s="15">
        <v>840854777</v>
      </c>
      <c r="L2553" s="15" t="s">
        <v>29</v>
      </c>
      <c r="M2553" s="15" t="s">
        <v>29</v>
      </c>
    </row>
    <row r="2554" spans="1:13" x14ac:dyDescent="0.25">
      <c r="A2554" s="23">
        <f t="shared" si="126"/>
        <v>225642</v>
      </c>
      <c r="B2554" s="14" t="str">
        <f t="shared" si="125"/>
        <v>Direct Debit (UMB Bank) - Credits</v>
      </c>
      <c r="C2554" s="38">
        <v>46143</v>
      </c>
      <c r="D2554" s="34">
        <v>225642</v>
      </c>
      <c r="E2554" s="36" t="str">
        <f>IF(Table3[[#This Row],[Type Received]]=2,"CC",(IF(Table3[[#This Row],[Type Received]]=3,"BILL","ACH")))</f>
        <v>ACH</v>
      </c>
      <c r="F2554" s="35">
        <v>18.850000000000001</v>
      </c>
      <c r="G2554" s="14" t="str">
        <f>VLOOKUP(D2554,Table4[],3,FALSE)</f>
        <v>1</v>
      </c>
      <c r="H2554" s="15"/>
      <c r="I2554" s="15"/>
      <c r="J2554" s="15" t="s">
        <v>84</v>
      </c>
      <c r="K2554" s="15">
        <v>522352671</v>
      </c>
      <c r="L2554" s="15" t="s">
        <v>29</v>
      </c>
      <c r="M2554" s="15" t="s">
        <v>29</v>
      </c>
    </row>
    <row r="2555" spans="1:13" x14ac:dyDescent="0.25">
      <c r="A2555" s="23">
        <f t="shared" si="126"/>
        <v>225648</v>
      </c>
      <c r="B2555" s="14" t="str">
        <f t="shared" si="125"/>
        <v>Credit Cards (UMB) - Credits</v>
      </c>
      <c r="C2555" s="37">
        <v>46158</v>
      </c>
      <c r="D2555" s="31">
        <v>225648</v>
      </c>
      <c r="E2555" s="33" t="str">
        <f>IF(Table3[[#This Row],[Type Received]]=2,"CC",(IF(Table3[[#This Row],[Type Received]]=3,"BILL","ACH")))</f>
        <v>CC</v>
      </c>
      <c r="F2555" s="32">
        <v>56.03</v>
      </c>
      <c r="G2555" s="14" t="str">
        <f>VLOOKUP(D2555,Table4[],3,FALSE)</f>
        <v>1</v>
      </c>
      <c r="H2555" s="15"/>
      <c r="I2555" s="15"/>
      <c r="J2555" s="15" t="s">
        <v>106</v>
      </c>
      <c r="K2555" s="15">
        <v>710072288</v>
      </c>
      <c r="L2555" s="15" t="s">
        <v>29</v>
      </c>
      <c r="M2555" s="15" t="s">
        <v>29</v>
      </c>
    </row>
    <row r="2556" spans="1:13" x14ac:dyDescent="0.25">
      <c r="A2556" s="23">
        <f t="shared" si="126"/>
        <v>225720</v>
      </c>
      <c r="B2556" s="14" t="str">
        <f t="shared" si="125"/>
        <v>Credit Cards (UMB) - Credits</v>
      </c>
      <c r="C2556" s="38">
        <v>46155</v>
      </c>
      <c r="D2556" s="34">
        <v>225720</v>
      </c>
      <c r="E2556" s="36" t="str">
        <f>IF(Table3[[#This Row],[Type Received]]=2,"CC",(IF(Table3[[#This Row],[Type Received]]=3,"BILL","ACH")))</f>
        <v>CC</v>
      </c>
      <c r="F2556" s="35">
        <v>50.53</v>
      </c>
      <c r="G2556" s="14" t="str">
        <f>VLOOKUP(D2556,Table4[],3,FALSE)</f>
        <v>1</v>
      </c>
      <c r="H2556" s="15"/>
      <c r="I2556" s="15" t="s">
        <v>254</v>
      </c>
      <c r="J2556" s="15" t="s">
        <v>28</v>
      </c>
      <c r="K2556" s="15">
        <v>669484892</v>
      </c>
      <c r="L2556" s="15" t="s">
        <v>29</v>
      </c>
      <c r="M2556" s="15" t="s">
        <v>29</v>
      </c>
    </row>
    <row r="2557" spans="1:13" x14ac:dyDescent="0.25">
      <c r="A2557" s="23">
        <f t="shared" si="126"/>
        <v>225733</v>
      </c>
      <c r="B2557" s="14" t="str">
        <f t="shared" si="125"/>
        <v>Billing - Credits (from TPA)</v>
      </c>
      <c r="C2557" s="37">
        <v>46155</v>
      </c>
      <c r="D2557" s="31">
        <v>225733</v>
      </c>
      <c r="E2557" s="33" t="str">
        <f>IF(Table3[[#This Row],[Type Received]]=2,"CC",(IF(Table3[[#This Row],[Type Received]]=3,"BILL","ACH")))</f>
        <v>BILL</v>
      </c>
      <c r="F2557" s="32">
        <v>94.09</v>
      </c>
      <c r="G2557" s="14" t="str">
        <f>VLOOKUP(D2557,Table4[],3,FALSE)</f>
        <v>2</v>
      </c>
      <c r="H2557" s="15"/>
      <c r="I2557" s="15">
        <v>191998</v>
      </c>
      <c r="J2557" s="15" t="s">
        <v>28</v>
      </c>
      <c r="K2557" s="15">
        <v>669506204</v>
      </c>
      <c r="L2557" s="15" t="s">
        <v>29</v>
      </c>
      <c r="M2557" s="15" t="s">
        <v>29</v>
      </c>
    </row>
    <row r="2558" spans="1:13" x14ac:dyDescent="0.25">
      <c r="A2558" s="23"/>
      <c r="B2558" s="14" t="str">
        <f t="shared" si="125"/>
        <v>Billing - Credits (from TPA)</v>
      </c>
      <c r="C2558" s="38">
        <v>46171</v>
      </c>
      <c r="D2558" s="34">
        <v>225734</v>
      </c>
      <c r="E2558" s="36" t="str">
        <f>IF(Table3[[#This Row],[Type Received]]=2,"CC",(IF(Table3[[#This Row],[Type Received]]=3,"BILL","ACH")))</f>
        <v>BILL</v>
      </c>
      <c r="F2558" s="35">
        <v>50.87</v>
      </c>
      <c r="G2558" s="14" t="str">
        <f>VLOOKUP(D2558,Table4[],3,FALSE)</f>
        <v>2</v>
      </c>
      <c r="H2558" s="15">
        <v>1257</v>
      </c>
      <c r="I2558" s="15"/>
      <c r="J2558" s="15"/>
      <c r="K2558" s="15"/>
      <c r="L2558" s="15"/>
      <c r="M2558" s="15"/>
    </row>
    <row r="2559" spans="1:13" x14ac:dyDescent="0.25">
      <c r="A2559" s="23"/>
      <c r="B2559" s="14" t="str">
        <f t="shared" si="125"/>
        <v>Credit Cards (UMB) - Credits</v>
      </c>
      <c r="C2559" s="37">
        <v>46146</v>
      </c>
      <c r="D2559" s="31">
        <v>225734</v>
      </c>
      <c r="E2559" s="33" t="str">
        <f>IF(Table3[[#This Row],[Type Received]]=2,"CC",(IF(Table3[[#This Row],[Type Received]]=3,"BILL","ACH")))</f>
        <v>CC</v>
      </c>
      <c r="F2559" s="32">
        <v>50.87</v>
      </c>
      <c r="G2559" s="14" t="str">
        <f>VLOOKUP(D2559,Table4[],3,FALSE)</f>
        <v>2</v>
      </c>
      <c r="H2559" s="15">
        <v>1248</v>
      </c>
      <c r="I2559" s="15"/>
      <c r="J2559" s="15"/>
      <c r="K2559" s="15"/>
      <c r="L2559" s="15"/>
      <c r="M2559" s="15"/>
    </row>
    <row r="2560" spans="1:13" x14ac:dyDescent="0.25">
      <c r="A2560" s="23"/>
      <c r="B2560" s="14" t="str">
        <f t="shared" si="125"/>
        <v>Direct Debit (UMB Bank) - Credits</v>
      </c>
      <c r="C2560" s="38">
        <v>46155</v>
      </c>
      <c r="D2560" s="34">
        <v>225759</v>
      </c>
      <c r="E2560" s="36" t="str">
        <f>IF(Table3[[#This Row],[Type Received]]=2,"CC",(IF(Table3[[#This Row],[Type Received]]=3,"BILL","ACH")))</f>
        <v>ACH</v>
      </c>
      <c r="F2560" s="35">
        <v>115.54</v>
      </c>
      <c r="G2560" s="14" t="str">
        <f>VLOOKUP(D2560,Table4[],3,FALSE)</f>
        <v>1</v>
      </c>
      <c r="H2560" s="15"/>
      <c r="I2560" s="15">
        <v>625</v>
      </c>
      <c r="J2560" s="15" t="s">
        <v>28</v>
      </c>
      <c r="K2560" s="15">
        <v>669508690</v>
      </c>
      <c r="L2560" s="15" t="s">
        <v>29</v>
      </c>
      <c r="M2560" s="15" t="s">
        <v>29</v>
      </c>
    </row>
    <row r="2561" spans="1:13" x14ac:dyDescent="0.25">
      <c r="A2561" s="23"/>
      <c r="B2561" s="14" t="str">
        <f t="shared" si="125"/>
        <v>Direct Debit (UMB Bank) - Credits</v>
      </c>
      <c r="C2561" s="37">
        <v>46158</v>
      </c>
      <c r="D2561" s="31">
        <v>225878</v>
      </c>
      <c r="E2561" s="33" t="str">
        <f>IF(Table3[[#This Row],[Type Received]]=2,"CC",(IF(Table3[[#This Row],[Type Received]]=3,"BILL","ACH")))</f>
        <v>ACH</v>
      </c>
      <c r="F2561" s="32">
        <v>18.68</v>
      </c>
      <c r="G2561" s="14" t="str">
        <f>VLOOKUP(D2561,Table4[],3,FALSE)</f>
        <v>1</v>
      </c>
      <c r="H2561" s="15"/>
      <c r="I2561" s="15"/>
      <c r="J2561" s="24" t="s">
        <v>106</v>
      </c>
      <c r="K2561" s="15">
        <v>710070318</v>
      </c>
      <c r="L2561" s="15" t="s">
        <v>29</v>
      </c>
      <c r="M2561" s="15" t="s">
        <v>29</v>
      </c>
    </row>
    <row r="2562" spans="1:13" x14ac:dyDescent="0.25">
      <c r="A2562" s="23">
        <f t="shared" ref="A2562:A2593" si="127">D2562</f>
        <v>225881</v>
      </c>
      <c r="B2562" s="14" t="str">
        <f t="shared" ref="B2562:B2625" si="128">IF(AND(E2562="BILL",F2562&lt;0),"Billing &amp; Direct Debit - Refunds",(IF(AND(E2562="BILL",F2562&gt;0),"Billing - Credits (from TPA)",(IF(AND(E2562="CC",F2562&lt;0),"Credit Cards (UMB) - Refunds",(IF(AND(E2562="CC",F2562&gt;0),"Credit Cards (UMB) - Credits",(IF(AND(E2562="ACH",F2562&gt;0),"Direct Debit (UMB Bank) - Credits","Direct Debit (UMB Bank) - Returned Items")))))))))</f>
        <v>Billing - Credits (from TPA)</v>
      </c>
      <c r="C2562" s="38">
        <v>46144</v>
      </c>
      <c r="D2562" s="34">
        <v>225881</v>
      </c>
      <c r="E2562" s="36" t="str">
        <f>IF(Table3[[#This Row],[Type Received]]=2,"CC",(IF(Table3[[#This Row],[Type Received]]=3,"BILL","ACH")))</f>
        <v>BILL</v>
      </c>
      <c r="F2562" s="35">
        <v>127.42</v>
      </c>
      <c r="G2562" s="14" t="str">
        <f>VLOOKUP(D2562,Table4[],3,FALSE)</f>
        <v>2</v>
      </c>
      <c r="H2562" s="15"/>
      <c r="I2562" s="15"/>
      <c r="J2562" s="15" t="s">
        <v>89</v>
      </c>
      <c r="K2562" s="15">
        <v>535388375</v>
      </c>
      <c r="L2562" s="15" t="s">
        <v>29</v>
      </c>
      <c r="M2562" s="15"/>
    </row>
    <row r="2563" spans="1:13" x14ac:dyDescent="0.25">
      <c r="A2563" s="23">
        <f t="shared" si="127"/>
        <v>225952</v>
      </c>
      <c r="B2563" s="14" t="str">
        <f t="shared" si="128"/>
        <v>Direct Debit (UMB Bank) - Credits</v>
      </c>
      <c r="C2563" s="37">
        <v>46169</v>
      </c>
      <c r="D2563" s="31">
        <v>225952</v>
      </c>
      <c r="E2563" s="33" t="str">
        <f>IF(Table3[[#This Row],[Type Received]]=2,"CC",(IF(Table3[[#This Row],[Type Received]]=3,"BILL","ACH")))</f>
        <v>ACH</v>
      </c>
      <c r="F2563" s="32">
        <v>47.65</v>
      </c>
      <c r="G2563" s="14" t="str">
        <f>VLOOKUP(D2563,Table4[],3,FALSE)</f>
        <v>2</v>
      </c>
      <c r="H2563" s="15">
        <v>1057</v>
      </c>
      <c r="I2563" s="15"/>
      <c r="J2563" s="15"/>
      <c r="K2563" s="15"/>
      <c r="L2563" s="15"/>
      <c r="M2563" s="15"/>
    </row>
    <row r="2564" spans="1:13" x14ac:dyDescent="0.25">
      <c r="A2564" s="23">
        <f t="shared" si="127"/>
        <v>225954</v>
      </c>
      <c r="B2564" s="14" t="str">
        <f t="shared" si="128"/>
        <v>Direct Debit (UMB Bank) - Credits</v>
      </c>
      <c r="C2564" s="38">
        <v>46158</v>
      </c>
      <c r="D2564" s="34">
        <v>225954</v>
      </c>
      <c r="E2564" s="36" t="str">
        <f>IF(Table3[[#This Row],[Type Received]]=2,"CC",(IF(Table3[[#This Row],[Type Received]]=3,"BILL","ACH")))</f>
        <v>ACH</v>
      </c>
      <c r="F2564" s="35">
        <v>19.510000000000002</v>
      </c>
      <c r="G2564" s="14" t="str">
        <f>VLOOKUP(D2564,Table4[],3,FALSE)</f>
        <v>1</v>
      </c>
      <c r="H2564" s="15"/>
      <c r="I2564" s="15"/>
      <c r="J2564" s="15" t="s">
        <v>106</v>
      </c>
      <c r="K2564" s="15">
        <v>710076143</v>
      </c>
      <c r="L2564" s="15" t="s">
        <v>29</v>
      </c>
      <c r="M2564" s="15" t="s">
        <v>29</v>
      </c>
    </row>
    <row r="2565" spans="1:13" x14ac:dyDescent="0.25">
      <c r="A2565" s="23">
        <f t="shared" si="127"/>
        <v>225967</v>
      </c>
      <c r="B2565" s="14" t="str">
        <f t="shared" si="128"/>
        <v>Credit Cards (UMB) - Credits</v>
      </c>
      <c r="C2565" s="37">
        <v>46158</v>
      </c>
      <c r="D2565" s="31">
        <v>225967</v>
      </c>
      <c r="E2565" s="33" t="str">
        <f>IF(Table3[[#This Row],[Type Received]]=2,"CC",(IF(Table3[[#This Row],[Type Received]]=3,"BILL","ACH")))</f>
        <v>CC</v>
      </c>
      <c r="F2565" s="32">
        <v>59.11</v>
      </c>
      <c r="G2565" s="14" t="str">
        <f>VLOOKUP(D2565,Table4[],3,FALSE)</f>
        <v>2</v>
      </c>
      <c r="H2565" s="15"/>
      <c r="I2565" s="15"/>
      <c r="J2565" s="24" t="s">
        <v>106</v>
      </c>
      <c r="K2565" s="15">
        <v>710062426</v>
      </c>
      <c r="L2565" s="15" t="s">
        <v>29</v>
      </c>
      <c r="M2565" s="15" t="s">
        <v>29</v>
      </c>
    </row>
    <row r="2566" spans="1:13" x14ac:dyDescent="0.25">
      <c r="A2566" s="23">
        <f t="shared" si="127"/>
        <v>226032</v>
      </c>
      <c r="B2566" s="14" t="str">
        <f t="shared" si="128"/>
        <v>Billing - Credits (from TPA)</v>
      </c>
      <c r="C2566" s="38">
        <v>46155</v>
      </c>
      <c r="D2566" s="34">
        <v>226032</v>
      </c>
      <c r="E2566" s="36" t="str">
        <f>IF(Table3[[#This Row],[Type Received]]=2,"CC",(IF(Table3[[#This Row],[Type Received]]=3,"BILL","ACH")))</f>
        <v>BILL</v>
      </c>
      <c r="F2566" s="35">
        <v>114.11</v>
      </c>
      <c r="G2566" s="14" t="str">
        <f>VLOOKUP(D2566,Table4[],3,FALSE)</f>
        <v>1</v>
      </c>
      <c r="H2566" s="15"/>
      <c r="I2566" s="15">
        <v>104288</v>
      </c>
      <c r="J2566" s="15" t="s">
        <v>28</v>
      </c>
      <c r="K2566" s="15">
        <v>669458383</v>
      </c>
      <c r="L2566" s="15" t="s">
        <v>29</v>
      </c>
      <c r="M2566" s="15" t="s">
        <v>29</v>
      </c>
    </row>
    <row r="2567" spans="1:13" x14ac:dyDescent="0.25">
      <c r="A2567" s="23">
        <f t="shared" si="127"/>
        <v>226040</v>
      </c>
      <c r="B2567" s="14" t="str">
        <f t="shared" si="128"/>
        <v>Direct Debit (UMB Bank) - Credits</v>
      </c>
      <c r="C2567" s="37">
        <v>46147</v>
      </c>
      <c r="D2567" s="31">
        <v>226040</v>
      </c>
      <c r="E2567" s="33" t="str">
        <f>IF(Table3[[#This Row],[Type Received]]=2,"CC",(IF(Table3[[#This Row],[Type Received]]=3,"BILL","ACH")))</f>
        <v>ACH</v>
      </c>
      <c r="F2567" s="32">
        <v>88.82</v>
      </c>
      <c r="G2567" s="14" t="str">
        <f>VLOOKUP(D2567,Table4[],3,FALSE)</f>
        <v>2</v>
      </c>
      <c r="H2567" s="15">
        <v>75327360</v>
      </c>
      <c r="I2567" s="15"/>
      <c r="J2567" s="15"/>
      <c r="K2567" s="15"/>
      <c r="L2567" s="15"/>
      <c r="M2567" s="15" t="s">
        <v>29</v>
      </c>
    </row>
    <row r="2568" spans="1:13" x14ac:dyDescent="0.25">
      <c r="A2568" s="23">
        <f t="shared" si="127"/>
        <v>226133</v>
      </c>
      <c r="B2568" s="14" t="str">
        <f t="shared" si="128"/>
        <v>Direct Debit (UMB Bank) - Credits</v>
      </c>
      <c r="C2568" s="38">
        <v>46143</v>
      </c>
      <c r="D2568" s="34">
        <v>226133</v>
      </c>
      <c r="E2568" s="36" t="str">
        <f>IF(Table3[[#This Row],[Type Received]]=2,"CC",(IF(Table3[[#This Row],[Type Received]]=3,"BILL","ACH")))</f>
        <v>ACH</v>
      </c>
      <c r="F2568" s="35">
        <v>36.229999999999997</v>
      </c>
      <c r="G2568" s="14" t="str">
        <f>VLOOKUP(D2568,Table4[],3,FALSE)</f>
        <v>2</v>
      </c>
      <c r="H2568" s="15"/>
      <c r="I2568" s="15"/>
      <c r="J2568" s="15" t="s">
        <v>84</v>
      </c>
      <c r="K2568" s="15">
        <v>522368218</v>
      </c>
      <c r="L2568" s="15" t="s">
        <v>29</v>
      </c>
      <c r="M2568" s="15" t="s">
        <v>29</v>
      </c>
    </row>
    <row r="2569" spans="1:13" x14ac:dyDescent="0.25">
      <c r="A2569" s="23">
        <f t="shared" si="127"/>
        <v>226142</v>
      </c>
      <c r="B2569" s="14" t="str">
        <f t="shared" si="128"/>
        <v>Billing - Credits (from TPA)</v>
      </c>
      <c r="C2569" s="37">
        <v>46145</v>
      </c>
      <c r="D2569" s="31">
        <v>226142</v>
      </c>
      <c r="E2569" s="33" t="str">
        <f>IF(Table3[[#This Row],[Type Received]]=2,"CC",(IF(Table3[[#This Row],[Type Received]]=3,"BILL","ACH")))</f>
        <v>BILL</v>
      </c>
      <c r="F2569" s="32">
        <v>55.14</v>
      </c>
      <c r="G2569" s="14" t="str">
        <f>VLOOKUP(D2569,Table4[],3,FALSE)</f>
        <v>2</v>
      </c>
      <c r="H2569" s="15"/>
      <c r="I2569" s="15"/>
      <c r="J2569" s="15" t="s">
        <v>113</v>
      </c>
      <c r="K2569" s="15">
        <v>546445278</v>
      </c>
      <c r="L2569" s="15" t="s">
        <v>29</v>
      </c>
      <c r="M2569" s="15"/>
    </row>
    <row r="2570" spans="1:13" x14ac:dyDescent="0.25">
      <c r="A2570" s="23">
        <f t="shared" si="127"/>
        <v>226153</v>
      </c>
      <c r="B2570" s="14" t="str">
        <f t="shared" si="128"/>
        <v>Direct Debit (UMB Bank) - Credits</v>
      </c>
      <c r="C2570" s="38">
        <v>46153</v>
      </c>
      <c r="D2570" s="34">
        <v>226153</v>
      </c>
      <c r="E2570" s="36" t="str">
        <f>IF(Table3[[#This Row],[Type Received]]=2,"CC",(IF(Table3[[#This Row],[Type Received]]=3,"BILL","ACH")))</f>
        <v>ACH</v>
      </c>
      <c r="F2570" s="35">
        <v>49.9</v>
      </c>
      <c r="G2570" s="14" t="str">
        <f>VLOOKUP(D2570,Table4[],3,FALSE)</f>
        <v>1</v>
      </c>
      <c r="H2570" s="15">
        <v>5586</v>
      </c>
      <c r="I2570" s="15"/>
      <c r="J2570" s="15"/>
      <c r="K2570" s="15"/>
      <c r="L2570" s="15"/>
      <c r="M2570" s="15" t="s">
        <v>29</v>
      </c>
    </row>
    <row r="2571" spans="1:13" x14ac:dyDescent="0.25">
      <c r="A2571" s="23">
        <f t="shared" si="127"/>
        <v>226164</v>
      </c>
      <c r="B2571" s="14" t="str">
        <f t="shared" si="128"/>
        <v>Credit Cards (UMB) - Credits</v>
      </c>
      <c r="C2571" s="37">
        <v>46158</v>
      </c>
      <c r="D2571" s="31">
        <v>226164</v>
      </c>
      <c r="E2571" s="33" t="str">
        <f>IF(Table3[[#This Row],[Type Received]]=2,"CC",(IF(Table3[[#This Row],[Type Received]]=3,"BILL","ACH")))</f>
        <v>CC</v>
      </c>
      <c r="F2571" s="32">
        <v>76.27</v>
      </c>
      <c r="G2571" s="14" t="str">
        <f>VLOOKUP(D2571,Table4[],3,FALSE)</f>
        <v>1</v>
      </c>
      <c r="H2571" s="15"/>
      <c r="I2571" s="15"/>
      <c r="J2571" s="15" t="s">
        <v>106</v>
      </c>
      <c r="K2571" s="15">
        <v>710067388</v>
      </c>
      <c r="L2571" s="15" t="s">
        <v>29</v>
      </c>
      <c r="M2571" s="15"/>
    </row>
    <row r="2572" spans="1:13" x14ac:dyDescent="0.25">
      <c r="A2572" s="23">
        <f t="shared" si="127"/>
        <v>226226</v>
      </c>
      <c r="B2572" s="14" t="str">
        <f t="shared" si="128"/>
        <v>Direct Debit (UMB Bank) - Credits</v>
      </c>
      <c r="C2572" s="38">
        <v>46155</v>
      </c>
      <c r="D2572" s="34">
        <v>226226</v>
      </c>
      <c r="E2572" s="36" t="str">
        <f>IF(Table3[[#This Row],[Type Received]]=2,"CC",(IF(Table3[[#This Row],[Type Received]]=3,"BILL","ACH")))</f>
        <v>ACH</v>
      </c>
      <c r="F2572" s="35">
        <v>26.44</v>
      </c>
      <c r="G2572" s="14" t="str">
        <f>VLOOKUP(D2572,Table4[],3,FALSE)</f>
        <v>2</v>
      </c>
      <c r="H2572" s="15"/>
      <c r="I2572" s="15" t="s">
        <v>255</v>
      </c>
      <c r="J2572" s="24" t="s">
        <v>28</v>
      </c>
      <c r="K2572" s="15">
        <v>669502397</v>
      </c>
      <c r="L2572" s="15" t="s">
        <v>29</v>
      </c>
      <c r="M2572" s="15" t="s">
        <v>29</v>
      </c>
    </row>
    <row r="2573" spans="1:13" x14ac:dyDescent="0.25">
      <c r="A2573" s="23">
        <f t="shared" si="127"/>
        <v>226252</v>
      </c>
      <c r="B2573" s="14" t="str">
        <f t="shared" si="128"/>
        <v>Direct Debit (UMB Bank) - Credits</v>
      </c>
      <c r="C2573" s="37">
        <v>46145</v>
      </c>
      <c r="D2573" s="31">
        <v>226252</v>
      </c>
      <c r="E2573" s="33" t="str">
        <f>IF(Table3[[#This Row],[Type Received]]=2,"CC",(IF(Table3[[#This Row],[Type Received]]=3,"BILL","ACH")))</f>
        <v>ACH</v>
      </c>
      <c r="F2573" s="32">
        <v>34.58</v>
      </c>
      <c r="G2573" s="14" t="str">
        <f>VLOOKUP(D2573,Table4[],3,FALSE)</f>
        <v>2</v>
      </c>
      <c r="H2573" s="15"/>
      <c r="I2573" s="15"/>
      <c r="J2573" s="15" t="s">
        <v>113</v>
      </c>
      <c r="K2573" s="15">
        <v>546445283</v>
      </c>
      <c r="L2573" s="15" t="s">
        <v>29</v>
      </c>
      <c r="M2573" s="15" t="s">
        <v>29</v>
      </c>
    </row>
    <row r="2574" spans="1:13" x14ac:dyDescent="0.25">
      <c r="A2574" s="23">
        <f t="shared" si="127"/>
        <v>226257</v>
      </c>
      <c r="B2574" s="14" t="str">
        <f t="shared" si="128"/>
        <v>Direct Debit (UMB Bank) - Credits</v>
      </c>
      <c r="C2574" s="38">
        <v>46169</v>
      </c>
      <c r="D2574" s="34">
        <v>226257</v>
      </c>
      <c r="E2574" s="36" t="str">
        <f>IF(Table3[[#This Row],[Type Received]]=2,"CC",(IF(Table3[[#This Row],[Type Received]]=3,"BILL","ACH")))</f>
        <v>ACH</v>
      </c>
      <c r="F2574" s="35">
        <v>31.17</v>
      </c>
      <c r="G2574" s="14" t="str">
        <f>VLOOKUP(D2574,Table4[],3,FALSE)</f>
        <v>1</v>
      </c>
      <c r="H2574" s="15"/>
      <c r="I2574" s="15"/>
      <c r="J2574" s="15" t="s">
        <v>117</v>
      </c>
      <c r="K2574" s="15">
        <v>840846089</v>
      </c>
      <c r="L2574" s="15" t="s">
        <v>29</v>
      </c>
      <c r="M2574" s="15" t="s">
        <v>29</v>
      </c>
    </row>
    <row r="2575" spans="1:13" x14ac:dyDescent="0.25">
      <c r="A2575" s="23">
        <f t="shared" si="127"/>
        <v>226259</v>
      </c>
      <c r="B2575" s="14" t="str">
        <f t="shared" si="128"/>
        <v>Direct Debit (UMB Bank) - Credits</v>
      </c>
      <c r="C2575" s="37">
        <v>46169</v>
      </c>
      <c r="D2575" s="31">
        <v>226259</v>
      </c>
      <c r="E2575" s="33" t="str">
        <f>IF(Table3[[#This Row],[Type Received]]=2,"CC",(IF(Table3[[#This Row],[Type Received]]=3,"BILL","ACH")))</f>
        <v>ACH</v>
      </c>
      <c r="F2575" s="32">
        <v>62.08</v>
      </c>
      <c r="G2575" s="14" t="str">
        <f>VLOOKUP(D2575,Table4[],3,FALSE)</f>
        <v>2</v>
      </c>
      <c r="H2575" s="15"/>
      <c r="I2575" s="15"/>
      <c r="J2575" s="15" t="s">
        <v>117</v>
      </c>
      <c r="K2575" s="15">
        <v>840853798</v>
      </c>
      <c r="L2575" s="15" t="s">
        <v>29</v>
      </c>
      <c r="M2575" s="15" t="s">
        <v>29</v>
      </c>
    </row>
    <row r="2576" spans="1:13" x14ac:dyDescent="0.25">
      <c r="A2576" s="23">
        <f t="shared" si="127"/>
        <v>226276</v>
      </c>
      <c r="B2576" s="14" t="str">
        <f t="shared" si="128"/>
        <v>Credit Cards (UMB) - Credits</v>
      </c>
      <c r="C2576" s="38">
        <v>46143</v>
      </c>
      <c r="D2576" s="34">
        <v>226276</v>
      </c>
      <c r="E2576" s="36" t="str">
        <f>IF(Table3[[#This Row],[Type Received]]=2,"CC",(IF(Table3[[#This Row],[Type Received]]=3,"BILL","ACH")))</f>
        <v>CC</v>
      </c>
      <c r="F2576" s="35">
        <v>70.55</v>
      </c>
      <c r="G2576" s="14" t="str">
        <f>VLOOKUP(D2576,Table4[],3,FALSE)</f>
        <v>1</v>
      </c>
      <c r="H2576" s="15"/>
      <c r="I2576" s="15"/>
      <c r="J2576" s="15" t="s">
        <v>84</v>
      </c>
      <c r="K2576" s="15">
        <v>522342071</v>
      </c>
      <c r="L2576" s="15" t="s">
        <v>29</v>
      </c>
      <c r="M2576" s="15" t="s">
        <v>29</v>
      </c>
    </row>
    <row r="2577" spans="1:13" x14ac:dyDescent="0.25">
      <c r="A2577" s="23">
        <f t="shared" si="127"/>
        <v>226284</v>
      </c>
      <c r="B2577" s="14" t="str">
        <f t="shared" si="128"/>
        <v>Direct Debit (UMB Bank) - Credits</v>
      </c>
      <c r="C2577" s="37">
        <v>46155</v>
      </c>
      <c r="D2577" s="31">
        <v>226284</v>
      </c>
      <c r="E2577" s="33" t="str">
        <f>IF(Table3[[#This Row],[Type Received]]=2,"CC",(IF(Table3[[#This Row],[Type Received]]=3,"BILL","ACH")))</f>
        <v>ACH</v>
      </c>
      <c r="F2577" s="32">
        <v>63.95</v>
      </c>
      <c r="G2577" s="14" t="str">
        <f>VLOOKUP(D2577,Table4[],3,FALSE)</f>
        <v>2</v>
      </c>
      <c r="H2577" s="15"/>
      <c r="I2577" s="15">
        <v>347013</v>
      </c>
      <c r="J2577" s="15" t="s">
        <v>28</v>
      </c>
      <c r="K2577" s="15">
        <v>669498530</v>
      </c>
      <c r="L2577" s="15" t="s">
        <v>29</v>
      </c>
      <c r="M2577" s="15" t="s">
        <v>29</v>
      </c>
    </row>
    <row r="2578" spans="1:13" x14ac:dyDescent="0.25">
      <c r="A2578" s="23">
        <f t="shared" si="127"/>
        <v>226379</v>
      </c>
      <c r="B2578" s="14" t="str">
        <f t="shared" si="128"/>
        <v>Credit Cards (UMB) - Credits</v>
      </c>
      <c r="C2578" s="38">
        <v>46157</v>
      </c>
      <c r="D2578" s="34">
        <v>226379</v>
      </c>
      <c r="E2578" s="36" t="str">
        <f>IF(Table3[[#This Row],[Type Received]]=2,"CC",(IF(Table3[[#This Row],[Type Received]]=3,"BILL","ACH")))</f>
        <v>CC</v>
      </c>
      <c r="F2578" s="35">
        <v>27.32</v>
      </c>
      <c r="G2578" s="14" t="str">
        <f>VLOOKUP(D2578,Table4[],3,FALSE)</f>
        <v>2</v>
      </c>
      <c r="H2578" s="15"/>
      <c r="I2578" s="15"/>
      <c r="J2578" s="15" t="s">
        <v>87</v>
      </c>
      <c r="K2578" s="15">
        <v>696764719</v>
      </c>
      <c r="L2578" s="15" t="s">
        <v>29</v>
      </c>
      <c r="M2578" s="15" t="s">
        <v>29</v>
      </c>
    </row>
    <row r="2579" spans="1:13" x14ac:dyDescent="0.25">
      <c r="A2579" s="23">
        <f t="shared" si="127"/>
        <v>226419</v>
      </c>
      <c r="B2579" s="14" t="str">
        <f t="shared" si="128"/>
        <v>Direct Debit (UMB Bank) - Credits</v>
      </c>
      <c r="C2579" s="37">
        <v>46158</v>
      </c>
      <c r="D2579" s="31">
        <v>226419</v>
      </c>
      <c r="E2579" s="33" t="str">
        <f>IF(Table3[[#This Row],[Type Received]]=2,"CC",(IF(Table3[[#This Row],[Type Received]]=3,"BILL","ACH")))</f>
        <v>ACH</v>
      </c>
      <c r="F2579" s="32">
        <v>22.59</v>
      </c>
      <c r="G2579" s="14" t="str">
        <f>VLOOKUP(D2579,Table4[],3,FALSE)</f>
        <v>1</v>
      </c>
      <c r="H2579" s="15"/>
      <c r="I2579" s="15">
        <v>684393</v>
      </c>
      <c r="J2579" s="15" t="s">
        <v>28</v>
      </c>
      <c r="K2579" s="15">
        <v>710033638</v>
      </c>
      <c r="L2579" s="15" t="s">
        <v>29</v>
      </c>
      <c r="M2579" s="15" t="s">
        <v>29</v>
      </c>
    </row>
    <row r="2580" spans="1:13" x14ac:dyDescent="0.25">
      <c r="A2580" s="23">
        <f t="shared" si="127"/>
        <v>226422</v>
      </c>
      <c r="B2580" s="14" t="str">
        <f t="shared" si="128"/>
        <v>Billing - Credits (from TPA)</v>
      </c>
      <c r="C2580" s="38">
        <v>46157</v>
      </c>
      <c r="D2580" s="34">
        <v>226422</v>
      </c>
      <c r="E2580" s="36" t="str">
        <f>IF(Table3[[#This Row],[Type Received]]=2,"CC",(IF(Table3[[#This Row],[Type Received]]=3,"BILL","ACH")))</f>
        <v>BILL</v>
      </c>
      <c r="F2580" s="35">
        <v>21.71</v>
      </c>
      <c r="G2580" s="14" t="str">
        <f>VLOOKUP(D2580,Table4[],3,FALSE)</f>
        <v>2</v>
      </c>
      <c r="H2580" s="15"/>
      <c r="I2580" s="15"/>
      <c r="J2580" s="15" t="s">
        <v>87</v>
      </c>
      <c r="K2580" s="15">
        <v>696757001</v>
      </c>
      <c r="L2580" s="15" t="s">
        <v>29</v>
      </c>
      <c r="M2580" s="15" t="s">
        <v>29</v>
      </c>
    </row>
    <row r="2581" spans="1:13" x14ac:dyDescent="0.25">
      <c r="A2581" s="23">
        <f t="shared" si="127"/>
        <v>226429</v>
      </c>
      <c r="B2581" s="14" t="str">
        <f t="shared" si="128"/>
        <v>Billing - Credits (from TPA)</v>
      </c>
      <c r="C2581" s="37">
        <v>46171</v>
      </c>
      <c r="D2581" s="31">
        <v>226429</v>
      </c>
      <c r="E2581" s="33" t="str">
        <f>IF(Table3[[#This Row],[Type Received]]=2,"CC",(IF(Table3[[#This Row],[Type Received]]=3,"BILL","ACH")))</f>
        <v>BILL</v>
      </c>
      <c r="F2581" s="32">
        <v>49.11</v>
      </c>
      <c r="G2581" s="14" t="str">
        <f>VLOOKUP(D2581,Table4[],3,FALSE)</f>
        <v>1</v>
      </c>
      <c r="H2581" s="15">
        <v>158046798</v>
      </c>
      <c r="I2581" s="15"/>
      <c r="J2581" s="15"/>
      <c r="K2581" s="15"/>
      <c r="L2581" s="15"/>
      <c r="M2581" s="15" t="s">
        <v>29</v>
      </c>
    </row>
    <row r="2582" spans="1:13" x14ac:dyDescent="0.25">
      <c r="A2582" s="23">
        <f t="shared" si="127"/>
        <v>226429</v>
      </c>
      <c r="B2582" s="14" t="str">
        <f t="shared" si="128"/>
        <v>Direct Debit (UMB Bank) - Credits</v>
      </c>
      <c r="C2582" s="38">
        <v>46146</v>
      </c>
      <c r="D2582" s="34">
        <v>226429</v>
      </c>
      <c r="E2582" s="36" t="str">
        <f>IF(Table3[[#This Row],[Type Received]]=2,"CC",(IF(Table3[[#This Row],[Type Received]]=3,"BILL","ACH")))</f>
        <v>ACH</v>
      </c>
      <c r="F2582" s="35">
        <v>49.11</v>
      </c>
      <c r="G2582" s="14" t="str">
        <f>VLOOKUP(D2582,Table4[],3,FALSE)</f>
        <v>1</v>
      </c>
      <c r="H2582" s="15">
        <v>157775304</v>
      </c>
      <c r="I2582" s="15"/>
      <c r="J2582" s="15"/>
      <c r="K2582" s="15"/>
      <c r="L2582" s="15"/>
      <c r="M2582" s="15" t="s">
        <v>29</v>
      </c>
    </row>
    <row r="2583" spans="1:13" x14ac:dyDescent="0.25">
      <c r="A2583" s="23">
        <f t="shared" si="127"/>
        <v>226477</v>
      </c>
      <c r="B2583" s="14" t="str">
        <f t="shared" si="128"/>
        <v>Credit Cards (UMB) - Credits</v>
      </c>
      <c r="C2583" s="37">
        <v>46143</v>
      </c>
      <c r="D2583" s="31">
        <v>226477</v>
      </c>
      <c r="E2583" s="33" t="str">
        <f>IF(Table3[[#This Row],[Type Received]]=2,"CC",(IF(Table3[[#This Row],[Type Received]]=3,"BILL","ACH")))</f>
        <v>CC</v>
      </c>
      <c r="F2583" s="32">
        <v>50.53</v>
      </c>
      <c r="G2583" s="14" t="str">
        <f>VLOOKUP(D2583,Table4[],3,FALSE)</f>
        <v>2</v>
      </c>
      <c r="H2583" s="15"/>
      <c r="I2583" s="15"/>
      <c r="J2583" s="24" t="s">
        <v>84</v>
      </c>
      <c r="K2583" s="15">
        <v>522352757</v>
      </c>
      <c r="L2583" s="15" t="s">
        <v>29</v>
      </c>
      <c r="M2583" s="15"/>
    </row>
    <row r="2584" spans="1:13" x14ac:dyDescent="0.25">
      <c r="A2584" s="23">
        <f t="shared" si="127"/>
        <v>226512</v>
      </c>
      <c r="B2584" s="14" t="str">
        <f t="shared" si="128"/>
        <v>Billing - Credits (from TPA)</v>
      </c>
      <c r="C2584" s="38">
        <v>46169</v>
      </c>
      <c r="D2584" s="34">
        <v>226512</v>
      </c>
      <c r="E2584" s="36" t="str">
        <f>IF(Table3[[#This Row],[Type Received]]=2,"CC",(IF(Table3[[#This Row],[Type Received]]=3,"BILL","ACH")))</f>
        <v>BILL</v>
      </c>
      <c r="F2584" s="35">
        <v>56.81</v>
      </c>
      <c r="G2584" s="14" t="str">
        <f>VLOOKUP(D2584,Table4[],3,FALSE)</f>
        <v>2</v>
      </c>
      <c r="H2584" s="15"/>
      <c r="I2584" s="15">
        <v>73918</v>
      </c>
      <c r="J2584" s="15">
        <v>749271671</v>
      </c>
      <c r="K2584" s="15">
        <v>355974315</v>
      </c>
      <c r="L2584" s="15"/>
      <c r="M2584" s="15" t="s">
        <v>29</v>
      </c>
    </row>
    <row r="2585" spans="1:13" x14ac:dyDescent="0.25">
      <c r="A2585" s="23">
        <f t="shared" si="127"/>
        <v>226514</v>
      </c>
      <c r="B2585" s="14" t="str">
        <f t="shared" si="128"/>
        <v>Direct Debit (UMB Bank) - Credits</v>
      </c>
      <c r="C2585" s="37">
        <v>46160</v>
      </c>
      <c r="D2585" s="31">
        <v>226514</v>
      </c>
      <c r="E2585" s="33" t="str">
        <f>IF(Table3[[#This Row],[Type Received]]=2,"CC",(IF(Table3[[#This Row],[Type Received]]=3,"BILL","ACH")))</f>
        <v>ACH</v>
      </c>
      <c r="F2585" s="32">
        <v>81.89</v>
      </c>
      <c r="G2585" s="14" t="str">
        <f>VLOOKUP(D2585,Table4[],3,FALSE)</f>
        <v>2</v>
      </c>
      <c r="H2585" s="15">
        <v>1491</v>
      </c>
      <c r="I2585" s="15"/>
      <c r="J2585" s="15"/>
      <c r="K2585" s="15"/>
      <c r="L2585" s="15"/>
      <c r="M2585" s="15" t="s">
        <v>29</v>
      </c>
    </row>
    <row r="2586" spans="1:13" x14ac:dyDescent="0.25">
      <c r="A2586" s="23">
        <f t="shared" si="127"/>
        <v>226538</v>
      </c>
      <c r="B2586" s="14" t="str">
        <f t="shared" si="128"/>
        <v>Billing - Credits (from TPA)</v>
      </c>
      <c r="C2586" s="38">
        <v>46157</v>
      </c>
      <c r="D2586" s="34">
        <v>226538</v>
      </c>
      <c r="E2586" s="36" t="str">
        <f>IF(Table3[[#This Row],[Type Received]]=2,"CC",(IF(Table3[[#This Row],[Type Received]]=3,"BILL","ACH")))</f>
        <v>BILL</v>
      </c>
      <c r="F2586" s="35">
        <v>39.75</v>
      </c>
      <c r="G2586" s="14" t="str">
        <f>VLOOKUP(D2586,Table4[],3,FALSE)</f>
        <v>2</v>
      </c>
      <c r="H2586" s="15"/>
      <c r="I2586" s="15"/>
      <c r="J2586" s="15" t="s">
        <v>87</v>
      </c>
      <c r="K2586" s="15">
        <v>696772503</v>
      </c>
      <c r="L2586" s="15" t="s">
        <v>29</v>
      </c>
      <c r="M2586" s="15" t="s">
        <v>29</v>
      </c>
    </row>
    <row r="2587" spans="1:13" x14ac:dyDescent="0.25">
      <c r="A2587" s="23">
        <f t="shared" si="127"/>
        <v>226555</v>
      </c>
      <c r="B2587" s="14" t="str">
        <f t="shared" si="128"/>
        <v>Direct Debit (UMB Bank) - Credits</v>
      </c>
      <c r="C2587" s="37">
        <v>46143</v>
      </c>
      <c r="D2587" s="31">
        <v>226555</v>
      </c>
      <c r="E2587" s="33" t="str">
        <f>IF(Table3[[#This Row],[Type Received]]=2,"CC",(IF(Table3[[#This Row],[Type Received]]=3,"BILL","ACH")))</f>
        <v>ACH</v>
      </c>
      <c r="F2587" s="32">
        <v>33.82</v>
      </c>
      <c r="G2587" s="14" t="str">
        <f>VLOOKUP(D2587,Table4[],3,FALSE)</f>
        <v>2</v>
      </c>
      <c r="H2587" s="15">
        <v>1813</v>
      </c>
      <c r="I2587" s="15"/>
      <c r="J2587" s="15"/>
      <c r="K2587" s="15"/>
      <c r="L2587" s="15"/>
      <c r="M2587" s="15"/>
    </row>
    <row r="2588" spans="1:13" x14ac:dyDescent="0.25">
      <c r="A2588" s="23">
        <f t="shared" si="127"/>
        <v>226557</v>
      </c>
      <c r="B2588" s="14" t="str">
        <f t="shared" si="128"/>
        <v>Credit Cards (UMB) - Credits</v>
      </c>
      <c r="C2588" s="38">
        <v>46143</v>
      </c>
      <c r="D2588" s="34">
        <v>226557</v>
      </c>
      <c r="E2588" s="36" t="str">
        <f>IF(Table3[[#This Row],[Type Received]]=2,"CC",(IF(Table3[[#This Row],[Type Received]]=3,"BILL","ACH")))</f>
        <v>CC</v>
      </c>
      <c r="F2588" s="35">
        <v>18.850000000000001</v>
      </c>
      <c r="G2588" s="14" t="str">
        <f>VLOOKUP(D2588,Table4[],3,FALSE)</f>
        <v>1</v>
      </c>
      <c r="H2588" s="15"/>
      <c r="I2588" s="15"/>
      <c r="J2588" s="15" t="s">
        <v>84</v>
      </c>
      <c r="K2588" s="15">
        <v>522361475</v>
      </c>
      <c r="L2588" s="15" t="s">
        <v>29</v>
      </c>
      <c r="M2588" s="15" t="s">
        <v>29</v>
      </c>
    </row>
    <row r="2589" spans="1:13" x14ac:dyDescent="0.25">
      <c r="A2589" s="23">
        <f t="shared" si="127"/>
        <v>226560</v>
      </c>
      <c r="B2589" s="14" t="str">
        <f t="shared" si="128"/>
        <v>Direct Debit (UMB Bank) - Credits</v>
      </c>
      <c r="C2589" s="37">
        <v>46154</v>
      </c>
      <c r="D2589" s="31">
        <v>226560</v>
      </c>
      <c r="E2589" s="33" t="str">
        <f>IF(Table3[[#This Row],[Type Received]]=2,"CC",(IF(Table3[[#This Row],[Type Received]]=3,"BILL","ACH")))</f>
        <v>ACH</v>
      </c>
      <c r="F2589" s="32">
        <v>75.62</v>
      </c>
      <c r="G2589" s="14" t="str">
        <f>VLOOKUP(D2589,Table4[],3,FALSE)</f>
        <v>2</v>
      </c>
      <c r="H2589" s="15"/>
      <c r="I2589" s="15" t="s">
        <v>256</v>
      </c>
      <c r="J2589" s="24">
        <v>744853534</v>
      </c>
      <c r="K2589" s="15">
        <v>354345584</v>
      </c>
      <c r="L2589" s="15"/>
      <c r="M2589" s="15" t="s">
        <v>29</v>
      </c>
    </row>
    <row r="2590" spans="1:13" x14ac:dyDescent="0.25">
      <c r="A2590" s="23">
        <f t="shared" si="127"/>
        <v>226569</v>
      </c>
      <c r="B2590" s="14" t="str">
        <f t="shared" si="128"/>
        <v>Billing - Credits (from TPA)</v>
      </c>
      <c r="C2590" s="38">
        <v>46171</v>
      </c>
      <c r="D2590" s="34">
        <v>226569</v>
      </c>
      <c r="E2590" s="36" t="str">
        <f>IF(Table3[[#This Row],[Type Received]]=2,"CC",(IF(Table3[[#This Row],[Type Received]]=3,"BILL","ACH")))</f>
        <v>BILL</v>
      </c>
      <c r="F2590" s="35">
        <v>45.15</v>
      </c>
      <c r="G2590" s="14" t="str">
        <f>VLOOKUP(D2590,Table4[],3,FALSE)</f>
        <v>2</v>
      </c>
      <c r="H2590" s="15"/>
      <c r="I2590" s="15"/>
      <c r="J2590" s="15" t="s">
        <v>226</v>
      </c>
      <c r="K2590" s="15">
        <v>869625852</v>
      </c>
      <c r="L2590" s="15" t="s">
        <v>29</v>
      </c>
      <c r="M2590" s="15"/>
    </row>
    <row r="2591" spans="1:13" x14ac:dyDescent="0.25">
      <c r="A2591" s="23">
        <f t="shared" si="127"/>
        <v>226655</v>
      </c>
      <c r="B2591" s="14" t="str">
        <f t="shared" si="128"/>
        <v>Billing - Credits (from TPA)</v>
      </c>
      <c r="C2591" s="37">
        <v>46143</v>
      </c>
      <c r="D2591" s="31">
        <v>226655</v>
      </c>
      <c r="E2591" s="33" t="str">
        <f>IF(Table3[[#This Row],[Type Received]]=2,"CC",(IF(Table3[[#This Row],[Type Received]]=3,"BILL","ACH")))</f>
        <v>BILL</v>
      </c>
      <c r="F2591" s="32">
        <v>66.709999999999994</v>
      </c>
      <c r="G2591" s="14" t="str">
        <f>VLOOKUP(D2591,Table4[],3,FALSE)</f>
        <v>2</v>
      </c>
      <c r="H2591" s="15">
        <v>5609</v>
      </c>
      <c r="I2591" s="15"/>
      <c r="J2591" s="15"/>
      <c r="K2591" s="15"/>
      <c r="L2591" s="15"/>
      <c r="M2591" s="15" t="s">
        <v>29</v>
      </c>
    </row>
    <row r="2592" spans="1:13" x14ac:dyDescent="0.25">
      <c r="A2592" s="23">
        <f t="shared" si="127"/>
        <v>226678</v>
      </c>
      <c r="B2592" s="14" t="str">
        <f t="shared" si="128"/>
        <v>Credit Cards (UMB) - Credits</v>
      </c>
      <c r="C2592" s="38">
        <v>46146</v>
      </c>
      <c r="D2592" s="34">
        <v>226678</v>
      </c>
      <c r="E2592" s="36" t="str">
        <f>IF(Table3[[#This Row],[Type Received]]=2,"CC",(IF(Table3[[#This Row],[Type Received]]=3,"BILL","ACH")))</f>
        <v>CC</v>
      </c>
      <c r="F2592" s="35">
        <v>58.87</v>
      </c>
      <c r="G2592" s="14" t="str">
        <f>VLOOKUP(D2592,Table4[],3,FALSE)</f>
        <v>1</v>
      </c>
      <c r="H2592" s="15">
        <v>22119724175</v>
      </c>
      <c r="I2592" s="15"/>
      <c r="J2592" s="15"/>
      <c r="K2592" s="15"/>
      <c r="L2592" s="15"/>
      <c r="M2592" s="15"/>
    </row>
    <row r="2593" spans="1:13" x14ac:dyDescent="0.25">
      <c r="A2593" s="23">
        <f t="shared" si="127"/>
        <v>226707</v>
      </c>
      <c r="B2593" s="14" t="str">
        <f t="shared" si="128"/>
        <v>Direct Debit (UMB Bank) - Credits</v>
      </c>
      <c r="C2593" s="37">
        <v>46162</v>
      </c>
      <c r="D2593" s="31">
        <v>226707</v>
      </c>
      <c r="E2593" s="33" t="str">
        <f>IF(Table3[[#This Row],[Type Received]]=2,"CC",(IF(Table3[[#This Row],[Type Received]]=3,"BILL","ACH")))</f>
        <v>ACH</v>
      </c>
      <c r="F2593" s="32">
        <v>72.31</v>
      </c>
      <c r="G2593" s="14" t="str">
        <f>VLOOKUP(D2593,Table4[],3,FALSE)</f>
        <v>2</v>
      </c>
      <c r="H2593" s="15"/>
      <c r="I2593" s="15">
        <v>229864</v>
      </c>
      <c r="J2593" s="15" t="s">
        <v>28</v>
      </c>
      <c r="K2593" s="15">
        <v>757828608</v>
      </c>
      <c r="L2593" s="15" t="s">
        <v>29</v>
      </c>
      <c r="M2593" s="15"/>
    </row>
    <row r="2594" spans="1:13" x14ac:dyDescent="0.25">
      <c r="A2594" s="23">
        <f t="shared" ref="A2594:A2625" si="129">D2594</f>
        <v>226780</v>
      </c>
      <c r="B2594" s="14" t="str">
        <f t="shared" si="128"/>
        <v>Direct Debit (UMB Bank) - Credits</v>
      </c>
      <c r="C2594" s="38">
        <v>46157</v>
      </c>
      <c r="D2594" s="34">
        <v>226780</v>
      </c>
      <c r="E2594" s="36" t="str">
        <f>IF(Table3[[#This Row],[Type Received]]=2,"CC",(IF(Table3[[#This Row],[Type Received]]=3,"BILL","ACH")))</f>
        <v>ACH</v>
      </c>
      <c r="F2594" s="35">
        <v>29.52</v>
      </c>
      <c r="G2594" s="14" t="str">
        <f>VLOOKUP(D2594,Table4[],3,FALSE)</f>
        <v>2</v>
      </c>
      <c r="H2594" s="15"/>
      <c r="I2594" s="15"/>
      <c r="J2594" s="24" t="s">
        <v>87</v>
      </c>
      <c r="K2594" s="15">
        <v>696775394</v>
      </c>
      <c r="L2594" s="15" t="s">
        <v>29</v>
      </c>
      <c r="M2594" s="15" t="s">
        <v>29</v>
      </c>
    </row>
    <row r="2595" spans="1:13" x14ac:dyDescent="0.25">
      <c r="A2595" s="23">
        <f t="shared" si="129"/>
        <v>226789</v>
      </c>
      <c r="B2595" s="14" t="str">
        <f t="shared" si="128"/>
        <v>Direct Debit (UMB Bank) - Credits</v>
      </c>
      <c r="C2595" s="37">
        <v>46169</v>
      </c>
      <c r="D2595" s="31">
        <v>226789</v>
      </c>
      <c r="E2595" s="33" t="str">
        <f>IF(Table3[[#This Row],[Type Received]]=2,"CC",(IF(Table3[[#This Row],[Type Received]]=3,"BILL","ACH")))</f>
        <v>ACH</v>
      </c>
      <c r="F2595" s="32">
        <v>26.8</v>
      </c>
      <c r="G2595" s="14" t="str">
        <f>VLOOKUP(D2595,Table4[],3,FALSE)</f>
        <v>2</v>
      </c>
      <c r="H2595" s="15"/>
      <c r="I2595" s="15"/>
      <c r="J2595" s="15" t="s">
        <v>117</v>
      </c>
      <c r="K2595" s="15">
        <v>840875127</v>
      </c>
      <c r="L2595" s="15" t="s">
        <v>29</v>
      </c>
      <c r="M2595" s="15"/>
    </row>
    <row r="2596" spans="1:13" x14ac:dyDescent="0.25">
      <c r="A2596" s="23">
        <f t="shared" si="129"/>
        <v>226813</v>
      </c>
      <c r="B2596" s="14" t="str">
        <f t="shared" si="128"/>
        <v>Credit Cards (UMB) - Credits</v>
      </c>
      <c r="C2596" s="38">
        <v>46169</v>
      </c>
      <c r="D2596" s="34">
        <v>226813</v>
      </c>
      <c r="E2596" s="36" t="str">
        <f>IF(Table3[[#This Row],[Type Received]]=2,"CC",(IF(Table3[[#This Row],[Type Received]]=3,"BILL","ACH")))</f>
        <v>CC</v>
      </c>
      <c r="F2596" s="35">
        <v>14.41</v>
      </c>
      <c r="G2596" s="14" t="str">
        <f>VLOOKUP(D2596,Table4[],3,FALSE)</f>
        <v>1</v>
      </c>
      <c r="H2596" s="15"/>
      <c r="I2596" s="15"/>
      <c r="J2596" s="24" t="s">
        <v>117</v>
      </c>
      <c r="K2596" s="15">
        <v>840867480</v>
      </c>
      <c r="L2596" s="15" t="s">
        <v>29</v>
      </c>
      <c r="M2596" s="15" t="s">
        <v>29</v>
      </c>
    </row>
    <row r="2597" spans="1:13" x14ac:dyDescent="0.25">
      <c r="A2597" s="23">
        <f t="shared" si="129"/>
        <v>226882</v>
      </c>
      <c r="B2597" s="14" t="str">
        <f t="shared" si="128"/>
        <v>Direct Debit (UMB Bank) - Credits</v>
      </c>
      <c r="C2597" s="37">
        <v>46162</v>
      </c>
      <c r="D2597" s="31">
        <v>226882</v>
      </c>
      <c r="E2597" s="33" t="str">
        <f>IF(Table3[[#This Row],[Type Received]]=2,"CC",(IF(Table3[[#This Row],[Type Received]]=3,"BILL","ACH")))</f>
        <v>ACH</v>
      </c>
      <c r="F2597" s="32">
        <v>91.54</v>
      </c>
      <c r="G2597" s="14" t="str">
        <f>VLOOKUP(D2597,Table4[],3,FALSE)</f>
        <v>2</v>
      </c>
      <c r="H2597" s="15"/>
      <c r="I2597" s="15">
        <v>574989</v>
      </c>
      <c r="J2597" s="24" t="s">
        <v>28</v>
      </c>
      <c r="K2597" s="15">
        <v>757276489</v>
      </c>
      <c r="L2597" s="15" t="s">
        <v>29</v>
      </c>
      <c r="M2597" s="15" t="s">
        <v>29</v>
      </c>
    </row>
    <row r="2598" spans="1:13" x14ac:dyDescent="0.25">
      <c r="A2598" s="23">
        <f t="shared" si="129"/>
        <v>226944</v>
      </c>
      <c r="B2598" s="14" t="str">
        <f t="shared" si="128"/>
        <v>Credit Cards (UMB) - Credits</v>
      </c>
      <c r="C2598" s="38">
        <v>46169</v>
      </c>
      <c r="D2598" s="34">
        <v>226944</v>
      </c>
      <c r="E2598" s="36" t="str">
        <f>IF(Table3[[#This Row],[Type Received]]=2,"CC",(IF(Table3[[#This Row],[Type Received]]=3,"BILL","ACH")))</f>
        <v>CC</v>
      </c>
      <c r="F2598" s="35">
        <v>74.95</v>
      </c>
      <c r="G2598" s="14" t="str">
        <f>VLOOKUP(D2598,Table4[],3,FALSE)</f>
        <v>1</v>
      </c>
      <c r="H2598" s="15"/>
      <c r="I2598" s="15"/>
      <c r="J2598" s="15" t="s">
        <v>117</v>
      </c>
      <c r="K2598" s="15">
        <v>840847971</v>
      </c>
      <c r="L2598" s="15" t="s">
        <v>29</v>
      </c>
      <c r="M2598" s="15" t="s">
        <v>29</v>
      </c>
    </row>
    <row r="2599" spans="1:13" x14ac:dyDescent="0.25">
      <c r="A2599" s="23">
        <f t="shared" si="129"/>
        <v>226991</v>
      </c>
      <c r="B2599" s="14" t="str">
        <f t="shared" si="128"/>
        <v>Direct Debit (UMB Bank) - Credits</v>
      </c>
      <c r="C2599" s="37">
        <v>46143</v>
      </c>
      <c r="D2599" s="31">
        <v>226991</v>
      </c>
      <c r="E2599" s="33" t="str">
        <f>IF(Table3[[#This Row],[Type Received]]=2,"CC",(IF(Table3[[#This Row],[Type Received]]=3,"BILL","ACH")))</f>
        <v>ACH</v>
      </c>
      <c r="F2599" s="32">
        <v>102.52</v>
      </c>
      <c r="G2599" s="14" t="str">
        <f>VLOOKUP(D2599,Table4[],3,FALSE)</f>
        <v>2</v>
      </c>
      <c r="H2599" s="15"/>
      <c r="I2599" s="15">
        <v>881575</v>
      </c>
      <c r="J2599" s="15">
        <v>741374152</v>
      </c>
      <c r="K2599" s="15">
        <v>353136572</v>
      </c>
      <c r="L2599" s="15"/>
      <c r="M2599" s="15"/>
    </row>
    <row r="2600" spans="1:13" x14ac:dyDescent="0.25">
      <c r="A2600" s="23">
        <f t="shared" si="129"/>
        <v>227019</v>
      </c>
      <c r="B2600" s="14" t="str">
        <f t="shared" si="128"/>
        <v>Credit Cards (UMB) - Credits</v>
      </c>
      <c r="C2600" s="38">
        <v>46157</v>
      </c>
      <c r="D2600" s="34">
        <v>227019</v>
      </c>
      <c r="E2600" s="36" t="str">
        <f>IF(Table3[[#This Row],[Type Received]]=2,"CC",(IF(Table3[[#This Row],[Type Received]]=3,"BILL","ACH")))</f>
        <v>CC</v>
      </c>
      <c r="F2600" s="35">
        <v>44.59</v>
      </c>
      <c r="G2600" s="14" t="str">
        <f>VLOOKUP(D2600,Table4[],3,FALSE)</f>
        <v>2</v>
      </c>
      <c r="H2600" s="15"/>
      <c r="I2600" s="15"/>
      <c r="J2600" s="15" t="s">
        <v>87</v>
      </c>
      <c r="K2600" s="15">
        <v>696777381</v>
      </c>
      <c r="L2600" s="15" t="s">
        <v>29</v>
      </c>
      <c r="M2600" s="15" t="s">
        <v>29</v>
      </c>
    </row>
    <row r="2601" spans="1:13" x14ac:dyDescent="0.25">
      <c r="A2601" s="23">
        <f t="shared" si="129"/>
        <v>227029</v>
      </c>
      <c r="B2601" s="14" t="str">
        <f t="shared" si="128"/>
        <v>Direct Debit (UMB Bank) - Credits</v>
      </c>
      <c r="C2601" s="37">
        <v>46147</v>
      </c>
      <c r="D2601" s="31">
        <v>227029</v>
      </c>
      <c r="E2601" s="33" t="str">
        <f>IF(Table3[[#This Row],[Type Received]]=2,"CC",(IF(Table3[[#This Row],[Type Received]]=3,"BILL","ACH")))</f>
        <v>ACH</v>
      </c>
      <c r="F2601" s="32">
        <v>92.86</v>
      </c>
      <c r="G2601" s="14" t="str">
        <f>VLOOKUP(D2601,Table4[],3,FALSE)</f>
        <v>2</v>
      </c>
      <c r="H2601" s="15"/>
      <c r="I2601" s="15">
        <v>191261</v>
      </c>
      <c r="J2601" s="15">
        <v>742576419</v>
      </c>
      <c r="K2601" s="15">
        <v>353594085</v>
      </c>
      <c r="L2601" s="15"/>
      <c r="M2601" s="15" t="s">
        <v>29</v>
      </c>
    </row>
    <row r="2602" spans="1:13" x14ac:dyDescent="0.25">
      <c r="A2602" s="23">
        <f t="shared" si="129"/>
        <v>227034</v>
      </c>
      <c r="B2602" s="14" t="str">
        <f t="shared" si="128"/>
        <v>Direct Debit (UMB Bank) - Credits</v>
      </c>
      <c r="C2602" s="38">
        <v>46144</v>
      </c>
      <c r="D2602" s="34">
        <v>227034</v>
      </c>
      <c r="E2602" s="36" t="str">
        <f>IF(Table3[[#This Row],[Type Received]]=2,"CC",(IF(Table3[[#This Row],[Type Received]]=3,"BILL","ACH")))</f>
        <v>ACH</v>
      </c>
      <c r="F2602" s="35">
        <v>33.950000000000003</v>
      </c>
      <c r="G2602" s="14" t="str">
        <f>VLOOKUP(D2602,Table4[],3,FALSE)</f>
        <v>1</v>
      </c>
      <c r="H2602" s="15"/>
      <c r="I2602" s="15"/>
      <c r="J2602" s="15" t="s">
        <v>89</v>
      </c>
      <c r="K2602" s="15">
        <v>535392970</v>
      </c>
      <c r="L2602" s="15" t="s">
        <v>29</v>
      </c>
      <c r="M2602" s="15" t="s">
        <v>29</v>
      </c>
    </row>
    <row r="2603" spans="1:13" x14ac:dyDescent="0.25">
      <c r="A2603" s="23">
        <f t="shared" si="129"/>
        <v>227105</v>
      </c>
      <c r="B2603" s="14" t="str">
        <f t="shared" si="128"/>
        <v>Credit Cards (UMB) - Credits</v>
      </c>
      <c r="C2603" s="37">
        <v>46157</v>
      </c>
      <c r="D2603" s="31">
        <v>227105</v>
      </c>
      <c r="E2603" s="33" t="str">
        <f>IF(Table3[[#This Row],[Type Received]]=2,"CC",(IF(Table3[[#This Row],[Type Received]]=3,"BILL","ACH")))</f>
        <v>CC</v>
      </c>
      <c r="F2603" s="32">
        <v>23.83</v>
      </c>
      <c r="G2603" s="14" t="str">
        <f>VLOOKUP(D2603,Table4[],3,FALSE)</f>
        <v>2</v>
      </c>
      <c r="H2603" s="15"/>
      <c r="I2603" s="15"/>
      <c r="J2603" s="15" t="s">
        <v>87</v>
      </c>
      <c r="K2603" s="15">
        <v>696759877</v>
      </c>
      <c r="L2603" s="15" t="s">
        <v>29</v>
      </c>
      <c r="M2603" s="15" t="s">
        <v>29</v>
      </c>
    </row>
    <row r="2604" spans="1:13" x14ac:dyDescent="0.25">
      <c r="A2604" s="23">
        <f t="shared" si="129"/>
        <v>227221</v>
      </c>
      <c r="B2604" s="14" t="str">
        <f t="shared" si="128"/>
        <v>Billing - Credits (from TPA)</v>
      </c>
      <c r="C2604" s="38">
        <v>46155</v>
      </c>
      <c r="D2604" s="34">
        <v>227221</v>
      </c>
      <c r="E2604" s="36" t="str">
        <f>IF(Table3[[#This Row],[Type Received]]=2,"CC",(IF(Table3[[#This Row],[Type Received]]=3,"BILL","ACH")))</f>
        <v>BILL</v>
      </c>
      <c r="F2604" s="35">
        <v>36.450000000000003</v>
      </c>
      <c r="G2604" s="14" t="str">
        <f>VLOOKUP(D2604,Table4[],3,FALSE)</f>
        <v>1</v>
      </c>
      <c r="H2604" s="15"/>
      <c r="I2604" s="15">
        <v>109913</v>
      </c>
      <c r="J2604" s="15" t="s">
        <v>28</v>
      </c>
      <c r="K2604" s="15">
        <v>669488787</v>
      </c>
      <c r="L2604" s="15" t="s">
        <v>29</v>
      </c>
      <c r="M2604" s="15" t="s">
        <v>29</v>
      </c>
    </row>
    <row r="2605" spans="1:13" x14ac:dyDescent="0.25">
      <c r="A2605" s="23">
        <f t="shared" si="129"/>
        <v>227339</v>
      </c>
      <c r="B2605" s="14" t="str">
        <f t="shared" si="128"/>
        <v>Billing - Credits (from TPA)</v>
      </c>
      <c r="C2605" s="37">
        <v>46169</v>
      </c>
      <c r="D2605" s="31">
        <v>227339</v>
      </c>
      <c r="E2605" s="33" t="str">
        <f>IF(Table3[[#This Row],[Type Received]]=2,"CC",(IF(Table3[[#This Row],[Type Received]]=3,"BILL","ACH")))</f>
        <v>BILL</v>
      </c>
      <c r="F2605" s="32">
        <v>43.53</v>
      </c>
      <c r="G2605" s="14" t="str">
        <f>VLOOKUP(D2605,Table4[],3,FALSE)</f>
        <v>2</v>
      </c>
      <c r="H2605" s="15">
        <v>9001</v>
      </c>
      <c r="I2605" s="15"/>
      <c r="J2605" s="24"/>
      <c r="K2605" s="15"/>
      <c r="L2605" s="15"/>
      <c r="M2605" s="15" t="s">
        <v>29</v>
      </c>
    </row>
    <row r="2606" spans="1:13" x14ac:dyDescent="0.25">
      <c r="A2606" s="23">
        <f t="shared" si="129"/>
        <v>227339</v>
      </c>
      <c r="B2606" s="14" t="str">
        <f t="shared" si="128"/>
        <v>Direct Debit (UMB Bank) - Credits</v>
      </c>
      <c r="C2606" s="38">
        <v>46143</v>
      </c>
      <c r="D2606" s="34">
        <v>227339</v>
      </c>
      <c r="E2606" s="36" t="str">
        <f>IF(Table3[[#This Row],[Type Received]]=2,"CC",(IF(Table3[[#This Row],[Type Received]]=3,"BILL","ACH")))</f>
        <v>ACH</v>
      </c>
      <c r="F2606" s="35">
        <v>43.53</v>
      </c>
      <c r="G2606" s="14" t="str">
        <f>VLOOKUP(D2606,Table4[],3,FALSE)</f>
        <v>2</v>
      </c>
      <c r="H2606" s="15">
        <v>9000</v>
      </c>
      <c r="I2606" s="15"/>
      <c r="J2606" s="15"/>
      <c r="K2606" s="15"/>
      <c r="L2606" s="15"/>
      <c r="M2606" s="15" t="s">
        <v>29</v>
      </c>
    </row>
    <row r="2607" spans="1:13" x14ac:dyDescent="0.25">
      <c r="A2607" s="23">
        <f t="shared" si="129"/>
        <v>227363</v>
      </c>
      <c r="B2607" s="14" t="str">
        <f t="shared" si="128"/>
        <v>Direct Debit (UMB Bank) - Credits</v>
      </c>
      <c r="C2607" s="37">
        <v>46144</v>
      </c>
      <c r="D2607" s="31">
        <v>227363</v>
      </c>
      <c r="E2607" s="33" t="str">
        <f>IF(Table3[[#This Row],[Type Received]]=2,"CC",(IF(Table3[[#This Row],[Type Received]]=3,"BILL","ACH")))</f>
        <v>ACH</v>
      </c>
      <c r="F2607" s="32">
        <v>36.340000000000003</v>
      </c>
      <c r="G2607" s="14" t="str">
        <f>VLOOKUP(D2607,Table4[],3,FALSE)</f>
        <v>2</v>
      </c>
      <c r="H2607" s="15"/>
      <c r="I2607" s="15"/>
      <c r="J2607" s="15" t="s">
        <v>89</v>
      </c>
      <c r="K2607" s="15">
        <v>535413268</v>
      </c>
      <c r="L2607" s="15" t="s">
        <v>29</v>
      </c>
      <c r="M2607" s="15" t="s">
        <v>29</v>
      </c>
    </row>
    <row r="2608" spans="1:13" x14ac:dyDescent="0.25">
      <c r="A2608" s="23">
        <f t="shared" si="129"/>
        <v>227420</v>
      </c>
      <c r="B2608" s="14" t="str">
        <f t="shared" si="128"/>
        <v>Billing - Credits (from TPA)</v>
      </c>
      <c r="C2608" s="38">
        <v>46144</v>
      </c>
      <c r="D2608" s="34">
        <v>227420</v>
      </c>
      <c r="E2608" s="36" t="str">
        <f>IF(Table3[[#This Row],[Type Received]]=2,"CC",(IF(Table3[[#This Row],[Type Received]]=3,"BILL","ACH")))</f>
        <v>BILL</v>
      </c>
      <c r="F2608" s="35">
        <v>72.23</v>
      </c>
      <c r="G2608" s="14" t="str">
        <f>VLOOKUP(D2608,Table4[],3,FALSE)</f>
        <v>1</v>
      </c>
      <c r="H2608" s="15"/>
      <c r="I2608" s="15"/>
      <c r="J2608" s="15" t="s">
        <v>89</v>
      </c>
      <c r="K2608" s="15">
        <v>535403532</v>
      </c>
      <c r="L2608" s="15" t="s">
        <v>29</v>
      </c>
      <c r="M2608" s="15" t="s">
        <v>29</v>
      </c>
    </row>
    <row r="2609" spans="1:13" x14ac:dyDescent="0.25">
      <c r="A2609" s="23">
        <f t="shared" si="129"/>
        <v>227431</v>
      </c>
      <c r="B2609" s="14" t="str">
        <f t="shared" si="128"/>
        <v>Credit Cards (UMB) - Credits</v>
      </c>
      <c r="C2609" s="37">
        <v>46146</v>
      </c>
      <c r="D2609" s="31">
        <v>227431</v>
      </c>
      <c r="E2609" s="33" t="str">
        <f>IF(Table3[[#This Row],[Type Received]]=2,"CC",(IF(Table3[[#This Row],[Type Received]]=3,"BILL","ACH")))</f>
        <v>CC</v>
      </c>
      <c r="F2609" s="32">
        <v>37.590000000000003</v>
      </c>
      <c r="G2609" s="14" t="str">
        <f>VLOOKUP(D2609,Table4[],3,FALSE)</f>
        <v>1</v>
      </c>
      <c r="H2609" s="15">
        <v>5325</v>
      </c>
      <c r="I2609" s="15"/>
      <c r="J2609" s="15"/>
      <c r="K2609" s="15"/>
      <c r="L2609" s="15"/>
      <c r="M2609" s="15"/>
    </row>
    <row r="2610" spans="1:13" x14ac:dyDescent="0.25">
      <c r="A2610" s="23">
        <f t="shared" si="129"/>
        <v>227432</v>
      </c>
      <c r="B2610" s="14" t="str">
        <f t="shared" si="128"/>
        <v>Credit Cards (UMB) - Credits</v>
      </c>
      <c r="C2610" s="38">
        <v>46155</v>
      </c>
      <c r="D2610" s="34">
        <v>227432</v>
      </c>
      <c r="E2610" s="36" t="str">
        <f>IF(Table3[[#This Row],[Type Received]]=2,"CC",(IF(Table3[[#This Row],[Type Received]]=3,"BILL","ACH")))</f>
        <v>CC</v>
      </c>
      <c r="F2610" s="35">
        <v>32.31</v>
      </c>
      <c r="G2610" s="14" t="str">
        <f>VLOOKUP(D2610,Table4[],3,FALSE)</f>
        <v>1</v>
      </c>
      <c r="H2610" s="15"/>
      <c r="I2610" s="15">
        <v>3599</v>
      </c>
      <c r="J2610" s="15" t="s">
        <v>28</v>
      </c>
      <c r="K2610" s="15">
        <v>669096161</v>
      </c>
      <c r="L2610" s="15" t="s">
        <v>29</v>
      </c>
      <c r="M2610" s="15" t="s">
        <v>29</v>
      </c>
    </row>
    <row r="2611" spans="1:13" x14ac:dyDescent="0.25">
      <c r="A2611" s="23">
        <f t="shared" si="129"/>
        <v>227545</v>
      </c>
      <c r="B2611" s="14" t="str">
        <f t="shared" si="128"/>
        <v>Direct Debit (UMB Bank) - Credits</v>
      </c>
      <c r="C2611" s="37">
        <v>46155</v>
      </c>
      <c r="D2611" s="31">
        <v>227545</v>
      </c>
      <c r="E2611" s="33" t="str">
        <f>IF(Table3[[#This Row],[Type Received]]=2,"CC",(IF(Table3[[#This Row],[Type Received]]=3,"BILL","ACH")))</f>
        <v>ACH</v>
      </c>
      <c r="F2611" s="32">
        <v>34.47</v>
      </c>
      <c r="G2611" s="14" t="str">
        <f>VLOOKUP(D2611,Table4[],3,FALSE)</f>
        <v>2</v>
      </c>
      <c r="H2611" s="15"/>
      <c r="I2611" s="15">
        <v>13981</v>
      </c>
      <c r="J2611" s="15" t="s">
        <v>28</v>
      </c>
      <c r="K2611" s="15">
        <v>669498539</v>
      </c>
      <c r="L2611" s="15" t="s">
        <v>29</v>
      </c>
      <c r="M2611" s="15" t="s">
        <v>29</v>
      </c>
    </row>
    <row r="2612" spans="1:13" x14ac:dyDescent="0.25">
      <c r="A2612" s="23">
        <f t="shared" si="129"/>
        <v>227557</v>
      </c>
      <c r="B2612" s="14" t="str">
        <f t="shared" si="128"/>
        <v>Billing - Credits (from TPA)</v>
      </c>
      <c r="C2612" s="38">
        <v>46144</v>
      </c>
      <c r="D2612" s="34">
        <v>227557</v>
      </c>
      <c r="E2612" s="36" t="str">
        <f>IF(Table3[[#This Row],[Type Received]]=2,"CC",(IF(Table3[[#This Row],[Type Received]]=3,"BILL","ACH")))</f>
        <v>BILL</v>
      </c>
      <c r="F2612" s="35">
        <v>20.420000000000002</v>
      </c>
      <c r="G2612" s="14" t="str">
        <f>VLOOKUP(D2612,Table4[],3,FALSE)</f>
        <v>2</v>
      </c>
      <c r="H2612" s="15"/>
      <c r="I2612" s="15"/>
      <c r="J2612" s="15" t="s">
        <v>89</v>
      </c>
      <c r="K2612" s="15">
        <v>535416163</v>
      </c>
      <c r="L2612" s="15" t="s">
        <v>29</v>
      </c>
      <c r="M2612" s="15" t="s">
        <v>29</v>
      </c>
    </row>
    <row r="2613" spans="1:13" x14ac:dyDescent="0.25">
      <c r="A2613" s="23">
        <f t="shared" si="129"/>
        <v>227593</v>
      </c>
      <c r="B2613" s="14" t="str">
        <f t="shared" si="128"/>
        <v>Direct Debit (UMB Bank) - Credits</v>
      </c>
      <c r="C2613" s="37">
        <v>46164</v>
      </c>
      <c r="D2613" s="31">
        <v>227593</v>
      </c>
      <c r="E2613" s="33" t="str">
        <f>IF(Table3[[#This Row],[Type Received]]=2,"CC",(IF(Table3[[#This Row],[Type Received]]=3,"BILL","ACH")))</f>
        <v>ACH</v>
      </c>
      <c r="F2613" s="32">
        <v>264.10000000000002</v>
      </c>
      <c r="G2613" s="14" t="str">
        <f>VLOOKUP(D2613,Table4[],3,FALSE)</f>
        <v>1</v>
      </c>
      <c r="H2613" s="15">
        <v>7270</v>
      </c>
      <c r="I2613" s="15"/>
      <c r="J2613" s="15"/>
      <c r="K2613" s="15"/>
      <c r="L2613" s="15"/>
      <c r="M2613" s="15"/>
    </row>
    <row r="2614" spans="1:13" x14ac:dyDescent="0.25">
      <c r="A2614" s="23">
        <f t="shared" si="129"/>
        <v>227619</v>
      </c>
      <c r="B2614" s="14" t="str">
        <f t="shared" si="128"/>
        <v>Billing - Credits (from TPA)</v>
      </c>
      <c r="C2614" s="38">
        <v>46169</v>
      </c>
      <c r="D2614" s="34">
        <v>227619</v>
      </c>
      <c r="E2614" s="36" t="str">
        <f>IF(Table3[[#This Row],[Type Received]]=2,"CC",(IF(Table3[[#This Row],[Type Received]]=3,"BILL","ACH")))</f>
        <v>BILL</v>
      </c>
      <c r="F2614" s="35">
        <v>36.15</v>
      </c>
      <c r="G2614" s="14" t="str">
        <f>VLOOKUP(D2614,Table4[],3,FALSE)</f>
        <v>1</v>
      </c>
      <c r="H2614" s="15"/>
      <c r="I2614" s="15"/>
      <c r="J2614" s="15" t="s">
        <v>117</v>
      </c>
      <c r="K2614" s="15">
        <v>840874182</v>
      </c>
      <c r="L2614" s="15" t="s">
        <v>29</v>
      </c>
      <c r="M2614" s="15"/>
    </row>
    <row r="2615" spans="1:13" x14ac:dyDescent="0.25">
      <c r="A2615" s="23">
        <f t="shared" si="129"/>
        <v>227639</v>
      </c>
      <c r="B2615" s="14" t="str">
        <f t="shared" si="128"/>
        <v>Direct Debit (UMB Bank) - Credits</v>
      </c>
      <c r="C2615" s="37">
        <v>46156</v>
      </c>
      <c r="D2615" s="31">
        <v>227639</v>
      </c>
      <c r="E2615" s="33" t="str">
        <f>IF(Table3[[#This Row],[Type Received]]=2,"CC",(IF(Table3[[#This Row],[Type Received]]=3,"BILL","ACH")))</f>
        <v>ACH</v>
      </c>
      <c r="F2615" s="32">
        <v>36</v>
      </c>
      <c r="G2615" s="14" t="str">
        <f>VLOOKUP(D2615,Table4[],3,FALSE)</f>
        <v>1</v>
      </c>
      <c r="H2615" s="15">
        <v>58161413</v>
      </c>
      <c r="I2615" s="15"/>
      <c r="J2615" s="15"/>
      <c r="K2615" s="15"/>
      <c r="L2615" s="15"/>
      <c r="M2615" s="15" t="s">
        <v>29</v>
      </c>
    </row>
    <row r="2616" spans="1:13" x14ac:dyDescent="0.25">
      <c r="A2616" s="23">
        <f t="shared" si="129"/>
        <v>227677</v>
      </c>
      <c r="B2616" s="14" t="str">
        <f t="shared" si="128"/>
        <v>Billing - Credits (from TPA)</v>
      </c>
      <c r="C2616" s="38">
        <v>46157</v>
      </c>
      <c r="D2616" s="34">
        <v>227677</v>
      </c>
      <c r="E2616" s="36" t="str">
        <f>IF(Table3[[#This Row],[Type Received]]=2,"CC",(IF(Table3[[#This Row],[Type Received]]=3,"BILL","ACH")))</f>
        <v>BILL</v>
      </c>
      <c r="F2616" s="35">
        <v>21.27</v>
      </c>
      <c r="G2616" s="14" t="str">
        <f>VLOOKUP(D2616,Table4[],3,FALSE)</f>
        <v>2</v>
      </c>
      <c r="H2616" s="15"/>
      <c r="I2616" s="15"/>
      <c r="J2616" s="15" t="s">
        <v>87</v>
      </c>
      <c r="K2616" s="15">
        <v>696764780</v>
      </c>
      <c r="L2616" s="15" t="s">
        <v>29</v>
      </c>
      <c r="M2616" s="15" t="s">
        <v>29</v>
      </c>
    </row>
    <row r="2617" spans="1:13" x14ac:dyDescent="0.25">
      <c r="A2617" s="23">
        <f t="shared" si="129"/>
        <v>227694</v>
      </c>
      <c r="B2617" s="14" t="str">
        <f t="shared" si="128"/>
        <v>Billing - Credits (from TPA)</v>
      </c>
      <c r="C2617" s="37">
        <v>46147</v>
      </c>
      <c r="D2617" s="31">
        <v>227694</v>
      </c>
      <c r="E2617" s="33" t="str">
        <f>IF(Table3[[#This Row],[Type Received]]=2,"CC",(IF(Table3[[#This Row],[Type Received]]=3,"BILL","ACH")))</f>
        <v>BILL</v>
      </c>
      <c r="F2617" s="32">
        <v>37.369999999999997</v>
      </c>
      <c r="G2617" s="14" t="str">
        <f>VLOOKUP(D2617,Table4[],3,FALSE)</f>
        <v>2</v>
      </c>
      <c r="H2617" s="15">
        <v>19818891306</v>
      </c>
      <c r="I2617" s="15"/>
      <c r="J2617" s="15"/>
      <c r="K2617" s="15"/>
      <c r="L2617" s="15"/>
      <c r="M2617" s="15" t="s">
        <v>29</v>
      </c>
    </row>
    <row r="2618" spans="1:13" x14ac:dyDescent="0.25">
      <c r="A2618" s="23">
        <f t="shared" si="129"/>
        <v>227695</v>
      </c>
      <c r="B2618" s="14" t="str">
        <f t="shared" si="128"/>
        <v>Billing - Credits (from TPA)</v>
      </c>
      <c r="C2618" s="38">
        <v>46143</v>
      </c>
      <c r="D2618" s="34">
        <v>227695</v>
      </c>
      <c r="E2618" s="36" t="str">
        <f>IF(Table3[[#This Row],[Type Received]]=2,"CC",(IF(Table3[[#This Row],[Type Received]]=3,"BILL","ACH")))</f>
        <v>BILL</v>
      </c>
      <c r="F2618" s="35">
        <v>19.739999999999998</v>
      </c>
      <c r="G2618" s="14" t="str">
        <f>VLOOKUP(D2618,Table4[],3,FALSE)</f>
        <v>1</v>
      </c>
      <c r="H2618" s="15">
        <v>989070</v>
      </c>
      <c r="I2618" s="15"/>
      <c r="J2618" s="15"/>
      <c r="K2618" s="15"/>
      <c r="L2618" s="15"/>
      <c r="M2618" s="15"/>
    </row>
    <row r="2619" spans="1:13" x14ac:dyDescent="0.25">
      <c r="A2619" s="23">
        <f t="shared" si="129"/>
        <v>227739</v>
      </c>
      <c r="B2619" s="14" t="str">
        <f t="shared" si="128"/>
        <v>Direct Debit (UMB Bank) - Credits</v>
      </c>
      <c r="C2619" s="37">
        <v>46143</v>
      </c>
      <c r="D2619" s="31">
        <v>227739</v>
      </c>
      <c r="E2619" s="33" t="str">
        <f>IF(Table3[[#This Row],[Type Received]]=2,"CC",(IF(Table3[[#This Row],[Type Received]]=3,"BILL","ACH")))</f>
        <v>ACH</v>
      </c>
      <c r="F2619" s="32">
        <v>115.55</v>
      </c>
      <c r="G2619" s="14" t="str">
        <f>VLOOKUP(D2619,Table4[],3,FALSE)</f>
        <v>2</v>
      </c>
      <c r="H2619" s="15">
        <v>57453646</v>
      </c>
      <c r="I2619" s="15"/>
      <c r="J2619" s="26"/>
      <c r="K2619" s="15"/>
      <c r="L2619" s="15"/>
      <c r="M2619" s="15" t="s">
        <v>29</v>
      </c>
    </row>
    <row r="2620" spans="1:13" x14ac:dyDescent="0.25">
      <c r="A2620" s="23">
        <f t="shared" si="129"/>
        <v>227794</v>
      </c>
      <c r="B2620" s="14" t="str">
        <f t="shared" si="128"/>
        <v>Direct Debit (UMB Bank) - Credits</v>
      </c>
      <c r="C2620" s="38">
        <v>46157</v>
      </c>
      <c r="D2620" s="34">
        <v>227794</v>
      </c>
      <c r="E2620" s="36" t="str">
        <f>IF(Table3[[#This Row],[Type Received]]=2,"CC",(IF(Table3[[#This Row],[Type Received]]=3,"BILL","ACH")))</f>
        <v>ACH</v>
      </c>
      <c r="F2620" s="35">
        <v>21.27</v>
      </c>
      <c r="G2620" s="14" t="str">
        <f>VLOOKUP(D2620,Table4[],3,FALSE)</f>
        <v>1</v>
      </c>
      <c r="H2620" s="15"/>
      <c r="I2620" s="15"/>
      <c r="J2620" s="15" t="s">
        <v>87</v>
      </c>
      <c r="K2620" s="15">
        <v>696760894</v>
      </c>
      <c r="L2620" s="15" t="s">
        <v>29</v>
      </c>
      <c r="M2620" s="15" t="s">
        <v>29</v>
      </c>
    </row>
    <row r="2621" spans="1:13" x14ac:dyDescent="0.25">
      <c r="A2621" s="23">
        <f t="shared" si="129"/>
        <v>227799</v>
      </c>
      <c r="B2621" s="14" t="str">
        <f t="shared" si="128"/>
        <v>Billing - Credits (from TPA)</v>
      </c>
      <c r="C2621" s="37">
        <v>46146</v>
      </c>
      <c r="D2621" s="31">
        <v>227799</v>
      </c>
      <c r="E2621" s="33" t="str">
        <f>IF(Table3[[#This Row],[Type Received]]=2,"CC",(IF(Table3[[#This Row],[Type Received]]=3,"BILL","ACH")))</f>
        <v>BILL</v>
      </c>
      <c r="F2621" s="32">
        <v>121.95</v>
      </c>
      <c r="G2621" s="14" t="str">
        <f>VLOOKUP(D2621,Table4[],3,FALSE)</f>
        <v>1</v>
      </c>
      <c r="H2621" s="15"/>
      <c r="I2621" s="15"/>
      <c r="J2621" s="15" t="s">
        <v>92</v>
      </c>
      <c r="K2621" s="15">
        <v>557107314</v>
      </c>
      <c r="L2621" s="15" t="s">
        <v>29</v>
      </c>
      <c r="M2621" s="15"/>
    </row>
    <row r="2622" spans="1:13" x14ac:dyDescent="0.25">
      <c r="A2622" s="23">
        <f t="shared" si="129"/>
        <v>227808</v>
      </c>
      <c r="B2622" s="14" t="str">
        <f t="shared" si="128"/>
        <v>Credit Cards (UMB) - Credits</v>
      </c>
      <c r="C2622" s="38">
        <v>46147</v>
      </c>
      <c r="D2622" s="34">
        <v>227808</v>
      </c>
      <c r="E2622" s="36" t="str">
        <f>IF(Table3[[#This Row],[Type Received]]=2,"CC",(IF(Table3[[#This Row],[Type Received]]=3,"BILL","ACH")))</f>
        <v>CC</v>
      </c>
      <c r="F2622" s="35">
        <v>44.08</v>
      </c>
      <c r="G2622" s="14" t="str">
        <f>VLOOKUP(D2622,Table4[],3,FALSE)</f>
        <v>2</v>
      </c>
      <c r="H2622" s="15">
        <v>987791</v>
      </c>
      <c r="I2622" s="15"/>
      <c r="J2622" s="24"/>
      <c r="K2622" s="15"/>
      <c r="L2622" s="15"/>
      <c r="M2622" s="15" t="s">
        <v>29</v>
      </c>
    </row>
    <row r="2623" spans="1:13" x14ac:dyDescent="0.25">
      <c r="A2623" s="23">
        <f t="shared" si="129"/>
        <v>227812</v>
      </c>
      <c r="B2623" s="14" t="str">
        <f t="shared" si="128"/>
        <v>Direct Debit (UMB Bank) - Credits</v>
      </c>
      <c r="C2623" s="37">
        <v>46157</v>
      </c>
      <c r="D2623" s="31">
        <v>227812</v>
      </c>
      <c r="E2623" s="33" t="str">
        <f>IF(Table3[[#This Row],[Type Received]]=2,"CC",(IF(Table3[[#This Row],[Type Received]]=3,"BILL","ACH")))</f>
        <v>ACH</v>
      </c>
      <c r="F2623" s="32">
        <v>57.5</v>
      </c>
      <c r="G2623" s="14" t="str">
        <f>VLOOKUP(D2623,Table4[],3,FALSE)</f>
        <v>2</v>
      </c>
      <c r="H2623" s="15"/>
      <c r="I2623" s="15">
        <v>998692</v>
      </c>
      <c r="J2623" s="15">
        <v>745623440</v>
      </c>
      <c r="K2623" s="15">
        <v>354763222</v>
      </c>
      <c r="L2623" s="15"/>
      <c r="M2623" s="15" t="s">
        <v>29</v>
      </c>
    </row>
    <row r="2624" spans="1:13" x14ac:dyDescent="0.25">
      <c r="A2624" s="23">
        <f t="shared" si="129"/>
        <v>227864</v>
      </c>
      <c r="B2624" s="14" t="str">
        <f t="shared" si="128"/>
        <v>Direct Debit (UMB Bank) - Credits</v>
      </c>
      <c r="C2624" s="38">
        <v>46147</v>
      </c>
      <c r="D2624" s="34">
        <v>227864</v>
      </c>
      <c r="E2624" s="36" t="str">
        <f>IF(Table3[[#This Row],[Type Received]]=2,"CC",(IF(Table3[[#This Row],[Type Received]]=3,"BILL","ACH")))</f>
        <v>ACH</v>
      </c>
      <c r="F2624" s="35">
        <v>75.64</v>
      </c>
      <c r="G2624" s="14" t="str">
        <f>VLOOKUP(D2624,Table4[],3,FALSE)</f>
        <v>2</v>
      </c>
      <c r="H2624" s="15"/>
      <c r="I2624" s="15"/>
      <c r="J2624" s="15" t="s">
        <v>86</v>
      </c>
      <c r="K2624" s="15">
        <v>569470945</v>
      </c>
      <c r="L2624" s="15" t="s">
        <v>29</v>
      </c>
      <c r="M2624" s="15"/>
    </row>
    <row r="2625" spans="1:13" x14ac:dyDescent="0.25">
      <c r="A2625" s="23">
        <f t="shared" si="129"/>
        <v>227878</v>
      </c>
      <c r="B2625" s="14" t="str">
        <f t="shared" si="128"/>
        <v>Direct Debit (UMB Bank) - Credits</v>
      </c>
      <c r="C2625" s="37">
        <v>46157</v>
      </c>
      <c r="D2625" s="31">
        <v>227878</v>
      </c>
      <c r="E2625" s="33" t="str">
        <f>IF(Table3[[#This Row],[Type Received]]=2,"CC",(IF(Table3[[#This Row],[Type Received]]=3,"BILL","ACH")))</f>
        <v>ACH</v>
      </c>
      <c r="F2625" s="32">
        <v>66.73</v>
      </c>
      <c r="G2625" s="14" t="str">
        <f>VLOOKUP(D2625,Table4[],3,FALSE)</f>
        <v>2</v>
      </c>
      <c r="H2625" s="15"/>
      <c r="I2625" s="15"/>
      <c r="J2625" s="15" t="s">
        <v>87</v>
      </c>
      <c r="K2625" s="15">
        <v>696770648</v>
      </c>
      <c r="L2625" s="15" t="s">
        <v>29</v>
      </c>
      <c r="M2625" s="15"/>
    </row>
    <row r="2626" spans="1:13" x14ac:dyDescent="0.25">
      <c r="A2626" s="23">
        <f t="shared" ref="A2626:A2657" si="130">D2626</f>
        <v>227880</v>
      </c>
      <c r="B2626" s="14" t="str">
        <f t="shared" ref="B2626:B2689" si="131">IF(AND(E2626="BILL",F2626&lt;0),"Billing &amp; Direct Debit - Refunds",(IF(AND(E2626="BILL",F2626&gt;0),"Billing - Credits (from TPA)",(IF(AND(E2626="CC",F2626&lt;0),"Credit Cards (UMB) - Refunds",(IF(AND(E2626="CC",F2626&gt;0),"Credit Cards (UMB) - Credits",(IF(AND(E2626="ACH",F2626&gt;0),"Direct Debit (UMB Bank) - Credits","Direct Debit (UMB Bank) - Returned Items")))))))))</f>
        <v>Credit Cards (UMB) - Credits</v>
      </c>
      <c r="C2626" s="38">
        <v>46157</v>
      </c>
      <c r="D2626" s="34">
        <v>227880</v>
      </c>
      <c r="E2626" s="36" t="str">
        <f>IF(Table3[[#This Row],[Type Received]]=2,"CC",(IF(Table3[[#This Row],[Type Received]]=3,"BILL","ACH")))</f>
        <v>CC</v>
      </c>
      <c r="F2626" s="35">
        <v>95.77</v>
      </c>
      <c r="G2626" s="14" t="str">
        <f>VLOOKUP(D2626,Table4[],3,FALSE)</f>
        <v>2</v>
      </c>
      <c r="H2626" s="15"/>
      <c r="I2626" s="15"/>
      <c r="J2626" s="24" t="s">
        <v>87</v>
      </c>
      <c r="K2626" s="15">
        <v>696785115</v>
      </c>
      <c r="L2626" s="15" t="s">
        <v>29</v>
      </c>
      <c r="M2626" s="15" t="s">
        <v>29</v>
      </c>
    </row>
    <row r="2627" spans="1:13" x14ac:dyDescent="0.25">
      <c r="A2627" s="23">
        <f t="shared" si="130"/>
        <v>227904</v>
      </c>
      <c r="B2627" s="14" t="str">
        <f t="shared" si="131"/>
        <v>Direct Debit (UMB Bank) - Credits</v>
      </c>
      <c r="C2627" s="37">
        <v>46155</v>
      </c>
      <c r="D2627" s="31">
        <v>227904</v>
      </c>
      <c r="E2627" s="33" t="str">
        <f>IF(Table3[[#This Row],[Type Received]]=2,"CC",(IF(Table3[[#This Row],[Type Received]]=3,"BILL","ACH")))</f>
        <v>ACH</v>
      </c>
      <c r="F2627" s="32">
        <v>20.350000000000001</v>
      </c>
      <c r="G2627" s="14" t="str">
        <f>VLOOKUP(D2627,Table4[],3,FALSE)</f>
        <v>1</v>
      </c>
      <c r="H2627" s="15"/>
      <c r="I2627" s="15" t="s">
        <v>257</v>
      </c>
      <c r="J2627" s="15" t="s">
        <v>28</v>
      </c>
      <c r="K2627" s="15">
        <v>669457886</v>
      </c>
      <c r="L2627" s="15" t="s">
        <v>29</v>
      </c>
      <c r="M2627" s="15" t="s">
        <v>29</v>
      </c>
    </row>
    <row r="2628" spans="1:13" x14ac:dyDescent="0.25">
      <c r="A2628" s="23">
        <f t="shared" si="130"/>
        <v>227972</v>
      </c>
      <c r="B2628" s="14" t="str">
        <f t="shared" si="131"/>
        <v>Direct Debit (UMB Bank) - Credits</v>
      </c>
      <c r="C2628" s="38">
        <v>46157</v>
      </c>
      <c r="D2628" s="34">
        <v>227972</v>
      </c>
      <c r="E2628" s="36" t="str">
        <f>IF(Table3[[#This Row],[Type Received]]=2,"CC",(IF(Table3[[#This Row],[Type Received]]=3,"BILL","ACH")))</f>
        <v>ACH</v>
      </c>
      <c r="F2628" s="35">
        <v>76.599999999999994</v>
      </c>
      <c r="G2628" s="14" t="str">
        <f>VLOOKUP(D2628,Table4[],3,FALSE)</f>
        <v>2</v>
      </c>
      <c r="H2628" s="15"/>
      <c r="I2628" s="15"/>
      <c r="J2628" s="24" t="s">
        <v>87</v>
      </c>
      <c r="K2628" s="15">
        <v>696775466</v>
      </c>
      <c r="L2628" s="15" t="s">
        <v>29</v>
      </c>
      <c r="M2628" s="15" t="s">
        <v>29</v>
      </c>
    </row>
    <row r="2629" spans="1:13" x14ac:dyDescent="0.25">
      <c r="A2629" s="23">
        <f t="shared" si="130"/>
        <v>228291</v>
      </c>
      <c r="B2629" s="14" t="str">
        <f t="shared" si="131"/>
        <v>Direct Debit (UMB Bank) - Credits</v>
      </c>
      <c r="C2629" s="37">
        <v>46157</v>
      </c>
      <c r="D2629" s="31">
        <v>228291</v>
      </c>
      <c r="E2629" s="33" t="str">
        <f>IF(Table3[[#This Row],[Type Received]]=2,"CC",(IF(Table3[[#This Row],[Type Received]]=3,"BILL","ACH")))</f>
        <v>ACH</v>
      </c>
      <c r="F2629" s="32">
        <v>19.93</v>
      </c>
      <c r="G2629" s="14" t="str">
        <f>VLOOKUP(D2629,Table4[],3,FALSE)</f>
        <v>1</v>
      </c>
      <c r="H2629" s="15"/>
      <c r="I2629" s="15"/>
      <c r="J2629" s="15" t="s">
        <v>87</v>
      </c>
      <c r="K2629" s="15">
        <v>696766830</v>
      </c>
      <c r="L2629" s="15" t="s">
        <v>29</v>
      </c>
      <c r="M2629" s="15" t="s">
        <v>29</v>
      </c>
    </row>
    <row r="2630" spans="1:13" x14ac:dyDescent="0.25">
      <c r="A2630" s="23">
        <f t="shared" si="130"/>
        <v>228294</v>
      </c>
      <c r="B2630" s="14" t="str">
        <f t="shared" si="131"/>
        <v>Direct Debit (UMB Bank) - Credits</v>
      </c>
      <c r="C2630" s="38">
        <v>46168</v>
      </c>
      <c r="D2630" s="34">
        <v>228294</v>
      </c>
      <c r="E2630" s="36" t="str">
        <f>IF(Table3[[#This Row],[Type Received]]=2,"CC",(IF(Table3[[#This Row],[Type Received]]=3,"BILL","ACH")))</f>
        <v>ACH</v>
      </c>
      <c r="F2630" s="35">
        <v>101.05</v>
      </c>
      <c r="G2630" s="14" t="str">
        <f>VLOOKUP(D2630,Table4[],3,FALSE)</f>
        <v>2</v>
      </c>
      <c r="H2630" s="15"/>
      <c r="I2630" s="15"/>
      <c r="J2630" s="15" t="s">
        <v>110</v>
      </c>
      <c r="K2630" s="15">
        <v>828259084</v>
      </c>
      <c r="L2630" s="15" t="s">
        <v>29</v>
      </c>
      <c r="M2630" s="15" t="s">
        <v>29</v>
      </c>
    </row>
    <row r="2631" spans="1:13" x14ac:dyDescent="0.25">
      <c r="A2631" s="23">
        <f t="shared" si="130"/>
        <v>228300</v>
      </c>
      <c r="B2631" s="14" t="str">
        <f t="shared" si="131"/>
        <v>Billing - Credits (from TPA)</v>
      </c>
      <c r="C2631" s="37">
        <v>46163</v>
      </c>
      <c r="D2631" s="31">
        <v>228300</v>
      </c>
      <c r="E2631" s="33" t="str">
        <f>IF(Table3[[#This Row],[Type Received]]=2,"CC",(IF(Table3[[#This Row],[Type Received]]=3,"BILL","ACH")))</f>
        <v>BILL</v>
      </c>
      <c r="F2631" s="32">
        <v>270.7</v>
      </c>
      <c r="G2631" s="14" t="str">
        <f>VLOOKUP(D2631,Table4[],3,FALSE)</f>
        <v>1</v>
      </c>
      <c r="H2631" s="15"/>
      <c r="I2631" s="15"/>
      <c r="J2631" s="15" t="s">
        <v>214</v>
      </c>
      <c r="K2631" s="15">
        <v>775817597</v>
      </c>
      <c r="L2631" s="15" t="s">
        <v>29</v>
      </c>
      <c r="M2631" s="15" t="s">
        <v>29</v>
      </c>
    </row>
    <row r="2632" spans="1:13" x14ac:dyDescent="0.25">
      <c r="A2632" s="23">
        <f t="shared" si="130"/>
        <v>228312</v>
      </c>
      <c r="B2632" s="14" t="str">
        <f t="shared" si="131"/>
        <v>Direct Debit (UMB Bank) - Credits</v>
      </c>
      <c r="C2632" s="38">
        <v>46146</v>
      </c>
      <c r="D2632" s="34">
        <v>228312</v>
      </c>
      <c r="E2632" s="36" t="str">
        <f>IF(Table3[[#This Row],[Type Received]]=2,"CC",(IF(Table3[[#This Row],[Type Received]]=3,"BILL","ACH")))</f>
        <v>ACH</v>
      </c>
      <c r="F2632" s="35">
        <v>26.7</v>
      </c>
      <c r="G2632" s="14" t="str">
        <f>VLOOKUP(D2632,Table4[],3,FALSE)</f>
        <v>2</v>
      </c>
      <c r="H2632" s="15">
        <v>921473545</v>
      </c>
      <c r="I2632" s="15"/>
      <c r="J2632" s="15"/>
      <c r="K2632" s="15"/>
      <c r="L2632" s="15"/>
      <c r="M2632" s="15" t="s">
        <v>29</v>
      </c>
    </row>
    <row r="2633" spans="1:13" x14ac:dyDescent="0.25">
      <c r="A2633" s="23">
        <f t="shared" si="130"/>
        <v>228347</v>
      </c>
      <c r="B2633" s="14" t="str">
        <f t="shared" si="131"/>
        <v>Direct Debit (UMB Bank) - Credits</v>
      </c>
      <c r="C2633" s="37">
        <v>46157</v>
      </c>
      <c r="D2633" s="31">
        <v>228347</v>
      </c>
      <c r="E2633" s="33" t="str">
        <f>IF(Table3[[#This Row],[Type Received]]=2,"CC",(IF(Table3[[#This Row],[Type Received]]=3,"BILL","ACH")))</f>
        <v>ACH</v>
      </c>
      <c r="F2633" s="32">
        <v>35.49</v>
      </c>
      <c r="G2633" s="14" t="str">
        <f>VLOOKUP(D2633,Table4[],3,FALSE)</f>
        <v>2</v>
      </c>
      <c r="H2633" s="15"/>
      <c r="I2633" s="15"/>
      <c r="J2633" s="24" t="s">
        <v>87</v>
      </c>
      <c r="K2633" s="15">
        <v>696785146</v>
      </c>
      <c r="L2633" s="15" t="s">
        <v>29</v>
      </c>
      <c r="M2633" s="15" t="s">
        <v>29</v>
      </c>
    </row>
    <row r="2634" spans="1:13" x14ac:dyDescent="0.25">
      <c r="A2634" s="23">
        <f t="shared" si="130"/>
        <v>228369</v>
      </c>
      <c r="B2634" s="14" t="str">
        <f t="shared" si="131"/>
        <v>Direct Debit (UMB Bank) - Credits</v>
      </c>
      <c r="C2634" s="38">
        <v>46168</v>
      </c>
      <c r="D2634" s="34">
        <v>228369</v>
      </c>
      <c r="E2634" s="36" t="str">
        <f>IF(Table3[[#This Row],[Type Received]]=2,"CC",(IF(Table3[[#This Row],[Type Received]]=3,"BILL","ACH")))</f>
        <v>ACH</v>
      </c>
      <c r="F2634" s="35">
        <v>119.53</v>
      </c>
      <c r="G2634" s="14" t="str">
        <f>VLOOKUP(D2634,Table4[],3,FALSE)</f>
        <v>2</v>
      </c>
      <c r="H2634" s="15"/>
      <c r="I2634" s="15"/>
      <c r="J2634" s="15" t="s">
        <v>110</v>
      </c>
      <c r="K2634" s="15">
        <v>828266901</v>
      </c>
      <c r="L2634" s="15" t="s">
        <v>29</v>
      </c>
      <c r="M2634" s="15" t="s">
        <v>29</v>
      </c>
    </row>
    <row r="2635" spans="1:13" x14ac:dyDescent="0.25">
      <c r="A2635" s="23">
        <f t="shared" si="130"/>
        <v>228378</v>
      </c>
      <c r="B2635" s="14" t="str">
        <f t="shared" si="131"/>
        <v>Direct Debit (UMB Bank) - Credits</v>
      </c>
      <c r="C2635" s="37">
        <v>46157</v>
      </c>
      <c r="D2635" s="31">
        <v>228378</v>
      </c>
      <c r="E2635" s="33" t="str">
        <f>IF(Table3[[#This Row],[Type Received]]=2,"CC",(IF(Table3[[#This Row],[Type Received]]=3,"BILL","ACH")))</f>
        <v>ACH</v>
      </c>
      <c r="F2635" s="32">
        <v>71.349999999999994</v>
      </c>
      <c r="G2635" s="14" t="str">
        <f>VLOOKUP(D2635,Table4[],3,FALSE)</f>
        <v>2</v>
      </c>
      <c r="H2635" s="15"/>
      <c r="I2635" s="15"/>
      <c r="J2635" s="15" t="s">
        <v>87</v>
      </c>
      <c r="K2635" s="15">
        <v>696787120</v>
      </c>
      <c r="L2635" s="15" t="s">
        <v>29</v>
      </c>
      <c r="M2635" s="15" t="s">
        <v>29</v>
      </c>
    </row>
    <row r="2636" spans="1:13" x14ac:dyDescent="0.25">
      <c r="A2636" s="23">
        <f t="shared" si="130"/>
        <v>228399</v>
      </c>
      <c r="B2636" s="14" t="str">
        <f t="shared" si="131"/>
        <v>Direct Debit (UMB Bank) - Credits</v>
      </c>
      <c r="C2636" s="38">
        <v>46144</v>
      </c>
      <c r="D2636" s="34">
        <v>228399</v>
      </c>
      <c r="E2636" s="36" t="str">
        <f>IF(Table3[[#This Row],[Type Received]]=2,"CC",(IF(Table3[[#This Row],[Type Received]]=3,"BILL","ACH")))</f>
        <v>ACH</v>
      </c>
      <c r="F2636" s="35">
        <v>48.88</v>
      </c>
      <c r="G2636" s="14" t="str">
        <f>VLOOKUP(D2636,Table4[],3,FALSE)</f>
        <v>2</v>
      </c>
      <c r="H2636" s="15"/>
      <c r="I2636" s="15"/>
      <c r="J2636" s="15" t="s">
        <v>89</v>
      </c>
      <c r="K2636" s="15">
        <v>535391032</v>
      </c>
      <c r="L2636" s="15" t="s">
        <v>29</v>
      </c>
      <c r="M2636" s="15" t="s">
        <v>29</v>
      </c>
    </row>
    <row r="2637" spans="1:13" x14ac:dyDescent="0.25">
      <c r="A2637" s="23">
        <f t="shared" si="130"/>
        <v>228020</v>
      </c>
      <c r="B2637" s="14" t="str">
        <f t="shared" si="131"/>
        <v>Billing - Credits (from TPA)</v>
      </c>
      <c r="C2637" s="37">
        <v>46168</v>
      </c>
      <c r="D2637" s="31">
        <v>228020</v>
      </c>
      <c r="E2637" s="33" t="str">
        <f>IF(Table3[[#This Row],[Type Received]]=2,"CC",(IF(Table3[[#This Row],[Type Received]]=3,"BILL","ACH")))</f>
        <v>BILL</v>
      </c>
      <c r="F2637" s="32">
        <v>30.98</v>
      </c>
      <c r="G2637" s="14" t="str">
        <f>VLOOKUP(D2637,Table4[],3,FALSE)</f>
        <v>2</v>
      </c>
      <c r="H2637" s="15"/>
      <c r="I2637" s="15"/>
      <c r="J2637" s="15" t="s">
        <v>110</v>
      </c>
      <c r="K2637" s="15">
        <v>828260877</v>
      </c>
      <c r="L2637" s="15" t="s">
        <v>29</v>
      </c>
      <c r="M2637" s="15" t="s">
        <v>29</v>
      </c>
    </row>
    <row r="2638" spans="1:13" x14ac:dyDescent="0.25">
      <c r="A2638" s="23">
        <f t="shared" si="130"/>
        <v>228045</v>
      </c>
      <c r="B2638" s="14" t="str">
        <f t="shared" si="131"/>
        <v>Direct Debit (UMB Bank) - Credits</v>
      </c>
      <c r="C2638" s="38">
        <v>46146</v>
      </c>
      <c r="D2638" s="34">
        <v>228045</v>
      </c>
      <c r="E2638" s="36" t="str">
        <f>IF(Table3[[#This Row],[Type Received]]=2,"CC",(IF(Table3[[#This Row],[Type Received]]=3,"BILL","ACH")))</f>
        <v>ACH</v>
      </c>
      <c r="F2638" s="35">
        <v>225.82</v>
      </c>
      <c r="G2638" s="14" t="str">
        <f>VLOOKUP(D2638,Table4[],3,FALSE)</f>
        <v>1</v>
      </c>
      <c r="H2638" s="15">
        <v>1461</v>
      </c>
      <c r="I2638" s="15"/>
      <c r="J2638" s="15"/>
      <c r="K2638" s="15"/>
      <c r="L2638" s="15"/>
      <c r="M2638" s="15" t="s">
        <v>29</v>
      </c>
    </row>
    <row r="2639" spans="1:13" x14ac:dyDescent="0.25">
      <c r="A2639" s="23">
        <f t="shared" si="130"/>
        <v>228063</v>
      </c>
      <c r="B2639" s="14" t="str">
        <f t="shared" si="131"/>
        <v>Direct Debit (UMB Bank) - Credits</v>
      </c>
      <c r="C2639" s="37">
        <v>46168</v>
      </c>
      <c r="D2639" s="31">
        <v>228063</v>
      </c>
      <c r="E2639" s="33" t="str">
        <f>IF(Table3[[#This Row],[Type Received]]=2,"CC",(IF(Table3[[#This Row],[Type Received]]=3,"BILL","ACH")))</f>
        <v>ACH</v>
      </c>
      <c r="F2639" s="32">
        <v>75.28</v>
      </c>
      <c r="G2639" s="14" t="str">
        <f>VLOOKUP(D2639,Table4[],3,FALSE)</f>
        <v>2</v>
      </c>
      <c r="H2639" s="15"/>
      <c r="I2639" s="15"/>
      <c r="J2639" s="15" t="s">
        <v>110</v>
      </c>
      <c r="K2639" s="15">
        <v>828223145</v>
      </c>
      <c r="L2639" s="15" t="s">
        <v>29</v>
      </c>
      <c r="M2639" s="15" t="s">
        <v>29</v>
      </c>
    </row>
    <row r="2640" spans="1:13" x14ac:dyDescent="0.25">
      <c r="A2640" s="23">
        <f t="shared" si="130"/>
        <v>228106</v>
      </c>
      <c r="B2640" s="14" t="str">
        <f t="shared" si="131"/>
        <v>Credit Cards (UMB) - Credits</v>
      </c>
      <c r="C2640" s="38">
        <v>46168</v>
      </c>
      <c r="D2640" s="34">
        <v>228106</v>
      </c>
      <c r="E2640" s="36" t="str">
        <f>IF(Table3[[#This Row],[Type Received]]=2,"CC",(IF(Table3[[#This Row],[Type Received]]=3,"BILL","ACH")))</f>
        <v>CC</v>
      </c>
      <c r="F2640" s="35">
        <v>33.79</v>
      </c>
      <c r="G2640" s="14" t="str">
        <f>VLOOKUP(D2640,Table4[],3,FALSE)</f>
        <v>1</v>
      </c>
      <c r="H2640" s="15"/>
      <c r="I2640" s="15"/>
      <c r="J2640" s="15" t="s">
        <v>110</v>
      </c>
      <c r="K2640" s="15">
        <v>828260013</v>
      </c>
      <c r="L2640" s="15" t="s">
        <v>29</v>
      </c>
      <c r="M2640" s="15" t="s">
        <v>29</v>
      </c>
    </row>
    <row r="2641" spans="1:13" x14ac:dyDescent="0.25">
      <c r="A2641" s="23">
        <f t="shared" si="130"/>
        <v>228135</v>
      </c>
      <c r="B2641" s="14" t="str">
        <f t="shared" si="131"/>
        <v>Direct Debit (UMB Bank) - Credits</v>
      </c>
      <c r="C2641" s="37">
        <v>46144</v>
      </c>
      <c r="D2641" s="31">
        <v>228135</v>
      </c>
      <c r="E2641" s="33" t="str">
        <f>IF(Table3[[#This Row],[Type Received]]=2,"CC",(IF(Table3[[#This Row],[Type Received]]=3,"BILL","ACH")))</f>
        <v>ACH</v>
      </c>
      <c r="F2641" s="32">
        <v>33.81</v>
      </c>
      <c r="G2641" s="14" t="str">
        <f>VLOOKUP(D2641,Table4[],3,FALSE)</f>
        <v>1</v>
      </c>
      <c r="H2641" s="15"/>
      <c r="I2641" s="15" t="s">
        <v>258</v>
      </c>
      <c r="J2641" s="24" t="s">
        <v>28</v>
      </c>
      <c r="K2641" s="15">
        <v>535418160</v>
      </c>
      <c r="L2641" s="15" t="s">
        <v>29</v>
      </c>
      <c r="M2641" s="15" t="s">
        <v>29</v>
      </c>
    </row>
    <row r="2642" spans="1:13" x14ac:dyDescent="0.25">
      <c r="A2642" s="23">
        <f t="shared" si="130"/>
        <v>228176</v>
      </c>
      <c r="B2642" s="14" t="str">
        <f t="shared" si="131"/>
        <v>Credit Cards (UMB) - Credits</v>
      </c>
      <c r="C2642" s="38">
        <v>46168</v>
      </c>
      <c r="D2642" s="34">
        <v>228176</v>
      </c>
      <c r="E2642" s="36" t="str">
        <f>IF(Table3[[#This Row],[Type Received]]=2,"CC",(IF(Table3[[#This Row],[Type Received]]=3,"BILL","ACH")))</f>
        <v>CC</v>
      </c>
      <c r="F2642" s="35">
        <v>20.64</v>
      </c>
      <c r="G2642" s="14" t="str">
        <f>VLOOKUP(D2642,Table4[],3,FALSE)</f>
        <v>2</v>
      </c>
      <c r="H2642" s="15"/>
      <c r="I2642" s="15"/>
      <c r="J2642" s="24" t="s">
        <v>110</v>
      </c>
      <c r="K2642" s="15">
        <v>828260034</v>
      </c>
      <c r="L2642" s="15" t="s">
        <v>29</v>
      </c>
      <c r="M2642" s="15" t="s">
        <v>29</v>
      </c>
    </row>
    <row r="2643" spans="1:13" x14ac:dyDescent="0.25">
      <c r="A2643" s="23">
        <f t="shared" si="130"/>
        <v>228198</v>
      </c>
      <c r="B2643" s="14" t="str">
        <f t="shared" si="131"/>
        <v>Direct Debit (UMB Bank) - Credits</v>
      </c>
      <c r="C2643" s="37">
        <v>46168</v>
      </c>
      <c r="D2643" s="31">
        <v>228198</v>
      </c>
      <c r="E2643" s="33" t="str">
        <f>IF(Table3[[#This Row],[Type Received]]=2,"CC",(IF(Table3[[#This Row],[Type Received]]=3,"BILL","ACH")))</f>
        <v>ACH</v>
      </c>
      <c r="F2643" s="32">
        <v>24.11</v>
      </c>
      <c r="G2643" s="14" t="str">
        <f>VLOOKUP(D2643,Table4[],3,FALSE)</f>
        <v>2</v>
      </c>
      <c r="H2643" s="15"/>
      <c r="I2643" s="15">
        <v>90716</v>
      </c>
      <c r="J2643" s="15" t="s">
        <v>28</v>
      </c>
      <c r="K2643" s="15">
        <v>828301543</v>
      </c>
      <c r="L2643" s="15" t="s">
        <v>29</v>
      </c>
      <c r="M2643" s="15" t="s">
        <v>29</v>
      </c>
    </row>
    <row r="2644" spans="1:13" x14ac:dyDescent="0.25">
      <c r="A2644" s="23">
        <f t="shared" si="130"/>
        <v>228618</v>
      </c>
      <c r="B2644" s="14" t="str">
        <f t="shared" si="131"/>
        <v>Billing - Credits (from TPA)</v>
      </c>
      <c r="C2644" s="38">
        <v>46144</v>
      </c>
      <c r="D2644" s="34">
        <v>228618</v>
      </c>
      <c r="E2644" s="36" t="str">
        <f>IF(Table3[[#This Row],[Type Received]]=2,"CC",(IF(Table3[[#This Row],[Type Received]]=3,"BILL","ACH")))</f>
        <v>BILL</v>
      </c>
      <c r="F2644" s="35">
        <v>32.74</v>
      </c>
      <c r="G2644" s="14" t="str">
        <f>VLOOKUP(D2644,Table4[],3,FALSE)</f>
        <v>2</v>
      </c>
      <c r="H2644" s="15"/>
      <c r="I2644" s="15"/>
      <c r="J2644" s="15" t="s">
        <v>89</v>
      </c>
      <c r="K2644" s="15">
        <v>535416185</v>
      </c>
      <c r="L2644" s="15" t="s">
        <v>29</v>
      </c>
      <c r="M2644" s="15" t="s">
        <v>29</v>
      </c>
    </row>
    <row r="2645" spans="1:13" x14ac:dyDescent="0.25">
      <c r="A2645" s="23">
        <f t="shared" si="130"/>
        <v>228619</v>
      </c>
      <c r="B2645" s="14" t="str">
        <f t="shared" si="131"/>
        <v>Direct Debit (UMB Bank) - Credits</v>
      </c>
      <c r="C2645" s="37">
        <v>46168</v>
      </c>
      <c r="D2645" s="31">
        <v>228619</v>
      </c>
      <c r="E2645" s="33" t="str">
        <f>IF(Table3[[#This Row],[Type Received]]=2,"CC",(IF(Table3[[#This Row],[Type Received]]=3,"BILL","ACH")))</f>
        <v>ACH</v>
      </c>
      <c r="F2645" s="32">
        <v>50.24</v>
      </c>
      <c r="G2645" s="14" t="str">
        <f>VLOOKUP(D2645,Table4[],3,FALSE)</f>
        <v>2</v>
      </c>
      <c r="H2645" s="15">
        <v>55052420827</v>
      </c>
      <c r="I2645" s="15"/>
      <c r="J2645" s="15"/>
      <c r="K2645" s="15"/>
      <c r="L2645" s="15"/>
      <c r="M2645" s="15" t="s">
        <v>29</v>
      </c>
    </row>
    <row r="2646" spans="1:13" x14ac:dyDescent="0.25">
      <c r="A2646" s="23">
        <f t="shared" si="130"/>
        <v>228701</v>
      </c>
      <c r="B2646" s="14" t="str">
        <f t="shared" si="131"/>
        <v>Credit Cards (UMB) - Credits</v>
      </c>
      <c r="C2646" s="38">
        <v>46157</v>
      </c>
      <c r="D2646" s="34">
        <v>228701</v>
      </c>
      <c r="E2646" s="36" t="str">
        <f>IF(Table3[[#This Row],[Type Received]]=2,"CC",(IF(Table3[[#This Row],[Type Received]]=3,"BILL","ACH")))</f>
        <v>CC</v>
      </c>
      <c r="F2646" s="35">
        <v>33.950000000000003</v>
      </c>
      <c r="G2646" s="14" t="str">
        <f>VLOOKUP(D2646,Table4[],3,FALSE)</f>
        <v>1</v>
      </c>
      <c r="H2646" s="15"/>
      <c r="I2646" s="15"/>
      <c r="J2646" s="15" t="s">
        <v>87</v>
      </c>
      <c r="K2646" s="15">
        <v>696760005</v>
      </c>
      <c r="L2646" s="15" t="s">
        <v>29</v>
      </c>
      <c r="M2646" s="15" t="s">
        <v>29</v>
      </c>
    </row>
    <row r="2647" spans="1:13" x14ac:dyDescent="0.25">
      <c r="A2647" s="23">
        <f t="shared" si="130"/>
        <v>228728</v>
      </c>
      <c r="B2647" s="14" t="str">
        <f t="shared" si="131"/>
        <v>Direct Debit (UMB Bank) - Credits</v>
      </c>
      <c r="C2647" s="37">
        <v>46170</v>
      </c>
      <c r="D2647" s="31">
        <v>228728</v>
      </c>
      <c r="E2647" s="33" t="str">
        <f>IF(Table3[[#This Row],[Type Received]]=2,"CC",(IF(Table3[[#This Row],[Type Received]]=3,"BILL","ACH")))</f>
        <v>ACH</v>
      </c>
      <c r="F2647" s="32">
        <v>71.03</v>
      </c>
      <c r="G2647" s="14" t="str">
        <f>VLOOKUP(D2647,Table4[],3,FALSE)</f>
        <v>2</v>
      </c>
      <c r="H2647" s="15"/>
      <c r="I2647" s="15">
        <v>101156</v>
      </c>
      <c r="J2647" s="15" t="s">
        <v>28</v>
      </c>
      <c r="K2647" s="15">
        <v>853301202</v>
      </c>
      <c r="L2647" s="15" t="s">
        <v>29</v>
      </c>
      <c r="M2647" s="15" t="s">
        <v>29</v>
      </c>
    </row>
    <row r="2648" spans="1:13" x14ac:dyDescent="0.25">
      <c r="A2648" s="23">
        <f t="shared" si="130"/>
        <v>228756</v>
      </c>
      <c r="B2648" s="14" t="str">
        <f t="shared" si="131"/>
        <v>Direct Debit (UMB Bank) - Credits</v>
      </c>
      <c r="C2648" s="38">
        <v>46147</v>
      </c>
      <c r="D2648" s="34">
        <v>228756</v>
      </c>
      <c r="E2648" s="36" t="str">
        <f>IF(Table3[[#This Row],[Type Received]]=2,"CC",(IF(Table3[[#This Row],[Type Received]]=3,"BILL","ACH")))</f>
        <v>ACH</v>
      </c>
      <c r="F2648" s="35">
        <v>104.36</v>
      </c>
      <c r="G2648" s="14" t="str">
        <f>VLOOKUP(D2648,Table4[],3,FALSE)</f>
        <v>2</v>
      </c>
      <c r="H2648" s="15"/>
      <c r="I2648" s="15"/>
      <c r="J2648" s="15" t="s">
        <v>86</v>
      </c>
      <c r="K2648" s="15">
        <v>570412961</v>
      </c>
      <c r="L2648" s="15" t="s">
        <v>29</v>
      </c>
      <c r="M2648" s="15" t="s">
        <v>29</v>
      </c>
    </row>
    <row r="2649" spans="1:13" x14ac:dyDescent="0.25">
      <c r="A2649" s="23">
        <f t="shared" si="130"/>
        <v>228778</v>
      </c>
      <c r="B2649" s="14" t="str">
        <f t="shared" si="131"/>
        <v>Direct Debit (UMB Bank) - Credits</v>
      </c>
      <c r="C2649" s="37">
        <v>46146</v>
      </c>
      <c r="D2649" s="31">
        <v>228778</v>
      </c>
      <c r="E2649" s="33" t="str">
        <f>IF(Table3[[#This Row],[Type Received]]=2,"CC",(IF(Table3[[#This Row],[Type Received]]=3,"BILL","ACH")))</f>
        <v>ACH</v>
      </c>
      <c r="F2649" s="32">
        <v>21.75</v>
      </c>
      <c r="G2649" s="14" t="str">
        <f>VLOOKUP(D2649,Table4[],3,FALSE)</f>
        <v>1</v>
      </c>
      <c r="H2649" s="15"/>
      <c r="I2649" s="15"/>
      <c r="J2649" s="15" t="s">
        <v>92</v>
      </c>
      <c r="K2649" s="15">
        <v>557086455</v>
      </c>
      <c r="L2649" s="15" t="s">
        <v>29</v>
      </c>
      <c r="M2649" s="15" t="s">
        <v>29</v>
      </c>
    </row>
    <row r="2650" spans="1:13" x14ac:dyDescent="0.25">
      <c r="A2650" s="23">
        <f t="shared" si="130"/>
        <v>228799</v>
      </c>
      <c r="B2650" s="14" t="str">
        <f t="shared" si="131"/>
        <v>Direct Debit (UMB Bank) - Credits</v>
      </c>
      <c r="C2650" s="38">
        <v>46144</v>
      </c>
      <c r="D2650" s="34">
        <v>228799</v>
      </c>
      <c r="E2650" s="36" t="str">
        <f>IF(Table3[[#This Row],[Type Received]]=2,"CC",(IF(Table3[[#This Row],[Type Received]]=3,"BILL","ACH")))</f>
        <v>ACH</v>
      </c>
      <c r="F2650" s="35">
        <v>100.06</v>
      </c>
      <c r="G2650" s="14" t="str">
        <f>VLOOKUP(D2650,Table4[],3,FALSE)</f>
        <v>2</v>
      </c>
      <c r="H2650" s="15"/>
      <c r="I2650" s="15"/>
      <c r="J2650" s="15" t="s">
        <v>89</v>
      </c>
      <c r="K2650" s="15">
        <v>535407475</v>
      </c>
      <c r="L2650" s="15" t="s">
        <v>29</v>
      </c>
      <c r="M2650" s="15" t="s">
        <v>29</v>
      </c>
    </row>
    <row r="2651" spans="1:13" x14ac:dyDescent="0.25">
      <c r="A2651" s="23">
        <f t="shared" si="130"/>
        <v>228443</v>
      </c>
      <c r="B2651" s="14" t="str">
        <f t="shared" si="131"/>
        <v>Direct Debit (UMB Bank) - Credits</v>
      </c>
      <c r="C2651" s="37">
        <v>46157</v>
      </c>
      <c r="D2651" s="31">
        <v>228443</v>
      </c>
      <c r="E2651" s="33" t="str">
        <f>IF(Table3[[#This Row],[Type Received]]=2,"CC",(IF(Table3[[#This Row],[Type Received]]=3,"BILL","ACH")))</f>
        <v>ACH</v>
      </c>
      <c r="F2651" s="32">
        <v>52.87</v>
      </c>
      <c r="G2651" s="14" t="str">
        <f>VLOOKUP(D2651,Table4[],3,FALSE)</f>
        <v>2</v>
      </c>
      <c r="H2651" s="15"/>
      <c r="I2651" s="15"/>
      <c r="J2651" s="15" t="s">
        <v>87</v>
      </c>
      <c r="K2651" s="15">
        <v>696783260</v>
      </c>
      <c r="L2651" s="15" t="s">
        <v>29</v>
      </c>
      <c r="M2651" s="15" t="s">
        <v>29</v>
      </c>
    </row>
    <row r="2652" spans="1:13" x14ac:dyDescent="0.25">
      <c r="A2652" s="23">
        <f t="shared" si="130"/>
        <v>228461</v>
      </c>
      <c r="B2652" s="14" t="str">
        <f t="shared" si="131"/>
        <v>Billing - Credits (from TPA)</v>
      </c>
      <c r="C2652" s="38">
        <v>46168</v>
      </c>
      <c r="D2652" s="34">
        <v>228461</v>
      </c>
      <c r="E2652" s="36" t="str">
        <f>IF(Table3[[#This Row],[Type Received]]=2,"CC",(IF(Table3[[#This Row],[Type Received]]=3,"BILL","ACH")))</f>
        <v>BILL</v>
      </c>
      <c r="F2652" s="35">
        <v>13.01</v>
      </c>
      <c r="G2652" s="14" t="str">
        <f>VLOOKUP(D2652,Table4[],3,FALSE)</f>
        <v>1</v>
      </c>
      <c r="H2652" s="15"/>
      <c r="I2652" s="15"/>
      <c r="J2652" s="24" t="s">
        <v>110</v>
      </c>
      <c r="K2652" s="15">
        <v>828283346</v>
      </c>
      <c r="L2652" s="15" t="s">
        <v>29</v>
      </c>
      <c r="M2652" s="15" t="s">
        <v>29</v>
      </c>
    </row>
    <row r="2653" spans="1:13" x14ac:dyDescent="0.25">
      <c r="A2653" s="23">
        <f t="shared" si="130"/>
        <v>228474</v>
      </c>
      <c r="B2653" s="14" t="str">
        <f t="shared" si="131"/>
        <v>Direct Debit (UMB Bank) - Credits</v>
      </c>
      <c r="C2653" s="37">
        <v>46153</v>
      </c>
      <c r="D2653" s="31">
        <v>228474</v>
      </c>
      <c r="E2653" s="33" t="str">
        <f>IF(Table3[[#This Row],[Type Received]]=2,"CC",(IF(Table3[[#This Row],[Type Received]]=3,"BILL","ACH")))</f>
        <v>ACH</v>
      </c>
      <c r="F2653" s="32">
        <v>89.51</v>
      </c>
      <c r="G2653" s="14" t="str">
        <f>VLOOKUP(D2653,Table4[],3,FALSE)</f>
        <v>2</v>
      </c>
      <c r="H2653" s="15">
        <v>8906</v>
      </c>
      <c r="I2653" s="15"/>
      <c r="J2653" s="15"/>
      <c r="K2653" s="15"/>
      <c r="L2653" s="15"/>
      <c r="M2653" s="15" t="s">
        <v>29</v>
      </c>
    </row>
    <row r="2654" spans="1:13" x14ac:dyDescent="0.25">
      <c r="A2654" s="23">
        <f t="shared" si="130"/>
        <v>228478</v>
      </c>
      <c r="B2654" s="14" t="str">
        <f t="shared" si="131"/>
        <v>Billing - Credits (from TPA)</v>
      </c>
      <c r="C2654" s="38">
        <v>46168</v>
      </c>
      <c r="D2654" s="34">
        <v>228478</v>
      </c>
      <c r="E2654" s="36" t="str">
        <f>IF(Table3[[#This Row],[Type Received]]=2,"CC",(IF(Table3[[#This Row],[Type Received]]=3,"BILL","ACH")))</f>
        <v>BILL</v>
      </c>
      <c r="F2654" s="35">
        <v>22.07</v>
      </c>
      <c r="G2654" s="14" t="str">
        <f>VLOOKUP(D2654,Table4[],3,FALSE)</f>
        <v>1</v>
      </c>
      <c r="H2654" s="15"/>
      <c r="I2654" s="15"/>
      <c r="J2654" s="15" t="s">
        <v>110</v>
      </c>
      <c r="K2654" s="15">
        <v>828280535</v>
      </c>
      <c r="L2654" s="15" t="s">
        <v>29</v>
      </c>
      <c r="M2654" s="15" t="s">
        <v>29</v>
      </c>
    </row>
    <row r="2655" spans="1:13" x14ac:dyDescent="0.25">
      <c r="A2655" s="23">
        <f t="shared" si="130"/>
        <v>228552</v>
      </c>
      <c r="B2655" s="14" t="str">
        <f t="shared" si="131"/>
        <v>Direct Debit (UMB Bank) - Credits</v>
      </c>
      <c r="C2655" s="37">
        <v>46146</v>
      </c>
      <c r="D2655" s="31">
        <v>228552</v>
      </c>
      <c r="E2655" s="33" t="str">
        <f>IF(Table3[[#This Row],[Type Received]]=2,"CC",(IF(Table3[[#This Row],[Type Received]]=3,"BILL","ACH")))</f>
        <v>ACH</v>
      </c>
      <c r="F2655" s="32">
        <v>65.75</v>
      </c>
      <c r="G2655" s="14" t="str">
        <f>VLOOKUP(D2655,Table4[],3,FALSE)</f>
        <v>2</v>
      </c>
      <c r="H2655" s="15">
        <v>2531</v>
      </c>
      <c r="I2655" s="15"/>
      <c r="J2655" s="15"/>
      <c r="K2655" s="15"/>
      <c r="L2655" s="15"/>
      <c r="M2655" s="15" t="s">
        <v>29</v>
      </c>
    </row>
    <row r="2656" spans="1:13" x14ac:dyDescent="0.25">
      <c r="A2656" s="23">
        <f t="shared" si="130"/>
        <v>228606</v>
      </c>
      <c r="B2656" s="14" t="str">
        <f t="shared" si="131"/>
        <v>Credit Cards (UMB) - Credits</v>
      </c>
      <c r="C2656" s="38">
        <v>46157</v>
      </c>
      <c r="D2656" s="34">
        <v>228606</v>
      </c>
      <c r="E2656" s="36" t="str">
        <f>IF(Table3[[#This Row],[Type Received]]=2,"CC",(IF(Table3[[#This Row],[Type Received]]=3,"BILL","ACH")))</f>
        <v>CC</v>
      </c>
      <c r="F2656" s="35">
        <v>132.07</v>
      </c>
      <c r="G2656" s="14" t="str">
        <f>VLOOKUP(D2656,Table4[],3,FALSE)</f>
        <v>2</v>
      </c>
      <c r="H2656" s="15"/>
      <c r="I2656" s="15"/>
      <c r="J2656" s="15" t="s">
        <v>87</v>
      </c>
      <c r="K2656" s="15">
        <v>696778503</v>
      </c>
      <c r="L2656" s="15" t="s">
        <v>29</v>
      </c>
      <c r="M2656" s="15" t="s">
        <v>29</v>
      </c>
    </row>
    <row r="2657" spans="1:13" x14ac:dyDescent="0.25">
      <c r="A2657" s="23">
        <f t="shared" si="130"/>
        <v>228907</v>
      </c>
      <c r="B2657" s="14" t="str">
        <f t="shared" si="131"/>
        <v>Direct Debit (UMB Bank) - Credits</v>
      </c>
      <c r="C2657" s="37">
        <v>46146</v>
      </c>
      <c r="D2657" s="31">
        <v>228907</v>
      </c>
      <c r="E2657" s="33" t="str">
        <f>IF(Table3[[#This Row],[Type Received]]=2,"CC",(IF(Table3[[#This Row],[Type Received]]=3,"BILL","ACH")))</f>
        <v>ACH</v>
      </c>
      <c r="F2657" s="32">
        <v>70.66</v>
      </c>
      <c r="G2657" s="14" t="str">
        <f>VLOOKUP(D2657,Table4[],3,FALSE)</f>
        <v>1</v>
      </c>
      <c r="H2657" s="15"/>
      <c r="I2657" s="15">
        <v>2095</v>
      </c>
      <c r="J2657" s="24" t="s">
        <v>28</v>
      </c>
      <c r="K2657" s="15">
        <v>561241443</v>
      </c>
      <c r="L2657" s="15" t="s">
        <v>29</v>
      </c>
      <c r="M2657" s="15" t="s">
        <v>29</v>
      </c>
    </row>
    <row r="2658" spans="1:13" x14ac:dyDescent="0.25">
      <c r="A2658" s="23">
        <f t="shared" ref="A2658:A2693" si="132">D2658</f>
        <v>228955</v>
      </c>
      <c r="B2658" s="14" t="str">
        <f t="shared" si="131"/>
        <v>Direct Debit (UMB Bank) - Credits</v>
      </c>
      <c r="C2658" s="38">
        <v>46157</v>
      </c>
      <c r="D2658" s="34">
        <v>228955</v>
      </c>
      <c r="E2658" s="36" t="str">
        <f>IF(Table3[[#This Row],[Type Received]]=2,"CC",(IF(Table3[[#This Row],[Type Received]]=3,"BILL","ACH")))</f>
        <v>ACH</v>
      </c>
      <c r="F2658" s="35">
        <v>55.95</v>
      </c>
      <c r="G2658" s="14" t="str">
        <f>VLOOKUP(D2658,Table4[],3,FALSE)</f>
        <v>1</v>
      </c>
      <c r="H2658" s="15"/>
      <c r="I2658" s="15"/>
      <c r="J2658" s="15" t="s">
        <v>87</v>
      </c>
      <c r="K2658" s="15">
        <v>696629022</v>
      </c>
      <c r="L2658" s="15" t="s">
        <v>29</v>
      </c>
      <c r="M2658" s="15" t="s">
        <v>29</v>
      </c>
    </row>
    <row r="2659" spans="1:13" x14ac:dyDescent="0.25">
      <c r="A2659" s="23">
        <f t="shared" si="132"/>
        <v>228961</v>
      </c>
      <c r="B2659" s="14" t="str">
        <f t="shared" si="131"/>
        <v>Direct Debit (UMB Bank) - Credits</v>
      </c>
      <c r="C2659" s="37">
        <v>46157</v>
      </c>
      <c r="D2659" s="31">
        <v>228961</v>
      </c>
      <c r="E2659" s="33" t="str">
        <f>IF(Table3[[#This Row],[Type Received]]=2,"CC",(IF(Table3[[#This Row],[Type Received]]=3,"BILL","ACH")))</f>
        <v>ACH</v>
      </c>
      <c r="F2659" s="32">
        <v>36.15</v>
      </c>
      <c r="G2659" s="14" t="str">
        <f>VLOOKUP(D2659,Table4[],3,FALSE)</f>
        <v>1</v>
      </c>
      <c r="H2659" s="15"/>
      <c r="I2659" s="15"/>
      <c r="J2659" s="15" t="s">
        <v>87</v>
      </c>
      <c r="K2659" s="15">
        <v>696781321</v>
      </c>
      <c r="L2659" s="15" t="s">
        <v>29</v>
      </c>
      <c r="M2659" s="15"/>
    </row>
    <row r="2660" spans="1:13" x14ac:dyDescent="0.25">
      <c r="A2660" s="23">
        <f t="shared" si="132"/>
        <v>228968</v>
      </c>
      <c r="B2660" s="14" t="str">
        <f t="shared" si="131"/>
        <v>Credit Cards (UMB) - Credits</v>
      </c>
      <c r="C2660" s="38">
        <v>46168</v>
      </c>
      <c r="D2660" s="34">
        <v>228968</v>
      </c>
      <c r="E2660" s="36" t="str">
        <f>IF(Table3[[#This Row],[Type Received]]=2,"CC",(IF(Table3[[#This Row],[Type Received]]=3,"BILL","ACH")))</f>
        <v>CC</v>
      </c>
      <c r="F2660" s="35">
        <v>74.87</v>
      </c>
      <c r="G2660" s="14" t="str">
        <f>VLOOKUP(D2660,Table4[],3,FALSE)</f>
        <v>1</v>
      </c>
      <c r="H2660" s="15"/>
      <c r="I2660" s="15"/>
      <c r="J2660" s="15" t="s">
        <v>110</v>
      </c>
      <c r="K2660" s="15">
        <v>828261019</v>
      </c>
      <c r="L2660" s="15" t="s">
        <v>29</v>
      </c>
      <c r="M2660" s="15"/>
    </row>
    <row r="2661" spans="1:13" x14ac:dyDescent="0.25">
      <c r="A2661" s="23">
        <f t="shared" si="132"/>
        <v>229225</v>
      </c>
      <c r="B2661" s="14" t="str">
        <f t="shared" si="131"/>
        <v>Credit Cards (UMB) - Credits</v>
      </c>
      <c r="C2661" s="37">
        <v>46170</v>
      </c>
      <c r="D2661" s="31">
        <v>229225</v>
      </c>
      <c r="E2661" s="33" t="str">
        <f>IF(Table3[[#This Row],[Type Received]]=2,"CC",(IF(Table3[[#This Row],[Type Received]]=3,"BILL","ACH")))</f>
        <v>CC</v>
      </c>
      <c r="F2661" s="32">
        <v>133.72999999999999</v>
      </c>
      <c r="G2661" s="14" t="str">
        <f>VLOOKUP(D2661,Table4[],3,FALSE)</f>
        <v>2</v>
      </c>
      <c r="H2661" s="15"/>
      <c r="I2661" s="15" t="s">
        <v>259</v>
      </c>
      <c r="J2661" s="15">
        <v>749514569</v>
      </c>
      <c r="K2661" s="15">
        <v>356131661</v>
      </c>
      <c r="L2661" s="15"/>
      <c r="M2661" s="15"/>
    </row>
    <row r="2662" spans="1:13" x14ac:dyDescent="0.25">
      <c r="A2662" s="23">
        <f t="shared" si="132"/>
        <v>229225</v>
      </c>
      <c r="B2662" s="14" t="str">
        <f t="shared" si="131"/>
        <v>Credit Cards (UMB) - Credits</v>
      </c>
      <c r="C2662" s="38">
        <v>46143</v>
      </c>
      <c r="D2662" s="34">
        <v>229225</v>
      </c>
      <c r="E2662" s="36" t="str">
        <f>IF(Table3[[#This Row],[Type Received]]=2,"CC",(IF(Table3[[#This Row],[Type Received]]=3,"BILL","ACH")))</f>
        <v>CC</v>
      </c>
      <c r="F2662" s="35">
        <v>133.72999999999999</v>
      </c>
      <c r="G2662" s="14" t="str">
        <f>VLOOKUP(D2662,Table4[],3,FALSE)</f>
        <v>2</v>
      </c>
      <c r="H2662" s="15"/>
      <c r="I2662" s="15" t="s">
        <v>260</v>
      </c>
      <c r="J2662" s="15">
        <v>741374152</v>
      </c>
      <c r="K2662" s="15">
        <v>353195187</v>
      </c>
      <c r="L2662" s="15"/>
      <c r="M2662" s="15"/>
    </row>
    <row r="2663" spans="1:13" x14ac:dyDescent="0.25">
      <c r="A2663" s="23">
        <f t="shared" si="132"/>
        <v>229249</v>
      </c>
      <c r="B2663" s="14" t="str">
        <f t="shared" si="131"/>
        <v>Billing - Credits (from TPA)</v>
      </c>
      <c r="C2663" s="37">
        <v>46155</v>
      </c>
      <c r="D2663" s="31">
        <v>229249</v>
      </c>
      <c r="E2663" s="33" t="str">
        <f>IF(Table3[[#This Row],[Type Received]]=2,"CC",(IF(Table3[[#This Row],[Type Received]]=3,"BILL","ACH")))</f>
        <v>BILL</v>
      </c>
      <c r="F2663" s="32">
        <v>29.11</v>
      </c>
      <c r="G2663" s="14" t="str">
        <f>VLOOKUP(D2663,Table4[],3,FALSE)</f>
        <v>1</v>
      </c>
      <c r="H2663" s="15"/>
      <c r="I2663" s="15">
        <v>3581</v>
      </c>
      <c r="J2663" s="15" t="s">
        <v>28</v>
      </c>
      <c r="K2663" s="15">
        <v>669496563</v>
      </c>
      <c r="L2663" s="15" t="s">
        <v>29</v>
      </c>
      <c r="M2663" s="15" t="s">
        <v>29</v>
      </c>
    </row>
    <row r="2664" spans="1:13" x14ac:dyDescent="0.25">
      <c r="A2664" s="23">
        <f t="shared" si="132"/>
        <v>229254</v>
      </c>
      <c r="B2664" s="14" t="str">
        <f t="shared" si="131"/>
        <v>Direct Debit (UMB Bank) - Credits</v>
      </c>
      <c r="C2664" s="38">
        <v>46161</v>
      </c>
      <c r="D2664" s="34">
        <v>229254</v>
      </c>
      <c r="E2664" s="36" t="str">
        <f>IF(Table3[[#This Row],[Type Received]]=2,"CC",(IF(Table3[[#This Row],[Type Received]]=3,"BILL","ACH")))</f>
        <v>ACH</v>
      </c>
      <c r="F2664" s="35">
        <v>74.180000000000007</v>
      </c>
      <c r="G2664" s="14" t="str">
        <f>VLOOKUP(D2664,Table4[],3,FALSE)</f>
        <v>1</v>
      </c>
      <c r="H2664" s="15">
        <v>6126</v>
      </c>
      <c r="I2664" s="15"/>
      <c r="J2664" s="15"/>
      <c r="K2664" s="15"/>
      <c r="L2664" s="15"/>
      <c r="M2664" s="15"/>
    </row>
    <row r="2665" spans="1:13" x14ac:dyDescent="0.25">
      <c r="A2665" s="23">
        <f t="shared" si="132"/>
        <v>229255</v>
      </c>
      <c r="B2665" s="14" t="str">
        <f t="shared" si="131"/>
        <v>Direct Debit (UMB Bank) - Credits</v>
      </c>
      <c r="C2665" s="37">
        <v>46169</v>
      </c>
      <c r="D2665" s="31">
        <v>229255</v>
      </c>
      <c r="E2665" s="33" t="str">
        <f>IF(Table3[[#This Row],[Type Received]]=2,"CC",(IF(Table3[[#This Row],[Type Received]]=3,"BILL","ACH")))</f>
        <v>ACH</v>
      </c>
      <c r="F2665" s="32">
        <v>107.29</v>
      </c>
      <c r="G2665" s="14" t="str">
        <f>VLOOKUP(D2665,Table4[],3,FALSE)</f>
        <v>2</v>
      </c>
      <c r="H2665" s="15"/>
      <c r="I2665" s="15"/>
      <c r="J2665" s="15" t="s">
        <v>117</v>
      </c>
      <c r="K2665" s="15">
        <v>840874568</v>
      </c>
      <c r="L2665" s="15" t="s">
        <v>29</v>
      </c>
      <c r="M2665" s="15" t="s">
        <v>29</v>
      </c>
    </row>
    <row r="2666" spans="1:13" x14ac:dyDescent="0.25">
      <c r="A2666" s="23">
        <f t="shared" si="132"/>
        <v>229261</v>
      </c>
      <c r="B2666" s="14" t="str">
        <f t="shared" si="131"/>
        <v>Direct Debit (UMB Bank) - Credits</v>
      </c>
      <c r="C2666" s="38">
        <v>46143</v>
      </c>
      <c r="D2666" s="34">
        <v>229261</v>
      </c>
      <c r="E2666" s="36" t="str">
        <f>IF(Table3[[#This Row],[Type Received]]=2,"CC",(IF(Table3[[#This Row],[Type Received]]=3,"BILL","ACH")))</f>
        <v>ACH</v>
      </c>
      <c r="F2666" s="35">
        <v>33.29</v>
      </c>
      <c r="G2666" s="14" t="str">
        <f>VLOOKUP(D2666,Table4[],3,FALSE)</f>
        <v>1</v>
      </c>
      <c r="H2666" s="15"/>
      <c r="I2666" s="15"/>
      <c r="J2666" s="15" t="s">
        <v>84</v>
      </c>
      <c r="K2666" s="15">
        <v>522211714</v>
      </c>
      <c r="L2666" s="15" t="s">
        <v>29</v>
      </c>
      <c r="M2666" s="15" t="s">
        <v>29</v>
      </c>
    </row>
    <row r="2667" spans="1:13" x14ac:dyDescent="0.25">
      <c r="A2667" s="23">
        <f t="shared" si="132"/>
        <v>229300</v>
      </c>
      <c r="B2667" s="14" t="str">
        <f t="shared" si="131"/>
        <v>Direct Debit (UMB Bank) - Credits</v>
      </c>
      <c r="C2667" s="37">
        <v>46168</v>
      </c>
      <c r="D2667" s="31">
        <v>229300</v>
      </c>
      <c r="E2667" s="33" t="str">
        <f>IF(Table3[[#This Row],[Type Received]]=2,"CC",(IF(Table3[[#This Row],[Type Received]]=3,"BILL","ACH")))</f>
        <v>ACH</v>
      </c>
      <c r="F2667" s="32">
        <v>39.229999999999997</v>
      </c>
      <c r="G2667" s="14" t="str">
        <f>VLOOKUP(D2667,Table4[],3,FALSE)</f>
        <v>1</v>
      </c>
      <c r="H2667" s="15"/>
      <c r="I2667" s="15"/>
      <c r="J2667" s="15" t="s">
        <v>110</v>
      </c>
      <c r="K2667" s="15">
        <v>828273915</v>
      </c>
      <c r="L2667" s="15" t="s">
        <v>29</v>
      </c>
      <c r="M2667" s="15" t="s">
        <v>29</v>
      </c>
    </row>
    <row r="2668" spans="1:13" x14ac:dyDescent="0.25">
      <c r="A2668" s="23">
        <f t="shared" si="132"/>
        <v>229062</v>
      </c>
      <c r="B2668" s="14" t="str">
        <f t="shared" si="131"/>
        <v>Direct Debit (UMB Bank) - Credits</v>
      </c>
      <c r="C2668" s="38">
        <v>46144</v>
      </c>
      <c r="D2668" s="34">
        <v>229062</v>
      </c>
      <c r="E2668" s="36" t="str">
        <f>IF(Table3[[#This Row],[Type Received]]=2,"CC",(IF(Table3[[#This Row],[Type Received]]=3,"BILL","ACH")))</f>
        <v>ACH</v>
      </c>
      <c r="F2668" s="35">
        <v>94.45</v>
      </c>
      <c r="G2668" s="14" t="str">
        <f>VLOOKUP(D2668,Table4[],3,FALSE)</f>
        <v>2</v>
      </c>
      <c r="H2668" s="15"/>
      <c r="I2668" s="15"/>
      <c r="J2668" s="15" t="s">
        <v>89</v>
      </c>
      <c r="K2668" s="15">
        <v>535408416</v>
      </c>
      <c r="L2668" s="15" t="s">
        <v>29</v>
      </c>
      <c r="M2668" s="15" t="s">
        <v>29</v>
      </c>
    </row>
    <row r="2669" spans="1:13" x14ac:dyDescent="0.25">
      <c r="A2669" s="23">
        <f t="shared" si="132"/>
        <v>229069</v>
      </c>
      <c r="B2669" s="14" t="str">
        <f t="shared" si="131"/>
        <v>Direct Debit (UMB Bank) - Credits</v>
      </c>
      <c r="C2669" s="37">
        <v>46157</v>
      </c>
      <c r="D2669" s="31">
        <v>229069</v>
      </c>
      <c r="E2669" s="33" t="str">
        <f>IF(Table3[[#This Row],[Type Received]]=2,"CC",(IF(Table3[[#This Row],[Type Received]]=3,"BILL","ACH")))</f>
        <v>ACH</v>
      </c>
      <c r="F2669" s="32">
        <v>47.15</v>
      </c>
      <c r="G2669" s="14" t="str">
        <f>VLOOKUP(D2669,Table4[],3,FALSE)</f>
        <v>1</v>
      </c>
      <c r="H2669" s="15"/>
      <c r="I2669" s="15"/>
      <c r="J2669" s="15" t="s">
        <v>87</v>
      </c>
      <c r="K2669" s="15">
        <v>696768842</v>
      </c>
      <c r="L2669" s="15" t="s">
        <v>29</v>
      </c>
      <c r="M2669" s="15" t="s">
        <v>29</v>
      </c>
    </row>
    <row r="2670" spans="1:13" x14ac:dyDescent="0.25">
      <c r="A2670" s="23">
        <f t="shared" si="132"/>
        <v>229071</v>
      </c>
      <c r="B2670" s="14" t="str">
        <f t="shared" si="131"/>
        <v>Billing - Credits (from TPA)</v>
      </c>
      <c r="C2670" s="38">
        <v>46157</v>
      </c>
      <c r="D2670" s="34">
        <v>229071</v>
      </c>
      <c r="E2670" s="36" t="str">
        <f>IF(Table3[[#This Row],[Type Received]]=2,"CC",(IF(Table3[[#This Row],[Type Received]]=3,"BILL","ACH")))</f>
        <v>BILL</v>
      </c>
      <c r="F2670" s="35">
        <v>29.44</v>
      </c>
      <c r="G2670" s="14" t="str">
        <f>VLOOKUP(D2670,Table4[],3,FALSE)</f>
        <v>2</v>
      </c>
      <c r="H2670" s="15"/>
      <c r="I2670" s="15"/>
      <c r="J2670" s="24" t="s">
        <v>87</v>
      </c>
      <c r="K2670" s="15">
        <v>696777533</v>
      </c>
      <c r="L2670" s="15" t="s">
        <v>29</v>
      </c>
      <c r="M2670" s="15" t="s">
        <v>29</v>
      </c>
    </row>
    <row r="2671" spans="1:13" x14ac:dyDescent="0.25">
      <c r="A2671" s="23">
        <f t="shared" si="132"/>
        <v>229147</v>
      </c>
      <c r="B2671" s="14" t="str">
        <f t="shared" si="131"/>
        <v>Credit Cards (UMB) - Credits</v>
      </c>
      <c r="C2671" s="37">
        <v>46143</v>
      </c>
      <c r="D2671" s="31">
        <v>229147</v>
      </c>
      <c r="E2671" s="33" t="str">
        <f>IF(Table3[[#This Row],[Type Received]]=2,"CC",(IF(Table3[[#This Row],[Type Received]]=3,"BILL","ACH")))</f>
        <v>CC</v>
      </c>
      <c r="F2671" s="32">
        <v>35.39</v>
      </c>
      <c r="G2671" s="14" t="str">
        <f>VLOOKUP(D2671,Table4[],3,FALSE)</f>
        <v>2</v>
      </c>
      <c r="H2671" s="15">
        <v>2596</v>
      </c>
      <c r="I2671" s="15"/>
      <c r="J2671" s="15"/>
      <c r="K2671" s="15"/>
      <c r="L2671" s="15"/>
      <c r="M2671" s="15" t="s">
        <v>29</v>
      </c>
    </row>
    <row r="2672" spans="1:13" x14ac:dyDescent="0.25">
      <c r="A2672" s="23">
        <f t="shared" si="132"/>
        <v>229161</v>
      </c>
      <c r="B2672" s="14" t="str">
        <f t="shared" si="131"/>
        <v>Direct Debit (UMB Bank) - Credits</v>
      </c>
      <c r="C2672" s="38">
        <v>46155</v>
      </c>
      <c r="D2672" s="34">
        <v>229161</v>
      </c>
      <c r="E2672" s="36" t="str">
        <f>IF(Table3[[#This Row],[Type Received]]=2,"CC",(IF(Table3[[#This Row],[Type Received]]=3,"BILL","ACH")))</f>
        <v>ACH</v>
      </c>
      <c r="F2672" s="35">
        <v>59.8</v>
      </c>
      <c r="G2672" s="14" t="str">
        <f>VLOOKUP(D2672,Table4[],3,FALSE)</f>
        <v>2</v>
      </c>
      <c r="H2672" s="15"/>
      <c r="I2672" s="15">
        <v>90453</v>
      </c>
      <c r="J2672" s="15" t="s">
        <v>28</v>
      </c>
      <c r="K2672" s="15">
        <v>669501435</v>
      </c>
      <c r="L2672" s="15" t="s">
        <v>29</v>
      </c>
      <c r="M2672" s="15"/>
    </row>
    <row r="2673" spans="1:13" x14ac:dyDescent="0.25">
      <c r="A2673" s="23">
        <f t="shared" si="132"/>
        <v>229165</v>
      </c>
      <c r="B2673" s="14" t="str">
        <f t="shared" si="131"/>
        <v>Direct Debit (UMB Bank) - Credits</v>
      </c>
      <c r="C2673" s="37">
        <v>46157</v>
      </c>
      <c r="D2673" s="31">
        <v>229165</v>
      </c>
      <c r="E2673" s="33" t="str">
        <f>IF(Table3[[#This Row],[Type Received]]=2,"CC",(IF(Table3[[#This Row],[Type Received]]=3,"BILL","ACH")))</f>
        <v>ACH</v>
      </c>
      <c r="F2673" s="32">
        <v>76.959999999999994</v>
      </c>
      <c r="G2673" s="14" t="str">
        <f>VLOOKUP(D2673,Table4[],3,FALSE)</f>
        <v>2</v>
      </c>
      <c r="H2673" s="15"/>
      <c r="I2673" s="15"/>
      <c r="J2673" s="15" t="s">
        <v>87</v>
      </c>
      <c r="K2673" s="15">
        <v>696767889</v>
      </c>
      <c r="L2673" s="15" t="s">
        <v>29</v>
      </c>
      <c r="M2673" s="15" t="s">
        <v>29</v>
      </c>
    </row>
    <row r="2674" spans="1:13" x14ac:dyDescent="0.25">
      <c r="A2674" s="23">
        <f t="shared" si="132"/>
        <v>229167</v>
      </c>
      <c r="B2674" s="14" t="str">
        <f t="shared" si="131"/>
        <v>Billing - Credits (from TPA)</v>
      </c>
      <c r="C2674" s="38">
        <v>46168</v>
      </c>
      <c r="D2674" s="34">
        <v>229167</v>
      </c>
      <c r="E2674" s="36" t="str">
        <f>IF(Table3[[#This Row],[Type Received]]=2,"CC",(IF(Table3[[#This Row],[Type Received]]=3,"BILL","ACH")))</f>
        <v>BILL</v>
      </c>
      <c r="F2674" s="35">
        <v>52.21</v>
      </c>
      <c r="G2674" s="14" t="str">
        <f>VLOOKUP(D2674,Table4[],3,FALSE)</f>
        <v>2</v>
      </c>
      <c r="H2674" s="15"/>
      <c r="I2674" s="15"/>
      <c r="J2674" s="15" t="s">
        <v>110</v>
      </c>
      <c r="K2674" s="15">
        <v>828279614</v>
      </c>
      <c r="L2674" s="15" t="s">
        <v>29</v>
      </c>
      <c r="M2674" s="15" t="s">
        <v>29</v>
      </c>
    </row>
    <row r="2675" spans="1:13" x14ac:dyDescent="0.25">
      <c r="A2675" s="23">
        <f t="shared" si="132"/>
        <v>229204</v>
      </c>
      <c r="B2675" s="14" t="str">
        <f t="shared" si="131"/>
        <v>Direct Debit (UMB Bank) - Credits</v>
      </c>
      <c r="C2675" s="37">
        <v>46168</v>
      </c>
      <c r="D2675" s="31">
        <v>229204</v>
      </c>
      <c r="E2675" s="33" t="str">
        <f>IF(Table3[[#This Row],[Type Received]]=2,"CC",(IF(Table3[[#This Row],[Type Received]]=3,"BILL","ACH")))</f>
        <v>ACH</v>
      </c>
      <c r="F2675" s="32">
        <v>125.22</v>
      </c>
      <c r="G2675" s="14" t="str">
        <f>VLOOKUP(D2675,Table4[],3,FALSE)</f>
        <v>2</v>
      </c>
      <c r="H2675" s="15">
        <v>749</v>
      </c>
      <c r="I2675" s="15"/>
      <c r="J2675" s="15"/>
      <c r="K2675" s="15"/>
      <c r="L2675" s="15"/>
      <c r="M2675" s="15" t="s">
        <v>29</v>
      </c>
    </row>
    <row r="2676" spans="1:13" x14ac:dyDescent="0.25">
      <c r="A2676" s="23">
        <f t="shared" si="132"/>
        <v>229519</v>
      </c>
      <c r="B2676" s="14" t="str">
        <f t="shared" si="131"/>
        <v>Billing - Credits (from TPA)</v>
      </c>
      <c r="C2676" s="38">
        <v>46144</v>
      </c>
      <c r="D2676" s="34">
        <v>229519</v>
      </c>
      <c r="E2676" s="36" t="str">
        <f>IF(Table3[[#This Row],[Type Received]]=2,"CC",(IF(Table3[[#This Row],[Type Received]]=3,"BILL","ACH")))</f>
        <v>BILL</v>
      </c>
      <c r="F2676" s="35">
        <v>55.51</v>
      </c>
      <c r="G2676" s="14" t="str">
        <f>VLOOKUP(D2676,Table4[],3,FALSE)</f>
        <v>1</v>
      </c>
      <c r="H2676" s="15"/>
      <c r="I2676" s="15"/>
      <c r="J2676" s="24" t="s">
        <v>89</v>
      </c>
      <c r="K2676" s="15">
        <v>535416216</v>
      </c>
      <c r="L2676" s="15" t="s">
        <v>29</v>
      </c>
      <c r="M2676" s="15" t="s">
        <v>29</v>
      </c>
    </row>
    <row r="2677" spans="1:13" x14ac:dyDescent="0.25">
      <c r="A2677" s="23">
        <f t="shared" si="132"/>
        <v>229589</v>
      </c>
      <c r="B2677" s="14" t="str">
        <f t="shared" si="131"/>
        <v>Billing - Credits (from TPA)</v>
      </c>
      <c r="C2677" s="37">
        <v>46168</v>
      </c>
      <c r="D2677" s="31">
        <v>229589</v>
      </c>
      <c r="E2677" s="33" t="str">
        <f>IF(Table3[[#This Row],[Type Received]]=2,"CC",(IF(Table3[[#This Row],[Type Received]]=3,"BILL","ACH")))</f>
        <v>BILL</v>
      </c>
      <c r="F2677" s="32">
        <v>25.27</v>
      </c>
      <c r="G2677" s="14" t="str">
        <f>VLOOKUP(D2677,Table4[],3,FALSE)</f>
        <v>1</v>
      </c>
      <c r="H2677" s="15">
        <v>5512</v>
      </c>
      <c r="I2677" s="15"/>
      <c r="J2677" s="15"/>
      <c r="K2677" s="15"/>
      <c r="L2677" s="15"/>
      <c r="M2677" s="15" t="s">
        <v>29</v>
      </c>
    </row>
    <row r="2678" spans="1:13" x14ac:dyDescent="0.25">
      <c r="A2678" s="23">
        <f t="shared" si="132"/>
        <v>229589</v>
      </c>
      <c r="B2678" s="14" t="str">
        <f t="shared" si="131"/>
        <v>Billing - Credits (from TPA)</v>
      </c>
      <c r="C2678" s="38">
        <v>46143</v>
      </c>
      <c r="D2678" s="34">
        <v>229589</v>
      </c>
      <c r="E2678" s="36" t="str">
        <f>IF(Table3[[#This Row],[Type Received]]=2,"CC",(IF(Table3[[#This Row],[Type Received]]=3,"BILL","ACH")))</f>
        <v>BILL</v>
      </c>
      <c r="F2678" s="35">
        <v>25.27</v>
      </c>
      <c r="G2678" s="14" t="str">
        <f>VLOOKUP(D2678,Table4[],3,FALSE)</f>
        <v>1</v>
      </c>
      <c r="H2678" s="15">
        <v>5501</v>
      </c>
      <c r="I2678" s="15"/>
      <c r="J2678" s="15"/>
      <c r="K2678" s="15"/>
      <c r="L2678" s="15"/>
      <c r="M2678" s="15" t="s">
        <v>29</v>
      </c>
    </row>
    <row r="2679" spans="1:13" x14ac:dyDescent="0.25">
      <c r="A2679" s="23">
        <f t="shared" si="132"/>
        <v>229599</v>
      </c>
      <c r="B2679" s="14" t="str">
        <f t="shared" si="131"/>
        <v>Credit Cards (UMB) - Credits</v>
      </c>
      <c r="C2679" s="37">
        <v>46143</v>
      </c>
      <c r="D2679" s="31">
        <v>229599</v>
      </c>
      <c r="E2679" s="33" t="str">
        <f>IF(Table3[[#This Row],[Type Received]]=2,"CC",(IF(Table3[[#This Row],[Type Received]]=3,"BILL","ACH")))</f>
        <v>CC</v>
      </c>
      <c r="F2679" s="32">
        <v>119.28</v>
      </c>
      <c r="G2679" s="14" t="str">
        <f>VLOOKUP(D2679,Table4[],3,FALSE)</f>
        <v>2</v>
      </c>
      <c r="H2679" s="15">
        <v>6951</v>
      </c>
      <c r="I2679" s="15"/>
      <c r="J2679" s="15"/>
      <c r="K2679" s="15"/>
      <c r="L2679" s="15"/>
      <c r="M2679" s="15" t="s">
        <v>29</v>
      </c>
    </row>
    <row r="2680" spans="1:13" x14ac:dyDescent="0.25">
      <c r="A2680" s="23">
        <f t="shared" si="132"/>
        <v>229664</v>
      </c>
      <c r="B2680" s="14" t="str">
        <f t="shared" si="131"/>
        <v>Billing - Credits (from TPA)</v>
      </c>
      <c r="C2680" s="38">
        <v>46143</v>
      </c>
      <c r="D2680" s="34">
        <v>229664</v>
      </c>
      <c r="E2680" s="36" t="str">
        <f>IF(Table3[[#This Row],[Type Received]]=2,"CC",(IF(Table3[[#This Row],[Type Received]]=3,"BILL","ACH")))</f>
        <v>BILL</v>
      </c>
      <c r="F2680" s="35">
        <v>61.8</v>
      </c>
      <c r="G2680" s="14" t="str">
        <f>VLOOKUP(D2680,Table4[],3,FALSE)</f>
        <v>2</v>
      </c>
      <c r="H2680" s="15"/>
      <c r="I2680" s="15">
        <v>125005</v>
      </c>
      <c r="J2680" s="24" t="s">
        <v>28</v>
      </c>
      <c r="K2680" s="15">
        <v>524473797</v>
      </c>
      <c r="L2680" s="15" t="s">
        <v>29</v>
      </c>
      <c r="M2680" s="15" t="s">
        <v>29</v>
      </c>
    </row>
    <row r="2681" spans="1:13" x14ac:dyDescent="0.25">
      <c r="A2681" s="23">
        <f t="shared" si="132"/>
        <v>229695</v>
      </c>
      <c r="B2681" s="14" t="str">
        <f t="shared" si="131"/>
        <v>Direct Debit (UMB Bank) - Credits</v>
      </c>
      <c r="C2681" s="37">
        <v>46149</v>
      </c>
      <c r="D2681" s="31">
        <v>229695</v>
      </c>
      <c r="E2681" s="33" t="str">
        <f>IF(Table3[[#This Row],[Type Received]]=2,"CC",(IF(Table3[[#This Row],[Type Received]]=3,"BILL","ACH")))</f>
        <v>ACH</v>
      </c>
      <c r="F2681" s="32">
        <v>57.61</v>
      </c>
      <c r="G2681" s="14" t="str">
        <f>VLOOKUP(D2681,Table4[],3,FALSE)</f>
        <v>1</v>
      </c>
      <c r="H2681" s="15">
        <v>5120</v>
      </c>
      <c r="I2681" s="15"/>
      <c r="J2681" s="15"/>
      <c r="K2681" s="15"/>
      <c r="L2681" s="15"/>
      <c r="M2681" s="15" t="s">
        <v>29</v>
      </c>
    </row>
    <row r="2682" spans="1:13" x14ac:dyDescent="0.25">
      <c r="A2682" s="23">
        <f t="shared" si="132"/>
        <v>229848</v>
      </c>
      <c r="B2682" s="14" t="str">
        <f t="shared" si="131"/>
        <v>Direct Debit (UMB Bank) - Credits</v>
      </c>
      <c r="C2682" s="38">
        <v>46157</v>
      </c>
      <c r="D2682" s="34">
        <v>229848</v>
      </c>
      <c r="E2682" s="36" t="str">
        <f>IF(Table3[[#This Row],[Type Received]]=2,"CC",(IF(Table3[[#This Row],[Type Received]]=3,"BILL","ACH")))</f>
        <v>ACH</v>
      </c>
      <c r="F2682" s="35">
        <v>43.19</v>
      </c>
      <c r="G2682" s="14" t="str">
        <f>VLOOKUP(D2682,Table4[],3,FALSE)</f>
        <v>1</v>
      </c>
      <c r="H2682" s="15"/>
      <c r="I2682" s="15"/>
      <c r="J2682" s="15" t="s">
        <v>87</v>
      </c>
      <c r="K2682" s="15">
        <v>696769866</v>
      </c>
      <c r="L2682" s="15" t="s">
        <v>29</v>
      </c>
      <c r="M2682" s="15" t="s">
        <v>29</v>
      </c>
    </row>
    <row r="2683" spans="1:13" x14ac:dyDescent="0.25">
      <c r="A2683" s="23">
        <f t="shared" si="132"/>
        <v>229858</v>
      </c>
      <c r="B2683" s="14" t="str">
        <f t="shared" si="131"/>
        <v>Direct Debit (UMB Bank) - Credits</v>
      </c>
      <c r="C2683" s="37">
        <v>46157</v>
      </c>
      <c r="D2683" s="31">
        <v>229858</v>
      </c>
      <c r="E2683" s="33" t="str">
        <f>IF(Table3[[#This Row],[Type Received]]=2,"CC",(IF(Table3[[#This Row],[Type Received]]=3,"BILL","ACH")))</f>
        <v>ACH</v>
      </c>
      <c r="F2683" s="32">
        <v>56.83</v>
      </c>
      <c r="G2683" s="14" t="str">
        <f>VLOOKUP(D2683,Table4[],3,FALSE)</f>
        <v>2</v>
      </c>
      <c r="H2683" s="15"/>
      <c r="I2683" s="15"/>
      <c r="J2683" s="15" t="s">
        <v>87</v>
      </c>
      <c r="K2683" s="15">
        <v>696774569</v>
      </c>
      <c r="L2683" s="15" t="s">
        <v>29</v>
      </c>
      <c r="M2683" s="15" t="s">
        <v>29</v>
      </c>
    </row>
    <row r="2684" spans="1:13" x14ac:dyDescent="0.25">
      <c r="A2684" s="23">
        <f t="shared" si="132"/>
        <v>229859</v>
      </c>
      <c r="B2684" s="14" t="str">
        <f t="shared" si="131"/>
        <v>Billing - Credits (from TPA)</v>
      </c>
      <c r="C2684" s="38">
        <v>46157</v>
      </c>
      <c r="D2684" s="34">
        <v>229859</v>
      </c>
      <c r="E2684" s="36" t="str">
        <f>IF(Table3[[#This Row],[Type Received]]=2,"CC",(IF(Table3[[#This Row],[Type Received]]=3,"BILL","ACH")))</f>
        <v>BILL</v>
      </c>
      <c r="F2684" s="35">
        <v>42.75</v>
      </c>
      <c r="G2684" s="14" t="str">
        <f>VLOOKUP(D2684,Table4[],3,FALSE)</f>
        <v>1</v>
      </c>
      <c r="H2684" s="15"/>
      <c r="I2684" s="15"/>
      <c r="J2684" s="24" t="s">
        <v>87</v>
      </c>
      <c r="K2684" s="15">
        <v>696786248</v>
      </c>
      <c r="L2684" s="15" t="s">
        <v>29</v>
      </c>
      <c r="M2684" s="15" t="s">
        <v>29</v>
      </c>
    </row>
    <row r="2685" spans="1:13" x14ac:dyDescent="0.25">
      <c r="A2685" s="23">
        <f t="shared" si="132"/>
        <v>229914</v>
      </c>
      <c r="B2685" s="14" t="str">
        <f t="shared" si="131"/>
        <v>Direct Debit (UMB Bank) - Credits</v>
      </c>
      <c r="C2685" s="37">
        <v>46143</v>
      </c>
      <c r="D2685" s="31">
        <v>229914</v>
      </c>
      <c r="E2685" s="33" t="str">
        <f>IF(Table3[[#This Row],[Type Received]]=2,"CC",(IF(Table3[[#This Row],[Type Received]]=3,"BILL","ACH")))</f>
        <v>ACH</v>
      </c>
      <c r="F2685" s="32">
        <v>172.81</v>
      </c>
      <c r="G2685" s="14" t="str">
        <f>VLOOKUP(D2685,Table4[],3,FALSE)</f>
        <v>1</v>
      </c>
      <c r="H2685" s="15">
        <v>4454557931</v>
      </c>
      <c r="I2685" s="15"/>
      <c r="J2685" s="15"/>
      <c r="K2685" s="15"/>
      <c r="L2685" s="15"/>
      <c r="M2685" s="15" t="s">
        <v>29</v>
      </c>
    </row>
    <row r="2686" spans="1:13" x14ac:dyDescent="0.25">
      <c r="A2686" s="23">
        <f t="shared" si="132"/>
        <v>230007</v>
      </c>
      <c r="B2686" s="14" t="str">
        <f t="shared" si="131"/>
        <v>Billing - Credits (from TPA)</v>
      </c>
      <c r="C2686" s="38">
        <v>46168</v>
      </c>
      <c r="D2686" s="34">
        <v>230007</v>
      </c>
      <c r="E2686" s="36" t="str">
        <f>IF(Table3[[#This Row],[Type Received]]=2,"CC",(IF(Table3[[#This Row],[Type Received]]=3,"BILL","ACH")))</f>
        <v>BILL</v>
      </c>
      <c r="F2686" s="35">
        <v>176.29</v>
      </c>
      <c r="G2686" s="14" t="str">
        <f>VLOOKUP(D2686,Table4[],3,FALSE)</f>
        <v>2</v>
      </c>
      <c r="H2686" s="15"/>
      <c r="I2686" s="15"/>
      <c r="J2686" s="15" t="s">
        <v>110</v>
      </c>
      <c r="K2686" s="15">
        <v>828272908</v>
      </c>
      <c r="L2686" s="15" t="s">
        <v>29</v>
      </c>
      <c r="M2686" s="15" t="s">
        <v>29</v>
      </c>
    </row>
    <row r="2687" spans="1:13" x14ac:dyDescent="0.25">
      <c r="A2687" s="23">
        <f t="shared" si="132"/>
        <v>230112</v>
      </c>
      <c r="B2687" s="14" t="str">
        <f t="shared" si="131"/>
        <v>Direct Debit (UMB Bank) - Credits</v>
      </c>
      <c r="C2687" s="37">
        <v>46143</v>
      </c>
      <c r="D2687" s="31">
        <v>230112</v>
      </c>
      <c r="E2687" s="33" t="str">
        <f>IF(Table3[[#This Row],[Type Received]]=2,"CC",(IF(Table3[[#This Row],[Type Received]]=3,"BILL","ACH")))</f>
        <v>ACH</v>
      </c>
      <c r="F2687" s="32">
        <v>67.400000000000006</v>
      </c>
      <c r="G2687" s="14" t="str">
        <f>VLOOKUP(D2687,Table4[],3,FALSE)</f>
        <v>2</v>
      </c>
      <c r="H2687" s="15">
        <v>5160</v>
      </c>
      <c r="I2687" s="15"/>
      <c r="J2687" s="15"/>
      <c r="K2687" s="15"/>
      <c r="L2687" s="15"/>
      <c r="M2687" s="15" t="s">
        <v>29</v>
      </c>
    </row>
    <row r="2688" spans="1:13" x14ac:dyDescent="0.25">
      <c r="A2688" s="23">
        <f t="shared" si="132"/>
        <v>230146</v>
      </c>
      <c r="B2688" s="14" t="str">
        <f t="shared" si="131"/>
        <v>Direct Debit (UMB Bank) - Credits</v>
      </c>
      <c r="C2688" s="38">
        <v>46143</v>
      </c>
      <c r="D2688" s="34">
        <v>230146</v>
      </c>
      <c r="E2688" s="36" t="str">
        <f>IF(Table3[[#This Row],[Type Received]]=2,"CC",(IF(Table3[[#This Row],[Type Received]]=3,"BILL","ACH")))</f>
        <v>ACH</v>
      </c>
      <c r="F2688" s="35">
        <v>34.83</v>
      </c>
      <c r="G2688" s="14" t="str">
        <f>VLOOKUP(D2688,Table4[],3,FALSE)</f>
        <v>1</v>
      </c>
      <c r="H2688" s="15"/>
      <c r="I2688" s="15"/>
      <c r="J2688" s="15" t="s">
        <v>84</v>
      </c>
      <c r="K2688" s="15">
        <v>522221343</v>
      </c>
      <c r="L2688" s="15" t="s">
        <v>29</v>
      </c>
      <c r="M2688" s="15" t="s">
        <v>29</v>
      </c>
    </row>
    <row r="2689" spans="1:13" x14ac:dyDescent="0.25">
      <c r="A2689" s="23">
        <f t="shared" si="132"/>
        <v>230164</v>
      </c>
      <c r="B2689" s="14" t="str">
        <f t="shared" si="131"/>
        <v>Billing - Credits (from TPA)</v>
      </c>
      <c r="C2689" s="37">
        <v>46157</v>
      </c>
      <c r="D2689" s="31">
        <v>230164</v>
      </c>
      <c r="E2689" s="33" t="str">
        <f>IF(Table3[[#This Row],[Type Received]]=2,"CC",(IF(Table3[[#This Row],[Type Received]]=3,"BILL","ACH")))</f>
        <v>BILL</v>
      </c>
      <c r="F2689" s="32">
        <v>55.95</v>
      </c>
      <c r="G2689" s="14" t="str">
        <f>VLOOKUP(D2689,Table4[],3,FALSE)</f>
        <v>1</v>
      </c>
      <c r="H2689" s="15"/>
      <c r="I2689" s="15"/>
      <c r="J2689" s="15" t="s">
        <v>87</v>
      </c>
      <c r="K2689" s="15">
        <v>696764971</v>
      </c>
      <c r="L2689" s="15" t="s">
        <v>29</v>
      </c>
      <c r="M2689" s="15" t="s">
        <v>29</v>
      </c>
    </row>
    <row r="2690" spans="1:13" x14ac:dyDescent="0.25">
      <c r="A2690" s="23">
        <f t="shared" si="132"/>
        <v>230172</v>
      </c>
      <c r="B2690" s="14" t="str">
        <f t="shared" ref="B2690:B2753" si="133">IF(AND(E2690="BILL",F2690&lt;0),"Billing &amp; Direct Debit - Refunds",(IF(AND(E2690="BILL",F2690&gt;0),"Billing - Credits (from TPA)",(IF(AND(E2690="CC",F2690&lt;0),"Credit Cards (UMB) - Refunds",(IF(AND(E2690="CC",F2690&gt;0),"Credit Cards (UMB) - Credits",(IF(AND(E2690="ACH",F2690&gt;0),"Direct Debit (UMB Bank) - Credits","Direct Debit (UMB Bank) - Returned Items")))))))))</f>
        <v>Credit Cards (UMB) - Credits</v>
      </c>
      <c r="C2690" s="38">
        <v>46143</v>
      </c>
      <c r="D2690" s="34">
        <v>230172</v>
      </c>
      <c r="E2690" s="36" t="str">
        <f>IF(Table3[[#This Row],[Type Received]]=2,"CC",(IF(Table3[[#This Row],[Type Received]]=3,"BILL","ACH")))</f>
        <v>CC</v>
      </c>
      <c r="F2690" s="35">
        <v>119.21</v>
      </c>
      <c r="G2690" s="14" t="str">
        <f>VLOOKUP(D2690,Table4[],3,FALSE)</f>
        <v>2</v>
      </c>
      <c r="H2690" s="15">
        <v>57326233</v>
      </c>
      <c r="I2690" s="15"/>
      <c r="J2690" s="15"/>
      <c r="K2690" s="15"/>
      <c r="L2690" s="15"/>
      <c r="M2690" s="15" t="s">
        <v>29</v>
      </c>
    </row>
    <row r="2691" spans="1:13" x14ac:dyDescent="0.25">
      <c r="A2691" s="23">
        <f t="shared" si="132"/>
        <v>230469</v>
      </c>
      <c r="B2691" s="14" t="str">
        <f t="shared" si="133"/>
        <v>Direct Debit (UMB Bank) - Credits</v>
      </c>
      <c r="C2691" s="37">
        <v>46166</v>
      </c>
      <c r="D2691" s="31">
        <v>230469</v>
      </c>
      <c r="E2691" s="33" t="str">
        <f>IF(Table3[[#This Row],[Type Received]]=2,"CC",(IF(Table3[[#This Row],[Type Received]]=3,"BILL","ACH")))</f>
        <v>ACH</v>
      </c>
      <c r="F2691" s="32">
        <v>52.43</v>
      </c>
      <c r="G2691" s="14" t="str">
        <f>VLOOKUP(D2691,Table4[],3,FALSE)</f>
        <v>1</v>
      </c>
      <c r="H2691" s="15"/>
      <c r="I2691" s="15" t="s">
        <v>261</v>
      </c>
      <c r="J2691" s="15" t="s">
        <v>28</v>
      </c>
      <c r="K2691" s="15">
        <v>808457088</v>
      </c>
      <c r="L2691" s="15" t="s">
        <v>29</v>
      </c>
      <c r="M2691" s="15" t="s">
        <v>29</v>
      </c>
    </row>
    <row r="2692" spans="1:13" x14ac:dyDescent="0.25">
      <c r="A2692" s="23">
        <f t="shared" si="132"/>
        <v>230492</v>
      </c>
      <c r="B2692" s="14" t="str">
        <f t="shared" si="133"/>
        <v>Direct Debit (UMB Bank) - Credits</v>
      </c>
      <c r="C2692" s="38">
        <v>46157</v>
      </c>
      <c r="D2692" s="34">
        <v>230492</v>
      </c>
      <c r="E2692" s="36" t="str">
        <f>IF(Table3[[#This Row],[Type Received]]=2,"CC",(IF(Table3[[#This Row],[Type Received]]=3,"BILL","ACH")))</f>
        <v>ACH</v>
      </c>
      <c r="F2692" s="35">
        <v>33.07</v>
      </c>
      <c r="G2692" s="14" t="str">
        <f>VLOOKUP(D2692,Table4[],3,FALSE)</f>
        <v>2</v>
      </c>
      <c r="H2692" s="15"/>
      <c r="I2692" s="15"/>
      <c r="J2692" s="24" t="s">
        <v>87</v>
      </c>
      <c r="K2692" s="15">
        <v>696788239</v>
      </c>
      <c r="L2692" s="15" t="s">
        <v>29</v>
      </c>
      <c r="M2692" s="15"/>
    </row>
    <row r="2693" spans="1:13" x14ac:dyDescent="0.25">
      <c r="A2693" s="23">
        <f t="shared" si="132"/>
        <v>230545</v>
      </c>
      <c r="B2693" s="14" t="str">
        <f t="shared" si="133"/>
        <v>Direct Debit (UMB Bank) - Credits</v>
      </c>
      <c r="C2693" s="37">
        <v>46144</v>
      </c>
      <c r="D2693" s="31">
        <v>230545</v>
      </c>
      <c r="E2693" s="33" t="str">
        <f>IF(Table3[[#This Row],[Type Received]]=2,"CC",(IF(Table3[[#This Row],[Type Received]]=3,"BILL","ACH")))</f>
        <v>ACH</v>
      </c>
      <c r="F2693" s="32">
        <v>36.590000000000003</v>
      </c>
      <c r="G2693" s="14" t="str">
        <f>VLOOKUP(D2693,Table4[],3,FALSE)</f>
        <v>1</v>
      </c>
      <c r="H2693" s="15"/>
      <c r="I2693" s="15"/>
      <c r="J2693" s="24" t="s">
        <v>89</v>
      </c>
      <c r="K2693" s="15">
        <v>535336863</v>
      </c>
      <c r="L2693" s="15" t="s">
        <v>29</v>
      </c>
      <c r="M2693" s="15" t="s">
        <v>29</v>
      </c>
    </row>
    <row r="2694" spans="1:13" x14ac:dyDescent="0.25">
      <c r="A2694" s="23"/>
      <c r="B2694" s="14" t="str">
        <f t="shared" si="133"/>
        <v>Direct Debit (UMB Bank) - Credits</v>
      </c>
      <c r="C2694" s="38">
        <v>46171</v>
      </c>
      <c r="D2694" s="34">
        <v>230225</v>
      </c>
      <c r="E2694" s="36" t="str">
        <f>IF(Table3[[#This Row],[Type Received]]=2,"CC",(IF(Table3[[#This Row],[Type Received]]=3,"BILL","ACH")))</f>
        <v>ACH</v>
      </c>
      <c r="F2694" s="35">
        <v>64.760000000000005</v>
      </c>
      <c r="G2694" s="14" t="str">
        <f>VLOOKUP(D2694,Table4[],3,FALSE)</f>
        <v>2</v>
      </c>
      <c r="H2694" s="15"/>
      <c r="I2694" s="15"/>
      <c r="J2694" s="15" t="s">
        <v>226</v>
      </c>
      <c r="K2694" s="15">
        <v>868015380</v>
      </c>
      <c r="L2694" s="15" t="s">
        <v>29</v>
      </c>
      <c r="M2694" s="15"/>
    </row>
    <row r="2695" spans="1:13" x14ac:dyDescent="0.25">
      <c r="A2695" s="23"/>
      <c r="B2695" s="14" t="str">
        <f t="shared" si="133"/>
        <v>Billing - Credits (from TPA)</v>
      </c>
      <c r="C2695" s="37">
        <v>46144</v>
      </c>
      <c r="D2695" s="31">
        <v>230231</v>
      </c>
      <c r="E2695" s="33" t="str">
        <f>IF(Table3[[#This Row],[Type Received]]=2,"CC",(IF(Table3[[#This Row],[Type Received]]=3,"BILL","ACH")))</f>
        <v>BILL</v>
      </c>
      <c r="F2695" s="32">
        <v>111.94</v>
      </c>
      <c r="G2695" s="14" t="str">
        <f>VLOOKUP(D2695,Table4[],3,FALSE)</f>
        <v>2</v>
      </c>
      <c r="H2695" s="15"/>
      <c r="I2695" s="15"/>
      <c r="J2695" s="15" t="s">
        <v>89</v>
      </c>
      <c r="K2695" s="15">
        <v>535398902</v>
      </c>
      <c r="L2695" s="15" t="s">
        <v>29</v>
      </c>
      <c r="M2695" s="15"/>
    </row>
    <row r="2696" spans="1:13" x14ac:dyDescent="0.25">
      <c r="A2696" s="23">
        <f t="shared" ref="A2696:A2708" si="134">D2696</f>
        <v>230303</v>
      </c>
      <c r="B2696" s="14" t="str">
        <f t="shared" si="133"/>
        <v>Direct Debit (UMB Bank) - Credits</v>
      </c>
      <c r="C2696" s="38">
        <v>46150</v>
      </c>
      <c r="D2696" s="34">
        <v>230303</v>
      </c>
      <c r="E2696" s="36" t="str">
        <f>IF(Table3[[#This Row],[Type Received]]=2,"CC",(IF(Table3[[#This Row],[Type Received]]=3,"BILL","ACH")))</f>
        <v>ACH</v>
      </c>
      <c r="F2696" s="35">
        <v>89</v>
      </c>
      <c r="G2696" s="14" t="str">
        <f>VLOOKUP(D2696,Table4[],3,FALSE)</f>
        <v>2</v>
      </c>
      <c r="H2696" s="15">
        <v>921926210</v>
      </c>
      <c r="I2696" s="15"/>
      <c r="J2696" s="24"/>
      <c r="K2696" s="15"/>
      <c r="L2696" s="15"/>
      <c r="M2696" s="15"/>
    </row>
    <row r="2697" spans="1:13" x14ac:dyDescent="0.25">
      <c r="A2697" s="23">
        <f t="shared" si="134"/>
        <v>230313</v>
      </c>
      <c r="B2697" s="14" t="str">
        <f t="shared" si="133"/>
        <v>Credit Cards (UMB) - Credits</v>
      </c>
      <c r="C2697" s="37">
        <v>46168</v>
      </c>
      <c r="D2697" s="31">
        <v>230313</v>
      </c>
      <c r="E2697" s="33" t="str">
        <f>IF(Table3[[#This Row],[Type Received]]=2,"CC",(IF(Table3[[#This Row],[Type Received]]=3,"BILL","ACH")))</f>
        <v>CC</v>
      </c>
      <c r="F2697" s="32">
        <v>77.62</v>
      </c>
      <c r="G2697" s="14" t="str">
        <f>VLOOKUP(D2697,Table4[],3,FALSE)</f>
        <v>2</v>
      </c>
      <c r="H2697" s="15"/>
      <c r="I2697" s="15"/>
      <c r="J2697" s="15" t="s">
        <v>110</v>
      </c>
      <c r="K2697" s="15">
        <v>828265052</v>
      </c>
      <c r="L2697" s="15" t="s">
        <v>29</v>
      </c>
      <c r="M2697" s="15" t="s">
        <v>29</v>
      </c>
    </row>
    <row r="2698" spans="1:13" x14ac:dyDescent="0.25">
      <c r="A2698" s="23">
        <f t="shared" si="134"/>
        <v>230326</v>
      </c>
      <c r="B2698" s="14" t="str">
        <f t="shared" si="133"/>
        <v>Direct Debit (UMB Bank) - Credits</v>
      </c>
      <c r="C2698" s="38">
        <v>46161</v>
      </c>
      <c r="D2698" s="34">
        <v>230326</v>
      </c>
      <c r="E2698" s="36" t="str">
        <f>IF(Table3[[#This Row],[Type Received]]=2,"CC",(IF(Table3[[#This Row],[Type Received]]=3,"BILL","ACH")))</f>
        <v>ACH</v>
      </c>
      <c r="F2698" s="35">
        <v>110.7</v>
      </c>
      <c r="G2698" s="14" t="str">
        <f>VLOOKUP(D2698,Table4[],3,FALSE)</f>
        <v>2</v>
      </c>
      <c r="H2698" s="15"/>
      <c r="I2698" s="15" t="s">
        <v>262</v>
      </c>
      <c r="J2698" s="15">
        <v>746805329</v>
      </c>
      <c r="K2698" s="15">
        <v>355145904</v>
      </c>
      <c r="L2698" s="15"/>
      <c r="M2698" s="15" t="s">
        <v>29</v>
      </c>
    </row>
    <row r="2699" spans="1:13" x14ac:dyDescent="0.25">
      <c r="A2699" s="23">
        <f t="shared" si="134"/>
        <v>230381</v>
      </c>
      <c r="B2699" s="14" t="str">
        <f t="shared" si="133"/>
        <v>Direct Debit (UMB Bank) - Credits</v>
      </c>
      <c r="C2699" s="37">
        <v>46168</v>
      </c>
      <c r="D2699" s="31">
        <v>230381</v>
      </c>
      <c r="E2699" s="33" t="str">
        <f>IF(Table3[[#This Row],[Type Received]]=2,"CC",(IF(Table3[[#This Row],[Type Received]]=3,"BILL","ACH")))</f>
        <v>ACH</v>
      </c>
      <c r="F2699" s="32">
        <v>121.84</v>
      </c>
      <c r="G2699" s="14" t="str">
        <f>VLOOKUP(D2699,Table4[],3,FALSE)</f>
        <v>2</v>
      </c>
      <c r="H2699" s="15"/>
      <c r="I2699" s="15"/>
      <c r="J2699" s="15" t="s">
        <v>110</v>
      </c>
      <c r="K2699" s="15">
        <v>828284362</v>
      </c>
      <c r="L2699" s="15" t="s">
        <v>29</v>
      </c>
      <c r="M2699" s="15"/>
    </row>
    <row r="2700" spans="1:13" x14ac:dyDescent="0.25">
      <c r="A2700" s="23">
        <f t="shared" si="134"/>
        <v>230628</v>
      </c>
      <c r="B2700" s="14" t="str">
        <f t="shared" si="133"/>
        <v>Direct Debit (UMB Bank) - Credits</v>
      </c>
      <c r="C2700" s="38">
        <v>46157</v>
      </c>
      <c r="D2700" s="34">
        <v>230628</v>
      </c>
      <c r="E2700" s="36" t="str">
        <f>IF(Table3[[#This Row],[Type Received]]=2,"CC",(IF(Table3[[#This Row],[Type Received]]=3,"BILL","ACH")))</f>
        <v>ACH</v>
      </c>
      <c r="F2700" s="35">
        <v>87.85</v>
      </c>
      <c r="G2700" s="14" t="str">
        <f>VLOOKUP(D2700,Table4[],3,FALSE)</f>
        <v>2</v>
      </c>
      <c r="H2700" s="15"/>
      <c r="I2700" s="15"/>
      <c r="J2700" s="15" t="s">
        <v>87</v>
      </c>
      <c r="K2700" s="15">
        <v>696787267</v>
      </c>
      <c r="L2700" s="15" t="s">
        <v>29</v>
      </c>
      <c r="M2700" s="15" t="s">
        <v>29</v>
      </c>
    </row>
    <row r="2701" spans="1:13" x14ac:dyDescent="0.25">
      <c r="A2701" s="23">
        <f t="shared" si="134"/>
        <v>230630</v>
      </c>
      <c r="B2701" s="14" t="str">
        <f t="shared" si="133"/>
        <v>Direct Debit (UMB Bank) - Credits</v>
      </c>
      <c r="C2701" s="37">
        <v>46157</v>
      </c>
      <c r="D2701" s="31">
        <v>230630</v>
      </c>
      <c r="E2701" s="33" t="str">
        <f>IF(Table3[[#This Row],[Type Received]]=2,"CC",(IF(Table3[[#This Row],[Type Received]]=3,"BILL","ACH")))</f>
        <v>ACH</v>
      </c>
      <c r="F2701" s="32">
        <v>42.53</v>
      </c>
      <c r="G2701" s="14" t="str">
        <f>VLOOKUP(D2701,Table4[],3,FALSE)</f>
        <v>1</v>
      </c>
      <c r="H2701" s="15"/>
      <c r="I2701" s="15"/>
      <c r="J2701" s="15" t="s">
        <v>87</v>
      </c>
      <c r="K2701" s="15">
        <v>696783404</v>
      </c>
      <c r="L2701" s="15" t="s">
        <v>29</v>
      </c>
      <c r="M2701" s="15"/>
    </row>
    <row r="2702" spans="1:13" x14ac:dyDescent="0.25">
      <c r="A2702" s="23">
        <f t="shared" si="134"/>
        <v>230631</v>
      </c>
      <c r="B2702" s="14" t="str">
        <f t="shared" si="133"/>
        <v>Billing - Credits (from TPA)</v>
      </c>
      <c r="C2702" s="38">
        <v>46144</v>
      </c>
      <c r="D2702" s="34">
        <v>230631</v>
      </c>
      <c r="E2702" s="36" t="str">
        <f>IF(Table3[[#This Row],[Type Received]]=2,"CC",(IF(Table3[[#This Row],[Type Received]]=3,"BILL","ACH")))</f>
        <v>BILL</v>
      </c>
      <c r="F2702" s="35">
        <v>22.73</v>
      </c>
      <c r="G2702" s="14" t="str">
        <f>VLOOKUP(D2702,Table4[],3,FALSE)</f>
        <v>1</v>
      </c>
      <c r="H2702" s="15"/>
      <c r="I2702" s="15"/>
      <c r="J2702" s="15" t="s">
        <v>89</v>
      </c>
      <c r="K2702" s="15">
        <v>535407517</v>
      </c>
      <c r="L2702" s="15" t="s">
        <v>29</v>
      </c>
      <c r="M2702" s="15" t="s">
        <v>29</v>
      </c>
    </row>
    <row r="2703" spans="1:13" x14ac:dyDescent="0.25">
      <c r="A2703" s="23">
        <f t="shared" si="134"/>
        <v>230634</v>
      </c>
      <c r="B2703" s="14" t="str">
        <f t="shared" si="133"/>
        <v>Direct Debit (UMB Bank) - Credits</v>
      </c>
      <c r="C2703" s="37">
        <v>46168</v>
      </c>
      <c r="D2703" s="31">
        <v>230634</v>
      </c>
      <c r="E2703" s="33" t="str">
        <f>IF(Table3[[#This Row],[Type Received]]=2,"CC",(IF(Table3[[#This Row],[Type Received]]=3,"BILL","ACH")))</f>
        <v>ACH</v>
      </c>
      <c r="F2703" s="32">
        <v>463.42</v>
      </c>
      <c r="G2703" s="14" t="str">
        <f>VLOOKUP(D2703,Table4[],3,FALSE)</f>
        <v>1</v>
      </c>
      <c r="H2703" s="15">
        <v>7079</v>
      </c>
      <c r="I2703" s="15"/>
      <c r="J2703" s="24"/>
      <c r="K2703" s="15"/>
      <c r="L2703" s="15"/>
      <c r="M2703" s="15" t="s">
        <v>29</v>
      </c>
    </row>
    <row r="2704" spans="1:13" x14ac:dyDescent="0.25">
      <c r="A2704" s="23">
        <f t="shared" si="134"/>
        <v>230721</v>
      </c>
      <c r="B2704" s="14" t="str">
        <f t="shared" si="133"/>
        <v>Billing - Credits (from TPA)</v>
      </c>
      <c r="C2704" s="38">
        <v>46168</v>
      </c>
      <c r="D2704" s="34">
        <v>230721</v>
      </c>
      <c r="E2704" s="36" t="str">
        <f>IF(Table3[[#This Row],[Type Received]]=2,"CC",(IF(Table3[[#This Row],[Type Received]]=3,"BILL","ACH")))</f>
        <v>BILL</v>
      </c>
      <c r="F2704" s="35">
        <v>39.67</v>
      </c>
      <c r="G2704" s="14" t="str">
        <f>VLOOKUP(D2704,Table4[],3,FALSE)</f>
        <v>2</v>
      </c>
      <c r="H2704" s="15"/>
      <c r="I2704" s="15"/>
      <c r="J2704" s="24" t="s">
        <v>110</v>
      </c>
      <c r="K2704" s="15">
        <v>828266056</v>
      </c>
      <c r="L2704" s="15" t="s">
        <v>29</v>
      </c>
      <c r="M2704" s="15" t="s">
        <v>29</v>
      </c>
    </row>
    <row r="2705" spans="1:13" x14ac:dyDescent="0.25">
      <c r="A2705" s="23">
        <f t="shared" si="134"/>
        <v>230724</v>
      </c>
      <c r="B2705" s="14" t="str">
        <f t="shared" si="133"/>
        <v>Direct Debit (UMB Bank) - Credits</v>
      </c>
      <c r="C2705" s="37">
        <v>46168</v>
      </c>
      <c r="D2705" s="31">
        <v>230724</v>
      </c>
      <c r="E2705" s="33" t="str">
        <f>IF(Table3[[#This Row],[Type Received]]=2,"CC",(IF(Table3[[#This Row],[Type Received]]=3,"BILL","ACH")))</f>
        <v>ACH</v>
      </c>
      <c r="F2705" s="32">
        <v>79.02</v>
      </c>
      <c r="G2705" s="14" t="str">
        <f>VLOOKUP(D2705,Table4[],3,FALSE)</f>
        <v>2</v>
      </c>
      <c r="H2705" s="15">
        <v>1500</v>
      </c>
      <c r="I2705" s="15"/>
      <c r="J2705" s="15"/>
      <c r="K2705" s="15"/>
      <c r="L2705" s="15"/>
      <c r="M2705" s="15" t="s">
        <v>29</v>
      </c>
    </row>
    <row r="2706" spans="1:13" x14ac:dyDescent="0.25">
      <c r="A2706" s="23">
        <f t="shared" si="134"/>
        <v>230729</v>
      </c>
      <c r="B2706" s="14" t="str">
        <f t="shared" si="133"/>
        <v>Billing - Credits (from TPA)</v>
      </c>
      <c r="C2706" s="38">
        <v>46143</v>
      </c>
      <c r="D2706" s="34">
        <v>230729</v>
      </c>
      <c r="E2706" s="36" t="str">
        <f>IF(Table3[[#This Row],[Type Received]]=2,"CC",(IF(Table3[[#This Row],[Type Received]]=3,"BILL","ACH")))</f>
        <v>BILL</v>
      </c>
      <c r="F2706" s="35">
        <v>51.55</v>
      </c>
      <c r="G2706" s="14" t="str">
        <f>VLOOKUP(D2706,Table4[],3,FALSE)</f>
        <v>2</v>
      </c>
      <c r="H2706" s="15"/>
      <c r="I2706" s="15"/>
      <c r="J2706" s="15" t="s">
        <v>84</v>
      </c>
      <c r="K2706" s="15">
        <v>522440123</v>
      </c>
      <c r="L2706" s="15" t="s">
        <v>29</v>
      </c>
      <c r="M2706" s="15" t="s">
        <v>29</v>
      </c>
    </row>
    <row r="2707" spans="1:13" x14ac:dyDescent="0.25">
      <c r="A2707" s="23">
        <f t="shared" si="134"/>
        <v>230744</v>
      </c>
      <c r="B2707" s="14" t="str">
        <f t="shared" si="133"/>
        <v>Credit Cards (UMB) - Credits</v>
      </c>
      <c r="C2707" s="37">
        <v>46143</v>
      </c>
      <c r="D2707" s="31">
        <v>230744</v>
      </c>
      <c r="E2707" s="33" t="str">
        <f>IF(Table3[[#This Row],[Type Received]]=2,"CC",(IF(Table3[[#This Row],[Type Received]]=3,"BILL","ACH")))</f>
        <v>CC</v>
      </c>
      <c r="F2707" s="32">
        <v>57.83</v>
      </c>
      <c r="G2707" s="14" t="str">
        <f>VLOOKUP(D2707,Table4[],3,FALSE)</f>
        <v>2</v>
      </c>
      <c r="H2707" s="15">
        <v>998251</v>
      </c>
      <c r="I2707" s="15"/>
      <c r="J2707" s="15"/>
      <c r="K2707" s="15"/>
      <c r="L2707" s="15"/>
      <c r="M2707" s="15" t="s">
        <v>29</v>
      </c>
    </row>
    <row r="2708" spans="1:13" x14ac:dyDescent="0.25">
      <c r="A2708" s="23">
        <f t="shared" si="134"/>
        <v>230898</v>
      </c>
      <c r="B2708" s="14" t="str">
        <f t="shared" si="133"/>
        <v>Direct Debit (UMB Bank) - Credits</v>
      </c>
      <c r="C2708" s="38">
        <v>46155</v>
      </c>
      <c r="D2708" s="34">
        <v>230898</v>
      </c>
      <c r="E2708" s="36" t="str">
        <f>IF(Table3[[#This Row],[Type Received]]=2,"CC",(IF(Table3[[#This Row],[Type Received]]=3,"BILL","ACH")))</f>
        <v>ACH</v>
      </c>
      <c r="F2708" s="35">
        <v>22.73</v>
      </c>
      <c r="G2708" s="14" t="str">
        <f>VLOOKUP(D2708,Table4[],3,FALSE)</f>
        <v>1</v>
      </c>
      <c r="H2708" s="15"/>
      <c r="I2708" s="15">
        <v>28795</v>
      </c>
      <c r="J2708" s="15" t="s">
        <v>28</v>
      </c>
      <c r="K2708" s="15">
        <v>669488813</v>
      </c>
      <c r="L2708" s="15" t="s">
        <v>29</v>
      </c>
      <c r="M2708" s="15" t="s">
        <v>29</v>
      </c>
    </row>
    <row r="2709" spans="1:13" x14ac:dyDescent="0.25">
      <c r="A2709" s="23"/>
      <c r="B2709" s="14" t="str">
        <f t="shared" si="133"/>
        <v>Billing - Credits (from TPA)</v>
      </c>
      <c r="C2709" s="37">
        <v>46157</v>
      </c>
      <c r="D2709" s="31">
        <v>230959</v>
      </c>
      <c r="E2709" s="33" t="str">
        <f>IF(Table3[[#This Row],[Type Received]]=2,"CC",(IF(Table3[[#This Row],[Type Received]]=3,"BILL","ACH")))</f>
        <v>BILL</v>
      </c>
      <c r="F2709" s="32">
        <v>77.95</v>
      </c>
      <c r="G2709" s="14" t="str">
        <f>VLOOKUP(D2709,Table4[],3,FALSE)</f>
        <v>2</v>
      </c>
      <c r="H2709" s="15"/>
      <c r="I2709" s="15"/>
      <c r="J2709" s="24" t="s">
        <v>87</v>
      </c>
      <c r="K2709" s="15">
        <v>696775632</v>
      </c>
      <c r="L2709" s="15" t="s">
        <v>29</v>
      </c>
      <c r="M2709" s="15" t="s">
        <v>29</v>
      </c>
    </row>
    <row r="2710" spans="1:13" x14ac:dyDescent="0.25">
      <c r="A2710" s="23"/>
      <c r="B2710" s="14" t="str">
        <f t="shared" si="133"/>
        <v>Direct Debit (UMB Bank) - Credits</v>
      </c>
      <c r="C2710" s="38">
        <v>46143</v>
      </c>
      <c r="D2710" s="34">
        <v>230987</v>
      </c>
      <c r="E2710" s="36" t="str">
        <f>IF(Table3[[#This Row],[Type Received]]=2,"CC",(IF(Table3[[#This Row],[Type Received]]=3,"BILL","ACH")))</f>
        <v>ACH</v>
      </c>
      <c r="F2710" s="35">
        <v>77</v>
      </c>
      <c r="G2710" s="14" t="str">
        <f>VLOOKUP(D2710,Table4[],3,FALSE)</f>
        <v>2</v>
      </c>
      <c r="H2710" s="15">
        <v>4454566135</v>
      </c>
      <c r="I2710" s="15"/>
      <c r="J2710" s="15"/>
      <c r="K2710" s="15"/>
      <c r="L2710" s="15"/>
      <c r="M2710" s="15"/>
    </row>
    <row r="2711" spans="1:13" x14ac:dyDescent="0.25">
      <c r="A2711" s="23">
        <f t="shared" ref="A2711:A2742" si="135">D2711</f>
        <v>230993</v>
      </c>
      <c r="B2711" s="14" t="str">
        <f t="shared" si="133"/>
        <v>Billing - Credits (from TPA)</v>
      </c>
      <c r="C2711" s="37">
        <v>46144</v>
      </c>
      <c r="D2711" s="31">
        <v>230993</v>
      </c>
      <c r="E2711" s="33" t="str">
        <f>IF(Table3[[#This Row],[Type Received]]=2,"CC",(IF(Table3[[#This Row],[Type Received]]=3,"BILL","ACH")))</f>
        <v>BILL</v>
      </c>
      <c r="F2711" s="32">
        <v>70.03</v>
      </c>
      <c r="G2711" s="14" t="str">
        <f>VLOOKUP(D2711,Table4[],3,FALSE)</f>
        <v>1</v>
      </c>
      <c r="H2711" s="15"/>
      <c r="I2711" s="15"/>
      <c r="J2711" s="15" t="s">
        <v>89</v>
      </c>
      <c r="K2711" s="15">
        <v>535417240</v>
      </c>
      <c r="L2711" s="15" t="s">
        <v>29</v>
      </c>
      <c r="M2711" s="15" t="s">
        <v>29</v>
      </c>
    </row>
    <row r="2712" spans="1:13" x14ac:dyDescent="0.25">
      <c r="A2712" s="23">
        <f t="shared" si="135"/>
        <v>231007</v>
      </c>
      <c r="B2712" s="14" t="str">
        <f t="shared" si="133"/>
        <v>Billing - Credits (from TPA)</v>
      </c>
      <c r="C2712" s="38">
        <v>46147</v>
      </c>
      <c r="D2712" s="34">
        <v>231007</v>
      </c>
      <c r="E2712" s="36" t="str">
        <f>IF(Table3[[#This Row],[Type Received]]=2,"CC",(IF(Table3[[#This Row],[Type Received]]=3,"BILL","ACH")))</f>
        <v>BILL</v>
      </c>
      <c r="F2712" s="35">
        <v>115.47</v>
      </c>
      <c r="G2712" s="14" t="str">
        <f>VLOOKUP(D2712,Table4[],3,FALSE)</f>
        <v>1</v>
      </c>
      <c r="H2712" s="15">
        <v>7375</v>
      </c>
      <c r="I2712" s="15"/>
      <c r="J2712" s="24"/>
      <c r="K2712" s="15"/>
      <c r="L2712" s="15"/>
      <c r="M2712" s="15"/>
    </row>
    <row r="2713" spans="1:13" x14ac:dyDescent="0.25">
      <c r="A2713" s="23">
        <f t="shared" si="135"/>
        <v>231148</v>
      </c>
      <c r="B2713" s="14" t="str">
        <f t="shared" si="133"/>
        <v>Direct Debit (UMB Bank) - Credits</v>
      </c>
      <c r="C2713" s="37">
        <v>46153</v>
      </c>
      <c r="D2713" s="31">
        <v>231148</v>
      </c>
      <c r="E2713" s="33" t="str">
        <f>IF(Table3[[#This Row],[Type Received]]=2,"CC",(IF(Table3[[#This Row],[Type Received]]=3,"BILL","ACH")))</f>
        <v>ACH</v>
      </c>
      <c r="F2713" s="32">
        <v>37.89</v>
      </c>
      <c r="G2713" s="14" t="str">
        <f>VLOOKUP(D2713,Table4[],3,FALSE)</f>
        <v>1</v>
      </c>
      <c r="H2713" s="15">
        <v>38150259030</v>
      </c>
      <c r="I2713" s="15"/>
      <c r="J2713" s="15"/>
      <c r="K2713" s="15"/>
      <c r="L2713" s="15"/>
      <c r="M2713" s="15"/>
    </row>
    <row r="2714" spans="1:13" x14ac:dyDescent="0.25">
      <c r="A2714" s="23">
        <f t="shared" si="135"/>
        <v>231177</v>
      </c>
      <c r="B2714" s="14" t="str">
        <f t="shared" si="133"/>
        <v>Credit Cards (UMB) - Credits</v>
      </c>
      <c r="C2714" s="38">
        <v>46157</v>
      </c>
      <c r="D2714" s="34">
        <v>231177</v>
      </c>
      <c r="E2714" s="36" t="str">
        <f>IF(Table3[[#This Row],[Type Received]]=2,"CC",(IF(Table3[[#This Row],[Type Received]]=3,"BILL","ACH")))</f>
        <v>CC</v>
      </c>
      <c r="F2714" s="35">
        <v>46.27</v>
      </c>
      <c r="G2714" s="14" t="str">
        <f>VLOOKUP(D2714,Table4[],3,FALSE)</f>
        <v>2</v>
      </c>
      <c r="H2714" s="15"/>
      <c r="I2714" s="15"/>
      <c r="J2714" s="15" t="s">
        <v>87</v>
      </c>
      <c r="K2714" s="15">
        <v>696777648</v>
      </c>
      <c r="L2714" s="15" t="s">
        <v>29</v>
      </c>
      <c r="M2714" s="15" t="s">
        <v>29</v>
      </c>
    </row>
    <row r="2715" spans="1:13" x14ac:dyDescent="0.25">
      <c r="A2715" s="23">
        <f t="shared" si="135"/>
        <v>231179</v>
      </c>
      <c r="B2715" s="14" t="str">
        <f t="shared" si="133"/>
        <v>Credit Cards (UMB) - Credits</v>
      </c>
      <c r="C2715" s="37">
        <v>46144</v>
      </c>
      <c r="D2715" s="31">
        <v>231179</v>
      </c>
      <c r="E2715" s="33" t="str">
        <f>IF(Table3[[#This Row],[Type Received]]=2,"CC",(IF(Table3[[#This Row],[Type Received]]=3,"BILL","ACH")))</f>
        <v>CC</v>
      </c>
      <c r="F2715" s="32">
        <v>85.87</v>
      </c>
      <c r="G2715" s="14" t="str">
        <f>VLOOKUP(D2715,Table4[],3,FALSE)</f>
        <v>2</v>
      </c>
      <c r="H2715" s="15"/>
      <c r="I2715" s="15">
        <v>2208</v>
      </c>
      <c r="J2715" s="15" t="s">
        <v>28</v>
      </c>
      <c r="K2715" s="15">
        <v>535372444</v>
      </c>
      <c r="L2715" s="15" t="s">
        <v>29</v>
      </c>
      <c r="M2715" s="15" t="s">
        <v>29</v>
      </c>
    </row>
    <row r="2716" spans="1:13" x14ac:dyDescent="0.25">
      <c r="A2716" s="23">
        <f t="shared" si="135"/>
        <v>231196</v>
      </c>
      <c r="B2716" s="14" t="str">
        <f t="shared" si="133"/>
        <v>Direct Debit (UMB Bank) - Credits</v>
      </c>
      <c r="C2716" s="38">
        <v>46149</v>
      </c>
      <c r="D2716" s="34">
        <v>231196</v>
      </c>
      <c r="E2716" s="36" t="str">
        <f>IF(Table3[[#This Row],[Type Received]]=2,"CC",(IF(Table3[[#This Row],[Type Received]]=3,"BILL","ACH")))</f>
        <v>ACH</v>
      </c>
      <c r="F2716" s="35">
        <v>183.3</v>
      </c>
      <c r="G2716" s="14" t="str">
        <f>VLOOKUP(D2716,Table4[],3,FALSE)</f>
        <v>2</v>
      </c>
      <c r="H2716" s="15"/>
      <c r="I2716" s="15">
        <v>3</v>
      </c>
      <c r="J2716" s="15" t="s">
        <v>28</v>
      </c>
      <c r="K2716" s="15">
        <v>599973198</v>
      </c>
      <c r="L2716" s="15" t="s">
        <v>29</v>
      </c>
      <c r="M2716" s="15"/>
    </row>
    <row r="2717" spans="1:13" x14ac:dyDescent="0.25">
      <c r="A2717" s="23">
        <f t="shared" si="135"/>
        <v>231232</v>
      </c>
      <c r="B2717" s="14" t="str">
        <f t="shared" si="133"/>
        <v>Direct Debit (UMB Bank) - Credits</v>
      </c>
      <c r="C2717" s="37">
        <v>46168</v>
      </c>
      <c r="D2717" s="31">
        <v>231232</v>
      </c>
      <c r="E2717" s="33" t="str">
        <f>IF(Table3[[#This Row],[Type Received]]=2,"CC",(IF(Table3[[#This Row],[Type Received]]=3,"BILL","ACH")))</f>
        <v>ACH</v>
      </c>
      <c r="F2717" s="32">
        <v>87.85</v>
      </c>
      <c r="G2717" s="14" t="str">
        <f>VLOOKUP(D2717,Table4[],3,FALSE)</f>
        <v>2</v>
      </c>
      <c r="H2717" s="15"/>
      <c r="I2717" s="15"/>
      <c r="J2717" s="15" t="s">
        <v>110</v>
      </c>
      <c r="K2717" s="15">
        <v>828268053</v>
      </c>
      <c r="L2717" s="15" t="s">
        <v>29</v>
      </c>
      <c r="M2717" s="15"/>
    </row>
    <row r="2718" spans="1:13" x14ac:dyDescent="0.25">
      <c r="A2718" s="23">
        <f t="shared" si="135"/>
        <v>231277</v>
      </c>
      <c r="B2718" s="14" t="str">
        <f t="shared" si="133"/>
        <v>Credit Cards (UMB) - Credits</v>
      </c>
      <c r="C2718" s="38">
        <v>46157</v>
      </c>
      <c r="D2718" s="34">
        <v>231277</v>
      </c>
      <c r="E2718" s="36" t="str">
        <f>IF(Table3[[#This Row],[Type Received]]=2,"CC",(IF(Table3[[#This Row],[Type Received]]=3,"BILL","ACH")))</f>
        <v>CC</v>
      </c>
      <c r="F2718" s="35">
        <v>38.130000000000003</v>
      </c>
      <c r="G2718" s="14" t="str">
        <f>VLOOKUP(D2718,Table4[],3,FALSE)</f>
        <v>1</v>
      </c>
      <c r="H2718" s="15"/>
      <c r="I2718" s="15"/>
      <c r="J2718" s="15" t="s">
        <v>87</v>
      </c>
      <c r="K2718" s="15">
        <v>696783434</v>
      </c>
      <c r="L2718" s="15" t="s">
        <v>29</v>
      </c>
      <c r="M2718" s="15" t="s">
        <v>29</v>
      </c>
    </row>
    <row r="2719" spans="1:13" x14ac:dyDescent="0.25">
      <c r="A2719" s="23">
        <f t="shared" si="135"/>
        <v>231342</v>
      </c>
      <c r="B2719" s="14" t="str">
        <f t="shared" si="133"/>
        <v>Billing - Credits (from TPA)</v>
      </c>
      <c r="C2719" s="37">
        <v>46155</v>
      </c>
      <c r="D2719" s="31">
        <v>231342</v>
      </c>
      <c r="E2719" s="33" t="str">
        <f>IF(Table3[[#This Row],[Type Received]]=2,"CC",(IF(Table3[[#This Row],[Type Received]]=3,"BILL","ACH")))</f>
        <v>BILL</v>
      </c>
      <c r="F2719" s="32">
        <v>103.69</v>
      </c>
      <c r="G2719" s="14" t="str">
        <f>VLOOKUP(D2719,Table4[],3,FALSE)</f>
        <v>2</v>
      </c>
      <c r="H2719" s="15"/>
      <c r="I2719" s="15" t="s">
        <v>263</v>
      </c>
      <c r="J2719" s="24" t="s">
        <v>28</v>
      </c>
      <c r="K2719" s="15">
        <v>669437024</v>
      </c>
      <c r="L2719" s="15" t="s">
        <v>29</v>
      </c>
      <c r="M2719" s="15" t="s">
        <v>29</v>
      </c>
    </row>
    <row r="2720" spans="1:13" x14ac:dyDescent="0.25">
      <c r="A2720" s="23">
        <f t="shared" si="135"/>
        <v>231388</v>
      </c>
      <c r="B2720" s="14" t="str">
        <f t="shared" si="133"/>
        <v>Direct Debit (UMB Bank) - Credits</v>
      </c>
      <c r="C2720" s="38">
        <v>46164</v>
      </c>
      <c r="D2720" s="34">
        <v>231388</v>
      </c>
      <c r="E2720" s="36" t="str">
        <f>IF(Table3[[#This Row],[Type Received]]=2,"CC",(IF(Table3[[#This Row],[Type Received]]=3,"BILL","ACH")))</f>
        <v>ACH</v>
      </c>
      <c r="F2720" s="35">
        <v>165.55</v>
      </c>
      <c r="G2720" s="14" t="str">
        <f>VLOOKUP(D2720,Table4[],3,FALSE)</f>
        <v>2</v>
      </c>
      <c r="H2720" s="15">
        <v>3248</v>
      </c>
      <c r="I2720" s="15"/>
      <c r="J2720" s="15"/>
      <c r="K2720" s="15"/>
      <c r="L2720" s="15"/>
      <c r="M2720" s="15" t="s">
        <v>29</v>
      </c>
    </row>
    <row r="2721" spans="1:13" x14ac:dyDescent="0.25">
      <c r="A2721" s="23">
        <f t="shared" si="135"/>
        <v>231407</v>
      </c>
      <c r="B2721" s="14" t="str">
        <f t="shared" si="133"/>
        <v>Credit Cards (UMB) - Credits</v>
      </c>
      <c r="C2721" s="37">
        <v>46168</v>
      </c>
      <c r="D2721" s="31">
        <v>231407</v>
      </c>
      <c r="E2721" s="33" t="str">
        <f>IF(Table3[[#This Row],[Type Received]]=2,"CC",(IF(Table3[[#This Row],[Type Received]]=3,"BILL","ACH")))</f>
        <v>CC</v>
      </c>
      <c r="F2721" s="32">
        <v>37.11</v>
      </c>
      <c r="G2721" s="14" t="str">
        <f>VLOOKUP(D2721,Table4[],3,FALSE)</f>
        <v>1</v>
      </c>
      <c r="H2721" s="15"/>
      <c r="I2721" s="15"/>
      <c r="J2721" s="15" t="s">
        <v>110</v>
      </c>
      <c r="K2721" s="15">
        <v>828284404</v>
      </c>
      <c r="L2721" s="15" t="s">
        <v>29</v>
      </c>
      <c r="M2721" s="15" t="s">
        <v>29</v>
      </c>
    </row>
    <row r="2722" spans="1:13" x14ac:dyDescent="0.25">
      <c r="A2722" s="23">
        <f t="shared" si="135"/>
        <v>231409</v>
      </c>
      <c r="B2722" s="14" t="str">
        <f t="shared" si="133"/>
        <v>Direct Debit (UMB Bank) - Credits</v>
      </c>
      <c r="C2722" s="38">
        <v>46152</v>
      </c>
      <c r="D2722" s="34">
        <v>231409</v>
      </c>
      <c r="E2722" s="36" t="str">
        <f>IF(Table3[[#This Row],[Type Received]]=2,"CC",(IF(Table3[[#This Row],[Type Received]]=3,"BILL","ACH")))</f>
        <v>ACH</v>
      </c>
      <c r="F2722" s="35">
        <v>64.75</v>
      </c>
      <c r="G2722" s="14" t="str">
        <f>VLOOKUP(D2722,Table4[],3,FALSE)</f>
        <v>1</v>
      </c>
      <c r="H2722" s="15"/>
      <c r="I2722" s="15" t="s">
        <v>264</v>
      </c>
      <c r="J2722" s="15" t="s">
        <v>28</v>
      </c>
      <c r="K2722" s="15">
        <v>632886624</v>
      </c>
      <c r="L2722" s="15" t="s">
        <v>29</v>
      </c>
      <c r="M2722" s="15"/>
    </row>
    <row r="2723" spans="1:13" x14ac:dyDescent="0.25">
      <c r="A2723" s="23">
        <f t="shared" si="135"/>
        <v>231429</v>
      </c>
      <c r="B2723" s="14" t="str">
        <f t="shared" si="133"/>
        <v>Direct Debit (UMB Bank) - Credits</v>
      </c>
      <c r="C2723" s="37">
        <v>46168</v>
      </c>
      <c r="D2723" s="31">
        <v>231429</v>
      </c>
      <c r="E2723" s="33" t="str">
        <f>IF(Table3[[#This Row],[Type Received]]=2,"CC",(IF(Table3[[#This Row],[Type Received]]=3,"BILL","ACH")))</f>
        <v>ACH</v>
      </c>
      <c r="F2723" s="32">
        <v>55.95</v>
      </c>
      <c r="G2723" s="14" t="str">
        <f>VLOOKUP(D2723,Table4[],3,FALSE)</f>
        <v>1</v>
      </c>
      <c r="H2723" s="15"/>
      <c r="I2723" s="15"/>
      <c r="J2723" s="24" t="s">
        <v>110</v>
      </c>
      <c r="K2723" s="15">
        <v>828268080</v>
      </c>
      <c r="L2723" s="15" t="s">
        <v>29</v>
      </c>
      <c r="M2723" s="15" t="s">
        <v>29</v>
      </c>
    </row>
    <row r="2724" spans="1:13" x14ac:dyDescent="0.25">
      <c r="A2724" s="23">
        <f t="shared" si="135"/>
        <v>231473</v>
      </c>
      <c r="B2724" s="14" t="str">
        <f t="shared" si="133"/>
        <v>Direct Debit (UMB Bank) - Credits</v>
      </c>
      <c r="C2724" s="38">
        <v>46157</v>
      </c>
      <c r="D2724" s="34">
        <v>231473</v>
      </c>
      <c r="E2724" s="36" t="str">
        <f>IF(Table3[[#This Row],[Type Received]]=2,"CC",(IF(Table3[[#This Row],[Type Received]]=3,"BILL","ACH")))</f>
        <v>ACH</v>
      </c>
      <c r="F2724" s="35">
        <v>65.849999999999994</v>
      </c>
      <c r="G2724" s="14" t="str">
        <f>VLOOKUP(D2724,Table4[],3,FALSE)</f>
        <v>1</v>
      </c>
      <c r="H2724" s="15"/>
      <c r="I2724" s="15"/>
      <c r="J2724" s="15" t="s">
        <v>87</v>
      </c>
      <c r="K2724" s="15">
        <v>696771892</v>
      </c>
      <c r="L2724" s="15" t="s">
        <v>29</v>
      </c>
      <c r="M2724" s="15" t="s">
        <v>29</v>
      </c>
    </row>
    <row r="2725" spans="1:13" x14ac:dyDescent="0.25">
      <c r="A2725" s="23">
        <f t="shared" si="135"/>
        <v>231483</v>
      </c>
      <c r="B2725" s="14" t="str">
        <f t="shared" si="133"/>
        <v>Credit Cards (UMB) - Credits</v>
      </c>
      <c r="C2725" s="37">
        <v>46156</v>
      </c>
      <c r="D2725" s="31">
        <v>231483</v>
      </c>
      <c r="E2725" s="33" t="str">
        <f>IF(Table3[[#This Row],[Type Received]]=2,"CC",(IF(Table3[[#This Row],[Type Received]]=3,"BILL","ACH")))</f>
        <v>CC</v>
      </c>
      <c r="F2725" s="32">
        <v>56.61</v>
      </c>
      <c r="G2725" s="14" t="str">
        <f>VLOOKUP(D2725,Table4[],3,FALSE)</f>
        <v>1</v>
      </c>
      <c r="H2725" s="15"/>
      <c r="I2725" s="15"/>
      <c r="J2725" s="15" t="s">
        <v>93</v>
      </c>
      <c r="K2725" s="15">
        <v>682537479</v>
      </c>
      <c r="L2725" s="15" t="s">
        <v>29</v>
      </c>
      <c r="M2725" s="15"/>
    </row>
    <row r="2726" spans="1:13" x14ac:dyDescent="0.25">
      <c r="A2726" s="23">
        <f t="shared" si="135"/>
        <v>231494</v>
      </c>
      <c r="B2726" s="14" t="str">
        <f t="shared" si="133"/>
        <v>Billing - Credits (from TPA)</v>
      </c>
      <c r="C2726" s="38">
        <v>46155</v>
      </c>
      <c r="D2726" s="34">
        <v>231494</v>
      </c>
      <c r="E2726" s="36" t="str">
        <f>IF(Table3[[#This Row],[Type Received]]=2,"CC",(IF(Table3[[#This Row],[Type Received]]=3,"BILL","ACH")))</f>
        <v>BILL</v>
      </c>
      <c r="F2726" s="35">
        <v>51.55</v>
      </c>
      <c r="G2726" s="14" t="str">
        <f>VLOOKUP(D2726,Table4[],3,FALSE)</f>
        <v>2</v>
      </c>
      <c r="H2726" s="15"/>
      <c r="I2726" s="15" t="s">
        <v>265</v>
      </c>
      <c r="J2726" s="15" t="s">
        <v>28</v>
      </c>
      <c r="K2726" s="15">
        <v>669483937</v>
      </c>
      <c r="L2726" s="15" t="s">
        <v>29</v>
      </c>
      <c r="M2726" s="15" t="s">
        <v>29</v>
      </c>
    </row>
    <row r="2727" spans="1:13" x14ac:dyDescent="0.25">
      <c r="A2727" s="23">
        <f t="shared" si="135"/>
        <v>231561</v>
      </c>
      <c r="B2727" s="14" t="str">
        <f t="shared" si="133"/>
        <v>Direct Debit (UMB Bank) - Credits</v>
      </c>
      <c r="C2727" s="37">
        <v>46143</v>
      </c>
      <c r="D2727" s="31">
        <v>231561</v>
      </c>
      <c r="E2727" s="33" t="str">
        <f>IF(Table3[[#This Row],[Type Received]]=2,"CC",(IF(Table3[[#This Row],[Type Received]]=3,"BILL","ACH")))</f>
        <v>ACH</v>
      </c>
      <c r="F2727" s="32">
        <v>24.78</v>
      </c>
      <c r="G2727" s="14" t="str">
        <f>VLOOKUP(D2727,Table4[],3,FALSE)</f>
        <v>1</v>
      </c>
      <c r="H2727" s="15">
        <v>9895</v>
      </c>
      <c r="I2727" s="15"/>
      <c r="J2727" s="15"/>
      <c r="K2727" s="15"/>
      <c r="L2727" s="15"/>
      <c r="M2727" s="15"/>
    </row>
    <row r="2728" spans="1:13" x14ac:dyDescent="0.25">
      <c r="A2728" s="23">
        <f t="shared" si="135"/>
        <v>231573</v>
      </c>
      <c r="B2728" s="14" t="str">
        <f t="shared" si="133"/>
        <v>Direct Debit (UMB Bank) - Credits</v>
      </c>
      <c r="C2728" s="38">
        <v>46145</v>
      </c>
      <c r="D2728" s="34">
        <v>231573</v>
      </c>
      <c r="E2728" s="36" t="str">
        <f>IF(Table3[[#This Row],[Type Received]]=2,"CC",(IF(Table3[[#This Row],[Type Received]]=3,"BILL","ACH")))</f>
        <v>ACH</v>
      </c>
      <c r="F2728" s="35">
        <v>135.37</v>
      </c>
      <c r="G2728" s="14" t="str">
        <f>VLOOKUP(D2728,Table4[],3,FALSE)</f>
        <v>2</v>
      </c>
      <c r="H2728" s="15"/>
      <c r="I2728" s="15"/>
      <c r="J2728" s="15" t="s">
        <v>113</v>
      </c>
      <c r="K2728" s="15">
        <v>546418414</v>
      </c>
      <c r="L2728" s="15" t="s">
        <v>29</v>
      </c>
      <c r="M2728" s="15"/>
    </row>
    <row r="2729" spans="1:13" x14ac:dyDescent="0.25">
      <c r="A2729" s="23">
        <f t="shared" si="135"/>
        <v>231583</v>
      </c>
      <c r="B2729" s="14" t="str">
        <f t="shared" si="133"/>
        <v>Direct Debit (UMB Bank) - Credits</v>
      </c>
      <c r="C2729" s="37">
        <v>46157</v>
      </c>
      <c r="D2729" s="31">
        <v>231583</v>
      </c>
      <c r="E2729" s="33" t="str">
        <f>IF(Table3[[#This Row],[Type Received]]=2,"CC",(IF(Table3[[#This Row],[Type Received]]=3,"BILL","ACH")))</f>
        <v>ACH</v>
      </c>
      <c r="F2729" s="32">
        <v>82.35</v>
      </c>
      <c r="G2729" s="14" t="str">
        <f>VLOOKUP(D2729,Table4[],3,FALSE)</f>
        <v>1</v>
      </c>
      <c r="H2729" s="15"/>
      <c r="I2729" s="15"/>
      <c r="J2729" s="15" t="s">
        <v>87</v>
      </c>
      <c r="K2729" s="15">
        <v>696774681</v>
      </c>
      <c r="L2729" s="15" t="s">
        <v>29</v>
      </c>
      <c r="M2729" s="15" t="s">
        <v>29</v>
      </c>
    </row>
    <row r="2730" spans="1:13" x14ac:dyDescent="0.25">
      <c r="A2730" s="23">
        <f t="shared" si="135"/>
        <v>231584</v>
      </c>
      <c r="B2730" s="14" t="str">
        <f t="shared" si="133"/>
        <v>Credit Cards (UMB) - Credits</v>
      </c>
      <c r="C2730" s="38">
        <v>46157</v>
      </c>
      <c r="D2730" s="34">
        <v>231584</v>
      </c>
      <c r="E2730" s="36" t="str">
        <f>IF(Table3[[#This Row],[Type Received]]=2,"CC",(IF(Table3[[#This Row],[Type Received]]=3,"BILL","ACH")))</f>
        <v>CC</v>
      </c>
      <c r="F2730" s="35">
        <v>56.39</v>
      </c>
      <c r="G2730" s="14" t="str">
        <f>VLOOKUP(D2730,Table4[],3,FALSE)</f>
        <v>1</v>
      </c>
      <c r="H2730" s="15"/>
      <c r="I2730" s="15"/>
      <c r="J2730" s="24" t="s">
        <v>87</v>
      </c>
      <c r="K2730" s="15">
        <v>696772857</v>
      </c>
      <c r="L2730" s="15" t="s">
        <v>29</v>
      </c>
      <c r="M2730" s="15" t="s">
        <v>29</v>
      </c>
    </row>
    <row r="2731" spans="1:13" x14ac:dyDescent="0.25">
      <c r="A2731" s="23">
        <f t="shared" si="135"/>
        <v>231621</v>
      </c>
      <c r="B2731" s="14" t="str">
        <f t="shared" si="133"/>
        <v>Credit Cards (UMB) - Credits</v>
      </c>
      <c r="C2731" s="37">
        <v>46144</v>
      </c>
      <c r="D2731" s="31">
        <v>231621</v>
      </c>
      <c r="E2731" s="33" t="str">
        <f>IF(Table3[[#This Row],[Type Received]]=2,"CC",(IF(Table3[[#This Row],[Type Received]]=3,"BILL","ACH")))</f>
        <v>CC</v>
      </c>
      <c r="F2731" s="32">
        <v>40.549999999999997</v>
      </c>
      <c r="G2731" s="14" t="str">
        <f>VLOOKUP(D2731,Table4[],3,FALSE)</f>
        <v>1</v>
      </c>
      <c r="H2731" s="15"/>
      <c r="I2731" s="15">
        <v>2478</v>
      </c>
      <c r="J2731" s="15" t="s">
        <v>28</v>
      </c>
      <c r="K2731" s="15">
        <v>535420138</v>
      </c>
      <c r="L2731" s="15" t="s">
        <v>29</v>
      </c>
      <c r="M2731" s="15" t="s">
        <v>29</v>
      </c>
    </row>
    <row r="2732" spans="1:13" x14ac:dyDescent="0.25">
      <c r="A2732" s="23">
        <f t="shared" si="135"/>
        <v>231635</v>
      </c>
      <c r="B2732" s="14" t="str">
        <f t="shared" si="133"/>
        <v>Direct Debit (UMB Bank) - Credits</v>
      </c>
      <c r="C2732" s="38">
        <v>46164</v>
      </c>
      <c r="D2732" s="34">
        <v>231635</v>
      </c>
      <c r="E2732" s="36" t="str">
        <f>IF(Table3[[#This Row],[Type Received]]=2,"CC",(IF(Table3[[#This Row],[Type Received]]=3,"BILL","ACH")))</f>
        <v>ACH</v>
      </c>
      <c r="F2732" s="35">
        <v>54.82</v>
      </c>
      <c r="G2732" s="14" t="str">
        <f>VLOOKUP(D2732,Table4[],3,FALSE)</f>
        <v>1</v>
      </c>
      <c r="H2732" s="15"/>
      <c r="I2732" s="15">
        <v>89655</v>
      </c>
      <c r="J2732" s="15" t="s">
        <v>28</v>
      </c>
      <c r="K2732" s="15">
        <v>785108397</v>
      </c>
      <c r="L2732" s="15" t="s">
        <v>29</v>
      </c>
      <c r="M2732" s="15"/>
    </row>
    <row r="2733" spans="1:13" x14ac:dyDescent="0.25">
      <c r="A2733" s="23">
        <f t="shared" si="135"/>
        <v>231663</v>
      </c>
      <c r="B2733" s="14" t="str">
        <f t="shared" si="133"/>
        <v>Credit Cards (UMB) - Credits</v>
      </c>
      <c r="C2733" s="37">
        <v>46168</v>
      </c>
      <c r="D2733" s="31">
        <v>231663</v>
      </c>
      <c r="E2733" s="33" t="str">
        <f>IF(Table3[[#This Row],[Type Received]]=2,"CC",(IF(Table3[[#This Row],[Type Received]]=3,"BILL","ACH")))</f>
        <v>CC</v>
      </c>
      <c r="F2733" s="32">
        <v>37.03</v>
      </c>
      <c r="G2733" s="14" t="str">
        <f>VLOOKUP(D2733,Table4[],3,FALSE)</f>
        <v>2</v>
      </c>
      <c r="H2733" s="15"/>
      <c r="I2733" s="15"/>
      <c r="J2733" s="15" t="s">
        <v>110</v>
      </c>
      <c r="K2733" s="15">
        <v>828280720</v>
      </c>
      <c r="L2733" s="15" t="s">
        <v>29</v>
      </c>
      <c r="M2733" s="15" t="s">
        <v>29</v>
      </c>
    </row>
    <row r="2734" spans="1:13" x14ac:dyDescent="0.25">
      <c r="A2734" s="23">
        <f t="shared" si="135"/>
        <v>231722</v>
      </c>
      <c r="B2734" s="14" t="str">
        <f t="shared" si="133"/>
        <v>Direct Debit (UMB Bank) - Credits</v>
      </c>
      <c r="C2734" s="38">
        <v>46160</v>
      </c>
      <c r="D2734" s="34">
        <v>231722</v>
      </c>
      <c r="E2734" s="36" t="str">
        <f>IF(Table3[[#This Row],[Type Received]]=2,"CC",(IF(Table3[[#This Row],[Type Received]]=3,"BILL","ACH")))</f>
        <v>ACH</v>
      </c>
      <c r="F2734" s="35">
        <v>86.54</v>
      </c>
      <c r="G2734" s="14" t="str">
        <f>VLOOKUP(D2734,Table4[],3,FALSE)</f>
        <v>2</v>
      </c>
      <c r="H2734" s="15"/>
      <c r="I2734" s="15">
        <v>942679</v>
      </c>
      <c r="J2734" s="15">
        <v>746573029</v>
      </c>
      <c r="K2734" s="15">
        <v>355044809</v>
      </c>
      <c r="L2734" s="15"/>
      <c r="M2734" s="15" t="s">
        <v>29</v>
      </c>
    </row>
    <row r="2735" spans="1:13" x14ac:dyDescent="0.25">
      <c r="A2735" s="23">
        <f t="shared" si="135"/>
        <v>231773</v>
      </c>
      <c r="B2735" s="14" t="str">
        <f t="shared" si="133"/>
        <v>Credit Cards (UMB) - Credits</v>
      </c>
      <c r="C2735" s="37">
        <v>46168</v>
      </c>
      <c r="D2735" s="31">
        <v>231773</v>
      </c>
      <c r="E2735" s="33" t="str">
        <f>IF(Table3[[#This Row],[Type Received]]=2,"CC",(IF(Table3[[#This Row],[Type Received]]=3,"BILL","ACH")))</f>
        <v>CC</v>
      </c>
      <c r="F2735" s="32">
        <v>93.79</v>
      </c>
      <c r="G2735" s="14" t="str">
        <f>VLOOKUP(D2735,Table4[],3,FALSE)</f>
        <v>2</v>
      </c>
      <c r="H2735" s="15"/>
      <c r="I2735" s="15"/>
      <c r="J2735" s="15" t="s">
        <v>110</v>
      </c>
      <c r="K2735" s="15">
        <v>828294169</v>
      </c>
      <c r="L2735" s="15" t="s">
        <v>29</v>
      </c>
      <c r="M2735" s="15"/>
    </row>
    <row r="2736" spans="1:13" x14ac:dyDescent="0.25">
      <c r="A2736" s="23">
        <f t="shared" si="135"/>
        <v>231817</v>
      </c>
      <c r="B2736" s="14" t="str">
        <f t="shared" si="133"/>
        <v>Direct Debit (UMB Bank) - Credits</v>
      </c>
      <c r="C2736" s="38">
        <v>46169</v>
      </c>
      <c r="D2736" s="34">
        <v>231817</v>
      </c>
      <c r="E2736" s="36" t="str">
        <f>IF(Table3[[#This Row],[Type Received]]=2,"CC",(IF(Table3[[#This Row],[Type Received]]=3,"BILL","ACH")))</f>
        <v>ACH</v>
      </c>
      <c r="F2736" s="35">
        <v>122.51</v>
      </c>
      <c r="G2736" s="14" t="str">
        <f>VLOOKUP(D2736,Table4[],3,FALSE)</f>
        <v>1</v>
      </c>
      <c r="H2736" s="15"/>
      <c r="I2736" s="15">
        <v>173782</v>
      </c>
      <c r="J2736" s="15">
        <v>749271671</v>
      </c>
      <c r="K2736" s="15">
        <v>356001991</v>
      </c>
      <c r="L2736" s="15"/>
      <c r="M2736" s="15" t="s">
        <v>29</v>
      </c>
    </row>
    <row r="2737" spans="1:13" x14ac:dyDescent="0.25">
      <c r="A2737" s="23">
        <f t="shared" si="135"/>
        <v>231837</v>
      </c>
      <c r="B2737" s="14" t="str">
        <f t="shared" si="133"/>
        <v>Direct Debit (UMB Bank) - Credits</v>
      </c>
      <c r="C2737" s="37">
        <v>46168</v>
      </c>
      <c r="D2737" s="31">
        <v>231837</v>
      </c>
      <c r="E2737" s="33" t="str">
        <f>IF(Table3[[#This Row],[Type Received]]=2,"CC",(IF(Table3[[#This Row],[Type Received]]=3,"BILL","ACH")))</f>
        <v>ACH</v>
      </c>
      <c r="F2737" s="32">
        <v>65.63</v>
      </c>
      <c r="G2737" s="14" t="str">
        <f>VLOOKUP(D2737,Table4[],3,FALSE)</f>
        <v>1</v>
      </c>
      <c r="H2737" s="15"/>
      <c r="I2737" s="15"/>
      <c r="J2737" s="15" t="s">
        <v>110</v>
      </c>
      <c r="K2737" s="15">
        <v>828290150</v>
      </c>
      <c r="L2737" s="15" t="s">
        <v>29</v>
      </c>
      <c r="M2737" s="15"/>
    </row>
    <row r="2738" spans="1:13" x14ac:dyDescent="0.25">
      <c r="A2738" s="23">
        <f t="shared" si="135"/>
        <v>231870</v>
      </c>
      <c r="B2738" s="14" t="str">
        <f t="shared" si="133"/>
        <v>Credit Cards (UMB) - Credits</v>
      </c>
      <c r="C2738" s="38">
        <v>46168</v>
      </c>
      <c r="D2738" s="34">
        <v>231870</v>
      </c>
      <c r="E2738" s="36" t="str">
        <f>IF(Table3[[#This Row],[Type Received]]=2,"CC",(IF(Table3[[#This Row],[Type Received]]=3,"BILL","ACH")))</f>
        <v>CC</v>
      </c>
      <c r="F2738" s="35">
        <v>66.069999999999993</v>
      </c>
      <c r="G2738" s="14" t="str">
        <f>VLOOKUP(D2738,Table4[],3,FALSE)</f>
        <v>1</v>
      </c>
      <c r="H2738" s="15"/>
      <c r="I2738" s="15"/>
      <c r="J2738" s="15" t="s">
        <v>110</v>
      </c>
      <c r="K2738" s="15">
        <v>828270089</v>
      </c>
      <c r="L2738" s="15" t="s">
        <v>29</v>
      </c>
      <c r="M2738" s="15" t="s">
        <v>29</v>
      </c>
    </row>
    <row r="2739" spans="1:13" x14ac:dyDescent="0.25">
      <c r="A2739" s="23">
        <f t="shared" si="135"/>
        <v>231926</v>
      </c>
      <c r="B2739" s="14" t="str">
        <f t="shared" si="133"/>
        <v>Direct Debit (UMB Bank) - Credits</v>
      </c>
      <c r="C2739" s="37">
        <v>46155</v>
      </c>
      <c r="D2739" s="31">
        <v>231926</v>
      </c>
      <c r="E2739" s="33" t="str">
        <f>IF(Table3[[#This Row],[Type Received]]=2,"CC",(IF(Table3[[#This Row],[Type Received]]=3,"BILL","ACH")))</f>
        <v>ACH</v>
      </c>
      <c r="F2739" s="32">
        <v>76.41</v>
      </c>
      <c r="G2739" s="14" t="str">
        <f>VLOOKUP(D2739,Table4[],3,FALSE)</f>
        <v>1</v>
      </c>
      <c r="H2739" s="15"/>
      <c r="I2739" s="15" t="s">
        <v>266</v>
      </c>
      <c r="J2739" s="15" t="s">
        <v>28</v>
      </c>
      <c r="K2739" s="15">
        <v>669495647</v>
      </c>
      <c r="L2739" s="15" t="s">
        <v>29</v>
      </c>
      <c r="M2739" s="15" t="s">
        <v>29</v>
      </c>
    </row>
    <row r="2740" spans="1:13" x14ac:dyDescent="0.25">
      <c r="A2740" s="23">
        <f t="shared" si="135"/>
        <v>231956</v>
      </c>
      <c r="B2740" s="14" t="str">
        <f t="shared" si="133"/>
        <v>Billing - Credits (from TPA)</v>
      </c>
      <c r="C2740" s="38">
        <v>46168</v>
      </c>
      <c r="D2740" s="34">
        <v>231956</v>
      </c>
      <c r="E2740" s="36" t="str">
        <f>IF(Table3[[#This Row],[Type Received]]=2,"CC",(IF(Table3[[#This Row],[Type Received]]=3,"BILL","ACH")))</f>
        <v>BILL</v>
      </c>
      <c r="F2740" s="35">
        <v>104.35</v>
      </c>
      <c r="G2740" s="14" t="str">
        <f>VLOOKUP(D2740,Table4[],3,FALSE)</f>
        <v>2</v>
      </c>
      <c r="H2740" s="15"/>
      <c r="I2740" s="15"/>
      <c r="J2740" s="15" t="s">
        <v>110</v>
      </c>
      <c r="K2740" s="15">
        <v>828291173</v>
      </c>
      <c r="L2740" s="15" t="s">
        <v>29</v>
      </c>
      <c r="M2740" s="15" t="s">
        <v>29</v>
      </c>
    </row>
    <row r="2741" spans="1:13" x14ac:dyDescent="0.25">
      <c r="A2741" s="23">
        <f t="shared" si="135"/>
        <v>231981</v>
      </c>
      <c r="B2741" s="14" t="str">
        <f t="shared" si="133"/>
        <v>Direct Debit (UMB Bank) - Credits</v>
      </c>
      <c r="C2741" s="37">
        <v>46168</v>
      </c>
      <c r="D2741" s="31">
        <v>231981</v>
      </c>
      <c r="E2741" s="33" t="str">
        <f>IF(Table3[[#This Row],[Type Received]]=2,"CC",(IF(Table3[[#This Row],[Type Received]]=3,"BILL","ACH")))</f>
        <v>ACH</v>
      </c>
      <c r="F2741" s="32">
        <v>178</v>
      </c>
      <c r="G2741" s="14" t="str">
        <f>VLOOKUP(D2741,Table4[],3,FALSE)</f>
        <v>2</v>
      </c>
      <c r="H2741" s="15">
        <v>2930</v>
      </c>
      <c r="I2741" s="15"/>
      <c r="J2741" s="24"/>
      <c r="K2741" s="15"/>
      <c r="L2741" s="15"/>
      <c r="M2741" s="15" t="s">
        <v>29</v>
      </c>
    </row>
    <row r="2742" spans="1:13" x14ac:dyDescent="0.25">
      <c r="A2742" s="23">
        <f t="shared" si="135"/>
        <v>232008</v>
      </c>
      <c r="B2742" s="14" t="str">
        <f t="shared" si="133"/>
        <v>Direct Debit (UMB Bank) - Credits</v>
      </c>
      <c r="C2742" s="38">
        <v>46157</v>
      </c>
      <c r="D2742" s="34">
        <v>232008</v>
      </c>
      <c r="E2742" s="36" t="str">
        <f>IF(Table3[[#This Row],[Type Received]]=2,"CC",(IF(Table3[[#This Row],[Type Received]]=3,"BILL","ACH")))</f>
        <v>ACH</v>
      </c>
      <c r="F2742" s="35">
        <v>36.15</v>
      </c>
      <c r="G2742" s="14" t="str">
        <f>VLOOKUP(D2742,Table4[],3,FALSE)</f>
        <v>1</v>
      </c>
      <c r="H2742" s="15"/>
      <c r="I2742" s="15"/>
      <c r="J2742" s="24" t="s">
        <v>87</v>
      </c>
      <c r="K2742" s="15">
        <v>696772868</v>
      </c>
      <c r="L2742" s="15" t="s">
        <v>29</v>
      </c>
      <c r="M2742" s="15"/>
    </row>
    <row r="2743" spans="1:13" x14ac:dyDescent="0.25">
      <c r="A2743" s="23">
        <f t="shared" ref="A2743:A2774" si="136">D2743</f>
        <v>232084</v>
      </c>
      <c r="B2743" s="14" t="str">
        <f t="shared" si="133"/>
        <v>Billing - Credits (from TPA)</v>
      </c>
      <c r="C2743" s="37">
        <v>46167</v>
      </c>
      <c r="D2743" s="31">
        <v>232084</v>
      </c>
      <c r="E2743" s="33" t="str">
        <f>IF(Table3[[#This Row],[Type Received]]=2,"CC",(IF(Table3[[#This Row],[Type Received]]=3,"BILL","ACH")))</f>
        <v>BILL</v>
      </c>
      <c r="F2743" s="32">
        <v>40.549999999999997</v>
      </c>
      <c r="G2743" s="14" t="str">
        <f>VLOOKUP(D2743,Table4[],3,FALSE)</f>
        <v>1</v>
      </c>
      <c r="H2743" s="15"/>
      <c r="I2743" s="15"/>
      <c r="J2743" s="15" t="s">
        <v>85</v>
      </c>
      <c r="K2743" s="15">
        <v>818340805</v>
      </c>
      <c r="L2743" s="15" t="s">
        <v>29</v>
      </c>
      <c r="M2743" s="15"/>
    </row>
    <row r="2744" spans="1:13" x14ac:dyDescent="0.25">
      <c r="A2744" s="23">
        <f t="shared" si="136"/>
        <v>232085</v>
      </c>
      <c r="B2744" s="14" t="str">
        <f t="shared" si="133"/>
        <v>Credit Cards (UMB) - Credits</v>
      </c>
      <c r="C2744" s="38">
        <v>46146</v>
      </c>
      <c r="D2744" s="34">
        <v>232085</v>
      </c>
      <c r="E2744" s="36" t="str">
        <f>IF(Table3[[#This Row],[Type Received]]=2,"CC",(IF(Table3[[#This Row],[Type Received]]=3,"BILL","ACH")))</f>
        <v>CC</v>
      </c>
      <c r="F2744" s="35">
        <v>111.07</v>
      </c>
      <c r="G2744" s="14" t="str">
        <f>VLOOKUP(D2744,Table4[],3,FALSE)</f>
        <v>1</v>
      </c>
      <c r="H2744" s="15">
        <v>1543</v>
      </c>
      <c r="I2744" s="15"/>
      <c r="J2744" s="15"/>
      <c r="K2744" s="15"/>
      <c r="L2744" s="15"/>
      <c r="M2744" s="15"/>
    </row>
    <row r="2745" spans="1:13" x14ac:dyDescent="0.25">
      <c r="A2745" s="23">
        <f t="shared" si="136"/>
        <v>232092</v>
      </c>
      <c r="B2745" s="14" t="str">
        <f t="shared" si="133"/>
        <v>Direct Debit (UMB Bank) - Credits</v>
      </c>
      <c r="C2745" s="37">
        <v>46143</v>
      </c>
      <c r="D2745" s="31">
        <v>232092</v>
      </c>
      <c r="E2745" s="33" t="str">
        <f>IF(Table3[[#This Row],[Type Received]]=2,"CC",(IF(Table3[[#This Row],[Type Received]]=3,"BILL","ACH")))</f>
        <v>ACH</v>
      </c>
      <c r="F2745" s="32">
        <v>94.79</v>
      </c>
      <c r="G2745" s="14" t="str">
        <f>VLOOKUP(D2745,Table4[],3,FALSE)</f>
        <v>2</v>
      </c>
      <c r="H2745" s="15"/>
      <c r="I2745" s="15">
        <v>1237</v>
      </c>
      <c r="J2745" s="15">
        <v>741374152</v>
      </c>
      <c r="K2745" s="15">
        <v>353090731</v>
      </c>
      <c r="L2745" s="15"/>
      <c r="M2745" s="15" t="s">
        <v>29</v>
      </c>
    </row>
    <row r="2746" spans="1:13" x14ac:dyDescent="0.25">
      <c r="A2746" s="23">
        <f t="shared" si="136"/>
        <v>232099</v>
      </c>
      <c r="B2746" s="14" t="str">
        <f t="shared" si="133"/>
        <v>Direct Debit (UMB Bank) - Credits</v>
      </c>
      <c r="C2746" s="38">
        <v>46144</v>
      </c>
      <c r="D2746" s="34">
        <v>232099</v>
      </c>
      <c r="E2746" s="36" t="str">
        <f>IF(Table3[[#This Row],[Type Received]]=2,"CC",(IF(Table3[[#This Row],[Type Received]]=3,"BILL","ACH")))</f>
        <v>ACH</v>
      </c>
      <c r="F2746" s="35">
        <v>109.96</v>
      </c>
      <c r="G2746" s="14" t="str">
        <f>VLOOKUP(D2746,Table4[],3,FALSE)</f>
        <v>2</v>
      </c>
      <c r="H2746" s="15"/>
      <c r="I2746" s="15"/>
      <c r="J2746" s="15" t="s">
        <v>89</v>
      </c>
      <c r="K2746" s="15">
        <v>535418255</v>
      </c>
      <c r="L2746" s="15" t="s">
        <v>29</v>
      </c>
      <c r="M2746" s="15" t="s">
        <v>29</v>
      </c>
    </row>
    <row r="2747" spans="1:13" x14ac:dyDescent="0.25">
      <c r="A2747" s="23">
        <f t="shared" si="136"/>
        <v>232113</v>
      </c>
      <c r="B2747" s="14" t="str">
        <f t="shared" si="133"/>
        <v>Billing - Credits (from TPA)</v>
      </c>
      <c r="C2747" s="37">
        <v>46157</v>
      </c>
      <c r="D2747" s="31">
        <v>232113</v>
      </c>
      <c r="E2747" s="33" t="str">
        <f>IF(Table3[[#This Row],[Type Received]]=2,"CC",(IF(Table3[[#This Row],[Type Received]]=3,"BILL","ACH")))</f>
        <v>BILL</v>
      </c>
      <c r="F2747" s="32">
        <v>44.29</v>
      </c>
      <c r="G2747" s="14" t="str">
        <f>VLOOKUP(D2747,Table4[],3,FALSE)</f>
        <v>1</v>
      </c>
      <c r="H2747" s="15"/>
      <c r="I2747" s="15"/>
      <c r="J2747" s="15" t="s">
        <v>87</v>
      </c>
      <c r="K2747" s="15">
        <v>696789209</v>
      </c>
      <c r="L2747" s="15" t="s">
        <v>29</v>
      </c>
      <c r="M2747" s="15" t="s">
        <v>29</v>
      </c>
    </row>
    <row r="2748" spans="1:13" x14ac:dyDescent="0.25">
      <c r="A2748" s="23">
        <f t="shared" si="136"/>
        <v>232120</v>
      </c>
      <c r="B2748" s="14" t="str">
        <f t="shared" si="133"/>
        <v>Billing - Credits (from TPA)</v>
      </c>
      <c r="C2748" s="38">
        <v>46146</v>
      </c>
      <c r="D2748" s="34">
        <v>232120</v>
      </c>
      <c r="E2748" s="36" t="str">
        <f>IF(Table3[[#This Row],[Type Received]]=2,"CC",(IF(Table3[[#This Row],[Type Received]]=3,"BILL","ACH")))</f>
        <v>BILL</v>
      </c>
      <c r="F2748" s="35">
        <v>75.650000000000006</v>
      </c>
      <c r="G2748" s="14" t="str">
        <f>VLOOKUP(D2748,Table4[],3,FALSE)</f>
        <v>1</v>
      </c>
      <c r="H2748" s="15">
        <v>5381</v>
      </c>
      <c r="I2748" s="15"/>
      <c r="J2748" s="15"/>
      <c r="K2748" s="15"/>
      <c r="L2748" s="15"/>
      <c r="M2748" s="15"/>
    </row>
    <row r="2749" spans="1:13" x14ac:dyDescent="0.25">
      <c r="A2749" s="23">
        <f t="shared" si="136"/>
        <v>232196</v>
      </c>
      <c r="B2749" s="14" t="str">
        <f t="shared" si="133"/>
        <v>Billing - Credits (from TPA)</v>
      </c>
      <c r="C2749" s="37">
        <v>46143</v>
      </c>
      <c r="D2749" s="31">
        <v>232196</v>
      </c>
      <c r="E2749" s="33" t="str">
        <f>IF(Table3[[#This Row],[Type Received]]=2,"CC",(IF(Table3[[#This Row],[Type Received]]=3,"BILL","ACH")))</f>
        <v>BILL</v>
      </c>
      <c r="F2749" s="32">
        <v>73.3</v>
      </c>
      <c r="G2749" s="14" t="str">
        <f>VLOOKUP(D2749,Table4[],3,FALSE)</f>
        <v>1</v>
      </c>
      <c r="H2749" s="15">
        <v>612</v>
      </c>
      <c r="I2749" s="15"/>
      <c r="J2749" s="15"/>
      <c r="K2749" s="15"/>
      <c r="L2749" s="15"/>
      <c r="M2749" s="15"/>
    </row>
    <row r="2750" spans="1:13" x14ac:dyDescent="0.25">
      <c r="A2750" s="23">
        <f t="shared" si="136"/>
        <v>232217</v>
      </c>
      <c r="B2750" s="14" t="str">
        <f t="shared" si="133"/>
        <v>Direct Debit (UMB Bank) - Credits</v>
      </c>
      <c r="C2750" s="38">
        <v>46143</v>
      </c>
      <c r="D2750" s="34">
        <v>232217</v>
      </c>
      <c r="E2750" s="36" t="str">
        <f>IF(Table3[[#This Row],[Type Received]]=2,"CC",(IF(Table3[[#This Row],[Type Received]]=3,"BILL","ACH")))</f>
        <v>ACH</v>
      </c>
      <c r="F2750" s="35">
        <v>143.69999999999999</v>
      </c>
      <c r="G2750" s="14" t="str">
        <f>VLOOKUP(D2750,Table4[],3,FALSE)</f>
        <v>2</v>
      </c>
      <c r="H2750" s="15">
        <v>2828</v>
      </c>
      <c r="I2750" s="15"/>
      <c r="J2750" s="15"/>
      <c r="K2750" s="15"/>
      <c r="L2750" s="15"/>
      <c r="M2750" s="15" t="s">
        <v>29</v>
      </c>
    </row>
    <row r="2751" spans="1:13" x14ac:dyDescent="0.25">
      <c r="A2751" s="23">
        <f t="shared" si="136"/>
        <v>232255</v>
      </c>
      <c r="B2751" s="14" t="str">
        <f t="shared" si="133"/>
        <v>Credit Cards (UMB) - Credits</v>
      </c>
      <c r="C2751" s="37">
        <v>46157</v>
      </c>
      <c r="D2751" s="31">
        <v>232255</v>
      </c>
      <c r="E2751" s="33" t="str">
        <f>IF(Table3[[#This Row],[Type Received]]=2,"CC",(IF(Table3[[#This Row],[Type Received]]=3,"BILL","ACH")))</f>
        <v>CC</v>
      </c>
      <c r="F2751" s="32">
        <v>129.43</v>
      </c>
      <c r="G2751" s="14" t="str">
        <f>VLOOKUP(D2751,Table4[],3,FALSE)</f>
        <v>2</v>
      </c>
      <c r="H2751" s="15"/>
      <c r="I2751" s="15"/>
      <c r="J2751" s="24" t="s">
        <v>87</v>
      </c>
      <c r="K2751" s="15">
        <v>696783494</v>
      </c>
      <c r="L2751" s="15" t="s">
        <v>29</v>
      </c>
      <c r="M2751" s="15" t="s">
        <v>29</v>
      </c>
    </row>
    <row r="2752" spans="1:13" x14ac:dyDescent="0.25">
      <c r="A2752" s="23">
        <f t="shared" si="136"/>
        <v>232263</v>
      </c>
      <c r="B2752" s="14" t="str">
        <f t="shared" si="133"/>
        <v>Direct Debit (UMB Bank) - Credits</v>
      </c>
      <c r="C2752" s="38">
        <v>46146</v>
      </c>
      <c r="D2752" s="34">
        <v>232263</v>
      </c>
      <c r="E2752" s="36" t="str">
        <f>IF(Table3[[#This Row],[Type Received]]=2,"CC",(IF(Table3[[#This Row],[Type Received]]=3,"BILL","ACH")))</f>
        <v>ACH</v>
      </c>
      <c r="F2752" s="35">
        <v>60.1</v>
      </c>
      <c r="G2752" s="14" t="str">
        <f>VLOOKUP(D2752,Table4[],3,FALSE)</f>
        <v>1</v>
      </c>
      <c r="H2752" s="15"/>
      <c r="I2752" s="15">
        <v>500392</v>
      </c>
      <c r="J2752" s="15" t="s">
        <v>28</v>
      </c>
      <c r="K2752" s="15">
        <v>558150183</v>
      </c>
      <c r="L2752" s="15" t="s">
        <v>29</v>
      </c>
      <c r="M2752" s="15"/>
    </row>
    <row r="2753" spans="1:13" x14ac:dyDescent="0.25">
      <c r="A2753" s="23">
        <f t="shared" si="136"/>
        <v>232289</v>
      </c>
      <c r="B2753" s="14" t="str">
        <f t="shared" si="133"/>
        <v>Direct Debit (UMB Bank) - Credits</v>
      </c>
      <c r="C2753" s="37">
        <v>46168</v>
      </c>
      <c r="D2753" s="31">
        <v>232289</v>
      </c>
      <c r="E2753" s="33" t="str">
        <f>IF(Table3[[#This Row],[Type Received]]=2,"CC",(IF(Table3[[#This Row],[Type Received]]=3,"BILL","ACH")))</f>
        <v>ACH</v>
      </c>
      <c r="F2753" s="32">
        <v>66.95</v>
      </c>
      <c r="G2753" s="14" t="str">
        <f>VLOOKUP(D2753,Table4[],3,FALSE)</f>
        <v>1</v>
      </c>
      <c r="H2753" s="15"/>
      <c r="I2753" s="15"/>
      <c r="J2753" s="15" t="s">
        <v>110</v>
      </c>
      <c r="K2753" s="15">
        <v>828298177</v>
      </c>
      <c r="L2753" s="15" t="s">
        <v>29</v>
      </c>
      <c r="M2753" s="15" t="s">
        <v>29</v>
      </c>
    </row>
    <row r="2754" spans="1:13" x14ac:dyDescent="0.25">
      <c r="A2754" s="23">
        <f t="shared" si="136"/>
        <v>232340</v>
      </c>
      <c r="B2754" s="14" t="str">
        <f t="shared" ref="B2754:B2817" si="137">IF(AND(E2754="BILL",F2754&lt;0),"Billing &amp; Direct Debit - Refunds",(IF(AND(E2754="BILL",F2754&gt;0),"Billing - Credits (from TPA)",(IF(AND(E2754="CC",F2754&lt;0),"Credit Cards (UMB) - Refunds",(IF(AND(E2754="CC",F2754&gt;0),"Credit Cards (UMB) - Credits",(IF(AND(E2754="ACH",F2754&gt;0),"Direct Debit (UMB Bank) - Credits","Direct Debit (UMB Bank) - Returned Items")))))))))</f>
        <v>Direct Debit (UMB Bank) - Credits</v>
      </c>
      <c r="C2754" s="38">
        <v>46144</v>
      </c>
      <c r="D2754" s="34">
        <v>232340</v>
      </c>
      <c r="E2754" s="36" t="str">
        <f>IF(Table3[[#This Row],[Type Received]]=2,"CC",(IF(Table3[[#This Row],[Type Received]]=3,"BILL","ACH")))</f>
        <v>ACH</v>
      </c>
      <c r="F2754" s="35">
        <v>39.450000000000003</v>
      </c>
      <c r="G2754" s="14" t="str">
        <f>VLOOKUP(D2754,Table4[],3,FALSE)</f>
        <v>1</v>
      </c>
      <c r="H2754" s="15"/>
      <c r="I2754" s="15"/>
      <c r="J2754" s="15" t="s">
        <v>89</v>
      </c>
      <c r="K2754" s="15">
        <v>535357682</v>
      </c>
      <c r="L2754" s="15" t="s">
        <v>29</v>
      </c>
      <c r="M2754" s="15" t="s">
        <v>29</v>
      </c>
    </row>
    <row r="2755" spans="1:13" x14ac:dyDescent="0.25">
      <c r="A2755" s="23">
        <f t="shared" si="136"/>
        <v>232369</v>
      </c>
      <c r="B2755" s="14" t="str">
        <f t="shared" si="137"/>
        <v>Direct Debit (UMB Bank) - Credits</v>
      </c>
      <c r="C2755" s="37">
        <v>46168</v>
      </c>
      <c r="D2755" s="31">
        <v>232369</v>
      </c>
      <c r="E2755" s="33" t="str">
        <f>IF(Table3[[#This Row],[Type Received]]=2,"CC",(IF(Table3[[#This Row],[Type Received]]=3,"BILL","ACH")))</f>
        <v>ACH</v>
      </c>
      <c r="F2755" s="32">
        <v>30.65</v>
      </c>
      <c r="G2755" s="14" t="str">
        <f>VLOOKUP(D2755,Table4[],3,FALSE)</f>
        <v>1</v>
      </c>
      <c r="H2755" s="15"/>
      <c r="I2755" s="15"/>
      <c r="J2755" s="15" t="s">
        <v>110</v>
      </c>
      <c r="K2755" s="15">
        <v>828291228</v>
      </c>
      <c r="L2755" s="15" t="s">
        <v>29</v>
      </c>
      <c r="M2755" s="15"/>
    </row>
    <row r="2756" spans="1:13" x14ac:dyDescent="0.25">
      <c r="A2756" s="23">
        <f t="shared" si="136"/>
        <v>232410</v>
      </c>
      <c r="B2756" s="14" t="str">
        <f t="shared" si="137"/>
        <v>Direct Debit (UMB Bank) - Credits</v>
      </c>
      <c r="C2756" s="38">
        <v>46157</v>
      </c>
      <c r="D2756" s="34">
        <v>232410</v>
      </c>
      <c r="E2756" s="36" t="str">
        <f>IF(Table3[[#This Row],[Type Received]]=2,"CC",(IF(Table3[[#This Row],[Type Received]]=3,"BILL","ACH")))</f>
        <v>ACH</v>
      </c>
      <c r="F2756" s="35">
        <v>67.61</v>
      </c>
      <c r="G2756" s="14" t="str">
        <f>VLOOKUP(D2756,Table4[],3,FALSE)</f>
        <v>1</v>
      </c>
      <c r="H2756" s="15"/>
      <c r="I2756" s="15"/>
      <c r="J2756" s="15" t="s">
        <v>87</v>
      </c>
      <c r="K2756" s="15">
        <v>696850140</v>
      </c>
      <c r="L2756" s="15" t="s">
        <v>29</v>
      </c>
      <c r="M2756" s="15" t="s">
        <v>29</v>
      </c>
    </row>
    <row r="2757" spans="1:13" x14ac:dyDescent="0.25">
      <c r="A2757" s="23">
        <f t="shared" si="136"/>
        <v>232411</v>
      </c>
      <c r="B2757" s="14" t="str">
        <f t="shared" si="137"/>
        <v>Direct Debit (UMB Bank) - Credits</v>
      </c>
      <c r="C2757" s="37">
        <v>46168</v>
      </c>
      <c r="D2757" s="31">
        <v>232411</v>
      </c>
      <c r="E2757" s="33" t="str">
        <f>IF(Table3[[#This Row],[Type Received]]=2,"CC",(IF(Table3[[#This Row],[Type Received]]=3,"BILL","ACH")))</f>
        <v>ACH</v>
      </c>
      <c r="F2757" s="32">
        <v>45.94</v>
      </c>
      <c r="G2757" s="14" t="str">
        <f>VLOOKUP(D2757,Table4[],3,FALSE)</f>
        <v>2</v>
      </c>
      <c r="H2757" s="15"/>
      <c r="I2757" s="15"/>
      <c r="J2757" s="15" t="s">
        <v>110</v>
      </c>
      <c r="K2757" s="15">
        <v>828301132</v>
      </c>
      <c r="L2757" s="15" t="s">
        <v>29</v>
      </c>
      <c r="M2757" s="15" t="s">
        <v>29</v>
      </c>
    </row>
    <row r="2758" spans="1:13" x14ac:dyDescent="0.25">
      <c r="A2758" s="23">
        <f t="shared" si="136"/>
        <v>232440</v>
      </c>
      <c r="B2758" s="14" t="str">
        <f t="shared" si="137"/>
        <v>Credit Cards (UMB) - Credits</v>
      </c>
      <c r="C2758" s="38">
        <v>46143</v>
      </c>
      <c r="D2758" s="34">
        <v>232440</v>
      </c>
      <c r="E2758" s="36" t="str">
        <f>IF(Table3[[#This Row],[Type Received]]=2,"CC",(IF(Table3[[#This Row],[Type Received]]=3,"BILL","ACH")))</f>
        <v>CC</v>
      </c>
      <c r="F2758" s="35">
        <v>52.21</v>
      </c>
      <c r="G2758" s="14" t="str">
        <f>VLOOKUP(D2758,Table4[],3,FALSE)</f>
        <v>1</v>
      </c>
      <c r="H2758" s="15"/>
      <c r="I2758" s="15"/>
      <c r="J2758" s="15" t="s">
        <v>84</v>
      </c>
      <c r="K2758" s="15">
        <v>522192358</v>
      </c>
      <c r="L2758" s="15" t="s">
        <v>29</v>
      </c>
      <c r="M2758" s="15" t="s">
        <v>29</v>
      </c>
    </row>
    <row r="2759" spans="1:13" x14ac:dyDescent="0.25">
      <c r="A2759" s="23">
        <f t="shared" si="136"/>
        <v>232468</v>
      </c>
      <c r="B2759" s="14" t="str">
        <f t="shared" si="137"/>
        <v>Billing - Credits (from TPA)</v>
      </c>
      <c r="C2759" s="37">
        <v>46143</v>
      </c>
      <c r="D2759" s="31">
        <v>232468</v>
      </c>
      <c r="E2759" s="33" t="str">
        <f>IF(Table3[[#This Row],[Type Received]]=2,"CC",(IF(Table3[[#This Row],[Type Received]]=3,"BILL","ACH")))</f>
        <v>BILL</v>
      </c>
      <c r="F2759" s="32">
        <v>160.44999999999999</v>
      </c>
      <c r="G2759" s="14" t="str">
        <f>VLOOKUP(D2759,Table4[],3,FALSE)</f>
        <v>2</v>
      </c>
      <c r="H2759" s="15"/>
      <c r="I2759" s="15" t="s">
        <v>267</v>
      </c>
      <c r="J2759" s="15" t="s">
        <v>28</v>
      </c>
      <c r="K2759" s="15">
        <v>522160724</v>
      </c>
      <c r="L2759" s="15" t="s">
        <v>29</v>
      </c>
      <c r="M2759" s="15" t="s">
        <v>29</v>
      </c>
    </row>
    <row r="2760" spans="1:13" x14ac:dyDescent="0.25">
      <c r="A2760" s="23">
        <f t="shared" si="136"/>
        <v>232475</v>
      </c>
      <c r="B2760" s="14" t="str">
        <f t="shared" si="137"/>
        <v>Direct Debit (UMB Bank) - Credits</v>
      </c>
      <c r="C2760" s="38">
        <v>46169</v>
      </c>
      <c r="D2760" s="34">
        <v>232475</v>
      </c>
      <c r="E2760" s="36" t="str">
        <f>IF(Table3[[#This Row],[Type Received]]=2,"CC",(IF(Table3[[#This Row],[Type Received]]=3,"BILL","ACH")))</f>
        <v>ACH</v>
      </c>
      <c r="F2760" s="35">
        <v>193.2</v>
      </c>
      <c r="G2760" s="14" t="str">
        <f>VLOOKUP(D2760,Table4[],3,FALSE)</f>
        <v>2</v>
      </c>
      <c r="H2760" s="15">
        <v>378</v>
      </c>
      <c r="I2760" s="15"/>
      <c r="J2760" s="15"/>
      <c r="K2760" s="15"/>
      <c r="L2760" s="15"/>
      <c r="M2760" s="15" t="s">
        <v>29</v>
      </c>
    </row>
    <row r="2761" spans="1:13" x14ac:dyDescent="0.25">
      <c r="A2761" s="23">
        <f t="shared" si="136"/>
        <v>232515</v>
      </c>
      <c r="B2761" s="14" t="str">
        <f t="shared" si="137"/>
        <v>Billing - Credits (from TPA)</v>
      </c>
      <c r="C2761" s="37">
        <v>46168</v>
      </c>
      <c r="D2761" s="31">
        <v>232515</v>
      </c>
      <c r="E2761" s="33" t="str">
        <f>IF(Table3[[#This Row],[Type Received]]=2,"CC",(IF(Table3[[#This Row],[Type Received]]=3,"BILL","ACH")))</f>
        <v>BILL</v>
      </c>
      <c r="F2761" s="32">
        <v>72.67</v>
      </c>
      <c r="G2761" s="14" t="str">
        <f>VLOOKUP(D2761,Table4[],3,FALSE)</f>
        <v>2</v>
      </c>
      <c r="H2761" s="15"/>
      <c r="I2761" s="15"/>
      <c r="J2761" s="24" t="s">
        <v>110</v>
      </c>
      <c r="K2761" s="15">
        <v>828299205</v>
      </c>
      <c r="L2761" s="15" t="s">
        <v>29</v>
      </c>
      <c r="M2761" s="15"/>
    </row>
    <row r="2762" spans="1:13" x14ac:dyDescent="0.25">
      <c r="A2762" s="23">
        <f t="shared" si="136"/>
        <v>232545</v>
      </c>
      <c r="B2762" s="14" t="str">
        <f t="shared" si="137"/>
        <v>Direct Debit (UMB Bank) - Credits</v>
      </c>
      <c r="C2762" s="38">
        <v>46155</v>
      </c>
      <c r="D2762" s="34">
        <v>232545</v>
      </c>
      <c r="E2762" s="36" t="str">
        <f>IF(Table3[[#This Row],[Type Received]]=2,"CC",(IF(Table3[[#This Row],[Type Received]]=3,"BILL","ACH")))</f>
        <v>ACH</v>
      </c>
      <c r="F2762" s="35">
        <v>33.85</v>
      </c>
      <c r="G2762" s="14" t="str">
        <f>VLOOKUP(D2762,Table4[],3,FALSE)</f>
        <v>1</v>
      </c>
      <c r="H2762" s="15">
        <v>2709</v>
      </c>
      <c r="I2762" s="15"/>
      <c r="J2762" s="15"/>
      <c r="K2762" s="15"/>
      <c r="L2762" s="15"/>
      <c r="M2762" s="15"/>
    </row>
    <row r="2763" spans="1:13" x14ac:dyDescent="0.25">
      <c r="A2763" s="23">
        <f t="shared" si="136"/>
        <v>232582</v>
      </c>
      <c r="B2763" s="14" t="str">
        <f t="shared" si="137"/>
        <v>Direct Debit (UMB Bank) - Credits</v>
      </c>
      <c r="C2763" s="37">
        <v>46144</v>
      </c>
      <c r="D2763" s="31">
        <v>232582</v>
      </c>
      <c r="E2763" s="33" t="str">
        <f>IF(Table3[[#This Row],[Type Received]]=2,"CC",(IF(Table3[[#This Row],[Type Received]]=3,"BILL","ACH")))</f>
        <v>ACH</v>
      </c>
      <c r="F2763" s="32">
        <v>56.17</v>
      </c>
      <c r="G2763" s="14" t="str">
        <f>VLOOKUP(D2763,Table4[],3,FALSE)</f>
        <v>1</v>
      </c>
      <c r="H2763" s="15"/>
      <c r="I2763" s="15"/>
      <c r="J2763" s="15" t="s">
        <v>89</v>
      </c>
      <c r="K2763" s="15">
        <v>535401700</v>
      </c>
      <c r="L2763" s="15" t="s">
        <v>29</v>
      </c>
      <c r="M2763" s="15"/>
    </row>
    <row r="2764" spans="1:13" x14ac:dyDescent="0.25">
      <c r="A2764" s="23">
        <f t="shared" si="136"/>
        <v>232731</v>
      </c>
      <c r="B2764" s="14" t="str">
        <f t="shared" si="137"/>
        <v>Credit Cards (UMB) - Credits</v>
      </c>
      <c r="C2764" s="38">
        <v>46157</v>
      </c>
      <c r="D2764" s="34">
        <v>232731</v>
      </c>
      <c r="E2764" s="36" t="str">
        <f>IF(Table3[[#This Row],[Type Received]]=2,"CC",(IF(Table3[[#This Row],[Type Received]]=3,"BILL","ACH")))</f>
        <v>CC</v>
      </c>
      <c r="F2764" s="35">
        <v>47.15</v>
      </c>
      <c r="G2764" s="14" t="str">
        <f>VLOOKUP(D2764,Table4[],3,FALSE)</f>
        <v>1</v>
      </c>
      <c r="H2764" s="15"/>
      <c r="I2764" s="15"/>
      <c r="J2764" s="15" t="s">
        <v>87</v>
      </c>
      <c r="K2764" s="15">
        <v>696783505</v>
      </c>
      <c r="L2764" s="15" t="s">
        <v>29</v>
      </c>
      <c r="M2764" s="15" t="s">
        <v>29</v>
      </c>
    </row>
    <row r="2765" spans="1:13" x14ac:dyDescent="0.25">
      <c r="A2765" s="23">
        <f t="shared" si="136"/>
        <v>232772</v>
      </c>
      <c r="B2765" s="14" t="str">
        <f t="shared" si="137"/>
        <v>Direct Debit (UMB Bank) - Credits</v>
      </c>
      <c r="C2765" s="37">
        <v>46157</v>
      </c>
      <c r="D2765" s="31">
        <v>232772</v>
      </c>
      <c r="E2765" s="33" t="str">
        <f>IF(Table3[[#This Row],[Type Received]]=2,"CC",(IF(Table3[[#This Row],[Type Received]]=3,"BILL","ACH")))</f>
        <v>ACH</v>
      </c>
      <c r="F2765" s="32">
        <v>62.23</v>
      </c>
      <c r="G2765" s="14" t="str">
        <f>VLOOKUP(D2765,Table4[],3,FALSE)</f>
        <v>1</v>
      </c>
      <c r="H2765" s="15"/>
      <c r="I2765" s="15">
        <v>130654</v>
      </c>
      <c r="J2765" s="15" t="s">
        <v>28</v>
      </c>
      <c r="K2765" s="15">
        <v>698900547</v>
      </c>
      <c r="L2765" s="15" t="s">
        <v>29</v>
      </c>
      <c r="M2765" s="15" t="s">
        <v>29</v>
      </c>
    </row>
    <row r="2766" spans="1:13" x14ac:dyDescent="0.25">
      <c r="A2766" s="23">
        <f t="shared" si="136"/>
        <v>232805</v>
      </c>
      <c r="B2766" s="14" t="str">
        <f t="shared" si="137"/>
        <v>Credit Cards (UMB) - Credits</v>
      </c>
      <c r="C2766" s="38">
        <v>46144</v>
      </c>
      <c r="D2766" s="34">
        <v>232805</v>
      </c>
      <c r="E2766" s="36" t="str">
        <f>IF(Table3[[#This Row],[Type Received]]=2,"CC",(IF(Table3[[#This Row],[Type Received]]=3,"BILL","ACH")))</f>
        <v>CC</v>
      </c>
      <c r="F2766" s="35">
        <v>56.83</v>
      </c>
      <c r="G2766" s="14" t="str">
        <f>VLOOKUP(D2766,Table4[],3,FALSE)</f>
        <v>2</v>
      </c>
      <c r="H2766" s="15"/>
      <c r="I2766" s="15"/>
      <c r="J2766" s="15" t="s">
        <v>89</v>
      </c>
      <c r="K2766" s="15">
        <v>535413431</v>
      </c>
      <c r="L2766" s="15" t="s">
        <v>29</v>
      </c>
      <c r="M2766" s="15" t="s">
        <v>29</v>
      </c>
    </row>
    <row r="2767" spans="1:13" x14ac:dyDescent="0.25">
      <c r="A2767" s="23">
        <f t="shared" si="136"/>
        <v>232870</v>
      </c>
      <c r="B2767" s="14" t="str">
        <f t="shared" si="137"/>
        <v>Direct Debit (UMB Bank) - Credits</v>
      </c>
      <c r="C2767" s="37">
        <v>46170</v>
      </c>
      <c r="D2767" s="31">
        <v>232870</v>
      </c>
      <c r="E2767" s="33" t="str">
        <f>IF(Table3[[#This Row],[Type Received]]=2,"CC",(IF(Table3[[#This Row],[Type Received]]=3,"BILL","ACH")))</f>
        <v>ACH</v>
      </c>
      <c r="F2767" s="32">
        <v>798.14</v>
      </c>
      <c r="G2767" s="14" t="str">
        <f>VLOOKUP(D2767,Table4[],3,FALSE)</f>
        <v>1</v>
      </c>
      <c r="H2767" s="15"/>
      <c r="I2767" s="15">
        <v>2083</v>
      </c>
      <c r="J2767" s="15" t="s">
        <v>28</v>
      </c>
      <c r="K2767" s="15">
        <v>854640334</v>
      </c>
      <c r="L2767" s="15" t="s">
        <v>29</v>
      </c>
      <c r="M2767" s="15" t="s">
        <v>29</v>
      </c>
    </row>
    <row r="2768" spans="1:13" x14ac:dyDescent="0.25">
      <c r="A2768" s="23">
        <f t="shared" si="136"/>
        <v>232970</v>
      </c>
      <c r="B2768" s="14" t="str">
        <f t="shared" si="137"/>
        <v>Billing - Credits (from TPA)</v>
      </c>
      <c r="C2768" s="38">
        <v>46168</v>
      </c>
      <c r="D2768" s="34">
        <v>232970</v>
      </c>
      <c r="E2768" s="36" t="str">
        <f>IF(Table3[[#This Row],[Type Received]]=2,"CC",(IF(Table3[[#This Row],[Type Received]]=3,"BILL","ACH")))</f>
        <v>BILL</v>
      </c>
      <c r="F2768" s="35">
        <v>134.05000000000001</v>
      </c>
      <c r="G2768" s="14" t="str">
        <f>VLOOKUP(D2768,Table4[],3,FALSE)</f>
        <v>2</v>
      </c>
      <c r="H2768" s="15"/>
      <c r="I2768" s="15"/>
      <c r="J2768" s="15" t="s">
        <v>110</v>
      </c>
      <c r="K2768" s="15">
        <v>828293245</v>
      </c>
      <c r="L2768" s="15" t="s">
        <v>29</v>
      </c>
      <c r="M2768" s="15" t="s">
        <v>29</v>
      </c>
    </row>
    <row r="2769" spans="1:13" x14ac:dyDescent="0.25">
      <c r="A2769" s="23">
        <f t="shared" si="136"/>
        <v>232982</v>
      </c>
      <c r="B2769" s="14" t="str">
        <f t="shared" si="137"/>
        <v>Billing - Credits (from TPA)</v>
      </c>
      <c r="C2769" s="37">
        <v>46164</v>
      </c>
      <c r="D2769" s="31">
        <v>232982</v>
      </c>
      <c r="E2769" s="33" t="str">
        <f>IF(Table3[[#This Row],[Type Received]]=2,"CC",(IF(Table3[[#This Row],[Type Received]]=3,"BILL","ACH")))</f>
        <v>BILL</v>
      </c>
      <c r="F2769" s="32">
        <v>57.5</v>
      </c>
      <c r="G2769" s="14" t="str">
        <f>VLOOKUP(D2769,Table4[],3,FALSE)</f>
        <v>2</v>
      </c>
      <c r="H2769" s="15">
        <v>923128471</v>
      </c>
      <c r="I2769" s="15"/>
      <c r="J2769" s="15"/>
      <c r="K2769" s="15"/>
      <c r="L2769" s="15"/>
      <c r="M2769" s="15" t="s">
        <v>29</v>
      </c>
    </row>
    <row r="2770" spans="1:13" x14ac:dyDescent="0.25">
      <c r="A2770" s="23">
        <f t="shared" si="136"/>
        <v>233007</v>
      </c>
      <c r="B2770" s="14" t="str">
        <f t="shared" si="137"/>
        <v>Credit Cards (UMB) - Credits</v>
      </c>
      <c r="C2770" s="38">
        <v>46147</v>
      </c>
      <c r="D2770" s="34">
        <v>233007</v>
      </c>
      <c r="E2770" s="36" t="str">
        <f>IF(Table3[[#This Row],[Type Received]]=2,"CC",(IF(Table3[[#This Row],[Type Received]]=3,"BILL","ACH")))</f>
        <v>CC</v>
      </c>
      <c r="F2770" s="35">
        <v>84.3</v>
      </c>
      <c r="G2770" s="14" t="str">
        <f>VLOOKUP(D2770,Table4[],3,FALSE)</f>
        <v>1</v>
      </c>
      <c r="H2770" s="15">
        <v>3422</v>
      </c>
      <c r="I2770" s="15"/>
      <c r="J2770" s="15"/>
      <c r="K2770" s="15"/>
      <c r="L2770" s="15"/>
      <c r="M2770" s="15" t="s">
        <v>29</v>
      </c>
    </row>
    <row r="2771" spans="1:13" x14ac:dyDescent="0.25">
      <c r="A2771" s="23">
        <f t="shared" si="136"/>
        <v>233009</v>
      </c>
      <c r="B2771" s="14" t="str">
        <f t="shared" si="137"/>
        <v>Direct Debit (UMB Bank) - Credits</v>
      </c>
      <c r="C2771" s="37">
        <v>46153</v>
      </c>
      <c r="D2771" s="31">
        <v>233009</v>
      </c>
      <c r="E2771" s="33" t="str">
        <f>IF(Table3[[#This Row],[Type Received]]=2,"CC",(IF(Table3[[#This Row],[Type Received]]=3,"BILL","ACH")))</f>
        <v>ACH</v>
      </c>
      <c r="F2771" s="32">
        <v>119.54</v>
      </c>
      <c r="G2771" s="14" t="str">
        <f>VLOOKUP(D2771,Table4[],3,FALSE)</f>
        <v>2</v>
      </c>
      <c r="H2771" s="15"/>
      <c r="I2771" s="15">
        <v>171783</v>
      </c>
      <c r="J2771" s="24">
        <v>744352488</v>
      </c>
      <c r="K2771" s="15">
        <v>354237081</v>
      </c>
      <c r="L2771" s="15"/>
      <c r="M2771" s="15"/>
    </row>
    <row r="2772" spans="1:13" x14ac:dyDescent="0.25">
      <c r="A2772" s="23">
        <f t="shared" si="136"/>
        <v>233081</v>
      </c>
      <c r="B2772" s="14" t="str">
        <f t="shared" si="137"/>
        <v>Billing - Credits (from TPA)</v>
      </c>
      <c r="C2772" s="38">
        <v>46157</v>
      </c>
      <c r="D2772" s="34">
        <v>233081</v>
      </c>
      <c r="E2772" s="36" t="str">
        <f>IF(Table3[[#This Row],[Type Received]]=2,"CC",(IF(Table3[[#This Row],[Type Received]]=3,"BILL","ACH")))</f>
        <v>BILL</v>
      </c>
      <c r="F2772" s="35">
        <v>89.17</v>
      </c>
      <c r="G2772" s="14" t="str">
        <f>VLOOKUP(D2772,Table4[],3,FALSE)</f>
        <v>1</v>
      </c>
      <c r="H2772" s="15"/>
      <c r="I2772" s="15"/>
      <c r="J2772" s="15" t="s">
        <v>87</v>
      </c>
      <c r="K2772" s="15">
        <v>696772905</v>
      </c>
      <c r="L2772" s="15" t="s">
        <v>29</v>
      </c>
      <c r="M2772" s="15" t="s">
        <v>29</v>
      </c>
    </row>
    <row r="2773" spans="1:13" x14ac:dyDescent="0.25">
      <c r="A2773" s="23">
        <f t="shared" si="136"/>
        <v>233206</v>
      </c>
      <c r="B2773" s="14" t="str">
        <f t="shared" si="137"/>
        <v>Credit Cards (UMB) - Credits</v>
      </c>
      <c r="C2773" s="37">
        <v>46147</v>
      </c>
      <c r="D2773" s="31">
        <v>233206</v>
      </c>
      <c r="E2773" s="33" t="str">
        <f>IF(Table3[[#This Row],[Type Received]]=2,"CC",(IF(Table3[[#This Row],[Type Received]]=3,"BILL","ACH")))</f>
        <v>CC</v>
      </c>
      <c r="F2773" s="32">
        <v>69.709999999999994</v>
      </c>
      <c r="G2773" s="14" t="str">
        <f>VLOOKUP(D2773,Table4[],3,FALSE)</f>
        <v>2</v>
      </c>
      <c r="H2773" s="15">
        <v>19823742171</v>
      </c>
      <c r="I2773" s="15"/>
      <c r="J2773" s="15"/>
      <c r="K2773" s="15"/>
      <c r="L2773" s="15"/>
      <c r="M2773" s="15" t="s">
        <v>29</v>
      </c>
    </row>
    <row r="2774" spans="1:13" x14ac:dyDescent="0.25">
      <c r="A2774" s="23">
        <f t="shared" si="136"/>
        <v>233241</v>
      </c>
      <c r="B2774" s="14" t="str">
        <f t="shared" si="137"/>
        <v>Billing - Credits (from TPA)</v>
      </c>
      <c r="C2774" s="38">
        <v>46144</v>
      </c>
      <c r="D2774" s="34">
        <v>233241</v>
      </c>
      <c r="E2774" s="36" t="str">
        <f>IF(Table3[[#This Row],[Type Received]]=2,"CC",(IF(Table3[[#This Row],[Type Received]]=3,"BILL","ACH")))</f>
        <v>BILL</v>
      </c>
      <c r="F2774" s="35">
        <v>30.1</v>
      </c>
      <c r="G2774" s="14" t="str">
        <f>VLOOKUP(D2774,Table4[],3,FALSE)</f>
        <v>2</v>
      </c>
      <c r="H2774" s="15"/>
      <c r="I2774" s="15">
        <v>902011</v>
      </c>
      <c r="J2774" s="15" t="s">
        <v>28</v>
      </c>
      <c r="K2774" s="15">
        <v>535395021</v>
      </c>
      <c r="L2774" s="15" t="s">
        <v>29</v>
      </c>
      <c r="M2774" s="15"/>
    </row>
    <row r="2775" spans="1:13" x14ac:dyDescent="0.25">
      <c r="A2775" s="23">
        <f t="shared" ref="A2775:A2800" si="138">D2775</f>
        <v>233259</v>
      </c>
      <c r="B2775" s="14" t="str">
        <f t="shared" si="137"/>
        <v>Billing - Credits (from TPA)</v>
      </c>
      <c r="C2775" s="37">
        <v>46156</v>
      </c>
      <c r="D2775" s="31">
        <v>233259</v>
      </c>
      <c r="E2775" s="33" t="str">
        <f>IF(Table3[[#This Row],[Type Received]]=2,"CC",(IF(Table3[[#This Row],[Type Received]]=3,"BILL","ACH")))</f>
        <v>BILL</v>
      </c>
      <c r="F2775" s="32">
        <v>35.17</v>
      </c>
      <c r="G2775" s="14" t="str">
        <f>VLOOKUP(D2775,Table4[],3,FALSE)</f>
        <v>1</v>
      </c>
      <c r="H2775" s="15">
        <v>58099264</v>
      </c>
      <c r="I2775" s="15"/>
      <c r="J2775" s="15"/>
      <c r="K2775" s="15"/>
      <c r="L2775" s="15"/>
      <c r="M2775" s="15"/>
    </row>
    <row r="2776" spans="1:13" x14ac:dyDescent="0.25">
      <c r="A2776" s="23">
        <f t="shared" si="138"/>
        <v>233271</v>
      </c>
      <c r="B2776" s="14" t="str">
        <f t="shared" si="137"/>
        <v>Billing - Credits (from TPA)</v>
      </c>
      <c r="C2776" s="38">
        <v>46149</v>
      </c>
      <c r="D2776" s="34">
        <v>233271</v>
      </c>
      <c r="E2776" s="36" t="str">
        <f>IF(Table3[[#This Row],[Type Received]]=2,"CC",(IF(Table3[[#This Row],[Type Received]]=3,"BILL","ACH")))</f>
        <v>BILL</v>
      </c>
      <c r="F2776" s="35">
        <v>25.05</v>
      </c>
      <c r="G2776" s="14" t="str">
        <f>VLOOKUP(D2776,Table4[],3,FALSE)</f>
        <v>1</v>
      </c>
      <c r="H2776" s="15">
        <v>1435</v>
      </c>
      <c r="I2776" s="15"/>
      <c r="J2776" s="15"/>
      <c r="K2776" s="15"/>
      <c r="L2776" s="15"/>
      <c r="M2776" s="15" t="s">
        <v>29</v>
      </c>
    </row>
    <row r="2777" spans="1:13" x14ac:dyDescent="0.25">
      <c r="A2777" s="23">
        <f t="shared" si="138"/>
        <v>233291</v>
      </c>
      <c r="B2777" s="14" t="str">
        <f t="shared" si="137"/>
        <v>Direct Debit (UMB Bank) - Credits</v>
      </c>
      <c r="C2777" s="37">
        <v>46149</v>
      </c>
      <c r="D2777" s="31">
        <v>233291</v>
      </c>
      <c r="E2777" s="33" t="str">
        <f>IF(Table3[[#This Row],[Type Received]]=2,"CC",(IF(Table3[[#This Row],[Type Received]]=3,"BILL","ACH")))</f>
        <v>ACH</v>
      </c>
      <c r="F2777" s="32">
        <v>110</v>
      </c>
      <c r="G2777" s="14" t="str">
        <f>VLOOKUP(D2777,Table4[],3,FALSE)</f>
        <v>2</v>
      </c>
      <c r="H2777" s="15">
        <v>200062</v>
      </c>
      <c r="I2777" s="15"/>
      <c r="J2777" s="15"/>
      <c r="K2777" s="15"/>
      <c r="L2777" s="15"/>
      <c r="M2777" s="15" t="s">
        <v>29</v>
      </c>
    </row>
    <row r="2778" spans="1:13" x14ac:dyDescent="0.25">
      <c r="A2778" s="23">
        <f t="shared" si="138"/>
        <v>233298</v>
      </c>
      <c r="B2778" s="14" t="str">
        <f t="shared" si="137"/>
        <v>Direct Debit (UMB Bank) - Credits</v>
      </c>
      <c r="C2778" s="38">
        <v>46144</v>
      </c>
      <c r="D2778" s="34">
        <v>233298</v>
      </c>
      <c r="E2778" s="36" t="str">
        <f>IF(Table3[[#This Row],[Type Received]]=2,"CC",(IF(Table3[[#This Row],[Type Received]]=3,"BILL","ACH")))</f>
        <v>ACH</v>
      </c>
      <c r="F2778" s="35">
        <v>88.95</v>
      </c>
      <c r="G2778" s="14" t="str">
        <f>VLOOKUP(D2778,Table4[],3,FALSE)</f>
        <v>1</v>
      </c>
      <c r="H2778" s="15"/>
      <c r="I2778" s="15"/>
      <c r="J2778" s="15" t="s">
        <v>89</v>
      </c>
      <c r="K2778" s="15">
        <v>535415416</v>
      </c>
      <c r="L2778" s="15" t="s">
        <v>29</v>
      </c>
      <c r="M2778" s="15" t="s">
        <v>29</v>
      </c>
    </row>
    <row r="2779" spans="1:13" x14ac:dyDescent="0.25">
      <c r="A2779" s="23">
        <f t="shared" si="138"/>
        <v>233340</v>
      </c>
      <c r="B2779" s="14" t="str">
        <f t="shared" si="137"/>
        <v>Credit Cards (UMB) - Credits</v>
      </c>
      <c r="C2779" s="37">
        <v>46157</v>
      </c>
      <c r="D2779" s="31">
        <v>233340</v>
      </c>
      <c r="E2779" s="33" t="str">
        <f>IF(Table3[[#This Row],[Type Received]]=2,"CC",(IF(Table3[[#This Row],[Type Received]]=3,"BILL","ACH")))</f>
        <v>CC</v>
      </c>
      <c r="F2779" s="32">
        <v>82.79</v>
      </c>
      <c r="G2779" s="14" t="str">
        <f>VLOOKUP(D2779,Table4[],3,FALSE)</f>
        <v>1</v>
      </c>
      <c r="H2779" s="15"/>
      <c r="I2779" s="15"/>
      <c r="J2779" s="15" t="s">
        <v>87</v>
      </c>
      <c r="K2779" s="15">
        <v>696693686</v>
      </c>
      <c r="L2779" s="15" t="s">
        <v>29</v>
      </c>
      <c r="M2779" s="15" t="s">
        <v>29</v>
      </c>
    </row>
    <row r="2780" spans="1:13" x14ac:dyDescent="0.25">
      <c r="A2780" s="23">
        <f t="shared" si="138"/>
        <v>233357</v>
      </c>
      <c r="B2780" s="14" t="str">
        <f t="shared" si="137"/>
        <v>Billing - Credits (from TPA)</v>
      </c>
      <c r="C2780" s="38">
        <v>46166</v>
      </c>
      <c r="D2780" s="34">
        <v>233357</v>
      </c>
      <c r="E2780" s="36" t="str">
        <f>IF(Table3[[#This Row],[Type Received]]=2,"CC",(IF(Table3[[#This Row],[Type Received]]=3,"BILL","ACH")))</f>
        <v>BILL</v>
      </c>
      <c r="F2780" s="35">
        <v>17.13</v>
      </c>
      <c r="G2780" s="14" t="str">
        <f>VLOOKUP(D2780,Table4[],3,FALSE)</f>
        <v>1</v>
      </c>
      <c r="H2780" s="15"/>
      <c r="I2780" s="15">
        <v>121107</v>
      </c>
      <c r="J2780" s="15">
        <v>748427872</v>
      </c>
      <c r="K2780" s="15">
        <v>355674011</v>
      </c>
      <c r="L2780" s="15"/>
      <c r="M2780" s="15"/>
    </row>
    <row r="2781" spans="1:13" x14ac:dyDescent="0.25">
      <c r="A2781" s="23">
        <f t="shared" si="138"/>
        <v>233367</v>
      </c>
      <c r="B2781" s="14" t="str">
        <f t="shared" si="137"/>
        <v>Billing - Credits (from TPA)</v>
      </c>
      <c r="C2781" s="37">
        <v>46148</v>
      </c>
      <c r="D2781" s="31">
        <v>233367</v>
      </c>
      <c r="E2781" s="33" t="str">
        <f>IF(Table3[[#This Row],[Type Received]]=2,"CC",(IF(Table3[[#This Row],[Type Received]]=3,"BILL","ACH")))</f>
        <v>BILL</v>
      </c>
      <c r="F2781" s="32">
        <v>43.94</v>
      </c>
      <c r="G2781" s="14" t="str">
        <f>VLOOKUP(D2781,Table4[],3,FALSE)</f>
        <v>2</v>
      </c>
      <c r="H2781" s="15">
        <v>1327</v>
      </c>
      <c r="I2781" s="15"/>
      <c r="J2781" s="15"/>
      <c r="K2781" s="15"/>
      <c r="L2781" s="15"/>
      <c r="M2781" s="15" t="s">
        <v>29</v>
      </c>
    </row>
    <row r="2782" spans="1:13" x14ac:dyDescent="0.25">
      <c r="A2782" s="23">
        <f t="shared" si="138"/>
        <v>233378</v>
      </c>
      <c r="B2782" s="14" t="str">
        <f t="shared" si="137"/>
        <v>Direct Debit (UMB Bank) - Credits</v>
      </c>
      <c r="C2782" s="38">
        <v>46160</v>
      </c>
      <c r="D2782" s="34">
        <v>233378</v>
      </c>
      <c r="E2782" s="36" t="str">
        <f>IF(Table3[[#This Row],[Type Received]]=2,"CC",(IF(Table3[[#This Row],[Type Received]]=3,"BILL","ACH")))</f>
        <v>ACH</v>
      </c>
      <c r="F2782" s="35">
        <v>137.76</v>
      </c>
      <c r="G2782" s="14" t="str">
        <f>VLOOKUP(D2782,Table4[],3,FALSE)</f>
        <v>2</v>
      </c>
      <c r="H2782" s="15">
        <v>3636</v>
      </c>
      <c r="I2782" s="15"/>
      <c r="J2782" s="15"/>
      <c r="K2782" s="15"/>
      <c r="L2782" s="15"/>
      <c r="M2782" s="15"/>
    </row>
    <row r="2783" spans="1:13" x14ac:dyDescent="0.25">
      <c r="A2783" s="23">
        <f t="shared" si="138"/>
        <v>233407</v>
      </c>
      <c r="B2783" s="14" t="str">
        <f t="shared" si="137"/>
        <v>Direct Debit (UMB Bank) - Credits</v>
      </c>
      <c r="C2783" s="37">
        <v>46155</v>
      </c>
      <c r="D2783" s="31">
        <v>233407</v>
      </c>
      <c r="E2783" s="33" t="str">
        <f>IF(Table3[[#This Row],[Type Received]]=2,"CC",(IF(Table3[[#This Row],[Type Received]]=3,"BILL","ACH")))</f>
        <v>ACH</v>
      </c>
      <c r="F2783" s="32">
        <v>44.95</v>
      </c>
      <c r="G2783" s="14" t="str">
        <f>VLOOKUP(D2783,Table4[],3,FALSE)</f>
        <v>2</v>
      </c>
      <c r="H2783" s="15"/>
      <c r="I2783" s="15"/>
      <c r="J2783" s="15" t="s">
        <v>90</v>
      </c>
      <c r="K2783" s="15">
        <v>669502043</v>
      </c>
      <c r="L2783" s="15" t="s">
        <v>29</v>
      </c>
      <c r="M2783" s="15" t="s">
        <v>29</v>
      </c>
    </row>
    <row r="2784" spans="1:13" x14ac:dyDescent="0.25">
      <c r="A2784" s="23">
        <f t="shared" si="138"/>
        <v>233423</v>
      </c>
      <c r="B2784" s="14" t="str">
        <f t="shared" si="137"/>
        <v>Direct Debit (UMB Bank) - Credits</v>
      </c>
      <c r="C2784" s="38">
        <v>46146</v>
      </c>
      <c r="D2784" s="34">
        <v>233423</v>
      </c>
      <c r="E2784" s="36" t="str">
        <f>IF(Table3[[#This Row],[Type Received]]=2,"CC",(IF(Table3[[#This Row],[Type Received]]=3,"BILL","ACH")))</f>
        <v>ACH</v>
      </c>
      <c r="F2784" s="35">
        <v>47.49</v>
      </c>
      <c r="G2784" s="14" t="str">
        <f>VLOOKUP(D2784,Table4[],3,FALSE)</f>
        <v>1</v>
      </c>
      <c r="H2784" s="15"/>
      <c r="I2784" s="15"/>
      <c r="J2784" s="24" t="s">
        <v>92</v>
      </c>
      <c r="K2784" s="15">
        <v>561512704</v>
      </c>
      <c r="L2784" s="15" t="s">
        <v>29</v>
      </c>
      <c r="M2784" s="15"/>
    </row>
    <row r="2785" spans="1:13" x14ac:dyDescent="0.25">
      <c r="A2785" s="23">
        <f t="shared" si="138"/>
        <v>233425</v>
      </c>
      <c r="B2785" s="14" t="str">
        <f t="shared" si="137"/>
        <v>Billing - Credits (from TPA)</v>
      </c>
      <c r="C2785" s="37">
        <v>46144</v>
      </c>
      <c r="D2785" s="31">
        <v>233425</v>
      </c>
      <c r="E2785" s="33" t="str">
        <f>IF(Table3[[#This Row],[Type Received]]=2,"CC",(IF(Table3[[#This Row],[Type Received]]=3,"BILL","ACH")))</f>
        <v>BILL</v>
      </c>
      <c r="F2785" s="32">
        <v>127.78</v>
      </c>
      <c r="G2785" s="14" t="str">
        <f>VLOOKUP(D2785,Table4[],3,FALSE)</f>
        <v>2</v>
      </c>
      <c r="H2785" s="15"/>
      <c r="I2785" s="15"/>
      <c r="J2785" s="15" t="s">
        <v>89</v>
      </c>
      <c r="K2785" s="15">
        <v>535402761</v>
      </c>
      <c r="L2785" s="15" t="s">
        <v>29</v>
      </c>
      <c r="M2785" s="15" t="s">
        <v>29</v>
      </c>
    </row>
    <row r="2786" spans="1:13" x14ac:dyDescent="0.25">
      <c r="A2786" s="23">
        <f t="shared" si="138"/>
        <v>233468</v>
      </c>
      <c r="B2786" s="14" t="str">
        <f t="shared" si="137"/>
        <v>Billing - Credits (from TPA)</v>
      </c>
      <c r="C2786" s="38">
        <v>46168</v>
      </c>
      <c r="D2786" s="34">
        <v>233468</v>
      </c>
      <c r="E2786" s="36" t="str">
        <f>IF(Table3[[#This Row],[Type Received]]=2,"CC",(IF(Table3[[#This Row],[Type Received]]=3,"BILL","ACH")))</f>
        <v>BILL</v>
      </c>
      <c r="F2786" s="35">
        <v>38.909999999999997</v>
      </c>
      <c r="G2786" s="14" t="str">
        <f>VLOOKUP(D2786,Table4[],3,FALSE)</f>
        <v>1</v>
      </c>
      <c r="H2786" s="15">
        <v>2745</v>
      </c>
      <c r="I2786" s="15"/>
      <c r="J2786" s="24"/>
      <c r="K2786" s="15"/>
      <c r="L2786" s="15"/>
      <c r="M2786" s="15" t="s">
        <v>29</v>
      </c>
    </row>
    <row r="2787" spans="1:13" x14ac:dyDescent="0.25">
      <c r="A2787" s="23">
        <f t="shared" si="138"/>
        <v>233536</v>
      </c>
      <c r="B2787" s="14" t="str">
        <f t="shared" si="137"/>
        <v>Direct Debit (UMB Bank) - Credits</v>
      </c>
      <c r="C2787" s="37">
        <v>46163</v>
      </c>
      <c r="D2787" s="31">
        <v>233536</v>
      </c>
      <c r="E2787" s="33" t="str">
        <f>IF(Table3[[#This Row],[Type Received]]=2,"CC",(IF(Table3[[#This Row],[Type Received]]=3,"BILL","ACH")))</f>
        <v>ACH</v>
      </c>
      <c r="F2787" s="32">
        <v>102.05</v>
      </c>
      <c r="G2787" s="14" t="str">
        <f>VLOOKUP(D2787,Table4[],3,FALSE)</f>
        <v>2</v>
      </c>
      <c r="H2787" s="15">
        <v>2374</v>
      </c>
      <c r="I2787" s="15"/>
      <c r="J2787" s="24"/>
      <c r="K2787" s="15"/>
      <c r="L2787" s="15"/>
      <c r="M2787" s="15" t="s">
        <v>29</v>
      </c>
    </row>
    <row r="2788" spans="1:13" x14ac:dyDescent="0.25">
      <c r="A2788" s="23">
        <f t="shared" si="138"/>
        <v>233580</v>
      </c>
      <c r="B2788" s="14" t="str">
        <f t="shared" si="137"/>
        <v>Direct Debit (UMB Bank) - Credits</v>
      </c>
      <c r="C2788" s="38">
        <v>46157</v>
      </c>
      <c r="D2788" s="34">
        <v>233580</v>
      </c>
      <c r="E2788" s="36" t="str">
        <f>IF(Table3[[#This Row],[Type Received]]=2,"CC",(IF(Table3[[#This Row],[Type Received]]=3,"BILL","ACH")))</f>
        <v>ACH</v>
      </c>
      <c r="F2788" s="35">
        <v>25.15</v>
      </c>
      <c r="G2788" s="14" t="str">
        <f>VLOOKUP(D2788,Table4[],3,FALSE)</f>
        <v>1</v>
      </c>
      <c r="H2788" s="15"/>
      <c r="I2788" s="15"/>
      <c r="J2788" s="15" t="s">
        <v>87</v>
      </c>
      <c r="K2788" s="15">
        <v>696788396</v>
      </c>
      <c r="L2788" s="15" t="s">
        <v>29</v>
      </c>
      <c r="M2788" s="15"/>
    </row>
    <row r="2789" spans="1:13" x14ac:dyDescent="0.25">
      <c r="A2789" s="23">
        <f t="shared" si="138"/>
        <v>233584</v>
      </c>
      <c r="B2789" s="14" t="str">
        <f t="shared" si="137"/>
        <v>Credit Cards (UMB) - Credits</v>
      </c>
      <c r="C2789" s="37">
        <v>46168</v>
      </c>
      <c r="D2789" s="31">
        <v>233584</v>
      </c>
      <c r="E2789" s="33" t="str">
        <f>IF(Table3[[#This Row],[Type Received]]=2,"CC",(IF(Table3[[#This Row],[Type Received]]=3,"BILL","ACH")))</f>
        <v>CC</v>
      </c>
      <c r="F2789" s="32">
        <v>47.15</v>
      </c>
      <c r="G2789" s="14" t="str">
        <f>VLOOKUP(D2789,Table4[],3,FALSE)</f>
        <v>1</v>
      </c>
      <c r="H2789" s="15"/>
      <c r="I2789" s="15"/>
      <c r="J2789" s="15" t="s">
        <v>110</v>
      </c>
      <c r="K2789" s="15">
        <v>828295251</v>
      </c>
      <c r="L2789" s="15" t="s">
        <v>29</v>
      </c>
      <c r="M2789" s="15"/>
    </row>
    <row r="2790" spans="1:13" x14ac:dyDescent="0.25">
      <c r="A2790" s="23">
        <f t="shared" si="138"/>
        <v>233589</v>
      </c>
      <c r="B2790" s="14" t="str">
        <f t="shared" si="137"/>
        <v>Credit Cards (UMB) - Credits</v>
      </c>
      <c r="C2790" s="38">
        <v>46149</v>
      </c>
      <c r="D2790" s="34">
        <v>233589</v>
      </c>
      <c r="E2790" s="36" t="str">
        <f>IF(Table3[[#This Row],[Type Received]]=2,"CC",(IF(Table3[[#This Row],[Type Received]]=3,"BILL","ACH")))</f>
        <v>CC</v>
      </c>
      <c r="F2790" s="35">
        <v>61.42</v>
      </c>
      <c r="G2790" s="14" t="str">
        <f>VLOOKUP(D2790,Table4[],3,FALSE)</f>
        <v>1</v>
      </c>
      <c r="H2790" s="15"/>
      <c r="I2790" s="15">
        <v>42396</v>
      </c>
      <c r="J2790" s="15" t="s">
        <v>28</v>
      </c>
      <c r="K2790" s="15">
        <v>600797320</v>
      </c>
      <c r="L2790" s="15" t="s">
        <v>29</v>
      </c>
      <c r="M2790" s="15" t="s">
        <v>29</v>
      </c>
    </row>
    <row r="2791" spans="1:13" x14ac:dyDescent="0.25">
      <c r="A2791" s="23">
        <f t="shared" si="138"/>
        <v>233611</v>
      </c>
      <c r="B2791" s="14" t="str">
        <f t="shared" si="137"/>
        <v>Credit Cards (UMB) - Credits</v>
      </c>
      <c r="C2791" s="37">
        <v>46162</v>
      </c>
      <c r="D2791" s="31">
        <v>233611</v>
      </c>
      <c r="E2791" s="33" t="str">
        <f>IF(Table3[[#This Row],[Type Received]]=2,"CC",(IF(Table3[[#This Row],[Type Received]]=3,"BILL","ACH")))</f>
        <v>CC</v>
      </c>
      <c r="F2791" s="32">
        <v>54.86</v>
      </c>
      <c r="G2791" s="14" t="str">
        <f>VLOOKUP(D2791,Table4[],3,FALSE)</f>
        <v>2</v>
      </c>
      <c r="H2791" s="15"/>
      <c r="I2791" s="15">
        <v>50407</v>
      </c>
      <c r="J2791" s="15" t="s">
        <v>28</v>
      </c>
      <c r="K2791" s="15">
        <v>764012369</v>
      </c>
      <c r="L2791" s="15" t="s">
        <v>29</v>
      </c>
      <c r="M2791" s="15"/>
    </row>
    <row r="2792" spans="1:13" x14ac:dyDescent="0.25">
      <c r="A2792" s="23">
        <f t="shared" si="138"/>
        <v>233613</v>
      </c>
      <c r="B2792" s="14" t="str">
        <f t="shared" si="137"/>
        <v>Billing - Credits (from TPA)</v>
      </c>
      <c r="C2792" s="38">
        <v>46155</v>
      </c>
      <c r="D2792" s="34">
        <v>233613</v>
      </c>
      <c r="E2792" s="36" t="str">
        <f>IF(Table3[[#This Row],[Type Received]]=2,"CC",(IF(Table3[[#This Row],[Type Received]]=3,"BILL","ACH")))</f>
        <v>BILL</v>
      </c>
      <c r="F2792" s="35">
        <v>176.95</v>
      </c>
      <c r="G2792" s="14" t="str">
        <f>VLOOKUP(D2792,Table4[],3,FALSE)</f>
        <v>2</v>
      </c>
      <c r="H2792" s="15"/>
      <c r="I2792" s="15" t="s">
        <v>268</v>
      </c>
      <c r="J2792" s="15" t="s">
        <v>28</v>
      </c>
      <c r="K2792" s="15">
        <v>669507129</v>
      </c>
      <c r="L2792" s="15" t="s">
        <v>29</v>
      </c>
      <c r="M2792" s="15"/>
    </row>
    <row r="2793" spans="1:13" x14ac:dyDescent="0.25">
      <c r="A2793" s="23">
        <f t="shared" si="138"/>
        <v>233653</v>
      </c>
      <c r="B2793" s="14" t="str">
        <f t="shared" si="137"/>
        <v>Direct Debit (UMB Bank) - Credits</v>
      </c>
      <c r="C2793" s="37">
        <v>46147</v>
      </c>
      <c r="D2793" s="31">
        <v>233653</v>
      </c>
      <c r="E2793" s="33" t="str">
        <f>IF(Table3[[#This Row],[Type Received]]=2,"CC",(IF(Table3[[#This Row],[Type Received]]=3,"BILL","ACH")))</f>
        <v>ACH</v>
      </c>
      <c r="F2793" s="32">
        <v>56.07</v>
      </c>
      <c r="G2793" s="14" t="str">
        <f>VLOOKUP(D2793,Table4[],3,FALSE)</f>
        <v>1</v>
      </c>
      <c r="H2793" s="15">
        <v>19797760191</v>
      </c>
      <c r="I2793" s="15"/>
      <c r="J2793" s="15"/>
      <c r="K2793" s="15"/>
      <c r="L2793" s="15"/>
      <c r="M2793" s="15"/>
    </row>
    <row r="2794" spans="1:13" x14ac:dyDescent="0.25">
      <c r="A2794" s="23">
        <f t="shared" si="138"/>
        <v>233761</v>
      </c>
      <c r="B2794" s="14" t="str">
        <f t="shared" si="137"/>
        <v>Credit Cards (UMB) - Credits</v>
      </c>
      <c r="C2794" s="38">
        <v>46168</v>
      </c>
      <c r="D2794" s="34">
        <v>233761</v>
      </c>
      <c r="E2794" s="36" t="str">
        <f>IF(Table3[[#This Row],[Type Received]]=2,"CC",(IF(Table3[[#This Row],[Type Received]]=3,"BILL","ACH")))</f>
        <v>CC</v>
      </c>
      <c r="F2794" s="35">
        <v>44.95</v>
      </c>
      <c r="G2794" s="14" t="str">
        <f>VLOOKUP(D2794,Table4[],3,FALSE)</f>
        <v>2</v>
      </c>
      <c r="H2794" s="15"/>
      <c r="I2794" s="15"/>
      <c r="J2794" s="24" t="s">
        <v>110</v>
      </c>
      <c r="K2794" s="15">
        <v>828298248</v>
      </c>
      <c r="L2794" s="15" t="s">
        <v>29</v>
      </c>
      <c r="M2794" s="15" t="s">
        <v>29</v>
      </c>
    </row>
    <row r="2795" spans="1:13" x14ac:dyDescent="0.25">
      <c r="A2795" s="23">
        <f t="shared" si="138"/>
        <v>233790</v>
      </c>
      <c r="B2795" s="14" t="str">
        <f t="shared" si="137"/>
        <v>Credit Cards (UMB) - Credits</v>
      </c>
      <c r="C2795" s="37">
        <v>46156</v>
      </c>
      <c r="D2795" s="31">
        <v>233790</v>
      </c>
      <c r="E2795" s="33" t="str">
        <f>IF(Table3[[#This Row],[Type Received]]=2,"CC",(IF(Table3[[#This Row],[Type Received]]=3,"BILL","ACH")))</f>
        <v>CC</v>
      </c>
      <c r="F2795" s="32">
        <v>186.34</v>
      </c>
      <c r="G2795" s="14" t="str">
        <f>VLOOKUP(D2795,Table4[],3,FALSE)</f>
        <v>2</v>
      </c>
      <c r="H2795" s="15"/>
      <c r="I2795" s="15">
        <v>7794</v>
      </c>
      <c r="J2795" s="15" t="s">
        <v>28</v>
      </c>
      <c r="K2795" s="15">
        <v>684306123</v>
      </c>
      <c r="L2795" s="15" t="s">
        <v>29</v>
      </c>
      <c r="M2795" s="15" t="s">
        <v>29</v>
      </c>
    </row>
    <row r="2796" spans="1:13" x14ac:dyDescent="0.25">
      <c r="A2796" s="23">
        <f t="shared" si="138"/>
        <v>233889</v>
      </c>
      <c r="B2796" s="14" t="str">
        <f t="shared" si="137"/>
        <v>Direct Debit (UMB Bank) - Credits</v>
      </c>
      <c r="C2796" s="38">
        <v>46143</v>
      </c>
      <c r="D2796" s="34">
        <v>233889</v>
      </c>
      <c r="E2796" s="36" t="str">
        <f>IF(Table3[[#This Row],[Type Received]]=2,"CC",(IF(Table3[[#This Row],[Type Received]]=3,"BILL","ACH")))</f>
        <v>ACH</v>
      </c>
      <c r="F2796" s="35">
        <v>170.5</v>
      </c>
      <c r="G2796" s="14" t="str">
        <f>VLOOKUP(D2796,Table4[],3,FALSE)</f>
        <v>2</v>
      </c>
      <c r="H2796" s="15"/>
      <c r="I2796" s="15">
        <v>94438</v>
      </c>
      <c r="J2796" s="15" t="s">
        <v>28</v>
      </c>
      <c r="K2796" s="15">
        <v>524944721</v>
      </c>
      <c r="L2796" s="15" t="s">
        <v>29</v>
      </c>
      <c r="M2796" s="15" t="s">
        <v>29</v>
      </c>
    </row>
    <row r="2797" spans="1:13" x14ac:dyDescent="0.25">
      <c r="A2797" s="23">
        <f t="shared" si="138"/>
        <v>233893</v>
      </c>
      <c r="B2797" s="14" t="str">
        <f t="shared" si="137"/>
        <v>Direct Debit (UMB Bank) - Credits</v>
      </c>
      <c r="C2797" s="37">
        <v>46168</v>
      </c>
      <c r="D2797" s="31">
        <v>233893</v>
      </c>
      <c r="E2797" s="33" t="str">
        <f>IF(Table3[[#This Row],[Type Received]]=2,"CC",(IF(Table3[[#This Row],[Type Received]]=3,"BILL","ACH")))</f>
        <v>ACH</v>
      </c>
      <c r="F2797" s="32">
        <v>91.15</v>
      </c>
      <c r="G2797" s="14" t="str">
        <f>VLOOKUP(D2797,Table4[],3,FALSE)</f>
        <v>1</v>
      </c>
      <c r="H2797" s="15"/>
      <c r="I2797" s="15"/>
      <c r="J2797" s="15" t="s">
        <v>110</v>
      </c>
      <c r="K2797" s="15">
        <v>828282749</v>
      </c>
      <c r="L2797" s="15" t="s">
        <v>29</v>
      </c>
      <c r="M2797" s="15"/>
    </row>
    <row r="2798" spans="1:13" x14ac:dyDescent="0.25">
      <c r="A2798" s="23">
        <f t="shared" si="138"/>
        <v>233912</v>
      </c>
      <c r="B2798" s="14" t="str">
        <f t="shared" si="137"/>
        <v>Billing - Credits (from TPA)</v>
      </c>
      <c r="C2798" s="38">
        <v>46144</v>
      </c>
      <c r="D2798" s="34">
        <v>233912</v>
      </c>
      <c r="E2798" s="36" t="str">
        <f>IF(Table3[[#This Row],[Type Received]]=2,"CC",(IF(Table3[[#This Row],[Type Received]]=3,"BILL","ACH")))</f>
        <v>BILL</v>
      </c>
      <c r="F2798" s="35">
        <v>70.91</v>
      </c>
      <c r="G2798" s="14" t="str">
        <f>VLOOKUP(D2798,Table4[],3,FALSE)</f>
        <v>1</v>
      </c>
      <c r="H2798" s="15"/>
      <c r="I2798" s="15"/>
      <c r="J2798" s="15" t="s">
        <v>89</v>
      </c>
      <c r="K2798" s="15">
        <v>535414458</v>
      </c>
      <c r="L2798" s="15" t="s">
        <v>29</v>
      </c>
      <c r="M2798" s="15"/>
    </row>
    <row r="2799" spans="1:13" x14ac:dyDescent="0.25">
      <c r="A2799" s="23">
        <f t="shared" si="138"/>
        <v>233986</v>
      </c>
      <c r="B2799" s="14" t="str">
        <f t="shared" si="137"/>
        <v>Billing - Credits (from TPA)</v>
      </c>
      <c r="C2799" s="37">
        <v>46157</v>
      </c>
      <c r="D2799" s="31">
        <v>233986</v>
      </c>
      <c r="E2799" s="33" t="str">
        <f>IF(Table3[[#This Row],[Type Received]]=2,"CC",(IF(Table3[[#This Row],[Type Received]]=3,"BILL","ACH")))</f>
        <v>BILL</v>
      </c>
      <c r="F2799" s="32">
        <v>55</v>
      </c>
      <c r="G2799" s="14" t="str">
        <f>VLOOKUP(D2799,Table4[],3,FALSE)</f>
        <v>2</v>
      </c>
      <c r="H2799" s="15">
        <v>4479803013</v>
      </c>
      <c r="I2799" s="15"/>
      <c r="J2799" s="15"/>
      <c r="K2799" s="15"/>
      <c r="L2799" s="15"/>
      <c r="M2799" s="15"/>
    </row>
    <row r="2800" spans="1:13" x14ac:dyDescent="0.25">
      <c r="A2800" s="23">
        <f t="shared" si="138"/>
        <v>234046</v>
      </c>
      <c r="B2800" s="14" t="str">
        <f t="shared" si="137"/>
        <v>Direct Debit (UMB Bank) - Credits</v>
      </c>
      <c r="C2800" s="38">
        <v>46168</v>
      </c>
      <c r="D2800" s="34">
        <v>234046</v>
      </c>
      <c r="E2800" s="36" t="str">
        <f>IF(Table3[[#This Row],[Type Received]]=2,"CC",(IF(Table3[[#This Row],[Type Received]]=3,"BILL","ACH")))</f>
        <v>ACH</v>
      </c>
      <c r="F2800" s="35">
        <v>51.45</v>
      </c>
      <c r="G2800" s="14" t="str">
        <f>VLOOKUP(D2800,Table4[],3,FALSE)</f>
        <v>1</v>
      </c>
      <c r="H2800" s="15">
        <v>1475</v>
      </c>
      <c r="I2800" s="15"/>
      <c r="J2800" s="15"/>
      <c r="K2800" s="15"/>
      <c r="L2800" s="15"/>
      <c r="M2800" s="15" t="s">
        <v>29</v>
      </c>
    </row>
    <row r="2801" spans="1:13" x14ac:dyDescent="0.25">
      <c r="A2801" s="23"/>
      <c r="B2801" s="14" t="str">
        <f t="shared" si="137"/>
        <v>Direct Debit (UMB Bank) - Credits</v>
      </c>
      <c r="C2801" s="37">
        <v>46167</v>
      </c>
      <c r="D2801" s="31">
        <v>234085</v>
      </c>
      <c r="E2801" s="33" t="str">
        <f>IF(Table3[[#This Row],[Type Received]]=2,"CC",(IF(Table3[[#This Row],[Type Received]]=3,"BILL","ACH")))</f>
        <v>ACH</v>
      </c>
      <c r="F2801" s="32">
        <v>93.79</v>
      </c>
      <c r="G2801" s="14" t="str">
        <f>VLOOKUP(D2801,Table4[],3,FALSE)</f>
        <v>2</v>
      </c>
      <c r="H2801" s="15"/>
      <c r="I2801" s="15"/>
      <c r="J2801" s="15" t="s">
        <v>85</v>
      </c>
      <c r="K2801" s="15">
        <v>818367884</v>
      </c>
      <c r="L2801" s="15" t="s">
        <v>29</v>
      </c>
      <c r="M2801" s="15" t="s">
        <v>29</v>
      </c>
    </row>
    <row r="2802" spans="1:13" x14ac:dyDescent="0.25">
      <c r="A2802" s="23"/>
      <c r="B2802" s="14" t="str">
        <f t="shared" si="137"/>
        <v>Direct Debit (UMB Bank) - Credits</v>
      </c>
      <c r="C2802" s="38">
        <v>46157</v>
      </c>
      <c r="D2802" s="34">
        <v>234087</v>
      </c>
      <c r="E2802" s="36" t="str">
        <f>IF(Table3[[#This Row],[Type Received]]=2,"CC",(IF(Table3[[#This Row],[Type Received]]=3,"BILL","ACH")))</f>
        <v>ACH</v>
      </c>
      <c r="F2802" s="35">
        <v>38.950000000000003</v>
      </c>
      <c r="G2802" s="14" t="str">
        <f>VLOOKUP(D2802,Table4[],3,FALSE)</f>
        <v>1</v>
      </c>
      <c r="H2802" s="15"/>
      <c r="I2802" s="15"/>
      <c r="J2802" s="15" t="s">
        <v>87</v>
      </c>
      <c r="K2802" s="15">
        <v>696796126</v>
      </c>
      <c r="L2802" s="15" t="s">
        <v>29</v>
      </c>
      <c r="M2802" s="15" t="s">
        <v>29</v>
      </c>
    </row>
    <row r="2803" spans="1:13" x14ac:dyDescent="0.25">
      <c r="A2803" s="23">
        <f t="shared" ref="A2803:A2834" si="139">D2803</f>
        <v>234112</v>
      </c>
      <c r="B2803" s="14" t="str">
        <f t="shared" si="137"/>
        <v>Direct Debit (UMB Bank) - Credits</v>
      </c>
      <c r="C2803" s="37">
        <v>46168</v>
      </c>
      <c r="D2803" s="31">
        <v>234112</v>
      </c>
      <c r="E2803" s="33" t="str">
        <f>IF(Table3[[#This Row],[Type Received]]=2,"CC",(IF(Table3[[#This Row],[Type Received]]=3,"BILL","ACH")))</f>
        <v>ACH</v>
      </c>
      <c r="F2803" s="32">
        <v>95.44</v>
      </c>
      <c r="G2803" s="14" t="str">
        <f>VLOOKUP(D2803,Table4[],3,FALSE)</f>
        <v>2</v>
      </c>
      <c r="H2803" s="15"/>
      <c r="I2803" s="15"/>
      <c r="J2803" s="15" t="s">
        <v>110</v>
      </c>
      <c r="K2803" s="15">
        <v>828288721</v>
      </c>
      <c r="L2803" s="15" t="s">
        <v>29</v>
      </c>
      <c r="M2803" s="15" t="s">
        <v>29</v>
      </c>
    </row>
    <row r="2804" spans="1:13" x14ac:dyDescent="0.25">
      <c r="A2804" s="23">
        <f t="shared" si="139"/>
        <v>234154</v>
      </c>
      <c r="B2804" s="14" t="str">
        <f t="shared" si="137"/>
        <v>Billing - Credits (from TPA)</v>
      </c>
      <c r="C2804" s="38">
        <v>46157</v>
      </c>
      <c r="D2804" s="34">
        <v>234154</v>
      </c>
      <c r="E2804" s="36" t="str">
        <f>IF(Table3[[#This Row],[Type Received]]=2,"CC",(IF(Table3[[#This Row],[Type Received]]=3,"BILL","ACH")))</f>
        <v>BILL</v>
      </c>
      <c r="F2804" s="35">
        <v>75.97</v>
      </c>
      <c r="G2804" s="14" t="str">
        <f>VLOOKUP(D2804,Table4[],3,FALSE)</f>
        <v>2</v>
      </c>
      <c r="H2804" s="15"/>
      <c r="I2804" s="15"/>
      <c r="J2804" s="15" t="s">
        <v>87</v>
      </c>
      <c r="K2804" s="15">
        <v>696787422</v>
      </c>
      <c r="L2804" s="15" t="s">
        <v>29</v>
      </c>
      <c r="M2804" s="15" t="s">
        <v>29</v>
      </c>
    </row>
    <row r="2805" spans="1:13" x14ac:dyDescent="0.25">
      <c r="A2805" s="23">
        <f t="shared" si="139"/>
        <v>234234</v>
      </c>
      <c r="B2805" s="14" t="str">
        <f t="shared" si="137"/>
        <v>Billing - Credits (from TPA)</v>
      </c>
      <c r="C2805" s="37">
        <v>46171</v>
      </c>
      <c r="D2805" s="31">
        <v>234234</v>
      </c>
      <c r="E2805" s="33" t="str">
        <f>IF(Table3[[#This Row],[Type Received]]=2,"CC",(IF(Table3[[#This Row],[Type Received]]=3,"BILL","ACH")))</f>
        <v>BILL</v>
      </c>
      <c r="F2805" s="32">
        <v>86.65</v>
      </c>
      <c r="G2805" s="14" t="str">
        <f>VLOOKUP(D2805,Table4[],3,FALSE)</f>
        <v>1</v>
      </c>
      <c r="H2805" s="15">
        <v>7836</v>
      </c>
      <c r="I2805" s="15"/>
      <c r="J2805" s="15"/>
      <c r="K2805" s="15"/>
      <c r="L2805" s="15"/>
      <c r="M2805" s="15" t="s">
        <v>29</v>
      </c>
    </row>
    <row r="2806" spans="1:13" x14ac:dyDescent="0.25">
      <c r="A2806" s="23">
        <f t="shared" si="139"/>
        <v>234234</v>
      </c>
      <c r="B2806" s="14" t="str">
        <f t="shared" si="137"/>
        <v>Direct Debit (UMB Bank) - Credits</v>
      </c>
      <c r="C2806" s="38">
        <v>46143</v>
      </c>
      <c r="D2806" s="34">
        <v>234234</v>
      </c>
      <c r="E2806" s="36" t="str">
        <f>IF(Table3[[#This Row],[Type Received]]=2,"CC",(IF(Table3[[#This Row],[Type Received]]=3,"BILL","ACH")))</f>
        <v>ACH</v>
      </c>
      <c r="F2806" s="35">
        <v>86.65</v>
      </c>
      <c r="G2806" s="14" t="str">
        <f>VLOOKUP(D2806,Table4[],3,FALSE)</f>
        <v>1</v>
      </c>
      <c r="H2806" s="15">
        <v>7828</v>
      </c>
      <c r="I2806" s="15"/>
      <c r="J2806" s="24"/>
      <c r="K2806" s="15"/>
      <c r="L2806" s="15"/>
      <c r="M2806" s="15" t="s">
        <v>29</v>
      </c>
    </row>
    <row r="2807" spans="1:13" x14ac:dyDescent="0.25">
      <c r="A2807" s="23">
        <f t="shared" si="139"/>
        <v>234255</v>
      </c>
      <c r="B2807" s="14" t="str">
        <f t="shared" si="137"/>
        <v>Billing - Credits (from TPA)</v>
      </c>
      <c r="C2807" s="37">
        <v>46167</v>
      </c>
      <c r="D2807" s="31">
        <v>234255</v>
      </c>
      <c r="E2807" s="33" t="str">
        <f>IF(Table3[[#This Row],[Type Received]]=2,"CC",(IF(Table3[[#This Row],[Type Received]]=3,"BILL","ACH")))</f>
        <v>BILL</v>
      </c>
      <c r="F2807" s="32">
        <v>102.15</v>
      </c>
      <c r="G2807" s="14" t="str">
        <f>VLOOKUP(D2807,Table4[],3,FALSE)</f>
        <v>1</v>
      </c>
      <c r="H2807" s="15"/>
      <c r="I2807" s="15"/>
      <c r="J2807" s="15" t="s">
        <v>85</v>
      </c>
      <c r="K2807" s="15">
        <v>818377608</v>
      </c>
      <c r="L2807" s="15" t="s">
        <v>29</v>
      </c>
      <c r="M2807" s="15" t="s">
        <v>29</v>
      </c>
    </row>
    <row r="2808" spans="1:13" x14ac:dyDescent="0.25">
      <c r="A2808" s="23">
        <f t="shared" si="139"/>
        <v>234289</v>
      </c>
      <c r="B2808" s="14" t="str">
        <f t="shared" si="137"/>
        <v>Billing - Credits (from TPA)</v>
      </c>
      <c r="C2808" s="38">
        <v>46168</v>
      </c>
      <c r="D2808" s="34">
        <v>234289</v>
      </c>
      <c r="E2808" s="36" t="str">
        <f>IF(Table3[[#This Row],[Type Received]]=2,"CC",(IF(Table3[[#This Row],[Type Received]]=3,"BILL","ACH")))</f>
        <v>BILL</v>
      </c>
      <c r="F2808" s="35">
        <v>34.950000000000003</v>
      </c>
      <c r="G2808" s="14" t="str">
        <f>VLOOKUP(D2808,Table4[],3,FALSE)</f>
        <v>1</v>
      </c>
      <c r="H2808" s="15">
        <v>3878</v>
      </c>
      <c r="I2808" s="15"/>
      <c r="J2808" s="24"/>
      <c r="K2808" s="15"/>
      <c r="L2808" s="15"/>
      <c r="M2808" s="15" t="s">
        <v>29</v>
      </c>
    </row>
    <row r="2809" spans="1:13" x14ac:dyDescent="0.25">
      <c r="A2809" s="23">
        <f t="shared" si="139"/>
        <v>234289</v>
      </c>
      <c r="B2809" s="14" t="str">
        <f t="shared" si="137"/>
        <v>Direct Debit (UMB Bank) - Credits</v>
      </c>
      <c r="C2809" s="37">
        <v>46149</v>
      </c>
      <c r="D2809" s="31">
        <v>234289</v>
      </c>
      <c r="E2809" s="33" t="str">
        <f>IF(Table3[[#This Row],[Type Received]]=2,"CC",(IF(Table3[[#This Row],[Type Received]]=3,"BILL","ACH")))</f>
        <v>ACH</v>
      </c>
      <c r="F2809" s="32">
        <v>34.950000000000003</v>
      </c>
      <c r="G2809" s="14" t="str">
        <f>VLOOKUP(D2809,Table4[],3,FALSE)</f>
        <v>1</v>
      </c>
      <c r="H2809" s="15">
        <v>3911</v>
      </c>
      <c r="I2809" s="15"/>
      <c r="J2809" s="15"/>
      <c r="K2809" s="15"/>
      <c r="L2809" s="15"/>
      <c r="M2809" s="15" t="s">
        <v>29</v>
      </c>
    </row>
    <row r="2810" spans="1:13" x14ac:dyDescent="0.25">
      <c r="A2810" s="23">
        <f t="shared" si="139"/>
        <v>234293</v>
      </c>
      <c r="B2810" s="14" t="str">
        <f t="shared" si="137"/>
        <v>Direct Debit (UMB Bank) - Credits</v>
      </c>
      <c r="C2810" s="38">
        <v>46157</v>
      </c>
      <c r="D2810" s="34">
        <v>234293</v>
      </c>
      <c r="E2810" s="36" t="str">
        <f>IF(Table3[[#This Row],[Type Received]]=2,"CC",(IF(Table3[[#This Row],[Type Received]]=3,"BILL","ACH")))</f>
        <v>ACH</v>
      </c>
      <c r="F2810" s="35">
        <v>19.649999999999999</v>
      </c>
      <c r="G2810" s="14" t="str">
        <f>VLOOKUP(D2810,Table4[],3,FALSE)</f>
        <v>1</v>
      </c>
      <c r="H2810" s="15"/>
      <c r="I2810" s="15"/>
      <c r="J2810" s="15" t="s">
        <v>87</v>
      </c>
      <c r="K2810" s="15">
        <v>696793172</v>
      </c>
      <c r="L2810" s="15" t="s">
        <v>29</v>
      </c>
      <c r="M2810" s="15" t="s">
        <v>29</v>
      </c>
    </row>
    <row r="2811" spans="1:13" x14ac:dyDescent="0.25">
      <c r="A2811" s="23">
        <f t="shared" si="139"/>
        <v>234318</v>
      </c>
      <c r="B2811" s="14" t="str">
        <f t="shared" si="137"/>
        <v>Direct Debit (UMB Bank) - Credits</v>
      </c>
      <c r="C2811" s="37">
        <v>46144</v>
      </c>
      <c r="D2811" s="31">
        <v>234318</v>
      </c>
      <c r="E2811" s="33" t="str">
        <f>IF(Table3[[#This Row],[Type Received]]=2,"CC",(IF(Table3[[#This Row],[Type Received]]=3,"BILL","ACH")))</f>
        <v>ACH</v>
      </c>
      <c r="F2811" s="32">
        <v>101.27</v>
      </c>
      <c r="G2811" s="14" t="str">
        <f>VLOOKUP(D2811,Table4[],3,FALSE)</f>
        <v>1</v>
      </c>
      <c r="H2811" s="15"/>
      <c r="I2811" s="15"/>
      <c r="J2811" s="15" t="s">
        <v>89</v>
      </c>
      <c r="K2811" s="15">
        <v>535411512</v>
      </c>
      <c r="L2811" s="15" t="s">
        <v>29</v>
      </c>
      <c r="M2811" s="15"/>
    </row>
    <row r="2812" spans="1:13" x14ac:dyDescent="0.25">
      <c r="A2812" s="23">
        <f t="shared" si="139"/>
        <v>234344</v>
      </c>
      <c r="B2812" s="14" t="str">
        <f t="shared" si="137"/>
        <v>Direct Debit (UMB Bank) - Credits</v>
      </c>
      <c r="C2812" s="38">
        <v>46167</v>
      </c>
      <c r="D2812" s="34">
        <v>234344</v>
      </c>
      <c r="E2812" s="36" t="str">
        <f>IF(Table3[[#This Row],[Type Received]]=2,"CC",(IF(Table3[[#This Row],[Type Received]]=3,"BILL","ACH")))</f>
        <v>ACH</v>
      </c>
      <c r="F2812" s="35">
        <v>70.25</v>
      </c>
      <c r="G2812" s="14" t="str">
        <f>VLOOKUP(D2812,Table4[],3,FALSE)</f>
        <v>1</v>
      </c>
      <c r="H2812" s="15"/>
      <c r="I2812" s="15"/>
      <c r="J2812" s="15" t="s">
        <v>85</v>
      </c>
      <c r="K2812" s="15">
        <v>818365096</v>
      </c>
      <c r="L2812" s="15" t="s">
        <v>29</v>
      </c>
      <c r="M2812" s="15"/>
    </row>
    <row r="2813" spans="1:13" x14ac:dyDescent="0.25">
      <c r="A2813" s="23">
        <f t="shared" si="139"/>
        <v>234347</v>
      </c>
      <c r="B2813" s="14" t="str">
        <f t="shared" si="137"/>
        <v>Direct Debit (UMB Bank) - Credits</v>
      </c>
      <c r="C2813" s="37">
        <v>46167</v>
      </c>
      <c r="D2813" s="31">
        <v>234347</v>
      </c>
      <c r="E2813" s="33" t="str">
        <f>IF(Table3[[#This Row],[Type Received]]=2,"CC",(IF(Table3[[#This Row],[Type Received]]=3,"BILL","ACH")))</f>
        <v>ACH</v>
      </c>
      <c r="F2813" s="32">
        <v>62.33</v>
      </c>
      <c r="G2813" s="14" t="str">
        <f>VLOOKUP(D2813,Table4[],3,FALSE)</f>
        <v>1</v>
      </c>
      <c r="H2813" s="15"/>
      <c r="I2813" s="15"/>
      <c r="J2813" s="15" t="s">
        <v>85</v>
      </c>
      <c r="K2813" s="15">
        <v>818380561</v>
      </c>
      <c r="L2813" s="15" t="s">
        <v>29</v>
      </c>
      <c r="M2813" s="15"/>
    </row>
    <row r="2814" spans="1:13" x14ac:dyDescent="0.25">
      <c r="A2814" s="23">
        <f t="shared" si="139"/>
        <v>234383</v>
      </c>
      <c r="B2814" s="14" t="str">
        <f t="shared" si="137"/>
        <v>Direct Debit (UMB Bank) - Credits</v>
      </c>
      <c r="C2814" s="38">
        <v>46157</v>
      </c>
      <c r="D2814" s="34">
        <v>234383</v>
      </c>
      <c r="E2814" s="36" t="str">
        <f>IF(Table3[[#This Row],[Type Received]]=2,"CC",(IF(Table3[[#This Row],[Type Received]]=3,"BILL","ACH")))</f>
        <v>ACH</v>
      </c>
      <c r="F2814" s="35">
        <v>33.950000000000003</v>
      </c>
      <c r="G2814" s="14" t="str">
        <f>VLOOKUP(D2814,Table4[],3,FALSE)</f>
        <v>1</v>
      </c>
      <c r="H2814" s="15"/>
      <c r="I2814" s="15"/>
      <c r="J2814" s="24" t="s">
        <v>87</v>
      </c>
      <c r="K2814" s="15">
        <v>696795180</v>
      </c>
      <c r="L2814" s="15" t="s">
        <v>29</v>
      </c>
      <c r="M2814" s="15"/>
    </row>
    <row r="2815" spans="1:13" x14ac:dyDescent="0.25">
      <c r="A2815" s="23">
        <f t="shared" si="139"/>
        <v>234403</v>
      </c>
      <c r="B2815" s="14" t="str">
        <f t="shared" si="137"/>
        <v>Direct Debit (UMB Bank) - Credits</v>
      </c>
      <c r="C2815" s="37">
        <v>46144</v>
      </c>
      <c r="D2815" s="31">
        <v>234403</v>
      </c>
      <c r="E2815" s="33" t="str">
        <f>IF(Table3[[#This Row],[Type Received]]=2,"CC",(IF(Table3[[#This Row],[Type Received]]=3,"BILL","ACH")))</f>
        <v>ACH</v>
      </c>
      <c r="F2815" s="32">
        <v>81.25</v>
      </c>
      <c r="G2815" s="14" t="str">
        <f>VLOOKUP(D2815,Table4[],3,FALSE)</f>
        <v>2</v>
      </c>
      <c r="H2815" s="15"/>
      <c r="I2815" s="15"/>
      <c r="J2815" s="15" t="s">
        <v>89</v>
      </c>
      <c r="K2815" s="15">
        <v>535420234</v>
      </c>
      <c r="L2815" s="15" t="s">
        <v>29</v>
      </c>
      <c r="M2815" s="15"/>
    </row>
    <row r="2816" spans="1:13" x14ac:dyDescent="0.25">
      <c r="A2816" s="23">
        <f t="shared" si="139"/>
        <v>234423</v>
      </c>
      <c r="B2816" s="14" t="str">
        <f t="shared" si="137"/>
        <v>Direct Debit (UMB Bank) - Credits</v>
      </c>
      <c r="C2816" s="38">
        <v>46144</v>
      </c>
      <c r="D2816" s="34">
        <v>234423</v>
      </c>
      <c r="E2816" s="36" t="str">
        <f>IF(Table3[[#This Row],[Type Received]]=2,"CC",(IF(Table3[[#This Row],[Type Received]]=3,"BILL","ACH")))</f>
        <v>ACH</v>
      </c>
      <c r="F2816" s="35">
        <v>142.96</v>
      </c>
      <c r="G2816" s="14" t="str">
        <f>VLOOKUP(D2816,Table4[],3,FALSE)</f>
        <v>2</v>
      </c>
      <c r="H2816" s="15"/>
      <c r="I2816" s="15"/>
      <c r="J2816" s="15" t="s">
        <v>89</v>
      </c>
      <c r="K2816" s="15">
        <v>535414480</v>
      </c>
      <c r="L2816" s="15" t="s">
        <v>29</v>
      </c>
      <c r="M2816" s="15"/>
    </row>
    <row r="2817" spans="1:13" x14ac:dyDescent="0.25">
      <c r="A2817" s="23">
        <f t="shared" si="139"/>
        <v>234490</v>
      </c>
      <c r="B2817" s="14" t="str">
        <f t="shared" si="137"/>
        <v>Direct Debit (UMB Bank) - Credits</v>
      </c>
      <c r="C2817" s="37">
        <v>46167</v>
      </c>
      <c r="D2817" s="31">
        <v>234490</v>
      </c>
      <c r="E2817" s="33" t="str">
        <f>IF(Table3[[#This Row],[Type Received]]=2,"CC",(IF(Table3[[#This Row],[Type Received]]=3,"BILL","ACH")))</f>
        <v>ACH</v>
      </c>
      <c r="F2817" s="32">
        <v>89.39</v>
      </c>
      <c r="G2817" s="14" t="str">
        <f>VLOOKUP(D2817,Table4[],3,FALSE)</f>
        <v>1</v>
      </c>
      <c r="H2817" s="15"/>
      <c r="I2817" s="15"/>
      <c r="J2817" s="15" t="s">
        <v>85</v>
      </c>
      <c r="K2817" s="15">
        <v>818365059</v>
      </c>
      <c r="L2817" s="15" t="s">
        <v>29</v>
      </c>
      <c r="M2817" s="15"/>
    </row>
    <row r="2818" spans="1:13" x14ac:dyDescent="0.25">
      <c r="A2818" s="23">
        <f t="shared" si="139"/>
        <v>234520</v>
      </c>
      <c r="B2818" s="14" t="str">
        <f t="shared" ref="B2818:B2881" si="140">IF(AND(E2818="BILL",F2818&lt;0),"Billing &amp; Direct Debit - Refunds",(IF(AND(E2818="BILL",F2818&gt;0),"Billing - Credits (from TPA)",(IF(AND(E2818="CC",F2818&lt;0),"Credit Cards (UMB) - Refunds",(IF(AND(E2818="CC",F2818&gt;0),"Credit Cards (UMB) - Credits",(IF(AND(E2818="ACH",F2818&gt;0),"Direct Debit (UMB Bank) - Credits","Direct Debit (UMB Bank) - Returned Items")))))))))</f>
        <v>Billing - Credits (from TPA)</v>
      </c>
      <c r="C2818" s="38">
        <v>46167</v>
      </c>
      <c r="D2818" s="34">
        <v>234520</v>
      </c>
      <c r="E2818" s="36" t="str">
        <f>IF(Table3[[#This Row],[Type Received]]=2,"CC",(IF(Table3[[#This Row],[Type Received]]=3,"BILL","ACH")))</f>
        <v>BILL</v>
      </c>
      <c r="F2818" s="35">
        <v>95.99</v>
      </c>
      <c r="G2818" s="14" t="str">
        <f>VLOOKUP(D2818,Table4[],3,FALSE)</f>
        <v>1</v>
      </c>
      <c r="H2818" s="15"/>
      <c r="I2818" s="15"/>
      <c r="J2818" s="15" t="s">
        <v>85</v>
      </c>
      <c r="K2818" s="15">
        <v>818388176</v>
      </c>
      <c r="L2818" s="15" t="s">
        <v>29</v>
      </c>
      <c r="M2818" s="15"/>
    </row>
    <row r="2819" spans="1:13" x14ac:dyDescent="0.25">
      <c r="A2819" s="23">
        <f t="shared" si="139"/>
        <v>234529</v>
      </c>
      <c r="B2819" s="14" t="str">
        <f t="shared" si="140"/>
        <v>Credit Cards (UMB) - Credits</v>
      </c>
      <c r="C2819" s="37">
        <v>46171</v>
      </c>
      <c r="D2819" s="31">
        <v>234529</v>
      </c>
      <c r="E2819" s="33" t="str">
        <f>IF(Table3[[#This Row],[Type Received]]=2,"CC",(IF(Table3[[#This Row],[Type Received]]=3,"BILL","ACH")))</f>
        <v>CC</v>
      </c>
      <c r="F2819" s="32">
        <v>110.63</v>
      </c>
      <c r="G2819" s="14" t="str">
        <f>VLOOKUP(D2819,Table4[],3,FALSE)</f>
        <v>1</v>
      </c>
      <c r="H2819" s="15">
        <v>8180</v>
      </c>
      <c r="I2819" s="15"/>
      <c r="J2819" s="15"/>
      <c r="K2819" s="15"/>
      <c r="L2819" s="15"/>
      <c r="M2819" s="15"/>
    </row>
    <row r="2820" spans="1:13" x14ac:dyDescent="0.25">
      <c r="A2820" s="23">
        <f t="shared" si="139"/>
        <v>234566</v>
      </c>
      <c r="B2820" s="14" t="str">
        <f t="shared" si="140"/>
        <v>Direct Debit (UMB Bank) - Credits</v>
      </c>
      <c r="C2820" s="38">
        <v>46143</v>
      </c>
      <c r="D2820" s="34">
        <v>234566</v>
      </c>
      <c r="E2820" s="36" t="str">
        <f>IF(Table3[[#This Row],[Type Received]]=2,"CC",(IF(Table3[[#This Row],[Type Received]]=3,"BILL","ACH")))</f>
        <v>ACH</v>
      </c>
      <c r="F2820" s="35">
        <v>100.21</v>
      </c>
      <c r="G2820" s="14" t="str">
        <f>VLOOKUP(D2820,Table4[],3,FALSE)</f>
        <v>1</v>
      </c>
      <c r="H2820" s="15"/>
      <c r="I2820" s="15">
        <v>26175</v>
      </c>
      <c r="J2820" s="15" t="s">
        <v>28</v>
      </c>
      <c r="K2820" s="15">
        <v>525539935</v>
      </c>
      <c r="L2820" s="15" t="s">
        <v>29</v>
      </c>
      <c r="M2820" s="15"/>
    </row>
    <row r="2821" spans="1:13" x14ac:dyDescent="0.25">
      <c r="A2821" s="23">
        <f t="shared" si="139"/>
        <v>234573</v>
      </c>
      <c r="B2821" s="14" t="str">
        <f t="shared" si="140"/>
        <v>Direct Debit (UMB Bank) - Credits</v>
      </c>
      <c r="C2821" s="37">
        <v>46167</v>
      </c>
      <c r="D2821" s="31">
        <v>234573</v>
      </c>
      <c r="E2821" s="33" t="str">
        <f>IF(Table3[[#This Row],[Type Received]]=2,"CC",(IF(Table3[[#This Row],[Type Received]]=3,"BILL","ACH")))</f>
        <v>ACH</v>
      </c>
      <c r="F2821" s="32">
        <v>101.05</v>
      </c>
      <c r="G2821" s="14" t="str">
        <f>VLOOKUP(D2821,Table4[],3,FALSE)</f>
        <v>2</v>
      </c>
      <c r="H2821" s="15"/>
      <c r="I2821" s="15"/>
      <c r="J2821" s="15" t="s">
        <v>85</v>
      </c>
      <c r="K2821" s="15">
        <v>818371777</v>
      </c>
      <c r="L2821" s="15" t="s">
        <v>29</v>
      </c>
      <c r="M2821" s="15"/>
    </row>
    <row r="2822" spans="1:13" x14ac:dyDescent="0.25">
      <c r="A2822" s="23">
        <f t="shared" si="139"/>
        <v>234576</v>
      </c>
      <c r="B2822" s="14" t="str">
        <f t="shared" si="140"/>
        <v>Direct Debit (UMB Bank) - Credits</v>
      </c>
      <c r="C2822" s="38">
        <v>46155</v>
      </c>
      <c r="D2822" s="34">
        <v>234576</v>
      </c>
      <c r="E2822" s="36" t="str">
        <f>IF(Table3[[#This Row],[Type Received]]=2,"CC",(IF(Table3[[#This Row],[Type Received]]=3,"BILL","ACH")))</f>
        <v>ACH</v>
      </c>
      <c r="F2822" s="35">
        <v>90.49</v>
      </c>
      <c r="G2822" s="14" t="str">
        <f>VLOOKUP(D2822,Table4[],3,FALSE)</f>
        <v>2</v>
      </c>
      <c r="H2822" s="15"/>
      <c r="I2822" s="15"/>
      <c r="J2822" s="15" t="s">
        <v>90</v>
      </c>
      <c r="K2822" s="15">
        <v>669506255</v>
      </c>
      <c r="L2822" s="15" t="s">
        <v>29</v>
      </c>
      <c r="M2822" s="15"/>
    </row>
    <row r="2823" spans="1:13" x14ac:dyDescent="0.25">
      <c r="A2823" s="23">
        <f t="shared" si="139"/>
        <v>234599</v>
      </c>
      <c r="B2823" s="14" t="str">
        <f t="shared" si="140"/>
        <v>Billing - Credits (from TPA)</v>
      </c>
      <c r="C2823" s="37">
        <v>46157</v>
      </c>
      <c r="D2823" s="31">
        <v>234599</v>
      </c>
      <c r="E2823" s="33" t="str">
        <f>IF(Table3[[#This Row],[Type Received]]=2,"CC",(IF(Table3[[#This Row],[Type Received]]=3,"BILL","ACH")))</f>
        <v>BILL</v>
      </c>
      <c r="F2823" s="32">
        <v>38.35</v>
      </c>
      <c r="G2823" s="14" t="str">
        <f>VLOOKUP(D2823,Table4[],3,FALSE)</f>
        <v>1</v>
      </c>
      <c r="H2823" s="15"/>
      <c r="I2823" s="15"/>
      <c r="J2823" s="24" t="s">
        <v>87</v>
      </c>
      <c r="K2823" s="15">
        <v>696777812</v>
      </c>
      <c r="L2823" s="15" t="s">
        <v>29</v>
      </c>
      <c r="M2823" s="15"/>
    </row>
    <row r="2824" spans="1:13" x14ac:dyDescent="0.25">
      <c r="A2824" s="23">
        <f t="shared" si="139"/>
        <v>234692</v>
      </c>
      <c r="B2824" s="14" t="str">
        <f t="shared" si="140"/>
        <v>Direct Debit (UMB Bank) - Credits</v>
      </c>
      <c r="C2824" s="38">
        <v>46150</v>
      </c>
      <c r="D2824" s="34">
        <v>234692</v>
      </c>
      <c r="E2824" s="36" t="str">
        <f>IF(Table3[[#This Row],[Type Received]]=2,"CC",(IF(Table3[[#This Row],[Type Received]]=3,"BILL","ACH")))</f>
        <v>ACH</v>
      </c>
      <c r="F2824" s="35">
        <v>286.26</v>
      </c>
      <c r="G2824" s="14" t="str">
        <f>VLOOKUP(D2824,Table4[],3,FALSE)</f>
        <v>2</v>
      </c>
      <c r="H2824" s="15">
        <v>76231963</v>
      </c>
      <c r="I2824" s="15"/>
      <c r="J2824" s="15"/>
      <c r="K2824" s="15"/>
      <c r="L2824" s="15"/>
      <c r="M2824" s="15"/>
    </row>
    <row r="2825" spans="1:13" x14ac:dyDescent="0.25">
      <c r="A2825" s="23">
        <f t="shared" si="139"/>
        <v>234733</v>
      </c>
      <c r="B2825" s="14" t="str">
        <f t="shared" si="140"/>
        <v>Credit Cards (UMB) - Credits</v>
      </c>
      <c r="C2825" s="37">
        <v>46167</v>
      </c>
      <c r="D2825" s="31">
        <v>234733</v>
      </c>
      <c r="E2825" s="33" t="str">
        <f>IF(Table3[[#This Row],[Type Received]]=2,"CC",(IF(Table3[[#This Row],[Type Received]]=3,"BILL","ACH")))</f>
        <v>CC</v>
      </c>
      <c r="F2825" s="32">
        <v>48.58</v>
      </c>
      <c r="G2825" s="14" t="str">
        <f>VLOOKUP(D2825,Table4[],3,FALSE)</f>
        <v>2</v>
      </c>
      <c r="H2825" s="15"/>
      <c r="I2825" s="15"/>
      <c r="J2825" s="15" t="s">
        <v>85</v>
      </c>
      <c r="K2825" s="15">
        <v>818392155</v>
      </c>
      <c r="L2825" s="15" t="s">
        <v>29</v>
      </c>
      <c r="M2825" s="15"/>
    </row>
    <row r="2826" spans="1:13" x14ac:dyDescent="0.25">
      <c r="A2826" s="23">
        <f t="shared" si="139"/>
        <v>234738</v>
      </c>
      <c r="B2826" s="14" t="str">
        <f t="shared" si="140"/>
        <v>Direct Debit (UMB Bank) - Credits</v>
      </c>
      <c r="C2826" s="38">
        <v>46143</v>
      </c>
      <c r="D2826" s="34">
        <v>234738</v>
      </c>
      <c r="E2826" s="36" t="str">
        <f>IF(Table3[[#This Row],[Type Received]]=2,"CC",(IF(Table3[[#This Row],[Type Received]]=3,"BILL","ACH")))</f>
        <v>ACH</v>
      </c>
      <c r="F2826" s="35">
        <v>77.95</v>
      </c>
      <c r="G2826" s="14" t="str">
        <f>VLOOKUP(D2826,Table4[],3,FALSE)</f>
        <v>2</v>
      </c>
      <c r="H2826" s="15"/>
      <c r="I2826" s="15">
        <v>110860</v>
      </c>
      <c r="J2826" s="15" t="s">
        <v>28</v>
      </c>
      <c r="K2826" s="15">
        <v>525236804</v>
      </c>
      <c r="L2826" s="15" t="s">
        <v>29</v>
      </c>
      <c r="M2826" s="15"/>
    </row>
    <row r="2827" spans="1:13" x14ac:dyDescent="0.25">
      <c r="A2827" s="23">
        <f t="shared" si="139"/>
        <v>234751</v>
      </c>
      <c r="B2827" s="14" t="str">
        <f t="shared" si="140"/>
        <v>Direct Debit (UMB Bank) - Credits</v>
      </c>
      <c r="C2827" s="37">
        <v>46157</v>
      </c>
      <c r="D2827" s="31">
        <v>234751</v>
      </c>
      <c r="E2827" s="33" t="str">
        <f>IF(Table3[[#This Row],[Type Received]]=2,"CC",(IF(Table3[[#This Row],[Type Received]]=3,"BILL","ACH")))</f>
        <v>ACH</v>
      </c>
      <c r="F2827" s="32">
        <v>56.39</v>
      </c>
      <c r="G2827" s="14" t="str">
        <f>VLOOKUP(D2827,Table4[],3,FALSE)</f>
        <v>1</v>
      </c>
      <c r="H2827" s="15"/>
      <c r="I2827" s="15"/>
      <c r="J2827" s="15" t="s">
        <v>87</v>
      </c>
      <c r="K2827" s="15">
        <v>696793197</v>
      </c>
      <c r="L2827" s="15" t="s">
        <v>29</v>
      </c>
      <c r="M2827" s="15"/>
    </row>
    <row r="2828" spans="1:13" x14ac:dyDescent="0.25">
      <c r="A2828" s="23">
        <f t="shared" si="139"/>
        <v>234768</v>
      </c>
      <c r="B2828" s="14" t="str">
        <f t="shared" si="140"/>
        <v>Direct Debit (UMB Bank) - Credits</v>
      </c>
      <c r="C2828" s="38">
        <v>46157</v>
      </c>
      <c r="D2828" s="34">
        <v>234768</v>
      </c>
      <c r="E2828" s="36" t="str">
        <f>IF(Table3[[#This Row],[Type Received]]=2,"CC",(IF(Table3[[#This Row],[Type Received]]=3,"BILL","ACH")))</f>
        <v>ACH</v>
      </c>
      <c r="F2828" s="35">
        <v>44.95</v>
      </c>
      <c r="G2828" s="14" t="str">
        <f>VLOOKUP(D2828,Table4[],3,FALSE)</f>
        <v>1</v>
      </c>
      <c r="H2828" s="15"/>
      <c r="I2828" s="15"/>
      <c r="J2828" s="15" t="s">
        <v>87</v>
      </c>
      <c r="K2828" s="15">
        <v>696785498</v>
      </c>
      <c r="L2828" s="15" t="s">
        <v>29</v>
      </c>
      <c r="M2828" s="15"/>
    </row>
    <row r="2829" spans="1:13" x14ac:dyDescent="0.25">
      <c r="A2829" s="23">
        <f t="shared" si="139"/>
        <v>234777</v>
      </c>
      <c r="B2829" s="14" t="str">
        <f t="shared" si="140"/>
        <v>Direct Debit (UMB Bank) - Credits</v>
      </c>
      <c r="C2829" s="37">
        <v>46144</v>
      </c>
      <c r="D2829" s="31">
        <v>234777</v>
      </c>
      <c r="E2829" s="33" t="str">
        <f>IF(Table3[[#This Row],[Type Received]]=2,"CC",(IF(Table3[[#This Row],[Type Received]]=3,"BILL","ACH")))</f>
        <v>ACH</v>
      </c>
      <c r="F2829" s="32">
        <v>110.29</v>
      </c>
      <c r="G2829" s="14" t="str">
        <f>VLOOKUP(D2829,Table4[],3,FALSE)</f>
        <v>1</v>
      </c>
      <c r="H2829" s="15"/>
      <c r="I2829" s="15"/>
      <c r="J2829" s="15" t="s">
        <v>89</v>
      </c>
      <c r="K2829" s="15">
        <v>535371674</v>
      </c>
      <c r="L2829" s="15" t="s">
        <v>29</v>
      </c>
      <c r="M2829" s="15"/>
    </row>
    <row r="2830" spans="1:13" x14ac:dyDescent="0.25">
      <c r="A2830" s="23">
        <f t="shared" si="139"/>
        <v>234806</v>
      </c>
      <c r="B2830" s="14" t="str">
        <f t="shared" si="140"/>
        <v>Billing - Credits (from TPA)</v>
      </c>
      <c r="C2830" s="38">
        <v>46167</v>
      </c>
      <c r="D2830" s="34">
        <v>234806</v>
      </c>
      <c r="E2830" s="36" t="str">
        <f>IF(Table3[[#This Row],[Type Received]]=2,"CC",(IF(Table3[[#This Row],[Type Received]]=3,"BILL","ACH")))</f>
        <v>BILL</v>
      </c>
      <c r="F2830" s="35">
        <v>55.95</v>
      </c>
      <c r="G2830" s="14" t="str">
        <f>VLOOKUP(D2830,Table4[],3,FALSE)</f>
        <v>1</v>
      </c>
      <c r="H2830" s="15"/>
      <c r="I2830" s="15"/>
      <c r="J2830" s="15" t="s">
        <v>85</v>
      </c>
      <c r="K2830" s="15">
        <v>818381534</v>
      </c>
      <c r="L2830" s="15" t="s">
        <v>29</v>
      </c>
      <c r="M2830" s="15"/>
    </row>
    <row r="2831" spans="1:13" x14ac:dyDescent="0.25">
      <c r="A2831" s="23">
        <f t="shared" si="139"/>
        <v>234814</v>
      </c>
      <c r="B2831" s="14" t="str">
        <f t="shared" si="140"/>
        <v>Direct Debit (UMB Bank) - Credits</v>
      </c>
      <c r="C2831" s="37">
        <v>46168</v>
      </c>
      <c r="D2831" s="31">
        <v>234814</v>
      </c>
      <c r="E2831" s="33" t="str">
        <f>IF(Table3[[#This Row],[Type Received]]=2,"CC",(IF(Table3[[#This Row],[Type Received]]=3,"BILL","ACH")))</f>
        <v>ACH</v>
      </c>
      <c r="F2831" s="32">
        <v>56.95</v>
      </c>
      <c r="G2831" s="14" t="str">
        <f>VLOOKUP(D2831,Table4[],3,FALSE)</f>
        <v>1</v>
      </c>
      <c r="H2831" s="15">
        <v>2268</v>
      </c>
      <c r="I2831" s="15"/>
      <c r="J2831" s="24"/>
      <c r="K2831" s="15"/>
      <c r="L2831" s="15"/>
      <c r="M2831" s="15"/>
    </row>
    <row r="2832" spans="1:13" x14ac:dyDescent="0.25">
      <c r="A2832" s="23">
        <f t="shared" si="139"/>
        <v>234820</v>
      </c>
      <c r="B2832" s="14" t="str">
        <f t="shared" si="140"/>
        <v>Billing - Credits (from TPA)</v>
      </c>
      <c r="C2832" s="38">
        <v>46144</v>
      </c>
      <c r="D2832" s="34">
        <v>234820</v>
      </c>
      <c r="E2832" s="36" t="str">
        <f>IF(Table3[[#This Row],[Type Received]]=2,"CC",(IF(Table3[[#This Row],[Type Received]]=3,"BILL","ACH")))</f>
        <v>BILL</v>
      </c>
      <c r="F2832" s="35">
        <v>34.39</v>
      </c>
      <c r="G2832" s="14" t="str">
        <f>VLOOKUP(D2832,Table4[],3,FALSE)</f>
        <v>2</v>
      </c>
      <c r="H2832" s="15"/>
      <c r="I2832" s="15"/>
      <c r="J2832" s="15" t="s">
        <v>89</v>
      </c>
      <c r="K2832" s="15">
        <v>535407668</v>
      </c>
      <c r="L2832" s="15" t="s">
        <v>29</v>
      </c>
      <c r="M2832" s="15"/>
    </row>
    <row r="2833" spans="1:13" x14ac:dyDescent="0.25">
      <c r="A2833" s="23">
        <f t="shared" si="139"/>
        <v>234938</v>
      </c>
      <c r="B2833" s="14" t="str">
        <f t="shared" si="140"/>
        <v>Direct Debit (UMB Bank) - Credits</v>
      </c>
      <c r="C2833" s="37">
        <v>46171</v>
      </c>
      <c r="D2833" s="31">
        <v>234938</v>
      </c>
      <c r="E2833" s="33" t="str">
        <f>IF(Table3[[#This Row],[Type Received]]=2,"CC",(IF(Table3[[#This Row],[Type Received]]=3,"BILL","ACH")))</f>
        <v>ACH</v>
      </c>
      <c r="F2833" s="32">
        <v>73.34</v>
      </c>
      <c r="G2833" s="14" t="str">
        <f>VLOOKUP(D2833,Table4[],3,FALSE)</f>
        <v>2</v>
      </c>
      <c r="H2833" s="15">
        <v>672</v>
      </c>
      <c r="I2833" s="15"/>
      <c r="J2833" s="15"/>
      <c r="K2833" s="15"/>
      <c r="L2833" s="15"/>
      <c r="M2833" s="15"/>
    </row>
    <row r="2834" spans="1:13" x14ac:dyDescent="0.25">
      <c r="A2834" s="23">
        <f t="shared" si="139"/>
        <v>235003</v>
      </c>
      <c r="B2834" s="14" t="str">
        <f t="shared" si="140"/>
        <v>Direct Debit (UMB Bank) - Credits</v>
      </c>
      <c r="C2834" s="38">
        <v>46157</v>
      </c>
      <c r="D2834" s="34">
        <v>235003</v>
      </c>
      <c r="E2834" s="36" t="str">
        <f>IF(Table3[[#This Row],[Type Received]]=2,"CC",(IF(Table3[[#This Row],[Type Received]]=3,"BILL","ACH")))</f>
        <v>ACH</v>
      </c>
      <c r="F2834" s="35">
        <v>32.409999999999997</v>
      </c>
      <c r="G2834" s="14" t="str">
        <f>VLOOKUP(D2834,Table4[],3,FALSE)</f>
        <v>2</v>
      </c>
      <c r="H2834" s="15"/>
      <c r="I2834" s="15"/>
      <c r="J2834" s="15" t="s">
        <v>87</v>
      </c>
      <c r="K2834" s="15">
        <v>696795225</v>
      </c>
      <c r="L2834" s="15" t="s">
        <v>29</v>
      </c>
      <c r="M2834" s="15"/>
    </row>
    <row r="2835" spans="1:13" x14ac:dyDescent="0.25">
      <c r="A2835" s="23">
        <f t="shared" ref="A2835:A2866" si="141">D2835</f>
        <v>235004</v>
      </c>
      <c r="B2835" s="14" t="str">
        <f t="shared" si="140"/>
        <v>Billing - Credits (from TPA)</v>
      </c>
      <c r="C2835" s="37">
        <v>46144</v>
      </c>
      <c r="D2835" s="31">
        <v>235004</v>
      </c>
      <c r="E2835" s="33" t="str">
        <f>IF(Table3[[#This Row],[Type Received]]=2,"CC",(IF(Table3[[#This Row],[Type Received]]=3,"BILL","ACH")))</f>
        <v>BILL</v>
      </c>
      <c r="F2835" s="32">
        <v>88.73</v>
      </c>
      <c r="G2835" s="14" t="str">
        <f>VLOOKUP(D2835,Table4[],3,FALSE)</f>
        <v>1</v>
      </c>
      <c r="H2835" s="15"/>
      <c r="I2835" s="15"/>
      <c r="J2835" s="15" t="s">
        <v>89</v>
      </c>
      <c r="K2835" s="15">
        <v>535424127</v>
      </c>
      <c r="L2835" s="15" t="s">
        <v>29</v>
      </c>
      <c r="M2835" s="15"/>
    </row>
    <row r="2836" spans="1:13" x14ac:dyDescent="0.25">
      <c r="A2836" s="23">
        <f t="shared" si="141"/>
        <v>235023</v>
      </c>
      <c r="B2836" s="14" t="str">
        <f t="shared" si="140"/>
        <v>Direct Debit (UMB Bank) - Credits</v>
      </c>
      <c r="C2836" s="38">
        <v>46169</v>
      </c>
      <c r="D2836" s="34">
        <v>235023</v>
      </c>
      <c r="E2836" s="36" t="str">
        <f>IF(Table3[[#This Row],[Type Received]]=2,"CC",(IF(Table3[[#This Row],[Type Received]]=3,"BILL","ACH")))</f>
        <v>ACH</v>
      </c>
      <c r="F2836" s="35">
        <v>201.4</v>
      </c>
      <c r="G2836" s="14" t="str">
        <f>VLOOKUP(D2836,Table4[],3,FALSE)</f>
        <v>2</v>
      </c>
      <c r="H2836" s="15">
        <v>5379</v>
      </c>
      <c r="I2836" s="15"/>
      <c r="J2836" s="15"/>
      <c r="K2836" s="15"/>
      <c r="L2836" s="15"/>
      <c r="M2836" s="15"/>
    </row>
    <row r="2837" spans="1:13" x14ac:dyDescent="0.25">
      <c r="A2837" s="23">
        <f t="shared" si="141"/>
        <v>235054</v>
      </c>
      <c r="B2837" s="14" t="str">
        <f t="shared" si="140"/>
        <v>Credit Cards (UMB) - Credits</v>
      </c>
      <c r="C2837" s="37">
        <v>46157</v>
      </c>
      <c r="D2837" s="31">
        <v>235054</v>
      </c>
      <c r="E2837" s="33" t="str">
        <f>IF(Table3[[#This Row],[Type Received]]=2,"CC",(IF(Table3[[#This Row],[Type Received]]=3,"BILL","ACH")))</f>
        <v>CC</v>
      </c>
      <c r="F2837" s="32">
        <v>75.64</v>
      </c>
      <c r="G2837" s="14" t="str">
        <f>VLOOKUP(D2837,Table4[],3,FALSE)</f>
        <v>2</v>
      </c>
      <c r="H2837" s="15"/>
      <c r="I2837" s="15"/>
      <c r="J2837" s="15" t="s">
        <v>87</v>
      </c>
      <c r="K2837" s="15">
        <v>696786515</v>
      </c>
      <c r="L2837" s="15" t="s">
        <v>29</v>
      </c>
      <c r="M2837" s="15"/>
    </row>
    <row r="2838" spans="1:13" x14ac:dyDescent="0.25">
      <c r="A2838" s="23">
        <f t="shared" si="141"/>
        <v>235080</v>
      </c>
      <c r="B2838" s="14" t="str">
        <f t="shared" si="140"/>
        <v>Billing - Credits (from TPA)</v>
      </c>
      <c r="C2838" s="38">
        <v>46144</v>
      </c>
      <c r="D2838" s="34">
        <v>235080</v>
      </c>
      <c r="E2838" s="36" t="str">
        <f>IF(Table3[[#This Row],[Type Received]]=2,"CC",(IF(Table3[[#This Row],[Type Received]]=3,"BILL","ACH")))</f>
        <v>BILL</v>
      </c>
      <c r="F2838" s="35">
        <v>56.95</v>
      </c>
      <c r="G2838" s="14" t="str">
        <f>VLOOKUP(D2838,Table4[],3,FALSE)</f>
        <v>1</v>
      </c>
      <c r="H2838" s="15"/>
      <c r="I2838" s="15" t="s">
        <v>269</v>
      </c>
      <c r="J2838" s="15" t="s">
        <v>28</v>
      </c>
      <c r="K2838" s="15">
        <v>535397099</v>
      </c>
      <c r="L2838" s="15" t="s">
        <v>29</v>
      </c>
      <c r="M2838" s="15"/>
    </row>
    <row r="2839" spans="1:13" x14ac:dyDescent="0.25">
      <c r="A2839" s="23">
        <f t="shared" si="141"/>
        <v>235134</v>
      </c>
      <c r="B2839" s="14" t="str">
        <f t="shared" si="140"/>
        <v>Credit Cards (UMB) - Credits</v>
      </c>
      <c r="C2839" s="37">
        <v>46153</v>
      </c>
      <c r="D2839" s="31">
        <v>235134</v>
      </c>
      <c r="E2839" s="33" t="str">
        <f>IF(Table3[[#This Row],[Type Received]]=2,"CC",(IF(Table3[[#This Row],[Type Received]]=3,"BILL","ACH")))</f>
        <v>CC</v>
      </c>
      <c r="F2839" s="32">
        <v>70.150000000000006</v>
      </c>
      <c r="G2839" s="14" t="str">
        <f>VLOOKUP(D2839,Table4[],3,FALSE)</f>
        <v>1</v>
      </c>
      <c r="H2839" s="15">
        <v>1003</v>
      </c>
      <c r="I2839" s="15"/>
      <c r="J2839" s="15"/>
      <c r="K2839" s="15"/>
      <c r="L2839" s="15"/>
      <c r="M2839" s="15"/>
    </row>
    <row r="2840" spans="1:13" x14ac:dyDescent="0.25">
      <c r="A2840" s="23">
        <f t="shared" si="141"/>
        <v>235155</v>
      </c>
      <c r="B2840" s="14" t="str">
        <f t="shared" si="140"/>
        <v>Billing - Credits (from TPA)</v>
      </c>
      <c r="C2840" s="38">
        <v>46165</v>
      </c>
      <c r="D2840" s="34">
        <v>235155</v>
      </c>
      <c r="E2840" s="36" t="str">
        <f>IF(Table3[[#This Row],[Type Received]]=2,"CC",(IF(Table3[[#This Row],[Type Received]]=3,"BILL","ACH")))</f>
        <v>BILL</v>
      </c>
      <c r="F2840" s="35">
        <v>201.19</v>
      </c>
      <c r="G2840" s="14" t="str">
        <f>VLOOKUP(D2840,Table4[],3,FALSE)</f>
        <v>2</v>
      </c>
      <c r="H2840" s="15"/>
      <c r="I2840" s="15">
        <v>635952</v>
      </c>
      <c r="J2840" s="15">
        <v>748047895</v>
      </c>
      <c r="K2840" s="15">
        <v>355605908</v>
      </c>
      <c r="L2840" s="15"/>
      <c r="M2840" s="15"/>
    </row>
    <row r="2841" spans="1:13" x14ac:dyDescent="0.25">
      <c r="A2841" s="23">
        <f t="shared" si="141"/>
        <v>235258</v>
      </c>
      <c r="B2841" s="14" t="str">
        <f t="shared" si="140"/>
        <v>Credit Cards (UMB) - Credits</v>
      </c>
      <c r="C2841" s="37">
        <v>46164</v>
      </c>
      <c r="D2841" s="31">
        <v>235258</v>
      </c>
      <c r="E2841" s="33" t="str">
        <f>IF(Table3[[#This Row],[Type Received]]=2,"CC",(IF(Table3[[#This Row],[Type Received]]=3,"BILL","ACH")))</f>
        <v>CC</v>
      </c>
      <c r="F2841" s="32">
        <v>131.41999999999999</v>
      </c>
      <c r="G2841" s="14" t="str">
        <f>VLOOKUP(D2841,Table4[],3,FALSE)</f>
        <v>2</v>
      </c>
      <c r="H2841" s="15">
        <v>10009</v>
      </c>
      <c r="I2841" s="15"/>
      <c r="J2841" s="15"/>
      <c r="K2841" s="15"/>
      <c r="L2841" s="15"/>
      <c r="M2841" s="15"/>
    </row>
    <row r="2842" spans="1:13" x14ac:dyDescent="0.25">
      <c r="A2842" s="23">
        <f t="shared" si="141"/>
        <v>235384</v>
      </c>
      <c r="B2842" s="14" t="str">
        <f t="shared" si="140"/>
        <v>Direct Debit (UMB Bank) - Credits</v>
      </c>
      <c r="C2842" s="38">
        <v>46149</v>
      </c>
      <c r="D2842" s="34">
        <v>235384</v>
      </c>
      <c r="E2842" s="36" t="str">
        <f>IF(Table3[[#This Row],[Type Received]]=2,"CC",(IF(Table3[[#This Row],[Type Received]]=3,"BILL","ACH")))</f>
        <v>ACH</v>
      </c>
      <c r="F2842" s="35">
        <v>128.49</v>
      </c>
      <c r="G2842" s="14" t="str">
        <f>VLOOKUP(D2842,Table4[],3,FALSE)</f>
        <v>2</v>
      </c>
      <c r="H2842" s="15"/>
      <c r="I2842" s="15">
        <v>85552</v>
      </c>
      <c r="J2842" s="15" t="s">
        <v>28</v>
      </c>
      <c r="K2842" s="15">
        <v>596167810</v>
      </c>
      <c r="L2842" s="15" t="s">
        <v>29</v>
      </c>
      <c r="M2842" s="15"/>
    </row>
    <row r="2843" spans="1:13" x14ac:dyDescent="0.25">
      <c r="A2843" s="23">
        <f t="shared" si="141"/>
        <v>235397</v>
      </c>
      <c r="B2843" s="14" t="str">
        <f t="shared" si="140"/>
        <v>Direct Debit (UMB Bank) - Credits</v>
      </c>
      <c r="C2843" s="37">
        <v>46149</v>
      </c>
      <c r="D2843" s="31">
        <v>235397</v>
      </c>
      <c r="E2843" s="33" t="str">
        <f>IF(Table3[[#This Row],[Type Received]]=2,"CC",(IF(Table3[[#This Row],[Type Received]]=3,"BILL","ACH")))</f>
        <v>ACH</v>
      </c>
      <c r="F2843" s="32">
        <v>76.95</v>
      </c>
      <c r="G2843" s="14" t="str">
        <f>VLOOKUP(D2843,Table4[],3,FALSE)</f>
        <v>2</v>
      </c>
      <c r="H2843" s="15"/>
      <c r="I2843" s="15"/>
      <c r="J2843" s="15" t="s">
        <v>109</v>
      </c>
      <c r="K2843" s="15">
        <v>594895655</v>
      </c>
      <c r="L2843" s="15" t="s">
        <v>29</v>
      </c>
      <c r="M2843" s="15"/>
    </row>
    <row r="2844" spans="1:13" x14ac:dyDescent="0.25">
      <c r="A2844" s="23">
        <f t="shared" si="141"/>
        <v>235425</v>
      </c>
      <c r="B2844" s="14" t="str">
        <f t="shared" si="140"/>
        <v>Direct Debit (UMB Bank) - Credits</v>
      </c>
      <c r="C2844" s="38">
        <v>46144</v>
      </c>
      <c r="D2844" s="34">
        <v>235425</v>
      </c>
      <c r="E2844" s="36" t="str">
        <f>IF(Table3[[#This Row],[Type Received]]=2,"CC",(IF(Table3[[#This Row],[Type Received]]=3,"BILL","ACH")))</f>
        <v>ACH</v>
      </c>
      <c r="F2844" s="35">
        <v>80.59</v>
      </c>
      <c r="G2844" s="14" t="str">
        <f>VLOOKUP(D2844,Table4[],3,FALSE)</f>
        <v>2</v>
      </c>
      <c r="H2844" s="15"/>
      <c r="I2844" s="15"/>
      <c r="J2844" s="15" t="s">
        <v>89</v>
      </c>
      <c r="K2844" s="15">
        <v>535406742</v>
      </c>
      <c r="L2844" s="15" t="s">
        <v>29</v>
      </c>
      <c r="M2844" s="15"/>
    </row>
    <row r="2845" spans="1:13" x14ac:dyDescent="0.25">
      <c r="A2845" s="23">
        <f t="shared" si="141"/>
        <v>235466</v>
      </c>
      <c r="B2845" s="14" t="str">
        <f t="shared" si="140"/>
        <v>Credit Cards (UMB) - Credits</v>
      </c>
      <c r="C2845" s="37">
        <v>46149</v>
      </c>
      <c r="D2845" s="31">
        <v>235466</v>
      </c>
      <c r="E2845" s="33" t="str">
        <f>IF(Table3[[#This Row],[Type Received]]=2,"CC",(IF(Table3[[#This Row],[Type Received]]=3,"BILL","ACH")))</f>
        <v>CC</v>
      </c>
      <c r="F2845" s="32">
        <v>135.71</v>
      </c>
      <c r="G2845" s="14" t="str">
        <f>VLOOKUP(D2845,Table4[],3,FALSE)</f>
        <v>2</v>
      </c>
      <c r="H2845" s="15"/>
      <c r="I2845" s="15"/>
      <c r="J2845" s="15" t="s">
        <v>109</v>
      </c>
      <c r="K2845" s="15">
        <v>598106872</v>
      </c>
      <c r="L2845" s="15" t="s">
        <v>29</v>
      </c>
      <c r="M2845" s="15"/>
    </row>
    <row r="2846" spans="1:13" x14ac:dyDescent="0.25">
      <c r="A2846" s="23">
        <f t="shared" si="141"/>
        <v>235498</v>
      </c>
      <c r="B2846" s="14" t="str">
        <f t="shared" si="140"/>
        <v>Direct Debit (UMB Bank) - Credits</v>
      </c>
      <c r="C2846" s="38">
        <v>46144</v>
      </c>
      <c r="D2846" s="34">
        <v>235498</v>
      </c>
      <c r="E2846" s="36" t="str">
        <f>IF(Table3[[#This Row],[Type Received]]=2,"CC",(IF(Table3[[#This Row],[Type Received]]=3,"BILL","ACH")))</f>
        <v>ACH</v>
      </c>
      <c r="F2846" s="35">
        <v>73</v>
      </c>
      <c r="G2846" s="14" t="str">
        <f>VLOOKUP(D2846,Table4[],3,FALSE)</f>
        <v>2</v>
      </c>
      <c r="H2846" s="15"/>
      <c r="I2846" s="15">
        <v>171610</v>
      </c>
      <c r="J2846" s="24" t="s">
        <v>28</v>
      </c>
      <c r="K2846" s="15">
        <v>535424184</v>
      </c>
      <c r="L2846" s="15" t="s">
        <v>29</v>
      </c>
      <c r="M2846" s="15"/>
    </row>
    <row r="2847" spans="1:13" x14ac:dyDescent="0.25">
      <c r="A2847" s="23">
        <f t="shared" si="141"/>
        <v>235524</v>
      </c>
      <c r="B2847" s="14" t="str">
        <f t="shared" si="140"/>
        <v>Direct Debit (UMB Bank) - Credits</v>
      </c>
      <c r="C2847" s="37">
        <v>46157</v>
      </c>
      <c r="D2847" s="31">
        <v>235524</v>
      </c>
      <c r="E2847" s="33" t="str">
        <f>IF(Table3[[#This Row],[Type Received]]=2,"CC",(IF(Table3[[#This Row],[Type Received]]=3,"BILL","ACH")))</f>
        <v>ACH</v>
      </c>
      <c r="F2847" s="32">
        <v>106</v>
      </c>
      <c r="G2847" s="14" t="str">
        <f>VLOOKUP(D2847,Table4[],3,FALSE)</f>
        <v>2</v>
      </c>
      <c r="H2847" s="15"/>
      <c r="I2847" s="15"/>
      <c r="J2847" s="15" t="s">
        <v>87</v>
      </c>
      <c r="K2847" s="15">
        <v>696785550</v>
      </c>
      <c r="L2847" s="15" t="s">
        <v>29</v>
      </c>
      <c r="M2847" s="15"/>
    </row>
    <row r="2848" spans="1:13" x14ac:dyDescent="0.25">
      <c r="A2848" s="23">
        <f t="shared" si="141"/>
        <v>235539</v>
      </c>
      <c r="B2848" s="14" t="str">
        <f t="shared" si="140"/>
        <v>Billing - Credits (from TPA)</v>
      </c>
      <c r="C2848" s="38">
        <v>46157</v>
      </c>
      <c r="D2848" s="34">
        <v>235539</v>
      </c>
      <c r="E2848" s="36" t="str">
        <f>IF(Table3[[#This Row],[Type Received]]=2,"CC",(IF(Table3[[#This Row],[Type Received]]=3,"BILL","ACH")))</f>
        <v>BILL</v>
      </c>
      <c r="F2848" s="35">
        <v>61.45</v>
      </c>
      <c r="G2848" s="14" t="str">
        <f>VLOOKUP(D2848,Table4[],3,FALSE)</f>
        <v>2</v>
      </c>
      <c r="H2848" s="15"/>
      <c r="I2848" s="15"/>
      <c r="J2848" s="15" t="s">
        <v>87</v>
      </c>
      <c r="K2848" s="15">
        <v>696791342</v>
      </c>
      <c r="L2848" s="15" t="s">
        <v>29</v>
      </c>
      <c r="M2848" s="15"/>
    </row>
    <row r="2849" spans="1:13" x14ac:dyDescent="0.25">
      <c r="A2849" s="23">
        <f t="shared" si="141"/>
        <v>235592</v>
      </c>
      <c r="B2849" s="14" t="str">
        <f t="shared" si="140"/>
        <v>Credit Cards (UMB) - Credits</v>
      </c>
      <c r="C2849" s="37">
        <v>46149</v>
      </c>
      <c r="D2849" s="31">
        <v>235592</v>
      </c>
      <c r="E2849" s="33" t="str">
        <f>IF(Table3[[#This Row],[Type Received]]=2,"CC",(IF(Table3[[#This Row],[Type Received]]=3,"BILL","ACH")))</f>
        <v>CC</v>
      </c>
      <c r="F2849" s="32">
        <v>40.67</v>
      </c>
      <c r="G2849" s="14" t="str">
        <f>VLOOKUP(D2849,Table4[],3,FALSE)</f>
        <v>1</v>
      </c>
      <c r="H2849" s="15">
        <v>1054</v>
      </c>
      <c r="I2849" s="15"/>
      <c r="J2849" s="24"/>
      <c r="K2849" s="15"/>
      <c r="L2849" s="15"/>
      <c r="M2849" s="15"/>
    </row>
    <row r="2850" spans="1:13" x14ac:dyDescent="0.25">
      <c r="A2850" s="23">
        <f t="shared" si="141"/>
        <v>235635</v>
      </c>
      <c r="B2850" s="14" t="str">
        <f t="shared" si="140"/>
        <v>Credit Cards (UMB) - Credits</v>
      </c>
      <c r="C2850" s="38">
        <v>46156</v>
      </c>
      <c r="D2850" s="34">
        <v>235635</v>
      </c>
      <c r="E2850" s="36" t="str">
        <f>IF(Table3[[#This Row],[Type Received]]=2,"CC",(IF(Table3[[#This Row],[Type Received]]=3,"BILL","ACH")))</f>
        <v>CC</v>
      </c>
      <c r="F2850" s="35">
        <v>57.49</v>
      </c>
      <c r="G2850" s="14" t="str">
        <f>VLOOKUP(D2850,Table4[],3,FALSE)</f>
        <v>2</v>
      </c>
      <c r="H2850" s="15"/>
      <c r="I2850" s="15">
        <v>117875</v>
      </c>
      <c r="J2850" s="15" t="s">
        <v>28</v>
      </c>
      <c r="K2850" s="15">
        <v>682533638</v>
      </c>
      <c r="L2850" s="15" t="s">
        <v>29</v>
      </c>
      <c r="M2850" s="15"/>
    </row>
    <row r="2851" spans="1:13" x14ac:dyDescent="0.25">
      <c r="A2851" s="23">
        <f t="shared" si="141"/>
        <v>235650</v>
      </c>
      <c r="B2851" s="14" t="str">
        <f t="shared" si="140"/>
        <v>Direct Debit (UMB Bank) - Credits</v>
      </c>
      <c r="C2851" s="37">
        <v>46146</v>
      </c>
      <c r="D2851" s="31">
        <v>235650</v>
      </c>
      <c r="E2851" s="33" t="str">
        <f>IF(Table3[[#This Row],[Type Received]]=2,"CC",(IF(Table3[[#This Row],[Type Received]]=3,"BILL","ACH")))</f>
        <v>ACH</v>
      </c>
      <c r="F2851" s="32">
        <v>77.95</v>
      </c>
      <c r="G2851" s="14" t="str">
        <f>VLOOKUP(D2851,Table4[],3,FALSE)</f>
        <v>2</v>
      </c>
      <c r="H2851" s="15"/>
      <c r="I2851" s="15" t="s">
        <v>270</v>
      </c>
      <c r="J2851" s="15">
        <v>742259380</v>
      </c>
      <c r="K2851" s="15">
        <v>353462088</v>
      </c>
      <c r="L2851" s="15"/>
      <c r="M2851" s="15"/>
    </row>
    <row r="2852" spans="1:13" x14ac:dyDescent="0.25">
      <c r="A2852" s="23">
        <f t="shared" si="141"/>
        <v>235659</v>
      </c>
      <c r="B2852" s="14" t="str">
        <f t="shared" si="140"/>
        <v>Direct Debit (UMB Bank) - Credits</v>
      </c>
      <c r="C2852" s="38">
        <v>46157</v>
      </c>
      <c r="D2852" s="34">
        <v>235659</v>
      </c>
      <c r="E2852" s="36" t="str">
        <f>IF(Table3[[#This Row],[Type Received]]=2,"CC",(IF(Table3[[#This Row],[Type Received]]=3,"BILL","ACH")))</f>
        <v>ACH</v>
      </c>
      <c r="F2852" s="35">
        <v>59.47</v>
      </c>
      <c r="G2852" s="14" t="str">
        <f>VLOOKUP(D2852,Table4[],3,FALSE)</f>
        <v>2</v>
      </c>
      <c r="H2852" s="15"/>
      <c r="I2852" s="15"/>
      <c r="J2852" s="24" t="s">
        <v>87</v>
      </c>
      <c r="K2852" s="15">
        <v>696798177</v>
      </c>
      <c r="L2852" s="15" t="s">
        <v>29</v>
      </c>
      <c r="M2852" s="15"/>
    </row>
    <row r="2853" spans="1:13" x14ac:dyDescent="0.25">
      <c r="A2853" s="23">
        <f t="shared" si="141"/>
        <v>235694</v>
      </c>
      <c r="B2853" s="14" t="str">
        <f t="shared" si="140"/>
        <v>Billing - Credits (from TPA)</v>
      </c>
      <c r="C2853" s="37">
        <v>46144</v>
      </c>
      <c r="D2853" s="31">
        <v>235694</v>
      </c>
      <c r="E2853" s="33" t="str">
        <f>IF(Table3[[#This Row],[Type Received]]=2,"CC",(IF(Table3[[#This Row],[Type Received]]=3,"BILL","ACH")))</f>
        <v>BILL</v>
      </c>
      <c r="F2853" s="32">
        <v>77.95</v>
      </c>
      <c r="G2853" s="14" t="str">
        <f>VLOOKUP(D2853,Table4[],3,FALSE)</f>
        <v>2</v>
      </c>
      <c r="H2853" s="15"/>
      <c r="I2853" s="15"/>
      <c r="J2853" s="15" t="s">
        <v>89</v>
      </c>
      <c r="K2853" s="15">
        <v>535417416</v>
      </c>
      <c r="L2853" s="15" t="s">
        <v>29</v>
      </c>
      <c r="M2853" s="15"/>
    </row>
    <row r="2854" spans="1:13" x14ac:dyDescent="0.25">
      <c r="A2854" s="23">
        <f t="shared" si="141"/>
        <v>235713</v>
      </c>
      <c r="B2854" s="14" t="str">
        <f t="shared" si="140"/>
        <v>Direct Debit (UMB Bank) - Credits</v>
      </c>
      <c r="C2854" s="38">
        <v>46154</v>
      </c>
      <c r="D2854" s="34">
        <v>235713</v>
      </c>
      <c r="E2854" s="36" t="str">
        <f>IF(Table3[[#This Row],[Type Received]]=2,"CC",(IF(Table3[[#This Row],[Type Received]]=3,"BILL","ACH")))</f>
        <v>ACH</v>
      </c>
      <c r="F2854" s="35">
        <v>69.27</v>
      </c>
      <c r="G2854" s="14" t="str">
        <f>VLOOKUP(D2854,Table4[],3,FALSE)</f>
        <v>1</v>
      </c>
      <c r="H2854" s="15">
        <v>9052</v>
      </c>
      <c r="I2854" s="15"/>
      <c r="J2854" s="15"/>
      <c r="K2854" s="15"/>
      <c r="L2854" s="15"/>
      <c r="M2854" s="15"/>
    </row>
    <row r="2855" spans="1:13" x14ac:dyDescent="0.25">
      <c r="A2855" s="23">
        <f t="shared" si="141"/>
        <v>235722</v>
      </c>
      <c r="B2855" s="14" t="str">
        <f t="shared" si="140"/>
        <v>Direct Debit (UMB Bank) - Credits</v>
      </c>
      <c r="C2855" s="37">
        <v>46144</v>
      </c>
      <c r="D2855" s="31">
        <v>235722</v>
      </c>
      <c r="E2855" s="33" t="str">
        <f>IF(Table3[[#This Row],[Type Received]]=2,"CC",(IF(Table3[[#This Row],[Type Received]]=3,"BILL","ACH")))</f>
        <v>ACH</v>
      </c>
      <c r="F2855" s="32">
        <v>23.17</v>
      </c>
      <c r="G2855" s="14" t="str">
        <f>VLOOKUP(D2855,Table4[],3,FALSE)</f>
        <v>1</v>
      </c>
      <c r="H2855" s="15"/>
      <c r="I2855" s="15"/>
      <c r="J2855" s="15" t="s">
        <v>89</v>
      </c>
      <c r="K2855" s="15">
        <v>535403807</v>
      </c>
      <c r="L2855" s="15" t="s">
        <v>29</v>
      </c>
      <c r="M2855" s="15"/>
    </row>
    <row r="2856" spans="1:13" x14ac:dyDescent="0.25">
      <c r="A2856" s="23">
        <f t="shared" si="141"/>
        <v>235752</v>
      </c>
      <c r="B2856" s="14" t="str">
        <f t="shared" si="140"/>
        <v>Direct Debit (UMB Bank) - Credits</v>
      </c>
      <c r="C2856" s="38">
        <v>46167</v>
      </c>
      <c r="D2856" s="34">
        <v>235752</v>
      </c>
      <c r="E2856" s="36" t="str">
        <f>IF(Table3[[#This Row],[Type Received]]=2,"CC",(IF(Table3[[#This Row],[Type Received]]=3,"BILL","ACH")))</f>
        <v>ACH</v>
      </c>
      <c r="F2856" s="35">
        <v>55.51</v>
      </c>
      <c r="G2856" s="14" t="str">
        <f>VLOOKUP(D2856,Table4[],3,FALSE)</f>
        <v>1</v>
      </c>
      <c r="H2856" s="15"/>
      <c r="I2856" s="15"/>
      <c r="J2856" s="15" t="s">
        <v>85</v>
      </c>
      <c r="K2856" s="15">
        <v>818377645</v>
      </c>
      <c r="L2856" s="15" t="s">
        <v>29</v>
      </c>
      <c r="M2856" s="15"/>
    </row>
    <row r="2857" spans="1:13" x14ac:dyDescent="0.25">
      <c r="A2857" s="23">
        <f t="shared" si="141"/>
        <v>235753</v>
      </c>
      <c r="B2857" s="14" t="str">
        <f t="shared" si="140"/>
        <v>Billing - Credits (from TPA)</v>
      </c>
      <c r="C2857" s="37">
        <v>46167</v>
      </c>
      <c r="D2857" s="31">
        <v>235753</v>
      </c>
      <c r="E2857" s="33" t="str">
        <f>IF(Table3[[#This Row],[Type Received]]=2,"CC",(IF(Table3[[#This Row],[Type Received]]=3,"BILL","ACH")))</f>
        <v>BILL</v>
      </c>
      <c r="F2857" s="32">
        <v>61.45</v>
      </c>
      <c r="G2857" s="14" t="str">
        <f>VLOOKUP(D2857,Table4[],3,FALSE)</f>
        <v>2</v>
      </c>
      <c r="H2857" s="15"/>
      <c r="I2857" s="15"/>
      <c r="J2857" s="15" t="s">
        <v>85</v>
      </c>
      <c r="K2857" s="15">
        <v>818381547</v>
      </c>
      <c r="L2857" s="15" t="s">
        <v>29</v>
      </c>
      <c r="M2857" s="15"/>
    </row>
    <row r="2858" spans="1:13" x14ac:dyDescent="0.25">
      <c r="A2858" s="23">
        <f t="shared" si="141"/>
        <v>235799</v>
      </c>
      <c r="B2858" s="14" t="str">
        <f t="shared" si="140"/>
        <v>Credit Cards (UMB) - Credits</v>
      </c>
      <c r="C2858" s="38">
        <v>46143</v>
      </c>
      <c r="D2858" s="34">
        <v>235799</v>
      </c>
      <c r="E2858" s="36" t="str">
        <f>IF(Table3[[#This Row],[Type Received]]=2,"CC",(IF(Table3[[#This Row],[Type Received]]=3,"BILL","ACH")))</f>
        <v>CC</v>
      </c>
      <c r="F2858" s="35">
        <v>52.22</v>
      </c>
      <c r="G2858" s="14" t="str">
        <f>VLOOKUP(D2858,Table4[],3,FALSE)</f>
        <v>2</v>
      </c>
      <c r="H2858" s="15">
        <v>996582</v>
      </c>
      <c r="I2858" s="15"/>
      <c r="J2858" s="15"/>
      <c r="K2858" s="15"/>
      <c r="L2858" s="15"/>
      <c r="M2858" s="15"/>
    </row>
    <row r="2859" spans="1:13" x14ac:dyDescent="0.25">
      <c r="A2859" s="23">
        <f t="shared" si="141"/>
        <v>235838</v>
      </c>
      <c r="B2859" s="14" t="str">
        <f t="shared" si="140"/>
        <v>Billing - Credits (from TPA)</v>
      </c>
      <c r="C2859" s="37">
        <v>46148</v>
      </c>
      <c r="D2859" s="31">
        <v>235838</v>
      </c>
      <c r="E2859" s="33" t="str">
        <f>IF(Table3[[#This Row],[Type Received]]=2,"CC",(IF(Table3[[#This Row],[Type Received]]=3,"BILL","ACH")))</f>
        <v>BILL</v>
      </c>
      <c r="F2859" s="32">
        <v>96.77</v>
      </c>
      <c r="G2859" s="14" t="str">
        <f>VLOOKUP(D2859,Table4[],3,FALSE)</f>
        <v>1</v>
      </c>
      <c r="H2859" s="15"/>
      <c r="I2859" s="15">
        <v>342871</v>
      </c>
      <c r="J2859" s="24" t="s">
        <v>28</v>
      </c>
      <c r="K2859" s="15">
        <v>586197840</v>
      </c>
      <c r="L2859" s="15" t="s">
        <v>29</v>
      </c>
      <c r="M2859" s="15"/>
    </row>
    <row r="2860" spans="1:13" x14ac:dyDescent="0.25">
      <c r="A2860" s="23">
        <f t="shared" si="141"/>
        <v>235841</v>
      </c>
      <c r="B2860" s="14" t="str">
        <f t="shared" si="140"/>
        <v>Direct Debit (UMB Bank) - Credits</v>
      </c>
      <c r="C2860" s="38">
        <v>46150</v>
      </c>
      <c r="D2860" s="34">
        <v>235841</v>
      </c>
      <c r="E2860" s="36" t="str">
        <f>IF(Table3[[#This Row],[Type Received]]=2,"CC",(IF(Table3[[#This Row],[Type Received]]=3,"BILL","ACH")))</f>
        <v>ACH</v>
      </c>
      <c r="F2860" s="35">
        <v>99.41</v>
      </c>
      <c r="G2860" s="14" t="str">
        <f>VLOOKUP(D2860,Table4[],3,FALSE)</f>
        <v>1</v>
      </c>
      <c r="H2860" s="15">
        <v>218</v>
      </c>
      <c r="I2860" s="15"/>
      <c r="J2860" s="15"/>
      <c r="K2860" s="15"/>
      <c r="L2860" s="15"/>
      <c r="M2860" s="15"/>
    </row>
    <row r="2861" spans="1:13" x14ac:dyDescent="0.25">
      <c r="A2861" s="23">
        <f t="shared" si="141"/>
        <v>235958</v>
      </c>
      <c r="B2861" s="14" t="str">
        <f t="shared" si="140"/>
        <v>Direct Debit (UMB Bank) - Credits</v>
      </c>
      <c r="C2861" s="37">
        <v>46144</v>
      </c>
      <c r="D2861" s="31">
        <v>235958</v>
      </c>
      <c r="E2861" s="33" t="str">
        <f>IF(Table3[[#This Row],[Type Received]]=2,"CC",(IF(Table3[[#This Row],[Type Received]]=3,"BILL","ACH")))</f>
        <v>ACH</v>
      </c>
      <c r="F2861" s="32">
        <v>32.409999999999997</v>
      </c>
      <c r="G2861" s="14" t="str">
        <f>VLOOKUP(D2861,Table4[],3,FALSE)</f>
        <v>1</v>
      </c>
      <c r="H2861" s="15"/>
      <c r="I2861" s="15"/>
      <c r="J2861" s="15" t="s">
        <v>89</v>
      </c>
      <c r="K2861" s="15">
        <v>535424186</v>
      </c>
      <c r="L2861" s="15" t="s">
        <v>29</v>
      </c>
      <c r="M2861" s="15"/>
    </row>
    <row r="2862" spans="1:13" x14ac:dyDescent="0.25">
      <c r="A2862" s="23">
        <f t="shared" si="141"/>
        <v>235992</v>
      </c>
      <c r="B2862" s="14" t="str">
        <f t="shared" si="140"/>
        <v>Direct Debit (UMB Bank) - Credits</v>
      </c>
      <c r="C2862" s="38">
        <v>46157</v>
      </c>
      <c r="D2862" s="34">
        <v>235992</v>
      </c>
      <c r="E2862" s="36" t="str">
        <f>IF(Table3[[#This Row],[Type Received]]=2,"CC",(IF(Table3[[#This Row],[Type Received]]=3,"BILL","ACH")))</f>
        <v>ACH</v>
      </c>
      <c r="F2862" s="35">
        <v>69.7</v>
      </c>
      <c r="G2862" s="14" t="str">
        <f>VLOOKUP(D2862,Table4[],3,FALSE)</f>
        <v>2</v>
      </c>
      <c r="H2862" s="15"/>
      <c r="I2862" s="15"/>
      <c r="J2862" s="15" t="s">
        <v>87</v>
      </c>
      <c r="K2862" s="15">
        <v>696791350</v>
      </c>
      <c r="L2862" s="15" t="s">
        <v>29</v>
      </c>
      <c r="M2862" s="15"/>
    </row>
    <row r="2863" spans="1:13" x14ac:dyDescent="0.25">
      <c r="A2863" s="23">
        <f t="shared" si="141"/>
        <v>236037</v>
      </c>
      <c r="B2863" s="14" t="str">
        <f t="shared" si="140"/>
        <v>Credit Cards (UMB) - Credits</v>
      </c>
      <c r="C2863" s="37">
        <v>46144</v>
      </c>
      <c r="D2863" s="31">
        <v>236037</v>
      </c>
      <c r="E2863" s="33" t="str">
        <f>IF(Table3[[#This Row],[Type Received]]=2,"CC",(IF(Table3[[#This Row],[Type Received]]=3,"BILL","ACH")))</f>
        <v>CC</v>
      </c>
      <c r="F2863" s="32">
        <v>76.95</v>
      </c>
      <c r="G2863" s="14" t="str">
        <f>VLOOKUP(D2863,Table4[],3,FALSE)</f>
        <v>2</v>
      </c>
      <c r="H2863" s="15"/>
      <c r="I2863" s="15"/>
      <c r="J2863" s="15" t="s">
        <v>89</v>
      </c>
      <c r="K2863" s="15">
        <v>535428146</v>
      </c>
      <c r="L2863" s="15" t="s">
        <v>29</v>
      </c>
      <c r="M2863" s="15"/>
    </row>
    <row r="2864" spans="1:13" x14ac:dyDescent="0.25">
      <c r="A2864" s="23">
        <f t="shared" si="141"/>
        <v>236047</v>
      </c>
      <c r="B2864" s="14" t="str">
        <f t="shared" si="140"/>
        <v>Billing - Credits (from TPA)</v>
      </c>
      <c r="C2864" s="38">
        <v>46148</v>
      </c>
      <c r="D2864" s="34">
        <v>236047</v>
      </c>
      <c r="E2864" s="36" t="str">
        <f>IF(Table3[[#This Row],[Type Received]]=2,"CC",(IF(Table3[[#This Row],[Type Received]]=3,"BILL","ACH")))</f>
        <v>BILL</v>
      </c>
      <c r="F2864" s="35">
        <v>84.89</v>
      </c>
      <c r="G2864" s="14" t="str">
        <f>VLOOKUP(D2864,Table4[],3,FALSE)</f>
        <v>2</v>
      </c>
      <c r="H2864" s="15"/>
      <c r="I2864" s="15">
        <v>171255</v>
      </c>
      <c r="J2864" s="15" t="s">
        <v>28</v>
      </c>
      <c r="K2864" s="15">
        <v>584455460</v>
      </c>
      <c r="L2864" s="15" t="s">
        <v>29</v>
      </c>
      <c r="M2864" s="15"/>
    </row>
    <row r="2865" spans="1:13" x14ac:dyDescent="0.25">
      <c r="A2865" s="23">
        <f t="shared" si="141"/>
        <v>236122</v>
      </c>
      <c r="B2865" s="14" t="str">
        <f t="shared" si="140"/>
        <v>Direct Debit (UMB Bank) - Credits</v>
      </c>
      <c r="C2865" s="37">
        <v>46146</v>
      </c>
      <c r="D2865" s="31">
        <v>236122</v>
      </c>
      <c r="E2865" s="33" t="str">
        <f>IF(Table3[[#This Row],[Type Received]]=2,"CC",(IF(Table3[[#This Row],[Type Received]]=3,"BILL","ACH")))</f>
        <v>ACH</v>
      </c>
      <c r="F2865" s="32">
        <v>31.43</v>
      </c>
      <c r="G2865" s="14" t="str">
        <f>VLOOKUP(D2865,Table4[],3,FALSE)</f>
        <v>1</v>
      </c>
      <c r="H2865" s="15">
        <v>2645</v>
      </c>
      <c r="I2865" s="15"/>
      <c r="J2865" s="24"/>
      <c r="K2865" s="15"/>
      <c r="L2865" s="15"/>
      <c r="M2865" s="15"/>
    </row>
    <row r="2866" spans="1:13" x14ac:dyDescent="0.25">
      <c r="A2866" s="23">
        <f t="shared" si="141"/>
        <v>236219</v>
      </c>
      <c r="B2866" s="14" t="str">
        <f t="shared" si="140"/>
        <v>Direct Debit (UMB Bank) - Credits</v>
      </c>
      <c r="C2866" s="38">
        <v>46144</v>
      </c>
      <c r="D2866" s="34">
        <v>236219</v>
      </c>
      <c r="E2866" s="36" t="str">
        <f>IF(Table3[[#This Row],[Type Received]]=2,"CC",(IF(Table3[[#This Row],[Type Received]]=3,"BILL","ACH")))</f>
        <v>ACH</v>
      </c>
      <c r="F2866" s="35">
        <v>76.95</v>
      </c>
      <c r="G2866" s="14" t="str">
        <f>VLOOKUP(D2866,Table4[],3,FALSE)</f>
        <v>2</v>
      </c>
      <c r="H2866" s="15"/>
      <c r="I2866" s="15"/>
      <c r="J2866" s="15" t="s">
        <v>89</v>
      </c>
      <c r="K2866" s="15">
        <v>535411637</v>
      </c>
      <c r="L2866" s="15" t="s">
        <v>29</v>
      </c>
      <c r="M2866" s="15"/>
    </row>
    <row r="2867" spans="1:13" x14ac:dyDescent="0.25">
      <c r="A2867" s="23">
        <f t="shared" ref="A2867:A2883" si="142">D2867</f>
        <v>236274</v>
      </c>
      <c r="B2867" s="14" t="str">
        <f t="shared" si="140"/>
        <v>Credit Cards (UMB) - Credits</v>
      </c>
      <c r="C2867" s="37">
        <v>46152</v>
      </c>
      <c r="D2867" s="31">
        <v>236274</v>
      </c>
      <c r="E2867" s="33" t="str">
        <f>IF(Table3[[#This Row],[Type Received]]=2,"CC",(IF(Table3[[#This Row],[Type Received]]=3,"BILL","ACH")))</f>
        <v>CC</v>
      </c>
      <c r="F2867" s="32">
        <v>88.95</v>
      </c>
      <c r="G2867" s="14" t="str">
        <f>VLOOKUP(D2867,Table4[],3,FALSE)</f>
        <v>1</v>
      </c>
      <c r="H2867" s="15"/>
      <c r="I2867" s="15"/>
      <c r="J2867" s="15" t="s">
        <v>115</v>
      </c>
      <c r="K2867" s="15">
        <v>632898448</v>
      </c>
      <c r="L2867" s="15" t="s">
        <v>29</v>
      </c>
      <c r="M2867" s="15"/>
    </row>
    <row r="2868" spans="1:13" x14ac:dyDescent="0.25">
      <c r="A2868" s="23">
        <f t="shared" si="142"/>
        <v>236330</v>
      </c>
      <c r="B2868" s="14" t="str">
        <f t="shared" si="140"/>
        <v>Direct Debit (UMB Bank) - Credits</v>
      </c>
      <c r="C2868" s="38">
        <v>46147</v>
      </c>
      <c r="D2868" s="34">
        <v>236330</v>
      </c>
      <c r="E2868" s="36" t="str">
        <f>IF(Table3[[#This Row],[Type Received]]=2,"CC",(IF(Table3[[#This Row],[Type Received]]=3,"BILL","ACH")))</f>
        <v>ACH</v>
      </c>
      <c r="F2868" s="35">
        <v>78.95</v>
      </c>
      <c r="G2868" s="14" t="str">
        <f>VLOOKUP(D2868,Table4[],3,FALSE)</f>
        <v>1</v>
      </c>
      <c r="H2868" s="15"/>
      <c r="I2868" s="15">
        <v>73134</v>
      </c>
      <c r="J2868" s="15">
        <v>742576419</v>
      </c>
      <c r="K2868" s="15">
        <v>353590477</v>
      </c>
      <c r="L2868" s="15"/>
      <c r="M2868" s="15"/>
    </row>
    <row r="2869" spans="1:13" x14ac:dyDescent="0.25">
      <c r="A2869" s="23">
        <f t="shared" si="142"/>
        <v>236341</v>
      </c>
      <c r="B2869" s="14" t="str">
        <f t="shared" si="140"/>
        <v>Direct Debit (UMB Bank) - Credits</v>
      </c>
      <c r="C2869" s="37">
        <v>46145</v>
      </c>
      <c r="D2869" s="31">
        <v>236341</v>
      </c>
      <c r="E2869" s="33" t="str">
        <f>IF(Table3[[#This Row],[Type Received]]=2,"CC",(IF(Table3[[#This Row],[Type Received]]=3,"BILL","ACH")))</f>
        <v>ACH</v>
      </c>
      <c r="F2869" s="32">
        <v>121.95</v>
      </c>
      <c r="G2869" s="14" t="str">
        <f>VLOOKUP(D2869,Table4[],3,FALSE)</f>
        <v>1</v>
      </c>
      <c r="H2869" s="15"/>
      <c r="I2869" s="15"/>
      <c r="J2869" s="15" t="s">
        <v>113</v>
      </c>
      <c r="K2869" s="15">
        <v>546428824</v>
      </c>
      <c r="L2869" s="15" t="s">
        <v>29</v>
      </c>
      <c r="M2869" s="15"/>
    </row>
    <row r="2870" spans="1:13" x14ac:dyDescent="0.25">
      <c r="A2870" s="23">
        <f t="shared" si="142"/>
        <v>236391</v>
      </c>
      <c r="B2870" s="14" t="str">
        <f t="shared" si="140"/>
        <v>Direct Debit (UMB Bank) - Credits</v>
      </c>
      <c r="C2870" s="38">
        <v>46145</v>
      </c>
      <c r="D2870" s="34">
        <v>236391</v>
      </c>
      <c r="E2870" s="36" t="str">
        <f>IF(Table3[[#This Row],[Type Received]]=2,"CC",(IF(Table3[[#This Row],[Type Received]]=3,"BILL","ACH")))</f>
        <v>ACH</v>
      </c>
      <c r="F2870" s="35">
        <v>53.09</v>
      </c>
      <c r="G2870" s="14" t="str">
        <f>VLOOKUP(D2870,Table4[],3,FALSE)</f>
        <v>1</v>
      </c>
      <c r="H2870" s="15"/>
      <c r="I2870" s="15"/>
      <c r="J2870" s="15" t="s">
        <v>113</v>
      </c>
      <c r="K2870" s="15">
        <v>546423070</v>
      </c>
      <c r="L2870" s="15" t="s">
        <v>29</v>
      </c>
      <c r="M2870" s="15"/>
    </row>
    <row r="2871" spans="1:13" x14ac:dyDescent="0.25">
      <c r="A2871" s="23">
        <f t="shared" si="142"/>
        <v>236518</v>
      </c>
      <c r="B2871" s="14" t="str">
        <f t="shared" si="140"/>
        <v>Direct Debit (UMB Bank) - Credits</v>
      </c>
      <c r="C2871" s="37">
        <v>46157</v>
      </c>
      <c r="D2871" s="31">
        <v>236518</v>
      </c>
      <c r="E2871" s="33" t="str">
        <f>IF(Table3[[#This Row],[Type Received]]=2,"CC",(IF(Table3[[#This Row],[Type Received]]=3,"BILL","ACH")))</f>
        <v>ACH</v>
      </c>
      <c r="F2871" s="32">
        <v>43.19</v>
      </c>
      <c r="G2871" s="14" t="str">
        <f>VLOOKUP(D2871,Table4[],3,FALSE)</f>
        <v>1</v>
      </c>
      <c r="H2871" s="15"/>
      <c r="I2871" s="15"/>
      <c r="J2871" s="15" t="s">
        <v>87</v>
      </c>
      <c r="K2871" s="15">
        <v>696773995</v>
      </c>
      <c r="L2871" s="15" t="s">
        <v>29</v>
      </c>
      <c r="M2871" s="15"/>
    </row>
    <row r="2872" spans="1:13" x14ac:dyDescent="0.25">
      <c r="A2872" s="23">
        <f t="shared" si="142"/>
        <v>236520</v>
      </c>
      <c r="B2872" s="14" t="str">
        <f t="shared" si="140"/>
        <v>Direct Debit (UMB Bank) - Credits</v>
      </c>
      <c r="C2872" s="38">
        <v>46157</v>
      </c>
      <c r="D2872" s="34">
        <v>236520</v>
      </c>
      <c r="E2872" s="36" t="str">
        <f>IF(Table3[[#This Row],[Type Received]]=2,"CC",(IF(Table3[[#This Row],[Type Received]]=3,"BILL","ACH")))</f>
        <v>ACH</v>
      </c>
      <c r="F2872" s="35">
        <v>56.17</v>
      </c>
      <c r="G2872" s="14" t="str">
        <f>VLOOKUP(D2872,Table4[],3,FALSE)</f>
        <v>2</v>
      </c>
      <c r="H2872" s="15"/>
      <c r="I2872" s="15"/>
      <c r="J2872" s="15" t="s">
        <v>87</v>
      </c>
      <c r="K2872" s="15">
        <v>696787575</v>
      </c>
      <c r="L2872" s="15" t="s">
        <v>29</v>
      </c>
      <c r="M2872" s="15"/>
    </row>
    <row r="2873" spans="1:13" x14ac:dyDescent="0.25">
      <c r="A2873" s="23">
        <f t="shared" si="142"/>
        <v>236714</v>
      </c>
      <c r="B2873" s="14" t="str">
        <f t="shared" si="140"/>
        <v>Direct Debit (UMB Bank) - Credits</v>
      </c>
      <c r="C2873" s="37">
        <v>46167</v>
      </c>
      <c r="D2873" s="31">
        <v>236714</v>
      </c>
      <c r="E2873" s="33" t="str">
        <f>IF(Table3[[#This Row],[Type Received]]=2,"CC",(IF(Table3[[#This Row],[Type Received]]=3,"BILL","ACH")))</f>
        <v>ACH</v>
      </c>
      <c r="F2873" s="32">
        <v>160.44999999999999</v>
      </c>
      <c r="G2873" s="14" t="str">
        <f>VLOOKUP(D2873,Table4[],3,FALSE)</f>
        <v>2</v>
      </c>
      <c r="H2873" s="15"/>
      <c r="I2873" s="15"/>
      <c r="J2873" s="15" t="s">
        <v>85</v>
      </c>
      <c r="K2873" s="15">
        <v>818369859</v>
      </c>
      <c r="L2873" s="15" t="s">
        <v>29</v>
      </c>
      <c r="M2873" s="15"/>
    </row>
    <row r="2874" spans="1:13" x14ac:dyDescent="0.25">
      <c r="A2874" s="23">
        <f t="shared" si="142"/>
        <v>236717</v>
      </c>
      <c r="B2874" s="14" t="str">
        <f t="shared" si="140"/>
        <v>Direct Debit (UMB Bank) - Credits</v>
      </c>
      <c r="C2874" s="38">
        <v>46161</v>
      </c>
      <c r="D2874" s="34">
        <v>236717</v>
      </c>
      <c r="E2874" s="36" t="str">
        <f>IF(Table3[[#This Row],[Type Received]]=2,"CC",(IF(Table3[[#This Row],[Type Received]]=3,"BILL","ACH")))</f>
        <v>ACH</v>
      </c>
      <c r="F2874" s="35">
        <v>154.9</v>
      </c>
      <c r="G2874" s="14" t="str">
        <f>VLOOKUP(D2874,Table4[],3,FALSE)</f>
        <v>2</v>
      </c>
      <c r="H2874" s="15"/>
      <c r="I2874" s="15"/>
      <c r="J2874" s="15" t="s">
        <v>220</v>
      </c>
      <c r="K2874" s="15">
        <v>750825936</v>
      </c>
      <c r="L2874" s="15" t="s">
        <v>29</v>
      </c>
      <c r="M2874" s="15"/>
    </row>
    <row r="2875" spans="1:13" x14ac:dyDescent="0.25">
      <c r="A2875" s="23">
        <f t="shared" si="142"/>
        <v>236801</v>
      </c>
      <c r="B2875" s="14" t="str">
        <f t="shared" si="140"/>
        <v>Direct Debit (UMB Bank) - Credits</v>
      </c>
      <c r="C2875" s="37">
        <v>46157</v>
      </c>
      <c r="D2875" s="31">
        <v>236801</v>
      </c>
      <c r="E2875" s="33" t="str">
        <f>IF(Table3[[#This Row],[Type Received]]=2,"CC",(IF(Table3[[#This Row],[Type Received]]=3,"BILL","ACH")))</f>
        <v>ACH</v>
      </c>
      <c r="F2875" s="32">
        <v>27.57</v>
      </c>
      <c r="G2875" s="14" t="str">
        <f>VLOOKUP(D2875,Table4[],3,FALSE)</f>
        <v>1</v>
      </c>
      <c r="H2875" s="15"/>
      <c r="I2875" s="15"/>
      <c r="J2875" s="15" t="s">
        <v>87</v>
      </c>
      <c r="K2875" s="15">
        <v>696800161</v>
      </c>
      <c r="L2875" s="15" t="s">
        <v>29</v>
      </c>
      <c r="M2875" s="15"/>
    </row>
    <row r="2876" spans="1:13" x14ac:dyDescent="0.25">
      <c r="A2876" s="23">
        <f t="shared" si="142"/>
        <v>236819</v>
      </c>
      <c r="B2876" s="14" t="str">
        <f t="shared" si="140"/>
        <v>Direct Debit (UMB Bank) - Credits</v>
      </c>
      <c r="C2876" s="38">
        <v>46145</v>
      </c>
      <c r="D2876" s="34">
        <v>236819</v>
      </c>
      <c r="E2876" s="36" t="str">
        <f>IF(Table3[[#This Row],[Type Received]]=2,"CC",(IF(Table3[[#This Row],[Type Received]]=3,"BILL","ACH")))</f>
        <v>ACH</v>
      </c>
      <c r="F2876" s="35">
        <v>121.95</v>
      </c>
      <c r="G2876" s="14" t="str">
        <f>VLOOKUP(D2876,Table4[],3,FALSE)</f>
        <v>1</v>
      </c>
      <c r="H2876" s="15"/>
      <c r="I2876" s="15"/>
      <c r="J2876" s="24" t="s">
        <v>113</v>
      </c>
      <c r="K2876" s="15">
        <v>546441424</v>
      </c>
      <c r="L2876" s="15" t="s">
        <v>29</v>
      </c>
      <c r="M2876" s="15"/>
    </row>
    <row r="2877" spans="1:13" x14ac:dyDescent="0.25">
      <c r="A2877" s="23">
        <f t="shared" si="142"/>
        <v>236843</v>
      </c>
      <c r="B2877" s="14" t="str">
        <f t="shared" si="140"/>
        <v>Credit Cards (UMB) - Credits</v>
      </c>
      <c r="C2877" s="37">
        <v>46144</v>
      </c>
      <c r="D2877" s="31">
        <v>236843</v>
      </c>
      <c r="E2877" s="33" t="str">
        <f>IF(Table3[[#This Row],[Type Received]]=2,"CC",(IF(Table3[[#This Row],[Type Received]]=3,"BILL","ACH")))</f>
        <v>CC</v>
      </c>
      <c r="F2877" s="32">
        <v>66.95</v>
      </c>
      <c r="G2877" s="14" t="str">
        <f>VLOOKUP(D2877,Table4[],3,FALSE)</f>
        <v>1</v>
      </c>
      <c r="H2877" s="15"/>
      <c r="I2877" s="15"/>
      <c r="J2877" s="15" t="s">
        <v>89</v>
      </c>
      <c r="K2877" s="15">
        <v>535355741</v>
      </c>
      <c r="L2877" s="15" t="s">
        <v>29</v>
      </c>
      <c r="M2877" s="15"/>
    </row>
    <row r="2878" spans="1:13" x14ac:dyDescent="0.25">
      <c r="A2878" s="23">
        <f t="shared" si="142"/>
        <v>236845</v>
      </c>
      <c r="B2878" s="14" t="str">
        <f t="shared" si="140"/>
        <v>Direct Debit (UMB Bank) - Credits</v>
      </c>
      <c r="C2878" s="38">
        <v>46157</v>
      </c>
      <c r="D2878" s="34">
        <v>236845</v>
      </c>
      <c r="E2878" s="36" t="str">
        <f>IF(Table3[[#This Row],[Type Received]]=2,"CC",(IF(Table3[[#This Row],[Type Received]]=3,"BILL","ACH")))</f>
        <v>ACH</v>
      </c>
      <c r="F2878" s="35">
        <v>58.15</v>
      </c>
      <c r="G2878" s="14" t="str">
        <f>VLOOKUP(D2878,Table4[],3,FALSE)</f>
        <v>2</v>
      </c>
      <c r="H2878" s="15"/>
      <c r="I2878" s="15">
        <v>3884</v>
      </c>
      <c r="J2878" s="15" t="s">
        <v>28</v>
      </c>
      <c r="K2878" s="15">
        <v>696634083</v>
      </c>
      <c r="L2878" s="15" t="s">
        <v>29</v>
      </c>
      <c r="M2878" s="15"/>
    </row>
    <row r="2879" spans="1:13" x14ac:dyDescent="0.25">
      <c r="A2879" s="23">
        <f t="shared" si="142"/>
        <v>236848</v>
      </c>
      <c r="B2879" s="14" t="str">
        <f t="shared" si="140"/>
        <v>Billing - Credits (from TPA)</v>
      </c>
      <c r="C2879" s="37">
        <v>46167</v>
      </c>
      <c r="D2879" s="31">
        <v>236848</v>
      </c>
      <c r="E2879" s="33" t="str">
        <f>IF(Table3[[#This Row],[Type Received]]=2,"CC",(IF(Table3[[#This Row],[Type Received]]=3,"BILL","ACH")))</f>
        <v>BILL</v>
      </c>
      <c r="F2879" s="32">
        <v>56.95</v>
      </c>
      <c r="G2879" s="14" t="str">
        <f>VLOOKUP(D2879,Table4[],3,FALSE)</f>
        <v>1</v>
      </c>
      <c r="H2879" s="15"/>
      <c r="I2879" s="15"/>
      <c r="J2879" s="15" t="s">
        <v>85</v>
      </c>
      <c r="K2879" s="15">
        <v>818368942</v>
      </c>
      <c r="L2879" s="15" t="s">
        <v>29</v>
      </c>
      <c r="M2879" s="15"/>
    </row>
    <row r="2880" spans="1:13" x14ac:dyDescent="0.25">
      <c r="A2880" s="23">
        <f t="shared" si="142"/>
        <v>236856</v>
      </c>
      <c r="B2880" s="14" t="str">
        <f t="shared" si="140"/>
        <v>Billing - Credits (from TPA)</v>
      </c>
      <c r="C2880" s="38">
        <v>46143</v>
      </c>
      <c r="D2880" s="34">
        <v>236856</v>
      </c>
      <c r="E2880" s="36" t="str">
        <f>IF(Table3[[#This Row],[Type Received]]=2,"CC",(IF(Table3[[#This Row],[Type Received]]=3,"BILL","ACH")))</f>
        <v>BILL</v>
      </c>
      <c r="F2880" s="35">
        <v>121.19</v>
      </c>
      <c r="G2880" s="14" t="str">
        <f>VLOOKUP(D2880,Table4[],3,FALSE)</f>
        <v>2</v>
      </c>
      <c r="H2880" s="15">
        <v>74873607</v>
      </c>
      <c r="I2880" s="15"/>
      <c r="J2880" s="15"/>
      <c r="K2880" s="15"/>
      <c r="L2880" s="15"/>
      <c r="M2880" s="15"/>
    </row>
    <row r="2881" spans="1:13" x14ac:dyDescent="0.25">
      <c r="A2881" s="23">
        <f t="shared" si="142"/>
        <v>236862</v>
      </c>
      <c r="B2881" s="14" t="str">
        <f t="shared" si="140"/>
        <v>Direct Debit (UMB Bank) - Credits</v>
      </c>
      <c r="C2881" s="37">
        <v>46171</v>
      </c>
      <c r="D2881" s="31">
        <v>236862</v>
      </c>
      <c r="E2881" s="33" t="str">
        <f>IF(Table3[[#This Row],[Type Received]]=2,"CC",(IF(Table3[[#This Row],[Type Received]]=3,"BILL","ACH")))</f>
        <v>ACH</v>
      </c>
      <c r="F2881" s="32">
        <v>95.45</v>
      </c>
      <c r="G2881" s="14" t="str">
        <f>VLOOKUP(D2881,Table4[],3,FALSE)</f>
        <v>2</v>
      </c>
      <c r="H2881" s="15">
        <v>228</v>
      </c>
      <c r="I2881" s="15"/>
      <c r="J2881" s="15"/>
      <c r="K2881" s="15"/>
      <c r="L2881" s="15"/>
      <c r="M2881" s="15"/>
    </row>
    <row r="2882" spans="1:13" x14ac:dyDescent="0.25">
      <c r="A2882" s="23">
        <f t="shared" si="142"/>
        <v>236881</v>
      </c>
      <c r="B2882" s="14" t="str">
        <f t="shared" ref="B2882:B2945" si="143">IF(AND(E2882="BILL",F2882&lt;0),"Billing &amp; Direct Debit - Refunds",(IF(AND(E2882="BILL",F2882&gt;0),"Billing - Credits (from TPA)",(IF(AND(E2882="CC",F2882&lt;0),"Credit Cards (UMB) - Refunds",(IF(AND(E2882="CC",F2882&gt;0),"Credit Cards (UMB) - Credits",(IF(AND(E2882="ACH",F2882&gt;0),"Direct Debit (UMB Bank) - Credits","Direct Debit (UMB Bank) - Returned Items")))))))))</f>
        <v>Billing - Credits (from TPA)</v>
      </c>
      <c r="C2882" s="38">
        <v>46157</v>
      </c>
      <c r="D2882" s="34">
        <v>236881</v>
      </c>
      <c r="E2882" s="36" t="str">
        <f>IF(Table3[[#This Row],[Type Received]]=2,"CC",(IF(Table3[[#This Row],[Type Received]]=3,"BILL","ACH")))</f>
        <v>BILL</v>
      </c>
      <c r="F2882" s="35">
        <v>76.95</v>
      </c>
      <c r="G2882" s="14" t="str">
        <f>VLOOKUP(D2882,Table4[],3,FALSE)</f>
        <v>2</v>
      </c>
      <c r="H2882" s="15"/>
      <c r="I2882" s="15"/>
      <c r="J2882" s="15" t="s">
        <v>87</v>
      </c>
      <c r="K2882" s="15">
        <v>696784709</v>
      </c>
      <c r="L2882" s="15" t="s">
        <v>29</v>
      </c>
      <c r="M2882" s="15"/>
    </row>
    <row r="2883" spans="1:13" x14ac:dyDescent="0.25">
      <c r="A2883" s="23">
        <f t="shared" si="142"/>
        <v>236900</v>
      </c>
      <c r="B2883" s="14" t="str">
        <f t="shared" si="143"/>
        <v>Direct Debit (UMB Bank) - Credits</v>
      </c>
      <c r="C2883" s="37">
        <v>46146</v>
      </c>
      <c r="D2883" s="31">
        <v>236900</v>
      </c>
      <c r="E2883" s="33" t="str">
        <f>IF(Table3[[#This Row],[Type Received]]=2,"CC",(IF(Table3[[#This Row],[Type Received]]=3,"BILL","ACH")))</f>
        <v>ACH</v>
      </c>
      <c r="F2883" s="32">
        <v>65.75</v>
      </c>
      <c r="G2883" s="14" t="str">
        <f>VLOOKUP(D2883,Table4[],3,FALSE)</f>
        <v>2</v>
      </c>
      <c r="H2883" s="15">
        <v>55132303228</v>
      </c>
      <c r="I2883" s="15"/>
      <c r="J2883" s="24"/>
      <c r="K2883" s="15"/>
      <c r="L2883" s="15"/>
      <c r="M2883" s="15"/>
    </row>
    <row r="2884" spans="1:13" x14ac:dyDescent="0.25">
      <c r="A2884" s="23"/>
      <c r="B2884" s="14" t="str">
        <f t="shared" si="143"/>
        <v>Credit Cards (UMB) - Credits</v>
      </c>
      <c r="C2884" s="38">
        <v>46157</v>
      </c>
      <c r="D2884" s="34">
        <v>236904</v>
      </c>
      <c r="E2884" s="36" t="str">
        <f>IF(Table3[[#This Row],[Type Received]]=2,"CC",(IF(Table3[[#This Row],[Type Received]]=3,"BILL","ACH")))</f>
        <v>CC</v>
      </c>
      <c r="F2884" s="35">
        <v>160.44999999999999</v>
      </c>
      <c r="G2884" s="14" t="str">
        <f>VLOOKUP(D2884,Table4[],3,FALSE)</f>
        <v>2</v>
      </c>
      <c r="H2884" s="15"/>
      <c r="I2884" s="15"/>
      <c r="J2884" s="15" t="s">
        <v>87</v>
      </c>
      <c r="K2884" s="15">
        <v>696774037</v>
      </c>
      <c r="L2884" s="15" t="s">
        <v>29</v>
      </c>
      <c r="M2884" s="15"/>
    </row>
    <row r="2885" spans="1:13" x14ac:dyDescent="0.25">
      <c r="A2885" s="23"/>
      <c r="B2885" s="14" t="str">
        <f t="shared" si="143"/>
        <v>Billing - Credits (from TPA)</v>
      </c>
      <c r="C2885" s="37">
        <v>46146</v>
      </c>
      <c r="D2885" s="31">
        <v>236932</v>
      </c>
      <c r="E2885" s="33" t="str">
        <f>IF(Table3[[#This Row],[Type Received]]=2,"CC",(IF(Table3[[#This Row],[Type Received]]=3,"BILL","ACH")))</f>
        <v>BILL</v>
      </c>
      <c r="F2885" s="32">
        <v>161.44999999999999</v>
      </c>
      <c r="G2885" s="14" t="str">
        <f>VLOOKUP(D2885,Table4[],3,FALSE)</f>
        <v>2</v>
      </c>
      <c r="H2885" s="15"/>
      <c r="I2885" s="15">
        <v>773582</v>
      </c>
      <c r="J2885" s="15" t="s">
        <v>28</v>
      </c>
      <c r="K2885" s="15">
        <v>560236836</v>
      </c>
      <c r="L2885" s="15" t="s">
        <v>29</v>
      </c>
      <c r="M2885" s="15"/>
    </row>
    <row r="2886" spans="1:13" x14ac:dyDescent="0.25">
      <c r="A2886" s="23">
        <f t="shared" ref="A2886:A2917" si="144">D2886</f>
        <v>236948</v>
      </c>
      <c r="B2886" s="14" t="str">
        <f t="shared" si="143"/>
        <v>Direct Debit (UMB Bank) - Credits</v>
      </c>
      <c r="C2886" s="38">
        <v>46146</v>
      </c>
      <c r="D2886" s="34">
        <v>236948</v>
      </c>
      <c r="E2886" s="36" t="str">
        <f>IF(Table3[[#This Row],[Type Received]]=2,"CC",(IF(Table3[[#This Row],[Type Received]]=3,"BILL","ACH")))</f>
        <v>ACH</v>
      </c>
      <c r="F2886" s="35">
        <v>135.71</v>
      </c>
      <c r="G2886" s="14" t="str">
        <f>VLOOKUP(D2886,Table4[],3,FALSE)</f>
        <v>2</v>
      </c>
      <c r="H2886" s="15">
        <v>756</v>
      </c>
      <c r="I2886" s="15"/>
      <c r="J2886" s="15"/>
      <c r="K2886" s="15"/>
      <c r="L2886" s="15"/>
      <c r="M2886" s="15"/>
    </row>
    <row r="2887" spans="1:13" x14ac:dyDescent="0.25">
      <c r="A2887" s="23">
        <f t="shared" si="144"/>
        <v>236953</v>
      </c>
      <c r="B2887" s="14" t="str">
        <f t="shared" si="143"/>
        <v>Billing - Credits (from TPA)</v>
      </c>
      <c r="C2887" s="37">
        <v>46161</v>
      </c>
      <c r="D2887" s="31">
        <v>236953</v>
      </c>
      <c r="E2887" s="33" t="str">
        <f>IF(Table3[[#This Row],[Type Received]]=2,"CC",(IF(Table3[[#This Row],[Type Received]]=3,"BILL","ACH")))</f>
        <v>BILL</v>
      </c>
      <c r="F2887" s="32">
        <v>50.89</v>
      </c>
      <c r="G2887" s="14" t="str">
        <f>VLOOKUP(D2887,Table4[],3,FALSE)</f>
        <v>2</v>
      </c>
      <c r="H2887" s="15"/>
      <c r="I2887" s="15"/>
      <c r="J2887" s="15" t="s">
        <v>220</v>
      </c>
      <c r="K2887" s="15">
        <v>745051938</v>
      </c>
      <c r="L2887" s="15" t="s">
        <v>29</v>
      </c>
      <c r="M2887" s="15"/>
    </row>
    <row r="2888" spans="1:13" x14ac:dyDescent="0.25">
      <c r="A2888" s="23">
        <f t="shared" si="144"/>
        <v>236974</v>
      </c>
      <c r="B2888" s="14" t="str">
        <f t="shared" si="143"/>
        <v>Credit Cards (UMB) - Credits</v>
      </c>
      <c r="C2888" s="38">
        <v>46150</v>
      </c>
      <c r="D2888" s="34">
        <v>236974</v>
      </c>
      <c r="E2888" s="36" t="str">
        <f>IF(Table3[[#This Row],[Type Received]]=2,"CC",(IF(Table3[[#This Row],[Type Received]]=3,"BILL","ACH")))</f>
        <v>CC</v>
      </c>
      <c r="F2888" s="35">
        <v>36.049999999999997</v>
      </c>
      <c r="G2888" s="14" t="str">
        <f>VLOOKUP(D2888,Table4[],3,FALSE)</f>
        <v>1</v>
      </c>
      <c r="H2888" s="15">
        <v>2830</v>
      </c>
      <c r="I2888" s="15"/>
      <c r="J2888" s="15"/>
      <c r="K2888" s="15"/>
      <c r="L2888" s="15"/>
      <c r="M2888" s="15"/>
    </row>
    <row r="2889" spans="1:13" x14ac:dyDescent="0.25">
      <c r="A2889" s="23">
        <f t="shared" si="144"/>
        <v>236988</v>
      </c>
      <c r="B2889" s="14" t="str">
        <f t="shared" si="143"/>
        <v>Direct Debit (UMB Bank) - Credits</v>
      </c>
      <c r="C2889" s="37">
        <v>46145</v>
      </c>
      <c r="D2889" s="31">
        <v>236988</v>
      </c>
      <c r="E2889" s="33" t="str">
        <f>IF(Table3[[#This Row],[Type Received]]=2,"CC",(IF(Table3[[#This Row],[Type Received]]=3,"BILL","ACH")))</f>
        <v>ACH</v>
      </c>
      <c r="F2889" s="32">
        <v>65.41</v>
      </c>
      <c r="G2889" s="14" t="str">
        <f>VLOOKUP(D2889,Table4[],3,FALSE)</f>
        <v>2</v>
      </c>
      <c r="H2889" s="15"/>
      <c r="I2889" s="15">
        <v>90503</v>
      </c>
      <c r="J2889" s="15" t="s">
        <v>28</v>
      </c>
      <c r="K2889" s="15">
        <v>546427841</v>
      </c>
      <c r="L2889" s="15" t="s">
        <v>29</v>
      </c>
      <c r="M2889" s="15"/>
    </row>
    <row r="2890" spans="1:13" x14ac:dyDescent="0.25">
      <c r="A2890" s="23">
        <f t="shared" si="144"/>
        <v>236989</v>
      </c>
      <c r="B2890" s="14" t="str">
        <f t="shared" si="143"/>
        <v>Billing - Credits (from TPA)</v>
      </c>
      <c r="C2890" s="38">
        <v>46157</v>
      </c>
      <c r="D2890" s="34">
        <v>236989</v>
      </c>
      <c r="E2890" s="36" t="str">
        <f>IF(Table3[[#This Row],[Type Received]]=2,"CC",(IF(Table3[[#This Row],[Type Received]]=3,"BILL","ACH")))</f>
        <v>BILL</v>
      </c>
      <c r="F2890" s="35">
        <v>76.95</v>
      </c>
      <c r="G2890" s="14" t="str">
        <f>VLOOKUP(D2890,Table4[],3,FALSE)</f>
        <v>2</v>
      </c>
      <c r="H2890" s="15"/>
      <c r="I2890" s="15"/>
      <c r="J2890" s="24" t="s">
        <v>87</v>
      </c>
      <c r="K2890" s="15">
        <v>696774969</v>
      </c>
      <c r="L2890" s="15" t="s">
        <v>29</v>
      </c>
      <c r="M2890" s="15"/>
    </row>
    <row r="2891" spans="1:13" x14ac:dyDescent="0.25">
      <c r="A2891" s="23">
        <f t="shared" si="144"/>
        <v>236990</v>
      </c>
      <c r="B2891" s="14" t="str">
        <f t="shared" si="143"/>
        <v>Credit Cards (UMB) - Credits</v>
      </c>
      <c r="C2891" s="37">
        <v>46168</v>
      </c>
      <c r="D2891" s="31">
        <v>236990</v>
      </c>
      <c r="E2891" s="33" t="str">
        <f>IF(Table3[[#This Row],[Type Received]]=2,"CC",(IF(Table3[[#This Row],[Type Received]]=3,"BILL","ACH")))</f>
        <v>CC</v>
      </c>
      <c r="F2891" s="32">
        <v>96.11</v>
      </c>
      <c r="G2891" s="14" t="str">
        <f>VLOOKUP(D2891,Table4[],3,FALSE)</f>
        <v>1</v>
      </c>
      <c r="H2891" s="15">
        <v>2740</v>
      </c>
      <c r="I2891" s="15"/>
      <c r="J2891" s="15"/>
      <c r="K2891" s="15"/>
      <c r="L2891" s="15"/>
      <c r="M2891" s="15"/>
    </row>
    <row r="2892" spans="1:13" x14ac:dyDescent="0.25">
      <c r="A2892" s="23">
        <f t="shared" si="144"/>
        <v>237242</v>
      </c>
      <c r="B2892" s="14" t="str">
        <f t="shared" si="143"/>
        <v>Direct Debit (UMB Bank) - Credits</v>
      </c>
      <c r="C2892" s="38">
        <v>46156</v>
      </c>
      <c r="D2892" s="34">
        <v>237242</v>
      </c>
      <c r="E2892" s="36" t="str">
        <f>IF(Table3[[#This Row],[Type Received]]=2,"CC",(IF(Table3[[#This Row],[Type Received]]=3,"BILL","ACH")))</f>
        <v>ACH</v>
      </c>
      <c r="F2892" s="35">
        <v>372.34</v>
      </c>
      <c r="G2892" s="14" t="str">
        <f>VLOOKUP(D2892,Table4[],3,FALSE)</f>
        <v>1</v>
      </c>
      <c r="H2892" s="15"/>
      <c r="I2892" s="15">
        <v>141689</v>
      </c>
      <c r="J2892" s="15" t="s">
        <v>28</v>
      </c>
      <c r="K2892" s="15">
        <v>683309929</v>
      </c>
      <c r="L2892" s="15" t="s">
        <v>29</v>
      </c>
      <c r="M2892" s="15"/>
    </row>
    <row r="2893" spans="1:13" x14ac:dyDescent="0.25">
      <c r="A2893" s="23">
        <f t="shared" si="144"/>
        <v>237263</v>
      </c>
      <c r="B2893" s="14" t="str">
        <f t="shared" si="143"/>
        <v>Billing - Credits (from TPA)</v>
      </c>
      <c r="C2893" s="37">
        <v>46144</v>
      </c>
      <c r="D2893" s="31">
        <v>237263</v>
      </c>
      <c r="E2893" s="33" t="str">
        <f>IF(Table3[[#This Row],[Type Received]]=2,"CC",(IF(Table3[[#This Row],[Type Received]]=3,"BILL","ACH")))</f>
        <v>BILL</v>
      </c>
      <c r="F2893" s="32">
        <v>51.55</v>
      </c>
      <c r="G2893" s="14" t="str">
        <f>VLOOKUP(D2893,Table4[],3,FALSE)</f>
        <v>1</v>
      </c>
      <c r="H2893" s="15"/>
      <c r="I2893" s="15"/>
      <c r="J2893" s="15" t="s">
        <v>89</v>
      </c>
      <c r="K2893" s="15">
        <v>535343052</v>
      </c>
      <c r="L2893" s="15" t="s">
        <v>29</v>
      </c>
      <c r="M2893" s="15"/>
    </row>
    <row r="2894" spans="1:13" x14ac:dyDescent="0.25">
      <c r="A2894" s="23">
        <f t="shared" si="144"/>
        <v>237264</v>
      </c>
      <c r="B2894" s="14" t="str">
        <f t="shared" si="143"/>
        <v>Direct Debit (UMB Bank) - Credits</v>
      </c>
      <c r="C2894" s="38">
        <v>46143</v>
      </c>
      <c r="D2894" s="34">
        <v>237264</v>
      </c>
      <c r="E2894" s="36" t="str">
        <f>IF(Table3[[#This Row],[Type Received]]=2,"CC",(IF(Table3[[#This Row],[Type Received]]=3,"BILL","ACH")))</f>
        <v>ACH</v>
      </c>
      <c r="F2894" s="35">
        <v>88.26</v>
      </c>
      <c r="G2894" s="14" t="str">
        <f>VLOOKUP(D2894,Table4[],3,FALSE)</f>
        <v>1</v>
      </c>
      <c r="H2894" s="15">
        <v>225</v>
      </c>
      <c r="I2894" s="15"/>
      <c r="J2894" s="15"/>
      <c r="K2894" s="15"/>
      <c r="L2894" s="15"/>
      <c r="M2894" s="15"/>
    </row>
    <row r="2895" spans="1:13" x14ac:dyDescent="0.25">
      <c r="A2895" s="23">
        <f t="shared" si="144"/>
        <v>237278</v>
      </c>
      <c r="B2895" s="14" t="str">
        <f t="shared" si="143"/>
        <v>Direct Debit (UMB Bank) - Credits</v>
      </c>
      <c r="C2895" s="37">
        <v>46157</v>
      </c>
      <c r="D2895" s="31">
        <v>237278</v>
      </c>
      <c r="E2895" s="33" t="str">
        <f>IF(Table3[[#This Row],[Type Received]]=2,"CC",(IF(Table3[[#This Row],[Type Received]]=3,"BILL","ACH")))</f>
        <v>ACH</v>
      </c>
      <c r="F2895" s="32">
        <v>71.349999999999994</v>
      </c>
      <c r="G2895" s="14" t="str">
        <f>VLOOKUP(D2895,Table4[],3,FALSE)</f>
        <v>2</v>
      </c>
      <c r="H2895" s="15"/>
      <c r="I2895" s="15"/>
      <c r="J2895" s="15" t="s">
        <v>87</v>
      </c>
      <c r="K2895" s="15">
        <v>696802148</v>
      </c>
      <c r="L2895" s="15" t="s">
        <v>29</v>
      </c>
      <c r="M2895" s="15"/>
    </row>
    <row r="2896" spans="1:13" x14ac:dyDescent="0.25">
      <c r="A2896" s="23">
        <f t="shared" si="144"/>
        <v>237305</v>
      </c>
      <c r="B2896" s="14" t="str">
        <f t="shared" si="143"/>
        <v>Billing - Credits (from TPA)</v>
      </c>
      <c r="C2896" s="38">
        <v>46167</v>
      </c>
      <c r="D2896" s="34">
        <v>237305</v>
      </c>
      <c r="E2896" s="36" t="str">
        <f>IF(Table3[[#This Row],[Type Received]]=2,"CC",(IF(Table3[[#This Row],[Type Received]]=3,"BILL","ACH")))</f>
        <v>BILL</v>
      </c>
      <c r="F2896" s="35">
        <v>52.87</v>
      </c>
      <c r="G2896" s="14" t="str">
        <f>VLOOKUP(D2896,Table4[],3,FALSE)</f>
        <v>2</v>
      </c>
      <c r="H2896" s="15"/>
      <c r="I2896" s="15"/>
      <c r="J2896" s="24" t="s">
        <v>85</v>
      </c>
      <c r="K2896" s="15">
        <v>818371850</v>
      </c>
      <c r="L2896" s="15" t="s">
        <v>29</v>
      </c>
      <c r="M2896" s="15"/>
    </row>
    <row r="2897" spans="1:13" x14ac:dyDescent="0.25">
      <c r="A2897" s="23">
        <f t="shared" si="144"/>
        <v>237316</v>
      </c>
      <c r="B2897" s="14" t="str">
        <f t="shared" si="143"/>
        <v>Credit Cards (UMB) - Credits</v>
      </c>
      <c r="C2897" s="37">
        <v>46163</v>
      </c>
      <c r="D2897" s="31">
        <v>237316</v>
      </c>
      <c r="E2897" s="33" t="str">
        <f>IF(Table3[[#This Row],[Type Received]]=2,"CC",(IF(Table3[[#This Row],[Type Received]]=3,"BILL","ACH")))</f>
        <v>CC</v>
      </c>
      <c r="F2897" s="32">
        <v>150.30000000000001</v>
      </c>
      <c r="G2897" s="14" t="str">
        <f>VLOOKUP(D2897,Table4[],3,FALSE)</f>
        <v>1</v>
      </c>
      <c r="H2897" s="15">
        <v>2089</v>
      </c>
      <c r="I2897" s="15"/>
      <c r="J2897" s="15"/>
      <c r="K2897" s="15"/>
      <c r="L2897" s="15"/>
      <c r="M2897" s="15"/>
    </row>
    <row r="2898" spans="1:13" x14ac:dyDescent="0.25">
      <c r="A2898" s="23">
        <f t="shared" si="144"/>
        <v>237319</v>
      </c>
      <c r="B2898" s="14" t="str">
        <f t="shared" si="143"/>
        <v>Direct Debit (UMB Bank) - Credits</v>
      </c>
      <c r="C2898" s="38">
        <v>46148</v>
      </c>
      <c r="D2898" s="34">
        <v>237319</v>
      </c>
      <c r="E2898" s="36" t="str">
        <f>IF(Table3[[#This Row],[Type Received]]=2,"CC",(IF(Table3[[#This Row],[Type Received]]=3,"BILL","ACH")))</f>
        <v>ACH</v>
      </c>
      <c r="F2898" s="35">
        <v>186.34</v>
      </c>
      <c r="G2898" s="14" t="str">
        <f>VLOOKUP(D2898,Table4[],3,FALSE)</f>
        <v>2</v>
      </c>
      <c r="H2898" s="15"/>
      <c r="I2898" s="15">
        <v>15303</v>
      </c>
      <c r="J2898" s="15" t="s">
        <v>28</v>
      </c>
      <c r="K2898" s="15">
        <v>585676127</v>
      </c>
      <c r="L2898" s="15" t="s">
        <v>29</v>
      </c>
      <c r="M2898" s="15"/>
    </row>
    <row r="2899" spans="1:13" x14ac:dyDescent="0.25">
      <c r="A2899" s="23">
        <f t="shared" si="144"/>
        <v>237335</v>
      </c>
      <c r="B2899" s="14" t="str">
        <f t="shared" si="143"/>
        <v>Direct Debit (UMB Bank) - Credits</v>
      </c>
      <c r="C2899" s="37">
        <v>46143</v>
      </c>
      <c r="D2899" s="31">
        <v>237335</v>
      </c>
      <c r="E2899" s="33" t="str">
        <f>IF(Table3[[#This Row],[Type Received]]=2,"CC",(IF(Table3[[#This Row],[Type Received]]=3,"BILL","ACH")))</f>
        <v>ACH</v>
      </c>
      <c r="F2899" s="32">
        <v>185.35</v>
      </c>
      <c r="G2899" s="14" t="str">
        <f>VLOOKUP(D2899,Table4[],3,FALSE)</f>
        <v>2</v>
      </c>
      <c r="H2899" s="15"/>
      <c r="I2899" s="15"/>
      <c r="J2899" s="15" t="s">
        <v>84</v>
      </c>
      <c r="K2899" s="15">
        <v>524526610</v>
      </c>
      <c r="L2899" s="15" t="s">
        <v>29</v>
      </c>
      <c r="M2899" s="15"/>
    </row>
    <row r="2900" spans="1:13" x14ac:dyDescent="0.25">
      <c r="A2900" s="23">
        <f t="shared" si="144"/>
        <v>237342</v>
      </c>
      <c r="B2900" s="14" t="str">
        <f t="shared" si="143"/>
        <v>Direct Debit (UMB Bank) - Credits</v>
      </c>
      <c r="C2900" s="38">
        <v>46145</v>
      </c>
      <c r="D2900" s="34">
        <v>237342</v>
      </c>
      <c r="E2900" s="36" t="str">
        <f>IF(Table3[[#This Row],[Type Received]]=2,"CC",(IF(Table3[[#This Row],[Type Received]]=3,"BILL","ACH")))</f>
        <v>ACH</v>
      </c>
      <c r="F2900" s="35">
        <v>44.51</v>
      </c>
      <c r="G2900" s="14" t="str">
        <f>VLOOKUP(D2900,Table4[],3,FALSE)</f>
        <v>1</v>
      </c>
      <c r="H2900" s="15"/>
      <c r="I2900" s="15"/>
      <c r="J2900" s="15" t="s">
        <v>113</v>
      </c>
      <c r="K2900" s="15">
        <v>546428861</v>
      </c>
      <c r="L2900" s="15" t="s">
        <v>29</v>
      </c>
      <c r="M2900" s="15"/>
    </row>
    <row r="2901" spans="1:13" x14ac:dyDescent="0.25">
      <c r="A2901" s="23">
        <f t="shared" si="144"/>
        <v>237349</v>
      </c>
      <c r="B2901" s="14" t="str">
        <f t="shared" si="143"/>
        <v>Direct Debit (UMB Bank) - Credits</v>
      </c>
      <c r="C2901" s="37">
        <v>46145</v>
      </c>
      <c r="D2901" s="31">
        <v>237349</v>
      </c>
      <c r="E2901" s="33" t="str">
        <f>IF(Table3[[#This Row],[Type Received]]=2,"CC",(IF(Table3[[#This Row],[Type Received]]=3,"BILL","ACH")))</f>
        <v>ACH</v>
      </c>
      <c r="F2901" s="32">
        <v>30.65</v>
      </c>
      <c r="G2901" s="14" t="str">
        <f>VLOOKUP(D2901,Table4[],3,FALSE)</f>
        <v>1</v>
      </c>
      <c r="H2901" s="15"/>
      <c r="I2901" s="15"/>
      <c r="J2901" s="15" t="s">
        <v>113</v>
      </c>
      <c r="K2901" s="15">
        <v>546446297</v>
      </c>
      <c r="L2901" s="15" t="s">
        <v>29</v>
      </c>
      <c r="M2901" s="15"/>
    </row>
    <row r="2902" spans="1:13" x14ac:dyDescent="0.25">
      <c r="A2902" s="23">
        <f t="shared" si="144"/>
        <v>237350</v>
      </c>
      <c r="B2902" s="14" t="str">
        <f t="shared" si="143"/>
        <v>Billing - Credits (from TPA)</v>
      </c>
      <c r="C2902" s="38">
        <v>46157</v>
      </c>
      <c r="D2902" s="34">
        <v>237350</v>
      </c>
      <c r="E2902" s="36" t="str">
        <f>IF(Table3[[#This Row],[Type Received]]=2,"CC",(IF(Table3[[#This Row],[Type Received]]=3,"BILL","ACH")))</f>
        <v>BILL</v>
      </c>
      <c r="F2902" s="35">
        <v>137.68</v>
      </c>
      <c r="G2902" s="14" t="str">
        <f>VLOOKUP(D2902,Table4[],3,FALSE)</f>
        <v>2</v>
      </c>
      <c r="H2902" s="15"/>
      <c r="I2902" s="15"/>
      <c r="J2902" s="15" t="s">
        <v>87</v>
      </c>
      <c r="K2902" s="15">
        <v>696783772</v>
      </c>
      <c r="L2902" s="15" t="s">
        <v>29</v>
      </c>
      <c r="M2902" s="15"/>
    </row>
    <row r="2903" spans="1:13" x14ac:dyDescent="0.25">
      <c r="A2903" s="23">
        <f t="shared" si="144"/>
        <v>237399</v>
      </c>
      <c r="B2903" s="14" t="str">
        <f t="shared" si="143"/>
        <v>Direct Debit (UMB Bank) - Credits</v>
      </c>
      <c r="C2903" s="37">
        <v>46164</v>
      </c>
      <c r="D2903" s="31">
        <v>237399</v>
      </c>
      <c r="E2903" s="33" t="str">
        <f>IF(Table3[[#This Row],[Type Received]]=2,"CC",(IF(Table3[[#This Row],[Type Received]]=3,"BILL","ACH")))</f>
        <v>ACH</v>
      </c>
      <c r="F2903" s="32">
        <v>128.44999999999999</v>
      </c>
      <c r="G2903" s="14" t="str">
        <f>VLOOKUP(D2903,Table4[],3,FALSE)</f>
        <v>2</v>
      </c>
      <c r="H2903" s="15">
        <v>1422</v>
      </c>
      <c r="I2903" s="15"/>
      <c r="J2903" s="15"/>
      <c r="K2903" s="15"/>
      <c r="L2903" s="15"/>
      <c r="M2903" s="15"/>
    </row>
    <row r="2904" spans="1:13" x14ac:dyDescent="0.25">
      <c r="A2904" s="23">
        <f t="shared" si="144"/>
        <v>237017</v>
      </c>
      <c r="B2904" s="14" t="str">
        <f t="shared" si="143"/>
        <v>Direct Debit (UMB Bank) - Credits</v>
      </c>
      <c r="C2904" s="38">
        <v>46145</v>
      </c>
      <c r="D2904" s="34">
        <v>237017</v>
      </c>
      <c r="E2904" s="36" t="str">
        <f>IF(Table3[[#This Row],[Type Received]]=2,"CC",(IF(Table3[[#This Row],[Type Received]]=3,"BILL","ACH")))</f>
        <v>ACH</v>
      </c>
      <c r="F2904" s="35">
        <v>31.97</v>
      </c>
      <c r="G2904" s="14" t="str">
        <f>VLOOKUP(D2904,Table4[],3,FALSE)</f>
        <v>1</v>
      </c>
      <c r="H2904" s="15"/>
      <c r="I2904" s="15"/>
      <c r="J2904" s="15" t="s">
        <v>113</v>
      </c>
      <c r="K2904" s="15">
        <v>546447286</v>
      </c>
      <c r="L2904" s="15" t="s">
        <v>29</v>
      </c>
      <c r="M2904" s="15"/>
    </row>
    <row r="2905" spans="1:13" x14ac:dyDescent="0.25">
      <c r="A2905" s="23">
        <f t="shared" si="144"/>
        <v>237029</v>
      </c>
      <c r="B2905" s="14" t="str">
        <f t="shared" si="143"/>
        <v>Direct Debit (UMB Bank) - Credits</v>
      </c>
      <c r="C2905" s="37">
        <v>46157</v>
      </c>
      <c r="D2905" s="31">
        <v>237029</v>
      </c>
      <c r="E2905" s="33" t="str">
        <f>IF(Table3[[#This Row],[Type Received]]=2,"CC",(IF(Table3[[#This Row],[Type Received]]=3,"BILL","ACH")))</f>
        <v>ACH</v>
      </c>
      <c r="F2905" s="32">
        <v>147.58000000000001</v>
      </c>
      <c r="G2905" s="14" t="str">
        <f>VLOOKUP(D2905,Table4[],3,FALSE)</f>
        <v>2</v>
      </c>
      <c r="H2905" s="15"/>
      <c r="I2905" s="15"/>
      <c r="J2905" s="15" t="s">
        <v>87</v>
      </c>
      <c r="K2905" s="15">
        <v>696800213</v>
      </c>
      <c r="L2905" s="15" t="s">
        <v>29</v>
      </c>
      <c r="M2905" s="15"/>
    </row>
    <row r="2906" spans="1:13" x14ac:dyDescent="0.25">
      <c r="A2906" s="23">
        <f t="shared" si="144"/>
        <v>237049</v>
      </c>
      <c r="B2906" s="14" t="str">
        <f t="shared" si="143"/>
        <v>Direct Debit (UMB Bank) - Credits</v>
      </c>
      <c r="C2906" s="38">
        <v>46157</v>
      </c>
      <c r="D2906" s="34">
        <v>237049</v>
      </c>
      <c r="E2906" s="36" t="str">
        <f>IF(Table3[[#This Row],[Type Received]]=2,"CC",(IF(Table3[[#This Row],[Type Received]]=3,"BILL","ACH")))</f>
        <v>ACH</v>
      </c>
      <c r="F2906" s="35">
        <v>26.47</v>
      </c>
      <c r="G2906" s="14" t="str">
        <f>VLOOKUP(D2906,Table4[],3,FALSE)</f>
        <v>1</v>
      </c>
      <c r="H2906" s="15"/>
      <c r="I2906" s="15"/>
      <c r="J2906" s="24" t="s">
        <v>87</v>
      </c>
      <c r="K2906" s="15">
        <v>696779002</v>
      </c>
      <c r="L2906" s="15" t="s">
        <v>29</v>
      </c>
      <c r="M2906" s="15"/>
    </row>
    <row r="2907" spans="1:13" x14ac:dyDescent="0.25">
      <c r="A2907" s="23">
        <f t="shared" si="144"/>
        <v>237059</v>
      </c>
      <c r="B2907" s="14" t="str">
        <f t="shared" si="143"/>
        <v>Direct Debit (UMB Bank) - Credits</v>
      </c>
      <c r="C2907" s="37">
        <v>46145</v>
      </c>
      <c r="D2907" s="31">
        <v>237059</v>
      </c>
      <c r="E2907" s="33" t="str">
        <f>IF(Table3[[#This Row],[Type Received]]=2,"CC",(IF(Table3[[#This Row],[Type Received]]=3,"BILL","ACH")))</f>
        <v>ACH</v>
      </c>
      <c r="F2907" s="32">
        <v>38.35</v>
      </c>
      <c r="G2907" s="14" t="str">
        <f>VLOOKUP(D2907,Table4[],3,FALSE)</f>
        <v>2</v>
      </c>
      <c r="H2907" s="15"/>
      <c r="I2907" s="15"/>
      <c r="J2907" s="15" t="s">
        <v>113</v>
      </c>
      <c r="K2907" s="15">
        <v>546451149</v>
      </c>
      <c r="L2907" s="15" t="s">
        <v>29</v>
      </c>
      <c r="M2907" s="15"/>
    </row>
    <row r="2908" spans="1:13" x14ac:dyDescent="0.25">
      <c r="A2908" s="23">
        <f t="shared" si="144"/>
        <v>237127</v>
      </c>
      <c r="B2908" s="14" t="str">
        <f t="shared" si="143"/>
        <v>Credit Cards (UMB) - Credits</v>
      </c>
      <c r="C2908" s="38">
        <v>46157</v>
      </c>
      <c r="D2908" s="34">
        <v>237127</v>
      </c>
      <c r="E2908" s="36" t="str">
        <f>IF(Table3[[#This Row],[Type Received]]=2,"CC",(IF(Table3[[#This Row],[Type Received]]=3,"BILL","ACH")))</f>
        <v>CC</v>
      </c>
      <c r="F2908" s="35">
        <v>85.87</v>
      </c>
      <c r="G2908" s="14" t="str">
        <f>VLOOKUP(D2908,Table4[],3,FALSE)</f>
        <v>1</v>
      </c>
      <c r="H2908" s="15"/>
      <c r="I2908" s="15"/>
      <c r="J2908" s="15" t="s">
        <v>87</v>
      </c>
      <c r="K2908" s="15">
        <v>696797326</v>
      </c>
      <c r="L2908" s="15" t="s">
        <v>29</v>
      </c>
      <c r="M2908" s="15"/>
    </row>
    <row r="2909" spans="1:13" x14ac:dyDescent="0.25">
      <c r="A2909" s="23">
        <f t="shared" si="144"/>
        <v>237526</v>
      </c>
      <c r="B2909" s="14" t="str">
        <f t="shared" si="143"/>
        <v>Direct Debit (UMB Bank) - Credits</v>
      </c>
      <c r="C2909" s="37">
        <v>46145</v>
      </c>
      <c r="D2909" s="31">
        <v>237526</v>
      </c>
      <c r="E2909" s="33" t="str">
        <f>IF(Table3[[#This Row],[Type Received]]=2,"CC",(IF(Table3[[#This Row],[Type Received]]=3,"BILL","ACH")))</f>
        <v>ACH</v>
      </c>
      <c r="F2909" s="32">
        <v>58.15</v>
      </c>
      <c r="G2909" s="14" t="str">
        <f>VLOOKUP(D2909,Table4[],3,FALSE)</f>
        <v>2</v>
      </c>
      <c r="H2909" s="15"/>
      <c r="I2909" s="15">
        <v>48986</v>
      </c>
      <c r="J2909" s="24" t="s">
        <v>28</v>
      </c>
      <c r="K2909" s="15">
        <v>546451166</v>
      </c>
      <c r="L2909" s="15" t="s">
        <v>29</v>
      </c>
      <c r="M2909" s="15"/>
    </row>
    <row r="2910" spans="1:13" x14ac:dyDescent="0.25">
      <c r="A2910" s="23">
        <f t="shared" si="144"/>
        <v>237565</v>
      </c>
      <c r="B2910" s="14" t="str">
        <f t="shared" si="143"/>
        <v>Billing - Credits (from TPA)</v>
      </c>
      <c r="C2910" s="38">
        <v>46167</v>
      </c>
      <c r="D2910" s="34">
        <v>237565</v>
      </c>
      <c r="E2910" s="36" t="str">
        <f>IF(Table3[[#This Row],[Type Received]]=2,"CC",(IF(Table3[[#This Row],[Type Received]]=3,"BILL","ACH")))</f>
        <v>BILL</v>
      </c>
      <c r="F2910" s="35">
        <v>55.95</v>
      </c>
      <c r="G2910" s="14" t="str">
        <f>VLOOKUP(D2910,Table4[],3,FALSE)</f>
        <v>1</v>
      </c>
      <c r="H2910" s="15"/>
      <c r="I2910" s="15"/>
      <c r="J2910" s="15" t="s">
        <v>85</v>
      </c>
      <c r="K2910" s="15">
        <v>818390234</v>
      </c>
      <c r="L2910" s="15" t="s">
        <v>29</v>
      </c>
      <c r="M2910" s="15"/>
    </row>
    <row r="2911" spans="1:13" x14ac:dyDescent="0.25">
      <c r="A2911" s="23">
        <f t="shared" si="144"/>
        <v>237566</v>
      </c>
      <c r="B2911" s="14" t="str">
        <f t="shared" si="143"/>
        <v>Credit Cards (UMB) - Credits</v>
      </c>
      <c r="C2911" s="37">
        <v>46162</v>
      </c>
      <c r="D2911" s="31">
        <v>237566</v>
      </c>
      <c r="E2911" s="33" t="str">
        <f>IF(Table3[[#This Row],[Type Received]]=2,"CC",(IF(Table3[[#This Row],[Type Received]]=3,"BILL","ACH")))</f>
        <v>CC</v>
      </c>
      <c r="F2911" s="32">
        <v>65.09</v>
      </c>
      <c r="G2911" s="14" t="str">
        <f>VLOOKUP(D2911,Table4[],3,FALSE)</f>
        <v>1</v>
      </c>
      <c r="H2911" s="15">
        <v>55257305872</v>
      </c>
      <c r="I2911" s="15"/>
      <c r="J2911" s="15"/>
      <c r="K2911" s="15"/>
      <c r="L2911" s="15"/>
      <c r="M2911" s="15"/>
    </row>
    <row r="2912" spans="1:13" x14ac:dyDescent="0.25">
      <c r="A2912" s="23">
        <f t="shared" si="144"/>
        <v>237597</v>
      </c>
      <c r="B2912" s="14" t="str">
        <f t="shared" si="143"/>
        <v>Direct Debit (UMB Bank) - Credits</v>
      </c>
      <c r="C2912" s="38">
        <v>46169</v>
      </c>
      <c r="D2912" s="34">
        <v>237597</v>
      </c>
      <c r="E2912" s="36" t="str">
        <f>IF(Table3[[#This Row],[Type Received]]=2,"CC",(IF(Table3[[#This Row],[Type Received]]=3,"BILL","ACH")))</f>
        <v>ACH</v>
      </c>
      <c r="F2912" s="35">
        <v>130.1</v>
      </c>
      <c r="G2912" s="14" t="str">
        <f>VLOOKUP(D2912,Table4[],3,FALSE)</f>
        <v>2</v>
      </c>
      <c r="H2912" s="15"/>
      <c r="I2912" s="15">
        <v>141928</v>
      </c>
      <c r="J2912" s="15" t="s">
        <v>28</v>
      </c>
      <c r="K2912" s="15">
        <v>843732952</v>
      </c>
      <c r="L2912" s="15" t="s">
        <v>29</v>
      </c>
      <c r="M2912" s="15"/>
    </row>
    <row r="2913" spans="1:13" x14ac:dyDescent="0.25">
      <c r="A2913" s="23">
        <f t="shared" si="144"/>
        <v>237657</v>
      </c>
      <c r="B2913" s="14" t="str">
        <f t="shared" si="143"/>
        <v>Direct Debit (UMB Bank) - Credits</v>
      </c>
      <c r="C2913" s="37">
        <v>46157</v>
      </c>
      <c r="D2913" s="31">
        <v>237657</v>
      </c>
      <c r="E2913" s="33" t="str">
        <f>IF(Table3[[#This Row],[Type Received]]=2,"CC",(IF(Table3[[#This Row],[Type Received]]=3,"BILL","ACH")))</f>
        <v>ACH</v>
      </c>
      <c r="F2913" s="32">
        <v>56.95</v>
      </c>
      <c r="G2913" s="14" t="str">
        <f>VLOOKUP(D2913,Table4[],3,FALSE)</f>
        <v>1</v>
      </c>
      <c r="H2913" s="15"/>
      <c r="I2913" s="15"/>
      <c r="J2913" s="15" t="s">
        <v>87</v>
      </c>
      <c r="K2913" s="15">
        <v>696797358</v>
      </c>
      <c r="L2913" s="15" t="s">
        <v>29</v>
      </c>
      <c r="M2913" s="15"/>
    </row>
    <row r="2914" spans="1:13" x14ac:dyDescent="0.25">
      <c r="A2914" s="23">
        <f t="shared" si="144"/>
        <v>237668</v>
      </c>
      <c r="B2914" s="14" t="str">
        <f t="shared" si="143"/>
        <v>Direct Debit (UMB Bank) - Credits</v>
      </c>
      <c r="C2914" s="38">
        <v>46167</v>
      </c>
      <c r="D2914" s="34">
        <v>237668</v>
      </c>
      <c r="E2914" s="36" t="str">
        <f>IF(Table3[[#This Row],[Type Received]]=2,"CC",(IF(Table3[[#This Row],[Type Received]]=3,"BILL","ACH")))</f>
        <v>ACH</v>
      </c>
      <c r="F2914" s="35">
        <v>50.89</v>
      </c>
      <c r="G2914" s="14" t="str">
        <f>VLOOKUP(D2914,Table4[],3,FALSE)</f>
        <v>2</v>
      </c>
      <c r="H2914" s="15"/>
      <c r="I2914" s="15"/>
      <c r="J2914" s="15" t="s">
        <v>85</v>
      </c>
      <c r="K2914" s="15">
        <v>818379657</v>
      </c>
      <c r="L2914" s="15" t="s">
        <v>29</v>
      </c>
      <c r="M2914" s="15"/>
    </row>
    <row r="2915" spans="1:13" x14ac:dyDescent="0.25">
      <c r="A2915" s="23">
        <f t="shared" si="144"/>
        <v>237712</v>
      </c>
      <c r="B2915" s="14" t="str">
        <f t="shared" si="143"/>
        <v>Direct Debit (UMB Bank) - Credits</v>
      </c>
      <c r="C2915" s="37">
        <v>46157</v>
      </c>
      <c r="D2915" s="31">
        <v>237712</v>
      </c>
      <c r="E2915" s="33" t="str">
        <f>IF(Table3[[#This Row],[Type Received]]=2,"CC",(IF(Table3[[#This Row],[Type Received]]=3,"BILL","ACH")))</f>
        <v>ACH</v>
      </c>
      <c r="F2915" s="32">
        <v>47.15</v>
      </c>
      <c r="G2915" s="14" t="str">
        <f>VLOOKUP(D2915,Table4[],3,FALSE)</f>
        <v>1</v>
      </c>
      <c r="H2915" s="15"/>
      <c r="I2915" s="15"/>
      <c r="J2915" s="15" t="s">
        <v>87</v>
      </c>
      <c r="K2915" s="15">
        <v>696775040</v>
      </c>
      <c r="L2915" s="15" t="s">
        <v>29</v>
      </c>
      <c r="M2915" s="15"/>
    </row>
    <row r="2916" spans="1:13" x14ac:dyDescent="0.25">
      <c r="A2916" s="23">
        <f t="shared" si="144"/>
        <v>237764</v>
      </c>
      <c r="B2916" s="14" t="str">
        <f t="shared" si="143"/>
        <v>Credit Cards (UMB) - Credits</v>
      </c>
      <c r="C2916" s="38">
        <v>46157</v>
      </c>
      <c r="D2916" s="34">
        <v>237764</v>
      </c>
      <c r="E2916" s="36" t="str">
        <f>IF(Table3[[#This Row],[Type Received]]=2,"CC",(IF(Table3[[#This Row],[Type Received]]=3,"BILL","ACH")))</f>
        <v>CC</v>
      </c>
      <c r="F2916" s="35">
        <v>76.95</v>
      </c>
      <c r="G2916" s="14" t="str">
        <f>VLOOKUP(D2916,Table4[],3,FALSE)</f>
        <v>2</v>
      </c>
      <c r="H2916" s="15"/>
      <c r="I2916" s="15"/>
      <c r="J2916" s="24" t="s">
        <v>87</v>
      </c>
      <c r="K2916" s="15">
        <v>696778077</v>
      </c>
      <c r="L2916" s="15" t="s">
        <v>29</v>
      </c>
      <c r="M2916" s="15"/>
    </row>
    <row r="2917" spans="1:13" x14ac:dyDescent="0.25">
      <c r="A2917" s="23">
        <f t="shared" si="144"/>
        <v>237770</v>
      </c>
      <c r="B2917" s="14" t="str">
        <f t="shared" si="143"/>
        <v>Direct Debit (UMB Bank) - Credits</v>
      </c>
      <c r="C2917" s="37">
        <v>46155</v>
      </c>
      <c r="D2917" s="31">
        <v>237770</v>
      </c>
      <c r="E2917" s="33" t="str">
        <f>IF(Table3[[#This Row],[Type Received]]=2,"CC",(IF(Table3[[#This Row],[Type Received]]=3,"BILL","ACH")))</f>
        <v>ACH</v>
      </c>
      <c r="F2917" s="32">
        <v>99.4</v>
      </c>
      <c r="G2917" s="14" t="str">
        <f>VLOOKUP(D2917,Table4[],3,FALSE)</f>
        <v>2</v>
      </c>
      <c r="H2917" s="15"/>
      <c r="I2917" s="15" t="s">
        <v>83</v>
      </c>
      <c r="J2917" s="15" t="s">
        <v>28</v>
      </c>
      <c r="K2917" s="15">
        <v>669507157</v>
      </c>
      <c r="L2917" s="15" t="s">
        <v>29</v>
      </c>
      <c r="M2917" s="15"/>
    </row>
    <row r="2918" spans="1:13" x14ac:dyDescent="0.25">
      <c r="A2918" s="23">
        <f t="shared" ref="A2918:A2949" si="145">D2918</f>
        <v>238032</v>
      </c>
      <c r="B2918" s="14" t="str">
        <f t="shared" si="143"/>
        <v>Direct Debit (UMB Bank) - Credits</v>
      </c>
      <c r="C2918" s="38">
        <v>46145</v>
      </c>
      <c r="D2918" s="34">
        <v>238032</v>
      </c>
      <c r="E2918" s="36" t="str">
        <f>IF(Table3[[#This Row],[Type Received]]=2,"CC",(IF(Table3[[#This Row],[Type Received]]=3,"BILL","ACH")))</f>
        <v>ACH</v>
      </c>
      <c r="F2918" s="35">
        <v>167.38</v>
      </c>
      <c r="G2918" s="14" t="str">
        <f>VLOOKUP(D2918,Table4[],3,FALSE)</f>
        <v>2</v>
      </c>
      <c r="H2918" s="15"/>
      <c r="I2918" s="15"/>
      <c r="J2918" s="15" t="s">
        <v>113</v>
      </c>
      <c r="K2918" s="15">
        <v>546446635</v>
      </c>
      <c r="L2918" s="15" t="s">
        <v>29</v>
      </c>
      <c r="M2918" s="15"/>
    </row>
    <row r="2919" spans="1:13" x14ac:dyDescent="0.25">
      <c r="A2919" s="23">
        <f t="shared" si="145"/>
        <v>238045</v>
      </c>
      <c r="B2919" s="14" t="str">
        <f t="shared" si="143"/>
        <v>Direct Debit (UMB Bank) - Credits</v>
      </c>
      <c r="C2919" s="37">
        <v>46167</v>
      </c>
      <c r="D2919" s="31">
        <v>238045</v>
      </c>
      <c r="E2919" s="33" t="str">
        <f>IF(Table3[[#This Row],[Type Received]]=2,"CC",(IF(Table3[[#This Row],[Type Received]]=3,"BILL","ACH")))</f>
        <v>ACH</v>
      </c>
      <c r="F2919" s="32">
        <v>28.01</v>
      </c>
      <c r="G2919" s="14" t="str">
        <f>VLOOKUP(D2919,Table4[],3,FALSE)</f>
        <v>1</v>
      </c>
      <c r="H2919" s="15"/>
      <c r="I2919" s="15"/>
      <c r="J2919" s="15" t="s">
        <v>85</v>
      </c>
      <c r="K2919" s="15">
        <v>818392234</v>
      </c>
      <c r="L2919" s="15" t="s">
        <v>29</v>
      </c>
      <c r="M2919" s="15"/>
    </row>
    <row r="2920" spans="1:13" x14ac:dyDescent="0.25">
      <c r="A2920" s="23">
        <f t="shared" si="145"/>
        <v>238046</v>
      </c>
      <c r="B2920" s="14" t="str">
        <f t="shared" si="143"/>
        <v>Billing - Credits (from TPA)</v>
      </c>
      <c r="C2920" s="38">
        <v>46145</v>
      </c>
      <c r="D2920" s="34">
        <v>238046</v>
      </c>
      <c r="E2920" s="36" t="str">
        <f>IF(Table3[[#This Row],[Type Received]]=2,"CC",(IF(Table3[[#This Row],[Type Received]]=3,"BILL","ACH")))</f>
        <v>BILL</v>
      </c>
      <c r="F2920" s="35">
        <v>53.2</v>
      </c>
      <c r="G2920" s="14" t="str">
        <f>VLOOKUP(D2920,Table4[],3,FALSE)</f>
        <v>2</v>
      </c>
      <c r="H2920" s="15"/>
      <c r="I2920" s="15"/>
      <c r="J2920" s="15" t="s">
        <v>113</v>
      </c>
      <c r="K2920" s="15">
        <v>546442466</v>
      </c>
      <c r="L2920" s="15" t="s">
        <v>29</v>
      </c>
      <c r="M2920" s="15"/>
    </row>
    <row r="2921" spans="1:13" x14ac:dyDescent="0.25">
      <c r="A2921" s="23">
        <f t="shared" si="145"/>
        <v>238091</v>
      </c>
      <c r="B2921" s="14" t="str">
        <f t="shared" si="143"/>
        <v>Direct Debit (UMB Bank) - Credits</v>
      </c>
      <c r="C2921" s="37">
        <v>46146</v>
      </c>
      <c r="D2921" s="31">
        <v>238091</v>
      </c>
      <c r="E2921" s="33" t="str">
        <f>IF(Table3[[#This Row],[Type Received]]=2,"CC",(IF(Table3[[#This Row],[Type Received]]=3,"BILL","ACH")))</f>
        <v>ACH</v>
      </c>
      <c r="F2921" s="32">
        <v>61.57</v>
      </c>
      <c r="G2921" s="14" t="str">
        <f>VLOOKUP(D2921,Table4[],3,FALSE)</f>
        <v>1</v>
      </c>
      <c r="H2921" s="15">
        <v>1101</v>
      </c>
      <c r="I2921" s="15"/>
      <c r="J2921" s="15"/>
      <c r="K2921" s="15"/>
      <c r="L2921" s="15"/>
      <c r="M2921" s="15"/>
    </row>
    <row r="2922" spans="1:13" x14ac:dyDescent="0.25">
      <c r="A2922" s="23">
        <f t="shared" si="145"/>
        <v>238122</v>
      </c>
      <c r="B2922" s="14" t="str">
        <f t="shared" si="143"/>
        <v>Direct Debit (UMB Bank) - Credits</v>
      </c>
      <c r="C2922" s="38">
        <v>46167</v>
      </c>
      <c r="D2922" s="34">
        <v>238122</v>
      </c>
      <c r="E2922" s="36" t="str">
        <f>IF(Table3[[#This Row],[Type Received]]=2,"CC",(IF(Table3[[#This Row],[Type Received]]=3,"BILL","ACH")))</f>
        <v>ACH</v>
      </c>
      <c r="F2922" s="35">
        <v>77.290000000000006</v>
      </c>
      <c r="G2922" s="14" t="str">
        <f>VLOOKUP(D2922,Table4[],3,FALSE)</f>
        <v>2</v>
      </c>
      <c r="H2922" s="15"/>
      <c r="I2922" s="15"/>
      <c r="J2922" s="15" t="s">
        <v>85</v>
      </c>
      <c r="K2922" s="15">
        <v>818396106</v>
      </c>
      <c r="L2922" s="15" t="s">
        <v>29</v>
      </c>
      <c r="M2922" s="15"/>
    </row>
    <row r="2923" spans="1:13" x14ac:dyDescent="0.25">
      <c r="A2923" s="23">
        <f t="shared" si="145"/>
        <v>238129</v>
      </c>
      <c r="B2923" s="14" t="str">
        <f t="shared" si="143"/>
        <v>Credit Cards (UMB) - Credits</v>
      </c>
      <c r="C2923" s="37">
        <v>46143</v>
      </c>
      <c r="D2923" s="31">
        <v>238129</v>
      </c>
      <c r="E2923" s="33" t="str">
        <f>IF(Table3[[#This Row],[Type Received]]=2,"CC",(IF(Table3[[#This Row],[Type Received]]=3,"BILL","ACH")))</f>
        <v>CC</v>
      </c>
      <c r="F2923" s="32">
        <v>84.23</v>
      </c>
      <c r="G2923" s="14" t="str">
        <f>VLOOKUP(D2923,Table4[],3,FALSE)</f>
        <v>2</v>
      </c>
      <c r="H2923" s="15"/>
      <c r="I2923" s="15"/>
      <c r="J2923" s="15" t="s">
        <v>84</v>
      </c>
      <c r="K2923" s="15">
        <v>526764159</v>
      </c>
      <c r="L2923" s="15" t="s">
        <v>29</v>
      </c>
      <c r="M2923" s="15"/>
    </row>
    <row r="2924" spans="1:13" x14ac:dyDescent="0.25">
      <c r="A2924" s="23">
        <f t="shared" si="145"/>
        <v>238150</v>
      </c>
      <c r="B2924" s="14" t="str">
        <f t="shared" si="143"/>
        <v>Billing - Credits (from TPA)</v>
      </c>
      <c r="C2924" s="38">
        <v>46143</v>
      </c>
      <c r="D2924" s="34">
        <v>238150</v>
      </c>
      <c r="E2924" s="36" t="str">
        <f>IF(Table3[[#This Row],[Type Received]]=2,"CC",(IF(Table3[[#This Row],[Type Received]]=3,"BILL","ACH")))</f>
        <v>BILL</v>
      </c>
      <c r="F2924" s="35">
        <v>189.46</v>
      </c>
      <c r="G2924" s="14" t="str">
        <f>VLOOKUP(D2924,Table4[],3,FALSE)</f>
        <v>1</v>
      </c>
      <c r="H2924" s="15"/>
      <c r="I2924" s="15">
        <v>173594</v>
      </c>
      <c r="J2924" s="15" t="s">
        <v>28</v>
      </c>
      <c r="K2924" s="15">
        <v>526469891</v>
      </c>
      <c r="L2924" s="15" t="s">
        <v>29</v>
      </c>
      <c r="M2924" s="15"/>
    </row>
    <row r="2925" spans="1:13" x14ac:dyDescent="0.25">
      <c r="A2925" s="23">
        <f t="shared" si="145"/>
        <v>238160</v>
      </c>
      <c r="B2925" s="14" t="str">
        <f t="shared" si="143"/>
        <v>Direct Debit (UMB Bank) - Credits</v>
      </c>
      <c r="C2925" s="37">
        <v>46168</v>
      </c>
      <c r="D2925" s="31">
        <v>238160</v>
      </c>
      <c r="E2925" s="33" t="str">
        <f>IF(Table3[[#This Row],[Type Received]]=2,"CC",(IF(Table3[[#This Row],[Type Received]]=3,"BILL","ACH")))</f>
        <v>ACH</v>
      </c>
      <c r="F2925" s="32">
        <v>122.95</v>
      </c>
      <c r="G2925" s="14" t="str">
        <f>VLOOKUP(D2925,Table4[],3,FALSE)</f>
        <v>1</v>
      </c>
      <c r="H2925" s="15">
        <v>2841</v>
      </c>
      <c r="I2925" s="15"/>
      <c r="J2925" s="15"/>
      <c r="K2925" s="15"/>
      <c r="L2925" s="15"/>
      <c r="M2925" s="15"/>
    </row>
    <row r="2926" spans="1:13" x14ac:dyDescent="0.25">
      <c r="A2926" s="23">
        <f t="shared" si="145"/>
        <v>238185</v>
      </c>
      <c r="B2926" s="14" t="str">
        <f t="shared" si="143"/>
        <v>Billing - Credits (from TPA)</v>
      </c>
      <c r="C2926" s="38">
        <v>46145</v>
      </c>
      <c r="D2926" s="34">
        <v>238185</v>
      </c>
      <c r="E2926" s="36" t="str">
        <f>IF(Table3[[#This Row],[Type Received]]=2,"CC",(IF(Table3[[#This Row],[Type Received]]=3,"BILL","ACH")))</f>
        <v>BILL</v>
      </c>
      <c r="F2926" s="35">
        <v>76.95</v>
      </c>
      <c r="G2926" s="14" t="str">
        <f>VLOOKUP(D2926,Table4[],3,FALSE)</f>
        <v>2</v>
      </c>
      <c r="H2926" s="15"/>
      <c r="I2926" s="15"/>
      <c r="J2926" s="15" t="s">
        <v>113</v>
      </c>
      <c r="K2926" s="15">
        <v>546450266</v>
      </c>
      <c r="L2926" s="15" t="s">
        <v>29</v>
      </c>
      <c r="M2926" s="15"/>
    </row>
    <row r="2927" spans="1:13" x14ac:dyDescent="0.25">
      <c r="A2927" s="23">
        <f t="shared" si="145"/>
        <v>237829</v>
      </c>
      <c r="B2927" s="14" t="str">
        <f t="shared" si="143"/>
        <v>Direct Debit (UMB Bank) - Credits</v>
      </c>
      <c r="C2927" s="37">
        <v>46146</v>
      </c>
      <c r="D2927" s="31">
        <v>237829</v>
      </c>
      <c r="E2927" s="33" t="str">
        <f>IF(Table3[[#This Row],[Type Received]]=2,"CC",(IF(Table3[[#This Row],[Type Received]]=3,"BILL","ACH")))</f>
        <v>ACH</v>
      </c>
      <c r="F2927" s="32">
        <v>42.65</v>
      </c>
      <c r="G2927" s="14" t="str">
        <f>VLOOKUP(D2927,Table4[],3,FALSE)</f>
        <v>2</v>
      </c>
      <c r="H2927" s="15">
        <v>682</v>
      </c>
      <c r="I2927" s="15"/>
      <c r="J2927" s="15"/>
      <c r="K2927" s="15"/>
      <c r="L2927" s="15"/>
      <c r="M2927" s="15"/>
    </row>
    <row r="2928" spans="1:13" x14ac:dyDescent="0.25">
      <c r="A2928" s="23">
        <f t="shared" si="145"/>
        <v>237843</v>
      </c>
      <c r="B2928" s="14" t="str">
        <f t="shared" si="143"/>
        <v>Direct Debit (UMB Bank) - Credits</v>
      </c>
      <c r="C2928" s="38">
        <v>46145</v>
      </c>
      <c r="D2928" s="34">
        <v>237843</v>
      </c>
      <c r="E2928" s="36" t="str">
        <f>IF(Table3[[#This Row],[Type Received]]=2,"CC",(IF(Table3[[#This Row],[Type Received]]=3,"BILL","ACH")))</f>
        <v>ACH</v>
      </c>
      <c r="F2928" s="35">
        <v>57.27</v>
      </c>
      <c r="G2928" s="14" t="str">
        <f>VLOOKUP(D2928,Table4[],3,FALSE)</f>
        <v>1</v>
      </c>
      <c r="H2928" s="15"/>
      <c r="I2928" s="15"/>
      <c r="J2928" s="15" t="s">
        <v>113</v>
      </c>
      <c r="K2928" s="15">
        <v>546446303</v>
      </c>
      <c r="L2928" s="15" t="s">
        <v>29</v>
      </c>
      <c r="M2928" s="15"/>
    </row>
    <row r="2929" spans="1:13" x14ac:dyDescent="0.25">
      <c r="A2929" s="23">
        <f t="shared" si="145"/>
        <v>237873</v>
      </c>
      <c r="B2929" s="14" t="str">
        <f t="shared" si="143"/>
        <v>Credit Cards (UMB) - Credits</v>
      </c>
      <c r="C2929" s="37">
        <v>46167</v>
      </c>
      <c r="D2929" s="31">
        <v>237873</v>
      </c>
      <c r="E2929" s="33" t="str">
        <f>IF(Table3[[#This Row],[Type Received]]=2,"CC",(IF(Table3[[#This Row],[Type Received]]=3,"BILL","ACH")))</f>
        <v>CC</v>
      </c>
      <c r="F2929" s="32">
        <v>40.11</v>
      </c>
      <c r="G2929" s="14" t="str">
        <f>VLOOKUP(D2929,Table4[],3,FALSE)</f>
        <v>1</v>
      </c>
      <c r="H2929" s="15"/>
      <c r="I2929" s="15"/>
      <c r="J2929" s="24" t="s">
        <v>85</v>
      </c>
      <c r="K2929" s="15">
        <v>818382522</v>
      </c>
      <c r="L2929" s="15" t="s">
        <v>29</v>
      </c>
      <c r="M2929" s="15"/>
    </row>
    <row r="2930" spans="1:13" x14ac:dyDescent="0.25">
      <c r="A2930" s="23">
        <f t="shared" si="145"/>
        <v>237906</v>
      </c>
      <c r="B2930" s="14" t="str">
        <f t="shared" si="143"/>
        <v>Credit Cards (UMB) - Credits</v>
      </c>
      <c r="C2930" s="38">
        <v>46164</v>
      </c>
      <c r="D2930" s="34">
        <v>237906</v>
      </c>
      <c r="E2930" s="36" t="str">
        <f>IF(Table3[[#This Row],[Type Received]]=2,"CC",(IF(Table3[[#This Row],[Type Received]]=3,"BILL","ACH")))</f>
        <v>CC</v>
      </c>
      <c r="F2930" s="35">
        <v>343.75</v>
      </c>
      <c r="G2930" s="14" t="str">
        <f>VLOOKUP(D2930,Table4[],3,FALSE)</f>
        <v>2</v>
      </c>
      <c r="H2930" s="15"/>
      <c r="I2930" s="15">
        <v>248550</v>
      </c>
      <c r="J2930" s="24">
        <v>747909705</v>
      </c>
      <c r="K2930" s="15">
        <v>355499434</v>
      </c>
      <c r="L2930" s="15"/>
      <c r="M2930" s="15"/>
    </row>
    <row r="2931" spans="1:13" x14ac:dyDescent="0.25">
      <c r="A2931" s="23">
        <f t="shared" si="145"/>
        <v>237919</v>
      </c>
      <c r="B2931" s="14" t="str">
        <f t="shared" si="143"/>
        <v>Direct Debit (UMB Bank) - Credits</v>
      </c>
      <c r="C2931" s="37">
        <v>46143</v>
      </c>
      <c r="D2931" s="31">
        <v>237919</v>
      </c>
      <c r="E2931" s="33" t="str">
        <f>IF(Table3[[#This Row],[Type Received]]=2,"CC",(IF(Table3[[#This Row],[Type Received]]=3,"BILL","ACH")))</f>
        <v>ACH</v>
      </c>
      <c r="F2931" s="32">
        <v>105.02</v>
      </c>
      <c r="G2931" s="14" t="str">
        <f>VLOOKUP(D2931,Table4[],3,FALSE)</f>
        <v>2</v>
      </c>
      <c r="H2931" s="15"/>
      <c r="I2931" s="15">
        <v>135862</v>
      </c>
      <c r="J2931" s="24" t="s">
        <v>28</v>
      </c>
      <c r="K2931" s="15">
        <v>525117384</v>
      </c>
      <c r="L2931" s="15" t="s">
        <v>29</v>
      </c>
      <c r="M2931" s="15"/>
    </row>
    <row r="2932" spans="1:13" x14ac:dyDescent="0.25">
      <c r="A2932" s="23">
        <f t="shared" si="145"/>
        <v>237921</v>
      </c>
      <c r="B2932" s="14" t="str">
        <f t="shared" si="143"/>
        <v>Billing - Credits (from TPA)</v>
      </c>
      <c r="C2932" s="38">
        <v>46149</v>
      </c>
      <c r="D2932" s="34">
        <v>237921</v>
      </c>
      <c r="E2932" s="36" t="str">
        <f>IF(Table3[[#This Row],[Type Received]]=2,"CC",(IF(Table3[[#This Row],[Type Received]]=3,"BILL","ACH")))</f>
        <v>BILL</v>
      </c>
      <c r="F2932" s="35">
        <v>88.41</v>
      </c>
      <c r="G2932" s="14" t="str">
        <f>VLOOKUP(D2932,Table4[],3,FALSE)</f>
        <v>1</v>
      </c>
      <c r="H2932" s="15"/>
      <c r="I2932" s="15"/>
      <c r="J2932" s="15" t="s">
        <v>109</v>
      </c>
      <c r="K2932" s="15">
        <v>598857150</v>
      </c>
      <c r="L2932" s="15" t="s">
        <v>29</v>
      </c>
      <c r="M2932" s="15"/>
    </row>
    <row r="2933" spans="1:13" x14ac:dyDescent="0.25">
      <c r="A2933" s="23">
        <f t="shared" si="145"/>
        <v>237961</v>
      </c>
      <c r="B2933" s="14" t="str">
        <f t="shared" si="143"/>
        <v>Credit Cards (UMB) - Credits</v>
      </c>
      <c r="C2933" s="37">
        <v>46169</v>
      </c>
      <c r="D2933" s="31">
        <v>237961</v>
      </c>
      <c r="E2933" s="33" t="str">
        <f>IF(Table3[[#This Row],[Type Received]]=2,"CC",(IF(Table3[[#This Row],[Type Received]]=3,"BILL","ACH")))</f>
        <v>CC</v>
      </c>
      <c r="F2933" s="32">
        <v>49.25</v>
      </c>
      <c r="G2933" s="14" t="str">
        <f>VLOOKUP(D2933,Table4[],3,FALSE)</f>
        <v>1</v>
      </c>
      <c r="H2933" s="15">
        <v>943</v>
      </c>
      <c r="I2933" s="15"/>
      <c r="J2933" s="15"/>
      <c r="K2933" s="15"/>
      <c r="L2933" s="15"/>
      <c r="M2933" s="15"/>
    </row>
    <row r="2934" spans="1:13" x14ac:dyDescent="0.25">
      <c r="A2934" s="23">
        <f t="shared" si="145"/>
        <v>237969</v>
      </c>
      <c r="B2934" s="14" t="str">
        <f t="shared" si="143"/>
        <v>Direct Debit (UMB Bank) - Credits</v>
      </c>
      <c r="C2934" s="38">
        <v>46161</v>
      </c>
      <c r="D2934" s="34">
        <v>237969</v>
      </c>
      <c r="E2934" s="36" t="str">
        <f>IF(Table3[[#This Row],[Type Received]]=2,"CC",(IF(Table3[[#This Row],[Type Received]]=3,"BILL","ACH")))</f>
        <v>ACH</v>
      </c>
      <c r="F2934" s="35">
        <v>37.369999999999997</v>
      </c>
      <c r="G2934" s="14" t="str">
        <f>VLOOKUP(D2934,Table4[],3,FALSE)</f>
        <v>2</v>
      </c>
      <c r="H2934" s="15"/>
      <c r="I2934" s="15">
        <v>19452</v>
      </c>
      <c r="J2934" s="15" t="s">
        <v>28</v>
      </c>
      <c r="K2934" s="15">
        <v>745160793</v>
      </c>
      <c r="L2934" s="15" t="s">
        <v>29</v>
      </c>
      <c r="M2934" s="15"/>
    </row>
    <row r="2935" spans="1:13" x14ac:dyDescent="0.25">
      <c r="A2935" s="23">
        <f t="shared" si="145"/>
        <v>238000</v>
      </c>
      <c r="B2935" s="14" t="str">
        <f t="shared" si="143"/>
        <v>Direct Debit (UMB Bank) - Credits</v>
      </c>
      <c r="C2935" s="37">
        <v>46145</v>
      </c>
      <c r="D2935" s="31">
        <v>238000</v>
      </c>
      <c r="E2935" s="33" t="str">
        <f>IF(Table3[[#This Row],[Type Received]]=2,"CC",(IF(Table3[[#This Row],[Type Received]]=3,"BILL","ACH")))</f>
        <v>ACH</v>
      </c>
      <c r="F2935" s="32">
        <v>76.19</v>
      </c>
      <c r="G2935" s="14" t="str">
        <f>VLOOKUP(D2935,Table4[],3,FALSE)</f>
        <v>1</v>
      </c>
      <c r="H2935" s="15"/>
      <c r="I2935" s="15"/>
      <c r="J2935" s="15" t="s">
        <v>113</v>
      </c>
      <c r="K2935" s="15">
        <v>546443413</v>
      </c>
      <c r="L2935" s="15" t="s">
        <v>29</v>
      </c>
      <c r="M2935" s="15"/>
    </row>
    <row r="2936" spans="1:13" x14ac:dyDescent="0.25">
      <c r="A2936" s="23">
        <f t="shared" si="145"/>
        <v>238466</v>
      </c>
      <c r="B2936" s="14" t="str">
        <f t="shared" si="143"/>
        <v>Direct Debit (UMB Bank) - Credits</v>
      </c>
      <c r="C2936" s="38">
        <v>46145</v>
      </c>
      <c r="D2936" s="34">
        <v>238466</v>
      </c>
      <c r="E2936" s="36" t="str">
        <f>IF(Table3[[#This Row],[Type Received]]=2,"CC",(IF(Table3[[#This Row],[Type Received]]=3,"BILL","ACH")))</f>
        <v>ACH</v>
      </c>
      <c r="F2936" s="35">
        <v>33.07</v>
      </c>
      <c r="G2936" s="14" t="str">
        <f>VLOOKUP(D2936,Table4[],3,FALSE)</f>
        <v>2</v>
      </c>
      <c r="H2936" s="15"/>
      <c r="I2936" s="15"/>
      <c r="J2936" s="15" t="s">
        <v>113</v>
      </c>
      <c r="K2936" s="15">
        <v>546446349</v>
      </c>
      <c r="L2936" s="15" t="s">
        <v>29</v>
      </c>
      <c r="M2936" s="15"/>
    </row>
    <row r="2937" spans="1:13" x14ac:dyDescent="0.25">
      <c r="A2937" s="23">
        <f t="shared" si="145"/>
        <v>238491</v>
      </c>
      <c r="B2937" s="14" t="str">
        <f t="shared" si="143"/>
        <v>Direct Debit (UMB Bank) - Credits</v>
      </c>
      <c r="C2937" s="37">
        <v>46167</v>
      </c>
      <c r="D2937" s="31">
        <v>238491</v>
      </c>
      <c r="E2937" s="33" t="str">
        <f>IF(Table3[[#This Row],[Type Received]]=2,"CC",(IF(Table3[[#This Row],[Type Received]]=3,"BILL","ACH")))</f>
        <v>ACH</v>
      </c>
      <c r="F2937" s="32">
        <v>115.24</v>
      </c>
      <c r="G2937" s="14" t="str">
        <f>VLOOKUP(D2937,Table4[],3,FALSE)</f>
        <v>2</v>
      </c>
      <c r="H2937" s="15"/>
      <c r="I2937" s="15"/>
      <c r="J2937" s="15" t="s">
        <v>85</v>
      </c>
      <c r="K2937" s="15">
        <v>818383426</v>
      </c>
      <c r="L2937" s="15" t="s">
        <v>29</v>
      </c>
      <c r="M2937" s="15"/>
    </row>
    <row r="2938" spans="1:13" x14ac:dyDescent="0.25">
      <c r="A2938" s="23">
        <f t="shared" si="145"/>
        <v>238523</v>
      </c>
      <c r="B2938" s="14" t="str">
        <f t="shared" si="143"/>
        <v>Direct Debit (UMB Bank) - Credits</v>
      </c>
      <c r="C2938" s="38">
        <v>46157</v>
      </c>
      <c r="D2938" s="34">
        <v>238523</v>
      </c>
      <c r="E2938" s="36" t="str">
        <f>IF(Table3[[#This Row],[Type Received]]=2,"CC",(IF(Table3[[#This Row],[Type Received]]=3,"BILL","ACH")))</f>
        <v>ACH</v>
      </c>
      <c r="F2938" s="35">
        <v>30.1</v>
      </c>
      <c r="G2938" s="14" t="str">
        <f>VLOOKUP(D2938,Table4[],3,FALSE)</f>
        <v>2</v>
      </c>
      <c r="H2938" s="15"/>
      <c r="I2938" s="15"/>
      <c r="J2938" s="15" t="s">
        <v>87</v>
      </c>
      <c r="K2938" s="15">
        <v>696782868</v>
      </c>
      <c r="L2938" s="15" t="s">
        <v>29</v>
      </c>
      <c r="M2938" s="15"/>
    </row>
    <row r="2939" spans="1:13" x14ac:dyDescent="0.25">
      <c r="A2939" s="23">
        <f t="shared" si="145"/>
        <v>238526</v>
      </c>
      <c r="B2939" s="14" t="str">
        <f t="shared" si="143"/>
        <v>Direct Debit (UMB Bank) - Credits</v>
      </c>
      <c r="C2939" s="37">
        <v>46145</v>
      </c>
      <c r="D2939" s="31">
        <v>238526</v>
      </c>
      <c r="E2939" s="33" t="str">
        <f>IF(Table3[[#This Row],[Type Received]]=2,"CC",(IF(Table3[[#This Row],[Type Received]]=3,"BILL","ACH")))</f>
        <v>ACH</v>
      </c>
      <c r="F2939" s="32">
        <v>58.15</v>
      </c>
      <c r="G2939" s="14" t="str">
        <f>VLOOKUP(D2939,Table4[],3,FALSE)</f>
        <v>2</v>
      </c>
      <c r="H2939" s="15"/>
      <c r="I2939" s="15"/>
      <c r="J2939" s="24" t="s">
        <v>113</v>
      </c>
      <c r="K2939" s="15">
        <v>546451215</v>
      </c>
      <c r="L2939" s="15" t="s">
        <v>29</v>
      </c>
      <c r="M2939" s="15"/>
    </row>
    <row r="2940" spans="1:13" x14ac:dyDescent="0.25">
      <c r="A2940" s="23">
        <f t="shared" si="145"/>
        <v>238529</v>
      </c>
      <c r="B2940" s="14" t="str">
        <f t="shared" si="143"/>
        <v>Direct Debit (UMB Bank) - Credits</v>
      </c>
      <c r="C2940" s="38">
        <v>46167</v>
      </c>
      <c r="D2940" s="34">
        <v>238529</v>
      </c>
      <c r="E2940" s="36" t="str">
        <f>IF(Table3[[#This Row],[Type Received]]=2,"CC",(IF(Table3[[#This Row],[Type Received]]=3,"BILL","ACH")))</f>
        <v>ACH</v>
      </c>
      <c r="F2940" s="35">
        <v>28.67</v>
      </c>
      <c r="G2940" s="14" t="str">
        <f>VLOOKUP(D2940,Table4[],3,FALSE)</f>
        <v>1</v>
      </c>
      <c r="H2940" s="15"/>
      <c r="I2940" s="15"/>
      <c r="J2940" s="15" t="s">
        <v>85</v>
      </c>
      <c r="K2940" s="15">
        <v>818374856</v>
      </c>
      <c r="L2940" s="15" t="s">
        <v>29</v>
      </c>
      <c r="M2940" s="15"/>
    </row>
    <row r="2941" spans="1:13" x14ac:dyDescent="0.25">
      <c r="A2941" s="23">
        <f t="shared" si="145"/>
        <v>238564</v>
      </c>
      <c r="B2941" s="14" t="str">
        <f t="shared" si="143"/>
        <v>Direct Debit (UMB Bank) - Credits</v>
      </c>
      <c r="C2941" s="37">
        <v>46167</v>
      </c>
      <c r="D2941" s="31">
        <v>238564</v>
      </c>
      <c r="E2941" s="33" t="str">
        <f>IF(Table3[[#This Row],[Type Received]]=2,"CC",(IF(Table3[[#This Row],[Type Received]]=3,"BILL","ACH")))</f>
        <v>ACH</v>
      </c>
      <c r="F2941" s="32">
        <v>76.95</v>
      </c>
      <c r="G2941" s="14" t="str">
        <f>VLOOKUP(D2941,Table4[],3,FALSE)</f>
        <v>2</v>
      </c>
      <c r="H2941" s="15"/>
      <c r="I2941" s="15"/>
      <c r="J2941" s="24" t="s">
        <v>85</v>
      </c>
      <c r="K2941" s="15">
        <v>818375842</v>
      </c>
      <c r="L2941" s="15" t="s">
        <v>29</v>
      </c>
      <c r="M2941" s="15"/>
    </row>
    <row r="2942" spans="1:13" x14ac:dyDescent="0.25">
      <c r="A2942" s="23">
        <f t="shared" si="145"/>
        <v>238595</v>
      </c>
      <c r="B2942" s="14" t="str">
        <f t="shared" si="143"/>
        <v>Direct Debit (UMB Bank) - Credits</v>
      </c>
      <c r="C2942" s="38">
        <v>46157</v>
      </c>
      <c r="D2942" s="34">
        <v>238595</v>
      </c>
      <c r="E2942" s="36" t="str">
        <f>IF(Table3[[#This Row],[Type Received]]=2,"CC",(IF(Table3[[#This Row],[Type Received]]=3,"BILL","ACH")))</f>
        <v>ACH</v>
      </c>
      <c r="F2942" s="35">
        <v>49.57</v>
      </c>
      <c r="G2942" s="14" t="str">
        <f>VLOOKUP(D2942,Table4[],3,FALSE)</f>
        <v>1</v>
      </c>
      <c r="H2942" s="15"/>
      <c r="I2942" s="15"/>
      <c r="J2942" s="15" t="s">
        <v>87</v>
      </c>
      <c r="K2942" s="15">
        <v>696805138</v>
      </c>
      <c r="L2942" s="15" t="s">
        <v>29</v>
      </c>
      <c r="M2942" s="15"/>
    </row>
    <row r="2943" spans="1:13" x14ac:dyDescent="0.25">
      <c r="A2943" s="23">
        <f t="shared" si="145"/>
        <v>238629</v>
      </c>
      <c r="B2943" s="14" t="str">
        <f t="shared" si="143"/>
        <v>Direct Debit (UMB Bank) - Credits</v>
      </c>
      <c r="C2943" s="37">
        <v>46167</v>
      </c>
      <c r="D2943" s="31">
        <v>238629</v>
      </c>
      <c r="E2943" s="33" t="str">
        <f>IF(Table3[[#This Row],[Type Received]]=2,"CC",(IF(Table3[[#This Row],[Type Received]]=3,"BILL","ACH")))</f>
        <v>ACH</v>
      </c>
      <c r="F2943" s="32">
        <v>105.34</v>
      </c>
      <c r="G2943" s="14" t="str">
        <f>VLOOKUP(D2943,Table4[],3,FALSE)</f>
        <v>2</v>
      </c>
      <c r="H2943" s="15"/>
      <c r="I2943" s="15"/>
      <c r="J2943" s="15" t="s">
        <v>85</v>
      </c>
      <c r="K2943" s="15">
        <v>818396133</v>
      </c>
      <c r="L2943" s="15" t="s">
        <v>29</v>
      </c>
      <c r="M2943" s="15"/>
    </row>
    <row r="2944" spans="1:13" x14ac:dyDescent="0.25">
      <c r="A2944" s="23">
        <f t="shared" si="145"/>
        <v>238647</v>
      </c>
      <c r="B2944" s="14" t="str">
        <f t="shared" si="143"/>
        <v>Billing - Credits (from TPA)</v>
      </c>
      <c r="C2944" s="38">
        <v>46157</v>
      </c>
      <c r="D2944" s="34">
        <v>238647</v>
      </c>
      <c r="E2944" s="36" t="str">
        <f>IF(Table3[[#This Row],[Type Received]]=2,"CC",(IF(Table3[[#This Row],[Type Received]]=3,"BILL","ACH")))</f>
        <v>BILL</v>
      </c>
      <c r="F2944" s="35">
        <v>45.39</v>
      </c>
      <c r="G2944" s="14" t="str">
        <f>VLOOKUP(D2944,Table4[],3,FALSE)</f>
        <v>1</v>
      </c>
      <c r="H2944" s="15"/>
      <c r="I2944" s="15"/>
      <c r="J2944" s="15" t="s">
        <v>87</v>
      </c>
      <c r="K2944" s="15">
        <v>696793515</v>
      </c>
      <c r="L2944" s="15" t="s">
        <v>29</v>
      </c>
      <c r="M2944" s="15"/>
    </row>
    <row r="2945" spans="1:13" x14ac:dyDescent="0.25">
      <c r="A2945" s="23">
        <f t="shared" si="145"/>
        <v>238686</v>
      </c>
      <c r="B2945" s="14" t="str">
        <f t="shared" si="143"/>
        <v>Direct Debit (UMB Bank) - Credits</v>
      </c>
      <c r="C2945" s="37">
        <v>46143</v>
      </c>
      <c r="D2945" s="31">
        <v>238686</v>
      </c>
      <c r="E2945" s="33" t="str">
        <f>IF(Table3[[#This Row],[Type Received]]=2,"CC",(IF(Table3[[#This Row],[Type Received]]=3,"BILL","ACH")))</f>
        <v>ACH</v>
      </c>
      <c r="F2945" s="32">
        <v>72.42</v>
      </c>
      <c r="G2945" s="14" t="str">
        <f>VLOOKUP(D2945,Table4[],3,FALSE)</f>
        <v>1</v>
      </c>
      <c r="H2945" s="15">
        <v>3117</v>
      </c>
      <c r="I2945" s="15"/>
      <c r="J2945" s="15"/>
      <c r="K2945" s="15"/>
      <c r="L2945" s="15"/>
      <c r="M2945" s="15"/>
    </row>
    <row r="2946" spans="1:13" x14ac:dyDescent="0.25">
      <c r="A2946" s="23">
        <f t="shared" si="145"/>
        <v>238702</v>
      </c>
      <c r="B2946" s="14" t="str">
        <f t="shared" ref="B2946:B3009" si="146">IF(AND(E2946="BILL",F2946&lt;0),"Billing &amp; Direct Debit - Refunds",(IF(AND(E2946="BILL",F2946&gt;0),"Billing - Credits (from TPA)",(IF(AND(E2946="CC",F2946&lt;0),"Credit Cards (UMB) - Refunds",(IF(AND(E2946="CC",F2946&gt;0),"Credit Cards (UMB) - Credits",(IF(AND(E2946="ACH",F2946&gt;0),"Direct Debit (UMB Bank) - Credits","Direct Debit (UMB Bank) - Returned Items")))))))))</f>
        <v>Direct Debit (UMB Bank) - Credits</v>
      </c>
      <c r="C2946" s="38">
        <v>46157</v>
      </c>
      <c r="D2946" s="34">
        <v>238702</v>
      </c>
      <c r="E2946" s="36" t="str">
        <f>IF(Table3[[#This Row],[Type Received]]=2,"CC",(IF(Table3[[#This Row],[Type Received]]=3,"BILL","ACH")))</f>
        <v>ACH</v>
      </c>
      <c r="F2946" s="35">
        <v>23.17</v>
      </c>
      <c r="G2946" s="14" t="str">
        <f>VLOOKUP(D2946,Table4[],3,FALSE)</f>
        <v>1</v>
      </c>
      <c r="H2946" s="15"/>
      <c r="I2946" s="15"/>
      <c r="J2946" s="15" t="s">
        <v>87</v>
      </c>
      <c r="K2946" s="15">
        <v>696790635</v>
      </c>
      <c r="L2946" s="15" t="s">
        <v>29</v>
      </c>
      <c r="M2946" s="15"/>
    </row>
    <row r="2947" spans="1:13" x14ac:dyDescent="0.25">
      <c r="A2947" s="23">
        <f t="shared" si="145"/>
        <v>238761</v>
      </c>
      <c r="B2947" s="14" t="str">
        <f t="shared" si="146"/>
        <v>Credit Cards (UMB) - Credits</v>
      </c>
      <c r="C2947" s="37">
        <v>46145</v>
      </c>
      <c r="D2947" s="31">
        <v>238761</v>
      </c>
      <c r="E2947" s="33" t="str">
        <f>IF(Table3[[#This Row],[Type Received]]=2,"CC",(IF(Table3[[#This Row],[Type Received]]=3,"BILL","ACH")))</f>
        <v>CC</v>
      </c>
      <c r="F2947" s="32">
        <v>76.95</v>
      </c>
      <c r="G2947" s="14" t="str">
        <f>VLOOKUP(D2947,Table4[],3,FALSE)</f>
        <v>2</v>
      </c>
      <c r="H2947" s="15"/>
      <c r="I2947" s="15"/>
      <c r="J2947" s="15" t="s">
        <v>113</v>
      </c>
      <c r="K2947" s="15">
        <v>546444482</v>
      </c>
      <c r="L2947" s="15" t="s">
        <v>29</v>
      </c>
      <c r="M2947" s="15"/>
    </row>
    <row r="2948" spans="1:13" x14ac:dyDescent="0.25">
      <c r="A2948" s="23">
        <f t="shared" si="145"/>
        <v>238766</v>
      </c>
      <c r="B2948" s="14" t="str">
        <f t="shared" si="146"/>
        <v>Direct Debit (UMB Bank) - Credits</v>
      </c>
      <c r="C2948" s="38">
        <v>46155</v>
      </c>
      <c r="D2948" s="34">
        <v>238766</v>
      </c>
      <c r="E2948" s="36" t="str">
        <f>IF(Table3[[#This Row],[Type Received]]=2,"CC",(IF(Table3[[#This Row],[Type Received]]=3,"BILL","ACH")))</f>
        <v>ACH</v>
      </c>
      <c r="F2948" s="35">
        <v>82.9</v>
      </c>
      <c r="G2948" s="14" t="str">
        <f>VLOOKUP(D2948,Table4[],3,FALSE)</f>
        <v>2</v>
      </c>
      <c r="H2948" s="15"/>
      <c r="I2948" s="15">
        <v>181811</v>
      </c>
      <c r="J2948" s="24" t="s">
        <v>28</v>
      </c>
      <c r="K2948" s="15">
        <v>669500543</v>
      </c>
      <c r="L2948" s="15" t="s">
        <v>29</v>
      </c>
      <c r="M2948" s="15"/>
    </row>
    <row r="2949" spans="1:13" x14ac:dyDescent="0.25">
      <c r="A2949" s="23">
        <f t="shared" si="145"/>
        <v>238796</v>
      </c>
      <c r="B2949" s="14" t="str">
        <f t="shared" si="146"/>
        <v>Direct Debit (UMB Bank) - Credits</v>
      </c>
      <c r="C2949" s="37">
        <v>46157</v>
      </c>
      <c r="D2949" s="31">
        <v>238796</v>
      </c>
      <c r="E2949" s="33" t="str">
        <f>IF(Table3[[#This Row],[Type Received]]=2,"CC",(IF(Table3[[#This Row],[Type Received]]=3,"BILL","ACH")))</f>
        <v>ACH</v>
      </c>
      <c r="F2949" s="32">
        <v>44.95</v>
      </c>
      <c r="G2949" s="14" t="str">
        <f>VLOOKUP(D2949,Table4[],3,FALSE)</f>
        <v>2</v>
      </c>
      <c r="H2949" s="15"/>
      <c r="I2949" s="15"/>
      <c r="J2949" s="15" t="s">
        <v>87</v>
      </c>
      <c r="K2949" s="15">
        <v>696781916</v>
      </c>
      <c r="L2949" s="15" t="s">
        <v>29</v>
      </c>
      <c r="M2949" s="15"/>
    </row>
    <row r="2950" spans="1:13" x14ac:dyDescent="0.25">
      <c r="A2950" s="23">
        <f t="shared" ref="A2950:A2981" si="147">D2950</f>
        <v>238839</v>
      </c>
      <c r="B2950" s="14" t="str">
        <f t="shared" si="146"/>
        <v>Direct Debit (UMB Bank) - Credits</v>
      </c>
      <c r="C2950" s="38">
        <v>46157</v>
      </c>
      <c r="D2950" s="34">
        <v>238839</v>
      </c>
      <c r="E2950" s="36" t="str">
        <f>IF(Table3[[#This Row],[Type Received]]=2,"CC",(IF(Table3[[#This Row],[Type Received]]=3,"BILL","ACH")))</f>
        <v>ACH</v>
      </c>
      <c r="F2950" s="35">
        <v>41.65</v>
      </c>
      <c r="G2950" s="14" t="str">
        <f>VLOOKUP(D2950,Table4[],3,FALSE)</f>
        <v>1</v>
      </c>
      <c r="H2950" s="15"/>
      <c r="I2950" s="15"/>
      <c r="J2950" s="15" t="s">
        <v>87</v>
      </c>
      <c r="K2950" s="15">
        <v>696827061</v>
      </c>
      <c r="L2950" s="15" t="s">
        <v>29</v>
      </c>
      <c r="M2950" s="15"/>
    </row>
    <row r="2951" spans="1:13" x14ac:dyDescent="0.25">
      <c r="A2951" s="23">
        <f t="shared" si="147"/>
        <v>238853</v>
      </c>
      <c r="B2951" s="14" t="str">
        <f t="shared" si="146"/>
        <v>Credit Cards (UMB) - Credits</v>
      </c>
      <c r="C2951" s="37">
        <v>46145</v>
      </c>
      <c r="D2951" s="31">
        <v>238853</v>
      </c>
      <c r="E2951" s="33" t="str">
        <f>IF(Table3[[#This Row],[Type Received]]=2,"CC",(IF(Table3[[#This Row],[Type Received]]=3,"BILL","ACH")))</f>
        <v>CC</v>
      </c>
      <c r="F2951" s="32">
        <v>39.229999999999997</v>
      </c>
      <c r="G2951" s="14" t="str">
        <f>VLOOKUP(D2951,Table4[],3,FALSE)</f>
        <v>1</v>
      </c>
      <c r="H2951" s="15"/>
      <c r="I2951" s="15"/>
      <c r="J2951" s="24" t="s">
        <v>113</v>
      </c>
      <c r="K2951" s="15">
        <v>546450305</v>
      </c>
      <c r="L2951" s="15" t="s">
        <v>29</v>
      </c>
      <c r="M2951" s="15"/>
    </row>
    <row r="2952" spans="1:13" x14ac:dyDescent="0.25">
      <c r="A2952" s="23">
        <f t="shared" si="147"/>
        <v>238911</v>
      </c>
      <c r="B2952" s="14" t="str">
        <f t="shared" si="146"/>
        <v>Billing - Credits (from TPA)</v>
      </c>
      <c r="C2952" s="38">
        <v>46160</v>
      </c>
      <c r="D2952" s="34">
        <v>238911</v>
      </c>
      <c r="E2952" s="36" t="str">
        <f>IF(Table3[[#This Row],[Type Received]]=2,"CC",(IF(Table3[[#This Row],[Type Received]]=3,"BILL","ACH")))</f>
        <v>BILL</v>
      </c>
      <c r="F2952" s="35">
        <v>144.29</v>
      </c>
      <c r="G2952" s="14" t="str">
        <f>VLOOKUP(D2952,Table4[],3,FALSE)</f>
        <v>2</v>
      </c>
      <c r="H2952" s="15"/>
      <c r="I2952" s="15" t="s">
        <v>271</v>
      </c>
      <c r="J2952" s="15" t="s">
        <v>28</v>
      </c>
      <c r="K2952" s="15">
        <v>738761031</v>
      </c>
      <c r="L2952" s="15" t="s">
        <v>29</v>
      </c>
      <c r="M2952" s="15"/>
    </row>
    <row r="2953" spans="1:13" x14ac:dyDescent="0.25">
      <c r="A2953" s="23">
        <f t="shared" si="147"/>
        <v>238947</v>
      </c>
      <c r="B2953" s="14" t="str">
        <f t="shared" si="146"/>
        <v>Billing - Credits (from TPA)</v>
      </c>
      <c r="C2953" s="37">
        <v>46169</v>
      </c>
      <c r="D2953" s="31">
        <v>238947</v>
      </c>
      <c r="E2953" s="33" t="str">
        <f>IF(Table3[[#This Row],[Type Received]]=2,"CC",(IF(Table3[[#This Row],[Type Received]]=3,"BILL","ACH")))</f>
        <v>BILL</v>
      </c>
      <c r="F2953" s="32">
        <v>745</v>
      </c>
      <c r="G2953" s="14" t="str">
        <f>VLOOKUP(D2953,Table4[],3,FALSE)</f>
        <v>2</v>
      </c>
      <c r="H2953" s="15">
        <v>7617</v>
      </c>
      <c r="I2953" s="15"/>
      <c r="J2953" s="15"/>
      <c r="K2953" s="15"/>
      <c r="L2953" s="15"/>
      <c r="M2953" s="15"/>
    </row>
    <row r="2954" spans="1:13" x14ac:dyDescent="0.25">
      <c r="A2954" s="23">
        <f t="shared" si="147"/>
        <v>238998</v>
      </c>
      <c r="B2954" s="14" t="str">
        <f t="shared" si="146"/>
        <v>Direct Debit (UMB Bank) - Credits</v>
      </c>
      <c r="C2954" s="38">
        <v>46164</v>
      </c>
      <c r="D2954" s="34">
        <v>238998</v>
      </c>
      <c r="E2954" s="36" t="str">
        <f>IF(Table3[[#This Row],[Type Received]]=2,"CC",(IF(Table3[[#This Row],[Type Received]]=3,"BILL","ACH")))</f>
        <v>ACH</v>
      </c>
      <c r="F2954" s="35">
        <v>67.400000000000006</v>
      </c>
      <c r="G2954" s="14" t="str">
        <f>VLOOKUP(D2954,Table4[],3,FALSE)</f>
        <v>2</v>
      </c>
      <c r="H2954" s="15">
        <v>1461</v>
      </c>
      <c r="I2954" s="15"/>
      <c r="J2954" s="15"/>
      <c r="K2954" s="15"/>
      <c r="L2954" s="15"/>
      <c r="M2954" s="15"/>
    </row>
    <row r="2955" spans="1:13" x14ac:dyDescent="0.25">
      <c r="A2955" s="23">
        <f t="shared" si="147"/>
        <v>238216</v>
      </c>
      <c r="B2955" s="14" t="str">
        <f t="shared" si="146"/>
        <v>Direct Debit (UMB Bank) - Credits</v>
      </c>
      <c r="C2955" s="37">
        <v>46157</v>
      </c>
      <c r="D2955" s="31">
        <v>238216</v>
      </c>
      <c r="E2955" s="33" t="str">
        <f>IF(Table3[[#This Row],[Type Received]]=2,"CC",(IF(Table3[[#This Row],[Type Received]]=3,"BILL","ACH")))</f>
        <v>ACH</v>
      </c>
      <c r="F2955" s="32">
        <v>171.67</v>
      </c>
      <c r="G2955" s="14" t="str">
        <f>VLOOKUP(D2955,Table4[],3,FALSE)</f>
        <v>2</v>
      </c>
      <c r="H2955" s="15"/>
      <c r="I2955" s="15"/>
      <c r="J2955" s="15" t="s">
        <v>87</v>
      </c>
      <c r="K2955" s="15">
        <v>696796412</v>
      </c>
      <c r="L2955" s="15" t="s">
        <v>29</v>
      </c>
      <c r="M2955" s="15"/>
    </row>
    <row r="2956" spans="1:13" x14ac:dyDescent="0.25">
      <c r="A2956" s="23">
        <f t="shared" si="147"/>
        <v>238229</v>
      </c>
      <c r="B2956" s="14" t="str">
        <f t="shared" si="146"/>
        <v>Direct Debit (UMB Bank) - Credits</v>
      </c>
      <c r="C2956" s="38">
        <v>46157</v>
      </c>
      <c r="D2956" s="34">
        <v>238229</v>
      </c>
      <c r="E2956" s="36" t="str">
        <f>IF(Table3[[#This Row],[Type Received]]=2,"CC",(IF(Table3[[#This Row],[Type Received]]=3,"BILL","ACH")))</f>
        <v>ACH</v>
      </c>
      <c r="F2956" s="35">
        <v>76.95</v>
      </c>
      <c r="G2956" s="14" t="str">
        <f>VLOOKUP(D2956,Table4[],3,FALSE)</f>
        <v>2</v>
      </c>
      <c r="H2956" s="15"/>
      <c r="I2956" s="15"/>
      <c r="J2956" s="15" t="s">
        <v>87</v>
      </c>
      <c r="K2956" s="15">
        <v>696805102</v>
      </c>
      <c r="L2956" s="15" t="s">
        <v>29</v>
      </c>
      <c r="M2956" s="15"/>
    </row>
    <row r="2957" spans="1:13" x14ac:dyDescent="0.25">
      <c r="A2957" s="23">
        <f t="shared" si="147"/>
        <v>238231</v>
      </c>
      <c r="B2957" s="14" t="str">
        <f t="shared" si="146"/>
        <v>Direct Debit (UMB Bank) - Credits</v>
      </c>
      <c r="C2957" s="37">
        <v>46157</v>
      </c>
      <c r="D2957" s="31">
        <v>238231</v>
      </c>
      <c r="E2957" s="33" t="str">
        <f>IF(Table3[[#This Row],[Type Received]]=2,"CC",(IF(Table3[[#This Row],[Type Received]]=3,"BILL","ACH")))</f>
        <v>ACH</v>
      </c>
      <c r="F2957" s="32">
        <v>23.39</v>
      </c>
      <c r="G2957" s="14" t="str">
        <f>VLOOKUP(D2957,Table4[],3,FALSE)</f>
        <v>1</v>
      </c>
      <c r="H2957" s="15"/>
      <c r="I2957" s="15"/>
      <c r="J2957" s="15" t="s">
        <v>87</v>
      </c>
      <c r="K2957" s="15">
        <v>696790581</v>
      </c>
      <c r="L2957" s="15" t="s">
        <v>29</v>
      </c>
      <c r="M2957" s="15"/>
    </row>
    <row r="2958" spans="1:13" x14ac:dyDescent="0.25">
      <c r="A2958" s="23">
        <f t="shared" si="147"/>
        <v>238236</v>
      </c>
      <c r="B2958" s="14" t="str">
        <f t="shared" si="146"/>
        <v>Billing - Credits (from TPA)</v>
      </c>
      <c r="C2958" s="38">
        <v>46145</v>
      </c>
      <c r="D2958" s="34">
        <v>238236</v>
      </c>
      <c r="E2958" s="36" t="str">
        <f>IF(Table3[[#This Row],[Type Received]]=2,"CC",(IF(Table3[[#This Row],[Type Received]]=3,"BILL","ACH")))</f>
        <v>BILL</v>
      </c>
      <c r="F2958" s="35">
        <v>71.349999999999994</v>
      </c>
      <c r="G2958" s="14" t="str">
        <f>VLOOKUP(D2958,Table4[],3,FALSE)</f>
        <v>2</v>
      </c>
      <c r="H2958" s="15"/>
      <c r="I2958" s="15"/>
      <c r="J2958" s="15" t="s">
        <v>113</v>
      </c>
      <c r="K2958" s="15">
        <v>546429884</v>
      </c>
      <c r="L2958" s="15" t="s">
        <v>29</v>
      </c>
      <c r="M2958" s="15"/>
    </row>
    <row r="2959" spans="1:13" x14ac:dyDescent="0.25">
      <c r="A2959" s="23">
        <f t="shared" si="147"/>
        <v>238242</v>
      </c>
      <c r="B2959" s="14" t="str">
        <f t="shared" si="146"/>
        <v>Credit Cards (UMB) - Credits</v>
      </c>
      <c r="C2959" s="37">
        <v>46147</v>
      </c>
      <c r="D2959" s="31">
        <v>238242</v>
      </c>
      <c r="E2959" s="33" t="str">
        <f>IF(Table3[[#This Row],[Type Received]]=2,"CC",(IF(Table3[[#This Row],[Type Received]]=3,"BILL","ACH")))</f>
        <v>CC</v>
      </c>
      <c r="F2959" s="32">
        <v>122.95</v>
      </c>
      <c r="G2959" s="14" t="str">
        <f>VLOOKUP(D2959,Table4[],3,FALSE)</f>
        <v>1</v>
      </c>
      <c r="H2959" s="15">
        <v>989192</v>
      </c>
      <c r="I2959" s="15"/>
      <c r="J2959" s="15"/>
      <c r="K2959" s="15"/>
      <c r="L2959" s="15"/>
      <c r="M2959" s="15"/>
    </row>
    <row r="2960" spans="1:13" x14ac:dyDescent="0.25">
      <c r="A2960" s="23">
        <f t="shared" si="147"/>
        <v>238245</v>
      </c>
      <c r="B2960" s="14" t="str">
        <f t="shared" si="146"/>
        <v>Billing - Credits (from TPA)</v>
      </c>
      <c r="C2960" s="38">
        <v>46147</v>
      </c>
      <c r="D2960" s="34">
        <v>238245</v>
      </c>
      <c r="E2960" s="36" t="str">
        <f>IF(Table3[[#This Row],[Type Received]]=2,"CC",(IF(Table3[[#This Row],[Type Received]]=3,"BILL","ACH")))</f>
        <v>BILL</v>
      </c>
      <c r="F2960" s="35">
        <v>186.34</v>
      </c>
      <c r="G2960" s="14" t="str">
        <f>VLOOKUP(D2960,Table4[],3,FALSE)</f>
        <v>2</v>
      </c>
      <c r="H2960" s="15"/>
      <c r="I2960" s="15">
        <v>46663</v>
      </c>
      <c r="J2960" s="15" t="s">
        <v>28</v>
      </c>
      <c r="K2960" s="15">
        <v>570169998</v>
      </c>
      <c r="L2960" s="15" t="s">
        <v>29</v>
      </c>
      <c r="M2960" s="15"/>
    </row>
    <row r="2961" spans="1:13" x14ac:dyDescent="0.25">
      <c r="A2961" s="23">
        <f t="shared" si="147"/>
        <v>238251</v>
      </c>
      <c r="B2961" s="14" t="str">
        <f t="shared" si="146"/>
        <v>Billing - Credits (from TPA)</v>
      </c>
      <c r="C2961" s="37">
        <v>46156</v>
      </c>
      <c r="D2961" s="31">
        <v>238251</v>
      </c>
      <c r="E2961" s="33" t="str">
        <f>IF(Table3[[#This Row],[Type Received]]=2,"CC",(IF(Table3[[#This Row],[Type Received]]=3,"BILL","ACH")))</f>
        <v>BILL</v>
      </c>
      <c r="F2961" s="32">
        <v>60.69</v>
      </c>
      <c r="G2961" s="14" t="str">
        <f>VLOOKUP(D2961,Table4[],3,FALSE)</f>
        <v>1</v>
      </c>
      <c r="H2961" s="15">
        <v>996842</v>
      </c>
      <c r="I2961" s="15"/>
      <c r="J2961" s="15"/>
      <c r="K2961" s="15"/>
      <c r="L2961" s="15"/>
      <c r="M2961" s="15"/>
    </row>
    <row r="2962" spans="1:13" x14ac:dyDescent="0.25">
      <c r="A2962" s="23">
        <f t="shared" si="147"/>
        <v>238273</v>
      </c>
      <c r="B2962" s="14" t="str">
        <f t="shared" si="146"/>
        <v>Direct Debit (UMB Bank) - Credits</v>
      </c>
      <c r="C2962" s="38">
        <v>46143</v>
      </c>
      <c r="D2962" s="34">
        <v>238273</v>
      </c>
      <c r="E2962" s="36" t="str">
        <f>IF(Table3[[#This Row],[Type Received]]=2,"CC",(IF(Table3[[#This Row],[Type Received]]=3,"BILL","ACH")))</f>
        <v>ACH</v>
      </c>
      <c r="F2962" s="35">
        <v>45.29</v>
      </c>
      <c r="G2962" s="14" t="str">
        <f>VLOOKUP(D2962,Table4[],3,FALSE)</f>
        <v>2</v>
      </c>
      <c r="H2962" s="15">
        <v>921402601</v>
      </c>
      <c r="I2962" s="15"/>
      <c r="J2962" s="15"/>
      <c r="K2962" s="15"/>
      <c r="L2962" s="15"/>
      <c r="M2962" s="15"/>
    </row>
    <row r="2963" spans="1:13" x14ac:dyDescent="0.25">
      <c r="A2963" s="23">
        <f t="shared" si="147"/>
        <v>238403</v>
      </c>
      <c r="B2963" s="14" t="str">
        <f t="shared" si="146"/>
        <v>Direct Debit (UMB Bank) - Credits</v>
      </c>
      <c r="C2963" s="37">
        <v>46145</v>
      </c>
      <c r="D2963" s="31">
        <v>238403</v>
      </c>
      <c r="E2963" s="33" t="str">
        <f>IF(Table3[[#This Row],[Type Received]]=2,"CC",(IF(Table3[[#This Row],[Type Received]]=3,"BILL","ACH")))</f>
        <v>ACH</v>
      </c>
      <c r="F2963" s="32">
        <v>76.95</v>
      </c>
      <c r="G2963" s="14" t="str">
        <f>VLOOKUP(D2963,Table4[],3,FALSE)</f>
        <v>2</v>
      </c>
      <c r="H2963" s="15"/>
      <c r="I2963" s="15"/>
      <c r="J2963" s="15" t="s">
        <v>113</v>
      </c>
      <c r="K2963" s="15">
        <v>546430879</v>
      </c>
      <c r="L2963" s="15" t="s">
        <v>29</v>
      </c>
      <c r="M2963" s="15"/>
    </row>
    <row r="2964" spans="1:13" x14ac:dyDescent="0.25">
      <c r="A2964" s="23">
        <f t="shared" si="147"/>
        <v>239219</v>
      </c>
      <c r="B2964" s="14" t="str">
        <f t="shared" si="146"/>
        <v>Direct Debit (UMB Bank) - Credits</v>
      </c>
      <c r="C2964" s="38">
        <v>46145</v>
      </c>
      <c r="D2964" s="34">
        <v>239219</v>
      </c>
      <c r="E2964" s="36" t="str">
        <f>IF(Table3[[#This Row],[Type Received]]=2,"CC",(IF(Table3[[#This Row],[Type Received]]=3,"BILL","ACH")))</f>
        <v>ACH</v>
      </c>
      <c r="F2964" s="35">
        <v>76.95</v>
      </c>
      <c r="G2964" s="14" t="str">
        <f>VLOOKUP(D2964,Table4[],3,FALSE)</f>
        <v>2</v>
      </c>
      <c r="H2964" s="15"/>
      <c r="I2964" s="15"/>
      <c r="J2964" s="15" t="s">
        <v>113</v>
      </c>
      <c r="K2964" s="15">
        <v>546432782</v>
      </c>
      <c r="L2964" s="15" t="s">
        <v>29</v>
      </c>
      <c r="M2964" s="15"/>
    </row>
    <row r="2965" spans="1:13" x14ac:dyDescent="0.25">
      <c r="A2965" s="23">
        <f t="shared" si="147"/>
        <v>239221</v>
      </c>
      <c r="B2965" s="14" t="str">
        <f t="shared" si="146"/>
        <v>Direct Debit (UMB Bank) - Credits</v>
      </c>
      <c r="C2965" s="37">
        <v>46164</v>
      </c>
      <c r="D2965" s="31">
        <v>239221</v>
      </c>
      <c r="E2965" s="33" t="str">
        <f>IF(Table3[[#This Row],[Type Received]]=2,"CC",(IF(Table3[[#This Row],[Type Received]]=3,"BILL","ACH")))</f>
        <v>ACH</v>
      </c>
      <c r="F2965" s="32">
        <v>230.85</v>
      </c>
      <c r="G2965" s="14" t="str">
        <f>VLOOKUP(D2965,Table4[],3,FALSE)</f>
        <v>2</v>
      </c>
      <c r="H2965" s="15"/>
      <c r="I2965" s="15"/>
      <c r="J2965" s="15" t="s">
        <v>118</v>
      </c>
      <c r="K2965" s="15">
        <v>784586930</v>
      </c>
      <c r="L2965" s="15" t="s">
        <v>29</v>
      </c>
      <c r="M2965" s="15"/>
    </row>
    <row r="2966" spans="1:13" x14ac:dyDescent="0.25">
      <c r="A2966" s="23">
        <f t="shared" si="147"/>
        <v>239221</v>
      </c>
      <c r="B2966" s="14" t="str">
        <f t="shared" si="146"/>
        <v>Credit Cards (UMB) - Credits</v>
      </c>
      <c r="C2966" s="38">
        <v>46158</v>
      </c>
      <c r="D2966" s="34">
        <v>239221</v>
      </c>
      <c r="E2966" s="36" t="str">
        <f>IF(Table3[[#This Row],[Type Received]]=2,"CC",(IF(Table3[[#This Row],[Type Received]]=3,"BILL","ACH")))</f>
        <v>CC</v>
      </c>
      <c r="F2966" s="35">
        <v>76.95</v>
      </c>
      <c r="G2966" s="14" t="str">
        <f>VLOOKUP(D2966,Table4[],3,FALSE)</f>
        <v>2</v>
      </c>
      <c r="H2966" s="15"/>
      <c r="I2966" s="15"/>
      <c r="J2966" s="15" t="s">
        <v>106</v>
      </c>
      <c r="K2966" s="15">
        <v>710054729</v>
      </c>
      <c r="L2966" s="15" t="s">
        <v>29</v>
      </c>
      <c r="M2966" s="15"/>
    </row>
    <row r="2967" spans="1:13" x14ac:dyDescent="0.25">
      <c r="A2967" s="23">
        <f t="shared" si="147"/>
        <v>239232</v>
      </c>
      <c r="B2967" s="14" t="str">
        <f t="shared" si="146"/>
        <v>Billing - Credits (from TPA)</v>
      </c>
      <c r="C2967" s="37">
        <v>46143</v>
      </c>
      <c r="D2967" s="31">
        <v>239232</v>
      </c>
      <c r="E2967" s="33" t="str">
        <f>IF(Table3[[#This Row],[Type Received]]=2,"CC",(IF(Table3[[#This Row],[Type Received]]=3,"BILL","ACH")))</f>
        <v>BILL</v>
      </c>
      <c r="F2967" s="32">
        <v>71.349999999999994</v>
      </c>
      <c r="G2967" s="14" t="str">
        <f>VLOOKUP(D2967,Table4[],3,FALSE)</f>
        <v>2</v>
      </c>
      <c r="H2967" s="15"/>
      <c r="I2967" s="15">
        <v>45</v>
      </c>
      <c r="J2967" s="24" t="s">
        <v>28</v>
      </c>
      <c r="K2967" s="15">
        <v>522178357</v>
      </c>
      <c r="L2967" s="15" t="s">
        <v>29</v>
      </c>
      <c r="M2967" s="15"/>
    </row>
    <row r="2968" spans="1:13" x14ac:dyDescent="0.25">
      <c r="A2968" s="23">
        <f t="shared" si="147"/>
        <v>239283</v>
      </c>
      <c r="B2968" s="14" t="str">
        <f t="shared" si="146"/>
        <v>Direct Debit (UMB Bank) - Credits</v>
      </c>
      <c r="C2968" s="38">
        <v>46146</v>
      </c>
      <c r="D2968" s="34">
        <v>239283</v>
      </c>
      <c r="E2968" s="36" t="str">
        <f>IF(Table3[[#This Row],[Type Received]]=2,"CC",(IF(Table3[[#This Row],[Type Received]]=3,"BILL","ACH")))</f>
        <v>ACH</v>
      </c>
      <c r="F2968" s="35">
        <v>98.97</v>
      </c>
      <c r="G2968" s="14" t="str">
        <f>VLOOKUP(D2968,Table4[],3,FALSE)</f>
        <v>1</v>
      </c>
      <c r="H2968" s="15">
        <v>594</v>
      </c>
      <c r="I2968" s="15"/>
      <c r="J2968" s="15"/>
      <c r="K2968" s="15"/>
      <c r="L2968" s="15"/>
      <c r="M2968" s="15"/>
    </row>
    <row r="2969" spans="1:13" x14ac:dyDescent="0.25">
      <c r="A2969" s="23">
        <f t="shared" si="147"/>
        <v>239296</v>
      </c>
      <c r="B2969" s="14" t="str">
        <f t="shared" si="146"/>
        <v>Credit Cards (UMB) - Credits</v>
      </c>
      <c r="C2969" s="37">
        <v>46167</v>
      </c>
      <c r="D2969" s="31">
        <v>239296</v>
      </c>
      <c r="E2969" s="33" t="str">
        <f>IF(Table3[[#This Row],[Type Received]]=2,"CC",(IF(Table3[[#This Row],[Type Received]]=3,"BILL","ACH")))</f>
        <v>CC</v>
      </c>
      <c r="F2969" s="32">
        <v>71.349999999999994</v>
      </c>
      <c r="G2969" s="14" t="str">
        <f>VLOOKUP(D2969,Table4[],3,FALSE)</f>
        <v>2</v>
      </c>
      <c r="H2969" s="15"/>
      <c r="I2969" s="15"/>
      <c r="J2969" s="24" t="s">
        <v>85</v>
      </c>
      <c r="K2969" s="15">
        <v>818389331</v>
      </c>
      <c r="L2969" s="15" t="s">
        <v>29</v>
      </c>
      <c r="M2969" s="15"/>
    </row>
    <row r="2970" spans="1:13" x14ac:dyDescent="0.25">
      <c r="A2970" s="23">
        <f t="shared" si="147"/>
        <v>239327</v>
      </c>
      <c r="B2970" s="14" t="str">
        <f t="shared" si="146"/>
        <v>Direct Debit (UMB Bank) - Credits</v>
      </c>
      <c r="C2970" s="38">
        <v>46149</v>
      </c>
      <c r="D2970" s="34">
        <v>239327</v>
      </c>
      <c r="E2970" s="36" t="str">
        <f>IF(Table3[[#This Row],[Type Received]]=2,"CC",(IF(Table3[[#This Row],[Type Received]]=3,"BILL","ACH")))</f>
        <v>ACH</v>
      </c>
      <c r="F2970" s="35">
        <v>163.41999999999999</v>
      </c>
      <c r="G2970" s="14" t="str">
        <f>VLOOKUP(D2970,Table4[],3,FALSE)</f>
        <v>2</v>
      </c>
      <c r="H2970" s="15"/>
      <c r="I2970" s="15">
        <v>86501</v>
      </c>
      <c r="J2970" s="15" t="s">
        <v>28</v>
      </c>
      <c r="K2970" s="15">
        <v>594881056</v>
      </c>
      <c r="L2970" s="15" t="s">
        <v>29</v>
      </c>
      <c r="M2970" s="15"/>
    </row>
    <row r="2971" spans="1:13" x14ac:dyDescent="0.25">
      <c r="A2971" s="23">
        <f t="shared" si="147"/>
        <v>239356</v>
      </c>
      <c r="B2971" s="14" t="str">
        <f t="shared" si="146"/>
        <v>Direct Debit (UMB Bank) - Credits</v>
      </c>
      <c r="C2971" s="37">
        <v>46156</v>
      </c>
      <c r="D2971" s="31">
        <v>239356</v>
      </c>
      <c r="E2971" s="33" t="str">
        <f>IF(Table3[[#This Row],[Type Received]]=2,"CC",(IF(Table3[[#This Row],[Type Received]]=3,"BILL","ACH")))</f>
        <v>ACH</v>
      </c>
      <c r="F2971" s="32">
        <v>122.5</v>
      </c>
      <c r="G2971" s="14" t="str">
        <f>VLOOKUP(D2971,Table4[],3,FALSE)</f>
        <v>2</v>
      </c>
      <c r="H2971" s="15"/>
      <c r="I2971" s="15"/>
      <c r="J2971" s="15" t="s">
        <v>93</v>
      </c>
      <c r="K2971" s="15">
        <v>682532667</v>
      </c>
      <c r="L2971" s="15" t="s">
        <v>29</v>
      </c>
      <c r="M2971" s="15"/>
    </row>
    <row r="2972" spans="1:13" x14ac:dyDescent="0.25">
      <c r="A2972" s="23">
        <f t="shared" si="147"/>
        <v>239363</v>
      </c>
      <c r="B2972" s="14" t="str">
        <f t="shared" si="146"/>
        <v>Direct Debit (UMB Bank) - Credits</v>
      </c>
      <c r="C2972" s="38">
        <v>46167</v>
      </c>
      <c r="D2972" s="34">
        <v>239363</v>
      </c>
      <c r="E2972" s="36" t="str">
        <f>IF(Table3[[#This Row],[Type Received]]=2,"CC",(IF(Table3[[#This Row],[Type Received]]=3,"BILL","ACH")))</f>
        <v>ACH</v>
      </c>
      <c r="F2972" s="35">
        <v>56.95</v>
      </c>
      <c r="G2972" s="14" t="str">
        <f>VLOOKUP(D2972,Table4[],3,FALSE)</f>
        <v>1</v>
      </c>
      <c r="H2972" s="15"/>
      <c r="I2972" s="15"/>
      <c r="J2972" s="15" t="s">
        <v>85</v>
      </c>
      <c r="K2972" s="15">
        <v>818389340</v>
      </c>
      <c r="L2972" s="15" t="s">
        <v>29</v>
      </c>
      <c r="M2972" s="15"/>
    </row>
    <row r="2973" spans="1:13" x14ac:dyDescent="0.25">
      <c r="A2973" s="23">
        <f t="shared" si="147"/>
        <v>239017</v>
      </c>
      <c r="B2973" s="14" t="str">
        <f t="shared" si="146"/>
        <v>Credit Cards (UMB) - Credits</v>
      </c>
      <c r="C2973" s="37">
        <v>46145</v>
      </c>
      <c r="D2973" s="31">
        <v>239017</v>
      </c>
      <c r="E2973" s="33" t="str">
        <f>IF(Table3[[#This Row],[Type Received]]=2,"CC",(IF(Table3[[#This Row],[Type Received]]=3,"BILL","ACH")))</f>
        <v>CC</v>
      </c>
      <c r="F2973" s="32">
        <v>25.15</v>
      </c>
      <c r="G2973" s="14" t="str">
        <f>VLOOKUP(D2973,Table4[],3,FALSE)</f>
        <v>1</v>
      </c>
      <c r="H2973" s="15"/>
      <c r="I2973" s="15"/>
      <c r="J2973" s="15" t="s">
        <v>113</v>
      </c>
      <c r="K2973" s="15">
        <v>546425451</v>
      </c>
      <c r="L2973" s="15" t="s">
        <v>29</v>
      </c>
      <c r="M2973" s="15"/>
    </row>
    <row r="2974" spans="1:13" x14ac:dyDescent="0.25">
      <c r="A2974" s="23">
        <f t="shared" si="147"/>
        <v>239057</v>
      </c>
      <c r="B2974" s="14" t="str">
        <f t="shared" si="146"/>
        <v>Direct Debit (UMB Bank) - Credits</v>
      </c>
      <c r="C2974" s="38">
        <v>46170</v>
      </c>
      <c r="D2974" s="34">
        <v>239057</v>
      </c>
      <c r="E2974" s="36" t="str">
        <f>IF(Table3[[#This Row],[Type Received]]=2,"CC",(IF(Table3[[#This Row],[Type Received]]=3,"BILL","ACH")))</f>
        <v>ACH</v>
      </c>
      <c r="F2974" s="35">
        <v>123.83</v>
      </c>
      <c r="G2974" s="14" t="str">
        <f>VLOOKUP(D2974,Table4[],3,FALSE)</f>
        <v>2</v>
      </c>
      <c r="H2974" s="15"/>
      <c r="I2974" s="15">
        <v>271410</v>
      </c>
      <c r="J2974" s="15" t="s">
        <v>28</v>
      </c>
      <c r="K2974" s="15">
        <v>857608073</v>
      </c>
      <c r="L2974" s="15" t="s">
        <v>29</v>
      </c>
      <c r="M2974" s="15"/>
    </row>
    <row r="2975" spans="1:13" x14ac:dyDescent="0.25">
      <c r="A2975" s="23">
        <f t="shared" si="147"/>
        <v>239121</v>
      </c>
      <c r="B2975" s="14" t="str">
        <f t="shared" si="146"/>
        <v>Direct Debit (UMB Bank) - Credits</v>
      </c>
      <c r="C2975" s="37">
        <v>46167</v>
      </c>
      <c r="D2975" s="31">
        <v>239121</v>
      </c>
      <c r="E2975" s="33" t="str">
        <f>IF(Table3[[#This Row],[Type Received]]=2,"CC",(IF(Table3[[#This Row],[Type Received]]=3,"BILL","ACH")))</f>
        <v>ACH</v>
      </c>
      <c r="F2975" s="32">
        <v>76.95</v>
      </c>
      <c r="G2975" s="14" t="str">
        <f>VLOOKUP(D2975,Table4[],3,FALSE)</f>
        <v>2</v>
      </c>
      <c r="H2975" s="15"/>
      <c r="I2975" s="15"/>
      <c r="J2975" s="15" t="s">
        <v>85</v>
      </c>
      <c r="K2975" s="15">
        <v>818388322</v>
      </c>
      <c r="L2975" s="15" t="s">
        <v>29</v>
      </c>
      <c r="M2975" s="15"/>
    </row>
    <row r="2976" spans="1:13" x14ac:dyDescent="0.25">
      <c r="A2976" s="23">
        <f t="shared" si="147"/>
        <v>239144</v>
      </c>
      <c r="B2976" s="14" t="str">
        <f t="shared" si="146"/>
        <v>Direct Debit (UMB Bank) - Credits</v>
      </c>
      <c r="C2976" s="38">
        <v>46158</v>
      </c>
      <c r="D2976" s="34">
        <v>239144</v>
      </c>
      <c r="E2976" s="36" t="str">
        <f>IF(Table3[[#This Row],[Type Received]]=2,"CC",(IF(Table3[[#This Row],[Type Received]]=3,"BILL","ACH")))</f>
        <v>ACH</v>
      </c>
      <c r="F2976" s="35">
        <v>56.95</v>
      </c>
      <c r="G2976" s="14" t="str">
        <f>VLOOKUP(D2976,Table4[],3,FALSE)</f>
        <v>1</v>
      </c>
      <c r="H2976" s="15"/>
      <c r="I2976" s="15"/>
      <c r="J2976" s="15" t="s">
        <v>106</v>
      </c>
      <c r="K2976" s="15">
        <v>710059508</v>
      </c>
      <c r="L2976" s="15" t="s">
        <v>29</v>
      </c>
      <c r="M2976" s="15"/>
    </row>
    <row r="2977" spans="1:13" x14ac:dyDescent="0.25">
      <c r="A2977" s="23">
        <f t="shared" si="147"/>
        <v>239204</v>
      </c>
      <c r="B2977" s="14" t="str">
        <f t="shared" si="146"/>
        <v>Credit Cards (UMB) - Credits</v>
      </c>
      <c r="C2977" s="37">
        <v>46143</v>
      </c>
      <c r="D2977" s="31">
        <v>239204</v>
      </c>
      <c r="E2977" s="33" t="str">
        <f>IF(Table3[[#This Row],[Type Received]]=2,"CC",(IF(Table3[[#This Row],[Type Received]]=3,"BILL","ACH")))</f>
        <v>CC</v>
      </c>
      <c r="F2977" s="32">
        <v>121.95</v>
      </c>
      <c r="G2977" s="14" t="str">
        <f>VLOOKUP(D2977,Table4[],3,FALSE)</f>
        <v>1</v>
      </c>
      <c r="H2977" s="15"/>
      <c r="I2977" s="15"/>
      <c r="J2977" s="15" t="s">
        <v>84</v>
      </c>
      <c r="K2977" s="15">
        <v>522214468</v>
      </c>
      <c r="L2977" s="15" t="s">
        <v>29</v>
      </c>
      <c r="M2977" s="15"/>
    </row>
    <row r="2978" spans="1:13" x14ac:dyDescent="0.25">
      <c r="A2978" s="23">
        <f t="shared" si="147"/>
        <v>239456</v>
      </c>
      <c r="B2978" s="14" t="str">
        <f t="shared" si="146"/>
        <v>Direct Debit (UMB Bank) - Credits</v>
      </c>
      <c r="C2978" s="38">
        <v>46164</v>
      </c>
      <c r="D2978" s="34">
        <v>239456</v>
      </c>
      <c r="E2978" s="36" t="str">
        <f>IF(Table3[[#This Row],[Type Received]]=2,"CC",(IF(Table3[[#This Row],[Type Received]]=3,"BILL","ACH")))</f>
        <v>ACH</v>
      </c>
      <c r="F2978" s="35">
        <v>137.74</v>
      </c>
      <c r="G2978" s="14" t="str">
        <f>VLOOKUP(D2978,Table4[],3,FALSE)</f>
        <v>2</v>
      </c>
      <c r="H2978" s="15"/>
      <c r="I2978" s="15">
        <v>83086</v>
      </c>
      <c r="J2978" s="15" t="s">
        <v>28</v>
      </c>
      <c r="K2978" s="15">
        <v>786104015</v>
      </c>
      <c r="L2978" s="15" t="s">
        <v>29</v>
      </c>
      <c r="M2978" s="15"/>
    </row>
    <row r="2979" spans="1:13" x14ac:dyDescent="0.25">
      <c r="A2979" s="23">
        <f t="shared" si="147"/>
        <v>239481</v>
      </c>
      <c r="B2979" s="14" t="str">
        <f t="shared" si="146"/>
        <v>Direct Debit (UMB Bank) - Credits</v>
      </c>
      <c r="C2979" s="37">
        <v>46158</v>
      </c>
      <c r="D2979" s="31">
        <v>239481</v>
      </c>
      <c r="E2979" s="33" t="str">
        <f>IF(Table3[[#This Row],[Type Received]]=2,"CC",(IF(Table3[[#This Row],[Type Received]]=3,"BILL","ACH")))</f>
        <v>ACH</v>
      </c>
      <c r="F2979" s="32">
        <v>36.700000000000003</v>
      </c>
      <c r="G2979" s="14" t="str">
        <f>VLOOKUP(D2979,Table4[],3,FALSE)</f>
        <v>2</v>
      </c>
      <c r="H2979" s="15"/>
      <c r="I2979" s="15"/>
      <c r="J2979" s="15" t="s">
        <v>106</v>
      </c>
      <c r="K2979" s="15">
        <v>710074294</v>
      </c>
      <c r="L2979" s="15" t="s">
        <v>29</v>
      </c>
      <c r="M2979" s="15"/>
    </row>
    <row r="2980" spans="1:13" x14ac:dyDescent="0.25">
      <c r="A2980" s="23">
        <f t="shared" si="147"/>
        <v>239528</v>
      </c>
      <c r="B2980" s="14" t="str">
        <f t="shared" si="146"/>
        <v>Billing - Credits (from TPA)</v>
      </c>
      <c r="C2980" s="38">
        <v>46167</v>
      </c>
      <c r="D2980" s="34">
        <v>239528</v>
      </c>
      <c r="E2980" s="36" t="str">
        <f>IF(Table3[[#This Row],[Type Received]]=2,"CC",(IF(Table3[[#This Row],[Type Received]]=3,"BILL","ACH")))</f>
        <v>BILL</v>
      </c>
      <c r="F2980" s="35">
        <v>81.47</v>
      </c>
      <c r="G2980" s="14" t="str">
        <f>VLOOKUP(D2980,Table4[],3,FALSE)</f>
        <v>1</v>
      </c>
      <c r="H2980" s="15"/>
      <c r="I2980" s="15"/>
      <c r="J2980" s="24" t="s">
        <v>85</v>
      </c>
      <c r="K2980" s="15">
        <v>818376783</v>
      </c>
      <c r="L2980" s="15" t="s">
        <v>29</v>
      </c>
      <c r="M2980" s="15"/>
    </row>
    <row r="2981" spans="1:13" x14ac:dyDescent="0.25">
      <c r="A2981" s="23">
        <f t="shared" si="147"/>
        <v>239567</v>
      </c>
      <c r="B2981" s="14" t="str">
        <f t="shared" si="146"/>
        <v>Direct Debit (UMB Bank) - Credits</v>
      </c>
      <c r="C2981" s="37">
        <v>46168</v>
      </c>
      <c r="D2981" s="31">
        <v>239567</v>
      </c>
      <c r="E2981" s="33" t="str">
        <f>IF(Table3[[#This Row],[Type Received]]=2,"CC",(IF(Table3[[#This Row],[Type Received]]=3,"BILL","ACH")))</f>
        <v>ACH</v>
      </c>
      <c r="F2981" s="32">
        <v>82.1</v>
      </c>
      <c r="G2981" s="14" t="str">
        <f>VLOOKUP(D2981,Table4[],3,FALSE)</f>
        <v>1</v>
      </c>
      <c r="H2981" s="15">
        <v>9432724529</v>
      </c>
      <c r="I2981" s="15"/>
      <c r="J2981" s="15"/>
      <c r="K2981" s="15"/>
      <c r="L2981" s="15"/>
      <c r="M2981" s="15"/>
    </row>
    <row r="2982" spans="1:13" x14ac:dyDescent="0.25">
      <c r="A2982" s="23">
        <f t="shared" ref="A2982:A3013" si="148">D2982</f>
        <v>239621</v>
      </c>
      <c r="B2982" s="14" t="str">
        <f t="shared" si="146"/>
        <v>Direct Debit (UMB Bank) - Credits</v>
      </c>
      <c r="C2982" s="38">
        <v>46167</v>
      </c>
      <c r="D2982" s="34">
        <v>239621</v>
      </c>
      <c r="E2982" s="36" t="str">
        <f>IF(Table3[[#This Row],[Type Received]]=2,"CC",(IF(Table3[[#This Row],[Type Received]]=3,"BILL","ACH")))</f>
        <v>ACH</v>
      </c>
      <c r="F2982" s="35">
        <v>71.680000000000007</v>
      </c>
      <c r="G2982" s="14" t="str">
        <f>VLOOKUP(D2982,Table4[],3,FALSE)</f>
        <v>2</v>
      </c>
      <c r="H2982" s="15"/>
      <c r="I2982" s="15"/>
      <c r="J2982" s="15" t="s">
        <v>85</v>
      </c>
      <c r="K2982" s="15">
        <v>818379756</v>
      </c>
      <c r="L2982" s="15" t="s">
        <v>29</v>
      </c>
      <c r="M2982" s="15"/>
    </row>
    <row r="2983" spans="1:13" x14ac:dyDescent="0.25">
      <c r="A2983" s="23">
        <f t="shared" si="148"/>
        <v>239647</v>
      </c>
      <c r="B2983" s="14" t="str">
        <f t="shared" si="146"/>
        <v>Credit Cards (UMB) - Credits</v>
      </c>
      <c r="C2983" s="37">
        <v>46145</v>
      </c>
      <c r="D2983" s="31">
        <v>239647</v>
      </c>
      <c r="E2983" s="33" t="str">
        <f>IF(Table3[[#This Row],[Type Received]]=2,"CC",(IF(Table3[[#This Row],[Type Received]]=3,"BILL","ACH")))</f>
        <v>CC</v>
      </c>
      <c r="F2983" s="32">
        <v>62.11</v>
      </c>
      <c r="G2983" s="14" t="str">
        <f>VLOOKUP(D2983,Table4[],3,FALSE)</f>
        <v>1</v>
      </c>
      <c r="H2983" s="15"/>
      <c r="I2983" s="15"/>
      <c r="J2983" s="15" t="s">
        <v>113</v>
      </c>
      <c r="K2983" s="15">
        <v>546446373</v>
      </c>
      <c r="L2983" s="15" t="s">
        <v>29</v>
      </c>
      <c r="M2983" s="15"/>
    </row>
    <row r="2984" spans="1:13" x14ac:dyDescent="0.25">
      <c r="A2984" s="23">
        <f t="shared" si="148"/>
        <v>239650</v>
      </c>
      <c r="B2984" s="14" t="str">
        <f t="shared" si="146"/>
        <v>Direct Debit (UMB Bank) - Credits</v>
      </c>
      <c r="C2984" s="38">
        <v>46161</v>
      </c>
      <c r="D2984" s="34">
        <v>239650</v>
      </c>
      <c r="E2984" s="36" t="str">
        <f>IF(Table3[[#This Row],[Type Received]]=2,"CC",(IF(Table3[[#This Row],[Type Received]]=3,"BILL","ACH")))</f>
        <v>ACH</v>
      </c>
      <c r="F2984" s="35">
        <v>83.13</v>
      </c>
      <c r="G2984" s="14" t="str">
        <f>VLOOKUP(D2984,Table4[],3,FALSE)</f>
        <v>1</v>
      </c>
      <c r="H2984" s="15"/>
      <c r="I2984" s="15" t="s">
        <v>272</v>
      </c>
      <c r="J2984" s="15">
        <v>746805329</v>
      </c>
      <c r="K2984" s="15">
        <v>355091368</v>
      </c>
      <c r="L2984" s="15"/>
      <c r="M2984" s="15"/>
    </row>
    <row r="2985" spans="1:13" x14ac:dyDescent="0.25">
      <c r="A2985" s="23">
        <f t="shared" si="148"/>
        <v>239660</v>
      </c>
      <c r="B2985" s="14" t="str">
        <f t="shared" si="146"/>
        <v>Direct Debit (UMB Bank) - Credits</v>
      </c>
      <c r="C2985" s="37">
        <v>46167</v>
      </c>
      <c r="D2985" s="31">
        <v>239660</v>
      </c>
      <c r="E2985" s="33" t="str">
        <f>IF(Table3[[#This Row],[Type Received]]=2,"CC",(IF(Table3[[#This Row],[Type Received]]=3,"BILL","ACH")))</f>
        <v>ACH</v>
      </c>
      <c r="F2985" s="32">
        <v>72.34</v>
      </c>
      <c r="G2985" s="14" t="str">
        <f>VLOOKUP(D2985,Table4[],3,FALSE)</f>
        <v>2</v>
      </c>
      <c r="H2985" s="15"/>
      <c r="I2985" s="15"/>
      <c r="J2985" s="15" t="s">
        <v>85</v>
      </c>
      <c r="K2985" s="15">
        <v>818376793</v>
      </c>
      <c r="L2985" s="15" t="s">
        <v>29</v>
      </c>
      <c r="M2985" s="15"/>
    </row>
    <row r="2986" spans="1:13" x14ac:dyDescent="0.25">
      <c r="A2986" s="23">
        <f t="shared" si="148"/>
        <v>239693</v>
      </c>
      <c r="B2986" s="14" t="str">
        <f t="shared" si="146"/>
        <v>Billing - Credits (from TPA)</v>
      </c>
      <c r="C2986" s="38">
        <v>46167</v>
      </c>
      <c r="D2986" s="34">
        <v>239693</v>
      </c>
      <c r="E2986" s="36" t="str">
        <f>IF(Table3[[#This Row],[Type Received]]=2,"CC",(IF(Table3[[#This Row],[Type Received]]=3,"BILL","ACH")))</f>
        <v>BILL</v>
      </c>
      <c r="F2986" s="35">
        <v>95.77</v>
      </c>
      <c r="G2986" s="14" t="str">
        <f>VLOOKUP(D2986,Table4[],3,FALSE)</f>
        <v>1</v>
      </c>
      <c r="H2986" s="15"/>
      <c r="I2986" s="15"/>
      <c r="J2986" s="15" t="s">
        <v>85</v>
      </c>
      <c r="K2986" s="15">
        <v>818371053</v>
      </c>
      <c r="L2986" s="15" t="s">
        <v>29</v>
      </c>
      <c r="M2986" s="15"/>
    </row>
    <row r="2987" spans="1:13" x14ac:dyDescent="0.25">
      <c r="A2987" s="23">
        <f t="shared" si="148"/>
        <v>239766</v>
      </c>
      <c r="B2987" s="14" t="str">
        <f t="shared" si="146"/>
        <v>Direct Debit (UMB Bank) - Credits</v>
      </c>
      <c r="C2987" s="37">
        <v>46150</v>
      </c>
      <c r="D2987" s="31">
        <v>239766</v>
      </c>
      <c r="E2987" s="33" t="str">
        <f>IF(Table3[[#This Row],[Type Received]]=2,"CC",(IF(Table3[[#This Row],[Type Received]]=3,"BILL","ACH")))</f>
        <v>ACH</v>
      </c>
      <c r="F2987" s="32">
        <v>336.7</v>
      </c>
      <c r="G2987" s="14" t="str">
        <f>VLOOKUP(D2987,Table4[],3,FALSE)</f>
        <v>1</v>
      </c>
      <c r="H2987" s="15">
        <v>986907</v>
      </c>
      <c r="I2987" s="15"/>
      <c r="J2987" s="15"/>
      <c r="K2987" s="15"/>
      <c r="L2987" s="15"/>
      <c r="M2987" s="15"/>
    </row>
    <row r="2988" spans="1:13" x14ac:dyDescent="0.25">
      <c r="A2988" s="23">
        <f t="shared" si="148"/>
        <v>240028</v>
      </c>
      <c r="B2988" s="14" t="str">
        <f t="shared" si="146"/>
        <v>Billing - Credits (from TPA)</v>
      </c>
      <c r="C2988" s="38">
        <v>46167</v>
      </c>
      <c r="D2988" s="34">
        <v>240028</v>
      </c>
      <c r="E2988" s="36" t="str">
        <f>IF(Table3[[#This Row],[Type Received]]=2,"CC",(IF(Table3[[#This Row],[Type Received]]=3,"BILL","ACH")))</f>
        <v>BILL</v>
      </c>
      <c r="F2988" s="35">
        <v>63.65</v>
      </c>
      <c r="G2988" s="14" t="str">
        <f>VLOOKUP(D2988,Table4[],3,FALSE)</f>
        <v>1</v>
      </c>
      <c r="H2988" s="15"/>
      <c r="I2988" s="15"/>
      <c r="J2988" s="15" t="s">
        <v>85</v>
      </c>
      <c r="K2988" s="15">
        <v>818392336</v>
      </c>
      <c r="L2988" s="15" t="s">
        <v>29</v>
      </c>
      <c r="M2988" s="15"/>
    </row>
    <row r="2989" spans="1:13" x14ac:dyDescent="0.25">
      <c r="A2989" s="23">
        <f t="shared" si="148"/>
        <v>240108</v>
      </c>
      <c r="B2989" s="14" t="str">
        <f t="shared" si="146"/>
        <v>Credit Cards (UMB) - Credits</v>
      </c>
      <c r="C2989" s="37">
        <v>46153</v>
      </c>
      <c r="D2989" s="31">
        <v>240108</v>
      </c>
      <c r="E2989" s="33" t="str">
        <f>IF(Table3[[#This Row],[Type Received]]=2,"CC",(IF(Table3[[#This Row],[Type Received]]=3,"BILL","ACH")))</f>
        <v>CC</v>
      </c>
      <c r="F2989" s="32">
        <v>74.77</v>
      </c>
      <c r="G2989" s="14" t="str">
        <f>VLOOKUP(D2989,Table4[],3,FALSE)</f>
        <v>1</v>
      </c>
      <c r="H2989" s="15">
        <v>6156</v>
      </c>
      <c r="I2989" s="15"/>
      <c r="J2989" s="15"/>
      <c r="K2989" s="15"/>
      <c r="L2989" s="15"/>
      <c r="M2989" s="15"/>
    </row>
    <row r="2990" spans="1:13" x14ac:dyDescent="0.25">
      <c r="A2990" s="23">
        <f t="shared" si="148"/>
        <v>240113</v>
      </c>
      <c r="B2990" s="14" t="str">
        <f t="shared" si="146"/>
        <v>Direct Debit (UMB Bank) - Credits</v>
      </c>
      <c r="C2990" s="38">
        <v>46143</v>
      </c>
      <c r="D2990" s="34">
        <v>240113</v>
      </c>
      <c r="E2990" s="36" t="str">
        <f>IF(Table3[[#This Row],[Type Received]]=2,"CC",(IF(Table3[[#This Row],[Type Received]]=3,"BILL","ACH")))</f>
        <v>ACH</v>
      </c>
      <c r="F2990" s="35">
        <v>62.55</v>
      </c>
      <c r="G2990" s="14" t="str">
        <f>VLOOKUP(D2990,Table4[],3,FALSE)</f>
        <v>1</v>
      </c>
      <c r="H2990" s="15"/>
      <c r="I2990" s="15" t="s">
        <v>273</v>
      </c>
      <c r="J2990" s="15" t="s">
        <v>28</v>
      </c>
      <c r="K2990" s="15">
        <v>522367417</v>
      </c>
      <c r="L2990" s="15" t="s">
        <v>29</v>
      </c>
      <c r="M2990" s="15"/>
    </row>
    <row r="2991" spans="1:13" x14ac:dyDescent="0.25">
      <c r="A2991" s="23">
        <f t="shared" si="148"/>
        <v>240148</v>
      </c>
      <c r="B2991" s="14" t="str">
        <f t="shared" si="146"/>
        <v>Direct Debit (UMB Bank) - Credits</v>
      </c>
      <c r="C2991" s="37">
        <v>46143</v>
      </c>
      <c r="D2991" s="31">
        <v>240148</v>
      </c>
      <c r="E2991" s="33" t="str">
        <f>IF(Table3[[#This Row],[Type Received]]=2,"CC",(IF(Table3[[#This Row],[Type Received]]=3,"BILL","ACH")))</f>
        <v>ACH</v>
      </c>
      <c r="F2991" s="32">
        <v>120.85</v>
      </c>
      <c r="G2991" s="14" t="str">
        <f>VLOOKUP(D2991,Table4[],3,FALSE)</f>
        <v>2</v>
      </c>
      <c r="H2991" s="15"/>
      <c r="I2991" s="15"/>
      <c r="J2991" s="15" t="s">
        <v>84</v>
      </c>
      <c r="K2991" s="15">
        <v>522368392</v>
      </c>
      <c r="L2991" s="15" t="s">
        <v>29</v>
      </c>
      <c r="M2991" s="15"/>
    </row>
    <row r="2992" spans="1:13" x14ac:dyDescent="0.25">
      <c r="A2992" s="23">
        <f t="shared" si="148"/>
        <v>240151</v>
      </c>
      <c r="B2992" s="14" t="str">
        <f t="shared" si="146"/>
        <v>Billing - Credits (from TPA)</v>
      </c>
      <c r="C2992" s="38">
        <v>46143</v>
      </c>
      <c r="D2992" s="34">
        <v>240151</v>
      </c>
      <c r="E2992" s="36" t="str">
        <f>IF(Table3[[#This Row],[Type Received]]=2,"CC",(IF(Table3[[#This Row],[Type Received]]=3,"BILL","ACH")))</f>
        <v>BILL</v>
      </c>
      <c r="F2992" s="35">
        <v>55.29</v>
      </c>
      <c r="G2992" s="14" t="str">
        <f>VLOOKUP(D2992,Table4[],3,FALSE)</f>
        <v>1</v>
      </c>
      <c r="H2992" s="15"/>
      <c r="I2992" s="15"/>
      <c r="J2992" s="15" t="s">
        <v>84</v>
      </c>
      <c r="K2992" s="15">
        <v>522363624</v>
      </c>
      <c r="L2992" s="15" t="s">
        <v>29</v>
      </c>
      <c r="M2992" s="15"/>
    </row>
    <row r="2993" spans="1:13" x14ac:dyDescent="0.25">
      <c r="A2993" s="23">
        <f t="shared" si="148"/>
        <v>240176</v>
      </c>
      <c r="B2993" s="14" t="str">
        <f t="shared" si="146"/>
        <v>Direct Debit (UMB Bank) - Credits</v>
      </c>
      <c r="C2993" s="37">
        <v>46146</v>
      </c>
      <c r="D2993" s="31">
        <v>240176</v>
      </c>
      <c r="E2993" s="33" t="str">
        <f>IF(Table3[[#This Row],[Type Received]]=2,"CC",(IF(Table3[[#This Row],[Type Received]]=3,"BILL","ACH")))</f>
        <v>ACH</v>
      </c>
      <c r="F2993" s="32">
        <v>89.95</v>
      </c>
      <c r="G2993" s="14" t="str">
        <f>VLOOKUP(D2993,Table4[],3,FALSE)</f>
        <v>1</v>
      </c>
      <c r="H2993" s="15">
        <v>17652</v>
      </c>
      <c r="I2993" s="15"/>
      <c r="J2993" s="15"/>
      <c r="K2993" s="15"/>
      <c r="L2993" s="15"/>
      <c r="M2993" s="15"/>
    </row>
    <row r="2994" spans="1:13" x14ac:dyDescent="0.25">
      <c r="A2994" s="23">
        <f t="shared" si="148"/>
        <v>239848</v>
      </c>
      <c r="B2994" s="14" t="str">
        <f t="shared" si="146"/>
        <v>Direct Debit (UMB Bank) - Credits</v>
      </c>
      <c r="C2994" s="38">
        <v>46145</v>
      </c>
      <c r="D2994" s="34">
        <v>239848</v>
      </c>
      <c r="E2994" s="36" t="str">
        <f>IF(Table3[[#This Row],[Type Received]]=2,"CC",(IF(Table3[[#This Row],[Type Received]]=3,"BILL","ACH")))</f>
        <v>ACH</v>
      </c>
      <c r="F2994" s="35">
        <v>31.09</v>
      </c>
      <c r="G2994" s="14" t="str">
        <f>VLOOKUP(D2994,Table4[],3,FALSE)</f>
        <v>2</v>
      </c>
      <c r="H2994" s="15"/>
      <c r="I2994" s="15"/>
      <c r="J2994" s="15" t="s">
        <v>113</v>
      </c>
      <c r="K2994" s="15">
        <v>546439587</v>
      </c>
      <c r="L2994" s="15" t="s">
        <v>29</v>
      </c>
      <c r="M2994" s="15"/>
    </row>
    <row r="2995" spans="1:13" x14ac:dyDescent="0.25">
      <c r="A2995" s="23">
        <f t="shared" si="148"/>
        <v>239851</v>
      </c>
      <c r="B2995" s="14" t="str">
        <f t="shared" si="146"/>
        <v>Direct Debit (UMB Bank) - Credits</v>
      </c>
      <c r="C2995" s="37">
        <v>46145</v>
      </c>
      <c r="D2995" s="31">
        <v>239851</v>
      </c>
      <c r="E2995" s="33" t="str">
        <f>IF(Table3[[#This Row],[Type Received]]=2,"CC",(IF(Table3[[#This Row],[Type Received]]=3,"BILL","ACH")))</f>
        <v>ACH</v>
      </c>
      <c r="F2995" s="32">
        <v>58.15</v>
      </c>
      <c r="G2995" s="14" t="str">
        <f>VLOOKUP(D2995,Table4[],3,FALSE)</f>
        <v>2</v>
      </c>
      <c r="H2995" s="15"/>
      <c r="I2995" s="15"/>
      <c r="J2995" s="15" t="s">
        <v>113</v>
      </c>
      <c r="K2995" s="15">
        <v>546446384</v>
      </c>
      <c r="L2995" s="15" t="s">
        <v>29</v>
      </c>
      <c r="M2995" s="15"/>
    </row>
    <row r="2996" spans="1:13" x14ac:dyDescent="0.25">
      <c r="A2996" s="23">
        <f t="shared" si="148"/>
        <v>239896</v>
      </c>
      <c r="B2996" s="14" t="str">
        <f t="shared" si="146"/>
        <v>Direct Debit (UMB Bank) - Credits</v>
      </c>
      <c r="C2996" s="38">
        <v>46167</v>
      </c>
      <c r="D2996" s="34">
        <v>239896</v>
      </c>
      <c r="E2996" s="36" t="str">
        <f>IF(Table3[[#This Row],[Type Received]]=2,"CC",(IF(Table3[[#This Row],[Type Received]]=3,"BILL","ACH")))</f>
        <v>ACH</v>
      </c>
      <c r="F2996" s="35">
        <v>32.74</v>
      </c>
      <c r="G2996" s="14" t="str">
        <f>VLOOKUP(D2996,Table4[],3,FALSE)</f>
        <v>2</v>
      </c>
      <c r="H2996" s="15"/>
      <c r="I2996" s="15"/>
      <c r="J2996" s="15" t="s">
        <v>85</v>
      </c>
      <c r="K2996" s="15">
        <v>818368094</v>
      </c>
      <c r="L2996" s="15" t="s">
        <v>29</v>
      </c>
      <c r="M2996" s="15"/>
    </row>
    <row r="2997" spans="1:13" x14ac:dyDescent="0.25">
      <c r="A2997" s="23">
        <f t="shared" si="148"/>
        <v>239902</v>
      </c>
      <c r="B2997" s="14" t="str">
        <f t="shared" si="146"/>
        <v>Direct Debit (UMB Bank) - Credits</v>
      </c>
      <c r="C2997" s="37">
        <v>46145</v>
      </c>
      <c r="D2997" s="31">
        <v>239902</v>
      </c>
      <c r="E2997" s="33" t="str">
        <f>IF(Table3[[#This Row],[Type Received]]=2,"CC",(IF(Table3[[#This Row],[Type Received]]=3,"BILL","ACH")))</f>
        <v>ACH</v>
      </c>
      <c r="F2997" s="32">
        <v>56.95</v>
      </c>
      <c r="G2997" s="14" t="str">
        <f>VLOOKUP(D2997,Table4[],3,FALSE)</f>
        <v>1</v>
      </c>
      <c r="H2997" s="15"/>
      <c r="I2997" s="15"/>
      <c r="J2997" s="15" t="s">
        <v>113</v>
      </c>
      <c r="K2997" s="15">
        <v>546432807</v>
      </c>
      <c r="L2997" s="15" t="s">
        <v>29</v>
      </c>
      <c r="M2997" s="15"/>
    </row>
    <row r="2998" spans="1:13" x14ac:dyDescent="0.25">
      <c r="A2998" s="23">
        <f t="shared" si="148"/>
        <v>239925</v>
      </c>
      <c r="B2998" s="14" t="str">
        <f t="shared" si="146"/>
        <v>Credit Cards (UMB) - Credits</v>
      </c>
      <c r="C2998" s="38">
        <v>46145</v>
      </c>
      <c r="D2998" s="34">
        <v>239925</v>
      </c>
      <c r="E2998" s="36" t="str">
        <f>IF(Table3[[#This Row],[Type Received]]=2,"CC",(IF(Table3[[#This Row],[Type Received]]=3,"BILL","ACH")))</f>
        <v>CC</v>
      </c>
      <c r="F2998" s="35">
        <v>82.13</v>
      </c>
      <c r="G2998" s="14" t="str">
        <f>VLOOKUP(D2998,Table4[],3,FALSE)</f>
        <v>1</v>
      </c>
      <c r="H2998" s="15"/>
      <c r="I2998" s="15"/>
      <c r="J2998" s="15" t="s">
        <v>113</v>
      </c>
      <c r="K2998" s="15">
        <v>546430931</v>
      </c>
      <c r="L2998" s="15" t="s">
        <v>29</v>
      </c>
      <c r="M2998" s="15"/>
    </row>
    <row r="2999" spans="1:13" x14ac:dyDescent="0.25">
      <c r="A2999" s="23">
        <f t="shared" si="148"/>
        <v>239980</v>
      </c>
      <c r="B2999" s="14" t="str">
        <f t="shared" si="146"/>
        <v>Credit Cards (UMB) - Credits</v>
      </c>
      <c r="C2999" s="37">
        <v>46155</v>
      </c>
      <c r="D2999" s="31">
        <v>239980</v>
      </c>
      <c r="E2999" s="33" t="str">
        <f>IF(Table3[[#This Row],[Type Received]]=2,"CC",(IF(Table3[[#This Row],[Type Received]]=3,"BILL","ACH")))</f>
        <v>CC</v>
      </c>
      <c r="F2999" s="32">
        <v>126.79</v>
      </c>
      <c r="G2999" s="14" t="str">
        <f>VLOOKUP(D2999,Table4[],3,FALSE)</f>
        <v>2</v>
      </c>
      <c r="H2999" s="15"/>
      <c r="I2999" s="15">
        <v>217313</v>
      </c>
      <c r="J2999" s="15" t="s">
        <v>28</v>
      </c>
      <c r="K2999" s="15">
        <v>669487898</v>
      </c>
      <c r="L2999" s="15" t="s">
        <v>29</v>
      </c>
      <c r="M2999" s="15"/>
    </row>
    <row r="3000" spans="1:13" x14ac:dyDescent="0.25">
      <c r="A3000" s="23">
        <f t="shared" si="148"/>
        <v>239988</v>
      </c>
      <c r="B3000" s="14" t="str">
        <f t="shared" si="146"/>
        <v>Direct Debit (UMB Bank) - Credits</v>
      </c>
      <c r="C3000" s="38">
        <v>46144</v>
      </c>
      <c r="D3000" s="34">
        <v>239988</v>
      </c>
      <c r="E3000" s="36" t="str">
        <f>IF(Table3[[#This Row],[Type Received]]=2,"CC",(IF(Table3[[#This Row],[Type Received]]=3,"BILL","ACH")))</f>
        <v>ACH</v>
      </c>
      <c r="F3000" s="35">
        <v>176.95</v>
      </c>
      <c r="G3000" s="14" t="str">
        <f>VLOOKUP(D3000,Table4[],3,FALSE)</f>
        <v>2</v>
      </c>
      <c r="H3000" s="15"/>
      <c r="I3000" s="15">
        <v>40320</v>
      </c>
      <c r="J3000" s="15" t="s">
        <v>28</v>
      </c>
      <c r="K3000" s="15">
        <v>535356492</v>
      </c>
      <c r="L3000" s="15" t="s">
        <v>29</v>
      </c>
      <c r="M3000" s="15"/>
    </row>
    <row r="3001" spans="1:13" x14ac:dyDescent="0.25">
      <c r="A3001" s="23">
        <f t="shared" si="148"/>
        <v>239995</v>
      </c>
      <c r="B3001" s="14" t="str">
        <f t="shared" si="146"/>
        <v>Credit Cards (UMB) - Credits</v>
      </c>
      <c r="C3001" s="37">
        <v>46167</v>
      </c>
      <c r="D3001" s="31">
        <v>239995</v>
      </c>
      <c r="E3001" s="33" t="str">
        <f>IF(Table3[[#This Row],[Type Received]]=2,"CC",(IF(Table3[[#This Row],[Type Received]]=3,"BILL","ACH")))</f>
        <v>CC</v>
      </c>
      <c r="F3001" s="32">
        <v>171.67</v>
      </c>
      <c r="G3001" s="14" t="str">
        <f>VLOOKUP(D3001,Table4[],3,FALSE)</f>
        <v>2</v>
      </c>
      <c r="H3001" s="15"/>
      <c r="I3001" s="15"/>
      <c r="J3001" s="15" t="s">
        <v>85</v>
      </c>
      <c r="K3001" s="15">
        <v>818383514</v>
      </c>
      <c r="L3001" s="15" t="s">
        <v>29</v>
      </c>
      <c r="M3001" s="15"/>
    </row>
    <row r="3002" spans="1:13" x14ac:dyDescent="0.25">
      <c r="A3002" s="23">
        <f t="shared" si="148"/>
        <v>240231</v>
      </c>
      <c r="B3002" s="14" t="str">
        <f t="shared" si="146"/>
        <v>Direct Debit (UMB Bank) - Credits</v>
      </c>
      <c r="C3002" s="38">
        <v>46143</v>
      </c>
      <c r="D3002" s="34">
        <v>240231</v>
      </c>
      <c r="E3002" s="36" t="str">
        <f>IF(Table3[[#This Row],[Type Received]]=2,"CC",(IF(Table3[[#This Row],[Type Received]]=3,"BILL","ACH")))</f>
        <v>ACH</v>
      </c>
      <c r="F3002" s="35">
        <v>53.21</v>
      </c>
      <c r="G3002" s="14" t="str">
        <f>VLOOKUP(D3002,Table4[],3,FALSE)</f>
        <v>2</v>
      </c>
      <c r="H3002" s="15"/>
      <c r="I3002" s="15">
        <v>94121</v>
      </c>
      <c r="J3002" s="15" t="s">
        <v>28</v>
      </c>
      <c r="K3002" s="15">
        <v>522606343</v>
      </c>
      <c r="L3002" s="15" t="s">
        <v>29</v>
      </c>
      <c r="M3002" s="15"/>
    </row>
    <row r="3003" spans="1:13" x14ac:dyDescent="0.25">
      <c r="A3003" s="23">
        <f t="shared" si="148"/>
        <v>240238</v>
      </c>
      <c r="B3003" s="14" t="str">
        <f t="shared" si="146"/>
        <v>Direct Debit (UMB Bank) - Credits</v>
      </c>
      <c r="C3003" s="37">
        <v>46167</v>
      </c>
      <c r="D3003" s="31">
        <v>240238</v>
      </c>
      <c r="E3003" s="33" t="str">
        <f>IF(Table3[[#This Row],[Type Received]]=2,"CC",(IF(Table3[[#This Row],[Type Received]]=3,"BILL","ACH")))</f>
        <v>ACH</v>
      </c>
      <c r="F3003" s="32">
        <v>26.8</v>
      </c>
      <c r="G3003" s="14" t="str">
        <f>VLOOKUP(D3003,Table4[],3,FALSE)</f>
        <v>2</v>
      </c>
      <c r="H3003" s="15"/>
      <c r="I3003" s="15"/>
      <c r="J3003" s="15" t="s">
        <v>85</v>
      </c>
      <c r="K3003" s="15">
        <v>818395280</v>
      </c>
      <c r="L3003" s="15" t="s">
        <v>29</v>
      </c>
      <c r="M3003" s="15"/>
    </row>
    <row r="3004" spans="1:13" x14ac:dyDescent="0.25">
      <c r="A3004" s="23">
        <f t="shared" si="148"/>
        <v>240253</v>
      </c>
      <c r="B3004" s="14" t="str">
        <f t="shared" si="146"/>
        <v>Credit Cards (UMB) - Credits</v>
      </c>
      <c r="C3004" s="38">
        <v>46145</v>
      </c>
      <c r="D3004" s="34">
        <v>240253</v>
      </c>
      <c r="E3004" s="36" t="str">
        <f>IF(Table3[[#This Row],[Type Received]]=2,"CC",(IF(Table3[[#This Row],[Type Received]]=3,"BILL","ACH")))</f>
        <v>CC</v>
      </c>
      <c r="F3004" s="35">
        <v>96.87</v>
      </c>
      <c r="G3004" s="14" t="str">
        <f>VLOOKUP(D3004,Table4[],3,FALSE)</f>
        <v>1</v>
      </c>
      <c r="H3004" s="15"/>
      <c r="I3004" s="15"/>
      <c r="J3004" s="15" t="s">
        <v>113</v>
      </c>
      <c r="K3004" s="15">
        <v>546445424</v>
      </c>
      <c r="L3004" s="15" t="s">
        <v>29</v>
      </c>
      <c r="M3004" s="15"/>
    </row>
    <row r="3005" spans="1:13" x14ac:dyDescent="0.25">
      <c r="A3005" s="23">
        <f t="shared" si="148"/>
        <v>240276</v>
      </c>
      <c r="B3005" s="14" t="str">
        <f t="shared" si="146"/>
        <v>Direct Debit (UMB Bank) - Credits</v>
      </c>
      <c r="C3005" s="37">
        <v>46161</v>
      </c>
      <c r="D3005" s="31">
        <v>240276</v>
      </c>
      <c r="E3005" s="33" t="str">
        <f>IF(Table3[[#This Row],[Type Received]]=2,"CC",(IF(Table3[[#This Row],[Type Received]]=3,"BILL","ACH")))</f>
        <v>ACH</v>
      </c>
      <c r="F3005" s="32">
        <v>273.72000000000003</v>
      </c>
      <c r="G3005" s="14" t="str">
        <f>VLOOKUP(D3005,Table4[],3,FALSE)</f>
        <v>2</v>
      </c>
      <c r="H3005" s="15"/>
      <c r="I3005" s="15">
        <v>19450</v>
      </c>
      <c r="J3005" s="15">
        <v>746805329</v>
      </c>
      <c r="K3005" s="15">
        <v>355142413</v>
      </c>
      <c r="L3005" s="15"/>
      <c r="M3005" s="15"/>
    </row>
    <row r="3006" spans="1:13" x14ac:dyDescent="0.25">
      <c r="A3006" s="23">
        <f t="shared" si="148"/>
        <v>240308</v>
      </c>
      <c r="B3006" s="14" t="str">
        <f t="shared" si="146"/>
        <v>Credit Cards (UMB) - Credits</v>
      </c>
      <c r="C3006" s="38">
        <v>46143</v>
      </c>
      <c r="D3006" s="34">
        <v>240308</v>
      </c>
      <c r="E3006" s="36" t="str">
        <f>IF(Table3[[#This Row],[Type Received]]=2,"CC",(IF(Table3[[#This Row],[Type Received]]=3,"BILL","ACH")))</f>
        <v>CC</v>
      </c>
      <c r="F3006" s="35">
        <v>55.95</v>
      </c>
      <c r="G3006" s="14" t="str">
        <f>VLOOKUP(D3006,Table4[],3,FALSE)</f>
        <v>1</v>
      </c>
      <c r="H3006" s="15"/>
      <c r="I3006" s="15"/>
      <c r="J3006" s="24" t="s">
        <v>84</v>
      </c>
      <c r="K3006" s="15">
        <v>522376102</v>
      </c>
      <c r="L3006" s="15" t="s">
        <v>29</v>
      </c>
      <c r="M3006" s="15"/>
    </row>
    <row r="3007" spans="1:13" x14ac:dyDescent="0.25">
      <c r="A3007" s="23">
        <f t="shared" si="148"/>
        <v>240374</v>
      </c>
      <c r="B3007" s="14" t="str">
        <f t="shared" si="146"/>
        <v>Credit Cards (UMB) - Credits</v>
      </c>
      <c r="C3007" s="37">
        <v>46143</v>
      </c>
      <c r="D3007" s="31">
        <v>240374</v>
      </c>
      <c r="E3007" s="33" t="str">
        <f>IF(Table3[[#This Row],[Type Received]]=2,"CC",(IF(Table3[[#This Row],[Type Received]]=3,"BILL","ACH")))</f>
        <v>CC</v>
      </c>
      <c r="F3007" s="32">
        <v>101</v>
      </c>
      <c r="G3007" s="14" t="str">
        <f>VLOOKUP(D3007,Table4[],3,FALSE)</f>
        <v>1</v>
      </c>
      <c r="H3007" s="15"/>
      <c r="I3007" s="15">
        <v>27767</v>
      </c>
      <c r="J3007" s="24">
        <v>741374152</v>
      </c>
      <c r="K3007" s="15">
        <v>353222333</v>
      </c>
      <c r="L3007" s="15"/>
      <c r="M3007" s="15"/>
    </row>
    <row r="3008" spans="1:13" x14ac:dyDescent="0.25">
      <c r="A3008" s="23">
        <f t="shared" si="148"/>
        <v>240429</v>
      </c>
      <c r="B3008" s="14" t="str">
        <f t="shared" si="146"/>
        <v>Direct Debit (UMB Bank) - Credits</v>
      </c>
      <c r="C3008" s="38">
        <v>46143</v>
      </c>
      <c r="D3008" s="34">
        <v>240429</v>
      </c>
      <c r="E3008" s="36" t="str">
        <f>IF(Table3[[#This Row],[Type Received]]=2,"CC",(IF(Table3[[#This Row],[Type Received]]=3,"BILL","ACH")))</f>
        <v>ACH</v>
      </c>
      <c r="F3008" s="35">
        <v>77.95</v>
      </c>
      <c r="G3008" s="14" t="str">
        <f>VLOOKUP(D3008,Table4[],3,FALSE)</f>
        <v>2</v>
      </c>
      <c r="H3008" s="15"/>
      <c r="I3008" s="15">
        <v>678054</v>
      </c>
      <c r="J3008" s="15" t="s">
        <v>28</v>
      </c>
      <c r="K3008" s="15">
        <v>523347063</v>
      </c>
      <c r="L3008" s="15" t="s">
        <v>29</v>
      </c>
      <c r="M3008" s="15"/>
    </row>
    <row r="3009" spans="1:13" x14ac:dyDescent="0.25">
      <c r="A3009" s="23">
        <f t="shared" si="148"/>
        <v>240441</v>
      </c>
      <c r="B3009" s="14" t="str">
        <f t="shared" si="146"/>
        <v>Direct Debit (UMB Bank) - Credits</v>
      </c>
      <c r="C3009" s="37">
        <v>46158</v>
      </c>
      <c r="D3009" s="31">
        <v>240441</v>
      </c>
      <c r="E3009" s="33" t="str">
        <f>IF(Table3[[#This Row],[Type Received]]=2,"CC",(IF(Table3[[#This Row],[Type Received]]=3,"BILL","ACH")))</f>
        <v>ACH</v>
      </c>
      <c r="F3009" s="32">
        <v>103.69</v>
      </c>
      <c r="G3009" s="14" t="str">
        <f>VLOOKUP(D3009,Table4[],3,FALSE)</f>
        <v>1</v>
      </c>
      <c r="H3009" s="15"/>
      <c r="I3009" s="15"/>
      <c r="J3009" s="15" t="s">
        <v>106</v>
      </c>
      <c r="K3009" s="15">
        <v>710076204</v>
      </c>
      <c r="L3009" s="15" t="s">
        <v>29</v>
      </c>
      <c r="M3009" s="15"/>
    </row>
    <row r="3010" spans="1:13" x14ac:dyDescent="0.25">
      <c r="A3010" s="23">
        <f t="shared" si="148"/>
        <v>240463</v>
      </c>
      <c r="B3010" s="14" t="str">
        <f t="shared" ref="B3010:B3073" si="149">IF(AND(E3010="BILL",F3010&lt;0),"Billing &amp; Direct Debit - Refunds",(IF(AND(E3010="BILL",F3010&gt;0),"Billing - Credits (from TPA)",(IF(AND(E3010="CC",F3010&lt;0),"Credit Cards (UMB) - Refunds",(IF(AND(E3010="CC",F3010&gt;0),"Credit Cards (UMB) - Credits",(IF(AND(E3010="ACH",F3010&gt;0),"Direct Debit (UMB Bank) - Credits","Direct Debit (UMB Bank) - Returned Items")))))))))</f>
        <v>Credit Cards (UMB) - Credits</v>
      </c>
      <c r="C3010" s="38">
        <v>46158</v>
      </c>
      <c r="D3010" s="34">
        <v>240463</v>
      </c>
      <c r="E3010" s="36" t="str">
        <f>IF(Table3[[#This Row],[Type Received]]=2,"CC",(IF(Table3[[#This Row],[Type Received]]=3,"BILL","ACH")))</f>
        <v>CC</v>
      </c>
      <c r="F3010" s="35">
        <v>63.1</v>
      </c>
      <c r="G3010" s="14" t="str">
        <f>VLOOKUP(D3010,Table4[],3,FALSE)</f>
        <v>2</v>
      </c>
      <c r="H3010" s="15"/>
      <c r="I3010" s="15"/>
      <c r="J3010" s="15" t="s">
        <v>106</v>
      </c>
      <c r="K3010" s="15">
        <v>710074305</v>
      </c>
      <c r="L3010" s="15" t="s">
        <v>29</v>
      </c>
      <c r="M3010" s="15"/>
    </row>
    <row r="3011" spans="1:13" x14ac:dyDescent="0.25">
      <c r="A3011" s="23">
        <f t="shared" si="148"/>
        <v>240567</v>
      </c>
      <c r="B3011" s="14" t="str">
        <f t="shared" si="149"/>
        <v>Billing - Credits (from TPA)</v>
      </c>
      <c r="C3011" s="37">
        <v>46160</v>
      </c>
      <c r="D3011" s="31">
        <v>240567</v>
      </c>
      <c r="E3011" s="33" t="str">
        <f>IF(Table3[[#This Row],[Type Received]]=2,"CC",(IF(Table3[[#This Row],[Type Received]]=3,"BILL","ACH")))</f>
        <v>BILL</v>
      </c>
      <c r="F3011" s="32">
        <v>62.78</v>
      </c>
      <c r="G3011" s="14" t="str">
        <f>VLOOKUP(D3011,Table4[],3,FALSE)</f>
        <v>2</v>
      </c>
      <c r="H3011" s="15"/>
      <c r="I3011" s="15">
        <v>94193</v>
      </c>
      <c r="J3011" s="15" t="s">
        <v>28</v>
      </c>
      <c r="K3011" s="15">
        <v>732574324</v>
      </c>
      <c r="L3011" s="15" t="s">
        <v>29</v>
      </c>
      <c r="M3011" s="15"/>
    </row>
    <row r="3012" spans="1:13" x14ac:dyDescent="0.25">
      <c r="A3012" s="23">
        <f t="shared" si="148"/>
        <v>240574</v>
      </c>
      <c r="B3012" s="14" t="str">
        <f t="shared" si="149"/>
        <v>Billing - Credits (from TPA)</v>
      </c>
      <c r="C3012" s="38">
        <v>46146</v>
      </c>
      <c r="D3012" s="34">
        <v>240574</v>
      </c>
      <c r="E3012" s="36" t="str">
        <f>IF(Table3[[#This Row],[Type Received]]=2,"CC",(IF(Table3[[#This Row],[Type Received]]=3,"BILL","ACH")))</f>
        <v>BILL</v>
      </c>
      <c r="F3012" s="35">
        <v>148.1</v>
      </c>
      <c r="G3012" s="14" t="str">
        <f>VLOOKUP(D3012,Table4[],3,FALSE)</f>
        <v>1</v>
      </c>
      <c r="H3012" s="15">
        <v>329</v>
      </c>
      <c r="I3012" s="15"/>
      <c r="J3012" s="15"/>
      <c r="K3012" s="15"/>
      <c r="L3012" s="15"/>
      <c r="M3012" s="15"/>
    </row>
    <row r="3013" spans="1:13" x14ac:dyDescent="0.25">
      <c r="A3013" s="23">
        <f t="shared" si="148"/>
        <v>240577</v>
      </c>
      <c r="B3013" s="14" t="str">
        <f t="shared" si="149"/>
        <v>Direct Debit (UMB Bank) - Credits</v>
      </c>
      <c r="C3013" s="37">
        <v>46150</v>
      </c>
      <c r="D3013" s="31">
        <v>240577</v>
      </c>
      <c r="E3013" s="33" t="str">
        <f>IF(Table3[[#This Row],[Type Received]]=2,"CC",(IF(Table3[[#This Row],[Type Received]]=3,"BILL","ACH")))</f>
        <v>ACH</v>
      </c>
      <c r="F3013" s="32">
        <v>76.31</v>
      </c>
      <c r="G3013" s="14" t="str">
        <f>VLOOKUP(D3013,Table4[],3,FALSE)</f>
        <v>1</v>
      </c>
      <c r="H3013" s="15">
        <v>922036038</v>
      </c>
      <c r="I3013" s="15"/>
      <c r="J3013" s="24"/>
      <c r="K3013" s="15"/>
      <c r="L3013" s="15"/>
      <c r="M3013" s="15"/>
    </row>
    <row r="3014" spans="1:13" x14ac:dyDescent="0.25">
      <c r="A3014" s="23">
        <f t="shared" ref="A3014:A3045" si="150">D3014</f>
        <v>240580</v>
      </c>
      <c r="B3014" s="14" t="str">
        <f t="shared" si="149"/>
        <v>Billing - Credits (from TPA)</v>
      </c>
      <c r="C3014" s="38">
        <v>46158</v>
      </c>
      <c r="D3014" s="34">
        <v>240580</v>
      </c>
      <c r="E3014" s="36" t="str">
        <f>IF(Table3[[#This Row],[Type Received]]=2,"CC",(IF(Table3[[#This Row],[Type Received]]=3,"BILL","ACH")))</f>
        <v>BILL</v>
      </c>
      <c r="F3014" s="35">
        <v>97.97</v>
      </c>
      <c r="G3014" s="14" t="str">
        <f>VLOOKUP(D3014,Table4[],3,FALSE)</f>
        <v>1</v>
      </c>
      <c r="H3014" s="15"/>
      <c r="I3014" s="15"/>
      <c r="J3014" s="15" t="s">
        <v>106</v>
      </c>
      <c r="K3014" s="15">
        <v>710057640</v>
      </c>
      <c r="L3014" s="15" t="s">
        <v>29</v>
      </c>
      <c r="M3014" s="15"/>
    </row>
    <row r="3015" spans="1:13" x14ac:dyDescent="0.25">
      <c r="A3015" s="23">
        <f t="shared" si="150"/>
        <v>240582</v>
      </c>
      <c r="B3015" s="14" t="str">
        <f t="shared" si="149"/>
        <v>Direct Debit (UMB Bank) - Credits</v>
      </c>
      <c r="C3015" s="37">
        <v>46146</v>
      </c>
      <c r="D3015" s="31">
        <v>240582</v>
      </c>
      <c r="E3015" s="33" t="str">
        <f>IF(Table3[[#This Row],[Type Received]]=2,"CC",(IF(Table3[[#This Row],[Type Received]]=3,"BILL","ACH")))</f>
        <v>ACH</v>
      </c>
      <c r="F3015" s="32">
        <v>30.44</v>
      </c>
      <c r="G3015" s="14" t="str">
        <f>VLOOKUP(D3015,Table4[],3,FALSE)</f>
        <v>2</v>
      </c>
      <c r="H3015" s="15">
        <v>4980</v>
      </c>
      <c r="I3015" s="15"/>
      <c r="J3015" s="15"/>
      <c r="K3015" s="15"/>
      <c r="L3015" s="15"/>
      <c r="M3015" s="15"/>
    </row>
    <row r="3016" spans="1:13" x14ac:dyDescent="0.25">
      <c r="A3016" s="23">
        <f t="shared" si="150"/>
        <v>240585</v>
      </c>
      <c r="B3016" s="14" t="str">
        <f t="shared" si="149"/>
        <v>Credit Cards (UMB) - Credits</v>
      </c>
      <c r="C3016" s="38">
        <v>46158</v>
      </c>
      <c r="D3016" s="34">
        <v>240585</v>
      </c>
      <c r="E3016" s="36" t="str">
        <f>IF(Table3[[#This Row],[Type Received]]=2,"CC",(IF(Table3[[#This Row],[Type Received]]=3,"BILL","ACH")))</f>
        <v>CC</v>
      </c>
      <c r="F3016" s="35">
        <v>87.19</v>
      </c>
      <c r="G3016" s="14" t="str">
        <f>VLOOKUP(D3016,Table4[],3,FALSE)</f>
        <v>2</v>
      </c>
      <c r="H3016" s="15"/>
      <c r="I3016" s="15"/>
      <c r="J3016" s="15" t="s">
        <v>106</v>
      </c>
      <c r="K3016" s="15">
        <v>710049028</v>
      </c>
      <c r="L3016" s="15" t="s">
        <v>29</v>
      </c>
      <c r="M3016" s="15"/>
    </row>
    <row r="3017" spans="1:13" x14ac:dyDescent="0.25">
      <c r="A3017" s="23">
        <f t="shared" si="150"/>
        <v>240594</v>
      </c>
      <c r="B3017" s="14" t="str">
        <f t="shared" si="149"/>
        <v>Direct Debit (UMB Bank) - Credits</v>
      </c>
      <c r="C3017" s="37">
        <v>46150</v>
      </c>
      <c r="D3017" s="31">
        <v>240594</v>
      </c>
      <c r="E3017" s="33" t="str">
        <f>IF(Table3[[#This Row],[Type Received]]=2,"CC",(IF(Table3[[#This Row],[Type Received]]=3,"BILL","ACH")))</f>
        <v>ACH</v>
      </c>
      <c r="F3017" s="32">
        <v>107</v>
      </c>
      <c r="G3017" s="14" t="str">
        <f>VLOOKUP(D3017,Table4[],3,FALSE)</f>
        <v>2</v>
      </c>
      <c r="H3017" s="15"/>
      <c r="I3017" s="15">
        <v>404204</v>
      </c>
      <c r="J3017" s="15" t="s">
        <v>28</v>
      </c>
      <c r="K3017" s="15">
        <v>611020125</v>
      </c>
      <c r="L3017" s="15" t="s">
        <v>29</v>
      </c>
      <c r="M3017" s="15"/>
    </row>
    <row r="3018" spans="1:13" x14ac:dyDescent="0.25">
      <c r="A3018" s="23">
        <f t="shared" si="150"/>
        <v>240601</v>
      </c>
      <c r="B3018" s="14" t="str">
        <f t="shared" si="149"/>
        <v>Credit Cards (UMB) - Credits</v>
      </c>
      <c r="C3018" s="38">
        <v>46158</v>
      </c>
      <c r="D3018" s="34">
        <v>240601</v>
      </c>
      <c r="E3018" s="36" t="str">
        <f>IF(Table3[[#This Row],[Type Received]]=2,"CC",(IF(Table3[[#This Row],[Type Received]]=3,"BILL","ACH")))</f>
        <v>CC</v>
      </c>
      <c r="F3018" s="35">
        <v>82.9</v>
      </c>
      <c r="G3018" s="14" t="str">
        <f>VLOOKUP(D3018,Table4[],3,FALSE)</f>
        <v>2</v>
      </c>
      <c r="H3018" s="15"/>
      <c r="I3018" s="15"/>
      <c r="J3018" s="15" t="s">
        <v>106</v>
      </c>
      <c r="K3018" s="15">
        <v>710065476</v>
      </c>
      <c r="L3018" s="15" t="s">
        <v>29</v>
      </c>
      <c r="M3018" s="15"/>
    </row>
    <row r="3019" spans="1:13" x14ac:dyDescent="0.25">
      <c r="A3019" s="23">
        <f t="shared" si="150"/>
        <v>240604</v>
      </c>
      <c r="B3019" s="14" t="str">
        <f t="shared" si="149"/>
        <v>Direct Debit (UMB Bank) - Credits</v>
      </c>
      <c r="C3019" s="37">
        <v>46148</v>
      </c>
      <c r="D3019" s="31">
        <v>240604</v>
      </c>
      <c r="E3019" s="33" t="str">
        <f>IF(Table3[[#This Row],[Type Received]]=2,"CC",(IF(Table3[[#This Row],[Type Received]]=3,"BILL","ACH")))</f>
        <v>ACH</v>
      </c>
      <c r="F3019" s="32">
        <v>114.58</v>
      </c>
      <c r="G3019" s="14" t="str">
        <f>VLOOKUP(D3019,Table4[],3,FALSE)</f>
        <v>2</v>
      </c>
      <c r="H3019" s="15"/>
      <c r="I3019" s="15" t="s">
        <v>274</v>
      </c>
      <c r="J3019" s="15" t="s">
        <v>28</v>
      </c>
      <c r="K3019" s="15">
        <v>582144288</v>
      </c>
      <c r="L3019" s="15" t="s">
        <v>29</v>
      </c>
      <c r="M3019" s="15"/>
    </row>
    <row r="3020" spans="1:13" x14ac:dyDescent="0.25">
      <c r="A3020" s="23">
        <f t="shared" si="150"/>
        <v>240855</v>
      </c>
      <c r="B3020" s="14" t="str">
        <f t="shared" si="149"/>
        <v>Credit Cards (UMB) - Credits</v>
      </c>
      <c r="C3020" s="38">
        <v>46167</v>
      </c>
      <c r="D3020" s="34">
        <v>240855</v>
      </c>
      <c r="E3020" s="36" t="str">
        <f>IF(Table3[[#This Row],[Type Received]]=2,"CC",(IF(Table3[[#This Row],[Type Received]]=3,"BILL","ACH")))</f>
        <v>CC</v>
      </c>
      <c r="F3020" s="35">
        <v>76.95</v>
      </c>
      <c r="G3020" s="14" t="str">
        <f>VLOOKUP(D3020,Table4[],3,FALSE)</f>
        <v>2</v>
      </c>
      <c r="H3020" s="15"/>
      <c r="I3020" s="15"/>
      <c r="J3020" s="15" t="s">
        <v>85</v>
      </c>
      <c r="K3020" s="15">
        <v>818384551</v>
      </c>
      <c r="L3020" s="15" t="s">
        <v>29</v>
      </c>
      <c r="M3020" s="15"/>
    </row>
    <row r="3021" spans="1:13" x14ac:dyDescent="0.25">
      <c r="A3021" s="23">
        <f t="shared" si="150"/>
        <v>240890</v>
      </c>
      <c r="B3021" s="14" t="str">
        <f t="shared" si="149"/>
        <v>Direct Debit (UMB Bank) - Credits</v>
      </c>
      <c r="C3021" s="37">
        <v>46143</v>
      </c>
      <c r="D3021" s="31">
        <v>240890</v>
      </c>
      <c r="E3021" s="33" t="str">
        <f>IF(Table3[[#This Row],[Type Received]]=2,"CC",(IF(Table3[[#This Row],[Type Received]]=3,"BILL","ACH")))</f>
        <v>ACH</v>
      </c>
      <c r="F3021" s="32">
        <v>205.36</v>
      </c>
      <c r="G3021" s="14" t="str">
        <f>VLOOKUP(D3021,Table4[],3,FALSE)</f>
        <v>2</v>
      </c>
      <c r="H3021" s="15"/>
      <c r="I3021" s="15">
        <v>863582</v>
      </c>
      <c r="J3021" s="15">
        <v>741374152</v>
      </c>
      <c r="K3021" s="15">
        <v>353220552</v>
      </c>
      <c r="L3021" s="15"/>
      <c r="M3021" s="15"/>
    </row>
    <row r="3022" spans="1:13" x14ac:dyDescent="0.25">
      <c r="A3022" s="23">
        <f t="shared" si="150"/>
        <v>240920</v>
      </c>
      <c r="B3022" s="14" t="str">
        <f t="shared" si="149"/>
        <v>Direct Debit (UMB Bank) - Credits</v>
      </c>
      <c r="C3022" s="38">
        <v>46143</v>
      </c>
      <c r="D3022" s="34">
        <v>240920</v>
      </c>
      <c r="E3022" s="36" t="str">
        <f>IF(Table3[[#This Row],[Type Received]]=2,"CC",(IF(Table3[[#This Row],[Type Received]]=3,"BILL","ACH")))</f>
        <v>ACH</v>
      </c>
      <c r="F3022" s="35">
        <v>83.89</v>
      </c>
      <c r="G3022" s="14" t="str">
        <f>VLOOKUP(D3022,Table4[],3,FALSE)</f>
        <v>1</v>
      </c>
      <c r="H3022" s="15"/>
      <c r="I3022" s="15"/>
      <c r="J3022" s="15" t="s">
        <v>84</v>
      </c>
      <c r="K3022" s="15">
        <v>522368475</v>
      </c>
      <c r="L3022" s="15" t="s">
        <v>29</v>
      </c>
      <c r="M3022" s="15"/>
    </row>
    <row r="3023" spans="1:13" x14ac:dyDescent="0.25">
      <c r="A3023" s="23">
        <f t="shared" si="150"/>
        <v>240930</v>
      </c>
      <c r="B3023" s="14" t="str">
        <f t="shared" si="149"/>
        <v>Direct Debit (UMB Bank) - Credits</v>
      </c>
      <c r="C3023" s="37">
        <v>46143</v>
      </c>
      <c r="D3023" s="31">
        <v>240930</v>
      </c>
      <c r="E3023" s="33" t="str">
        <f>IF(Table3[[#This Row],[Type Received]]=2,"CC",(IF(Table3[[#This Row],[Type Received]]=3,"BILL","ACH")))</f>
        <v>ACH</v>
      </c>
      <c r="F3023" s="32">
        <v>81.03</v>
      </c>
      <c r="G3023" s="14" t="str">
        <f>VLOOKUP(D3023,Table4[],3,FALSE)</f>
        <v>1</v>
      </c>
      <c r="H3023" s="15"/>
      <c r="I3023" s="15"/>
      <c r="J3023" s="15" t="s">
        <v>84</v>
      </c>
      <c r="K3023" s="15">
        <v>522369471</v>
      </c>
      <c r="L3023" s="15" t="s">
        <v>29</v>
      </c>
      <c r="M3023" s="15"/>
    </row>
    <row r="3024" spans="1:13" x14ac:dyDescent="0.25">
      <c r="A3024" s="23">
        <f t="shared" si="150"/>
        <v>240931</v>
      </c>
      <c r="B3024" s="14" t="str">
        <f t="shared" si="149"/>
        <v>Direct Debit (UMB Bank) - Credits</v>
      </c>
      <c r="C3024" s="38">
        <v>46143</v>
      </c>
      <c r="D3024" s="34">
        <v>240931</v>
      </c>
      <c r="E3024" s="36" t="str">
        <f>IF(Table3[[#This Row],[Type Received]]=2,"CC",(IF(Table3[[#This Row],[Type Received]]=3,"BILL","ACH")))</f>
        <v>ACH</v>
      </c>
      <c r="F3024" s="35">
        <v>61.78</v>
      </c>
      <c r="G3024" s="14" t="str">
        <f>VLOOKUP(D3024,Table4[],3,FALSE)</f>
        <v>2</v>
      </c>
      <c r="H3024" s="15"/>
      <c r="I3024" s="15"/>
      <c r="J3024" s="15" t="s">
        <v>84</v>
      </c>
      <c r="K3024" s="15">
        <v>522360742</v>
      </c>
      <c r="L3024" s="15" t="s">
        <v>29</v>
      </c>
      <c r="M3024" s="15"/>
    </row>
    <row r="3025" spans="1:13" x14ac:dyDescent="0.25">
      <c r="A3025" s="23">
        <f t="shared" si="150"/>
        <v>240932</v>
      </c>
      <c r="B3025" s="14" t="str">
        <f t="shared" si="149"/>
        <v>Direct Debit (UMB Bank) - Credits</v>
      </c>
      <c r="C3025" s="37">
        <v>46143</v>
      </c>
      <c r="D3025" s="31">
        <v>240932</v>
      </c>
      <c r="E3025" s="33" t="str">
        <f>IF(Table3[[#This Row],[Type Received]]=2,"CC",(IF(Table3[[#This Row],[Type Received]]=3,"BILL","ACH")))</f>
        <v>ACH</v>
      </c>
      <c r="F3025" s="32">
        <v>92.8</v>
      </c>
      <c r="G3025" s="14" t="str">
        <f>VLOOKUP(D3025,Table4[],3,FALSE)</f>
        <v>2</v>
      </c>
      <c r="H3025" s="15"/>
      <c r="I3025" s="15"/>
      <c r="J3025" s="15" t="s">
        <v>84</v>
      </c>
      <c r="K3025" s="15">
        <v>522369522</v>
      </c>
      <c r="L3025" s="15" t="s">
        <v>29</v>
      </c>
      <c r="M3025" s="15"/>
    </row>
    <row r="3026" spans="1:13" x14ac:dyDescent="0.25">
      <c r="A3026" s="23">
        <f t="shared" si="150"/>
        <v>240942</v>
      </c>
      <c r="B3026" s="14" t="str">
        <f t="shared" si="149"/>
        <v>Billing - Credits (from TPA)</v>
      </c>
      <c r="C3026" s="38">
        <v>46158</v>
      </c>
      <c r="D3026" s="34">
        <v>240942</v>
      </c>
      <c r="E3026" s="36" t="str">
        <f>IF(Table3[[#This Row],[Type Received]]=2,"CC",(IF(Table3[[#This Row],[Type Received]]=3,"BILL","ACH")))</f>
        <v>BILL</v>
      </c>
      <c r="F3026" s="35">
        <v>124.48</v>
      </c>
      <c r="G3026" s="14" t="str">
        <f>VLOOKUP(D3026,Table4[],3,FALSE)</f>
        <v>2</v>
      </c>
      <c r="H3026" s="15"/>
      <c r="I3026" s="15"/>
      <c r="J3026" s="15" t="s">
        <v>106</v>
      </c>
      <c r="K3026" s="15">
        <v>710065502</v>
      </c>
      <c r="L3026" s="15" t="s">
        <v>29</v>
      </c>
      <c r="M3026" s="15"/>
    </row>
    <row r="3027" spans="1:13" x14ac:dyDescent="0.25">
      <c r="A3027" s="23">
        <f t="shared" si="150"/>
        <v>240950</v>
      </c>
      <c r="B3027" s="14" t="str">
        <f t="shared" si="149"/>
        <v>Credit Cards (UMB) - Credits</v>
      </c>
      <c r="C3027" s="37">
        <v>46168</v>
      </c>
      <c r="D3027" s="31">
        <v>240950</v>
      </c>
      <c r="E3027" s="33" t="str">
        <f>IF(Table3[[#This Row],[Type Received]]=2,"CC",(IF(Table3[[#This Row],[Type Received]]=3,"BILL","ACH")))</f>
        <v>CC</v>
      </c>
      <c r="F3027" s="32">
        <v>42.32</v>
      </c>
      <c r="G3027" s="14" t="str">
        <f>VLOOKUP(D3027,Table4[],3,FALSE)</f>
        <v>2</v>
      </c>
      <c r="H3027" s="15">
        <v>1811</v>
      </c>
      <c r="I3027" s="15"/>
      <c r="J3027" s="15"/>
      <c r="K3027" s="15"/>
      <c r="L3027" s="15"/>
      <c r="M3027" s="15"/>
    </row>
    <row r="3028" spans="1:13" x14ac:dyDescent="0.25">
      <c r="A3028" s="23">
        <f t="shared" si="150"/>
        <v>240983</v>
      </c>
      <c r="B3028" s="14" t="str">
        <f t="shared" si="149"/>
        <v>Billing - Credits (from TPA)</v>
      </c>
      <c r="C3028" s="38">
        <v>46163</v>
      </c>
      <c r="D3028" s="34">
        <v>240983</v>
      </c>
      <c r="E3028" s="36" t="str">
        <f>IF(Table3[[#This Row],[Type Received]]=2,"CC",(IF(Table3[[#This Row],[Type Received]]=3,"BILL","ACH")))</f>
        <v>BILL</v>
      </c>
      <c r="F3028" s="35">
        <v>648.84</v>
      </c>
      <c r="G3028" s="14" t="str">
        <f>VLOOKUP(D3028,Table4[],3,FALSE)</f>
        <v>1</v>
      </c>
      <c r="H3028" s="15"/>
      <c r="I3028" s="15">
        <v>2454</v>
      </c>
      <c r="J3028" s="15" t="s">
        <v>28</v>
      </c>
      <c r="K3028" s="15">
        <v>771068231</v>
      </c>
      <c r="L3028" s="15" t="s">
        <v>29</v>
      </c>
      <c r="M3028" s="15"/>
    </row>
    <row r="3029" spans="1:13" x14ac:dyDescent="0.25">
      <c r="A3029" s="23">
        <f t="shared" si="150"/>
        <v>240629</v>
      </c>
      <c r="B3029" s="14" t="str">
        <f t="shared" si="149"/>
        <v>Direct Debit (UMB Bank) - Credits</v>
      </c>
      <c r="C3029" s="37">
        <v>46143</v>
      </c>
      <c r="D3029" s="31">
        <v>240629</v>
      </c>
      <c r="E3029" s="33" t="str">
        <f>IF(Table3[[#This Row],[Type Received]]=2,"CC",(IF(Table3[[#This Row],[Type Received]]=3,"BILL","ACH")))</f>
        <v>ACH</v>
      </c>
      <c r="F3029" s="32">
        <v>121.85</v>
      </c>
      <c r="G3029" s="14" t="str">
        <f>VLOOKUP(D3029,Table4[],3,FALSE)</f>
        <v>2</v>
      </c>
      <c r="H3029" s="15">
        <v>1635</v>
      </c>
      <c r="I3029" s="15"/>
      <c r="J3029" s="15"/>
      <c r="K3029" s="15"/>
      <c r="L3029" s="15"/>
      <c r="M3029" s="15"/>
    </row>
    <row r="3030" spans="1:13" x14ac:dyDescent="0.25">
      <c r="A3030" s="23">
        <f t="shared" si="150"/>
        <v>240679</v>
      </c>
      <c r="B3030" s="14" t="str">
        <f t="shared" si="149"/>
        <v>Direct Debit (UMB Bank) - Credits</v>
      </c>
      <c r="C3030" s="38">
        <v>46158</v>
      </c>
      <c r="D3030" s="34">
        <v>240679</v>
      </c>
      <c r="E3030" s="36" t="str">
        <f>IF(Table3[[#This Row],[Type Received]]=2,"CC",(IF(Table3[[#This Row],[Type Received]]=3,"BILL","ACH")))</f>
        <v>ACH</v>
      </c>
      <c r="F3030" s="35">
        <v>90.05</v>
      </c>
      <c r="G3030" s="14" t="str">
        <f>VLOOKUP(D3030,Table4[],3,FALSE)</f>
        <v>1</v>
      </c>
      <c r="H3030" s="15"/>
      <c r="I3030" s="15"/>
      <c r="J3030" s="15" t="s">
        <v>106</v>
      </c>
      <c r="K3030" s="15">
        <v>710060606</v>
      </c>
      <c r="L3030" s="15" t="s">
        <v>29</v>
      </c>
      <c r="M3030" s="15"/>
    </row>
    <row r="3031" spans="1:13" x14ac:dyDescent="0.25">
      <c r="A3031" s="23">
        <f t="shared" si="150"/>
        <v>240682</v>
      </c>
      <c r="B3031" s="14" t="str">
        <f t="shared" si="149"/>
        <v>Credit Cards (UMB) - Credits</v>
      </c>
      <c r="C3031" s="37">
        <v>46167</v>
      </c>
      <c r="D3031" s="31">
        <v>240682</v>
      </c>
      <c r="E3031" s="33" t="str">
        <f>IF(Table3[[#This Row],[Type Received]]=2,"CC",(IF(Table3[[#This Row],[Type Received]]=3,"BILL","ACH")))</f>
        <v>CC</v>
      </c>
      <c r="F3031" s="32">
        <v>33.51</v>
      </c>
      <c r="G3031" s="14" t="str">
        <f>VLOOKUP(D3031,Table4[],3,FALSE)</f>
        <v>1</v>
      </c>
      <c r="H3031" s="15"/>
      <c r="I3031" s="15"/>
      <c r="J3031" s="24" t="s">
        <v>85</v>
      </c>
      <c r="K3031" s="15">
        <v>818386420</v>
      </c>
      <c r="L3031" s="15" t="s">
        <v>29</v>
      </c>
      <c r="M3031" s="15"/>
    </row>
    <row r="3032" spans="1:13" x14ac:dyDescent="0.25">
      <c r="A3032" s="23">
        <f t="shared" si="150"/>
        <v>240785</v>
      </c>
      <c r="B3032" s="14" t="str">
        <f t="shared" si="149"/>
        <v>Billing - Credits (from TPA)</v>
      </c>
      <c r="C3032" s="38">
        <v>46155</v>
      </c>
      <c r="D3032" s="34">
        <v>240785</v>
      </c>
      <c r="E3032" s="36" t="str">
        <f>IF(Table3[[#This Row],[Type Received]]=2,"CC",(IF(Table3[[#This Row],[Type Received]]=3,"BILL","ACH")))</f>
        <v>BILL</v>
      </c>
      <c r="F3032" s="35">
        <v>72.010000000000005</v>
      </c>
      <c r="G3032" s="14" t="str">
        <f>VLOOKUP(D3032,Table4[],3,FALSE)</f>
        <v>2</v>
      </c>
      <c r="H3032" s="15"/>
      <c r="I3032" s="15">
        <v>115693</v>
      </c>
      <c r="J3032" s="15" t="s">
        <v>28</v>
      </c>
      <c r="K3032" s="15">
        <v>669498606</v>
      </c>
      <c r="L3032" s="15" t="s">
        <v>29</v>
      </c>
      <c r="M3032" s="15"/>
    </row>
    <row r="3033" spans="1:13" x14ac:dyDescent="0.25">
      <c r="A3033" s="23">
        <f t="shared" si="150"/>
        <v>241226</v>
      </c>
      <c r="B3033" s="14" t="str">
        <f t="shared" si="149"/>
        <v>Direct Debit (UMB Bank) - Credits</v>
      </c>
      <c r="C3033" s="37">
        <v>46160</v>
      </c>
      <c r="D3033" s="31">
        <v>241226</v>
      </c>
      <c r="E3033" s="33" t="str">
        <f>IF(Table3[[#This Row],[Type Received]]=2,"CC",(IF(Table3[[#This Row],[Type Received]]=3,"BILL","ACH")))</f>
        <v>ACH</v>
      </c>
      <c r="F3033" s="32">
        <v>666.7</v>
      </c>
      <c r="G3033" s="14" t="str">
        <f>VLOOKUP(D3033,Table4[],3,FALSE)</f>
        <v>1</v>
      </c>
      <c r="H3033" s="15">
        <v>26006</v>
      </c>
      <c r="I3033" s="15"/>
      <c r="J3033" s="15"/>
      <c r="K3033" s="15"/>
      <c r="L3033" s="15"/>
      <c r="M3033" s="15"/>
    </row>
    <row r="3034" spans="1:13" x14ac:dyDescent="0.25">
      <c r="A3034" s="23">
        <f t="shared" si="150"/>
        <v>241240</v>
      </c>
      <c r="B3034" s="14" t="str">
        <f t="shared" si="149"/>
        <v>Direct Debit (UMB Bank) - Credits</v>
      </c>
      <c r="C3034" s="38">
        <v>46158</v>
      </c>
      <c r="D3034" s="34">
        <v>241240</v>
      </c>
      <c r="E3034" s="36" t="str">
        <f>IF(Table3[[#This Row],[Type Received]]=2,"CC",(IF(Table3[[#This Row],[Type Received]]=3,"BILL","ACH")))</f>
        <v>ACH</v>
      </c>
      <c r="F3034" s="35">
        <v>72.010000000000005</v>
      </c>
      <c r="G3034" s="14" t="str">
        <f>VLOOKUP(D3034,Table4[],3,FALSE)</f>
        <v>2</v>
      </c>
      <c r="H3034" s="15"/>
      <c r="I3034" s="15"/>
      <c r="J3034" s="15" t="s">
        <v>106</v>
      </c>
      <c r="K3034" s="15">
        <v>710066514</v>
      </c>
      <c r="L3034" s="15" t="s">
        <v>29</v>
      </c>
      <c r="M3034" s="15"/>
    </row>
    <row r="3035" spans="1:13" x14ac:dyDescent="0.25">
      <c r="A3035" s="23">
        <f t="shared" si="150"/>
        <v>241241</v>
      </c>
      <c r="B3035" s="14" t="str">
        <f t="shared" si="149"/>
        <v>Direct Debit (UMB Bank) - Credits</v>
      </c>
      <c r="C3035" s="37">
        <v>46143</v>
      </c>
      <c r="D3035" s="31">
        <v>241241</v>
      </c>
      <c r="E3035" s="33" t="str">
        <f>IF(Table3[[#This Row],[Type Received]]=2,"CC",(IF(Table3[[#This Row],[Type Received]]=3,"BILL","ACH")))</f>
        <v>ACH</v>
      </c>
      <c r="F3035" s="32">
        <v>167.38</v>
      </c>
      <c r="G3035" s="14" t="str">
        <f>VLOOKUP(D3035,Table4[],3,FALSE)</f>
        <v>2</v>
      </c>
      <c r="H3035" s="15"/>
      <c r="I3035" s="15"/>
      <c r="J3035" s="15" t="s">
        <v>84</v>
      </c>
      <c r="K3035" s="15">
        <v>522373339</v>
      </c>
      <c r="L3035" s="15" t="s">
        <v>29</v>
      </c>
      <c r="M3035" s="15"/>
    </row>
    <row r="3036" spans="1:13" x14ac:dyDescent="0.25">
      <c r="A3036" s="23">
        <f t="shared" si="150"/>
        <v>241251</v>
      </c>
      <c r="B3036" s="14" t="str">
        <f t="shared" si="149"/>
        <v>Direct Debit (UMB Bank) - Credits</v>
      </c>
      <c r="C3036" s="38">
        <v>46143</v>
      </c>
      <c r="D3036" s="34">
        <v>241251</v>
      </c>
      <c r="E3036" s="36" t="str">
        <f>IF(Table3[[#This Row],[Type Received]]=2,"CC",(IF(Table3[[#This Row],[Type Received]]=3,"BILL","ACH")))</f>
        <v>ACH</v>
      </c>
      <c r="F3036" s="35">
        <v>29.33</v>
      </c>
      <c r="G3036" s="14" t="str">
        <f>VLOOKUP(D3036,Table4[],3,FALSE)</f>
        <v>1</v>
      </c>
      <c r="H3036" s="15"/>
      <c r="I3036" s="15"/>
      <c r="J3036" s="15" t="s">
        <v>84</v>
      </c>
      <c r="K3036" s="15">
        <v>522352060</v>
      </c>
      <c r="L3036" s="15" t="s">
        <v>29</v>
      </c>
      <c r="M3036" s="15"/>
    </row>
    <row r="3037" spans="1:13" x14ac:dyDescent="0.25">
      <c r="A3037" s="23">
        <f t="shared" si="150"/>
        <v>241303</v>
      </c>
      <c r="B3037" s="14" t="str">
        <f t="shared" si="149"/>
        <v>Billing - Credits (from TPA)</v>
      </c>
      <c r="C3037" s="37">
        <v>46169</v>
      </c>
      <c r="D3037" s="31">
        <v>241303</v>
      </c>
      <c r="E3037" s="33" t="str">
        <f>IF(Table3[[#This Row],[Type Received]]=2,"CC",(IF(Table3[[#This Row],[Type Received]]=3,"BILL","ACH")))</f>
        <v>BILL</v>
      </c>
      <c r="F3037" s="32">
        <v>57.95</v>
      </c>
      <c r="G3037" s="14" t="str">
        <f>VLOOKUP(D3037,Table4[],3,FALSE)</f>
        <v>1</v>
      </c>
      <c r="H3037" s="15"/>
      <c r="I3037" s="15"/>
      <c r="J3037" s="24" t="s">
        <v>117</v>
      </c>
      <c r="K3037" s="15">
        <v>844389366</v>
      </c>
      <c r="L3037" s="15" t="s">
        <v>29</v>
      </c>
      <c r="M3037" s="15"/>
    </row>
    <row r="3038" spans="1:13" x14ac:dyDescent="0.25">
      <c r="A3038" s="23">
        <f t="shared" si="150"/>
        <v>241323</v>
      </c>
      <c r="B3038" s="14" t="str">
        <f t="shared" si="149"/>
        <v>Direct Debit (UMB Bank) - Credits</v>
      </c>
      <c r="C3038" s="38">
        <v>46150</v>
      </c>
      <c r="D3038" s="34">
        <v>241323</v>
      </c>
      <c r="E3038" s="36" t="str">
        <f>IF(Table3[[#This Row],[Type Received]]=2,"CC",(IF(Table3[[#This Row],[Type Received]]=3,"BILL","ACH")))</f>
        <v>ACH</v>
      </c>
      <c r="F3038" s="35">
        <v>232.21</v>
      </c>
      <c r="G3038" s="14" t="str">
        <f>VLOOKUP(D3038,Table4[],3,FALSE)</f>
        <v>1</v>
      </c>
      <c r="H3038" s="15">
        <v>3478</v>
      </c>
      <c r="I3038" s="15"/>
      <c r="J3038" s="15"/>
      <c r="K3038" s="15"/>
      <c r="L3038" s="15"/>
      <c r="M3038" s="15"/>
    </row>
    <row r="3039" spans="1:13" x14ac:dyDescent="0.25">
      <c r="A3039" s="23">
        <f t="shared" si="150"/>
        <v>241339</v>
      </c>
      <c r="B3039" s="14" t="str">
        <f t="shared" si="149"/>
        <v>Billing - Credits (from TPA)</v>
      </c>
      <c r="C3039" s="37">
        <v>46158</v>
      </c>
      <c r="D3039" s="31">
        <v>241339</v>
      </c>
      <c r="E3039" s="33" t="str">
        <f>IF(Table3[[#This Row],[Type Received]]=2,"CC",(IF(Table3[[#This Row],[Type Received]]=3,"BILL","ACH")))</f>
        <v>BILL</v>
      </c>
      <c r="F3039" s="32">
        <v>52.54</v>
      </c>
      <c r="G3039" s="14" t="str">
        <f>VLOOKUP(D3039,Table4[],3,FALSE)</f>
        <v>2</v>
      </c>
      <c r="H3039" s="15"/>
      <c r="I3039" s="15"/>
      <c r="J3039" s="24" t="s">
        <v>106</v>
      </c>
      <c r="K3039" s="15">
        <v>710051027</v>
      </c>
      <c r="L3039" s="15" t="s">
        <v>29</v>
      </c>
      <c r="M3039" s="15"/>
    </row>
    <row r="3040" spans="1:13" x14ac:dyDescent="0.25">
      <c r="A3040" s="23">
        <f t="shared" si="150"/>
        <v>241362</v>
      </c>
      <c r="B3040" s="14" t="str">
        <f t="shared" si="149"/>
        <v>Direct Debit (UMB Bank) - Credits</v>
      </c>
      <c r="C3040" s="38">
        <v>46164</v>
      </c>
      <c r="D3040" s="34">
        <v>241362</v>
      </c>
      <c r="E3040" s="36" t="str">
        <f>IF(Table3[[#This Row],[Type Received]]=2,"CC",(IF(Table3[[#This Row],[Type Received]]=3,"BILL","ACH")))</f>
        <v>ACH</v>
      </c>
      <c r="F3040" s="35">
        <v>109.31</v>
      </c>
      <c r="G3040" s="14" t="str">
        <f>VLOOKUP(D3040,Table4[],3,FALSE)</f>
        <v>2</v>
      </c>
      <c r="H3040" s="15">
        <v>78030526080</v>
      </c>
      <c r="I3040" s="15"/>
      <c r="J3040" s="15"/>
      <c r="K3040" s="15"/>
      <c r="L3040" s="15"/>
      <c r="M3040" s="15"/>
    </row>
    <row r="3041" spans="1:13" x14ac:dyDescent="0.25">
      <c r="A3041" s="23">
        <f t="shared" si="150"/>
        <v>241394</v>
      </c>
      <c r="B3041" s="14" t="str">
        <f t="shared" si="149"/>
        <v>Billing - Credits (from TPA)</v>
      </c>
      <c r="C3041" s="37">
        <v>46167</v>
      </c>
      <c r="D3041" s="31">
        <v>241394</v>
      </c>
      <c r="E3041" s="33" t="str">
        <f>IF(Table3[[#This Row],[Type Received]]=2,"CC",(IF(Table3[[#This Row],[Type Received]]=3,"BILL","ACH")))</f>
        <v>BILL</v>
      </c>
      <c r="F3041" s="32">
        <v>149.56</v>
      </c>
      <c r="G3041" s="14" t="str">
        <f>VLOOKUP(D3041,Table4[],3,FALSE)</f>
        <v>2</v>
      </c>
      <c r="H3041" s="15"/>
      <c r="I3041" s="15"/>
      <c r="J3041" s="24" t="s">
        <v>85</v>
      </c>
      <c r="K3041" s="15">
        <v>818379835</v>
      </c>
      <c r="L3041" s="15" t="s">
        <v>29</v>
      </c>
      <c r="M3041" s="15"/>
    </row>
    <row r="3042" spans="1:13" x14ac:dyDescent="0.25">
      <c r="A3042" s="23">
        <f t="shared" si="150"/>
        <v>241031</v>
      </c>
      <c r="B3042" s="14" t="str">
        <f t="shared" si="149"/>
        <v>Direct Debit (UMB Bank) - Credits</v>
      </c>
      <c r="C3042" s="38">
        <v>46168</v>
      </c>
      <c r="D3042" s="34">
        <v>241031</v>
      </c>
      <c r="E3042" s="36" t="str">
        <f>IF(Table3[[#This Row],[Type Received]]=2,"CC",(IF(Table3[[#This Row],[Type Received]]=3,"BILL","ACH")))</f>
        <v>ACH</v>
      </c>
      <c r="F3042" s="35">
        <v>98.09</v>
      </c>
      <c r="G3042" s="14" t="str">
        <f>VLOOKUP(D3042,Table4[],3,FALSE)</f>
        <v>2</v>
      </c>
      <c r="H3042" s="15">
        <v>6849</v>
      </c>
      <c r="I3042" s="15"/>
      <c r="J3042" s="15"/>
      <c r="K3042" s="15"/>
      <c r="L3042" s="15"/>
      <c r="M3042" s="15"/>
    </row>
    <row r="3043" spans="1:13" x14ac:dyDescent="0.25">
      <c r="A3043" s="23">
        <f t="shared" si="150"/>
        <v>241038</v>
      </c>
      <c r="B3043" s="14" t="str">
        <f t="shared" si="149"/>
        <v>Credit Cards (UMB) - Credits</v>
      </c>
      <c r="C3043" s="37">
        <v>46158</v>
      </c>
      <c r="D3043" s="31">
        <v>241038</v>
      </c>
      <c r="E3043" s="33" t="str">
        <f>IF(Table3[[#This Row],[Type Received]]=2,"CC",(IF(Table3[[#This Row],[Type Received]]=3,"BILL","ACH")))</f>
        <v>CC</v>
      </c>
      <c r="F3043" s="32">
        <v>39.450000000000003</v>
      </c>
      <c r="G3043" s="14" t="str">
        <f>VLOOKUP(D3043,Table4[],3,FALSE)</f>
        <v>1</v>
      </c>
      <c r="H3043" s="15"/>
      <c r="I3043" s="15"/>
      <c r="J3043" s="15" t="s">
        <v>106</v>
      </c>
      <c r="K3043" s="15">
        <v>710072439</v>
      </c>
      <c r="L3043" s="15" t="s">
        <v>29</v>
      </c>
      <c r="M3043" s="15"/>
    </row>
    <row r="3044" spans="1:13" x14ac:dyDescent="0.25">
      <c r="A3044" s="23">
        <f t="shared" si="150"/>
        <v>241089</v>
      </c>
      <c r="B3044" s="14" t="str">
        <f t="shared" si="149"/>
        <v>Billing - Credits (from TPA)</v>
      </c>
      <c r="C3044" s="38">
        <v>46155</v>
      </c>
      <c r="D3044" s="34">
        <v>241089</v>
      </c>
      <c r="E3044" s="36" t="str">
        <f>IF(Table3[[#This Row],[Type Received]]=2,"CC",(IF(Table3[[#This Row],[Type Received]]=3,"BILL","ACH")))</f>
        <v>BILL</v>
      </c>
      <c r="F3044" s="35">
        <v>135.69999999999999</v>
      </c>
      <c r="G3044" s="14" t="str">
        <f>VLOOKUP(D3044,Table4[],3,FALSE)</f>
        <v>2</v>
      </c>
      <c r="H3044" s="15"/>
      <c r="I3044" s="15">
        <v>502</v>
      </c>
      <c r="J3044" s="24" t="s">
        <v>28</v>
      </c>
      <c r="K3044" s="15">
        <v>669507184</v>
      </c>
      <c r="L3044" s="15" t="s">
        <v>29</v>
      </c>
      <c r="M3044" s="15"/>
    </row>
    <row r="3045" spans="1:13" x14ac:dyDescent="0.25">
      <c r="A3045" s="23">
        <f t="shared" si="150"/>
        <v>241099</v>
      </c>
      <c r="B3045" s="14" t="str">
        <f t="shared" si="149"/>
        <v>Direct Debit (UMB Bank) - Credits</v>
      </c>
      <c r="C3045" s="37">
        <v>46146</v>
      </c>
      <c r="D3045" s="31">
        <v>241099</v>
      </c>
      <c r="E3045" s="33" t="str">
        <f>IF(Table3[[#This Row],[Type Received]]=2,"CC",(IF(Table3[[#This Row],[Type Received]]=3,"BILL","ACH")))</f>
        <v>ACH</v>
      </c>
      <c r="F3045" s="32">
        <v>114.9</v>
      </c>
      <c r="G3045" s="14" t="str">
        <f>VLOOKUP(D3045,Table4[],3,FALSE)</f>
        <v>1</v>
      </c>
      <c r="H3045" s="15">
        <v>19819866753</v>
      </c>
      <c r="I3045" s="15"/>
      <c r="J3045" s="15"/>
      <c r="K3045" s="15"/>
      <c r="L3045" s="15"/>
      <c r="M3045" s="15"/>
    </row>
    <row r="3046" spans="1:13" x14ac:dyDescent="0.25">
      <c r="A3046" s="23">
        <f t="shared" ref="A3046:A3069" si="151">D3046</f>
        <v>241126</v>
      </c>
      <c r="B3046" s="14" t="str">
        <f t="shared" si="149"/>
        <v>Billing - Credits (from TPA)</v>
      </c>
      <c r="C3046" s="38">
        <v>46167</v>
      </c>
      <c r="D3046" s="34">
        <v>241126</v>
      </c>
      <c r="E3046" s="36" t="str">
        <f>IF(Table3[[#This Row],[Type Received]]=2,"CC",(IF(Table3[[#This Row],[Type Received]]=3,"BILL","ACH")))</f>
        <v>BILL</v>
      </c>
      <c r="F3046" s="35">
        <v>137.35</v>
      </c>
      <c r="G3046" s="14" t="str">
        <f>VLOOKUP(D3046,Table4[],3,FALSE)</f>
        <v>2</v>
      </c>
      <c r="H3046" s="15"/>
      <c r="I3046" s="15"/>
      <c r="J3046" s="15" t="s">
        <v>85</v>
      </c>
      <c r="K3046" s="15">
        <v>818373990</v>
      </c>
      <c r="L3046" s="15" t="s">
        <v>29</v>
      </c>
      <c r="M3046" s="15"/>
    </row>
    <row r="3047" spans="1:13" x14ac:dyDescent="0.25">
      <c r="A3047" s="23">
        <f t="shared" si="151"/>
        <v>241152</v>
      </c>
      <c r="B3047" s="14" t="str">
        <f t="shared" si="149"/>
        <v>Billing - Credits (from TPA)</v>
      </c>
      <c r="C3047" s="37">
        <v>46169</v>
      </c>
      <c r="D3047" s="31">
        <v>241152</v>
      </c>
      <c r="E3047" s="33" t="str">
        <f>IF(Table3[[#This Row],[Type Received]]=2,"CC",(IF(Table3[[#This Row],[Type Received]]=3,"BILL","ACH")))</f>
        <v>BILL</v>
      </c>
      <c r="F3047" s="32">
        <v>114.59</v>
      </c>
      <c r="G3047" s="14" t="str">
        <f>VLOOKUP(D3047,Table4[],3,FALSE)</f>
        <v>2</v>
      </c>
      <c r="H3047" s="15">
        <v>1878</v>
      </c>
      <c r="I3047" s="15"/>
      <c r="J3047" s="15"/>
      <c r="K3047" s="15"/>
      <c r="L3047" s="15"/>
      <c r="M3047" s="15"/>
    </row>
    <row r="3048" spans="1:13" x14ac:dyDescent="0.25">
      <c r="A3048" s="23">
        <f t="shared" si="151"/>
        <v>241152</v>
      </c>
      <c r="B3048" s="14" t="str">
        <f t="shared" si="149"/>
        <v>Billing - Credits (from TPA)</v>
      </c>
      <c r="C3048" s="38">
        <v>46143</v>
      </c>
      <c r="D3048" s="34">
        <v>241152</v>
      </c>
      <c r="E3048" s="36" t="str">
        <f>IF(Table3[[#This Row],[Type Received]]=2,"CC",(IF(Table3[[#This Row],[Type Received]]=3,"BILL","ACH")))</f>
        <v>BILL</v>
      </c>
      <c r="F3048" s="35">
        <v>114.59</v>
      </c>
      <c r="G3048" s="14" t="str">
        <f>VLOOKUP(D3048,Table4[],3,FALSE)</f>
        <v>2</v>
      </c>
      <c r="H3048" s="15">
        <v>373</v>
      </c>
      <c r="I3048" s="15"/>
      <c r="J3048" s="15"/>
      <c r="K3048" s="15"/>
      <c r="L3048" s="15"/>
      <c r="M3048" s="15"/>
    </row>
    <row r="3049" spans="1:13" x14ac:dyDescent="0.25">
      <c r="A3049" s="23">
        <f t="shared" si="151"/>
        <v>241176</v>
      </c>
      <c r="B3049" s="14" t="str">
        <f t="shared" si="149"/>
        <v>Direct Debit (UMB Bank) - Credits</v>
      </c>
      <c r="C3049" s="37">
        <v>46143</v>
      </c>
      <c r="D3049" s="31">
        <v>241176</v>
      </c>
      <c r="E3049" s="33" t="str">
        <f>IF(Table3[[#This Row],[Type Received]]=2,"CC",(IF(Table3[[#This Row],[Type Received]]=3,"BILL","ACH")))</f>
        <v>ACH</v>
      </c>
      <c r="F3049" s="32">
        <v>135.05000000000001</v>
      </c>
      <c r="G3049" s="14" t="str">
        <f>VLOOKUP(D3049,Table4[],3,FALSE)</f>
        <v>2</v>
      </c>
      <c r="H3049" s="15">
        <v>2058</v>
      </c>
      <c r="I3049" s="15"/>
      <c r="J3049" s="15"/>
      <c r="K3049" s="15"/>
      <c r="L3049" s="15"/>
      <c r="M3049" s="15"/>
    </row>
    <row r="3050" spans="1:13" x14ac:dyDescent="0.25">
      <c r="A3050" s="23">
        <f t="shared" si="151"/>
        <v>241187</v>
      </c>
      <c r="B3050" s="14" t="str">
        <f t="shared" si="149"/>
        <v>Credit Cards (UMB) - Credits</v>
      </c>
      <c r="C3050" s="38">
        <v>46167</v>
      </c>
      <c r="D3050" s="34">
        <v>241187</v>
      </c>
      <c r="E3050" s="36" t="str">
        <f>IF(Table3[[#This Row],[Type Received]]=2,"CC",(IF(Table3[[#This Row],[Type Received]]=3,"BILL","ACH")))</f>
        <v>CC</v>
      </c>
      <c r="F3050" s="35">
        <v>76.95</v>
      </c>
      <c r="G3050" s="14" t="str">
        <f>VLOOKUP(D3050,Table4[],3,FALSE)</f>
        <v>2</v>
      </c>
      <c r="H3050" s="15"/>
      <c r="I3050" s="15"/>
      <c r="J3050" s="24" t="s">
        <v>85</v>
      </c>
      <c r="K3050" s="15">
        <v>818381735</v>
      </c>
      <c r="L3050" s="15" t="s">
        <v>29</v>
      </c>
      <c r="M3050" s="15"/>
    </row>
    <row r="3051" spans="1:13" x14ac:dyDescent="0.25">
      <c r="A3051" s="23">
        <f t="shared" si="151"/>
        <v>241193</v>
      </c>
      <c r="B3051" s="14" t="str">
        <f t="shared" si="149"/>
        <v>Billing - Credits (from TPA)</v>
      </c>
      <c r="C3051" s="37">
        <v>46155</v>
      </c>
      <c r="D3051" s="31">
        <v>241193</v>
      </c>
      <c r="E3051" s="33" t="str">
        <f>IF(Table3[[#This Row],[Type Received]]=2,"CC",(IF(Table3[[#This Row],[Type Received]]=3,"BILL","ACH")))</f>
        <v>BILL</v>
      </c>
      <c r="F3051" s="32">
        <v>127.45</v>
      </c>
      <c r="G3051" s="14" t="str">
        <f>VLOOKUP(D3051,Table4[],3,FALSE)</f>
        <v>2</v>
      </c>
      <c r="H3051" s="15"/>
      <c r="I3051" s="15">
        <v>268931</v>
      </c>
      <c r="J3051" s="15" t="s">
        <v>28</v>
      </c>
      <c r="K3051" s="15">
        <v>669509102</v>
      </c>
      <c r="L3051" s="15" t="s">
        <v>29</v>
      </c>
      <c r="M3051" s="15"/>
    </row>
    <row r="3052" spans="1:13" x14ac:dyDescent="0.25">
      <c r="A3052" s="23">
        <f t="shared" si="151"/>
        <v>241447</v>
      </c>
      <c r="B3052" s="14" t="str">
        <f t="shared" si="149"/>
        <v>Credit Cards (UMB) - Credits</v>
      </c>
      <c r="C3052" s="38">
        <v>46168</v>
      </c>
      <c r="D3052" s="34">
        <v>241447</v>
      </c>
      <c r="E3052" s="36" t="str">
        <f>IF(Table3[[#This Row],[Type Received]]=2,"CC",(IF(Table3[[#This Row],[Type Received]]=3,"BILL","ACH")))</f>
        <v>CC</v>
      </c>
      <c r="F3052" s="35">
        <v>176.96</v>
      </c>
      <c r="G3052" s="14" t="str">
        <f>VLOOKUP(D3052,Table4[],3,FALSE)</f>
        <v>2</v>
      </c>
      <c r="H3052" s="15">
        <v>1619</v>
      </c>
      <c r="I3052" s="15"/>
      <c r="J3052" s="15"/>
      <c r="K3052" s="15"/>
      <c r="L3052" s="15"/>
      <c r="M3052" s="15"/>
    </row>
    <row r="3053" spans="1:13" x14ac:dyDescent="0.25">
      <c r="A3053" s="23">
        <f t="shared" si="151"/>
        <v>241456</v>
      </c>
      <c r="B3053" s="14" t="str">
        <f t="shared" si="149"/>
        <v>Direct Debit (UMB Bank) - Credits</v>
      </c>
      <c r="C3053" s="37">
        <v>46158</v>
      </c>
      <c r="D3053" s="31">
        <v>241456</v>
      </c>
      <c r="E3053" s="33" t="str">
        <f>IF(Table3[[#This Row],[Type Received]]=2,"CC",(IF(Table3[[#This Row],[Type Received]]=3,"BILL","ACH")))</f>
        <v>ACH</v>
      </c>
      <c r="F3053" s="32">
        <v>125.8</v>
      </c>
      <c r="G3053" s="14" t="str">
        <f>VLOOKUP(D3053,Table4[],3,FALSE)</f>
        <v>2</v>
      </c>
      <c r="H3053" s="15"/>
      <c r="I3053" s="15">
        <v>188905</v>
      </c>
      <c r="J3053" s="15" t="s">
        <v>28</v>
      </c>
      <c r="K3053" s="15">
        <v>710068533</v>
      </c>
      <c r="L3053" s="15" t="s">
        <v>29</v>
      </c>
      <c r="M3053" s="15"/>
    </row>
    <row r="3054" spans="1:13" x14ac:dyDescent="0.25">
      <c r="A3054" s="23">
        <f t="shared" si="151"/>
        <v>241499</v>
      </c>
      <c r="B3054" s="14" t="str">
        <f t="shared" si="149"/>
        <v>Credit Cards (UMB) - Credits</v>
      </c>
      <c r="C3054" s="38">
        <v>46145</v>
      </c>
      <c r="D3054" s="34">
        <v>241499</v>
      </c>
      <c r="E3054" s="36" t="str">
        <f>IF(Table3[[#This Row],[Type Received]]=2,"CC",(IF(Table3[[#This Row],[Type Received]]=3,"BILL","ACH")))</f>
        <v>CC</v>
      </c>
      <c r="F3054" s="35">
        <v>137.35</v>
      </c>
      <c r="G3054" s="14" t="str">
        <f>VLOOKUP(D3054,Table4[],3,FALSE)</f>
        <v>2</v>
      </c>
      <c r="H3054" s="15"/>
      <c r="I3054" s="15"/>
      <c r="J3054" s="15" t="s">
        <v>113</v>
      </c>
      <c r="K3054" s="15">
        <v>546410412</v>
      </c>
      <c r="L3054" s="15" t="s">
        <v>29</v>
      </c>
      <c r="M3054" s="15"/>
    </row>
    <row r="3055" spans="1:13" x14ac:dyDescent="0.25">
      <c r="A3055" s="23">
        <f t="shared" si="151"/>
        <v>241539</v>
      </c>
      <c r="B3055" s="14" t="str">
        <f t="shared" si="149"/>
        <v>Direct Debit (UMB Bank) - Credits</v>
      </c>
      <c r="C3055" s="37">
        <v>46166</v>
      </c>
      <c r="D3055" s="31">
        <v>241539</v>
      </c>
      <c r="E3055" s="33" t="str">
        <f>IF(Table3[[#This Row],[Type Received]]=2,"CC",(IF(Table3[[#This Row],[Type Received]]=3,"BILL","ACH")))</f>
        <v>ACH</v>
      </c>
      <c r="F3055" s="32">
        <v>103.7</v>
      </c>
      <c r="G3055" s="14" t="str">
        <f>VLOOKUP(D3055,Table4[],3,FALSE)</f>
        <v>2</v>
      </c>
      <c r="H3055" s="15"/>
      <c r="I3055" s="15" t="s">
        <v>275</v>
      </c>
      <c r="J3055" s="15">
        <v>748427872</v>
      </c>
      <c r="K3055" s="15">
        <v>355666245</v>
      </c>
      <c r="L3055" s="15"/>
      <c r="M3055" s="15"/>
    </row>
    <row r="3056" spans="1:13" x14ac:dyDescent="0.25">
      <c r="A3056" s="23">
        <f t="shared" si="151"/>
        <v>241616</v>
      </c>
      <c r="B3056" s="14" t="str">
        <f t="shared" si="149"/>
        <v>Billing - Credits (from TPA)</v>
      </c>
      <c r="C3056" s="38">
        <v>46143</v>
      </c>
      <c r="D3056" s="34">
        <v>241616</v>
      </c>
      <c r="E3056" s="36" t="str">
        <f>IF(Table3[[#This Row],[Type Received]]=2,"CC",(IF(Table3[[#This Row],[Type Received]]=3,"BILL","ACH")))</f>
        <v>BILL</v>
      </c>
      <c r="F3056" s="35">
        <v>76.95</v>
      </c>
      <c r="G3056" s="14" t="str">
        <f>VLOOKUP(D3056,Table4[],3,FALSE)</f>
        <v>2</v>
      </c>
      <c r="H3056" s="15"/>
      <c r="I3056" s="15"/>
      <c r="J3056" s="15" t="s">
        <v>84</v>
      </c>
      <c r="K3056" s="15">
        <v>522377300</v>
      </c>
      <c r="L3056" s="15" t="s">
        <v>29</v>
      </c>
      <c r="M3056" s="15"/>
    </row>
    <row r="3057" spans="1:13" x14ac:dyDescent="0.25">
      <c r="A3057" s="23">
        <f t="shared" si="151"/>
        <v>241620</v>
      </c>
      <c r="B3057" s="14" t="str">
        <f t="shared" si="149"/>
        <v>Billing - Credits (from TPA)</v>
      </c>
      <c r="C3057" s="37">
        <v>46143</v>
      </c>
      <c r="D3057" s="31">
        <v>241620</v>
      </c>
      <c r="E3057" s="33" t="str">
        <f>IF(Table3[[#This Row],[Type Received]]=2,"CC",(IF(Table3[[#This Row],[Type Received]]=3,"BILL","ACH")))</f>
        <v>BILL</v>
      </c>
      <c r="F3057" s="32">
        <v>57.95</v>
      </c>
      <c r="G3057" s="14" t="str">
        <f>VLOOKUP(D3057,Table4[],3,FALSE)</f>
        <v>1</v>
      </c>
      <c r="H3057" s="15">
        <v>921398459</v>
      </c>
      <c r="I3057" s="15"/>
      <c r="J3057" s="15"/>
      <c r="K3057" s="15"/>
      <c r="L3057" s="15"/>
      <c r="M3057" s="15"/>
    </row>
    <row r="3058" spans="1:13" x14ac:dyDescent="0.25">
      <c r="A3058" s="23">
        <f t="shared" si="151"/>
        <v>241641</v>
      </c>
      <c r="B3058" s="14" t="str">
        <f t="shared" si="149"/>
        <v>Direct Debit (UMB Bank) - Credits</v>
      </c>
      <c r="C3058" s="38">
        <v>46168</v>
      </c>
      <c r="D3058" s="34">
        <v>241641</v>
      </c>
      <c r="E3058" s="36" t="str">
        <f>IF(Table3[[#This Row],[Type Received]]=2,"CC",(IF(Table3[[#This Row],[Type Received]]=3,"BILL","ACH")))</f>
        <v>ACH</v>
      </c>
      <c r="F3058" s="35">
        <v>56.84</v>
      </c>
      <c r="G3058" s="14" t="str">
        <f>VLOOKUP(D3058,Table4[],3,FALSE)</f>
        <v>2</v>
      </c>
      <c r="H3058" s="15">
        <v>107</v>
      </c>
      <c r="I3058" s="15"/>
      <c r="J3058" s="15"/>
      <c r="K3058" s="15"/>
      <c r="L3058" s="15"/>
      <c r="M3058" s="15"/>
    </row>
    <row r="3059" spans="1:13" x14ac:dyDescent="0.25">
      <c r="A3059" s="23">
        <f t="shared" si="151"/>
        <v>241664</v>
      </c>
      <c r="B3059" s="14" t="str">
        <f t="shared" si="149"/>
        <v>Direct Debit (UMB Bank) - Credits</v>
      </c>
      <c r="C3059" s="37">
        <v>46143</v>
      </c>
      <c r="D3059" s="31">
        <v>241664</v>
      </c>
      <c r="E3059" s="33" t="str">
        <f>IF(Table3[[#This Row],[Type Received]]=2,"CC",(IF(Table3[[#This Row],[Type Received]]=3,"BILL","ACH")))</f>
        <v>ACH</v>
      </c>
      <c r="F3059" s="32">
        <v>27.79</v>
      </c>
      <c r="G3059" s="14" t="str">
        <f>VLOOKUP(D3059,Table4[],3,FALSE)</f>
        <v>1</v>
      </c>
      <c r="H3059" s="15"/>
      <c r="I3059" s="15"/>
      <c r="J3059" s="15" t="s">
        <v>84</v>
      </c>
      <c r="K3059" s="15">
        <v>522153946</v>
      </c>
      <c r="L3059" s="15" t="s">
        <v>29</v>
      </c>
      <c r="M3059" s="15"/>
    </row>
    <row r="3060" spans="1:13" x14ac:dyDescent="0.25">
      <c r="A3060" s="23">
        <f t="shared" si="151"/>
        <v>241665</v>
      </c>
      <c r="B3060" s="14" t="str">
        <f t="shared" si="149"/>
        <v>Direct Debit (UMB Bank) - Credits</v>
      </c>
      <c r="C3060" s="38">
        <v>46143</v>
      </c>
      <c r="D3060" s="34">
        <v>241665</v>
      </c>
      <c r="E3060" s="36" t="str">
        <f>IF(Table3[[#This Row],[Type Received]]=2,"CC",(IF(Table3[[#This Row],[Type Received]]=3,"BILL","ACH")))</f>
        <v>ACH</v>
      </c>
      <c r="F3060" s="35">
        <v>85.54</v>
      </c>
      <c r="G3060" s="14" t="str">
        <f>VLOOKUP(D3060,Table4[],3,FALSE)</f>
        <v>2</v>
      </c>
      <c r="H3060" s="15"/>
      <c r="I3060" s="15"/>
      <c r="J3060" s="15" t="s">
        <v>84</v>
      </c>
      <c r="K3060" s="15">
        <v>522380135</v>
      </c>
      <c r="L3060" s="15" t="s">
        <v>29</v>
      </c>
      <c r="M3060" s="15"/>
    </row>
    <row r="3061" spans="1:13" x14ac:dyDescent="0.25">
      <c r="A3061" s="23">
        <f t="shared" si="151"/>
        <v>241672</v>
      </c>
      <c r="B3061" s="14" t="str">
        <f t="shared" si="149"/>
        <v>Credit Cards (UMB) - Credits</v>
      </c>
      <c r="C3061" s="37">
        <v>46158</v>
      </c>
      <c r="D3061" s="31">
        <v>241672</v>
      </c>
      <c r="E3061" s="33" t="str">
        <f>IF(Table3[[#This Row],[Type Received]]=2,"CC",(IF(Table3[[#This Row],[Type Received]]=3,"BILL","ACH")))</f>
        <v>CC</v>
      </c>
      <c r="F3061" s="32">
        <v>99.95</v>
      </c>
      <c r="G3061" s="14" t="str">
        <f>VLOOKUP(D3061,Table4[],3,FALSE)</f>
        <v>1</v>
      </c>
      <c r="H3061" s="15"/>
      <c r="I3061" s="15"/>
      <c r="J3061" s="15" t="s">
        <v>106</v>
      </c>
      <c r="K3061" s="15">
        <v>710063606</v>
      </c>
      <c r="L3061" s="15" t="s">
        <v>29</v>
      </c>
      <c r="M3061" s="15"/>
    </row>
    <row r="3062" spans="1:13" x14ac:dyDescent="0.25">
      <c r="A3062" s="23">
        <f t="shared" si="151"/>
        <v>241685</v>
      </c>
      <c r="B3062" s="14" t="str">
        <f t="shared" si="149"/>
        <v>Billing - Credits (from TPA)</v>
      </c>
      <c r="C3062" s="38">
        <v>46170</v>
      </c>
      <c r="D3062" s="34">
        <v>241685</v>
      </c>
      <c r="E3062" s="36" t="str">
        <f>IF(Table3[[#This Row],[Type Received]]=2,"CC",(IF(Table3[[#This Row],[Type Received]]=3,"BILL","ACH")))</f>
        <v>BILL</v>
      </c>
      <c r="F3062" s="35">
        <v>35.93</v>
      </c>
      <c r="G3062" s="14" t="str">
        <f>VLOOKUP(D3062,Table4[],3,FALSE)</f>
        <v>1</v>
      </c>
      <c r="H3062" s="15"/>
      <c r="I3062" s="15">
        <v>40114</v>
      </c>
      <c r="J3062" s="15" t="s">
        <v>28</v>
      </c>
      <c r="K3062" s="15">
        <v>853914925</v>
      </c>
      <c r="L3062" s="15" t="s">
        <v>29</v>
      </c>
      <c r="M3062" s="15"/>
    </row>
    <row r="3063" spans="1:13" x14ac:dyDescent="0.25">
      <c r="A3063" s="23">
        <f t="shared" si="151"/>
        <v>241721</v>
      </c>
      <c r="B3063" s="14" t="str">
        <f t="shared" si="149"/>
        <v>Billing - Credits (from TPA)</v>
      </c>
      <c r="C3063" s="37">
        <v>46171</v>
      </c>
      <c r="D3063" s="31">
        <v>241721</v>
      </c>
      <c r="E3063" s="33" t="str">
        <f>IF(Table3[[#This Row],[Type Received]]=2,"CC",(IF(Table3[[#This Row],[Type Received]]=3,"BILL","ACH")))</f>
        <v>BILL</v>
      </c>
      <c r="F3063" s="32">
        <v>149.71</v>
      </c>
      <c r="G3063" s="14" t="str">
        <f>VLOOKUP(D3063,Table4[],3,FALSE)</f>
        <v>2</v>
      </c>
      <c r="H3063" s="15">
        <v>9425</v>
      </c>
      <c r="I3063" s="15"/>
      <c r="J3063" s="24"/>
      <c r="K3063" s="15"/>
      <c r="L3063" s="15"/>
      <c r="M3063" s="15"/>
    </row>
    <row r="3064" spans="1:13" x14ac:dyDescent="0.25">
      <c r="A3064" s="23">
        <f t="shared" si="151"/>
        <v>241758</v>
      </c>
      <c r="B3064" s="14" t="str">
        <f t="shared" si="149"/>
        <v>Credit Cards (UMB) - Credits</v>
      </c>
      <c r="C3064" s="38">
        <v>46143</v>
      </c>
      <c r="D3064" s="34">
        <v>241758</v>
      </c>
      <c r="E3064" s="36" t="str">
        <f>IF(Table3[[#This Row],[Type Received]]=2,"CC",(IF(Table3[[#This Row],[Type Received]]=3,"BILL","ACH")))</f>
        <v>CC</v>
      </c>
      <c r="F3064" s="35">
        <v>76.64</v>
      </c>
      <c r="G3064" s="14" t="str">
        <f>VLOOKUP(D3064,Table4[],3,FALSE)</f>
        <v>2</v>
      </c>
      <c r="H3064" s="15">
        <v>57445296</v>
      </c>
      <c r="I3064" s="15"/>
      <c r="J3064" s="15"/>
      <c r="K3064" s="15"/>
      <c r="L3064" s="15"/>
      <c r="M3064" s="15"/>
    </row>
    <row r="3065" spans="1:13" x14ac:dyDescent="0.25">
      <c r="A3065" s="23">
        <f t="shared" si="151"/>
        <v>242026</v>
      </c>
      <c r="B3065" s="14" t="str">
        <f t="shared" si="149"/>
        <v>Credit Cards (UMB) - Credits</v>
      </c>
      <c r="C3065" s="37">
        <v>46155</v>
      </c>
      <c r="D3065" s="31">
        <v>242026</v>
      </c>
      <c r="E3065" s="33" t="str">
        <f>IF(Table3[[#This Row],[Type Received]]=2,"CC",(IF(Table3[[#This Row],[Type Received]]=3,"BILL","ACH")))</f>
        <v>CC</v>
      </c>
      <c r="F3065" s="32">
        <v>78.94</v>
      </c>
      <c r="G3065" s="14" t="str">
        <f>VLOOKUP(D3065,Table4[],3,FALSE)</f>
        <v>2</v>
      </c>
      <c r="H3065" s="15"/>
      <c r="I3065" s="15">
        <v>100854</v>
      </c>
      <c r="J3065" s="24" t="s">
        <v>28</v>
      </c>
      <c r="K3065" s="15">
        <v>669503528</v>
      </c>
      <c r="L3065" s="15" t="s">
        <v>29</v>
      </c>
      <c r="M3065" s="15"/>
    </row>
    <row r="3066" spans="1:13" x14ac:dyDescent="0.25">
      <c r="A3066" s="23">
        <f t="shared" si="151"/>
        <v>242074</v>
      </c>
      <c r="B3066" s="14" t="str">
        <f t="shared" si="149"/>
        <v>Direct Debit (UMB Bank) - Credits</v>
      </c>
      <c r="C3066" s="38">
        <v>46165</v>
      </c>
      <c r="D3066" s="34">
        <v>242074</v>
      </c>
      <c r="E3066" s="36" t="str">
        <f>IF(Table3[[#This Row],[Type Received]]=2,"CC",(IF(Table3[[#This Row],[Type Received]]=3,"BILL","ACH")))</f>
        <v>ACH</v>
      </c>
      <c r="F3066" s="35">
        <v>58.82</v>
      </c>
      <c r="G3066" s="14" t="str">
        <f>VLOOKUP(D3066,Table4[],3,FALSE)</f>
        <v>2</v>
      </c>
      <c r="H3066" s="15"/>
      <c r="I3066" s="15">
        <v>455963</v>
      </c>
      <c r="J3066" s="15">
        <v>748047895</v>
      </c>
      <c r="K3066" s="15">
        <v>355625356</v>
      </c>
      <c r="L3066" s="15"/>
      <c r="M3066" s="15"/>
    </row>
    <row r="3067" spans="1:13" x14ac:dyDescent="0.25">
      <c r="A3067" s="23">
        <f t="shared" si="151"/>
        <v>242090</v>
      </c>
      <c r="B3067" s="14" t="str">
        <f t="shared" si="149"/>
        <v>Direct Debit (UMB Bank) - Credits</v>
      </c>
      <c r="C3067" s="37">
        <v>46143</v>
      </c>
      <c r="D3067" s="31">
        <v>242090</v>
      </c>
      <c r="E3067" s="33" t="str">
        <f>IF(Table3[[#This Row],[Type Received]]=2,"CC",(IF(Table3[[#This Row],[Type Received]]=3,"BILL","ACH")))</f>
        <v>ACH</v>
      </c>
      <c r="F3067" s="32">
        <v>88.84</v>
      </c>
      <c r="G3067" s="14" t="str">
        <f>VLOOKUP(D3067,Table4[],3,FALSE)</f>
        <v>2</v>
      </c>
      <c r="H3067" s="15"/>
      <c r="I3067" s="15"/>
      <c r="J3067" s="24" t="s">
        <v>84</v>
      </c>
      <c r="K3067" s="15">
        <v>522363885</v>
      </c>
      <c r="L3067" s="15" t="s">
        <v>29</v>
      </c>
      <c r="M3067" s="15"/>
    </row>
    <row r="3068" spans="1:13" x14ac:dyDescent="0.25">
      <c r="A3068" s="23">
        <f t="shared" si="151"/>
        <v>242093</v>
      </c>
      <c r="B3068" s="14" t="str">
        <f t="shared" si="149"/>
        <v>Direct Debit (UMB Bank) - Credits</v>
      </c>
      <c r="C3068" s="38">
        <v>46157</v>
      </c>
      <c r="D3068" s="34">
        <v>242093</v>
      </c>
      <c r="E3068" s="36" t="str">
        <f>IF(Table3[[#This Row],[Type Received]]=2,"CC",(IF(Table3[[#This Row],[Type Received]]=3,"BILL","ACH")))</f>
        <v>ACH</v>
      </c>
      <c r="F3068" s="35">
        <v>116.89</v>
      </c>
      <c r="G3068" s="14" t="str">
        <f>VLOOKUP(D3068,Table4[],3,FALSE)</f>
        <v>2</v>
      </c>
      <c r="H3068" s="15"/>
      <c r="I3068" s="15"/>
      <c r="J3068" s="24" t="s">
        <v>87</v>
      </c>
      <c r="K3068" s="15">
        <v>696801336</v>
      </c>
      <c r="L3068" s="15" t="s">
        <v>29</v>
      </c>
      <c r="M3068" s="15"/>
    </row>
    <row r="3069" spans="1:13" x14ac:dyDescent="0.25">
      <c r="A3069" s="23">
        <f t="shared" si="151"/>
        <v>242112</v>
      </c>
      <c r="B3069" s="14" t="str">
        <f t="shared" si="149"/>
        <v>Direct Debit (UMB Bank) - Credits</v>
      </c>
      <c r="C3069" s="37">
        <v>46157</v>
      </c>
      <c r="D3069" s="31">
        <v>242112</v>
      </c>
      <c r="E3069" s="33" t="str">
        <f>IF(Table3[[#This Row],[Type Received]]=2,"CC",(IF(Table3[[#This Row],[Type Received]]=3,"BILL","ACH")))</f>
        <v>ACH</v>
      </c>
      <c r="F3069" s="32">
        <v>143.94999999999999</v>
      </c>
      <c r="G3069" s="14" t="str">
        <f>VLOOKUP(D3069,Table4[],3,FALSE)</f>
        <v>2</v>
      </c>
      <c r="H3069" s="15"/>
      <c r="I3069" s="15"/>
      <c r="J3069" s="15" t="s">
        <v>87</v>
      </c>
      <c r="K3069" s="15">
        <v>696808214</v>
      </c>
      <c r="L3069" s="15" t="s">
        <v>29</v>
      </c>
      <c r="M3069" s="15"/>
    </row>
    <row r="3070" spans="1:13" x14ac:dyDescent="0.25">
      <c r="A3070" s="23"/>
      <c r="B3070" s="14" t="str">
        <f t="shared" si="149"/>
        <v>Direct Debit (UMB Bank) - Credits</v>
      </c>
      <c r="C3070" s="38">
        <v>46167</v>
      </c>
      <c r="D3070" s="34">
        <v>242167</v>
      </c>
      <c r="E3070" s="36" t="str">
        <f>IF(Table3[[#This Row],[Type Received]]=2,"CC",(IF(Table3[[#This Row],[Type Received]]=3,"BILL","ACH")))</f>
        <v>ACH</v>
      </c>
      <c r="F3070" s="35">
        <v>111.61</v>
      </c>
      <c r="G3070" s="14" t="str">
        <f>VLOOKUP(D3070,Table4[],3,FALSE)</f>
        <v>2</v>
      </c>
      <c r="H3070" s="15"/>
      <c r="I3070" s="15"/>
      <c r="J3070" s="15" t="s">
        <v>85</v>
      </c>
      <c r="K3070" s="15">
        <v>818397161</v>
      </c>
      <c r="L3070" s="15" t="s">
        <v>29</v>
      </c>
      <c r="M3070" s="15"/>
    </row>
    <row r="3071" spans="1:13" x14ac:dyDescent="0.25">
      <c r="A3071" s="23"/>
      <c r="B3071" s="14" t="str">
        <f t="shared" si="149"/>
        <v>Direct Debit (UMB Bank) - Credits</v>
      </c>
      <c r="C3071" s="37">
        <v>46167</v>
      </c>
      <c r="D3071" s="31">
        <v>242194</v>
      </c>
      <c r="E3071" s="33" t="str">
        <f>IF(Table3[[#This Row],[Type Received]]=2,"CC",(IF(Table3[[#This Row],[Type Received]]=3,"BILL","ACH")))</f>
        <v>ACH</v>
      </c>
      <c r="F3071" s="32">
        <v>110.29</v>
      </c>
      <c r="G3071" s="14" t="str">
        <f>VLOOKUP(D3071,Table4[],3,FALSE)</f>
        <v>2</v>
      </c>
      <c r="H3071" s="15"/>
      <c r="I3071" s="15"/>
      <c r="J3071" s="15" t="s">
        <v>85</v>
      </c>
      <c r="K3071" s="15">
        <v>818370092</v>
      </c>
      <c r="L3071" s="15" t="s">
        <v>29</v>
      </c>
      <c r="M3071" s="15"/>
    </row>
    <row r="3072" spans="1:13" x14ac:dyDescent="0.25">
      <c r="A3072" s="23"/>
      <c r="B3072" s="14" t="str">
        <f t="shared" si="149"/>
        <v>Credit Cards (UMB) - Credits</v>
      </c>
      <c r="C3072" s="38">
        <v>46167</v>
      </c>
      <c r="D3072" s="34">
        <v>241861</v>
      </c>
      <c r="E3072" s="36" t="str">
        <f>IF(Table3[[#This Row],[Type Received]]=2,"CC",(IF(Table3[[#This Row],[Type Received]]=3,"BILL","ACH")))</f>
        <v>CC</v>
      </c>
      <c r="F3072" s="35">
        <v>24.05</v>
      </c>
      <c r="G3072" s="14" t="str">
        <f>VLOOKUP(D3072,Table4[],3,FALSE)</f>
        <v>1</v>
      </c>
      <c r="H3072" s="15"/>
      <c r="I3072" s="15"/>
      <c r="J3072" s="15" t="s">
        <v>85</v>
      </c>
      <c r="K3072" s="15">
        <v>818382722</v>
      </c>
      <c r="L3072" s="15" t="s">
        <v>29</v>
      </c>
      <c r="M3072" s="15"/>
    </row>
    <row r="3073" spans="1:13" x14ac:dyDescent="0.25">
      <c r="A3073" s="23">
        <f t="shared" ref="A3073:A3082" si="152">D3073</f>
        <v>241865</v>
      </c>
      <c r="B3073" s="14" t="str">
        <f t="shared" si="149"/>
        <v>Direct Debit (UMB Bank) - Credits</v>
      </c>
      <c r="C3073" s="37">
        <v>46164</v>
      </c>
      <c r="D3073" s="31">
        <v>241865</v>
      </c>
      <c r="E3073" s="33" t="str">
        <f>IF(Table3[[#This Row],[Type Received]]=2,"CC",(IF(Table3[[#This Row],[Type Received]]=3,"BILL","ACH")))</f>
        <v>ACH</v>
      </c>
      <c r="F3073" s="32">
        <v>66.41</v>
      </c>
      <c r="G3073" s="14" t="str">
        <f>VLOOKUP(D3073,Table4[],3,FALSE)</f>
        <v>2</v>
      </c>
      <c r="H3073" s="15"/>
      <c r="I3073" s="15" t="s">
        <v>276</v>
      </c>
      <c r="J3073" s="15" t="s">
        <v>28</v>
      </c>
      <c r="K3073" s="15">
        <v>789859822</v>
      </c>
      <c r="L3073" s="15" t="s">
        <v>29</v>
      </c>
      <c r="M3073" s="15"/>
    </row>
    <row r="3074" spans="1:13" x14ac:dyDescent="0.25">
      <c r="A3074" s="23">
        <f t="shared" si="152"/>
        <v>241883</v>
      </c>
      <c r="B3074" s="14" t="str">
        <f t="shared" ref="B3074:B3137" si="153">IF(AND(E3074="BILL",F3074&lt;0),"Billing &amp; Direct Debit - Refunds",(IF(AND(E3074="BILL",F3074&gt;0),"Billing - Credits (from TPA)",(IF(AND(E3074="CC",F3074&lt;0),"Credit Cards (UMB) - Refunds",(IF(AND(E3074="CC",F3074&gt;0),"Credit Cards (UMB) - Credits",(IF(AND(E3074="ACH",F3074&gt;0),"Direct Debit (UMB Bank) - Credits","Direct Debit (UMB Bank) - Returned Items")))))))))</f>
        <v>Direct Debit (UMB Bank) - Credits</v>
      </c>
      <c r="C3074" s="38">
        <v>46143</v>
      </c>
      <c r="D3074" s="34">
        <v>241883</v>
      </c>
      <c r="E3074" s="36" t="str">
        <f>IF(Table3[[#This Row],[Type Received]]=2,"CC",(IF(Table3[[#This Row],[Type Received]]=3,"BILL","ACH")))</f>
        <v>ACH</v>
      </c>
      <c r="F3074" s="35">
        <v>36.15</v>
      </c>
      <c r="G3074" s="14" t="str">
        <f>VLOOKUP(D3074,Table4[],3,FALSE)</f>
        <v>1</v>
      </c>
      <c r="H3074" s="15"/>
      <c r="I3074" s="15"/>
      <c r="J3074" s="15" t="s">
        <v>84</v>
      </c>
      <c r="K3074" s="15">
        <v>522384106</v>
      </c>
      <c r="L3074" s="15" t="s">
        <v>29</v>
      </c>
      <c r="M3074" s="15"/>
    </row>
    <row r="3075" spans="1:13" x14ac:dyDescent="0.25">
      <c r="A3075" s="23">
        <f t="shared" si="152"/>
        <v>241951</v>
      </c>
      <c r="B3075" s="14" t="str">
        <f t="shared" si="153"/>
        <v>Direct Debit (UMB Bank) - Credits</v>
      </c>
      <c r="C3075" s="37">
        <v>46155</v>
      </c>
      <c r="D3075" s="31">
        <v>241951</v>
      </c>
      <c r="E3075" s="33" t="str">
        <f>IF(Table3[[#This Row],[Type Received]]=2,"CC",(IF(Table3[[#This Row],[Type Received]]=3,"BILL","ACH")))</f>
        <v>ACH</v>
      </c>
      <c r="F3075" s="32">
        <v>56.95</v>
      </c>
      <c r="G3075" s="14" t="str">
        <f>VLOOKUP(D3075,Table4[],3,FALSE)</f>
        <v>1</v>
      </c>
      <c r="H3075" s="15"/>
      <c r="I3075" s="15"/>
      <c r="J3075" s="15" t="s">
        <v>90</v>
      </c>
      <c r="K3075" s="15">
        <v>669495709</v>
      </c>
      <c r="L3075" s="15" t="s">
        <v>29</v>
      </c>
      <c r="M3075" s="15"/>
    </row>
    <row r="3076" spans="1:13" x14ac:dyDescent="0.25">
      <c r="A3076" s="23">
        <f t="shared" si="152"/>
        <v>241981</v>
      </c>
      <c r="B3076" s="14" t="str">
        <f t="shared" si="153"/>
        <v>Direct Debit (UMB Bank) - Credits</v>
      </c>
      <c r="C3076" s="38">
        <v>46157</v>
      </c>
      <c r="D3076" s="34">
        <v>241981</v>
      </c>
      <c r="E3076" s="36" t="str">
        <f>IF(Table3[[#This Row],[Type Received]]=2,"CC",(IF(Table3[[#This Row],[Type Received]]=3,"BILL","ACH")))</f>
        <v>ACH</v>
      </c>
      <c r="F3076" s="35">
        <v>50.89</v>
      </c>
      <c r="G3076" s="14" t="str">
        <f>VLOOKUP(D3076,Table4[],3,FALSE)</f>
        <v>2</v>
      </c>
      <c r="H3076" s="15"/>
      <c r="I3076" s="15"/>
      <c r="J3076" s="24" t="s">
        <v>87</v>
      </c>
      <c r="K3076" s="15">
        <v>696782961</v>
      </c>
      <c r="L3076" s="15" t="s">
        <v>29</v>
      </c>
      <c r="M3076" s="15"/>
    </row>
    <row r="3077" spans="1:13" x14ac:dyDescent="0.25">
      <c r="A3077" s="23">
        <f t="shared" si="152"/>
        <v>241992</v>
      </c>
      <c r="B3077" s="14" t="str">
        <f t="shared" si="153"/>
        <v>Credit Cards (UMB) - Credits</v>
      </c>
      <c r="C3077" s="37">
        <v>46143</v>
      </c>
      <c r="D3077" s="31">
        <v>241992</v>
      </c>
      <c r="E3077" s="33" t="str">
        <f>IF(Table3[[#This Row],[Type Received]]=2,"CC",(IF(Table3[[#This Row],[Type Received]]=3,"BILL","ACH")))</f>
        <v>CC</v>
      </c>
      <c r="F3077" s="32">
        <v>77.62</v>
      </c>
      <c r="G3077" s="14" t="str">
        <f>VLOOKUP(D3077,Table4[],3,FALSE)</f>
        <v>2</v>
      </c>
      <c r="H3077" s="15"/>
      <c r="I3077" s="15"/>
      <c r="J3077" s="15" t="s">
        <v>84</v>
      </c>
      <c r="K3077" s="15">
        <v>522366670</v>
      </c>
      <c r="L3077" s="15" t="s">
        <v>29</v>
      </c>
      <c r="M3077" s="15"/>
    </row>
    <row r="3078" spans="1:13" x14ac:dyDescent="0.25">
      <c r="A3078" s="23">
        <f t="shared" si="152"/>
        <v>242218</v>
      </c>
      <c r="B3078" s="14" t="str">
        <f t="shared" si="153"/>
        <v>Credit Cards (UMB) - Credits</v>
      </c>
      <c r="C3078" s="38">
        <v>46148</v>
      </c>
      <c r="D3078" s="34">
        <v>242218</v>
      </c>
      <c r="E3078" s="36" t="str">
        <f>IF(Table3[[#This Row],[Type Received]]=2,"CC",(IF(Table3[[#This Row],[Type Received]]=3,"BILL","ACH")))</f>
        <v>CC</v>
      </c>
      <c r="F3078" s="35">
        <v>138.35</v>
      </c>
      <c r="G3078" s="14" t="str">
        <f>VLOOKUP(D3078,Table4[],3,FALSE)</f>
        <v>2</v>
      </c>
      <c r="H3078" s="15"/>
      <c r="I3078" s="15">
        <v>934355</v>
      </c>
      <c r="J3078" s="15">
        <v>743046280</v>
      </c>
      <c r="K3078" s="15">
        <v>353684975</v>
      </c>
      <c r="L3078" s="15"/>
      <c r="M3078" s="15"/>
    </row>
    <row r="3079" spans="1:13" x14ac:dyDescent="0.25">
      <c r="A3079" s="23">
        <f t="shared" si="152"/>
        <v>242296</v>
      </c>
      <c r="B3079" s="14" t="str">
        <f t="shared" si="153"/>
        <v>Direct Debit (UMB Bank) - Credits</v>
      </c>
      <c r="C3079" s="37">
        <v>46155</v>
      </c>
      <c r="D3079" s="31">
        <v>242296</v>
      </c>
      <c r="E3079" s="33" t="str">
        <f>IF(Table3[[#This Row],[Type Received]]=2,"CC",(IF(Table3[[#This Row],[Type Received]]=3,"BILL","ACH")))</f>
        <v>ACH</v>
      </c>
      <c r="F3079" s="32">
        <v>65.08</v>
      </c>
      <c r="G3079" s="14" t="str">
        <f>VLOOKUP(D3079,Table4[],3,FALSE)</f>
        <v>2</v>
      </c>
      <c r="H3079" s="15"/>
      <c r="I3079" s="15">
        <v>132182</v>
      </c>
      <c r="J3079" s="15" t="s">
        <v>28</v>
      </c>
      <c r="K3079" s="15">
        <v>669490836</v>
      </c>
      <c r="L3079" s="15" t="s">
        <v>29</v>
      </c>
      <c r="M3079" s="15"/>
    </row>
    <row r="3080" spans="1:13" x14ac:dyDescent="0.25">
      <c r="A3080" s="23">
        <f t="shared" si="152"/>
        <v>242330</v>
      </c>
      <c r="B3080" s="14" t="str">
        <f t="shared" si="153"/>
        <v>Billing - Credits (from TPA)</v>
      </c>
      <c r="C3080" s="38">
        <v>46143</v>
      </c>
      <c r="D3080" s="34">
        <v>242330</v>
      </c>
      <c r="E3080" s="36" t="str">
        <f>IF(Table3[[#This Row],[Type Received]]=2,"CC",(IF(Table3[[#This Row],[Type Received]]=3,"BILL","ACH")))</f>
        <v>BILL</v>
      </c>
      <c r="F3080" s="35">
        <v>77.95</v>
      </c>
      <c r="G3080" s="14" t="str">
        <f>VLOOKUP(D3080,Table4[],3,FALSE)</f>
        <v>2</v>
      </c>
      <c r="H3080" s="15"/>
      <c r="I3080" s="15"/>
      <c r="J3080" s="24" t="s">
        <v>84</v>
      </c>
      <c r="K3080" s="15">
        <v>522384175</v>
      </c>
      <c r="L3080" s="15" t="s">
        <v>29</v>
      </c>
      <c r="M3080" s="15"/>
    </row>
    <row r="3081" spans="1:13" x14ac:dyDescent="0.25">
      <c r="A3081" s="23">
        <f t="shared" si="152"/>
        <v>242346</v>
      </c>
      <c r="B3081" s="14" t="str">
        <f t="shared" si="153"/>
        <v>Billing - Credits (from TPA)</v>
      </c>
      <c r="C3081" s="37">
        <v>46169</v>
      </c>
      <c r="D3081" s="31">
        <v>242346</v>
      </c>
      <c r="E3081" s="33" t="str">
        <f>IF(Table3[[#This Row],[Type Received]]=2,"CC",(IF(Table3[[#This Row],[Type Received]]=3,"BILL","ACH")))</f>
        <v>BILL</v>
      </c>
      <c r="F3081" s="32">
        <v>52</v>
      </c>
      <c r="G3081" s="14" t="str">
        <f>VLOOKUP(D3081,Table4[],3,FALSE)</f>
        <v>2</v>
      </c>
      <c r="H3081" s="15">
        <v>9447</v>
      </c>
      <c r="I3081" s="15"/>
      <c r="J3081" s="24"/>
      <c r="K3081" s="15"/>
      <c r="L3081" s="15"/>
      <c r="M3081" s="15"/>
    </row>
    <row r="3082" spans="1:13" x14ac:dyDescent="0.25">
      <c r="A3082" s="23">
        <f t="shared" si="152"/>
        <v>242355</v>
      </c>
      <c r="B3082" s="14" t="str">
        <f t="shared" si="153"/>
        <v>Direct Debit (UMB Bank) - Credits</v>
      </c>
      <c r="C3082" s="38">
        <v>46143</v>
      </c>
      <c r="D3082" s="34">
        <v>242355</v>
      </c>
      <c r="E3082" s="36" t="str">
        <f>IF(Table3[[#This Row],[Type Received]]=2,"CC",(IF(Table3[[#This Row],[Type Received]]=3,"BILL","ACH")))</f>
        <v>ACH</v>
      </c>
      <c r="F3082" s="35">
        <v>143.63</v>
      </c>
      <c r="G3082" s="14" t="str">
        <f>VLOOKUP(D3082,Table4[],3,FALSE)</f>
        <v>2</v>
      </c>
      <c r="H3082" s="15">
        <v>5203</v>
      </c>
      <c r="I3082" s="15"/>
      <c r="J3082" s="15"/>
      <c r="K3082" s="15"/>
      <c r="L3082" s="15"/>
      <c r="M3082" s="15"/>
    </row>
    <row r="3083" spans="1:13" x14ac:dyDescent="0.25">
      <c r="A3083" s="23"/>
      <c r="B3083" s="14" t="str">
        <f t="shared" si="153"/>
        <v>Direct Debit (UMB Bank) - Credits</v>
      </c>
      <c r="C3083" s="37">
        <v>46147</v>
      </c>
      <c r="D3083" s="31">
        <v>242388</v>
      </c>
      <c r="E3083" s="33" t="str">
        <f>IF(Table3[[#This Row],[Type Received]]=2,"CC",(IF(Table3[[#This Row],[Type Received]]=3,"BILL","ACH")))</f>
        <v>ACH</v>
      </c>
      <c r="F3083" s="32">
        <v>88.29</v>
      </c>
      <c r="G3083" s="14" t="str">
        <f>VLOOKUP(D3083,Table4[],3,FALSE)</f>
        <v>1</v>
      </c>
      <c r="H3083" s="15"/>
      <c r="I3083" s="15"/>
      <c r="J3083" s="15" t="s">
        <v>86</v>
      </c>
      <c r="K3083" s="15">
        <v>569479334</v>
      </c>
      <c r="L3083" s="15" t="s">
        <v>29</v>
      </c>
      <c r="M3083" s="15"/>
    </row>
    <row r="3084" spans="1:13" x14ac:dyDescent="0.25">
      <c r="A3084" s="23">
        <f t="shared" ref="A3084:A3089" si="154">D3084</f>
        <v>242437</v>
      </c>
      <c r="B3084" s="14" t="str">
        <f t="shared" si="153"/>
        <v>Direct Debit (UMB Bank) - Credits</v>
      </c>
      <c r="C3084" s="38">
        <v>46144</v>
      </c>
      <c r="D3084" s="34">
        <v>242437</v>
      </c>
      <c r="E3084" s="36" t="str">
        <f>IF(Table3[[#This Row],[Type Received]]=2,"CC",(IF(Table3[[#This Row],[Type Received]]=3,"BILL","ACH")))</f>
        <v>ACH</v>
      </c>
      <c r="F3084" s="35">
        <v>116.45</v>
      </c>
      <c r="G3084" s="14" t="str">
        <f>VLOOKUP(D3084,Table4[],3,FALSE)</f>
        <v>1</v>
      </c>
      <c r="H3084" s="15"/>
      <c r="I3084" s="15"/>
      <c r="J3084" s="15" t="s">
        <v>89</v>
      </c>
      <c r="K3084" s="15">
        <v>535365253</v>
      </c>
      <c r="L3084" s="15" t="s">
        <v>29</v>
      </c>
      <c r="M3084" s="15"/>
    </row>
    <row r="3085" spans="1:13" x14ac:dyDescent="0.25">
      <c r="A3085" s="23">
        <f t="shared" si="154"/>
        <v>242500</v>
      </c>
      <c r="B3085" s="14" t="str">
        <f t="shared" si="153"/>
        <v>Billing - Credits (from TPA)</v>
      </c>
      <c r="C3085" s="37">
        <v>46143</v>
      </c>
      <c r="D3085" s="31">
        <v>242500</v>
      </c>
      <c r="E3085" s="33" t="str">
        <f>IF(Table3[[#This Row],[Type Received]]=2,"CC",(IF(Table3[[#This Row],[Type Received]]=3,"BILL","ACH")))</f>
        <v>BILL</v>
      </c>
      <c r="F3085" s="32">
        <v>80.59</v>
      </c>
      <c r="G3085" s="14" t="str">
        <f>VLOOKUP(D3085,Table4[],3,FALSE)</f>
        <v>2</v>
      </c>
      <c r="H3085" s="15"/>
      <c r="I3085" s="15"/>
      <c r="J3085" s="24" t="s">
        <v>84</v>
      </c>
      <c r="K3085" s="15">
        <v>522374521</v>
      </c>
      <c r="L3085" s="15" t="s">
        <v>29</v>
      </c>
      <c r="M3085" s="15"/>
    </row>
    <row r="3086" spans="1:13" x14ac:dyDescent="0.25">
      <c r="A3086" s="23">
        <f t="shared" si="154"/>
        <v>242526</v>
      </c>
      <c r="B3086" s="14" t="str">
        <f t="shared" si="153"/>
        <v>Direct Debit (UMB Bank) - Credits</v>
      </c>
      <c r="C3086" s="38">
        <v>46143</v>
      </c>
      <c r="D3086" s="34">
        <v>242526</v>
      </c>
      <c r="E3086" s="36" t="str">
        <f>IF(Table3[[#This Row],[Type Received]]=2,"CC",(IF(Table3[[#This Row],[Type Received]]=3,"BILL","ACH")))</f>
        <v>ACH</v>
      </c>
      <c r="F3086" s="35">
        <v>25.05</v>
      </c>
      <c r="G3086" s="14" t="str">
        <f>VLOOKUP(D3086,Table4[],3,FALSE)</f>
        <v>1</v>
      </c>
      <c r="H3086" s="15">
        <v>78055388235</v>
      </c>
      <c r="I3086" s="15"/>
      <c r="J3086" s="15"/>
      <c r="K3086" s="15"/>
      <c r="L3086" s="15"/>
      <c r="M3086" s="15"/>
    </row>
    <row r="3087" spans="1:13" x14ac:dyDescent="0.25">
      <c r="A3087" s="23">
        <f t="shared" si="154"/>
        <v>242559</v>
      </c>
      <c r="B3087" s="14" t="str">
        <f t="shared" si="153"/>
        <v>Billing - Credits (from TPA)</v>
      </c>
      <c r="C3087" s="37">
        <v>46157</v>
      </c>
      <c r="D3087" s="31">
        <v>242559</v>
      </c>
      <c r="E3087" s="33" t="str">
        <f>IF(Table3[[#This Row],[Type Received]]=2,"CC",(IF(Table3[[#This Row],[Type Received]]=3,"BILL","ACH")))</f>
        <v>BILL</v>
      </c>
      <c r="F3087" s="32">
        <v>99.95</v>
      </c>
      <c r="G3087" s="14" t="str">
        <f>VLOOKUP(D3087,Table4[],3,FALSE)</f>
        <v>1</v>
      </c>
      <c r="H3087" s="15"/>
      <c r="I3087" s="15"/>
      <c r="J3087" s="15" t="s">
        <v>87</v>
      </c>
      <c r="K3087" s="15">
        <v>696794610</v>
      </c>
      <c r="L3087" s="15" t="s">
        <v>29</v>
      </c>
      <c r="M3087" s="15"/>
    </row>
    <row r="3088" spans="1:13" x14ac:dyDescent="0.25">
      <c r="A3088" s="23">
        <f t="shared" si="154"/>
        <v>242566</v>
      </c>
      <c r="B3088" s="14" t="str">
        <f t="shared" si="153"/>
        <v>Direct Debit (UMB Bank) - Credits</v>
      </c>
      <c r="C3088" s="38">
        <v>46168</v>
      </c>
      <c r="D3088" s="34">
        <v>242566</v>
      </c>
      <c r="E3088" s="36" t="str">
        <f>IF(Table3[[#This Row],[Type Received]]=2,"CC",(IF(Table3[[#This Row],[Type Received]]=3,"BILL","ACH")))</f>
        <v>ACH</v>
      </c>
      <c r="F3088" s="35">
        <v>23.95</v>
      </c>
      <c r="G3088" s="14" t="str">
        <f>VLOOKUP(D3088,Table4[],3,FALSE)</f>
        <v>1</v>
      </c>
      <c r="H3088" s="15">
        <v>2116</v>
      </c>
      <c r="I3088" s="15"/>
      <c r="J3088" s="15"/>
      <c r="K3088" s="15"/>
      <c r="L3088" s="15"/>
      <c r="M3088" s="15"/>
    </row>
    <row r="3089" spans="1:13" x14ac:dyDescent="0.25">
      <c r="A3089" s="23">
        <f t="shared" si="154"/>
        <v>242567</v>
      </c>
      <c r="B3089" s="14" t="str">
        <f t="shared" si="153"/>
        <v>Direct Debit (UMB Bank) - Credits</v>
      </c>
      <c r="C3089" s="37">
        <v>46167</v>
      </c>
      <c r="D3089" s="31">
        <v>242567</v>
      </c>
      <c r="E3089" s="33" t="str">
        <f>IF(Table3[[#This Row],[Type Received]]=2,"CC",(IF(Table3[[#This Row],[Type Received]]=3,"BILL","ACH")))</f>
        <v>ACH</v>
      </c>
      <c r="F3089" s="32">
        <v>58.37</v>
      </c>
      <c r="G3089" s="14" t="str">
        <f>VLOOKUP(D3089,Table4[],3,FALSE)</f>
        <v>1</v>
      </c>
      <c r="H3089" s="15"/>
      <c r="I3089" s="15"/>
      <c r="J3089" s="15" t="s">
        <v>85</v>
      </c>
      <c r="K3089" s="15">
        <v>818395353</v>
      </c>
      <c r="L3089" s="15" t="s">
        <v>29</v>
      </c>
      <c r="M3089" s="15"/>
    </row>
    <row r="3090" spans="1:13" x14ac:dyDescent="0.25">
      <c r="A3090" s="23"/>
      <c r="B3090" s="14" t="str">
        <f t="shared" si="153"/>
        <v>Credit Cards (UMB) - Credits</v>
      </c>
      <c r="C3090" s="38">
        <v>46143</v>
      </c>
      <c r="D3090" s="34">
        <v>242570</v>
      </c>
      <c r="E3090" s="36" t="str">
        <f>IF(Table3[[#This Row],[Type Received]]=2,"CC",(IF(Table3[[#This Row],[Type Received]]=3,"BILL","ACH")))</f>
        <v>CC</v>
      </c>
      <c r="F3090" s="35">
        <v>66.95</v>
      </c>
      <c r="G3090" s="14" t="str">
        <f>VLOOKUP(D3090,Table4[],3,FALSE)</f>
        <v>1</v>
      </c>
      <c r="H3090" s="15"/>
      <c r="I3090" s="15"/>
      <c r="J3090" s="15" t="s">
        <v>84</v>
      </c>
      <c r="K3090" s="15">
        <v>522373565</v>
      </c>
      <c r="L3090" s="15" t="s">
        <v>29</v>
      </c>
      <c r="M3090" s="15"/>
    </row>
    <row r="3091" spans="1:13" x14ac:dyDescent="0.25">
      <c r="A3091" s="23"/>
      <c r="B3091" s="14" t="str">
        <f t="shared" si="153"/>
        <v>Billing - Credits (from TPA)</v>
      </c>
      <c r="C3091" s="37">
        <v>46155</v>
      </c>
      <c r="D3091" s="31">
        <v>242895</v>
      </c>
      <c r="E3091" s="33" t="str">
        <f>IF(Table3[[#This Row],[Type Received]]=2,"CC",(IF(Table3[[#This Row],[Type Received]]=3,"BILL","ACH")))</f>
        <v>BILL</v>
      </c>
      <c r="F3091" s="32">
        <v>115.24</v>
      </c>
      <c r="G3091" s="14" t="str">
        <f>VLOOKUP(D3091,Table4[],3,FALSE)</f>
        <v>2</v>
      </c>
      <c r="H3091" s="15"/>
      <c r="I3091" s="15">
        <v>80507</v>
      </c>
      <c r="J3091" s="24" t="s">
        <v>28</v>
      </c>
      <c r="K3091" s="15">
        <v>669505444</v>
      </c>
      <c r="L3091" s="15" t="s">
        <v>29</v>
      </c>
      <c r="M3091" s="15"/>
    </row>
    <row r="3092" spans="1:13" x14ac:dyDescent="0.25">
      <c r="A3092" s="23">
        <f t="shared" ref="A3092:A3123" si="155">D3092</f>
        <v>242933</v>
      </c>
      <c r="B3092" s="14" t="str">
        <f t="shared" si="153"/>
        <v>Credit Cards (UMB) - Credits</v>
      </c>
      <c r="C3092" s="38">
        <v>46149</v>
      </c>
      <c r="D3092" s="34">
        <v>242933</v>
      </c>
      <c r="E3092" s="36" t="str">
        <f>IF(Table3[[#This Row],[Type Received]]=2,"CC",(IF(Table3[[#This Row],[Type Received]]=3,"BILL","ACH")))</f>
        <v>CC</v>
      </c>
      <c r="F3092" s="35">
        <v>464.74</v>
      </c>
      <c r="G3092" s="14" t="str">
        <f>VLOOKUP(D3092,Table4[],3,FALSE)</f>
        <v>2</v>
      </c>
      <c r="H3092" s="15">
        <v>287</v>
      </c>
      <c r="I3092" s="15"/>
      <c r="J3092" s="15"/>
      <c r="K3092" s="15"/>
      <c r="L3092" s="15"/>
      <c r="M3092" s="15"/>
    </row>
    <row r="3093" spans="1:13" x14ac:dyDescent="0.25">
      <c r="A3093" s="23">
        <f t="shared" si="155"/>
        <v>243001</v>
      </c>
      <c r="B3093" s="14" t="str">
        <f t="shared" si="153"/>
        <v>Direct Debit (UMB Bank) - Credits</v>
      </c>
      <c r="C3093" s="37">
        <v>46170</v>
      </c>
      <c r="D3093" s="31">
        <v>243001</v>
      </c>
      <c r="E3093" s="33" t="str">
        <f>IF(Table3[[#This Row],[Type Received]]=2,"CC",(IF(Table3[[#This Row],[Type Received]]=3,"BILL","ACH")))</f>
        <v>ACH</v>
      </c>
      <c r="F3093" s="32">
        <v>145.02000000000001</v>
      </c>
      <c r="G3093" s="14" t="str">
        <f>VLOOKUP(D3093,Table4[],3,FALSE)</f>
        <v>1</v>
      </c>
      <c r="H3093" s="15"/>
      <c r="I3093" s="15">
        <v>861871</v>
      </c>
      <c r="J3093" s="15" t="s">
        <v>28</v>
      </c>
      <c r="K3093" s="15">
        <v>854458677</v>
      </c>
      <c r="L3093" s="15" t="s">
        <v>29</v>
      </c>
      <c r="M3093" s="15"/>
    </row>
    <row r="3094" spans="1:13" x14ac:dyDescent="0.25">
      <c r="A3094" s="23">
        <f t="shared" si="155"/>
        <v>242619</v>
      </c>
      <c r="B3094" s="14" t="str">
        <f t="shared" si="153"/>
        <v>Billing - Credits (from TPA)</v>
      </c>
      <c r="C3094" s="38">
        <v>46167</v>
      </c>
      <c r="D3094" s="34">
        <v>242619</v>
      </c>
      <c r="E3094" s="36" t="str">
        <f>IF(Table3[[#This Row],[Type Received]]=2,"CC",(IF(Table3[[#This Row],[Type Received]]=3,"BILL","ACH")))</f>
        <v>BILL</v>
      </c>
      <c r="F3094" s="35">
        <v>86.2</v>
      </c>
      <c r="G3094" s="14" t="str">
        <f>VLOOKUP(D3094,Table4[],3,FALSE)</f>
        <v>2</v>
      </c>
      <c r="H3094" s="15"/>
      <c r="I3094" s="15"/>
      <c r="J3094" s="15" t="s">
        <v>85</v>
      </c>
      <c r="K3094" s="15">
        <v>818397182</v>
      </c>
      <c r="L3094" s="15" t="s">
        <v>29</v>
      </c>
      <c r="M3094" s="15"/>
    </row>
    <row r="3095" spans="1:13" x14ac:dyDescent="0.25">
      <c r="A3095" s="23">
        <f t="shared" si="155"/>
        <v>242625</v>
      </c>
      <c r="B3095" s="14" t="str">
        <f t="shared" si="153"/>
        <v>Direct Debit (UMB Bank) - Credits</v>
      </c>
      <c r="C3095" s="37">
        <v>46150</v>
      </c>
      <c r="D3095" s="31">
        <v>242625</v>
      </c>
      <c r="E3095" s="33" t="str">
        <f>IF(Table3[[#This Row],[Type Received]]=2,"CC",(IF(Table3[[#This Row],[Type Received]]=3,"BILL","ACH")))</f>
        <v>ACH</v>
      </c>
      <c r="F3095" s="32">
        <v>114.59</v>
      </c>
      <c r="G3095" s="14" t="str">
        <f>VLOOKUP(D3095,Table4[],3,FALSE)</f>
        <v>2</v>
      </c>
      <c r="H3095" s="15">
        <v>921952483</v>
      </c>
      <c r="I3095" s="15"/>
      <c r="J3095" s="15"/>
      <c r="K3095" s="15"/>
      <c r="L3095" s="15"/>
      <c r="M3095" s="15"/>
    </row>
    <row r="3096" spans="1:13" x14ac:dyDescent="0.25">
      <c r="A3096" s="23">
        <f t="shared" si="155"/>
        <v>242630</v>
      </c>
      <c r="B3096" s="14" t="str">
        <f t="shared" si="153"/>
        <v>Billing - Credits (from TPA)</v>
      </c>
      <c r="C3096" s="38">
        <v>46161</v>
      </c>
      <c r="D3096" s="34">
        <v>242630</v>
      </c>
      <c r="E3096" s="36" t="str">
        <f>IF(Table3[[#This Row],[Type Received]]=2,"CC",(IF(Table3[[#This Row],[Type Received]]=3,"BILL","ACH")))</f>
        <v>BILL</v>
      </c>
      <c r="F3096" s="35">
        <v>87.2</v>
      </c>
      <c r="G3096" s="14" t="str">
        <f>VLOOKUP(D3096,Table4[],3,FALSE)</f>
        <v>2</v>
      </c>
      <c r="H3096" s="15"/>
      <c r="I3096" s="15"/>
      <c r="J3096" s="24" t="s">
        <v>220</v>
      </c>
      <c r="K3096" s="15">
        <v>748414741</v>
      </c>
      <c r="L3096" s="15" t="s">
        <v>29</v>
      </c>
      <c r="M3096" s="15"/>
    </row>
    <row r="3097" spans="1:13" x14ac:dyDescent="0.25">
      <c r="A3097" s="23">
        <f t="shared" si="155"/>
        <v>242631</v>
      </c>
      <c r="B3097" s="14" t="str">
        <f t="shared" si="153"/>
        <v>Credit Cards (UMB) - Credits</v>
      </c>
      <c r="C3097" s="37">
        <v>46169</v>
      </c>
      <c r="D3097" s="31">
        <v>242631</v>
      </c>
      <c r="E3097" s="33" t="str">
        <f>IF(Table3[[#This Row],[Type Received]]=2,"CC",(IF(Table3[[#This Row],[Type Received]]=3,"BILL","ACH")))</f>
        <v>CC</v>
      </c>
      <c r="F3097" s="32">
        <v>87.2</v>
      </c>
      <c r="G3097" s="14" t="str">
        <f>VLOOKUP(D3097,Table4[],3,FALSE)</f>
        <v>2</v>
      </c>
      <c r="H3097" s="15">
        <v>606</v>
      </c>
      <c r="I3097" s="15"/>
      <c r="J3097" s="15"/>
      <c r="K3097" s="15"/>
      <c r="L3097" s="15"/>
      <c r="M3097" s="15"/>
    </row>
    <row r="3098" spans="1:13" x14ac:dyDescent="0.25">
      <c r="A3098" s="23">
        <f t="shared" si="155"/>
        <v>242665</v>
      </c>
      <c r="B3098" s="14" t="str">
        <f t="shared" si="153"/>
        <v>Billing - Credits (from TPA)</v>
      </c>
      <c r="C3098" s="38">
        <v>46149</v>
      </c>
      <c r="D3098" s="34">
        <v>242665</v>
      </c>
      <c r="E3098" s="36" t="str">
        <f>IF(Table3[[#This Row],[Type Received]]=2,"CC",(IF(Table3[[#This Row],[Type Received]]=3,"BILL","ACH")))</f>
        <v>BILL</v>
      </c>
      <c r="F3098" s="35">
        <v>96.77</v>
      </c>
      <c r="G3098" s="14" t="str">
        <f>VLOOKUP(D3098,Table4[],3,FALSE)</f>
        <v>2</v>
      </c>
      <c r="H3098" s="15"/>
      <c r="I3098" s="15">
        <v>50972</v>
      </c>
      <c r="J3098" s="15" t="s">
        <v>28</v>
      </c>
      <c r="K3098" s="15">
        <v>598338825</v>
      </c>
      <c r="L3098" s="15" t="s">
        <v>29</v>
      </c>
      <c r="M3098" s="15"/>
    </row>
    <row r="3099" spans="1:13" x14ac:dyDescent="0.25">
      <c r="A3099" s="23">
        <f t="shared" si="155"/>
        <v>242675</v>
      </c>
      <c r="B3099" s="14" t="str">
        <f t="shared" si="153"/>
        <v>Direct Debit (UMB Bank) - Credits</v>
      </c>
      <c r="C3099" s="37">
        <v>46149</v>
      </c>
      <c r="D3099" s="31">
        <v>242675</v>
      </c>
      <c r="E3099" s="33" t="str">
        <f>IF(Table3[[#This Row],[Type Received]]=2,"CC",(IF(Table3[[#This Row],[Type Received]]=3,"BILL","ACH")))</f>
        <v>ACH</v>
      </c>
      <c r="F3099" s="32">
        <v>64.209999999999994</v>
      </c>
      <c r="G3099" s="14" t="str">
        <f>VLOOKUP(D3099,Table4[],3,FALSE)</f>
        <v>1</v>
      </c>
      <c r="H3099" s="15">
        <v>1261</v>
      </c>
      <c r="I3099" s="15"/>
      <c r="J3099" s="24"/>
      <c r="K3099" s="15"/>
      <c r="L3099" s="15"/>
      <c r="M3099" s="15"/>
    </row>
    <row r="3100" spans="1:13" x14ac:dyDescent="0.25">
      <c r="A3100" s="23">
        <f t="shared" si="155"/>
        <v>242705</v>
      </c>
      <c r="B3100" s="14" t="str">
        <f t="shared" si="153"/>
        <v>Billing - Credits (from TPA)</v>
      </c>
      <c r="C3100" s="38">
        <v>46144</v>
      </c>
      <c r="D3100" s="34">
        <v>242705</v>
      </c>
      <c r="E3100" s="36" t="str">
        <f>IF(Table3[[#This Row],[Type Received]]=2,"CC",(IF(Table3[[#This Row],[Type Received]]=3,"BILL","ACH")))</f>
        <v>BILL</v>
      </c>
      <c r="F3100" s="35">
        <v>60.46</v>
      </c>
      <c r="G3100" s="14" t="str">
        <f>VLOOKUP(D3100,Table4[],3,FALSE)</f>
        <v>2</v>
      </c>
      <c r="H3100" s="15"/>
      <c r="I3100" s="15"/>
      <c r="J3100" s="24" t="s">
        <v>89</v>
      </c>
      <c r="K3100" s="15">
        <v>535351144</v>
      </c>
      <c r="L3100" s="15" t="s">
        <v>29</v>
      </c>
      <c r="M3100" s="15"/>
    </row>
    <row r="3101" spans="1:13" x14ac:dyDescent="0.25">
      <c r="A3101" s="23">
        <f t="shared" si="155"/>
        <v>242728</v>
      </c>
      <c r="B3101" s="14" t="str">
        <f t="shared" si="153"/>
        <v>Billing - Credits (from TPA)</v>
      </c>
      <c r="C3101" s="37">
        <v>46170</v>
      </c>
      <c r="D3101" s="31">
        <v>242728</v>
      </c>
      <c r="E3101" s="33" t="str">
        <f>IF(Table3[[#This Row],[Type Received]]=2,"CC",(IF(Table3[[#This Row],[Type Received]]=3,"BILL","ACH")))</f>
        <v>BILL</v>
      </c>
      <c r="F3101" s="32">
        <v>63</v>
      </c>
      <c r="G3101" s="14" t="str">
        <f>VLOOKUP(D3101,Table4[],3,FALSE)</f>
        <v>1</v>
      </c>
      <c r="H3101" s="15">
        <v>923739219</v>
      </c>
      <c r="I3101" s="15"/>
      <c r="J3101" s="15"/>
      <c r="K3101" s="15"/>
      <c r="L3101" s="15"/>
      <c r="M3101" s="15"/>
    </row>
    <row r="3102" spans="1:13" x14ac:dyDescent="0.25">
      <c r="A3102" s="23">
        <f t="shared" si="155"/>
        <v>242728</v>
      </c>
      <c r="B3102" s="14" t="str">
        <f t="shared" si="153"/>
        <v>Direct Debit (UMB Bank) - Credits</v>
      </c>
      <c r="C3102" s="38">
        <v>46146</v>
      </c>
      <c r="D3102" s="34">
        <v>242728</v>
      </c>
      <c r="E3102" s="36" t="str">
        <f>IF(Table3[[#This Row],[Type Received]]=2,"CC",(IF(Table3[[#This Row],[Type Received]]=3,"BILL","ACH")))</f>
        <v>ACH</v>
      </c>
      <c r="F3102" s="35">
        <v>63</v>
      </c>
      <c r="G3102" s="14" t="str">
        <f>VLOOKUP(D3102,Table4[],3,FALSE)</f>
        <v>1</v>
      </c>
      <c r="H3102" s="15">
        <v>920792050</v>
      </c>
      <c r="I3102" s="15"/>
      <c r="J3102" s="24"/>
      <c r="K3102" s="15"/>
      <c r="L3102" s="15"/>
      <c r="M3102" s="15"/>
    </row>
    <row r="3103" spans="1:13" x14ac:dyDescent="0.25">
      <c r="A3103" s="23">
        <f t="shared" si="155"/>
        <v>242754</v>
      </c>
      <c r="B3103" s="14" t="str">
        <f t="shared" si="153"/>
        <v>Credit Cards (UMB) - Credits</v>
      </c>
      <c r="C3103" s="37">
        <v>46144</v>
      </c>
      <c r="D3103" s="31">
        <v>242754</v>
      </c>
      <c r="E3103" s="33" t="str">
        <f>IF(Table3[[#This Row],[Type Received]]=2,"CC",(IF(Table3[[#This Row],[Type Received]]=3,"BILL","ACH")))</f>
        <v>CC</v>
      </c>
      <c r="F3103" s="32">
        <v>47.15</v>
      </c>
      <c r="G3103" s="14" t="str">
        <f>VLOOKUP(D3103,Table4[],3,FALSE)</f>
        <v>1</v>
      </c>
      <c r="H3103" s="15"/>
      <c r="I3103" s="15"/>
      <c r="J3103" s="24" t="s">
        <v>89</v>
      </c>
      <c r="K3103" s="15">
        <v>535349329</v>
      </c>
      <c r="L3103" s="15" t="s">
        <v>29</v>
      </c>
      <c r="M3103" s="15"/>
    </row>
    <row r="3104" spans="1:13" x14ac:dyDescent="0.25">
      <c r="A3104" s="23">
        <f t="shared" si="155"/>
        <v>242786</v>
      </c>
      <c r="B3104" s="14" t="str">
        <f t="shared" si="153"/>
        <v>Direct Debit (UMB Bank) - Credits</v>
      </c>
      <c r="C3104" s="38">
        <v>46161</v>
      </c>
      <c r="D3104" s="34">
        <v>242786</v>
      </c>
      <c r="E3104" s="36" t="str">
        <f>IF(Table3[[#This Row],[Type Received]]=2,"CC",(IF(Table3[[#This Row],[Type Received]]=3,"BILL","ACH")))</f>
        <v>ACH</v>
      </c>
      <c r="F3104" s="35">
        <v>103.44</v>
      </c>
      <c r="G3104" s="14" t="str">
        <f>VLOOKUP(D3104,Table4[],3,FALSE)</f>
        <v>2</v>
      </c>
      <c r="H3104" s="15"/>
      <c r="I3104" s="15">
        <v>97216</v>
      </c>
      <c r="J3104" s="15" t="s">
        <v>28</v>
      </c>
      <c r="K3104" s="15">
        <v>747375312</v>
      </c>
      <c r="L3104" s="15" t="s">
        <v>29</v>
      </c>
      <c r="M3104" s="15"/>
    </row>
    <row r="3105" spans="1:13" x14ac:dyDescent="0.25">
      <c r="A3105" s="23">
        <f t="shared" si="155"/>
        <v>243011</v>
      </c>
      <c r="B3105" s="14" t="str">
        <f t="shared" si="153"/>
        <v>Credit Cards (UMB) - Credits</v>
      </c>
      <c r="C3105" s="37">
        <v>46167</v>
      </c>
      <c r="D3105" s="31">
        <v>243011</v>
      </c>
      <c r="E3105" s="33" t="str">
        <f>IF(Table3[[#This Row],[Type Received]]=2,"CC",(IF(Table3[[#This Row],[Type Received]]=3,"BILL","ACH")))</f>
        <v>CC</v>
      </c>
      <c r="F3105" s="32">
        <v>134.38</v>
      </c>
      <c r="G3105" s="14" t="str">
        <f>VLOOKUP(D3105,Table4[],3,FALSE)</f>
        <v>2</v>
      </c>
      <c r="H3105" s="15"/>
      <c r="I3105" s="15"/>
      <c r="J3105" s="15" t="s">
        <v>85</v>
      </c>
      <c r="K3105" s="15">
        <v>818394373</v>
      </c>
      <c r="L3105" s="15" t="s">
        <v>29</v>
      </c>
      <c r="M3105" s="15"/>
    </row>
    <row r="3106" spans="1:13" x14ac:dyDescent="0.25">
      <c r="A3106" s="23">
        <f t="shared" si="155"/>
        <v>243033</v>
      </c>
      <c r="B3106" s="14" t="str">
        <f t="shared" si="153"/>
        <v>Billing - Credits (from TPA)</v>
      </c>
      <c r="C3106" s="38">
        <v>46143</v>
      </c>
      <c r="D3106" s="34">
        <v>243033</v>
      </c>
      <c r="E3106" s="36" t="str">
        <f>IF(Table3[[#This Row],[Type Received]]=2,"CC",(IF(Table3[[#This Row],[Type Received]]=3,"BILL","ACH")))</f>
        <v>BILL</v>
      </c>
      <c r="F3106" s="35">
        <v>68.17</v>
      </c>
      <c r="G3106" s="14" t="str">
        <f>VLOOKUP(D3106,Table4[],3,FALSE)</f>
        <v>1</v>
      </c>
      <c r="H3106" s="15"/>
      <c r="I3106" s="15">
        <v>144050</v>
      </c>
      <c r="J3106" s="15">
        <v>741374152</v>
      </c>
      <c r="K3106" s="15">
        <v>353189485</v>
      </c>
      <c r="L3106" s="15"/>
      <c r="M3106" s="15"/>
    </row>
    <row r="3107" spans="1:13" x14ac:dyDescent="0.25">
      <c r="A3107" s="23">
        <f t="shared" si="155"/>
        <v>243052</v>
      </c>
      <c r="B3107" s="14" t="str">
        <f t="shared" si="153"/>
        <v>Credit Cards (UMB) - Credits</v>
      </c>
      <c r="C3107" s="37">
        <v>46163</v>
      </c>
      <c r="D3107" s="31">
        <v>243052</v>
      </c>
      <c r="E3107" s="33" t="str">
        <f>IF(Table3[[#This Row],[Type Received]]=2,"CC",(IF(Table3[[#This Row],[Type Received]]=3,"BILL","ACH")))</f>
        <v>CC</v>
      </c>
      <c r="F3107" s="32">
        <v>69.489999999999995</v>
      </c>
      <c r="G3107" s="14" t="str">
        <f>VLOOKUP(D3107,Table4[],3,FALSE)</f>
        <v>1</v>
      </c>
      <c r="H3107" s="15">
        <v>6306</v>
      </c>
      <c r="I3107" s="15"/>
      <c r="J3107" s="15"/>
      <c r="K3107" s="15"/>
      <c r="L3107" s="15"/>
      <c r="M3107" s="15"/>
    </row>
    <row r="3108" spans="1:13" x14ac:dyDescent="0.25">
      <c r="A3108" s="23">
        <f t="shared" si="155"/>
        <v>243062</v>
      </c>
      <c r="B3108" s="14" t="str">
        <f t="shared" si="153"/>
        <v>Direct Debit (UMB Bank) - Credits</v>
      </c>
      <c r="C3108" s="38">
        <v>46147</v>
      </c>
      <c r="D3108" s="34">
        <v>243062</v>
      </c>
      <c r="E3108" s="36" t="str">
        <f>IF(Table3[[#This Row],[Type Received]]=2,"CC",(IF(Table3[[#This Row],[Type Received]]=3,"BILL","ACH")))</f>
        <v>ACH</v>
      </c>
      <c r="F3108" s="35">
        <v>56.95</v>
      </c>
      <c r="G3108" s="14" t="str">
        <f>VLOOKUP(D3108,Table4[],3,FALSE)</f>
        <v>1</v>
      </c>
      <c r="H3108" s="15"/>
      <c r="I3108" s="15">
        <v>224457</v>
      </c>
      <c r="J3108" s="15" t="s">
        <v>28</v>
      </c>
      <c r="K3108" s="15">
        <v>569495158</v>
      </c>
      <c r="L3108" s="15" t="s">
        <v>29</v>
      </c>
      <c r="M3108" s="15"/>
    </row>
    <row r="3109" spans="1:13" x14ac:dyDescent="0.25">
      <c r="A3109" s="23">
        <f t="shared" si="155"/>
        <v>243080</v>
      </c>
      <c r="B3109" s="14" t="str">
        <f t="shared" si="153"/>
        <v>Direct Debit (UMB Bank) - Credits</v>
      </c>
      <c r="C3109" s="37">
        <v>46157</v>
      </c>
      <c r="D3109" s="31">
        <v>243080</v>
      </c>
      <c r="E3109" s="33" t="str">
        <f>IF(Table3[[#This Row],[Type Received]]=2,"CC",(IF(Table3[[#This Row],[Type Received]]=3,"BILL","ACH")))</f>
        <v>ACH</v>
      </c>
      <c r="F3109" s="32">
        <v>40.11</v>
      </c>
      <c r="G3109" s="14" t="str">
        <f>VLOOKUP(D3109,Table4[],3,FALSE)</f>
        <v>1</v>
      </c>
      <c r="H3109" s="15"/>
      <c r="I3109" s="15"/>
      <c r="J3109" s="15" t="s">
        <v>87</v>
      </c>
      <c r="K3109" s="15">
        <v>696783000</v>
      </c>
      <c r="L3109" s="15" t="s">
        <v>29</v>
      </c>
      <c r="M3109" s="15" t="s">
        <v>29</v>
      </c>
    </row>
    <row r="3110" spans="1:13" x14ac:dyDescent="0.25">
      <c r="A3110" s="23">
        <f t="shared" si="155"/>
        <v>243135</v>
      </c>
      <c r="B3110" s="14" t="str">
        <f t="shared" si="153"/>
        <v>Credit Cards (UMB) - Credits</v>
      </c>
      <c r="C3110" s="38">
        <v>46167</v>
      </c>
      <c r="D3110" s="34">
        <v>243135</v>
      </c>
      <c r="E3110" s="36" t="str">
        <f>IF(Table3[[#This Row],[Type Received]]=2,"CC",(IF(Table3[[#This Row],[Type Received]]=3,"BILL","ACH")))</f>
        <v>CC</v>
      </c>
      <c r="F3110" s="35">
        <v>93.35</v>
      </c>
      <c r="G3110" s="14" t="str">
        <f>VLOOKUP(D3110,Table4[],3,FALSE)</f>
        <v>1</v>
      </c>
      <c r="H3110" s="15"/>
      <c r="I3110" s="15"/>
      <c r="J3110" s="15" t="s">
        <v>85</v>
      </c>
      <c r="K3110" s="15">
        <v>818381798</v>
      </c>
      <c r="L3110" s="15" t="s">
        <v>29</v>
      </c>
      <c r="M3110" s="15" t="s">
        <v>29</v>
      </c>
    </row>
    <row r="3111" spans="1:13" x14ac:dyDescent="0.25">
      <c r="A3111" s="23">
        <f t="shared" si="155"/>
        <v>243142</v>
      </c>
      <c r="B3111" s="14" t="str">
        <f t="shared" si="153"/>
        <v>Credit Cards (UMB) - Credits</v>
      </c>
      <c r="C3111" s="37">
        <v>46146</v>
      </c>
      <c r="D3111" s="31">
        <v>243142</v>
      </c>
      <c r="E3111" s="33" t="str">
        <f>IF(Table3[[#This Row],[Type Received]]=2,"CC",(IF(Table3[[#This Row],[Type Received]]=3,"BILL","ACH")))</f>
        <v>CC</v>
      </c>
      <c r="F3111" s="32">
        <v>201.78</v>
      </c>
      <c r="G3111" s="14" t="str">
        <f>VLOOKUP(D3111,Table4[],3,FALSE)</f>
        <v>1</v>
      </c>
      <c r="H3111" s="15"/>
      <c r="I3111" s="15">
        <v>172894</v>
      </c>
      <c r="J3111" s="15" t="s">
        <v>28</v>
      </c>
      <c r="K3111" s="15">
        <v>560678543</v>
      </c>
      <c r="L3111" s="15" t="s">
        <v>29</v>
      </c>
      <c r="M3111" s="15"/>
    </row>
    <row r="3112" spans="1:13" x14ac:dyDescent="0.25">
      <c r="A3112" s="23">
        <f t="shared" si="155"/>
        <v>243170</v>
      </c>
      <c r="B3112" s="14" t="str">
        <f t="shared" si="153"/>
        <v>Credit Cards (UMB) - Credits</v>
      </c>
      <c r="C3112" s="38">
        <v>46147</v>
      </c>
      <c r="D3112" s="34">
        <v>243170</v>
      </c>
      <c r="E3112" s="36" t="str">
        <f>IF(Table3[[#This Row],[Type Received]]=2,"CC",(IF(Table3[[#This Row],[Type Received]]=3,"BILL","ACH")))</f>
        <v>CC</v>
      </c>
      <c r="F3112" s="35">
        <v>73.739999999999995</v>
      </c>
      <c r="G3112" s="14" t="str">
        <f>VLOOKUP(D3112,Table4[],3,FALSE)</f>
        <v>2</v>
      </c>
      <c r="H3112" s="15"/>
      <c r="I3112" s="15">
        <v>568094</v>
      </c>
      <c r="J3112" s="15">
        <v>742576419</v>
      </c>
      <c r="K3112" s="15">
        <v>353612840</v>
      </c>
      <c r="L3112" s="15"/>
      <c r="M3112" s="15"/>
    </row>
    <row r="3113" spans="1:13" x14ac:dyDescent="0.25">
      <c r="A3113" s="23">
        <f t="shared" si="155"/>
        <v>243176</v>
      </c>
      <c r="B3113" s="14" t="str">
        <f t="shared" si="153"/>
        <v>Billing - Credits (from TPA)</v>
      </c>
      <c r="C3113" s="37">
        <v>46143</v>
      </c>
      <c r="D3113" s="31">
        <v>243176</v>
      </c>
      <c r="E3113" s="33" t="str">
        <f>IF(Table3[[#This Row],[Type Received]]=2,"CC",(IF(Table3[[#This Row],[Type Received]]=3,"BILL","ACH")))</f>
        <v>BILL</v>
      </c>
      <c r="F3113" s="32">
        <v>195.18</v>
      </c>
      <c r="G3113" s="14" t="str">
        <f>VLOOKUP(D3113,Table4[],3,FALSE)</f>
        <v>2</v>
      </c>
      <c r="H3113" s="15"/>
      <c r="I3113" s="15" t="s">
        <v>277</v>
      </c>
      <c r="J3113" s="15">
        <v>741374152</v>
      </c>
      <c r="K3113" s="15">
        <v>353124013</v>
      </c>
      <c r="L3113" s="15"/>
      <c r="M3113" s="15" t="s">
        <v>29</v>
      </c>
    </row>
    <row r="3114" spans="1:13" x14ac:dyDescent="0.25">
      <c r="A3114" s="23">
        <f t="shared" si="155"/>
        <v>243223</v>
      </c>
      <c r="B3114" s="14" t="str">
        <f t="shared" si="153"/>
        <v>Billing - Credits (from TPA)</v>
      </c>
      <c r="C3114" s="38">
        <v>46143</v>
      </c>
      <c r="D3114" s="34">
        <v>243223</v>
      </c>
      <c r="E3114" s="36" t="str">
        <f>IF(Table3[[#This Row],[Type Received]]=2,"CC",(IF(Table3[[#This Row],[Type Received]]=3,"BILL","ACH")))</f>
        <v>BILL</v>
      </c>
      <c r="F3114" s="35">
        <v>40.26</v>
      </c>
      <c r="G3114" s="14" t="str">
        <f>VLOOKUP(D3114,Table4[],3,FALSE)</f>
        <v>2</v>
      </c>
      <c r="H3114" s="15">
        <v>74474723</v>
      </c>
      <c r="I3114" s="15"/>
      <c r="J3114" s="15"/>
      <c r="K3114" s="15"/>
      <c r="L3114" s="15"/>
      <c r="M3114" s="15" t="s">
        <v>29</v>
      </c>
    </row>
    <row r="3115" spans="1:13" x14ac:dyDescent="0.25">
      <c r="A3115" s="23">
        <f t="shared" si="155"/>
        <v>243263</v>
      </c>
      <c r="B3115" s="14" t="str">
        <f t="shared" si="153"/>
        <v>Credit Cards (UMB) - Credits</v>
      </c>
      <c r="C3115" s="37">
        <v>46168</v>
      </c>
      <c r="D3115" s="31">
        <v>243263</v>
      </c>
      <c r="E3115" s="33" t="str">
        <f>IF(Table3[[#This Row],[Type Received]]=2,"CC",(IF(Table3[[#This Row],[Type Received]]=3,"BILL","ACH")))</f>
        <v>CC</v>
      </c>
      <c r="F3115" s="32">
        <v>37.700000000000003</v>
      </c>
      <c r="G3115" s="14" t="str">
        <f>VLOOKUP(D3115,Table4[],3,FALSE)</f>
        <v>2</v>
      </c>
      <c r="H3115" s="15">
        <v>79024170</v>
      </c>
      <c r="I3115" s="15"/>
      <c r="J3115" s="15"/>
      <c r="K3115" s="15"/>
      <c r="L3115" s="15"/>
      <c r="M3115" s="15" t="s">
        <v>29</v>
      </c>
    </row>
    <row r="3116" spans="1:13" x14ac:dyDescent="0.25">
      <c r="A3116" s="23">
        <f t="shared" si="155"/>
        <v>243273</v>
      </c>
      <c r="B3116" s="14" t="str">
        <f t="shared" si="153"/>
        <v>Direct Debit (UMB Bank) - Credits</v>
      </c>
      <c r="C3116" s="38">
        <v>46143</v>
      </c>
      <c r="D3116" s="34">
        <v>243273</v>
      </c>
      <c r="E3116" s="36" t="str">
        <f>IF(Table3[[#This Row],[Type Received]]=2,"CC",(IF(Table3[[#This Row],[Type Received]]=3,"BILL","ACH")))</f>
        <v>ACH</v>
      </c>
      <c r="F3116" s="35">
        <v>45.62</v>
      </c>
      <c r="G3116" s="14" t="str">
        <f>VLOOKUP(D3116,Table4[],3,FALSE)</f>
        <v>2</v>
      </c>
      <c r="H3116" s="15"/>
      <c r="I3116" s="15">
        <v>91636</v>
      </c>
      <c r="J3116" s="15" t="s">
        <v>28</v>
      </c>
      <c r="K3116" s="15">
        <v>526823144</v>
      </c>
      <c r="L3116" s="15" t="s">
        <v>29</v>
      </c>
      <c r="M3116" s="15" t="s">
        <v>29</v>
      </c>
    </row>
    <row r="3117" spans="1:13" x14ac:dyDescent="0.25">
      <c r="A3117" s="23">
        <f t="shared" si="155"/>
        <v>243282</v>
      </c>
      <c r="B3117" s="14" t="str">
        <f t="shared" si="153"/>
        <v>Billing - Credits (from TPA)</v>
      </c>
      <c r="C3117" s="37">
        <v>46167</v>
      </c>
      <c r="D3117" s="31">
        <v>243282</v>
      </c>
      <c r="E3117" s="33" t="str">
        <f>IF(Table3[[#This Row],[Type Received]]=2,"CC",(IF(Table3[[#This Row],[Type Received]]=3,"BILL","ACH")))</f>
        <v>BILL</v>
      </c>
      <c r="F3117" s="32">
        <v>176.95</v>
      </c>
      <c r="G3117" s="14" t="str">
        <f>VLOOKUP(D3117,Table4[],3,FALSE)</f>
        <v>2</v>
      </c>
      <c r="H3117" s="15"/>
      <c r="I3117" s="15"/>
      <c r="J3117" s="15" t="s">
        <v>85</v>
      </c>
      <c r="K3117" s="15">
        <v>818378954</v>
      </c>
      <c r="L3117" s="15" t="s">
        <v>29</v>
      </c>
      <c r="M3117" s="15"/>
    </row>
    <row r="3118" spans="1:13" x14ac:dyDescent="0.25">
      <c r="A3118" s="23">
        <f t="shared" si="155"/>
        <v>243313</v>
      </c>
      <c r="B3118" s="14" t="str">
        <f t="shared" si="153"/>
        <v>Direct Debit (UMB Bank) - Credits</v>
      </c>
      <c r="C3118" s="38">
        <v>46148</v>
      </c>
      <c r="D3118" s="34">
        <v>243313</v>
      </c>
      <c r="E3118" s="36" t="str">
        <f>IF(Table3[[#This Row],[Type Received]]=2,"CC",(IF(Table3[[#This Row],[Type Received]]=3,"BILL","ACH")))</f>
        <v>ACH</v>
      </c>
      <c r="F3118" s="35">
        <v>462.23</v>
      </c>
      <c r="G3118" s="14" t="str">
        <f>VLOOKUP(D3118,Table4[],3,FALSE)</f>
        <v>2</v>
      </c>
      <c r="H3118" s="15">
        <v>55217057167</v>
      </c>
      <c r="I3118" s="15"/>
      <c r="J3118" s="15"/>
      <c r="K3118" s="15"/>
      <c r="L3118" s="15"/>
      <c r="M3118" s="15"/>
    </row>
    <row r="3119" spans="1:13" x14ac:dyDescent="0.25">
      <c r="A3119" s="23">
        <f t="shared" si="155"/>
        <v>243317</v>
      </c>
      <c r="B3119" s="14" t="str">
        <f t="shared" si="153"/>
        <v>Direct Debit (UMB Bank) - Credits</v>
      </c>
      <c r="C3119" s="37">
        <v>46157</v>
      </c>
      <c r="D3119" s="31">
        <v>243317</v>
      </c>
      <c r="E3119" s="33" t="str">
        <f>IF(Table3[[#This Row],[Type Received]]=2,"CC",(IF(Table3[[#This Row],[Type Received]]=3,"BILL","ACH")))</f>
        <v>ACH</v>
      </c>
      <c r="F3119" s="32">
        <v>24.05</v>
      </c>
      <c r="G3119" s="14" t="str">
        <f>VLOOKUP(D3119,Table4[],3,FALSE)</f>
        <v>1</v>
      </c>
      <c r="H3119" s="15"/>
      <c r="I3119" s="15"/>
      <c r="J3119" s="24" t="s">
        <v>87</v>
      </c>
      <c r="K3119" s="15">
        <v>696788887</v>
      </c>
      <c r="L3119" s="15" t="s">
        <v>29</v>
      </c>
      <c r="M3119" s="15" t="s">
        <v>29</v>
      </c>
    </row>
    <row r="3120" spans="1:13" x14ac:dyDescent="0.25">
      <c r="A3120" s="23">
        <f t="shared" si="155"/>
        <v>243365</v>
      </c>
      <c r="B3120" s="14" t="str">
        <f t="shared" si="153"/>
        <v>Billing - Credits (from TPA)</v>
      </c>
      <c r="C3120" s="38">
        <v>46168</v>
      </c>
      <c r="D3120" s="34">
        <v>243365</v>
      </c>
      <c r="E3120" s="36" t="str">
        <f>IF(Table3[[#This Row],[Type Received]]=2,"CC",(IF(Table3[[#This Row],[Type Received]]=3,"BILL","ACH")))</f>
        <v>BILL</v>
      </c>
      <c r="F3120" s="35">
        <v>121.73</v>
      </c>
      <c r="G3120" s="14" t="str">
        <f>VLOOKUP(D3120,Table4[],3,FALSE)</f>
        <v>1</v>
      </c>
      <c r="H3120" s="15"/>
      <c r="I3120" s="15"/>
      <c r="J3120" s="15" t="s">
        <v>110</v>
      </c>
      <c r="K3120" s="15">
        <v>828203067</v>
      </c>
      <c r="L3120" s="15" t="s">
        <v>29</v>
      </c>
      <c r="M3120" s="15" t="s">
        <v>29</v>
      </c>
    </row>
    <row r="3121" spans="1:13" x14ac:dyDescent="0.25">
      <c r="A3121" s="23">
        <f t="shared" si="155"/>
        <v>243373</v>
      </c>
      <c r="B3121" s="14" t="str">
        <f t="shared" si="153"/>
        <v>Billing - Credits (from TPA)</v>
      </c>
      <c r="C3121" s="37">
        <v>46169</v>
      </c>
      <c r="D3121" s="31">
        <v>243373</v>
      </c>
      <c r="E3121" s="33" t="str">
        <f>IF(Table3[[#This Row],[Type Received]]=2,"CC",(IF(Table3[[#This Row],[Type Received]]=3,"BILL","ACH")))</f>
        <v>BILL</v>
      </c>
      <c r="F3121" s="32">
        <v>41.99</v>
      </c>
      <c r="G3121" s="14" t="str">
        <f>VLOOKUP(D3121,Table4[],3,FALSE)</f>
        <v>1</v>
      </c>
      <c r="H3121" s="15">
        <v>2288</v>
      </c>
      <c r="I3121" s="15"/>
      <c r="J3121" s="15"/>
      <c r="K3121" s="15"/>
      <c r="L3121" s="15"/>
      <c r="M3121" s="15"/>
    </row>
    <row r="3122" spans="1:13" x14ac:dyDescent="0.25">
      <c r="A3122" s="23">
        <f t="shared" si="155"/>
        <v>243418</v>
      </c>
      <c r="B3122" s="14" t="str">
        <f t="shared" si="153"/>
        <v>Credit Cards (UMB) - Credits</v>
      </c>
      <c r="C3122" s="38">
        <v>46170</v>
      </c>
      <c r="D3122" s="34">
        <v>243418</v>
      </c>
      <c r="E3122" s="36" t="str">
        <f>IF(Table3[[#This Row],[Type Received]]=2,"CC",(IF(Table3[[#This Row],[Type Received]]=3,"BILL","ACH")))</f>
        <v>CC</v>
      </c>
      <c r="F3122" s="35">
        <v>44.41</v>
      </c>
      <c r="G3122" s="14" t="str">
        <f>VLOOKUP(D3122,Table4[],3,FALSE)</f>
        <v>1</v>
      </c>
      <c r="H3122" s="15">
        <v>900165</v>
      </c>
      <c r="I3122" s="15"/>
      <c r="J3122" s="24"/>
      <c r="K3122" s="15"/>
      <c r="L3122" s="15"/>
      <c r="M3122" s="15" t="s">
        <v>29</v>
      </c>
    </row>
    <row r="3123" spans="1:13" x14ac:dyDescent="0.25">
      <c r="A3123" s="23">
        <f t="shared" si="155"/>
        <v>243449</v>
      </c>
      <c r="B3123" s="14" t="str">
        <f t="shared" si="153"/>
        <v>Direct Debit (UMB Bank) - Credits</v>
      </c>
      <c r="C3123" s="37">
        <v>46155</v>
      </c>
      <c r="D3123" s="31">
        <v>243449</v>
      </c>
      <c r="E3123" s="33" t="str">
        <f>IF(Table3[[#This Row],[Type Received]]=2,"CC",(IF(Table3[[#This Row],[Type Received]]=3,"BILL","ACH")))</f>
        <v>ACH</v>
      </c>
      <c r="F3123" s="32">
        <v>33.950000000000003</v>
      </c>
      <c r="G3123" s="14" t="str">
        <f>VLOOKUP(D3123,Table4[],3,FALSE)</f>
        <v>1</v>
      </c>
      <c r="H3123" s="15"/>
      <c r="I3123" s="15">
        <v>100422</v>
      </c>
      <c r="J3123" s="15" t="s">
        <v>28</v>
      </c>
      <c r="K3123" s="15">
        <v>669505450</v>
      </c>
      <c r="L3123" s="15" t="s">
        <v>29</v>
      </c>
      <c r="M3123" s="15" t="s">
        <v>29</v>
      </c>
    </row>
    <row r="3124" spans="1:13" x14ac:dyDescent="0.25">
      <c r="A3124" s="23">
        <f t="shared" ref="A3124:A3155" si="156">D3124</f>
        <v>243460</v>
      </c>
      <c r="B3124" s="14" t="str">
        <f t="shared" si="153"/>
        <v>Credit Cards (UMB) - Credits</v>
      </c>
      <c r="C3124" s="38">
        <v>46157</v>
      </c>
      <c r="D3124" s="34">
        <v>243460</v>
      </c>
      <c r="E3124" s="36" t="str">
        <f>IF(Table3[[#This Row],[Type Received]]=2,"CC",(IF(Table3[[#This Row],[Type Received]]=3,"BILL","ACH")))</f>
        <v>CC</v>
      </c>
      <c r="F3124" s="35">
        <v>113.59</v>
      </c>
      <c r="G3124" s="14" t="str">
        <f>VLOOKUP(D3124,Table4[],3,FALSE)</f>
        <v>2</v>
      </c>
      <c r="H3124" s="15"/>
      <c r="I3124" s="15"/>
      <c r="J3124" s="15" t="s">
        <v>87</v>
      </c>
      <c r="K3124" s="15">
        <v>696785930</v>
      </c>
      <c r="L3124" s="15" t="s">
        <v>29</v>
      </c>
      <c r="M3124" s="15"/>
    </row>
    <row r="3125" spans="1:13" x14ac:dyDescent="0.25">
      <c r="A3125" s="23">
        <f t="shared" si="156"/>
        <v>243473</v>
      </c>
      <c r="B3125" s="14" t="str">
        <f t="shared" si="153"/>
        <v>Direct Debit (UMB Bank) - Credits</v>
      </c>
      <c r="C3125" s="37">
        <v>46143</v>
      </c>
      <c r="D3125" s="31">
        <v>243473</v>
      </c>
      <c r="E3125" s="33" t="str">
        <f>IF(Table3[[#This Row],[Type Received]]=2,"CC",(IF(Table3[[#This Row],[Type Received]]=3,"BILL","ACH")))</f>
        <v>ACH</v>
      </c>
      <c r="F3125" s="32">
        <v>53.54</v>
      </c>
      <c r="G3125" s="14" t="str">
        <f>VLOOKUP(D3125,Table4[],3,FALSE)</f>
        <v>2</v>
      </c>
      <c r="H3125" s="15"/>
      <c r="I3125" s="15">
        <v>71046</v>
      </c>
      <c r="J3125" s="24" t="s">
        <v>28</v>
      </c>
      <c r="K3125" s="15">
        <v>528368180</v>
      </c>
      <c r="L3125" s="15" t="s">
        <v>29</v>
      </c>
      <c r="M3125" s="15" t="s">
        <v>29</v>
      </c>
    </row>
    <row r="3126" spans="1:13" x14ac:dyDescent="0.25">
      <c r="A3126" s="23">
        <f t="shared" si="156"/>
        <v>243489</v>
      </c>
      <c r="B3126" s="14" t="str">
        <f t="shared" si="153"/>
        <v>Billing - Credits (from TPA)</v>
      </c>
      <c r="C3126" s="38">
        <v>46155</v>
      </c>
      <c r="D3126" s="34">
        <v>243489</v>
      </c>
      <c r="E3126" s="36" t="str">
        <f>IF(Table3[[#This Row],[Type Received]]=2,"CC",(IF(Table3[[#This Row],[Type Received]]=3,"BILL","ACH")))</f>
        <v>BILL</v>
      </c>
      <c r="F3126" s="35">
        <v>92.91</v>
      </c>
      <c r="G3126" s="14" t="str">
        <f>VLOOKUP(D3126,Table4[],3,FALSE)</f>
        <v>1</v>
      </c>
      <c r="H3126" s="15"/>
      <c r="I3126" s="15"/>
      <c r="J3126" s="15" t="s">
        <v>90</v>
      </c>
      <c r="K3126" s="15">
        <v>669443868</v>
      </c>
      <c r="L3126" s="15" t="s">
        <v>29</v>
      </c>
      <c r="M3126" s="15" t="s">
        <v>29</v>
      </c>
    </row>
    <row r="3127" spans="1:13" x14ac:dyDescent="0.25">
      <c r="A3127" s="23">
        <f t="shared" si="156"/>
        <v>243544</v>
      </c>
      <c r="B3127" s="14" t="str">
        <f t="shared" si="153"/>
        <v>Direct Debit (UMB Bank) - Credits</v>
      </c>
      <c r="C3127" s="37">
        <v>46171</v>
      </c>
      <c r="D3127" s="31">
        <v>243544</v>
      </c>
      <c r="E3127" s="33" t="str">
        <f>IF(Table3[[#This Row],[Type Received]]=2,"CC",(IF(Table3[[#This Row],[Type Received]]=3,"BILL","ACH")))</f>
        <v>ACH</v>
      </c>
      <c r="F3127" s="32">
        <v>222.24</v>
      </c>
      <c r="G3127" s="14" t="str">
        <f>VLOOKUP(D3127,Table4[],3,FALSE)</f>
        <v>2</v>
      </c>
      <c r="H3127" s="15">
        <v>1498</v>
      </c>
      <c r="I3127" s="15"/>
      <c r="J3127" s="15"/>
      <c r="K3127" s="15"/>
      <c r="L3127" s="15"/>
      <c r="M3127" s="15" t="s">
        <v>29</v>
      </c>
    </row>
    <row r="3128" spans="1:13" x14ac:dyDescent="0.25">
      <c r="A3128" s="23">
        <f t="shared" si="156"/>
        <v>243559</v>
      </c>
      <c r="B3128" s="14" t="str">
        <f t="shared" si="153"/>
        <v>Credit Cards (UMB) - Credits</v>
      </c>
      <c r="C3128" s="38">
        <v>46157</v>
      </c>
      <c r="D3128" s="34">
        <v>243559</v>
      </c>
      <c r="E3128" s="36" t="str">
        <f>IF(Table3[[#This Row],[Type Received]]=2,"CC",(IF(Table3[[#This Row],[Type Received]]=3,"BILL","ACH")))</f>
        <v>CC</v>
      </c>
      <c r="F3128" s="35">
        <v>63.76</v>
      </c>
      <c r="G3128" s="14" t="str">
        <f>VLOOKUP(D3128,Table4[],3,FALSE)</f>
        <v>2</v>
      </c>
      <c r="H3128" s="15"/>
      <c r="I3128" s="15"/>
      <c r="J3128" s="15" t="s">
        <v>87</v>
      </c>
      <c r="K3128" s="15">
        <v>696784035</v>
      </c>
      <c r="L3128" s="15" t="s">
        <v>29</v>
      </c>
      <c r="M3128" s="15"/>
    </row>
    <row r="3129" spans="1:13" x14ac:dyDescent="0.25">
      <c r="A3129" s="23">
        <f t="shared" si="156"/>
        <v>243565</v>
      </c>
      <c r="B3129" s="14" t="str">
        <f t="shared" si="153"/>
        <v>Direct Debit (UMB Bank) - Credits</v>
      </c>
      <c r="C3129" s="37">
        <v>46155</v>
      </c>
      <c r="D3129" s="31">
        <v>243565</v>
      </c>
      <c r="E3129" s="33" t="str">
        <f>IF(Table3[[#This Row],[Type Received]]=2,"CC",(IF(Table3[[#This Row],[Type Received]]=3,"BILL","ACH")))</f>
        <v>ACH</v>
      </c>
      <c r="F3129" s="32">
        <v>56.95</v>
      </c>
      <c r="G3129" s="14" t="str">
        <f>VLOOKUP(D3129,Table4[],3,FALSE)</f>
        <v>1</v>
      </c>
      <c r="H3129" s="15"/>
      <c r="I3129" s="15">
        <v>429034</v>
      </c>
      <c r="J3129" s="15" t="s">
        <v>28</v>
      </c>
      <c r="K3129" s="15">
        <v>669491858</v>
      </c>
      <c r="L3129" s="15" t="s">
        <v>29</v>
      </c>
      <c r="M3129" s="15"/>
    </row>
    <row r="3130" spans="1:13" x14ac:dyDescent="0.25">
      <c r="A3130" s="23">
        <f t="shared" si="156"/>
        <v>243567</v>
      </c>
      <c r="B3130" s="14" t="str">
        <f t="shared" si="153"/>
        <v>Direct Debit (UMB Bank) - Credits</v>
      </c>
      <c r="C3130" s="38">
        <v>46167</v>
      </c>
      <c r="D3130" s="34">
        <v>243567</v>
      </c>
      <c r="E3130" s="36" t="str">
        <f>IF(Table3[[#This Row],[Type Received]]=2,"CC",(IF(Table3[[#This Row],[Type Received]]=3,"BILL","ACH")))</f>
        <v>ACH</v>
      </c>
      <c r="F3130" s="35">
        <v>43.3</v>
      </c>
      <c r="G3130" s="14" t="str">
        <f>VLOOKUP(D3130,Table4[],3,FALSE)</f>
        <v>2</v>
      </c>
      <c r="H3130" s="15"/>
      <c r="I3130" s="15"/>
      <c r="J3130" s="15" t="s">
        <v>85</v>
      </c>
      <c r="K3130" s="15">
        <v>818388502</v>
      </c>
      <c r="L3130" s="15" t="s">
        <v>29</v>
      </c>
      <c r="M3130" s="15" t="s">
        <v>29</v>
      </c>
    </row>
    <row r="3131" spans="1:13" x14ac:dyDescent="0.25">
      <c r="A3131" s="23">
        <f t="shared" si="156"/>
        <v>243603</v>
      </c>
      <c r="B3131" s="14" t="str">
        <f t="shared" si="153"/>
        <v>Billing - Credits (from TPA)</v>
      </c>
      <c r="C3131" s="37">
        <v>46143</v>
      </c>
      <c r="D3131" s="31">
        <v>243603</v>
      </c>
      <c r="E3131" s="33" t="str">
        <f>IF(Table3[[#This Row],[Type Received]]=2,"CC",(IF(Table3[[#This Row],[Type Received]]=3,"BILL","ACH")))</f>
        <v>BILL</v>
      </c>
      <c r="F3131" s="32">
        <v>35.380000000000003</v>
      </c>
      <c r="G3131" s="14" t="str">
        <f>VLOOKUP(D3131,Table4[],3,FALSE)</f>
        <v>2</v>
      </c>
      <c r="H3131" s="15"/>
      <c r="I3131" s="15"/>
      <c r="J3131" s="15" t="s">
        <v>84</v>
      </c>
      <c r="K3131" s="15">
        <v>522373592</v>
      </c>
      <c r="L3131" s="15" t="s">
        <v>29</v>
      </c>
      <c r="M3131" s="15" t="s">
        <v>29</v>
      </c>
    </row>
    <row r="3132" spans="1:13" x14ac:dyDescent="0.25">
      <c r="A3132" s="23">
        <f t="shared" si="156"/>
        <v>243614</v>
      </c>
      <c r="B3132" s="14" t="str">
        <f t="shared" si="153"/>
        <v>Direct Debit (UMB Bank) - Credits</v>
      </c>
      <c r="C3132" s="38">
        <v>46169</v>
      </c>
      <c r="D3132" s="34">
        <v>243614</v>
      </c>
      <c r="E3132" s="36" t="str">
        <f>IF(Table3[[#This Row],[Type Received]]=2,"CC",(IF(Table3[[#This Row],[Type Received]]=3,"BILL","ACH")))</f>
        <v>ACH</v>
      </c>
      <c r="F3132" s="35">
        <v>176.96</v>
      </c>
      <c r="G3132" s="14" t="str">
        <f>VLOOKUP(D3132,Table4[],3,FALSE)</f>
        <v>2</v>
      </c>
      <c r="H3132" s="15">
        <v>9303</v>
      </c>
      <c r="I3132" s="15"/>
      <c r="J3132" s="15"/>
      <c r="K3132" s="15"/>
      <c r="L3132" s="15"/>
      <c r="M3132" s="15" t="s">
        <v>29</v>
      </c>
    </row>
    <row r="3133" spans="1:13" x14ac:dyDescent="0.25">
      <c r="A3133" s="23">
        <f t="shared" si="156"/>
        <v>243670</v>
      </c>
      <c r="B3133" s="14" t="str">
        <f t="shared" si="153"/>
        <v>Billing - Credits (from TPA)</v>
      </c>
      <c r="C3133" s="37">
        <v>46167</v>
      </c>
      <c r="D3133" s="31">
        <v>243670</v>
      </c>
      <c r="E3133" s="33" t="str">
        <f>IF(Table3[[#This Row],[Type Received]]=2,"CC",(IF(Table3[[#This Row],[Type Received]]=3,"BILL","ACH")))</f>
        <v>BILL</v>
      </c>
      <c r="F3133" s="32">
        <v>56.95</v>
      </c>
      <c r="G3133" s="14" t="str">
        <f>VLOOKUP(D3133,Table4[],3,FALSE)</f>
        <v>1</v>
      </c>
      <c r="H3133" s="15"/>
      <c r="I3133" s="15"/>
      <c r="J3133" s="15" t="s">
        <v>85</v>
      </c>
      <c r="K3133" s="15">
        <v>818393402</v>
      </c>
      <c r="L3133" s="15" t="s">
        <v>29</v>
      </c>
      <c r="M3133" s="15"/>
    </row>
    <row r="3134" spans="1:13" x14ac:dyDescent="0.25">
      <c r="A3134" s="23">
        <f t="shared" si="156"/>
        <v>243677</v>
      </c>
      <c r="B3134" s="14" t="str">
        <f t="shared" si="153"/>
        <v>Direct Debit (UMB Bank) - Credits</v>
      </c>
      <c r="C3134" s="38">
        <v>46170</v>
      </c>
      <c r="D3134" s="34">
        <v>243677</v>
      </c>
      <c r="E3134" s="36" t="str">
        <f>IF(Table3[[#This Row],[Type Received]]=2,"CC",(IF(Table3[[#This Row],[Type Received]]=3,"BILL","ACH")))</f>
        <v>ACH</v>
      </c>
      <c r="F3134" s="35">
        <v>131</v>
      </c>
      <c r="G3134" s="14" t="str">
        <f>VLOOKUP(D3134,Table4[],3,FALSE)</f>
        <v>2</v>
      </c>
      <c r="H3134" s="15">
        <v>923793466</v>
      </c>
      <c r="I3134" s="15"/>
      <c r="J3134" s="15"/>
      <c r="K3134" s="15"/>
      <c r="L3134" s="15"/>
      <c r="M3134" s="15" t="s">
        <v>29</v>
      </c>
    </row>
    <row r="3135" spans="1:13" x14ac:dyDescent="0.25">
      <c r="A3135" s="23">
        <f t="shared" si="156"/>
        <v>243715</v>
      </c>
      <c r="B3135" s="14" t="str">
        <f t="shared" si="153"/>
        <v>Direct Debit (UMB Bank) - Credits</v>
      </c>
      <c r="C3135" s="37">
        <v>46157</v>
      </c>
      <c r="D3135" s="31">
        <v>243715</v>
      </c>
      <c r="E3135" s="33" t="str">
        <f>IF(Table3[[#This Row],[Type Received]]=2,"CC",(IF(Table3[[#This Row],[Type Received]]=3,"BILL","ACH")))</f>
        <v>ACH</v>
      </c>
      <c r="F3135" s="32">
        <v>83.45</v>
      </c>
      <c r="G3135" s="14" t="str">
        <f>VLOOKUP(D3135,Table4[],3,FALSE)</f>
        <v>1</v>
      </c>
      <c r="H3135" s="15"/>
      <c r="I3135" s="15"/>
      <c r="J3135" s="15" t="s">
        <v>87</v>
      </c>
      <c r="K3135" s="15">
        <v>696790790</v>
      </c>
      <c r="L3135" s="15" t="s">
        <v>29</v>
      </c>
      <c r="M3135" s="15" t="s">
        <v>29</v>
      </c>
    </row>
    <row r="3136" spans="1:13" x14ac:dyDescent="0.25">
      <c r="A3136" s="23">
        <f t="shared" si="156"/>
        <v>243779</v>
      </c>
      <c r="B3136" s="14" t="str">
        <f t="shared" si="153"/>
        <v>Credit Cards (UMB) - Credits</v>
      </c>
      <c r="C3136" s="38">
        <v>46157</v>
      </c>
      <c r="D3136" s="34">
        <v>243779</v>
      </c>
      <c r="E3136" s="36" t="str">
        <f>IF(Table3[[#This Row],[Type Received]]=2,"CC",(IF(Table3[[#This Row],[Type Received]]=3,"BILL","ACH")))</f>
        <v>CC</v>
      </c>
      <c r="F3136" s="35">
        <v>40.99</v>
      </c>
      <c r="G3136" s="14" t="str">
        <f>VLOOKUP(D3136,Table4[],3,FALSE)</f>
        <v>1</v>
      </c>
      <c r="H3136" s="15"/>
      <c r="I3136" s="15"/>
      <c r="J3136" s="15" t="s">
        <v>87</v>
      </c>
      <c r="K3136" s="15">
        <v>696794679</v>
      </c>
      <c r="L3136" s="15" t="s">
        <v>29</v>
      </c>
      <c r="M3136" s="15" t="s">
        <v>29</v>
      </c>
    </row>
    <row r="3137" spans="1:13" x14ac:dyDescent="0.25">
      <c r="A3137" s="23">
        <f t="shared" si="156"/>
        <v>243798</v>
      </c>
      <c r="B3137" s="14" t="str">
        <f t="shared" si="153"/>
        <v>Credit Cards (UMB) - Credits</v>
      </c>
      <c r="C3137" s="37">
        <v>46163</v>
      </c>
      <c r="D3137" s="31">
        <v>243798</v>
      </c>
      <c r="E3137" s="33" t="str">
        <f>IF(Table3[[#This Row],[Type Received]]=2,"CC",(IF(Table3[[#This Row],[Type Received]]=3,"BILL","ACH")))</f>
        <v>CC</v>
      </c>
      <c r="F3137" s="32">
        <v>45.39</v>
      </c>
      <c r="G3137" s="14" t="str">
        <f>VLOOKUP(D3137,Table4[],3,FALSE)</f>
        <v>1</v>
      </c>
      <c r="H3137" s="15"/>
      <c r="I3137" s="15">
        <v>523423</v>
      </c>
      <c r="J3137" s="15" t="s">
        <v>28</v>
      </c>
      <c r="K3137" s="15">
        <v>773378291</v>
      </c>
      <c r="L3137" s="15" t="s">
        <v>29</v>
      </c>
      <c r="M3137" s="15" t="s">
        <v>29</v>
      </c>
    </row>
    <row r="3138" spans="1:13" x14ac:dyDescent="0.25">
      <c r="A3138" s="23">
        <f t="shared" si="156"/>
        <v>243844</v>
      </c>
      <c r="B3138" s="14" t="str">
        <f t="shared" ref="B3138:B3201" si="157">IF(AND(E3138="BILL",F3138&lt;0),"Billing &amp; Direct Debit - Refunds",(IF(AND(E3138="BILL",F3138&gt;0),"Billing - Credits (from TPA)",(IF(AND(E3138="CC",F3138&lt;0),"Credit Cards (UMB) - Refunds",(IF(AND(E3138="CC",F3138&gt;0),"Credit Cards (UMB) - Credits",(IF(AND(E3138="ACH",F3138&gt;0),"Direct Debit (UMB Bank) - Credits","Direct Debit (UMB Bank) - Returned Items")))))))))</f>
        <v>Direct Debit (UMB Bank) - Credits</v>
      </c>
      <c r="C3138" s="38">
        <v>46143</v>
      </c>
      <c r="D3138" s="34">
        <v>243844</v>
      </c>
      <c r="E3138" s="36" t="str">
        <f>IF(Table3[[#This Row],[Type Received]]=2,"CC",(IF(Table3[[#This Row],[Type Received]]=3,"BILL","ACH")))</f>
        <v>ACH</v>
      </c>
      <c r="F3138" s="35">
        <v>105.79</v>
      </c>
      <c r="G3138" s="14" t="str">
        <f>VLOOKUP(D3138,Table4[],3,FALSE)</f>
        <v>1</v>
      </c>
      <c r="H3138" s="15"/>
      <c r="I3138" s="15">
        <v>15655</v>
      </c>
      <c r="J3138" s="15" t="s">
        <v>28</v>
      </c>
      <c r="K3138" s="15">
        <v>525121271</v>
      </c>
      <c r="L3138" s="15" t="s">
        <v>29</v>
      </c>
      <c r="M3138" s="15" t="s">
        <v>29</v>
      </c>
    </row>
    <row r="3139" spans="1:13" x14ac:dyDescent="0.25">
      <c r="A3139" s="23">
        <f t="shared" si="156"/>
        <v>243874</v>
      </c>
      <c r="B3139" s="14" t="str">
        <f t="shared" si="157"/>
        <v>Direct Debit (UMB Bank) - Credits</v>
      </c>
      <c r="C3139" s="37">
        <v>46143</v>
      </c>
      <c r="D3139" s="31">
        <v>243874</v>
      </c>
      <c r="E3139" s="33" t="str">
        <f>IF(Table3[[#This Row],[Type Received]]=2,"CC",(IF(Table3[[#This Row],[Type Received]]=3,"BILL","ACH")))</f>
        <v>ACH</v>
      </c>
      <c r="F3139" s="32">
        <v>29.33</v>
      </c>
      <c r="G3139" s="14" t="str">
        <f>VLOOKUP(D3139,Table4[],3,FALSE)</f>
        <v>1</v>
      </c>
      <c r="H3139" s="15"/>
      <c r="I3139" s="15"/>
      <c r="J3139" s="15" t="s">
        <v>84</v>
      </c>
      <c r="K3139" s="15">
        <v>522379414</v>
      </c>
      <c r="L3139" s="15" t="s">
        <v>29</v>
      </c>
      <c r="M3139" s="15" t="s">
        <v>29</v>
      </c>
    </row>
    <row r="3140" spans="1:13" x14ac:dyDescent="0.25">
      <c r="A3140" s="23">
        <f t="shared" si="156"/>
        <v>243875</v>
      </c>
      <c r="B3140" s="14" t="str">
        <f t="shared" si="157"/>
        <v>Direct Debit (UMB Bank) - Credits</v>
      </c>
      <c r="C3140" s="38">
        <v>46157</v>
      </c>
      <c r="D3140" s="34">
        <v>243875</v>
      </c>
      <c r="E3140" s="36" t="str">
        <f>IF(Table3[[#This Row],[Type Received]]=2,"CC",(IF(Table3[[#This Row],[Type Received]]=3,"BILL","ACH")))</f>
        <v>ACH</v>
      </c>
      <c r="F3140" s="35">
        <v>61.78</v>
      </c>
      <c r="G3140" s="14" t="str">
        <f>VLOOKUP(D3140,Table4[],3,FALSE)</f>
        <v>2</v>
      </c>
      <c r="H3140" s="15"/>
      <c r="I3140" s="15"/>
      <c r="J3140" s="15" t="s">
        <v>87</v>
      </c>
      <c r="K3140" s="15">
        <v>696795675</v>
      </c>
      <c r="L3140" s="15" t="s">
        <v>29</v>
      </c>
      <c r="M3140" s="15" t="s">
        <v>29</v>
      </c>
    </row>
    <row r="3141" spans="1:13" x14ac:dyDescent="0.25">
      <c r="A3141" s="23">
        <f t="shared" si="156"/>
        <v>243930</v>
      </c>
      <c r="B3141" s="14" t="str">
        <f t="shared" si="157"/>
        <v>Billing - Credits (from TPA)</v>
      </c>
      <c r="C3141" s="37">
        <v>46167</v>
      </c>
      <c r="D3141" s="31">
        <v>243930</v>
      </c>
      <c r="E3141" s="33" t="str">
        <f>IF(Table3[[#This Row],[Type Received]]=2,"CC",(IF(Table3[[#This Row],[Type Received]]=3,"BILL","ACH")))</f>
        <v>BILL</v>
      </c>
      <c r="F3141" s="32">
        <v>77.069999999999993</v>
      </c>
      <c r="G3141" s="14" t="str">
        <f>VLOOKUP(D3141,Table4[],3,FALSE)</f>
        <v>1</v>
      </c>
      <c r="H3141" s="15"/>
      <c r="I3141" s="15"/>
      <c r="J3141" s="24" t="s">
        <v>85</v>
      </c>
      <c r="K3141" s="15">
        <v>818386550</v>
      </c>
      <c r="L3141" s="15" t="s">
        <v>29</v>
      </c>
      <c r="M3141" s="15"/>
    </row>
    <row r="3142" spans="1:13" x14ac:dyDescent="0.25">
      <c r="A3142" s="23">
        <f t="shared" si="156"/>
        <v>243974</v>
      </c>
      <c r="B3142" s="14" t="str">
        <f t="shared" si="157"/>
        <v>Direct Debit (UMB Bank) - Credits</v>
      </c>
      <c r="C3142" s="38">
        <v>46156</v>
      </c>
      <c r="D3142" s="34">
        <v>243974</v>
      </c>
      <c r="E3142" s="36" t="str">
        <f>IF(Table3[[#This Row],[Type Received]]=2,"CC",(IF(Table3[[#This Row],[Type Received]]=3,"BILL","ACH")))</f>
        <v>ACH</v>
      </c>
      <c r="F3142" s="35">
        <v>94.13</v>
      </c>
      <c r="G3142" s="14" t="str">
        <f>VLOOKUP(D3142,Table4[],3,FALSE)</f>
        <v>2</v>
      </c>
      <c r="H3142" s="15">
        <v>3549</v>
      </c>
      <c r="I3142" s="15"/>
      <c r="J3142" s="15"/>
      <c r="K3142" s="15"/>
      <c r="L3142" s="15"/>
      <c r="M3142" s="15"/>
    </row>
    <row r="3143" spans="1:13" x14ac:dyDescent="0.25">
      <c r="A3143" s="23">
        <f t="shared" si="156"/>
        <v>244025</v>
      </c>
      <c r="B3143" s="14" t="str">
        <f t="shared" si="157"/>
        <v>Direct Debit (UMB Bank) - Credits</v>
      </c>
      <c r="C3143" s="37">
        <v>46167</v>
      </c>
      <c r="D3143" s="31">
        <v>244025</v>
      </c>
      <c r="E3143" s="33" t="str">
        <f>IF(Table3[[#This Row],[Type Received]]=2,"CC",(IF(Table3[[#This Row],[Type Received]]=3,"BILL","ACH")))</f>
        <v>ACH</v>
      </c>
      <c r="F3143" s="32">
        <v>31.53</v>
      </c>
      <c r="G3143" s="14" t="str">
        <f>VLOOKUP(D3143,Table4[],3,FALSE)</f>
        <v>1</v>
      </c>
      <c r="H3143" s="15"/>
      <c r="I3143" s="15"/>
      <c r="J3143" s="15" t="s">
        <v>85</v>
      </c>
      <c r="K3143" s="15">
        <v>818393420</v>
      </c>
      <c r="L3143" s="15" t="s">
        <v>29</v>
      </c>
      <c r="M3143" s="15" t="s">
        <v>29</v>
      </c>
    </row>
    <row r="3144" spans="1:13" x14ac:dyDescent="0.25">
      <c r="A3144" s="23">
        <f t="shared" si="156"/>
        <v>244026</v>
      </c>
      <c r="B3144" s="14" t="str">
        <f t="shared" si="157"/>
        <v>Direct Debit (UMB Bank) - Credits</v>
      </c>
      <c r="C3144" s="38">
        <v>46157</v>
      </c>
      <c r="D3144" s="34">
        <v>244026</v>
      </c>
      <c r="E3144" s="36" t="str">
        <f>IF(Table3[[#This Row],[Type Received]]=2,"CC",(IF(Table3[[#This Row],[Type Received]]=3,"BILL","ACH")))</f>
        <v>ACH</v>
      </c>
      <c r="F3144" s="35">
        <v>106</v>
      </c>
      <c r="G3144" s="14" t="str">
        <f>VLOOKUP(D3144,Table4[],3,FALSE)</f>
        <v>2</v>
      </c>
      <c r="H3144" s="15"/>
      <c r="I3144" s="15"/>
      <c r="J3144" s="15" t="s">
        <v>87</v>
      </c>
      <c r="K3144" s="15">
        <v>696797648</v>
      </c>
      <c r="L3144" s="15" t="s">
        <v>29</v>
      </c>
      <c r="M3144" s="15"/>
    </row>
    <row r="3145" spans="1:13" x14ac:dyDescent="0.25">
      <c r="A3145" s="23">
        <f t="shared" si="156"/>
        <v>244105</v>
      </c>
      <c r="B3145" s="14" t="str">
        <f t="shared" si="157"/>
        <v>Billing - Credits (from TPA)</v>
      </c>
      <c r="C3145" s="37">
        <v>46157</v>
      </c>
      <c r="D3145" s="31">
        <v>244105</v>
      </c>
      <c r="E3145" s="33" t="str">
        <f>IF(Table3[[#This Row],[Type Received]]=2,"CC",(IF(Table3[[#This Row],[Type Received]]=3,"BILL","ACH")))</f>
        <v>BILL</v>
      </c>
      <c r="F3145" s="32">
        <v>76.95</v>
      </c>
      <c r="G3145" s="14" t="str">
        <f>VLOOKUP(D3145,Table4[],3,FALSE)</f>
        <v>2</v>
      </c>
      <c r="H3145" s="15"/>
      <c r="I3145" s="15"/>
      <c r="J3145" s="15" t="s">
        <v>87</v>
      </c>
      <c r="K3145" s="15">
        <v>696783093</v>
      </c>
      <c r="L3145" s="15" t="s">
        <v>29</v>
      </c>
      <c r="M3145" s="15"/>
    </row>
    <row r="3146" spans="1:13" x14ac:dyDescent="0.25">
      <c r="A3146" s="23">
        <f t="shared" si="156"/>
        <v>244136</v>
      </c>
      <c r="B3146" s="14" t="str">
        <f t="shared" si="157"/>
        <v>Direct Debit (UMB Bank) - Credits</v>
      </c>
      <c r="C3146" s="38">
        <v>46161</v>
      </c>
      <c r="D3146" s="34">
        <v>244136</v>
      </c>
      <c r="E3146" s="36" t="str">
        <f>IF(Table3[[#This Row],[Type Received]]=2,"CC",(IF(Table3[[#This Row],[Type Received]]=3,"BILL","ACH")))</f>
        <v>ACH</v>
      </c>
      <c r="F3146" s="35">
        <v>98.82</v>
      </c>
      <c r="G3146" s="14" t="str">
        <f>VLOOKUP(D3146,Table4[],3,FALSE)</f>
        <v>1</v>
      </c>
      <c r="H3146" s="15">
        <v>5693</v>
      </c>
      <c r="I3146" s="15"/>
      <c r="J3146" s="15"/>
      <c r="K3146" s="15"/>
      <c r="L3146" s="15"/>
      <c r="M3146" s="15"/>
    </row>
    <row r="3147" spans="1:13" x14ac:dyDescent="0.25">
      <c r="A3147" s="23">
        <f t="shared" si="156"/>
        <v>244141</v>
      </c>
      <c r="B3147" s="14" t="str">
        <f t="shared" si="157"/>
        <v>Credit Cards (UMB) - Credits</v>
      </c>
      <c r="C3147" s="37">
        <v>46157</v>
      </c>
      <c r="D3147" s="31">
        <v>244141</v>
      </c>
      <c r="E3147" s="33" t="str">
        <f>IF(Table3[[#This Row],[Type Received]]=2,"CC",(IF(Table3[[#This Row],[Type Received]]=3,"BILL","ACH")))</f>
        <v>CC</v>
      </c>
      <c r="F3147" s="32">
        <v>55.84</v>
      </c>
      <c r="G3147" s="14" t="str">
        <f>VLOOKUP(D3147,Table4[],3,FALSE)</f>
        <v>2</v>
      </c>
      <c r="H3147" s="15"/>
      <c r="I3147" s="15"/>
      <c r="J3147" s="24" t="s">
        <v>87</v>
      </c>
      <c r="K3147" s="15">
        <v>696790848</v>
      </c>
      <c r="L3147" s="15" t="s">
        <v>29</v>
      </c>
      <c r="M3147" s="15" t="s">
        <v>29</v>
      </c>
    </row>
    <row r="3148" spans="1:13" x14ac:dyDescent="0.25">
      <c r="A3148" s="23">
        <f t="shared" si="156"/>
        <v>244153</v>
      </c>
      <c r="B3148" s="14" t="str">
        <f t="shared" si="157"/>
        <v>Direct Debit (UMB Bank) - Credits</v>
      </c>
      <c r="C3148" s="38">
        <v>46143</v>
      </c>
      <c r="D3148" s="34">
        <v>244153</v>
      </c>
      <c r="E3148" s="36" t="str">
        <f>IF(Table3[[#This Row],[Type Received]]=2,"CC",(IF(Table3[[#This Row],[Type Received]]=3,"BILL","ACH")))</f>
        <v>ACH</v>
      </c>
      <c r="F3148" s="35">
        <v>131.41</v>
      </c>
      <c r="G3148" s="14" t="str">
        <f>VLOOKUP(D3148,Table4[],3,FALSE)</f>
        <v>2</v>
      </c>
      <c r="H3148" s="15"/>
      <c r="I3148" s="15">
        <v>1239</v>
      </c>
      <c r="J3148" s="15" t="s">
        <v>28</v>
      </c>
      <c r="K3148" s="15">
        <v>522367874</v>
      </c>
      <c r="L3148" s="15" t="s">
        <v>29</v>
      </c>
      <c r="M3148" s="15"/>
    </row>
    <row r="3149" spans="1:13" x14ac:dyDescent="0.25">
      <c r="A3149" s="23">
        <f t="shared" si="156"/>
        <v>244191</v>
      </c>
      <c r="B3149" s="14" t="str">
        <f t="shared" si="157"/>
        <v>Direct Debit (UMB Bank) - Credits</v>
      </c>
      <c r="C3149" s="37">
        <v>46167</v>
      </c>
      <c r="D3149" s="31">
        <v>244191</v>
      </c>
      <c r="E3149" s="33" t="str">
        <f>IF(Table3[[#This Row],[Type Received]]=2,"CC",(IF(Table3[[#This Row],[Type Received]]=3,"BILL","ACH")))</f>
        <v>ACH</v>
      </c>
      <c r="F3149" s="32">
        <v>70.25</v>
      </c>
      <c r="G3149" s="14" t="str">
        <f>VLOOKUP(D3149,Table4[],3,FALSE)</f>
        <v>1</v>
      </c>
      <c r="H3149" s="15"/>
      <c r="I3149" s="15"/>
      <c r="J3149" s="15" t="s">
        <v>85</v>
      </c>
      <c r="K3149" s="15">
        <v>818399201</v>
      </c>
      <c r="L3149" s="15" t="s">
        <v>29</v>
      </c>
      <c r="M3149" s="15" t="s">
        <v>29</v>
      </c>
    </row>
    <row r="3150" spans="1:13" x14ac:dyDescent="0.25">
      <c r="A3150" s="23">
        <f t="shared" si="156"/>
        <v>249013</v>
      </c>
      <c r="B3150" s="14" t="str">
        <f t="shared" si="157"/>
        <v>Direct Debit (UMB Bank) - Credits</v>
      </c>
      <c r="C3150" s="38">
        <v>46169</v>
      </c>
      <c r="D3150" s="34">
        <v>249013</v>
      </c>
      <c r="E3150" s="36" t="str">
        <f>IF(Table3[[#This Row],[Type Received]]=2,"CC",(IF(Table3[[#This Row],[Type Received]]=3,"BILL","ACH")))</f>
        <v>ACH</v>
      </c>
      <c r="F3150" s="35">
        <v>56.56</v>
      </c>
      <c r="G3150" s="14" t="str">
        <f>VLOOKUP(D3150,Table4[],3,FALSE)</f>
        <v>2</v>
      </c>
      <c r="H3150" s="15"/>
      <c r="I3150" s="15"/>
      <c r="J3150" s="15" t="s">
        <v>117</v>
      </c>
      <c r="K3150" s="15">
        <v>840875439</v>
      </c>
      <c r="L3150" s="15" t="s">
        <v>29</v>
      </c>
      <c r="M3150" s="15"/>
    </row>
    <row r="3151" spans="1:13" x14ac:dyDescent="0.25">
      <c r="A3151" s="23">
        <f t="shared" si="156"/>
        <v>244418</v>
      </c>
      <c r="B3151" s="14" t="str">
        <f t="shared" si="157"/>
        <v>Direct Debit (UMB Bank) - Credits</v>
      </c>
      <c r="C3151" s="37">
        <v>46143</v>
      </c>
      <c r="D3151" s="31">
        <v>244418</v>
      </c>
      <c r="E3151" s="33" t="str">
        <f>IF(Table3[[#This Row],[Type Received]]=2,"CC",(IF(Table3[[#This Row],[Type Received]]=3,"BILL","ACH")))</f>
        <v>ACH</v>
      </c>
      <c r="F3151" s="32">
        <v>120.52</v>
      </c>
      <c r="G3151" s="14" t="str">
        <f>VLOOKUP(D3151,Table4[],3,FALSE)</f>
        <v>2</v>
      </c>
      <c r="H3151" s="15"/>
      <c r="I3151" s="15"/>
      <c r="J3151" s="15" t="s">
        <v>84</v>
      </c>
      <c r="K3151" s="15">
        <v>522365888</v>
      </c>
      <c r="L3151" s="15" t="s">
        <v>29</v>
      </c>
      <c r="M3151" s="15" t="s">
        <v>29</v>
      </c>
    </row>
    <row r="3152" spans="1:13" x14ac:dyDescent="0.25">
      <c r="A3152" s="23">
        <f t="shared" si="156"/>
        <v>244430</v>
      </c>
      <c r="B3152" s="14" t="str">
        <f t="shared" si="157"/>
        <v>Direct Debit (UMB Bank) - Credits</v>
      </c>
      <c r="C3152" s="38">
        <v>46157</v>
      </c>
      <c r="D3152" s="34">
        <v>244430</v>
      </c>
      <c r="E3152" s="36" t="str">
        <f>IF(Table3[[#This Row],[Type Received]]=2,"CC",(IF(Table3[[#This Row],[Type Received]]=3,"BILL","ACH")))</f>
        <v>ACH</v>
      </c>
      <c r="F3152" s="35">
        <v>90.27</v>
      </c>
      <c r="G3152" s="14" t="str">
        <f>VLOOKUP(D3152,Table4[],3,FALSE)</f>
        <v>1</v>
      </c>
      <c r="H3152" s="15"/>
      <c r="I3152" s="15"/>
      <c r="J3152" s="15" t="s">
        <v>87</v>
      </c>
      <c r="K3152" s="15">
        <v>696792790</v>
      </c>
      <c r="L3152" s="15" t="s">
        <v>29</v>
      </c>
      <c r="M3152" s="15" t="s">
        <v>29</v>
      </c>
    </row>
    <row r="3153" spans="1:13" x14ac:dyDescent="0.25">
      <c r="A3153" s="23">
        <f t="shared" si="156"/>
        <v>244457</v>
      </c>
      <c r="B3153" s="14" t="str">
        <f t="shared" si="157"/>
        <v>Direct Debit (UMB Bank) - Credits</v>
      </c>
      <c r="C3153" s="37">
        <v>46167</v>
      </c>
      <c r="D3153" s="31">
        <v>244457</v>
      </c>
      <c r="E3153" s="33" t="str">
        <f>IF(Table3[[#This Row],[Type Received]]=2,"CC",(IF(Table3[[#This Row],[Type Received]]=3,"BILL","ACH")))</f>
        <v>ACH</v>
      </c>
      <c r="F3153" s="32">
        <v>40.479999999999997</v>
      </c>
      <c r="G3153" s="14" t="str">
        <f>VLOOKUP(D3153,Table4[],3,FALSE)</f>
        <v>1</v>
      </c>
      <c r="H3153" s="15"/>
      <c r="I3153" s="15"/>
      <c r="J3153" s="15" t="s">
        <v>85</v>
      </c>
      <c r="K3153" s="15">
        <v>818404105</v>
      </c>
      <c r="L3153" s="15" t="s">
        <v>29</v>
      </c>
      <c r="M3153" s="15" t="s">
        <v>29</v>
      </c>
    </row>
    <row r="3154" spans="1:13" x14ac:dyDescent="0.25">
      <c r="A3154" s="23">
        <f t="shared" si="156"/>
        <v>244459</v>
      </c>
      <c r="B3154" s="14" t="str">
        <f t="shared" si="157"/>
        <v>Direct Debit (UMB Bank) - Credits</v>
      </c>
      <c r="C3154" s="38">
        <v>46157</v>
      </c>
      <c r="D3154" s="34">
        <v>244459</v>
      </c>
      <c r="E3154" s="36" t="str">
        <f>IF(Table3[[#This Row],[Type Received]]=2,"CC",(IF(Table3[[#This Row],[Type Received]]=3,"BILL","ACH")))</f>
        <v>ACH</v>
      </c>
      <c r="F3154" s="35">
        <v>91.81</v>
      </c>
      <c r="G3154" s="14" t="str">
        <f>VLOOKUP(D3154,Table4[],3,FALSE)</f>
        <v>2</v>
      </c>
      <c r="H3154" s="15"/>
      <c r="I3154" s="15"/>
      <c r="J3154" s="24" t="s">
        <v>87</v>
      </c>
      <c r="K3154" s="15">
        <v>696804419</v>
      </c>
      <c r="L3154" s="15" t="s">
        <v>29</v>
      </c>
      <c r="M3154" s="15"/>
    </row>
    <row r="3155" spans="1:13" x14ac:dyDescent="0.25">
      <c r="A3155" s="23">
        <f t="shared" si="156"/>
        <v>244471</v>
      </c>
      <c r="B3155" s="14" t="str">
        <f t="shared" si="157"/>
        <v>Direct Debit (UMB Bank) - Credits</v>
      </c>
      <c r="C3155" s="37">
        <v>46167</v>
      </c>
      <c r="D3155" s="31">
        <v>244471</v>
      </c>
      <c r="E3155" s="33" t="str">
        <f>IF(Table3[[#This Row],[Type Received]]=2,"CC",(IF(Table3[[#This Row],[Type Received]]=3,"BILL","ACH")))</f>
        <v>ACH</v>
      </c>
      <c r="F3155" s="32">
        <v>59.14</v>
      </c>
      <c r="G3155" s="14" t="str">
        <f>VLOOKUP(D3155,Table4[],3,FALSE)</f>
        <v>2</v>
      </c>
      <c r="H3155" s="15"/>
      <c r="I3155" s="15"/>
      <c r="J3155" s="15" t="s">
        <v>85</v>
      </c>
      <c r="K3155" s="15">
        <v>818403123</v>
      </c>
      <c r="L3155" s="15" t="s">
        <v>29</v>
      </c>
      <c r="M3155" s="15" t="s">
        <v>29</v>
      </c>
    </row>
    <row r="3156" spans="1:13" x14ac:dyDescent="0.25">
      <c r="A3156" s="23">
        <f t="shared" ref="A3156:A3166" si="158">D3156</f>
        <v>244472</v>
      </c>
      <c r="B3156" s="14" t="str">
        <f t="shared" si="157"/>
        <v>Direct Debit (UMB Bank) - Credits</v>
      </c>
      <c r="C3156" s="38">
        <v>46167</v>
      </c>
      <c r="D3156" s="34">
        <v>244472</v>
      </c>
      <c r="E3156" s="36" t="str">
        <f>IF(Table3[[#This Row],[Type Received]]=2,"CC",(IF(Table3[[#This Row],[Type Received]]=3,"BILL","ACH")))</f>
        <v>ACH</v>
      </c>
      <c r="F3156" s="35">
        <v>94.45</v>
      </c>
      <c r="G3156" s="14" t="str">
        <f>VLOOKUP(D3156,Table4[],3,FALSE)</f>
        <v>2</v>
      </c>
      <c r="H3156" s="15"/>
      <c r="I3156" s="15"/>
      <c r="J3156" s="15" t="s">
        <v>85</v>
      </c>
      <c r="K3156" s="15">
        <v>818404125</v>
      </c>
      <c r="L3156" s="15" t="s">
        <v>29</v>
      </c>
      <c r="M3156" s="15" t="s">
        <v>29</v>
      </c>
    </row>
    <row r="3157" spans="1:13" x14ac:dyDescent="0.25">
      <c r="A3157" s="23">
        <f t="shared" si="158"/>
        <v>244503</v>
      </c>
      <c r="B3157" s="14" t="str">
        <f t="shared" si="157"/>
        <v>Direct Debit (UMB Bank) - Credits</v>
      </c>
      <c r="C3157" s="37">
        <v>46143</v>
      </c>
      <c r="D3157" s="31">
        <v>244503</v>
      </c>
      <c r="E3157" s="33" t="str">
        <f>IF(Table3[[#This Row],[Type Received]]=2,"CC",(IF(Table3[[#This Row],[Type Received]]=3,"BILL","ACH")))</f>
        <v>ACH</v>
      </c>
      <c r="F3157" s="32">
        <v>51.55</v>
      </c>
      <c r="G3157" s="14" t="str">
        <f>VLOOKUP(D3157,Table4[],3,FALSE)</f>
        <v>2</v>
      </c>
      <c r="H3157" s="15"/>
      <c r="I3157" s="15"/>
      <c r="J3157" s="15" t="s">
        <v>84</v>
      </c>
      <c r="K3157" s="15">
        <v>522378575</v>
      </c>
      <c r="L3157" s="15" t="s">
        <v>29</v>
      </c>
      <c r="M3157" s="15"/>
    </row>
    <row r="3158" spans="1:13" x14ac:dyDescent="0.25">
      <c r="A3158" s="23">
        <f t="shared" si="158"/>
        <v>244514</v>
      </c>
      <c r="B3158" s="14" t="str">
        <f t="shared" si="157"/>
        <v>Billing - Credits (from TPA)</v>
      </c>
      <c r="C3158" s="38">
        <v>46167</v>
      </c>
      <c r="D3158" s="34">
        <v>244514</v>
      </c>
      <c r="E3158" s="36" t="str">
        <f>IF(Table3[[#This Row],[Type Received]]=2,"CC",(IF(Table3[[#This Row],[Type Received]]=3,"BILL","ACH")))</f>
        <v>BILL</v>
      </c>
      <c r="F3158" s="35">
        <v>88.07</v>
      </c>
      <c r="G3158" s="14" t="str">
        <f>VLOOKUP(D3158,Table4[],3,FALSE)</f>
        <v>1</v>
      </c>
      <c r="H3158" s="15"/>
      <c r="I3158" s="15"/>
      <c r="J3158" s="15" t="s">
        <v>85</v>
      </c>
      <c r="K3158" s="15">
        <v>818387603</v>
      </c>
      <c r="L3158" s="15" t="s">
        <v>29</v>
      </c>
      <c r="M3158" s="15" t="s">
        <v>29</v>
      </c>
    </row>
    <row r="3159" spans="1:13" x14ac:dyDescent="0.25">
      <c r="A3159" s="23">
        <f t="shared" si="158"/>
        <v>244540</v>
      </c>
      <c r="B3159" s="14" t="str">
        <f t="shared" si="157"/>
        <v>Billing - Credits (from TPA)</v>
      </c>
      <c r="C3159" s="37">
        <v>46168</v>
      </c>
      <c r="D3159" s="31">
        <v>244540</v>
      </c>
      <c r="E3159" s="33" t="str">
        <f>IF(Table3[[#This Row],[Type Received]]=2,"CC",(IF(Table3[[#This Row],[Type Received]]=3,"BILL","ACH")))</f>
        <v>BILL</v>
      </c>
      <c r="F3159" s="32">
        <v>55.41</v>
      </c>
      <c r="G3159" s="14" t="str">
        <f>VLOOKUP(D3159,Table4[],3,FALSE)</f>
        <v>1</v>
      </c>
      <c r="H3159" s="15">
        <v>675</v>
      </c>
      <c r="I3159" s="15"/>
      <c r="J3159" s="15"/>
      <c r="K3159" s="15"/>
      <c r="L3159" s="15"/>
      <c r="M3159" s="15" t="s">
        <v>29</v>
      </c>
    </row>
    <row r="3160" spans="1:13" x14ac:dyDescent="0.25">
      <c r="A3160" s="23">
        <f t="shared" si="158"/>
        <v>244540</v>
      </c>
      <c r="B3160" s="14" t="str">
        <f t="shared" si="157"/>
        <v>Direct Debit (UMB Bank) - Credits</v>
      </c>
      <c r="C3160" s="38">
        <v>46146</v>
      </c>
      <c r="D3160" s="34">
        <v>244540</v>
      </c>
      <c r="E3160" s="36" t="str">
        <f>IF(Table3[[#This Row],[Type Received]]=2,"CC",(IF(Table3[[#This Row],[Type Received]]=3,"BILL","ACH")))</f>
        <v>ACH</v>
      </c>
      <c r="F3160" s="35">
        <v>55.41</v>
      </c>
      <c r="G3160" s="14" t="str">
        <f>VLOOKUP(D3160,Table4[],3,FALSE)</f>
        <v>1</v>
      </c>
      <c r="H3160" s="15">
        <v>664</v>
      </c>
      <c r="I3160" s="15"/>
      <c r="J3160" s="15"/>
      <c r="K3160" s="15"/>
      <c r="L3160" s="15"/>
      <c r="M3160" s="15" t="s">
        <v>29</v>
      </c>
    </row>
    <row r="3161" spans="1:13" x14ac:dyDescent="0.25">
      <c r="A3161" s="23">
        <f t="shared" si="158"/>
        <v>244550</v>
      </c>
      <c r="B3161" s="14" t="str">
        <f t="shared" si="157"/>
        <v>Direct Debit (UMB Bank) - Credits</v>
      </c>
      <c r="C3161" s="37">
        <v>46157</v>
      </c>
      <c r="D3161" s="31">
        <v>244550</v>
      </c>
      <c r="E3161" s="33" t="str">
        <f>IF(Table3[[#This Row],[Type Received]]=2,"CC",(IF(Table3[[#This Row],[Type Received]]=3,"BILL","ACH")))</f>
        <v>ACH</v>
      </c>
      <c r="F3161" s="32">
        <v>106</v>
      </c>
      <c r="G3161" s="14" t="str">
        <f>VLOOKUP(D3161,Table4[],3,FALSE)</f>
        <v>2</v>
      </c>
      <c r="H3161" s="15"/>
      <c r="I3161" s="15"/>
      <c r="J3161" s="15" t="s">
        <v>87</v>
      </c>
      <c r="K3161" s="15">
        <v>696809326</v>
      </c>
      <c r="L3161" s="15" t="s">
        <v>29</v>
      </c>
      <c r="M3161" s="15"/>
    </row>
    <row r="3162" spans="1:13" x14ac:dyDescent="0.25">
      <c r="A3162" s="23">
        <f t="shared" si="158"/>
        <v>244577</v>
      </c>
      <c r="B3162" s="14" t="str">
        <f t="shared" si="157"/>
        <v>Billing - Credits (from TPA)</v>
      </c>
      <c r="C3162" s="38">
        <v>46143</v>
      </c>
      <c r="D3162" s="34">
        <v>244577</v>
      </c>
      <c r="E3162" s="36" t="str">
        <f>IF(Table3[[#This Row],[Type Received]]=2,"CC",(IF(Table3[[#This Row],[Type Received]]=3,"BILL","ACH")))</f>
        <v>BILL</v>
      </c>
      <c r="F3162" s="35">
        <v>76.95</v>
      </c>
      <c r="G3162" s="14" t="str">
        <f>VLOOKUP(D3162,Table4[],3,FALSE)</f>
        <v>2</v>
      </c>
      <c r="H3162" s="15"/>
      <c r="I3162" s="15"/>
      <c r="J3162" s="15" t="s">
        <v>84</v>
      </c>
      <c r="K3162" s="15">
        <v>522386291</v>
      </c>
      <c r="L3162" s="15" t="s">
        <v>29</v>
      </c>
      <c r="M3162" s="15" t="s">
        <v>29</v>
      </c>
    </row>
    <row r="3163" spans="1:13" x14ac:dyDescent="0.25">
      <c r="A3163" s="23">
        <f t="shared" si="158"/>
        <v>244609</v>
      </c>
      <c r="B3163" s="14" t="str">
        <f t="shared" si="157"/>
        <v>Credit Cards (UMB) - Credits</v>
      </c>
      <c r="C3163" s="37">
        <v>46146</v>
      </c>
      <c r="D3163" s="31">
        <v>244609</v>
      </c>
      <c r="E3163" s="33" t="str">
        <f>IF(Table3[[#This Row],[Type Received]]=2,"CC",(IF(Table3[[#This Row],[Type Received]]=3,"BILL","ACH")))</f>
        <v>CC</v>
      </c>
      <c r="F3163" s="32">
        <v>141.97999999999999</v>
      </c>
      <c r="G3163" s="14" t="str">
        <f>VLOOKUP(D3163,Table4[],3,FALSE)</f>
        <v>2</v>
      </c>
      <c r="H3163" s="15">
        <v>7243</v>
      </c>
      <c r="I3163" s="15"/>
      <c r="J3163" s="15"/>
      <c r="K3163" s="15"/>
      <c r="L3163" s="15"/>
      <c r="M3163" s="15" t="s">
        <v>29</v>
      </c>
    </row>
    <row r="3164" spans="1:13" x14ac:dyDescent="0.25">
      <c r="A3164" s="23">
        <f t="shared" si="158"/>
        <v>244217</v>
      </c>
      <c r="B3164" s="14" t="str">
        <f t="shared" si="157"/>
        <v>Direct Debit (UMB Bank) - Credits</v>
      </c>
      <c r="C3164" s="38">
        <v>46148</v>
      </c>
      <c r="D3164" s="34">
        <v>244217</v>
      </c>
      <c r="E3164" s="36" t="str">
        <f>IF(Table3[[#This Row],[Type Received]]=2,"CC",(IF(Table3[[#This Row],[Type Received]]=3,"BILL","ACH")))</f>
        <v>ACH</v>
      </c>
      <c r="F3164" s="35">
        <v>98.16</v>
      </c>
      <c r="G3164" s="14" t="str">
        <f>VLOOKUP(D3164,Table4[],3,FALSE)</f>
        <v>2</v>
      </c>
      <c r="H3164" s="15"/>
      <c r="I3164" s="15">
        <v>2958</v>
      </c>
      <c r="J3164" s="24" t="s">
        <v>28</v>
      </c>
      <c r="K3164" s="15">
        <v>585873528</v>
      </c>
      <c r="L3164" s="15" t="s">
        <v>29</v>
      </c>
      <c r="M3164" s="15" t="s">
        <v>29</v>
      </c>
    </row>
    <row r="3165" spans="1:13" x14ac:dyDescent="0.25">
      <c r="A3165" s="23">
        <f t="shared" si="158"/>
        <v>244234</v>
      </c>
      <c r="B3165" s="14" t="str">
        <f t="shared" si="157"/>
        <v>Direct Debit (UMB Bank) - Credits</v>
      </c>
      <c r="C3165" s="37">
        <v>46157</v>
      </c>
      <c r="D3165" s="31">
        <v>244234</v>
      </c>
      <c r="E3165" s="33" t="str">
        <f>IF(Table3[[#This Row],[Type Received]]=2,"CC",(IF(Table3[[#This Row],[Type Received]]=3,"BILL","ACH")))</f>
        <v>ACH</v>
      </c>
      <c r="F3165" s="32">
        <v>88.95</v>
      </c>
      <c r="G3165" s="14" t="str">
        <f>VLOOKUP(D3165,Table4[],3,FALSE)</f>
        <v>1</v>
      </c>
      <c r="H3165" s="15"/>
      <c r="I3165" s="15"/>
      <c r="J3165" s="24" t="s">
        <v>87</v>
      </c>
      <c r="K3165" s="15">
        <v>696786021</v>
      </c>
      <c r="L3165" s="15" t="s">
        <v>29</v>
      </c>
      <c r="M3165" s="15" t="s">
        <v>29</v>
      </c>
    </row>
    <row r="3166" spans="1:13" x14ac:dyDescent="0.25">
      <c r="A3166" s="23">
        <f t="shared" si="158"/>
        <v>244260</v>
      </c>
      <c r="B3166" s="14" t="str">
        <f t="shared" si="157"/>
        <v>Direct Debit (UMB Bank) - Credits</v>
      </c>
      <c r="C3166" s="38">
        <v>46167</v>
      </c>
      <c r="D3166" s="34">
        <v>244260</v>
      </c>
      <c r="E3166" s="36" t="str">
        <f>IF(Table3[[#This Row],[Type Received]]=2,"CC",(IF(Table3[[#This Row],[Type Received]]=3,"BILL","ACH")))</f>
        <v>ACH</v>
      </c>
      <c r="F3166" s="35">
        <v>51.22</v>
      </c>
      <c r="G3166" s="14" t="str">
        <f>VLOOKUP(D3166,Table4[],3,FALSE)</f>
        <v>2</v>
      </c>
      <c r="H3166" s="15"/>
      <c r="I3166" s="15"/>
      <c r="J3166" s="15" t="s">
        <v>85</v>
      </c>
      <c r="K3166" s="15">
        <v>818377951</v>
      </c>
      <c r="L3166" s="15" t="s">
        <v>29</v>
      </c>
      <c r="M3166" s="15" t="s">
        <v>29</v>
      </c>
    </row>
    <row r="3167" spans="1:13" x14ac:dyDescent="0.25">
      <c r="A3167" s="23"/>
      <c r="B3167" s="14" t="str">
        <f t="shared" si="157"/>
        <v>Direct Debit (UMB Bank) - Credits</v>
      </c>
      <c r="C3167" s="37">
        <v>46157</v>
      </c>
      <c r="D3167" s="31">
        <v>244288</v>
      </c>
      <c r="E3167" s="33" t="str">
        <f>IF(Table3[[#This Row],[Type Received]]=2,"CC",(IF(Table3[[#This Row],[Type Received]]=3,"BILL","ACH")))</f>
        <v>ACH</v>
      </c>
      <c r="F3167" s="32">
        <v>74.87</v>
      </c>
      <c r="G3167" s="14" t="str">
        <f>VLOOKUP(D3167,Table4[],3,FALSE)</f>
        <v>1</v>
      </c>
      <c r="H3167" s="15"/>
      <c r="I3167" s="15"/>
      <c r="J3167" s="15" t="s">
        <v>87</v>
      </c>
      <c r="K3167" s="15">
        <v>696808365</v>
      </c>
      <c r="L3167" s="15" t="s">
        <v>29</v>
      </c>
      <c r="M3167" s="15" t="s">
        <v>29</v>
      </c>
    </row>
    <row r="3168" spans="1:13" x14ac:dyDescent="0.25">
      <c r="A3168" s="23"/>
      <c r="B3168" s="14" t="str">
        <f t="shared" si="157"/>
        <v>Billing - Credits (from TPA)</v>
      </c>
      <c r="C3168" s="38">
        <v>46167</v>
      </c>
      <c r="D3168" s="34">
        <v>244327</v>
      </c>
      <c r="E3168" s="36" t="str">
        <f>IF(Table3[[#This Row],[Type Received]]=2,"CC",(IF(Table3[[#This Row],[Type Received]]=3,"BILL","ACH")))</f>
        <v>BILL</v>
      </c>
      <c r="F3168" s="35">
        <v>52.54</v>
      </c>
      <c r="G3168" s="14" t="str">
        <f>VLOOKUP(D3168,Table4[],3,FALSE)</f>
        <v>2</v>
      </c>
      <c r="H3168" s="15"/>
      <c r="I3168" s="15"/>
      <c r="J3168" s="15" t="s">
        <v>85</v>
      </c>
      <c r="K3168" s="15">
        <v>818386578</v>
      </c>
      <c r="L3168" s="15" t="s">
        <v>29</v>
      </c>
      <c r="M3168" s="15" t="s">
        <v>29</v>
      </c>
    </row>
    <row r="3169" spans="1:13" x14ac:dyDescent="0.25">
      <c r="A3169" s="23">
        <f t="shared" ref="A3169:A3206" si="159">D3169</f>
        <v>244343</v>
      </c>
      <c r="B3169" s="14" t="str">
        <f t="shared" si="157"/>
        <v>Direct Debit (UMB Bank) - Credits</v>
      </c>
      <c r="C3169" s="37">
        <v>46168</v>
      </c>
      <c r="D3169" s="31">
        <v>244343</v>
      </c>
      <c r="E3169" s="33" t="str">
        <f>IF(Table3[[#This Row],[Type Received]]=2,"CC",(IF(Table3[[#This Row],[Type Received]]=3,"BILL","ACH")))</f>
        <v>ACH</v>
      </c>
      <c r="F3169" s="32">
        <v>57.95</v>
      </c>
      <c r="G3169" s="14" t="str">
        <f>VLOOKUP(D3169,Table4[],3,FALSE)</f>
        <v>1</v>
      </c>
      <c r="H3169" s="15">
        <v>2247474655</v>
      </c>
      <c r="I3169" s="15"/>
      <c r="J3169" s="15"/>
      <c r="K3169" s="15"/>
      <c r="L3169" s="15"/>
      <c r="M3169" s="15" t="s">
        <v>29</v>
      </c>
    </row>
    <row r="3170" spans="1:13" x14ac:dyDescent="0.25">
      <c r="A3170" s="23">
        <f t="shared" si="159"/>
        <v>244396</v>
      </c>
      <c r="B3170" s="14" t="str">
        <f t="shared" si="157"/>
        <v>Credit Cards (UMB) - Credits</v>
      </c>
      <c r="C3170" s="38">
        <v>46143</v>
      </c>
      <c r="D3170" s="34">
        <v>244396</v>
      </c>
      <c r="E3170" s="36" t="str">
        <f>IF(Table3[[#This Row],[Type Received]]=2,"CC",(IF(Table3[[#This Row],[Type Received]]=3,"BILL","ACH")))</f>
        <v>CC</v>
      </c>
      <c r="F3170" s="35">
        <v>139.99</v>
      </c>
      <c r="G3170" s="14" t="str">
        <f>VLOOKUP(D3170,Table4[],3,FALSE)</f>
        <v>2</v>
      </c>
      <c r="H3170" s="15"/>
      <c r="I3170" s="15"/>
      <c r="J3170" s="15" t="s">
        <v>84</v>
      </c>
      <c r="K3170" s="15">
        <v>522383321</v>
      </c>
      <c r="L3170" s="15" t="s">
        <v>29</v>
      </c>
      <c r="M3170" s="15" t="s">
        <v>29</v>
      </c>
    </row>
    <row r="3171" spans="1:13" x14ac:dyDescent="0.25">
      <c r="A3171" s="23">
        <f t="shared" si="159"/>
        <v>244632</v>
      </c>
      <c r="B3171" s="14" t="str">
        <f t="shared" si="157"/>
        <v>Billing - Credits (from TPA)</v>
      </c>
      <c r="C3171" s="37">
        <v>46157</v>
      </c>
      <c r="D3171" s="31">
        <v>244632</v>
      </c>
      <c r="E3171" s="33" t="str">
        <f>IF(Table3[[#This Row],[Type Received]]=2,"CC",(IF(Table3[[#This Row],[Type Received]]=3,"BILL","ACH")))</f>
        <v>BILL</v>
      </c>
      <c r="F3171" s="32">
        <v>30.87</v>
      </c>
      <c r="G3171" s="14" t="str">
        <f>VLOOKUP(D3171,Table4[],3,FALSE)</f>
        <v>1</v>
      </c>
      <c r="H3171" s="15"/>
      <c r="I3171" s="15">
        <v>893483</v>
      </c>
      <c r="J3171" s="15" t="s">
        <v>28</v>
      </c>
      <c r="K3171" s="15">
        <v>696634677</v>
      </c>
      <c r="L3171" s="15" t="s">
        <v>29</v>
      </c>
      <c r="M3171" s="15"/>
    </row>
    <row r="3172" spans="1:13" x14ac:dyDescent="0.25">
      <c r="A3172" s="23">
        <f t="shared" si="159"/>
        <v>244634</v>
      </c>
      <c r="B3172" s="14" t="str">
        <f t="shared" si="157"/>
        <v>Credit Cards (UMB) - Credits</v>
      </c>
      <c r="C3172" s="38">
        <v>46156</v>
      </c>
      <c r="D3172" s="34">
        <v>244634</v>
      </c>
      <c r="E3172" s="36" t="str">
        <f>IF(Table3[[#This Row],[Type Received]]=2,"CC",(IF(Table3[[#This Row],[Type Received]]=3,"BILL","ACH")))</f>
        <v>CC</v>
      </c>
      <c r="F3172" s="35">
        <v>57.95</v>
      </c>
      <c r="G3172" s="14" t="str">
        <f>VLOOKUP(D3172,Table4[],3,FALSE)</f>
        <v>1</v>
      </c>
      <c r="H3172" s="15">
        <v>58142157</v>
      </c>
      <c r="I3172" s="15"/>
      <c r="J3172" s="15"/>
      <c r="K3172" s="15"/>
      <c r="L3172" s="15"/>
      <c r="M3172" s="15"/>
    </row>
    <row r="3173" spans="1:13" x14ac:dyDescent="0.25">
      <c r="A3173" s="23">
        <f t="shared" si="159"/>
        <v>244651</v>
      </c>
      <c r="B3173" s="14" t="str">
        <f t="shared" si="157"/>
        <v>Credit Cards (UMB) - Credits</v>
      </c>
      <c r="C3173" s="37">
        <v>46157</v>
      </c>
      <c r="D3173" s="31">
        <v>244651</v>
      </c>
      <c r="E3173" s="33" t="str">
        <f>IF(Table3[[#This Row],[Type Received]]=2,"CC",(IF(Table3[[#This Row],[Type Received]]=3,"BILL","ACH")))</f>
        <v>CC</v>
      </c>
      <c r="F3173" s="32">
        <v>68.05</v>
      </c>
      <c r="G3173" s="14" t="str">
        <f>VLOOKUP(D3173,Table4[],3,FALSE)</f>
        <v>2</v>
      </c>
      <c r="H3173" s="15"/>
      <c r="I3173" s="15" t="s">
        <v>278</v>
      </c>
      <c r="J3173" s="15" t="s">
        <v>28</v>
      </c>
      <c r="K3173" s="15">
        <v>696799724</v>
      </c>
      <c r="L3173" s="15" t="s">
        <v>29</v>
      </c>
      <c r="M3173" s="15" t="s">
        <v>29</v>
      </c>
    </row>
    <row r="3174" spans="1:13" x14ac:dyDescent="0.25">
      <c r="A3174" s="23">
        <f t="shared" si="159"/>
        <v>244657</v>
      </c>
      <c r="B3174" s="14" t="str">
        <f t="shared" si="157"/>
        <v>Direct Debit (UMB Bank) - Credits</v>
      </c>
      <c r="C3174" s="38">
        <v>46155</v>
      </c>
      <c r="D3174" s="34">
        <v>244657</v>
      </c>
      <c r="E3174" s="36" t="str">
        <f>IF(Table3[[#This Row],[Type Received]]=2,"CC",(IF(Table3[[#This Row],[Type Received]]=3,"BILL","ACH")))</f>
        <v>ACH</v>
      </c>
      <c r="F3174" s="35">
        <v>56.95</v>
      </c>
      <c r="G3174" s="14" t="str">
        <f>VLOOKUP(D3174,Table4[],3,FALSE)</f>
        <v>1</v>
      </c>
      <c r="H3174" s="15"/>
      <c r="I3174" s="15" t="s">
        <v>279</v>
      </c>
      <c r="J3174" s="15" t="s">
        <v>28</v>
      </c>
      <c r="K3174" s="15">
        <v>669503558</v>
      </c>
      <c r="L3174" s="15" t="s">
        <v>29</v>
      </c>
      <c r="M3174" s="15"/>
    </row>
    <row r="3175" spans="1:13" x14ac:dyDescent="0.25">
      <c r="A3175" s="23">
        <f t="shared" si="159"/>
        <v>244667</v>
      </c>
      <c r="B3175" s="14" t="str">
        <f t="shared" si="157"/>
        <v>Direct Debit (UMB Bank) - Credits</v>
      </c>
      <c r="C3175" s="37">
        <v>46157</v>
      </c>
      <c r="D3175" s="31">
        <v>244667</v>
      </c>
      <c r="E3175" s="33" t="str">
        <f>IF(Table3[[#This Row],[Type Received]]=2,"CC",(IF(Table3[[#This Row],[Type Received]]=3,"BILL","ACH")))</f>
        <v>ACH</v>
      </c>
      <c r="F3175" s="32">
        <v>40.659999999999997</v>
      </c>
      <c r="G3175" s="14" t="e">
        <f>VLOOKUP(D3175,Table4[],3,FALSE)</f>
        <v>#N/A</v>
      </c>
      <c r="H3175" s="15"/>
      <c r="I3175" s="15"/>
      <c r="J3175" s="15" t="s">
        <v>87</v>
      </c>
      <c r="K3175" s="15">
        <v>696787054</v>
      </c>
      <c r="L3175" s="15" t="s">
        <v>29</v>
      </c>
      <c r="M3175" s="15"/>
    </row>
    <row r="3176" spans="1:13" x14ac:dyDescent="0.25">
      <c r="A3176" s="23">
        <f t="shared" si="159"/>
        <v>244669</v>
      </c>
      <c r="B3176" s="14" t="str">
        <f t="shared" si="157"/>
        <v>Direct Debit (UMB Bank) - Credits</v>
      </c>
      <c r="C3176" s="38">
        <v>46167</v>
      </c>
      <c r="D3176" s="34">
        <v>244669</v>
      </c>
      <c r="E3176" s="36" t="str">
        <f>IF(Table3[[#This Row],[Type Received]]=2,"CC",(IF(Table3[[#This Row],[Type Received]]=3,"BILL","ACH")))</f>
        <v>ACH</v>
      </c>
      <c r="F3176" s="35">
        <v>117.22</v>
      </c>
      <c r="G3176" s="14" t="str">
        <f>VLOOKUP(D3176,Table4[],3,FALSE)</f>
        <v>2</v>
      </c>
      <c r="H3176" s="15"/>
      <c r="I3176" s="15"/>
      <c r="J3176" s="15" t="s">
        <v>85</v>
      </c>
      <c r="K3176" s="15">
        <v>818404139</v>
      </c>
      <c r="L3176" s="15" t="s">
        <v>29</v>
      </c>
      <c r="M3176" s="15" t="s">
        <v>29</v>
      </c>
    </row>
    <row r="3177" spans="1:13" x14ac:dyDescent="0.25">
      <c r="A3177" s="23">
        <f t="shared" si="159"/>
        <v>244704</v>
      </c>
      <c r="B3177" s="14" t="str">
        <f t="shared" si="157"/>
        <v>Direct Debit (UMB Bank) - Credits</v>
      </c>
      <c r="C3177" s="37">
        <v>46143</v>
      </c>
      <c r="D3177" s="31">
        <v>244704</v>
      </c>
      <c r="E3177" s="33" t="str">
        <f>IF(Table3[[#This Row],[Type Received]]=2,"CC",(IF(Table3[[#This Row],[Type Received]]=3,"BILL","ACH")))</f>
        <v>ACH</v>
      </c>
      <c r="F3177" s="32">
        <v>145.93</v>
      </c>
      <c r="G3177" s="14" t="str">
        <f>VLOOKUP(D3177,Table4[],3,FALSE)</f>
        <v>2</v>
      </c>
      <c r="H3177" s="15"/>
      <c r="I3177" s="15"/>
      <c r="J3177" s="15" t="s">
        <v>84</v>
      </c>
      <c r="K3177" s="15">
        <v>522365948</v>
      </c>
      <c r="L3177" s="15" t="s">
        <v>29</v>
      </c>
      <c r="M3177" s="15" t="s">
        <v>29</v>
      </c>
    </row>
    <row r="3178" spans="1:13" x14ac:dyDescent="0.25">
      <c r="A3178" s="23">
        <f t="shared" si="159"/>
        <v>244711</v>
      </c>
      <c r="B3178" s="14" t="str">
        <f t="shared" si="157"/>
        <v>Direct Debit (UMB Bank) - Credits</v>
      </c>
      <c r="C3178" s="38">
        <v>46157</v>
      </c>
      <c r="D3178" s="34">
        <v>244711</v>
      </c>
      <c r="E3178" s="36" t="str">
        <f>IF(Table3[[#This Row],[Type Received]]=2,"CC",(IF(Table3[[#This Row],[Type Received]]=3,"BILL","ACH")))</f>
        <v>ACH</v>
      </c>
      <c r="F3178" s="35">
        <v>38.57</v>
      </c>
      <c r="G3178" s="14" t="str">
        <f>VLOOKUP(D3178,Table4[],3,FALSE)</f>
        <v>1</v>
      </c>
      <c r="H3178" s="15"/>
      <c r="I3178" s="15"/>
      <c r="J3178" s="15" t="s">
        <v>87</v>
      </c>
      <c r="K3178" s="15">
        <v>696792833</v>
      </c>
      <c r="L3178" s="15" t="s">
        <v>29</v>
      </c>
      <c r="M3178" s="15" t="s">
        <v>29</v>
      </c>
    </row>
    <row r="3179" spans="1:13" x14ac:dyDescent="0.25">
      <c r="A3179" s="23">
        <f t="shared" si="159"/>
        <v>244788</v>
      </c>
      <c r="B3179" s="14" t="str">
        <f t="shared" si="157"/>
        <v>Direct Debit (UMB Bank) - Credits</v>
      </c>
      <c r="C3179" s="37">
        <v>46167</v>
      </c>
      <c r="D3179" s="31">
        <v>244788</v>
      </c>
      <c r="E3179" s="33" t="str">
        <f>IF(Table3[[#This Row],[Type Received]]=2,"CC",(IF(Table3[[#This Row],[Type Received]]=3,"BILL","ACH")))</f>
        <v>ACH</v>
      </c>
      <c r="F3179" s="32">
        <v>19.649999999999999</v>
      </c>
      <c r="G3179" s="14" t="str">
        <f>VLOOKUP(D3179,Table4[],3,FALSE)</f>
        <v>1</v>
      </c>
      <c r="H3179" s="15"/>
      <c r="I3179" s="15"/>
      <c r="J3179" s="15" t="s">
        <v>85</v>
      </c>
      <c r="K3179" s="15">
        <v>818383727</v>
      </c>
      <c r="L3179" s="15" t="s">
        <v>29</v>
      </c>
      <c r="M3179" s="15" t="s">
        <v>29</v>
      </c>
    </row>
    <row r="3180" spans="1:13" x14ac:dyDescent="0.25">
      <c r="A3180" s="23">
        <f t="shared" si="159"/>
        <v>244792</v>
      </c>
      <c r="B3180" s="14" t="str">
        <f t="shared" si="157"/>
        <v>Billing - Credits (from TPA)</v>
      </c>
      <c r="C3180" s="38">
        <v>46157</v>
      </c>
      <c r="D3180" s="34">
        <v>244792</v>
      </c>
      <c r="E3180" s="36" t="str">
        <f>IF(Table3[[#This Row],[Type Received]]=2,"CC",(IF(Table3[[#This Row],[Type Received]]=3,"BILL","ACH")))</f>
        <v>BILL</v>
      </c>
      <c r="F3180" s="35">
        <v>43.85</v>
      </c>
      <c r="G3180" s="14" t="str">
        <f>VLOOKUP(D3180,Table4[],3,FALSE)</f>
        <v>1</v>
      </c>
      <c r="H3180" s="15"/>
      <c r="I3180" s="15"/>
      <c r="J3180" s="24" t="s">
        <v>87</v>
      </c>
      <c r="K3180" s="15">
        <v>696800710</v>
      </c>
      <c r="L3180" s="15" t="s">
        <v>29</v>
      </c>
      <c r="M3180" s="15"/>
    </row>
    <row r="3181" spans="1:13" x14ac:dyDescent="0.25">
      <c r="A3181" s="23">
        <f t="shared" si="159"/>
        <v>244800</v>
      </c>
      <c r="B3181" s="14" t="str">
        <f t="shared" si="157"/>
        <v>Credit Cards (UMB) - Credits</v>
      </c>
      <c r="C3181" s="37">
        <v>46168</v>
      </c>
      <c r="D3181" s="31">
        <v>244800</v>
      </c>
      <c r="E3181" s="33" t="str">
        <f>IF(Table3[[#This Row],[Type Received]]=2,"CC",(IF(Table3[[#This Row],[Type Received]]=3,"BILL","ACH")))</f>
        <v>CC</v>
      </c>
      <c r="F3181" s="32">
        <v>153.66999999999999</v>
      </c>
      <c r="G3181" s="14" t="str">
        <f>VLOOKUP(D3181,Table4[],3,FALSE)</f>
        <v>2</v>
      </c>
      <c r="H3181" s="15">
        <v>485</v>
      </c>
      <c r="I3181" s="15"/>
      <c r="J3181" s="24"/>
      <c r="K3181" s="15"/>
      <c r="L3181" s="15"/>
      <c r="M3181" s="15"/>
    </row>
    <row r="3182" spans="1:13" x14ac:dyDescent="0.25">
      <c r="A3182" s="23">
        <f t="shared" si="159"/>
        <v>244813</v>
      </c>
      <c r="B3182" s="14" t="str">
        <f t="shared" si="157"/>
        <v>Credit Cards (UMB) - Credits</v>
      </c>
      <c r="C3182" s="38">
        <v>46146</v>
      </c>
      <c r="D3182" s="34">
        <v>244813</v>
      </c>
      <c r="E3182" s="36" t="str">
        <f>IF(Table3[[#This Row],[Type Received]]=2,"CC",(IF(Table3[[#This Row],[Type Received]]=3,"BILL","ACH")))</f>
        <v>CC</v>
      </c>
      <c r="F3182" s="35">
        <v>46.39</v>
      </c>
      <c r="G3182" s="14" t="str">
        <f>VLOOKUP(D3182,Table4[],3,FALSE)</f>
        <v>1</v>
      </c>
      <c r="H3182" s="15"/>
      <c r="I3182" s="15">
        <v>806568</v>
      </c>
      <c r="J3182" s="15" t="s">
        <v>28</v>
      </c>
      <c r="K3182" s="15">
        <v>561508195</v>
      </c>
      <c r="L3182" s="15" t="s">
        <v>29</v>
      </c>
      <c r="M3182" s="15" t="s">
        <v>29</v>
      </c>
    </row>
    <row r="3183" spans="1:13" x14ac:dyDescent="0.25">
      <c r="A3183" s="23">
        <f t="shared" si="159"/>
        <v>244838</v>
      </c>
      <c r="B3183" s="14" t="str">
        <f t="shared" si="157"/>
        <v>Credit Cards (UMB) - Credits</v>
      </c>
      <c r="C3183" s="37">
        <v>46155</v>
      </c>
      <c r="D3183" s="31">
        <v>244838</v>
      </c>
      <c r="E3183" s="33" t="str">
        <f>IF(Table3[[#This Row],[Type Received]]=2,"CC",(IF(Table3[[#This Row],[Type Received]]=3,"BILL","ACH")))</f>
        <v>CC</v>
      </c>
      <c r="F3183" s="32">
        <v>77.959999999999994</v>
      </c>
      <c r="G3183" s="14" t="str">
        <f>VLOOKUP(D3183,Table4[],3,FALSE)</f>
        <v>2</v>
      </c>
      <c r="H3183" s="15"/>
      <c r="I3183" s="15">
        <v>1924</v>
      </c>
      <c r="J3183" s="15">
        <v>744917848</v>
      </c>
      <c r="K3183" s="15">
        <v>354511236</v>
      </c>
      <c r="L3183" s="15"/>
      <c r="M3183" s="15" t="s">
        <v>29</v>
      </c>
    </row>
    <row r="3184" spans="1:13" x14ac:dyDescent="0.25">
      <c r="A3184" s="23">
        <f t="shared" si="159"/>
        <v>244854</v>
      </c>
      <c r="B3184" s="14" t="str">
        <f t="shared" si="157"/>
        <v>Direct Debit (UMB Bank) - Credits</v>
      </c>
      <c r="C3184" s="38">
        <v>46148</v>
      </c>
      <c r="D3184" s="34">
        <v>244854</v>
      </c>
      <c r="E3184" s="36" t="str">
        <f>IF(Table3[[#This Row],[Type Received]]=2,"CC",(IF(Table3[[#This Row],[Type Received]]=3,"BILL","ACH")))</f>
        <v>ACH</v>
      </c>
      <c r="F3184" s="35">
        <v>78.61</v>
      </c>
      <c r="G3184" s="14" t="str">
        <f>VLOOKUP(D3184,Table4[],3,FALSE)</f>
        <v>2</v>
      </c>
      <c r="H3184" s="15"/>
      <c r="I3184" s="15" t="s">
        <v>82</v>
      </c>
      <c r="J3184" s="15" t="s">
        <v>28</v>
      </c>
      <c r="K3184" s="15">
        <v>582145292</v>
      </c>
      <c r="L3184" s="15" t="s">
        <v>29</v>
      </c>
      <c r="M3184" s="15"/>
    </row>
    <row r="3185" spans="1:13" x14ac:dyDescent="0.25">
      <c r="A3185" s="23">
        <f t="shared" si="159"/>
        <v>244858</v>
      </c>
      <c r="B3185" s="14" t="str">
        <f t="shared" si="157"/>
        <v>Direct Debit (UMB Bank) - Credits</v>
      </c>
      <c r="C3185" s="37">
        <v>46167</v>
      </c>
      <c r="D3185" s="31">
        <v>244858</v>
      </c>
      <c r="E3185" s="33" t="str">
        <f>IF(Table3[[#This Row],[Type Received]]=2,"CC",(IF(Table3[[#This Row],[Type Received]]=3,"BILL","ACH")))</f>
        <v>ACH</v>
      </c>
      <c r="F3185" s="32">
        <v>81.25</v>
      </c>
      <c r="G3185" s="14" t="str">
        <f>VLOOKUP(D3185,Table4[],3,FALSE)</f>
        <v>2</v>
      </c>
      <c r="H3185" s="15"/>
      <c r="I3185" s="15"/>
      <c r="J3185" s="15" t="s">
        <v>85</v>
      </c>
      <c r="K3185" s="15">
        <v>818380949</v>
      </c>
      <c r="L3185" s="15" t="s">
        <v>29</v>
      </c>
      <c r="M3185" s="15"/>
    </row>
    <row r="3186" spans="1:13" x14ac:dyDescent="0.25">
      <c r="A3186" s="23">
        <f t="shared" si="159"/>
        <v>244870</v>
      </c>
      <c r="B3186" s="14" t="str">
        <f t="shared" si="157"/>
        <v>Billing - Credits (from TPA)</v>
      </c>
      <c r="C3186" s="38">
        <v>46168</v>
      </c>
      <c r="D3186" s="34">
        <v>244870</v>
      </c>
      <c r="E3186" s="36" t="str">
        <f>IF(Table3[[#This Row],[Type Received]]=2,"CC",(IF(Table3[[#This Row],[Type Received]]=3,"BILL","ACH")))</f>
        <v>BILL</v>
      </c>
      <c r="F3186" s="35">
        <v>59.47</v>
      </c>
      <c r="G3186" s="14" t="str">
        <f>VLOOKUP(D3186,Table4[],3,FALSE)</f>
        <v>2</v>
      </c>
      <c r="H3186" s="15"/>
      <c r="I3186" s="15"/>
      <c r="J3186" s="24" t="s">
        <v>110</v>
      </c>
      <c r="K3186" s="15">
        <v>828286564</v>
      </c>
      <c r="L3186" s="15" t="s">
        <v>29</v>
      </c>
      <c r="M3186" s="15" t="s">
        <v>29</v>
      </c>
    </row>
    <row r="3187" spans="1:13" x14ac:dyDescent="0.25">
      <c r="A3187" s="23">
        <f t="shared" si="159"/>
        <v>244900</v>
      </c>
      <c r="B3187" s="14" t="str">
        <f t="shared" si="157"/>
        <v>Direct Debit (UMB Bank) - Credits</v>
      </c>
      <c r="C3187" s="37">
        <v>46168</v>
      </c>
      <c r="D3187" s="31">
        <v>244900</v>
      </c>
      <c r="E3187" s="33" t="str">
        <f>IF(Table3[[#This Row],[Type Received]]=2,"CC",(IF(Table3[[#This Row],[Type Received]]=3,"BILL","ACH")))</f>
        <v>ACH</v>
      </c>
      <c r="F3187" s="32">
        <v>108.21</v>
      </c>
      <c r="G3187" s="14" t="str">
        <f>VLOOKUP(D3187,Table4[],3,FALSE)</f>
        <v>1</v>
      </c>
      <c r="H3187" s="15">
        <v>5316</v>
      </c>
      <c r="I3187" s="15"/>
      <c r="J3187" s="15"/>
      <c r="K3187" s="15"/>
      <c r="L3187" s="15"/>
      <c r="M3187" s="15"/>
    </row>
    <row r="3188" spans="1:13" x14ac:dyDescent="0.25">
      <c r="A3188" s="23">
        <f t="shared" si="159"/>
        <v>244909</v>
      </c>
      <c r="B3188" s="14" t="str">
        <f t="shared" si="157"/>
        <v>Direct Debit (UMB Bank) - Credits</v>
      </c>
      <c r="C3188" s="38">
        <v>46157</v>
      </c>
      <c r="D3188" s="34">
        <v>244909</v>
      </c>
      <c r="E3188" s="36" t="str">
        <f>IF(Table3[[#This Row],[Type Received]]=2,"CC",(IF(Table3[[#This Row],[Type Received]]=3,"BILL","ACH")))</f>
        <v>ACH</v>
      </c>
      <c r="F3188" s="35">
        <v>61.45</v>
      </c>
      <c r="G3188" s="14" t="str">
        <f>VLOOKUP(D3188,Table4[],3,FALSE)</f>
        <v>2</v>
      </c>
      <c r="H3188" s="15"/>
      <c r="I3188" s="15"/>
      <c r="J3188" s="15" t="s">
        <v>87</v>
      </c>
      <c r="K3188" s="15">
        <v>696792856</v>
      </c>
      <c r="L3188" s="15" t="s">
        <v>29</v>
      </c>
      <c r="M3188" s="15" t="s">
        <v>29</v>
      </c>
    </row>
    <row r="3189" spans="1:13" x14ac:dyDescent="0.25">
      <c r="A3189" s="23">
        <f t="shared" si="159"/>
        <v>245009</v>
      </c>
      <c r="B3189" s="14" t="str">
        <f t="shared" si="157"/>
        <v>Credit Cards (UMB) - Credits</v>
      </c>
      <c r="C3189" s="37">
        <v>46168</v>
      </c>
      <c r="D3189" s="31">
        <v>245009</v>
      </c>
      <c r="E3189" s="33" t="str">
        <f>IF(Table3[[#This Row],[Type Received]]=2,"CC",(IF(Table3[[#This Row],[Type Received]]=3,"BILL","ACH")))</f>
        <v>CC</v>
      </c>
      <c r="F3189" s="32">
        <v>53.2</v>
      </c>
      <c r="G3189" s="14" t="str">
        <f>VLOOKUP(D3189,Table4[],3,FALSE)</f>
        <v>2</v>
      </c>
      <c r="H3189" s="15"/>
      <c r="I3189" s="15"/>
      <c r="J3189" s="15" t="s">
        <v>110</v>
      </c>
      <c r="K3189" s="15">
        <v>828304166</v>
      </c>
      <c r="L3189" s="15" t="s">
        <v>29</v>
      </c>
      <c r="M3189" s="15" t="s">
        <v>29</v>
      </c>
    </row>
    <row r="3190" spans="1:13" x14ac:dyDescent="0.25">
      <c r="A3190" s="23">
        <f t="shared" si="159"/>
        <v>245276</v>
      </c>
      <c r="B3190" s="14" t="str">
        <f t="shared" si="157"/>
        <v>Direct Debit (UMB Bank) - Credits</v>
      </c>
      <c r="C3190" s="38">
        <v>46155</v>
      </c>
      <c r="D3190" s="34">
        <v>245276</v>
      </c>
      <c r="E3190" s="36" t="str">
        <f>IF(Table3[[#This Row],[Type Received]]=2,"CC",(IF(Table3[[#This Row],[Type Received]]=3,"BILL","ACH")))</f>
        <v>ACH</v>
      </c>
      <c r="F3190" s="35">
        <v>55.51</v>
      </c>
      <c r="G3190" s="14" t="str">
        <f>VLOOKUP(D3190,Table4[],3,FALSE)</f>
        <v>2</v>
      </c>
      <c r="H3190" s="15"/>
      <c r="I3190" s="15" t="s">
        <v>280</v>
      </c>
      <c r="J3190" s="15" t="s">
        <v>28</v>
      </c>
      <c r="K3190" s="15">
        <v>669503597</v>
      </c>
      <c r="L3190" s="15" t="s">
        <v>29</v>
      </c>
      <c r="M3190" s="15" t="s">
        <v>29</v>
      </c>
    </row>
    <row r="3191" spans="1:13" x14ac:dyDescent="0.25">
      <c r="A3191" s="23">
        <f t="shared" si="159"/>
        <v>245299</v>
      </c>
      <c r="B3191" s="14" t="str">
        <f t="shared" si="157"/>
        <v>Direct Debit (UMB Bank) - Credits</v>
      </c>
      <c r="C3191" s="37">
        <v>46143</v>
      </c>
      <c r="D3191" s="31">
        <v>245299</v>
      </c>
      <c r="E3191" s="33" t="str">
        <f>IF(Table3[[#This Row],[Type Received]]=2,"CC",(IF(Table3[[#This Row],[Type Received]]=3,"BILL","ACH")))</f>
        <v>ACH</v>
      </c>
      <c r="F3191" s="32">
        <v>43.85</v>
      </c>
      <c r="G3191" s="14" t="str">
        <f>VLOOKUP(D3191,Table4[],3,FALSE)</f>
        <v>1</v>
      </c>
      <c r="H3191" s="15"/>
      <c r="I3191" s="15"/>
      <c r="J3191" s="15" t="s">
        <v>84</v>
      </c>
      <c r="K3191" s="15">
        <v>522387325</v>
      </c>
      <c r="L3191" s="15" t="s">
        <v>29</v>
      </c>
      <c r="M3191" s="15"/>
    </row>
    <row r="3192" spans="1:13" x14ac:dyDescent="0.25">
      <c r="A3192" s="23">
        <f t="shared" si="159"/>
        <v>245320</v>
      </c>
      <c r="B3192" s="14" t="str">
        <f t="shared" si="157"/>
        <v>Direct Debit (UMB Bank) - Credits</v>
      </c>
      <c r="C3192" s="38">
        <v>46143</v>
      </c>
      <c r="D3192" s="34">
        <v>245320</v>
      </c>
      <c r="E3192" s="36" t="str">
        <f>IF(Table3[[#This Row],[Type Received]]=2,"CC",(IF(Table3[[#This Row],[Type Received]]=3,"BILL","ACH")))</f>
        <v>ACH</v>
      </c>
      <c r="F3192" s="35">
        <v>108.75</v>
      </c>
      <c r="G3192" s="14" t="str">
        <f>VLOOKUP(D3192,Table4[],3,FALSE)</f>
        <v>1</v>
      </c>
      <c r="H3192" s="15"/>
      <c r="I3192" s="15"/>
      <c r="J3192" s="15" t="s">
        <v>84</v>
      </c>
      <c r="K3192" s="15">
        <v>522392230</v>
      </c>
      <c r="L3192" s="15" t="s">
        <v>29</v>
      </c>
      <c r="M3192" s="15" t="s">
        <v>29</v>
      </c>
    </row>
    <row r="3193" spans="1:13" x14ac:dyDescent="0.25">
      <c r="A3193" s="23">
        <f t="shared" si="159"/>
        <v>245338</v>
      </c>
      <c r="B3193" s="14" t="str">
        <f t="shared" si="157"/>
        <v>Direct Debit (UMB Bank) - Credits</v>
      </c>
      <c r="C3193" s="37">
        <v>46168</v>
      </c>
      <c r="D3193" s="31">
        <v>245338</v>
      </c>
      <c r="E3193" s="33" t="str">
        <f>IF(Table3[[#This Row],[Type Received]]=2,"CC",(IF(Table3[[#This Row],[Type Received]]=3,"BILL","ACH")))</f>
        <v>ACH</v>
      </c>
      <c r="F3193" s="32">
        <v>112.6</v>
      </c>
      <c r="G3193" s="14" t="str">
        <f>VLOOKUP(D3193,Table4[],3,FALSE)</f>
        <v>2</v>
      </c>
      <c r="H3193" s="15"/>
      <c r="I3193" s="15"/>
      <c r="J3193" s="15" t="s">
        <v>110</v>
      </c>
      <c r="K3193" s="15">
        <v>828301249</v>
      </c>
      <c r="L3193" s="15" t="s">
        <v>29</v>
      </c>
      <c r="M3193" s="15" t="s">
        <v>29</v>
      </c>
    </row>
    <row r="3194" spans="1:13" x14ac:dyDescent="0.25">
      <c r="A3194" s="23">
        <f t="shared" si="159"/>
        <v>245339</v>
      </c>
      <c r="B3194" s="14" t="str">
        <f t="shared" si="157"/>
        <v>Credit Cards (UMB) - Credits</v>
      </c>
      <c r="C3194" s="38">
        <v>46157</v>
      </c>
      <c r="D3194" s="34">
        <v>245339</v>
      </c>
      <c r="E3194" s="36" t="str">
        <f>IF(Table3[[#This Row],[Type Received]]=2,"CC",(IF(Table3[[#This Row],[Type Received]]=3,"BILL","ACH")))</f>
        <v>CC</v>
      </c>
      <c r="F3194" s="35">
        <v>75.64</v>
      </c>
      <c r="G3194" s="14" t="str">
        <f>VLOOKUP(D3194,Table4[],3,FALSE)</f>
        <v>2</v>
      </c>
      <c r="H3194" s="15"/>
      <c r="I3194" s="15"/>
      <c r="J3194" s="15" t="s">
        <v>87</v>
      </c>
      <c r="K3194" s="15">
        <v>696806546</v>
      </c>
      <c r="L3194" s="15" t="s">
        <v>29</v>
      </c>
      <c r="M3194" s="15" t="s">
        <v>29</v>
      </c>
    </row>
    <row r="3195" spans="1:13" x14ac:dyDescent="0.25">
      <c r="A3195" s="23">
        <f t="shared" si="159"/>
        <v>245352</v>
      </c>
      <c r="B3195" s="14" t="str">
        <f t="shared" si="157"/>
        <v>Billing - Credits (from TPA)</v>
      </c>
      <c r="C3195" s="37">
        <v>46161</v>
      </c>
      <c r="D3195" s="31">
        <v>245352</v>
      </c>
      <c r="E3195" s="33" t="str">
        <f>IF(Table3[[#This Row],[Type Received]]=2,"CC",(IF(Table3[[#This Row],[Type Received]]=3,"BILL","ACH")))</f>
        <v>BILL</v>
      </c>
      <c r="F3195" s="32">
        <v>139.74</v>
      </c>
      <c r="G3195" s="14" t="str">
        <f>VLOOKUP(D3195,Table4[],3,FALSE)</f>
        <v>2</v>
      </c>
      <c r="H3195" s="15"/>
      <c r="I3195" s="15">
        <v>13233</v>
      </c>
      <c r="J3195" s="15" t="s">
        <v>28</v>
      </c>
      <c r="K3195" s="15">
        <v>746838419</v>
      </c>
      <c r="L3195" s="15" t="s">
        <v>29</v>
      </c>
      <c r="M3195" s="15" t="s">
        <v>29</v>
      </c>
    </row>
    <row r="3196" spans="1:13" x14ac:dyDescent="0.25">
      <c r="A3196" s="23">
        <f t="shared" si="159"/>
        <v>245367</v>
      </c>
      <c r="B3196" s="14" t="str">
        <f t="shared" si="157"/>
        <v>Billing - Credits (from TPA)</v>
      </c>
      <c r="C3196" s="38">
        <v>46147</v>
      </c>
      <c r="D3196" s="34">
        <v>245367</v>
      </c>
      <c r="E3196" s="36" t="str">
        <f>IF(Table3[[#This Row],[Type Received]]=2,"CC",(IF(Table3[[#This Row],[Type Received]]=3,"BILL","ACH")))</f>
        <v>BILL</v>
      </c>
      <c r="F3196" s="35">
        <v>61</v>
      </c>
      <c r="G3196" s="14" t="str">
        <f>VLOOKUP(D3196,Table4[],3,FALSE)</f>
        <v>1</v>
      </c>
      <c r="H3196" s="15">
        <v>310</v>
      </c>
      <c r="I3196" s="15"/>
      <c r="J3196" s="15"/>
      <c r="K3196" s="15"/>
      <c r="L3196" s="15"/>
      <c r="M3196" s="15" t="s">
        <v>29</v>
      </c>
    </row>
    <row r="3197" spans="1:13" x14ac:dyDescent="0.25">
      <c r="A3197" s="23">
        <f t="shared" si="159"/>
        <v>245372</v>
      </c>
      <c r="B3197" s="14" t="str">
        <f t="shared" si="157"/>
        <v>Direct Debit (UMB Bank) - Credits</v>
      </c>
      <c r="C3197" s="37">
        <v>46168</v>
      </c>
      <c r="D3197" s="31">
        <v>245372</v>
      </c>
      <c r="E3197" s="33" t="str">
        <f>IF(Table3[[#This Row],[Type Received]]=2,"CC",(IF(Table3[[#This Row],[Type Received]]=3,"BILL","ACH")))</f>
        <v>ACH</v>
      </c>
      <c r="F3197" s="32">
        <v>47.05</v>
      </c>
      <c r="G3197" s="14" t="str">
        <f>VLOOKUP(D3197,Table4[],3,FALSE)</f>
        <v>1</v>
      </c>
      <c r="H3197" s="15">
        <v>13858</v>
      </c>
      <c r="I3197" s="15"/>
      <c r="J3197" s="15"/>
      <c r="K3197" s="15"/>
      <c r="L3197" s="15"/>
      <c r="M3197" s="15" t="s">
        <v>29</v>
      </c>
    </row>
    <row r="3198" spans="1:13" x14ac:dyDescent="0.25">
      <c r="A3198" s="23">
        <f t="shared" si="159"/>
        <v>245388</v>
      </c>
      <c r="B3198" s="14" t="str">
        <f t="shared" si="157"/>
        <v>Billing - Credits (from TPA)</v>
      </c>
      <c r="C3198" s="38">
        <v>46157</v>
      </c>
      <c r="D3198" s="34">
        <v>245388</v>
      </c>
      <c r="E3198" s="36" t="str">
        <f>IF(Table3[[#This Row],[Type Received]]=2,"CC",(IF(Table3[[#This Row],[Type Received]]=3,"BILL","ACH")))</f>
        <v>BILL</v>
      </c>
      <c r="F3198" s="35">
        <v>34.72</v>
      </c>
      <c r="G3198" s="14" t="str">
        <f>VLOOKUP(D3198,Table4[],3,FALSE)</f>
        <v>2</v>
      </c>
      <c r="H3198" s="15"/>
      <c r="I3198" s="15"/>
      <c r="J3198" s="15" t="s">
        <v>87</v>
      </c>
      <c r="K3198" s="15">
        <v>696806557</v>
      </c>
      <c r="L3198" s="15" t="s">
        <v>29</v>
      </c>
      <c r="M3198" s="15" t="s">
        <v>29</v>
      </c>
    </row>
    <row r="3199" spans="1:13" x14ac:dyDescent="0.25">
      <c r="A3199" s="23">
        <f t="shared" si="159"/>
        <v>245026</v>
      </c>
      <c r="B3199" s="14" t="str">
        <f t="shared" si="157"/>
        <v>Direct Debit (UMB Bank) - Credits</v>
      </c>
      <c r="C3199" s="37">
        <v>46143</v>
      </c>
      <c r="D3199" s="31">
        <v>245026</v>
      </c>
      <c r="E3199" s="33" t="str">
        <f>IF(Table3[[#This Row],[Type Received]]=2,"CC",(IF(Table3[[#This Row],[Type Received]]=3,"BILL","ACH")))</f>
        <v>ACH</v>
      </c>
      <c r="F3199" s="32">
        <v>150.56</v>
      </c>
      <c r="G3199" s="14" t="str">
        <f>VLOOKUP(D3199,Table4[],3,FALSE)</f>
        <v>2</v>
      </c>
      <c r="H3199" s="15">
        <v>5291</v>
      </c>
      <c r="I3199" s="15"/>
      <c r="J3199" s="15"/>
      <c r="K3199" s="15"/>
      <c r="L3199" s="15"/>
      <c r="M3199" s="15" t="s">
        <v>29</v>
      </c>
    </row>
    <row r="3200" spans="1:13" x14ac:dyDescent="0.25">
      <c r="A3200" s="23">
        <f t="shared" si="159"/>
        <v>245030</v>
      </c>
      <c r="B3200" s="14" t="str">
        <f t="shared" si="157"/>
        <v>Direct Debit (UMB Bank) - Credits</v>
      </c>
      <c r="C3200" s="38">
        <v>46157</v>
      </c>
      <c r="D3200" s="34">
        <v>245030</v>
      </c>
      <c r="E3200" s="36" t="str">
        <f>IF(Table3[[#This Row],[Type Received]]=2,"CC",(IF(Table3[[#This Row],[Type Received]]=3,"BILL","ACH")))</f>
        <v>ACH</v>
      </c>
      <c r="F3200" s="35">
        <v>56.95</v>
      </c>
      <c r="G3200" s="14" t="str">
        <f>VLOOKUP(D3200,Table4[],3,FALSE)</f>
        <v>1</v>
      </c>
      <c r="H3200" s="15"/>
      <c r="I3200" s="15"/>
      <c r="J3200" s="15" t="s">
        <v>87</v>
      </c>
      <c r="K3200" s="15">
        <v>696808471</v>
      </c>
      <c r="L3200" s="15" t="s">
        <v>29</v>
      </c>
      <c r="M3200" s="15" t="s">
        <v>29</v>
      </c>
    </row>
    <row r="3201" spans="1:13" x14ac:dyDescent="0.25">
      <c r="A3201" s="23">
        <f t="shared" si="159"/>
        <v>245036</v>
      </c>
      <c r="B3201" s="14" t="str">
        <f t="shared" si="157"/>
        <v>Direct Debit (UMB Bank) - Credits</v>
      </c>
      <c r="C3201" s="37">
        <v>46143</v>
      </c>
      <c r="D3201" s="31">
        <v>245036</v>
      </c>
      <c r="E3201" s="33" t="str">
        <f>IF(Table3[[#This Row],[Type Received]]=2,"CC",(IF(Table3[[#This Row],[Type Received]]=3,"BILL","ACH")))</f>
        <v>ACH</v>
      </c>
      <c r="F3201" s="32">
        <v>66.069999999999993</v>
      </c>
      <c r="G3201" s="14" t="str">
        <f>VLOOKUP(D3201,Table4[],3,FALSE)</f>
        <v>1</v>
      </c>
      <c r="H3201" s="15"/>
      <c r="I3201" s="15"/>
      <c r="J3201" s="15" t="s">
        <v>84</v>
      </c>
      <c r="K3201" s="15">
        <v>522237127</v>
      </c>
      <c r="L3201" s="15" t="s">
        <v>29</v>
      </c>
      <c r="M3201" s="15" t="s">
        <v>29</v>
      </c>
    </row>
    <row r="3202" spans="1:13" x14ac:dyDescent="0.25">
      <c r="A3202" s="23">
        <f t="shared" si="159"/>
        <v>245047</v>
      </c>
      <c r="B3202" s="14" t="str">
        <f t="shared" ref="B3202:B3265" si="160">IF(AND(E3202="BILL",F3202&lt;0),"Billing &amp; Direct Debit - Refunds",(IF(AND(E3202="BILL",F3202&gt;0),"Billing - Credits (from TPA)",(IF(AND(E3202="CC",F3202&lt;0),"Credit Cards (UMB) - Refunds",(IF(AND(E3202="CC",F3202&gt;0),"Credit Cards (UMB) - Credits",(IF(AND(E3202="ACH",F3202&gt;0),"Direct Debit (UMB Bank) - Credits","Direct Debit (UMB Bank) - Returned Items")))))))))</f>
        <v>Credit Cards (UMB) - Credits</v>
      </c>
      <c r="C3202" s="38">
        <v>46143</v>
      </c>
      <c r="D3202" s="34">
        <v>245047</v>
      </c>
      <c r="E3202" s="36" t="str">
        <f>IF(Table3[[#This Row],[Type Received]]=2,"CC",(IF(Table3[[#This Row],[Type Received]]=3,"BILL","ACH")))</f>
        <v>CC</v>
      </c>
      <c r="F3202" s="35">
        <v>103.69</v>
      </c>
      <c r="G3202" s="14" t="str">
        <f>VLOOKUP(D3202,Table4[],3,FALSE)</f>
        <v>1</v>
      </c>
      <c r="H3202" s="15"/>
      <c r="I3202" s="15"/>
      <c r="J3202" s="15" t="s">
        <v>84</v>
      </c>
      <c r="K3202" s="15">
        <v>522387282</v>
      </c>
      <c r="L3202" s="15" t="s">
        <v>29</v>
      </c>
      <c r="M3202" s="15" t="s">
        <v>29</v>
      </c>
    </row>
    <row r="3203" spans="1:13" x14ac:dyDescent="0.25">
      <c r="A3203" s="23">
        <f t="shared" si="159"/>
        <v>245120</v>
      </c>
      <c r="B3203" s="14" t="str">
        <f t="shared" si="160"/>
        <v>Credit Cards (UMB) - Credits</v>
      </c>
      <c r="C3203" s="37">
        <v>46155</v>
      </c>
      <c r="D3203" s="31">
        <v>245120</v>
      </c>
      <c r="E3203" s="33" t="str">
        <f>IF(Table3[[#This Row],[Type Received]]=2,"CC",(IF(Table3[[#This Row],[Type Received]]=3,"BILL","ACH")))</f>
        <v>CC</v>
      </c>
      <c r="F3203" s="32">
        <v>115.9</v>
      </c>
      <c r="G3203" s="14" t="str">
        <f>VLOOKUP(D3203,Table4[],3,FALSE)</f>
        <v>2</v>
      </c>
      <c r="H3203" s="15"/>
      <c r="I3203" s="15">
        <v>115661</v>
      </c>
      <c r="J3203" s="15" t="s">
        <v>28</v>
      </c>
      <c r="K3203" s="15">
        <v>669496682</v>
      </c>
      <c r="L3203" s="15" t="s">
        <v>29</v>
      </c>
      <c r="M3203" s="15" t="s">
        <v>29</v>
      </c>
    </row>
    <row r="3204" spans="1:13" x14ac:dyDescent="0.25">
      <c r="A3204" s="23">
        <f t="shared" si="159"/>
        <v>245123</v>
      </c>
      <c r="B3204" s="14" t="str">
        <f t="shared" si="160"/>
        <v>Direct Debit (UMB Bank) - Credits</v>
      </c>
      <c r="C3204" s="38">
        <v>46170</v>
      </c>
      <c r="D3204" s="34">
        <v>245123</v>
      </c>
      <c r="E3204" s="36" t="str">
        <f>IF(Table3[[#This Row],[Type Received]]=2,"CC",(IF(Table3[[#This Row],[Type Received]]=3,"BILL","ACH")))</f>
        <v>ACH</v>
      </c>
      <c r="F3204" s="35">
        <v>106</v>
      </c>
      <c r="G3204" s="14" t="str">
        <f>VLOOKUP(D3204,Table4[],3,FALSE)</f>
        <v>2</v>
      </c>
      <c r="H3204" s="15"/>
      <c r="I3204" s="15" t="s">
        <v>281</v>
      </c>
      <c r="J3204" s="15" t="s">
        <v>28</v>
      </c>
      <c r="K3204" s="15">
        <v>853939330</v>
      </c>
      <c r="L3204" s="15" t="s">
        <v>29</v>
      </c>
      <c r="M3204" s="15" t="s">
        <v>29</v>
      </c>
    </row>
    <row r="3205" spans="1:13" x14ac:dyDescent="0.25">
      <c r="A3205" s="23">
        <f t="shared" si="159"/>
        <v>245131</v>
      </c>
      <c r="B3205" s="14" t="str">
        <f t="shared" si="160"/>
        <v>Direct Debit (UMB Bank) - Credits</v>
      </c>
      <c r="C3205" s="37">
        <v>46143</v>
      </c>
      <c r="D3205" s="31">
        <v>245131</v>
      </c>
      <c r="E3205" s="33" t="str">
        <f>IF(Table3[[#This Row],[Type Received]]=2,"CC",(IF(Table3[[#This Row],[Type Received]]=3,"BILL","ACH")))</f>
        <v>ACH</v>
      </c>
      <c r="F3205" s="32">
        <v>28.23</v>
      </c>
      <c r="G3205" s="14" t="str">
        <f>VLOOKUP(D3205,Table4[],3,FALSE)</f>
        <v>1</v>
      </c>
      <c r="H3205" s="15"/>
      <c r="I3205" s="15"/>
      <c r="J3205" s="15" t="s">
        <v>84</v>
      </c>
      <c r="K3205" s="15">
        <v>522370829</v>
      </c>
      <c r="L3205" s="15" t="s">
        <v>29</v>
      </c>
      <c r="M3205" s="15" t="s">
        <v>29</v>
      </c>
    </row>
    <row r="3206" spans="1:13" x14ac:dyDescent="0.25">
      <c r="A3206" s="23">
        <f t="shared" si="159"/>
        <v>245135</v>
      </c>
      <c r="B3206" s="14" t="str">
        <f t="shared" si="160"/>
        <v>Direct Debit (UMB Bank) - Credits</v>
      </c>
      <c r="C3206" s="38">
        <v>46157</v>
      </c>
      <c r="D3206" s="34">
        <v>245135</v>
      </c>
      <c r="E3206" s="36" t="str">
        <f>IF(Table3[[#This Row],[Type Received]]=2,"CC",(IF(Table3[[#This Row],[Type Received]]=3,"BILL","ACH")))</f>
        <v>ACH</v>
      </c>
      <c r="F3206" s="35">
        <v>28.45</v>
      </c>
      <c r="G3206" s="14" t="str">
        <f>VLOOKUP(D3206,Table4[],3,FALSE)</f>
        <v>2</v>
      </c>
      <c r="H3206" s="15"/>
      <c r="I3206" s="15"/>
      <c r="J3206" s="15" t="s">
        <v>87</v>
      </c>
      <c r="K3206" s="15">
        <v>696803536</v>
      </c>
      <c r="L3206" s="15" t="s">
        <v>29</v>
      </c>
      <c r="M3206" s="15" t="s">
        <v>29</v>
      </c>
    </row>
    <row r="3207" spans="1:13" x14ac:dyDescent="0.25">
      <c r="A3207" s="23"/>
      <c r="B3207" s="14" t="str">
        <f t="shared" si="160"/>
        <v>Direct Debit (UMB Bank) - Credits</v>
      </c>
      <c r="C3207" s="37">
        <v>46157</v>
      </c>
      <c r="D3207" s="31">
        <v>245139</v>
      </c>
      <c r="E3207" s="33" t="str">
        <f>IF(Table3[[#This Row],[Type Received]]=2,"CC",(IF(Table3[[#This Row],[Type Received]]=3,"BILL","ACH")))</f>
        <v>ACH</v>
      </c>
      <c r="F3207" s="32">
        <v>41.2</v>
      </c>
      <c r="G3207" s="14" t="str">
        <f>VLOOKUP(D3207,Table4[],3,FALSE)</f>
        <v>1</v>
      </c>
      <c r="H3207" s="15"/>
      <c r="I3207" s="15"/>
      <c r="J3207" s="15" t="s">
        <v>87</v>
      </c>
      <c r="K3207" s="15">
        <v>696796797</v>
      </c>
      <c r="L3207" s="15" t="s">
        <v>29</v>
      </c>
      <c r="M3207" s="15"/>
    </row>
    <row r="3208" spans="1:13" x14ac:dyDescent="0.25">
      <c r="A3208" s="23">
        <f t="shared" ref="A3208:A3237" si="161">D3208</f>
        <v>245152</v>
      </c>
      <c r="B3208" s="14" t="str">
        <f t="shared" si="160"/>
        <v>Billing - Credits (from TPA)</v>
      </c>
      <c r="C3208" s="38">
        <v>46155</v>
      </c>
      <c r="D3208" s="34">
        <v>245152</v>
      </c>
      <c r="E3208" s="36" t="str">
        <f>IF(Table3[[#This Row],[Type Received]]=2,"CC",(IF(Table3[[#This Row],[Type Received]]=3,"BILL","ACH")))</f>
        <v>BILL</v>
      </c>
      <c r="F3208" s="35">
        <v>41.98</v>
      </c>
      <c r="G3208" s="14" t="str">
        <f>VLOOKUP(D3208,Table4[],3,FALSE)</f>
        <v>2</v>
      </c>
      <c r="H3208" s="15"/>
      <c r="I3208" s="15"/>
      <c r="J3208" s="15" t="s">
        <v>90</v>
      </c>
      <c r="K3208" s="15">
        <v>669488934</v>
      </c>
      <c r="L3208" s="15" t="s">
        <v>29</v>
      </c>
      <c r="M3208" s="15" t="s">
        <v>29</v>
      </c>
    </row>
    <row r="3209" spans="1:13" x14ac:dyDescent="0.25">
      <c r="A3209" s="23">
        <f t="shared" si="161"/>
        <v>245173</v>
      </c>
      <c r="B3209" s="14" t="str">
        <f t="shared" si="160"/>
        <v>Direct Debit (UMB Bank) - Credits</v>
      </c>
      <c r="C3209" s="37">
        <v>46164</v>
      </c>
      <c r="D3209" s="31">
        <v>245173</v>
      </c>
      <c r="E3209" s="33" t="str">
        <f>IF(Table3[[#This Row],[Type Received]]=2,"CC",(IF(Table3[[#This Row],[Type Received]]=3,"BILL","ACH")))</f>
        <v>ACH</v>
      </c>
      <c r="F3209" s="32">
        <v>77.95</v>
      </c>
      <c r="G3209" s="14" t="str">
        <f>VLOOKUP(D3209,Table4[],3,FALSE)</f>
        <v>2</v>
      </c>
      <c r="H3209" s="15">
        <v>5490</v>
      </c>
      <c r="I3209" s="15"/>
      <c r="J3209" s="15"/>
      <c r="K3209" s="15"/>
      <c r="L3209" s="15"/>
      <c r="M3209" s="15" t="s">
        <v>29</v>
      </c>
    </row>
    <row r="3210" spans="1:13" x14ac:dyDescent="0.25">
      <c r="A3210" s="23">
        <f t="shared" si="161"/>
        <v>245184</v>
      </c>
      <c r="B3210" s="14" t="str">
        <f t="shared" si="160"/>
        <v>Direct Debit (UMB Bank) - Credits</v>
      </c>
      <c r="C3210" s="38">
        <v>46168</v>
      </c>
      <c r="D3210" s="34">
        <v>245184</v>
      </c>
      <c r="E3210" s="36" t="str">
        <f>IF(Table3[[#This Row],[Type Received]]=2,"CC",(IF(Table3[[#This Row],[Type Received]]=3,"BILL","ACH")))</f>
        <v>ACH</v>
      </c>
      <c r="F3210" s="35">
        <v>35.49</v>
      </c>
      <c r="G3210" s="14" t="str">
        <f>VLOOKUP(D3210,Table4[],3,FALSE)</f>
        <v>1</v>
      </c>
      <c r="H3210" s="15"/>
      <c r="I3210" s="15"/>
      <c r="J3210" s="15" t="s">
        <v>110</v>
      </c>
      <c r="K3210" s="15">
        <v>828288488</v>
      </c>
      <c r="L3210" s="15" t="s">
        <v>29</v>
      </c>
      <c r="M3210" s="15" t="s">
        <v>29</v>
      </c>
    </row>
    <row r="3211" spans="1:13" x14ac:dyDescent="0.25">
      <c r="A3211" s="23">
        <f t="shared" si="161"/>
        <v>245194</v>
      </c>
      <c r="B3211" s="14" t="str">
        <f t="shared" si="160"/>
        <v>Direct Debit (UMB Bank) - Credits</v>
      </c>
      <c r="C3211" s="37">
        <v>46155</v>
      </c>
      <c r="D3211" s="31">
        <v>245194</v>
      </c>
      <c r="E3211" s="33" t="str">
        <f>IF(Table3[[#This Row],[Type Received]]=2,"CC",(IF(Table3[[#This Row],[Type Received]]=3,"BILL","ACH")))</f>
        <v>ACH</v>
      </c>
      <c r="F3211" s="32">
        <v>23.39</v>
      </c>
      <c r="G3211" s="14" t="str">
        <f>VLOOKUP(D3211,Table4[],3,FALSE)</f>
        <v>1</v>
      </c>
      <c r="H3211" s="15"/>
      <c r="I3211" s="15"/>
      <c r="J3211" s="15" t="s">
        <v>90</v>
      </c>
      <c r="K3211" s="15">
        <v>669505492</v>
      </c>
      <c r="L3211" s="15" t="s">
        <v>29</v>
      </c>
      <c r="M3211" s="15" t="s">
        <v>29</v>
      </c>
    </row>
    <row r="3212" spans="1:13" x14ac:dyDescent="0.25">
      <c r="A3212" s="23">
        <f t="shared" si="161"/>
        <v>245200</v>
      </c>
      <c r="B3212" s="14" t="str">
        <f t="shared" si="160"/>
        <v>Credit Cards (UMB) - Credits</v>
      </c>
      <c r="C3212" s="38">
        <v>46155</v>
      </c>
      <c r="D3212" s="34">
        <v>245200</v>
      </c>
      <c r="E3212" s="36" t="str">
        <f>IF(Table3[[#This Row],[Type Received]]=2,"CC",(IF(Table3[[#This Row],[Type Received]]=3,"BILL","ACH")))</f>
        <v>CC</v>
      </c>
      <c r="F3212" s="35">
        <v>53.2</v>
      </c>
      <c r="G3212" s="14" t="str">
        <f>VLOOKUP(D3212,Table4[],3,FALSE)</f>
        <v>2</v>
      </c>
      <c r="H3212" s="15"/>
      <c r="I3212" s="15"/>
      <c r="J3212" s="15" t="s">
        <v>90</v>
      </c>
      <c r="K3212" s="15">
        <v>669498696</v>
      </c>
      <c r="L3212" s="15" t="s">
        <v>29</v>
      </c>
      <c r="M3212" s="15" t="s">
        <v>29</v>
      </c>
    </row>
    <row r="3213" spans="1:13" x14ac:dyDescent="0.25">
      <c r="A3213" s="23">
        <f t="shared" si="161"/>
        <v>245411</v>
      </c>
      <c r="B3213" s="14" t="str">
        <f t="shared" si="160"/>
        <v>Billing - Credits (from TPA)</v>
      </c>
      <c r="C3213" s="37">
        <v>46146</v>
      </c>
      <c r="D3213" s="31">
        <v>245411</v>
      </c>
      <c r="E3213" s="33" t="str">
        <f>IF(Table3[[#This Row],[Type Received]]=2,"CC",(IF(Table3[[#This Row],[Type Received]]=3,"BILL","ACH")))</f>
        <v>BILL</v>
      </c>
      <c r="F3213" s="32">
        <v>137.54</v>
      </c>
      <c r="G3213" s="14" t="str">
        <f>VLOOKUP(D3213,Table4[],3,FALSE)</f>
        <v>1</v>
      </c>
      <c r="H3213" s="15"/>
      <c r="I3213" s="15">
        <v>12251</v>
      </c>
      <c r="J3213" s="15">
        <v>742259380</v>
      </c>
      <c r="K3213" s="15">
        <v>353485601</v>
      </c>
      <c r="L3213" s="15"/>
      <c r="M3213" s="15"/>
    </row>
    <row r="3214" spans="1:13" x14ac:dyDescent="0.25">
      <c r="A3214" s="23">
        <f t="shared" si="161"/>
        <v>245443</v>
      </c>
      <c r="B3214" s="14" t="str">
        <f t="shared" si="160"/>
        <v>Credit Cards (UMB) - Credits</v>
      </c>
      <c r="C3214" s="38">
        <v>46168</v>
      </c>
      <c r="D3214" s="34">
        <v>245443</v>
      </c>
      <c r="E3214" s="36" t="str">
        <f>IF(Table3[[#This Row],[Type Received]]=2,"CC",(IF(Table3[[#This Row],[Type Received]]=3,"BILL","ACH")))</f>
        <v>CC</v>
      </c>
      <c r="F3214" s="35">
        <v>149.9</v>
      </c>
      <c r="G3214" s="14" t="str">
        <f>VLOOKUP(D3214,Table4[],3,FALSE)</f>
        <v>2</v>
      </c>
      <c r="H3214" s="15">
        <v>6977</v>
      </c>
      <c r="I3214" s="15"/>
      <c r="J3214" s="15"/>
      <c r="K3214" s="15"/>
      <c r="L3214" s="15"/>
      <c r="M3214" s="15"/>
    </row>
    <row r="3215" spans="1:13" x14ac:dyDescent="0.25">
      <c r="A3215" s="23">
        <f t="shared" si="161"/>
        <v>245449</v>
      </c>
      <c r="B3215" s="14" t="str">
        <f t="shared" si="160"/>
        <v>Direct Debit (UMB Bank) - Credits</v>
      </c>
      <c r="C3215" s="37">
        <v>46157</v>
      </c>
      <c r="D3215" s="31">
        <v>245449</v>
      </c>
      <c r="E3215" s="33" t="str">
        <f>IF(Table3[[#This Row],[Type Received]]=2,"CC",(IF(Table3[[#This Row],[Type Received]]=3,"BILL","ACH")))</f>
        <v>ACH</v>
      </c>
      <c r="F3215" s="32">
        <v>46.05</v>
      </c>
      <c r="G3215" s="14" t="str">
        <f>VLOOKUP(D3215,Table4[],3,FALSE)</f>
        <v>1</v>
      </c>
      <c r="H3215" s="15"/>
      <c r="I3215" s="15">
        <v>181968</v>
      </c>
      <c r="J3215" s="15" t="s">
        <v>28</v>
      </c>
      <c r="K3215" s="15">
        <v>696811284</v>
      </c>
      <c r="L3215" s="15" t="s">
        <v>29</v>
      </c>
      <c r="M3215" s="15" t="s">
        <v>29</v>
      </c>
    </row>
    <row r="3216" spans="1:13" x14ac:dyDescent="0.25">
      <c r="A3216" s="23">
        <f t="shared" si="161"/>
        <v>245511</v>
      </c>
      <c r="B3216" s="14" t="str">
        <f t="shared" si="160"/>
        <v>Billing - Credits (from TPA)</v>
      </c>
      <c r="C3216" s="38">
        <v>46168</v>
      </c>
      <c r="D3216" s="34">
        <v>245511</v>
      </c>
      <c r="E3216" s="36" t="str">
        <f>IF(Table3[[#This Row],[Type Received]]=2,"CC",(IF(Table3[[#This Row],[Type Received]]=3,"BILL","ACH")))</f>
        <v>BILL</v>
      </c>
      <c r="F3216" s="35">
        <v>84.33</v>
      </c>
      <c r="G3216" s="14" t="str">
        <f>VLOOKUP(D3216,Table4[],3,FALSE)</f>
        <v>1</v>
      </c>
      <c r="H3216" s="15"/>
      <c r="I3216" s="15"/>
      <c r="J3216" s="15" t="s">
        <v>110</v>
      </c>
      <c r="K3216" s="15">
        <v>828304203</v>
      </c>
      <c r="L3216" s="15" t="s">
        <v>29</v>
      </c>
      <c r="M3216" s="15" t="s">
        <v>29</v>
      </c>
    </row>
    <row r="3217" spans="1:13" x14ac:dyDescent="0.25">
      <c r="A3217" s="23">
        <f t="shared" si="161"/>
        <v>245518</v>
      </c>
      <c r="B3217" s="14" t="str">
        <f t="shared" si="160"/>
        <v>Direct Debit (UMB Bank) - Credits</v>
      </c>
      <c r="C3217" s="37">
        <v>46171</v>
      </c>
      <c r="D3217" s="31">
        <v>245518</v>
      </c>
      <c r="E3217" s="33" t="str">
        <f>IF(Table3[[#This Row],[Type Received]]=2,"CC",(IF(Table3[[#This Row],[Type Received]]=3,"BILL","ACH")))</f>
        <v>ACH</v>
      </c>
      <c r="F3217" s="32">
        <v>65.38</v>
      </c>
      <c r="G3217" s="14" t="str">
        <f>VLOOKUP(D3217,Table4[],3,FALSE)</f>
        <v>1</v>
      </c>
      <c r="H3217" s="15">
        <v>2148</v>
      </c>
      <c r="I3217" s="15"/>
      <c r="J3217" s="15"/>
      <c r="K3217" s="15"/>
      <c r="L3217" s="15"/>
      <c r="M3217" s="15" t="s">
        <v>29</v>
      </c>
    </row>
    <row r="3218" spans="1:13" x14ac:dyDescent="0.25">
      <c r="A3218" s="23">
        <f t="shared" si="161"/>
        <v>245599</v>
      </c>
      <c r="B3218" s="14" t="str">
        <f t="shared" si="160"/>
        <v>Credit Cards (UMB) - Credits</v>
      </c>
      <c r="C3218" s="38">
        <v>46145</v>
      </c>
      <c r="D3218" s="34">
        <v>245599</v>
      </c>
      <c r="E3218" s="36" t="str">
        <f>IF(Table3[[#This Row],[Type Received]]=2,"CC",(IF(Table3[[#This Row],[Type Received]]=3,"BILL","ACH")))</f>
        <v>CC</v>
      </c>
      <c r="F3218" s="35">
        <v>63.43</v>
      </c>
      <c r="G3218" s="14" t="str">
        <f>VLOOKUP(D3218,Table4[],3,FALSE)</f>
        <v>1</v>
      </c>
      <c r="H3218" s="15"/>
      <c r="I3218" s="15"/>
      <c r="J3218" s="15" t="s">
        <v>113</v>
      </c>
      <c r="K3218" s="15">
        <v>546442562</v>
      </c>
      <c r="L3218" s="15" t="s">
        <v>29</v>
      </c>
      <c r="M3218" s="15"/>
    </row>
    <row r="3219" spans="1:13" x14ac:dyDescent="0.25">
      <c r="A3219" s="23">
        <f t="shared" si="161"/>
        <v>245608</v>
      </c>
      <c r="B3219" s="14" t="str">
        <f t="shared" si="160"/>
        <v>Direct Debit (UMB Bank) - Credits</v>
      </c>
      <c r="C3219" s="37">
        <v>46146</v>
      </c>
      <c r="D3219" s="31">
        <v>245608</v>
      </c>
      <c r="E3219" s="33" t="str">
        <f>IF(Table3[[#This Row],[Type Received]]=2,"CC",(IF(Table3[[#This Row],[Type Received]]=3,"BILL","ACH")))</f>
        <v>ACH</v>
      </c>
      <c r="F3219" s="32">
        <v>64.819999999999993</v>
      </c>
      <c r="G3219" s="14" t="str">
        <f>VLOOKUP(D3219,Table4[],3,FALSE)</f>
        <v>2</v>
      </c>
      <c r="H3219" s="15"/>
      <c r="I3219" s="15">
        <v>90053</v>
      </c>
      <c r="J3219" s="24" t="s">
        <v>28</v>
      </c>
      <c r="K3219" s="15">
        <v>557100223</v>
      </c>
      <c r="L3219" s="15" t="s">
        <v>29</v>
      </c>
      <c r="M3219" s="15" t="s">
        <v>29</v>
      </c>
    </row>
    <row r="3220" spans="1:13" x14ac:dyDescent="0.25">
      <c r="A3220" s="23">
        <f t="shared" si="161"/>
        <v>245614</v>
      </c>
      <c r="B3220" s="14" t="str">
        <f t="shared" si="160"/>
        <v>Credit Cards (UMB) - Credits</v>
      </c>
      <c r="C3220" s="38">
        <v>46145</v>
      </c>
      <c r="D3220" s="34">
        <v>245614</v>
      </c>
      <c r="E3220" s="36" t="str">
        <f>IF(Table3[[#This Row],[Type Received]]=2,"CC",(IF(Table3[[#This Row],[Type Received]]=3,"BILL","ACH")))</f>
        <v>CC</v>
      </c>
      <c r="F3220" s="35">
        <v>68.709999999999994</v>
      </c>
      <c r="G3220" s="14" t="str">
        <f>VLOOKUP(D3220,Table4[],3,FALSE)</f>
        <v>2</v>
      </c>
      <c r="H3220" s="15"/>
      <c r="I3220" s="15"/>
      <c r="J3220" s="15" t="s">
        <v>113</v>
      </c>
      <c r="K3220" s="15">
        <v>546445438</v>
      </c>
      <c r="L3220" s="15" t="s">
        <v>29</v>
      </c>
      <c r="M3220" s="15" t="s">
        <v>29</v>
      </c>
    </row>
    <row r="3221" spans="1:13" x14ac:dyDescent="0.25">
      <c r="A3221" s="23">
        <f t="shared" si="161"/>
        <v>245619</v>
      </c>
      <c r="B3221" s="14" t="str">
        <f t="shared" si="160"/>
        <v>Direct Debit (UMB Bank) - Credits</v>
      </c>
      <c r="C3221" s="37">
        <v>46155</v>
      </c>
      <c r="D3221" s="31">
        <v>245619</v>
      </c>
      <c r="E3221" s="33" t="str">
        <f>IF(Table3[[#This Row],[Type Received]]=2,"CC",(IF(Table3[[#This Row],[Type Received]]=3,"BILL","ACH")))</f>
        <v>ACH</v>
      </c>
      <c r="F3221" s="32">
        <v>17.89</v>
      </c>
      <c r="G3221" s="14" t="str">
        <f>VLOOKUP(D3221,Table4[],3,FALSE)</f>
        <v>1</v>
      </c>
      <c r="H3221" s="15"/>
      <c r="I3221" s="15" t="s">
        <v>282</v>
      </c>
      <c r="J3221" s="15" t="s">
        <v>28</v>
      </c>
      <c r="K3221" s="15">
        <v>669484084</v>
      </c>
      <c r="L3221" s="15" t="s">
        <v>29</v>
      </c>
      <c r="M3221" s="15" t="s">
        <v>29</v>
      </c>
    </row>
    <row r="3222" spans="1:13" x14ac:dyDescent="0.25">
      <c r="A3222" s="23">
        <f t="shared" si="161"/>
        <v>245640</v>
      </c>
      <c r="B3222" s="14" t="str">
        <f t="shared" si="160"/>
        <v>Direct Debit (UMB Bank) - Credits</v>
      </c>
      <c r="C3222" s="38">
        <v>46157</v>
      </c>
      <c r="D3222" s="34">
        <v>245640</v>
      </c>
      <c r="E3222" s="36" t="str">
        <f>IF(Table3[[#This Row],[Type Received]]=2,"CC",(IF(Table3[[#This Row],[Type Received]]=3,"BILL","ACH")))</f>
        <v>ACH</v>
      </c>
      <c r="F3222" s="35">
        <v>46.27</v>
      </c>
      <c r="G3222" s="14" t="str">
        <f>VLOOKUP(D3222,Table4[],3,FALSE)</f>
        <v>1</v>
      </c>
      <c r="H3222" s="15"/>
      <c r="I3222" s="15"/>
      <c r="J3222" s="15" t="s">
        <v>87</v>
      </c>
      <c r="K3222" s="15">
        <v>696801611</v>
      </c>
      <c r="L3222" s="15" t="s">
        <v>29</v>
      </c>
      <c r="M3222" s="15" t="s">
        <v>29</v>
      </c>
    </row>
    <row r="3223" spans="1:13" x14ac:dyDescent="0.25">
      <c r="A3223" s="23">
        <f t="shared" si="161"/>
        <v>245677</v>
      </c>
      <c r="B3223" s="14" t="str">
        <f t="shared" si="160"/>
        <v>Direct Debit (UMB Bank) - Credits</v>
      </c>
      <c r="C3223" s="37">
        <v>46168</v>
      </c>
      <c r="D3223" s="31">
        <v>245677</v>
      </c>
      <c r="E3223" s="33" t="str">
        <f>IF(Table3[[#This Row],[Type Received]]=2,"CC",(IF(Table3[[#This Row],[Type Received]]=3,"BILL","ACH")))</f>
        <v>ACH</v>
      </c>
      <c r="F3223" s="32">
        <v>112.6</v>
      </c>
      <c r="G3223" s="14" t="str">
        <f>VLOOKUP(D3223,Table4[],3,FALSE)</f>
        <v>2</v>
      </c>
      <c r="H3223" s="15"/>
      <c r="I3223" s="15"/>
      <c r="J3223" s="15" t="s">
        <v>110</v>
      </c>
      <c r="K3223" s="15">
        <v>828292368</v>
      </c>
      <c r="L3223" s="15" t="s">
        <v>29</v>
      </c>
      <c r="M3223" s="15" t="s">
        <v>29</v>
      </c>
    </row>
    <row r="3224" spans="1:13" x14ac:dyDescent="0.25">
      <c r="A3224" s="23">
        <f t="shared" si="161"/>
        <v>245681</v>
      </c>
      <c r="B3224" s="14" t="str">
        <f t="shared" si="160"/>
        <v>Direct Debit (UMB Bank) - Credits</v>
      </c>
      <c r="C3224" s="38">
        <v>46157</v>
      </c>
      <c r="D3224" s="34">
        <v>245681</v>
      </c>
      <c r="E3224" s="36" t="str">
        <f>IF(Table3[[#This Row],[Type Received]]=2,"CC",(IF(Table3[[#This Row],[Type Received]]=3,"BILL","ACH")))</f>
        <v>ACH</v>
      </c>
      <c r="F3224" s="35">
        <v>48.58</v>
      </c>
      <c r="G3224" s="14" t="str">
        <f>VLOOKUP(D3224,Table4[],3,FALSE)</f>
        <v>2</v>
      </c>
      <c r="H3224" s="15"/>
      <c r="I3224" s="15"/>
      <c r="J3224" s="24" t="s">
        <v>87</v>
      </c>
      <c r="K3224" s="15">
        <v>696815186</v>
      </c>
      <c r="L3224" s="15" t="s">
        <v>29</v>
      </c>
      <c r="M3224" s="15" t="s">
        <v>29</v>
      </c>
    </row>
    <row r="3225" spans="1:13" x14ac:dyDescent="0.25">
      <c r="A3225" s="23">
        <f t="shared" si="161"/>
        <v>245683</v>
      </c>
      <c r="B3225" s="14" t="str">
        <f t="shared" si="160"/>
        <v>Credit Cards (UMB) - Credits</v>
      </c>
      <c r="C3225" s="37">
        <v>46168</v>
      </c>
      <c r="D3225" s="31">
        <v>245683</v>
      </c>
      <c r="E3225" s="33" t="str">
        <f>IF(Table3[[#This Row],[Type Received]]=2,"CC",(IF(Table3[[#This Row],[Type Received]]=3,"BILL","ACH")))</f>
        <v>CC</v>
      </c>
      <c r="F3225" s="32">
        <v>44.95</v>
      </c>
      <c r="G3225" s="14" t="str">
        <f>VLOOKUP(D3225,Table4[],3,FALSE)</f>
        <v>1</v>
      </c>
      <c r="H3225" s="15"/>
      <c r="I3225" s="15"/>
      <c r="J3225" s="15" t="s">
        <v>110</v>
      </c>
      <c r="K3225" s="15">
        <v>828281851</v>
      </c>
      <c r="L3225" s="15" t="s">
        <v>29</v>
      </c>
      <c r="M3225" s="15" t="s">
        <v>29</v>
      </c>
    </row>
    <row r="3226" spans="1:13" x14ac:dyDescent="0.25">
      <c r="A3226" s="23">
        <f t="shared" si="161"/>
        <v>245762</v>
      </c>
      <c r="B3226" s="14" t="str">
        <f t="shared" si="160"/>
        <v>Direct Debit (UMB Bank) - Credits</v>
      </c>
      <c r="C3226" s="38">
        <v>46145</v>
      </c>
      <c r="D3226" s="34">
        <v>245762</v>
      </c>
      <c r="E3226" s="36" t="str">
        <f>IF(Table3[[#This Row],[Type Received]]=2,"CC",(IF(Table3[[#This Row],[Type Received]]=3,"BILL","ACH")))</f>
        <v>ACH</v>
      </c>
      <c r="F3226" s="35">
        <v>72.010000000000005</v>
      </c>
      <c r="G3226" s="14" t="str">
        <f>VLOOKUP(D3226,Table4[],3,FALSE)</f>
        <v>1</v>
      </c>
      <c r="H3226" s="15"/>
      <c r="I3226" s="15">
        <v>86403</v>
      </c>
      <c r="J3226" s="15" t="s">
        <v>28</v>
      </c>
      <c r="K3226" s="15">
        <v>546447432</v>
      </c>
      <c r="L3226" s="15" t="s">
        <v>29</v>
      </c>
      <c r="M3226" s="15" t="s">
        <v>29</v>
      </c>
    </row>
    <row r="3227" spans="1:13" x14ac:dyDescent="0.25">
      <c r="A3227" s="23">
        <f t="shared" si="161"/>
        <v>245786</v>
      </c>
      <c r="B3227" s="14" t="str">
        <f t="shared" si="160"/>
        <v>Direct Debit (UMB Bank) - Credits</v>
      </c>
      <c r="C3227" s="37">
        <v>46157</v>
      </c>
      <c r="D3227" s="31">
        <v>245786</v>
      </c>
      <c r="E3227" s="33" t="str">
        <f>IF(Table3[[#This Row],[Type Received]]=2,"CC",(IF(Table3[[#This Row],[Type Received]]=3,"BILL","ACH")))</f>
        <v>ACH</v>
      </c>
      <c r="F3227" s="32">
        <v>106</v>
      </c>
      <c r="G3227" s="14" t="str">
        <f>VLOOKUP(D3227,Table4[],3,FALSE)</f>
        <v>2</v>
      </c>
      <c r="H3227" s="15"/>
      <c r="I3227" s="15"/>
      <c r="J3227" s="15" t="s">
        <v>87</v>
      </c>
      <c r="K3227" s="15">
        <v>696806594</v>
      </c>
      <c r="L3227" s="15" t="s">
        <v>29</v>
      </c>
      <c r="M3227" s="15" t="s">
        <v>29</v>
      </c>
    </row>
    <row r="3228" spans="1:13" x14ac:dyDescent="0.25">
      <c r="A3228" s="23">
        <f t="shared" si="161"/>
        <v>245791</v>
      </c>
      <c r="B3228" s="14" t="str">
        <f t="shared" si="160"/>
        <v>Direct Debit (UMB Bank) - Credits</v>
      </c>
      <c r="C3228" s="38">
        <v>46145</v>
      </c>
      <c r="D3228" s="34">
        <v>245791</v>
      </c>
      <c r="E3228" s="36" t="str">
        <f>IF(Table3[[#This Row],[Type Received]]=2,"CC",(IF(Table3[[#This Row],[Type Received]]=3,"BILL","ACH")))</f>
        <v>ACH</v>
      </c>
      <c r="F3228" s="35">
        <v>66.510000000000005</v>
      </c>
      <c r="G3228" s="14" t="str">
        <f>VLOOKUP(D3228,Table4[],3,FALSE)</f>
        <v>1</v>
      </c>
      <c r="H3228" s="15"/>
      <c r="I3228" s="15"/>
      <c r="J3228" s="15" t="s">
        <v>113</v>
      </c>
      <c r="K3228" s="15">
        <v>546452230</v>
      </c>
      <c r="L3228" s="15" t="s">
        <v>29</v>
      </c>
      <c r="M3228" s="15"/>
    </row>
    <row r="3229" spans="1:13" x14ac:dyDescent="0.25">
      <c r="A3229" s="23">
        <f t="shared" si="161"/>
        <v>245797</v>
      </c>
      <c r="B3229" s="14" t="str">
        <f t="shared" si="160"/>
        <v>Billing - Credits (from TPA)</v>
      </c>
      <c r="C3229" s="37">
        <v>46143</v>
      </c>
      <c r="D3229" s="31">
        <v>245797</v>
      </c>
      <c r="E3229" s="33" t="str">
        <f>IF(Table3[[#This Row],[Type Received]]=2,"CC",(IF(Table3[[#This Row],[Type Received]]=3,"BILL","ACH")))</f>
        <v>BILL</v>
      </c>
      <c r="F3229" s="32">
        <v>22.39</v>
      </c>
      <c r="G3229" s="14" t="str">
        <f>VLOOKUP(D3229,Table4[],3,FALSE)</f>
        <v>1</v>
      </c>
      <c r="H3229" s="15"/>
      <c r="I3229" s="15"/>
      <c r="J3229" s="15" t="s">
        <v>84</v>
      </c>
      <c r="K3229" s="15">
        <v>522282637</v>
      </c>
      <c r="L3229" s="15" t="s">
        <v>29</v>
      </c>
      <c r="M3229" s="15"/>
    </row>
    <row r="3230" spans="1:13" x14ac:dyDescent="0.25">
      <c r="A3230" s="23">
        <f t="shared" si="161"/>
        <v>245800</v>
      </c>
      <c r="B3230" s="14" t="str">
        <f t="shared" si="160"/>
        <v>Credit Cards (UMB) - Credits</v>
      </c>
      <c r="C3230" s="38">
        <v>46146</v>
      </c>
      <c r="D3230" s="34">
        <v>245800</v>
      </c>
      <c r="E3230" s="36" t="str">
        <f>IF(Table3[[#This Row],[Type Received]]=2,"CC",(IF(Table3[[#This Row],[Type Received]]=3,"BILL","ACH")))</f>
        <v>CC</v>
      </c>
      <c r="F3230" s="35">
        <v>93.47</v>
      </c>
      <c r="G3230" s="14" t="str">
        <f>VLOOKUP(D3230,Table4[],3,FALSE)</f>
        <v>2</v>
      </c>
      <c r="H3230" s="15">
        <v>2596</v>
      </c>
      <c r="I3230" s="15"/>
      <c r="J3230" s="24"/>
      <c r="K3230" s="15"/>
      <c r="L3230" s="15"/>
      <c r="M3230" s="15"/>
    </row>
    <row r="3231" spans="1:13" x14ac:dyDescent="0.25">
      <c r="A3231" s="23">
        <f t="shared" si="161"/>
        <v>245816</v>
      </c>
      <c r="B3231" s="14" t="str">
        <f t="shared" si="160"/>
        <v>Billing - Credits (from TPA)</v>
      </c>
      <c r="C3231" s="37">
        <v>46171</v>
      </c>
      <c r="D3231" s="31">
        <v>245816</v>
      </c>
      <c r="E3231" s="33" t="str">
        <f>IF(Table3[[#This Row],[Type Received]]=2,"CC",(IF(Table3[[#This Row],[Type Received]]=3,"BILL","ACH")))</f>
        <v>BILL</v>
      </c>
      <c r="F3231" s="32">
        <v>61.79</v>
      </c>
      <c r="G3231" s="14" t="str">
        <f>VLOOKUP(D3231,Table4[],3,FALSE)</f>
        <v>1</v>
      </c>
      <c r="H3231" s="15"/>
      <c r="I3231" s="15">
        <v>4805</v>
      </c>
      <c r="J3231" s="15" t="s">
        <v>28</v>
      </c>
      <c r="K3231" s="15">
        <v>868674059</v>
      </c>
      <c r="L3231" s="15" t="s">
        <v>29</v>
      </c>
      <c r="M3231" s="15" t="s">
        <v>29</v>
      </c>
    </row>
    <row r="3232" spans="1:13" x14ac:dyDescent="0.25">
      <c r="A3232" s="23">
        <f t="shared" si="161"/>
        <v>245817</v>
      </c>
      <c r="B3232" s="14" t="str">
        <f t="shared" si="160"/>
        <v>Billing - Credits (from TPA)</v>
      </c>
      <c r="C3232" s="38">
        <v>46143</v>
      </c>
      <c r="D3232" s="34">
        <v>245817</v>
      </c>
      <c r="E3232" s="36" t="str">
        <f>IF(Table3[[#This Row],[Type Received]]=2,"CC",(IF(Table3[[#This Row],[Type Received]]=3,"BILL","ACH")))</f>
        <v>BILL</v>
      </c>
      <c r="F3232" s="35">
        <v>127.46</v>
      </c>
      <c r="G3232" s="14" t="str">
        <f>VLOOKUP(D3232,Table4[],3,FALSE)</f>
        <v>2</v>
      </c>
      <c r="H3232" s="15">
        <v>74911279</v>
      </c>
      <c r="I3232" s="15"/>
      <c r="J3232" s="15"/>
      <c r="K3232" s="15"/>
      <c r="L3232" s="15"/>
      <c r="M3232" s="15"/>
    </row>
    <row r="3233" spans="1:13" x14ac:dyDescent="0.25">
      <c r="A3233" s="23">
        <f t="shared" si="161"/>
        <v>245822</v>
      </c>
      <c r="B3233" s="14" t="str">
        <f t="shared" si="160"/>
        <v>Direct Debit (UMB Bank) - Credits</v>
      </c>
      <c r="C3233" s="37">
        <v>46150</v>
      </c>
      <c r="D3233" s="31">
        <v>245822</v>
      </c>
      <c r="E3233" s="33" t="str">
        <f>IF(Table3[[#This Row],[Type Received]]=2,"CC",(IF(Table3[[#This Row],[Type Received]]=3,"BILL","ACH")))</f>
        <v>ACH</v>
      </c>
      <c r="F3233" s="32">
        <v>105.85</v>
      </c>
      <c r="G3233" s="14" t="str">
        <f>VLOOKUP(D3233,Table4[],3,FALSE)</f>
        <v>1</v>
      </c>
      <c r="H3233" s="15">
        <v>3040</v>
      </c>
      <c r="I3233" s="15"/>
      <c r="J3233" s="15"/>
      <c r="K3233" s="15"/>
      <c r="L3233" s="15"/>
      <c r="M3233" s="15"/>
    </row>
    <row r="3234" spans="1:13" x14ac:dyDescent="0.25">
      <c r="A3234" s="23">
        <f t="shared" si="161"/>
        <v>245844</v>
      </c>
      <c r="B3234" s="14" t="str">
        <f t="shared" si="160"/>
        <v>Billing - Credits (from TPA)</v>
      </c>
      <c r="C3234" s="38">
        <v>46145</v>
      </c>
      <c r="D3234" s="34">
        <v>245844</v>
      </c>
      <c r="E3234" s="36" t="str">
        <f>IF(Table3[[#This Row],[Type Received]]=2,"CC",(IF(Table3[[#This Row],[Type Received]]=3,"BILL","ACH")))</f>
        <v>BILL</v>
      </c>
      <c r="F3234" s="35">
        <v>104.35</v>
      </c>
      <c r="G3234" s="14" t="str">
        <f>VLOOKUP(D3234,Table4[],3,FALSE)</f>
        <v>2</v>
      </c>
      <c r="H3234" s="15"/>
      <c r="I3234" s="15"/>
      <c r="J3234" s="15" t="s">
        <v>113</v>
      </c>
      <c r="K3234" s="15">
        <v>546428990</v>
      </c>
      <c r="L3234" s="15" t="s">
        <v>29</v>
      </c>
      <c r="M3234" s="15"/>
    </row>
    <row r="3235" spans="1:13" x14ac:dyDescent="0.25">
      <c r="A3235" s="23">
        <f t="shared" si="161"/>
        <v>245861</v>
      </c>
      <c r="B3235" s="14" t="str">
        <f t="shared" si="160"/>
        <v>Billing - Credits (from TPA)</v>
      </c>
      <c r="C3235" s="37">
        <v>46148</v>
      </c>
      <c r="D3235" s="31">
        <v>245861</v>
      </c>
      <c r="E3235" s="33" t="str">
        <f>IF(Table3[[#This Row],[Type Received]]=2,"CC",(IF(Table3[[#This Row],[Type Received]]=3,"BILL","ACH")))</f>
        <v>BILL</v>
      </c>
      <c r="F3235" s="32">
        <v>258.82</v>
      </c>
      <c r="G3235" s="14" t="str">
        <f>VLOOKUP(D3235,Table4[],3,FALSE)</f>
        <v>1</v>
      </c>
      <c r="H3235" s="15">
        <v>5834</v>
      </c>
      <c r="I3235" s="15"/>
      <c r="J3235" s="15"/>
      <c r="K3235" s="15"/>
      <c r="L3235" s="15"/>
      <c r="M3235" s="15"/>
    </row>
    <row r="3236" spans="1:13" x14ac:dyDescent="0.25">
      <c r="A3236" s="23">
        <f t="shared" si="161"/>
        <v>245895</v>
      </c>
      <c r="B3236" s="14" t="str">
        <f t="shared" si="160"/>
        <v>Direct Debit (UMB Bank) - Credits</v>
      </c>
      <c r="C3236" s="38">
        <v>46143</v>
      </c>
      <c r="D3236" s="34">
        <v>245895</v>
      </c>
      <c r="E3236" s="36" t="str">
        <f>IF(Table3[[#This Row],[Type Received]]=2,"CC",(IF(Table3[[#This Row],[Type Received]]=3,"BILL","ACH")))</f>
        <v>ACH</v>
      </c>
      <c r="F3236" s="35">
        <v>148</v>
      </c>
      <c r="G3236" s="14" t="str">
        <f>VLOOKUP(D3236,Table4[],3,FALSE)</f>
        <v>2</v>
      </c>
      <c r="H3236" s="15">
        <v>988023</v>
      </c>
      <c r="I3236" s="15"/>
      <c r="J3236" s="15"/>
      <c r="K3236" s="15"/>
      <c r="L3236" s="15"/>
      <c r="M3236" s="15" t="s">
        <v>29</v>
      </c>
    </row>
    <row r="3237" spans="1:13" x14ac:dyDescent="0.25">
      <c r="A3237" s="23">
        <f t="shared" si="161"/>
        <v>245901</v>
      </c>
      <c r="B3237" s="14" t="str">
        <f t="shared" si="160"/>
        <v>Direct Debit (UMB Bank) - Credits</v>
      </c>
      <c r="C3237" s="37">
        <v>46157</v>
      </c>
      <c r="D3237" s="31">
        <v>245901</v>
      </c>
      <c r="E3237" s="33" t="str">
        <f>IF(Table3[[#This Row],[Type Received]]=2,"CC",(IF(Table3[[#This Row],[Type Received]]=3,"BILL","ACH")))</f>
        <v>ACH</v>
      </c>
      <c r="F3237" s="32">
        <v>33.950000000000003</v>
      </c>
      <c r="G3237" s="14" t="str">
        <f>VLOOKUP(D3237,Table4[],3,FALSE)</f>
        <v>1</v>
      </c>
      <c r="H3237" s="15"/>
      <c r="I3237" s="15"/>
      <c r="J3237" s="15" t="s">
        <v>87</v>
      </c>
      <c r="K3237" s="15">
        <v>696815202</v>
      </c>
      <c r="L3237" s="15" t="s">
        <v>29</v>
      </c>
      <c r="M3237" s="15"/>
    </row>
    <row r="3238" spans="1:13" x14ac:dyDescent="0.25">
      <c r="A3238" s="23"/>
      <c r="B3238" s="14" t="str">
        <f t="shared" si="160"/>
        <v>Direct Debit (UMB Bank) - Credits</v>
      </c>
      <c r="C3238" s="38">
        <v>46157</v>
      </c>
      <c r="D3238" s="34">
        <v>245905</v>
      </c>
      <c r="E3238" s="36" t="str">
        <f>IF(Table3[[#This Row],[Type Received]]=2,"CC",(IF(Table3[[#This Row],[Type Received]]=3,"BILL","ACH")))</f>
        <v>ACH</v>
      </c>
      <c r="F3238" s="35">
        <v>43.63</v>
      </c>
      <c r="G3238" s="14" t="str">
        <f>VLOOKUP(D3238,Table4[],3,FALSE)</f>
        <v>1</v>
      </c>
      <c r="H3238" s="15"/>
      <c r="I3238" s="15"/>
      <c r="J3238" s="15" t="s">
        <v>87</v>
      </c>
      <c r="K3238" s="15">
        <v>696634277</v>
      </c>
      <c r="L3238" s="15" t="s">
        <v>29</v>
      </c>
      <c r="M3238" s="15"/>
    </row>
    <row r="3239" spans="1:13" x14ac:dyDescent="0.25">
      <c r="A3239" s="23"/>
      <c r="B3239" s="14" t="str">
        <f t="shared" si="160"/>
        <v>Credit Cards (UMB) - Credits</v>
      </c>
      <c r="C3239" s="37">
        <v>46145</v>
      </c>
      <c r="D3239" s="31">
        <v>245931</v>
      </c>
      <c r="E3239" s="33" t="str">
        <f>IF(Table3[[#This Row],[Type Received]]=2,"CC",(IF(Table3[[#This Row],[Type Received]]=3,"BILL","ACH")))</f>
        <v>CC</v>
      </c>
      <c r="F3239" s="32">
        <v>94.12</v>
      </c>
      <c r="G3239" s="14" t="str">
        <f>VLOOKUP(D3239,Table4[],3,FALSE)</f>
        <v>2</v>
      </c>
      <c r="H3239" s="15"/>
      <c r="I3239" s="15"/>
      <c r="J3239" s="15" t="s">
        <v>113</v>
      </c>
      <c r="K3239" s="15">
        <v>546452241</v>
      </c>
      <c r="L3239" s="15" t="s">
        <v>29</v>
      </c>
      <c r="M3239" s="15" t="s">
        <v>29</v>
      </c>
    </row>
    <row r="3240" spans="1:13" x14ac:dyDescent="0.25">
      <c r="A3240" s="23"/>
      <c r="B3240" s="14" t="str">
        <f t="shared" si="160"/>
        <v>Direct Debit (UMB Bank) - Credits</v>
      </c>
      <c r="C3240" s="38">
        <v>46143</v>
      </c>
      <c r="D3240" s="34">
        <v>245955</v>
      </c>
      <c r="E3240" s="36" t="str">
        <f>IF(Table3[[#This Row],[Type Received]]=2,"CC",(IF(Table3[[#This Row],[Type Received]]=3,"BILL","ACH")))</f>
        <v>ACH</v>
      </c>
      <c r="F3240" s="35">
        <v>84.3</v>
      </c>
      <c r="G3240" s="14" t="str">
        <f>VLOOKUP(D3240,Table4[],3,FALSE)</f>
        <v>1</v>
      </c>
      <c r="H3240" s="15"/>
      <c r="I3240" s="15">
        <v>652551</v>
      </c>
      <c r="J3240" s="15" t="s">
        <v>28</v>
      </c>
      <c r="K3240" s="15">
        <v>527208229</v>
      </c>
      <c r="L3240" s="15" t="s">
        <v>29</v>
      </c>
      <c r="M3240" s="15" t="s">
        <v>29</v>
      </c>
    </row>
    <row r="3241" spans="1:13" x14ac:dyDescent="0.25">
      <c r="A3241" s="23"/>
      <c r="B3241" s="14" t="str">
        <f t="shared" si="160"/>
        <v>Direct Debit (UMB Bank) - Credits</v>
      </c>
      <c r="C3241" s="37">
        <v>46168</v>
      </c>
      <c r="D3241" s="31">
        <v>245962</v>
      </c>
      <c r="E3241" s="33" t="str">
        <f>IF(Table3[[#This Row],[Type Received]]=2,"CC",(IF(Table3[[#This Row],[Type Received]]=3,"BILL","ACH")))</f>
        <v>ACH</v>
      </c>
      <c r="F3241" s="32">
        <v>97.09</v>
      </c>
      <c r="G3241" s="14" t="str">
        <f>VLOOKUP(D3241,Table4[],3,FALSE)</f>
        <v>2</v>
      </c>
      <c r="H3241" s="15"/>
      <c r="I3241" s="15"/>
      <c r="J3241" s="15" t="s">
        <v>110</v>
      </c>
      <c r="K3241" s="15">
        <v>828288544</v>
      </c>
      <c r="L3241" s="15" t="s">
        <v>29</v>
      </c>
      <c r="M3241" s="15"/>
    </row>
    <row r="3242" spans="1:13" x14ac:dyDescent="0.25">
      <c r="A3242" s="23"/>
      <c r="B3242" s="14" t="str">
        <f t="shared" si="160"/>
        <v>Billing - Credits (from TPA)</v>
      </c>
      <c r="C3242" s="38">
        <v>46168</v>
      </c>
      <c r="D3242" s="34">
        <v>245972</v>
      </c>
      <c r="E3242" s="36" t="str">
        <f>IF(Table3[[#This Row],[Type Received]]=2,"CC",(IF(Table3[[#This Row],[Type Received]]=3,"BILL","ACH")))</f>
        <v>BILL</v>
      </c>
      <c r="F3242" s="35">
        <v>76.849999999999994</v>
      </c>
      <c r="G3242" s="14" t="str">
        <f>VLOOKUP(D3242,Table4[],3,FALSE)</f>
        <v>1</v>
      </c>
      <c r="H3242" s="15"/>
      <c r="I3242" s="15"/>
      <c r="J3242" s="15" t="s">
        <v>110</v>
      </c>
      <c r="K3242" s="15">
        <v>828290449</v>
      </c>
      <c r="L3242" s="15" t="s">
        <v>29</v>
      </c>
      <c r="M3242" s="15" t="s">
        <v>29</v>
      </c>
    </row>
    <row r="3243" spans="1:13" x14ac:dyDescent="0.25">
      <c r="A3243" s="23"/>
      <c r="B3243" s="14" t="str">
        <f t="shared" si="160"/>
        <v>Credit Cards (UMB) - Credits</v>
      </c>
      <c r="C3243" s="37">
        <v>46169</v>
      </c>
      <c r="D3243" s="31">
        <v>245985</v>
      </c>
      <c r="E3243" s="33" t="str">
        <f>IF(Table3[[#This Row],[Type Received]]=2,"CC",(IF(Table3[[#This Row],[Type Received]]=3,"BILL","ACH")))</f>
        <v>CC</v>
      </c>
      <c r="F3243" s="32">
        <v>90.46</v>
      </c>
      <c r="G3243" s="14" t="str">
        <f>VLOOKUP(D3243,Table4[],3,FALSE)</f>
        <v>1</v>
      </c>
      <c r="H3243" s="15">
        <v>3979</v>
      </c>
      <c r="I3243" s="15"/>
      <c r="J3243" s="15"/>
      <c r="K3243" s="15"/>
      <c r="L3243" s="15"/>
      <c r="M3243" s="15"/>
    </row>
    <row r="3244" spans="1:13" x14ac:dyDescent="0.25">
      <c r="A3244" s="23"/>
      <c r="B3244" s="14" t="str">
        <f t="shared" si="160"/>
        <v>Billing - Credits (from TPA)</v>
      </c>
      <c r="C3244" s="38">
        <v>46143</v>
      </c>
      <c r="D3244" s="34">
        <v>245997</v>
      </c>
      <c r="E3244" s="36" t="str">
        <f>IF(Table3[[#This Row],[Type Received]]=2,"CC",(IF(Table3[[#This Row],[Type Received]]=3,"BILL","ACH")))</f>
        <v>BILL</v>
      </c>
      <c r="F3244" s="35">
        <v>65.75</v>
      </c>
      <c r="G3244" s="14" t="str">
        <f>VLOOKUP(D3244,Table4[],3,FALSE)</f>
        <v>2</v>
      </c>
      <c r="H3244" s="15"/>
      <c r="I3244" s="15">
        <v>130041</v>
      </c>
      <c r="J3244" s="15" t="s">
        <v>28</v>
      </c>
      <c r="K3244" s="15">
        <v>522240273</v>
      </c>
      <c r="L3244" s="15" t="s">
        <v>29</v>
      </c>
      <c r="M3244" s="15" t="s">
        <v>29</v>
      </c>
    </row>
    <row r="3245" spans="1:13" x14ac:dyDescent="0.25">
      <c r="A3245" s="23"/>
      <c r="B3245" s="14" t="str">
        <f t="shared" si="160"/>
        <v>Direct Debit (UMB Bank) - Credits</v>
      </c>
      <c r="C3245" s="37">
        <v>46146</v>
      </c>
      <c r="D3245" s="31">
        <v>245998</v>
      </c>
      <c r="E3245" s="33" t="str">
        <f>IF(Table3[[#This Row],[Type Received]]=2,"CC",(IF(Table3[[#This Row],[Type Received]]=3,"BILL","ACH")))</f>
        <v>ACH</v>
      </c>
      <c r="F3245" s="32">
        <v>87.86</v>
      </c>
      <c r="G3245" s="14" t="str">
        <f>VLOOKUP(D3245,Table4[],3,FALSE)</f>
        <v>2</v>
      </c>
      <c r="H3245" s="15">
        <v>2791</v>
      </c>
      <c r="I3245" s="15"/>
      <c r="J3245" s="15"/>
      <c r="K3245" s="15"/>
      <c r="L3245" s="15"/>
      <c r="M3245" s="15" t="s">
        <v>29</v>
      </c>
    </row>
    <row r="3246" spans="1:13" x14ac:dyDescent="0.25">
      <c r="A3246" s="23"/>
      <c r="B3246" s="14" t="str">
        <f t="shared" si="160"/>
        <v>Credit Cards (UMB) - Credits</v>
      </c>
      <c r="C3246" s="38">
        <v>46157</v>
      </c>
      <c r="D3246" s="34">
        <v>246006</v>
      </c>
      <c r="E3246" s="36" t="str">
        <f>IF(Table3[[#This Row],[Type Received]]=2,"CC",(IF(Table3[[#This Row],[Type Received]]=3,"BILL","ACH")))</f>
        <v>CC</v>
      </c>
      <c r="F3246" s="35">
        <v>99.73</v>
      </c>
      <c r="G3246" s="14" t="str">
        <f>VLOOKUP(D3246,Table4[],3,FALSE)</f>
        <v>1</v>
      </c>
      <c r="H3246" s="15"/>
      <c r="I3246" s="15"/>
      <c r="J3246" s="15" t="s">
        <v>87</v>
      </c>
      <c r="K3246" s="15">
        <v>696666778</v>
      </c>
      <c r="L3246" s="15" t="s">
        <v>29</v>
      </c>
      <c r="M3246" s="15" t="s">
        <v>29</v>
      </c>
    </row>
    <row r="3247" spans="1:13" x14ac:dyDescent="0.25">
      <c r="A3247" s="23"/>
      <c r="B3247" s="14" t="str">
        <f t="shared" si="160"/>
        <v>Direct Debit (UMB Bank) - Credits</v>
      </c>
      <c r="C3247" s="37">
        <v>46155</v>
      </c>
      <c r="D3247" s="31">
        <v>246056</v>
      </c>
      <c r="E3247" s="33" t="str">
        <f>IF(Table3[[#This Row],[Type Received]]=2,"CC",(IF(Table3[[#This Row],[Type Received]]=3,"BILL","ACH")))</f>
        <v>ACH</v>
      </c>
      <c r="F3247" s="32">
        <v>76.95</v>
      </c>
      <c r="G3247" s="14" t="str">
        <f>VLOOKUP(D3247,Table4[],3,FALSE)</f>
        <v>2</v>
      </c>
      <c r="H3247" s="15"/>
      <c r="I3247" s="15">
        <v>184707</v>
      </c>
      <c r="J3247" s="15" t="s">
        <v>28</v>
      </c>
      <c r="K3247" s="15">
        <v>669507265</v>
      </c>
      <c r="L3247" s="15" t="s">
        <v>29</v>
      </c>
      <c r="M3247" s="15" t="s">
        <v>29</v>
      </c>
    </row>
    <row r="3248" spans="1:13" x14ac:dyDescent="0.25">
      <c r="A3248" s="23"/>
      <c r="B3248" s="14" t="str">
        <f t="shared" si="160"/>
        <v>Direct Debit (UMB Bank) - Credits</v>
      </c>
      <c r="C3248" s="38">
        <v>46145</v>
      </c>
      <c r="D3248" s="34">
        <v>246058</v>
      </c>
      <c r="E3248" s="36" t="str">
        <f>IF(Table3[[#This Row],[Type Received]]=2,"CC",(IF(Table3[[#This Row],[Type Received]]=3,"BILL","ACH")))</f>
        <v>ACH</v>
      </c>
      <c r="F3248" s="35">
        <v>50.89</v>
      </c>
      <c r="G3248" s="14" t="str">
        <f>VLOOKUP(D3248,Table4[],3,FALSE)</f>
        <v>1</v>
      </c>
      <c r="H3248" s="15"/>
      <c r="I3248" s="15"/>
      <c r="J3248" s="15" t="s">
        <v>113</v>
      </c>
      <c r="K3248" s="15">
        <v>546438624</v>
      </c>
      <c r="L3248" s="15" t="s">
        <v>29</v>
      </c>
      <c r="M3248" s="15" t="s">
        <v>29</v>
      </c>
    </row>
    <row r="3249" spans="1:13" x14ac:dyDescent="0.25">
      <c r="A3249" s="23"/>
      <c r="B3249" s="14" t="str">
        <f t="shared" si="160"/>
        <v>Direct Debit (UMB Bank) - Credits</v>
      </c>
      <c r="C3249" s="37">
        <v>46145</v>
      </c>
      <c r="D3249" s="31">
        <v>246104</v>
      </c>
      <c r="E3249" s="33" t="str">
        <f>IF(Table3[[#This Row],[Type Received]]=2,"CC",(IF(Table3[[#This Row],[Type Received]]=3,"BILL","ACH")))</f>
        <v>ACH</v>
      </c>
      <c r="F3249" s="32">
        <v>77.290000000000006</v>
      </c>
      <c r="G3249" s="14" t="str">
        <f>VLOOKUP(D3249,Table4[],3,FALSE)</f>
        <v>2</v>
      </c>
      <c r="H3249" s="15"/>
      <c r="I3249" s="15"/>
      <c r="J3249" s="15" t="s">
        <v>113</v>
      </c>
      <c r="K3249" s="15">
        <v>546442613</v>
      </c>
      <c r="L3249" s="15" t="s">
        <v>29</v>
      </c>
      <c r="M3249" s="15" t="s">
        <v>29</v>
      </c>
    </row>
    <row r="3250" spans="1:13" x14ac:dyDescent="0.25">
      <c r="A3250" s="23"/>
      <c r="B3250" s="14" t="str">
        <f t="shared" si="160"/>
        <v>Direct Debit (UMB Bank) - Credits</v>
      </c>
      <c r="C3250" s="38">
        <v>46157</v>
      </c>
      <c r="D3250" s="34">
        <v>246105</v>
      </c>
      <c r="E3250" s="36" t="str">
        <f>IF(Table3[[#This Row],[Type Received]]=2,"CC",(IF(Table3[[#This Row],[Type Received]]=3,"BILL","ACH")))</f>
        <v>ACH</v>
      </c>
      <c r="F3250" s="35">
        <v>78.39</v>
      </c>
      <c r="G3250" s="14" t="str">
        <f>VLOOKUP(D3250,Table4[],3,FALSE)</f>
        <v>1</v>
      </c>
      <c r="H3250" s="15"/>
      <c r="I3250" s="15"/>
      <c r="J3250" s="15" t="s">
        <v>87</v>
      </c>
      <c r="K3250" s="15">
        <v>696807637</v>
      </c>
      <c r="L3250" s="15" t="s">
        <v>29</v>
      </c>
      <c r="M3250" s="15" t="s">
        <v>29</v>
      </c>
    </row>
    <row r="3251" spans="1:13" x14ac:dyDescent="0.25">
      <c r="A3251" s="23"/>
      <c r="B3251" s="14" t="str">
        <f t="shared" si="160"/>
        <v>Billing - Credits (from TPA)</v>
      </c>
      <c r="C3251" s="37">
        <v>46145</v>
      </c>
      <c r="D3251" s="31">
        <v>246135</v>
      </c>
      <c r="E3251" s="33" t="str">
        <f>IF(Table3[[#This Row],[Type Received]]=2,"CC",(IF(Table3[[#This Row],[Type Received]]=3,"BILL","ACH")))</f>
        <v>BILL</v>
      </c>
      <c r="F3251" s="32">
        <v>51.33</v>
      </c>
      <c r="G3251" s="14" t="str">
        <f>VLOOKUP(D3251,Table4[],3,FALSE)</f>
        <v>1</v>
      </c>
      <c r="H3251" s="15"/>
      <c r="I3251" s="15"/>
      <c r="J3251" s="15" t="s">
        <v>113</v>
      </c>
      <c r="K3251" s="15">
        <v>546454155</v>
      </c>
      <c r="L3251" s="15" t="s">
        <v>29</v>
      </c>
      <c r="M3251" s="15" t="s">
        <v>29</v>
      </c>
    </row>
    <row r="3252" spans="1:13" x14ac:dyDescent="0.25">
      <c r="A3252" s="23">
        <f t="shared" ref="A3252:A3283" si="162">D3252</f>
        <v>246203</v>
      </c>
      <c r="B3252" s="14" t="str">
        <f t="shared" si="160"/>
        <v>Credit Cards (UMB) - Credits</v>
      </c>
      <c r="C3252" s="38">
        <v>46169</v>
      </c>
      <c r="D3252" s="34">
        <v>246203</v>
      </c>
      <c r="E3252" s="36" t="str">
        <f>IF(Table3[[#This Row],[Type Received]]=2,"CC",(IF(Table3[[#This Row],[Type Received]]=3,"BILL","ACH")))</f>
        <v>CC</v>
      </c>
      <c r="F3252" s="35">
        <v>341.98</v>
      </c>
      <c r="G3252" s="14" t="str">
        <f>VLOOKUP(D3252,Table4[],3,FALSE)</f>
        <v>1</v>
      </c>
      <c r="H3252" s="15">
        <v>6435</v>
      </c>
      <c r="I3252" s="15"/>
      <c r="J3252" s="15"/>
      <c r="K3252" s="15"/>
      <c r="L3252" s="15"/>
      <c r="M3252" s="15"/>
    </row>
    <row r="3253" spans="1:13" x14ac:dyDescent="0.25">
      <c r="A3253" s="23">
        <f t="shared" si="162"/>
        <v>246233</v>
      </c>
      <c r="B3253" s="14" t="str">
        <f t="shared" si="160"/>
        <v>Billing - Credits (from TPA)</v>
      </c>
      <c r="C3253" s="37">
        <v>46160</v>
      </c>
      <c r="D3253" s="31">
        <v>246233</v>
      </c>
      <c r="E3253" s="33" t="str">
        <f>IF(Table3[[#This Row],[Type Received]]=2,"CC",(IF(Table3[[#This Row],[Type Received]]=3,"BILL","ACH")))</f>
        <v>BILL</v>
      </c>
      <c r="F3253" s="32">
        <v>143.94999999999999</v>
      </c>
      <c r="G3253" s="14" t="str">
        <f>VLOOKUP(D3253,Table4[],3,FALSE)</f>
        <v>2</v>
      </c>
      <c r="H3253" s="15"/>
      <c r="I3253" s="15">
        <v>209524</v>
      </c>
      <c r="J3253" s="15" t="s">
        <v>28</v>
      </c>
      <c r="K3253" s="15">
        <v>735398249</v>
      </c>
      <c r="L3253" s="15" t="s">
        <v>29</v>
      </c>
      <c r="M3253" s="15"/>
    </row>
    <row r="3254" spans="1:13" x14ac:dyDescent="0.25">
      <c r="A3254" s="23">
        <f t="shared" si="162"/>
        <v>246257</v>
      </c>
      <c r="B3254" s="14" t="str">
        <f t="shared" si="160"/>
        <v>Credit Cards (UMB) - Credits</v>
      </c>
      <c r="C3254" s="38">
        <v>46161</v>
      </c>
      <c r="D3254" s="34">
        <v>246257</v>
      </c>
      <c r="E3254" s="36" t="str">
        <f>IF(Table3[[#This Row],[Type Received]]=2,"CC",(IF(Table3[[#This Row],[Type Received]]=3,"BILL","ACH")))</f>
        <v>CC</v>
      </c>
      <c r="F3254" s="35">
        <v>77.95</v>
      </c>
      <c r="G3254" s="14" t="str">
        <f>VLOOKUP(D3254,Table4[],3,FALSE)</f>
        <v>2</v>
      </c>
      <c r="H3254" s="15">
        <v>5614</v>
      </c>
      <c r="I3254" s="15"/>
      <c r="J3254" s="15"/>
      <c r="K3254" s="15"/>
      <c r="L3254" s="15"/>
      <c r="M3254" s="15"/>
    </row>
    <row r="3255" spans="1:13" x14ac:dyDescent="0.25">
      <c r="A3255" s="23">
        <f t="shared" si="162"/>
        <v>246257</v>
      </c>
      <c r="B3255" s="14" t="str">
        <f t="shared" si="160"/>
        <v>Direct Debit (UMB Bank) - Credits</v>
      </c>
      <c r="C3255" s="37">
        <v>46160</v>
      </c>
      <c r="D3255" s="31">
        <v>246257</v>
      </c>
      <c r="E3255" s="33" t="str">
        <f>IF(Table3[[#This Row],[Type Received]]=2,"CC",(IF(Table3[[#This Row],[Type Received]]=3,"BILL","ACH")))</f>
        <v>ACH</v>
      </c>
      <c r="F3255" s="32">
        <v>154.9</v>
      </c>
      <c r="G3255" s="14" t="str">
        <f>VLOOKUP(D3255,Table4[],3,FALSE)</f>
        <v>2</v>
      </c>
      <c r="H3255" s="15"/>
      <c r="I3255" s="15" t="s">
        <v>283</v>
      </c>
      <c r="J3255" s="15">
        <v>746573029</v>
      </c>
      <c r="K3255" s="15">
        <v>355058415</v>
      </c>
      <c r="L3255" s="15"/>
      <c r="M3255" s="15" t="s">
        <v>29</v>
      </c>
    </row>
    <row r="3256" spans="1:13" x14ac:dyDescent="0.25">
      <c r="A3256" s="23">
        <f t="shared" si="162"/>
        <v>246265</v>
      </c>
      <c r="B3256" s="14" t="str">
        <f t="shared" si="160"/>
        <v>Direct Debit (UMB Bank) - Credits</v>
      </c>
      <c r="C3256" s="38">
        <v>46145</v>
      </c>
      <c r="D3256" s="34">
        <v>246265</v>
      </c>
      <c r="E3256" s="36" t="str">
        <f>IF(Table3[[#This Row],[Type Received]]=2,"CC",(IF(Table3[[#This Row],[Type Received]]=3,"BILL","ACH")))</f>
        <v>ACH</v>
      </c>
      <c r="F3256" s="35">
        <v>56.95</v>
      </c>
      <c r="G3256" s="14" t="str">
        <f>VLOOKUP(D3256,Table4[],3,FALSE)</f>
        <v>1</v>
      </c>
      <c r="H3256" s="15"/>
      <c r="I3256" s="15"/>
      <c r="J3256" s="15" t="s">
        <v>113</v>
      </c>
      <c r="K3256" s="15">
        <v>546450386</v>
      </c>
      <c r="L3256" s="15" t="s">
        <v>29</v>
      </c>
      <c r="M3256" s="15" t="s">
        <v>29</v>
      </c>
    </row>
    <row r="3257" spans="1:13" x14ac:dyDescent="0.25">
      <c r="A3257" s="23">
        <f t="shared" si="162"/>
        <v>246291</v>
      </c>
      <c r="B3257" s="14" t="str">
        <f t="shared" si="160"/>
        <v>Direct Debit (UMB Bank) - Credits</v>
      </c>
      <c r="C3257" s="37">
        <v>46157</v>
      </c>
      <c r="D3257" s="31">
        <v>246291</v>
      </c>
      <c r="E3257" s="33" t="str">
        <f>IF(Table3[[#This Row],[Type Received]]=2,"CC",(IF(Table3[[#This Row],[Type Received]]=3,"BILL","ACH")))</f>
        <v>ACH</v>
      </c>
      <c r="F3257" s="32">
        <v>129.76</v>
      </c>
      <c r="G3257" s="14" t="str">
        <f>VLOOKUP(D3257,Table4[],3,FALSE)</f>
        <v>2</v>
      </c>
      <c r="H3257" s="15"/>
      <c r="I3257" s="15"/>
      <c r="J3257" s="15" t="s">
        <v>87</v>
      </c>
      <c r="K3257" s="15">
        <v>696790048</v>
      </c>
      <c r="L3257" s="15" t="s">
        <v>29</v>
      </c>
      <c r="M3257" s="15" t="s">
        <v>29</v>
      </c>
    </row>
    <row r="3258" spans="1:13" x14ac:dyDescent="0.25">
      <c r="A3258" s="23">
        <f t="shared" si="162"/>
        <v>246322</v>
      </c>
      <c r="B3258" s="14" t="str">
        <f t="shared" si="160"/>
        <v>Direct Debit (UMB Bank) - Credits</v>
      </c>
      <c r="C3258" s="38">
        <v>46168</v>
      </c>
      <c r="D3258" s="34">
        <v>246322</v>
      </c>
      <c r="E3258" s="36" t="str">
        <f>IF(Table3[[#This Row],[Type Received]]=2,"CC",(IF(Table3[[#This Row],[Type Received]]=3,"BILL","ACH")))</f>
        <v>ACH</v>
      </c>
      <c r="F3258" s="35">
        <v>39.67</v>
      </c>
      <c r="G3258" s="14" t="str">
        <f>VLOOKUP(D3258,Table4[],3,FALSE)</f>
        <v>2</v>
      </c>
      <c r="H3258" s="15"/>
      <c r="I3258" s="15"/>
      <c r="J3258" s="15" t="s">
        <v>110</v>
      </c>
      <c r="K3258" s="15">
        <v>828305224</v>
      </c>
      <c r="L3258" s="15" t="s">
        <v>29</v>
      </c>
      <c r="M3258" s="15"/>
    </row>
    <row r="3259" spans="1:13" x14ac:dyDescent="0.25">
      <c r="A3259" s="23">
        <f t="shared" si="162"/>
        <v>246353</v>
      </c>
      <c r="B3259" s="14" t="str">
        <f t="shared" si="160"/>
        <v>Direct Debit (UMB Bank) - Credits</v>
      </c>
      <c r="C3259" s="37">
        <v>46168</v>
      </c>
      <c r="D3259" s="31">
        <v>246353</v>
      </c>
      <c r="E3259" s="33" t="str">
        <f>IF(Table3[[#This Row],[Type Received]]=2,"CC",(IF(Table3[[#This Row],[Type Received]]=3,"BILL","ACH")))</f>
        <v>ACH</v>
      </c>
      <c r="F3259" s="32">
        <v>33.51</v>
      </c>
      <c r="G3259" s="14" t="str">
        <f>VLOOKUP(D3259,Table4[],3,FALSE)</f>
        <v>1</v>
      </c>
      <c r="H3259" s="15"/>
      <c r="I3259" s="15"/>
      <c r="J3259" s="15" t="s">
        <v>110</v>
      </c>
      <c r="K3259" s="15">
        <v>828280990</v>
      </c>
      <c r="L3259" s="15" t="s">
        <v>29</v>
      </c>
      <c r="M3259" s="15" t="s">
        <v>29</v>
      </c>
    </row>
    <row r="3260" spans="1:13" x14ac:dyDescent="0.25">
      <c r="A3260" s="23">
        <f t="shared" si="162"/>
        <v>246370</v>
      </c>
      <c r="B3260" s="14" t="str">
        <f t="shared" si="160"/>
        <v>Direct Debit (UMB Bank) - Credits</v>
      </c>
      <c r="C3260" s="38">
        <v>46157</v>
      </c>
      <c r="D3260" s="34">
        <v>246370</v>
      </c>
      <c r="E3260" s="36" t="str">
        <f>IF(Table3[[#This Row],[Type Received]]=2,"CC",(IF(Table3[[#This Row],[Type Received]]=3,"BILL","ACH")))</f>
        <v>ACH</v>
      </c>
      <c r="F3260" s="35">
        <v>109.3</v>
      </c>
      <c r="G3260" s="14" t="str">
        <f>VLOOKUP(D3260,Table4[],3,FALSE)</f>
        <v>2</v>
      </c>
      <c r="H3260" s="15"/>
      <c r="I3260" s="15"/>
      <c r="J3260" s="15" t="s">
        <v>87</v>
      </c>
      <c r="K3260" s="15">
        <v>696792979</v>
      </c>
      <c r="L3260" s="15" t="s">
        <v>29</v>
      </c>
      <c r="M3260" s="15" t="s">
        <v>29</v>
      </c>
    </row>
    <row r="3261" spans="1:13" x14ac:dyDescent="0.25">
      <c r="A3261" s="23">
        <f t="shared" si="162"/>
        <v>246371</v>
      </c>
      <c r="B3261" s="14" t="str">
        <f t="shared" si="160"/>
        <v>Direct Debit (UMB Bank) - Credits</v>
      </c>
      <c r="C3261" s="37">
        <v>46168</v>
      </c>
      <c r="D3261" s="31">
        <v>246371</v>
      </c>
      <c r="E3261" s="33" t="str">
        <f>IF(Table3[[#This Row],[Type Received]]=2,"CC",(IF(Table3[[#This Row],[Type Received]]=3,"BILL","ACH")))</f>
        <v>ACH</v>
      </c>
      <c r="F3261" s="32">
        <v>61.45</v>
      </c>
      <c r="G3261" s="14" t="str">
        <f>VLOOKUP(D3261,Table4[],3,FALSE)</f>
        <v>2</v>
      </c>
      <c r="H3261" s="15"/>
      <c r="I3261" s="15"/>
      <c r="J3261" s="15" t="s">
        <v>110</v>
      </c>
      <c r="K3261" s="15">
        <v>828279095</v>
      </c>
      <c r="L3261" s="15" t="s">
        <v>29</v>
      </c>
      <c r="M3261" s="15" t="s">
        <v>29</v>
      </c>
    </row>
    <row r="3262" spans="1:13" x14ac:dyDescent="0.25">
      <c r="A3262" s="23">
        <f t="shared" si="162"/>
        <v>246373</v>
      </c>
      <c r="B3262" s="14" t="str">
        <f t="shared" si="160"/>
        <v>Direct Debit (UMB Bank) - Credits</v>
      </c>
      <c r="C3262" s="38">
        <v>46157</v>
      </c>
      <c r="D3262" s="34">
        <v>246373</v>
      </c>
      <c r="E3262" s="36" t="str">
        <f>IF(Table3[[#This Row],[Type Received]]=2,"CC",(IF(Table3[[#This Row],[Type Received]]=3,"BILL","ACH")))</f>
        <v>ACH</v>
      </c>
      <c r="F3262" s="35">
        <v>42.31</v>
      </c>
      <c r="G3262" s="14" t="str">
        <f>VLOOKUP(D3262,Table4[],3,FALSE)</f>
        <v>1</v>
      </c>
      <c r="H3262" s="15"/>
      <c r="I3262" s="15"/>
      <c r="J3262" s="15" t="s">
        <v>87</v>
      </c>
      <c r="K3262" s="15">
        <v>696815233</v>
      </c>
      <c r="L3262" s="15" t="s">
        <v>29</v>
      </c>
      <c r="M3262" s="15"/>
    </row>
    <row r="3263" spans="1:13" x14ac:dyDescent="0.25">
      <c r="A3263" s="23">
        <f t="shared" si="162"/>
        <v>246374</v>
      </c>
      <c r="B3263" s="14" t="str">
        <f t="shared" si="160"/>
        <v>Credit Cards (UMB) - Credits</v>
      </c>
      <c r="C3263" s="37">
        <v>46157</v>
      </c>
      <c r="D3263" s="31">
        <v>246374</v>
      </c>
      <c r="E3263" s="33" t="str">
        <f>IF(Table3[[#This Row],[Type Received]]=2,"CC",(IF(Table3[[#This Row],[Type Received]]=3,"BILL","ACH")))</f>
        <v>CC</v>
      </c>
      <c r="F3263" s="32">
        <v>77.95</v>
      </c>
      <c r="G3263" s="14" t="str">
        <f>VLOOKUP(D3263,Table4[],3,FALSE)</f>
        <v>2</v>
      </c>
      <c r="H3263" s="15"/>
      <c r="I3263" s="15"/>
      <c r="J3263" s="24" t="s">
        <v>87</v>
      </c>
      <c r="K3263" s="15">
        <v>696802730</v>
      </c>
      <c r="L3263" s="15" t="s">
        <v>29</v>
      </c>
      <c r="M3263" s="15" t="s">
        <v>29</v>
      </c>
    </row>
    <row r="3264" spans="1:13" x14ac:dyDescent="0.25">
      <c r="A3264" s="23">
        <f t="shared" si="162"/>
        <v>246381</v>
      </c>
      <c r="B3264" s="14" t="str">
        <f t="shared" si="160"/>
        <v>Direct Debit (UMB Bank) - Credits</v>
      </c>
      <c r="C3264" s="38">
        <v>46145</v>
      </c>
      <c r="D3264" s="34">
        <v>246381</v>
      </c>
      <c r="E3264" s="36" t="str">
        <f>IF(Table3[[#This Row],[Type Received]]=2,"CC",(IF(Table3[[#This Row],[Type Received]]=3,"BILL","ACH")))</f>
        <v>ACH</v>
      </c>
      <c r="F3264" s="35">
        <v>49.9</v>
      </c>
      <c r="G3264" s="14" t="str">
        <f>VLOOKUP(D3264,Table4[],3,FALSE)</f>
        <v>2</v>
      </c>
      <c r="H3264" s="15"/>
      <c r="I3264" s="15">
        <v>70549</v>
      </c>
      <c r="J3264" s="15" t="s">
        <v>28</v>
      </c>
      <c r="K3264" s="15">
        <v>546436744</v>
      </c>
      <c r="L3264" s="15" t="s">
        <v>29</v>
      </c>
      <c r="M3264" s="15"/>
    </row>
    <row r="3265" spans="1:13" x14ac:dyDescent="0.25">
      <c r="A3265" s="23">
        <f t="shared" si="162"/>
        <v>246387</v>
      </c>
      <c r="B3265" s="14" t="str">
        <f t="shared" si="160"/>
        <v>Direct Debit (UMB Bank) - Credits</v>
      </c>
      <c r="C3265" s="37">
        <v>46157</v>
      </c>
      <c r="D3265" s="31">
        <v>246387</v>
      </c>
      <c r="E3265" s="33" t="str">
        <f>IF(Table3[[#This Row],[Type Received]]=2,"CC",(IF(Table3[[#This Row],[Type Received]]=3,"BILL","ACH")))</f>
        <v>ACH</v>
      </c>
      <c r="F3265" s="32">
        <v>123.82</v>
      </c>
      <c r="G3265" s="14" t="str">
        <f>VLOOKUP(D3265,Table4[],3,FALSE)</f>
        <v>2</v>
      </c>
      <c r="H3265" s="15"/>
      <c r="I3265" s="15"/>
      <c r="J3265" s="24" t="s">
        <v>87</v>
      </c>
      <c r="K3265" s="15">
        <v>696792033</v>
      </c>
      <c r="L3265" s="15" t="s">
        <v>29</v>
      </c>
      <c r="M3265" s="15"/>
    </row>
    <row r="3266" spans="1:13" x14ac:dyDescent="0.25">
      <c r="A3266" s="23">
        <f t="shared" si="162"/>
        <v>246398</v>
      </c>
      <c r="B3266" s="14" t="str">
        <f t="shared" ref="B3266:B3329" si="163">IF(AND(E3266="BILL",F3266&lt;0),"Billing &amp; Direct Debit - Refunds",(IF(AND(E3266="BILL",F3266&gt;0),"Billing - Credits (from TPA)",(IF(AND(E3266="CC",F3266&lt;0),"Credit Cards (UMB) - Refunds",(IF(AND(E3266="CC",F3266&gt;0),"Credit Cards (UMB) - Credits",(IF(AND(E3266="ACH",F3266&gt;0),"Direct Debit (UMB Bank) - Credits","Direct Debit (UMB Bank) - Returned Items")))))))))</f>
        <v>Direct Debit (UMB Bank) - Credits</v>
      </c>
      <c r="C3266" s="38">
        <v>46157</v>
      </c>
      <c r="D3266" s="34">
        <v>246398</v>
      </c>
      <c r="E3266" s="36" t="str">
        <f>IF(Table3[[#This Row],[Type Received]]=2,"CC",(IF(Table3[[#This Row],[Type Received]]=3,"BILL","ACH")))</f>
        <v>ACH</v>
      </c>
      <c r="F3266" s="35">
        <v>114.25</v>
      </c>
      <c r="G3266" s="14" t="str">
        <f>VLOOKUP(D3266,Table4[],3,FALSE)</f>
        <v>1</v>
      </c>
      <c r="H3266" s="15"/>
      <c r="I3266" s="15"/>
      <c r="J3266" s="15" t="s">
        <v>87</v>
      </c>
      <c r="K3266" s="15">
        <v>696807620</v>
      </c>
      <c r="L3266" s="15" t="s">
        <v>29</v>
      </c>
      <c r="M3266" s="15" t="s">
        <v>29</v>
      </c>
    </row>
    <row r="3267" spans="1:13" x14ac:dyDescent="0.25">
      <c r="A3267" s="23">
        <f t="shared" si="162"/>
        <v>246406</v>
      </c>
      <c r="B3267" s="14" t="str">
        <f t="shared" si="163"/>
        <v>Direct Debit (UMB Bank) - Credits</v>
      </c>
      <c r="C3267" s="37">
        <v>46145</v>
      </c>
      <c r="D3267" s="31">
        <v>246406</v>
      </c>
      <c r="E3267" s="33" t="str">
        <f>IF(Table3[[#This Row],[Type Received]]=2,"CC",(IF(Table3[[#This Row],[Type Received]]=3,"BILL","ACH")))</f>
        <v>ACH</v>
      </c>
      <c r="F3267" s="32">
        <v>77.069999999999993</v>
      </c>
      <c r="G3267" s="14" t="str">
        <f>VLOOKUP(D3267,Table4[],3,FALSE)</f>
        <v>1</v>
      </c>
      <c r="H3267" s="15"/>
      <c r="I3267" s="15"/>
      <c r="J3267" s="15" t="s">
        <v>113</v>
      </c>
      <c r="K3267" s="15">
        <v>546435807</v>
      </c>
      <c r="L3267" s="15" t="s">
        <v>29</v>
      </c>
      <c r="M3267" s="15"/>
    </row>
    <row r="3268" spans="1:13" x14ac:dyDescent="0.25">
      <c r="A3268" s="23">
        <f t="shared" si="162"/>
        <v>246435</v>
      </c>
      <c r="B3268" s="14" t="str">
        <f t="shared" si="163"/>
        <v>Direct Debit (UMB Bank) - Credits</v>
      </c>
      <c r="C3268" s="38">
        <v>46157</v>
      </c>
      <c r="D3268" s="34">
        <v>246435</v>
      </c>
      <c r="E3268" s="36" t="str">
        <f>IF(Table3[[#This Row],[Type Received]]=2,"CC",(IF(Table3[[#This Row],[Type Received]]=3,"BILL","ACH")))</f>
        <v>ACH</v>
      </c>
      <c r="F3268" s="35">
        <v>54.95</v>
      </c>
      <c r="G3268" s="14" t="str">
        <f>VLOOKUP(D3268,Table4[],3,FALSE)</f>
        <v>1</v>
      </c>
      <c r="H3268" s="15"/>
      <c r="I3268" s="15"/>
      <c r="J3268" s="15" t="s">
        <v>87</v>
      </c>
      <c r="K3268" s="15">
        <v>696815289</v>
      </c>
      <c r="L3268" s="15" t="s">
        <v>29</v>
      </c>
      <c r="M3268" s="15" t="s">
        <v>29</v>
      </c>
    </row>
    <row r="3269" spans="1:13" x14ac:dyDescent="0.25">
      <c r="A3269" s="23">
        <f t="shared" si="162"/>
        <v>246436</v>
      </c>
      <c r="B3269" s="14" t="str">
        <f t="shared" si="163"/>
        <v>Direct Debit (UMB Bank) - Credits</v>
      </c>
      <c r="C3269" s="37">
        <v>46168</v>
      </c>
      <c r="D3269" s="31">
        <v>246436</v>
      </c>
      <c r="E3269" s="33" t="str">
        <f>IF(Table3[[#This Row],[Type Received]]=2,"CC",(IF(Table3[[#This Row],[Type Received]]=3,"BILL","ACH")))</f>
        <v>ACH</v>
      </c>
      <c r="F3269" s="32">
        <v>56.95</v>
      </c>
      <c r="G3269" s="14" t="str">
        <f>VLOOKUP(D3269,Table4[],3,FALSE)</f>
        <v>1</v>
      </c>
      <c r="H3269" s="15"/>
      <c r="I3269" s="15"/>
      <c r="J3269" s="15" t="s">
        <v>110</v>
      </c>
      <c r="K3269" s="15">
        <v>828286736</v>
      </c>
      <c r="L3269" s="15" t="s">
        <v>29</v>
      </c>
      <c r="M3269" s="15" t="s">
        <v>29</v>
      </c>
    </row>
    <row r="3270" spans="1:13" x14ac:dyDescent="0.25">
      <c r="A3270" s="23">
        <f t="shared" si="162"/>
        <v>246447</v>
      </c>
      <c r="B3270" s="14" t="str">
        <f t="shared" si="163"/>
        <v>Direct Debit (UMB Bank) - Credits</v>
      </c>
      <c r="C3270" s="38">
        <v>46145</v>
      </c>
      <c r="D3270" s="34">
        <v>246447</v>
      </c>
      <c r="E3270" s="36" t="str">
        <f>IF(Table3[[#This Row],[Type Received]]=2,"CC",(IF(Table3[[#This Row],[Type Received]]=3,"BILL","ACH")))</f>
        <v>ACH</v>
      </c>
      <c r="F3270" s="35">
        <v>58.81</v>
      </c>
      <c r="G3270" s="14" t="str">
        <f>VLOOKUP(D3270,Table4[],3,FALSE)</f>
        <v>1</v>
      </c>
      <c r="H3270" s="15"/>
      <c r="I3270" s="15"/>
      <c r="J3270" s="15" t="s">
        <v>113</v>
      </c>
      <c r="K3270" s="15">
        <v>546445497</v>
      </c>
      <c r="L3270" s="15" t="s">
        <v>29</v>
      </c>
      <c r="M3270" s="15" t="s">
        <v>29</v>
      </c>
    </row>
    <row r="3271" spans="1:13" x14ac:dyDescent="0.25">
      <c r="A3271" s="23">
        <f t="shared" si="162"/>
        <v>246459</v>
      </c>
      <c r="B3271" s="14" t="str">
        <f t="shared" si="163"/>
        <v>Credit Cards (UMB) - Credits</v>
      </c>
      <c r="C3271" s="37">
        <v>46145</v>
      </c>
      <c r="D3271" s="31">
        <v>246459</v>
      </c>
      <c r="E3271" s="33" t="str">
        <f>IF(Table3[[#This Row],[Type Received]]=2,"CC",(IF(Table3[[#This Row],[Type Received]]=3,"BILL","ACH")))</f>
        <v>CC</v>
      </c>
      <c r="F3271" s="32">
        <v>103.69</v>
      </c>
      <c r="G3271" s="14" t="str">
        <f>VLOOKUP(D3271,Table4[],3,FALSE)</f>
        <v>1</v>
      </c>
      <c r="H3271" s="15"/>
      <c r="I3271" s="15"/>
      <c r="J3271" s="15" t="s">
        <v>113</v>
      </c>
      <c r="K3271" s="15">
        <v>546439679</v>
      </c>
      <c r="L3271" s="15" t="s">
        <v>29</v>
      </c>
      <c r="M3271" s="15"/>
    </row>
    <row r="3272" spans="1:13" x14ac:dyDescent="0.25">
      <c r="A3272" s="23">
        <f t="shared" si="162"/>
        <v>246487</v>
      </c>
      <c r="B3272" s="14" t="str">
        <f t="shared" si="163"/>
        <v>Credit Cards (UMB) - Credits</v>
      </c>
      <c r="C3272" s="38">
        <v>46166</v>
      </c>
      <c r="D3272" s="34">
        <v>246487</v>
      </c>
      <c r="E3272" s="36" t="str">
        <f>IF(Table3[[#This Row],[Type Received]]=2,"CC",(IF(Table3[[#This Row],[Type Received]]=3,"BILL","ACH")))</f>
        <v>CC</v>
      </c>
      <c r="F3272" s="35">
        <v>109.3</v>
      </c>
      <c r="G3272" s="14" t="str">
        <f>VLOOKUP(D3272,Table4[],3,FALSE)</f>
        <v>1</v>
      </c>
      <c r="H3272" s="15"/>
      <c r="I3272" s="15">
        <v>666089</v>
      </c>
      <c r="J3272" s="15">
        <v>748427872</v>
      </c>
      <c r="K3272" s="15">
        <v>355661345</v>
      </c>
      <c r="L3272" s="15"/>
      <c r="M3272" s="15"/>
    </row>
    <row r="3273" spans="1:13" x14ac:dyDescent="0.25">
      <c r="A3273" s="23">
        <f t="shared" si="162"/>
        <v>246496</v>
      </c>
      <c r="B3273" s="14" t="str">
        <f t="shared" si="163"/>
        <v>Direct Debit (UMB Bank) - Credits</v>
      </c>
      <c r="C3273" s="37">
        <v>46162</v>
      </c>
      <c r="D3273" s="31">
        <v>246496</v>
      </c>
      <c r="E3273" s="33" t="str">
        <f>IF(Table3[[#This Row],[Type Received]]=2,"CC",(IF(Table3[[#This Row],[Type Received]]=3,"BILL","ACH")))</f>
        <v>ACH</v>
      </c>
      <c r="F3273" s="32">
        <v>33.479999999999997</v>
      </c>
      <c r="G3273" s="14" t="str">
        <f>VLOOKUP(D3273,Table4[],3,FALSE)</f>
        <v>2</v>
      </c>
      <c r="H3273" s="15"/>
      <c r="I3273" s="15">
        <v>146030</v>
      </c>
      <c r="J3273" s="15">
        <v>747121142</v>
      </c>
      <c r="K3273" s="15">
        <v>355207861</v>
      </c>
      <c r="L3273" s="15"/>
      <c r="M3273" s="15" t="s">
        <v>29</v>
      </c>
    </row>
    <row r="3274" spans="1:13" x14ac:dyDescent="0.25">
      <c r="A3274" s="23">
        <f t="shared" si="162"/>
        <v>246499</v>
      </c>
      <c r="B3274" s="14" t="str">
        <f t="shared" si="163"/>
        <v>Direct Debit (UMB Bank) - Credits</v>
      </c>
      <c r="C3274" s="38">
        <v>46145</v>
      </c>
      <c r="D3274" s="34">
        <v>246499</v>
      </c>
      <c r="E3274" s="36" t="str">
        <f>IF(Table3[[#This Row],[Type Received]]=2,"CC",(IF(Table3[[#This Row],[Type Received]]=3,"BILL","ACH")))</f>
        <v>ACH</v>
      </c>
      <c r="F3274" s="35">
        <v>54.91</v>
      </c>
      <c r="G3274" s="14" t="str">
        <f>VLOOKUP(D3274,Table4[],3,FALSE)</f>
        <v>1</v>
      </c>
      <c r="H3274" s="15"/>
      <c r="I3274" s="15"/>
      <c r="J3274" s="15" t="s">
        <v>113</v>
      </c>
      <c r="K3274" s="15">
        <v>546440800</v>
      </c>
      <c r="L3274" s="15" t="s">
        <v>29</v>
      </c>
      <c r="M3274" s="15" t="s">
        <v>29</v>
      </c>
    </row>
    <row r="3275" spans="1:13" x14ac:dyDescent="0.25">
      <c r="A3275" s="23">
        <f t="shared" si="162"/>
        <v>246547</v>
      </c>
      <c r="B3275" s="14" t="str">
        <f t="shared" si="163"/>
        <v>Direct Debit (UMB Bank) - Credits</v>
      </c>
      <c r="C3275" s="37">
        <v>46168</v>
      </c>
      <c r="D3275" s="31">
        <v>246547</v>
      </c>
      <c r="E3275" s="33" t="str">
        <f>IF(Table3[[#This Row],[Type Received]]=2,"CC",(IF(Table3[[#This Row],[Type Received]]=3,"BILL","ACH")))</f>
        <v>ACH</v>
      </c>
      <c r="F3275" s="32">
        <v>68.11</v>
      </c>
      <c r="G3275" s="14" t="str">
        <f>VLOOKUP(D3275,Table4[],3,FALSE)</f>
        <v>2</v>
      </c>
      <c r="H3275" s="15"/>
      <c r="I3275" s="15"/>
      <c r="J3275" s="15" t="s">
        <v>110</v>
      </c>
      <c r="K3275" s="15">
        <v>828292494</v>
      </c>
      <c r="L3275" s="15" t="s">
        <v>29</v>
      </c>
      <c r="M3275" s="15"/>
    </row>
    <row r="3276" spans="1:13" x14ac:dyDescent="0.25">
      <c r="A3276" s="23">
        <f t="shared" si="162"/>
        <v>246552</v>
      </c>
      <c r="B3276" s="14" t="str">
        <f t="shared" si="163"/>
        <v>Direct Debit (UMB Bank) - Credits</v>
      </c>
      <c r="C3276" s="38">
        <v>46145</v>
      </c>
      <c r="D3276" s="34">
        <v>246552</v>
      </c>
      <c r="E3276" s="36" t="str">
        <f>IF(Table3[[#This Row],[Type Received]]=2,"CC",(IF(Table3[[#This Row],[Type Received]]=3,"BILL","ACH")))</f>
        <v>ACH</v>
      </c>
      <c r="F3276" s="35">
        <v>63.71</v>
      </c>
      <c r="G3276" s="14" t="str">
        <f>VLOOKUP(D3276,Table4[],3,FALSE)</f>
        <v>1</v>
      </c>
      <c r="H3276" s="15"/>
      <c r="I3276" s="15"/>
      <c r="J3276" s="15" t="s">
        <v>113</v>
      </c>
      <c r="K3276" s="15">
        <v>546429049</v>
      </c>
      <c r="L3276" s="15" t="s">
        <v>29</v>
      </c>
      <c r="M3276" s="15"/>
    </row>
    <row r="3277" spans="1:13" x14ac:dyDescent="0.25">
      <c r="A3277" s="23">
        <f t="shared" si="162"/>
        <v>246560</v>
      </c>
      <c r="B3277" s="14" t="str">
        <f t="shared" si="163"/>
        <v>Direct Debit (UMB Bank) - Credits</v>
      </c>
      <c r="C3277" s="37">
        <v>46157</v>
      </c>
      <c r="D3277" s="31">
        <v>246560</v>
      </c>
      <c r="E3277" s="33" t="str">
        <f>IF(Table3[[#This Row],[Type Received]]=2,"CC",(IF(Table3[[#This Row],[Type Received]]=3,"BILL","ACH")))</f>
        <v>ACH</v>
      </c>
      <c r="F3277" s="32">
        <v>154.26</v>
      </c>
      <c r="G3277" s="14" t="str">
        <f>VLOOKUP(D3277,Table4[],3,FALSE)</f>
        <v>1</v>
      </c>
      <c r="H3277" s="15"/>
      <c r="I3277" s="15"/>
      <c r="J3277" s="15" t="s">
        <v>87</v>
      </c>
      <c r="K3277" s="15">
        <v>698190488</v>
      </c>
      <c r="L3277" s="15" t="s">
        <v>29</v>
      </c>
      <c r="M3277" s="15" t="s">
        <v>29</v>
      </c>
    </row>
    <row r="3278" spans="1:13" x14ac:dyDescent="0.25">
      <c r="A3278" s="23">
        <f t="shared" si="162"/>
        <v>246619</v>
      </c>
      <c r="B3278" s="14" t="str">
        <f t="shared" si="163"/>
        <v>Billing - Credits (from TPA)</v>
      </c>
      <c r="C3278" s="38">
        <v>46157</v>
      </c>
      <c r="D3278" s="34">
        <v>246619</v>
      </c>
      <c r="E3278" s="36" t="str">
        <f>IF(Table3[[#This Row],[Type Received]]=2,"CC",(IF(Table3[[#This Row],[Type Received]]=3,"BILL","ACH")))</f>
        <v>BILL</v>
      </c>
      <c r="F3278" s="35">
        <v>82.3</v>
      </c>
      <c r="G3278" s="14" t="str">
        <f>VLOOKUP(D3278,Table4[],3,FALSE)</f>
        <v>2</v>
      </c>
      <c r="H3278" s="15"/>
      <c r="I3278" s="15"/>
      <c r="J3278" s="15" t="s">
        <v>87</v>
      </c>
      <c r="K3278" s="15">
        <v>696820132</v>
      </c>
      <c r="L3278" s="15" t="s">
        <v>29</v>
      </c>
      <c r="M3278" s="15"/>
    </row>
    <row r="3279" spans="1:13" x14ac:dyDescent="0.25">
      <c r="A3279" s="23">
        <f t="shared" si="162"/>
        <v>246637</v>
      </c>
      <c r="B3279" s="14" t="str">
        <f t="shared" si="163"/>
        <v>Credit Cards (UMB) - Credits</v>
      </c>
      <c r="C3279" s="37">
        <v>46146</v>
      </c>
      <c r="D3279" s="31">
        <v>246637</v>
      </c>
      <c r="E3279" s="33" t="str">
        <f>IF(Table3[[#This Row],[Type Received]]=2,"CC",(IF(Table3[[#This Row],[Type Received]]=3,"BILL","ACH")))</f>
        <v>CC</v>
      </c>
      <c r="F3279" s="32">
        <v>69.010000000000005</v>
      </c>
      <c r="G3279" s="14" t="str">
        <f>VLOOKUP(D3279,Table4[],3,FALSE)</f>
        <v>1</v>
      </c>
      <c r="H3279" s="15">
        <v>5354</v>
      </c>
      <c r="I3279" s="15"/>
      <c r="J3279" s="15"/>
      <c r="K3279" s="15"/>
      <c r="L3279" s="15"/>
      <c r="M3279" s="15" t="s">
        <v>29</v>
      </c>
    </row>
    <row r="3280" spans="1:13" x14ac:dyDescent="0.25">
      <c r="A3280" s="23">
        <f t="shared" si="162"/>
        <v>246653</v>
      </c>
      <c r="B3280" s="14" t="str">
        <f t="shared" si="163"/>
        <v>Direct Debit (UMB Bank) - Credits</v>
      </c>
      <c r="C3280" s="38">
        <v>46155</v>
      </c>
      <c r="D3280" s="34">
        <v>246653</v>
      </c>
      <c r="E3280" s="36" t="str">
        <f>IF(Table3[[#This Row],[Type Received]]=2,"CC",(IF(Table3[[#This Row],[Type Received]]=3,"BILL","ACH")))</f>
        <v>ACH</v>
      </c>
      <c r="F3280" s="35">
        <v>59.55</v>
      </c>
      <c r="G3280" s="14" t="str">
        <f>VLOOKUP(D3280,Table4[],3,FALSE)</f>
        <v>2</v>
      </c>
      <c r="H3280" s="15"/>
      <c r="I3280" s="15">
        <v>284163</v>
      </c>
      <c r="J3280" s="15">
        <v>744917848</v>
      </c>
      <c r="K3280" s="15">
        <v>354442503</v>
      </c>
      <c r="L3280" s="15"/>
      <c r="M3280" s="15"/>
    </row>
    <row r="3281" spans="1:13" x14ac:dyDescent="0.25">
      <c r="A3281" s="23">
        <f t="shared" si="162"/>
        <v>246681</v>
      </c>
      <c r="B3281" s="14" t="str">
        <f t="shared" si="163"/>
        <v>Credit Cards (UMB) - Credits</v>
      </c>
      <c r="C3281" s="37">
        <v>46145</v>
      </c>
      <c r="D3281" s="31">
        <v>246681</v>
      </c>
      <c r="E3281" s="33" t="str">
        <f>IF(Table3[[#This Row],[Type Received]]=2,"CC",(IF(Table3[[#This Row],[Type Received]]=3,"BILL","ACH")))</f>
        <v>CC</v>
      </c>
      <c r="F3281" s="32">
        <v>41.05</v>
      </c>
      <c r="G3281" s="14" t="str">
        <f>VLOOKUP(D3281,Table4[],3,FALSE)</f>
        <v>2</v>
      </c>
      <c r="H3281" s="15"/>
      <c r="I3281" s="15"/>
      <c r="J3281" s="15" t="s">
        <v>113</v>
      </c>
      <c r="K3281" s="15">
        <v>546455173</v>
      </c>
      <c r="L3281" s="15" t="s">
        <v>29</v>
      </c>
      <c r="M3281" s="15" t="s">
        <v>29</v>
      </c>
    </row>
    <row r="3282" spans="1:13" x14ac:dyDescent="0.25">
      <c r="A3282" s="23">
        <f t="shared" si="162"/>
        <v>246686</v>
      </c>
      <c r="B3282" s="14" t="str">
        <f t="shared" si="163"/>
        <v>Billing - Credits (from TPA)</v>
      </c>
      <c r="C3282" s="38">
        <v>46148</v>
      </c>
      <c r="D3282" s="34">
        <v>246686</v>
      </c>
      <c r="E3282" s="36" t="str">
        <f>IF(Table3[[#This Row],[Type Received]]=2,"CC",(IF(Table3[[#This Row],[Type Received]]=3,"BILL","ACH")))</f>
        <v>BILL</v>
      </c>
      <c r="F3282" s="35">
        <v>72.290000000000006</v>
      </c>
      <c r="G3282" s="14" t="str">
        <f>VLOOKUP(D3282,Table4[],3,FALSE)</f>
        <v>1</v>
      </c>
      <c r="H3282" s="15"/>
      <c r="I3282" s="15">
        <v>90004</v>
      </c>
      <c r="J3282" s="15" t="s">
        <v>28</v>
      </c>
      <c r="K3282" s="15">
        <v>582126792</v>
      </c>
      <c r="L3282" s="15" t="s">
        <v>29</v>
      </c>
      <c r="M3282" s="15" t="s">
        <v>29</v>
      </c>
    </row>
    <row r="3283" spans="1:13" x14ac:dyDescent="0.25">
      <c r="A3283" s="23">
        <f t="shared" si="162"/>
        <v>246689</v>
      </c>
      <c r="B3283" s="14" t="str">
        <f t="shared" si="163"/>
        <v>Credit Cards (UMB) - Credits</v>
      </c>
      <c r="C3283" s="37">
        <v>46156</v>
      </c>
      <c r="D3283" s="31">
        <v>246689</v>
      </c>
      <c r="E3283" s="33" t="str">
        <f>IF(Table3[[#This Row],[Type Received]]=2,"CC",(IF(Table3[[#This Row],[Type Received]]=3,"BILL","ACH")))</f>
        <v>CC</v>
      </c>
      <c r="F3283" s="32">
        <v>133.94</v>
      </c>
      <c r="G3283" s="14" t="str">
        <f>VLOOKUP(D3283,Table4[],3,FALSE)</f>
        <v>2</v>
      </c>
      <c r="H3283" s="15">
        <v>7817</v>
      </c>
      <c r="I3283" s="15"/>
      <c r="J3283" s="24"/>
      <c r="K3283" s="15"/>
      <c r="L3283" s="15"/>
      <c r="M3283" s="15"/>
    </row>
    <row r="3284" spans="1:13" x14ac:dyDescent="0.25">
      <c r="A3284" s="23">
        <f t="shared" ref="A3284:A3315" si="164">D3284</f>
        <v>246719</v>
      </c>
      <c r="B3284" s="14" t="str">
        <f t="shared" si="163"/>
        <v>Direct Debit (UMB Bank) - Credits</v>
      </c>
      <c r="C3284" s="38">
        <v>46155</v>
      </c>
      <c r="D3284" s="34">
        <v>246719</v>
      </c>
      <c r="E3284" s="36" t="str">
        <f>IF(Table3[[#This Row],[Type Received]]=2,"CC",(IF(Table3[[#This Row],[Type Received]]=3,"BILL","ACH")))</f>
        <v>ACH</v>
      </c>
      <c r="F3284" s="35">
        <v>128.77000000000001</v>
      </c>
      <c r="G3284" s="14" t="str">
        <f>VLOOKUP(D3284,Table4[],3,FALSE)</f>
        <v>2</v>
      </c>
      <c r="H3284" s="15"/>
      <c r="I3284" s="15">
        <v>101270</v>
      </c>
      <c r="J3284" s="15" t="s">
        <v>28</v>
      </c>
      <c r="K3284" s="15">
        <v>669486988</v>
      </c>
      <c r="L3284" s="15" t="s">
        <v>29</v>
      </c>
      <c r="M3284" s="15" t="s">
        <v>29</v>
      </c>
    </row>
    <row r="3285" spans="1:13" x14ac:dyDescent="0.25">
      <c r="A3285" s="23">
        <f t="shared" si="164"/>
        <v>246735</v>
      </c>
      <c r="B3285" s="14" t="str">
        <f t="shared" si="163"/>
        <v>Credit Cards (UMB) - Credits</v>
      </c>
      <c r="C3285" s="37">
        <v>46155</v>
      </c>
      <c r="D3285" s="31">
        <v>246735</v>
      </c>
      <c r="E3285" s="33" t="str">
        <f>IF(Table3[[#This Row],[Type Received]]=2,"CC",(IF(Table3[[#This Row],[Type Received]]=3,"BILL","ACH")))</f>
        <v>CC</v>
      </c>
      <c r="F3285" s="32">
        <v>181.96</v>
      </c>
      <c r="G3285" s="14" t="str">
        <f>VLOOKUP(D3285,Table4[],3,FALSE)</f>
        <v>2</v>
      </c>
      <c r="H3285" s="15"/>
      <c r="I3285" s="15"/>
      <c r="J3285" s="15" t="s">
        <v>90</v>
      </c>
      <c r="K3285" s="15">
        <v>669509794</v>
      </c>
      <c r="L3285" s="15" t="s">
        <v>29</v>
      </c>
      <c r="M3285" s="15" t="s">
        <v>29</v>
      </c>
    </row>
    <row r="3286" spans="1:13" x14ac:dyDescent="0.25">
      <c r="A3286" s="23">
        <f t="shared" si="164"/>
        <v>246773</v>
      </c>
      <c r="B3286" s="14" t="str">
        <f t="shared" si="163"/>
        <v>Billing - Credits (from TPA)</v>
      </c>
      <c r="C3286" s="38">
        <v>46163</v>
      </c>
      <c r="D3286" s="34">
        <v>246773</v>
      </c>
      <c r="E3286" s="36" t="str">
        <f>IF(Table3[[#This Row],[Type Received]]=2,"CC",(IF(Table3[[#This Row],[Type Received]]=3,"BILL","ACH")))</f>
        <v>BILL</v>
      </c>
      <c r="F3286" s="35">
        <v>118.27</v>
      </c>
      <c r="G3286" s="14" t="str">
        <f>VLOOKUP(D3286,Table4[],3,FALSE)</f>
        <v>2</v>
      </c>
      <c r="H3286" s="15"/>
      <c r="I3286" s="15">
        <v>21255</v>
      </c>
      <c r="J3286" s="24" t="s">
        <v>28</v>
      </c>
      <c r="K3286" s="15">
        <v>773244391</v>
      </c>
      <c r="L3286" s="15" t="s">
        <v>29</v>
      </c>
      <c r="M3286" s="15"/>
    </row>
    <row r="3287" spans="1:13" x14ac:dyDescent="0.25">
      <c r="A3287" s="23">
        <f t="shared" si="164"/>
        <v>246782</v>
      </c>
      <c r="B3287" s="14" t="str">
        <f t="shared" si="163"/>
        <v>Direct Debit (UMB Bank) - Credits</v>
      </c>
      <c r="C3287" s="37">
        <v>46170</v>
      </c>
      <c r="D3287" s="31">
        <v>246782</v>
      </c>
      <c r="E3287" s="33" t="str">
        <f>IF(Table3[[#This Row],[Type Received]]=2,"CC",(IF(Table3[[#This Row],[Type Received]]=3,"BILL","ACH")))</f>
        <v>ACH</v>
      </c>
      <c r="F3287" s="32">
        <v>184.1</v>
      </c>
      <c r="G3287" s="14" t="str">
        <f>VLOOKUP(D3287,Table4[],3,FALSE)</f>
        <v>2</v>
      </c>
      <c r="H3287" s="15">
        <v>2811</v>
      </c>
      <c r="I3287" s="15"/>
      <c r="J3287" s="15"/>
      <c r="K3287" s="15"/>
      <c r="L3287" s="15"/>
      <c r="M3287" s="15" t="s">
        <v>29</v>
      </c>
    </row>
    <row r="3288" spans="1:13" x14ac:dyDescent="0.25">
      <c r="A3288" s="23">
        <f t="shared" si="164"/>
        <v>246784</v>
      </c>
      <c r="B3288" s="14" t="str">
        <f t="shared" si="163"/>
        <v>Credit Cards (UMB) - Credits</v>
      </c>
      <c r="C3288" s="38">
        <v>46157</v>
      </c>
      <c r="D3288" s="34">
        <v>246784</v>
      </c>
      <c r="E3288" s="36" t="str">
        <f>IF(Table3[[#This Row],[Type Received]]=2,"CC",(IF(Table3[[#This Row],[Type Received]]=3,"BILL","ACH")))</f>
        <v>CC</v>
      </c>
      <c r="F3288" s="35">
        <v>35.33</v>
      </c>
      <c r="G3288" s="14" t="str">
        <f>VLOOKUP(D3288,Table4[],3,FALSE)</f>
        <v>1</v>
      </c>
      <c r="H3288" s="15"/>
      <c r="I3288" s="15"/>
      <c r="J3288" s="15" t="s">
        <v>87</v>
      </c>
      <c r="K3288" s="15">
        <v>696792087</v>
      </c>
      <c r="L3288" s="15" t="s">
        <v>29</v>
      </c>
      <c r="M3288" s="15" t="s">
        <v>29</v>
      </c>
    </row>
    <row r="3289" spans="1:13" x14ac:dyDescent="0.25">
      <c r="A3289" s="23">
        <f t="shared" si="164"/>
        <v>246830</v>
      </c>
      <c r="B3289" s="14" t="str">
        <f t="shared" si="163"/>
        <v>Direct Debit (UMB Bank) - Credits</v>
      </c>
      <c r="C3289" s="37">
        <v>46145</v>
      </c>
      <c r="D3289" s="31">
        <v>246830</v>
      </c>
      <c r="E3289" s="33" t="str">
        <f>IF(Table3[[#This Row],[Type Received]]=2,"CC",(IF(Table3[[#This Row],[Type Received]]=3,"BILL","ACH")))</f>
        <v>ACH</v>
      </c>
      <c r="F3289" s="32">
        <v>62.95</v>
      </c>
      <c r="G3289" s="14" t="str">
        <f>VLOOKUP(D3289,Table4[],3,FALSE)</f>
        <v>1</v>
      </c>
      <c r="H3289" s="15"/>
      <c r="I3289" s="15" t="s">
        <v>284</v>
      </c>
      <c r="J3289" s="15" t="s">
        <v>28</v>
      </c>
      <c r="K3289" s="15">
        <v>546454193</v>
      </c>
      <c r="L3289" s="15" t="s">
        <v>29</v>
      </c>
      <c r="M3289" s="15" t="s">
        <v>29</v>
      </c>
    </row>
    <row r="3290" spans="1:13" x14ac:dyDescent="0.25">
      <c r="A3290" s="23">
        <f t="shared" si="164"/>
        <v>246846</v>
      </c>
      <c r="B3290" s="14" t="str">
        <f t="shared" si="163"/>
        <v>Credit Cards (UMB) - Credits</v>
      </c>
      <c r="C3290" s="38">
        <v>46168</v>
      </c>
      <c r="D3290" s="34">
        <v>246846</v>
      </c>
      <c r="E3290" s="36" t="str">
        <f>IF(Table3[[#This Row],[Type Received]]=2,"CC",(IF(Table3[[#This Row],[Type Received]]=3,"BILL","ACH")))</f>
        <v>CC</v>
      </c>
      <c r="F3290" s="35">
        <v>35.549999999999997</v>
      </c>
      <c r="G3290" s="14" t="str">
        <f>VLOOKUP(D3290,Table4[],3,FALSE)</f>
        <v>1</v>
      </c>
      <c r="H3290" s="15"/>
      <c r="I3290" s="15"/>
      <c r="J3290" s="15" t="s">
        <v>110</v>
      </c>
      <c r="K3290" s="15">
        <v>828298491</v>
      </c>
      <c r="L3290" s="15" t="s">
        <v>29</v>
      </c>
      <c r="M3290" s="15" t="s">
        <v>29</v>
      </c>
    </row>
    <row r="3291" spans="1:13" x14ac:dyDescent="0.25">
      <c r="A3291" s="23">
        <f t="shared" si="164"/>
        <v>246894</v>
      </c>
      <c r="B3291" s="14" t="str">
        <f t="shared" si="163"/>
        <v>Direct Debit (UMB Bank) - Credits</v>
      </c>
      <c r="C3291" s="37">
        <v>46157</v>
      </c>
      <c r="D3291" s="31">
        <v>246894</v>
      </c>
      <c r="E3291" s="33" t="str">
        <f>IF(Table3[[#This Row],[Type Received]]=2,"CC",(IF(Table3[[#This Row],[Type Received]]=3,"BILL","ACH")))</f>
        <v>ACH</v>
      </c>
      <c r="F3291" s="32">
        <v>68.37</v>
      </c>
      <c r="G3291" s="14" t="str">
        <f>VLOOKUP(D3291,Table4[],3,FALSE)</f>
        <v>1</v>
      </c>
      <c r="H3291" s="15"/>
      <c r="I3291" s="15">
        <v>15738</v>
      </c>
      <c r="J3291" s="15" t="s">
        <v>28</v>
      </c>
      <c r="K3291" s="15">
        <v>696793074</v>
      </c>
      <c r="L3291" s="15" t="s">
        <v>29</v>
      </c>
      <c r="M3291" s="15" t="s">
        <v>29</v>
      </c>
    </row>
    <row r="3292" spans="1:13" x14ac:dyDescent="0.25">
      <c r="A3292" s="23">
        <f t="shared" si="164"/>
        <v>246931</v>
      </c>
      <c r="B3292" s="14" t="str">
        <f t="shared" si="163"/>
        <v>Credit Cards (UMB) - Credits</v>
      </c>
      <c r="C3292" s="38">
        <v>46145</v>
      </c>
      <c r="D3292" s="34">
        <v>246931</v>
      </c>
      <c r="E3292" s="36" t="str">
        <f>IF(Table3[[#This Row],[Type Received]]=2,"CC",(IF(Table3[[#This Row],[Type Received]]=3,"BILL","ACH")))</f>
        <v>CC</v>
      </c>
      <c r="F3292" s="35">
        <v>39.950000000000003</v>
      </c>
      <c r="G3292" s="14" t="str">
        <f>VLOOKUP(D3292,Table4[],3,FALSE)</f>
        <v>1</v>
      </c>
      <c r="H3292" s="15"/>
      <c r="I3292" s="15"/>
      <c r="J3292" s="15" t="s">
        <v>113</v>
      </c>
      <c r="K3292" s="15">
        <v>546450443</v>
      </c>
      <c r="L3292" s="15" t="s">
        <v>29</v>
      </c>
      <c r="M3292" s="15" t="s">
        <v>29</v>
      </c>
    </row>
    <row r="3293" spans="1:13" x14ac:dyDescent="0.25">
      <c r="A3293" s="23">
        <f t="shared" si="164"/>
        <v>246949</v>
      </c>
      <c r="B3293" s="14" t="str">
        <f t="shared" si="163"/>
        <v>Credit Cards (UMB) - Credits</v>
      </c>
      <c r="C3293" s="37">
        <v>46147</v>
      </c>
      <c r="D3293" s="31">
        <v>246949</v>
      </c>
      <c r="E3293" s="33" t="str">
        <f>IF(Table3[[#This Row],[Type Received]]=2,"CC",(IF(Table3[[#This Row],[Type Received]]=3,"BILL","ACH")))</f>
        <v>CC</v>
      </c>
      <c r="F3293" s="32">
        <v>84.95</v>
      </c>
      <c r="G3293" s="14" t="str">
        <f>VLOOKUP(D3293,Table4[],3,FALSE)</f>
        <v>2</v>
      </c>
      <c r="H3293" s="15"/>
      <c r="I3293" s="15">
        <v>822729</v>
      </c>
      <c r="J3293" s="15" t="s">
        <v>28</v>
      </c>
      <c r="K3293" s="15">
        <v>569079480</v>
      </c>
      <c r="L3293" s="15" t="s">
        <v>29</v>
      </c>
      <c r="M3293" s="15" t="s">
        <v>29</v>
      </c>
    </row>
    <row r="3294" spans="1:13" x14ac:dyDescent="0.25">
      <c r="A3294" s="23">
        <f t="shared" si="164"/>
        <v>246950</v>
      </c>
      <c r="B3294" s="14" t="str">
        <f t="shared" si="163"/>
        <v>Credit Cards (UMB) - Credits</v>
      </c>
      <c r="C3294" s="38">
        <v>46145</v>
      </c>
      <c r="D3294" s="34">
        <v>246950</v>
      </c>
      <c r="E3294" s="36" t="str">
        <f>IF(Table3[[#This Row],[Type Received]]=2,"CC",(IF(Table3[[#This Row],[Type Received]]=3,"BILL","ACH")))</f>
        <v>CC</v>
      </c>
      <c r="F3294" s="35">
        <v>157.87</v>
      </c>
      <c r="G3294" s="14" t="str">
        <f>VLOOKUP(D3294,Table4[],3,FALSE)</f>
        <v>2</v>
      </c>
      <c r="H3294" s="15"/>
      <c r="I3294" s="15" t="s">
        <v>285</v>
      </c>
      <c r="J3294" s="15" t="s">
        <v>28</v>
      </c>
      <c r="K3294" s="15">
        <v>546455185</v>
      </c>
      <c r="L3294" s="15" t="s">
        <v>29</v>
      </c>
      <c r="M3294" s="15"/>
    </row>
    <row r="3295" spans="1:13" x14ac:dyDescent="0.25">
      <c r="A3295" s="23">
        <f t="shared" si="164"/>
        <v>246956</v>
      </c>
      <c r="B3295" s="14" t="str">
        <f t="shared" si="163"/>
        <v>Direct Debit (UMB Bank) - Credits</v>
      </c>
      <c r="C3295" s="37">
        <v>46155</v>
      </c>
      <c r="D3295" s="31">
        <v>246956</v>
      </c>
      <c r="E3295" s="33" t="str">
        <f>IF(Table3[[#This Row],[Type Received]]=2,"CC",(IF(Table3[[#This Row],[Type Received]]=3,"BILL","ACH")))</f>
        <v>ACH</v>
      </c>
      <c r="F3295" s="32">
        <v>87.58</v>
      </c>
      <c r="G3295" s="14" t="str">
        <f>VLOOKUP(D3295,Table4[],3,FALSE)</f>
        <v>2</v>
      </c>
      <c r="H3295" s="15"/>
      <c r="I3295" s="15" t="s">
        <v>286</v>
      </c>
      <c r="J3295" s="15" t="s">
        <v>28</v>
      </c>
      <c r="K3295" s="15">
        <v>669506410</v>
      </c>
      <c r="L3295" s="15" t="s">
        <v>29</v>
      </c>
      <c r="M3295" s="15"/>
    </row>
    <row r="3296" spans="1:13" x14ac:dyDescent="0.25">
      <c r="A3296" s="23">
        <f t="shared" si="164"/>
        <v>247006</v>
      </c>
      <c r="B3296" s="14" t="str">
        <f t="shared" si="163"/>
        <v>Billing - Credits (from TPA)</v>
      </c>
      <c r="C3296" s="38">
        <v>46167</v>
      </c>
      <c r="D3296" s="34">
        <v>247006</v>
      </c>
      <c r="E3296" s="36" t="str">
        <f>IF(Table3[[#This Row],[Type Received]]=2,"CC",(IF(Table3[[#This Row],[Type Received]]=3,"BILL","ACH")))</f>
        <v>BILL</v>
      </c>
      <c r="F3296" s="35">
        <v>62.95</v>
      </c>
      <c r="G3296" s="14" t="str">
        <f>VLOOKUP(D3296,Table4[],3,FALSE)</f>
        <v>1</v>
      </c>
      <c r="H3296" s="15"/>
      <c r="I3296" s="15"/>
      <c r="J3296" s="15" t="s">
        <v>85</v>
      </c>
      <c r="K3296" s="15">
        <v>818395310</v>
      </c>
      <c r="L3296" s="15" t="s">
        <v>29</v>
      </c>
      <c r="M3296" s="15" t="s">
        <v>29</v>
      </c>
    </row>
    <row r="3297" spans="1:13" x14ac:dyDescent="0.25">
      <c r="A3297" s="23">
        <f t="shared" si="164"/>
        <v>247035</v>
      </c>
      <c r="B3297" s="14" t="str">
        <f t="shared" si="163"/>
        <v>Direct Debit (UMB Bank) - Credits</v>
      </c>
      <c r="C3297" s="37">
        <v>46168</v>
      </c>
      <c r="D3297" s="31">
        <v>247035</v>
      </c>
      <c r="E3297" s="33" t="str">
        <f>IF(Table3[[#This Row],[Type Received]]=2,"CC",(IF(Table3[[#This Row],[Type Received]]=3,"BILL","ACH")))</f>
        <v>ACH</v>
      </c>
      <c r="F3297" s="32">
        <v>64.95</v>
      </c>
      <c r="G3297" s="14" t="str">
        <f>VLOOKUP(D3297,Table4[],3,FALSE)</f>
        <v>1</v>
      </c>
      <c r="H3297" s="15">
        <v>2941</v>
      </c>
      <c r="I3297" s="15"/>
      <c r="J3297" s="15"/>
      <c r="K3297" s="15"/>
      <c r="L3297" s="15"/>
      <c r="M3297" s="15" t="s">
        <v>29</v>
      </c>
    </row>
    <row r="3298" spans="1:13" x14ac:dyDescent="0.25">
      <c r="A3298" s="23">
        <f t="shared" si="164"/>
        <v>247054</v>
      </c>
      <c r="B3298" s="14" t="str">
        <f t="shared" si="163"/>
        <v>Direct Debit (UMB Bank) - Credits</v>
      </c>
      <c r="C3298" s="38">
        <v>46145</v>
      </c>
      <c r="D3298" s="34">
        <v>247054</v>
      </c>
      <c r="E3298" s="36" t="str">
        <f>IF(Table3[[#This Row],[Type Received]]=2,"CC",(IF(Table3[[#This Row],[Type Received]]=3,"BILL","ACH")))</f>
        <v>ACH</v>
      </c>
      <c r="F3298" s="35">
        <v>109.36</v>
      </c>
      <c r="G3298" s="14" t="str">
        <f>VLOOKUP(D3298,Table4[],3,FALSE)</f>
        <v>2</v>
      </c>
      <c r="H3298" s="15"/>
      <c r="I3298" s="15"/>
      <c r="J3298" s="15" t="s">
        <v>113</v>
      </c>
      <c r="K3298" s="15">
        <v>546432916</v>
      </c>
      <c r="L3298" s="15" t="s">
        <v>29</v>
      </c>
      <c r="M3298" s="15" t="s">
        <v>29</v>
      </c>
    </row>
    <row r="3299" spans="1:13" x14ac:dyDescent="0.25">
      <c r="A3299" s="23">
        <f t="shared" si="164"/>
        <v>247058</v>
      </c>
      <c r="B3299" s="14" t="str">
        <f t="shared" si="163"/>
        <v>Credit Cards (UMB) - Credits</v>
      </c>
      <c r="C3299" s="37">
        <v>46145</v>
      </c>
      <c r="D3299" s="31">
        <v>247058</v>
      </c>
      <c r="E3299" s="33" t="str">
        <f>IF(Table3[[#This Row],[Type Received]]=2,"CC",(IF(Table3[[#This Row],[Type Received]]=3,"BILL","ACH")))</f>
        <v>CC</v>
      </c>
      <c r="F3299" s="32">
        <v>39.4</v>
      </c>
      <c r="G3299" s="14" t="str">
        <f>VLOOKUP(D3299,Table4[],3,FALSE)</f>
        <v>2</v>
      </c>
      <c r="H3299" s="15"/>
      <c r="I3299" s="15"/>
      <c r="J3299" s="15" t="s">
        <v>113</v>
      </c>
      <c r="K3299" s="15">
        <v>546453310</v>
      </c>
      <c r="L3299" s="15" t="s">
        <v>29</v>
      </c>
      <c r="M3299" s="15" t="s">
        <v>29</v>
      </c>
    </row>
    <row r="3300" spans="1:13" x14ac:dyDescent="0.25">
      <c r="A3300" s="23">
        <f t="shared" si="164"/>
        <v>247107</v>
      </c>
      <c r="B3300" s="14" t="str">
        <f t="shared" si="163"/>
        <v>Direct Debit (UMB Bank) - Credits</v>
      </c>
      <c r="C3300" s="38">
        <v>46155</v>
      </c>
      <c r="D3300" s="34">
        <v>247107</v>
      </c>
      <c r="E3300" s="36" t="str">
        <f>IF(Table3[[#This Row],[Type Received]]=2,"CC",(IF(Table3[[#This Row],[Type Received]]=3,"BILL","ACH")))</f>
        <v>ACH</v>
      </c>
      <c r="F3300" s="35">
        <v>109.69</v>
      </c>
      <c r="G3300" s="14" t="str">
        <f>VLOOKUP(D3300,Table4[],3,FALSE)</f>
        <v>1</v>
      </c>
      <c r="H3300" s="15"/>
      <c r="I3300" s="15" t="s">
        <v>287</v>
      </c>
      <c r="J3300" s="24" t="s">
        <v>28</v>
      </c>
      <c r="K3300" s="15">
        <v>669486997</v>
      </c>
      <c r="L3300" s="15" t="s">
        <v>29</v>
      </c>
      <c r="M3300" s="15"/>
    </row>
    <row r="3301" spans="1:13" x14ac:dyDescent="0.25">
      <c r="A3301" s="23">
        <f t="shared" si="164"/>
        <v>247130</v>
      </c>
      <c r="B3301" s="14" t="str">
        <f t="shared" si="163"/>
        <v>Direct Debit (UMB Bank) - Credits</v>
      </c>
      <c r="C3301" s="37">
        <v>46143</v>
      </c>
      <c r="D3301" s="31">
        <v>247130</v>
      </c>
      <c r="E3301" s="33" t="str">
        <f>IF(Table3[[#This Row],[Type Received]]=2,"CC",(IF(Table3[[#This Row],[Type Received]]=3,"BILL","ACH")))</f>
        <v>ACH</v>
      </c>
      <c r="F3301" s="32">
        <v>46.33</v>
      </c>
      <c r="G3301" s="14" t="str">
        <f>VLOOKUP(D3301,Table4[],3,FALSE)</f>
        <v>1</v>
      </c>
      <c r="H3301" s="15"/>
      <c r="I3301" s="15"/>
      <c r="J3301" s="15" t="s">
        <v>84</v>
      </c>
      <c r="K3301" s="15">
        <v>522180258</v>
      </c>
      <c r="L3301" s="15" t="s">
        <v>29</v>
      </c>
      <c r="M3301" s="15" t="s">
        <v>29</v>
      </c>
    </row>
    <row r="3302" spans="1:13" x14ac:dyDescent="0.25">
      <c r="A3302" s="23">
        <f t="shared" si="164"/>
        <v>247145</v>
      </c>
      <c r="B3302" s="14" t="str">
        <f t="shared" si="163"/>
        <v>Direct Debit (UMB Bank) - Credits</v>
      </c>
      <c r="C3302" s="38">
        <v>46157</v>
      </c>
      <c r="D3302" s="34">
        <v>247145</v>
      </c>
      <c r="E3302" s="36" t="str">
        <f>IF(Table3[[#This Row],[Type Received]]=2,"CC",(IF(Table3[[#This Row],[Type Received]]=3,"BILL","ACH")))</f>
        <v>ACH</v>
      </c>
      <c r="F3302" s="35">
        <v>155.56</v>
      </c>
      <c r="G3302" s="14" t="str">
        <f>VLOOKUP(D3302,Table4[],3,FALSE)</f>
        <v>2</v>
      </c>
      <c r="H3302" s="15"/>
      <c r="I3302" s="15"/>
      <c r="J3302" s="15" t="s">
        <v>87</v>
      </c>
      <c r="K3302" s="15">
        <v>696674237</v>
      </c>
      <c r="L3302" s="15" t="s">
        <v>29</v>
      </c>
      <c r="M3302" s="15" t="s">
        <v>29</v>
      </c>
    </row>
    <row r="3303" spans="1:13" x14ac:dyDescent="0.25">
      <c r="A3303" s="23">
        <f t="shared" si="164"/>
        <v>247206</v>
      </c>
      <c r="B3303" s="14" t="str">
        <f t="shared" si="163"/>
        <v>Billing - Credits (from TPA)</v>
      </c>
      <c r="C3303" s="37">
        <v>46145</v>
      </c>
      <c r="D3303" s="31">
        <v>247206</v>
      </c>
      <c r="E3303" s="33" t="str">
        <f>IF(Table3[[#This Row],[Type Received]]=2,"CC",(IF(Table3[[#This Row],[Type Received]]=3,"BILL","ACH")))</f>
        <v>BILL</v>
      </c>
      <c r="F3303" s="32">
        <v>82.95</v>
      </c>
      <c r="G3303" s="14" t="str">
        <f>VLOOKUP(D3303,Table4[],3,FALSE)</f>
        <v>2</v>
      </c>
      <c r="H3303" s="15"/>
      <c r="I3303" s="15"/>
      <c r="J3303" s="15" t="s">
        <v>113</v>
      </c>
      <c r="K3303" s="15">
        <v>546454217</v>
      </c>
      <c r="L3303" s="15" t="s">
        <v>29</v>
      </c>
      <c r="M3303" s="15" t="s">
        <v>29</v>
      </c>
    </row>
    <row r="3304" spans="1:13" x14ac:dyDescent="0.25">
      <c r="A3304" s="23">
        <f t="shared" si="164"/>
        <v>247230</v>
      </c>
      <c r="B3304" s="14" t="str">
        <f t="shared" si="163"/>
        <v>Direct Debit (UMB Bank) - Credits</v>
      </c>
      <c r="C3304" s="38">
        <v>46150</v>
      </c>
      <c r="D3304" s="34">
        <v>247230</v>
      </c>
      <c r="E3304" s="36" t="str">
        <f>IF(Table3[[#This Row],[Type Received]]=2,"CC",(IF(Table3[[#This Row],[Type Received]]=3,"BILL","ACH")))</f>
        <v>ACH</v>
      </c>
      <c r="F3304" s="35">
        <v>183.31</v>
      </c>
      <c r="G3304" s="14" t="str">
        <f>VLOOKUP(D3304,Table4[],3,FALSE)</f>
        <v>2</v>
      </c>
      <c r="H3304" s="15">
        <v>75651379</v>
      </c>
      <c r="I3304" s="15"/>
      <c r="J3304" s="15"/>
      <c r="K3304" s="15"/>
      <c r="L3304" s="15"/>
      <c r="M3304" s="15" t="s">
        <v>29</v>
      </c>
    </row>
    <row r="3305" spans="1:13" x14ac:dyDescent="0.25">
      <c r="A3305" s="23">
        <f t="shared" si="164"/>
        <v>247256</v>
      </c>
      <c r="B3305" s="14" t="str">
        <f t="shared" si="163"/>
        <v>Direct Debit (UMB Bank) - Credits</v>
      </c>
      <c r="C3305" s="37">
        <v>46157</v>
      </c>
      <c r="D3305" s="31">
        <v>247256</v>
      </c>
      <c r="E3305" s="33" t="str">
        <f>IF(Table3[[#This Row],[Type Received]]=2,"CC",(IF(Table3[[#This Row],[Type Received]]=3,"BILL","ACH")))</f>
        <v>ACH</v>
      </c>
      <c r="F3305" s="32">
        <v>42.15</v>
      </c>
      <c r="G3305" s="14" t="str">
        <f>VLOOKUP(D3305,Table4[],3,FALSE)</f>
        <v>1</v>
      </c>
      <c r="H3305" s="15"/>
      <c r="I3305" s="15"/>
      <c r="J3305" s="15" t="s">
        <v>87</v>
      </c>
      <c r="K3305" s="15">
        <v>696815319</v>
      </c>
      <c r="L3305" s="15" t="s">
        <v>29</v>
      </c>
      <c r="M3305" s="15" t="s">
        <v>29</v>
      </c>
    </row>
    <row r="3306" spans="1:13" x14ac:dyDescent="0.25">
      <c r="A3306" s="23">
        <f t="shared" si="164"/>
        <v>247275</v>
      </c>
      <c r="B3306" s="14" t="str">
        <f t="shared" si="163"/>
        <v>Direct Debit (UMB Bank) - Credits</v>
      </c>
      <c r="C3306" s="38">
        <v>46147</v>
      </c>
      <c r="D3306" s="34">
        <v>247275</v>
      </c>
      <c r="E3306" s="36" t="str">
        <f>IF(Table3[[#This Row],[Type Received]]=2,"CC",(IF(Table3[[#This Row],[Type Received]]=3,"BILL","ACH")))</f>
        <v>ACH</v>
      </c>
      <c r="F3306" s="35">
        <v>44.13</v>
      </c>
      <c r="G3306" s="14" t="str">
        <f>VLOOKUP(D3306,Table4[],3,FALSE)</f>
        <v>1</v>
      </c>
      <c r="H3306" s="15"/>
      <c r="I3306" s="15"/>
      <c r="J3306" s="15" t="s">
        <v>86</v>
      </c>
      <c r="K3306" s="15">
        <v>569476797</v>
      </c>
      <c r="L3306" s="15" t="s">
        <v>29</v>
      </c>
      <c r="M3306" s="15"/>
    </row>
    <row r="3307" spans="1:13" x14ac:dyDescent="0.25">
      <c r="A3307" s="23">
        <f t="shared" si="164"/>
        <v>247284</v>
      </c>
      <c r="B3307" s="14" t="str">
        <f t="shared" si="163"/>
        <v>Billing - Credits (from TPA)</v>
      </c>
      <c r="C3307" s="37">
        <v>46145</v>
      </c>
      <c r="D3307" s="31">
        <v>247284</v>
      </c>
      <c r="E3307" s="33" t="str">
        <f>IF(Table3[[#This Row],[Type Received]]=2,"CC",(IF(Table3[[#This Row],[Type Received]]=3,"BILL","ACH")))</f>
        <v>BILL</v>
      </c>
      <c r="F3307" s="32">
        <v>116.07</v>
      </c>
      <c r="G3307" s="14" t="str">
        <f>VLOOKUP(D3307,Table4[],3,FALSE)</f>
        <v>1</v>
      </c>
      <c r="H3307" s="15"/>
      <c r="I3307" s="15"/>
      <c r="J3307" s="15" t="s">
        <v>113</v>
      </c>
      <c r="K3307" s="15">
        <v>546431051</v>
      </c>
      <c r="L3307" s="15" t="s">
        <v>29</v>
      </c>
      <c r="M3307" s="15"/>
    </row>
    <row r="3308" spans="1:13" x14ac:dyDescent="0.25">
      <c r="A3308" s="23">
        <f t="shared" si="164"/>
        <v>247293</v>
      </c>
      <c r="B3308" s="14" t="str">
        <f t="shared" si="163"/>
        <v>Direct Debit (UMB Bank) - Credits</v>
      </c>
      <c r="C3308" s="38">
        <v>46168</v>
      </c>
      <c r="D3308" s="34">
        <v>247293</v>
      </c>
      <c r="E3308" s="36" t="str">
        <f>IF(Table3[[#This Row],[Type Received]]=2,"CC",(IF(Table3[[#This Row],[Type Received]]=3,"BILL","ACH")))</f>
        <v>ACH</v>
      </c>
      <c r="F3308" s="35">
        <v>329.86</v>
      </c>
      <c r="G3308" s="14" t="str">
        <f>VLOOKUP(D3308,Table4[],3,FALSE)</f>
        <v>1</v>
      </c>
      <c r="H3308" s="15">
        <v>1540</v>
      </c>
      <c r="I3308" s="15"/>
      <c r="J3308" s="15"/>
      <c r="K3308" s="15"/>
      <c r="L3308" s="15"/>
      <c r="M3308" s="15" t="s">
        <v>29</v>
      </c>
    </row>
    <row r="3309" spans="1:13" x14ac:dyDescent="0.25">
      <c r="A3309" s="23">
        <f t="shared" si="164"/>
        <v>247318</v>
      </c>
      <c r="B3309" s="14" t="str">
        <f t="shared" si="163"/>
        <v>Direct Debit (UMB Bank) - Credits</v>
      </c>
      <c r="C3309" s="37">
        <v>46164</v>
      </c>
      <c r="D3309" s="31">
        <v>247318</v>
      </c>
      <c r="E3309" s="33" t="str">
        <f>IF(Table3[[#This Row],[Type Received]]=2,"CC",(IF(Table3[[#This Row],[Type Received]]=3,"BILL","ACH")))</f>
        <v>ACH</v>
      </c>
      <c r="F3309" s="32">
        <v>168.76</v>
      </c>
      <c r="G3309" s="14" t="str">
        <f>VLOOKUP(D3309,Table4[],3,FALSE)</f>
        <v>2</v>
      </c>
      <c r="H3309" s="15"/>
      <c r="I3309" s="15"/>
      <c r="J3309" s="24" t="s">
        <v>118</v>
      </c>
      <c r="K3309" s="15">
        <v>784597837</v>
      </c>
      <c r="L3309" s="15" t="s">
        <v>29</v>
      </c>
      <c r="M3309" s="15" t="s">
        <v>29</v>
      </c>
    </row>
    <row r="3310" spans="1:13" x14ac:dyDescent="0.25">
      <c r="A3310" s="23">
        <f t="shared" si="164"/>
        <v>247318</v>
      </c>
      <c r="B3310" s="14" t="str">
        <f t="shared" si="163"/>
        <v>Billing - Credits (from TPA)</v>
      </c>
      <c r="C3310" s="38">
        <v>46157</v>
      </c>
      <c r="D3310" s="34">
        <v>247318</v>
      </c>
      <c r="E3310" s="36" t="str">
        <f>IF(Table3[[#This Row],[Type Received]]=2,"CC",(IF(Table3[[#This Row],[Type Received]]=3,"BILL","ACH")))</f>
        <v>BILL</v>
      </c>
      <c r="F3310" s="35">
        <v>168.76</v>
      </c>
      <c r="G3310" s="14" t="str">
        <f>VLOOKUP(D3310,Table4[],3,FALSE)</f>
        <v>2</v>
      </c>
      <c r="H3310" s="15"/>
      <c r="I3310" s="15"/>
      <c r="J3310" s="15" t="s">
        <v>87</v>
      </c>
      <c r="K3310" s="15">
        <v>696812428</v>
      </c>
      <c r="L3310" s="15" t="s">
        <v>29</v>
      </c>
      <c r="M3310" s="15"/>
    </row>
    <row r="3311" spans="1:13" x14ac:dyDescent="0.25">
      <c r="A3311" s="23">
        <f t="shared" si="164"/>
        <v>247351</v>
      </c>
      <c r="B3311" s="14" t="str">
        <f t="shared" si="163"/>
        <v>Direct Debit (UMB Bank) - Credits</v>
      </c>
      <c r="C3311" s="37">
        <v>46168</v>
      </c>
      <c r="D3311" s="31">
        <v>247351</v>
      </c>
      <c r="E3311" s="33" t="str">
        <f>IF(Table3[[#This Row],[Type Received]]=2,"CC",(IF(Table3[[#This Row],[Type Received]]=3,"BILL","ACH")))</f>
        <v>ACH</v>
      </c>
      <c r="F3311" s="32">
        <v>155.72</v>
      </c>
      <c r="G3311" s="14" t="str">
        <f>VLOOKUP(D3311,Table4[],3,FALSE)</f>
        <v>2</v>
      </c>
      <c r="H3311" s="15">
        <v>4309</v>
      </c>
      <c r="I3311" s="15"/>
      <c r="J3311" s="15"/>
      <c r="K3311" s="15"/>
      <c r="L3311" s="15"/>
      <c r="M3311" s="15"/>
    </row>
    <row r="3312" spans="1:13" x14ac:dyDescent="0.25">
      <c r="A3312" s="23">
        <f t="shared" si="164"/>
        <v>247377</v>
      </c>
      <c r="B3312" s="14" t="str">
        <f t="shared" si="163"/>
        <v>Direct Debit (UMB Bank) - Credits</v>
      </c>
      <c r="C3312" s="38">
        <v>46145</v>
      </c>
      <c r="D3312" s="34">
        <v>247377</v>
      </c>
      <c r="E3312" s="36" t="str">
        <f>IF(Table3[[#This Row],[Type Received]]=2,"CC",(IF(Table3[[#This Row],[Type Received]]=3,"BILL","ACH")))</f>
        <v>ACH</v>
      </c>
      <c r="F3312" s="35">
        <v>107.93</v>
      </c>
      <c r="G3312" s="14" t="str">
        <f>VLOOKUP(D3312,Table4[],3,FALSE)</f>
        <v>1</v>
      </c>
      <c r="H3312" s="15"/>
      <c r="I3312" s="15"/>
      <c r="J3312" s="15" t="s">
        <v>113</v>
      </c>
      <c r="K3312" s="15">
        <v>546447586</v>
      </c>
      <c r="L3312" s="15" t="s">
        <v>29</v>
      </c>
      <c r="M3312" s="15" t="s">
        <v>29</v>
      </c>
    </row>
    <row r="3313" spans="1:13" x14ac:dyDescent="0.25">
      <c r="A3313" s="23">
        <f t="shared" si="164"/>
        <v>247394</v>
      </c>
      <c r="B3313" s="14" t="str">
        <f t="shared" si="163"/>
        <v>Billing - Credits (from TPA)</v>
      </c>
      <c r="C3313" s="37">
        <v>46168</v>
      </c>
      <c r="D3313" s="31">
        <v>247394</v>
      </c>
      <c r="E3313" s="33" t="str">
        <f>IF(Table3[[#This Row],[Type Received]]=2,"CC",(IF(Table3[[#This Row],[Type Received]]=3,"BILL","ACH")))</f>
        <v>BILL</v>
      </c>
      <c r="F3313" s="32">
        <v>52.27</v>
      </c>
      <c r="G3313" s="14" t="str">
        <f>VLOOKUP(D3313,Table4[],3,FALSE)</f>
        <v>2</v>
      </c>
      <c r="H3313" s="15"/>
      <c r="I3313" s="15"/>
      <c r="J3313" s="15" t="s">
        <v>110</v>
      </c>
      <c r="K3313" s="15">
        <v>828309122</v>
      </c>
      <c r="L3313" s="15" t="s">
        <v>29</v>
      </c>
      <c r="M3313" s="15"/>
    </row>
    <row r="3314" spans="1:13" x14ac:dyDescent="0.25">
      <c r="A3314" s="23">
        <f t="shared" si="164"/>
        <v>247412</v>
      </c>
      <c r="B3314" s="14" t="str">
        <f t="shared" si="163"/>
        <v>Direct Debit (UMB Bank) - Credits</v>
      </c>
      <c r="C3314" s="38">
        <v>46147</v>
      </c>
      <c r="D3314" s="34">
        <v>247412</v>
      </c>
      <c r="E3314" s="36" t="str">
        <f>IF(Table3[[#This Row],[Type Received]]=2,"CC",(IF(Table3[[#This Row],[Type Received]]=3,"BILL","ACH")))</f>
        <v>ACH</v>
      </c>
      <c r="F3314" s="35">
        <v>128.19</v>
      </c>
      <c r="G3314" s="14" t="str">
        <f>VLOOKUP(D3314,Table4[],3,FALSE)</f>
        <v>2</v>
      </c>
      <c r="H3314" s="15">
        <v>75485857</v>
      </c>
      <c r="I3314" s="15"/>
      <c r="J3314" s="15"/>
      <c r="K3314" s="15"/>
      <c r="L3314" s="15"/>
      <c r="M3314" s="15" t="s">
        <v>29</v>
      </c>
    </row>
    <row r="3315" spans="1:13" x14ac:dyDescent="0.25">
      <c r="A3315" s="23">
        <f t="shared" si="164"/>
        <v>247443</v>
      </c>
      <c r="B3315" s="14" t="str">
        <f t="shared" si="163"/>
        <v>Credit Cards (UMB) - Credits</v>
      </c>
      <c r="C3315" s="37">
        <v>46157</v>
      </c>
      <c r="D3315" s="31">
        <v>247443</v>
      </c>
      <c r="E3315" s="33" t="str">
        <f>IF(Table3[[#This Row],[Type Received]]=2,"CC",(IF(Table3[[#This Row],[Type Received]]=3,"BILL","ACH")))</f>
        <v>CC</v>
      </c>
      <c r="F3315" s="32">
        <v>50.95</v>
      </c>
      <c r="G3315" s="14" t="str">
        <f>VLOOKUP(D3315,Table4[],3,FALSE)</f>
        <v>1</v>
      </c>
      <c r="H3315" s="15"/>
      <c r="I3315" s="15"/>
      <c r="J3315" s="15" t="s">
        <v>87</v>
      </c>
      <c r="K3315" s="15">
        <v>696810557</v>
      </c>
      <c r="L3315" s="15" t="s">
        <v>29</v>
      </c>
      <c r="M3315" s="15"/>
    </row>
    <row r="3316" spans="1:13" x14ac:dyDescent="0.25">
      <c r="A3316" s="23">
        <f t="shared" ref="A3316:A3347" si="165">D3316</f>
        <v>247450</v>
      </c>
      <c r="B3316" s="14" t="str">
        <f t="shared" si="163"/>
        <v>Direct Debit (UMB Bank) - Credits</v>
      </c>
      <c r="C3316" s="38">
        <v>46168</v>
      </c>
      <c r="D3316" s="34">
        <v>247450</v>
      </c>
      <c r="E3316" s="36" t="str">
        <f>IF(Table3[[#This Row],[Type Received]]=2,"CC",(IF(Table3[[#This Row],[Type Received]]=3,"BILL","ACH")))</f>
        <v>ACH</v>
      </c>
      <c r="F3316" s="35">
        <v>79.680000000000007</v>
      </c>
      <c r="G3316" s="14" t="str">
        <f>VLOOKUP(D3316,Table4[],3,FALSE)</f>
        <v>2</v>
      </c>
      <c r="H3316" s="15"/>
      <c r="I3316" s="15" t="s">
        <v>288</v>
      </c>
      <c r="J3316" s="15" t="s">
        <v>28</v>
      </c>
      <c r="K3316" s="15">
        <v>828698066</v>
      </c>
      <c r="L3316" s="15" t="s">
        <v>29</v>
      </c>
      <c r="M3316" s="15" t="s">
        <v>29</v>
      </c>
    </row>
    <row r="3317" spans="1:13" x14ac:dyDescent="0.25">
      <c r="A3317" s="23">
        <f t="shared" si="165"/>
        <v>247451</v>
      </c>
      <c r="B3317" s="14" t="str">
        <f t="shared" si="163"/>
        <v>Credit Cards (UMB) - Credits</v>
      </c>
      <c r="C3317" s="37">
        <v>46155</v>
      </c>
      <c r="D3317" s="31">
        <v>247451</v>
      </c>
      <c r="E3317" s="33" t="str">
        <f>IF(Table3[[#This Row],[Type Received]]=2,"CC",(IF(Table3[[#This Row],[Type Received]]=3,"BILL","ACH")))</f>
        <v>CC</v>
      </c>
      <c r="F3317" s="32">
        <v>71.41</v>
      </c>
      <c r="G3317" s="14" t="str">
        <f>VLOOKUP(D3317,Table4[],3,FALSE)</f>
        <v>2</v>
      </c>
      <c r="H3317" s="15"/>
      <c r="I3317" s="15"/>
      <c r="J3317" s="15" t="s">
        <v>90</v>
      </c>
      <c r="K3317" s="15">
        <v>670076862</v>
      </c>
      <c r="L3317" s="15" t="s">
        <v>29</v>
      </c>
      <c r="M3317" s="15"/>
    </row>
    <row r="3318" spans="1:13" x14ac:dyDescent="0.25">
      <c r="A3318" s="23">
        <f t="shared" si="165"/>
        <v>247452</v>
      </c>
      <c r="B3318" s="14" t="str">
        <f t="shared" si="163"/>
        <v>Credit Cards (UMB) - Credits</v>
      </c>
      <c r="C3318" s="38">
        <v>46163</v>
      </c>
      <c r="D3318" s="34">
        <v>247452</v>
      </c>
      <c r="E3318" s="36" t="str">
        <f>IF(Table3[[#This Row],[Type Received]]=2,"CC",(IF(Table3[[#This Row],[Type Received]]=3,"BILL","ACH")))</f>
        <v>CC</v>
      </c>
      <c r="F3318" s="35">
        <v>169.77</v>
      </c>
      <c r="G3318" s="14" t="str">
        <f>VLOOKUP(D3318,Table4[],3,FALSE)</f>
        <v>2</v>
      </c>
      <c r="H3318" s="15"/>
      <c r="I3318" s="15">
        <v>237356</v>
      </c>
      <c r="J3318" s="15" t="s">
        <v>28</v>
      </c>
      <c r="K3318" s="15">
        <v>775405988</v>
      </c>
      <c r="L3318" s="15" t="s">
        <v>29</v>
      </c>
      <c r="M3318" s="15"/>
    </row>
    <row r="3319" spans="1:13" x14ac:dyDescent="0.25">
      <c r="A3319" s="23">
        <f t="shared" si="165"/>
        <v>247488</v>
      </c>
      <c r="B3319" s="14" t="str">
        <f t="shared" si="163"/>
        <v>Billing - Credits (from TPA)</v>
      </c>
      <c r="C3319" s="37">
        <v>46163</v>
      </c>
      <c r="D3319" s="31">
        <v>247488</v>
      </c>
      <c r="E3319" s="33" t="str">
        <f>IF(Table3[[#This Row],[Type Received]]=2,"CC",(IF(Table3[[#This Row],[Type Received]]=3,"BILL","ACH")))</f>
        <v>BILL</v>
      </c>
      <c r="F3319" s="32">
        <v>144.36000000000001</v>
      </c>
      <c r="G3319" s="14" t="str">
        <f>VLOOKUP(D3319,Table4[],3,FALSE)</f>
        <v>2</v>
      </c>
      <c r="H3319" s="15"/>
      <c r="I3319" s="15" t="s">
        <v>289</v>
      </c>
      <c r="J3319" s="15" t="s">
        <v>28</v>
      </c>
      <c r="K3319" s="15">
        <v>772593201</v>
      </c>
      <c r="L3319" s="15" t="s">
        <v>29</v>
      </c>
      <c r="M3319" s="15"/>
    </row>
    <row r="3320" spans="1:13" x14ac:dyDescent="0.25">
      <c r="A3320" s="23">
        <f t="shared" si="165"/>
        <v>247522</v>
      </c>
      <c r="B3320" s="14" t="str">
        <f t="shared" si="163"/>
        <v>Credit Cards (UMB) - Credits</v>
      </c>
      <c r="C3320" s="38">
        <v>46169</v>
      </c>
      <c r="D3320" s="34">
        <v>247522</v>
      </c>
      <c r="E3320" s="36" t="str">
        <f>IF(Table3[[#This Row],[Type Received]]=2,"CC",(IF(Table3[[#This Row],[Type Received]]=3,"BILL","ACH")))</f>
        <v>CC</v>
      </c>
      <c r="F3320" s="35">
        <v>96.95</v>
      </c>
      <c r="G3320" s="14" t="str">
        <f>VLOOKUP(D3320,Table4[],3,FALSE)</f>
        <v>1</v>
      </c>
      <c r="H3320" s="15">
        <v>1318</v>
      </c>
      <c r="I3320" s="15"/>
      <c r="J3320" s="15"/>
      <c r="K3320" s="15"/>
      <c r="L3320" s="15"/>
      <c r="M3320" s="15"/>
    </row>
    <row r="3321" spans="1:13" x14ac:dyDescent="0.25">
      <c r="A3321" s="23">
        <f t="shared" si="165"/>
        <v>247531</v>
      </c>
      <c r="B3321" s="14" t="str">
        <f t="shared" si="163"/>
        <v>Billing - Credits (from TPA)</v>
      </c>
      <c r="C3321" s="37">
        <v>46171</v>
      </c>
      <c r="D3321" s="31">
        <v>247531</v>
      </c>
      <c r="E3321" s="33" t="str">
        <f>IF(Table3[[#This Row],[Type Received]]=2,"CC",(IF(Table3[[#This Row],[Type Received]]=3,"BILL","ACH")))</f>
        <v>BILL</v>
      </c>
      <c r="F3321" s="32">
        <v>229.64</v>
      </c>
      <c r="G3321" s="14" t="str">
        <f>VLOOKUP(D3321,Table4[],3,FALSE)</f>
        <v>2</v>
      </c>
      <c r="H3321" s="15"/>
      <c r="I3321" s="15">
        <v>4963</v>
      </c>
      <c r="J3321" s="15" t="s">
        <v>28</v>
      </c>
      <c r="K3321" s="15">
        <v>869977072</v>
      </c>
      <c r="L3321" s="15" t="s">
        <v>29</v>
      </c>
      <c r="M3321" s="15" t="s">
        <v>29</v>
      </c>
    </row>
    <row r="3322" spans="1:13" x14ac:dyDescent="0.25">
      <c r="A3322" s="23">
        <f t="shared" si="165"/>
        <v>247560</v>
      </c>
      <c r="B3322" s="14" t="str">
        <f t="shared" si="163"/>
        <v>Direct Debit (UMB Bank) - Credits</v>
      </c>
      <c r="C3322" s="38">
        <v>46169</v>
      </c>
      <c r="D3322" s="34">
        <v>247560</v>
      </c>
      <c r="E3322" s="36" t="str">
        <f>IF(Table3[[#This Row],[Type Received]]=2,"CC",(IF(Table3[[#This Row],[Type Received]]=3,"BILL","ACH")))</f>
        <v>ACH</v>
      </c>
      <c r="F3322" s="35">
        <v>93.65</v>
      </c>
      <c r="G3322" s="14" t="str">
        <f>VLOOKUP(D3322,Table4[],3,FALSE)</f>
        <v>1</v>
      </c>
      <c r="H3322" s="15">
        <v>2267</v>
      </c>
      <c r="I3322" s="15"/>
      <c r="J3322" s="15"/>
      <c r="K3322" s="15"/>
      <c r="L3322" s="15"/>
      <c r="M3322" s="15"/>
    </row>
    <row r="3323" spans="1:13" x14ac:dyDescent="0.25">
      <c r="A3323" s="23">
        <f t="shared" si="165"/>
        <v>247576</v>
      </c>
      <c r="B3323" s="14" t="str">
        <f t="shared" si="163"/>
        <v>Billing - Credits (from TPA)</v>
      </c>
      <c r="C3323" s="37">
        <v>46145</v>
      </c>
      <c r="D3323" s="31">
        <v>247576</v>
      </c>
      <c r="E3323" s="33" t="str">
        <f>IF(Table3[[#This Row],[Type Received]]=2,"CC",(IF(Table3[[#This Row],[Type Received]]=3,"BILL","ACH")))</f>
        <v>BILL</v>
      </c>
      <c r="F3323" s="32">
        <v>43.25</v>
      </c>
      <c r="G3323" s="14" t="str">
        <f>VLOOKUP(D3323,Table4[],3,FALSE)</f>
        <v>1</v>
      </c>
      <c r="H3323" s="15"/>
      <c r="I3323" s="15"/>
      <c r="J3323" s="15" t="s">
        <v>113</v>
      </c>
      <c r="K3323" s="15">
        <v>546438705</v>
      </c>
      <c r="L3323" s="15" t="s">
        <v>29</v>
      </c>
      <c r="M3323" s="15"/>
    </row>
    <row r="3324" spans="1:13" x14ac:dyDescent="0.25">
      <c r="A3324" s="23">
        <f t="shared" si="165"/>
        <v>247642</v>
      </c>
      <c r="B3324" s="14" t="str">
        <f t="shared" si="163"/>
        <v>Direct Debit (UMB Bank) - Credits</v>
      </c>
      <c r="C3324" s="38">
        <v>46160</v>
      </c>
      <c r="D3324" s="34">
        <v>247642</v>
      </c>
      <c r="E3324" s="36" t="str">
        <f>IF(Table3[[#This Row],[Type Received]]=2,"CC",(IF(Table3[[#This Row],[Type Received]]=3,"BILL","ACH")))</f>
        <v>ACH</v>
      </c>
      <c r="F3324" s="35">
        <v>134.6</v>
      </c>
      <c r="G3324" s="14" t="str">
        <f>VLOOKUP(D3324,Table4[],3,FALSE)</f>
        <v>2</v>
      </c>
      <c r="H3324" s="15">
        <v>1246</v>
      </c>
      <c r="I3324" s="15"/>
      <c r="J3324" s="15"/>
      <c r="K3324" s="15"/>
      <c r="L3324" s="15"/>
      <c r="M3324" s="15" t="s">
        <v>29</v>
      </c>
    </row>
    <row r="3325" spans="1:13" x14ac:dyDescent="0.25">
      <c r="A3325" s="23">
        <f t="shared" si="165"/>
        <v>247655</v>
      </c>
      <c r="B3325" s="14" t="str">
        <f t="shared" si="163"/>
        <v>Credit Cards (UMB) - Credits</v>
      </c>
      <c r="C3325" s="37">
        <v>46157</v>
      </c>
      <c r="D3325" s="31">
        <v>247655</v>
      </c>
      <c r="E3325" s="33" t="str">
        <f>IF(Table3[[#This Row],[Type Received]]=2,"CC",(IF(Table3[[#This Row],[Type Received]]=3,"BILL","ACH")))</f>
        <v>CC</v>
      </c>
      <c r="F3325" s="32">
        <v>54.91</v>
      </c>
      <c r="G3325" s="14" t="str">
        <f>VLOOKUP(D3325,Table4[],3,FALSE)</f>
        <v>2</v>
      </c>
      <c r="H3325" s="15"/>
      <c r="I3325" s="15"/>
      <c r="J3325" s="15" t="s">
        <v>87</v>
      </c>
      <c r="K3325" s="15">
        <v>696820229</v>
      </c>
      <c r="L3325" s="15" t="s">
        <v>29</v>
      </c>
      <c r="M3325" s="15"/>
    </row>
    <row r="3326" spans="1:13" x14ac:dyDescent="0.25">
      <c r="A3326" s="23">
        <f t="shared" si="165"/>
        <v>247671</v>
      </c>
      <c r="B3326" s="14" t="str">
        <f t="shared" si="163"/>
        <v>Direct Debit (UMB Bank) - Credits</v>
      </c>
      <c r="C3326" s="38">
        <v>46143</v>
      </c>
      <c r="D3326" s="34">
        <v>247671</v>
      </c>
      <c r="E3326" s="36" t="str">
        <f>IF(Table3[[#This Row],[Type Received]]=2,"CC",(IF(Table3[[#This Row],[Type Received]]=3,"BILL","ACH")))</f>
        <v>ACH</v>
      </c>
      <c r="F3326" s="35">
        <v>100.45</v>
      </c>
      <c r="G3326" s="14" t="str">
        <f>VLOOKUP(D3326,Table4[],3,FALSE)</f>
        <v>2</v>
      </c>
      <c r="H3326" s="15"/>
      <c r="I3326" s="15" t="s">
        <v>290</v>
      </c>
      <c r="J3326" s="15" t="s">
        <v>28</v>
      </c>
      <c r="K3326" s="15">
        <v>522265956</v>
      </c>
      <c r="L3326" s="15" t="s">
        <v>29</v>
      </c>
      <c r="M3326" s="15"/>
    </row>
    <row r="3327" spans="1:13" x14ac:dyDescent="0.25">
      <c r="A3327" s="23">
        <f t="shared" si="165"/>
        <v>247674</v>
      </c>
      <c r="B3327" s="14" t="str">
        <f t="shared" si="163"/>
        <v>Direct Debit (UMB Bank) - Credits</v>
      </c>
      <c r="C3327" s="37">
        <v>46144</v>
      </c>
      <c r="D3327" s="31">
        <v>247674</v>
      </c>
      <c r="E3327" s="33" t="str">
        <f>IF(Table3[[#This Row],[Type Received]]=2,"CC",(IF(Table3[[#This Row],[Type Received]]=3,"BILL","ACH")))</f>
        <v>ACH</v>
      </c>
      <c r="F3327" s="32">
        <v>67.45</v>
      </c>
      <c r="G3327" s="14" t="str">
        <f>VLOOKUP(D3327,Table4[],3,FALSE)</f>
        <v>2</v>
      </c>
      <c r="H3327" s="15"/>
      <c r="I3327" s="15"/>
      <c r="J3327" s="15" t="s">
        <v>89</v>
      </c>
      <c r="K3327" s="15">
        <v>535427241</v>
      </c>
      <c r="L3327" s="15" t="s">
        <v>29</v>
      </c>
      <c r="M3327" s="15" t="s">
        <v>29</v>
      </c>
    </row>
    <row r="3328" spans="1:13" x14ac:dyDescent="0.25">
      <c r="A3328" s="23">
        <f t="shared" si="165"/>
        <v>247675</v>
      </c>
      <c r="B3328" s="14" t="str">
        <f t="shared" si="163"/>
        <v>Direct Debit (UMB Bank) - Credits</v>
      </c>
      <c r="C3328" s="38">
        <v>46144</v>
      </c>
      <c r="D3328" s="34">
        <v>247675</v>
      </c>
      <c r="E3328" s="36" t="str">
        <f>IF(Table3[[#This Row],[Type Received]]=2,"CC",(IF(Table3[[#This Row],[Type Received]]=3,"BILL","ACH")))</f>
        <v>ACH</v>
      </c>
      <c r="F3328" s="35">
        <v>98.47</v>
      </c>
      <c r="G3328" s="14" t="str">
        <f>VLOOKUP(D3328,Table4[],3,FALSE)</f>
        <v>1</v>
      </c>
      <c r="H3328" s="15"/>
      <c r="I3328" s="15"/>
      <c r="J3328" s="15" t="s">
        <v>89</v>
      </c>
      <c r="K3328" s="15">
        <v>535410758</v>
      </c>
      <c r="L3328" s="15" t="s">
        <v>29</v>
      </c>
      <c r="M3328" s="15" t="s">
        <v>29</v>
      </c>
    </row>
    <row r="3329" spans="1:13" x14ac:dyDescent="0.25">
      <c r="A3329" s="23">
        <f t="shared" si="165"/>
        <v>247679</v>
      </c>
      <c r="B3329" s="14" t="str">
        <f t="shared" si="163"/>
        <v>Credit Cards (UMB) - Credits</v>
      </c>
      <c r="C3329" s="37">
        <v>46143</v>
      </c>
      <c r="D3329" s="31">
        <v>247679</v>
      </c>
      <c r="E3329" s="33" t="str">
        <f>IF(Table3[[#This Row],[Type Received]]=2,"CC",(IF(Table3[[#This Row],[Type Received]]=3,"BILL","ACH")))</f>
        <v>CC</v>
      </c>
      <c r="F3329" s="32">
        <v>19.489999999999998</v>
      </c>
      <c r="G3329" s="14" t="str">
        <f>VLOOKUP(D3329,Table4[],3,FALSE)</f>
        <v>1</v>
      </c>
      <c r="H3329" s="15"/>
      <c r="I3329" s="15"/>
      <c r="J3329" s="15" t="s">
        <v>84</v>
      </c>
      <c r="K3329" s="15">
        <v>522205527</v>
      </c>
      <c r="L3329" s="15" t="s">
        <v>29</v>
      </c>
      <c r="M3329" s="15" t="s">
        <v>29</v>
      </c>
    </row>
    <row r="3330" spans="1:13" x14ac:dyDescent="0.25">
      <c r="A3330" s="23">
        <f t="shared" si="165"/>
        <v>247692</v>
      </c>
      <c r="B3330" s="14" t="str">
        <f t="shared" ref="B3330:B3393" si="166">IF(AND(E3330="BILL",F3330&lt;0),"Billing &amp; Direct Debit - Refunds",(IF(AND(E3330="BILL",F3330&gt;0),"Billing - Credits (from TPA)",(IF(AND(E3330="CC",F3330&lt;0),"Credit Cards (UMB) - Refunds",(IF(AND(E3330="CC",F3330&gt;0),"Credit Cards (UMB) - Credits",(IF(AND(E3330="ACH",F3330&gt;0),"Direct Debit (UMB Bank) - Credits","Direct Debit (UMB Bank) - Returned Items")))))))))</f>
        <v>Credit Cards (UMB) - Credits</v>
      </c>
      <c r="C3330" s="38">
        <v>46143</v>
      </c>
      <c r="D3330" s="34">
        <v>247692</v>
      </c>
      <c r="E3330" s="36" t="str">
        <f>IF(Table3[[#This Row],[Type Received]]=2,"CC",(IF(Table3[[#This Row],[Type Received]]=3,"BILL","ACH")))</f>
        <v>CC</v>
      </c>
      <c r="F3330" s="35">
        <v>84.95</v>
      </c>
      <c r="G3330" s="14" t="str">
        <f>VLOOKUP(D3330,Table4[],3,FALSE)</f>
        <v>2</v>
      </c>
      <c r="H3330" s="15"/>
      <c r="I3330" s="15">
        <v>20430</v>
      </c>
      <c r="J3330" s="24">
        <v>741374152</v>
      </c>
      <c r="K3330" s="15">
        <v>353140518</v>
      </c>
      <c r="L3330" s="15"/>
      <c r="M3330" s="15" t="s">
        <v>29</v>
      </c>
    </row>
    <row r="3331" spans="1:13" x14ac:dyDescent="0.25">
      <c r="A3331" s="23">
        <f t="shared" si="165"/>
        <v>247724</v>
      </c>
      <c r="B3331" s="14" t="str">
        <f t="shared" si="166"/>
        <v>Direct Debit (UMB Bank) - Credits</v>
      </c>
      <c r="C3331" s="37">
        <v>46155</v>
      </c>
      <c r="D3331" s="31">
        <v>247724</v>
      </c>
      <c r="E3331" s="33" t="str">
        <f>IF(Table3[[#This Row],[Type Received]]=2,"CC",(IF(Table3[[#This Row],[Type Received]]=3,"BILL","ACH")))</f>
        <v>ACH</v>
      </c>
      <c r="F3331" s="32">
        <v>154.24</v>
      </c>
      <c r="G3331" s="14" t="str">
        <f>VLOOKUP(D3331,Table4[],3,FALSE)</f>
        <v>2</v>
      </c>
      <c r="H3331" s="15"/>
      <c r="I3331" s="15" t="s">
        <v>291</v>
      </c>
      <c r="J3331" s="24" t="s">
        <v>28</v>
      </c>
      <c r="K3331" s="15">
        <v>669492922</v>
      </c>
      <c r="L3331" s="15" t="s">
        <v>29</v>
      </c>
      <c r="M3331" s="15"/>
    </row>
    <row r="3332" spans="1:13" x14ac:dyDescent="0.25">
      <c r="A3332" s="23">
        <f t="shared" si="165"/>
        <v>247747</v>
      </c>
      <c r="B3332" s="14" t="str">
        <f t="shared" si="166"/>
        <v>Billing - Credits (from TPA)</v>
      </c>
      <c r="C3332" s="38">
        <v>46157</v>
      </c>
      <c r="D3332" s="34">
        <v>247747</v>
      </c>
      <c r="E3332" s="36" t="str">
        <f>IF(Table3[[#This Row],[Type Received]]=2,"CC",(IF(Table3[[#This Row],[Type Received]]=3,"BILL","ACH")))</f>
        <v>BILL</v>
      </c>
      <c r="F3332" s="35">
        <v>28.18</v>
      </c>
      <c r="G3332" s="14" t="str">
        <f>VLOOKUP(D3332,Table4[],3,FALSE)</f>
        <v>2</v>
      </c>
      <c r="H3332" s="15"/>
      <c r="I3332" s="15"/>
      <c r="J3332" s="15" t="s">
        <v>87</v>
      </c>
      <c r="K3332" s="15">
        <v>696805812</v>
      </c>
      <c r="L3332" s="15" t="s">
        <v>29</v>
      </c>
      <c r="M3332" s="15" t="s">
        <v>29</v>
      </c>
    </row>
    <row r="3333" spans="1:13" x14ac:dyDescent="0.25">
      <c r="A3333" s="23">
        <f t="shared" si="165"/>
        <v>247748</v>
      </c>
      <c r="B3333" s="14" t="str">
        <f t="shared" si="166"/>
        <v>Direct Debit (UMB Bank) - Credits</v>
      </c>
      <c r="C3333" s="37">
        <v>46147</v>
      </c>
      <c r="D3333" s="31">
        <v>247748</v>
      </c>
      <c r="E3333" s="33" t="str">
        <f>IF(Table3[[#This Row],[Type Received]]=2,"CC",(IF(Table3[[#This Row],[Type Received]]=3,"BILL","ACH")))</f>
        <v>ACH</v>
      </c>
      <c r="F3333" s="32">
        <v>59.55</v>
      </c>
      <c r="G3333" s="14" t="str">
        <f>VLOOKUP(D3333,Table4[],3,FALSE)</f>
        <v>2</v>
      </c>
      <c r="H3333" s="15">
        <v>8194</v>
      </c>
      <c r="I3333" s="15"/>
      <c r="J3333" s="15"/>
      <c r="K3333" s="15"/>
      <c r="L3333" s="15"/>
      <c r="M3333" s="15" t="s">
        <v>29</v>
      </c>
    </row>
    <row r="3334" spans="1:13" x14ac:dyDescent="0.25">
      <c r="A3334" s="23">
        <f t="shared" si="165"/>
        <v>247792</v>
      </c>
      <c r="B3334" s="14" t="str">
        <f t="shared" si="166"/>
        <v>Direct Debit (UMB Bank) - Credits</v>
      </c>
      <c r="C3334" s="38">
        <v>46144</v>
      </c>
      <c r="D3334" s="34">
        <v>247792</v>
      </c>
      <c r="E3334" s="36" t="str">
        <f>IF(Table3[[#This Row],[Type Received]]=2,"CC",(IF(Table3[[#This Row],[Type Received]]=3,"BILL","ACH")))</f>
        <v>ACH</v>
      </c>
      <c r="F3334" s="35">
        <v>53.15</v>
      </c>
      <c r="G3334" s="14" t="str">
        <f>VLOOKUP(D3334,Table4[],3,FALSE)</f>
        <v>1</v>
      </c>
      <c r="H3334" s="15"/>
      <c r="I3334" s="15"/>
      <c r="J3334" s="15" t="s">
        <v>89</v>
      </c>
      <c r="K3334" s="15">
        <v>535424314</v>
      </c>
      <c r="L3334" s="15" t="s">
        <v>29</v>
      </c>
      <c r="M3334" s="15"/>
    </row>
    <row r="3335" spans="1:13" x14ac:dyDescent="0.25">
      <c r="A3335" s="23">
        <f t="shared" si="165"/>
        <v>247796</v>
      </c>
      <c r="B3335" s="14" t="str">
        <f t="shared" si="166"/>
        <v>Direct Debit (UMB Bank) - Credits</v>
      </c>
      <c r="C3335" s="37">
        <v>46169</v>
      </c>
      <c r="D3335" s="31">
        <v>247796</v>
      </c>
      <c r="E3335" s="33" t="str">
        <f>IF(Table3[[#This Row],[Type Received]]=2,"CC",(IF(Table3[[#This Row],[Type Received]]=3,"BILL","ACH")))</f>
        <v>ACH</v>
      </c>
      <c r="F3335" s="32">
        <v>82.95</v>
      </c>
      <c r="G3335" s="14" t="str">
        <f>VLOOKUP(D3335,Table4[],3,FALSE)</f>
        <v>2</v>
      </c>
      <c r="H3335" s="15"/>
      <c r="I3335" s="15"/>
      <c r="J3335" s="24" t="s">
        <v>117</v>
      </c>
      <c r="K3335" s="15">
        <v>840862719</v>
      </c>
      <c r="L3335" s="15" t="s">
        <v>29</v>
      </c>
      <c r="M3335" s="15"/>
    </row>
    <row r="3336" spans="1:13" x14ac:dyDescent="0.25">
      <c r="A3336" s="23">
        <f t="shared" si="165"/>
        <v>247819</v>
      </c>
      <c r="B3336" s="14" t="str">
        <f t="shared" si="166"/>
        <v>Direct Debit (UMB Bank) - Credits</v>
      </c>
      <c r="C3336" s="38">
        <v>46157</v>
      </c>
      <c r="D3336" s="34">
        <v>247819</v>
      </c>
      <c r="E3336" s="36" t="str">
        <f>IF(Table3[[#This Row],[Type Received]]=2,"CC",(IF(Table3[[#This Row],[Type Received]]=3,"BILL","ACH")))</f>
        <v>ACH</v>
      </c>
      <c r="F3336" s="35">
        <v>52.49</v>
      </c>
      <c r="G3336" s="14" t="str">
        <f>VLOOKUP(D3336,Table4[],3,FALSE)</f>
        <v>1</v>
      </c>
      <c r="H3336" s="15"/>
      <c r="I3336" s="15"/>
      <c r="J3336" s="15" t="s">
        <v>87</v>
      </c>
      <c r="K3336" s="15">
        <v>696810571</v>
      </c>
      <c r="L3336" s="15" t="s">
        <v>29</v>
      </c>
      <c r="M3336" s="15" t="s">
        <v>29</v>
      </c>
    </row>
    <row r="3337" spans="1:13" x14ac:dyDescent="0.25">
      <c r="A3337" s="23">
        <f t="shared" si="165"/>
        <v>247834</v>
      </c>
      <c r="B3337" s="14" t="str">
        <f t="shared" si="166"/>
        <v>Credit Cards (UMB) - Credits</v>
      </c>
      <c r="C3337" s="37">
        <v>46157</v>
      </c>
      <c r="D3337" s="31">
        <v>247834</v>
      </c>
      <c r="E3337" s="33" t="str">
        <f>IF(Table3[[#This Row],[Type Received]]=2,"CC",(IF(Table3[[#This Row],[Type Received]]=3,"BILL","ACH")))</f>
        <v>CC</v>
      </c>
      <c r="F3337" s="32">
        <v>90.11</v>
      </c>
      <c r="G3337" s="14" t="str">
        <f>VLOOKUP(D3337,Table4[],3,FALSE)</f>
        <v>1</v>
      </c>
      <c r="H3337" s="15"/>
      <c r="I3337" s="15"/>
      <c r="J3337" s="24" t="s">
        <v>87</v>
      </c>
      <c r="K3337" s="15">
        <v>696819197</v>
      </c>
      <c r="L3337" s="15" t="s">
        <v>29</v>
      </c>
      <c r="M3337" s="15"/>
    </row>
    <row r="3338" spans="1:13" x14ac:dyDescent="0.25">
      <c r="A3338" s="23">
        <f t="shared" si="165"/>
        <v>247847</v>
      </c>
      <c r="B3338" s="14" t="str">
        <f t="shared" si="166"/>
        <v>Credit Cards (UMB) - Credits</v>
      </c>
      <c r="C3338" s="38">
        <v>46155</v>
      </c>
      <c r="D3338" s="34">
        <v>247847</v>
      </c>
      <c r="E3338" s="36" t="str">
        <f>IF(Table3[[#This Row],[Type Received]]=2,"CC",(IF(Table3[[#This Row],[Type Received]]=3,"BILL","ACH")))</f>
        <v>CC</v>
      </c>
      <c r="F3338" s="35">
        <v>126.19</v>
      </c>
      <c r="G3338" s="14" t="str">
        <f>VLOOKUP(D3338,Table4[],3,FALSE)</f>
        <v>1</v>
      </c>
      <c r="H3338" s="15"/>
      <c r="I3338" s="15">
        <v>25197</v>
      </c>
      <c r="J3338" s="15" t="s">
        <v>28</v>
      </c>
      <c r="K3338" s="15">
        <v>669513135</v>
      </c>
      <c r="L3338" s="15" t="s">
        <v>29</v>
      </c>
      <c r="M3338" s="15" t="s">
        <v>29</v>
      </c>
    </row>
    <row r="3339" spans="1:13" x14ac:dyDescent="0.25">
      <c r="A3339" s="23">
        <f t="shared" si="165"/>
        <v>247918</v>
      </c>
      <c r="B3339" s="14" t="str">
        <f t="shared" si="166"/>
        <v>Billing - Credits (from TPA)</v>
      </c>
      <c r="C3339" s="37">
        <v>46155</v>
      </c>
      <c r="D3339" s="31">
        <v>247918</v>
      </c>
      <c r="E3339" s="33" t="str">
        <f>IF(Table3[[#This Row],[Type Received]]=2,"CC",(IF(Table3[[#This Row],[Type Received]]=3,"BILL","ACH")))</f>
        <v>BILL</v>
      </c>
      <c r="F3339" s="32">
        <v>151.27000000000001</v>
      </c>
      <c r="G3339" s="14" t="str">
        <f>VLOOKUP(D3339,Table4[],3,FALSE)</f>
        <v>2</v>
      </c>
      <c r="H3339" s="15"/>
      <c r="I3339" s="15">
        <v>148239</v>
      </c>
      <c r="J3339" s="15" t="s">
        <v>28</v>
      </c>
      <c r="K3339" s="15">
        <v>669498748</v>
      </c>
      <c r="L3339" s="15" t="s">
        <v>29</v>
      </c>
      <c r="M3339" s="15" t="s">
        <v>29</v>
      </c>
    </row>
    <row r="3340" spans="1:13" x14ac:dyDescent="0.25">
      <c r="A3340" s="23">
        <f t="shared" si="165"/>
        <v>247934</v>
      </c>
      <c r="B3340" s="14" t="str">
        <f t="shared" si="166"/>
        <v>Credit Cards (UMB) - Credits</v>
      </c>
      <c r="C3340" s="38">
        <v>46170</v>
      </c>
      <c r="D3340" s="34">
        <v>247934</v>
      </c>
      <c r="E3340" s="36" t="str">
        <f>IF(Table3[[#This Row],[Type Received]]=2,"CC",(IF(Table3[[#This Row],[Type Received]]=3,"BILL","ACH")))</f>
        <v>CC</v>
      </c>
      <c r="F3340" s="35">
        <v>75.39</v>
      </c>
      <c r="G3340" s="14" t="str">
        <f>VLOOKUP(D3340,Table4[],3,FALSE)</f>
        <v>2</v>
      </c>
      <c r="H3340" s="15">
        <v>414</v>
      </c>
      <c r="I3340" s="15"/>
      <c r="J3340" s="15"/>
      <c r="K3340" s="15"/>
      <c r="L3340" s="15"/>
      <c r="M3340" s="15" t="s">
        <v>29</v>
      </c>
    </row>
    <row r="3341" spans="1:13" x14ac:dyDescent="0.25">
      <c r="A3341" s="23">
        <f t="shared" si="165"/>
        <v>247942</v>
      </c>
      <c r="B3341" s="14" t="str">
        <f t="shared" si="166"/>
        <v>Direct Debit (UMB Bank) - Credits</v>
      </c>
      <c r="C3341" s="37">
        <v>46146</v>
      </c>
      <c r="D3341" s="31">
        <v>247942</v>
      </c>
      <c r="E3341" s="33" t="str">
        <f>IF(Table3[[#This Row],[Type Received]]=2,"CC",(IF(Table3[[#This Row],[Type Received]]=3,"BILL","ACH")))</f>
        <v>ACH</v>
      </c>
      <c r="F3341" s="32">
        <v>162.51</v>
      </c>
      <c r="G3341" s="14" t="str">
        <f>VLOOKUP(D3341,Table4[],3,FALSE)</f>
        <v>2</v>
      </c>
      <c r="H3341" s="15"/>
      <c r="I3341" s="15">
        <v>710110</v>
      </c>
      <c r="J3341" s="15" t="s">
        <v>28</v>
      </c>
      <c r="K3341" s="15">
        <v>561246478</v>
      </c>
      <c r="L3341" s="15" t="s">
        <v>29</v>
      </c>
      <c r="M3341" s="15" t="s">
        <v>29</v>
      </c>
    </row>
    <row r="3342" spans="1:13" x14ac:dyDescent="0.25">
      <c r="A3342" s="23">
        <f t="shared" si="165"/>
        <v>247957</v>
      </c>
      <c r="B3342" s="14" t="str">
        <f t="shared" si="166"/>
        <v>Direct Debit (UMB Bank) - Credits</v>
      </c>
      <c r="C3342" s="38">
        <v>46157</v>
      </c>
      <c r="D3342" s="34">
        <v>247957</v>
      </c>
      <c r="E3342" s="36" t="str">
        <f>IF(Table3[[#This Row],[Type Received]]=2,"CC",(IF(Table3[[#This Row],[Type Received]]=3,"BILL","ACH")))</f>
        <v>ACH</v>
      </c>
      <c r="F3342" s="35">
        <v>36.869999999999997</v>
      </c>
      <c r="G3342" s="14" t="str">
        <f>VLOOKUP(D3342,Table4[],3,FALSE)</f>
        <v>1</v>
      </c>
      <c r="H3342" s="15"/>
      <c r="I3342" s="15"/>
      <c r="J3342" s="15" t="s">
        <v>87</v>
      </c>
      <c r="K3342" s="15">
        <v>696803776</v>
      </c>
      <c r="L3342" s="15" t="s">
        <v>29</v>
      </c>
      <c r="M3342" s="15" t="s">
        <v>29</v>
      </c>
    </row>
    <row r="3343" spans="1:13" x14ac:dyDescent="0.25">
      <c r="A3343" s="23">
        <f t="shared" si="165"/>
        <v>247962</v>
      </c>
      <c r="B3343" s="14" t="str">
        <f t="shared" si="166"/>
        <v>Credit Cards (UMB) - Credits</v>
      </c>
      <c r="C3343" s="37">
        <v>46168</v>
      </c>
      <c r="D3343" s="31">
        <v>247962</v>
      </c>
      <c r="E3343" s="33" t="str">
        <f>IF(Table3[[#This Row],[Type Received]]=2,"CC",(IF(Table3[[#This Row],[Type Received]]=3,"BILL","ACH")))</f>
        <v>CC</v>
      </c>
      <c r="F3343" s="32">
        <v>54.58</v>
      </c>
      <c r="G3343" s="14" t="str">
        <f>VLOOKUP(D3343,Table4[],3,FALSE)</f>
        <v>2</v>
      </c>
      <c r="H3343" s="15"/>
      <c r="I3343" s="15"/>
      <c r="J3343" s="15" t="s">
        <v>110</v>
      </c>
      <c r="K3343" s="15">
        <v>828306283</v>
      </c>
      <c r="L3343" s="15" t="s">
        <v>29</v>
      </c>
      <c r="M3343" s="15" t="s">
        <v>29</v>
      </c>
    </row>
    <row r="3344" spans="1:13" x14ac:dyDescent="0.25">
      <c r="A3344" s="23">
        <f t="shared" si="165"/>
        <v>247996</v>
      </c>
      <c r="B3344" s="14" t="str">
        <f t="shared" si="166"/>
        <v>Direct Debit (UMB Bank) - Credits</v>
      </c>
      <c r="C3344" s="38">
        <v>46155</v>
      </c>
      <c r="D3344" s="34">
        <v>247996</v>
      </c>
      <c r="E3344" s="36" t="str">
        <f>IF(Table3[[#This Row],[Type Received]]=2,"CC",(IF(Table3[[#This Row],[Type Received]]=3,"BILL","ACH")))</f>
        <v>ACH</v>
      </c>
      <c r="F3344" s="35">
        <v>69.760000000000005</v>
      </c>
      <c r="G3344" s="14" t="str">
        <f>VLOOKUP(D3344,Table4[],3,FALSE)</f>
        <v>2</v>
      </c>
      <c r="H3344" s="15"/>
      <c r="I3344" s="15" t="s">
        <v>81</v>
      </c>
      <c r="J3344" s="15" t="s">
        <v>28</v>
      </c>
      <c r="K3344" s="15">
        <v>669490945</v>
      </c>
      <c r="L3344" s="15" t="s">
        <v>29</v>
      </c>
      <c r="M3344" s="15" t="s">
        <v>29</v>
      </c>
    </row>
    <row r="3345" spans="1:13" x14ac:dyDescent="0.25">
      <c r="A3345" s="23">
        <f t="shared" si="165"/>
        <v>247999</v>
      </c>
      <c r="B3345" s="14" t="str">
        <f t="shared" si="166"/>
        <v>Credit Cards (UMB) - Credits</v>
      </c>
      <c r="C3345" s="37">
        <v>46157</v>
      </c>
      <c r="D3345" s="31">
        <v>247999</v>
      </c>
      <c r="E3345" s="33" t="str">
        <f>IF(Table3[[#This Row],[Type Received]]=2,"CC",(IF(Table3[[#This Row],[Type Received]]=3,"BILL","ACH")))</f>
        <v>CC</v>
      </c>
      <c r="F3345" s="32">
        <v>82.95</v>
      </c>
      <c r="G3345" s="14" t="str">
        <f>VLOOKUP(D3345,Table4[],3,FALSE)</f>
        <v>2</v>
      </c>
      <c r="H3345" s="15"/>
      <c r="I3345" s="15"/>
      <c r="J3345" s="15" t="s">
        <v>87</v>
      </c>
      <c r="K3345" s="15">
        <v>696807742</v>
      </c>
      <c r="L3345" s="15" t="s">
        <v>29</v>
      </c>
      <c r="M3345" s="15" t="s">
        <v>29</v>
      </c>
    </row>
    <row r="3346" spans="1:13" x14ac:dyDescent="0.25">
      <c r="A3346" s="23">
        <f t="shared" si="165"/>
        <v>248008</v>
      </c>
      <c r="B3346" s="14" t="str">
        <f t="shared" si="166"/>
        <v>Direct Debit (UMB Bank) - Credits</v>
      </c>
      <c r="C3346" s="38">
        <v>46170</v>
      </c>
      <c r="D3346" s="34">
        <v>248008</v>
      </c>
      <c r="E3346" s="36" t="str">
        <f>IF(Table3[[#This Row],[Type Received]]=2,"CC",(IF(Table3[[#This Row],[Type Received]]=3,"BILL","ACH")))</f>
        <v>ACH</v>
      </c>
      <c r="F3346" s="35">
        <v>504.23</v>
      </c>
      <c r="G3346" s="14" t="str">
        <f>VLOOKUP(D3346,Table4[],3,FALSE)</f>
        <v>1</v>
      </c>
      <c r="H3346" s="15"/>
      <c r="I3346" s="15">
        <v>150849</v>
      </c>
      <c r="J3346" s="15">
        <v>749514569</v>
      </c>
      <c r="K3346" s="15">
        <v>356140117</v>
      </c>
      <c r="L3346" s="15"/>
      <c r="M3346" s="15"/>
    </row>
    <row r="3347" spans="1:13" x14ac:dyDescent="0.25">
      <c r="A3347" s="23">
        <f t="shared" si="165"/>
        <v>248013</v>
      </c>
      <c r="B3347" s="14" t="str">
        <f t="shared" si="166"/>
        <v>Billing - Credits (from TPA)</v>
      </c>
      <c r="C3347" s="37">
        <v>46163</v>
      </c>
      <c r="D3347" s="31">
        <v>248013</v>
      </c>
      <c r="E3347" s="33" t="str">
        <f>IF(Table3[[#This Row],[Type Received]]=2,"CC",(IF(Table3[[#This Row],[Type Received]]=3,"BILL","ACH")))</f>
        <v>BILL</v>
      </c>
      <c r="F3347" s="32">
        <v>82.95</v>
      </c>
      <c r="G3347" s="14" t="str">
        <f>VLOOKUP(D3347,Table4[],3,FALSE)</f>
        <v>2</v>
      </c>
      <c r="H3347" s="15"/>
      <c r="I3347" s="15"/>
      <c r="J3347" s="15" t="s">
        <v>214</v>
      </c>
      <c r="K3347" s="15">
        <v>771594820</v>
      </c>
      <c r="L3347" s="15" t="s">
        <v>29</v>
      </c>
      <c r="M3347" s="15"/>
    </row>
    <row r="3348" spans="1:13" x14ac:dyDescent="0.25">
      <c r="A3348" s="23">
        <f t="shared" ref="A3348:A3379" si="167">D3348</f>
        <v>248027</v>
      </c>
      <c r="B3348" s="14" t="str">
        <f t="shared" si="166"/>
        <v>Direct Debit (UMB Bank) - Credits</v>
      </c>
      <c r="C3348" s="38">
        <v>46169</v>
      </c>
      <c r="D3348" s="34">
        <v>248027</v>
      </c>
      <c r="E3348" s="36" t="str">
        <f>IF(Table3[[#This Row],[Type Received]]=2,"CC",(IF(Table3[[#This Row],[Type Received]]=3,"BILL","ACH")))</f>
        <v>ACH</v>
      </c>
      <c r="F3348" s="35">
        <v>57.57</v>
      </c>
      <c r="G3348" s="14" t="str">
        <f>VLOOKUP(D3348,Table4[],3,FALSE)</f>
        <v>2</v>
      </c>
      <c r="H3348" s="15">
        <v>5745</v>
      </c>
      <c r="I3348" s="15"/>
      <c r="J3348" s="15"/>
      <c r="K3348" s="15"/>
      <c r="L3348" s="15"/>
      <c r="M3348" s="15" t="s">
        <v>29</v>
      </c>
    </row>
    <row r="3349" spans="1:13" x14ac:dyDescent="0.25">
      <c r="A3349" s="23">
        <f t="shared" si="167"/>
        <v>248067</v>
      </c>
      <c r="B3349" s="14" t="str">
        <f t="shared" si="166"/>
        <v>Direct Debit (UMB Bank) - Credits</v>
      </c>
      <c r="C3349" s="37">
        <v>46169</v>
      </c>
      <c r="D3349" s="31">
        <v>248067</v>
      </c>
      <c r="E3349" s="33" t="str">
        <f>IF(Table3[[#This Row],[Type Received]]=2,"CC",(IF(Table3[[#This Row],[Type Received]]=3,"BILL","ACH")))</f>
        <v>ACH</v>
      </c>
      <c r="F3349" s="32">
        <v>109.36</v>
      </c>
      <c r="G3349" s="14" t="str">
        <f>VLOOKUP(D3349,Table4[],3,FALSE)</f>
        <v>2</v>
      </c>
      <c r="H3349" s="15"/>
      <c r="I3349" s="15"/>
      <c r="J3349" s="15" t="s">
        <v>117</v>
      </c>
      <c r="K3349" s="15">
        <v>840876149</v>
      </c>
      <c r="L3349" s="15" t="s">
        <v>29</v>
      </c>
      <c r="M3349" s="15"/>
    </row>
    <row r="3350" spans="1:13" x14ac:dyDescent="0.25">
      <c r="A3350" s="23">
        <f t="shared" si="167"/>
        <v>248070</v>
      </c>
      <c r="B3350" s="14" t="str">
        <f t="shared" si="166"/>
        <v>Direct Debit (UMB Bank) - Credits</v>
      </c>
      <c r="C3350" s="38">
        <v>46169</v>
      </c>
      <c r="D3350" s="34">
        <v>248070</v>
      </c>
      <c r="E3350" s="36" t="str">
        <f>IF(Table3[[#This Row],[Type Received]]=2,"CC",(IF(Table3[[#This Row],[Type Received]]=3,"BILL","ACH")))</f>
        <v>ACH</v>
      </c>
      <c r="F3350" s="35">
        <v>80.98</v>
      </c>
      <c r="G3350" s="14" t="str">
        <f>VLOOKUP(D3350,Table4[],3,FALSE)</f>
        <v>2</v>
      </c>
      <c r="H3350" s="15"/>
      <c r="I3350" s="15"/>
      <c r="J3350" s="15" t="s">
        <v>117</v>
      </c>
      <c r="K3350" s="15">
        <v>840861726</v>
      </c>
      <c r="L3350" s="15" t="s">
        <v>29</v>
      </c>
      <c r="M3350" s="15" t="s">
        <v>29</v>
      </c>
    </row>
    <row r="3351" spans="1:13" x14ac:dyDescent="0.25">
      <c r="A3351" s="23">
        <f t="shared" si="167"/>
        <v>248071</v>
      </c>
      <c r="B3351" s="14" t="str">
        <f t="shared" si="166"/>
        <v>Direct Debit (UMB Bank) - Credits</v>
      </c>
      <c r="C3351" s="37">
        <v>46144</v>
      </c>
      <c r="D3351" s="31">
        <v>248071</v>
      </c>
      <c r="E3351" s="33" t="str">
        <f>IF(Table3[[#This Row],[Type Received]]=2,"CC",(IF(Table3[[#This Row],[Type Received]]=3,"BILL","ACH")))</f>
        <v>ACH</v>
      </c>
      <c r="F3351" s="32">
        <v>123.88</v>
      </c>
      <c r="G3351" s="14" t="str">
        <f>VLOOKUP(D3351,Table4[],3,FALSE)</f>
        <v>2</v>
      </c>
      <c r="H3351" s="15"/>
      <c r="I3351" s="15"/>
      <c r="J3351" s="15" t="s">
        <v>89</v>
      </c>
      <c r="K3351" s="15">
        <v>535415695</v>
      </c>
      <c r="L3351" s="15" t="s">
        <v>29</v>
      </c>
      <c r="M3351" s="15" t="s">
        <v>29</v>
      </c>
    </row>
    <row r="3352" spans="1:13" x14ac:dyDescent="0.25">
      <c r="A3352" s="23">
        <f t="shared" si="167"/>
        <v>248090</v>
      </c>
      <c r="B3352" s="14" t="str">
        <f t="shared" si="166"/>
        <v>Direct Debit (UMB Bank) - Credits</v>
      </c>
      <c r="C3352" s="38">
        <v>46157</v>
      </c>
      <c r="D3352" s="34">
        <v>248090</v>
      </c>
      <c r="E3352" s="36" t="str">
        <f>IF(Table3[[#This Row],[Type Received]]=2,"CC",(IF(Table3[[#This Row],[Type Received]]=3,"BILL","ACH")))</f>
        <v>ACH</v>
      </c>
      <c r="F3352" s="35">
        <v>105.73</v>
      </c>
      <c r="G3352" s="14" t="str">
        <f>VLOOKUP(D3352,Table4[],3,FALSE)</f>
        <v>2</v>
      </c>
      <c r="H3352" s="15"/>
      <c r="I3352" s="15"/>
      <c r="J3352" s="15" t="s">
        <v>87</v>
      </c>
      <c r="K3352" s="15">
        <v>696801838</v>
      </c>
      <c r="L3352" s="15" t="s">
        <v>29</v>
      </c>
      <c r="M3352" s="15" t="s">
        <v>29</v>
      </c>
    </row>
    <row r="3353" spans="1:13" x14ac:dyDescent="0.25">
      <c r="A3353" s="23">
        <f t="shared" si="167"/>
        <v>248157</v>
      </c>
      <c r="B3353" s="14" t="str">
        <f t="shared" si="166"/>
        <v>Credit Cards (UMB) - Credits</v>
      </c>
      <c r="C3353" s="37">
        <v>46169</v>
      </c>
      <c r="D3353" s="31">
        <v>248157</v>
      </c>
      <c r="E3353" s="33" t="str">
        <f>IF(Table3[[#This Row],[Type Received]]=2,"CC",(IF(Table3[[#This Row],[Type Received]]=3,"BILL","ACH")))</f>
        <v>CC</v>
      </c>
      <c r="F3353" s="32">
        <v>32.03</v>
      </c>
      <c r="G3353" s="14" t="str">
        <f>VLOOKUP(D3353,Table4[],3,FALSE)</f>
        <v>1</v>
      </c>
      <c r="H3353" s="15"/>
      <c r="I3353" s="15"/>
      <c r="J3353" s="15" t="s">
        <v>117</v>
      </c>
      <c r="K3353" s="15">
        <v>840875232</v>
      </c>
      <c r="L3353" s="15" t="s">
        <v>29</v>
      </c>
      <c r="M3353" s="15" t="s">
        <v>29</v>
      </c>
    </row>
    <row r="3354" spans="1:13" x14ac:dyDescent="0.25">
      <c r="A3354" s="23">
        <f t="shared" si="167"/>
        <v>248166</v>
      </c>
      <c r="B3354" s="14" t="str">
        <f t="shared" si="166"/>
        <v>Billing - Credits (from TPA)</v>
      </c>
      <c r="C3354" s="38">
        <v>46149</v>
      </c>
      <c r="D3354" s="34">
        <v>248166</v>
      </c>
      <c r="E3354" s="36" t="str">
        <f>IF(Table3[[#This Row],[Type Received]]=2,"CC",(IF(Table3[[#This Row],[Type Received]]=3,"BILL","ACH")))</f>
        <v>BILL</v>
      </c>
      <c r="F3354" s="35">
        <v>108.39</v>
      </c>
      <c r="G3354" s="14" t="str">
        <f>VLOOKUP(D3354,Table4[],3,FALSE)</f>
        <v>2</v>
      </c>
      <c r="H3354" s="15"/>
      <c r="I3354" s="15">
        <v>488996</v>
      </c>
      <c r="J3354" s="24">
        <v>743273545</v>
      </c>
      <c r="K3354" s="15">
        <v>353777491</v>
      </c>
      <c r="L3354" s="15"/>
      <c r="M3354" s="15" t="s">
        <v>29</v>
      </c>
    </row>
    <row r="3355" spans="1:13" x14ac:dyDescent="0.25">
      <c r="A3355" s="23">
        <f t="shared" si="167"/>
        <v>248171</v>
      </c>
      <c r="B3355" s="14" t="str">
        <f t="shared" si="166"/>
        <v>Direct Debit (UMB Bank) - Credits</v>
      </c>
      <c r="C3355" s="37">
        <v>46170</v>
      </c>
      <c r="D3355" s="31">
        <v>248171</v>
      </c>
      <c r="E3355" s="33" t="str">
        <f>IF(Table3[[#This Row],[Type Received]]=2,"CC",(IF(Table3[[#This Row],[Type Received]]=3,"BILL","ACH")))</f>
        <v>ACH</v>
      </c>
      <c r="F3355" s="32">
        <v>185</v>
      </c>
      <c r="G3355" s="14" t="str">
        <f>VLOOKUP(D3355,Table4[],3,FALSE)</f>
        <v>2</v>
      </c>
      <c r="H3355" s="15">
        <v>923452019</v>
      </c>
      <c r="I3355" s="15"/>
      <c r="J3355" s="15"/>
      <c r="K3355" s="15"/>
      <c r="L3355" s="15"/>
      <c r="M3355" s="15"/>
    </row>
    <row r="3356" spans="1:13" x14ac:dyDescent="0.25">
      <c r="A3356" s="23">
        <f t="shared" si="167"/>
        <v>248202</v>
      </c>
      <c r="B3356" s="14" t="str">
        <f t="shared" si="166"/>
        <v>Direct Debit (UMB Bank) - Credits</v>
      </c>
      <c r="C3356" s="38">
        <v>46169</v>
      </c>
      <c r="D3356" s="34">
        <v>248202</v>
      </c>
      <c r="E3356" s="36" t="str">
        <f>IF(Table3[[#This Row],[Type Received]]=2,"CC",(IF(Table3[[#This Row],[Type Received]]=3,"BILL","ACH")))</f>
        <v>ACH</v>
      </c>
      <c r="F3356" s="35">
        <v>112</v>
      </c>
      <c r="G3356" s="14" t="str">
        <f>VLOOKUP(D3356,Table4[],3,FALSE)</f>
        <v>2</v>
      </c>
      <c r="H3356" s="15"/>
      <c r="I3356" s="15"/>
      <c r="J3356" s="15" t="s">
        <v>117</v>
      </c>
      <c r="K3356" s="15">
        <v>840858837</v>
      </c>
      <c r="L3356" s="15" t="s">
        <v>29</v>
      </c>
      <c r="M3356" s="15"/>
    </row>
    <row r="3357" spans="1:13" x14ac:dyDescent="0.25">
      <c r="A3357" s="23">
        <f t="shared" si="167"/>
        <v>248208</v>
      </c>
      <c r="B3357" s="14" t="str">
        <f t="shared" si="166"/>
        <v>Direct Debit (UMB Bank) - Credits</v>
      </c>
      <c r="C3357" s="37">
        <v>46144</v>
      </c>
      <c r="D3357" s="31">
        <v>248208</v>
      </c>
      <c r="E3357" s="33" t="str">
        <f>IF(Table3[[#This Row],[Type Received]]=2,"CC",(IF(Table3[[#This Row],[Type Received]]=3,"BILL","ACH")))</f>
        <v>ACH</v>
      </c>
      <c r="F3357" s="32">
        <v>43.03</v>
      </c>
      <c r="G3357" s="14" t="str">
        <f>VLOOKUP(D3357,Table4[],3,FALSE)</f>
        <v>1</v>
      </c>
      <c r="H3357" s="15"/>
      <c r="I3357" s="15"/>
      <c r="J3357" s="15" t="s">
        <v>89</v>
      </c>
      <c r="K3357" s="15">
        <v>535408803</v>
      </c>
      <c r="L3357" s="15" t="s">
        <v>29</v>
      </c>
      <c r="M3357" s="15" t="s">
        <v>29</v>
      </c>
    </row>
    <row r="3358" spans="1:13" x14ac:dyDescent="0.25">
      <c r="A3358" s="23">
        <f t="shared" si="167"/>
        <v>248225</v>
      </c>
      <c r="B3358" s="14" t="str">
        <f t="shared" si="166"/>
        <v>Billing - Credits (from TPA)</v>
      </c>
      <c r="C3358" s="38">
        <v>46169</v>
      </c>
      <c r="D3358" s="34">
        <v>248225</v>
      </c>
      <c r="E3358" s="36" t="str">
        <f>IF(Table3[[#This Row],[Type Received]]=2,"CC",(IF(Table3[[#This Row],[Type Received]]=3,"BILL","ACH")))</f>
        <v>BILL</v>
      </c>
      <c r="F3358" s="35">
        <v>35.33</v>
      </c>
      <c r="G3358" s="14" t="str">
        <f>VLOOKUP(D3358,Table4[],3,FALSE)</f>
        <v>1</v>
      </c>
      <c r="H3358" s="15"/>
      <c r="I3358" s="15"/>
      <c r="J3358" s="15" t="s">
        <v>117</v>
      </c>
      <c r="K3358" s="15">
        <v>840863701</v>
      </c>
      <c r="L3358" s="15" t="s">
        <v>29</v>
      </c>
      <c r="M3358" s="15" t="s">
        <v>29</v>
      </c>
    </row>
    <row r="3359" spans="1:13" x14ac:dyDescent="0.25">
      <c r="A3359" s="23">
        <f t="shared" si="167"/>
        <v>248233</v>
      </c>
      <c r="B3359" s="14" t="str">
        <f t="shared" si="166"/>
        <v>Credit Cards (UMB) - Credits</v>
      </c>
      <c r="C3359" s="37">
        <v>46171</v>
      </c>
      <c r="D3359" s="31">
        <v>248233</v>
      </c>
      <c r="E3359" s="33" t="str">
        <f>IF(Table3[[#This Row],[Type Received]]=2,"CC",(IF(Table3[[#This Row],[Type Received]]=3,"BILL","ACH")))</f>
        <v>CC</v>
      </c>
      <c r="F3359" s="32">
        <v>66.48</v>
      </c>
      <c r="G3359" s="14" t="str">
        <f>VLOOKUP(D3359,Table4[],3,FALSE)</f>
        <v>2</v>
      </c>
      <c r="H3359" s="15">
        <v>8721</v>
      </c>
      <c r="I3359" s="15"/>
      <c r="J3359" s="15"/>
      <c r="K3359" s="15"/>
      <c r="L3359" s="15"/>
      <c r="M3359" s="15" t="s">
        <v>29</v>
      </c>
    </row>
    <row r="3360" spans="1:13" x14ac:dyDescent="0.25">
      <c r="A3360" s="23">
        <f t="shared" si="167"/>
        <v>248261</v>
      </c>
      <c r="B3360" s="14" t="str">
        <f t="shared" si="166"/>
        <v>Direct Debit (UMB Bank) - Credits</v>
      </c>
      <c r="C3360" s="38">
        <v>46155</v>
      </c>
      <c r="D3360" s="34">
        <v>248261</v>
      </c>
      <c r="E3360" s="36" t="str">
        <f>IF(Table3[[#This Row],[Type Received]]=2,"CC",(IF(Table3[[#This Row],[Type Received]]=3,"BILL","ACH")))</f>
        <v>ACH</v>
      </c>
      <c r="F3360" s="35">
        <v>181.96</v>
      </c>
      <c r="G3360" s="14" t="str">
        <f>VLOOKUP(D3360,Table4[],3,FALSE)</f>
        <v>2</v>
      </c>
      <c r="H3360" s="15"/>
      <c r="I3360" s="15">
        <v>136720</v>
      </c>
      <c r="J3360" s="24" t="s">
        <v>28</v>
      </c>
      <c r="K3360" s="15">
        <v>669484418</v>
      </c>
      <c r="L3360" s="15" t="s">
        <v>29</v>
      </c>
      <c r="M3360" s="15" t="s">
        <v>29</v>
      </c>
    </row>
    <row r="3361" spans="1:13" x14ac:dyDescent="0.25">
      <c r="A3361" s="23">
        <f t="shared" si="167"/>
        <v>248263</v>
      </c>
      <c r="B3361" s="14" t="str">
        <f t="shared" si="166"/>
        <v>Direct Debit (UMB Bank) - Credits</v>
      </c>
      <c r="C3361" s="37">
        <v>46157</v>
      </c>
      <c r="D3361" s="31">
        <v>248263</v>
      </c>
      <c r="E3361" s="33" t="str">
        <f>IF(Table3[[#This Row],[Type Received]]=2,"CC",(IF(Table3[[#This Row],[Type Received]]=3,"BILL","ACH")))</f>
        <v>ACH</v>
      </c>
      <c r="F3361" s="32">
        <v>64.150000000000006</v>
      </c>
      <c r="G3361" s="14" t="str">
        <f>VLOOKUP(D3361,Table4[],3,FALSE)</f>
        <v>1</v>
      </c>
      <c r="H3361" s="15"/>
      <c r="I3361" s="15"/>
      <c r="J3361" s="15" t="s">
        <v>87</v>
      </c>
      <c r="K3361" s="15">
        <v>696825107</v>
      </c>
      <c r="L3361" s="15" t="s">
        <v>29</v>
      </c>
      <c r="M3361" s="15"/>
    </row>
    <row r="3362" spans="1:13" x14ac:dyDescent="0.25">
      <c r="A3362" s="23">
        <f t="shared" si="167"/>
        <v>248296</v>
      </c>
      <c r="B3362" s="14" t="str">
        <f t="shared" si="166"/>
        <v>Direct Debit (UMB Bank) - Credits</v>
      </c>
      <c r="C3362" s="38">
        <v>46157</v>
      </c>
      <c r="D3362" s="34">
        <v>248296</v>
      </c>
      <c r="E3362" s="36" t="str">
        <f>IF(Table3[[#This Row],[Type Received]]=2,"CC",(IF(Table3[[#This Row],[Type Received]]=3,"BILL","ACH")))</f>
        <v>ACH</v>
      </c>
      <c r="F3362" s="35">
        <v>82.95</v>
      </c>
      <c r="G3362" s="14" t="str">
        <f>VLOOKUP(D3362,Table4[],3,FALSE)</f>
        <v>2</v>
      </c>
      <c r="H3362" s="15"/>
      <c r="I3362" s="15"/>
      <c r="J3362" s="15" t="s">
        <v>87</v>
      </c>
      <c r="K3362" s="15">
        <v>696826105</v>
      </c>
      <c r="L3362" s="15" t="s">
        <v>29</v>
      </c>
      <c r="M3362" s="15"/>
    </row>
    <row r="3363" spans="1:13" x14ac:dyDescent="0.25">
      <c r="A3363" s="23">
        <f t="shared" si="167"/>
        <v>248299</v>
      </c>
      <c r="B3363" s="14" t="str">
        <f t="shared" si="166"/>
        <v>Direct Debit (UMB Bank) - Credits</v>
      </c>
      <c r="C3363" s="37">
        <v>46157</v>
      </c>
      <c r="D3363" s="31">
        <v>248299</v>
      </c>
      <c r="E3363" s="33" t="str">
        <f>IF(Table3[[#This Row],[Type Received]]=2,"CC",(IF(Table3[[#This Row],[Type Received]]=3,"BILL","ACH")))</f>
        <v>ACH</v>
      </c>
      <c r="F3363" s="32">
        <v>72.510000000000005</v>
      </c>
      <c r="G3363" s="14" t="str">
        <f>VLOOKUP(D3363,Table4[],3,FALSE)</f>
        <v>1</v>
      </c>
      <c r="H3363" s="15"/>
      <c r="I3363" s="15"/>
      <c r="J3363" s="15" t="s">
        <v>87</v>
      </c>
      <c r="K3363" s="15">
        <v>696808828</v>
      </c>
      <c r="L3363" s="15" t="s">
        <v>29</v>
      </c>
      <c r="M3363" s="15" t="s">
        <v>29</v>
      </c>
    </row>
    <row r="3364" spans="1:13" x14ac:dyDescent="0.25">
      <c r="A3364" s="23">
        <f t="shared" si="167"/>
        <v>248311</v>
      </c>
      <c r="B3364" s="14" t="str">
        <f t="shared" si="166"/>
        <v>Direct Debit (UMB Bank) - Credits</v>
      </c>
      <c r="C3364" s="38">
        <v>46157</v>
      </c>
      <c r="D3364" s="34">
        <v>248311</v>
      </c>
      <c r="E3364" s="36" t="str">
        <f>IF(Table3[[#This Row],[Type Received]]=2,"CC",(IF(Table3[[#This Row],[Type Received]]=3,"BILL","ACH")))</f>
        <v>ACH</v>
      </c>
      <c r="F3364" s="35">
        <v>55.9</v>
      </c>
      <c r="G3364" s="14" t="str">
        <f>VLOOKUP(D3364,Table4[],3,FALSE)</f>
        <v>2</v>
      </c>
      <c r="H3364" s="15"/>
      <c r="I3364" s="15"/>
      <c r="J3364" s="15" t="s">
        <v>87</v>
      </c>
      <c r="K3364" s="15">
        <v>696812549</v>
      </c>
      <c r="L3364" s="15" t="s">
        <v>29</v>
      </c>
      <c r="M3364" s="15" t="s">
        <v>29</v>
      </c>
    </row>
    <row r="3365" spans="1:13" x14ac:dyDescent="0.25">
      <c r="A3365" s="23">
        <f t="shared" si="167"/>
        <v>248320</v>
      </c>
      <c r="B3365" s="14" t="str">
        <f t="shared" si="166"/>
        <v>Direct Debit (UMB Bank) - Credits</v>
      </c>
      <c r="C3365" s="37">
        <v>46169</v>
      </c>
      <c r="D3365" s="31">
        <v>248320</v>
      </c>
      <c r="E3365" s="33" t="str">
        <f>IF(Table3[[#This Row],[Type Received]]=2,"CC",(IF(Table3[[#This Row],[Type Received]]=3,"BILL","ACH")))</f>
        <v>ACH</v>
      </c>
      <c r="F3365" s="32">
        <v>88.13</v>
      </c>
      <c r="G3365" s="14" t="str">
        <f>VLOOKUP(D3365,Table4[],3,FALSE)</f>
        <v>1</v>
      </c>
      <c r="H3365" s="15"/>
      <c r="I3365" s="15"/>
      <c r="J3365" s="15" t="s">
        <v>117</v>
      </c>
      <c r="K3365" s="15">
        <v>840853951</v>
      </c>
      <c r="L3365" s="15" t="s">
        <v>29</v>
      </c>
      <c r="M3365" s="15" t="s">
        <v>29</v>
      </c>
    </row>
    <row r="3366" spans="1:13" x14ac:dyDescent="0.25">
      <c r="A3366" s="23">
        <f t="shared" si="167"/>
        <v>248321</v>
      </c>
      <c r="B3366" s="14" t="str">
        <f t="shared" si="166"/>
        <v>Direct Debit (UMB Bank) - Credits</v>
      </c>
      <c r="C3366" s="38">
        <v>46157</v>
      </c>
      <c r="D3366" s="34">
        <v>248321</v>
      </c>
      <c r="E3366" s="36" t="str">
        <f>IF(Table3[[#This Row],[Type Received]]=2,"CC",(IF(Table3[[#This Row],[Type Received]]=3,"BILL","ACH")))</f>
        <v>ACH</v>
      </c>
      <c r="F3366" s="35">
        <v>52.49</v>
      </c>
      <c r="G3366" s="14" t="str">
        <f>VLOOKUP(D3366,Table4[],3,FALSE)</f>
        <v>1</v>
      </c>
      <c r="H3366" s="15"/>
      <c r="I3366" s="15"/>
      <c r="J3366" s="15" t="s">
        <v>87</v>
      </c>
      <c r="K3366" s="15">
        <v>696829103</v>
      </c>
      <c r="L3366" s="15" t="s">
        <v>29</v>
      </c>
      <c r="M3366" s="15"/>
    </row>
    <row r="3367" spans="1:13" x14ac:dyDescent="0.25">
      <c r="A3367" s="23">
        <f t="shared" si="167"/>
        <v>248342</v>
      </c>
      <c r="B3367" s="14" t="str">
        <f t="shared" si="166"/>
        <v>Direct Debit (UMB Bank) - Credits</v>
      </c>
      <c r="C3367" s="37">
        <v>46169</v>
      </c>
      <c r="D3367" s="31">
        <v>248342</v>
      </c>
      <c r="E3367" s="33" t="str">
        <f>IF(Table3[[#This Row],[Type Received]]=2,"CC",(IF(Table3[[#This Row],[Type Received]]=3,"BILL","ACH")))</f>
        <v>ACH</v>
      </c>
      <c r="F3367" s="32">
        <v>30.05</v>
      </c>
      <c r="G3367" s="14" t="str">
        <f>VLOOKUP(D3367,Table4[],3,FALSE)</f>
        <v>1</v>
      </c>
      <c r="H3367" s="15"/>
      <c r="I3367" s="15"/>
      <c r="J3367" s="15" t="s">
        <v>117</v>
      </c>
      <c r="K3367" s="15">
        <v>840856926</v>
      </c>
      <c r="L3367" s="15" t="s">
        <v>29</v>
      </c>
      <c r="M3367" s="15"/>
    </row>
    <row r="3368" spans="1:13" x14ac:dyDescent="0.25">
      <c r="A3368" s="23">
        <f t="shared" si="167"/>
        <v>248377</v>
      </c>
      <c r="B3368" s="14" t="str">
        <f t="shared" si="166"/>
        <v>Billing - Credits (from TPA)</v>
      </c>
      <c r="C3368" s="38">
        <v>46144</v>
      </c>
      <c r="D3368" s="34">
        <v>248377</v>
      </c>
      <c r="E3368" s="36" t="str">
        <f>IF(Table3[[#This Row],[Type Received]]=2,"CC",(IF(Table3[[#This Row],[Type Received]]=3,"BILL","ACH")))</f>
        <v>BILL</v>
      </c>
      <c r="F3368" s="35">
        <v>33.79</v>
      </c>
      <c r="G3368" s="14" t="str">
        <f>VLOOKUP(D3368,Table4[],3,FALSE)</f>
        <v>1</v>
      </c>
      <c r="H3368" s="15"/>
      <c r="I3368" s="15"/>
      <c r="J3368" s="15" t="s">
        <v>89</v>
      </c>
      <c r="K3368" s="15">
        <v>535409815</v>
      </c>
      <c r="L3368" s="15" t="s">
        <v>29</v>
      </c>
      <c r="M3368" s="15" t="s">
        <v>29</v>
      </c>
    </row>
    <row r="3369" spans="1:13" x14ac:dyDescent="0.25">
      <c r="A3369" s="23">
        <f t="shared" si="167"/>
        <v>248429</v>
      </c>
      <c r="B3369" s="14" t="str">
        <f t="shared" si="166"/>
        <v>Direct Debit (UMB Bank) - Credits</v>
      </c>
      <c r="C3369" s="37">
        <v>46163</v>
      </c>
      <c r="D3369" s="31">
        <v>248429</v>
      </c>
      <c r="E3369" s="33" t="str">
        <f>IF(Table3[[#This Row],[Type Received]]=2,"CC",(IF(Table3[[#This Row],[Type Received]]=3,"BILL","ACH")))</f>
        <v>ACH</v>
      </c>
      <c r="F3369" s="32">
        <v>133</v>
      </c>
      <c r="G3369" s="14" t="str">
        <f>VLOOKUP(D3369,Table4[],3,FALSE)</f>
        <v>2</v>
      </c>
      <c r="H3369" s="15">
        <v>6000054</v>
      </c>
      <c r="I3369" s="15"/>
      <c r="J3369" s="15"/>
      <c r="K3369" s="15"/>
      <c r="L3369" s="15"/>
      <c r="M3369" s="15"/>
    </row>
    <row r="3370" spans="1:13" x14ac:dyDescent="0.25">
      <c r="A3370" s="23">
        <f t="shared" si="167"/>
        <v>248439</v>
      </c>
      <c r="B3370" s="14" t="str">
        <f t="shared" si="166"/>
        <v>Credit Cards (UMB) - Credits</v>
      </c>
      <c r="C3370" s="38">
        <v>46169</v>
      </c>
      <c r="D3370" s="34">
        <v>248439</v>
      </c>
      <c r="E3370" s="36" t="str">
        <f>IF(Table3[[#This Row],[Type Received]]=2,"CC",(IF(Table3[[#This Row],[Type Received]]=3,"BILL","ACH")))</f>
        <v>CC</v>
      </c>
      <c r="F3370" s="35">
        <v>100.45</v>
      </c>
      <c r="G3370" s="14" t="str">
        <f>VLOOKUP(D3370,Table4[],3,FALSE)</f>
        <v>2</v>
      </c>
      <c r="H3370" s="15"/>
      <c r="I3370" s="15"/>
      <c r="J3370" s="15" t="s">
        <v>117</v>
      </c>
      <c r="K3370" s="15">
        <v>840875307</v>
      </c>
      <c r="L3370" s="15" t="s">
        <v>29</v>
      </c>
      <c r="M3370" s="15" t="s">
        <v>29</v>
      </c>
    </row>
    <row r="3371" spans="1:13" x14ac:dyDescent="0.25">
      <c r="A3371" s="23">
        <f t="shared" si="167"/>
        <v>248461</v>
      </c>
      <c r="B3371" s="14" t="str">
        <f t="shared" si="166"/>
        <v>Direct Debit (UMB Bank) - Credits</v>
      </c>
      <c r="C3371" s="37">
        <v>46155</v>
      </c>
      <c r="D3371" s="31">
        <v>248461</v>
      </c>
      <c r="E3371" s="33" t="str">
        <f>IF(Table3[[#This Row],[Type Received]]=2,"CC",(IF(Table3[[#This Row],[Type Received]]=3,"BILL","ACH")))</f>
        <v>ACH</v>
      </c>
      <c r="F3371" s="32">
        <v>94.73</v>
      </c>
      <c r="G3371" s="14" t="str">
        <f>VLOOKUP(D3371,Table4[],3,FALSE)</f>
        <v>1</v>
      </c>
      <c r="H3371" s="15"/>
      <c r="I3371" s="15" t="s">
        <v>292</v>
      </c>
      <c r="J3371" s="24" t="s">
        <v>28</v>
      </c>
      <c r="K3371" s="15">
        <v>669497764</v>
      </c>
      <c r="L3371" s="15" t="s">
        <v>29</v>
      </c>
      <c r="M3371" s="15" t="s">
        <v>29</v>
      </c>
    </row>
    <row r="3372" spans="1:13" x14ac:dyDescent="0.25">
      <c r="A3372" s="23">
        <f t="shared" si="167"/>
        <v>248471</v>
      </c>
      <c r="B3372" s="14" t="str">
        <f t="shared" si="166"/>
        <v>Credit Cards (UMB) - Credits</v>
      </c>
      <c r="C3372" s="38">
        <v>46157</v>
      </c>
      <c r="D3372" s="34">
        <v>248471</v>
      </c>
      <c r="E3372" s="36" t="str">
        <f>IF(Table3[[#This Row],[Type Received]]=2,"CC",(IF(Table3[[#This Row],[Type Received]]=3,"BILL","ACH")))</f>
        <v>CC</v>
      </c>
      <c r="F3372" s="35">
        <v>44.35</v>
      </c>
      <c r="G3372" s="14" t="str">
        <f>VLOOKUP(D3372,Table4[],3,FALSE)</f>
        <v>2</v>
      </c>
      <c r="H3372" s="15"/>
      <c r="I3372" s="15"/>
      <c r="J3372" s="15" t="s">
        <v>87</v>
      </c>
      <c r="K3372" s="15">
        <v>696828119</v>
      </c>
      <c r="L3372" s="15" t="s">
        <v>29</v>
      </c>
      <c r="M3372" s="15"/>
    </row>
    <row r="3373" spans="1:13" x14ac:dyDescent="0.25">
      <c r="A3373" s="23">
        <f t="shared" si="167"/>
        <v>248477</v>
      </c>
      <c r="B3373" s="14" t="str">
        <f t="shared" si="166"/>
        <v>Direct Debit (UMB Bank) - Credits</v>
      </c>
      <c r="C3373" s="37">
        <v>46155</v>
      </c>
      <c r="D3373" s="31">
        <v>248477</v>
      </c>
      <c r="E3373" s="33" t="str">
        <f>IF(Table3[[#This Row],[Type Received]]=2,"CC",(IF(Table3[[#This Row],[Type Received]]=3,"BILL","ACH")))</f>
        <v>ACH</v>
      </c>
      <c r="F3373" s="32">
        <v>31.37</v>
      </c>
      <c r="G3373" s="14" t="str">
        <f>VLOOKUP(D3373,Table4[],3,FALSE)</f>
        <v>1</v>
      </c>
      <c r="H3373" s="15"/>
      <c r="I3373" s="15">
        <v>887706</v>
      </c>
      <c r="J3373" s="15" t="s">
        <v>28</v>
      </c>
      <c r="K3373" s="15">
        <v>669509765</v>
      </c>
      <c r="L3373" s="15" t="s">
        <v>29</v>
      </c>
      <c r="M3373" s="15" t="s">
        <v>29</v>
      </c>
    </row>
    <row r="3374" spans="1:13" x14ac:dyDescent="0.25">
      <c r="A3374" s="23">
        <f t="shared" si="167"/>
        <v>248488</v>
      </c>
      <c r="B3374" s="14" t="str">
        <f t="shared" si="166"/>
        <v>Direct Debit (UMB Bank) - Credits</v>
      </c>
      <c r="C3374" s="38">
        <v>46169</v>
      </c>
      <c r="D3374" s="34">
        <v>248488</v>
      </c>
      <c r="E3374" s="36" t="str">
        <f>IF(Table3[[#This Row],[Type Received]]=2,"CC",(IF(Table3[[#This Row],[Type Received]]=3,"BILL","ACH")))</f>
        <v>ACH</v>
      </c>
      <c r="F3374" s="35">
        <v>126.19</v>
      </c>
      <c r="G3374" s="14" t="str">
        <f>VLOOKUP(D3374,Table4[],3,FALSE)</f>
        <v>2</v>
      </c>
      <c r="H3374" s="15"/>
      <c r="I3374" s="15"/>
      <c r="J3374" s="15" t="s">
        <v>117</v>
      </c>
      <c r="K3374" s="15">
        <v>840867651</v>
      </c>
      <c r="L3374" s="15" t="s">
        <v>29</v>
      </c>
      <c r="M3374" s="15" t="s">
        <v>29</v>
      </c>
    </row>
    <row r="3375" spans="1:13" x14ac:dyDescent="0.25">
      <c r="A3375" s="23">
        <f t="shared" si="167"/>
        <v>248493</v>
      </c>
      <c r="B3375" s="14" t="str">
        <f t="shared" si="166"/>
        <v>Direct Debit (UMB Bank) - Credits</v>
      </c>
      <c r="C3375" s="37">
        <v>46144</v>
      </c>
      <c r="D3375" s="31">
        <v>248493</v>
      </c>
      <c r="E3375" s="33" t="str">
        <f>IF(Table3[[#This Row],[Type Received]]=2,"CC",(IF(Table3[[#This Row],[Type Received]]=3,"BILL","ACH")))</f>
        <v>ACH</v>
      </c>
      <c r="F3375" s="32">
        <v>49.96</v>
      </c>
      <c r="G3375" s="14" t="str">
        <f>VLOOKUP(D3375,Table4[],3,FALSE)</f>
        <v>2</v>
      </c>
      <c r="H3375" s="15"/>
      <c r="I3375" s="15"/>
      <c r="J3375" s="15" t="s">
        <v>89</v>
      </c>
      <c r="K3375" s="15">
        <v>535422493</v>
      </c>
      <c r="L3375" s="15" t="s">
        <v>29</v>
      </c>
      <c r="M3375" s="15" t="s">
        <v>29</v>
      </c>
    </row>
    <row r="3376" spans="1:13" x14ac:dyDescent="0.25">
      <c r="A3376" s="23">
        <f t="shared" si="167"/>
        <v>248494</v>
      </c>
      <c r="B3376" s="14" t="str">
        <f t="shared" si="166"/>
        <v>Direct Debit (UMB Bank) - Credits</v>
      </c>
      <c r="C3376" s="38">
        <v>46157</v>
      </c>
      <c r="D3376" s="34">
        <v>248494</v>
      </c>
      <c r="E3376" s="36" t="str">
        <f>IF(Table3[[#This Row],[Type Received]]=2,"CC",(IF(Table3[[#This Row],[Type Received]]=3,"BILL","ACH")))</f>
        <v>ACH</v>
      </c>
      <c r="F3376" s="35">
        <v>70.09</v>
      </c>
      <c r="G3376" s="14" t="str">
        <f>VLOOKUP(D3376,Table4[],3,FALSE)</f>
        <v>2</v>
      </c>
      <c r="H3376" s="15"/>
      <c r="I3376" s="15"/>
      <c r="J3376" s="15" t="s">
        <v>87</v>
      </c>
      <c r="K3376" s="15">
        <v>696824222</v>
      </c>
      <c r="L3376" s="15" t="s">
        <v>29</v>
      </c>
      <c r="M3376" s="15" t="s">
        <v>29</v>
      </c>
    </row>
    <row r="3377" spans="1:13" x14ac:dyDescent="0.25">
      <c r="A3377" s="23">
        <f t="shared" si="167"/>
        <v>248518</v>
      </c>
      <c r="B3377" s="14" t="str">
        <f t="shared" si="166"/>
        <v>Direct Debit (UMB Bank) - Credits</v>
      </c>
      <c r="C3377" s="37">
        <v>46169</v>
      </c>
      <c r="D3377" s="31">
        <v>248518</v>
      </c>
      <c r="E3377" s="33" t="str">
        <f>IF(Table3[[#This Row],[Type Received]]=2,"CC",(IF(Table3[[#This Row],[Type Received]]=3,"BILL","ACH")))</f>
        <v>ACH</v>
      </c>
      <c r="F3377" s="32">
        <v>90.11</v>
      </c>
      <c r="G3377" s="14" t="str">
        <f>VLOOKUP(D3377,Table4[],3,FALSE)</f>
        <v>1</v>
      </c>
      <c r="H3377" s="15"/>
      <c r="I3377" s="15"/>
      <c r="J3377" s="15" t="s">
        <v>117</v>
      </c>
      <c r="K3377" s="15">
        <v>840879126</v>
      </c>
      <c r="L3377" s="15" t="s">
        <v>29</v>
      </c>
      <c r="M3377" s="15"/>
    </row>
    <row r="3378" spans="1:13" x14ac:dyDescent="0.25">
      <c r="A3378" s="23">
        <f t="shared" si="167"/>
        <v>248531</v>
      </c>
      <c r="B3378" s="14" t="str">
        <f t="shared" si="166"/>
        <v>Direct Debit (UMB Bank) - Credits</v>
      </c>
      <c r="C3378" s="38">
        <v>46157</v>
      </c>
      <c r="D3378" s="34">
        <v>248531</v>
      </c>
      <c r="E3378" s="36" t="str">
        <f>IF(Table3[[#This Row],[Type Received]]=2,"CC",(IF(Table3[[#This Row],[Type Received]]=3,"BILL","ACH")))</f>
        <v>ACH</v>
      </c>
      <c r="F3378" s="35">
        <v>170.41</v>
      </c>
      <c r="G3378" s="14" t="str">
        <f>VLOOKUP(D3378,Table4[],3,FALSE)</f>
        <v>2</v>
      </c>
      <c r="H3378" s="15"/>
      <c r="I3378" s="15"/>
      <c r="J3378" s="15" t="s">
        <v>87</v>
      </c>
      <c r="K3378" s="15">
        <v>696810712</v>
      </c>
      <c r="L3378" s="15" t="s">
        <v>29</v>
      </c>
      <c r="M3378" s="15"/>
    </row>
    <row r="3379" spans="1:13" x14ac:dyDescent="0.25">
      <c r="A3379" s="23">
        <f t="shared" si="167"/>
        <v>248544</v>
      </c>
      <c r="B3379" s="14" t="str">
        <f t="shared" si="166"/>
        <v>Billing - Credits (from TPA)</v>
      </c>
      <c r="C3379" s="37">
        <v>46169</v>
      </c>
      <c r="D3379" s="31">
        <v>248544</v>
      </c>
      <c r="E3379" s="33" t="str">
        <f>IF(Table3[[#This Row],[Type Received]]=2,"CC",(IF(Table3[[#This Row],[Type Received]]=3,"BILL","ACH")))</f>
        <v>BILL</v>
      </c>
      <c r="F3379" s="32">
        <v>72.95</v>
      </c>
      <c r="G3379" s="14" t="str">
        <f>VLOOKUP(D3379,Table4[],3,FALSE)</f>
        <v>1</v>
      </c>
      <c r="H3379" s="15"/>
      <c r="I3379" s="15"/>
      <c r="J3379" s="15" t="s">
        <v>117</v>
      </c>
      <c r="K3379" s="15">
        <v>840865721</v>
      </c>
      <c r="L3379" s="15" t="s">
        <v>29</v>
      </c>
      <c r="M3379" s="15" t="s">
        <v>29</v>
      </c>
    </row>
    <row r="3380" spans="1:13" x14ac:dyDescent="0.25">
      <c r="A3380" s="23">
        <f t="shared" ref="A3380:A3411" si="168">D3380</f>
        <v>248553</v>
      </c>
      <c r="B3380" s="14" t="str">
        <f t="shared" si="166"/>
        <v>Direct Debit (UMB Bank) - Credits</v>
      </c>
      <c r="C3380" s="38">
        <v>46163</v>
      </c>
      <c r="D3380" s="34">
        <v>248553</v>
      </c>
      <c r="E3380" s="36" t="str">
        <f>IF(Table3[[#This Row],[Type Received]]=2,"CC",(IF(Table3[[#This Row],[Type Received]]=3,"BILL","ACH")))</f>
        <v>ACH</v>
      </c>
      <c r="F3380" s="35">
        <v>59.22</v>
      </c>
      <c r="G3380" s="14" t="str">
        <f>VLOOKUP(D3380,Table4[],3,FALSE)</f>
        <v>2</v>
      </c>
      <c r="H3380" s="15">
        <v>987474</v>
      </c>
      <c r="I3380" s="15"/>
      <c r="J3380" s="15"/>
      <c r="K3380" s="15"/>
      <c r="L3380" s="15"/>
      <c r="M3380" s="15" t="s">
        <v>29</v>
      </c>
    </row>
    <row r="3381" spans="1:13" x14ac:dyDescent="0.25">
      <c r="A3381" s="23">
        <f t="shared" si="168"/>
        <v>248559</v>
      </c>
      <c r="B3381" s="14" t="str">
        <f t="shared" si="166"/>
        <v>Direct Debit (UMB Bank) - Credits</v>
      </c>
      <c r="C3381" s="37">
        <v>46169</v>
      </c>
      <c r="D3381" s="31">
        <v>248559</v>
      </c>
      <c r="E3381" s="33" t="str">
        <f>IF(Table3[[#This Row],[Type Received]]=2,"CC",(IF(Table3[[#This Row],[Type Received]]=3,"BILL","ACH")))</f>
        <v>ACH</v>
      </c>
      <c r="F3381" s="32">
        <v>97.15</v>
      </c>
      <c r="G3381" s="14" t="str">
        <f>VLOOKUP(D3381,Table4[],3,FALSE)</f>
        <v>2</v>
      </c>
      <c r="H3381" s="15"/>
      <c r="I3381" s="15"/>
      <c r="J3381" s="15" t="s">
        <v>117</v>
      </c>
      <c r="K3381" s="15">
        <v>840864720</v>
      </c>
      <c r="L3381" s="15" t="s">
        <v>29</v>
      </c>
      <c r="M3381" s="15" t="s">
        <v>29</v>
      </c>
    </row>
    <row r="3382" spans="1:13" x14ac:dyDescent="0.25">
      <c r="A3382" s="23">
        <f t="shared" si="168"/>
        <v>248577</v>
      </c>
      <c r="B3382" s="14" t="str">
        <f t="shared" si="166"/>
        <v>Direct Debit (UMB Bank) - Credits</v>
      </c>
      <c r="C3382" s="38">
        <v>46144</v>
      </c>
      <c r="D3382" s="34">
        <v>248577</v>
      </c>
      <c r="E3382" s="36" t="str">
        <f>IF(Table3[[#This Row],[Type Received]]=2,"CC",(IF(Table3[[#This Row],[Type Received]]=3,"BILL","ACH")))</f>
        <v>ACH</v>
      </c>
      <c r="F3382" s="35">
        <v>53.59</v>
      </c>
      <c r="G3382" s="14" t="str">
        <f>VLOOKUP(D3382,Table4[],3,FALSE)</f>
        <v>2</v>
      </c>
      <c r="H3382" s="15"/>
      <c r="I3382" s="15"/>
      <c r="J3382" s="15" t="s">
        <v>89</v>
      </c>
      <c r="K3382" s="15">
        <v>535411769</v>
      </c>
      <c r="L3382" s="15" t="s">
        <v>29</v>
      </c>
      <c r="M3382" s="15" t="s">
        <v>29</v>
      </c>
    </row>
    <row r="3383" spans="1:13" x14ac:dyDescent="0.25">
      <c r="A3383" s="23">
        <f t="shared" si="168"/>
        <v>248594</v>
      </c>
      <c r="B3383" s="14" t="str">
        <f t="shared" si="166"/>
        <v>Credit Cards (UMB) - Credits</v>
      </c>
      <c r="C3383" s="37">
        <v>46155</v>
      </c>
      <c r="D3383" s="31">
        <v>248594</v>
      </c>
      <c r="E3383" s="33" t="str">
        <f>IF(Table3[[#This Row],[Type Received]]=2,"CC",(IF(Table3[[#This Row],[Type Received]]=3,"BILL","ACH")))</f>
        <v>CC</v>
      </c>
      <c r="F3383" s="32">
        <v>82.95</v>
      </c>
      <c r="G3383" s="14" t="str">
        <f>VLOOKUP(D3383,Table4[],3,FALSE)</f>
        <v>2</v>
      </c>
      <c r="H3383" s="15"/>
      <c r="I3383" s="15"/>
      <c r="J3383" s="15" t="s">
        <v>90</v>
      </c>
      <c r="K3383" s="15">
        <v>669500708</v>
      </c>
      <c r="L3383" s="15" t="s">
        <v>29</v>
      </c>
      <c r="M3383" s="15"/>
    </row>
    <row r="3384" spans="1:13" x14ac:dyDescent="0.25">
      <c r="A3384" s="23">
        <f t="shared" si="168"/>
        <v>248614</v>
      </c>
      <c r="B3384" s="14" t="str">
        <f t="shared" si="166"/>
        <v>Direct Debit (UMB Bank) - Credits</v>
      </c>
      <c r="C3384" s="38">
        <v>46170</v>
      </c>
      <c r="D3384" s="34">
        <v>248614</v>
      </c>
      <c r="E3384" s="36" t="str">
        <f>IF(Table3[[#This Row],[Type Received]]=2,"CC",(IF(Table3[[#This Row],[Type Received]]=3,"BILL","ACH")))</f>
        <v>ACH</v>
      </c>
      <c r="F3384" s="35">
        <v>54.27</v>
      </c>
      <c r="G3384" s="14" t="str">
        <f>VLOOKUP(D3384,Table4[],3,FALSE)</f>
        <v>2</v>
      </c>
      <c r="H3384" s="15"/>
      <c r="I3384" s="15">
        <v>1421</v>
      </c>
      <c r="J3384" s="15" t="s">
        <v>28</v>
      </c>
      <c r="K3384" s="15">
        <v>858449042</v>
      </c>
      <c r="L3384" s="15" t="s">
        <v>29</v>
      </c>
      <c r="M3384" s="15"/>
    </row>
    <row r="3385" spans="1:13" x14ac:dyDescent="0.25">
      <c r="A3385" s="23">
        <f t="shared" si="168"/>
        <v>248645</v>
      </c>
      <c r="B3385" s="14" t="str">
        <f t="shared" si="166"/>
        <v>Billing - Credits (from TPA)</v>
      </c>
      <c r="C3385" s="37">
        <v>46157</v>
      </c>
      <c r="D3385" s="31">
        <v>248645</v>
      </c>
      <c r="E3385" s="33" t="str">
        <f>IF(Table3[[#This Row],[Type Received]]=2,"CC",(IF(Table3[[#This Row],[Type Received]]=3,"BILL","ACH")))</f>
        <v>BILL</v>
      </c>
      <c r="F3385" s="32">
        <v>48.97</v>
      </c>
      <c r="G3385" s="14" t="str">
        <f>VLOOKUP(D3385,Table4[],3,FALSE)</f>
        <v>2</v>
      </c>
      <c r="H3385" s="15"/>
      <c r="I3385" s="15"/>
      <c r="J3385" s="15" t="s">
        <v>87</v>
      </c>
      <c r="K3385" s="15">
        <v>696816508</v>
      </c>
      <c r="L3385" s="15" t="s">
        <v>29</v>
      </c>
      <c r="M3385" s="15"/>
    </row>
    <row r="3386" spans="1:13" x14ac:dyDescent="0.25">
      <c r="A3386" s="23">
        <f t="shared" si="168"/>
        <v>248671</v>
      </c>
      <c r="B3386" s="14" t="str">
        <f t="shared" si="166"/>
        <v>Direct Debit (UMB Bank) - Credits</v>
      </c>
      <c r="C3386" s="38">
        <v>46143</v>
      </c>
      <c r="D3386" s="34">
        <v>248671</v>
      </c>
      <c r="E3386" s="36" t="str">
        <f>IF(Table3[[#This Row],[Type Received]]=2,"CC",(IF(Table3[[#This Row],[Type Received]]=3,"BILL","ACH")))</f>
        <v>ACH</v>
      </c>
      <c r="F3386" s="35">
        <v>65.489999999999995</v>
      </c>
      <c r="G3386" s="14" t="str">
        <f>VLOOKUP(D3386,Table4[],3,FALSE)</f>
        <v>2</v>
      </c>
      <c r="H3386" s="15">
        <v>995170</v>
      </c>
      <c r="I3386" s="15"/>
      <c r="J3386" s="15"/>
      <c r="K3386" s="15"/>
      <c r="L3386" s="15"/>
      <c r="M3386" s="15" t="s">
        <v>29</v>
      </c>
    </row>
    <row r="3387" spans="1:13" x14ac:dyDescent="0.25">
      <c r="A3387" s="23">
        <f t="shared" si="168"/>
        <v>248679</v>
      </c>
      <c r="B3387" s="14" t="str">
        <f t="shared" si="166"/>
        <v>Direct Debit (UMB Bank) - Credits</v>
      </c>
      <c r="C3387" s="37">
        <v>46144</v>
      </c>
      <c r="D3387" s="31">
        <v>248679</v>
      </c>
      <c r="E3387" s="33" t="str">
        <f>IF(Table3[[#This Row],[Type Received]]=2,"CC",(IF(Table3[[#This Row],[Type Received]]=3,"BILL","ACH")))</f>
        <v>ACH</v>
      </c>
      <c r="F3387" s="32">
        <v>43.81</v>
      </c>
      <c r="G3387" s="14" t="str">
        <f>VLOOKUP(D3387,Table4[],3,FALSE)</f>
        <v>1</v>
      </c>
      <c r="H3387" s="15"/>
      <c r="I3387" s="15"/>
      <c r="J3387" s="15" t="s">
        <v>89</v>
      </c>
      <c r="K3387" s="15">
        <v>535423387</v>
      </c>
      <c r="L3387" s="15" t="s">
        <v>29</v>
      </c>
      <c r="M3387" s="15" t="s">
        <v>29</v>
      </c>
    </row>
    <row r="3388" spans="1:13" x14ac:dyDescent="0.25">
      <c r="A3388" s="23">
        <f t="shared" si="168"/>
        <v>248681</v>
      </c>
      <c r="B3388" s="14" t="str">
        <f t="shared" si="166"/>
        <v>Credit Cards (UMB) - Credits</v>
      </c>
      <c r="C3388" s="38">
        <v>46160</v>
      </c>
      <c r="D3388" s="34">
        <v>248681</v>
      </c>
      <c r="E3388" s="36" t="str">
        <f>IF(Table3[[#This Row],[Type Received]]=2,"CC",(IF(Table3[[#This Row],[Type Received]]=3,"BILL","ACH")))</f>
        <v>CC</v>
      </c>
      <c r="F3388" s="35">
        <v>168.92</v>
      </c>
      <c r="G3388" s="14" t="str">
        <f>VLOOKUP(D3388,Table4[],3,FALSE)</f>
        <v>2</v>
      </c>
      <c r="H3388" s="15"/>
      <c r="I3388" s="15"/>
      <c r="J3388" s="15" t="s">
        <v>192</v>
      </c>
      <c r="K3388" s="15">
        <v>735105307</v>
      </c>
      <c r="L3388" s="15" t="s">
        <v>29</v>
      </c>
      <c r="M3388" s="15" t="s">
        <v>29</v>
      </c>
    </row>
    <row r="3389" spans="1:13" x14ac:dyDescent="0.25">
      <c r="A3389" s="23">
        <f t="shared" si="168"/>
        <v>248728</v>
      </c>
      <c r="B3389" s="14" t="str">
        <f t="shared" si="166"/>
        <v>Billing - Credits (from TPA)</v>
      </c>
      <c r="C3389" s="37">
        <v>46164</v>
      </c>
      <c r="D3389" s="31">
        <v>248728</v>
      </c>
      <c r="E3389" s="33" t="str">
        <f>IF(Table3[[#This Row],[Type Received]]=2,"CC",(IF(Table3[[#This Row],[Type Received]]=3,"BILL","ACH")))</f>
        <v>BILL</v>
      </c>
      <c r="F3389" s="32">
        <v>59.88</v>
      </c>
      <c r="G3389" s="14" t="str">
        <f>VLOOKUP(D3389,Table4[],3,FALSE)</f>
        <v>2</v>
      </c>
      <c r="H3389" s="15"/>
      <c r="I3389" s="15">
        <v>5981</v>
      </c>
      <c r="J3389" s="15">
        <v>747909705</v>
      </c>
      <c r="K3389" s="15">
        <v>355553564</v>
      </c>
      <c r="L3389" s="15"/>
      <c r="M3389" s="15" t="s">
        <v>29</v>
      </c>
    </row>
    <row r="3390" spans="1:13" x14ac:dyDescent="0.25">
      <c r="A3390" s="23">
        <f t="shared" si="168"/>
        <v>248736</v>
      </c>
      <c r="B3390" s="14" t="str">
        <f t="shared" si="166"/>
        <v>Direct Debit (UMB Bank) - Credits</v>
      </c>
      <c r="C3390" s="38">
        <v>46153</v>
      </c>
      <c r="D3390" s="34">
        <v>248736</v>
      </c>
      <c r="E3390" s="36" t="str">
        <f>IF(Table3[[#This Row],[Type Received]]=2,"CC",(IF(Table3[[#This Row],[Type Received]]=3,"BILL","ACH")))</f>
        <v>ACH</v>
      </c>
      <c r="F3390" s="35">
        <v>128.9</v>
      </c>
      <c r="G3390" s="14" t="str">
        <f>VLOOKUP(D3390,Table4[],3,FALSE)</f>
        <v>1</v>
      </c>
      <c r="H3390" s="15">
        <v>131</v>
      </c>
      <c r="I3390" s="15"/>
      <c r="J3390" s="15"/>
      <c r="K3390" s="15"/>
      <c r="L3390" s="15"/>
      <c r="M3390" s="15" t="s">
        <v>29</v>
      </c>
    </row>
    <row r="3391" spans="1:13" x14ac:dyDescent="0.25">
      <c r="A3391" s="23">
        <f t="shared" si="168"/>
        <v>248737</v>
      </c>
      <c r="B3391" s="14" t="str">
        <f t="shared" si="166"/>
        <v>Direct Debit (UMB Bank) - Credits</v>
      </c>
      <c r="C3391" s="37">
        <v>46144</v>
      </c>
      <c r="D3391" s="31">
        <v>248737</v>
      </c>
      <c r="E3391" s="33" t="str">
        <f>IF(Table3[[#This Row],[Type Received]]=2,"CC",(IF(Table3[[#This Row],[Type Received]]=3,"BILL","ACH")))</f>
        <v>ACH</v>
      </c>
      <c r="F3391" s="32">
        <v>82.95</v>
      </c>
      <c r="G3391" s="14" t="str">
        <f>VLOOKUP(D3391,Table4[],3,FALSE)</f>
        <v>2</v>
      </c>
      <c r="H3391" s="15"/>
      <c r="I3391" s="15"/>
      <c r="J3391" s="15" t="s">
        <v>89</v>
      </c>
      <c r="K3391" s="15">
        <v>535403064</v>
      </c>
      <c r="L3391" s="15" t="s">
        <v>29</v>
      </c>
      <c r="M3391" s="15"/>
    </row>
    <row r="3392" spans="1:13" x14ac:dyDescent="0.25">
      <c r="A3392" s="23">
        <f t="shared" si="168"/>
        <v>248738</v>
      </c>
      <c r="B3392" s="14" t="str">
        <f t="shared" si="166"/>
        <v>Direct Debit (UMB Bank) - Credits</v>
      </c>
      <c r="C3392" s="38">
        <v>46157</v>
      </c>
      <c r="D3392" s="34">
        <v>248738</v>
      </c>
      <c r="E3392" s="36" t="str">
        <f>IF(Table3[[#This Row],[Type Received]]=2,"CC",(IF(Table3[[#This Row],[Type Received]]=3,"BILL","ACH")))</f>
        <v>ACH</v>
      </c>
      <c r="F3392" s="35">
        <v>35.32</v>
      </c>
      <c r="G3392" s="14" t="str">
        <f>VLOOKUP(D3392,Table4[],3,FALSE)</f>
        <v>1</v>
      </c>
      <c r="H3392" s="15"/>
      <c r="I3392" s="15"/>
      <c r="J3392" s="15" t="s">
        <v>87</v>
      </c>
      <c r="K3392" s="15">
        <v>696815510</v>
      </c>
      <c r="L3392" s="15" t="s">
        <v>29</v>
      </c>
      <c r="M3392" s="15" t="s">
        <v>29</v>
      </c>
    </row>
    <row r="3393" spans="1:13" x14ac:dyDescent="0.25">
      <c r="A3393" s="23">
        <f t="shared" si="168"/>
        <v>248743</v>
      </c>
      <c r="B3393" s="14" t="str">
        <f t="shared" si="166"/>
        <v>Billing - Credits (from TPA)</v>
      </c>
      <c r="C3393" s="37">
        <v>46157</v>
      </c>
      <c r="D3393" s="31">
        <v>248743</v>
      </c>
      <c r="E3393" s="33" t="str">
        <f>IF(Table3[[#This Row],[Type Received]]=2,"CC",(IF(Table3[[#This Row],[Type Received]]=3,"BILL","ACH")))</f>
        <v>BILL</v>
      </c>
      <c r="F3393" s="32">
        <v>104.74</v>
      </c>
      <c r="G3393" s="14" t="str">
        <f>VLOOKUP(D3393,Table4[],3,FALSE)</f>
        <v>2</v>
      </c>
      <c r="H3393" s="15"/>
      <c r="I3393" s="15"/>
      <c r="J3393" s="15" t="s">
        <v>87</v>
      </c>
      <c r="K3393" s="15">
        <v>696812622</v>
      </c>
      <c r="L3393" s="15" t="s">
        <v>29</v>
      </c>
      <c r="M3393" s="15" t="s">
        <v>29</v>
      </c>
    </row>
    <row r="3394" spans="1:13" x14ac:dyDescent="0.25">
      <c r="A3394" s="23">
        <f t="shared" si="168"/>
        <v>248755</v>
      </c>
      <c r="B3394" s="14" t="str">
        <f t="shared" ref="B3394:B3457" si="169">IF(AND(E3394="BILL",F3394&lt;0),"Billing &amp; Direct Debit - Refunds",(IF(AND(E3394="BILL",F3394&gt;0),"Billing - Credits (from TPA)",(IF(AND(E3394="CC",F3394&lt;0),"Credit Cards (UMB) - Refunds",(IF(AND(E3394="CC",F3394&gt;0),"Credit Cards (UMB) - Credits",(IF(AND(E3394="ACH",F3394&gt;0),"Direct Debit (UMB Bank) - Credits","Direct Debit (UMB Bank) - Returned Items")))))))))</f>
        <v>Direct Debit (UMB Bank) - Credits</v>
      </c>
      <c r="C3394" s="38">
        <v>46143</v>
      </c>
      <c r="D3394" s="34">
        <v>248755</v>
      </c>
      <c r="E3394" s="36" t="str">
        <f>IF(Table3[[#This Row],[Type Received]]=2,"CC",(IF(Table3[[#This Row],[Type Received]]=3,"BILL","ACH")))</f>
        <v>ACH</v>
      </c>
      <c r="F3394" s="35">
        <v>71.430000000000007</v>
      </c>
      <c r="G3394" s="14" t="str">
        <f>VLOOKUP(D3394,Table4[],3,FALSE)</f>
        <v>2</v>
      </c>
      <c r="H3394" s="15">
        <v>7265</v>
      </c>
      <c r="I3394" s="15"/>
      <c r="J3394" s="15"/>
      <c r="K3394" s="15"/>
      <c r="L3394" s="15"/>
      <c r="M3394" s="15"/>
    </row>
    <row r="3395" spans="1:13" x14ac:dyDescent="0.25">
      <c r="A3395" s="23">
        <f t="shared" si="168"/>
        <v>248764</v>
      </c>
      <c r="B3395" s="14" t="str">
        <f t="shared" si="169"/>
        <v>Direct Debit (UMB Bank) - Credits</v>
      </c>
      <c r="C3395" s="37">
        <v>46169</v>
      </c>
      <c r="D3395" s="31">
        <v>248764</v>
      </c>
      <c r="E3395" s="33" t="str">
        <f>IF(Table3[[#This Row],[Type Received]]=2,"CC",(IF(Table3[[#This Row],[Type Received]]=3,"BILL","ACH")))</f>
        <v>ACH</v>
      </c>
      <c r="F3395" s="32">
        <v>58.21</v>
      </c>
      <c r="G3395" s="14" t="str">
        <f>VLOOKUP(D3395,Table4[],3,FALSE)</f>
        <v>2</v>
      </c>
      <c r="H3395" s="15"/>
      <c r="I3395" s="15"/>
      <c r="J3395" s="15" t="s">
        <v>117</v>
      </c>
      <c r="K3395" s="15">
        <v>840860939</v>
      </c>
      <c r="L3395" s="15" t="s">
        <v>29</v>
      </c>
      <c r="M3395" s="15" t="s">
        <v>29</v>
      </c>
    </row>
    <row r="3396" spans="1:13" x14ac:dyDescent="0.25">
      <c r="A3396" s="23">
        <f t="shared" si="168"/>
        <v>248774</v>
      </c>
      <c r="B3396" s="14" t="str">
        <f t="shared" si="169"/>
        <v>Direct Debit (UMB Bank) - Credits</v>
      </c>
      <c r="C3396" s="38">
        <v>46144</v>
      </c>
      <c r="D3396" s="34">
        <v>248774</v>
      </c>
      <c r="E3396" s="36" t="str">
        <f>IF(Table3[[#This Row],[Type Received]]=2,"CC",(IF(Table3[[#This Row],[Type Received]]=3,"BILL","ACH")))</f>
        <v>ACH</v>
      </c>
      <c r="F3396" s="35">
        <v>76.47</v>
      </c>
      <c r="G3396" s="14" t="str">
        <f>VLOOKUP(D3396,Table4[],3,FALSE)</f>
        <v>1</v>
      </c>
      <c r="H3396" s="15"/>
      <c r="I3396" s="15"/>
      <c r="J3396" s="15" t="s">
        <v>89</v>
      </c>
      <c r="K3396" s="15">
        <v>535403082</v>
      </c>
      <c r="L3396" s="15" t="s">
        <v>29</v>
      </c>
      <c r="M3396" s="15" t="s">
        <v>29</v>
      </c>
    </row>
    <row r="3397" spans="1:13" x14ac:dyDescent="0.25">
      <c r="A3397" s="23">
        <f t="shared" si="168"/>
        <v>248775</v>
      </c>
      <c r="B3397" s="14" t="str">
        <f t="shared" si="169"/>
        <v>Credit Cards (UMB) - Credits</v>
      </c>
      <c r="C3397" s="37">
        <v>46144</v>
      </c>
      <c r="D3397" s="31">
        <v>248775</v>
      </c>
      <c r="E3397" s="33" t="str">
        <f>IF(Table3[[#This Row],[Type Received]]=2,"CC",(IF(Table3[[#This Row],[Type Received]]=3,"BILL","ACH")))</f>
        <v>CC</v>
      </c>
      <c r="F3397" s="32">
        <v>58.21</v>
      </c>
      <c r="G3397" s="14" t="str">
        <f>VLOOKUP(D3397,Table4[],3,FALSE)</f>
        <v>1</v>
      </c>
      <c r="H3397" s="15"/>
      <c r="I3397" s="15"/>
      <c r="J3397" s="15" t="s">
        <v>89</v>
      </c>
      <c r="K3397" s="15">
        <v>535420568</v>
      </c>
      <c r="L3397" s="15" t="s">
        <v>29</v>
      </c>
      <c r="M3397" s="15"/>
    </row>
    <row r="3398" spans="1:13" x14ac:dyDescent="0.25">
      <c r="A3398" s="23">
        <f t="shared" si="168"/>
        <v>248787</v>
      </c>
      <c r="B3398" s="14" t="str">
        <f t="shared" si="169"/>
        <v>Direct Debit (UMB Bank) - Credits</v>
      </c>
      <c r="C3398" s="38">
        <v>46155</v>
      </c>
      <c r="D3398" s="34">
        <v>248787</v>
      </c>
      <c r="E3398" s="36" t="str">
        <f>IF(Table3[[#This Row],[Type Received]]=2,"CC",(IF(Table3[[#This Row],[Type Received]]=3,"BILL","ACH")))</f>
        <v>ACH</v>
      </c>
      <c r="F3398" s="35">
        <v>61.29</v>
      </c>
      <c r="G3398" s="14" t="str">
        <f>VLOOKUP(D3398,Table4[],3,FALSE)</f>
        <v>1</v>
      </c>
      <c r="H3398" s="15"/>
      <c r="I3398" s="15" t="s">
        <v>293</v>
      </c>
      <c r="J3398" s="24" t="s">
        <v>28</v>
      </c>
      <c r="K3398" s="15">
        <v>669495871</v>
      </c>
      <c r="L3398" s="15" t="s">
        <v>29</v>
      </c>
      <c r="M3398" s="15"/>
    </row>
    <row r="3399" spans="1:13" x14ac:dyDescent="0.25">
      <c r="A3399" s="23">
        <f t="shared" si="168"/>
        <v>248793</v>
      </c>
      <c r="B3399" s="14" t="str">
        <f t="shared" si="169"/>
        <v>Direct Debit (UMB Bank) - Credits</v>
      </c>
      <c r="C3399" s="37">
        <v>46162</v>
      </c>
      <c r="D3399" s="31">
        <v>248793</v>
      </c>
      <c r="E3399" s="33" t="str">
        <f>IF(Table3[[#This Row],[Type Received]]=2,"CC",(IF(Table3[[#This Row],[Type Received]]=3,"BILL","ACH")))</f>
        <v>ACH</v>
      </c>
      <c r="F3399" s="32">
        <v>43.71</v>
      </c>
      <c r="G3399" s="14" t="str">
        <f>VLOOKUP(D3399,Table4[],3,FALSE)</f>
        <v>1</v>
      </c>
      <c r="H3399" s="15"/>
      <c r="I3399" s="15"/>
      <c r="J3399" s="15" t="s">
        <v>107</v>
      </c>
      <c r="K3399" s="15">
        <v>760844932</v>
      </c>
      <c r="L3399" s="15" t="s">
        <v>29</v>
      </c>
      <c r="M3399" s="15" t="s">
        <v>29</v>
      </c>
    </row>
    <row r="3400" spans="1:13" x14ac:dyDescent="0.25">
      <c r="A3400" s="23">
        <f t="shared" si="168"/>
        <v>248804</v>
      </c>
      <c r="B3400" s="14" t="str">
        <f t="shared" si="169"/>
        <v>Direct Debit (UMB Bank) - Credits</v>
      </c>
      <c r="C3400" s="38">
        <v>46144</v>
      </c>
      <c r="D3400" s="34">
        <v>248804</v>
      </c>
      <c r="E3400" s="36" t="str">
        <f>IF(Table3[[#This Row],[Type Received]]=2,"CC",(IF(Table3[[#This Row],[Type Received]]=3,"BILL","ACH")))</f>
        <v>ACH</v>
      </c>
      <c r="F3400" s="35">
        <v>60.19</v>
      </c>
      <c r="G3400" s="14" t="str">
        <f>VLOOKUP(D3400,Table4[],3,FALSE)</f>
        <v>2</v>
      </c>
      <c r="H3400" s="15"/>
      <c r="I3400" s="15"/>
      <c r="J3400" s="15" t="s">
        <v>89</v>
      </c>
      <c r="K3400" s="15">
        <v>535424420</v>
      </c>
      <c r="L3400" s="15" t="s">
        <v>29</v>
      </c>
      <c r="M3400" s="15"/>
    </row>
    <row r="3401" spans="1:13" x14ac:dyDescent="0.25">
      <c r="A3401" s="23">
        <f t="shared" si="168"/>
        <v>248805</v>
      </c>
      <c r="B3401" s="14" t="str">
        <f t="shared" si="169"/>
        <v>Direct Debit (UMB Bank) - Credits</v>
      </c>
      <c r="C3401" s="37">
        <v>46169</v>
      </c>
      <c r="D3401" s="31">
        <v>248805</v>
      </c>
      <c r="E3401" s="33" t="str">
        <f>IF(Table3[[#This Row],[Type Received]]=2,"CC",(IF(Table3[[#This Row],[Type Received]]=3,"BILL","ACH")))</f>
        <v>ACH</v>
      </c>
      <c r="F3401" s="32">
        <v>28.95</v>
      </c>
      <c r="G3401" s="14" t="str">
        <f>VLOOKUP(D3401,Table4[],3,FALSE)</f>
        <v>1</v>
      </c>
      <c r="H3401" s="15"/>
      <c r="I3401" s="15"/>
      <c r="J3401" s="15" t="s">
        <v>117</v>
      </c>
      <c r="K3401" s="15">
        <v>840865770</v>
      </c>
      <c r="L3401" s="15" t="s">
        <v>29</v>
      </c>
      <c r="M3401" s="15"/>
    </row>
    <row r="3402" spans="1:13" x14ac:dyDescent="0.25">
      <c r="A3402" s="23">
        <f t="shared" si="168"/>
        <v>248806</v>
      </c>
      <c r="B3402" s="14" t="str">
        <f t="shared" si="169"/>
        <v>Direct Debit (UMB Bank) - Credits</v>
      </c>
      <c r="C3402" s="38">
        <v>46169</v>
      </c>
      <c r="D3402" s="34">
        <v>248806</v>
      </c>
      <c r="E3402" s="36" t="str">
        <f>IF(Table3[[#This Row],[Type Received]]=2,"CC",(IF(Table3[[#This Row],[Type Received]]=3,"BILL","ACH")))</f>
        <v>ACH</v>
      </c>
      <c r="F3402" s="35">
        <v>62.61</v>
      </c>
      <c r="G3402" s="14" t="str">
        <f>VLOOKUP(D3402,Table4[],3,FALSE)</f>
        <v>1</v>
      </c>
      <c r="H3402" s="15"/>
      <c r="I3402" s="15"/>
      <c r="J3402" s="15" t="s">
        <v>117</v>
      </c>
      <c r="K3402" s="15">
        <v>840875412</v>
      </c>
      <c r="L3402" s="15" t="s">
        <v>29</v>
      </c>
      <c r="M3402" s="15"/>
    </row>
    <row r="3403" spans="1:13" x14ac:dyDescent="0.25">
      <c r="A3403" s="23">
        <f t="shared" si="168"/>
        <v>249047</v>
      </c>
      <c r="B3403" s="14" t="str">
        <f t="shared" si="169"/>
        <v>Direct Debit (UMB Bank) - Credits</v>
      </c>
      <c r="C3403" s="37">
        <v>46157</v>
      </c>
      <c r="D3403" s="31">
        <v>249047</v>
      </c>
      <c r="E3403" s="33" t="str">
        <f>IF(Table3[[#This Row],[Type Received]]=2,"CC",(IF(Table3[[#This Row],[Type Received]]=3,"BILL","ACH")))</f>
        <v>ACH</v>
      </c>
      <c r="F3403" s="32">
        <v>67.89</v>
      </c>
      <c r="G3403" s="14" t="str">
        <f>VLOOKUP(D3403,Table4[],3,FALSE)</f>
        <v>1</v>
      </c>
      <c r="H3403" s="15"/>
      <c r="I3403" s="15"/>
      <c r="J3403" s="15" t="s">
        <v>87</v>
      </c>
      <c r="K3403" s="15">
        <v>696639019</v>
      </c>
      <c r="L3403" s="15" t="s">
        <v>29</v>
      </c>
      <c r="M3403" s="15" t="s">
        <v>29</v>
      </c>
    </row>
    <row r="3404" spans="1:13" x14ac:dyDescent="0.25">
      <c r="A3404" s="23">
        <f t="shared" si="168"/>
        <v>249049</v>
      </c>
      <c r="B3404" s="14" t="str">
        <f t="shared" si="169"/>
        <v>Direct Debit (UMB Bank) - Credits</v>
      </c>
      <c r="C3404" s="38">
        <v>46169</v>
      </c>
      <c r="D3404" s="34">
        <v>249049</v>
      </c>
      <c r="E3404" s="36" t="str">
        <f>IF(Table3[[#This Row],[Type Received]]=2,"CC",(IF(Table3[[#This Row],[Type Received]]=3,"BILL","ACH")))</f>
        <v>ACH</v>
      </c>
      <c r="F3404" s="35">
        <v>53.86</v>
      </c>
      <c r="G3404" s="14" t="str">
        <f>VLOOKUP(D3404,Table4[],3,FALSE)</f>
        <v>1</v>
      </c>
      <c r="H3404" s="15"/>
      <c r="I3404" s="15"/>
      <c r="J3404" s="15" t="s">
        <v>117</v>
      </c>
      <c r="K3404" s="15">
        <v>840878230</v>
      </c>
      <c r="L3404" s="15" t="s">
        <v>29</v>
      </c>
      <c r="M3404" s="15" t="s">
        <v>29</v>
      </c>
    </row>
    <row r="3405" spans="1:13" x14ac:dyDescent="0.25">
      <c r="A3405" s="23">
        <f t="shared" si="168"/>
        <v>249066</v>
      </c>
      <c r="B3405" s="14" t="str">
        <f t="shared" si="169"/>
        <v>Billing - Credits (from TPA)</v>
      </c>
      <c r="C3405" s="37">
        <v>46144</v>
      </c>
      <c r="D3405" s="31">
        <v>249066</v>
      </c>
      <c r="E3405" s="33" t="str">
        <f>IF(Table3[[#This Row],[Type Received]]=2,"CC",(IF(Table3[[#This Row],[Type Received]]=3,"BILL","ACH")))</f>
        <v>BILL</v>
      </c>
      <c r="F3405" s="32">
        <v>41.93</v>
      </c>
      <c r="G3405" s="14" t="str">
        <f>VLOOKUP(D3405,Table4[],3,FALSE)</f>
        <v>1</v>
      </c>
      <c r="H3405" s="15"/>
      <c r="I3405" s="15"/>
      <c r="J3405" s="15" t="s">
        <v>89</v>
      </c>
      <c r="K3405" s="15">
        <v>535411859</v>
      </c>
      <c r="L3405" s="15" t="s">
        <v>29</v>
      </c>
      <c r="M3405" s="15" t="s">
        <v>29</v>
      </c>
    </row>
    <row r="3406" spans="1:13" x14ac:dyDescent="0.25">
      <c r="A3406" s="23">
        <f t="shared" si="168"/>
        <v>249098</v>
      </c>
      <c r="B3406" s="14" t="str">
        <f t="shared" si="169"/>
        <v>Direct Debit (UMB Bank) - Credits</v>
      </c>
      <c r="C3406" s="38">
        <v>46170</v>
      </c>
      <c r="D3406" s="34">
        <v>249098</v>
      </c>
      <c r="E3406" s="36" t="str">
        <f>IF(Table3[[#This Row],[Type Received]]=2,"CC",(IF(Table3[[#This Row],[Type Received]]=3,"BILL","ACH")))</f>
        <v>ACH</v>
      </c>
      <c r="F3406" s="35">
        <v>36.119999999999997</v>
      </c>
      <c r="G3406" s="14" t="str">
        <f>VLOOKUP(D3406,Table4[],3,FALSE)</f>
        <v>2</v>
      </c>
      <c r="H3406" s="15">
        <v>1120</v>
      </c>
      <c r="I3406" s="15"/>
      <c r="J3406" s="15"/>
      <c r="K3406" s="15"/>
      <c r="L3406" s="15"/>
      <c r="M3406" s="15" t="s">
        <v>29</v>
      </c>
    </row>
    <row r="3407" spans="1:13" x14ac:dyDescent="0.25">
      <c r="A3407" s="23">
        <f t="shared" si="168"/>
        <v>249117</v>
      </c>
      <c r="B3407" s="14" t="str">
        <f t="shared" si="169"/>
        <v>Billing - Credits (from TPA)</v>
      </c>
      <c r="C3407" s="37">
        <v>46169</v>
      </c>
      <c r="D3407" s="31">
        <v>249117</v>
      </c>
      <c r="E3407" s="33" t="str">
        <f>IF(Table3[[#This Row],[Type Received]]=2,"CC",(IF(Table3[[#This Row],[Type Received]]=3,"BILL","ACH")))</f>
        <v>BILL</v>
      </c>
      <c r="F3407" s="32">
        <v>81.13</v>
      </c>
      <c r="G3407" s="14" t="str">
        <f>VLOOKUP(D3407,Table4[],3,FALSE)</f>
        <v>2</v>
      </c>
      <c r="H3407" s="15"/>
      <c r="I3407" s="15"/>
      <c r="J3407" s="15" t="s">
        <v>117</v>
      </c>
      <c r="K3407" s="15">
        <v>840858041</v>
      </c>
      <c r="L3407" s="15" t="s">
        <v>29</v>
      </c>
      <c r="M3407" s="15"/>
    </row>
    <row r="3408" spans="1:13" x14ac:dyDescent="0.25">
      <c r="A3408" s="23">
        <f t="shared" si="168"/>
        <v>249119</v>
      </c>
      <c r="B3408" s="14" t="str">
        <f t="shared" si="169"/>
        <v>Direct Debit (UMB Bank) - Credits</v>
      </c>
      <c r="C3408" s="38">
        <v>46169</v>
      </c>
      <c r="D3408" s="34">
        <v>249119</v>
      </c>
      <c r="E3408" s="36" t="str">
        <f>IF(Table3[[#This Row],[Type Received]]=2,"CC",(IF(Table3[[#This Row],[Type Received]]=3,"BILL","ACH")))</f>
        <v>ACH</v>
      </c>
      <c r="F3408" s="35">
        <v>51.63</v>
      </c>
      <c r="G3408" s="14" t="str">
        <f>VLOOKUP(D3408,Table4[],3,FALSE)</f>
        <v>2</v>
      </c>
      <c r="H3408" s="15">
        <v>3247</v>
      </c>
      <c r="I3408" s="15"/>
      <c r="J3408" s="15"/>
      <c r="K3408" s="15"/>
      <c r="L3408" s="15"/>
      <c r="M3408" s="15" t="s">
        <v>29</v>
      </c>
    </row>
    <row r="3409" spans="1:13" x14ac:dyDescent="0.25">
      <c r="A3409" s="23">
        <f t="shared" si="168"/>
        <v>249134</v>
      </c>
      <c r="B3409" s="14" t="str">
        <f t="shared" si="169"/>
        <v>Direct Debit (UMB Bank) - Credits</v>
      </c>
      <c r="C3409" s="37">
        <v>46157</v>
      </c>
      <c r="D3409" s="31">
        <v>249134</v>
      </c>
      <c r="E3409" s="33" t="str">
        <f>IF(Table3[[#This Row],[Type Received]]=2,"CC",(IF(Table3[[#This Row],[Type Received]]=3,"BILL","ACH")))</f>
        <v>ACH</v>
      </c>
      <c r="F3409" s="32">
        <v>67.45</v>
      </c>
      <c r="G3409" s="14" t="str">
        <f>VLOOKUP(D3409,Table4[],3,FALSE)</f>
        <v>2</v>
      </c>
      <c r="H3409" s="15"/>
      <c r="I3409" s="15"/>
      <c r="J3409" s="24" t="s">
        <v>87</v>
      </c>
      <c r="K3409" s="15">
        <v>696846721</v>
      </c>
      <c r="L3409" s="15" t="s">
        <v>29</v>
      </c>
      <c r="M3409" s="15" t="s">
        <v>29</v>
      </c>
    </row>
    <row r="3410" spans="1:13" x14ac:dyDescent="0.25">
      <c r="A3410" s="23">
        <f t="shared" si="168"/>
        <v>249184</v>
      </c>
      <c r="B3410" s="14" t="str">
        <f t="shared" si="169"/>
        <v>Direct Debit (UMB Bank) - Credits</v>
      </c>
      <c r="C3410" s="38">
        <v>46169</v>
      </c>
      <c r="D3410" s="34">
        <v>249184</v>
      </c>
      <c r="E3410" s="36" t="str">
        <f>IF(Table3[[#This Row],[Type Received]]=2,"CC",(IF(Table3[[#This Row],[Type Received]]=3,"BILL","ACH")))</f>
        <v>ACH</v>
      </c>
      <c r="F3410" s="35">
        <v>50.95</v>
      </c>
      <c r="G3410" s="14" t="str">
        <f>VLOOKUP(D3410,Table4[],3,FALSE)</f>
        <v>2</v>
      </c>
      <c r="H3410" s="15"/>
      <c r="I3410" s="15"/>
      <c r="J3410" s="15" t="s">
        <v>117</v>
      </c>
      <c r="K3410" s="15">
        <v>840874477</v>
      </c>
      <c r="L3410" s="15" t="s">
        <v>29</v>
      </c>
      <c r="M3410" s="15" t="s">
        <v>29</v>
      </c>
    </row>
    <row r="3411" spans="1:13" x14ac:dyDescent="0.25">
      <c r="A3411" s="23">
        <f t="shared" si="168"/>
        <v>249200</v>
      </c>
      <c r="B3411" s="14" t="str">
        <f t="shared" si="169"/>
        <v>Direct Debit (UMB Bank) - Credits</v>
      </c>
      <c r="C3411" s="37">
        <v>46167</v>
      </c>
      <c r="D3411" s="31">
        <v>249200</v>
      </c>
      <c r="E3411" s="33" t="str">
        <f>IF(Table3[[#This Row],[Type Received]]=2,"CC",(IF(Table3[[#This Row],[Type Received]]=3,"BILL","ACH")))</f>
        <v>ACH</v>
      </c>
      <c r="F3411" s="32">
        <v>31.81</v>
      </c>
      <c r="G3411" s="14" t="str">
        <f>VLOOKUP(D3411,Table4[],3,FALSE)</f>
        <v>2</v>
      </c>
      <c r="H3411" s="15"/>
      <c r="I3411" s="15"/>
      <c r="J3411" s="15" t="s">
        <v>85</v>
      </c>
      <c r="K3411" s="15">
        <v>818398287</v>
      </c>
      <c r="L3411" s="15" t="s">
        <v>29</v>
      </c>
      <c r="M3411" s="15" t="s">
        <v>29</v>
      </c>
    </row>
    <row r="3412" spans="1:13" x14ac:dyDescent="0.25">
      <c r="A3412" s="23">
        <f t="shared" ref="A3412:A3447" si="170">D3412</f>
        <v>248819</v>
      </c>
      <c r="B3412" s="14" t="str">
        <f t="shared" si="169"/>
        <v>Credit Cards (UMB) - Credits</v>
      </c>
      <c r="C3412" s="38">
        <v>46157</v>
      </c>
      <c r="D3412" s="34">
        <v>248819</v>
      </c>
      <c r="E3412" s="36" t="str">
        <f>IF(Table3[[#This Row],[Type Received]]=2,"CC",(IF(Table3[[#This Row],[Type Received]]=3,"BILL","ACH")))</f>
        <v>CC</v>
      </c>
      <c r="F3412" s="35">
        <v>126.85</v>
      </c>
      <c r="G3412" s="14" t="str">
        <f>VLOOKUP(D3412,Table4[],3,FALSE)</f>
        <v>1</v>
      </c>
      <c r="H3412" s="15"/>
      <c r="I3412" s="15"/>
      <c r="J3412" s="24" t="s">
        <v>87</v>
      </c>
      <c r="K3412" s="15">
        <v>696807913</v>
      </c>
      <c r="L3412" s="15" t="s">
        <v>29</v>
      </c>
      <c r="M3412" s="15" t="s">
        <v>29</v>
      </c>
    </row>
    <row r="3413" spans="1:13" x14ac:dyDescent="0.25">
      <c r="A3413" s="23">
        <f t="shared" si="170"/>
        <v>248860</v>
      </c>
      <c r="B3413" s="14" t="str">
        <f t="shared" si="169"/>
        <v>Direct Debit (UMB Bank) - Credits</v>
      </c>
      <c r="C3413" s="37">
        <v>46155</v>
      </c>
      <c r="D3413" s="31">
        <v>248860</v>
      </c>
      <c r="E3413" s="33" t="str">
        <f>IF(Table3[[#This Row],[Type Received]]=2,"CC",(IF(Table3[[#This Row],[Type Received]]=3,"BILL","ACH")))</f>
        <v>ACH</v>
      </c>
      <c r="F3413" s="32">
        <v>71.63</v>
      </c>
      <c r="G3413" s="14" t="str">
        <f>VLOOKUP(D3413,Table4[],3,FALSE)</f>
        <v>1</v>
      </c>
      <c r="H3413" s="15"/>
      <c r="I3413" s="15">
        <v>122100</v>
      </c>
      <c r="J3413" s="15" t="s">
        <v>28</v>
      </c>
      <c r="K3413" s="15">
        <v>669491980</v>
      </c>
      <c r="L3413" s="15" t="s">
        <v>29</v>
      </c>
      <c r="M3413" s="15" t="s">
        <v>29</v>
      </c>
    </row>
    <row r="3414" spans="1:13" x14ac:dyDescent="0.25">
      <c r="A3414" s="23">
        <f t="shared" si="170"/>
        <v>248870</v>
      </c>
      <c r="B3414" s="14" t="str">
        <f t="shared" si="169"/>
        <v>Credit Cards (UMB) - Credits</v>
      </c>
      <c r="C3414" s="38">
        <v>46169</v>
      </c>
      <c r="D3414" s="34">
        <v>248870</v>
      </c>
      <c r="E3414" s="36" t="str">
        <f>IF(Table3[[#This Row],[Type Received]]=2,"CC",(IF(Table3[[#This Row],[Type Received]]=3,"BILL","ACH")))</f>
        <v>CC</v>
      </c>
      <c r="F3414" s="35">
        <v>56.23</v>
      </c>
      <c r="G3414" s="14" t="str">
        <f>VLOOKUP(D3414,Table4[],3,FALSE)</f>
        <v>2</v>
      </c>
      <c r="H3414" s="15"/>
      <c r="I3414" s="15"/>
      <c r="J3414" s="15" t="s">
        <v>117</v>
      </c>
      <c r="K3414" s="15">
        <v>840870677</v>
      </c>
      <c r="L3414" s="15" t="s">
        <v>29</v>
      </c>
      <c r="M3414" s="15" t="s">
        <v>29</v>
      </c>
    </row>
    <row r="3415" spans="1:13" x14ac:dyDescent="0.25">
      <c r="A3415" s="23">
        <f t="shared" si="170"/>
        <v>248877</v>
      </c>
      <c r="B3415" s="14" t="str">
        <f t="shared" si="169"/>
        <v>Billing - Credits (from TPA)</v>
      </c>
      <c r="C3415" s="37">
        <v>46144</v>
      </c>
      <c r="D3415" s="31">
        <v>248877</v>
      </c>
      <c r="E3415" s="33" t="str">
        <f>IF(Table3[[#This Row],[Type Received]]=2,"CC",(IF(Table3[[#This Row],[Type Received]]=3,"BILL","ACH")))</f>
        <v>BILL</v>
      </c>
      <c r="F3415" s="32">
        <v>107.71</v>
      </c>
      <c r="G3415" s="14" t="str">
        <f>VLOOKUP(D3415,Table4[],3,FALSE)</f>
        <v>2</v>
      </c>
      <c r="H3415" s="15"/>
      <c r="I3415" s="15">
        <v>2962</v>
      </c>
      <c r="J3415" s="15" t="s">
        <v>28</v>
      </c>
      <c r="K3415" s="15">
        <v>535414812</v>
      </c>
      <c r="L3415" s="15" t="s">
        <v>29</v>
      </c>
      <c r="M3415" s="15"/>
    </row>
    <row r="3416" spans="1:13" x14ac:dyDescent="0.25">
      <c r="A3416" s="23">
        <f t="shared" si="170"/>
        <v>248889</v>
      </c>
      <c r="B3416" s="14" t="str">
        <f t="shared" si="169"/>
        <v>Credit Cards (UMB) - Credits</v>
      </c>
      <c r="C3416" s="38">
        <v>46150</v>
      </c>
      <c r="D3416" s="34">
        <v>248889</v>
      </c>
      <c r="E3416" s="36" t="str">
        <f>IF(Table3[[#This Row],[Type Received]]=2,"CC",(IF(Table3[[#This Row],[Type Received]]=3,"BILL","ACH")))</f>
        <v>CC</v>
      </c>
      <c r="F3416" s="35">
        <v>157.22999999999999</v>
      </c>
      <c r="G3416" s="14" t="str">
        <f>VLOOKUP(D3416,Table4[],3,FALSE)</f>
        <v>2</v>
      </c>
      <c r="H3416" s="15">
        <v>5706</v>
      </c>
      <c r="I3416" s="15"/>
      <c r="J3416" s="15"/>
      <c r="K3416" s="15"/>
      <c r="L3416" s="15"/>
      <c r="M3416" s="15"/>
    </row>
    <row r="3417" spans="1:13" x14ac:dyDescent="0.25">
      <c r="A3417" s="23">
        <f t="shared" si="170"/>
        <v>248890</v>
      </c>
      <c r="B3417" s="14" t="str">
        <f t="shared" si="169"/>
        <v>Billing - Credits (from TPA)</v>
      </c>
      <c r="C3417" s="37">
        <v>46155</v>
      </c>
      <c r="D3417" s="31">
        <v>248890</v>
      </c>
      <c r="E3417" s="33" t="str">
        <f>IF(Table3[[#This Row],[Type Received]]=2,"CC",(IF(Table3[[#This Row],[Type Received]]=3,"BILL","ACH")))</f>
        <v>BILL</v>
      </c>
      <c r="F3417" s="32">
        <v>165.46</v>
      </c>
      <c r="G3417" s="14" t="str">
        <f>VLOOKUP(D3417,Table4[],3,FALSE)</f>
        <v>2</v>
      </c>
      <c r="H3417" s="15"/>
      <c r="I3417" s="15">
        <v>12152</v>
      </c>
      <c r="J3417" s="15" t="s">
        <v>28</v>
      </c>
      <c r="K3417" s="15">
        <v>669452262</v>
      </c>
      <c r="L3417" s="15" t="s">
        <v>29</v>
      </c>
      <c r="M3417" s="15" t="s">
        <v>29</v>
      </c>
    </row>
    <row r="3418" spans="1:13" x14ac:dyDescent="0.25">
      <c r="A3418" s="23">
        <f t="shared" si="170"/>
        <v>248897</v>
      </c>
      <c r="B3418" s="14" t="str">
        <f t="shared" si="169"/>
        <v>Billing - Credits (from TPA)</v>
      </c>
      <c r="C3418" s="38">
        <v>46169</v>
      </c>
      <c r="D3418" s="34">
        <v>248897</v>
      </c>
      <c r="E3418" s="36" t="str">
        <f>IF(Table3[[#This Row],[Type Received]]=2,"CC",(IF(Table3[[#This Row],[Type Received]]=3,"BILL","ACH")))</f>
        <v>BILL</v>
      </c>
      <c r="F3418" s="35">
        <v>109.93</v>
      </c>
      <c r="G3418" s="14" t="str">
        <f>VLOOKUP(D3418,Table4[],3,FALSE)</f>
        <v>1</v>
      </c>
      <c r="H3418" s="15">
        <v>9658</v>
      </c>
      <c r="I3418" s="15"/>
      <c r="J3418" s="15"/>
      <c r="K3418" s="15"/>
      <c r="L3418" s="15"/>
      <c r="M3418" s="15"/>
    </row>
    <row r="3419" spans="1:13" x14ac:dyDescent="0.25">
      <c r="A3419" s="23">
        <f t="shared" si="170"/>
        <v>248897</v>
      </c>
      <c r="B3419" s="14" t="str">
        <f t="shared" si="169"/>
        <v>Direct Debit (UMB Bank) - Credits</v>
      </c>
      <c r="C3419" s="37">
        <v>46146</v>
      </c>
      <c r="D3419" s="31">
        <v>248897</v>
      </c>
      <c r="E3419" s="33" t="str">
        <f>IF(Table3[[#This Row],[Type Received]]=2,"CC",(IF(Table3[[#This Row],[Type Received]]=3,"BILL","ACH")))</f>
        <v>ACH</v>
      </c>
      <c r="F3419" s="32">
        <v>109.93</v>
      </c>
      <c r="G3419" s="14" t="str">
        <f>VLOOKUP(D3419,Table4[],3,FALSE)</f>
        <v>1</v>
      </c>
      <c r="H3419" s="15">
        <v>9652</v>
      </c>
      <c r="I3419" s="15"/>
      <c r="J3419" s="15"/>
      <c r="K3419" s="15"/>
      <c r="L3419" s="15"/>
      <c r="M3419" s="15"/>
    </row>
    <row r="3420" spans="1:13" x14ac:dyDescent="0.25">
      <c r="A3420" s="23">
        <f t="shared" si="170"/>
        <v>248905</v>
      </c>
      <c r="B3420" s="14" t="str">
        <f t="shared" si="169"/>
        <v>Direct Debit (UMB Bank) - Credits</v>
      </c>
      <c r="C3420" s="38">
        <v>46144</v>
      </c>
      <c r="D3420" s="34">
        <v>248905</v>
      </c>
      <c r="E3420" s="36" t="str">
        <f>IF(Table3[[#This Row],[Type Received]]=2,"CC",(IF(Table3[[#This Row],[Type Received]]=3,"BILL","ACH")))</f>
        <v>ACH</v>
      </c>
      <c r="F3420" s="35">
        <v>50.95</v>
      </c>
      <c r="G3420" s="14" t="str">
        <f>VLOOKUP(D3420,Table4[],3,FALSE)</f>
        <v>2</v>
      </c>
      <c r="H3420" s="15"/>
      <c r="I3420" s="15"/>
      <c r="J3420" s="15" t="s">
        <v>89</v>
      </c>
      <c r="K3420" s="15">
        <v>535417694</v>
      </c>
      <c r="L3420" s="15" t="s">
        <v>29</v>
      </c>
      <c r="M3420" s="15"/>
    </row>
    <row r="3421" spans="1:13" x14ac:dyDescent="0.25">
      <c r="A3421" s="23">
        <f t="shared" si="170"/>
        <v>248919</v>
      </c>
      <c r="B3421" s="14" t="str">
        <f t="shared" si="169"/>
        <v>Credit Cards (UMB) - Credits</v>
      </c>
      <c r="C3421" s="37">
        <v>46144</v>
      </c>
      <c r="D3421" s="31">
        <v>248919</v>
      </c>
      <c r="E3421" s="33" t="str">
        <f>IF(Table3[[#This Row],[Type Received]]=2,"CC",(IF(Table3[[#This Row],[Type Received]]=3,"BILL","ACH")))</f>
        <v>CC</v>
      </c>
      <c r="F3421" s="32">
        <v>109.03</v>
      </c>
      <c r="G3421" s="14" t="str">
        <f>VLOOKUP(D3421,Table4[],3,FALSE)</f>
        <v>2</v>
      </c>
      <c r="H3421" s="15"/>
      <c r="I3421" s="15"/>
      <c r="J3421" s="24" t="s">
        <v>89</v>
      </c>
      <c r="K3421" s="15">
        <v>535410906</v>
      </c>
      <c r="L3421" s="15" t="s">
        <v>29</v>
      </c>
      <c r="M3421" s="15"/>
    </row>
    <row r="3422" spans="1:13" x14ac:dyDescent="0.25">
      <c r="A3422" s="23">
        <f t="shared" si="170"/>
        <v>248922</v>
      </c>
      <c r="B3422" s="14" t="str">
        <f t="shared" si="169"/>
        <v>Billing - Credits (from TPA)</v>
      </c>
      <c r="C3422" s="38">
        <v>46156</v>
      </c>
      <c r="D3422" s="34">
        <v>248922</v>
      </c>
      <c r="E3422" s="36" t="str">
        <f>IF(Table3[[#This Row],[Type Received]]=2,"CC",(IF(Table3[[#This Row],[Type Received]]=3,"BILL","ACH")))</f>
        <v>BILL</v>
      </c>
      <c r="F3422" s="35">
        <v>51.23</v>
      </c>
      <c r="G3422" s="14" t="str">
        <f>VLOOKUP(D3422,Table4[],3,FALSE)</f>
        <v>2</v>
      </c>
      <c r="H3422" s="15"/>
      <c r="I3422" s="15">
        <v>67862</v>
      </c>
      <c r="J3422" s="15" t="s">
        <v>28</v>
      </c>
      <c r="K3422" s="15">
        <v>682536659</v>
      </c>
      <c r="L3422" s="15" t="s">
        <v>29</v>
      </c>
      <c r="M3422" s="15" t="s">
        <v>29</v>
      </c>
    </row>
    <row r="3423" spans="1:13" x14ac:dyDescent="0.25">
      <c r="A3423" s="23">
        <f t="shared" si="170"/>
        <v>248930</v>
      </c>
      <c r="B3423" s="14" t="str">
        <f t="shared" si="169"/>
        <v>Billing - Credits (from TPA)</v>
      </c>
      <c r="C3423" s="37">
        <v>46143</v>
      </c>
      <c r="D3423" s="31">
        <v>248930</v>
      </c>
      <c r="E3423" s="33" t="str">
        <f>IF(Table3[[#This Row],[Type Received]]=2,"CC",(IF(Table3[[#This Row],[Type Received]]=3,"BILL","ACH")))</f>
        <v>BILL</v>
      </c>
      <c r="F3423" s="32">
        <v>163.16999999999999</v>
      </c>
      <c r="G3423" s="14" t="str">
        <f>VLOOKUP(D3423,Table4[],3,FALSE)</f>
        <v>2</v>
      </c>
      <c r="H3423" s="15">
        <v>74526203</v>
      </c>
      <c r="I3423" s="15"/>
      <c r="J3423" s="24"/>
      <c r="K3423" s="15"/>
      <c r="L3423" s="15"/>
      <c r="M3423" s="15" t="s">
        <v>29</v>
      </c>
    </row>
    <row r="3424" spans="1:13" x14ac:dyDescent="0.25">
      <c r="A3424" s="23">
        <f t="shared" si="170"/>
        <v>248944</v>
      </c>
      <c r="B3424" s="14" t="str">
        <f t="shared" si="169"/>
        <v>Direct Debit (UMB Bank) - Credits</v>
      </c>
      <c r="C3424" s="38">
        <v>46149</v>
      </c>
      <c r="D3424" s="34">
        <v>248944</v>
      </c>
      <c r="E3424" s="36" t="str">
        <f>IF(Table3[[#This Row],[Type Received]]=2,"CC",(IF(Table3[[#This Row],[Type Received]]=3,"BILL","ACH")))</f>
        <v>ACH</v>
      </c>
      <c r="F3424" s="35">
        <v>62</v>
      </c>
      <c r="G3424" s="14" t="str">
        <f>VLOOKUP(D3424,Table4[],3,FALSE)</f>
        <v>2</v>
      </c>
      <c r="H3424" s="15">
        <v>7301</v>
      </c>
      <c r="I3424" s="15"/>
      <c r="J3424" s="15"/>
      <c r="K3424" s="15"/>
      <c r="L3424" s="15"/>
      <c r="M3424" s="15" t="s">
        <v>29</v>
      </c>
    </row>
    <row r="3425" spans="1:13" x14ac:dyDescent="0.25">
      <c r="A3425" s="23">
        <f t="shared" si="170"/>
        <v>248975</v>
      </c>
      <c r="B3425" s="14" t="str">
        <f t="shared" si="169"/>
        <v>Billing - Credits (from TPA)</v>
      </c>
      <c r="C3425" s="37">
        <v>46157</v>
      </c>
      <c r="D3425" s="31">
        <v>248975</v>
      </c>
      <c r="E3425" s="33" t="str">
        <f>IF(Table3[[#This Row],[Type Received]]=2,"CC",(IF(Table3[[#This Row],[Type Received]]=3,"BILL","ACH")))</f>
        <v>BILL</v>
      </c>
      <c r="F3425" s="32">
        <v>101.44</v>
      </c>
      <c r="G3425" s="14" t="str">
        <f>VLOOKUP(D3425,Table4[],3,FALSE)</f>
        <v>2</v>
      </c>
      <c r="H3425" s="15"/>
      <c r="I3425" s="15"/>
      <c r="J3425" s="15" t="s">
        <v>87</v>
      </c>
      <c r="K3425" s="15">
        <v>696817526</v>
      </c>
      <c r="L3425" s="15" t="s">
        <v>29</v>
      </c>
      <c r="M3425" s="15" t="s">
        <v>29</v>
      </c>
    </row>
    <row r="3426" spans="1:13" x14ac:dyDescent="0.25">
      <c r="A3426" s="23">
        <f t="shared" si="170"/>
        <v>248977</v>
      </c>
      <c r="B3426" s="14" t="str">
        <f t="shared" si="169"/>
        <v>Billing - Credits (from TPA)</v>
      </c>
      <c r="C3426" s="38">
        <v>46146</v>
      </c>
      <c r="D3426" s="34">
        <v>248977</v>
      </c>
      <c r="E3426" s="36" t="str">
        <f>IF(Table3[[#This Row],[Type Received]]=2,"CC",(IF(Table3[[#This Row],[Type Received]]=3,"BILL","ACH")))</f>
        <v>BILL</v>
      </c>
      <c r="F3426" s="35">
        <v>41.73</v>
      </c>
      <c r="G3426" s="14" t="str">
        <f>VLOOKUP(D3426,Table4[],3,FALSE)</f>
        <v>2</v>
      </c>
      <c r="H3426" s="15">
        <v>3884</v>
      </c>
      <c r="I3426" s="15"/>
      <c r="J3426" s="15"/>
      <c r="K3426" s="15"/>
      <c r="L3426" s="15"/>
      <c r="M3426" s="15" t="s">
        <v>29</v>
      </c>
    </row>
    <row r="3427" spans="1:13" x14ac:dyDescent="0.25">
      <c r="A3427" s="23">
        <f t="shared" si="170"/>
        <v>248978</v>
      </c>
      <c r="B3427" s="14" t="str">
        <f t="shared" si="169"/>
        <v>Direct Debit (UMB Bank) - Credits</v>
      </c>
      <c r="C3427" s="37">
        <v>46150</v>
      </c>
      <c r="D3427" s="31">
        <v>248978</v>
      </c>
      <c r="E3427" s="33" t="str">
        <f>IF(Table3[[#This Row],[Type Received]]=2,"CC",(IF(Table3[[#This Row],[Type Received]]=3,"BILL","ACH")))</f>
        <v>ACH</v>
      </c>
      <c r="F3427" s="32">
        <v>124.56</v>
      </c>
      <c r="G3427" s="14" t="str">
        <f>VLOOKUP(D3427,Table4[],3,FALSE)</f>
        <v>2</v>
      </c>
      <c r="H3427" s="15">
        <v>922063641</v>
      </c>
      <c r="I3427" s="15"/>
      <c r="J3427" s="15"/>
      <c r="K3427" s="15"/>
      <c r="L3427" s="15"/>
      <c r="M3427" s="15" t="s">
        <v>29</v>
      </c>
    </row>
    <row r="3428" spans="1:13" x14ac:dyDescent="0.25">
      <c r="A3428" s="23">
        <f t="shared" si="170"/>
        <v>249000</v>
      </c>
      <c r="B3428" s="14" t="str">
        <f t="shared" si="169"/>
        <v>Direct Debit (UMB Bank) - Credits</v>
      </c>
      <c r="C3428" s="38">
        <v>46157</v>
      </c>
      <c r="D3428" s="34">
        <v>249000</v>
      </c>
      <c r="E3428" s="36" t="str">
        <f>IF(Table3[[#This Row],[Type Received]]=2,"CC",(IF(Table3[[#This Row],[Type Received]]=3,"BILL","ACH")))</f>
        <v>ACH</v>
      </c>
      <c r="F3428" s="35">
        <v>63.71</v>
      </c>
      <c r="G3428" s="14" t="str">
        <f>VLOOKUP(D3428,Table4[],3,FALSE)</f>
        <v>2</v>
      </c>
      <c r="H3428" s="15"/>
      <c r="I3428" s="15"/>
      <c r="J3428" s="15" t="s">
        <v>87</v>
      </c>
      <c r="K3428" s="15">
        <v>696816571</v>
      </c>
      <c r="L3428" s="15" t="s">
        <v>29</v>
      </c>
      <c r="M3428" s="15"/>
    </row>
    <row r="3429" spans="1:13" x14ac:dyDescent="0.25">
      <c r="A3429" s="23">
        <f t="shared" si="170"/>
        <v>249007</v>
      </c>
      <c r="B3429" s="14" t="str">
        <f t="shared" si="169"/>
        <v>Billing - Credits (from TPA)</v>
      </c>
      <c r="C3429" s="37">
        <v>46146</v>
      </c>
      <c r="D3429" s="31">
        <v>249007</v>
      </c>
      <c r="E3429" s="33" t="str">
        <f>IF(Table3[[#This Row],[Type Received]]=2,"CC",(IF(Table3[[#This Row],[Type Received]]=3,"BILL","ACH")))</f>
        <v>BILL</v>
      </c>
      <c r="F3429" s="32">
        <v>56.25</v>
      </c>
      <c r="G3429" s="14" t="str">
        <f>VLOOKUP(D3429,Table4[],3,FALSE)</f>
        <v>2</v>
      </c>
      <c r="H3429" s="15"/>
      <c r="I3429" s="15"/>
      <c r="J3429" s="15" t="s">
        <v>92</v>
      </c>
      <c r="K3429" s="15">
        <v>556887277</v>
      </c>
      <c r="L3429" s="15" t="s">
        <v>29</v>
      </c>
      <c r="M3429" s="15"/>
    </row>
    <row r="3430" spans="1:13" x14ac:dyDescent="0.25">
      <c r="A3430" s="23">
        <f t="shared" si="170"/>
        <v>249229</v>
      </c>
      <c r="B3430" s="14" t="str">
        <f t="shared" si="169"/>
        <v>Direct Debit (UMB Bank) - Credits</v>
      </c>
      <c r="C3430" s="38">
        <v>46153</v>
      </c>
      <c r="D3430" s="34">
        <v>249229</v>
      </c>
      <c r="E3430" s="36" t="str">
        <f>IF(Table3[[#This Row],[Type Received]]=2,"CC",(IF(Table3[[#This Row],[Type Received]]=3,"BILL","ACH")))</f>
        <v>ACH</v>
      </c>
      <c r="F3430" s="35">
        <v>157.56</v>
      </c>
      <c r="G3430" s="14" t="str">
        <f>VLOOKUP(D3430,Table4[],3,FALSE)</f>
        <v>2</v>
      </c>
      <c r="H3430" s="15">
        <v>2495</v>
      </c>
      <c r="I3430" s="15"/>
      <c r="J3430" s="15"/>
      <c r="K3430" s="15"/>
      <c r="L3430" s="15"/>
      <c r="M3430" s="15"/>
    </row>
    <row r="3431" spans="1:13" x14ac:dyDescent="0.25">
      <c r="A3431" s="23">
        <f t="shared" si="170"/>
        <v>249251</v>
      </c>
      <c r="B3431" s="14" t="str">
        <f t="shared" si="169"/>
        <v>Direct Debit (UMB Bank) - Credits</v>
      </c>
      <c r="C3431" s="37">
        <v>46144</v>
      </c>
      <c r="D3431" s="31">
        <v>249251</v>
      </c>
      <c r="E3431" s="33" t="str">
        <f>IF(Table3[[#This Row],[Type Received]]=2,"CC",(IF(Table3[[#This Row],[Type Received]]=3,"BILL","ACH")))</f>
        <v>ACH</v>
      </c>
      <c r="F3431" s="32">
        <v>65.14</v>
      </c>
      <c r="G3431" s="14" t="str">
        <f>VLOOKUP(D3431,Table4[],3,FALSE)</f>
        <v>2</v>
      </c>
      <c r="H3431" s="15"/>
      <c r="I3431" s="15"/>
      <c r="J3431" s="24" t="s">
        <v>89</v>
      </c>
      <c r="K3431" s="15">
        <v>535430251</v>
      </c>
      <c r="L3431" s="15" t="s">
        <v>29</v>
      </c>
      <c r="M3431" s="15"/>
    </row>
    <row r="3432" spans="1:13" x14ac:dyDescent="0.25">
      <c r="A3432" s="23">
        <f t="shared" si="170"/>
        <v>249253</v>
      </c>
      <c r="B3432" s="14" t="str">
        <f t="shared" si="169"/>
        <v>Direct Debit (UMB Bank) - Credits</v>
      </c>
      <c r="C3432" s="38">
        <v>46157</v>
      </c>
      <c r="D3432" s="34">
        <v>249253</v>
      </c>
      <c r="E3432" s="36" t="str">
        <f>IF(Table3[[#This Row],[Type Received]]=2,"CC",(IF(Table3[[#This Row],[Type Received]]=3,"BILL","ACH")))</f>
        <v>ACH</v>
      </c>
      <c r="F3432" s="35">
        <v>38.19</v>
      </c>
      <c r="G3432" s="14" t="str">
        <f>VLOOKUP(D3432,Table4[],3,FALSE)</f>
        <v>1</v>
      </c>
      <c r="H3432" s="15"/>
      <c r="I3432" s="15"/>
      <c r="J3432" s="15" t="s">
        <v>87</v>
      </c>
      <c r="K3432" s="15">
        <v>696814683</v>
      </c>
      <c r="L3432" s="15" t="s">
        <v>29</v>
      </c>
      <c r="M3432" s="15" t="s">
        <v>29</v>
      </c>
    </row>
    <row r="3433" spans="1:13" x14ac:dyDescent="0.25">
      <c r="A3433" s="23">
        <f t="shared" si="170"/>
        <v>249260</v>
      </c>
      <c r="B3433" s="14" t="str">
        <f t="shared" si="169"/>
        <v>Direct Debit (UMB Bank) - Credits</v>
      </c>
      <c r="C3433" s="37">
        <v>46167</v>
      </c>
      <c r="D3433" s="31">
        <v>249260</v>
      </c>
      <c r="E3433" s="33" t="str">
        <f>IF(Table3[[#This Row],[Type Received]]=2,"CC",(IF(Table3[[#This Row],[Type Received]]=3,"BILL","ACH")))</f>
        <v>ACH</v>
      </c>
      <c r="F3433" s="32">
        <v>56.23</v>
      </c>
      <c r="G3433" s="14" t="str">
        <f>VLOOKUP(D3433,Table4[],3,FALSE)</f>
        <v>2</v>
      </c>
      <c r="H3433" s="15"/>
      <c r="I3433" s="15"/>
      <c r="J3433" s="15" t="s">
        <v>85</v>
      </c>
      <c r="K3433" s="15">
        <v>818404185</v>
      </c>
      <c r="L3433" s="15" t="s">
        <v>29</v>
      </c>
      <c r="M3433" s="15"/>
    </row>
    <row r="3434" spans="1:13" x14ac:dyDescent="0.25">
      <c r="A3434" s="23">
        <f t="shared" si="170"/>
        <v>249263</v>
      </c>
      <c r="B3434" s="14" t="str">
        <f t="shared" si="169"/>
        <v>Credit Cards (UMB) - Credits</v>
      </c>
      <c r="C3434" s="38">
        <v>46144</v>
      </c>
      <c r="D3434" s="34">
        <v>249263</v>
      </c>
      <c r="E3434" s="36" t="str">
        <f>IF(Table3[[#This Row],[Type Received]]=2,"CC",(IF(Table3[[#This Row],[Type Received]]=3,"BILL","ACH")))</f>
        <v>CC</v>
      </c>
      <c r="F3434" s="35">
        <v>146.97999999999999</v>
      </c>
      <c r="G3434" s="14" t="str">
        <f>VLOOKUP(D3434,Table4[],3,FALSE)</f>
        <v>2</v>
      </c>
      <c r="H3434" s="15"/>
      <c r="I3434" s="15"/>
      <c r="J3434" s="15" t="s">
        <v>89</v>
      </c>
      <c r="K3434" s="15">
        <v>535422614</v>
      </c>
      <c r="L3434" s="15" t="s">
        <v>29</v>
      </c>
      <c r="M3434" s="15"/>
    </row>
    <row r="3435" spans="1:13" x14ac:dyDescent="0.25">
      <c r="A3435" s="23">
        <f t="shared" si="170"/>
        <v>249270</v>
      </c>
      <c r="B3435" s="14" t="str">
        <f t="shared" si="169"/>
        <v>Billing - Credits (from TPA)</v>
      </c>
      <c r="C3435" s="37">
        <v>46155</v>
      </c>
      <c r="D3435" s="31">
        <v>249270</v>
      </c>
      <c r="E3435" s="33" t="str">
        <f>IF(Table3[[#This Row],[Type Received]]=2,"CC",(IF(Table3[[#This Row],[Type Received]]=3,"BILL","ACH")))</f>
        <v>BILL</v>
      </c>
      <c r="F3435" s="32">
        <v>53.95</v>
      </c>
      <c r="G3435" s="14" t="str">
        <f>VLOOKUP(D3435,Table4[],3,FALSE)</f>
        <v>1</v>
      </c>
      <c r="H3435" s="15"/>
      <c r="I3435" s="15">
        <v>165340</v>
      </c>
      <c r="J3435" s="15" t="s">
        <v>28</v>
      </c>
      <c r="K3435" s="15">
        <v>669507342</v>
      </c>
      <c r="L3435" s="15" t="s">
        <v>29</v>
      </c>
      <c r="M3435" s="15" t="s">
        <v>29</v>
      </c>
    </row>
    <row r="3436" spans="1:13" x14ac:dyDescent="0.25">
      <c r="A3436" s="23">
        <f t="shared" si="170"/>
        <v>249272</v>
      </c>
      <c r="B3436" s="14" t="str">
        <f t="shared" si="169"/>
        <v>Billing - Credits (from TPA)</v>
      </c>
      <c r="C3436" s="38">
        <v>46171</v>
      </c>
      <c r="D3436" s="34">
        <v>249272</v>
      </c>
      <c r="E3436" s="36" t="str">
        <f>IF(Table3[[#This Row],[Type Received]]=2,"CC",(IF(Table3[[#This Row],[Type Received]]=3,"BILL","ACH")))</f>
        <v>BILL</v>
      </c>
      <c r="F3436" s="35">
        <v>142.38</v>
      </c>
      <c r="G3436" s="14" t="str">
        <f>VLOOKUP(D3436,Table4[],3,FALSE)</f>
        <v>2</v>
      </c>
      <c r="H3436" s="15">
        <v>9324</v>
      </c>
      <c r="I3436" s="15"/>
      <c r="J3436" s="24"/>
      <c r="K3436" s="15"/>
      <c r="L3436" s="15"/>
      <c r="M3436" s="15"/>
    </row>
    <row r="3437" spans="1:13" x14ac:dyDescent="0.25">
      <c r="A3437" s="23">
        <f t="shared" si="170"/>
        <v>249272</v>
      </c>
      <c r="B3437" s="14" t="str">
        <f t="shared" si="169"/>
        <v>Credit Cards (UMB) - Credits</v>
      </c>
      <c r="C3437" s="37">
        <v>46146</v>
      </c>
      <c r="D3437" s="31">
        <v>249272</v>
      </c>
      <c r="E3437" s="33" t="str">
        <f>IF(Table3[[#This Row],[Type Received]]=2,"CC",(IF(Table3[[#This Row],[Type Received]]=3,"BILL","ACH")))</f>
        <v>CC</v>
      </c>
      <c r="F3437" s="32">
        <v>142.38</v>
      </c>
      <c r="G3437" s="14" t="str">
        <f>VLOOKUP(D3437,Table4[],3,FALSE)</f>
        <v>2</v>
      </c>
      <c r="H3437" s="15">
        <v>9286</v>
      </c>
      <c r="I3437" s="15"/>
      <c r="J3437" s="15"/>
      <c r="K3437" s="15"/>
      <c r="L3437" s="15"/>
      <c r="M3437" s="15"/>
    </row>
    <row r="3438" spans="1:13" x14ac:dyDescent="0.25">
      <c r="A3438" s="23">
        <f t="shared" si="170"/>
        <v>249276</v>
      </c>
      <c r="B3438" s="14" t="str">
        <f t="shared" si="169"/>
        <v>Direct Debit (UMB Bank) - Credits</v>
      </c>
      <c r="C3438" s="38">
        <v>46146</v>
      </c>
      <c r="D3438" s="34">
        <v>249276</v>
      </c>
      <c r="E3438" s="36" t="str">
        <f>IF(Table3[[#This Row],[Type Received]]=2,"CC",(IF(Table3[[#This Row],[Type Received]]=3,"BILL","ACH")))</f>
        <v>ACH</v>
      </c>
      <c r="F3438" s="35">
        <v>78.25</v>
      </c>
      <c r="G3438" s="14" t="str">
        <f>VLOOKUP(D3438,Table4[],3,FALSE)</f>
        <v>1</v>
      </c>
      <c r="H3438" s="15"/>
      <c r="I3438" s="15">
        <v>215</v>
      </c>
      <c r="J3438" s="15" t="s">
        <v>28</v>
      </c>
      <c r="K3438" s="15">
        <v>561119939</v>
      </c>
      <c r="L3438" s="15" t="s">
        <v>29</v>
      </c>
      <c r="M3438" s="15"/>
    </row>
    <row r="3439" spans="1:13" x14ac:dyDescent="0.25">
      <c r="A3439" s="23">
        <f t="shared" si="170"/>
        <v>249280</v>
      </c>
      <c r="B3439" s="14" t="str">
        <f t="shared" si="169"/>
        <v>Direct Debit (UMB Bank) - Credits</v>
      </c>
      <c r="C3439" s="37">
        <v>46167</v>
      </c>
      <c r="D3439" s="31">
        <v>249280</v>
      </c>
      <c r="E3439" s="33" t="str">
        <f>IF(Table3[[#This Row],[Type Received]]=2,"CC",(IF(Table3[[#This Row],[Type Received]]=3,"BILL","ACH")))</f>
        <v>ACH</v>
      </c>
      <c r="F3439" s="32">
        <v>92.09</v>
      </c>
      <c r="G3439" s="14" t="str">
        <f>VLOOKUP(D3439,Table4[],3,FALSE)</f>
        <v>1</v>
      </c>
      <c r="H3439" s="15"/>
      <c r="I3439" s="15"/>
      <c r="J3439" s="15" t="s">
        <v>85</v>
      </c>
      <c r="K3439" s="15">
        <v>818405163</v>
      </c>
      <c r="L3439" s="15" t="s">
        <v>29</v>
      </c>
      <c r="M3439" s="15" t="s">
        <v>29</v>
      </c>
    </row>
    <row r="3440" spans="1:13" x14ac:dyDescent="0.25">
      <c r="A3440" s="23">
        <f t="shared" si="170"/>
        <v>249282</v>
      </c>
      <c r="B3440" s="14" t="str">
        <f t="shared" si="169"/>
        <v>Direct Debit (UMB Bank) - Credits</v>
      </c>
      <c r="C3440" s="38">
        <v>46157</v>
      </c>
      <c r="D3440" s="34">
        <v>249282</v>
      </c>
      <c r="E3440" s="36" t="str">
        <f>IF(Table3[[#This Row],[Type Received]]=2,"CC",(IF(Table3[[#This Row],[Type Received]]=3,"BILL","ACH")))</f>
        <v>ACH</v>
      </c>
      <c r="F3440" s="35">
        <v>42.7</v>
      </c>
      <c r="G3440" s="14" t="str">
        <f>VLOOKUP(D3440,Table4[],3,FALSE)</f>
        <v>1</v>
      </c>
      <c r="H3440" s="15"/>
      <c r="I3440" s="15"/>
      <c r="J3440" s="15" t="s">
        <v>87</v>
      </c>
      <c r="K3440" s="15">
        <v>696814690</v>
      </c>
      <c r="L3440" s="15" t="s">
        <v>29</v>
      </c>
      <c r="M3440" s="15" t="s">
        <v>29</v>
      </c>
    </row>
    <row r="3441" spans="1:13" x14ac:dyDescent="0.25">
      <c r="A3441" s="23">
        <f t="shared" si="170"/>
        <v>249289</v>
      </c>
      <c r="B3441" s="14" t="str">
        <f t="shared" si="169"/>
        <v>Credit Cards (UMB) - Credits</v>
      </c>
      <c r="C3441" s="37">
        <v>46144</v>
      </c>
      <c r="D3441" s="31">
        <v>249289</v>
      </c>
      <c r="E3441" s="33" t="str">
        <f>IF(Table3[[#This Row],[Type Received]]=2,"CC",(IF(Table3[[#This Row],[Type Received]]=3,"BILL","ACH")))</f>
        <v>CC</v>
      </c>
      <c r="F3441" s="32">
        <v>105.07</v>
      </c>
      <c r="G3441" s="14" t="str">
        <f>VLOOKUP(D3441,Table4[],3,FALSE)</f>
        <v>2</v>
      </c>
      <c r="H3441" s="15"/>
      <c r="I3441" s="15"/>
      <c r="J3441" s="15" t="s">
        <v>89</v>
      </c>
      <c r="K3441" s="15">
        <v>535414862</v>
      </c>
      <c r="L3441" s="15" t="s">
        <v>29</v>
      </c>
      <c r="M3441" s="15" t="s">
        <v>29</v>
      </c>
    </row>
    <row r="3442" spans="1:13" x14ac:dyDescent="0.25">
      <c r="A3442" s="23">
        <f t="shared" si="170"/>
        <v>249314</v>
      </c>
      <c r="B3442" s="14" t="str">
        <f t="shared" si="169"/>
        <v>Direct Debit (UMB Bank) - Credits</v>
      </c>
      <c r="C3442" s="38">
        <v>46155</v>
      </c>
      <c r="D3442" s="34">
        <v>249314</v>
      </c>
      <c r="E3442" s="36" t="str">
        <f>IF(Table3[[#This Row],[Type Received]]=2,"CC",(IF(Table3[[#This Row],[Type Received]]=3,"BILL","ACH")))</f>
        <v>ACH</v>
      </c>
      <c r="F3442" s="35">
        <v>30.04</v>
      </c>
      <c r="G3442" s="14" t="str">
        <f>VLOOKUP(D3442,Table4[],3,FALSE)</f>
        <v>2</v>
      </c>
      <c r="H3442" s="15"/>
      <c r="I3442" s="15">
        <v>189049</v>
      </c>
      <c r="J3442" s="24" t="s">
        <v>28</v>
      </c>
      <c r="K3442" s="15">
        <v>669494954</v>
      </c>
      <c r="L3442" s="15" t="s">
        <v>29</v>
      </c>
      <c r="M3442" s="15" t="s">
        <v>29</v>
      </c>
    </row>
    <row r="3443" spans="1:13" x14ac:dyDescent="0.25">
      <c r="A3443" s="23">
        <f t="shared" si="170"/>
        <v>249351</v>
      </c>
      <c r="B3443" s="14" t="str">
        <f t="shared" si="169"/>
        <v>Direct Debit (UMB Bank) - Credits</v>
      </c>
      <c r="C3443" s="37">
        <v>46144</v>
      </c>
      <c r="D3443" s="31">
        <v>249351</v>
      </c>
      <c r="E3443" s="33" t="str">
        <f>IF(Table3[[#This Row],[Type Received]]=2,"CC",(IF(Table3[[#This Row],[Type Received]]=3,"BILL","ACH")))</f>
        <v>ACH</v>
      </c>
      <c r="F3443" s="32">
        <v>83.51</v>
      </c>
      <c r="G3443" s="14" t="str">
        <f>VLOOKUP(D3443,Table4[],3,FALSE)</f>
        <v>1</v>
      </c>
      <c r="H3443" s="15"/>
      <c r="I3443" s="15"/>
      <c r="J3443" s="15" t="s">
        <v>89</v>
      </c>
      <c r="K3443" s="15">
        <v>535413885</v>
      </c>
      <c r="L3443" s="15" t="s">
        <v>29</v>
      </c>
      <c r="M3443" s="15" t="s">
        <v>29</v>
      </c>
    </row>
    <row r="3444" spans="1:13" x14ac:dyDescent="0.25">
      <c r="A3444" s="23">
        <f t="shared" si="170"/>
        <v>249357</v>
      </c>
      <c r="B3444" s="14" t="str">
        <f t="shared" si="169"/>
        <v>Billing - Credits (from TPA)</v>
      </c>
      <c r="C3444" s="38">
        <v>46167</v>
      </c>
      <c r="D3444" s="34">
        <v>249357</v>
      </c>
      <c r="E3444" s="36" t="str">
        <f>IF(Table3[[#This Row],[Type Received]]=2,"CC",(IF(Table3[[#This Row],[Type Received]]=3,"BILL","ACH")))</f>
        <v>BILL</v>
      </c>
      <c r="F3444" s="35">
        <v>71.38</v>
      </c>
      <c r="G3444" s="14" t="str">
        <f>VLOOKUP(D3444,Table4[],3,FALSE)</f>
        <v>2</v>
      </c>
      <c r="H3444" s="15"/>
      <c r="I3444" s="15"/>
      <c r="J3444" s="15" t="s">
        <v>85</v>
      </c>
      <c r="K3444" s="15">
        <v>818402219</v>
      </c>
      <c r="L3444" s="15" t="s">
        <v>29</v>
      </c>
      <c r="M3444" s="15" t="s">
        <v>29</v>
      </c>
    </row>
    <row r="3445" spans="1:13" x14ac:dyDescent="0.25">
      <c r="A3445" s="23">
        <f t="shared" si="170"/>
        <v>249374</v>
      </c>
      <c r="B3445" s="14" t="str">
        <f t="shared" si="169"/>
        <v>Billing - Credits (from TPA)</v>
      </c>
      <c r="C3445" s="37">
        <v>46169</v>
      </c>
      <c r="D3445" s="31">
        <v>249374</v>
      </c>
      <c r="E3445" s="33" t="str">
        <f>IF(Table3[[#This Row],[Type Received]]=2,"CC",(IF(Table3[[#This Row],[Type Received]]=3,"BILL","ACH")))</f>
        <v>BILL</v>
      </c>
      <c r="F3445" s="32">
        <v>59.22</v>
      </c>
      <c r="G3445" s="14" t="str">
        <f>VLOOKUP(D3445,Table4[],3,FALSE)</f>
        <v>2</v>
      </c>
      <c r="H3445" s="15">
        <v>4167</v>
      </c>
      <c r="I3445" s="15"/>
      <c r="J3445" s="15"/>
      <c r="K3445" s="15"/>
      <c r="L3445" s="15"/>
      <c r="M3445" s="15"/>
    </row>
    <row r="3446" spans="1:13" x14ac:dyDescent="0.25">
      <c r="A3446" s="23">
        <f t="shared" si="170"/>
        <v>249398</v>
      </c>
      <c r="B3446" s="14" t="str">
        <f t="shared" si="169"/>
        <v>Billing - Credits (from TPA)</v>
      </c>
      <c r="C3446" s="38">
        <v>46150</v>
      </c>
      <c r="D3446" s="34">
        <v>249398</v>
      </c>
      <c r="E3446" s="36" t="str">
        <f>IF(Table3[[#This Row],[Type Received]]=2,"CC",(IF(Table3[[#This Row],[Type Received]]=3,"BILL","ACH")))</f>
        <v>BILL</v>
      </c>
      <c r="F3446" s="35">
        <v>42</v>
      </c>
      <c r="G3446" s="14" t="str">
        <f>VLOOKUP(D3446,Table4[],3,FALSE)</f>
        <v>2</v>
      </c>
      <c r="H3446" s="15">
        <v>996073</v>
      </c>
      <c r="I3446" s="15"/>
      <c r="J3446" s="15"/>
      <c r="K3446" s="15"/>
      <c r="L3446" s="15"/>
      <c r="M3446" s="15" t="s">
        <v>29</v>
      </c>
    </row>
    <row r="3447" spans="1:13" x14ac:dyDescent="0.25">
      <c r="A3447" s="23">
        <f t="shared" si="170"/>
        <v>249416</v>
      </c>
      <c r="B3447" s="14" t="str">
        <f t="shared" si="169"/>
        <v>Credit Cards (UMB) - Credits</v>
      </c>
      <c r="C3447" s="37">
        <v>46171</v>
      </c>
      <c r="D3447" s="31">
        <v>249416</v>
      </c>
      <c r="E3447" s="33" t="str">
        <f>IF(Table3[[#This Row],[Type Received]]=2,"CC",(IF(Table3[[#This Row],[Type Received]]=3,"BILL","ACH")))</f>
        <v>CC</v>
      </c>
      <c r="F3447" s="32">
        <v>183.96</v>
      </c>
      <c r="G3447" s="14" t="str">
        <f>VLOOKUP(D3447,Table4[],3,FALSE)</f>
        <v>2</v>
      </c>
      <c r="H3447" s="15">
        <v>3030</v>
      </c>
      <c r="I3447" s="15"/>
      <c r="J3447" s="15"/>
      <c r="K3447" s="15"/>
      <c r="L3447" s="15"/>
      <c r="M3447" s="15" t="s">
        <v>29</v>
      </c>
    </row>
    <row r="3448" spans="1:13" x14ac:dyDescent="0.25">
      <c r="A3448" s="23"/>
      <c r="B3448" s="14" t="str">
        <f t="shared" si="169"/>
        <v>Credit Cards (UMB) - Credits</v>
      </c>
      <c r="C3448" s="38">
        <v>46150</v>
      </c>
      <c r="D3448" s="34">
        <v>249428</v>
      </c>
      <c r="E3448" s="36" t="str">
        <f>IF(Table3[[#This Row],[Type Received]]=2,"CC",(IF(Table3[[#This Row],[Type Received]]=3,"BILL","ACH")))</f>
        <v>CC</v>
      </c>
      <c r="F3448" s="35">
        <v>37.11</v>
      </c>
      <c r="G3448" s="14" t="str">
        <f>VLOOKUP(D3448,Table4[],3,FALSE)</f>
        <v>2</v>
      </c>
      <c r="H3448" s="15"/>
      <c r="I3448" s="15">
        <v>54910</v>
      </c>
      <c r="J3448" s="15" t="s">
        <v>28</v>
      </c>
      <c r="K3448" s="15">
        <v>613275341</v>
      </c>
      <c r="L3448" s="15" t="s">
        <v>29</v>
      </c>
      <c r="M3448" s="15" t="s">
        <v>29</v>
      </c>
    </row>
    <row r="3449" spans="1:13" x14ac:dyDescent="0.25">
      <c r="A3449" s="23"/>
      <c r="B3449" s="14" t="str">
        <f t="shared" si="169"/>
        <v>Billing - Credits (from TPA)</v>
      </c>
      <c r="C3449" s="37">
        <v>46157</v>
      </c>
      <c r="D3449" s="31">
        <v>249437</v>
      </c>
      <c r="E3449" s="33" t="str">
        <f>IF(Table3[[#This Row],[Type Received]]=2,"CC",(IF(Table3[[#This Row],[Type Received]]=3,"BILL","ACH")))</f>
        <v>BILL</v>
      </c>
      <c r="F3449" s="32">
        <v>39.79</v>
      </c>
      <c r="G3449" s="14" t="str">
        <f>VLOOKUP(D3449,Table4[],3,FALSE)</f>
        <v>2</v>
      </c>
      <c r="H3449" s="15"/>
      <c r="I3449" s="15">
        <v>405247</v>
      </c>
      <c r="J3449" s="15" t="s">
        <v>28</v>
      </c>
      <c r="K3449" s="15">
        <v>696804019</v>
      </c>
      <c r="L3449" s="15" t="s">
        <v>29</v>
      </c>
      <c r="M3449" s="15"/>
    </row>
    <row r="3450" spans="1:13" x14ac:dyDescent="0.25">
      <c r="A3450" s="23"/>
      <c r="B3450" s="14" t="str">
        <f t="shared" si="169"/>
        <v>Direct Debit (UMB Bank) - Credits</v>
      </c>
      <c r="C3450" s="38">
        <v>46143</v>
      </c>
      <c r="D3450" s="34">
        <v>249450</v>
      </c>
      <c r="E3450" s="36" t="str">
        <f>IF(Table3[[#This Row],[Type Received]]=2,"CC",(IF(Table3[[#This Row],[Type Received]]=3,"BILL","ACH")))</f>
        <v>ACH</v>
      </c>
      <c r="F3450" s="35">
        <v>76.489999999999995</v>
      </c>
      <c r="G3450" s="14" t="str">
        <f>VLOOKUP(D3450,Table4[],3,FALSE)</f>
        <v>1</v>
      </c>
      <c r="H3450" s="15">
        <v>927</v>
      </c>
      <c r="I3450" s="15"/>
      <c r="J3450" s="15"/>
      <c r="K3450" s="15"/>
      <c r="L3450" s="15"/>
      <c r="M3450" s="15"/>
    </row>
    <row r="3451" spans="1:13" x14ac:dyDescent="0.25">
      <c r="A3451" s="23"/>
      <c r="B3451" s="14" t="str">
        <f t="shared" si="169"/>
        <v>Direct Debit (UMB Bank) - Credits</v>
      </c>
      <c r="C3451" s="37">
        <v>46144</v>
      </c>
      <c r="D3451" s="31">
        <v>249479</v>
      </c>
      <c r="E3451" s="33" t="str">
        <f>IF(Table3[[#This Row],[Type Received]]=2,"CC",(IF(Table3[[#This Row],[Type Received]]=3,"BILL","ACH")))</f>
        <v>ACH</v>
      </c>
      <c r="F3451" s="32">
        <v>37.53</v>
      </c>
      <c r="G3451" s="14" t="str">
        <f>VLOOKUP(D3451,Table4[],3,FALSE)</f>
        <v>1</v>
      </c>
      <c r="H3451" s="15"/>
      <c r="I3451" s="15"/>
      <c r="J3451" s="15" t="s">
        <v>89</v>
      </c>
      <c r="K3451" s="15">
        <v>535426430</v>
      </c>
      <c r="L3451" s="15" t="s">
        <v>29</v>
      </c>
      <c r="M3451" s="15" t="s">
        <v>29</v>
      </c>
    </row>
    <row r="3452" spans="1:13" x14ac:dyDescent="0.25">
      <c r="A3452" s="23"/>
      <c r="B3452" s="14" t="str">
        <f t="shared" si="169"/>
        <v>Direct Debit (UMB Bank) - Credits</v>
      </c>
      <c r="C3452" s="38">
        <v>46144</v>
      </c>
      <c r="D3452" s="34">
        <v>249494</v>
      </c>
      <c r="E3452" s="36" t="str">
        <f>IF(Table3[[#This Row],[Type Received]]=2,"CC",(IF(Table3[[#This Row],[Type Received]]=3,"BILL","ACH")))</f>
        <v>ACH</v>
      </c>
      <c r="F3452" s="35">
        <v>58.21</v>
      </c>
      <c r="G3452" s="14" t="str">
        <f>VLOOKUP(D3452,Table4[],3,FALSE)</f>
        <v>1</v>
      </c>
      <c r="H3452" s="15"/>
      <c r="I3452" s="15"/>
      <c r="J3452" s="15" t="s">
        <v>89</v>
      </c>
      <c r="K3452" s="15">
        <v>535412916</v>
      </c>
      <c r="L3452" s="15" t="s">
        <v>29</v>
      </c>
      <c r="M3452" s="15"/>
    </row>
    <row r="3453" spans="1:13" x14ac:dyDescent="0.25">
      <c r="A3453" s="23"/>
      <c r="B3453" s="14" t="str">
        <f t="shared" si="169"/>
        <v>Direct Debit (UMB Bank) - Credits</v>
      </c>
      <c r="C3453" s="37">
        <v>46157</v>
      </c>
      <c r="D3453" s="31">
        <v>249504</v>
      </c>
      <c r="E3453" s="33" t="str">
        <f>IF(Table3[[#This Row],[Type Received]]=2,"CC",(IF(Table3[[#This Row],[Type Received]]=3,"BILL","ACH")))</f>
        <v>ACH</v>
      </c>
      <c r="F3453" s="32">
        <v>39.01</v>
      </c>
      <c r="G3453" s="14" t="str">
        <f>VLOOKUP(D3453,Table4[],3,FALSE)</f>
        <v>2</v>
      </c>
      <c r="H3453" s="15"/>
      <c r="I3453" s="15"/>
      <c r="J3453" s="15" t="s">
        <v>87</v>
      </c>
      <c r="K3453" s="15">
        <v>696813689</v>
      </c>
      <c r="L3453" s="15" t="s">
        <v>29</v>
      </c>
      <c r="M3453" s="15" t="s">
        <v>29</v>
      </c>
    </row>
    <row r="3454" spans="1:13" x14ac:dyDescent="0.25">
      <c r="A3454" s="23"/>
      <c r="B3454" s="14" t="str">
        <f t="shared" si="169"/>
        <v>Billing - Credits (from TPA)</v>
      </c>
      <c r="C3454" s="38">
        <v>46167</v>
      </c>
      <c r="D3454" s="34">
        <v>249518</v>
      </c>
      <c r="E3454" s="36" t="str">
        <f>IF(Table3[[#This Row],[Type Received]]=2,"CC",(IF(Table3[[#This Row],[Type Received]]=3,"BILL","ACH")))</f>
        <v>BILL</v>
      </c>
      <c r="F3454" s="35">
        <v>50.45</v>
      </c>
      <c r="G3454" s="14" t="str">
        <f>VLOOKUP(D3454,Table4[],3,FALSE)</f>
        <v>2</v>
      </c>
      <c r="H3454" s="15"/>
      <c r="I3454" s="15"/>
      <c r="J3454" s="15" t="s">
        <v>85</v>
      </c>
      <c r="K3454" s="15">
        <v>818388660</v>
      </c>
      <c r="L3454" s="15" t="s">
        <v>29</v>
      </c>
      <c r="M3454" s="15" t="s">
        <v>29</v>
      </c>
    </row>
    <row r="3455" spans="1:13" x14ac:dyDescent="0.25">
      <c r="A3455" s="23"/>
      <c r="B3455" s="14" t="str">
        <f t="shared" si="169"/>
        <v>Direct Debit (UMB Bank) - Credits</v>
      </c>
      <c r="C3455" s="37">
        <v>46168</v>
      </c>
      <c r="D3455" s="31">
        <v>249524</v>
      </c>
      <c r="E3455" s="33" t="str">
        <f>IF(Table3[[#This Row],[Type Received]]=2,"CC",(IF(Table3[[#This Row],[Type Received]]=3,"BILL","ACH")))</f>
        <v>ACH</v>
      </c>
      <c r="F3455" s="32">
        <v>41.73</v>
      </c>
      <c r="G3455" s="14" t="str">
        <f>VLOOKUP(D3455,Table4[],3,FALSE)</f>
        <v>2</v>
      </c>
      <c r="H3455" s="15">
        <v>7381</v>
      </c>
      <c r="I3455" s="15"/>
      <c r="J3455" s="15"/>
      <c r="K3455" s="15"/>
      <c r="L3455" s="15"/>
      <c r="M3455" s="15" t="s">
        <v>29</v>
      </c>
    </row>
    <row r="3456" spans="1:13" x14ac:dyDescent="0.25">
      <c r="A3456" s="23"/>
      <c r="B3456" s="14" t="str">
        <f t="shared" si="169"/>
        <v>Credit Cards (UMB) - Credits</v>
      </c>
      <c r="C3456" s="38">
        <v>46171</v>
      </c>
      <c r="D3456" s="34">
        <v>249560</v>
      </c>
      <c r="E3456" s="36" t="str">
        <f>IF(Table3[[#This Row],[Type Received]]=2,"CC",(IF(Table3[[#This Row],[Type Received]]=3,"BILL","ACH")))</f>
        <v>CC</v>
      </c>
      <c r="F3456" s="35">
        <v>63.29</v>
      </c>
      <c r="G3456" s="14" t="str">
        <f>VLOOKUP(D3456,Table4[],3,FALSE)</f>
        <v>1</v>
      </c>
      <c r="H3456" s="15"/>
      <c r="I3456" s="15"/>
      <c r="J3456" s="15" t="s">
        <v>226</v>
      </c>
      <c r="K3456" s="15">
        <v>869249791</v>
      </c>
      <c r="L3456" s="15" t="s">
        <v>29</v>
      </c>
      <c r="M3456" s="15" t="s">
        <v>29</v>
      </c>
    </row>
    <row r="3457" spans="1:13" x14ac:dyDescent="0.25">
      <c r="A3457" s="23"/>
      <c r="B3457" s="14" t="str">
        <f t="shared" si="169"/>
        <v>Direct Debit (UMB Bank) - Credits</v>
      </c>
      <c r="C3457" s="37">
        <v>46146</v>
      </c>
      <c r="D3457" s="31">
        <v>249571</v>
      </c>
      <c r="E3457" s="33" t="str">
        <f>IF(Table3[[#This Row],[Type Received]]=2,"CC",(IF(Table3[[#This Row],[Type Received]]=3,"BILL","ACH")))</f>
        <v>ACH</v>
      </c>
      <c r="F3457" s="32">
        <v>42.61</v>
      </c>
      <c r="G3457" s="14" t="str">
        <f>VLOOKUP(D3457,Table4[],3,FALSE)</f>
        <v>1</v>
      </c>
      <c r="H3457" s="15"/>
      <c r="I3457" s="15">
        <v>170453</v>
      </c>
      <c r="J3457" s="15" t="s">
        <v>28</v>
      </c>
      <c r="K3457" s="15">
        <v>556622343</v>
      </c>
      <c r="L3457" s="15" t="s">
        <v>29</v>
      </c>
      <c r="M3457" s="15" t="s">
        <v>29</v>
      </c>
    </row>
    <row r="3458" spans="1:13" x14ac:dyDescent="0.25">
      <c r="A3458" s="23"/>
      <c r="B3458" s="14" t="str">
        <f t="shared" ref="B3458:B3521" si="171">IF(AND(E3458="BILL",F3458&lt;0),"Billing &amp; Direct Debit - Refunds",(IF(AND(E3458="BILL",F3458&gt;0),"Billing - Credits (from TPA)",(IF(AND(E3458="CC",F3458&lt;0),"Credit Cards (UMB) - Refunds",(IF(AND(E3458="CC",F3458&gt;0),"Credit Cards (UMB) - Credits",(IF(AND(E3458="ACH",F3458&gt;0),"Direct Debit (UMB Bank) - Credits","Direct Debit (UMB Bank) - Returned Items")))))))))</f>
        <v>Direct Debit (UMB Bank) - Credits</v>
      </c>
      <c r="C3458" s="38">
        <v>46144</v>
      </c>
      <c r="D3458" s="34">
        <v>249572</v>
      </c>
      <c r="E3458" s="36" t="str">
        <f>IF(Table3[[#This Row],[Type Received]]=2,"CC",(IF(Table3[[#This Row],[Type Received]]=3,"BILL","ACH")))</f>
        <v>ACH</v>
      </c>
      <c r="F3458" s="35">
        <v>42.78</v>
      </c>
      <c r="G3458" s="14" t="str">
        <f>VLOOKUP(D3458,Table4[],3,FALSE)</f>
        <v>2</v>
      </c>
      <c r="H3458" s="15"/>
      <c r="I3458" s="15"/>
      <c r="J3458" s="15" t="s">
        <v>89</v>
      </c>
      <c r="K3458" s="15">
        <v>535431224</v>
      </c>
      <c r="L3458" s="15" t="s">
        <v>29</v>
      </c>
      <c r="M3458" s="15" t="s">
        <v>29</v>
      </c>
    </row>
    <row r="3459" spans="1:13" x14ac:dyDescent="0.25">
      <c r="A3459" s="23"/>
      <c r="B3459" s="14" t="str">
        <f t="shared" si="171"/>
        <v>Direct Debit (UMB Bank) - Credits</v>
      </c>
      <c r="C3459" s="37">
        <v>46144</v>
      </c>
      <c r="D3459" s="31">
        <v>249593</v>
      </c>
      <c r="E3459" s="33" t="str">
        <f>IF(Table3[[#This Row],[Type Received]]=2,"CC",(IF(Table3[[#This Row],[Type Received]]=3,"BILL","ACH")))</f>
        <v>ACH</v>
      </c>
      <c r="F3459" s="32">
        <v>42.7</v>
      </c>
      <c r="G3459" s="14" t="str">
        <f>VLOOKUP(D3459,Table4[],3,FALSE)</f>
        <v>2</v>
      </c>
      <c r="H3459" s="15"/>
      <c r="I3459" s="15"/>
      <c r="J3459" s="15" t="s">
        <v>89</v>
      </c>
      <c r="K3459" s="15">
        <v>535415887</v>
      </c>
      <c r="L3459" s="15" t="s">
        <v>29</v>
      </c>
      <c r="M3459" s="15"/>
    </row>
    <row r="3460" spans="1:13" x14ac:dyDescent="0.25">
      <c r="A3460" s="23"/>
      <c r="B3460" s="14" t="str">
        <f t="shared" si="171"/>
        <v>Billing - Credits (from TPA)</v>
      </c>
      <c r="C3460" s="38">
        <v>46144</v>
      </c>
      <c r="D3460" s="34">
        <v>249597</v>
      </c>
      <c r="E3460" s="36" t="str">
        <f>IF(Table3[[#This Row],[Type Received]]=2,"CC",(IF(Table3[[#This Row],[Type Received]]=3,"BILL","ACH")))</f>
        <v>BILL</v>
      </c>
      <c r="F3460" s="35">
        <v>127.51</v>
      </c>
      <c r="G3460" s="14" t="str">
        <f>VLOOKUP(D3460,Table4[],3,FALSE)</f>
        <v>2</v>
      </c>
      <c r="H3460" s="15"/>
      <c r="I3460" s="15"/>
      <c r="J3460" s="15" t="s">
        <v>89</v>
      </c>
      <c r="K3460" s="15">
        <v>535343789</v>
      </c>
      <c r="L3460" s="15" t="s">
        <v>29</v>
      </c>
      <c r="M3460" s="15" t="s">
        <v>29</v>
      </c>
    </row>
    <row r="3461" spans="1:13" x14ac:dyDescent="0.25">
      <c r="A3461" s="23"/>
      <c r="B3461" s="14" t="str">
        <f t="shared" si="171"/>
        <v>Direct Debit (UMB Bank) - Credits</v>
      </c>
      <c r="C3461" s="37">
        <v>46169</v>
      </c>
      <c r="D3461" s="31">
        <v>249626</v>
      </c>
      <c r="E3461" s="33" t="str">
        <f>IF(Table3[[#This Row],[Type Received]]=2,"CC",(IF(Table3[[#This Row],[Type Received]]=3,"BILL","ACH")))</f>
        <v>ACH</v>
      </c>
      <c r="F3461" s="32">
        <v>64.17</v>
      </c>
      <c r="G3461" s="14" t="str">
        <f>VLOOKUP(D3461,Table4[],3,FALSE)</f>
        <v>2</v>
      </c>
      <c r="H3461" s="15">
        <v>1362</v>
      </c>
      <c r="I3461" s="15"/>
      <c r="J3461" s="15"/>
      <c r="K3461" s="15"/>
      <c r="L3461" s="15"/>
      <c r="M3461" s="15" t="s">
        <v>29</v>
      </c>
    </row>
    <row r="3462" spans="1:13" x14ac:dyDescent="0.25">
      <c r="A3462" s="23"/>
      <c r="B3462" s="14" t="str">
        <f t="shared" si="171"/>
        <v>Billing - Credits (from TPA)</v>
      </c>
      <c r="C3462" s="38">
        <v>46155</v>
      </c>
      <c r="D3462" s="34">
        <v>249653</v>
      </c>
      <c r="E3462" s="36" t="str">
        <f>IF(Table3[[#This Row],[Type Received]]=2,"CC",(IF(Table3[[#This Row],[Type Received]]=3,"BILL","ACH")))</f>
        <v>BILL</v>
      </c>
      <c r="F3462" s="35">
        <v>62.5</v>
      </c>
      <c r="G3462" s="14" t="str">
        <f>VLOOKUP(D3462,Table4[],3,FALSE)</f>
        <v>2</v>
      </c>
      <c r="H3462" s="15"/>
      <c r="I3462" s="15"/>
      <c r="J3462" s="15" t="s">
        <v>90</v>
      </c>
      <c r="K3462" s="15">
        <v>669445293</v>
      </c>
      <c r="L3462" s="15" t="s">
        <v>29</v>
      </c>
      <c r="M3462" s="15"/>
    </row>
    <row r="3463" spans="1:13" x14ac:dyDescent="0.25">
      <c r="A3463" s="23"/>
      <c r="B3463" s="14" t="str">
        <f t="shared" si="171"/>
        <v>Direct Debit (UMB Bank) - Credits</v>
      </c>
      <c r="C3463" s="37">
        <v>46161</v>
      </c>
      <c r="D3463" s="31">
        <v>249658</v>
      </c>
      <c r="E3463" s="33" t="str">
        <f>IF(Table3[[#This Row],[Type Received]]=2,"CC",(IF(Table3[[#This Row],[Type Received]]=3,"BILL","ACH")))</f>
        <v>ACH</v>
      </c>
      <c r="F3463" s="32">
        <v>46.02</v>
      </c>
      <c r="G3463" s="14" t="str">
        <f>VLOOKUP(D3463,Table4[],3,FALSE)</f>
        <v>2</v>
      </c>
      <c r="H3463" s="15">
        <v>921854939</v>
      </c>
      <c r="I3463" s="15"/>
      <c r="J3463" s="15"/>
      <c r="K3463" s="15"/>
      <c r="L3463" s="15"/>
      <c r="M3463" s="15"/>
    </row>
    <row r="3464" spans="1:13" x14ac:dyDescent="0.25">
      <c r="A3464" s="23"/>
      <c r="B3464" s="14" t="str">
        <f t="shared" si="171"/>
        <v>Credit Cards (UMB) - Credits</v>
      </c>
      <c r="C3464" s="38">
        <v>46169</v>
      </c>
      <c r="D3464" s="34">
        <v>249662</v>
      </c>
      <c r="E3464" s="36" t="str">
        <f>IF(Table3[[#This Row],[Type Received]]=2,"CC",(IF(Table3[[#This Row],[Type Received]]=3,"BILL","ACH")))</f>
        <v>CC</v>
      </c>
      <c r="F3464" s="35">
        <v>64.81</v>
      </c>
      <c r="G3464" s="14" t="str">
        <f>VLOOKUP(D3464,Table4[],3,FALSE)</f>
        <v>1</v>
      </c>
      <c r="H3464" s="15"/>
      <c r="I3464" s="15"/>
      <c r="J3464" s="15" t="s">
        <v>117</v>
      </c>
      <c r="K3464" s="15">
        <v>840834281</v>
      </c>
      <c r="L3464" s="15" t="s">
        <v>29</v>
      </c>
      <c r="M3464" s="15"/>
    </row>
    <row r="3465" spans="1:13" x14ac:dyDescent="0.25">
      <c r="A3465" s="23"/>
      <c r="B3465" s="14" t="str">
        <f t="shared" si="171"/>
        <v>Direct Debit (UMB Bank) - Credits</v>
      </c>
      <c r="C3465" s="37">
        <v>46155</v>
      </c>
      <c r="D3465" s="31">
        <v>249681</v>
      </c>
      <c r="E3465" s="33" t="str">
        <f>IF(Table3[[#This Row],[Type Received]]=2,"CC",(IF(Table3[[#This Row],[Type Received]]=3,"BILL","ACH")))</f>
        <v>ACH</v>
      </c>
      <c r="F3465" s="32">
        <v>54.25</v>
      </c>
      <c r="G3465" s="14" t="str">
        <f>VLOOKUP(D3465,Table4[],3,FALSE)</f>
        <v>2</v>
      </c>
      <c r="H3465" s="15"/>
      <c r="I3465" s="15" t="s">
        <v>294</v>
      </c>
      <c r="J3465" s="24" t="s">
        <v>28</v>
      </c>
      <c r="K3465" s="15">
        <v>669496803</v>
      </c>
      <c r="L3465" s="15" t="s">
        <v>29</v>
      </c>
      <c r="M3465" s="15" t="s">
        <v>29</v>
      </c>
    </row>
    <row r="3466" spans="1:13" x14ac:dyDescent="0.25">
      <c r="A3466" s="23"/>
      <c r="B3466" s="14" t="str">
        <f t="shared" si="171"/>
        <v>Direct Debit (UMB Bank) - Credits</v>
      </c>
      <c r="C3466" s="38">
        <v>46167</v>
      </c>
      <c r="D3466" s="34">
        <v>249686</v>
      </c>
      <c r="E3466" s="36" t="str">
        <f>IF(Table3[[#This Row],[Type Received]]=2,"CC",(IF(Table3[[#This Row],[Type Received]]=3,"BILL","ACH")))</f>
        <v>ACH</v>
      </c>
      <c r="F3466" s="35">
        <v>62.5</v>
      </c>
      <c r="G3466" s="14" t="str">
        <f>VLOOKUP(D3466,Table4[],3,FALSE)</f>
        <v>2</v>
      </c>
      <c r="H3466" s="15"/>
      <c r="I3466" s="15"/>
      <c r="J3466" s="15" t="s">
        <v>85</v>
      </c>
      <c r="K3466" s="15">
        <v>818381001</v>
      </c>
      <c r="L3466" s="15" t="s">
        <v>29</v>
      </c>
      <c r="M3466" s="15" t="s">
        <v>29</v>
      </c>
    </row>
    <row r="3467" spans="1:13" x14ac:dyDescent="0.25">
      <c r="A3467" s="23"/>
      <c r="B3467" s="14" t="str">
        <f t="shared" si="171"/>
        <v>Billing - Credits (from TPA)</v>
      </c>
      <c r="C3467" s="37">
        <v>46157</v>
      </c>
      <c r="D3467" s="31">
        <v>249700</v>
      </c>
      <c r="E3467" s="33" t="str">
        <f>IF(Table3[[#This Row],[Type Received]]=2,"CC",(IF(Table3[[#This Row],[Type Received]]=3,"BILL","ACH")))</f>
        <v>BILL</v>
      </c>
      <c r="F3467" s="32">
        <v>51.39</v>
      </c>
      <c r="G3467" s="14" t="str">
        <f>VLOOKUP(D3467,Table4[],3,FALSE)</f>
        <v>1</v>
      </c>
      <c r="H3467" s="15"/>
      <c r="I3467" s="15"/>
      <c r="J3467" s="15" t="s">
        <v>87</v>
      </c>
      <c r="K3467" s="15">
        <v>696822370</v>
      </c>
      <c r="L3467" s="15" t="s">
        <v>29</v>
      </c>
      <c r="M3467" s="15"/>
    </row>
    <row r="3468" spans="1:13" x14ac:dyDescent="0.25">
      <c r="A3468" s="23"/>
      <c r="B3468" s="14" t="str">
        <f t="shared" si="171"/>
        <v>Direct Debit (UMB Bank) - Credits</v>
      </c>
      <c r="C3468" s="38">
        <v>46171</v>
      </c>
      <c r="D3468" s="34">
        <v>249709</v>
      </c>
      <c r="E3468" s="36" t="str">
        <f>IF(Table3[[#This Row],[Type Received]]=2,"CC",(IF(Table3[[#This Row],[Type Received]]=3,"BILL","ACH")))</f>
        <v>ACH</v>
      </c>
      <c r="F3468" s="35">
        <v>178.35</v>
      </c>
      <c r="G3468" s="14" t="str">
        <f>VLOOKUP(D3468,Table4[],3,FALSE)</f>
        <v>2</v>
      </c>
      <c r="H3468" s="15">
        <v>158031965</v>
      </c>
      <c r="I3468" s="15"/>
      <c r="J3468" s="15"/>
      <c r="K3468" s="15"/>
      <c r="L3468" s="15"/>
      <c r="M3468" s="15"/>
    </row>
    <row r="3469" spans="1:13" x14ac:dyDescent="0.25">
      <c r="A3469" s="23"/>
      <c r="B3469" s="14" t="str">
        <f t="shared" si="171"/>
        <v>Direct Debit (UMB Bank) - Credits</v>
      </c>
      <c r="C3469" s="37">
        <v>46155</v>
      </c>
      <c r="D3469" s="31">
        <v>249734</v>
      </c>
      <c r="E3469" s="33" t="str">
        <f>IF(Table3[[#This Row],[Type Received]]=2,"CC",(IF(Table3[[#This Row],[Type Received]]=3,"BILL","ACH")))</f>
        <v>ACH</v>
      </c>
      <c r="F3469" s="32">
        <v>115.96</v>
      </c>
      <c r="G3469" s="14" t="str">
        <f>VLOOKUP(D3469,Table4[],3,FALSE)</f>
        <v>2</v>
      </c>
      <c r="H3469" s="15"/>
      <c r="I3469" s="15"/>
      <c r="J3469" s="15" t="s">
        <v>90</v>
      </c>
      <c r="K3469" s="15">
        <v>669444981</v>
      </c>
      <c r="L3469" s="15" t="s">
        <v>29</v>
      </c>
      <c r="M3469" s="15" t="s">
        <v>29</v>
      </c>
    </row>
    <row r="3470" spans="1:13" x14ac:dyDescent="0.25">
      <c r="A3470" s="23"/>
      <c r="B3470" s="14" t="str">
        <f t="shared" si="171"/>
        <v>Billing - Credits (from TPA)</v>
      </c>
      <c r="C3470" s="38">
        <v>46143</v>
      </c>
      <c r="D3470" s="34">
        <v>249771</v>
      </c>
      <c r="E3470" s="36" t="str">
        <f>IF(Table3[[#This Row],[Type Received]]=2,"CC",(IF(Table3[[#This Row],[Type Received]]=3,"BILL","ACH")))</f>
        <v>BILL</v>
      </c>
      <c r="F3470" s="35">
        <v>53.26</v>
      </c>
      <c r="G3470" s="14" t="str">
        <f>VLOOKUP(D3470,Table4[],3,FALSE)</f>
        <v>2</v>
      </c>
      <c r="H3470" s="15"/>
      <c r="I3470" s="15"/>
      <c r="J3470" s="15" t="s">
        <v>84</v>
      </c>
      <c r="K3470" s="15">
        <v>522238445</v>
      </c>
      <c r="L3470" s="15" t="s">
        <v>29</v>
      </c>
      <c r="M3470" s="15" t="s">
        <v>29</v>
      </c>
    </row>
    <row r="3471" spans="1:13" x14ac:dyDescent="0.25">
      <c r="A3471" s="23"/>
      <c r="B3471" s="14" t="str">
        <f t="shared" si="171"/>
        <v>Credit Cards (UMB) - Credits</v>
      </c>
      <c r="C3471" s="37">
        <v>46164</v>
      </c>
      <c r="D3471" s="31">
        <v>249784</v>
      </c>
      <c r="E3471" s="33" t="str">
        <f>IF(Table3[[#This Row],[Type Received]]=2,"CC",(IF(Table3[[#This Row],[Type Received]]=3,"BILL","ACH")))</f>
        <v>CC</v>
      </c>
      <c r="F3471" s="32">
        <v>99.62</v>
      </c>
      <c r="G3471" s="14" t="str">
        <f>VLOOKUP(D3471,Table4[],3,FALSE)</f>
        <v>2</v>
      </c>
      <c r="H3471" s="15">
        <v>1562</v>
      </c>
      <c r="I3471" s="15"/>
      <c r="J3471" s="15"/>
      <c r="K3471" s="15"/>
      <c r="L3471" s="15"/>
      <c r="M3471" s="15" t="s">
        <v>29</v>
      </c>
    </row>
    <row r="3472" spans="1:13" x14ac:dyDescent="0.25">
      <c r="A3472" s="23"/>
      <c r="B3472" s="14" t="str">
        <f t="shared" si="171"/>
        <v>Direct Debit (UMB Bank) - Credits</v>
      </c>
      <c r="C3472" s="38">
        <v>46144</v>
      </c>
      <c r="D3472" s="34">
        <v>249789</v>
      </c>
      <c r="E3472" s="36" t="str">
        <f>IF(Table3[[#This Row],[Type Received]]=2,"CC",(IF(Table3[[#This Row],[Type Received]]=3,"BILL","ACH")))</f>
        <v>ACH</v>
      </c>
      <c r="F3472" s="35">
        <v>57.55</v>
      </c>
      <c r="G3472" s="14" t="str">
        <f>VLOOKUP(D3472,Table4[],3,FALSE)</f>
        <v>2</v>
      </c>
      <c r="H3472" s="15"/>
      <c r="I3472" s="15">
        <v>53359</v>
      </c>
      <c r="J3472" s="15" t="s">
        <v>28</v>
      </c>
      <c r="K3472" s="15">
        <v>535410016</v>
      </c>
      <c r="L3472" s="15" t="s">
        <v>29</v>
      </c>
      <c r="M3472" s="15" t="s">
        <v>29</v>
      </c>
    </row>
    <row r="3473" spans="1:13" x14ac:dyDescent="0.25">
      <c r="A3473" s="23"/>
      <c r="B3473" s="14" t="str">
        <f t="shared" si="171"/>
        <v>Direct Debit (UMB Bank) - Credits</v>
      </c>
      <c r="C3473" s="37">
        <v>46171</v>
      </c>
      <c r="D3473" s="31">
        <v>249790</v>
      </c>
      <c r="E3473" s="33" t="str">
        <f>IF(Table3[[#This Row],[Type Received]]=2,"CC",(IF(Table3[[#This Row],[Type Received]]=3,"BILL","ACH")))</f>
        <v>ACH</v>
      </c>
      <c r="F3473" s="32">
        <v>51.63</v>
      </c>
      <c r="G3473" s="14" t="str">
        <f>VLOOKUP(D3473,Table4[],3,FALSE)</f>
        <v>2</v>
      </c>
      <c r="H3473" s="15"/>
      <c r="I3473" s="15"/>
      <c r="J3473" s="15" t="s">
        <v>226</v>
      </c>
      <c r="K3473" s="15">
        <v>868138834</v>
      </c>
      <c r="L3473" s="15" t="s">
        <v>29</v>
      </c>
      <c r="M3473" s="15" t="s">
        <v>29</v>
      </c>
    </row>
    <row r="3474" spans="1:13" x14ac:dyDescent="0.25">
      <c r="A3474" s="23"/>
      <c r="B3474" s="14" t="str">
        <f t="shared" si="171"/>
        <v>Direct Debit (UMB Bank) - Credits</v>
      </c>
      <c r="C3474" s="38">
        <v>46167</v>
      </c>
      <c r="D3474" s="34">
        <v>249806</v>
      </c>
      <c r="E3474" s="36" t="str">
        <f>IF(Table3[[#This Row],[Type Received]]=2,"CC",(IF(Table3[[#This Row],[Type Received]]=3,"BILL","ACH")))</f>
        <v>ACH</v>
      </c>
      <c r="F3474" s="35">
        <v>76.47</v>
      </c>
      <c r="G3474" s="14" t="str">
        <f>VLOOKUP(D3474,Table4[],3,FALSE)</f>
        <v>1</v>
      </c>
      <c r="H3474" s="15"/>
      <c r="I3474" s="15"/>
      <c r="J3474" s="15" t="s">
        <v>85</v>
      </c>
      <c r="K3474" s="15">
        <v>818389666</v>
      </c>
      <c r="L3474" s="15" t="s">
        <v>29</v>
      </c>
      <c r="M3474" s="15"/>
    </row>
    <row r="3475" spans="1:13" x14ac:dyDescent="0.25">
      <c r="A3475" s="23"/>
      <c r="B3475" s="14" t="str">
        <f t="shared" si="171"/>
        <v>Direct Debit (UMB Bank) - Credits</v>
      </c>
      <c r="C3475" s="37">
        <v>46160</v>
      </c>
      <c r="D3475" s="31">
        <v>249812</v>
      </c>
      <c r="E3475" s="33" t="str">
        <f>IF(Table3[[#This Row],[Type Received]]=2,"CC",(IF(Table3[[#This Row],[Type Received]]=3,"BILL","ACH")))</f>
        <v>ACH</v>
      </c>
      <c r="F3475" s="32">
        <v>148.30000000000001</v>
      </c>
      <c r="G3475" s="14" t="str">
        <f>VLOOKUP(D3475,Table4[],3,FALSE)</f>
        <v>2</v>
      </c>
      <c r="H3475" s="15"/>
      <c r="I3475" s="15"/>
      <c r="J3475" s="15" t="s">
        <v>192</v>
      </c>
      <c r="K3475" s="15">
        <v>732345809</v>
      </c>
      <c r="L3475" s="15" t="s">
        <v>29</v>
      </c>
      <c r="M3475" s="15" t="s">
        <v>29</v>
      </c>
    </row>
    <row r="3476" spans="1:13" x14ac:dyDescent="0.25">
      <c r="A3476" s="23"/>
      <c r="B3476" s="14" t="str">
        <f t="shared" si="171"/>
        <v>Billing - Credits (from TPA)</v>
      </c>
      <c r="C3476" s="38">
        <v>46144</v>
      </c>
      <c r="D3476" s="34">
        <v>249829</v>
      </c>
      <c r="E3476" s="36" t="str">
        <f>IF(Table3[[#This Row],[Type Received]]=2,"CC",(IF(Table3[[#This Row],[Type Received]]=3,"BILL","ACH")))</f>
        <v>BILL</v>
      </c>
      <c r="F3476" s="35">
        <v>50.95</v>
      </c>
      <c r="G3476" s="14" t="str">
        <f>VLOOKUP(D3476,Table4[],3,FALSE)</f>
        <v>2</v>
      </c>
      <c r="H3476" s="15"/>
      <c r="I3476" s="15"/>
      <c r="J3476" s="15" t="s">
        <v>89</v>
      </c>
      <c r="K3476" s="15">
        <v>535433199</v>
      </c>
      <c r="L3476" s="15" t="s">
        <v>29</v>
      </c>
      <c r="M3476" s="15" t="s">
        <v>29</v>
      </c>
    </row>
    <row r="3477" spans="1:13" x14ac:dyDescent="0.25">
      <c r="A3477" s="23"/>
      <c r="B3477" s="14" t="str">
        <f t="shared" si="171"/>
        <v>Billing - Credits (from TPA)</v>
      </c>
      <c r="C3477" s="37">
        <v>46163</v>
      </c>
      <c r="D3477" s="31">
        <v>249835</v>
      </c>
      <c r="E3477" s="33" t="str">
        <f>IF(Table3[[#This Row],[Type Received]]=2,"CC",(IF(Table3[[#This Row],[Type Received]]=3,"BILL","ACH")))</f>
        <v>BILL</v>
      </c>
      <c r="F3477" s="32">
        <v>47.01</v>
      </c>
      <c r="G3477" s="14" t="str">
        <f>VLOOKUP(D3477,Table4[],3,FALSE)</f>
        <v>1</v>
      </c>
      <c r="H3477" s="15">
        <v>2747</v>
      </c>
      <c r="I3477" s="15"/>
      <c r="J3477" s="15"/>
      <c r="K3477" s="15"/>
      <c r="L3477" s="15"/>
      <c r="M3477" s="15" t="s">
        <v>29</v>
      </c>
    </row>
    <row r="3478" spans="1:13" x14ac:dyDescent="0.25">
      <c r="A3478" s="23"/>
      <c r="B3478" s="14" t="str">
        <f t="shared" si="171"/>
        <v>Direct Debit (UMB Bank) - Credits</v>
      </c>
      <c r="C3478" s="38">
        <v>46143</v>
      </c>
      <c r="D3478" s="34">
        <v>249835</v>
      </c>
      <c r="E3478" s="36" t="str">
        <f>IF(Table3[[#This Row],[Type Received]]=2,"CC",(IF(Table3[[#This Row],[Type Received]]=3,"BILL","ACH")))</f>
        <v>ACH</v>
      </c>
      <c r="F3478" s="35">
        <v>47.01</v>
      </c>
      <c r="G3478" s="14" t="str">
        <f>VLOOKUP(D3478,Table4[],3,FALSE)</f>
        <v>1</v>
      </c>
      <c r="H3478" s="15">
        <v>2746</v>
      </c>
      <c r="I3478" s="15"/>
      <c r="J3478" s="15"/>
      <c r="K3478" s="15"/>
      <c r="L3478" s="15"/>
      <c r="M3478" s="15" t="s">
        <v>29</v>
      </c>
    </row>
    <row r="3479" spans="1:13" x14ac:dyDescent="0.25">
      <c r="A3479" s="23"/>
      <c r="B3479" s="14" t="str">
        <f t="shared" si="171"/>
        <v>Billing - Credits (from TPA)</v>
      </c>
      <c r="C3479" s="37">
        <v>46144</v>
      </c>
      <c r="D3479" s="31">
        <v>249873</v>
      </c>
      <c r="E3479" s="33" t="str">
        <f>IF(Table3[[#This Row],[Type Received]]=2,"CC",(IF(Table3[[#This Row],[Type Received]]=3,"BILL","ACH")))</f>
        <v>BILL</v>
      </c>
      <c r="F3479" s="32">
        <v>124.87</v>
      </c>
      <c r="G3479" s="14" t="str">
        <f>VLOOKUP(D3479,Table4[],3,FALSE)</f>
        <v>2</v>
      </c>
      <c r="H3479" s="15"/>
      <c r="I3479" s="15"/>
      <c r="J3479" s="15" t="s">
        <v>89</v>
      </c>
      <c r="K3479" s="15">
        <v>535435128</v>
      </c>
      <c r="L3479" s="15" t="s">
        <v>29</v>
      </c>
      <c r="M3479" s="15" t="s">
        <v>29</v>
      </c>
    </row>
    <row r="3480" spans="1:13" x14ac:dyDescent="0.25">
      <c r="A3480" s="23"/>
      <c r="B3480" s="14" t="str">
        <f t="shared" si="171"/>
        <v>Direct Debit (UMB Bank) - Credits</v>
      </c>
      <c r="C3480" s="38">
        <v>46148</v>
      </c>
      <c r="D3480" s="34">
        <v>249897</v>
      </c>
      <c r="E3480" s="36" t="str">
        <f>IF(Table3[[#This Row],[Type Received]]=2,"CC",(IF(Table3[[#This Row],[Type Received]]=3,"BILL","ACH")))</f>
        <v>ACH</v>
      </c>
      <c r="F3480" s="35">
        <v>125.83</v>
      </c>
      <c r="G3480" s="14" t="str">
        <f>VLOOKUP(D3480,Table4[],3,FALSE)</f>
        <v>1</v>
      </c>
      <c r="H3480" s="15">
        <v>3312</v>
      </c>
      <c r="I3480" s="15"/>
      <c r="J3480" s="15"/>
      <c r="K3480" s="15"/>
      <c r="L3480" s="15"/>
      <c r="M3480" s="15"/>
    </row>
    <row r="3481" spans="1:13" x14ac:dyDescent="0.25">
      <c r="A3481" s="23"/>
      <c r="B3481" s="14" t="str">
        <f t="shared" si="171"/>
        <v>Direct Debit (UMB Bank) - Credits</v>
      </c>
      <c r="C3481" s="37">
        <v>46157</v>
      </c>
      <c r="D3481" s="31">
        <v>249918</v>
      </c>
      <c r="E3481" s="33" t="str">
        <f>IF(Table3[[#This Row],[Type Received]]=2,"CC",(IF(Table3[[#This Row],[Type Received]]=3,"BILL","ACH")))</f>
        <v>ACH</v>
      </c>
      <c r="F3481" s="32">
        <v>48.53</v>
      </c>
      <c r="G3481" s="14" t="str">
        <f>VLOOKUP(D3481,Table4[],3,FALSE)</f>
        <v>1</v>
      </c>
      <c r="H3481" s="15"/>
      <c r="I3481" s="15"/>
      <c r="J3481" s="15" t="s">
        <v>87</v>
      </c>
      <c r="K3481" s="15">
        <v>696812722</v>
      </c>
      <c r="L3481" s="15" t="s">
        <v>29</v>
      </c>
      <c r="M3481" s="15"/>
    </row>
    <row r="3482" spans="1:13" x14ac:dyDescent="0.25">
      <c r="A3482" s="23"/>
      <c r="B3482" s="14" t="str">
        <f t="shared" si="171"/>
        <v>Direct Debit (UMB Bank) - Credits</v>
      </c>
      <c r="C3482" s="38">
        <v>46157</v>
      </c>
      <c r="D3482" s="34">
        <v>249927</v>
      </c>
      <c r="E3482" s="36" t="str">
        <f>IF(Table3[[#This Row],[Type Received]]=2,"CC",(IF(Table3[[#This Row],[Type Received]]=3,"BILL","ACH")))</f>
        <v>ACH</v>
      </c>
      <c r="F3482" s="35">
        <v>126.52</v>
      </c>
      <c r="G3482" s="14" t="str">
        <f>VLOOKUP(D3482,Table4[],3,FALSE)</f>
        <v>2</v>
      </c>
      <c r="H3482" s="15"/>
      <c r="I3482" s="15"/>
      <c r="J3482" s="15" t="s">
        <v>87</v>
      </c>
      <c r="K3482" s="15">
        <v>696802023</v>
      </c>
      <c r="L3482" s="15" t="s">
        <v>29</v>
      </c>
      <c r="M3482" s="15" t="s">
        <v>29</v>
      </c>
    </row>
    <row r="3483" spans="1:13" x14ac:dyDescent="0.25">
      <c r="A3483" s="23"/>
      <c r="B3483" s="14" t="str">
        <f t="shared" si="171"/>
        <v>Direct Debit (UMB Bank) - Credits</v>
      </c>
      <c r="C3483" s="37">
        <v>46157</v>
      </c>
      <c r="D3483" s="31">
        <v>249945</v>
      </c>
      <c r="E3483" s="33" t="str">
        <f>IF(Table3[[#This Row],[Type Received]]=2,"CC",(IF(Table3[[#This Row],[Type Received]]=3,"BILL","ACH")))</f>
        <v>ACH</v>
      </c>
      <c r="F3483" s="32">
        <v>101.77</v>
      </c>
      <c r="G3483" s="14" t="str">
        <f>VLOOKUP(D3483,Table4[],3,FALSE)</f>
        <v>2</v>
      </c>
      <c r="H3483" s="15"/>
      <c r="I3483" s="15"/>
      <c r="J3483" s="24" t="s">
        <v>87</v>
      </c>
      <c r="K3483" s="15">
        <v>696824375</v>
      </c>
      <c r="L3483" s="15" t="s">
        <v>29</v>
      </c>
      <c r="M3483" s="15" t="s">
        <v>29</v>
      </c>
    </row>
    <row r="3484" spans="1:13" x14ac:dyDescent="0.25">
      <c r="A3484" s="23"/>
      <c r="B3484" s="14" t="str">
        <f t="shared" si="171"/>
        <v>Direct Debit (UMB Bank) - Credits</v>
      </c>
      <c r="C3484" s="38">
        <v>46167</v>
      </c>
      <c r="D3484" s="34">
        <v>249978</v>
      </c>
      <c r="E3484" s="36" t="str">
        <f>IF(Table3[[#This Row],[Type Received]]=2,"CC",(IF(Table3[[#This Row],[Type Received]]=3,"BILL","ACH")))</f>
        <v>ACH</v>
      </c>
      <c r="F3484" s="35">
        <v>84.83</v>
      </c>
      <c r="G3484" s="14" t="str">
        <f>VLOOKUP(D3484,Table4[],3,FALSE)</f>
        <v>1</v>
      </c>
      <c r="H3484" s="15"/>
      <c r="I3484" s="15"/>
      <c r="J3484" s="15" t="s">
        <v>85</v>
      </c>
      <c r="K3484" s="15">
        <v>818394540</v>
      </c>
      <c r="L3484" s="15" t="s">
        <v>29</v>
      </c>
      <c r="M3484" s="15" t="s">
        <v>29</v>
      </c>
    </row>
    <row r="3485" spans="1:13" x14ac:dyDescent="0.25">
      <c r="A3485" s="23"/>
      <c r="B3485" s="14" t="str">
        <f t="shared" si="171"/>
        <v>Credit Cards (UMB) - Credits</v>
      </c>
      <c r="C3485" s="37">
        <v>46167</v>
      </c>
      <c r="D3485" s="31">
        <v>249982</v>
      </c>
      <c r="E3485" s="33" t="str">
        <f>IF(Table3[[#This Row],[Type Received]]=2,"CC",(IF(Table3[[#This Row],[Type Received]]=3,"BILL","ACH")))</f>
        <v>CC</v>
      </c>
      <c r="F3485" s="32">
        <v>33.130000000000003</v>
      </c>
      <c r="G3485" s="14" t="str">
        <f>VLOOKUP(D3485,Table4[],3,FALSE)</f>
        <v>1</v>
      </c>
      <c r="H3485" s="15"/>
      <c r="I3485" s="15"/>
      <c r="J3485" s="24" t="s">
        <v>85</v>
      </c>
      <c r="K3485" s="15">
        <v>818401273</v>
      </c>
      <c r="L3485" s="15" t="s">
        <v>29</v>
      </c>
      <c r="M3485" s="15" t="s">
        <v>29</v>
      </c>
    </row>
    <row r="3486" spans="1:13" x14ac:dyDescent="0.25">
      <c r="A3486" s="23"/>
      <c r="B3486" s="14" t="str">
        <f t="shared" si="171"/>
        <v>Billing - Credits (from TPA)</v>
      </c>
      <c r="C3486" s="38">
        <v>46144</v>
      </c>
      <c r="D3486" s="34">
        <v>249983</v>
      </c>
      <c r="E3486" s="36" t="str">
        <f>IF(Table3[[#This Row],[Type Received]]=2,"CC",(IF(Table3[[#This Row],[Type Received]]=3,"BILL","ACH")))</f>
        <v>BILL</v>
      </c>
      <c r="F3486" s="35">
        <v>43.76</v>
      </c>
      <c r="G3486" s="14" t="str">
        <f>VLOOKUP(D3486,Table4[],3,FALSE)</f>
        <v>1</v>
      </c>
      <c r="H3486" s="15"/>
      <c r="I3486" s="15">
        <v>460252</v>
      </c>
      <c r="J3486" s="24" t="s">
        <v>28</v>
      </c>
      <c r="K3486" s="15">
        <v>535436116</v>
      </c>
      <c r="L3486" s="15" t="s">
        <v>29</v>
      </c>
      <c r="M3486" s="15" t="s">
        <v>29</v>
      </c>
    </row>
    <row r="3487" spans="1:13" x14ac:dyDescent="0.25">
      <c r="A3487" s="23"/>
      <c r="B3487" s="14" t="str">
        <f t="shared" si="171"/>
        <v>Direct Debit (UMB Bank) - Credits</v>
      </c>
      <c r="C3487" s="37">
        <v>46164</v>
      </c>
      <c r="D3487" s="31">
        <v>249996</v>
      </c>
      <c r="E3487" s="33" t="str">
        <f>IF(Table3[[#This Row],[Type Received]]=2,"CC",(IF(Table3[[#This Row],[Type Received]]=3,"BILL","ACH")))</f>
        <v>ACH</v>
      </c>
      <c r="F3487" s="32">
        <v>91.23</v>
      </c>
      <c r="G3487" s="14" t="str">
        <f>VLOOKUP(D3487,Table4[],3,FALSE)</f>
        <v>2</v>
      </c>
      <c r="H3487" s="15">
        <v>3485</v>
      </c>
      <c r="I3487" s="15"/>
      <c r="J3487" s="15"/>
      <c r="K3487" s="15"/>
      <c r="L3487" s="15"/>
      <c r="M3487" s="15" t="s">
        <v>29</v>
      </c>
    </row>
    <row r="3488" spans="1:13" x14ac:dyDescent="0.25">
      <c r="A3488" s="23"/>
      <c r="B3488" s="14" t="str">
        <f t="shared" si="171"/>
        <v>Direct Debit (UMB Bank) - Credits</v>
      </c>
      <c r="C3488" s="38">
        <v>46144</v>
      </c>
      <c r="D3488" s="34">
        <v>249999</v>
      </c>
      <c r="E3488" s="36" t="str">
        <f>IF(Table3[[#This Row],[Type Received]]=2,"CC",(IF(Table3[[#This Row],[Type Received]]=3,"BILL","ACH")))</f>
        <v>ACH</v>
      </c>
      <c r="F3488" s="35">
        <v>59.97</v>
      </c>
      <c r="G3488" s="14" t="str">
        <f>VLOOKUP(D3488,Table4[],3,FALSE)</f>
        <v>1</v>
      </c>
      <c r="H3488" s="15"/>
      <c r="I3488" s="15"/>
      <c r="J3488" s="15" t="s">
        <v>89</v>
      </c>
      <c r="K3488" s="15">
        <v>535423579</v>
      </c>
      <c r="L3488" s="15" t="s">
        <v>29</v>
      </c>
      <c r="M3488" s="15" t="s">
        <v>29</v>
      </c>
    </row>
    <row r="3489" spans="1:13" x14ac:dyDescent="0.25">
      <c r="A3489" s="23"/>
      <c r="B3489" s="14" t="str">
        <f t="shared" si="171"/>
        <v>Direct Debit (UMB Bank) - Credits</v>
      </c>
      <c r="C3489" s="37">
        <v>46144</v>
      </c>
      <c r="D3489" s="31">
        <v>250005</v>
      </c>
      <c r="E3489" s="33" t="str">
        <f>IF(Table3[[#This Row],[Type Received]]=2,"CC",(IF(Table3[[#This Row],[Type Received]]=3,"BILL","ACH")))</f>
        <v>ACH</v>
      </c>
      <c r="F3489" s="32">
        <v>96.27</v>
      </c>
      <c r="G3489" s="14" t="str">
        <f>VLOOKUP(D3489,Table4[],3,FALSE)</f>
        <v>1</v>
      </c>
      <c r="H3489" s="15"/>
      <c r="I3489" s="15"/>
      <c r="J3489" s="15" t="s">
        <v>89</v>
      </c>
      <c r="K3489" s="15">
        <v>535433233</v>
      </c>
      <c r="L3489" s="15" t="s">
        <v>29</v>
      </c>
      <c r="M3489" s="15" t="s">
        <v>29</v>
      </c>
    </row>
    <row r="3490" spans="1:13" x14ac:dyDescent="0.25">
      <c r="A3490" s="23"/>
      <c r="B3490" s="14" t="str">
        <f t="shared" si="171"/>
        <v>Billing - Credits (from TPA)</v>
      </c>
      <c r="C3490" s="38">
        <v>46144</v>
      </c>
      <c r="D3490" s="34">
        <v>250017</v>
      </c>
      <c r="E3490" s="36" t="str">
        <f>IF(Table3[[#This Row],[Type Received]]=2,"CC",(IF(Table3[[#This Row],[Type Received]]=3,"BILL","ACH")))</f>
        <v>BILL</v>
      </c>
      <c r="F3490" s="35">
        <v>41.93</v>
      </c>
      <c r="G3490" s="14" t="str">
        <f>VLOOKUP(D3490,Table4[],3,FALSE)</f>
        <v>1</v>
      </c>
      <c r="H3490" s="15"/>
      <c r="I3490" s="15"/>
      <c r="J3490" s="15" t="s">
        <v>89</v>
      </c>
      <c r="K3490" s="15">
        <v>535412980</v>
      </c>
      <c r="L3490" s="15" t="s">
        <v>29</v>
      </c>
      <c r="M3490" s="15" t="s">
        <v>29</v>
      </c>
    </row>
    <row r="3491" spans="1:13" x14ac:dyDescent="0.25">
      <c r="A3491" s="23"/>
      <c r="B3491" s="14" t="str">
        <f t="shared" si="171"/>
        <v>Direct Debit (UMB Bank) - Credits</v>
      </c>
      <c r="C3491" s="37">
        <v>46146</v>
      </c>
      <c r="D3491" s="31">
        <v>250030</v>
      </c>
      <c r="E3491" s="33" t="str">
        <f>IF(Table3[[#This Row],[Type Received]]=2,"CC",(IF(Table3[[#This Row],[Type Received]]=3,"BILL","ACH")))</f>
        <v>ACH</v>
      </c>
      <c r="F3491" s="32">
        <v>61.2</v>
      </c>
      <c r="G3491" s="14" t="str">
        <f>VLOOKUP(D3491,Table4[],3,FALSE)</f>
        <v>2</v>
      </c>
      <c r="H3491" s="15">
        <v>202</v>
      </c>
      <c r="I3491" s="15"/>
      <c r="J3491" s="15"/>
      <c r="K3491" s="15"/>
      <c r="L3491" s="15"/>
      <c r="M3491" s="15"/>
    </row>
    <row r="3492" spans="1:13" x14ac:dyDescent="0.25">
      <c r="A3492" s="23"/>
      <c r="B3492" s="14" t="str">
        <f t="shared" si="171"/>
        <v>Billing - Credits (from TPA)</v>
      </c>
      <c r="C3492" s="38">
        <v>46167</v>
      </c>
      <c r="D3492" s="34">
        <v>250065</v>
      </c>
      <c r="E3492" s="36" t="str">
        <f>IF(Table3[[#This Row],[Type Received]]=2,"CC",(IF(Table3[[#This Row],[Type Received]]=3,"BILL","ACH")))</f>
        <v>BILL</v>
      </c>
      <c r="F3492" s="35">
        <v>54.25</v>
      </c>
      <c r="G3492" s="14" t="str">
        <f>VLOOKUP(D3492,Table4[],3,FALSE)</f>
        <v>1</v>
      </c>
      <c r="H3492" s="15"/>
      <c r="I3492" s="15"/>
      <c r="J3492" s="15" t="s">
        <v>85</v>
      </c>
      <c r="K3492" s="15">
        <v>818400296</v>
      </c>
      <c r="L3492" s="15" t="s">
        <v>29</v>
      </c>
      <c r="M3492" s="15"/>
    </row>
    <row r="3493" spans="1:13" x14ac:dyDescent="0.25">
      <c r="A3493" s="23"/>
      <c r="B3493" s="14" t="str">
        <f t="shared" si="171"/>
        <v>Direct Debit (UMB Bank) - Credits</v>
      </c>
      <c r="C3493" s="37">
        <v>46146</v>
      </c>
      <c r="D3493" s="31">
        <v>250069</v>
      </c>
      <c r="E3493" s="33" t="str">
        <f>IF(Table3[[#This Row],[Type Received]]=2,"CC",(IF(Table3[[#This Row],[Type Received]]=3,"BILL","ACH")))</f>
        <v>ACH</v>
      </c>
      <c r="F3493" s="32">
        <v>55.15</v>
      </c>
      <c r="G3493" s="14" t="str">
        <f>VLOOKUP(D3493,Table4[],3,FALSE)</f>
        <v>1</v>
      </c>
      <c r="H3493" s="15">
        <v>10093</v>
      </c>
      <c r="I3493" s="15"/>
      <c r="J3493" s="15"/>
      <c r="K3493" s="15"/>
      <c r="L3493" s="15"/>
      <c r="M3493" s="15" t="s">
        <v>29</v>
      </c>
    </row>
    <row r="3494" spans="1:13" x14ac:dyDescent="0.25">
      <c r="A3494" s="23"/>
      <c r="B3494" s="14" t="str">
        <f t="shared" si="171"/>
        <v>Direct Debit (UMB Bank) - Credits</v>
      </c>
      <c r="C3494" s="38">
        <v>46167</v>
      </c>
      <c r="D3494" s="34">
        <v>250080</v>
      </c>
      <c r="E3494" s="36" t="str">
        <f>IF(Table3[[#This Row],[Type Received]]=2,"CC",(IF(Table3[[#This Row],[Type Received]]=3,"BILL","ACH")))</f>
        <v>ACH</v>
      </c>
      <c r="F3494" s="35">
        <v>66.349999999999994</v>
      </c>
      <c r="G3494" s="14" t="str">
        <f>VLOOKUP(D3494,Table4[],3,FALSE)</f>
        <v>1</v>
      </c>
      <c r="H3494" s="15"/>
      <c r="I3494" s="15"/>
      <c r="J3494" s="15" t="s">
        <v>85</v>
      </c>
      <c r="K3494" s="15">
        <v>818381031</v>
      </c>
      <c r="L3494" s="15" t="s">
        <v>29</v>
      </c>
      <c r="M3494" s="15" t="s">
        <v>29</v>
      </c>
    </row>
    <row r="3495" spans="1:13" x14ac:dyDescent="0.25">
      <c r="A3495" s="23"/>
      <c r="B3495" s="14" t="str">
        <f t="shared" si="171"/>
        <v>Billing - Credits (from TPA)</v>
      </c>
      <c r="C3495" s="37">
        <v>46157</v>
      </c>
      <c r="D3495" s="31">
        <v>250102</v>
      </c>
      <c r="E3495" s="33" t="str">
        <f>IF(Table3[[#This Row],[Type Received]]=2,"CC",(IF(Table3[[#This Row],[Type Received]]=3,"BILL","ACH")))</f>
        <v>BILL</v>
      </c>
      <c r="F3495" s="32">
        <v>161.83000000000001</v>
      </c>
      <c r="G3495" s="14" t="str">
        <f>VLOOKUP(D3495,Table4[],3,FALSE)</f>
        <v>2</v>
      </c>
      <c r="H3495" s="15"/>
      <c r="I3495" s="15"/>
      <c r="J3495" s="15" t="s">
        <v>87</v>
      </c>
      <c r="K3495" s="15">
        <v>696831127</v>
      </c>
      <c r="L3495" s="15" t="s">
        <v>29</v>
      </c>
      <c r="M3495" s="15" t="s">
        <v>29</v>
      </c>
    </row>
    <row r="3496" spans="1:13" x14ac:dyDescent="0.25">
      <c r="A3496" s="23"/>
      <c r="B3496" s="14" t="str">
        <f t="shared" si="171"/>
        <v>Credit Cards (UMB) - Credits</v>
      </c>
      <c r="C3496" s="38">
        <v>46154</v>
      </c>
      <c r="D3496" s="34">
        <v>250111</v>
      </c>
      <c r="E3496" s="36" t="str">
        <f>IF(Table3[[#This Row],[Type Received]]=2,"CC",(IF(Table3[[#This Row],[Type Received]]=3,"BILL","ACH")))</f>
        <v>CC</v>
      </c>
      <c r="F3496" s="35">
        <v>39.53</v>
      </c>
      <c r="G3496" s="14" t="str">
        <f>VLOOKUP(D3496,Table4[],3,FALSE)</f>
        <v>1</v>
      </c>
      <c r="H3496" s="15">
        <v>9114</v>
      </c>
      <c r="I3496" s="15"/>
      <c r="J3496" s="15"/>
      <c r="K3496" s="15"/>
      <c r="L3496" s="15"/>
      <c r="M3496" s="15" t="s">
        <v>29</v>
      </c>
    </row>
    <row r="3497" spans="1:13" x14ac:dyDescent="0.25">
      <c r="A3497" s="23"/>
      <c r="B3497" s="14" t="str">
        <f t="shared" si="171"/>
        <v>Direct Debit (UMB Bank) - Credits</v>
      </c>
      <c r="C3497" s="37">
        <v>46143</v>
      </c>
      <c r="D3497" s="31">
        <v>250112</v>
      </c>
      <c r="E3497" s="33" t="str">
        <f>IF(Table3[[#This Row],[Type Received]]=2,"CC",(IF(Table3[[#This Row],[Type Received]]=3,"BILL","ACH")))</f>
        <v>ACH</v>
      </c>
      <c r="F3497" s="32">
        <v>111.69</v>
      </c>
      <c r="G3497" s="14" t="str">
        <f>VLOOKUP(D3497,Table4[],3,FALSE)</f>
        <v>1</v>
      </c>
      <c r="H3497" s="15"/>
      <c r="I3497" s="15">
        <v>32072</v>
      </c>
      <c r="J3497" s="15" t="s">
        <v>28</v>
      </c>
      <c r="K3497" s="15">
        <v>522507870</v>
      </c>
      <c r="L3497" s="15" t="s">
        <v>29</v>
      </c>
      <c r="M3497" s="15"/>
    </row>
    <row r="3498" spans="1:13" x14ac:dyDescent="0.25">
      <c r="A3498" s="23"/>
      <c r="B3498" s="14" t="str">
        <f t="shared" si="171"/>
        <v>Direct Debit (UMB Bank) - Credits</v>
      </c>
      <c r="C3498" s="38">
        <v>46157</v>
      </c>
      <c r="D3498" s="34">
        <v>250123</v>
      </c>
      <c r="E3498" s="36" t="str">
        <f>IF(Table3[[#This Row],[Type Received]]=2,"CC",(IF(Table3[[#This Row],[Type Received]]=3,"BILL","ACH")))</f>
        <v>ACH</v>
      </c>
      <c r="F3498" s="35">
        <v>122.89</v>
      </c>
      <c r="G3498" s="14" t="str">
        <f>VLOOKUP(D3498,Table4[],3,FALSE)</f>
        <v>2</v>
      </c>
      <c r="H3498" s="15"/>
      <c r="I3498" s="15"/>
      <c r="J3498" s="15" t="s">
        <v>87</v>
      </c>
      <c r="K3498" s="15">
        <v>696829304</v>
      </c>
      <c r="L3498" s="15" t="s">
        <v>29</v>
      </c>
      <c r="M3498" s="15" t="s">
        <v>29</v>
      </c>
    </row>
    <row r="3499" spans="1:13" x14ac:dyDescent="0.25">
      <c r="A3499" s="23"/>
      <c r="B3499" s="14" t="str">
        <f t="shared" si="171"/>
        <v>Direct Debit (UMB Bank) - Credits</v>
      </c>
      <c r="C3499" s="37">
        <v>46144</v>
      </c>
      <c r="D3499" s="31">
        <v>250151</v>
      </c>
      <c r="E3499" s="33" t="str">
        <f>IF(Table3[[#This Row],[Type Received]]=2,"CC",(IF(Table3[[#This Row],[Type Received]]=3,"BILL","ACH")))</f>
        <v>ACH</v>
      </c>
      <c r="F3499" s="32">
        <v>33.549999999999997</v>
      </c>
      <c r="G3499" s="14" t="str">
        <f>VLOOKUP(D3499,Table4[],3,FALSE)</f>
        <v>2</v>
      </c>
      <c r="H3499" s="15"/>
      <c r="I3499" s="15"/>
      <c r="J3499" s="15" t="s">
        <v>89</v>
      </c>
      <c r="K3499" s="15">
        <v>535426518</v>
      </c>
      <c r="L3499" s="15" t="s">
        <v>29</v>
      </c>
      <c r="M3499" s="15" t="s">
        <v>29</v>
      </c>
    </row>
    <row r="3500" spans="1:13" x14ac:dyDescent="0.25">
      <c r="A3500" s="23"/>
      <c r="B3500" s="14" t="str">
        <f t="shared" si="171"/>
        <v>Direct Debit (UMB Bank) - Credits</v>
      </c>
      <c r="C3500" s="38">
        <v>46144</v>
      </c>
      <c r="D3500" s="34">
        <v>250161</v>
      </c>
      <c r="E3500" s="36" t="str">
        <f>IF(Table3[[#This Row],[Type Received]]=2,"CC",(IF(Table3[[#This Row],[Type Received]]=3,"BILL","ACH")))</f>
        <v>ACH</v>
      </c>
      <c r="F3500" s="35">
        <v>36.76</v>
      </c>
      <c r="G3500" s="14" t="str">
        <f>VLOOKUP(D3500,Table4[],3,FALSE)</f>
        <v>2</v>
      </c>
      <c r="H3500" s="15"/>
      <c r="I3500" s="15"/>
      <c r="J3500" s="24" t="s">
        <v>89</v>
      </c>
      <c r="K3500" s="15">
        <v>535428512</v>
      </c>
      <c r="L3500" s="15" t="s">
        <v>29</v>
      </c>
      <c r="M3500" s="15" t="s">
        <v>29</v>
      </c>
    </row>
    <row r="3501" spans="1:13" x14ac:dyDescent="0.25">
      <c r="A3501" s="23"/>
      <c r="B3501" s="14" t="str">
        <f t="shared" si="171"/>
        <v>Billing - Credits (from TPA)</v>
      </c>
      <c r="C3501" s="37">
        <v>46157</v>
      </c>
      <c r="D3501" s="31">
        <v>250179</v>
      </c>
      <c r="E3501" s="33" t="str">
        <f>IF(Table3[[#This Row],[Type Received]]=2,"CC",(IF(Table3[[#This Row],[Type Received]]=3,"BILL","ACH")))</f>
        <v>BILL</v>
      </c>
      <c r="F3501" s="32">
        <v>132.13</v>
      </c>
      <c r="G3501" s="14" t="str">
        <f>VLOOKUP(D3501,Table4[],3,FALSE)</f>
        <v>2</v>
      </c>
      <c r="H3501" s="15"/>
      <c r="I3501" s="15"/>
      <c r="J3501" s="15" t="s">
        <v>87</v>
      </c>
      <c r="K3501" s="15">
        <v>696807084</v>
      </c>
      <c r="L3501" s="15" t="s">
        <v>29</v>
      </c>
      <c r="M3501" s="15"/>
    </row>
    <row r="3502" spans="1:13" x14ac:dyDescent="0.25">
      <c r="A3502" s="23"/>
      <c r="B3502" s="14" t="str">
        <f t="shared" si="171"/>
        <v>Credit Cards (UMB) - Credits</v>
      </c>
      <c r="C3502" s="38">
        <v>46164</v>
      </c>
      <c r="D3502" s="34">
        <v>250183</v>
      </c>
      <c r="E3502" s="36" t="str">
        <f>IF(Table3[[#This Row],[Type Received]]=2,"CC",(IF(Table3[[#This Row],[Type Received]]=3,"BILL","ACH")))</f>
        <v>CC</v>
      </c>
      <c r="F3502" s="35">
        <v>268.72000000000003</v>
      </c>
      <c r="G3502" s="14" t="str">
        <f>VLOOKUP(D3502,Table4[],3,FALSE)</f>
        <v>2</v>
      </c>
      <c r="H3502" s="15">
        <v>6547</v>
      </c>
      <c r="I3502" s="15"/>
      <c r="J3502" s="15"/>
      <c r="K3502" s="15"/>
      <c r="L3502" s="15"/>
      <c r="M3502" s="15"/>
    </row>
    <row r="3503" spans="1:13" x14ac:dyDescent="0.25">
      <c r="A3503" s="23"/>
      <c r="B3503" s="14" t="str">
        <f t="shared" si="171"/>
        <v>Direct Debit (UMB Bank) - Credits</v>
      </c>
      <c r="C3503" s="37">
        <v>46144</v>
      </c>
      <c r="D3503" s="31">
        <v>250185</v>
      </c>
      <c r="E3503" s="33" t="str">
        <f>IF(Table3[[#This Row],[Type Received]]=2,"CC",(IF(Table3[[#This Row],[Type Received]]=3,"BILL","ACH")))</f>
        <v>ACH</v>
      </c>
      <c r="F3503" s="32">
        <v>40.39</v>
      </c>
      <c r="G3503" s="14" t="str">
        <f>VLOOKUP(D3503,Table4[],3,FALSE)</f>
        <v>2</v>
      </c>
      <c r="H3503" s="15"/>
      <c r="I3503" s="15" t="s">
        <v>295</v>
      </c>
      <c r="J3503" s="15" t="s">
        <v>28</v>
      </c>
      <c r="K3503" s="15">
        <v>535421735</v>
      </c>
      <c r="L3503" s="15" t="s">
        <v>29</v>
      </c>
      <c r="M3503" s="15" t="s">
        <v>29</v>
      </c>
    </row>
    <row r="3504" spans="1:13" x14ac:dyDescent="0.25">
      <c r="A3504" s="23"/>
      <c r="B3504" s="14" t="str">
        <f t="shared" si="171"/>
        <v>Billing - Credits (from TPA)</v>
      </c>
      <c r="C3504" s="38">
        <v>46157</v>
      </c>
      <c r="D3504" s="34">
        <v>250193</v>
      </c>
      <c r="E3504" s="36" t="str">
        <f>IF(Table3[[#This Row],[Type Received]]=2,"CC",(IF(Table3[[#This Row],[Type Received]]=3,"BILL","ACH")))</f>
        <v>BILL</v>
      </c>
      <c r="F3504" s="35">
        <v>65.14</v>
      </c>
      <c r="G3504" s="14" t="str">
        <f>VLOOKUP(D3504,Table4[],3,FALSE)</f>
        <v>2</v>
      </c>
      <c r="H3504" s="15"/>
      <c r="I3504" s="15"/>
      <c r="J3504" s="15" t="s">
        <v>87</v>
      </c>
      <c r="K3504" s="15">
        <v>696832104</v>
      </c>
      <c r="L3504" s="15" t="s">
        <v>29</v>
      </c>
      <c r="M3504" s="15" t="s">
        <v>29</v>
      </c>
    </row>
    <row r="3505" spans="1:13" x14ac:dyDescent="0.25">
      <c r="A3505" s="23"/>
      <c r="B3505" s="14" t="str">
        <f t="shared" si="171"/>
        <v>Billing - Credits (from TPA)</v>
      </c>
      <c r="C3505" s="37">
        <v>46171</v>
      </c>
      <c r="D3505" s="31">
        <v>250207</v>
      </c>
      <c r="E3505" s="33" t="str">
        <f>IF(Table3[[#This Row],[Type Received]]=2,"CC",(IF(Table3[[#This Row],[Type Received]]=3,"BILL","ACH")))</f>
        <v>BILL</v>
      </c>
      <c r="F3505" s="32">
        <v>70.11</v>
      </c>
      <c r="G3505" s="14" t="str">
        <f>VLOOKUP(D3505,Table4[],3,FALSE)</f>
        <v>2</v>
      </c>
      <c r="H3505" s="15">
        <v>4878</v>
      </c>
      <c r="I3505" s="15"/>
      <c r="J3505" s="15"/>
      <c r="K3505" s="15"/>
      <c r="L3505" s="15"/>
      <c r="M3505" s="15"/>
    </row>
    <row r="3506" spans="1:13" x14ac:dyDescent="0.25">
      <c r="A3506" s="23"/>
      <c r="B3506" s="14" t="str">
        <f t="shared" si="171"/>
        <v>Direct Debit (UMB Bank) - Credits</v>
      </c>
      <c r="C3506" s="38">
        <v>46150</v>
      </c>
      <c r="D3506" s="34">
        <v>250207</v>
      </c>
      <c r="E3506" s="36" t="str">
        <f>IF(Table3[[#This Row],[Type Received]]=2,"CC",(IF(Table3[[#This Row],[Type Received]]=3,"BILL","ACH")))</f>
        <v>ACH</v>
      </c>
      <c r="F3506" s="35">
        <v>70.11</v>
      </c>
      <c r="G3506" s="14" t="str">
        <f>VLOOKUP(D3506,Table4[],3,FALSE)</f>
        <v>2</v>
      </c>
      <c r="H3506" s="15">
        <v>4870</v>
      </c>
      <c r="I3506" s="15"/>
      <c r="J3506" s="15"/>
      <c r="K3506" s="15"/>
      <c r="L3506" s="15"/>
      <c r="M3506" s="15" t="s">
        <v>29</v>
      </c>
    </row>
    <row r="3507" spans="1:13" x14ac:dyDescent="0.25">
      <c r="A3507" s="23"/>
      <c r="B3507" s="14" t="str">
        <f t="shared" si="171"/>
        <v>Direct Debit (UMB Bank) - Credits</v>
      </c>
      <c r="C3507" s="37">
        <v>46167</v>
      </c>
      <c r="D3507" s="31">
        <v>250218</v>
      </c>
      <c r="E3507" s="33" t="str">
        <f>IF(Table3[[#This Row],[Type Received]]=2,"CC",(IF(Table3[[#This Row],[Type Received]]=3,"BILL","ACH")))</f>
        <v>ACH</v>
      </c>
      <c r="F3507" s="32">
        <v>96.82</v>
      </c>
      <c r="G3507" s="14" t="str">
        <f>VLOOKUP(D3507,Table4[],3,FALSE)</f>
        <v>2</v>
      </c>
      <c r="H3507" s="15"/>
      <c r="I3507" s="15"/>
      <c r="J3507" s="15" t="s">
        <v>85</v>
      </c>
      <c r="K3507" s="15">
        <v>818404253</v>
      </c>
      <c r="L3507" s="15" t="s">
        <v>29</v>
      </c>
      <c r="M3507" s="15"/>
    </row>
    <row r="3508" spans="1:13" x14ac:dyDescent="0.25">
      <c r="A3508" s="23"/>
      <c r="B3508" s="14" t="str">
        <f t="shared" si="171"/>
        <v>Direct Debit (UMB Bank) - Credits</v>
      </c>
      <c r="C3508" s="38">
        <v>46143</v>
      </c>
      <c r="D3508" s="34">
        <v>250232</v>
      </c>
      <c r="E3508" s="36" t="str">
        <f>IF(Table3[[#This Row],[Type Received]]=2,"CC",(IF(Table3[[#This Row],[Type Received]]=3,"BILL","ACH")))</f>
        <v>ACH</v>
      </c>
      <c r="F3508" s="35">
        <v>120.58</v>
      </c>
      <c r="G3508" s="14" t="str">
        <f>VLOOKUP(D3508,Table4[],3,FALSE)</f>
        <v>2</v>
      </c>
      <c r="H3508" s="15"/>
      <c r="I3508" s="15"/>
      <c r="J3508" s="24" t="s">
        <v>84</v>
      </c>
      <c r="K3508" s="15">
        <v>522395119</v>
      </c>
      <c r="L3508" s="15" t="s">
        <v>29</v>
      </c>
      <c r="M3508" s="15" t="s">
        <v>29</v>
      </c>
    </row>
    <row r="3509" spans="1:13" x14ac:dyDescent="0.25">
      <c r="A3509" s="23"/>
      <c r="B3509" s="14" t="str">
        <f t="shared" si="171"/>
        <v>Credit Cards (UMB) - Credits</v>
      </c>
      <c r="C3509" s="37">
        <v>46143</v>
      </c>
      <c r="D3509" s="31">
        <v>250248</v>
      </c>
      <c r="E3509" s="33" t="str">
        <f>IF(Table3[[#This Row],[Type Received]]=2,"CC",(IF(Table3[[#This Row],[Type Received]]=3,"BILL","ACH")))</f>
        <v>CC</v>
      </c>
      <c r="F3509" s="32">
        <v>68.11</v>
      </c>
      <c r="G3509" s="14" t="str">
        <f>VLOOKUP(D3509,Table4[],3,FALSE)</f>
        <v>1</v>
      </c>
      <c r="H3509" s="15"/>
      <c r="I3509" s="15"/>
      <c r="J3509" s="15" t="s">
        <v>84</v>
      </c>
      <c r="K3509" s="15">
        <v>522396122</v>
      </c>
      <c r="L3509" s="15" t="s">
        <v>29</v>
      </c>
      <c r="M3509" s="15" t="s">
        <v>29</v>
      </c>
    </row>
    <row r="3510" spans="1:13" x14ac:dyDescent="0.25">
      <c r="A3510" s="23"/>
      <c r="B3510" s="14" t="str">
        <f t="shared" si="171"/>
        <v>Credit Cards (UMB) - Credits</v>
      </c>
      <c r="C3510" s="38">
        <v>46145</v>
      </c>
      <c r="D3510" s="34">
        <v>250262</v>
      </c>
      <c r="E3510" s="36" t="str">
        <f>IF(Table3[[#This Row],[Type Received]]=2,"CC",(IF(Table3[[#This Row],[Type Received]]=3,"BILL","ACH")))</f>
        <v>CC</v>
      </c>
      <c r="F3510" s="35">
        <v>48.81</v>
      </c>
      <c r="G3510" s="14" t="str">
        <f>VLOOKUP(D3510,Table4[],3,FALSE)</f>
        <v>2</v>
      </c>
      <c r="H3510" s="15"/>
      <c r="I3510" s="15" t="s">
        <v>296</v>
      </c>
      <c r="J3510" s="15">
        <v>742039970</v>
      </c>
      <c r="K3510" s="15">
        <v>353342408</v>
      </c>
      <c r="L3510" s="15"/>
      <c r="M3510" s="15"/>
    </row>
    <row r="3511" spans="1:13" x14ac:dyDescent="0.25">
      <c r="A3511" s="23"/>
      <c r="B3511" s="14" t="str">
        <f t="shared" si="171"/>
        <v>Direct Debit (UMB Bank) - Credits</v>
      </c>
      <c r="C3511" s="37">
        <v>46155</v>
      </c>
      <c r="D3511" s="31">
        <v>250313</v>
      </c>
      <c r="E3511" s="33" t="str">
        <f>IF(Table3[[#This Row],[Type Received]]=2,"CC",(IF(Table3[[#This Row],[Type Received]]=3,"BILL","ACH")))</f>
        <v>ACH</v>
      </c>
      <c r="F3511" s="32">
        <v>54.25</v>
      </c>
      <c r="G3511" s="14" t="str">
        <f>VLOOKUP(D3511,Table4[],3,FALSE)</f>
        <v>1</v>
      </c>
      <c r="H3511" s="15"/>
      <c r="I3511" s="15">
        <v>180153</v>
      </c>
      <c r="J3511" s="15" t="s">
        <v>28</v>
      </c>
      <c r="K3511" s="15">
        <v>669508347</v>
      </c>
      <c r="L3511" s="15" t="s">
        <v>29</v>
      </c>
      <c r="M3511" s="15"/>
    </row>
    <row r="3512" spans="1:13" x14ac:dyDescent="0.25">
      <c r="A3512" s="23"/>
      <c r="B3512" s="14" t="str">
        <f t="shared" si="171"/>
        <v>Direct Debit (UMB Bank) - Credits</v>
      </c>
      <c r="C3512" s="38">
        <v>46157</v>
      </c>
      <c r="D3512" s="34">
        <v>250321</v>
      </c>
      <c r="E3512" s="36" t="str">
        <f>IF(Table3[[#This Row],[Type Received]]=2,"CC",(IF(Table3[[#This Row],[Type Received]]=3,"BILL","ACH")))</f>
        <v>ACH</v>
      </c>
      <c r="F3512" s="35">
        <v>61.84</v>
      </c>
      <c r="G3512" s="14" t="str">
        <f>VLOOKUP(D3512,Table4[],3,FALSE)</f>
        <v>2</v>
      </c>
      <c r="H3512" s="15"/>
      <c r="I3512" s="15"/>
      <c r="J3512" s="15" t="s">
        <v>87</v>
      </c>
      <c r="K3512" s="15">
        <v>696820516</v>
      </c>
      <c r="L3512" s="15" t="s">
        <v>29</v>
      </c>
      <c r="M3512" s="15" t="s">
        <v>29</v>
      </c>
    </row>
    <row r="3513" spans="1:13" x14ac:dyDescent="0.25">
      <c r="A3513" s="23"/>
      <c r="B3513" s="14" t="str">
        <f t="shared" si="171"/>
        <v>Direct Debit (UMB Bank) - Credits</v>
      </c>
      <c r="C3513" s="37">
        <v>46155</v>
      </c>
      <c r="D3513" s="31">
        <v>250322</v>
      </c>
      <c r="E3513" s="33" t="str">
        <f>IF(Table3[[#This Row],[Type Received]]=2,"CC",(IF(Table3[[#This Row],[Type Received]]=3,"BILL","ACH")))</f>
        <v>ACH</v>
      </c>
      <c r="F3513" s="32">
        <v>101.11</v>
      </c>
      <c r="G3513" s="14" t="str">
        <f>VLOOKUP(D3513,Table4[],3,FALSE)</f>
        <v>2</v>
      </c>
      <c r="H3513" s="15"/>
      <c r="I3513" s="15"/>
      <c r="J3513" s="15" t="s">
        <v>90</v>
      </c>
      <c r="K3513" s="15">
        <v>669507815</v>
      </c>
      <c r="L3513" s="15" t="s">
        <v>29</v>
      </c>
      <c r="M3513" s="15" t="s">
        <v>29</v>
      </c>
    </row>
    <row r="3514" spans="1:13" x14ac:dyDescent="0.25">
      <c r="A3514" s="23"/>
      <c r="B3514" s="14" t="str">
        <f t="shared" si="171"/>
        <v>Direct Debit (UMB Bank) - Credits</v>
      </c>
      <c r="C3514" s="38">
        <v>46143</v>
      </c>
      <c r="D3514" s="34">
        <v>250340</v>
      </c>
      <c r="E3514" s="36" t="str">
        <f>IF(Table3[[#This Row],[Type Received]]=2,"CC",(IF(Table3[[#This Row],[Type Received]]=3,"BILL","ACH")))</f>
        <v>ACH</v>
      </c>
      <c r="F3514" s="35">
        <v>58.65</v>
      </c>
      <c r="G3514" s="14" t="str">
        <f>VLOOKUP(D3514,Table4[],3,FALSE)</f>
        <v>1</v>
      </c>
      <c r="H3514" s="15"/>
      <c r="I3514" s="15"/>
      <c r="J3514" s="15" t="s">
        <v>84</v>
      </c>
      <c r="K3514" s="15">
        <v>522377829</v>
      </c>
      <c r="L3514" s="15" t="s">
        <v>29</v>
      </c>
      <c r="M3514" s="15" t="s">
        <v>29</v>
      </c>
    </row>
    <row r="3515" spans="1:13" x14ac:dyDescent="0.25">
      <c r="A3515" s="23"/>
      <c r="B3515" s="14" t="str">
        <f t="shared" si="171"/>
        <v>Direct Debit (UMB Bank) - Credits</v>
      </c>
      <c r="C3515" s="37">
        <v>46143</v>
      </c>
      <c r="D3515" s="31">
        <v>250357</v>
      </c>
      <c r="E3515" s="33" t="str">
        <f>IF(Table3[[#This Row],[Type Received]]=2,"CC",(IF(Table3[[#This Row],[Type Received]]=3,"BILL","ACH")))</f>
        <v>ACH</v>
      </c>
      <c r="F3515" s="32">
        <v>53.26</v>
      </c>
      <c r="G3515" s="14" t="str">
        <f>VLOOKUP(D3515,Table4[],3,FALSE)</f>
        <v>2</v>
      </c>
      <c r="H3515" s="15"/>
      <c r="I3515" s="15"/>
      <c r="J3515" s="15" t="s">
        <v>84</v>
      </c>
      <c r="K3515" s="15">
        <v>522421796</v>
      </c>
      <c r="L3515" s="15" t="s">
        <v>29</v>
      </c>
      <c r="M3515" s="15" t="s">
        <v>29</v>
      </c>
    </row>
    <row r="3516" spans="1:13" x14ac:dyDescent="0.25">
      <c r="A3516" s="23"/>
      <c r="B3516" s="14" t="str">
        <f t="shared" si="171"/>
        <v>Direct Debit (UMB Bank) - Credits</v>
      </c>
      <c r="C3516" s="38">
        <v>46143</v>
      </c>
      <c r="D3516" s="34">
        <v>250358</v>
      </c>
      <c r="E3516" s="36" t="str">
        <f>IF(Table3[[#This Row],[Type Received]]=2,"CC",(IF(Table3[[#This Row],[Type Received]]=3,"BILL","ACH")))</f>
        <v>ACH</v>
      </c>
      <c r="F3516" s="35">
        <v>109.69</v>
      </c>
      <c r="G3516" s="14" t="str">
        <f>VLOOKUP(D3516,Table4[],3,FALSE)</f>
        <v>1</v>
      </c>
      <c r="H3516" s="15"/>
      <c r="I3516" s="15"/>
      <c r="J3516" s="15" t="s">
        <v>84</v>
      </c>
      <c r="K3516" s="15">
        <v>522385586</v>
      </c>
      <c r="L3516" s="15" t="s">
        <v>29</v>
      </c>
      <c r="M3516" s="15"/>
    </row>
    <row r="3517" spans="1:13" x14ac:dyDescent="0.25">
      <c r="A3517" s="23"/>
      <c r="B3517" s="14" t="str">
        <f t="shared" si="171"/>
        <v>Credit Cards (UMB) - Credits</v>
      </c>
      <c r="C3517" s="37">
        <v>46143</v>
      </c>
      <c r="D3517" s="31">
        <v>250376</v>
      </c>
      <c r="E3517" s="33" t="str">
        <f>IF(Table3[[#This Row],[Type Received]]=2,"CC",(IF(Table3[[#This Row],[Type Received]]=3,"BILL","ACH")))</f>
        <v>CC</v>
      </c>
      <c r="F3517" s="32">
        <v>43.25</v>
      </c>
      <c r="G3517" s="14" t="str">
        <f>VLOOKUP(D3517,Table4[],3,FALSE)</f>
        <v>1</v>
      </c>
      <c r="H3517" s="15"/>
      <c r="I3517" s="15"/>
      <c r="J3517" s="15" t="s">
        <v>84</v>
      </c>
      <c r="K3517" s="15">
        <v>522377867</v>
      </c>
      <c r="L3517" s="15" t="s">
        <v>29</v>
      </c>
      <c r="M3517" s="15"/>
    </row>
    <row r="3518" spans="1:13" x14ac:dyDescent="0.25">
      <c r="A3518" s="23"/>
      <c r="B3518" s="14" t="str">
        <f t="shared" si="171"/>
        <v>Billing - Credits (from TPA)</v>
      </c>
      <c r="C3518" s="38">
        <v>46162</v>
      </c>
      <c r="D3518" s="34">
        <v>250388</v>
      </c>
      <c r="E3518" s="36" t="str">
        <f>IF(Table3[[#This Row],[Type Received]]=2,"CC",(IF(Table3[[#This Row],[Type Received]]=3,"BILL","ACH")))</f>
        <v>BILL</v>
      </c>
      <c r="F3518" s="35">
        <v>127.95</v>
      </c>
      <c r="G3518" s="14" t="str">
        <f>VLOOKUP(D3518,Table4[],3,FALSE)</f>
        <v>1</v>
      </c>
      <c r="H3518" s="15"/>
      <c r="I3518" s="15">
        <v>220727</v>
      </c>
      <c r="J3518" s="15" t="s">
        <v>28</v>
      </c>
      <c r="K3518" s="15">
        <v>762616747</v>
      </c>
      <c r="L3518" s="15" t="s">
        <v>29</v>
      </c>
      <c r="M3518" s="15" t="s">
        <v>29</v>
      </c>
    </row>
    <row r="3519" spans="1:13" x14ac:dyDescent="0.25">
      <c r="A3519" s="23"/>
      <c r="B3519" s="14" t="str">
        <f t="shared" si="171"/>
        <v>Credit Cards (UMB) - Credits</v>
      </c>
      <c r="C3519" s="37">
        <v>46147</v>
      </c>
      <c r="D3519" s="31">
        <v>250392</v>
      </c>
      <c r="E3519" s="33" t="str">
        <f>IF(Table3[[#This Row],[Type Received]]=2,"CC",(IF(Table3[[#This Row],[Type Received]]=3,"BILL","ACH")))</f>
        <v>CC</v>
      </c>
      <c r="F3519" s="32">
        <v>90.38</v>
      </c>
      <c r="G3519" s="14" t="str">
        <f>VLOOKUP(D3519,Table4[],3,FALSE)</f>
        <v>1</v>
      </c>
      <c r="H3519" s="15">
        <v>7940</v>
      </c>
      <c r="I3519" s="15"/>
      <c r="J3519" s="15"/>
      <c r="K3519" s="15"/>
      <c r="L3519" s="15"/>
      <c r="M3519" s="15" t="s">
        <v>29</v>
      </c>
    </row>
    <row r="3520" spans="1:13" x14ac:dyDescent="0.25">
      <c r="A3520" s="23"/>
      <c r="B3520" s="14" t="str">
        <f t="shared" si="171"/>
        <v>Direct Debit (UMB Bank) - Credits</v>
      </c>
      <c r="C3520" s="38">
        <v>46155</v>
      </c>
      <c r="D3520" s="34">
        <v>250394</v>
      </c>
      <c r="E3520" s="36" t="str">
        <f>IF(Table3[[#This Row],[Type Received]]=2,"CC",(IF(Table3[[#This Row],[Type Received]]=3,"BILL","ACH")))</f>
        <v>ACH</v>
      </c>
      <c r="F3520" s="35">
        <v>45.34</v>
      </c>
      <c r="G3520" s="14" t="str">
        <f>VLOOKUP(D3520,Table4[],3,FALSE)</f>
        <v>2</v>
      </c>
      <c r="H3520" s="15"/>
      <c r="I3520" s="15">
        <v>203101</v>
      </c>
      <c r="J3520" s="15" t="s">
        <v>28</v>
      </c>
      <c r="K3520" s="15">
        <v>669501691</v>
      </c>
      <c r="L3520" s="15" t="s">
        <v>29</v>
      </c>
      <c r="M3520" s="15" t="s">
        <v>29</v>
      </c>
    </row>
    <row r="3521" spans="1:13" x14ac:dyDescent="0.25">
      <c r="A3521" s="23"/>
      <c r="B3521" s="14" t="str">
        <f t="shared" si="171"/>
        <v>Direct Debit (UMB Bank) - Credits</v>
      </c>
      <c r="C3521" s="37">
        <v>46157</v>
      </c>
      <c r="D3521" s="31">
        <v>250405</v>
      </c>
      <c r="E3521" s="33" t="str">
        <f>IF(Table3[[#This Row],[Type Received]]=2,"CC",(IF(Table3[[#This Row],[Type Received]]=3,"BILL","ACH")))</f>
        <v>ACH</v>
      </c>
      <c r="F3521" s="32">
        <v>37.75</v>
      </c>
      <c r="G3521" s="14" t="str">
        <f>VLOOKUP(D3521,Table4[],3,FALSE)</f>
        <v>1</v>
      </c>
      <c r="H3521" s="15"/>
      <c r="I3521" s="15"/>
      <c r="J3521" s="15" t="s">
        <v>87</v>
      </c>
      <c r="K3521" s="15">
        <v>696815701</v>
      </c>
      <c r="L3521" s="15" t="s">
        <v>29</v>
      </c>
      <c r="M3521" s="15"/>
    </row>
    <row r="3522" spans="1:13" x14ac:dyDescent="0.25">
      <c r="A3522" s="23"/>
      <c r="B3522" s="14" t="str">
        <f t="shared" ref="B3522:B3585" si="172">IF(AND(E3522="BILL",F3522&lt;0),"Billing &amp; Direct Debit - Refunds",(IF(AND(E3522="BILL",F3522&gt;0),"Billing - Credits (from TPA)",(IF(AND(E3522="CC",F3522&lt;0),"Credit Cards (UMB) - Refunds",(IF(AND(E3522="CC",F3522&gt;0),"Credit Cards (UMB) - Credits",(IF(AND(E3522="ACH",F3522&gt;0),"Direct Debit (UMB Bank) - Credits","Direct Debit (UMB Bank) - Returned Items")))))))))</f>
        <v>Direct Debit (UMB Bank) - Credits</v>
      </c>
      <c r="C3522" s="38">
        <v>46157</v>
      </c>
      <c r="D3522" s="34">
        <v>250419</v>
      </c>
      <c r="E3522" s="36" t="str">
        <f>IF(Table3[[#This Row],[Type Received]]=2,"CC",(IF(Table3[[#This Row],[Type Received]]=3,"BILL","ACH")))</f>
        <v>ACH</v>
      </c>
      <c r="F3522" s="35">
        <v>29.5</v>
      </c>
      <c r="G3522" s="14" t="str">
        <f>VLOOKUP(D3522,Table4[],3,FALSE)</f>
        <v>2</v>
      </c>
      <c r="H3522" s="15"/>
      <c r="I3522" s="15"/>
      <c r="J3522" s="15" t="s">
        <v>87</v>
      </c>
      <c r="K3522" s="15">
        <v>696834127</v>
      </c>
      <c r="L3522" s="15" t="s">
        <v>29</v>
      </c>
      <c r="M3522" s="15" t="s">
        <v>29</v>
      </c>
    </row>
    <row r="3523" spans="1:13" x14ac:dyDescent="0.25">
      <c r="A3523" s="23"/>
      <c r="B3523" s="14" t="str">
        <f t="shared" si="172"/>
        <v>Billing - Credits (from TPA)</v>
      </c>
      <c r="C3523" s="37">
        <v>46143</v>
      </c>
      <c r="D3523" s="31">
        <v>250431</v>
      </c>
      <c r="E3523" s="33" t="str">
        <f>IF(Table3[[#This Row],[Type Received]]=2,"CC",(IF(Table3[[#This Row],[Type Received]]=3,"BILL","ACH")))</f>
        <v>BILL</v>
      </c>
      <c r="F3523" s="32">
        <v>121.24</v>
      </c>
      <c r="G3523" s="14" t="str">
        <f>VLOOKUP(D3523,Table4[],3,FALSE)</f>
        <v>2</v>
      </c>
      <c r="H3523" s="15"/>
      <c r="I3523" s="15"/>
      <c r="J3523" s="15" t="s">
        <v>84</v>
      </c>
      <c r="K3523" s="15">
        <v>522379842</v>
      </c>
      <c r="L3523" s="15" t="s">
        <v>29</v>
      </c>
      <c r="M3523" s="15" t="s">
        <v>29</v>
      </c>
    </row>
    <row r="3524" spans="1:13" x14ac:dyDescent="0.25">
      <c r="A3524" s="23"/>
      <c r="B3524" s="14" t="str">
        <f t="shared" si="172"/>
        <v>Direct Debit (UMB Bank) - Credits</v>
      </c>
      <c r="C3524" s="38">
        <v>46147</v>
      </c>
      <c r="D3524" s="34">
        <v>250447</v>
      </c>
      <c r="E3524" s="36" t="str">
        <f>IF(Table3[[#This Row],[Type Received]]=2,"CC",(IF(Table3[[#This Row],[Type Received]]=3,"BILL","ACH")))</f>
        <v>ACH</v>
      </c>
      <c r="F3524" s="35">
        <v>49.87</v>
      </c>
      <c r="G3524" s="14" t="str">
        <f>VLOOKUP(D3524,Table4[],3,FALSE)</f>
        <v>1</v>
      </c>
      <c r="H3524" s="15">
        <v>985527</v>
      </c>
      <c r="I3524" s="15"/>
      <c r="J3524" s="15"/>
      <c r="K3524" s="15"/>
      <c r="L3524" s="15"/>
      <c r="M3524" s="15" t="s">
        <v>29</v>
      </c>
    </row>
    <row r="3525" spans="1:13" x14ac:dyDescent="0.25">
      <c r="A3525" s="23"/>
      <c r="B3525" s="14" t="str">
        <f t="shared" si="172"/>
        <v>Direct Debit (UMB Bank) - Credits</v>
      </c>
      <c r="C3525" s="37">
        <v>46157</v>
      </c>
      <c r="D3525" s="31">
        <v>250473</v>
      </c>
      <c r="E3525" s="33" t="str">
        <f>IF(Table3[[#This Row],[Type Received]]=2,"CC",(IF(Table3[[#This Row],[Type Received]]=3,"BILL","ACH")))</f>
        <v>ACH</v>
      </c>
      <c r="F3525" s="32">
        <v>61.45</v>
      </c>
      <c r="G3525" s="14" t="str">
        <f>VLOOKUP(D3525,Table4[],3,FALSE)</f>
        <v>2</v>
      </c>
      <c r="H3525" s="15"/>
      <c r="I3525" s="15"/>
      <c r="J3525" s="24" t="s">
        <v>87</v>
      </c>
      <c r="K3525" s="15">
        <v>696819532</v>
      </c>
      <c r="L3525" s="15" t="s">
        <v>29</v>
      </c>
      <c r="M3525" s="15" t="s">
        <v>29</v>
      </c>
    </row>
    <row r="3526" spans="1:13" x14ac:dyDescent="0.25">
      <c r="A3526" s="23"/>
      <c r="B3526" s="14" t="str">
        <f t="shared" si="172"/>
        <v>Direct Debit (UMB Bank) - Credits</v>
      </c>
      <c r="C3526" s="38">
        <v>46143</v>
      </c>
      <c r="D3526" s="34">
        <v>250483</v>
      </c>
      <c r="E3526" s="36" t="str">
        <f>IF(Table3[[#This Row],[Type Received]]=2,"CC",(IF(Table3[[#This Row],[Type Received]]=3,"BILL","ACH")))</f>
        <v>ACH</v>
      </c>
      <c r="F3526" s="35">
        <v>54.35</v>
      </c>
      <c r="G3526" s="14" t="str">
        <f>VLOOKUP(D3526,Table4[],3,FALSE)</f>
        <v>2</v>
      </c>
      <c r="H3526" s="15"/>
      <c r="I3526" s="15"/>
      <c r="J3526" s="15" t="s">
        <v>84</v>
      </c>
      <c r="K3526" s="15">
        <v>522378930</v>
      </c>
      <c r="L3526" s="15" t="s">
        <v>29</v>
      </c>
      <c r="M3526" s="15" t="s">
        <v>29</v>
      </c>
    </row>
    <row r="3527" spans="1:13" x14ac:dyDescent="0.25">
      <c r="A3527" s="23"/>
      <c r="B3527" s="14" t="str">
        <f t="shared" si="172"/>
        <v>Direct Debit (UMB Bank) - Credits</v>
      </c>
      <c r="C3527" s="37">
        <v>46156</v>
      </c>
      <c r="D3527" s="31">
        <v>250495</v>
      </c>
      <c r="E3527" s="33" t="str">
        <f>IF(Table3[[#This Row],[Type Received]]=2,"CC",(IF(Table3[[#This Row],[Type Received]]=3,"BILL","ACH")))</f>
        <v>ACH</v>
      </c>
      <c r="F3527" s="32">
        <v>88.9</v>
      </c>
      <c r="G3527" s="14" t="str">
        <f>VLOOKUP(D3527,Table4[],3,FALSE)</f>
        <v>2</v>
      </c>
      <c r="H3527" s="15"/>
      <c r="I3527" s="15"/>
      <c r="J3527" s="15" t="s">
        <v>93</v>
      </c>
      <c r="K3527" s="15">
        <v>682534653</v>
      </c>
      <c r="L3527" s="15" t="s">
        <v>29</v>
      </c>
      <c r="M3527" s="15"/>
    </row>
    <row r="3528" spans="1:13" x14ac:dyDescent="0.25">
      <c r="A3528" s="23"/>
      <c r="B3528" s="14" t="str">
        <f t="shared" si="172"/>
        <v>Direct Debit (UMB Bank) - Credits</v>
      </c>
      <c r="C3528" s="38">
        <v>46144</v>
      </c>
      <c r="D3528" s="34">
        <v>250518</v>
      </c>
      <c r="E3528" s="36" t="str">
        <f>IF(Table3[[#This Row],[Type Received]]=2,"CC",(IF(Table3[[#This Row],[Type Received]]=3,"BILL","ACH")))</f>
        <v>ACH</v>
      </c>
      <c r="F3528" s="35">
        <v>49.85</v>
      </c>
      <c r="G3528" s="14" t="str">
        <f>VLOOKUP(D3528,Table4[],3,FALSE)</f>
        <v>1</v>
      </c>
      <c r="H3528" s="15"/>
      <c r="I3528" s="15"/>
      <c r="J3528" s="24" t="s">
        <v>89</v>
      </c>
      <c r="K3528" s="15">
        <v>535354130</v>
      </c>
      <c r="L3528" s="15" t="s">
        <v>29</v>
      </c>
      <c r="M3528" s="15" t="s">
        <v>29</v>
      </c>
    </row>
    <row r="3529" spans="1:13" x14ac:dyDescent="0.25">
      <c r="A3529" s="23"/>
      <c r="B3529" s="14" t="str">
        <f t="shared" si="172"/>
        <v>Credit Cards (UMB) - Credits</v>
      </c>
      <c r="C3529" s="37">
        <v>46143</v>
      </c>
      <c r="D3529" s="31">
        <v>250530</v>
      </c>
      <c r="E3529" s="33" t="str">
        <f>IF(Table3[[#This Row],[Type Received]]=2,"CC",(IF(Table3[[#This Row],[Type Received]]=3,"BILL","ACH")))</f>
        <v>CC</v>
      </c>
      <c r="F3529" s="32">
        <v>49.85</v>
      </c>
      <c r="G3529" s="14" t="str">
        <f>VLOOKUP(D3529,Table4[],3,FALSE)</f>
        <v>1</v>
      </c>
      <c r="H3529" s="15"/>
      <c r="I3529" s="15"/>
      <c r="J3529" s="15" t="s">
        <v>84</v>
      </c>
      <c r="K3529" s="15">
        <v>522399258</v>
      </c>
      <c r="L3529" s="15" t="s">
        <v>29</v>
      </c>
      <c r="M3529" s="15" t="s">
        <v>29</v>
      </c>
    </row>
    <row r="3530" spans="1:13" x14ac:dyDescent="0.25">
      <c r="A3530" s="23"/>
      <c r="B3530" s="14" t="str">
        <f t="shared" si="172"/>
        <v>Direct Debit (UMB Bank) - Credits</v>
      </c>
      <c r="C3530" s="38">
        <v>46155</v>
      </c>
      <c r="D3530" s="34">
        <v>250533</v>
      </c>
      <c r="E3530" s="36" t="str">
        <f>IF(Table3[[#This Row],[Type Received]]=2,"CC",(IF(Table3[[#This Row],[Type Received]]=3,"BILL","ACH")))</f>
        <v>ACH</v>
      </c>
      <c r="F3530" s="35">
        <v>100.67</v>
      </c>
      <c r="G3530" s="14" t="str">
        <f>VLOOKUP(D3530,Table4[],3,FALSE)</f>
        <v>1</v>
      </c>
      <c r="H3530" s="15"/>
      <c r="I3530" s="15" t="s">
        <v>297</v>
      </c>
      <c r="J3530" s="24" t="s">
        <v>28</v>
      </c>
      <c r="K3530" s="15">
        <v>669497812</v>
      </c>
      <c r="L3530" s="15" t="s">
        <v>29</v>
      </c>
      <c r="M3530" s="15" t="s">
        <v>29</v>
      </c>
    </row>
    <row r="3531" spans="1:13" x14ac:dyDescent="0.25">
      <c r="A3531" s="23"/>
      <c r="B3531" s="14" t="str">
        <f t="shared" si="172"/>
        <v>Direct Debit (UMB Bank) - Credits</v>
      </c>
      <c r="C3531" s="37">
        <v>46144</v>
      </c>
      <c r="D3531" s="31">
        <v>250540</v>
      </c>
      <c r="E3531" s="33" t="str">
        <f>IF(Table3[[#This Row],[Type Received]]=2,"CC",(IF(Table3[[#This Row],[Type Received]]=3,"BILL","ACH")))</f>
        <v>ACH</v>
      </c>
      <c r="F3531" s="32">
        <v>36.65</v>
      </c>
      <c r="G3531" s="14" t="str">
        <f>VLOOKUP(D3531,Table4[],3,FALSE)</f>
        <v>1</v>
      </c>
      <c r="H3531" s="15"/>
      <c r="I3531" s="15"/>
      <c r="J3531" s="15" t="s">
        <v>89</v>
      </c>
      <c r="K3531" s="15">
        <v>535339566</v>
      </c>
      <c r="L3531" s="15" t="s">
        <v>29</v>
      </c>
      <c r="M3531" s="15"/>
    </row>
    <row r="3532" spans="1:13" x14ac:dyDescent="0.25">
      <c r="A3532" s="23"/>
      <c r="B3532" s="14" t="str">
        <f t="shared" si="172"/>
        <v>Billing - Credits (from TPA)</v>
      </c>
      <c r="C3532" s="38">
        <v>46147</v>
      </c>
      <c r="D3532" s="34">
        <v>250541</v>
      </c>
      <c r="E3532" s="36" t="str">
        <f>IF(Table3[[#This Row],[Type Received]]=2,"CC",(IF(Table3[[#This Row],[Type Received]]=3,"BILL","ACH")))</f>
        <v>BILL</v>
      </c>
      <c r="F3532" s="35">
        <v>39.51</v>
      </c>
      <c r="G3532" s="14" t="str">
        <f>VLOOKUP(D3532,Table4[],3,FALSE)</f>
        <v>1</v>
      </c>
      <c r="H3532" s="15"/>
      <c r="I3532" s="15"/>
      <c r="J3532" s="15" t="s">
        <v>86</v>
      </c>
      <c r="K3532" s="15">
        <v>569472448</v>
      </c>
      <c r="L3532" s="15" t="s">
        <v>29</v>
      </c>
      <c r="M3532" s="15" t="s">
        <v>29</v>
      </c>
    </row>
    <row r="3533" spans="1:13" x14ac:dyDescent="0.25">
      <c r="A3533" s="23"/>
      <c r="B3533" s="14" t="str">
        <f t="shared" si="172"/>
        <v>Direct Debit (UMB Bank) - Credits</v>
      </c>
      <c r="C3533" s="37">
        <v>46148</v>
      </c>
      <c r="D3533" s="31">
        <v>250559</v>
      </c>
      <c r="E3533" s="33" t="str">
        <f>IF(Table3[[#This Row],[Type Received]]=2,"CC",(IF(Table3[[#This Row],[Type Received]]=3,"BILL","ACH")))</f>
        <v>ACH</v>
      </c>
      <c r="F3533" s="32">
        <v>44.15</v>
      </c>
      <c r="G3533" s="14" t="str">
        <f>VLOOKUP(D3533,Table4[],3,FALSE)</f>
        <v>1</v>
      </c>
      <c r="H3533" s="15">
        <v>19790912405</v>
      </c>
      <c r="I3533" s="15"/>
      <c r="J3533" s="24"/>
      <c r="K3533" s="15"/>
      <c r="L3533" s="15"/>
      <c r="M3533" s="15" t="s">
        <v>29</v>
      </c>
    </row>
    <row r="3534" spans="1:13" x14ac:dyDescent="0.25">
      <c r="A3534" s="23"/>
      <c r="B3534" s="14" t="str">
        <f t="shared" si="172"/>
        <v>Direct Debit (UMB Bank) - Credits</v>
      </c>
      <c r="C3534" s="38">
        <v>46143</v>
      </c>
      <c r="D3534" s="34">
        <v>250561</v>
      </c>
      <c r="E3534" s="36" t="str">
        <f>IF(Table3[[#This Row],[Type Received]]=2,"CC",(IF(Table3[[#This Row],[Type Received]]=3,"BILL","ACH")))</f>
        <v>ACH</v>
      </c>
      <c r="F3534" s="35">
        <v>51.17</v>
      </c>
      <c r="G3534" s="14" t="str">
        <f>VLOOKUP(D3534,Table4[],3,FALSE)</f>
        <v>1</v>
      </c>
      <c r="H3534" s="15"/>
      <c r="I3534" s="15"/>
      <c r="J3534" s="15" t="s">
        <v>84</v>
      </c>
      <c r="K3534" s="15">
        <v>522385724</v>
      </c>
      <c r="L3534" s="15" t="s">
        <v>29</v>
      </c>
      <c r="M3534" s="15" t="s">
        <v>29</v>
      </c>
    </row>
    <row r="3535" spans="1:13" x14ac:dyDescent="0.25">
      <c r="A3535" s="23"/>
      <c r="B3535" s="14" t="str">
        <f t="shared" si="172"/>
        <v>Direct Debit (UMB Bank) - Credits</v>
      </c>
      <c r="C3535" s="37">
        <v>46157</v>
      </c>
      <c r="D3535" s="31">
        <v>250563</v>
      </c>
      <c r="E3535" s="33" t="str">
        <f>IF(Table3[[#This Row],[Type Received]]=2,"CC",(IF(Table3[[#This Row],[Type Received]]=3,"BILL","ACH")))</f>
        <v>ACH</v>
      </c>
      <c r="F3535" s="32">
        <v>43.3</v>
      </c>
      <c r="G3535" s="14" t="str">
        <f>VLOOKUP(D3535,Table4[],3,FALSE)</f>
        <v>2</v>
      </c>
      <c r="H3535" s="15"/>
      <c r="I3535" s="15"/>
      <c r="J3535" s="15" t="s">
        <v>87</v>
      </c>
      <c r="K3535" s="15">
        <v>696829379</v>
      </c>
      <c r="L3535" s="15" t="s">
        <v>29</v>
      </c>
      <c r="M3535" s="15" t="s">
        <v>29</v>
      </c>
    </row>
    <row r="3536" spans="1:13" x14ac:dyDescent="0.25">
      <c r="A3536" s="23"/>
      <c r="B3536" s="14" t="str">
        <f t="shared" si="172"/>
        <v>Direct Debit (UMB Bank) - Credits</v>
      </c>
      <c r="C3536" s="38">
        <v>46167</v>
      </c>
      <c r="D3536" s="34">
        <v>250573</v>
      </c>
      <c r="E3536" s="36" t="str">
        <f>IF(Table3[[#This Row],[Type Received]]=2,"CC",(IF(Table3[[#This Row],[Type Received]]=3,"BILL","ACH")))</f>
        <v>ACH</v>
      </c>
      <c r="F3536" s="35">
        <v>49.3</v>
      </c>
      <c r="G3536" s="14" t="str">
        <f>VLOOKUP(D3536,Table4[],3,FALSE)</f>
        <v>2</v>
      </c>
      <c r="H3536" s="15"/>
      <c r="I3536" s="15"/>
      <c r="J3536" s="15" t="s">
        <v>85</v>
      </c>
      <c r="K3536" s="15">
        <v>818387728</v>
      </c>
      <c r="L3536" s="15" t="s">
        <v>29</v>
      </c>
      <c r="M3536" s="15" t="s">
        <v>29</v>
      </c>
    </row>
    <row r="3537" spans="1:13" x14ac:dyDescent="0.25">
      <c r="A3537" s="23"/>
      <c r="B3537" s="14" t="str">
        <f t="shared" si="172"/>
        <v>Direct Debit (UMB Bank) - Credits</v>
      </c>
      <c r="C3537" s="37">
        <v>46143</v>
      </c>
      <c r="D3537" s="31">
        <v>250576</v>
      </c>
      <c r="E3537" s="33" t="str">
        <f>IF(Table3[[#This Row],[Type Received]]=2,"CC",(IF(Table3[[#This Row],[Type Received]]=3,"BILL","ACH")))</f>
        <v>ACH</v>
      </c>
      <c r="F3537" s="32">
        <v>66.459999999999994</v>
      </c>
      <c r="G3537" s="14" t="str">
        <f>VLOOKUP(D3537,Table4[],3,FALSE)</f>
        <v>2</v>
      </c>
      <c r="H3537" s="15"/>
      <c r="I3537" s="15"/>
      <c r="J3537" s="15" t="s">
        <v>84</v>
      </c>
      <c r="K3537" s="15">
        <v>522375094</v>
      </c>
      <c r="L3537" s="15" t="s">
        <v>29</v>
      </c>
      <c r="M3537" s="15"/>
    </row>
    <row r="3538" spans="1:13" x14ac:dyDescent="0.25">
      <c r="A3538" s="23"/>
      <c r="B3538" s="14" t="str">
        <f t="shared" si="172"/>
        <v>Direct Debit (UMB Bank) - Credits</v>
      </c>
      <c r="C3538" s="38">
        <v>46157</v>
      </c>
      <c r="D3538" s="34">
        <v>250600</v>
      </c>
      <c r="E3538" s="36" t="str">
        <f>IF(Table3[[#This Row],[Type Received]]=2,"CC",(IF(Table3[[#This Row],[Type Received]]=3,"BILL","ACH")))</f>
        <v>ACH</v>
      </c>
      <c r="F3538" s="35">
        <v>63.93</v>
      </c>
      <c r="G3538" s="14" t="str">
        <f>VLOOKUP(D3538,Table4[],3,FALSE)</f>
        <v>1</v>
      </c>
      <c r="H3538" s="15"/>
      <c r="I3538" s="15"/>
      <c r="J3538" s="15" t="s">
        <v>87</v>
      </c>
      <c r="K3538" s="15">
        <v>696812840</v>
      </c>
      <c r="L3538" s="15" t="s">
        <v>29</v>
      </c>
      <c r="M3538" s="15" t="s">
        <v>29</v>
      </c>
    </row>
    <row r="3539" spans="1:13" x14ac:dyDescent="0.25">
      <c r="A3539" s="23"/>
      <c r="B3539" s="14" t="str">
        <f t="shared" si="172"/>
        <v>Billing - Credits (from TPA)</v>
      </c>
      <c r="C3539" s="37">
        <v>46143</v>
      </c>
      <c r="D3539" s="31">
        <v>250620</v>
      </c>
      <c r="E3539" s="33" t="str">
        <f>IF(Table3[[#This Row],[Type Received]]=2,"CC",(IF(Table3[[#This Row],[Type Received]]=3,"BILL","ACH")))</f>
        <v>BILL</v>
      </c>
      <c r="F3539" s="32">
        <v>60</v>
      </c>
      <c r="G3539" s="14" t="str">
        <f>VLOOKUP(D3539,Table4[],3,FALSE)</f>
        <v>1</v>
      </c>
      <c r="H3539" s="15"/>
      <c r="I3539" s="15"/>
      <c r="J3539" s="24" t="s">
        <v>84</v>
      </c>
      <c r="K3539" s="15">
        <v>522217477</v>
      </c>
      <c r="L3539" s="15" t="s">
        <v>29</v>
      </c>
      <c r="M3539" s="15" t="s">
        <v>29</v>
      </c>
    </row>
    <row r="3540" spans="1:13" x14ac:dyDescent="0.25">
      <c r="A3540" s="23"/>
      <c r="B3540" s="14" t="str">
        <f t="shared" si="172"/>
        <v>Direct Debit (UMB Bank) - Credits</v>
      </c>
      <c r="C3540" s="38">
        <v>46160</v>
      </c>
      <c r="D3540" s="34">
        <v>250624</v>
      </c>
      <c r="E3540" s="36" t="str">
        <f>IF(Table3[[#This Row],[Type Received]]=2,"CC",(IF(Table3[[#This Row],[Type Received]]=3,"BILL","ACH")))</f>
        <v>ACH</v>
      </c>
      <c r="F3540" s="35">
        <v>32.81</v>
      </c>
      <c r="G3540" s="14" t="str">
        <f>VLOOKUP(D3540,Table4[],3,FALSE)</f>
        <v>1</v>
      </c>
      <c r="H3540" s="15">
        <v>19822409884</v>
      </c>
      <c r="I3540" s="15"/>
      <c r="J3540" s="15"/>
      <c r="K3540" s="15"/>
      <c r="L3540" s="15"/>
      <c r="M3540" s="15" t="s">
        <v>29</v>
      </c>
    </row>
    <row r="3541" spans="1:13" x14ac:dyDescent="0.25">
      <c r="A3541" s="23"/>
      <c r="B3541" s="14" t="str">
        <f t="shared" si="172"/>
        <v>Direct Debit (UMB Bank) - Credits</v>
      </c>
      <c r="C3541" s="37">
        <v>46167</v>
      </c>
      <c r="D3541" s="31">
        <v>250638</v>
      </c>
      <c r="E3541" s="33" t="str">
        <f>IF(Table3[[#This Row],[Type Received]]=2,"CC",(IF(Table3[[#This Row],[Type Received]]=3,"BILL","ACH")))</f>
        <v>ACH</v>
      </c>
      <c r="F3541" s="32">
        <v>31.54</v>
      </c>
      <c r="G3541" s="14" t="str">
        <f>VLOOKUP(D3541,Table4[],3,FALSE)</f>
        <v>1</v>
      </c>
      <c r="H3541" s="15"/>
      <c r="I3541" s="15"/>
      <c r="J3541" s="15" t="s">
        <v>85</v>
      </c>
      <c r="K3541" s="15">
        <v>818406177</v>
      </c>
      <c r="L3541" s="15" t="s">
        <v>29</v>
      </c>
      <c r="M3541" s="15"/>
    </row>
    <row r="3542" spans="1:13" x14ac:dyDescent="0.25">
      <c r="A3542" s="23"/>
      <c r="B3542" s="14" t="str">
        <f t="shared" si="172"/>
        <v>Direct Debit (UMB Bank) - Credits</v>
      </c>
      <c r="C3542" s="38">
        <v>46167</v>
      </c>
      <c r="D3542" s="34">
        <v>250641</v>
      </c>
      <c r="E3542" s="36" t="str">
        <f>IF(Table3[[#This Row],[Type Received]]=2,"CC",(IF(Table3[[#This Row],[Type Received]]=3,"BILL","ACH")))</f>
        <v>ACH</v>
      </c>
      <c r="F3542" s="35">
        <v>80.98</v>
      </c>
      <c r="G3542" s="14" t="str">
        <f>VLOOKUP(D3542,Table4[],3,FALSE)</f>
        <v>2</v>
      </c>
      <c r="H3542" s="15"/>
      <c r="I3542" s="15"/>
      <c r="J3542" s="15" t="s">
        <v>85</v>
      </c>
      <c r="K3542" s="15">
        <v>818407155</v>
      </c>
      <c r="L3542" s="15" t="s">
        <v>29</v>
      </c>
      <c r="M3542" s="15" t="s">
        <v>29</v>
      </c>
    </row>
    <row r="3543" spans="1:13" x14ac:dyDescent="0.25">
      <c r="A3543" s="23"/>
      <c r="B3543" s="14" t="str">
        <f t="shared" si="172"/>
        <v>Billing - Credits (from TPA)</v>
      </c>
      <c r="C3543" s="37">
        <v>46158</v>
      </c>
      <c r="D3543" s="31">
        <v>250647</v>
      </c>
      <c r="E3543" s="33" t="str">
        <f>IF(Table3[[#This Row],[Type Received]]=2,"CC",(IF(Table3[[#This Row],[Type Received]]=3,"BILL","ACH")))</f>
        <v>BILL</v>
      </c>
      <c r="F3543" s="32">
        <v>78.010000000000005</v>
      </c>
      <c r="G3543" s="14" t="str">
        <f>VLOOKUP(D3543,Table4[],3,FALSE)</f>
        <v>2</v>
      </c>
      <c r="H3543" s="15"/>
      <c r="I3543" s="15"/>
      <c r="J3543" s="15" t="s">
        <v>106</v>
      </c>
      <c r="K3543" s="15">
        <v>710077321</v>
      </c>
      <c r="L3543" s="15" t="s">
        <v>29</v>
      </c>
      <c r="M3543" s="15" t="s">
        <v>29</v>
      </c>
    </row>
    <row r="3544" spans="1:13" x14ac:dyDescent="0.25">
      <c r="A3544" s="23"/>
      <c r="B3544" s="14" t="str">
        <f t="shared" si="172"/>
        <v>Credit Cards (UMB) - Credits</v>
      </c>
      <c r="C3544" s="38">
        <v>46160</v>
      </c>
      <c r="D3544" s="34">
        <v>250657</v>
      </c>
      <c r="E3544" s="36" t="str">
        <f>IF(Table3[[#This Row],[Type Received]]=2,"CC",(IF(Table3[[#This Row],[Type Received]]=3,"BILL","ACH")))</f>
        <v>CC</v>
      </c>
      <c r="F3544" s="35">
        <v>57.9</v>
      </c>
      <c r="G3544" s="14" t="str">
        <f>VLOOKUP(D3544,Table4[],3,FALSE)</f>
        <v>2</v>
      </c>
      <c r="H3544" s="15">
        <v>1297</v>
      </c>
      <c r="I3544" s="15"/>
      <c r="J3544" s="15"/>
      <c r="K3544" s="15"/>
      <c r="L3544" s="15"/>
      <c r="M3544" s="15" t="s">
        <v>29</v>
      </c>
    </row>
    <row r="3545" spans="1:13" x14ac:dyDescent="0.25">
      <c r="A3545" s="23"/>
      <c r="B3545" s="14" t="str">
        <f t="shared" si="172"/>
        <v>Direct Debit (UMB Bank) - Credits</v>
      </c>
      <c r="C3545" s="37">
        <v>46164</v>
      </c>
      <c r="D3545" s="31">
        <v>250658</v>
      </c>
      <c r="E3545" s="33" t="str">
        <f>IF(Table3[[#This Row],[Type Received]]=2,"CC",(IF(Table3[[#This Row],[Type Received]]=3,"BILL","ACH")))</f>
        <v>ACH</v>
      </c>
      <c r="F3545" s="32">
        <v>102.4</v>
      </c>
      <c r="G3545" s="14" t="str">
        <f>VLOOKUP(D3545,Table4[],3,FALSE)</f>
        <v>1</v>
      </c>
      <c r="H3545" s="15"/>
      <c r="I3545" s="15">
        <v>584814</v>
      </c>
      <c r="J3545" s="15">
        <v>747909705</v>
      </c>
      <c r="K3545" s="15">
        <v>355566738</v>
      </c>
      <c r="L3545" s="15"/>
      <c r="M3545" s="15"/>
    </row>
    <row r="3546" spans="1:13" x14ac:dyDescent="0.25">
      <c r="A3546" s="23"/>
      <c r="B3546" s="14" t="str">
        <f t="shared" si="172"/>
        <v>Direct Debit (UMB Bank) - Credits</v>
      </c>
      <c r="C3546" s="38">
        <v>46158</v>
      </c>
      <c r="D3546" s="34">
        <v>250679</v>
      </c>
      <c r="E3546" s="36" t="str">
        <f>IF(Table3[[#This Row],[Type Received]]=2,"CC",(IF(Table3[[#This Row],[Type Received]]=3,"BILL","ACH")))</f>
        <v>ACH</v>
      </c>
      <c r="F3546" s="35">
        <v>43.69</v>
      </c>
      <c r="G3546" s="14" t="str">
        <f>VLOOKUP(D3546,Table4[],3,FALSE)</f>
        <v>1</v>
      </c>
      <c r="H3546" s="15"/>
      <c r="I3546" s="15"/>
      <c r="J3546" s="15" t="s">
        <v>106</v>
      </c>
      <c r="K3546" s="15">
        <v>710059648</v>
      </c>
      <c r="L3546" s="15" t="s">
        <v>29</v>
      </c>
      <c r="M3546" s="15" t="s">
        <v>29</v>
      </c>
    </row>
    <row r="3547" spans="1:13" x14ac:dyDescent="0.25">
      <c r="A3547" s="23"/>
      <c r="B3547" s="14" t="str">
        <f t="shared" si="172"/>
        <v>Credit Cards (UMB) - Credits</v>
      </c>
      <c r="C3547" s="37">
        <v>46143</v>
      </c>
      <c r="D3547" s="31">
        <v>250689</v>
      </c>
      <c r="E3547" s="33" t="str">
        <f>IF(Table3[[#This Row],[Type Received]]=2,"CC",(IF(Table3[[#This Row],[Type Received]]=3,"BILL","ACH")))</f>
        <v>CC</v>
      </c>
      <c r="F3547" s="32">
        <v>91.21</v>
      </c>
      <c r="G3547" s="14" t="str">
        <f>VLOOKUP(D3547,Table4[],3,FALSE)</f>
        <v>2</v>
      </c>
      <c r="H3547" s="15"/>
      <c r="I3547" s="15"/>
      <c r="J3547" s="15" t="s">
        <v>84</v>
      </c>
      <c r="K3547" s="15">
        <v>522384845</v>
      </c>
      <c r="L3547" s="15" t="s">
        <v>29</v>
      </c>
      <c r="M3547" s="15" t="s">
        <v>29</v>
      </c>
    </row>
    <row r="3548" spans="1:13" x14ac:dyDescent="0.25">
      <c r="A3548" s="23"/>
      <c r="B3548" s="14" t="str">
        <f t="shared" si="172"/>
        <v>Direct Debit (UMB Bank) - Credits</v>
      </c>
      <c r="C3548" s="38">
        <v>46146</v>
      </c>
      <c r="D3548" s="34">
        <v>250711</v>
      </c>
      <c r="E3548" s="36" t="str">
        <f>IF(Table3[[#This Row],[Type Received]]=2,"CC",(IF(Table3[[#This Row],[Type Received]]=3,"BILL","ACH")))</f>
        <v>ACH</v>
      </c>
      <c r="F3548" s="35">
        <v>43.69</v>
      </c>
      <c r="G3548" s="14" t="str">
        <f>VLOOKUP(D3548,Table4[],3,FALSE)</f>
        <v>1</v>
      </c>
      <c r="H3548" s="15"/>
      <c r="I3548" s="15">
        <v>4530</v>
      </c>
      <c r="J3548" s="15" t="s">
        <v>28</v>
      </c>
      <c r="K3548" s="15">
        <v>557085548</v>
      </c>
      <c r="L3548" s="15" t="s">
        <v>29</v>
      </c>
      <c r="M3548" s="15" t="s">
        <v>29</v>
      </c>
    </row>
    <row r="3549" spans="1:13" x14ac:dyDescent="0.25">
      <c r="A3549" s="23"/>
      <c r="B3549" s="14" t="str">
        <f t="shared" si="172"/>
        <v>Direct Debit (UMB Bank) - Credits</v>
      </c>
      <c r="C3549" s="37">
        <v>46158</v>
      </c>
      <c r="D3549" s="31">
        <v>250714</v>
      </c>
      <c r="E3549" s="33" t="str">
        <f>IF(Table3[[#This Row],[Type Received]]=2,"CC",(IF(Table3[[#This Row],[Type Received]]=3,"BILL","ACH")))</f>
        <v>ACH</v>
      </c>
      <c r="F3549" s="32">
        <v>41.27</v>
      </c>
      <c r="G3549" s="14" t="str">
        <f>VLOOKUP(D3549,Table4[],3,FALSE)</f>
        <v>1</v>
      </c>
      <c r="H3549" s="15"/>
      <c r="I3549" s="15"/>
      <c r="J3549" s="24" t="s">
        <v>106</v>
      </c>
      <c r="K3549" s="15">
        <v>710063644</v>
      </c>
      <c r="L3549" s="15" t="s">
        <v>29</v>
      </c>
      <c r="M3549" s="15"/>
    </row>
    <row r="3550" spans="1:13" x14ac:dyDescent="0.25">
      <c r="A3550" s="23"/>
      <c r="B3550" s="14" t="str">
        <f t="shared" si="172"/>
        <v>Direct Debit (UMB Bank) - Credits</v>
      </c>
      <c r="C3550" s="38">
        <v>46158</v>
      </c>
      <c r="D3550" s="34">
        <v>250715</v>
      </c>
      <c r="E3550" s="36" t="str">
        <f>IF(Table3[[#This Row],[Type Received]]=2,"CC",(IF(Table3[[#This Row],[Type Received]]=3,"BILL","ACH")))</f>
        <v>ACH</v>
      </c>
      <c r="F3550" s="35">
        <v>73.39</v>
      </c>
      <c r="G3550" s="14" t="str">
        <f>VLOOKUP(D3550,Table4[],3,FALSE)</f>
        <v>1</v>
      </c>
      <c r="H3550" s="15"/>
      <c r="I3550" s="15"/>
      <c r="J3550" s="24" t="s">
        <v>106</v>
      </c>
      <c r="K3550" s="15">
        <v>710076335</v>
      </c>
      <c r="L3550" s="15" t="s">
        <v>29</v>
      </c>
      <c r="M3550" s="15" t="s">
        <v>29</v>
      </c>
    </row>
    <row r="3551" spans="1:13" x14ac:dyDescent="0.25">
      <c r="A3551" s="23"/>
      <c r="B3551" s="14" t="str">
        <f t="shared" si="172"/>
        <v>Direct Debit (UMB Bank) - Credits</v>
      </c>
      <c r="C3551" s="37">
        <v>46146</v>
      </c>
      <c r="D3551" s="31">
        <v>250733</v>
      </c>
      <c r="E3551" s="33" t="str">
        <f>IF(Table3[[#This Row],[Type Received]]=2,"CC",(IF(Table3[[#This Row],[Type Received]]=3,"BILL","ACH")))</f>
        <v>ACH</v>
      </c>
      <c r="F3551" s="32">
        <v>27.85</v>
      </c>
      <c r="G3551" s="14" t="str">
        <f>VLOOKUP(D3551,Table4[],3,FALSE)</f>
        <v>1</v>
      </c>
      <c r="H3551" s="15"/>
      <c r="I3551" s="15"/>
      <c r="J3551" s="15" t="s">
        <v>92</v>
      </c>
      <c r="K3551" s="15">
        <v>557099731</v>
      </c>
      <c r="L3551" s="15" t="s">
        <v>29</v>
      </c>
      <c r="M3551" s="15"/>
    </row>
    <row r="3552" spans="1:13" x14ac:dyDescent="0.25">
      <c r="A3552" s="23"/>
      <c r="B3552" s="14" t="str">
        <f t="shared" si="172"/>
        <v>Billing - Credits (from TPA)</v>
      </c>
      <c r="C3552" s="38">
        <v>46167</v>
      </c>
      <c r="D3552" s="34">
        <v>250744</v>
      </c>
      <c r="E3552" s="36" t="str">
        <f>IF(Table3[[#This Row],[Type Received]]=2,"CC",(IF(Table3[[#This Row],[Type Received]]=3,"BILL","ACH")))</f>
        <v>BILL</v>
      </c>
      <c r="F3552" s="35">
        <v>59.86</v>
      </c>
      <c r="G3552" s="14" t="str">
        <f>VLOOKUP(D3552,Table4[],3,FALSE)</f>
        <v>2</v>
      </c>
      <c r="H3552" s="15"/>
      <c r="I3552" s="15"/>
      <c r="J3552" s="15" t="s">
        <v>85</v>
      </c>
      <c r="K3552" s="15">
        <v>818383866</v>
      </c>
      <c r="L3552" s="15" t="s">
        <v>29</v>
      </c>
      <c r="M3552" s="15"/>
    </row>
    <row r="3553" spans="1:13" x14ac:dyDescent="0.25">
      <c r="A3553" s="23"/>
      <c r="B3553" s="14" t="str">
        <f t="shared" si="172"/>
        <v>Credit Cards (UMB) - Credits</v>
      </c>
      <c r="C3553" s="37">
        <v>46168</v>
      </c>
      <c r="D3553" s="31">
        <v>250753</v>
      </c>
      <c r="E3553" s="33" t="str">
        <f>IF(Table3[[#This Row],[Type Received]]=2,"CC",(IF(Table3[[#This Row],[Type Received]]=3,"BILL","ACH")))</f>
        <v>CC</v>
      </c>
      <c r="F3553" s="32">
        <v>111.94</v>
      </c>
      <c r="G3553" s="14" t="str">
        <f>VLOOKUP(D3553,Table4[],3,FALSE)</f>
        <v>1</v>
      </c>
      <c r="H3553" s="15">
        <v>302</v>
      </c>
      <c r="I3553" s="15"/>
      <c r="J3553" s="24"/>
      <c r="K3553" s="15"/>
      <c r="L3553" s="15"/>
      <c r="M3553" s="15" t="s">
        <v>29</v>
      </c>
    </row>
    <row r="3554" spans="1:13" x14ac:dyDescent="0.25">
      <c r="A3554" s="23"/>
      <c r="B3554" s="14" t="str">
        <f t="shared" si="172"/>
        <v>Direct Debit (UMB Bank) - Credits</v>
      </c>
      <c r="C3554" s="38">
        <v>46143</v>
      </c>
      <c r="D3554" s="34">
        <v>250758</v>
      </c>
      <c r="E3554" s="36" t="str">
        <f>IF(Table3[[#This Row],[Type Received]]=2,"CC",(IF(Table3[[#This Row],[Type Received]]=3,"BILL","ACH")))</f>
        <v>ACH</v>
      </c>
      <c r="F3554" s="35">
        <v>71.459999999999994</v>
      </c>
      <c r="G3554" s="14" t="str">
        <f>VLOOKUP(D3554,Table4[],3,FALSE)</f>
        <v>1</v>
      </c>
      <c r="H3554" s="15"/>
      <c r="I3554" s="15">
        <v>346243</v>
      </c>
      <c r="J3554" s="15">
        <v>741374152</v>
      </c>
      <c r="K3554" s="15">
        <v>353091838</v>
      </c>
      <c r="L3554" s="15"/>
      <c r="M3554" s="15"/>
    </row>
    <row r="3555" spans="1:13" x14ac:dyDescent="0.25">
      <c r="A3555" s="23"/>
      <c r="B3555" s="14" t="str">
        <f t="shared" si="172"/>
        <v>Billing - Credits (from TPA)</v>
      </c>
      <c r="C3555" s="37">
        <v>46167</v>
      </c>
      <c r="D3555" s="31">
        <v>250788</v>
      </c>
      <c r="E3555" s="33" t="str">
        <f>IF(Table3[[#This Row],[Type Received]]=2,"CC",(IF(Table3[[#This Row],[Type Received]]=3,"BILL","ACH")))</f>
        <v>BILL</v>
      </c>
      <c r="F3555" s="32">
        <v>42.7</v>
      </c>
      <c r="G3555" s="14" t="str">
        <f>VLOOKUP(D3555,Table4[],3,FALSE)</f>
        <v>2</v>
      </c>
      <c r="H3555" s="15"/>
      <c r="I3555" s="15"/>
      <c r="J3555" s="15" t="s">
        <v>85</v>
      </c>
      <c r="K3555" s="15">
        <v>818395619</v>
      </c>
      <c r="L3555" s="15" t="s">
        <v>29</v>
      </c>
      <c r="M3555" s="15"/>
    </row>
    <row r="3556" spans="1:13" x14ac:dyDescent="0.25">
      <c r="A3556" s="23"/>
      <c r="B3556" s="14" t="str">
        <f t="shared" si="172"/>
        <v>Billing - Credits (from TPA)</v>
      </c>
      <c r="C3556" s="38">
        <v>46150</v>
      </c>
      <c r="D3556" s="34">
        <v>251028</v>
      </c>
      <c r="E3556" s="36" t="str">
        <f>IF(Table3[[#This Row],[Type Received]]=2,"CC",(IF(Table3[[#This Row],[Type Received]]=3,"BILL","ACH")))</f>
        <v>BILL</v>
      </c>
      <c r="F3556" s="35">
        <v>48.66</v>
      </c>
      <c r="G3556" s="14" t="str">
        <f>VLOOKUP(D3556,Table4[],3,FALSE)</f>
        <v>1</v>
      </c>
      <c r="H3556" s="15">
        <v>75979145</v>
      </c>
      <c r="I3556" s="15"/>
      <c r="J3556" s="15"/>
      <c r="K3556" s="15"/>
      <c r="L3556" s="15"/>
      <c r="M3556" s="15" t="s">
        <v>29</v>
      </c>
    </row>
    <row r="3557" spans="1:13" x14ac:dyDescent="0.25">
      <c r="A3557" s="23"/>
      <c r="B3557" s="14" t="str">
        <f t="shared" si="172"/>
        <v>Direct Debit (UMB Bank) - Credits</v>
      </c>
      <c r="C3557" s="37">
        <v>46149</v>
      </c>
      <c r="D3557" s="31">
        <v>251039</v>
      </c>
      <c r="E3557" s="33" t="str">
        <f>IF(Table3[[#This Row],[Type Received]]=2,"CC",(IF(Table3[[#This Row],[Type Received]]=3,"BILL","ACH")))</f>
        <v>ACH</v>
      </c>
      <c r="F3557" s="32">
        <v>183.3</v>
      </c>
      <c r="G3557" s="14" t="str">
        <f>VLOOKUP(D3557,Table4[],3,FALSE)</f>
        <v>2</v>
      </c>
      <c r="H3557" s="15">
        <v>2985</v>
      </c>
      <c r="I3557" s="15"/>
      <c r="J3557" s="24"/>
      <c r="K3557" s="15"/>
      <c r="L3557" s="15"/>
      <c r="M3557" s="15" t="s">
        <v>29</v>
      </c>
    </row>
    <row r="3558" spans="1:13" x14ac:dyDescent="0.25">
      <c r="A3558" s="23"/>
      <c r="B3558" s="14" t="str">
        <f t="shared" si="172"/>
        <v>Direct Debit (UMB Bank) - Credits</v>
      </c>
      <c r="C3558" s="38">
        <v>46157</v>
      </c>
      <c r="D3558" s="34">
        <v>251049</v>
      </c>
      <c r="E3558" s="36" t="str">
        <f>IF(Table3[[#This Row],[Type Received]]=2,"CC",(IF(Table3[[#This Row],[Type Received]]=3,"BILL","ACH")))</f>
        <v>ACH</v>
      </c>
      <c r="F3558" s="35">
        <v>72.42</v>
      </c>
      <c r="G3558" s="14" t="str">
        <f>VLOOKUP(D3558,Table4[],3,FALSE)</f>
        <v>2</v>
      </c>
      <c r="H3558" s="15"/>
      <c r="I3558" s="15"/>
      <c r="J3558" s="15" t="s">
        <v>87</v>
      </c>
      <c r="K3558" s="15">
        <v>700614447</v>
      </c>
      <c r="L3558" s="15" t="s">
        <v>29</v>
      </c>
      <c r="M3558" s="15"/>
    </row>
    <row r="3559" spans="1:13" x14ac:dyDescent="0.25">
      <c r="A3559" s="23"/>
      <c r="B3559" s="14" t="str">
        <f t="shared" si="172"/>
        <v>Credit Cards (UMB) - Credits</v>
      </c>
      <c r="C3559" s="37">
        <v>46143</v>
      </c>
      <c r="D3559" s="31">
        <v>251054</v>
      </c>
      <c r="E3559" s="33" t="str">
        <f>IF(Table3[[#This Row],[Type Received]]=2,"CC",(IF(Table3[[#This Row],[Type Received]]=3,"BILL","ACH")))</f>
        <v>CC</v>
      </c>
      <c r="F3559" s="32">
        <v>34.450000000000003</v>
      </c>
      <c r="G3559" s="14" t="str">
        <f>VLOOKUP(D3559,Table4[],3,FALSE)</f>
        <v>1</v>
      </c>
      <c r="H3559" s="15"/>
      <c r="I3559" s="15"/>
      <c r="J3559" s="15" t="s">
        <v>84</v>
      </c>
      <c r="K3559" s="15">
        <v>522395467</v>
      </c>
      <c r="L3559" s="15" t="s">
        <v>29</v>
      </c>
      <c r="M3559" s="15" t="s">
        <v>29</v>
      </c>
    </row>
    <row r="3560" spans="1:13" x14ac:dyDescent="0.25">
      <c r="A3560" s="23"/>
      <c r="B3560" s="14" t="str">
        <f t="shared" si="172"/>
        <v>Billing - Credits (from TPA)</v>
      </c>
      <c r="C3560" s="38">
        <v>46155</v>
      </c>
      <c r="D3560" s="34">
        <v>251058</v>
      </c>
      <c r="E3560" s="36" t="str">
        <f>IF(Table3[[#This Row],[Type Received]]=2,"CC",(IF(Table3[[#This Row],[Type Received]]=3,"BILL","ACH")))</f>
        <v>BILL</v>
      </c>
      <c r="F3560" s="35">
        <v>141.37</v>
      </c>
      <c r="G3560" s="14" t="str">
        <f>VLOOKUP(D3560,Table4[],3,FALSE)</f>
        <v>2</v>
      </c>
      <c r="H3560" s="15"/>
      <c r="I3560" s="15">
        <v>119874</v>
      </c>
      <c r="J3560" s="15" t="s">
        <v>28</v>
      </c>
      <c r="K3560" s="15">
        <v>669501725</v>
      </c>
      <c r="L3560" s="15" t="s">
        <v>29</v>
      </c>
      <c r="M3560" s="15" t="s">
        <v>29</v>
      </c>
    </row>
    <row r="3561" spans="1:13" x14ac:dyDescent="0.25">
      <c r="A3561" s="23"/>
      <c r="B3561" s="14" t="str">
        <f t="shared" si="172"/>
        <v>Billing - Credits (from TPA)</v>
      </c>
      <c r="C3561" s="37">
        <v>46171</v>
      </c>
      <c r="D3561" s="31">
        <v>251064</v>
      </c>
      <c r="E3561" s="33" t="str">
        <f>IF(Table3[[#This Row],[Type Received]]=2,"CC",(IF(Table3[[#This Row],[Type Received]]=3,"BILL","ACH")))</f>
        <v>BILL</v>
      </c>
      <c r="F3561" s="32">
        <v>57.9</v>
      </c>
      <c r="G3561" s="14" t="str">
        <f>VLOOKUP(D3561,Table4[],3,FALSE)</f>
        <v>2</v>
      </c>
      <c r="H3561" s="15">
        <v>3521</v>
      </c>
      <c r="I3561" s="15"/>
      <c r="J3561" s="15"/>
      <c r="K3561" s="15"/>
      <c r="L3561" s="15"/>
      <c r="M3561" s="15" t="s">
        <v>29</v>
      </c>
    </row>
    <row r="3562" spans="1:13" x14ac:dyDescent="0.25">
      <c r="A3562" s="23"/>
      <c r="B3562" s="14" t="str">
        <f t="shared" si="172"/>
        <v>Billing - Credits (from TPA)</v>
      </c>
      <c r="C3562" s="38">
        <v>46171</v>
      </c>
      <c r="D3562" s="34">
        <v>251064</v>
      </c>
      <c r="E3562" s="36" t="str">
        <f>IF(Table3[[#This Row],[Type Received]]=2,"CC",(IF(Table3[[#This Row],[Type Received]]=3,"BILL","ACH")))</f>
        <v>BILL</v>
      </c>
      <c r="F3562" s="35">
        <v>57.9</v>
      </c>
      <c r="G3562" s="14" t="str">
        <f>VLOOKUP(D3562,Table4[],3,FALSE)</f>
        <v>2</v>
      </c>
      <c r="H3562" s="15">
        <v>3517</v>
      </c>
      <c r="I3562" s="15"/>
      <c r="J3562" s="15"/>
      <c r="K3562" s="15"/>
      <c r="L3562" s="15"/>
      <c r="M3562" s="15"/>
    </row>
    <row r="3563" spans="1:13" x14ac:dyDescent="0.25">
      <c r="A3563" s="23"/>
      <c r="B3563" s="14" t="str">
        <f t="shared" si="172"/>
        <v>Direct Debit (UMB Bank) - Credits</v>
      </c>
      <c r="C3563" s="37">
        <v>46146</v>
      </c>
      <c r="D3563" s="31">
        <v>251081</v>
      </c>
      <c r="E3563" s="33" t="str">
        <f>IF(Table3[[#This Row],[Type Received]]=2,"CC",(IF(Table3[[#This Row],[Type Received]]=3,"BILL","ACH")))</f>
        <v>ACH</v>
      </c>
      <c r="F3563" s="32">
        <v>58.45</v>
      </c>
      <c r="G3563" s="14" t="str">
        <f>VLOOKUP(D3563,Table4[],3,FALSE)</f>
        <v>1</v>
      </c>
      <c r="H3563" s="15">
        <v>100105</v>
      </c>
      <c r="I3563" s="15"/>
      <c r="J3563" s="24"/>
      <c r="K3563" s="15"/>
      <c r="L3563" s="15"/>
      <c r="M3563" s="15"/>
    </row>
    <row r="3564" spans="1:13" x14ac:dyDescent="0.25">
      <c r="A3564" s="23"/>
      <c r="B3564" s="14" t="str">
        <f t="shared" si="172"/>
        <v>Billing - Credits (from TPA)</v>
      </c>
      <c r="C3564" s="38">
        <v>46167</v>
      </c>
      <c r="D3564" s="34">
        <v>251094</v>
      </c>
      <c r="E3564" s="36" t="str">
        <f>IF(Table3[[#This Row],[Type Received]]=2,"CC",(IF(Table3[[#This Row],[Type Received]]=3,"BILL","ACH")))</f>
        <v>BILL</v>
      </c>
      <c r="F3564" s="35">
        <v>43.95</v>
      </c>
      <c r="G3564" s="14" t="str">
        <f>VLOOKUP(D3564,Table4[],3,FALSE)</f>
        <v>2</v>
      </c>
      <c r="H3564" s="15"/>
      <c r="I3564" s="15"/>
      <c r="J3564" s="15" t="s">
        <v>85</v>
      </c>
      <c r="K3564" s="15">
        <v>818383048</v>
      </c>
      <c r="L3564" s="15" t="s">
        <v>29</v>
      </c>
      <c r="M3564" s="15" t="s">
        <v>29</v>
      </c>
    </row>
    <row r="3565" spans="1:13" x14ac:dyDescent="0.25">
      <c r="A3565" s="23"/>
      <c r="B3565" s="14" t="str">
        <f t="shared" si="172"/>
        <v>Direct Debit (UMB Bank) - Credits</v>
      </c>
      <c r="C3565" s="37">
        <v>46148</v>
      </c>
      <c r="D3565" s="31">
        <v>251106</v>
      </c>
      <c r="E3565" s="33" t="str">
        <f>IF(Table3[[#This Row],[Type Received]]=2,"CC",(IF(Table3[[#This Row],[Type Received]]=3,"BILL","ACH")))</f>
        <v>ACH</v>
      </c>
      <c r="F3565" s="32">
        <v>43.71</v>
      </c>
      <c r="G3565" s="14" t="str">
        <f>VLOOKUP(D3565,Table4[],3,FALSE)</f>
        <v>1</v>
      </c>
      <c r="H3565" s="15">
        <v>299</v>
      </c>
      <c r="I3565" s="15"/>
      <c r="J3565" s="15"/>
      <c r="K3565" s="15"/>
      <c r="L3565" s="15"/>
      <c r="M3565" s="15" t="s">
        <v>29</v>
      </c>
    </row>
    <row r="3566" spans="1:13" x14ac:dyDescent="0.25">
      <c r="A3566" s="23"/>
      <c r="B3566" s="14" t="str">
        <f t="shared" si="172"/>
        <v>Direct Debit (UMB Bank) - Credits</v>
      </c>
      <c r="C3566" s="38">
        <v>46143</v>
      </c>
      <c r="D3566" s="34">
        <v>251115</v>
      </c>
      <c r="E3566" s="36" t="str">
        <f>IF(Table3[[#This Row],[Type Received]]=2,"CC",(IF(Table3[[#This Row],[Type Received]]=3,"BILL","ACH")))</f>
        <v>ACH</v>
      </c>
      <c r="F3566" s="35">
        <v>52.49</v>
      </c>
      <c r="G3566" s="14" t="str">
        <f>VLOOKUP(D3566,Table4[],3,FALSE)</f>
        <v>1</v>
      </c>
      <c r="H3566" s="15"/>
      <c r="I3566" s="15"/>
      <c r="J3566" s="15" t="s">
        <v>84</v>
      </c>
      <c r="K3566" s="15">
        <v>522394593</v>
      </c>
      <c r="L3566" s="15" t="s">
        <v>29</v>
      </c>
      <c r="M3566" s="15" t="s">
        <v>29</v>
      </c>
    </row>
    <row r="3567" spans="1:13" x14ac:dyDescent="0.25">
      <c r="A3567" s="23"/>
      <c r="B3567" s="14" t="str">
        <f t="shared" si="172"/>
        <v>Direct Debit (UMB Bank) - Credits</v>
      </c>
      <c r="C3567" s="37">
        <v>46167</v>
      </c>
      <c r="D3567" s="31">
        <v>251120</v>
      </c>
      <c r="E3567" s="33" t="str">
        <f>IF(Table3[[#This Row],[Type Received]]=2,"CC",(IF(Table3[[#This Row],[Type Received]]=3,"BILL","ACH")))</f>
        <v>ACH</v>
      </c>
      <c r="F3567" s="32">
        <v>52.27</v>
      </c>
      <c r="G3567" s="14" t="str">
        <f>VLOOKUP(D3567,Table4[],3,FALSE)</f>
        <v>2</v>
      </c>
      <c r="H3567" s="15"/>
      <c r="I3567" s="15"/>
      <c r="J3567" s="15" t="s">
        <v>85</v>
      </c>
      <c r="K3567" s="15">
        <v>818395671</v>
      </c>
      <c r="L3567" s="15" t="s">
        <v>29</v>
      </c>
      <c r="M3567" s="15"/>
    </row>
    <row r="3568" spans="1:13" x14ac:dyDescent="0.25">
      <c r="A3568" s="23"/>
      <c r="B3568" s="14" t="str">
        <f t="shared" si="172"/>
        <v>Direct Debit (UMB Bank) - Credits</v>
      </c>
      <c r="C3568" s="38">
        <v>46168</v>
      </c>
      <c r="D3568" s="34">
        <v>251138</v>
      </c>
      <c r="E3568" s="36" t="str">
        <f>IF(Table3[[#This Row],[Type Received]]=2,"CC",(IF(Table3[[#This Row],[Type Received]]=3,"BILL","ACH")))</f>
        <v>ACH</v>
      </c>
      <c r="F3568" s="35">
        <v>96.16</v>
      </c>
      <c r="G3568" s="14" t="str">
        <f>VLOOKUP(D3568,Table4[],3,FALSE)</f>
        <v>2</v>
      </c>
      <c r="H3568" s="15"/>
      <c r="I3568" s="15"/>
      <c r="J3568" s="15" t="s">
        <v>110</v>
      </c>
      <c r="K3568" s="15">
        <v>828232614</v>
      </c>
      <c r="L3568" s="15" t="s">
        <v>29</v>
      </c>
      <c r="M3568" s="15"/>
    </row>
    <row r="3569" spans="1:13" x14ac:dyDescent="0.25">
      <c r="A3569" s="23"/>
      <c r="B3569" s="14" t="str">
        <f t="shared" si="172"/>
        <v>Credit Cards (UMB) - Credits</v>
      </c>
      <c r="C3569" s="37">
        <v>46158</v>
      </c>
      <c r="D3569" s="31">
        <v>251140</v>
      </c>
      <c r="E3569" s="33" t="str">
        <f>IF(Table3[[#This Row],[Type Received]]=2,"CC",(IF(Table3[[#This Row],[Type Received]]=3,"BILL","ACH")))</f>
        <v>CC</v>
      </c>
      <c r="F3569" s="32">
        <v>48.97</v>
      </c>
      <c r="G3569" s="14" t="str">
        <f>VLOOKUP(D3569,Table4[],3,FALSE)</f>
        <v>2</v>
      </c>
      <c r="H3569" s="15"/>
      <c r="I3569" s="15"/>
      <c r="J3569" s="15" t="s">
        <v>106</v>
      </c>
      <c r="K3569" s="15">
        <v>710074437</v>
      </c>
      <c r="L3569" s="15" t="s">
        <v>29</v>
      </c>
      <c r="M3569" s="15"/>
    </row>
    <row r="3570" spans="1:13" x14ac:dyDescent="0.25">
      <c r="A3570" s="23"/>
      <c r="B3570" s="14" t="str">
        <f t="shared" si="172"/>
        <v>Credit Cards (UMB) - Credits</v>
      </c>
      <c r="C3570" s="38">
        <v>46155</v>
      </c>
      <c r="D3570" s="34">
        <v>251146</v>
      </c>
      <c r="E3570" s="36" t="str">
        <f>IF(Table3[[#This Row],[Type Received]]=2,"CC",(IF(Table3[[#This Row],[Type Received]]=3,"BILL","ACH")))</f>
        <v>CC</v>
      </c>
      <c r="F3570" s="35">
        <v>127.29</v>
      </c>
      <c r="G3570" s="14" t="str">
        <f>VLOOKUP(D3570,Table4[],3,FALSE)</f>
        <v>1</v>
      </c>
      <c r="H3570" s="15"/>
      <c r="I3570" s="15">
        <v>132174</v>
      </c>
      <c r="J3570" s="24" t="s">
        <v>28</v>
      </c>
      <c r="K3570" s="15">
        <v>669523357</v>
      </c>
      <c r="L3570" s="15" t="s">
        <v>29</v>
      </c>
      <c r="M3570" s="15" t="s">
        <v>29</v>
      </c>
    </row>
    <row r="3571" spans="1:13" x14ac:dyDescent="0.25">
      <c r="A3571" s="23"/>
      <c r="B3571" s="14" t="str">
        <f t="shared" si="172"/>
        <v>Direct Debit (UMB Bank) - Credits</v>
      </c>
      <c r="C3571" s="37">
        <v>46155</v>
      </c>
      <c r="D3571" s="31">
        <v>251147</v>
      </c>
      <c r="E3571" s="33" t="str">
        <f>IF(Table3[[#This Row],[Type Received]]=2,"CC",(IF(Table3[[#This Row],[Type Received]]=3,"BILL","ACH")))</f>
        <v>ACH</v>
      </c>
      <c r="F3571" s="32">
        <v>33.130000000000003</v>
      </c>
      <c r="G3571" s="14" t="str">
        <f>VLOOKUP(D3571,Table4[],3,FALSE)</f>
        <v>1</v>
      </c>
      <c r="H3571" s="15"/>
      <c r="I3571" s="15" t="s">
        <v>298</v>
      </c>
      <c r="J3571" s="15" t="s">
        <v>28</v>
      </c>
      <c r="K3571" s="15">
        <v>669492037</v>
      </c>
      <c r="L3571" s="15" t="s">
        <v>29</v>
      </c>
      <c r="M3571" s="15"/>
    </row>
    <row r="3572" spans="1:13" x14ac:dyDescent="0.25">
      <c r="A3572" s="23"/>
      <c r="B3572" s="14" t="str">
        <f t="shared" si="172"/>
        <v>Direct Debit (UMB Bank) - Credits</v>
      </c>
      <c r="C3572" s="38">
        <v>46143</v>
      </c>
      <c r="D3572" s="34">
        <v>251156</v>
      </c>
      <c r="E3572" s="36" t="str">
        <f>IF(Table3[[#This Row],[Type Received]]=2,"CC",(IF(Table3[[#This Row],[Type Received]]=3,"BILL","ACH")))</f>
        <v>ACH</v>
      </c>
      <c r="F3572" s="35">
        <v>28.93</v>
      </c>
      <c r="G3572" s="14" t="str">
        <f>VLOOKUP(D3572,Table4[],3,FALSE)</f>
        <v>1</v>
      </c>
      <c r="H3572" s="15"/>
      <c r="I3572" s="15"/>
      <c r="J3572" s="15" t="s">
        <v>84</v>
      </c>
      <c r="K3572" s="15">
        <v>522383941</v>
      </c>
      <c r="L3572" s="15" t="s">
        <v>29</v>
      </c>
      <c r="M3572" s="15"/>
    </row>
    <row r="3573" spans="1:13" x14ac:dyDescent="0.25">
      <c r="A3573" s="23"/>
      <c r="B3573" s="14" t="str">
        <f t="shared" si="172"/>
        <v>Direct Debit (UMB Bank) - Credits</v>
      </c>
      <c r="C3573" s="37">
        <v>46167</v>
      </c>
      <c r="D3573" s="31">
        <v>251174</v>
      </c>
      <c r="E3573" s="33" t="str">
        <f>IF(Table3[[#This Row],[Type Received]]=2,"CC",(IF(Table3[[#This Row],[Type Received]]=3,"BILL","ACH")))</f>
        <v>ACH</v>
      </c>
      <c r="F3573" s="32">
        <v>33.79</v>
      </c>
      <c r="G3573" s="14" t="str">
        <f>VLOOKUP(D3573,Table4[],3,FALSE)</f>
        <v>2</v>
      </c>
      <c r="H3573" s="15"/>
      <c r="I3573" s="15"/>
      <c r="J3573" s="15" t="s">
        <v>85</v>
      </c>
      <c r="K3573" s="15">
        <v>818383924</v>
      </c>
      <c r="L3573" s="15" t="s">
        <v>29</v>
      </c>
      <c r="M3573" s="15" t="s">
        <v>29</v>
      </c>
    </row>
    <row r="3574" spans="1:13" x14ac:dyDescent="0.25">
      <c r="A3574" s="23"/>
      <c r="B3574" s="14" t="str">
        <f t="shared" si="172"/>
        <v>Direct Debit (UMB Bank) - Credits</v>
      </c>
      <c r="C3574" s="38">
        <v>46143</v>
      </c>
      <c r="D3574" s="34">
        <v>251175</v>
      </c>
      <c r="E3574" s="36" t="str">
        <f>IF(Table3[[#This Row],[Type Received]]=2,"CC",(IF(Table3[[#This Row],[Type Received]]=3,"BILL","ACH")))</f>
        <v>ACH</v>
      </c>
      <c r="F3574" s="35">
        <v>104.9</v>
      </c>
      <c r="G3574" s="14" t="str">
        <f>VLOOKUP(D3574,Table4[],3,FALSE)</f>
        <v>2</v>
      </c>
      <c r="H3574" s="15"/>
      <c r="I3574" s="15"/>
      <c r="J3574" s="15" t="s">
        <v>84</v>
      </c>
      <c r="K3574" s="15">
        <v>528079363</v>
      </c>
      <c r="L3574" s="15" t="s">
        <v>29</v>
      </c>
      <c r="M3574" s="15" t="s">
        <v>29</v>
      </c>
    </row>
    <row r="3575" spans="1:13" x14ac:dyDescent="0.25">
      <c r="A3575" s="23"/>
      <c r="B3575" s="14" t="str">
        <f t="shared" si="172"/>
        <v>Direct Debit (UMB Bank) - Credits</v>
      </c>
      <c r="C3575" s="37">
        <v>46158</v>
      </c>
      <c r="D3575" s="31">
        <v>251185</v>
      </c>
      <c r="E3575" s="33" t="str">
        <f>IF(Table3[[#This Row],[Type Received]]=2,"CC",(IF(Table3[[#This Row],[Type Received]]=3,"BILL","ACH")))</f>
        <v>ACH</v>
      </c>
      <c r="F3575" s="32">
        <v>44.35</v>
      </c>
      <c r="G3575" s="14" t="str">
        <f>VLOOKUP(D3575,Table4[],3,FALSE)</f>
        <v>1</v>
      </c>
      <c r="H3575" s="15"/>
      <c r="I3575" s="15"/>
      <c r="J3575" s="15" t="s">
        <v>106</v>
      </c>
      <c r="K3575" s="15">
        <v>710053059</v>
      </c>
      <c r="L3575" s="15" t="s">
        <v>29</v>
      </c>
      <c r="M3575" s="15"/>
    </row>
    <row r="3576" spans="1:13" x14ac:dyDescent="0.25">
      <c r="A3576" s="23"/>
      <c r="B3576" s="14" t="str">
        <f t="shared" si="172"/>
        <v>Direct Debit (UMB Bank) - Credits</v>
      </c>
      <c r="C3576" s="38">
        <v>46144</v>
      </c>
      <c r="D3576" s="34">
        <v>251209</v>
      </c>
      <c r="E3576" s="36" t="str">
        <f>IF(Table3[[#This Row],[Type Received]]=2,"CC",(IF(Table3[[#This Row],[Type Received]]=3,"BILL","ACH")))</f>
        <v>ACH</v>
      </c>
      <c r="F3576" s="35">
        <v>30.95</v>
      </c>
      <c r="G3576" s="14" t="str">
        <f>VLOOKUP(D3576,Table4[],3,FALSE)</f>
        <v>2</v>
      </c>
      <c r="H3576" s="15"/>
      <c r="I3576" s="15"/>
      <c r="J3576" s="24" t="s">
        <v>89</v>
      </c>
      <c r="K3576" s="15">
        <v>535330798</v>
      </c>
      <c r="L3576" s="15" t="s">
        <v>29</v>
      </c>
      <c r="M3576" s="15" t="s">
        <v>29</v>
      </c>
    </row>
    <row r="3577" spans="1:13" x14ac:dyDescent="0.25">
      <c r="A3577" s="23"/>
      <c r="B3577" s="14" t="str">
        <f t="shared" si="172"/>
        <v>Direct Debit (UMB Bank) - Credits</v>
      </c>
      <c r="C3577" s="37">
        <v>46143</v>
      </c>
      <c r="D3577" s="31">
        <v>250827</v>
      </c>
      <c r="E3577" s="33" t="str">
        <f>IF(Table3[[#This Row],[Type Received]]=2,"CC",(IF(Table3[[#This Row],[Type Received]]=3,"BILL","ACH")))</f>
        <v>ACH</v>
      </c>
      <c r="F3577" s="32">
        <v>136.75</v>
      </c>
      <c r="G3577" s="14" t="str">
        <f>VLOOKUP(D3577,Table4[],3,FALSE)</f>
        <v>2</v>
      </c>
      <c r="H3577" s="15"/>
      <c r="I3577" s="15"/>
      <c r="J3577" s="15" t="s">
        <v>84</v>
      </c>
      <c r="K3577" s="15">
        <v>522406120</v>
      </c>
      <c r="L3577" s="15" t="s">
        <v>29</v>
      </c>
      <c r="M3577" s="15" t="s">
        <v>29</v>
      </c>
    </row>
    <row r="3578" spans="1:13" x14ac:dyDescent="0.25">
      <c r="A3578" s="23"/>
      <c r="B3578" s="14" t="str">
        <f t="shared" si="172"/>
        <v>Direct Debit (UMB Bank) - Credits</v>
      </c>
      <c r="C3578" s="38">
        <v>46167</v>
      </c>
      <c r="D3578" s="34">
        <v>250828</v>
      </c>
      <c r="E3578" s="36" t="str">
        <f>IF(Table3[[#This Row],[Type Received]]=2,"CC",(IF(Table3[[#This Row],[Type Received]]=3,"BILL","ACH")))</f>
        <v>ACH</v>
      </c>
      <c r="F3578" s="35">
        <v>58.87</v>
      </c>
      <c r="G3578" s="14" t="str">
        <f>VLOOKUP(D3578,Table4[],3,FALSE)</f>
        <v>2</v>
      </c>
      <c r="H3578" s="15"/>
      <c r="I3578" s="15"/>
      <c r="J3578" s="15" t="s">
        <v>85</v>
      </c>
      <c r="K3578" s="15">
        <v>818392650</v>
      </c>
      <c r="L3578" s="15" t="s">
        <v>29</v>
      </c>
      <c r="M3578" s="15"/>
    </row>
    <row r="3579" spans="1:13" x14ac:dyDescent="0.25">
      <c r="A3579" s="23"/>
      <c r="B3579" s="14" t="str">
        <f t="shared" si="172"/>
        <v>Direct Debit (UMB Bank) - Credits</v>
      </c>
      <c r="C3579" s="37">
        <v>46155</v>
      </c>
      <c r="D3579" s="31">
        <v>250839</v>
      </c>
      <c r="E3579" s="33" t="str">
        <f>IF(Table3[[#This Row],[Type Received]]=2,"CC",(IF(Table3[[#This Row],[Type Received]]=3,"BILL","ACH")))</f>
        <v>ACH</v>
      </c>
      <c r="F3579" s="32">
        <v>47.21</v>
      </c>
      <c r="G3579" s="14" t="str">
        <f>VLOOKUP(D3579,Table4[],3,FALSE)</f>
        <v>1</v>
      </c>
      <c r="H3579" s="15"/>
      <c r="I3579" s="15"/>
      <c r="J3579" s="15" t="s">
        <v>90</v>
      </c>
      <c r="K3579" s="15">
        <v>669531155</v>
      </c>
      <c r="L3579" s="15" t="s">
        <v>29</v>
      </c>
      <c r="M3579" s="15"/>
    </row>
    <row r="3580" spans="1:13" x14ac:dyDescent="0.25">
      <c r="A3580" s="23"/>
      <c r="B3580" s="14" t="str">
        <f t="shared" si="172"/>
        <v>Credit Cards (UMB) - Credits</v>
      </c>
      <c r="C3580" s="38">
        <v>46143</v>
      </c>
      <c r="D3580" s="34">
        <v>250840</v>
      </c>
      <c r="E3580" s="36" t="str">
        <f>IF(Table3[[#This Row],[Type Received]]=2,"CC",(IF(Table3[[#This Row],[Type Received]]=3,"BILL","ACH")))</f>
        <v>CC</v>
      </c>
      <c r="F3580" s="35">
        <v>53.15</v>
      </c>
      <c r="G3580" s="14" t="str">
        <f>VLOOKUP(D3580,Table4[],3,FALSE)</f>
        <v>1</v>
      </c>
      <c r="H3580" s="15"/>
      <c r="I3580" s="15"/>
      <c r="J3580" s="15" t="s">
        <v>84</v>
      </c>
      <c r="K3580" s="15">
        <v>522395452</v>
      </c>
      <c r="L3580" s="15" t="s">
        <v>29</v>
      </c>
      <c r="M3580" s="15" t="s">
        <v>29</v>
      </c>
    </row>
    <row r="3581" spans="1:13" x14ac:dyDescent="0.25">
      <c r="A3581" s="23"/>
      <c r="B3581" s="14" t="str">
        <f t="shared" si="172"/>
        <v>Direct Debit (UMB Bank) - Credits</v>
      </c>
      <c r="C3581" s="37">
        <v>46154</v>
      </c>
      <c r="D3581" s="31">
        <v>250858</v>
      </c>
      <c r="E3581" s="33" t="str">
        <f>IF(Table3[[#This Row],[Type Received]]=2,"CC",(IF(Table3[[#This Row],[Type Received]]=3,"BILL","ACH")))</f>
        <v>ACH</v>
      </c>
      <c r="F3581" s="32">
        <v>114.66</v>
      </c>
      <c r="G3581" s="14" t="str">
        <f>VLOOKUP(D3581,Table4[],3,FALSE)</f>
        <v>2</v>
      </c>
      <c r="H3581" s="15"/>
      <c r="I3581" s="15" t="s">
        <v>299</v>
      </c>
      <c r="J3581" s="15">
        <v>744853534</v>
      </c>
      <c r="K3581" s="15">
        <v>354387764</v>
      </c>
      <c r="L3581" s="15"/>
      <c r="M3581" s="15" t="s">
        <v>29</v>
      </c>
    </row>
    <row r="3582" spans="1:13" x14ac:dyDescent="0.25">
      <c r="A3582" s="23"/>
      <c r="B3582" s="14" t="str">
        <f t="shared" si="172"/>
        <v>Direct Debit (UMB Bank) - Credits</v>
      </c>
      <c r="C3582" s="38">
        <v>46167</v>
      </c>
      <c r="D3582" s="34">
        <v>250869</v>
      </c>
      <c r="E3582" s="36" t="str">
        <f>IF(Table3[[#This Row],[Type Received]]=2,"CC",(IF(Table3[[#This Row],[Type Received]]=3,"BILL","ACH")))</f>
        <v>ACH</v>
      </c>
      <c r="F3582" s="35">
        <v>38.75</v>
      </c>
      <c r="G3582" s="14" t="str">
        <f>VLOOKUP(D3582,Table4[],3,FALSE)</f>
        <v>2</v>
      </c>
      <c r="H3582" s="15"/>
      <c r="I3582" s="15"/>
      <c r="J3582" s="15" t="s">
        <v>85</v>
      </c>
      <c r="K3582" s="15">
        <v>818392657</v>
      </c>
      <c r="L3582" s="15" t="s">
        <v>29</v>
      </c>
      <c r="M3582" s="15" t="s">
        <v>29</v>
      </c>
    </row>
    <row r="3583" spans="1:13" x14ac:dyDescent="0.25">
      <c r="A3583" s="23"/>
      <c r="B3583" s="14" t="str">
        <f t="shared" si="172"/>
        <v>Billing - Credits (from TPA)</v>
      </c>
      <c r="C3583" s="37">
        <v>46143</v>
      </c>
      <c r="D3583" s="31">
        <v>250892</v>
      </c>
      <c r="E3583" s="33" t="str">
        <f>IF(Table3[[#This Row],[Type Received]]=2,"CC",(IF(Table3[[#This Row],[Type Received]]=3,"BILL","ACH")))</f>
        <v>BILL</v>
      </c>
      <c r="F3583" s="32">
        <v>50.97</v>
      </c>
      <c r="G3583" s="14" t="str">
        <f>VLOOKUP(D3583,Table4[],3,FALSE)</f>
        <v>1</v>
      </c>
      <c r="H3583" s="15"/>
      <c r="I3583" s="15"/>
      <c r="J3583" s="15" t="s">
        <v>84</v>
      </c>
      <c r="K3583" s="15">
        <v>523101533</v>
      </c>
      <c r="L3583" s="15" t="s">
        <v>29</v>
      </c>
      <c r="M3583" s="15" t="s">
        <v>29</v>
      </c>
    </row>
    <row r="3584" spans="1:13" x14ac:dyDescent="0.25">
      <c r="A3584" s="23"/>
      <c r="B3584" s="14" t="str">
        <f t="shared" si="172"/>
        <v>Direct Debit (UMB Bank) - Credits</v>
      </c>
      <c r="C3584" s="38">
        <v>46147</v>
      </c>
      <c r="D3584" s="34">
        <v>250897</v>
      </c>
      <c r="E3584" s="36" t="str">
        <f>IF(Table3[[#This Row],[Type Received]]=2,"CC",(IF(Table3[[#This Row],[Type Received]]=3,"BILL","ACH")))</f>
        <v>ACH</v>
      </c>
      <c r="F3584" s="35">
        <v>58.23</v>
      </c>
      <c r="G3584" s="14" t="str">
        <f>VLOOKUP(D3584,Table4[],3,FALSE)</f>
        <v>2</v>
      </c>
      <c r="H3584" s="15">
        <v>996480</v>
      </c>
      <c r="I3584" s="15"/>
      <c r="J3584" s="15"/>
      <c r="K3584" s="15"/>
      <c r="L3584" s="15"/>
      <c r="M3584" s="15" t="s">
        <v>29</v>
      </c>
    </row>
    <row r="3585" spans="1:13" x14ac:dyDescent="0.25">
      <c r="A3585" s="23"/>
      <c r="B3585" s="14" t="str">
        <f t="shared" si="172"/>
        <v>Direct Debit (UMB Bank) - Credits</v>
      </c>
      <c r="C3585" s="37">
        <v>46155</v>
      </c>
      <c r="D3585" s="31">
        <v>250904</v>
      </c>
      <c r="E3585" s="33" t="str">
        <f>IF(Table3[[#This Row],[Type Received]]=2,"CC",(IF(Table3[[#This Row],[Type Received]]=3,"BILL","ACH")))</f>
        <v>ACH</v>
      </c>
      <c r="F3585" s="32">
        <v>89.23</v>
      </c>
      <c r="G3585" s="14" t="str">
        <f>VLOOKUP(D3585,Table4[],3,FALSE)</f>
        <v>2</v>
      </c>
      <c r="H3585" s="15"/>
      <c r="I3585" s="15"/>
      <c r="J3585" s="15" t="s">
        <v>90</v>
      </c>
      <c r="K3585" s="15">
        <v>669510260</v>
      </c>
      <c r="L3585" s="15" t="s">
        <v>29</v>
      </c>
      <c r="M3585" s="15" t="s">
        <v>29</v>
      </c>
    </row>
    <row r="3586" spans="1:13" x14ac:dyDescent="0.25">
      <c r="A3586" s="23"/>
      <c r="B3586" s="14" t="str">
        <f t="shared" ref="B3586:B3649" si="173">IF(AND(E3586="BILL",F3586&lt;0),"Billing &amp; Direct Debit - Refunds",(IF(AND(E3586="BILL",F3586&gt;0),"Billing - Credits (from TPA)",(IF(AND(E3586="CC",F3586&lt;0),"Credit Cards (UMB) - Refunds",(IF(AND(E3586="CC",F3586&gt;0),"Credit Cards (UMB) - Credits",(IF(AND(E3586="ACH",F3586&gt;0),"Direct Debit (UMB Bank) - Credits","Direct Debit (UMB Bank) - Returned Items")))))))))</f>
        <v>Billing - Credits (from TPA)</v>
      </c>
      <c r="C3586" s="38">
        <v>46167</v>
      </c>
      <c r="D3586" s="34">
        <v>250915</v>
      </c>
      <c r="E3586" s="36" t="str">
        <f>IF(Table3[[#This Row],[Type Received]]=2,"CC",(IF(Table3[[#This Row],[Type Received]]=3,"BILL","ACH")))</f>
        <v>BILL</v>
      </c>
      <c r="F3586" s="35">
        <v>87.91</v>
      </c>
      <c r="G3586" s="14" t="str">
        <f>VLOOKUP(D3586,Table4[],3,FALSE)</f>
        <v>2</v>
      </c>
      <c r="H3586" s="15"/>
      <c r="I3586" s="15"/>
      <c r="J3586" s="15" t="s">
        <v>85</v>
      </c>
      <c r="K3586" s="15">
        <v>818384908</v>
      </c>
      <c r="L3586" s="15" t="s">
        <v>29</v>
      </c>
      <c r="M3586" s="15" t="s">
        <v>29</v>
      </c>
    </row>
    <row r="3587" spans="1:13" x14ac:dyDescent="0.25">
      <c r="A3587" s="23"/>
      <c r="B3587" s="14" t="str">
        <f t="shared" si="173"/>
        <v>Direct Debit (UMB Bank) - Credits</v>
      </c>
      <c r="C3587" s="37">
        <v>46171</v>
      </c>
      <c r="D3587" s="31">
        <v>250931</v>
      </c>
      <c r="E3587" s="33" t="str">
        <f>IF(Table3[[#This Row],[Type Received]]=2,"CC",(IF(Table3[[#This Row],[Type Received]]=3,"BILL","ACH")))</f>
        <v>ACH</v>
      </c>
      <c r="F3587" s="32">
        <v>41.95</v>
      </c>
      <c r="G3587" s="14" t="str">
        <f>VLOOKUP(D3587,Table4[],3,FALSE)</f>
        <v>1</v>
      </c>
      <c r="H3587" s="15">
        <v>5304</v>
      </c>
      <c r="I3587" s="15"/>
      <c r="J3587" s="24"/>
      <c r="K3587" s="15"/>
      <c r="L3587" s="15"/>
      <c r="M3587" s="15" t="s">
        <v>29</v>
      </c>
    </row>
    <row r="3588" spans="1:13" x14ac:dyDescent="0.25">
      <c r="A3588" s="23"/>
      <c r="B3588" s="14" t="str">
        <f t="shared" si="173"/>
        <v>Credit Cards (UMB) - Credits</v>
      </c>
      <c r="C3588" s="38">
        <v>46167</v>
      </c>
      <c r="D3588" s="34">
        <v>250964</v>
      </c>
      <c r="E3588" s="36" t="str">
        <f>IF(Table3[[#This Row],[Type Received]]=2,"CC",(IF(Table3[[#This Row],[Type Received]]=3,"BILL","ACH")))</f>
        <v>CC</v>
      </c>
      <c r="F3588" s="35">
        <v>68.44</v>
      </c>
      <c r="G3588" s="14" t="str">
        <f>VLOOKUP(D3588,Table4[],3,FALSE)</f>
        <v>2</v>
      </c>
      <c r="H3588" s="15"/>
      <c r="I3588" s="15"/>
      <c r="J3588" s="24" t="s">
        <v>85</v>
      </c>
      <c r="K3588" s="15">
        <v>818395650</v>
      </c>
      <c r="L3588" s="15" t="s">
        <v>29</v>
      </c>
      <c r="M3588" s="15" t="s">
        <v>29</v>
      </c>
    </row>
    <row r="3589" spans="1:13" x14ac:dyDescent="0.25">
      <c r="A3589" s="23"/>
      <c r="B3589" s="14" t="str">
        <f t="shared" si="173"/>
        <v>Credit Cards (UMB) - Credits</v>
      </c>
      <c r="C3589" s="37">
        <v>46163</v>
      </c>
      <c r="D3589" s="31">
        <v>250968</v>
      </c>
      <c r="E3589" s="33" t="str">
        <f>IF(Table3[[#This Row],[Type Received]]=2,"CC",(IF(Table3[[#This Row],[Type Received]]=3,"BILL","ACH")))</f>
        <v>CC</v>
      </c>
      <c r="F3589" s="32">
        <v>284.56</v>
      </c>
      <c r="G3589" s="14" t="str">
        <f>VLOOKUP(D3589,Table4[],3,FALSE)</f>
        <v>2</v>
      </c>
      <c r="H3589" s="15"/>
      <c r="I3589" s="15">
        <v>215460</v>
      </c>
      <c r="J3589" s="15" t="s">
        <v>28</v>
      </c>
      <c r="K3589" s="15">
        <v>772713740</v>
      </c>
      <c r="L3589" s="15" t="s">
        <v>29</v>
      </c>
      <c r="M3589" s="15" t="s">
        <v>29</v>
      </c>
    </row>
    <row r="3590" spans="1:13" x14ac:dyDescent="0.25">
      <c r="A3590" s="23"/>
      <c r="B3590" s="14" t="str">
        <f t="shared" si="173"/>
        <v>Direct Debit (UMB Bank) - Credits</v>
      </c>
      <c r="C3590" s="38">
        <v>46155</v>
      </c>
      <c r="D3590" s="34">
        <v>251007</v>
      </c>
      <c r="E3590" s="36" t="str">
        <f>IF(Table3[[#This Row],[Type Received]]=2,"CC",(IF(Table3[[#This Row],[Type Received]]=3,"BILL","ACH")))</f>
        <v>ACH</v>
      </c>
      <c r="F3590" s="35">
        <v>113.65</v>
      </c>
      <c r="G3590" s="14" t="str">
        <f>VLOOKUP(D3590,Table4[],3,FALSE)</f>
        <v>2</v>
      </c>
      <c r="H3590" s="15"/>
      <c r="I3590" s="15" t="s">
        <v>300</v>
      </c>
      <c r="J3590" s="15" t="s">
        <v>28</v>
      </c>
      <c r="K3590" s="15">
        <v>669500772</v>
      </c>
      <c r="L3590" s="15" t="s">
        <v>29</v>
      </c>
      <c r="M3590" s="15" t="s">
        <v>29</v>
      </c>
    </row>
    <row r="3591" spans="1:13" x14ac:dyDescent="0.25">
      <c r="A3591" s="23"/>
      <c r="B3591" s="14" t="str">
        <f t="shared" si="173"/>
        <v>Direct Debit (UMB Bank) - Credits</v>
      </c>
      <c r="C3591" s="37">
        <v>46143</v>
      </c>
      <c r="D3591" s="31">
        <v>251418</v>
      </c>
      <c r="E3591" s="33" t="str">
        <f>IF(Table3[[#This Row],[Type Received]]=2,"CC",(IF(Table3[[#This Row],[Type Received]]=3,"BILL","ACH")))</f>
        <v>ACH</v>
      </c>
      <c r="F3591" s="32">
        <v>57.22</v>
      </c>
      <c r="G3591" s="14" t="str">
        <f>VLOOKUP(D3591,Table4[],3,FALSE)</f>
        <v>2</v>
      </c>
      <c r="H3591" s="15"/>
      <c r="I3591" s="15"/>
      <c r="J3591" s="15" t="s">
        <v>84</v>
      </c>
      <c r="K3591" s="15">
        <v>522400446</v>
      </c>
      <c r="L3591" s="15" t="s">
        <v>29</v>
      </c>
      <c r="M3591" s="15"/>
    </row>
    <row r="3592" spans="1:13" x14ac:dyDescent="0.25">
      <c r="A3592" s="23"/>
      <c r="B3592" s="14" t="str">
        <f t="shared" si="173"/>
        <v>Direct Debit (UMB Bank) - Credits</v>
      </c>
      <c r="C3592" s="38">
        <v>46143</v>
      </c>
      <c r="D3592" s="34">
        <v>251432</v>
      </c>
      <c r="E3592" s="36" t="str">
        <f>IF(Table3[[#This Row],[Type Received]]=2,"CC",(IF(Table3[[#This Row],[Type Received]]=3,"BILL","ACH")))</f>
        <v>ACH</v>
      </c>
      <c r="F3592" s="35">
        <v>125.86</v>
      </c>
      <c r="G3592" s="14" t="str">
        <f>VLOOKUP(D3592,Table4[],3,FALSE)</f>
        <v>2</v>
      </c>
      <c r="H3592" s="15"/>
      <c r="I3592" s="15"/>
      <c r="J3592" s="24" t="s">
        <v>84</v>
      </c>
      <c r="K3592" s="15">
        <v>522403387</v>
      </c>
      <c r="L3592" s="15" t="s">
        <v>29</v>
      </c>
      <c r="M3592" s="15" t="s">
        <v>29</v>
      </c>
    </row>
    <row r="3593" spans="1:13" x14ac:dyDescent="0.25">
      <c r="A3593" s="23"/>
      <c r="B3593" s="14" t="str">
        <f t="shared" si="173"/>
        <v>Billing - Credits (from TPA)</v>
      </c>
      <c r="C3593" s="37">
        <v>46167</v>
      </c>
      <c r="D3593" s="31">
        <v>251436</v>
      </c>
      <c r="E3593" s="33" t="str">
        <f>IF(Table3[[#This Row],[Type Received]]=2,"CC",(IF(Table3[[#This Row],[Type Received]]=3,"BILL","ACH")))</f>
        <v>BILL</v>
      </c>
      <c r="F3593" s="32">
        <v>52.27</v>
      </c>
      <c r="G3593" s="14" t="str">
        <f>VLOOKUP(D3593,Table4[],3,FALSE)</f>
        <v>2</v>
      </c>
      <c r="H3593" s="15"/>
      <c r="I3593" s="15"/>
      <c r="J3593" s="15" t="s">
        <v>85</v>
      </c>
      <c r="K3593" s="15">
        <v>818383947</v>
      </c>
      <c r="L3593" s="15" t="s">
        <v>29</v>
      </c>
      <c r="M3593" s="15" t="s">
        <v>29</v>
      </c>
    </row>
    <row r="3594" spans="1:13" x14ac:dyDescent="0.25">
      <c r="A3594" s="23"/>
      <c r="B3594" s="14" t="str">
        <f t="shared" si="173"/>
        <v>Direct Debit (UMB Bank) - Credits</v>
      </c>
      <c r="C3594" s="38">
        <v>46143</v>
      </c>
      <c r="D3594" s="34">
        <v>251438</v>
      </c>
      <c r="E3594" s="36" t="str">
        <f>IF(Table3[[#This Row],[Type Received]]=2,"CC",(IF(Table3[[#This Row],[Type Received]]=3,"BILL","ACH")))</f>
        <v>ACH</v>
      </c>
      <c r="F3594" s="35">
        <v>84.3</v>
      </c>
      <c r="G3594" s="14" t="str">
        <f>VLOOKUP(D3594,Table4[],3,FALSE)</f>
        <v>2</v>
      </c>
      <c r="H3594" s="15">
        <v>74465336</v>
      </c>
      <c r="I3594" s="15"/>
      <c r="J3594" s="15"/>
      <c r="K3594" s="15"/>
      <c r="L3594" s="15"/>
      <c r="M3594" s="15" t="s">
        <v>29</v>
      </c>
    </row>
    <row r="3595" spans="1:13" x14ac:dyDescent="0.25">
      <c r="A3595" s="23"/>
      <c r="B3595" s="14" t="str">
        <f t="shared" si="173"/>
        <v>Direct Debit (UMB Bank) - Credits</v>
      </c>
      <c r="C3595" s="37">
        <v>46158</v>
      </c>
      <c r="D3595" s="31">
        <v>251479</v>
      </c>
      <c r="E3595" s="33" t="str">
        <f>IF(Table3[[#This Row],[Type Received]]=2,"CC",(IF(Table3[[#This Row],[Type Received]]=3,"BILL","ACH")))</f>
        <v>ACH</v>
      </c>
      <c r="F3595" s="32">
        <v>94.18</v>
      </c>
      <c r="G3595" s="14" t="str">
        <f>VLOOKUP(D3595,Table4[],3,FALSE)</f>
        <v>2</v>
      </c>
      <c r="H3595" s="15"/>
      <c r="I3595" s="15"/>
      <c r="J3595" s="15" t="s">
        <v>106</v>
      </c>
      <c r="K3595" s="15">
        <v>710050065</v>
      </c>
      <c r="L3595" s="15" t="s">
        <v>29</v>
      </c>
      <c r="M3595" s="15" t="s">
        <v>29</v>
      </c>
    </row>
    <row r="3596" spans="1:13" x14ac:dyDescent="0.25">
      <c r="A3596" s="23"/>
      <c r="B3596" s="14" t="str">
        <f t="shared" si="173"/>
        <v>Direct Debit (UMB Bank) - Credits</v>
      </c>
      <c r="C3596" s="38">
        <v>46167</v>
      </c>
      <c r="D3596" s="34">
        <v>251496</v>
      </c>
      <c r="E3596" s="36" t="str">
        <f>IF(Table3[[#This Row],[Type Received]]=2,"CC",(IF(Table3[[#This Row],[Type Received]]=3,"BILL","ACH")))</f>
        <v>ACH</v>
      </c>
      <c r="F3596" s="35">
        <v>149.94999999999999</v>
      </c>
      <c r="G3596" s="14" t="str">
        <f>VLOOKUP(D3596,Table4[],3,FALSE)</f>
        <v>2</v>
      </c>
      <c r="H3596" s="15"/>
      <c r="I3596" s="15"/>
      <c r="J3596" s="15" t="s">
        <v>85</v>
      </c>
      <c r="K3596" s="15">
        <v>818391717</v>
      </c>
      <c r="L3596" s="15" t="s">
        <v>29</v>
      </c>
      <c r="M3596" s="15"/>
    </row>
    <row r="3597" spans="1:13" x14ac:dyDescent="0.25">
      <c r="A3597" s="23"/>
      <c r="B3597" s="14" t="str">
        <f t="shared" si="173"/>
        <v>Direct Debit (UMB Bank) - Credits</v>
      </c>
      <c r="C3597" s="37">
        <v>46157</v>
      </c>
      <c r="D3597" s="31">
        <v>251502</v>
      </c>
      <c r="E3597" s="33" t="str">
        <f>IF(Table3[[#This Row],[Type Received]]=2,"CC",(IF(Table3[[#This Row],[Type Received]]=3,"BILL","ACH")))</f>
        <v>ACH</v>
      </c>
      <c r="F3597" s="32">
        <v>82.63</v>
      </c>
      <c r="G3597" s="14" t="str">
        <f>VLOOKUP(D3597,Table4[],3,FALSE)</f>
        <v>1</v>
      </c>
      <c r="H3597" s="15"/>
      <c r="I3597" s="15"/>
      <c r="J3597" s="15" t="s">
        <v>87</v>
      </c>
      <c r="K3597" s="15">
        <v>696816799</v>
      </c>
      <c r="L3597" s="15" t="s">
        <v>29</v>
      </c>
      <c r="M3597" s="15" t="s">
        <v>29</v>
      </c>
    </row>
    <row r="3598" spans="1:13" x14ac:dyDescent="0.25">
      <c r="A3598" s="23"/>
      <c r="B3598" s="14" t="str">
        <f t="shared" si="173"/>
        <v>Direct Debit (UMB Bank) - Credits</v>
      </c>
      <c r="C3598" s="38">
        <v>46167</v>
      </c>
      <c r="D3598" s="34">
        <v>251548</v>
      </c>
      <c r="E3598" s="36" t="str">
        <f>IF(Table3[[#This Row],[Type Received]]=2,"CC",(IF(Table3[[#This Row],[Type Received]]=3,"BILL","ACH")))</f>
        <v>ACH</v>
      </c>
      <c r="F3598" s="35">
        <v>30.93</v>
      </c>
      <c r="G3598" s="14" t="str">
        <f>VLOOKUP(D3598,Table4[],3,FALSE)</f>
        <v>1</v>
      </c>
      <c r="H3598" s="15"/>
      <c r="I3598" s="15"/>
      <c r="J3598" s="24" t="s">
        <v>85</v>
      </c>
      <c r="K3598" s="15">
        <v>818386867</v>
      </c>
      <c r="L3598" s="15" t="s">
        <v>29</v>
      </c>
      <c r="M3598" s="15" t="s">
        <v>29</v>
      </c>
    </row>
    <row r="3599" spans="1:13" x14ac:dyDescent="0.25">
      <c r="A3599" s="23"/>
      <c r="B3599" s="14" t="str">
        <f t="shared" si="173"/>
        <v>Direct Debit (UMB Bank) - Credits</v>
      </c>
      <c r="C3599" s="37">
        <v>46167</v>
      </c>
      <c r="D3599" s="31">
        <v>251582</v>
      </c>
      <c r="E3599" s="33" t="str">
        <f>IF(Table3[[#This Row],[Type Received]]=2,"CC",(IF(Table3[[#This Row],[Type Received]]=3,"BILL","ACH")))</f>
        <v>ACH</v>
      </c>
      <c r="F3599" s="32">
        <v>83.95</v>
      </c>
      <c r="G3599" s="14" t="str">
        <f>VLOOKUP(D3599,Table4[],3,FALSE)</f>
        <v>2</v>
      </c>
      <c r="H3599" s="15"/>
      <c r="I3599" s="15"/>
      <c r="J3599" s="24" t="s">
        <v>85</v>
      </c>
      <c r="K3599" s="15">
        <v>818383972</v>
      </c>
      <c r="L3599" s="15" t="s">
        <v>29</v>
      </c>
      <c r="M3599" s="15"/>
    </row>
    <row r="3600" spans="1:13" x14ac:dyDescent="0.25">
      <c r="A3600" s="23"/>
      <c r="B3600" s="14" t="str">
        <f t="shared" si="173"/>
        <v>Direct Debit (UMB Bank) - Credits</v>
      </c>
      <c r="C3600" s="38">
        <v>46143</v>
      </c>
      <c r="D3600" s="34">
        <v>251583</v>
      </c>
      <c r="E3600" s="36" t="str">
        <f>IF(Table3[[#This Row],[Type Received]]=2,"CC",(IF(Table3[[#This Row],[Type Received]]=3,"BILL","ACH")))</f>
        <v>ACH</v>
      </c>
      <c r="F3600" s="35">
        <v>50.35</v>
      </c>
      <c r="G3600" s="14" t="str">
        <f>VLOOKUP(D3600,Table4[],3,FALSE)</f>
        <v>1</v>
      </c>
      <c r="H3600" s="15"/>
      <c r="I3600" s="15"/>
      <c r="J3600" s="15" t="s">
        <v>84</v>
      </c>
      <c r="K3600" s="15">
        <v>522397609</v>
      </c>
      <c r="L3600" s="15" t="s">
        <v>29</v>
      </c>
      <c r="M3600" s="15"/>
    </row>
    <row r="3601" spans="1:13" x14ac:dyDescent="0.25">
      <c r="A3601" s="23"/>
      <c r="B3601" s="14" t="str">
        <f t="shared" si="173"/>
        <v>Direct Debit (UMB Bank) - Credits</v>
      </c>
      <c r="C3601" s="37">
        <v>46143</v>
      </c>
      <c r="D3601" s="31">
        <v>251593</v>
      </c>
      <c r="E3601" s="33" t="str">
        <f>IF(Table3[[#This Row],[Type Received]]=2,"CC",(IF(Table3[[#This Row],[Type Received]]=3,"BILL","ACH")))</f>
        <v>ACH</v>
      </c>
      <c r="F3601" s="32">
        <v>50.71</v>
      </c>
      <c r="G3601" s="14" t="str">
        <f>VLOOKUP(D3601,Table4[],3,FALSE)</f>
        <v>1</v>
      </c>
      <c r="H3601" s="15"/>
      <c r="I3601" s="15"/>
      <c r="J3601" s="15" t="s">
        <v>84</v>
      </c>
      <c r="K3601" s="15">
        <v>522385097</v>
      </c>
      <c r="L3601" s="15" t="s">
        <v>29</v>
      </c>
      <c r="M3601" s="15" t="s">
        <v>29</v>
      </c>
    </row>
    <row r="3602" spans="1:13" x14ac:dyDescent="0.25">
      <c r="A3602" s="23"/>
      <c r="B3602" s="14" t="str">
        <f t="shared" si="173"/>
        <v>Direct Debit (UMB Bank) - Credits</v>
      </c>
      <c r="C3602" s="38">
        <v>46157</v>
      </c>
      <c r="D3602" s="34">
        <v>251601</v>
      </c>
      <c r="E3602" s="36" t="str">
        <f>IF(Table3[[#This Row],[Type Received]]=2,"CC",(IF(Table3[[#This Row],[Type Received]]=3,"BILL","ACH")))</f>
        <v>ACH</v>
      </c>
      <c r="F3602" s="35">
        <v>181.96</v>
      </c>
      <c r="G3602" s="14" t="str">
        <f>VLOOKUP(D3602,Table4[],3,FALSE)</f>
        <v>2</v>
      </c>
      <c r="H3602" s="15"/>
      <c r="I3602" s="15"/>
      <c r="J3602" s="15" t="s">
        <v>87</v>
      </c>
      <c r="K3602" s="15">
        <v>696813872</v>
      </c>
      <c r="L3602" s="15" t="s">
        <v>29</v>
      </c>
      <c r="M3602" s="15"/>
    </row>
    <row r="3603" spans="1:13" x14ac:dyDescent="0.25">
      <c r="A3603" s="23"/>
      <c r="B3603" s="14" t="str">
        <f t="shared" si="173"/>
        <v>Direct Debit (UMB Bank) - Credits</v>
      </c>
      <c r="C3603" s="37">
        <v>46158</v>
      </c>
      <c r="D3603" s="31">
        <v>251240</v>
      </c>
      <c r="E3603" s="33" t="str">
        <f>IF(Table3[[#This Row],[Type Received]]=2,"CC",(IF(Table3[[#This Row],[Type Received]]=3,"BILL","ACH")))</f>
        <v>ACH</v>
      </c>
      <c r="F3603" s="32">
        <v>67.78</v>
      </c>
      <c r="G3603" s="14" t="str">
        <f>VLOOKUP(D3603,Table4[],3,FALSE)</f>
        <v>2</v>
      </c>
      <c r="H3603" s="15"/>
      <c r="I3603" s="15"/>
      <c r="J3603" s="15" t="s">
        <v>106</v>
      </c>
      <c r="K3603" s="15">
        <v>710062642</v>
      </c>
      <c r="L3603" s="15" t="s">
        <v>29</v>
      </c>
      <c r="M3603" s="15" t="s">
        <v>29</v>
      </c>
    </row>
    <row r="3604" spans="1:13" x14ac:dyDescent="0.25">
      <c r="A3604" s="23"/>
      <c r="B3604" s="14" t="str">
        <f t="shared" si="173"/>
        <v>Credit Cards (UMB) - Credits</v>
      </c>
      <c r="C3604" s="38">
        <v>46167</v>
      </c>
      <c r="D3604" s="34">
        <v>251267</v>
      </c>
      <c r="E3604" s="36" t="str">
        <f>IF(Table3[[#This Row],[Type Received]]=2,"CC",(IF(Table3[[#This Row],[Type Received]]=3,"BILL","ACH")))</f>
        <v>CC</v>
      </c>
      <c r="F3604" s="35">
        <v>74.709999999999994</v>
      </c>
      <c r="G3604" s="14" t="str">
        <f>VLOOKUP(D3604,Table4[],3,FALSE)</f>
        <v>2</v>
      </c>
      <c r="H3604" s="15"/>
      <c r="I3604" s="15"/>
      <c r="J3604" s="24" t="s">
        <v>85</v>
      </c>
      <c r="K3604" s="15">
        <v>818406274</v>
      </c>
      <c r="L3604" s="15" t="s">
        <v>29</v>
      </c>
      <c r="M3604" s="15" t="s">
        <v>29</v>
      </c>
    </row>
    <row r="3605" spans="1:13" x14ac:dyDescent="0.25">
      <c r="A3605" s="23"/>
      <c r="B3605" s="14" t="str">
        <f t="shared" si="173"/>
        <v>Direct Debit (UMB Bank) - Credits</v>
      </c>
      <c r="C3605" s="37">
        <v>46149</v>
      </c>
      <c r="D3605" s="31">
        <v>251288</v>
      </c>
      <c r="E3605" s="33" t="str">
        <f>IF(Table3[[#This Row],[Type Received]]=2,"CC",(IF(Table3[[#This Row],[Type Received]]=3,"BILL","ACH")))</f>
        <v>ACH</v>
      </c>
      <c r="F3605" s="32">
        <v>62.66</v>
      </c>
      <c r="G3605" s="14" t="str">
        <f>VLOOKUP(D3605,Table4[],3,FALSE)</f>
        <v>1</v>
      </c>
      <c r="H3605" s="15"/>
      <c r="I3605" s="15">
        <v>517451</v>
      </c>
      <c r="J3605" s="24" t="s">
        <v>28</v>
      </c>
      <c r="K3605" s="15">
        <v>601146491</v>
      </c>
      <c r="L3605" s="15" t="s">
        <v>29</v>
      </c>
      <c r="M3605" s="15"/>
    </row>
    <row r="3606" spans="1:13" x14ac:dyDescent="0.25">
      <c r="A3606" s="23"/>
      <c r="B3606" s="14" t="str">
        <f t="shared" si="173"/>
        <v>Direct Debit (UMB Bank) - Credits</v>
      </c>
      <c r="C3606" s="38">
        <v>46158</v>
      </c>
      <c r="D3606" s="34">
        <v>251289</v>
      </c>
      <c r="E3606" s="36" t="str">
        <f>IF(Table3[[#This Row],[Type Received]]=2,"CC",(IF(Table3[[#This Row],[Type Received]]=3,"BILL","ACH")))</f>
        <v>ACH</v>
      </c>
      <c r="F3606" s="35">
        <v>45.89</v>
      </c>
      <c r="G3606" s="14" t="str">
        <f>VLOOKUP(D3606,Table4[],3,FALSE)</f>
        <v>1</v>
      </c>
      <c r="H3606" s="15"/>
      <c r="I3606" s="15"/>
      <c r="J3606" s="15" t="s">
        <v>106</v>
      </c>
      <c r="K3606" s="15">
        <v>710075364</v>
      </c>
      <c r="L3606" s="15" t="s">
        <v>29</v>
      </c>
      <c r="M3606" s="15" t="s">
        <v>29</v>
      </c>
    </row>
    <row r="3607" spans="1:13" x14ac:dyDescent="0.25">
      <c r="A3607" s="23"/>
      <c r="B3607" s="14" t="str">
        <f t="shared" si="173"/>
        <v>Credit Cards (UMB) - Credits</v>
      </c>
      <c r="C3607" s="37">
        <v>46167</v>
      </c>
      <c r="D3607" s="31">
        <v>251290</v>
      </c>
      <c r="E3607" s="33" t="str">
        <f>IF(Table3[[#This Row],[Type Received]]=2,"CC",(IF(Table3[[#This Row],[Type Received]]=3,"BILL","ACH")))</f>
        <v>CC</v>
      </c>
      <c r="F3607" s="32">
        <v>37.42</v>
      </c>
      <c r="G3607" s="14" t="str">
        <f>VLOOKUP(D3607,Table4[],3,FALSE)</f>
        <v>2</v>
      </c>
      <c r="H3607" s="15"/>
      <c r="I3607" s="15"/>
      <c r="J3607" s="15" t="s">
        <v>85</v>
      </c>
      <c r="K3607" s="15">
        <v>818406284</v>
      </c>
      <c r="L3607" s="15" t="s">
        <v>29</v>
      </c>
      <c r="M3607" s="15" t="s">
        <v>29</v>
      </c>
    </row>
    <row r="3608" spans="1:13" x14ac:dyDescent="0.25">
      <c r="A3608" s="23"/>
      <c r="B3608" s="14" t="str">
        <f t="shared" si="173"/>
        <v>Direct Debit (UMB Bank) - Credits</v>
      </c>
      <c r="C3608" s="38">
        <v>46153</v>
      </c>
      <c r="D3608" s="34">
        <v>251292</v>
      </c>
      <c r="E3608" s="36" t="str">
        <f>IF(Table3[[#This Row],[Type Received]]=2,"CC",(IF(Table3[[#This Row],[Type Received]]=3,"BILL","ACH")))</f>
        <v>ACH</v>
      </c>
      <c r="F3608" s="35">
        <v>116.64</v>
      </c>
      <c r="G3608" s="14" t="str">
        <f>VLOOKUP(D3608,Table4[],3,FALSE)</f>
        <v>2</v>
      </c>
      <c r="H3608" s="15"/>
      <c r="I3608" s="15">
        <v>65125</v>
      </c>
      <c r="J3608" s="15" t="s">
        <v>28</v>
      </c>
      <c r="K3608" s="15">
        <v>649382760</v>
      </c>
      <c r="L3608" s="15" t="s">
        <v>29</v>
      </c>
      <c r="M3608" s="15"/>
    </row>
    <row r="3609" spans="1:13" x14ac:dyDescent="0.25">
      <c r="A3609" s="23"/>
      <c r="B3609" s="14" t="str">
        <f t="shared" si="173"/>
        <v>Direct Debit (UMB Bank) - Credits</v>
      </c>
      <c r="C3609" s="37">
        <v>46158</v>
      </c>
      <c r="D3609" s="31">
        <v>251297</v>
      </c>
      <c r="E3609" s="33" t="str">
        <f>IF(Table3[[#This Row],[Type Received]]=2,"CC",(IF(Table3[[#This Row],[Type Received]]=3,"BILL","ACH")))</f>
        <v>ACH</v>
      </c>
      <c r="F3609" s="32">
        <v>80.48</v>
      </c>
      <c r="G3609" s="14" t="str">
        <f>VLOOKUP(D3609,Table4[],3,FALSE)</f>
        <v>2</v>
      </c>
      <c r="H3609" s="15"/>
      <c r="I3609" s="15"/>
      <c r="J3609" s="24" t="s">
        <v>106</v>
      </c>
      <c r="K3609" s="15">
        <v>710056886</v>
      </c>
      <c r="L3609" s="15" t="s">
        <v>29</v>
      </c>
      <c r="M3609" s="15" t="s">
        <v>29</v>
      </c>
    </row>
    <row r="3610" spans="1:13" x14ac:dyDescent="0.25">
      <c r="A3610" s="23"/>
      <c r="B3610" s="14" t="str">
        <f t="shared" si="173"/>
        <v>Direct Debit (UMB Bank) - Credits</v>
      </c>
      <c r="C3610" s="38">
        <v>46158</v>
      </c>
      <c r="D3610" s="34">
        <v>251298</v>
      </c>
      <c r="E3610" s="36" t="str">
        <f>IF(Table3[[#This Row],[Type Received]]=2,"CC",(IF(Table3[[#This Row],[Type Received]]=3,"BILL","ACH")))</f>
        <v>ACH</v>
      </c>
      <c r="F3610" s="35">
        <v>50.89</v>
      </c>
      <c r="G3610" s="14" t="str">
        <f>VLOOKUP(D3610,Table4[],3,FALSE)</f>
        <v>1</v>
      </c>
      <c r="H3610" s="15"/>
      <c r="I3610" s="15"/>
      <c r="J3610" s="15" t="s">
        <v>106</v>
      </c>
      <c r="K3610" s="15">
        <v>710078185</v>
      </c>
      <c r="L3610" s="15" t="s">
        <v>29</v>
      </c>
      <c r="M3610" s="15" t="s">
        <v>29</v>
      </c>
    </row>
    <row r="3611" spans="1:13" x14ac:dyDescent="0.25">
      <c r="A3611" s="23"/>
      <c r="B3611" s="14" t="str">
        <f t="shared" si="173"/>
        <v>Billing - Credits (from TPA)</v>
      </c>
      <c r="C3611" s="37">
        <v>46143</v>
      </c>
      <c r="D3611" s="31">
        <v>251299</v>
      </c>
      <c r="E3611" s="33" t="str">
        <f>IF(Table3[[#This Row],[Type Received]]=2,"CC",(IF(Table3[[#This Row],[Type Received]]=3,"BILL","ACH")))</f>
        <v>BILL</v>
      </c>
      <c r="F3611" s="32">
        <v>73.069999999999993</v>
      </c>
      <c r="G3611" s="14" t="str">
        <f>VLOOKUP(D3611,Table4[],3,FALSE)</f>
        <v>2</v>
      </c>
      <c r="H3611" s="15"/>
      <c r="I3611" s="15"/>
      <c r="J3611" s="15" t="s">
        <v>84</v>
      </c>
      <c r="K3611" s="15">
        <v>522399462</v>
      </c>
      <c r="L3611" s="15" t="s">
        <v>29</v>
      </c>
      <c r="M3611" s="15" t="s">
        <v>29</v>
      </c>
    </row>
    <row r="3612" spans="1:13" x14ac:dyDescent="0.25">
      <c r="A3612" s="23"/>
      <c r="B3612" s="14" t="str">
        <f t="shared" si="173"/>
        <v>Credit Cards (UMB) - Credits</v>
      </c>
      <c r="C3612" s="38">
        <v>46146</v>
      </c>
      <c r="D3612" s="34">
        <v>251304</v>
      </c>
      <c r="E3612" s="36" t="str">
        <f>IF(Table3[[#This Row],[Type Received]]=2,"CC",(IF(Table3[[#This Row],[Type Received]]=3,"BILL","ACH")))</f>
        <v>CC</v>
      </c>
      <c r="F3612" s="35">
        <v>71.760000000000005</v>
      </c>
      <c r="G3612" s="14" t="str">
        <f>VLOOKUP(D3612,Table4[],3,FALSE)</f>
        <v>2</v>
      </c>
      <c r="H3612" s="15">
        <v>234120754</v>
      </c>
      <c r="I3612" s="15"/>
      <c r="J3612" s="15"/>
      <c r="K3612" s="15"/>
      <c r="L3612" s="15"/>
      <c r="M3612" s="15" t="s">
        <v>29</v>
      </c>
    </row>
    <row r="3613" spans="1:13" x14ac:dyDescent="0.25">
      <c r="A3613" s="23"/>
      <c r="B3613" s="14" t="str">
        <f t="shared" si="173"/>
        <v>Direct Debit (UMB Bank) - Credits</v>
      </c>
      <c r="C3613" s="37">
        <v>46143</v>
      </c>
      <c r="D3613" s="31">
        <v>251366</v>
      </c>
      <c r="E3613" s="33" t="str">
        <f>IF(Table3[[#This Row],[Type Received]]=2,"CC",(IF(Table3[[#This Row],[Type Received]]=3,"BILL","ACH")))</f>
        <v>ACH</v>
      </c>
      <c r="F3613" s="32">
        <v>30.93</v>
      </c>
      <c r="G3613" s="14" t="str">
        <f>VLOOKUP(D3613,Table4[],3,FALSE)</f>
        <v>1</v>
      </c>
      <c r="H3613" s="15"/>
      <c r="I3613" s="15">
        <v>1735</v>
      </c>
      <c r="J3613" s="15" t="s">
        <v>28</v>
      </c>
      <c r="K3613" s="15">
        <v>522408164</v>
      </c>
      <c r="L3613" s="15" t="s">
        <v>29</v>
      </c>
      <c r="M3613" s="15"/>
    </row>
    <row r="3614" spans="1:13" x14ac:dyDescent="0.25">
      <c r="A3614" s="23"/>
      <c r="B3614" s="14" t="str">
        <f t="shared" si="173"/>
        <v>Direct Debit (UMB Bank) - Credits</v>
      </c>
      <c r="C3614" s="38">
        <v>46143</v>
      </c>
      <c r="D3614" s="34">
        <v>251370</v>
      </c>
      <c r="E3614" s="36" t="str">
        <f>IF(Table3[[#This Row],[Type Received]]=2,"CC",(IF(Table3[[#This Row],[Type Received]]=3,"BILL","ACH")))</f>
        <v>ACH</v>
      </c>
      <c r="F3614" s="35">
        <v>36.49</v>
      </c>
      <c r="G3614" s="14" t="str">
        <f>VLOOKUP(D3614,Table4[],3,FALSE)</f>
        <v>1</v>
      </c>
      <c r="H3614" s="15"/>
      <c r="I3614" s="15"/>
      <c r="J3614" s="24" t="s">
        <v>84</v>
      </c>
      <c r="K3614" s="15">
        <v>522408169</v>
      </c>
      <c r="L3614" s="15" t="s">
        <v>29</v>
      </c>
      <c r="M3614" s="15" t="s">
        <v>29</v>
      </c>
    </row>
    <row r="3615" spans="1:13" x14ac:dyDescent="0.25">
      <c r="A3615" s="23"/>
      <c r="B3615" s="14" t="str">
        <f t="shared" si="173"/>
        <v>Direct Debit (UMB Bank) - Credits</v>
      </c>
      <c r="C3615" s="37">
        <v>46143</v>
      </c>
      <c r="D3615" s="31">
        <v>251381</v>
      </c>
      <c r="E3615" s="33" t="str">
        <f>IF(Table3[[#This Row],[Type Received]]=2,"CC",(IF(Table3[[#This Row],[Type Received]]=3,"BILL","ACH")))</f>
        <v>ACH</v>
      </c>
      <c r="F3615" s="32">
        <v>42.91</v>
      </c>
      <c r="G3615" s="14" t="str">
        <f>VLOOKUP(D3615,Table4[],3,FALSE)</f>
        <v>2</v>
      </c>
      <c r="H3615" s="15"/>
      <c r="I3615" s="15"/>
      <c r="J3615" s="15" t="s">
        <v>84</v>
      </c>
      <c r="K3615" s="15">
        <v>522386908</v>
      </c>
      <c r="L3615" s="15" t="s">
        <v>29</v>
      </c>
      <c r="M3615" s="15"/>
    </row>
    <row r="3616" spans="1:13" x14ac:dyDescent="0.25">
      <c r="A3616" s="23"/>
      <c r="B3616" s="14" t="str">
        <f t="shared" si="173"/>
        <v>Direct Debit (UMB Bank) - Credits</v>
      </c>
      <c r="C3616" s="38">
        <v>46143</v>
      </c>
      <c r="D3616" s="34">
        <v>251393</v>
      </c>
      <c r="E3616" s="36" t="str">
        <f>IF(Table3[[#This Row],[Type Received]]=2,"CC",(IF(Table3[[#This Row],[Type Received]]=3,"BILL","ACH")))</f>
        <v>ACH</v>
      </c>
      <c r="F3616" s="35">
        <v>81.650000000000006</v>
      </c>
      <c r="G3616" s="14" t="str">
        <f>VLOOKUP(D3616,Table4[],3,FALSE)</f>
        <v>2</v>
      </c>
      <c r="H3616" s="15"/>
      <c r="I3616" s="15"/>
      <c r="J3616" s="24" t="s">
        <v>84</v>
      </c>
      <c r="K3616" s="15">
        <v>522398554</v>
      </c>
      <c r="L3616" s="15" t="s">
        <v>29</v>
      </c>
      <c r="M3616" s="15" t="s">
        <v>29</v>
      </c>
    </row>
    <row r="3617" spans="1:13" x14ac:dyDescent="0.25">
      <c r="A3617" s="23"/>
      <c r="B3617" s="14" t="str">
        <f t="shared" si="173"/>
        <v>Billing - Credits (from TPA)</v>
      </c>
      <c r="C3617" s="37">
        <v>46143</v>
      </c>
      <c r="D3617" s="31">
        <v>251824</v>
      </c>
      <c r="E3617" s="33" t="str">
        <f>IF(Table3[[#This Row],[Type Received]]=2,"CC",(IF(Table3[[#This Row],[Type Received]]=3,"BILL","ACH")))</f>
        <v>BILL</v>
      </c>
      <c r="F3617" s="32">
        <v>24.11</v>
      </c>
      <c r="G3617" s="14" t="str">
        <f>VLOOKUP(D3617,Table4[],3,FALSE)</f>
        <v>1</v>
      </c>
      <c r="H3617" s="15"/>
      <c r="I3617" s="15"/>
      <c r="J3617" s="15" t="s">
        <v>84</v>
      </c>
      <c r="K3617" s="15">
        <v>522396730</v>
      </c>
      <c r="L3617" s="15" t="s">
        <v>29</v>
      </c>
      <c r="M3617" s="15" t="s">
        <v>29</v>
      </c>
    </row>
    <row r="3618" spans="1:13" x14ac:dyDescent="0.25">
      <c r="A3618" s="23"/>
      <c r="B3618" s="14" t="str">
        <f t="shared" si="173"/>
        <v>Direct Debit (UMB Bank) - Credits</v>
      </c>
      <c r="C3618" s="38">
        <v>46150</v>
      </c>
      <c r="D3618" s="34">
        <v>251843</v>
      </c>
      <c r="E3618" s="36" t="str">
        <f>IF(Table3[[#This Row],[Type Received]]=2,"CC",(IF(Table3[[#This Row],[Type Received]]=3,"BILL","ACH")))</f>
        <v>ACH</v>
      </c>
      <c r="F3618" s="35">
        <v>174.67</v>
      </c>
      <c r="G3618" s="14" t="str">
        <f>VLOOKUP(D3618,Table4[],3,FALSE)</f>
        <v>2</v>
      </c>
      <c r="H3618" s="15">
        <v>107</v>
      </c>
      <c r="I3618" s="15"/>
      <c r="J3618" s="15"/>
      <c r="K3618" s="15"/>
      <c r="L3618" s="15"/>
      <c r="M3618" s="15" t="s">
        <v>29</v>
      </c>
    </row>
    <row r="3619" spans="1:13" x14ac:dyDescent="0.25">
      <c r="A3619" s="23"/>
      <c r="B3619" s="14" t="str">
        <f t="shared" si="173"/>
        <v>Billing - Credits (from TPA)</v>
      </c>
      <c r="C3619" s="37">
        <v>46157</v>
      </c>
      <c r="D3619" s="31">
        <v>251845</v>
      </c>
      <c r="E3619" s="33" t="str">
        <f>IF(Table3[[#This Row],[Type Received]]=2,"CC",(IF(Table3[[#This Row],[Type Received]]=3,"BILL","ACH")))</f>
        <v>BILL</v>
      </c>
      <c r="F3619" s="32">
        <v>60.85</v>
      </c>
      <c r="G3619" s="14" t="str">
        <f>VLOOKUP(D3619,Table4[],3,FALSE)</f>
        <v>2</v>
      </c>
      <c r="H3619" s="15"/>
      <c r="I3619" s="15"/>
      <c r="J3619" s="24" t="s">
        <v>87</v>
      </c>
      <c r="K3619" s="15">
        <v>696814959</v>
      </c>
      <c r="L3619" s="15" t="s">
        <v>29</v>
      </c>
      <c r="M3619" s="15" t="s">
        <v>29</v>
      </c>
    </row>
    <row r="3620" spans="1:13" x14ac:dyDescent="0.25">
      <c r="A3620" s="23"/>
      <c r="B3620" s="14" t="str">
        <f t="shared" si="173"/>
        <v>Direct Debit (UMB Bank) - Credits</v>
      </c>
      <c r="C3620" s="38">
        <v>46143</v>
      </c>
      <c r="D3620" s="34">
        <v>251876</v>
      </c>
      <c r="E3620" s="36" t="str">
        <f>IF(Table3[[#This Row],[Type Received]]=2,"CC",(IF(Table3[[#This Row],[Type Received]]=3,"BILL","ACH")))</f>
        <v>ACH</v>
      </c>
      <c r="F3620" s="35">
        <v>64.17</v>
      </c>
      <c r="G3620" s="14" t="str">
        <f>VLOOKUP(D3620,Table4[],3,FALSE)</f>
        <v>1</v>
      </c>
      <c r="H3620" s="15">
        <v>74375514</v>
      </c>
      <c r="I3620" s="15"/>
      <c r="J3620" s="24"/>
      <c r="K3620" s="15"/>
      <c r="L3620" s="15"/>
      <c r="M3620" s="15" t="s">
        <v>29</v>
      </c>
    </row>
    <row r="3621" spans="1:13" x14ac:dyDescent="0.25">
      <c r="A3621" s="23"/>
      <c r="B3621" s="14" t="str">
        <f t="shared" si="173"/>
        <v>Credit Cards (UMB) - Credits</v>
      </c>
      <c r="C3621" s="37">
        <v>46157</v>
      </c>
      <c r="D3621" s="31">
        <v>251883</v>
      </c>
      <c r="E3621" s="33" t="str">
        <f>IF(Table3[[#This Row],[Type Received]]=2,"CC",(IF(Table3[[#This Row],[Type Received]]=3,"BILL","ACH")))</f>
        <v>CC</v>
      </c>
      <c r="F3621" s="32">
        <v>53.59</v>
      </c>
      <c r="G3621" s="14" t="str">
        <f>VLOOKUP(D3621,Table4[],3,FALSE)</f>
        <v>2</v>
      </c>
      <c r="H3621" s="15"/>
      <c r="I3621" s="15"/>
      <c r="J3621" s="15" t="s">
        <v>87</v>
      </c>
      <c r="K3621" s="15">
        <v>696814969</v>
      </c>
      <c r="L3621" s="15" t="s">
        <v>29</v>
      </c>
      <c r="M3621" s="15"/>
    </row>
    <row r="3622" spans="1:13" x14ac:dyDescent="0.25">
      <c r="A3622" s="23"/>
      <c r="B3622" s="14" t="str">
        <f t="shared" si="173"/>
        <v>Billing - Credits (from TPA)</v>
      </c>
      <c r="C3622" s="38">
        <v>46155</v>
      </c>
      <c r="D3622" s="34">
        <v>251901</v>
      </c>
      <c r="E3622" s="36" t="str">
        <f>IF(Table3[[#This Row],[Type Received]]=2,"CC",(IF(Table3[[#This Row],[Type Received]]=3,"BILL","ACH")))</f>
        <v>BILL</v>
      </c>
      <c r="F3622" s="35">
        <v>100.45</v>
      </c>
      <c r="G3622" s="14" t="str">
        <f>VLOOKUP(D3622,Table4[],3,FALSE)</f>
        <v>2</v>
      </c>
      <c r="H3622" s="15"/>
      <c r="I3622" s="15" t="s">
        <v>301</v>
      </c>
      <c r="J3622" s="15" t="s">
        <v>28</v>
      </c>
      <c r="K3622" s="15">
        <v>669505659</v>
      </c>
      <c r="L3622" s="15" t="s">
        <v>29</v>
      </c>
      <c r="M3622" s="15" t="s">
        <v>29</v>
      </c>
    </row>
    <row r="3623" spans="1:13" x14ac:dyDescent="0.25">
      <c r="A3623" s="23"/>
      <c r="B3623" s="14" t="str">
        <f t="shared" si="173"/>
        <v>Direct Debit (UMB Bank) - Credits</v>
      </c>
      <c r="C3623" s="37">
        <v>46154</v>
      </c>
      <c r="D3623" s="31">
        <v>251927</v>
      </c>
      <c r="E3623" s="33" t="str">
        <f>IF(Table3[[#This Row],[Type Received]]=2,"CC",(IF(Table3[[#This Row],[Type Received]]=3,"BILL","ACH")))</f>
        <v>ACH</v>
      </c>
      <c r="F3623" s="32">
        <v>43.38</v>
      </c>
      <c r="G3623" s="14" t="str">
        <f>VLOOKUP(D3623,Table4[],3,FALSE)</f>
        <v>2</v>
      </c>
      <c r="H3623" s="15">
        <v>19817471944</v>
      </c>
      <c r="I3623" s="15"/>
      <c r="J3623" s="15"/>
      <c r="K3623" s="15"/>
      <c r="L3623" s="15"/>
      <c r="M3623" s="15" t="s">
        <v>29</v>
      </c>
    </row>
    <row r="3624" spans="1:13" x14ac:dyDescent="0.25">
      <c r="A3624" s="23"/>
      <c r="B3624" s="14" t="str">
        <f t="shared" si="173"/>
        <v>Direct Debit (UMB Bank) - Credits</v>
      </c>
      <c r="C3624" s="38">
        <v>46143</v>
      </c>
      <c r="D3624" s="34">
        <v>251933</v>
      </c>
      <c r="E3624" s="36" t="str">
        <f>IF(Table3[[#This Row],[Type Received]]=2,"CC",(IF(Table3[[#This Row],[Type Received]]=3,"BILL","ACH")))</f>
        <v>ACH</v>
      </c>
      <c r="F3624" s="35">
        <v>51.83</v>
      </c>
      <c r="G3624" s="14" t="str">
        <f>VLOOKUP(D3624,Table4[],3,FALSE)</f>
        <v>1</v>
      </c>
      <c r="H3624" s="15"/>
      <c r="I3624" s="15"/>
      <c r="J3624" s="15" t="s">
        <v>84</v>
      </c>
      <c r="K3624" s="15">
        <v>522388052</v>
      </c>
      <c r="L3624" s="15" t="s">
        <v>29</v>
      </c>
      <c r="M3624" s="15" t="s">
        <v>29</v>
      </c>
    </row>
    <row r="3625" spans="1:13" x14ac:dyDescent="0.25">
      <c r="A3625" s="23"/>
      <c r="B3625" s="14" t="str">
        <f t="shared" si="173"/>
        <v>Direct Debit (UMB Bank) - Credits</v>
      </c>
      <c r="C3625" s="37">
        <v>46167</v>
      </c>
      <c r="D3625" s="31">
        <v>251945</v>
      </c>
      <c r="E3625" s="33" t="str">
        <f>IF(Table3[[#This Row],[Type Received]]=2,"CC",(IF(Table3[[#This Row],[Type Received]]=3,"BILL","ACH")))</f>
        <v>ACH</v>
      </c>
      <c r="F3625" s="32">
        <v>140.38</v>
      </c>
      <c r="G3625" s="14" t="str">
        <f>VLOOKUP(D3625,Table4[],3,FALSE)</f>
        <v>2</v>
      </c>
      <c r="H3625" s="15"/>
      <c r="I3625" s="15"/>
      <c r="J3625" s="15" t="s">
        <v>85</v>
      </c>
      <c r="K3625" s="15">
        <v>818388895</v>
      </c>
      <c r="L3625" s="15" t="s">
        <v>29</v>
      </c>
      <c r="M3625" s="15" t="s">
        <v>29</v>
      </c>
    </row>
    <row r="3626" spans="1:13" x14ac:dyDescent="0.25">
      <c r="A3626" s="23"/>
      <c r="B3626" s="14" t="str">
        <f t="shared" si="173"/>
        <v>Direct Debit (UMB Bank) - Credits</v>
      </c>
      <c r="C3626" s="38">
        <v>46157</v>
      </c>
      <c r="D3626" s="34">
        <v>251947</v>
      </c>
      <c r="E3626" s="36" t="str">
        <f>IF(Table3[[#This Row],[Type Received]]=2,"CC",(IF(Table3[[#This Row],[Type Received]]=3,"BILL","ACH")))</f>
        <v>ACH</v>
      </c>
      <c r="F3626" s="35">
        <v>59.2</v>
      </c>
      <c r="G3626" s="14" t="str">
        <f>VLOOKUP(D3626,Table4[],3,FALSE)</f>
        <v>2</v>
      </c>
      <c r="H3626" s="15"/>
      <c r="I3626" s="15"/>
      <c r="J3626" s="15" t="s">
        <v>87</v>
      </c>
      <c r="K3626" s="15">
        <v>696815907</v>
      </c>
      <c r="L3626" s="15" t="s">
        <v>29</v>
      </c>
      <c r="M3626" s="15" t="s">
        <v>29</v>
      </c>
    </row>
    <row r="3627" spans="1:13" x14ac:dyDescent="0.25">
      <c r="A3627" s="23"/>
      <c r="B3627" s="14" t="str">
        <f t="shared" si="173"/>
        <v>Direct Debit (UMB Bank) - Credits</v>
      </c>
      <c r="C3627" s="37">
        <v>46157</v>
      </c>
      <c r="D3627" s="31">
        <v>251953</v>
      </c>
      <c r="E3627" s="33" t="str">
        <f>IF(Table3[[#This Row],[Type Received]]=2,"CC",(IF(Table3[[#This Row],[Type Received]]=3,"BILL","ACH")))</f>
        <v>ACH</v>
      </c>
      <c r="F3627" s="32">
        <v>55.24</v>
      </c>
      <c r="G3627" s="14" t="str">
        <f>VLOOKUP(D3627,Table4[],3,FALSE)</f>
        <v>2</v>
      </c>
      <c r="H3627" s="15"/>
      <c r="I3627" s="15"/>
      <c r="J3627" s="15" t="s">
        <v>87</v>
      </c>
      <c r="K3627" s="15">
        <v>696827579</v>
      </c>
      <c r="L3627" s="15" t="s">
        <v>29</v>
      </c>
      <c r="M3627" s="15" t="s">
        <v>29</v>
      </c>
    </row>
    <row r="3628" spans="1:13" x14ac:dyDescent="0.25">
      <c r="A3628" s="23"/>
      <c r="B3628" s="14" t="str">
        <f t="shared" si="173"/>
        <v>Direct Debit (UMB Bank) - Credits</v>
      </c>
      <c r="C3628" s="38">
        <v>46157</v>
      </c>
      <c r="D3628" s="34">
        <v>251954</v>
      </c>
      <c r="E3628" s="36" t="str">
        <f>IF(Table3[[#This Row],[Type Received]]=2,"CC",(IF(Table3[[#This Row],[Type Received]]=3,"BILL","ACH")))</f>
        <v>ACH</v>
      </c>
      <c r="F3628" s="35">
        <v>46.81</v>
      </c>
      <c r="G3628" s="14" t="str">
        <f>VLOOKUP(D3628,Table4[],3,FALSE)</f>
        <v>2</v>
      </c>
      <c r="H3628" s="15"/>
      <c r="I3628" s="15"/>
      <c r="J3628" s="15" t="s">
        <v>87</v>
      </c>
      <c r="K3628" s="15">
        <v>696823655</v>
      </c>
      <c r="L3628" s="15" t="s">
        <v>29</v>
      </c>
      <c r="M3628" s="15" t="s">
        <v>29</v>
      </c>
    </row>
    <row r="3629" spans="1:13" x14ac:dyDescent="0.25">
      <c r="A3629" s="23"/>
      <c r="B3629" s="14" t="str">
        <f t="shared" si="173"/>
        <v>Direct Debit (UMB Bank) - Credits</v>
      </c>
      <c r="C3629" s="37">
        <v>46167</v>
      </c>
      <c r="D3629" s="31">
        <v>251955</v>
      </c>
      <c r="E3629" s="33" t="str">
        <f>IF(Table3[[#This Row],[Type Received]]=2,"CC",(IF(Table3[[#This Row],[Type Received]]=3,"BILL","ACH")))</f>
        <v>ACH</v>
      </c>
      <c r="F3629" s="32">
        <v>98.8</v>
      </c>
      <c r="G3629" s="14" t="str">
        <f>VLOOKUP(D3629,Table4[],3,FALSE)</f>
        <v>2</v>
      </c>
      <c r="H3629" s="15"/>
      <c r="I3629" s="15"/>
      <c r="J3629" s="15" t="s">
        <v>85</v>
      </c>
      <c r="K3629" s="15">
        <v>818388902</v>
      </c>
      <c r="L3629" s="15" t="s">
        <v>29</v>
      </c>
      <c r="M3629" s="15" t="s">
        <v>29</v>
      </c>
    </row>
    <row r="3630" spans="1:13" x14ac:dyDescent="0.25">
      <c r="A3630" s="23"/>
      <c r="B3630" s="14" t="str">
        <f t="shared" si="173"/>
        <v>Direct Debit (UMB Bank) - Credits</v>
      </c>
      <c r="C3630" s="38">
        <v>46157</v>
      </c>
      <c r="D3630" s="34">
        <v>251970</v>
      </c>
      <c r="E3630" s="36" t="str">
        <f>IF(Table3[[#This Row],[Type Received]]=2,"CC",(IF(Table3[[#This Row],[Type Received]]=3,"BILL","ACH")))</f>
        <v>ACH</v>
      </c>
      <c r="F3630" s="35">
        <v>182.95</v>
      </c>
      <c r="G3630" s="14" t="str">
        <f>VLOOKUP(D3630,Table4[],3,FALSE)</f>
        <v>2</v>
      </c>
      <c r="H3630" s="15"/>
      <c r="I3630" s="15"/>
      <c r="J3630" s="15" t="s">
        <v>87</v>
      </c>
      <c r="K3630" s="15">
        <v>696836279</v>
      </c>
      <c r="L3630" s="15" t="s">
        <v>29</v>
      </c>
      <c r="M3630" s="15" t="s">
        <v>29</v>
      </c>
    </row>
    <row r="3631" spans="1:13" x14ac:dyDescent="0.25">
      <c r="A3631" s="23"/>
      <c r="B3631" s="14" t="str">
        <f t="shared" si="173"/>
        <v>Direct Debit (UMB Bank) - Credits</v>
      </c>
      <c r="C3631" s="37">
        <v>46167</v>
      </c>
      <c r="D3631" s="31">
        <v>251977</v>
      </c>
      <c r="E3631" s="33" t="str">
        <f>IF(Table3[[#This Row],[Type Received]]=2,"CC",(IF(Table3[[#This Row],[Type Received]]=3,"BILL","ACH")))</f>
        <v>ACH</v>
      </c>
      <c r="F3631" s="32">
        <v>99.57</v>
      </c>
      <c r="G3631" s="14" t="str">
        <f>VLOOKUP(D3631,Table4[],3,FALSE)</f>
        <v>1</v>
      </c>
      <c r="H3631" s="15"/>
      <c r="I3631" s="15"/>
      <c r="J3631" s="15" t="s">
        <v>85</v>
      </c>
      <c r="K3631" s="15">
        <v>818404460</v>
      </c>
      <c r="L3631" s="15" t="s">
        <v>29</v>
      </c>
      <c r="M3631" s="15"/>
    </row>
    <row r="3632" spans="1:13" x14ac:dyDescent="0.25">
      <c r="A3632" s="23"/>
      <c r="B3632" s="14" t="str">
        <f t="shared" si="173"/>
        <v>Credit Cards (UMB) - Credits</v>
      </c>
      <c r="C3632" s="38">
        <v>46143</v>
      </c>
      <c r="D3632" s="34">
        <v>251985</v>
      </c>
      <c r="E3632" s="36" t="str">
        <f>IF(Table3[[#This Row],[Type Received]]=2,"CC",(IF(Table3[[#This Row],[Type Received]]=3,"BILL","ACH")))</f>
        <v>CC</v>
      </c>
      <c r="F3632" s="35">
        <v>58.54</v>
      </c>
      <c r="G3632" s="14" t="str">
        <f>VLOOKUP(D3632,Table4[],3,FALSE)</f>
        <v>2</v>
      </c>
      <c r="H3632" s="15"/>
      <c r="I3632" s="15"/>
      <c r="J3632" s="15" t="s">
        <v>84</v>
      </c>
      <c r="K3632" s="15">
        <v>522412230</v>
      </c>
      <c r="L3632" s="15" t="s">
        <v>29</v>
      </c>
      <c r="M3632" s="15" t="s">
        <v>29</v>
      </c>
    </row>
    <row r="3633" spans="1:13" x14ac:dyDescent="0.25">
      <c r="A3633" s="23"/>
      <c r="B3633" s="14" t="str">
        <f t="shared" si="173"/>
        <v>Credit Cards (UMB) - Credits</v>
      </c>
      <c r="C3633" s="37">
        <v>46144</v>
      </c>
      <c r="D3633" s="31">
        <v>251995</v>
      </c>
      <c r="E3633" s="33" t="str">
        <f>IF(Table3[[#This Row],[Type Received]]=2,"CC",(IF(Table3[[#This Row],[Type Received]]=3,"BILL","ACH")))</f>
        <v>CC</v>
      </c>
      <c r="F3633" s="32">
        <v>87.58</v>
      </c>
      <c r="G3633" s="14" t="str">
        <f>VLOOKUP(D3633,Table4[],3,FALSE)</f>
        <v>2</v>
      </c>
      <c r="H3633" s="15"/>
      <c r="I3633" s="15">
        <v>785729</v>
      </c>
      <c r="J3633" s="15" t="s">
        <v>28</v>
      </c>
      <c r="K3633" s="15">
        <v>535373536</v>
      </c>
      <c r="L3633" s="15" t="s">
        <v>29</v>
      </c>
      <c r="M3633" s="15"/>
    </row>
    <row r="3634" spans="1:13" x14ac:dyDescent="0.25">
      <c r="A3634" s="23"/>
      <c r="B3634" s="14" t="str">
        <f t="shared" si="173"/>
        <v>Direct Debit (UMB Bank) - Credits</v>
      </c>
      <c r="C3634" s="38">
        <v>46155</v>
      </c>
      <c r="D3634" s="34">
        <v>251996</v>
      </c>
      <c r="E3634" s="36" t="str">
        <f>IF(Table3[[#This Row],[Type Received]]=2,"CC",(IF(Table3[[#This Row],[Type Received]]=3,"BILL","ACH")))</f>
        <v>ACH</v>
      </c>
      <c r="F3634" s="35">
        <v>48.64</v>
      </c>
      <c r="G3634" s="14" t="str">
        <f>VLOOKUP(D3634,Table4[],3,FALSE)</f>
        <v>2</v>
      </c>
      <c r="H3634" s="15"/>
      <c r="I3634" s="15" t="s">
        <v>302</v>
      </c>
      <c r="J3634" s="24" t="s">
        <v>28</v>
      </c>
      <c r="K3634" s="15">
        <v>669459815</v>
      </c>
      <c r="L3634" s="15" t="s">
        <v>29</v>
      </c>
      <c r="M3634" s="15" t="s">
        <v>29</v>
      </c>
    </row>
    <row r="3635" spans="1:13" x14ac:dyDescent="0.25">
      <c r="A3635" s="23"/>
      <c r="B3635" s="14" t="str">
        <f t="shared" si="173"/>
        <v>Billing - Credits (from TPA)</v>
      </c>
      <c r="C3635" s="37">
        <v>46143</v>
      </c>
      <c r="D3635" s="31">
        <v>251999</v>
      </c>
      <c r="E3635" s="33" t="str">
        <f>IF(Table3[[#This Row],[Type Received]]=2,"CC",(IF(Table3[[#This Row],[Type Received]]=3,"BILL","ACH")))</f>
        <v>BILL</v>
      </c>
      <c r="F3635" s="32">
        <v>144.01</v>
      </c>
      <c r="G3635" s="14" t="str">
        <f>VLOOKUP(D3635,Table4[],3,FALSE)</f>
        <v>2</v>
      </c>
      <c r="H3635" s="15"/>
      <c r="I3635" s="15"/>
      <c r="J3635" s="15" t="s">
        <v>84</v>
      </c>
      <c r="K3635" s="15">
        <v>522400645</v>
      </c>
      <c r="L3635" s="15" t="s">
        <v>29</v>
      </c>
      <c r="M3635" s="15"/>
    </row>
    <row r="3636" spans="1:13" x14ac:dyDescent="0.25">
      <c r="A3636" s="23"/>
      <c r="B3636" s="14" t="str">
        <f t="shared" si="173"/>
        <v>Direct Debit (UMB Bank) - Credits</v>
      </c>
      <c r="C3636" s="38">
        <v>46149</v>
      </c>
      <c r="D3636" s="34">
        <v>251610</v>
      </c>
      <c r="E3636" s="36" t="str">
        <f>IF(Table3[[#This Row],[Type Received]]=2,"CC",(IF(Table3[[#This Row],[Type Received]]=3,"BILL","ACH")))</f>
        <v>ACH</v>
      </c>
      <c r="F3636" s="35">
        <v>195.54</v>
      </c>
      <c r="G3636" s="14" t="str">
        <f>VLOOKUP(D3636,Table4[],3,FALSE)</f>
        <v>1</v>
      </c>
      <c r="H3636" s="15">
        <v>5203</v>
      </c>
      <c r="I3636" s="15"/>
      <c r="J3636" s="15"/>
      <c r="K3636" s="15"/>
      <c r="L3636" s="15"/>
      <c r="M3636" s="15" t="s">
        <v>29</v>
      </c>
    </row>
    <row r="3637" spans="1:13" x14ac:dyDescent="0.25">
      <c r="A3637" s="23"/>
      <c r="B3637" s="14" t="str">
        <f t="shared" si="173"/>
        <v>Billing - Credits (from TPA)</v>
      </c>
      <c r="C3637" s="37">
        <v>46157</v>
      </c>
      <c r="D3637" s="31">
        <v>251635</v>
      </c>
      <c r="E3637" s="33" t="str">
        <f>IF(Table3[[#This Row],[Type Received]]=2,"CC",(IF(Table3[[#This Row],[Type Received]]=3,"BILL","ACH")))</f>
        <v>BILL</v>
      </c>
      <c r="F3637" s="32">
        <v>45.67</v>
      </c>
      <c r="G3637" s="14" t="str">
        <f>VLOOKUP(D3637,Table4[],3,FALSE)</f>
        <v>2</v>
      </c>
      <c r="H3637" s="15"/>
      <c r="I3637" s="15"/>
      <c r="J3637" s="15" t="s">
        <v>87</v>
      </c>
      <c r="K3637" s="15">
        <v>696833237</v>
      </c>
      <c r="L3637" s="15" t="s">
        <v>29</v>
      </c>
      <c r="M3637" s="15" t="s">
        <v>29</v>
      </c>
    </row>
    <row r="3638" spans="1:13" x14ac:dyDescent="0.25">
      <c r="A3638" s="23"/>
      <c r="B3638" s="14" t="str">
        <f t="shared" si="173"/>
        <v>Direct Debit (UMB Bank) - Credits</v>
      </c>
      <c r="C3638" s="38">
        <v>46155</v>
      </c>
      <c r="D3638" s="34">
        <v>251637</v>
      </c>
      <c r="E3638" s="36" t="str">
        <f>IF(Table3[[#This Row],[Type Received]]=2,"CC",(IF(Table3[[#This Row],[Type Received]]=3,"BILL","ACH")))</f>
        <v>ACH</v>
      </c>
      <c r="F3638" s="35">
        <v>33.479999999999997</v>
      </c>
      <c r="G3638" s="14" t="str">
        <f>VLOOKUP(D3638,Table4[],3,FALSE)</f>
        <v>2</v>
      </c>
      <c r="H3638" s="15">
        <v>22117777159</v>
      </c>
      <c r="I3638" s="15"/>
      <c r="J3638" s="15"/>
      <c r="K3638" s="15"/>
      <c r="L3638" s="15"/>
      <c r="M3638" s="15" t="s">
        <v>29</v>
      </c>
    </row>
    <row r="3639" spans="1:13" x14ac:dyDescent="0.25">
      <c r="A3639" s="23"/>
      <c r="B3639" s="14" t="str">
        <f t="shared" si="173"/>
        <v>Direct Debit (UMB Bank) - Credits</v>
      </c>
      <c r="C3639" s="37">
        <v>46157</v>
      </c>
      <c r="D3639" s="31">
        <v>251647</v>
      </c>
      <c r="E3639" s="33" t="str">
        <f>IF(Table3[[#This Row],[Type Received]]=2,"CC",(IF(Table3[[#This Row],[Type Received]]=3,"BILL","ACH")))</f>
        <v>ACH</v>
      </c>
      <c r="F3639" s="32">
        <v>155.56</v>
      </c>
      <c r="G3639" s="14" t="str">
        <f>VLOOKUP(D3639,Table4[],3,FALSE)</f>
        <v>2</v>
      </c>
      <c r="H3639" s="15"/>
      <c r="I3639" s="15"/>
      <c r="J3639" s="15" t="s">
        <v>87</v>
      </c>
      <c r="K3639" s="15">
        <v>696826502</v>
      </c>
      <c r="L3639" s="15" t="s">
        <v>29</v>
      </c>
      <c r="M3639" s="15"/>
    </row>
    <row r="3640" spans="1:13" x14ac:dyDescent="0.25">
      <c r="A3640" s="23"/>
      <c r="B3640" s="14" t="str">
        <f t="shared" si="173"/>
        <v>Direct Debit (UMB Bank) - Credits</v>
      </c>
      <c r="C3640" s="38">
        <v>46167</v>
      </c>
      <c r="D3640" s="34">
        <v>251650</v>
      </c>
      <c r="E3640" s="36" t="str">
        <f>IF(Table3[[#This Row],[Type Received]]=2,"CC",(IF(Table3[[#This Row],[Type Received]]=3,"BILL","ACH")))</f>
        <v>ACH</v>
      </c>
      <c r="F3640" s="35">
        <v>111.45</v>
      </c>
      <c r="G3640" s="14" t="str">
        <f>VLOOKUP(D3640,Table4[],3,FALSE)</f>
        <v>1</v>
      </c>
      <c r="H3640" s="15"/>
      <c r="I3640" s="15"/>
      <c r="J3640" s="15" t="s">
        <v>85</v>
      </c>
      <c r="K3640" s="15">
        <v>818392767</v>
      </c>
      <c r="L3640" s="15" t="s">
        <v>29</v>
      </c>
      <c r="M3640" s="15"/>
    </row>
    <row r="3641" spans="1:13" x14ac:dyDescent="0.25">
      <c r="A3641" s="23"/>
      <c r="B3641" s="14" t="str">
        <f t="shared" si="173"/>
        <v>Direct Debit (UMB Bank) - Credits</v>
      </c>
      <c r="C3641" s="37">
        <v>46157</v>
      </c>
      <c r="D3641" s="31">
        <v>251662</v>
      </c>
      <c r="E3641" s="33" t="str">
        <f>IF(Table3[[#This Row],[Type Received]]=2,"CC",(IF(Table3[[#This Row],[Type Received]]=3,"BILL","ACH")))</f>
        <v>ACH</v>
      </c>
      <c r="F3641" s="32">
        <v>102.76</v>
      </c>
      <c r="G3641" s="14" t="str">
        <f>VLOOKUP(D3641,Table4[],3,FALSE)</f>
        <v>2</v>
      </c>
      <c r="H3641" s="15"/>
      <c r="I3641" s="15"/>
      <c r="J3641" s="15" t="s">
        <v>87</v>
      </c>
      <c r="K3641" s="15">
        <v>696834248</v>
      </c>
      <c r="L3641" s="15" t="s">
        <v>29</v>
      </c>
      <c r="M3641" s="15"/>
    </row>
    <row r="3642" spans="1:13" x14ac:dyDescent="0.25">
      <c r="A3642" s="23"/>
      <c r="B3642" s="14" t="str">
        <f t="shared" si="173"/>
        <v>Direct Debit (UMB Bank) - Credits</v>
      </c>
      <c r="C3642" s="38">
        <v>46157</v>
      </c>
      <c r="D3642" s="34">
        <v>251681</v>
      </c>
      <c r="E3642" s="36" t="str">
        <f>IF(Table3[[#This Row],[Type Received]]=2,"CC",(IF(Table3[[#This Row],[Type Received]]=3,"BILL","ACH")))</f>
        <v>ACH</v>
      </c>
      <c r="F3642" s="35">
        <v>178.99</v>
      </c>
      <c r="G3642" s="14" t="str">
        <f>VLOOKUP(D3642,Table4[],3,FALSE)</f>
        <v>2</v>
      </c>
      <c r="H3642" s="15"/>
      <c r="I3642" s="15"/>
      <c r="J3642" s="15" t="s">
        <v>87</v>
      </c>
      <c r="K3642" s="15">
        <v>696826519</v>
      </c>
      <c r="L3642" s="15" t="s">
        <v>29</v>
      </c>
      <c r="M3642" s="15"/>
    </row>
    <row r="3643" spans="1:13" x14ac:dyDescent="0.25">
      <c r="A3643" s="23"/>
      <c r="B3643" s="14" t="str">
        <f t="shared" si="173"/>
        <v>Direct Debit (UMB Bank) - Credits</v>
      </c>
      <c r="C3643" s="37">
        <v>46167</v>
      </c>
      <c r="D3643" s="31">
        <v>251755</v>
      </c>
      <c r="E3643" s="33" t="str">
        <f>IF(Table3[[#This Row],[Type Received]]=2,"CC",(IF(Table3[[#This Row],[Type Received]]=3,"BILL","ACH")))</f>
        <v>ACH</v>
      </c>
      <c r="F3643" s="32">
        <v>27.63</v>
      </c>
      <c r="G3643" s="14" t="str">
        <f>VLOOKUP(D3643,Table4[],3,FALSE)</f>
        <v>1</v>
      </c>
      <c r="H3643" s="15"/>
      <c r="I3643" s="15"/>
      <c r="J3643" s="15" t="s">
        <v>85</v>
      </c>
      <c r="K3643" s="15">
        <v>818409247</v>
      </c>
      <c r="L3643" s="15" t="s">
        <v>29</v>
      </c>
      <c r="M3643" s="15" t="s">
        <v>29</v>
      </c>
    </row>
    <row r="3644" spans="1:13" x14ac:dyDescent="0.25">
      <c r="A3644" s="23"/>
      <c r="B3644" s="14" t="str">
        <f t="shared" si="173"/>
        <v>Direct Debit (UMB Bank) - Credits</v>
      </c>
      <c r="C3644" s="38">
        <v>46143</v>
      </c>
      <c r="D3644" s="34">
        <v>251758</v>
      </c>
      <c r="E3644" s="36" t="str">
        <f>IF(Table3[[#This Row],[Type Received]]=2,"CC",(IF(Table3[[#This Row],[Type Received]]=3,"BILL","ACH")))</f>
        <v>ACH</v>
      </c>
      <c r="F3644" s="35">
        <v>56.23</v>
      </c>
      <c r="G3644" s="14" t="str">
        <f>VLOOKUP(D3644,Table4[],3,FALSE)</f>
        <v>1</v>
      </c>
      <c r="H3644" s="15"/>
      <c r="I3644" s="15"/>
      <c r="J3644" s="15" t="s">
        <v>84</v>
      </c>
      <c r="K3644" s="15">
        <v>522411122</v>
      </c>
      <c r="L3644" s="15" t="s">
        <v>29</v>
      </c>
      <c r="M3644" s="15" t="s">
        <v>29</v>
      </c>
    </row>
    <row r="3645" spans="1:13" x14ac:dyDescent="0.25">
      <c r="A3645" s="23"/>
      <c r="B3645" s="14" t="str">
        <f t="shared" si="173"/>
        <v>Direct Debit (UMB Bank) - Credits</v>
      </c>
      <c r="C3645" s="37">
        <v>46143</v>
      </c>
      <c r="D3645" s="31">
        <v>251759</v>
      </c>
      <c r="E3645" s="33" t="str">
        <f>IF(Table3[[#This Row],[Type Received]]=2,"CC",(IF(Table3[[#This Row],[Type Received]]=3,"BILL","ACH")))</f>
        <v>ACH</v>
      </c>
      <c r="F3645" s="32">
        <v>49.63</v>
      </c>
      <c r="G3645" s="14" t="str">
        <f>VLOOKUP(D3645,Table4[],3,FALSE)</f>
        <v>2</v>
      </c>
      <c r="H3645" s="15"/>
      <c r="I3645" s="15"/>
      <c r="J3645" s="15" t="s">
        <v>84</v>
      </c>
      <c r="K3645" s="15">
        <v>522401526</v>
      </c>
      <c r="L3645" s="15" t="s">
        <v>29</v>
      </c>
      <c r="M3645" s="15"/>
    </row>
    <row r="3646" spans="1:13" x14ac:dyDescent="0.25">
      <c r="A3646" s="23"/>
      <c r="B3646" s="14" t="str">
        <f t="shared" si="173"/>
        <v>Direct Debit (UMB Bank) - Credits</v>
      </c>
      <c r="C3646" s="38">
        <v>46143</v>
      </c>
      <c r="D3646" s="34">
        <v>251783</v>
      </c>
      <c r="E3646" s="36" t="str">
        <f>IF(Table3[[#This Row],[Type Received]]=2,"CC",(IF(Table3[[#This Row],[Type Received]]=3,"BILL","ACH")))</f>
        <v>ACH</v>
      </c>
      <c r="F3646" s="35">
        <v>72.73</v>
      </c>
      <c r="G3646" s="14" t="str">
        <f>VLOOKUP(D3646,Table4[],3,FALSE)</f>
        <v>2</v>
      </c>
      <c r="H3646" s="15"/>
      <c r="I3646" s="15"/>
      <c r="J3646" s="15" t="s">
        <v>84</v>
      </c>
      <c r="K3646" s="15">
        <v>522395736</v>
      </c>
      <c r="L3646" s="15" t="s">
        <v>29</v>
      </c>
      <c r="M3646" s="15" t="s">
        <v>29</v>
      </c>
    </row>
    <row r="3647" spans="1:13" x14ac:dyDescent="0.25">
      <c r="A3647" s="23"/>
      <c r="B3647" s="14" t="str">
        <f t="shared" si="173"/>
        <v>Direct Debit (UMB Bank) - Credits</v>
      </c>
      <c r="C3647" s="37">
        <v>46157</v>
      </c>
      <c r="D3647" s="31">
        <v>251785</v>
      </c>
      <c r="E3647" s="33" t="str">
        <f>IF(Table3[[#This Row],[Type Received]]=2,"CC",(IF(Table3[[#This Row],[Type Received]]=3,"BILL","ACH")))</f>
        <v>ACH</v>
      </c>
      <c r="F3647" s="32">
        <v>130.47999999999999</v>
      </c>
      <c r="G3647" s="14" t="str">
        <f>VLOOKUP(D3647,Table4[],3,FALSE)</f>
        <v>2</v>
      </c>
      <c r="H3647" s="15"/>
      <c r="I3647" s="15"/>
      <c r="J3647" s="15" t="s">
        <v>87</v>
      </c>
      <c r="K3647" s="15">
        <v>696812934</v>
      </c>
      <c r="L3647" s="15" t="s">
        <v>29</v>
      </c>
      <c r="M3647" s="15"/>
    </row>
    <row r="3648" spans="1:13" x14ac:dyDescent="0.25">
      <c r="A3648" s="23"/>
      <c r="B3648" s="14" t="str">
        <f t="shared" si="173"/>
        <v>Billing - Credits (from TPA)</v>
      </c>
      <c r="C3648" s="38">
        <v>46167</v>
      </c>
      <c r="D3648" s="34">
        <v>251792</v>
      </c>
      <c r="E3648" s="36" t="str">
        <f>IF(Table3[[#This Row],[Type Received]]=2,"CC",(IF(Table3[[#This Row],[Type Received]]=3,"BILL","ACH")))</f>
        <v>BILL</v>
      </c>
      <c r="F3648" s="35">
        <v>59.35</v>
      </c>
      <c r="G3648" s="14" t="str">
        <f>VLOOKUP(D3648,Table4[],3,FALSE)</f>
        <v>1</v>
      </c>
      <c r="H3648" s="15"/>
      <c r="I3648" s="15"/>
      <c r="J3648" s="15" t="s">
        <v>85</v>
      </c>
      <c r="K3648" s="15">
        <v>818393748</v>
      </c>
      <c r="L3648" s="15" t="s">
        <v>29</v>
      </c>
      <c r="M3648" s="15" t="s">
        <v>29</v>
      </c>
    </row>
    <row r="3649" spans="1:13" x14ac:dyDescent="0.25">
      <c r="A3649" s="23"/>
      <c r="B3649" s="14" t="str">
        <f t="shared" si="173"/>
        <v>Direct Debit (UMB Bank) - Credits</v>
      </c>
      <c r="C3649" s="37">
        <v>46146</v>
      </c>
      <c r="D3649" s="31">
        <v>252011</v>
      </c>
      <c r="E3649" s="33" t="str">
        <f>IF(Table3[[#This Row],[Type Received]]=2,"CC",(IF(Table3[[#This Row],[Type Received]]=3,"BILL","ACH")))</f>
        <v>ACH</v>
      </c>
      <c r="F3649" s="32">
        <v>150.96</v>
      </c>
      <c r="G3649" s="14" t="str">
        <f>VLOOKUP(D3649,Table4[],3,FALSE)</f>
        <v>2</v>
      </c>
      <c r="H3649" s="15">
        <v>5265</v>
      </c>
      <c r="I3649" s="15"/>
      <c r="J3649" s="15"/>
      <c r="K3649" s="15"/>
      <c r="L3649" s="15"/>
      <c r="M3649" s="15"/>
    </row>
    <row r="3650" spans="1:13" x14ac:dyDescent="0.25">
      <c r="A3650" s="23"/>
      <c r="B3650" s="14" t="str">
        <f t="shared" ref="B3650:B3699" si="174">IF(AND(E3650="BILL",F3650&lt;0),"Billing &amp; Direct Debit - Refunds",(IF(AND(E3650="BILL",F3650&gt;0),"Billing - Credits (from TPA)",(IF(AND(E3650="CC",F3650&lt;0),"Credit Cards (UMB) - Refunds",(IF(AND(E3650="CC",F3650&gt;0),"Credit Cards (UMB) - Credits",(IF(AND(E3650="ACH",F3650&gt;0),"Direct Debit (UMB Bank) - Credits","Direct Debit (UMB Bank) - Returned Items")))))))))</f>
        <v>Direct Debit (UMB Bank) - Credits</v>
      </c>
      <c r="C3650" s="38">
        <v>46167</v>
      </c>
      <c r="D3650" s="34">
        <v>252016</v>
      </c>
      <c r="E3650" s="36" t="str">
        <f>IF(Table3[[#This Row],[Type Received]]=2,"CC",(IF(Table3[[#This Row],[Type Received]]=3,"BILL","ACH")))</f>
        <v>ACH</v>
      </c>
      <c r="F3650" s="35">
        <v>32.909999999999997</v>
      </c>
      <c r="G3650" s="14" t="str">
        <f>VLOOKUP(D3650,Table4[],3,FALSE)</f>
        <v>1</v>
      </c>
      <c r="H3650" s="15"/>
      <c r="I3650" s="15"/>
      <c r="J3650" s="15" t="s">
        <v>85</v>
      </c>
      <c r="K3650" s="15">
        <v>818398551</v>
      </c>
      <c r="L3650" s="15" t="s">
        <v>29</v>
      </c>
      <c r="M3650" s="15"/>
    </row>
    <row r="3651" spans="1:13" x14ac:dyDescent="0.25">
      <c r="A3651" s="23"/>
      <c r="B3651" s="14" t="str">
        <f t="shared" si="174"/>
        <v>Billing - Credits (from TPA)</v>
      </c>
      <c r="C3651" s="37">
        <v>46157</v>
      </c>
      <c r="D3651" s="31">
        <v>252042</v>
      </c>
      <c r="E3651" s="33" t="str">
        <f>IF(Table3[[#This Row],[Type Received]]=2,"CC",(IF(Table3[[#This Row],[Type Received]]=3,"BILL","ACH")))</f>
        <v>BILL</v>
      </c>
      <c r="F3651" s="32">
        <v>30.71</v>
      </c>
      <c r="G3651" s="14" t="str">
        <f>VLOOKUP(D3651,Table4[],3,FALSE)</f>
        <v>1</v>
      </c>
      <c r="H3651" s="15"/>
      <c r="I3651" s="15"/>
      <c r="J3651" s="15" t="s">
        <v>87</v>
      </c>
      <c r="K3651" s="15">
        <v>696822689</v>
      </c>
      <c r="L3651" s="15" t="s">
        <v>29</v>
      </c>
      <c r="M3651" s="15" t="s">
        <v>29</v>
      </c>
    </row>
    <row r="3652" spans="1:13" x14ac:dyDescent="0.25">
      <c r="A3652" s="23"/>
      <c r="B3652" s="14" t="str">
        <f t="shared" si="174"/>
        <v>Direct Debit (UMB Bank) - Credits</v>
      </c>
      <c r="C3652" s="38">
        <v>46149</v>
      </c>
      <c r="D3652" s="34">
        <v>252046</v>
      </c>
      <c r="E3652" s="36" t="str">
        <f>IF(Table3[[#This Row],[Type Received]]=2,"CC",(IF(Table3[[#This Row],[Type Received]]=3,"BILL","ACH")))</f>
        <v>ACH</v>
      </c>
      <c r="F3652" s="35">
        <v>60.21</v>
      </c>
      <c r="G3652" s="14" t="str">
        <f>VLOOKUP(D3652,Table4[],3,FALSE)</f>
        <v>2</v>
      </c>
      <c r="H3652" s="15">
        <v>2374</v>
      </c>
      <c r="I3652" s="15"/>
      <c r="J3652" s="15"/>
      <c r="K3652" s="15"/>
      <c r="L3652" s="15"/>
      <c r="M3652" s="15" t="s">
        <v>29</v>
      </c>
    </row>
    <row r="3653" spans="1:13" x14ac:dyDescent="0.25">
      <c r="A3653" s="23"/>
      <c r="B3653" s="14" t="str">
        <f t="shared" si="174"/>
        <v>Billing - Credits (from TPA)</v>
      </c>
      <c r="C3653" s="37">
        <v>46150</v>
      </c>
      <c r="D3653" s="31">
        <v>252047</v>
      </c>
      <c r="E3653" s="33" t="str">
        <f>IF(Table3[[#This Row],[Type Received]]=2,"CC",(IF(Table3[[#This Row],[Type Received]]=3,"BILL","ACH")))</f>
        <v>BILL</v>
      </c>
      <c r="F3653" s="32">
        <v>143.04</v>
      </c>
      <c r="G3653" s="14" t="str">
        <f>VLOOKUP(D3653,Table4[],3,FALSE)</f>
        <v>2</v>
      </c>
      <c r="H3653" s="15"/>
      <c r="I3653" s="15"/>
      <c r="J3653" s="15" t="s">
        <v>104</v>
      </c>
      <c r="K3653" s="15">
        <v>608109634</v>
      </c>
      <c r="L3653" s="15" t="s">
        <v>29</v>
      </c>
      <c r="M3653" s="15"/>
    </row>
    <row r="3654" spans="1:13" x14ac:dyDescent="0.25">
      <c r="A3654" s="23"/>
      <c r="B3654" s="14" t="str">
        <f t="shared" si="174"/>
        <v>Billing - Credits (from TPA)</v>
      </c>
      <c r="C3654" s="38">
        <v>46171</v>
      </c>
      <c r="D3654" s="34">
        <v>252069</v>
      </c>
      <c r="E3654" s="36" t="str">
        <f>IF(Table3[[#This Row],[Type Received]]=2,"CC",(IF(Table3[[#This Row],[Type Received]]=3,"BILL","ACH")))</f>
        <v>BILL</v>
      </c>
      <c r="F3654" s="35">
        <v>131.82</v>
      </c>
      <c r="G3654" s="14" t="str">
        <f>VLOOKUP(D3654,Table4[],3,FALSE)</f>
        <v>2</v>
      </c>
      <c r="H3654" s="15">
        <v>6313</v>
      </c>
      <c r="I3654" s="15"/>
      <c r="J3654" s="15"/>
      <c r="K3654" s="15"/>
      <c r="L3654" s="15"/>
      <c r="M3654" s="15"/>
    </row>
    <row r="3655" spans="1:13" x14ac:dyDescent="0.25">
      <c r="A3655" s="23"/>
      <c r="B3655" s="14" t="str">
        <f t="shared" si="174"/>
        <v>Billing - Credits (from TPA)</v>
      </c>
      <c r="C3655" s="37">
        <v>46168</v>
      </c>
      <c r="D3655" s="31">
        <v>252069</v>
      </c>
      <c r="E3655" s="33" t="str">
        <f>IF(Table3[[#This Row],[Type Received]]=2,"CC",(IF(Table3[[#This Row],[Type Received]]=3,"BILL","ACH")))</f>
        <v>BILL</v>
      </c>
      <c r="F3655" s="32">
        <v>131.82</v>
      </c>
      <c r="G3655" s="14" t="str">
        <f>VLOOKUP(D3655,Table4[],3,FALSE)</f>
        <v>2</v>
      </c>
      <c r="H3655" s="15">
        <v>6311</v>
      </c>
      <c r="I3655" s="15"/>
      <c r="J3655" s="24"/>
      <c r="K3655" s="15"/>
      <c r="L3655" s="15"/>
      <c r="M3655" s="15"/>
    </row>
    <row r="3656" spans="1:13" x14ac:dyDescent="0.25">
      <c r="A3656" s="23"/>
      <c r="B3656" s="14" t="str">
        <f t="shared" si="174"/>
        <v>Direct Debit (UMB Bank) - Credits</v>
      </c>
      <c r="C3656" s="38">
        <v>46150</v>
      </c>
      <c r="D3656" s="34">
        <v>252075</v>
      </c>
      <c r="E3656" s="36" t="str">
        <f>IF(Table3[[#This Row],[Type Received]]=2,"CC",(IF(Table3[[#This Row],[Type Received]]=3,"BILL","ACH")))</f>
        <v>ACH</v>
      </c>
      <c r="F3656" s="35">
        <v>94.86</v>
      </c>
      <c r="G3656" s="14" t="str">
        <f>VLOOKUP(D3656,Table4[],3,FALSE)</f>
        <v>2</v>
      </c>
      <c r="H3656" s="15">
        <v>3577</v>
      </c>
      <c r="I3656" s="15"/>
      <c r="J3656" s="15"/>
      <c r="K3656" s="15"/>
      <c r="L3656" s="15"/>
      <c r="M3656" s="15" t="s">
        <v>29</v>
      </c>
    </row>
    <row r="3657" spans="1:13" x14ac:dyDescent="0.25">
      <c r="A3657" s="23"/>
      <c r="B3657" s="14" t="str">
        <f t="shared" si="174"/>
        <v>Direct Debit (UMB Bank) - Credits</v>
      </c>
      <c r="C3657" s="37">
        <v>46143</v>
      </c>
      <c r="D3657" s="31">
        <v>252079</v>
      </c>
      <c r="E3657" s="33" t="str">
        <f>IF(Table3[[#This Row],[Type Received]]=2,"CC",(IF(Table3[[#This Row],[Type Received]]=3,"BILL","ACH")))</f>
        <v>ACH</v>
      </c>
      <c r="F3657" s="32">
        <v>75.81</v>
      </c>
      <c r="G3657" s="14" t="str">
        <f>VLOOKUP(D3657,Table4[],3,FALSE)</f>
        <v>1</v>
      </c>
      <c r="H3657" s="15"/>
      <c r="I3657" s="15"/>
      <c r="J3657" s="15" t="s">
        <v>84</v>
      </c>
      <c r="K3657" s="15">
        <v>522415213</v>
      </c>
      <c r="L3657" s="15" t="s">
        <v>29</v>
      </c>
      <c r="M3657" s="15"/>
    </row>
    <row r="3658" spans="1:13" x14ac:dyDescent="0.25">
      <c r="A3658" s="23"/>
      <c r="B3658" s="14" t="str">
        <f t="shared" si="174"/>
        <v>Billing - Credits (from TPA)</v>
      </c>
      <c r="C3658" s="38">
        <v>46167</v>
      </c>
      <c r="D3658" s="34">
        <v>252105</v>
      </c>
      <c r="E3658" s="36" t="str">
        <f>IF(Table3[[#This Row],[Type Received]]=2,"CC",(IF(Table3[[#This Row],[Type Received]]=3,"BILL","ACH")))</f>
        <v>BILL</v>
      </c>
      <c r="F3658" s="35">
        <v>55.13</v>
      </c>
      <c r="G3658" s="14" t="str">
        <f>VLOOKUP(D3658,Table4[],3,FALSE)</f>
        <v>1</v>
      </c>
      <c r="H3658" s="15"/>
      <c r="I3658" s="15"/>
      <c r="J3658" s="24" t="s">
        <v>85</v>
      </c>
      <c r="K3658" s="15">
        <v>818409298</v>
      </c>
      <c r="L3658" s="15" t="s">
        <v>29</v>
      </c>
      <c r="M3658" s="15" t="s">
        <v>29</v>
      </c>
    </row>
    <row r="3659" spans="1:13" x14ac:dyDescent="0.25">
      <c r="A3659" s="23"/>
      <c r="B3659" s="14" t="str">
        <f t="shared" si="174"/>
        <v>Direct Debit (UMB Bank) - Credits</v>
      </c>
      <c r="C3659" s="37">
        <v>46143</v>
      </c>
      <c r="D3659" s="31">
        <v>252122</v>
      </c>
      <c r="E3659" s="33" t="str">
        <f>IF(Table3[[#This Row],[Type Received]]=2,"CC",(IF(Table3[[#This Row],[Type Received]]=3,"BILL","ACH")))</f>
        <v>ACH</v>
      </c>
      <c r="F3659" s="32">
        <v>102.78</v>
      </c>
      <c r="G3659" s="14" t="str">
        <f>VLOOKUP(D3659,Table4[],3,FALSE)</f>
        <v>2</v>
      </c>
      <c r="H3659" s="15">
        <v>1068</v>
      </c>
      <c r="I3659" s="15"/>
      <c r="J3659" s="15"/>
      <c r="K3659" s="15"/>
      <c r="L3659" s="15"/>
      <c r="M3659" s="15" t="s">
        <v>29</v>
      </c>
    </row>
    <row r="3660" spans="1:13" x14ac:dyDescent="0.25">
      <c r="A3660" s="23"/>
      <c r="B3660" s="14" t="str">
        <f t="shared" si="174"/>
        <v>Direct Debit (UMB Bank) - Credits</v>
      </c>
      <c r="C3660" s="38">
        <v>46157</v>
      </c>
      <c r="D3660" s="34">
        <v>252129</v>
      </c>
      <c r="E3660" s="36" t="str">
        <f>IF(Table3[[#This Row],[Type Received]]=2,"CC",(IF(Table3[[#This Row],[Type Received]]=3,"BILL","ACH")))</f>
        <v>ACH</v>
      </c>
      <c r="F3660" s="35">
        <v>108.37</v>
      </c>
      <c r="G3660" s="14" t="str">
        <f>VLOOKUP(D3660,Table4[],3,FALSE)</f>
        <v>2</v>
      </c>
      <c r="H3660" s="15"/>
      <c r="I3660" s="15"/>
      <c r="J3660" s="15" t="s">
        <v>87</v>
      </c>
      <c r="K3660" s="15">
        <v>696822705</v>
      </c>
      <c r="L3660" s="15" t="s">
        <v>29</v>
      </c>
      <c r="M3660" s="15" t="s">
        <v>29</v>
      </c>
    </row>
    <row r="3661" spans="1:13" x14ac:dyDescent="0.25">
      <c r="A3661" s="23"/>
      <c r="B3661" s="14" t="str">
        <f t="shared" si="174"/>
        <v>Direct Debit (UMB Bank) - Credits</v>
      </c>
      <c r="C3661" s="37">
        <v>46167</v>
      </c>
      <c r="D3661" s="31">
        <v>252145</v>
      </c>
      <c r="E3661" s="33" t="str">
        <f>IF(Table3[[#This Row],[Type Received]]=2,"CC",(IF(Table3[[#This Row],[Type Received]]=3,"BILL","ACH")))</f>
        <v>ACH</v>
      </c>
      <c r="F3661" s="32">
        <v>53.26</v>
      </c>
      <c r="G3661" s="14" t="str">
        <f>VLOOKUP(D3661,Table4[],3,FALSE)</f>
        <v>2</v>
      </c>
      <c r="H3661" s="15"/>
      <c r="I3661" s="15"/>
      <c r="J3661" s="15" t="s">
        <v>85</v>
      </c>
      <c r="K3661" s="15">
        <v>818403468</v>
      </c>
      <c r="L3661" s="15" t="s">
        <v>29</v>
      </c>
      <c r="M3661" s="15"/>
    </row>
    <row r="3662" spans="1:13" x14ac:dyDescent="0.25">
      <c r="A3662" s="23"/>
      <c r="B3662" s="14" t="str">
        <f t="shared" si="174"/>
        <v>Credit Cards (UMB) - Credits</v>
      </c>
      <c r="C3662" s="38">
        <v>46157</v>
      </c>
      <c r="D3662" s="34">
        <v>252155</v>
      </c>
      <c r="E3662" s="36" t="str">
        <f>IF(Table3[[#This Row],[Type Received]]=2,"CC",(IF(Table3[[#This Row],[Type Received]]=3,"BILL","ACH")))</f>
        <v>CC</v>
      </c>
      <c r="F3662" s="35">
        <v>39.950000000000003</v>
      </c>
      <c r="G3662" s="14" t="str">
        <f>VLOOKUP(D3662,Table4[],3,FALSE)</f>
        <v>1</v>
      </c>
      <c r="H3662" s="15"/>
      <c r="I3662" s="15"/>
      <c r="J3662" s="15" t="s">
        <v>87</v>
      </c>
      <c r="K3662" s="15">
        <v>696836312</v>
      </c>
      <c r="L3662" s="15" t="s">
        <v>29</v>
      </c>
      <c r="M3662" s="15" t="s">
        <v>29</v>
      </c>
    </row>
    <row r="3663" spans="1:13" x14ac:dyDescent="0.25">
      <c r="A3663" s="23"/>
      <c r="B3663" s="14" t="str">
        <f t="shared" si="174"/>
        <v>Credit Cards (UMB) - Credits</v>
      </c>
      <c r="C3663" s="37">
        <v>46155</v>
      </c>
      <c r="D3663" s="31">
        <v>252160</v>
      </c>
      <c r="E3663" s="33" t="str">
        <f>IF(Table3[[#This Row],[Type Received]]=2,"CC",(IF(Table3[[#This Row],[Type Received]]=3,"BILL","ACH")))</f>
        <v>CC</v>
      </c>
      <c r="F3663" s="32">
        <v>59.2</v>
      </c>
      <c r="G3663" s="14" t="str">
        <f>VLOOKUP(D3663,Table4[],3,FALSE)</f>
        <v>2</v>
      </c>
      <c r="H3663" s="15"/>
      <c r="I3663" s="15">
        <v>598924</v>
      </c>
      <c r="J3663" s="15" t="s">
        <v>28</v>
      </c>
      <c r="K3663" s="15">
        <v>669492051</v>
      </c>
      <c r="L3663" s="15" t="s">
        <v>29</v>
      </c>
      <c r="M3663" s="15" t="s">
        <v>29</v>
      </c>
    </row>
    <row r="3664" spans="1:13" x14ac:dyDescent="0.25">
      <c r="A3664" s="23"/>
      <c r="B3664" s="14" t="str">
        <f t="shared" si="174"/>
        <v>Direct Debit (UMB Bank) - Credits</v>
      </c>
      <c r="C3664" s="38">
        <v>46150</v>
      </c>
      <c r="D3664" s="34">
        <v>252169</v>
      </c>
      <c r="E3664" s="36" t="str">
        <f>IF(Table3[[#This Row],[Type Received]]=2,"CC",(IF(Table3[[#This Row],[Type Received]]=3,"BILL","ACH")))</f>
        <v>ACH</v>
      </c>
      <c r="F3664" s="35">
        <v>41.07</v>
      </c>
      <c r="G3664" s="14" t="str">
        <f>VLOOKUP(D3664,Table4[],3,FALSE)</f>
        <v>1</v>
      </c>
      <c r="H3664" s="15"/>
      <c r="I3664" s="15">
        <v>151411</v>
      </c>
      <c r="J3664" s="15" t="s">
        <v>28</v>
      </c>
      <c r="K3664" s="15">
        <v>611229938</v>
      </c>
      <c r="L3664" s="15" t="s">
        <v>29</v>
      </c>
      <c r="M3664" s="15" t="s">
        <v>29</v>
      </c>
    </row>
    <row r="3665" spans="1:13" x14ac:dyDescent="0.25">
      <c r="A3665" s="23"/>
      <c r="B3665" s="14" t="str">
        <f t="shared" si="174"/>
        <v>Direct Debit (UMB Bank) - Credits</v>
      </c>
      <c r="C3665" s="37">
        <v>46157</v>
      </c>
      <c r="D3665" s="31">
        <v>252174</v>
      </c>
      <c r="E3665" s="33" t="str">
        <f>IF(Table3[[#This Row],[Type Received]]=2,"CC",(IF(Table3[[#This Row],[Type Received]]=3,"BILL","ACH")))</f>
        <v>ACH</v>
      </c>
      <c r="F3665" s="32">
        <v>30.01</v>
      </c>
      <c r="G3665" s="14" t="str">
        <f>VLOOKUP(D3665,Table4[],3,FALSE)</f>
        <v>1</v>
      </c>
      <c r="H3665" s="15"/>
      <c r="I3665" s="15"/>
      <c r="J3665" s="15" t="s">
        <v>87</v>
      </c>
      <c r="K3665" s="15">
        <v>696829594</v>
      </c>
      <c r="L3665" s="15" t="s">
        <v>29</v>
      </c>
      <c r="M3665" s="15" t="s">
        <v>29</v>
      </c>
    </row>
    <row r="3666" spans="1:13" x14ac:dyDescent="0.25">
      <c r="A3666" s="23"/>
      <c r="B3666" s="14" t="str">
        <f t="shared" si="174"/>
        <v>Direct Debit (UMB Bank) - Credits</v>
      </c>
      <c r="C3666" s="38">
        <v>46143</v>
      </c>
      <c r="D3666" s="34">
        <v>252200</v>
      </c>
      <c r="E3666" s="36" t="str">
        <f>IF(Table3[[#This Row],[Type Received]]=2,"CC",(IF(Table3[[#This Row],[Type Received]]=3,"BILL","ACH")))</f>
        <v>ACH</v>
      </c>
      <c r="F3666" s="35">
        <v>44.68</v>
      </c>
      <c r="G3666" s="14" t="str">
        <f>VLOOKUP(D3666,Table4[],3,FALSE)</f>
        <v>2</v>
      </c>
      <c r="H3666" s="15"/>
      <c r="I3666" s="15"/>
      <c r="J3666" s="15" t="s">
        <v>84</v>
      </c>
      <c r="K3666" s="15">
        <v>522392031</v>
      </c>
      <c r="L3666" s="15" t="s">
        <v>29</v>
      </c>
      <c r="M3666" s="15" t="s">
        <v>29</v>
      </c>
    </row>
    <row r="3667" spans="1:13" x14ac:dyDescent="0.25">
      <c r="A3667" s="23"/>
      <c r="B3667" s="14" t="str">
        <f t="shared" si="174"/>
        <v>Direct Debit (UMB Bank) - Credits</v>
      </c>
      <c r="C3667" s="37">
        <v>46157</v>
      </c>
      <c r="D3667" s="31">
        <v>252207</v>
      </c>
      <c r="E3667" s="33" t="str">
        <f>IF(Table3[[#This Row],[Type Received]]=2,"CC",(IF(Table3[[#This Row],[Type Received]]=3,"BILL","ACH")))</f>
        <v>ACH</v>
      </c>
      <c r="F3667" s="32">
        <v>49.41</v>
      </c>
      <c r="G3667" s="14" t="str">
        <f>VLOOKUP(D3667,Table4[],3,FALSE)</f>
        <v>1</v>
      </c>
      <c r="H3667" s="15"/>
      <c r="I3667" s="15"/>
      <c r="J3667" s="15" t="s">
        <v>87</v>
      </c>
      <c r="K3667" s="15">
        <v>696830651</v>
      </c>
      <c r="L3667" s="15" t="s">
        <v>29</v>
      </c>
      <c r="M3667" s="15"/>
    </row>
    <row r="3668" spans="1:13" x14ac:dyDescent="0.25">
      <c r="A3668" s="23"/>
      <c r="B3668" s="14" t="str">
        <f t="shared" si="174"/>
        <v>Billing - Credits (from TPA)</v>
      </c>
      <c r="C3668" s="38">
        <v>46143</v>
      </c>
      <c r="D3668" s="34">
        <v>252212</v>
      </c>
      <c r="E3668" s="36" t="str">
        <f>IF(Table3[[#This Row],[Type Received]]=2,"CC",(IF(Table3[[#This Row],[Type Received]]=3,"BILL","ACH")))</f>
        <v>BILL</v>
      </c>
      <c r="F3668" s="35">
        <v>39.729999999999997</v>
      </c>
      <c r="G3668" s="14" t="str">
        <f>VLOOKUP(D3668,Table4[],3,FALSE)</f>
        <v>2</v>
      </c>
      <c r="H3668" s="15"/>
      <c r="I3668" s="15"/>
      <c r="J3668" s="15" t="s">
        <v>84</v>
      </c>
      <c r="K3668" s="15">
        <v>522415323</v>
      </c>
      <c r="L3668" s="15" t="s">
        <v>29</v>
      </c>
      <c r="M3668" s="15" t="s">
        <v>29</v>
      </c>
    </row>
    <row r="3669" spans="1:13" x14ac:dyDescent="0.25">
      <c r="A3669" s="23"/>
      <c r="B3669" s="14" t="str">
        <f t="shared" si="174"/>
        <v>Direct Debit (UMB Bank) - Credits</v>
      </c>
      <c r="C3669" s="37">
        <v>46148</v>
      </c>
      <c r="D3669" s="31">
        <v>252217</v>
      </c>
      <c r="E3669" s="33" t="str">
        <f>IF(Table3[[#This Row],[Type Received]]=2,"CC",(IF(Table3[[#This Row],[Type Received]]=3,"BILL","ACH")))</f>
        <v>ACH</v>
      </c>
      <c r="F3669" s="32">
        <v>32.93</v>
      </c>
      <c r="G3669" s="14" t="str">
        <f>VLOOKUP(D3669,Table4[],3,FALSE)</f>
        <v>1</v>
      </c>
      <c r="H3669" s="15">
        <v>206</v>
      </c>
      <c r="I3669" s="15"/>
      <c r="J3669" s="24"/>
      <c r="K3669" s="15"/>
      <c r="L3669" s="15"/>
      <c r="M3669" s="15" t="s">
        <v>29</v>
      </c>
    </row>
    <row r="3670" spans="1:13" x14ac:dyDescent="0.25">
      <c r="A3670" s="23"/>
      <c r="B3670" s="14" t="str">
        <f t="shared" si="174"/>
        <v>Billing - Credits (from TPA)</v>
      </c>
      <c r="C3670" s="38">
        <v>46157</v>
      </c>
      <c r="D3670" s="34">
        <v>252224</v>
      </c>
      <c r="E3670" s="36" t="str">
        <f>IF(Table3[[#This Row],[Type Received]]=2,"CC",(IF(Table3[[#This Row],[Type Received]]=3,"BILL","ACH")))</f>
        <v>BILL</v>
      </c>
      <c r="F3670" s="35">
        <v>38.630000000000003</v>
      </c>
      <c r="G3670" s="14" t="str">
        <f>VLOOKUP(D3670,Table4[],3,FALSE)</f>
        <v>1</v>
      </c>
      <c r="H3670" s="15"/>
      <c r="I3670" s="15"/>
      <c r="J3670" s="15" t="s">
        <v>87</v>
      </c>
      <c r="K3670" s="15">
        <v>696652584</v>
      </c>
      <c r="L3670" s="15" t="s">
        <v>29</v>
      </c>
      <c r="M3670" s="15" t="s">
        <v>29</v>
      </c>
    </row>
    <row r="3671" spans="1:13" x14ac:dyDescent="0.25">
      <c r="A3671" s="23"/>
      <c r="B3671" s="14" t="str">
        <f t="shared" si="174"/>
        <v>Direct Debit (UMB Bank) - Credits</v>
      </c>
      <c r="C3671" s="37">
        <v>46171</v>
      </c>
      <c r="D3671" s="31">
        <v>252228</v>
      </c>
      <c r="E3671" s="33" t="str">
        <f>IF(Table3[[#This Row],[Type Received]]=2,"CC",(IF(Table3[[#This Row],[Type Received]]=3,"BILL","ACH")))</f>
        <v>ACH</v>
      </c>
      <c r="F3671" s="32">
        <v>58.56</v>
      </c>
      <c r="G3671" s="14" t="str">
        <f>VLOOKUP(D3671,Table4[],3,FALSE)</f>
        <v>2</v>
      </c>
      <c r="H3671" s="15">
        <v>610</v>
      </c>
      <c r="I3671" s="15"/>
      <c r="J3671" s="15"/>
      <c r="K3671" s="15"/>
      <c r="L3671" s="15"/>
      <c r="M3671" s="15"/>
    </row>
    <row r="3672" spans="1:13" x14ac:dyDescent="0.25">
      <c r="A3672" s="23"/>
      <c r="B3672" s="14" t="str">
        <f t="shared" si="174"/>
        <v>Direct Debit (UMB Bank) - Credits</v>
      </c>
      <c r="C3672" s="38">
        <v>46158</v>
      </c>
      <c r="D3672" s="34">
        <v>252236</v>
      </c>
      <c r="E3672" s="36" t="str">
        <f>IF(Table3[[#This Row],[Type Received]]=2,"CC",(IF(Table3[[#This Row],[Type Received]]=3,"BILL","ACH")))</f>
        <v>ACH</v>
      </c>
      <c r="F3672" s="35">
        <v>31.59</v>
      </c>
      <c r="G3672" s="14" t="str">
        <f>VLOOKUP(D3672,Table4[],3,FALSE)</f>
        <v>1</v>
      </c>
      <c r="H3672" s="15"/>
      <c r="I3672" s="15"/>
      <c r="J3672" s="15" t="s">
        <v>106</v>
      </c>
      <c r="K3672" s="15">
        <v>710024035</v>
      </c>
      <c r="L3672" s="15" t="s">
        <v>29</v>
      </c>
      <c r="M3672" s="15" t="s">
        <v>29</v>
      </c>
    </row>
    <row r="3673" spans="1:13" x14ac:dyDescent="0.25">
      <c r="A3673" s="23"/>
      <c r="B3673" s="14" t="str">
        <f t="shared" si="174"/>
        <v>Direct Debit (UMB Bank) - Credits</v>
      </c>
      <c r="C3673" s="37">
        <v>46157</v>
      </c>
      <c r="D3673" s="31">
        <v>252247</v>
      </c>
      <c r="E3673" s="33" t="str">
        <f>IF(Table3[[#This Row],[Type Received]]=2,"CC",(IF(Table3[[#This Row],[Type Received]]=3,"BILL","ACH")))</f>
        <v>ACH</v>
      </c>
      <c r="F3673" s="32">
        <v>49.85</v>
      </c>
      <c r="G3673" s="14" t="str">
        <f>VLOOKUP(D3673,Table4[],3,FALSE)</f>
        <v>1</v>
      </c>
      <c r="H3673" s="15"/>
      <c r="I3673" s="15"/>
      <c r="J3673" s="15" t="s">
        <v>87</v>
      </c>
      <c r="K3673" s="15">
        <v>696834421</v>
      </c>
      <c r="L3673" s="15" t="s">
        <v>29</v>
      </c>
      <c r="M3673" s="15"/>
    </row>
    <row r="3674" spans="1:13" x14ac:dyDescent="0.25">
      <c r="A3674" s="23"/>
      <c r="B3674" s="14" t="str">
        <f t="shared" si="174"/>
        <v>Direct Debit (UMB Bank) - Credits</v>
      </c>
      <c r="C3674" s="38">
        <v>46143</v>
      </c>
      <c r="D3674" s="34">
        <v>252249</v>
      </c>
      <c r="E3674" s="36" t="str">
        <f>IF(Table3[[#This Row],[Type Received]]=2,"CC",(IF(Table3[[#This Row],[Type Received]]=3,"BILL","ACH")))</f>
        <v>ACH</v>
      </c>
      <c r="F3674" s="35">
        <v>47.74</v>
      </c>
      <c r="G3674" s="14" t="str">
        <f>VLOOKUP(D3674,Table4[],3,FALSE)</f>
        <v>1</v>
      </c>
      <c r="H3674" s="15"/>
      <c r="I3674" s="15"/>
      <c r="J3674" s="15" t="s">
        <v>84</v>
      </c>
      <c r="K3674" s="15">
        <v>522404703</v>
      </c>
      <c r="L3674" s="15" t="s">
        <v>29</v>
      </c>
      <c r="M3674" s="15"/>
    </row>
    <row r="3675" spans="1:13" x14ac:dyDescent="0.25">
      <c r="A3675" s="23"/>
      <c r="B3675" s="14" t="str">
        <f t="shared" si="174"/>
        <v>Billing - Credits (from TPA)</v>
      </c>
      <c r="C3675" s="37">
        <v>46167</v>
      </c>
      <c r="D3675" s="31">
        <v>252250</v>
      </c>
      <c r="E3675" s="33" t="str">
        <f>IF(Table3[[#This Row],[Type Received]]=2,"CC",(IF(Table3[[#This Row],[Type Received]]=3,"BILL","ACH")))</f>
        <v>BILL</v>
      </c>
      <c r="F3675" s="32">
        <v>76.03</v>
      </c>
      <c r="G3675" s="14" t="str">
        <f>VLOOKUP(D3675,Table4[],3,FALSE)</f>
        <v>1</v>
      </c>
      <c r="H3675" s="15"/>
      <c r="I3675" s="15"/>
      <c r="J3675" s="24" t="s">
        <v>85</v>
      </c>
      <c r="K3675" s="15">
        <v>818413113</v>
      </c>
      <c r="L3675" s="15" t="s">
        <v>29</v>
      </c>
      <c r="M3675" s="15" t="s">
        <v>29</v>
      </c>
    </row>
    <row r="3676" spans="1:13" x14ac:dyDescent="0.25">
      <c r="A3676" s="23"/>
      <c r="B3676" s="14" t="str">
        <f t="shared" si="174"/>
        <v>Billing - Credits (from TPA)</v>
      </c>
      <c r="C3676" s="38">
        <v>46147</v>
      </c>
      <c r="D3676" s="34">
        <v>252272</v>
      </c>
      <c r="E3676" s="36" t="str">
        <f>IF(Table3[[#This Row],[Type Received]]=2,"CC",(IF(Table3[[#This Row],[Type Received]]=3,"BILL","ACH")))</f>
        <v>BILL</v>
      </c>
      <c r="F3676" s="35">
        <v>103.44</v>
      </c>
      <c r="G3676" s="14" t="str">
        <f>VLOOKUP(D3676,Table4[],3,FALSE)</f>
        <v>2</v>
      </c>
      <c r="H3676" s="15">
        <v>75402288</v>
      </c>
      <c r="I3676" s="15"/>
      <c r="J3676" s="24"/>
      <c r="K3676" s="15"/>
      <c r="L3676" s="15"/>
      <c r="M3676" s="15"/>
    </row>
    <row r="3677" spans="1:13" x14ac:dyDescent="0.25">
      <c r="A3677" s="23"/>
      <c r="B3677" s="14" t="str">
        <f t="shared" si="174"/>
        <v>Credit Cards (UMB) - Credits</v>
      </c>
      <c r="C3677" s="37">
        <v>46148</v>
      </c>
      <c r="D3677" s="31">
        <v>252284</v>
      </c>
      <c r="E3677" s="33" t="str">
        <f>IF(Table3[[#This Row],[Type Received]]=2,"CC",(IF(Table3[[#This Row],[Type Received]]=3,"BILL","ACH")))</f>
        <v>CC</v>
      </c>
      <c r="F3677" s="32">
        <v>67.8</v>
      </c>
      <c r="G3677" s="14" t="str">
        <f>VLOOKUP(D3677,Table4[],3,FALSE)</f>
        <v>2</v>
      </c>
      <c r="H3677" s="15">
        <v>2242692671</v>
      </c>
      <c r="I3677" s="15"/>
      <c r="J3677" s="15"/>
      <c r="K3677" s="15"/>
      <c r="L3677" s="15"/>
      <c r="M3677" s="15" t="s">
        <v>29</v>
      </c>
    </row>
    <row r="3678" spans="1:13" x14ac:dyDescent="0.25">
      <c r="A3678" s="23"/>
      <c r="B3678" s="14" t="str">
        <f t="shared" si="174"/>
        <v>Credit Cards (UMB) - Credits</v>
      </c>
      <c r="C3678" s="38">
        <v>46146</v>
      </c>
      <c r="D3678" s="34">
        <v>252288</v>
      </c>
      <c r="E3678" s="36" t="str">
        <f>IF(Table3[[#This Row],[Type Received]]=2,"CC",(IF(Table3[[#This Row],[Type Received]]=3,"BILL","ACH")))</f>
        <v>CC</v>
      </c>
      <c r="F3678" s="35">
        <v>46</v>
      </c>
      <c r="G3678" s="14" t="str">
        <f>VLOOKUP(D3678,Table4[],3,FALSE)</f>
        <v>2</v>
      </c>
      <c r="H3678" s="15"/>
      <c r="I3678" s="15">
        <v>2179</v>
      </c>
      <c r="J3678" s="15" t="s">
        <v>28</v>
      </c>
      <c r="K3678" s="15">
        <v>557091189</v>
      </c>
      <c r="L3678" s="15" t="s">
        <v>29</v>
      </c>
      <c r="M3678" s="15"/>
    </row>
    <row r="3679" spans="1:13" x14ac:dyDescent="0.25">
      <c r="A3679" s="23"/>
      <c r="B3679" s="14" t="str">
        <f t="shared" si="174"/>
        <v>Direct Debit (UMB Bank) - Credits</v>
      </c>
      <c r="C3679" s="37">
        <v>46146</v>
      </c>
      <c r="D3679" s="31">
        <v>252289</v>
      </c>
      <c r="E3679" s="33" t="str">
        <f>IF(Table3[[#This Row],[Type Received]]=2,"CC",(IF(Table3[[#This Row],[Type Received]]=3,"BILL","ACH")))</f>
        <v>ACH</v>
      </c>
      <c r="F3679" s="32">
        <v>171.2</v>
      </c>
      <c r="G3679" s="14" t="str">
        <f>VLOOKUP(D3679,Table4[],3,FALSE)</f>
        <v>2</v>
      </c>
      <c r="H3679" s="15"/>
      <c r="I3679" s="15">
        <v>57114</v>
      </c>
      <c r="J3679" s="15" t="s">
        <v>28</v>
      </c>
      <c r="K3679" s="15">
        <v>558519229</v>
      </c>
      <c r="L3679" s="15" t="s">
        <v>29</v>
      </c>
      <c r="M3679" s="15" t="s">
        <v>29</v>
      </c>
    </row>
    <row r="3680" spans="1:13" x14ac:dyDescent="0.25">
      <c r="A3680" s="23"/>
      <c r="B3680" s="14" t="str">
        <f t="shared" si="174"/>
        <v>Direct Debit (UMB Bank) - Credits</v>
      </c>
      <c r="C3680" s="38">
        <v>46157</v>
      </c>
      <c r="D3680" s="34">
        <v>252304</v>
      </c>
      <c r="E3680" s="36" t="str">
        <f>IF(Table3[[#This Row],[Type Received]]=2,"CC",(IF(Table3[[#This Row],[Type Received]]=3,"BILL","ACH")))</f>
        <v>ACH</v>
      </c>
      <c r="F3680" s="35">
        <v>72.290000000000006</v>
      </c>
      <c r="G3680" s="14" t="str">
        <f>VLOOKUP(D3680,Table4[],3,FALSE)</f>
        <v>1</v>
      </c>
      <c r="H3680" s="15"/>
      <c r="I3680" s="15"/>
      <c r="J3680" s="15" t="s">
        <v>87</v>
      </c>
      <c r="K3680" s="15">
        <v>696829666</v>
      </c>
      <c r="L3680" s="15" t="s">
        <v>29</v>
      </c>
      <c r="M3680" s="15" t="s">
        <v>29</v>
      </c>
    </row>
    <row r="3681" spans="1:13" x14ac:dyDescent="0.25">
      <c r="A3681" s="23"/>
      <c r="B3681" s="14" t="str">
        <f t="shared" si="174"/>
        <v>Direct Debit (UMB Bank) - Credits</v>
      </c>
      <c r="C3681" s="37">
        <v>46144</v>
      </c>
      <c r="D3681" s="31">
        <v>252306</v>
      </c>
      <c r="E3681" s="33" t="str">
        <f>IF(Table3[[#This Row],[Type Received]]=2,"CC",(IF(Table3[[#This Row],[Type Received]]=3,"BILL","ACH")))</f>
        <v>ACH</v>
      </c>
      <c r="F3681" s="32">
        <v>53.05</v>
      </c>
      <c r="G3681" s="14" t="str">
        <f>VLOOKUP(D3681,Table4[],3,FALSE)</f>
        <v>2</v>
      </c>
      <c r="H3681" s="15"/>
      <c r="I3681" s="15"/>
      <c r="J3681" s="15" t="s">
        <v>89</v>
      </c>
      <c r="K3681" s="15">
        <v>535434232</v>
      </c>
      <c r="L3681" s="15" t="s">
        <v>29</v>
      </c>
      <c r="M3681" s="15"/>
    </row>
    <row r="3682" spans="1:13" x14ac:dyDescent="0.25">
      <c r="A3682" s="23"/>
      <c r="B3682" s="14" t="str">
        <f t="shared" si="174"/>
        <v>Direct Debit (UMB Bank) - Credits</v>
      </c>
      <c r="C3682" s="38">
        <v>46167</v>
      </c>
      <c r="D3682" s="34">
        <v>252309</v>
      </c>
      <c r="E3682" s="36" t="str">
        <f>IF(Table3[[#This Row],[Type Received]]=2,"CC",(IF(Table3[[#This Row],[Type Received]]=3,"BILL","ACH")))</f>
        <v>ACH</v>
      </c>
      <c r="F3682" s="35">
        <v>31.6</v>
      </c>
      <c r="G3682" s="14" t="str">
        <f>VLOOKUP(D3682,Table4[],3,FALSE)</f>
        <v>2</v>
      </c>
      <c r="H3682" s="15"/>
      <c r="I3682" s="15"/>
      <c r="J3682" s="15" t="s">
        <v>85</v>
      </c>
      <c r="K3682" s="15">
        <v>818387004</v>
      </c>
      <c r="L3682" s="15" t="s">
        <v>29</v>
      </c>
      <c r="M3682" s="15"/>
    </row>
    <row r="3683" spans="1:13" x14ac:dyDescent="0.25">
      <c r="A3683" s="23"/>
      <c r="B3683" s="14" t="str">
        <f t="shared" si="174"/>
        <v>Billing - Credits (from TPA)</v>
      </c>
      <c r="C3683" s="37">
        <v>46143</v>
      </c>
      <c r="D3683" s="31">
        <v>252311</v>
      </c>
      <c r="E3683" s="33" t="str">
        <f>IF(Table3[[#This Row],[Type Received]]=2,"CC",(IF(Table3[[#This Row],[Type Received]]=3,"BILL","ACH")))</f>
        <v>BILL</v>
      </c>
      <c r="F3683" s="32">
        <v>721.73</v>
      </c>
      <c r="G3683" s="14" t="str">
        <f>VLOOKUP(D3683,Table4[],3,FALSE)</f>
        <v>2</v>
      </c>
      <c r="H3683" s="15"/>
      <c r="I3683" s="15"/>
      <c r="J3683" s="15" t="s">
        <v>84</v>
      </c>
      <c r="K3683" s="15">
        <v>522759428</v>
      </c>
      <c r="L3683" s="15" t="s">
        <v>29</v>
      </c>
      <c r="M3683" s="15" t="s">
        <v>29</v>
      </c>
    </row>
    <row r="3684" spans="1:13" x14ac:dyDescent="0.25">
      <c r="A3684" s="23"/>
      <c r="B3684" s="14" t="str">
        <f t="shared" si="174"/>
        <v>Direct Debit (UMB Bank) - Credits</v>
      </c>
      <c r="C3684" s="38">
        <v>46143</v>
      </c>
      <c r="D3684" s="34">
        <v>252334</v>
      </c>
      <c r="E3684" s="36" t="str">
        <f>IF(Table3[[#This Row],[Type Received]]=2,"CC",(IF(Table3[[#This Row],[Type Received]]=3,"BILL","ACH")))</f>
        <v>ACH</v>
      </c>
      <c r="F3684" s="35">
        <v>46.79</v>
      </c>
      <c r="G3684" s="14" t="str">
        <f>VLOOKUP(D3684,Table4[],3,FALSE)</f>
        <v>1</v>
      </c>
      <c r="H3684" s="15">
        <v>7744</v>
      </c>
      <c r="I3684" s="15"/>
      <c r="J3684" s="15"/>
      <c r="K3684" s="15"/>
      <c r="L3684" s="15"/>
      <c r="M3684" s="15" t="s">
        <v>29</v>
      </c>
    </row>
    <row r="3685" spans="1:13" x14ac:dyDescent="0.25">
      <c r="A3685" s="23"/>
      <c r="B3685" s="14" t="str">
        <f t="shared" si="174"/>
        <v>Direct Debit (UMB Bank) - Credits</v>
      </c>
      <c r="C3685" s="37">
        <v>46143</v>
      </c>
      <c r="D3685" s="31">
        <v>252365</v>
      </c>
      <c r="E3685" s="33" t="str">
        <f>IF(Table3[[#This Row],[Type Received]]=2,"CC",(IF(Table3[[#This Row],[Type Received]]=3,"BILL","ACH")))</f>
        <v>ACH</v>
      </c>
      <c r="F3685" s="32">
        <v>45.67</v>
      </c>
      <c r="G3685" s="14" t="str">
        <f>VLOOKUP(D3685,Table4[],3,FALSE)</f>
        <v>2</v>
      </c>
      <c r="H3685" s="15"/>
      <c r="I3685" s="15"/>
      <c r="J3685" s="15" t="s">
        <v>84</v>
      </c>
      <c r="K3685" s="15">
        <v>522416344</v>
      </c>
      <c r="L3685" s="15" t="s">
        <v>29</v>
      </c>
      <c r="M3685" s="15" t="s">
        <v>29</v>
      </c>
    </row>
    <row r="3686" spans="1:13" x14ac:dyDescent="0.25">
      <c r="A3686" s="23"/>
      <c r="B3686" s="14" t="str">
        <f t="shared" si="174"/>
        <v>Billing - Credits (from TPA)</v>
      </c>
      <c r="C3686" s="38">
        <v>46157</v>
      </c>
      <c r="D3686" s="34">
        <v>252371</v>
      </c>
      <c r="E3686" s="36" t="str">
        <f>IF(Table3[[#This Row],[Type Received]]=2,"CC",(IF(Table3[[#This Row],[Type Received]]=3,"BILL","ACH")))</f>
        <v>BILL</v>
      </c>
      <c r="F3686" s="35">
        <v>29.61</v>
      </c>
      <c r="G3686" s="14" t="str">
        <f>VLOOKUP(D3686,Table4[],3,FALSE)</f>
        <v>1</v>
      </c>
      <c r="H3686" s="15"/>
      <c r="I3686" s="15"/>
      <c r="J3686" s="15" t="s">
        <v>87</v>
      </c>
      <c r="K3686" s="15">
        <v>696824770</v>
      </c>
      <c r="L3686" s="15" t="s">
        <v>29</v>
      </c>
      <c r="M3686" s="15" t="s">
        <v>29</v>
      </c>
    </row>
    <row r="3687" spans="1:13" x14ac:dyDescent="0.25">
      <c r="A3687" s="23"/>
      <c r="B3687" s="14" t="str">
        <f t="shared" si="174"/>
        <v>Billing - Credits (from TPA)</v>
      </c>
      <c r="C3687" s="37">
        <v>46147</v>
      </c>
      <c r="D3687" s="31">
        <v>252380</v>
      </c>
      <c r="E3687" s="33" t="str">
        <f>IF(Table3[[#This Row],[Type Received]]=2,"CC",(IF(Table3[[#This Row],[Type Received]]=3,"BILL","ACH")))</f>
        <v>BILL</v>
      </c>
      <c r="F3687" s="32">
        <v>98.82</v>
      </c>
      <c r="G3687" s="14" t="str">
        <f>VLOOKUP(D3687,Table4[],3,FALSE)</f>
        <v>2</v>
      </c>
      <c r="H3687" s="15">
        <v>75375870</v>
      </c>
      <c r="I3687" s="15"/>
      <c r="J3687" s="24"/>
      <c r="K3687" s="15"/>
      <c r="L3687" s="15"/>
      <c r="M3687" s="15"/>
    </row>
    <row r="3688" spans="1:13" x14ac:dyDescent="0.25">
      <c r="A3688" s="23"/>
      <c r="B3688" s="14" t="str">
        <f t="shared" si="174"/>
        <v>Billing - Credits (from TPA)</v>
      </c>
      <c r="C3688" s="38">
        <v>46146</v>
      </c>
      <c r="D3688" s="34">
        <v>252386</v>
      </c>
      <c r="E3688" s="36" t="str">
        <f>IF(Table3[[#This Row],[Type Received]]=2,"CC",(IF(Table3[[#This Row],[Type Received]]=3,"BILL","ACH")))</f>
        <v>BILL</v>
      </c>
      <c r="F3688" s="35">
        <v>54.78</v>
      </c>
      <c r="G3688" s="14" t="str">
        <f>VLOOKUP(D3688,Table4[],3,FALSE)</f>
        <v>1</v>
      </c>
      <c r="H3688" s="15">
        <v>921872737</v>
      </c>
      <c r="I3688" s="15"/>
      <c r="J3688" s="15"/>
      <c r="K3688" s="15"/>
      <c r="L3688" s="15"/>
      <c r="M3688" s="15"/>
    </row>
    <row r="3689" spans="1:13" x14ac:dyDescent="0.25">
      <c r="A3689" s="23"/>
      <c r="B3689" s="14" t="str">
        <f t="shared" si="174"/>
        <v>Credit Cards (UMB) - Credits</v>
      </c>
      <c r="C3689" s="37">
        <v>46146</v>
      </c>
      <c r="D3689" s="31">
        <v>252388</v>
      </c>
      <c r="E3689" s="33" t="str">
        <f>IF(Table3[[#This Row],[Type Received]]=2,"CC",(IF(Table3[[#This Row],[Type Received]]=3,"BILL","ACH")))</f>
        <v>CC</v>
      </c>
      <c r="F3689" s="32">
        <v>121.4</v>
      </c>
      <c r="G3689" s="14" t="str">
        <f>VLOOKUP(D3689,Table4[],3,FALSE)</f>
        <v>2</v>
      </c>
      <c r="H3689" s="15">
        <v>592</v>
      </c>
      <c r="I3689" s="15"/>
      <c r="J3689" s="15"/>
      <c r="K3689" s="15"/>
      <c r="L3689" s="15"/>
      <c r="M3689" s="15"/>
    </row>
    <row r="3690" spans="1:13" x14ac:dyDescent="0.25">
      <c r="A3690" s="23"/>
      <c r="B3690" s="14" t="str">
        <f t="shared" si="174"/>
        <v>Direct Debit (UMB Bank) - Credits</v>
      </c>
      <c r="C3690" s="38">
        <v>46143</v>
      </c>
      <c r="D3690" s="34">
        <v>252399</v>
      </c>
      <c r="E3690" s="36" t="str">
        <f>IF(Table3[[#This Row],[Type Received]]=2,"CC",(IF(Table3[[#This Row],[Type Received]]=3,"BILL","ACH")))</f>
        <v>ACH</v>
      </c>
      <c r="F3690" s="35">
        <v>72.73</v>
      </c>
      <c r="G3690" s="14" t="str">
        <f>VLOOKUP(D3690,Table4[],3,FALSE)</f>
        <v>1</v>
      </c>
      <c r="H3690" s="15"/>
      <c r="I3690" s="15">
        <v>21907</v>
      </c>
      <c r="J3690" s="15" t="s">
        <v>28</v>
      </c>
      <c r="K3690" s="15">
        <v>522417291</v>
      </c>
      <c r="L3690" s="15" t="s">
        <v>29</v>
      </c>
      <c r="M3690" s="15"/>
    </row>
    <row r="3691" spans="1:13" x14ac:dyDescent="0.25">
      <c r="A3691" s="23"/>
      <c r="B3691" s="14" t="str">
        <f t="shared" si="174"/>
        <v>Billing - Credits (from TPA)</v>
      </c>
      <c r="C3691" s="37">
        <v>46143</v>
      </c>
      <c r="D3691" s="31">
        <v>252400</v>
      </c>
      <c r="E3691" s="33" t="str">
        <f>IF(Table3[[#This Row],[Type Received]]=2,"CC",(IF(Table3[[#This Row],[Type Received]]=3,"BILL","ACH")))</f>
        <v>BILL</v>
      </c>
      <c r="F3691" s="32">
        <v>41.38</v>
      </c>
      <c r="G3691" s="14" t="str">
        <f>VLOOKUP(D3691,Table4[],3,FALSE)</f>
        <v>2</v>
      </c>
      <c r="H3691" s="15"/>
      <c r="I3691" s="15"/>
      <c r="J3691" s="24" t="s">
        <v>84</v>
      </c>
      <c r="K3691" s="15">
        <v>522408636</v>
      </c>
      <c r="L3691" s="15" t="s">
        <v>29</v>
      </c>
      <c r="M3691" s="15" t="s">
        <v>29</v>
      </c>
    </row>
    <row r="3692" spans="1:13" x14ac:dyDescent="0.25">
      <c r="A3692" s="23"/>
      <c r="B3692" s="14" t="str">
        <f t="shared" si="174"/>
        <v>Credit Cards (UMB) - Credits</v>
      </c>
      <c r="C3692" s="38">
        <v>46146</v>
      </c>
      <c r="D3692" s="34">
        <v>252408</v>
      </c>
      <c r="E3692" s="36" t="str">
        <f>IF(Table3[[#This Row],[Type Received]]=2,"CC",(IF(Table3[[#This Row],[Type Received]]=3,"BILL","ACH")))</f>
        <v>CC</v>
      </c>
      <c r="F3692" s="35">
        <v>44.59</v>
      </c>
      <c r="G3692" s="14" t="str">
        <f>VLOOKUP(D3692,Table4[],3,FALSE)</f>
        <v>1</v>
      </c>
      <c r="H3692" s="15">
        <v>50485126</v>
      </c>
      <c r="I3692" s="15"/>
      <c r="J3692" s="15"/>
      <c r="K3692" s="15"/>
      <c r="L3692" s="15"/>
      <c r="M3692" s="15" t="s">
        <v>29</v>
      </c>
    </row>
    <row r="3693" spans="1:13" x14ac:dyDescent="0.25">
      <c r="A3693" s="23"/>
      <c r="B3693" s="14" t="str">
        <f t="shared" si="174"/>
        <v>Direct Debit (UMB Bank) - Credits</v>
      </c>
      <c r="C3693" s="37">
        <v>46143</v>
      </c>
      <c r="D3693" s="31">
        <v>252410</v>
      </c>
      <c r="E3693" s="33" t="str">
        <f>IF(Table3[[#This Row],[Type Received]]=2,"CC",(IF(Table3[[#This Row],[Type Received]]=3,"BILL","ACH")))</f>
        <v>ACH</v>
      </c>
      <c r="F3693" s="32">
        <v>54.69</v>
      </c>
      <c r="G3693" s="14" t="str">
        <f>VLOOKUP(D3693,Table4[],3,FALSE)</f>
        <v>1</v>
      </c>
      <c r="H3693" s="15"/>
      <c r="I3693" s="15" t="s">
        <v>303</v>
      </c>
      <c r="J3693" s="15" t="s">
        <v>28</v>
      </c>
      <c r="K3693" s="15">
        <v>522244702</v>
      </c>
      <c r="L3693" s="15" t="s">
        <v>29</v>
      </c>
      <c r="M3693" s="15" t="s">
        <v>29</v>
      </c>
    </row>
    <row r="3694" spans="1:13" x14ac:dyDescent="0.25">
      <c r="A3694" s="23"/>
      <c r="B3694" s="14" t="str">
        <f t="shared" si="174"/>
        <v>Direct Debit (UMB Bank) - Credits</v>
      </c>
      <c r="C3694" s="38">
        <v>46157</v>
      </c>
      <c r="D3694" s="34">
        <v>252412</v>
      </c>
      <c r="E3694" s="36" t="str">
        <f>IF(Table3[[#This Row],[Type Received]]=2,"CC",(IF(Table3[[#This Row],[Type Received]]=3,"BILL","ACH")))</f>
        <v>ACH</v>
      </c>
      <c r="F3694" s="35">
        <v>99.79</v>
      </c>
      <c r="G3694" s="14" t="str">
        <f>VLOOKUP(D3694,Table4[],3,FALSE)</f>
        <v>1</v>
      </c>
      <c r="H3694" s="15"/>
      <c r="I3694" s="15"/>
      <c r="J3694" s="15" t="s">
        <v>87</v>
      </c>
      <c r="K3694" s="15">
        <v>696834386</v>
      </c>
      <c r="L3694" s="15" t="s">
        <v>29</v>
      </c>
      <c r="M3694" s="15" t="s">
        <v>29</v>
      </c>
    </row>
    <row r="3695" spans="1:13" x14ac:dyDescent="0.25">
      <c r="A3695" s="23"/>
      <c r="B3695" s="14" t="str">
        <f t="shared" si="174"/>
        <v>Credit Cards (UMB) - Credits</v>
      </c>
      <c r="C3695" s="37">
        <v>46167</v>
      </c>
      <c r="D3695" s="31">
        <v>252422</v>
      </c>
      <c r="E3695" s="33" t="str">
        <f>IF(Table3[[#This Row],[Type Received]]=2,"CC",(IF(Table3[[#This Row],[Type Received]]=3,"BILL","ACH")))</f>
        <v>CC</v>
      </c>
      <c r="F3695" s="32">
        <v>36.76</v>
      </c>
      <c r="G3695" s="14" t="str">
        <f>VLOOKUP(D3695,Table4[],3,FALSE)</f>
        <v>2</v>
      </c>
      <c r="H3695" s="15"/>
      <c r="I3695" s="15"/>
      <c r="J3695" s="15" t="s">
        <v>85</v>
      </c>
      <c r="K3695" s="15">
        <v>818408325</v>
      </c>
      <c r="L3695" s="15" t="s">
        <v>29</v>
      </c>
      <c r="M3695" s="15"/>
    </row>
    <row r="3696" spans="1:13" x14ac:dyDescent="0.25">
      <c r="A3696" s="23"/>
      <c r="B3696" s="14" t="str">
        <f t="shared" si="174"/>
        <v>Direct Debit (UMB Bank) - Credits</v>
      </c>
      <c r="C3696" s="38">
        <v>46165</v>
      </c>
      <c r="D3696" s="34">
        <v>252426</v>
      </c>
      <c r="E3696" s="36" t="str">
        <f>IF(Table3[[#This Row],[Type Received]]=2,"CC",(IF(Table3[[#This Row],[Type Received]]=3,"BILL","ACH")))</f>
        <v>ACH</v>
      </c>
      <c r="F3696" s="35">
        <v>37.11</v>
      </c>
      <c r="G3696" s="14" t="str">
        <f>VLOOKUP(D3696,Table4[],3,FALSE)</f>
        <v>2</v>
      </c>
      <c r="H3696" s="15"/>
      <c r="I3696" s="15">
        <v>761315</v>
      </c>
      <c r="J3696" s="15">
        <v>748047895</v>
      </c>
      <c r="K3696" s="15">
        <v>355568428</v>
      </c>
      <c r="L3696" s="15"/>
      <c r="M3696" s="15" t="s">
        <v>29</v>
      </c>
    </row>
    <row r="3697" spans="1:13" x14ac:dyDescent="0.25">
      <c r="A3697" s="23"/>
      <c r="B3697" s="14" t="str">
        <f t="shared" si="174"/>
        <v>Billing - Credits (from TPA)</v>
      </c>
      <c r="C3697" s="37">
        <v>46167</v>
      </c>
      <c r="D3697" s="31">
        <v>252427</v>
      </c>
      <c r="E3697" s="33" t="str">
        <f>IF(Table3[[#This Row],[Type Received]]=2,"CC",(IF(Table3[[#This Row],[Type Received]]=3,"BILL","ACH")))</f>
        <v>BILL</v>
      </c>
      <c r="F3697" s="32">
        <v>50.45</v>
      </c>
      <c r="G3697" s="14" t="str">
        <f>VLOOKUP(D3697,Table4[],3,FALSE)</f>
        <v>2</v>
      </c>
      <c r="H3697" s="15"/>
      <c r="I3697" s="15"/>
      <c r="J3697" s="15" t="s">
        <v>85</v>
      </c>
      <c r="K3697" s="15">
        <v>818390887</v>
      </c>
      <c r="L3697" s="15" t="s">
        <v>29</v>
      </c>
      <c r="M3697" s="15" t="s">
        <v>29</v>
      </c>
    </row>
    <row r="3698" spans="1:13" x14ac:dyDescent="0.25">
      <c r="A3698" s="23"/>
      <c r="B3698" s="14" t="str">
        <f t="shared" si="174"/>
        <v>Credit Cards (UMB) - Credits</v>
      </c>
      <c r="C3698" s="38">
        <v>46168</v>
      </c>
      <c r="D3698" s="34">
        <v>252440</v>
      </c>
      <c r="E3698" s="36" t="str">
        <f>IF(Table3[[#This Row],[Type Received]]=2,"CC",(IF(Table3[[#This Row],[Type Received]]=3,"BILL","ACH")))</f>
        <v>CC</v>
      </c>
      <c r="F3698" s="35">
        <v>43.05</v>
      </c>
      <c r="G3698" s="14" t="str">
        <f>VLOOKUP(D3698,Table4[],3,FALSE)</f>
        <v>1</v>
      </c>
      <c r="H3698" s="15">
        <v>320</v>
      </c>
      <c r="I3698" s="15"/>
      <c r="J3698" s="15"/>
      <c r="K3698" s="15"/>
      <c r="L3698" s="15"/>
      <c r="M3698" s="15"/>
    </row>
    <row r="3699" spans="1:13" x14ac:dyDescent="0.25">
      <c r="A3699" s="23">
        <f t="shared" ref="A3699:A3730" si="175">D3699</f>
        <v>252444</v>
      </c>
      <c r="B3699" s="14" t="str">
        <f t="shared" si="174"/>
        <v>Direct Debit (UMB Bank) - Credits</v>
      </c>
      <c r="C3699" s="37">
        <v>46155</v>
      </c>
      <c r="D3699" s="31">
        <v>252444</v>
      </c>
      <c r="E3699" s="33" t="str">
        <f>IF(Table3[[#This Row],[Type Received]]=2,"CC",(IF(Table3[[#This Row],[Type Received]]=3,"BILL","ACH")))</f>
        <v>ACH</v>
      </c>
      <c r="F3699" s="32">
        <v>114.31</v>
      </c>
      <c r="G3699" s="14" t="str">
        <f>VLOOKUP(D3699,Table4[],3,FALSE)</f>
        <v>2</v>
      </c>
      <c r="H3699" s="15"/>
      <c r="I3699" s="15">
        <v>135155</v>
      </c>
      <c r="J3699" s="15" t="s">
        <v>28</v>
      </c>
      <c r="K3699" s="15">
        <v>669508390</v>
      </c>
      <c r="L3699" s="15" t="s">
        <v>29</v>
      </c>
      <c r="M3699" s="15" t="s">
        <v>29</v>
      </c>
    </row>
    <row r="3700" spans="1:13" x14ac:dyDescent="0.25">
      <c r="A3700" s="23">
        <f t="shared" si="175"/>
        <v>252448</v>
      </c>
      <c r="B3700" s="14" t="str">
        <f t="shared" ref="B3700:B3762" si="176">IF(AND(E3700="BILL",F3700&lt;0),"Billing &amp; Direct Debit - Refunds",(IF(AND(E3700="BILL",F3700&gt;0),"Billing - Credits (from TPA)",(IF(AND(E3700="CC",F3700&lt;0),"Credit Cards (UMB) - Refunds",(IF(AND(E3700="CC",F3700&gt;0),"Credit Cards (UMB) - Credits",(IF(AND(E3700="ACH",F3700&gt;0),"Direct Debit (UMB Bank) - Credits","Direct Debit (UMB Bank) - Returned Items")))))))))</f>
        <v>Direct Debit (UMB Bank) - Credits</v>
      </c>
      <c r="C3700" s="38">
        <v>46167</v>
      </c>
      <c r="D3700" s="34">
        <v>252448</v>
      </c>
      <c r="E3700" s="36" t="str">
        <f>IF(Table3[[#This Row],[Type Received]]=2,"CC",(IF(Table3[[#This Row],[Type Received]]=3,"BILL","ACH")))</f>
        <v>ACH</v>
      </c>
      <c r="F3700" s="35">
        <v>41.05</v>
      </c>
      <c r="G3700" s="14" t="str">
        <f>VLOOKUP(D3700,Table4[],3,FALSE)</f>
        <v>2</v>
      </c>
      <c r="H3700" s="15"/>
      <c r="I3700" s="15"/>
      <c r="J3700" s="15" t="s">
        <v>85</v>
      </c>
      <c r="K3700" s="15">
        <v>818406412</v>
      </c>
      <c r="L3700" s="15" t="s">
        <v>29</v>
      </c>
      <c r="M3700" s="15" t="s">
        <v>29</v>
      </c>
    </row>
    <row r="3701" spans="1:13" x14ac:dyDescent="0.25">
      <c r="A3701" s="23">
        <f t="shared" si="175"/>
        <v>252449</v>
      </c>
      <c r="B3701" s="14" t="str">
        <f t="shared" si="176"/>
        <v>Direct Debit (UMB Bank) - Credits</v>
      </c>
      <c r="C3701" s="37">
        <v>46143</v>
      </c>
      <c r="D3701" s="31">
        <v>252449</v>
      </c>
      <c r="E3701" s="33" t="str">
        <f>IF(Table3[[#This Row],[Type Received]]=2,"CC",(IF(Table3[[#This Row],[Type Received]]=3,"BILL","ACH")))</f>
        <v>ACH</v>
      </c>
      <c r="F3701" s="32">
        <v>82.96</v>
      </c>
      <c r="G3701" s="14" t="str">
        <f>VLOOKUP(D3701,Table4[],3,FALSE)</f>
        <v>2</v>
      </c>
      <c r="H3701" s="15"/>
      <c r="I3701" s="15"/>
      <c r="J3701" s="15" t="s">
        <v>84</v>
      </c>
      <c r="K3701" s="15">
        <v>522405598</v>
      </c>
      <c r="L3701" s="15" t="s">
        <v>29</v>
      </c>
      <c r="M3701" s="15"/>
    </row>
    <row r="3702" spans="1:13" x14ac:dyDescent="0.25">
      <c r="A3702" s="23">
        <f t="shared" si="175"/>
        <v>252452</v>
      </c>
      <c r="B3702" s="14" t="str">
        <f t="shared" si="176"/>
        <v>Direct Debit (UMB Bank) - Credits</v>
      </c>
      <c r="C3702" s="38">
        <v>46144</v>
      </c>
      <c r="D3702" s="34">
        <v>252452</v>
      </c>
      <c r="E3702" s="36" t="str">
        <f>IF(Table3[[#This Row],[Type Received]]=2,"CC",(IF(Table3[[#This Row],[Type Received]]=3,"BILL","ACH")))</f>
        <v>ACH</v>
      </c>
      <c r="F3702" s="35">
        <v>92.75</v>
      </c>
      <c r="G3702" s="14" t="str">
        <f>VLOOKUP(D3702,Table4[],3,FALSE)</f>
        <v>1</v>
      </c>
      <c r="H3702" s="15"/>
      <c r="I3702" s="15"/>
      <c r="J3702" s="15" t="s">
        <v>89</v>
      </c>
      <c r="K3702" s="15">
        <v>535370777</v>
      </c>
      <c r="L3702" s="15" t="s">
        <v>29</v>
      </c>
      <c r="M3702" s="15"/>
    </row>
    <row r="3703" spans="1:13" x14ac:dyDescent="0.25">
      <c r="A3703" s="23">
        <f t="shared" si="175"/>
        <v>252466</v>
      </c>
      <c r="B3703" s="14" t="str">
        <f t="shared" si="176"/>
        <v>Credit Cards (UMB) - Credits</v>
      </c>
      <c r="C3703" s="37">
        <v>46157</v>
      </c>
      <c r="D3703" s="31">
        <v>252466</v>
      </c>
      <c r="E3703" s="33" t="str">
        <f>IF(Table3[[#This Row],[Type Received]]=2,"CC",(IF(Table3[[#This Row],[Type Received]]=3,"BILL","ACH")))</f>
        <v>CC</v>
      </c>
      <c r="F3703" s="32">
        <v>54.03</v>
      </c>
      <c r="G3703" s="14" t="str">
        <f>VLOOKUP(D3703,Table4[],3,FALSE)</f>
        <v>1</v>
      </c>
      <c r="H3703" s="15"/>
      <c r="I3703" s="15"/>
      <c r="J3703" s="15" t="s">
        <v>87</v>
      </c>
      <c r="K3703" s="15">
        <v>696839190</v>
      </c>
      <c r="L3703" s="15" t="s">
        <v>29</v>
      </c>
      <c r="M3703" s="15"/>
    </row>
    <row r="3704" spans="1:13" x14ac:dyDescent="0.25">
      <c r="A3704" s="23">
        <f t="shared" si="175"/>
        <v>252478</v>
      </c>
      <c r="B3704" s="14" t="str">
        <f t="shared" si="176"/>
        <v>Billing - Credits (from TPA)</v>
      </c>
      <c r="C3704" s="38">
        <v>46144</v>
      </c>
      <c r="D3704" s="34">
        <v>252478</v>
      </c>
      <c r="E3704" s="36" t="str">
        <f>IF(Table3[[#This Row],[Type Received]]=2,"CC",(IF(Table3[[#This Row],[Type Received]]=3,"BILL","ACH")))</f>
        <v>BILL</v>
      </c>
      <c r="F3704" s="35">
        <v>105.96</v>
      </c>
      <c r="G3704" s="14" t="str">
        <f>VLOOKUP(D3704,Table4[],3,FALSE)</f>
        <v>2</v>
      </c>
      <c r="H3704" s="15"/>
      <c r="I3704" s="15">
        <v>127</v>
      </c>
      <c r="J3704" s="15" t="s">
        <v>28</v>
      </c>
      <c r="K3704" s="15">
        <v>535352121</v>
      </c>
      <c r="L3704" s="15" t="s">
        <v>29</v>
      </c>
      <c r="M3704" s="15" t="s">
        <v>29</v>
      </c>
    </row>
    <row r="3705" spans="1:13" x14ac:dyDescent="0.25">
      <c r="A3705" s="23">
        <f t="shared" si="175"/>
        <v>252519</v>
      </c>
      <c r="B3705" s="14" t="str">
        <f t="shared" si="176"/>
        <v>Direct Debit (UMB Bank) - Credits</v>
      </c>
      <c r="C3705" s="37">
        <v>46168</v>
      </c>
      <c r="D3705" s="31">
        <v>252519</v>
      </c>
      <c r="E3705" s="33" t="str">
        <f>IF(Table3[[#This Row],[Type Received]]=2,"CC",(IF(Table3[[#This Row],[Type Received]]=3,"BILL","ACH")))</f>
        <v>ACH</v>
      </c>
      <c r="F3705" s="32">
        <v>44.15</v>
      </c>
      <c r="G3705" s="14" t="str">
        <f>VLOOKUP(D3705,Table4[],3,FALSE)</f>
        <v>1</v>
      </c>
      <c r="H3705" s="15">
        <v>443</v>
      </c>
      <c r="I3705" s="15"/>
      <c r="J3705" s="15"/>
      <c r="K3705" s="15"/>
      <c r="L3705" s="15"/>
      <c r="M3705" s="15"/>
    </row>
    <row r="3706" spans="1:13" x14ac:dyDescent="0.25">
      <c r="A3706" s="23">
        <f t="shared" si="175"/>
        <v>252536</v>
      </c>
      <c r="B3706" s="14" t="str">
        <f t="shared" si="176"/>
        <v>Direct Debit (UMB Bank) - Credits</v>
      </c>
      <c r="C3706" s="38">
        <v>46170</v>
      </c>
      <c r="D3706" s="34">
        <v>252536</v>
      </c>
      <c r="E3706" s="36" t="str">
        <f>IF(Table3[[#This Row],[Type Received]]=2,"CC",(IF(Table3[[#This Row],[Type Received]]=3,"BILL","ACH")))</f>
        <v>ACH</v>
      </c>
      <c r="F3706" s="35">
        <v>82.96</v>
      </c>
      <c r="G3706" s="14" t="str">
        <f>VLOOKUP(D3706,Table4[],3,FALSE)</f>
        <v>2</v>
      </c>
      <c r="H3706" s="15"/>
      <c r="I3706" s="15"/>
      <c r="J3706" s="15" t="s">
        <v>91</v>
      </c>
      <c r="K3706" s="15">
        <v>853939150</v>
      </c>
      <c r="L3706" s="15" t="s">
        <v>29</v>
      </c>
      <c r="M3706" s="15" t="s">
        <v>29</v>
      </c>
    </row>
    <row r="3707" spans="1:13" x14ac:dyDescent="0.25">
      <c r="A3707" s="23">
        <f t="shared" si="175"/>
        <v>252566</v>
      </c>
      <c r="B3707" s="14" t="str">
        <f t="shared" si="176"/>
        <v>Direct Debit (UMB Bank) - Credits</v>
      </c>
      <c r="C3707" s="37">
        <v>46155</v>
      </c>
      <c r="D3707" s="31">
        <v>252566</v>
      </c>
      <c r="E3707" s="33" t="str">
        <f>IF(Table3[[#This Row],[Type Received]]=2,"CC",(IF(Table3[[#This Row],[Type Received]]=3,"BILL","ACH")))</f>
        <v>ACH</v>
      </c>
      <c r="F3707" s="32">
        <v>73.72</v>
      </c>
      <c r="G3707" s="14" t="str">
        <f>VLOOKUP(D3707,Table4[],3,FALSE)</f>
        <v>2</v>
      </c>
      <c r="H3707" s="15"/>
      <c r="I3707" s="15"/>
      <c r="J3707" s="15" t="s">
        <v>90</v>
      </c>
      <c r="K3707" s="15">
        <v>669510309</v>
      </c>
      <c r="L3707" s="15" t="s">
        <v>29</v>
      </c>
      <c r="M3707" s="15" t="s">
        <v>29</v>
      </c>
    </row>
    <row r="3708" spans="1:13" x14ac:dyDescent="0.25">
      <c r="A3708" s="23">
        <f t="shared" si="175"/>
        <v>252578</v>
      </c>
      <c r="B3708" s="14" t="str">
        <f t="shared" si="176"/>
        <v>Direct Debit (UMB Bank) - Credits</v>
      </c>
      <c r="C3708" s="38">
        <v>46143</v>
      </c>
      <c r="D3708" s="34">
        <v>252578</v>
      </c>
      <c r="E3708" s="36" t="str">
        <f>IF(Table3[[#This Row],[Type Received]]=2,"CC",(IF(Table3[[#This Row],[Type Received]]=3,"BILL","ACH")))</f>
        <v>ACH</v>
      </c>
      <c r="F3708" s="35">
        <v>68.77</v>
      </c>
      <c r="G3708" s="14" t="str">
        <f>VLOOKUP(D3708,Table4[],3,FALSE)</f>
        <v>2</v>
      </c>
      <c r="H3708" s="15"/>
      <c r="I3708" s="15"/>
      <c r="J3708" s="15" t="s">
        <v>84</v>
      </c>
      <c r="K3708" s="15">
        <v>522392072</v>
      </c>
      <c r="L3708" s="15" t="s">
        <v>29</v>
      </c>
      <c r="M3708" s="15" t="s">
        <v>29</v>
      </c>
    </row>
    <row r="3709" spans="1:13" x14ac:dyDescent="0.25">
      <c r="A3709" s="23">
        <f t="shared" si="175"/>
        <v>252582</v>
      </c>
      <c r="B3709" s="14" t="str">
        <f t="shared" si="176"/>
        <v>Direct Debit (UMB Bank) - Credits</v>
      </c>
      <c r="C3709" s="37">
        <v>46148</v>
      </c>
      <c r="D3709" s="31">
        <v>252582</v>
      </c>
      <c r="E3709" s="33" t="str">
        <f>IF(Table3[[#This Row],[Type Received]]=2,"CC",(IF(Table3[[#This Row],[Type Received]]=3,"BILL","ACH")))</f>
        <v>ACH</v>
      </c>
      <c r="F3709" s="32">
        <v>123.85</v>
      </c>
      <c r="G3709" s="14" t="str">
        <f>VLOOKUP(D3709,Table4[],3,FALSE)</f>
        <v>1</v>
      </c>
      <c r="H3709" s="15"/>
      <c r="I3709" s="15"/>
      <c r="J3709" s="15" t="s">
        <v>126</v>
      </c>
      <c r="K3709" s="15">
        <v>585175848</v>
      </c>
      <c r="L3709" s="15" t="s">
        <v>29</v>
      </c>
      <c r="M3709" s="15" t="s">
        <v>29</v>
      </c>
    </row>
    <row r="3710" spans="1:13" x14ac:dyDescent="0.25">
      <c r="A3710" s="23">
        <f t="shared" si="175"/>
        <v>252583</v>
      </c>
      <c r="B3710" s="14" t="str">
        <f t="shared" si="176"/>
        <v>Direct Debit (UMB Bank) - Credits</v>
      </c>
      <c r="C3710" s="38">
        <v>46143</v>
      </c>
      <c r="D3710" s="34">
        <v>252583</v>
      </c>
      <c r="E3710" s="36" t="str">
        <f>IF(Table3[[#This Row],[Type Received]]=2,"CC",(IF(Table3[[#This Row],[Type Received]]=3,"BILL","ACH")))</f>
        <v>ACH</v>
      </c>
      <c r="F3710" s="35">
        <v>59.97</v>
      </c>
      <c r="G3710" s="14" t="str">
        <f>VLOOKUP(D3710,Table4[],3,FALSE)</f>
        <v>1</v>
      </c>
      <c r="H3710" s="15"/>
      <c r="I3710" s="15"/>
      <c r="J3710" s="15" t="s">
        <v>84</v>
      </c>
      <c r="K3710" s="15">
        <v>522408548</v>
      </c>
      <c r="L3710" s="15" t="s">
        <v>29</v>
      </c>
      <c r="M3710" s="15" t="s">
        <v>29</v>
      </c>
    </row>
    <row r="3711" spans="1:13" x14ac:dyDescent="0.25">
      <c r="A3711" s="23">
        <f t="shared" si="175"/>
        <v>252584</v>
      </c>
      <c r="B3711" s="14" t="str">
        <f t="shared" si="176"/>
        <v>Direct Debit (UMB Bank) - Credits</v>
      </c>
      <c r="C3711" s="37">
        <v>46167</v>
      </c>
      <c r="D3711" s="31">
        <v>252584</v>
      </c>
      <c r="E3711" s="33" t="str">
        <f>IF(Table3[[#This Row],[Type Received]]=2,"CC",(IF(Table3[[#This Row],[Type Received]]=3,"BILL","ACH")))</f>
        <v>ACH</v>
      </c>
      <c r="F3711" s="32">
        <v>36.76</v>
      </c>
      <c r="G3711" s="14" t="str">
        <f>VLOOKUP(D3711,Table4[],3,FALSE)</f>
        <v>2</v>
      </c>
      <c r="H3711" s="15"/>
      <c r="I3711" s="15"/>
      <c r="J3711" s="24" t="s">
        <v>85</v>
      </c>
      <c r="K3711" s="15">
        <v>818387959</v>
      </c>
      <c r="L3711" s="15" t="s">
        <v>29</v>
      </c>
      <c r="M3711" s="15" t="s">
        <v>29</v>
      </c>
    </row>
    <row r="3712" spans="1:13" x14ac:dyDescent="0.25">
      <c r="A3712" s="23">
        <f t="shared" si="175"/>
        <v>252588</v>
      </c>
      <c r="B3712" s="14" t="str">
        <f t="shared" si="176"/>
        <v>Direct Debit (UMB Bank) - Credits</v>
      </c>
      <c r="C3712" s="38">
        <v>46143</v>
      </c>
      <c r="D3712" s="34">
        <v>252588</v>
      </c>
      <c r="E3712" s="36" t="str">
        <f>IF(Table3[[#This Row],[Type Received]]=2,"CC",(IF(Table3[[#This Row],[Type Received]]=3,"BILL","ACH")))</f>
        <v>ACH</v>
      </c>
      <c r="F3712" s="35">
        <v>66.7</v>
      </c>
      <c r="G3712" s="14" t="str">
        <f>VLOOKUP(D3712,Table4[],3,FALSE)</f>
        <v>2</v>
      </c>
      <c r="H3712" s="15"/>
      <c r="I3712" s="15"/>
      <c r="J3712" s="15" t="s">
        <v>84</v>
      </c>
      <c r="K3712" s="15">
        <v>522405653</v>
      </c>
      <c r="L3712" s="15" t="s">
        <v>29</v>
      </c>
      <c r="M3712" s="15" t="s">
        <v>29</v>
      </c>
    </row>
    <row r="3713" spans="1:13" x14ac:dyDescent="0.25">
      <c r="A3713" s="23">
        <f t="shared" si="175"/>
        <v>252592</v>
      </c>
      <c r="B3713" s="14" t="str">
        <f t="shared" si="176"/>
        <v>Credit Cards (UMB) - Credits</v>
      </c>
      <c r="C3713" s="37">
        <v>46157</v>
      </c>
      <c r="D3713" s="31">
        <v>252592</v>
      </c>
      <c r="E3713" s="33" t="str">
        <f>IF(Table3[[#This Row],[Type Received]]=2,"CC",(IF(Table3[[#This Row],[Type Received]]=3,"BILL","ACH")))</f>
        <v>CC</v>
      </c>
      <c r="F3713" s="32">
        <v>29.13</v>
      </c>
      <c r="G3713" s="14" t="str">
        <f>VLOOKUP(D3713,Table4[],3,FALSE)</f>
        <v>2</v>
      </c>
      <c r="H3713" s="15"/>
      <c r="I3713" s="15"/>
      <c r="J3713" s="15" t="s">
        <v>87</v>
      </c>
      <c r="K3713" s="15">
        <v>696815079</v>
      </c>
      <c r="L3713" s="15" t="s">
        <v>29</v>
      </c>
      <c r="M3713" s="15"/>
    </row>
    <row r="3714" spans="1:13" x14ac:dyDescent="0.25">
      <c r="A3714" s="23">
        <f t="shared" si="175"/>
        <v>252594</v>
      </c>
      <c r="B3714" s="14" t="str">
        <f t="shared" si="176"/>
        <v>Direct Debit (UMB Bank) - Credits</v>
      </c>
      <c r="C3714" s="38">
        <v>46155</v>
      </c>
      <c r="D3714" s="34">
        <v>252594</v>
      </c>
      <c r="E3714" s="36" t="str">
        <f>IF(Table3[[#This Row],[Type Received]]=2,"CC",(IF(Table3[[#This Row],[Type Received]]=3,"BILL","ACH")))</f>
        <v>ACH</v>
      </c>
      <c r="F3714" s="35">
        <v>131.80000000000001</v>
      </c>
      <c r="G3714" s="14" t="str">
        <f>VLOOKUP(D3714,Table4[],3,FALSE)</f>
        <v>2</v>
      </c>
      <c r="H3714" s="15"/>
      <c r="I3714" s="15" t="s">
        <v>304</v>
      </c>
      <c r="J3714" s="15" t="s">
        <v>28</v>
      </c>
      <c r="K3714" s="15">
        <v>669440362</v>
      </c>
      <c r="L3714" s="15" t="s">
        <v>29</v>
      </c>
      <c r="M3714" s="15" t="s">
        <v>29</v>
      </c>
    </row>
    <row r="3715" spans="1:13" x14ac:dyDescent="0.25">
      <c r="A3715" s="23">
        <f t="shared" si="175"/>
        <v>252617</v>
      </c>
      <c r="B3715" s="14" t="str">
        <f t="shared" si="176"/>
        <v>Direct Debit (UMB Bank) - Credits</v>
      </c>
      <c r="C3715" s="37">
        <v>46157</v>
      </c>
      <c r="D3715" s="31">
        <v>252617</v>
      </c>
      <c r="E3715" s="33" t="str">
        <f>IF(Table3[[#This Row],[Type Received]]=2,"CC",(IF(Table3[[#This Row],[Type Received]]=3,"BILL","ACH")))</f>
        <v>ACH</v>
      </c>
      <c r="F3715" s="32">
        <v>32.25</v>
      </c>
      <c r="G3715" s="14" t="str">
        <f>VLOOKUP(D3715,Table4[],3,FALSE)</f>
        <v>1</v>
      </c>
      <c r="H3715" s="15"/>
      <c r="I3715" s="15"/>
      <c r="J3715" s="24" t="s">
        <v>87</v>
      </c>
      <c r="K3715" s="15">
        <v>696814095</v>
      </c>
      <c r="L3715" s="15" t="s">
        <v>29</v>
      </c>
      <c r="M3715" s="15" t="s">
        <v>29</v>
      </c>
    </row>
    <row r="3716" spans="1:13" x14ac:dyDescent="0.25">
      <c r="A3716" s="23">
        <f t="shared" si="175"/>
        <v>252642</v>
      </c>
      <c r="B3716" s="14" t="str">
        <f t="shared" si="176"/>
        <v>Direct Debit (UMB Bank) - Credits</v>
      </c>
      <c r="C3716" s="38">
        <v>46157</v>
      </c>
      <c r="D3716" s="34">
        <v>252642</v>
      </c>
      <c r="E3716" s="36" t="str">
        <f>IF(Table3[[#This Row],[Type Received]]=2,"CC",(IF(Table3[[#This Row],[Type Received]]=3,"BILL","ACH")))</f>
        <v>ACH</v>
      </c>
      <c r="F3716" s="35">
        <v>68.77</v>
      </c>
      <c r="G3716" s="14" t="str">
        <f>VLOOKUP(D3716,Table4[],3,FALSE)</f>
        <v>1</v>
      </c>
      <c r="H3716" s="15"/>
      <c r="I3716" s="15"/>
      <c r="J3716" s="15" t="s">
        <v>87</v>
      </c>
      <c r="K3716" s="15">
        <v>696828705</v>
      </c>
      <c r="L3716" s="15" t="s">
        <v>29</v>
      </c>
      <c r="M3716" s="15" t="s">
        <v>29</v>
      </c>
    </row>
    <row r="3717" spans="1:13" x14ac:dyDescent="0.25">
      <c r="A3717" s="23">
        <f t="shared" si="175"/>
        <v>252651</v>
      </c>
      <c r="B3717" s="14" t="str">
        <f t="shared" si="176"/>
        <v>Billing - Credits (from TPA)</v>
      </c>
      <c r="C3717" s="37">
        <v>46157</v>
      </c>
      <c r="D3717" s="31">
        <v>252651</v>
      </c>
      <c r="E3717" s="33" t="str">
        <f>IF(Table3[[#This Row],[Type Received]]=2,"CC",(IF(Table3[[#This Row],[Type Received]]=3,"BILL","ACH")))</f>
        <v>BILL</v>
      </c>
      <c r="F3717" s="32">
        <v>84.83</v>
      </c>
      <c r="G3717" s="14" t="str">
        <f>VLOOKUP(D3717,Table4[],3,FALSE)</f>
        <v>1</v>
      </c>
      <c r="H3717" s="15"/>
      <c r="I3717" s="15"/>
      <c r="J3717" s="15" t="s">
        <v>87</v>
      </c>
      <c r="K3717" s="15">
        <v>696835496</v>
      </c>
      <c r="L3717" s="15" t="s">
        <v>29</v>
      </c>
      <c r="M3717" s="15"/>
    </row>
    <row r="3718" spans="1:13" x14ac:dyDescent="0.25">
      <c r="A3718" s="23">
        <f t="shared" si="175"/>
        <v>252660</v>
      </c>
      <c r="B3718" s="14" t="str">
        <f t="shared" si="176"/>
        <v>Direct Debit (UMB Bank) - Credits</v>
      </c>
      <c r="C3718" s="38">
        <v>46169</v>
      </c>
      <c r="D3718" s="34">
        <v>252660</v>
      </c>
      <c r="E3718" s="36" t="str">
        <f>IF(Table3[[#This Row],[Type Received]]=2,"CC",(IF(Table3[[#This Row],[Type Received]]=3,"BILL","ACH")))</f>
        <v>ACH</v>
      </c>
      <c r="F3718" s="35">
        <v>81.8</v>
      </c>
      <c r="G3718" s="14" t="str">
        <f>VLOOKUP(D3718,Table4[],3,FALSE)</f>
        <v>2</v>
      </c>
      <c r="H3718" s="15">
        <v>4117</v>
      </c>
      <c r="I3718" s="15"/>
      <c r="J3718" s="15"/>
      <c r="K3718" s="15"/>
      <c r="L3718" s="15"/>
      <c r="M3718" s="15" t="s">
        <v>29</v>
      </c>
    </row>
    <row r="3719" spans="1:13" x14ac:dyDescent="0.25">
      <c r="A3719" s="23">
        <f t="shared" si="175"/>
        <v>252667</v>
      </c>
      <c r="B3719" s="14" t="str">
        <f t="shared" si="176"/>
        <v>Direct Debit (UMB Bank) - Credits</v>
      </c>
      <c r="C3719" s="37">
        <v>46143</v>
      </c>
      <c r="D3719" s="31">
        <v>252667</v>
      </c>
      <c r="E3719" s="33" t="str">
        <f>IF(Table3[[#This Row],[Type Received]]=2,"CC",(IF(Table3[[#This Row],[Type Received]]=3,"BILL","ACH")))</f>
        <v>ACH</v>
      </c>
      <c r="F3719" s="32">
        <v>53.15</v>
      </c>
      <c r="G3719" s="14" t="str">
        <f>VLOOKUP(D3719,Table4[],3,FALSE)</f>
        <v>1</v>
      </c>
      <c r="H3719" s="15"/>
      <c r="I3719" s="15"/>
      <c r="J3719" s="15" t="s">
        <v>84</v>
      </c>
      <c r="K3719" s="15">
        <v>522398974</v>
      </c>
      <c r="L3719" s="15" t="s">
        <v>29</v>
      </c>
      <c r="M3719" s="15" t="s">
        <v>29</v>
      </c>
    </row>
    <row r="3720" spans="1:13" x14ac:dyDescent="0.25">
      <c r="A3720" s="23">
        <f t="shared" si="175"/>
        <v>252671</v>
      </c>
      <c r="B3720" s="14" t="str">
        <f t="shared" si="176"/>
        <v>Direct Debit (UMB Bank) - Credits</v>
      </c>
      <c r="C3720" s="38">
        <v>46157</v>
      </c>
      <c r="D3720" s="34">
        <v>252671</v>
      </c>
      <c r="E3720" s="36" t="str">
        <f>IF(Table3[[#This Row],[Type Received]]=2,"CC",(IF(Table3[[#This Row],[Type Received]]=3,"BILL","ACH")))</f>
        <v>ACH</v>
      </c>
      <c r="F3720" s="35">
        <v>57.88</v>
      </c>
      <c r="G3720" s="14" t="str">
        <f>VLOOKUP(D3720,Table4[],3,FALSE)</f>
        <v>2</v>
      </c>
      <c r="H3720" s="15"/>
      <c r="I3720" s="15"/>
      <c r="J3720" s="15" t="s">
        <v>87</v>
      </c>
      <c r="K3720" s="15">
        <v>696820904</v>
      </c>
      <c r="L3720" s="15" t="s">
        <v>29</v>
      </c>
      <c r="M3720" s="15"/>
    </row>
    <row r="3721" spans="1:13" x14ac:dyDescent="0.25">
      <c r="A3721" s="23">
        <f t="shared" si="175"/>
        <v>252674</v>
      </c>
      <c r="B3721" s="14" t="str">
        <f t="shared" si="176"/>
        <v>Direct Debit (UMB Bank) - Credits</v>
      </c>
      <c r="C3721" s="37">
        <v>46157</v>
      </c>
      <c r="D3721" s="31">
        <v>252674</v>
      </c>
      <c r="E3721" s="33" t="str">
        <f>IF(Table3[[#This Row],[Type Received]]=2,"CC",(IF(Table3[[#This Row],[Type Received]]=3,"BILL","ACH")))</f>
        <v>ACH</v>
      </c>
      <c r="F3721" s="32">
        <v>57.55</v>
      </c>
      <c r="G3721" s="14" t="str">
        <f>VLOOKUP(D3721,Table4[],3,FALSE)</f>
        <v>2</v>
      </c>
      <c r="H3721" s="15"/>
      <c r="I3721" s="15"/>
      <c r="J3721" s="15" t="s">
        <v>87</v>
      </c>
      <c r="K3721" s="15">
        <v>696817096</v>
      </c>
      <c r="L3721" s="15" t="s">
        <v>29</v>
      </c>
      <c r="M3721" s="15" t="s">
        <v>29</v>
      </c>
    </row>
    <row r="3722" spans="1:13" x14ac:dyDescent="0.25">
      <c r="A3722" s="23">
        <f t="shared" si="175"/>
        <v>252681</v>
      </c>
      <c r="B3722" s="14" t="str">
        <f t="shared" si="176"/>
        <v>Direct Debit (UMB Bank) - Credits</v>
      </c>
      <c r="C3722" s="38">
        <v>46157</v>
      </c>
      <c r="D3722" s="34">
        <v>252681</v>
      </c>
      <c r="E3722" s="36" t="str">
        <f>IF(Table3[[#This Row],[Type Received]]=2,"CC",(IF(Table3[[#This Row],[Type Received]]=3,"BILL","ACH")))</f>
        <v>ACH</v>
      </c>
      <c r="F3722" s="35">
        <v>92.2</v>
      </c>
      <c r="G3722" s="14" t="str">
        <f>VLOOKUP(D3722,Table4[],3,FALSE)</f>
        <v>2</v>
      </c>
      <c r="H3722" s="15"/>
      <c r="I3722" s="15"/>
      <c r="J3722" s="15" t="s">
        <v>87</v>
      </c>
      <c r="K3722" s="15">
        <v>696840290</v>
      </c>
      <c r="L3722" s="15" t="s">
        <v>29</v>
      </c>
      <c r="M3722" s="15" t="s">
        <v>29</v>
      </c>
    </row>
    <row r="3723" spans="1:13" x14ac:dyDescent="0.25">
      <c r="A3723" s="23">
        <f t="shared" si="175"/>
        <v>252685</v>
      </c>
      <c r="B3723" s="14" t="str">
        <f t="shared" si="176"/>
        <v>Direct Debit (UMB Bank) - Credits</v>
      </c>
      <c r="C3723" s="37">
        <v>46157</v>
      </c>
      <c r="D3723" s="31">
        <v>252685</v>
      </c>
      <c r="E3723" s="33" t="str">
        <f>IF(Table3[[#This Row],[Type Received]]=2,"CC",(IF(Table3[[#This Row],[Type Received]]=3,"BILL","ACH")))</f>
        <v>ACH</v>
      </c>
      <c r="F3723" s="32">
        <v>59.2</v>
      </c>
      <c r="G3723" s="14" t="str">
        <f>VLOOKUP(D3723,Table4[],3,FALSE)</f>
        <v>2</v>
      </c>
      <c r="H3723" s="15"/>
      <c r="I3723" s="15"/>
      <c r="J3723" s="15" t="s">
        <v>87</v>
      </c>
      <c r="K3723" s="15">
        <v>696834515</v>
      </c>
      <c r="L3723" s="15" t="s">
        <v>29</v>
      </c>
      <c r="M3723" s="15" t="s">
        <v>29</v>
      </c>
    </row>
    <row r="3724" spans="1:13" x14ac:dyDescent="0.25">
      <c r="A3724" s="23">
        <f t="shared" si="175"/>
        <v>252708</v>
      </c>
      <c r="B3724" s="14" t="str">
        <f t="shared" si="176"/>
        <v>Credit Cards (UMB) - Credits</v>
      </c>
      <c r="C3724" s="38">
        <v>46144</v>
      </c>
      <c r="D3724" s="34">
        <v>252708</v>
      </c>
      <c r="E3724" s="36" t="str">
        <f>IF(Table3[[#This Row],[Type Received]]=2,"CC",(IF(Table3[[#This Row],[Type Received]]=3,"BILL","ACH")))</f>
        <v>CC</v>
      </c>
      <c r="F3724" s="35">
        <v>83.29</v>
      </c>
      <c r="G3724" s="14" t="str">
        <f>VLOOKUP(D3724,Table4[],3,FALSE)</f>
        <v>1</v>
      </c>
      <c r="H3724" s="15"/>
      <c r="I3724" s="15"/>
      <c r="J3724" s="15" t="s">
        <v>89</v>
      </c>
      <c r="K3724" s="15">
        <v>535353670</v>
      </c>
      <c r="L3724" s="15" t="s">
        <v>29</v>
      </c>
      <c r="M3724" s="15" t="s">
        <v>29</v>
      </c>
    </row>
    <row r="3725" spans="1:13" x14ac:dyDescent="0.25">
      <c r="A3725" s="23">
        <f t="shared" si="175"/>
        <v>252715</v>
      </c>
      <c r="B3725" s="14" t="str">
        <f t="shared" si="176"/>
        <v>Direct Debit (UMB Bank) - Credits</v>
      </c>
      <c r="C3725" s="37">
        <v>46166</v>
      </c>
      <c r="D3725" s="31">
        <v>252715</v>
      </c>
      <c r="E3725" s="33" t="str">
        <f>IF(Table3[[#This Row],[Type Received]]=2,"CC",(IF(Table3[[#This Row],[Type Received]]=3,"BILL","ACH")))</f>
        <v>ACH</v>
      </c>
      <c r="F3725" s="32">
        <v>74.05</v>
      </c>
      <c r="G3725" s="14" t="str">
        <f>VLOOKUP(D3725,Table4[],3,FALSE)</f>
        <v>1</v>
      </c>
      <c r="H3725" s="15"/>
      <c r="I3725" s="15">
        <v>959618</v>
      </c>
      <c r="J3725" s="15" t="s">
        <v>28</v>
      </c>
      <c r="K3725" s="15">
        <v>808457092</v>
      </c>
      <c r="L3725" s="15" t="s">
        <v>29</v>
      </c>
      <c r="M3725" s="15" t="s">
        <v>29</v>
      </c>
    </row>
    <row r="3726" spans="1:13" x14ac:dyDescent="0.25">
      <c r="A3726" s="23">
        <f t="shared" si="175"/>
        <v>252724</v>
      </c>
      <c r="B3726" s="14" t="str">
        <f t="shared" si="176"/>
        <v>Billing - Credits (from TPA)</v>
      </c>
      <c r="C3726" s="38">
        <v>46145</v>
      </c>
      <c r="D3726" s="34">
        <v>252724</v>
      </c>
      <c r="E3726" s="36" t="str">
        <f>IF(Table3[[#This Row],[Type Received]]=2,"CC",(IF(Table3[[#This Row],[Type Received]]=3,"BILL","ACH")))</f>
        <v>BILL</v>
      </c>
      <c r="F3726" s="35">
        <v>96.82</v>
      </c>
      <c r="G3726" s="14" t="str">
        <f>VLOOKUP(D3726,Table4[],3,FALSE)</f>
        <v>2</v>
      </c>
      <c r="H3726" s="15"/>
      <c r="I3726" s="15"/>
      <c r="J3726" s="15" t="s">
        <v>113</v>
      </c>
      <c r="K3726" s="15">
        <v>546407780</v>
      </c>
      <c r="L3726" s="15" t="s">
        <v>29</v>
      </c>
      <c r="M3726" s="15"/>
    </row>
    <row r="3727" spans="1:13" x14ac:dyDescent="0.25">
      <c r="A3727" s="23">
        <f t="shared" si="175"/>
        <v>252726</v>
      </c>
      <c r="B3727" s="14" t="str">
        <f t="shared" si="176"/>
        <v>Direct Debit (UMB Bank) - Credits</v>
      </c>
      <c r="C3727" s="37">
        <v>46143</v>
      </c>
      <c r="D3727" s="31">
        <v>252726</v>
      </c>
      <c r="E3727" s="33" t="str">
        <f>IF(Table3[[#This Row],[Type Received]]=2,"CC",(IF(Table3[[#This Row],[Type Received]]=3,"BILL","ACH")))</f>
        <v>ACH</v>
      </c>
      <c r="F3727" s="32">
        <v>72.09</v>
      </c>
      <c r="G3727" s="14" t="str">
        <f>VLOOKUP(D3727,Table4[],3,FALSE)</f>
        <v>1</v>
      </c>
      <c r="H3727" s="15">
        <v>59458650647</v>
      </c>
      <c r="I3727" s="15"/>
      <c r="J3727" s="15"/>
      <c r="K3727" s="15"/>
      <c r="L3727" s="15"/>
      <c r="M3727" s="15"/>
    </row>
    <row r="3728" spans="1:13" x14ac:dyDescent="0.25">
      <c r="A3728" s="23">
        <f t="shared" si="175"/>
        <v>252728</v>
      </c>
      <c r="B3728" s="14" t="str">
        <f t="shared" si="176"/>
        <v>Direct Debit (UMB Bank) - Credits</v>
      </c>
      <c r="C3728" s="38">
        <v>46157</v>
      </c>
      <c r="D3728" s="34">
        <v>252728</v>
      </c>
      <c r="E3728" s="36" t="str">
        <f>IF(Table3[[#This Row],[Type Received]]=2,"CC",(IF(Table3[[#This Row],[Type Received]]=3,"BILL","ACH")))</f>
        <v>ACH</v>
      </c>
      <c r="F3728" s="35">
        <v>81.64</v>
      </c>
      <c r="G3728" s="14" t="str">
        <f>VLOOKUP(D3728,Table4[],3,FALSE)</f>
        <v>2</v>
      </c>
      <c r="H3728" s="15"/>
      <c r="I3728" s="15"/>
      <c r="J3728" s="15" t="s">
        <v>87</v>
      </c>
      <c r="K3728" s="15">
        <v>696838462</v>
      </c>
      <c r="L3728" s="15" t="s">
        <v>29</v>
      </c>
      <c r="M3728" s="15"/>
    </row>
    <row r="3729" spans="1:13" x14ac:dyDescent="0.25">
      <c r="A3729" s="23">
        <f t="shared" si="175"/>
        <v>252729</v>
      </c>
      <c r="B3729" s="14" t="str">
        <f t="shared" si="176"/>
        <v>Direct Debit (UMB Bank) - Credits</v>
      </c>
      <c r="C3729" s="37">
        <v>46155</v>
      </c>
      <c r="D3729" s="31">
        <v>252729</v>
      </c>
      <c r="E3729" s="33" t="str">
        <f>IF(Table3[[#This Row],[Type Received]]=2,"CC",(IF(Table3[[#This Row],[Type Received]]=3,"BILL","ACH")))</f>
        <v>ACH</v>
      </c>
      <c r="F3729" s="32">
        <v>46.99</v>
      </c>
      <c r="G3729" s="14" t="str">
        <f>VLOOKUP(D3729,Table4[],3,FALSE)</f>
        <v>1</v>
      </c>
      <c r="H3729" s="15"/>
      <c r="I3729" s="15"/>
      <c r="J3729" s="15" t="s">
        <v>90</v>
      </c>
      <c r="K3729" s="15">
        <v>669495965</v>
      </c>
      <c r="L3729" s="15" t="s">
        <v>29</v>
      </c>
      <c r="M3729" s="15" t="s">
        <v>29</v>
      </c>
    </row>
    <row r="3730" spans="1:13" x14ac:dyDescent="0.25">
      <c r="A3730" s="23">
        <f t="shared" si="175"/>
        <v>252736</v>
      </c>
      <c r="B3730" s="14" t="str">
        <f t="shared" si="176"/>
        <v>Direct Debit (UMB Bank) - Credits</v>
      </c>
      <c r="C3730" s="38">
        <v>46167</v>
      </c>
      <c r="D3730" s="34">
        <v>252736</v>
      </c>
      <c r="E3730" s="36" t="str">
        <f>IF(Table3[[#This Row],[Type Received]]=2,"CC",(IF(Table3[[#This Row],[Type Received]]=3,"BILL","ACH")))</f>
        <v>ACH</v>
      </c>
      <c r="F3730" s="35">
        <v>52.93</v>
      </c>
      <c r="G3730" s="14" t="str">
        <f>VLOOKUP(D3730,Table4[],3,FALSE)</f>
        <v>2</v>
      </c>
      <c r="H3730" s="15"/>
      <c r="I3730" s="15"/>
      <c r="J3730" s="15" t="s">
        <v>85</v>
      </c>
      <c r="K3730" s="15">
        <v>818387013</v>
      </c>
      <c r="L3730" s="15" t="s">
        <v>29</v>
      </c>
      <c r="M3730" s="15" t="s">
        <v>29</v>
      </c>
    </row>
    <row r="3731" spans="1:13" x14ac:dyDescent="0.25">
      <c r="A3731" s="23">
        <f t="shared" ref="A3731:A3762" si="177">D3731</f>
        <v>252741</v>
      </c>
      <c r="B3731" s="14" t="str">
        <f t="shared" si="176"/>
        <v>Direct Debit (UMB Bank) - Credits</v>
      </c>
      <c r="C3731" s="37">
        <v>46157</v>
      </c>
      <c r="D3731" s="31">
        <v>252741</v>
      </c>
      <c r="E3731" s="33" t="str">
        <f>IF(Table3[[#This Row],[Type Received]]=2,"CC",(IF(Table3[[#This Row],[Type Received]]=3,"BILL","ACH")))</f>
        <v>ACH</v>
      </c>
      <c r="F3731" s="32">
        <v>52.49</v>
      </c>
      <c r="G3731" s="14" t="str">
        <f>VLOOKUP(D3731,Table4[],3,FALSE)</f>
        <v>1</v>
      </c>
      <c r="H3731" s="15"/>
      <c r="I3731" s="15"/>
      <c r="J3731" s="15" t="s">
        <v>87</v>
      </c>
      <c r="K3731" s="15">
        <v>696825809</v>
      </c>
      <c r="L3731" s="15" t="s">
        <v>29</v>
      </c>
      <c r="M3731" s="15" t="s">
        <v>29</v>
      </c>
    </row>
    <row r="3732" spans="1:13" x14ac:dyDescent="0.25">
      <c r="A3732" s="23">
        <f t="shared" si="177"/>
        <v>252745</v>
      </c>
      <c r="B3732" s="14" t="str">
        <f t="shared" si="176"/>
        <v>Direct Debit (UMB Bank) - Credits</v>
      </c>
      <c r="C3732" s="38">
        <v>46143</v>
      </c>
      <c r="D3732" s="34">
        <v>252745</v>
      </c>
      <c r="E3732" s="36" t="str">
        <f>IF(Table3[[#This Row],[Type Received]]=2,"CC",(IF(Table3[[#This Row],[Type Received]]=3,"BILL","ACH")))</f>
        <v>ACH</v>
      </c>
      <c r="F3732" s="35">
        <v>87.25</v>
      </c>
      <c r="G3732" s="14" t="str">
        <f>VLOOKUP(D3732,Table4[],3,FALSE)</f>
        <v>1</v>
      </c>
      <c r="H3732" s="15"/>
      <c r="I3732" s="15"/>
      <c r="J3732" s="15" t="s">
        <v>84</v>
      </c>
      <c r="K3732" s="15">
        <v>522405764</v>
      </c>
      <c r="L3732" s="15" t="s">
        <v>29</v>
      </c>
      <c r="M3732" s="15"/>
    </row>
    <row r="3733" spans="1:13" x14ac:dyDescent="0.25">
      <c r="A3733" s="23">
        <f t="shared" si="177"/>
        <v>252748</v>
      </c>
      <c r="B3733" s="14" t="str">
        <f t="shared" si="176"/>
        <v>Direct Debit (UMB Bank) - Credits</v>
      </c>
      <c r="C3733" s="37">
        <v>46150</v>
      </c>
      <c r="D3733" s="31">
        <v>252748</v>
      </c>
      <c r="E3733" s="33" t="str">
        <f>IF(Table3[[#This Row],[Type Received]]=2,"CC",(IF(Table3[[#This Row],[Type Received]]=3,"BILL","ACH")))</f>
        <v>ACH</v>
      </c>
      <c r="F3733" s="32">
        <v>58.54</v>
      </c>
      <c r="G3733" s="14" t="str">
        <f>VLOOKUP(D3733,Table4[],3,FALSE)</f>
        <v>2</v>
      </c>
      <c r="H3733" s="15"/>
      <c r="I3733" s="15"/>
      <c r="J3733" s="24" t="s">
        <v>104</v>
      </c>
      <c r="K3733" s="15">
        <v>608665246</v>
      </c>
      <c r="L3733" s="15" t="s">
        <v>29</v>
      </c>
      <c r="M3733" s="15" t="s">
        <v>29</v>
      </c>
    </row>
    <row r="3734" spans="1:13" x14ac:dyDescent="0.25">
      <c r="A3734" s="23">
        <f t="shared" si="177"/>
        <v>252748</v>
      </c>
      <c r="B3734" s="14" t="str">
        <f t="shared" si="176"/>
        <v>Direct Debit (UMB Bank) - Credits</v>
      </c>
      <c r="C3734" s="38">
        <v>46143</v>
      </c>
      <c r="D3734" s="34">
        <v>252748</v>
      </c>
      <c r="E3734" s="36" t="str">
        <f>IF(Table3[[#This Row],[Type Received]]=2,"CC",(IF(Table3[[#This Row],[Type Received]]=3,"BILL","ACH")))</f>
        <v>ACH</v>
      </c>
      <c r="F3734" s="35">
        <v>58.54</v>
      </c>
      <c r="G3734" s="14" t="str">
        <f>VLOOKUP(D3734,Table4[],3,FALSE)</f>
        <v>2</v>
      </c>
      <c r="H3734" s="15"/>
      <c r="I3734" s="15"/>
      <c r="J3734" s="15" t="s">
        <v>84</v>
      </c>
      <c r="K3734" s="15">
        <v>522419243</v>
      </c>
      <c r="L3734" s="15" t="s">
        <v>29</v>
      </c>
      <c r="M3734" s="15" t="s">
        <v>29</v>
      </c>
    </row>
    <row r="3735" spans="1:13" x14ac:dyDescent="0.25">
      <c r="A3735" s="23">
        <f t="shared" si="177"/>
        <v>252753</v>
      </c>
      <c r="B3735" s="14" t="str">
        <f t="shared" si="176"/>
        <v>Direct Debit (UMB Bank) - Credits</v>
      </c>
      <c r="C3735" s="37">
        <v>46157</v>
      </c>
      <c r="D3735" s="31">
        <v>252753</v>
      </c>
      <c r="E3735" s="33" t="str">
        <f>IF(Table3[[#This Row],[Type Received]]=2,"CC",(IF(Table3[[#This Row],[Type Received]]=3,"BILL","ACH")))</f>
        <v>ACH</v>
      </c>
      <c r="F3735" s="32">
        <v>56.95</v>
      </c>
      <c r="G3735" s="14" t="str">
        <f>VLOOKUP(D3735,Table4[],3,FALSE)</f>
        <v>2</v>
      </c>
      <c r="H3735" s="15"/>
      <c r="I3735" s="15"/>
      <c r="J3735" s="24" t="s">
        <v>87</v>
      </c>
      <c r="K3735" s="15">
        <v>696826786</v>
      </c>
      <c r="L3735" s="15" t="s">
        <v>29</v>
      </c>
      <c r="M3735" s="15" t="s">
        <v>29</v>
      </c>
    </row>
    <row r="3736" spans="1:13" x14ac:dyDescent="0.25">
      <c r="A3736" s="23">
        <f t="shared" si="177"/>
        <v>252761</v>
      </c>
      <c r="B3736" s="14" t="str">
        <f t="shared" si="176"/>
        <v>Direct Debit (UMB Bank) - Credits</v>
      </c>
      <c r="C3736" s="38">
        <v>46157</v>
      </c>
      <c r="D3736" s="34">
        <v>252761</v>
      </c>
      <c r="E3736" s="36" t="str">
        <f>IF(Table3[[#This Row],[Type Received]]=2,"CC",(IF(Table3[[#This Row],[Type Received]]=3,"BILL","ACH")))</f>
        <v>ACH</v>
      </c>
      <c r="F3736" s="35">
        <v>50.95</v>
      </c>
      <c r="G3736" s="14" t="str">
        <f>VLOOKUP(D3736,Table4[],3,FALSE)</f>
        <v>2</v>
      </c>
      <c r="H3736" s="15"/>
      <c r="I3736" s="15"/>
      <c r="J3736" s="15" t="s">
        <v>87</v>
      </c>
      <c r="K3736" s="15">
        <v>696843197</v>
      </c>
      <c r="L3736" s="15" t="s">
        <v>29</v>
      </c>
      <c r="M3736" s="15"/>
    </row>
    <row r="3737" spans="1:13" x14ac:dyDescent="0.25">
      <c r="A3737" s="23">
        <f t="shared" si="177"/>
        <v>252764</v>
      </c>
      <c r="B3737" s="14" t="str">
        <f t="shared" si="176"/>
        <v>Direct Debit (UMB Bank) - Credits</v>
      </c>
      <c r="C3737" s="37">
        <v>46167</v>
      </c>
      <c r="D3737" s="31">
        <v>252764</v>
      </c>
      <c r="E3737" s="33" t="str">
        <f>IF(Table3[[#This Row],[Type Received]]=2,"CC",(IF(Table3[[#This Row],[Type Received]]=3,"BILL","ACH")))</f>
        <v>ACH</v>
      </c>
      <c r="F3737" s="32">
        <v>43.95</v>
      </c>
      <c r="G3737" s="14" t="str">
        <f>VLOOKUP(D3737,Table4[],3,FALSE)</f>
        <v>2</v>
      </c>
      <c r="H3737" s="15"/>
      <c r="I3737" s="15"/>
      <c r="J3737" s="15" t="s">
        <v>85</v>
      </c>
      <c r="K3737" s="15">
        <v>818401576</v>
      </c>
      <c r="L3737" s="15" t="s">
        <v>29</v>
      </c>
      <c r="M3737" s="15" t="s">
        <v>29</v>
      </c>
    </row>
    <row r="3738" spans="1:13" x14ac:dyDescent="0.25">
      <c r="A3738" s="23">
        <f t="shared" si="177"/>
        <v>252777</v>
      </c>
      <c r="B3738" s="14" t="str">
        <f t="shared" si="176"/>
        <v>Credit Cards (UMB) - Credits</v>
      </c>
      <c r="C3738" s="38">
        <v>46157</v>
      </c>
      <c r="D3738" s="34">
        <v>252777</v>
      </c>
      <c r="E3738" s="36" t="str">
        <f>IF(Table3[[#This Row],[Type Received]]=2,"CC",(IF(Table3[[#This Row],[Type Received]]=3,"BILL","ACH")))</f>
        <v>CC</v>
      </c>
      <c r="F3738" s="35">
        <v>64.150000000000006</v>
      </c>
      <c r="G3738" s="14" t="str">
        <f>VLOOKUP(D3738,Table4[],3,FALSE)</f>
        <v>2</v>
      </c>
      <c r="H3738" s="15"/>
      <c r="I3738" s="15"/>
      <c r="J3738" s="24" t="s">
        <v>87</v>
      </c>
      <c r="K3738" s="15">
        <v>696837525</v>
      </c>
      <c r="L3738" s="15" t="s">
        <v>29</v>
      </c>
      <c r="M3738" s="15" t="s">
        <v>29</v>
      </c>
    </row>
    <row r="3739" spans="1:13" x14ac:dyDescent="0.25">
      <c r="A3739" s="23">
        <f t="shared" si="177"/>
        <v>252780</v>
      </c>
      <c r="B3739" s="14" t="str">
        <f t="shared" si="176"/>
        <v>Direct Debit (UMB Bank) - Credits</v>
      </c>
      <c r="C3739" s="37">
        <v>46155</v>
      </c>
      <c r="D3739" s="31">
        <v>252780</v>
      </c>
      <c r="E3739" s="33" t="str">
        <f>IF(Table3[[#This Row],[Type Received]]=2,"CC",(IF(Table3[[#This Row],[Type Received]]=3,"BILL","ACH")))</f>
        <v>ACH</v>
      </c>
      <c r="F3739" s="32">
        <v>182.95</v>
      </c>
      <c r="G3739" s="14" t="str">
        <f>VLOOKUP(D3739,Table4[],3,FALSE)</f>
        <v>2</v>
      </c>
      <c r="H3739" s="15"/>
      <c r="I3739" s="15">
        <v>110557</v>
      </c>
      <c r="J3739" s="24" t="s">
        <v>28</v>
      </c>
      <c r="K3739" s="15">
        <v>669514241</v>
      </c>
      <c r="L3739" s="15" t="s">
        <v>29</v>
      </c>
      <c r="M3739" s="15" t="s">
        <v>29</v>
      </c>
    </row>
    <row r="3740" spans="1:13" x14ac:dyDescent="0.25">
      <c r="A3740" s="23">
        <f t="shared" si="177"/>
        <v>252796</v>
      </c>
      <c r="B3740" s="14" t="str">
        <f t="shared" si="176"/>
        <v>Direct Debit (UMB Bank) - Credits</v>
      </c>
      <c r="C3740" s="38">
        <v>46143</v>
      </c>
      <c r="D3740" s="34">
        <v>252796</v>
      </c>
      <c r="E3740" s="36" t="str">
        <f>IF(Table3[[#This Row],[Type Received]]=2,"CC",(IF(Table3[[#This Row],[Type Received]]=3,"BILL","ACH")))</f>
        <v>ACH</v>
      </c>
      <c r="F3740" s="35">
        <v>44.35</v>
      </c>
      <c r="G3740" s="14" t="str">
        <f>VLOOKUP(D3740,Table4[],3,FALSE)</f>
        <v>2</v>
      </c>
      <c r="H3740" s="15"/>
      <c r="I3740" s="15"/>
      <c r="J3740" s="15" t="s">
        <v>84</v>
      </c>
      <c r="K3740" s="15">
        <v>522415447</v>
      </c>
      <c r="L3740" s="15" t="s">
        <v>29</v>
      </c>
      <c r="M3740" s="15" t="s">
        <v>29</v>
      </c>
    </row>
    <row r="3741" spans="1:13" x14ac:dyDescent="0.25">
      <c r="A3741" s="23">
        <f t="shared" si="177"/>
        <v>252801</v>
      </c>
      <c r="B3741" s="14" t="str">
        <f t="shared" si="176"/>
        <v>Direct Debit (UMB Bank) - Credits</v>
      </c>
      <c r="C3741" s="37">
        <v>46157</v>
      </c>
      <c r="D3741" s="31">
        <v>252801</v>
      </c>
      <c r="E3741" s="33" t="str">
        <f>IF(Table3[[#This Row],[Type Received]]=2,"CC",(IF(Table3[[#This Row],[Type Received]]=3,"BILL","ACH")))</f>
        <v>ACH</v>
      </c>
      <c r="F3741" s="32">
        <v>83.73</v>
      </c>
      <c r="G3741" s="14" t="str">
        <f>VLOOKUP(D3741,Table4[],3,FALSE)</f>
        <v>1</v>
      </c>
      <c r="H3741" s="15"/>
      <c r="I3741" s="15"/>
      <c r="J3741" s="15" t="s">
        <v>87</v>
      </c>
      <c r="K3741" s="15">
        <v>696835601</v>
      </c>
      <c r="L3741" s="15" t="s">
        <v>29</v>
      </c>
      <c r="M3741" s="15" t="s">
        <v>29</v>
      </c>
    </row>
    <row r="3742" spans="1:13" x14ac:dyDescent="0.25">
      <c r="A3742" s="23">
        <f t="shared" si="177"/>
        <v>252803</v>
      </c>
      <c r="B3742" s="14" t="str">
        <f t="shared" si="176"/>
        <v>Direct Debit (UMB Bank) - Credits</v>
      </c>
      <c r="C3742" s="38">
        <v>46157</v>
      </c>
      <c r="D3742" s="34">
        <v>252803</v>
      </c>
      <c r="E3742" s="36" t="str">
        <f>IF(Table3[[#This Row],[Type Received]]=2,"CC",(IF(Table3[[#This Row],[Type Received]]=3,"BILL","ACH")))</f>
        <v>ACH</v>
      </c>
      <c r="F3742" s="35">
        <v>58.21</v>
      </c>
      <c r="G3742" s="14" t="str">
        <f>VLOOKUP(D3742,Table4[],3,FALSE)</f>
        <v>2</v>
      </c>
      <c r="H3742" s="15"/>
      <c r="I3742" s="15"/>
      <c r="J3742" s="15" t="s">
        <v>87</v>
      </c>
      <c r="K3742" s="15">
        <v>696829812</v>
      </c>
      <c r="L3742" s="15" t="s">
        <v>29</v>
      </c>
      <c r="M3742" s="15" t="s">
        <v>29</v>
      </c>
    </row>
    <row r="3743" spans="1:13" x14ac:dyDescent="0.25">
      <c r="A3743" s="23">
        <f t="shared" si="177"/>
        <v>252812</v>
      </c>
      <c r="B3743" s="14" t="str">
        <f t="shared" si="176"/>
        <v>Credit Cards (UMB) - Credits</v>
      </c>
      <c r="C3743" s="37">
        <v>46144</v>
      </c>
      <c r="D3743" s="31">
        <v>252812</v>
      </c>
      <c r="E3743" s="33" t="str">
        <f>IF(Table3[[#This Row],[Type Received]]=2,"CC",(IF(Table3[[#This Row],[Type Received]]=3,"BILL","ACH")))</f>
        <v>CC</v>
      </c>
      <c r="F3743" s="32">
        <v>78.010000000000005</v>
      </c>
      <c r="G3743" s="14" t="str">
        <f>VLOOKUP(D3743,Table4[],3,FALSE)</f>
        <v>2</v>
      </c>
      <c r="H3743" s="15"/>
      <c r="I3743" s="15"/>
      <c r="J3743" s="24" t="s">
        <v>89</v>
      </c>
      <c r="K3743" s="15">
        <v>535412023</v>
      </c>
      <c r="L3743" s="15" t="s">
        <v>29</v>
      </c>
      <c r="M3743" s="15" t="s">
        <v>29</v>
      </c>
    </row>
    <row r="3744" spans="1:13" x14ac:dyDescent="0.25">
      <c r="A3744" s="23">
        <f t="shared" si="177"/>
        <v>252813</v>
      </c>
      <c r="B3744" s="14" t="str">
        <f t="shared" si="176"/>
        <v>Direct Debit (UMB Bank) - Credits</v>
      </c>
      <c r="C3744" s="38">
        <v>46155</v>
      </c>
      <c r="D3744" s="34">
        <v>252813</v>
      </c>
      <c r="E3744" s="36" t="str">
        <f>IF(Table3[[#This Row],[Type Received]]=2,"CC",(IF(Table3[[#This Row],[Type Received]]=3,"BILL","ACH")))</f>
        <v>ACH</v>
      </c>
      <c r="F3744" s="35">
        <v>55.35</v>
      </c>
      <c r="G3744" s="14" t="str">
        <f>VLOOKUP(D3744,Table4[],3,FALSE)</f>
        <v>1</v>
      </c>
      <c r="H3744" s="15"/>
      <c r="I3744" s="15" t="s">
        <v>305</v>
      </c>
      <c r="J3744" s="15" t="s">
        <v>28</v>
      </c>
      <c r="K3744" s="15">
        <v>669451327</v>
      </c>
      <c r="L3744" s="15" t="s">
        <v>29</v>
      </c>
      <c r="M3744" s="15"/>
    </row>
    <row r="3745" spans="1:13" x14ac:dyDescent="0.25">
      <c r="A3745" s="23">
        <f t="shared" si="177"/>
        <v>252814</v>
      </c>
      <c r="B3745" s="14" t="str">
        <f t="shared" si="176"/>
        <v>Direct Debit (UMB Bank) - Credits</v>
      </c>
      <c r="C3745" s="37">
        <v>46168</v>
      </c>
      <c r="D3745" s="31">
        <v>252814</v>
      </c>
      <c r="E3745" s="33" t="str">
        <f>IF(Table3[[#This Row],[Type Received]]=2,"CC",(IF(Table3[[#This Row],[Type Received]]=3,"BILL","ACH")))</f>
        <v>ACH</v>
      </c>
      <c r="F3745" s="32">
        <v>48.97</v>
      </c>
      <c r="G3745" s="14" t="str">
        <f>VLOOKUP(D3745,Table4[],3,FALSE)</f>
        <v>1</v>
      </c>
      <c r="H3745" s="15"/>
      <c r="I3745" s="15"/>
      <c r="J3745" s="15" t="s">
        <v>110</v>
      </c>
      <c r="K3745" s="15">
        <v>828236189</v>
      </c>
      <c r="L3745" s="15" t="s">
        <v>29</v>
      </c>
      <c r="M3745" s="15"/>
    </row>
    <row r="3746" spans="1:13" x14ac:dyDescent="0.25">
      <c r="A3746" s="23">
        <f t="shared" si="177"/>
        <v>252815</v>
      </c>
      <c r="B3746" s="14" t="str">
        <f t="shared" si="176"/>
        <v>Billing - Credits (from TPA)</v>
      </c>
      <c r="C3746" s="38">
        <v>46144</v>
      </c>
      <c r="D3746" s="34">
        <v>252815</v>
      </c>
      <c r="E3746" s="36" t="str">
        <f>IF(Table3[[#This Row],[Type Received]]=2,"CC",(IF(Table3[[#This Row],[Type Received]]=3,"BILL","ACH")))</f>
        <v>BILL</v>
      </c>
      <c r="F3746" s="35">
        <v>149.62</v>
      </c>
      <c r="G3746" s="14" t="str">
        <f>VLOOKUP(D3746,Table4[],3,FALSE)</f>
        <v>2</v>
      </c>
      <c r="H3746" s="15"/>
      <c r="I3746" s="15"/>
      <c r="J3746" s="15" t="s">
        <v>89</v>
      </c>
      <c r="K3746" s="15">
        <v>535414037</v>
      </c>
      <c r="L3746" s="15" t="s">
        <v>29</v>
      </c>
      <c r="M3746" s="15"/>
    </row>
    <row r="3747" spans="1:13" x14ac:dyDescent="0.25">
      <c r="A3747" s="23">
        <f t="shared" si="177"/>
        <v>252824</v>
      </c>
      <c r="B3747" s="14" t="str">
        <f t="shared" si="176"/>
        <v>Direct Debit (UMB Bank) - Credits</v>
      </c>
      <c r="C3747" s="37">
        <v>46148</v>
      </c>
      <c r="D3747" s="31">
        <v>252824</v>
      </c>
      <c r="E3747" s="33" t="str">
        <f>IF(Table3[[#This Row],[Type Received]]=2,"CC",(IF(Table3[[#This Row],[Type Received]]=3,"BILL","ACH")))</f>
        <v>ACH</v>
      </c>
      <c r="F3747" s="32">
        <v>176.18</v>
      </c>
      <c r="G3747" s="14" t="str">
        <f>VLOOKUP(D3747,Table4[],3,FALSE)</f>
        <v>2</v>
      </c>
      <c r="H3747" s="15">
        <v>252900111</v>
      </c>
      <c r="I3747" s="15"/>
      <c r="J3747" s="15"/>
      <c r="K3747" s="15"/>
      <c r="L3747" s="15"/>
      <c r="M3747" s="15" t="s">
        <v>29</v>
      </c>
    </row>
    <row r="3748" spans="1:13" x14ac:dyDescent="0.25">
      <c r="A3748" s="23">
        <f t="shared" si="177"/>
        <v>252827</v>
      </c>
      <c r="B3748" s="14" t="str">
        <f t="shared" si="176"/>
        <v>Credit Cards (UMB) - Credits</v>
      </c>
      <c r="C3748" s="38">
        <v>46144</v>
      </c>
      <c r="D3748" s="34">
        <v>252827</v>
      </c>
      <c r="E3748" s="36" t="str">
        <f>IF(Table3[[#This Row],[Type Received]]=2,"CC",(IF(Table3[[#This Row],[Type Received]]=3,"BILL","ACH")))</f>
        <v>CC</v>
      </c>
      <c r="F3748" s="35">
        <v>61.73</v>
      </c>
      <c r="G3748" s="14" t="str">
        <f>VLOOKUP(D3748,Table4[],3,FALSE)</f>
        <v>1</v>
      </c>
      <c r="H3748" s="15"/>
      <c r="I3748" s="15"/>
      <c r="J3748" s="15" t="s">
        <v>89</v>
      </c>
      <c r="K3748" s="15">
        <v>535432338</v>
      </c>
      <c r="L3748" s="15" t="s">
        <v>29</v>
      </c>
      <c r="M3748" s="15" t="s">
        <v>29</v>
      </c>
    </row>
    <row r="3749" spans="1:13" x14ac:dyDescent="0.25">
      <c r="A3749" s="23">
        <f t="shared" si="177"/>
        <v>252853</v>
      </c>
      <c r="B3749" s="14" t="str">
        <f t="shared" si="176"/>
        <v>Direct Debit (UMB Bank) - Credits</v>
      </c>
      <c r="C3749" s="37">
        <v>46158</v>
      </c>
      <c r="D3749" s="31">
        <v>252853</v>
      </c>
      <c r="E3749" s="33" t="str">
        <f>IF(Table3[[#This Row],[Type Received]]=2,"CC",(IF(Table3[[#This Row],[Type Received]]=3,"BILL","ACH")))</f>
        <v>ACH</v>
      </c>
      <c r="F3749" s="32">
        <v>97.81</v>
      </c>
      <c r="G3749" s="14" t="str">
        <f>VLOOKUP(D3749,Table4[],3,FALSE)</f>
        <v>2</v>
      </c>
      <c r="H3749" s="15"/>
      <c r="I3749" s="15">
        <v>621905</v>
      </c>
      <c r="J3749" s="15" t="s">
        <v>28</v>
      </c>
      <c r="K3749" s="15">
        <v>710031711</v>
      </c>
      <c r="L3749" s="15" t="s">
        <v>29</v>
      </c>
      <c r="M3749" s="15" t="s">
        <v>29</v>
      </c>
    </row>
    <row r="3750" spans="1:13" x14ac:dyDescent="0.25">
      <c r="A3750" s="23">
        <f t="shared" si="177"/>
        <v>252897</v>
      </c>
      <c r="B3750" s="14" t="str">
        <f t="shared" si="176"/>
        <v>Credit Cards (UMB) - Credits</v>
      </c>
      <c r="C3750" s="38">
        <v>46170</v>
      </c>
      <c r="D3750" s="34">
        <v>252897</v>
      </c>
      <c r="E3750" s="36" t="str">
        <f>IF(Table3[[#This Row],[Type Received]]=2,"CC",(IF(Table3[[#This Row],[Type Received]]=3,"BILL","ACH")))</f>
        <v>CC</v>
      </c>
      <c r="F3750" s="35">
        <v>77.349999999999994</v>
      </c>
      <c r="G3750" s="14" t="str">
        <f>VLOOKUP(D3750,Table4[],3,FALSE)</f>
        <v>1</v>
      </c>
      <c r="H3750" s="15"/>
      <c r="I3750" s="15"/>
      <c r="J3750" s="15" t="s">
        <v>91</v>
      </c>
      <c r="K3750" s="15">
        <v>853923857</v>
      </c>
      <c r="L3750" s="15" t="s">
        <v>29</v>
      </c>
      <c r="M3750" s="15" t="s">
        <v>29</v>
      </c>
    </row>
    <row r="3751" spans="1:13" x14ac:dyDescent="0.25">
      <c r="A3751" s="23">
        <f t="shared" si="177"/>
        <v>252903</v>
      </c>
      <c r="B3751" s="14" t="str">
        <f t="shared" si="176"/>
        <v>Billing - Credits (from TPA)</v>
      </c>
      <c r="C3751" s="37">
        <v>46162</v>
      </c>
      <c r="D3751" s="31">
        <v>252903</v>
      </c>
      <c r="E3751" s="33" t="str">
        <f>IF(Table3[[#This Row],[Type Received]]=2,"CC",(IF(Table3[[#This Row],[Type Received]]=3,"BILL","ACH")))</f>
        <v>BILL</v>
      </c>
      <c r="F3751" s="32">
        <v>165.1</v>
      </c>
      <c r="G3751" s="14" t="str">
        <f>VLOOKUP(D3751,Table4[],3,FALSE)</f>
        <v>2</v>
      </c>
      <c r="H3751" s="15"/>
      <c r="I3751" s="15">
        <v>79405</v>
      </c>
      <c r="J3751" s="15">
        <v>747121142</v>
      </c>
      <c r="K3751" s="15">
        <v>355282273</v>
      </c>
      <c r="L3751" s="15"/>
      <c r="M3751" s="15" t="s">
        <v>29</v>
      </c>
    </row>
    <row r="3752" spans="1:13" x14ac:dyDescent="0.25">
      <c r="A3752" s="23">
        <f t="shared" si="177"/>
        <v>252938</v>
      </c>
      <c r="B3752" s="14" t="str">
        <f t="shared" si="176"/>
        <v>Direct Debit (UMB Bank) - Credits</v>
      </c>
      <c r="C3752" s="38">
        <v>46168</v>
      </c>
      <c r="D3752" s="34">
        <v>252938</v>
      </c>
      <c r="E3752" s="36" t="str">
        <f>IF(Table3[[#This Row],[Type Received]]=2,"CC",(IF(Table3[[#This Row],[Type Received]]=3,"BILL","ACH")))</f>
        <v>ACH</v>
      </c>
      <c r="F3752" s="35">
        <v>169.44</v>
      </c>
      <c r="G3752" s="14" t="str">
        <f>VLOOKUP(D3752,Table4[],3,FALSE)</f>
        <v>2</v>
      </c>
      <c r="H3752" s="15">
        <v>7358</v>
      </c>
      <c r="I3752" s="15"/>
      <c r="J3752" s="15"/>
      <c r="K3752" s="15"/>
      <c r="L3752" s="15"/>
      <c r="M3752" s="15" t="s">
        <v>29</v>
      </c>
    </row>
    <row r="3753" spans="1:13" x14ac:dyDescent="0.25">
      <c r="A3753" s="23">
        <f t="shared" si="177"/>
        <v>252946</v>
      </c>
      <c r="B3753" s="14" t="str">
        <f t="shared" si="176"/>
        <v>Credit Cards (UMB) - Credits</v>
      </c>
      <c r="C3753" s="37">
        <v>46144</v>
      </c>
      <c r="D3753" s="31">
        <v>252946</v>
      </c>
      <c r="E3753" s="33" t="str">
        <f>IF(Table3[[#This Row],[Type Received]]=2,"CC",(IF(Table3[[#This Row],[Type Received]]=3,"BILL","ACH")))</f>
        <v>CC</v>
      </c>
      <c r="F3753" s="32">
        <v>26.09</v>
      </c>
      <c r="G3753" s="14" t="str">
        <f>VLOOKUP(D3753,Table4[],3,FALSE)</f>
        <v>1</v>
      </c>
      <c r="H3753" s="15"/>
      <c r="I3753" s="15"/>
      <c r="J3753" s="15" t="s">
        <v>89</v>
      </c>
      <c r="K3753" s="15">
        <v>535418936</v>
      </c>
      <c r="L3753" s="15" t="s">
        <v>29</v>
      </c>
      <c r="M3753" s="15"/>
    </row>
    <row r="3754" spans="1:13" x14ac:dyDescent="0.25">
      <c r="A3754" s="23">
        <f t="shared" si="177"/>
        <v>252953</v>
      </c>
      <c r="B3754" s="14" t="str">
        <f t="shared" si="176"/>
        <v>Credit Cards (UMB) - Credits</v>
      </c>
      <c r="C3754" s="38">
        <v>46143</v>
      </c>
      <c r="D3754" s="34">
        <v>252953</v>
      </c>
      <c r="E3754" s="36" t="str">
        <f>IF(Table3[[#This Row],[Type Received]]=2,"CC",(IF(Table3[[#This Row],[Type Received]]=3,"BILL","ACH")))</f>
        <v>CC</v>
      </c>
      <c r="F3754" s="35">
        <v>65.709999999999994</v>
      </c>
      <c r="G3754" s="14" t="str">
        <f>VLOOKUP(D3754,Table4[],3,FALSE)</f>
        <v>1</v>
      </c>
      <c r="H3754" s="15"/>
      <c r="I3754" s="15">
        <v>16476</v>
      </c>
      <c r="J3754" s="24" t="s">
        <v>28</v>
      </c>
      <c r="K3754" s="15">
        <v>523359078</v>
      </c>
      <c r="L3754" s="15" t="s">
        <v>29</v>
      </c>
      <c r="M3754" s="15"/>
    </row>
    <row r="3755" spans="1:13" x14ac:dyDescent="0.25">
      <c r="A3755" s="23">
        <f t="shared" si="177"/>
        <v>252969</v>
      </c>
      <c r="B3755" s="14" t="str">
        <f t="shared" si="176"/>
        <v>Billing - Credits (from TPA)</v>
      </c>
      <c r="C3755" s="37">
        <v>46144</v>
      </c>
      <c r="D3755" s="31">
        <v>252969</v>
      </c>
      <c r="E3755" s="33" t="str">
        <f>IF(Table3[[#This Row],[Type Received]]=2,"CC",(IF(Table3[[#This Row],[Type Received]]=3,"BILL","ACH")))</f>
        <v>BILL</v>
      </c>
      <c r="F3755" s="32">
        <v>35.770000000000003</v>
      </c>
      <c r="G3755" s="14" t="str">
        <f>VLOOKUP(D3755,Table4[],3,FALSE)</f>
        <v>2</v>
      </c>
      <c r="H3755" s="15"/>
      <c r="I3755" s="15">
        <v>846917</v>
      </c>
      <c r="J3755" s="15" t="s">
        <v>28</v>
      </c>
      <c r="K3755" s="15">
        <v>535346643</v>
      </c>
      <c r="L3755" s="15" t="s">
        <v>29</v>
      </c>
      <c r="M3755" s="15"/>
    </row>
    <row r="3756" spans="1:13" x14ac:dyDescent="0.25">
      <c r="A3756" s="23">
        <f t="shared" si="177"/>
        <v>252978</v>
      </c>
      <c r="B3756" s="14" t="str">
        <f t="shared" si="176"/>
        <v>Direct Debit (UMB Bank) - Credits</v>
      </c>
      <c r="C3756" s="38">
        <v>46147</v>
      </c>
      <c r="D3756" s="34">
        <v>252978</v>
      </c>
      <c r="E3756" s="36" t="str">
        <f>IF(Table3[[#This Row],[Type Received]]=2,"CC",(IF(Table3[[#This Row],[Type Received]]=3,"BILL","ACH")))</f>
        <v>ACH</v>
      </c>
      <c r="F3756" s="35">
        <v>77.81</v>
      </c>
      <c r="G3756" s="14" t="str">
        <f>VLOOKUP(D3756,Table4[],3,FALSE)</f>
        <v>1</v>
      </c>
      <c r="H3756" s="15">
        <v>57727569</v>
      </c>
      <c r="I3756" s="15"/>
      <c r="J3756" s="15"/>
      <c r="K3756" s="15"/>
      <c r="L3756" s="15"/>
      <c r="M3756" s="15" t="s">
        <v>29</v>
      </c>
    </row>
    <row r="3757" spans="1:13" x14ac:dyDescent="0.25">
      <c r="A3757" s="23">
        <f t="shared" si="177"/>
        <v>253003</v>
      </c>
      <c r="B3757" s="14" t="str">
        <f t="shared" si="176"/>
        <v>Direct Debit (UMB Bank) - Credits</v>
      </c>
      <c r="C3757" s="37">
        <v>46144</v>
      </c>
      <c r="D3757" s="31">
        <v>253003</v>
      </c>
      <c r="E3757" s="33" t="str">
        <f>IF(Table3[[#This Row],[Type Received]]=2,"CC",(IF(Table3[[#This Row],[Type Received]]=3,"BILL","ACH")))</f>
        <v>ACH</v>
      </c>
      <c r="F3757" s="32">
        <v>53.15</v>
      </c>
      <c r="G3757" s="14" t="str">
        <f>VLOOKUP(D3757,Table4[],3,FALSE)</f>
        <v>1</v>
      </c>
      <c r="H3757" s="15"/>
      <c r="I3757" s="15"/>
      <c r="J3757" s="24" t="s">
        <v>89</v>
      </c>
      <c r="K3757" s="15">
        <v>535418942</v>
      </c>
      <c r="L3757" s="15" t="s">
        <v>29</v>
      </c>
      <c r="M3757" s="15" t="s">
        <v>29</v>
      </c>
    </row>
    <row r="3758" spans="1:13" x14ac:dyDescent="0.25">
      <c r="A3758" s="23">
        <f t="shared" si="177"/>
        <v>253030</v>
      </c>
      <c r="B3758" s="14" t="str">
        <f t="shared" si="176"/>
        <v>Direct Debit (UMB Bank) - Credits</v>
      </c>
      <c r="C3758" s="38">
        <v>46147</v>
      </c>
      <c r="D3758" s="34">
        <v>253030</v>
      </c>
      <c r="E3758" s="36" t="str">
        <f>IF(Table3[[#This Row],[Type Received]]=2,"CC",(IF(Table3[[#This Row],[Type Received]]=3,"BILL","ACH")))</f>
        <v>ACH</v>
      </c>
      <c r="F3758" s="35">
        <v>107.93</v>
      </c>
      <c r="G3758" s="14" t="str">
        <f>VLOOKUP(D3758,Table4[],3,FALSE)</f>
        <v>1</v>
      </c>
      <c r="H3758" s="15"/>
      <c r="I3758" s="15"/>
      <c r="J3758" s="15" t="s">
        <v>86</v>
      </c>
      <c r="K3758" s="15">
        <v>569474836</v>
      </c>
      <c r="L3758" s="15" t="s">
        <v>29</v>
      </c>
      <c r="M3758" s="15" t="s">
        <v>29</v>
      </c>
    </row>
    <row r="3759" spans="1:13" x14ac:dyDescent="0.25">
      <c r="A3759" s="23">
        <f t="shared" si="177"/>
        <v>253046</v>
      </c>
      <c r="B3759" s="14" t="str">
        <f t="shared" si="176"/>
        <v>Direct Debit (UMB Bank) - Credits</v>
      </c>
      <c r="C3759" s="37">
        <v>46157</v>
      </c>
      <c r="D3759" s="31">
        <v>253046</v>
      </c>
      <c r="E3759" s="33" t="str">
        <f>IF(Table3[[#This Row],[Type Received]]=2,"CC",(IF(Table3[[#This Row],[Type Received]]=3,"BILL","ACH")))</f>
        <v>ACH</v>
      </c>
      <c r="F3759" s="32">
        <v>115.3</v>
      </c>
      <c r="G3759" s="14" t="str">
        <f>VLOOKUP(D3759,Table4[],3,FALSE)</f>
        <v>2</v>
      </c>
      <c r="H3759" s="15"/>
      <c r="I3759" s="15"/>
      <c r="J3759" s="24" t="s">
        <v>87</v>
      </c>
      <c r="K3759" s="15">
        <v>696844228</v>
      </c>
      <c r="L3759" s="15" t="s">
        <v>29</v>
      </c>
      <c r="M3759" s="15"/>
    </row>
    <row r="3760" spans="1:13" x14ac:dyDescent="0.25">
      <c r="A3760" s="23">
        <f t="shared" si="177"/>
        <v>253048</v>
      </c>
      <c r="B3760" s="14" t="str">
        <f t="shared" si="176"/>
        <v>Credit Cards (UMB) - Credits</v>
      </c>
      <c r="C3760" s="38">
        <v>46167</v>
      </c>
      <c r="D3760" s="34">
        <v>253048</v>
      </c>
      <c r="E3760" s="36" t="str">
        <f>IF(Table3[[#This Row],[Type Received]]=2,"CC",(IF(Table3[[#This Row],[Type Received]]=3,"BILL","ACH")))</f>
        <v>CC</v>
      </c>
      <c r="F3760" s="35">
        <v>117.61</v>
      </c>
      <c r="G3760" s="14" t="str">
        <f>VLOOKUP(D3760,Table4[],3,FALSE)</f>
        <v>1</v>
      </c>
      <c r="H3760" s="15"/>
      <c r="I3760" s="15"/>
      <c r="J3760" s="24" t="s">
        <v>85</v>
      </c>
      <c r="K3760" s="15">
        <v>818393860</v>
      </c>
      <c r="L3760" s="15" t="s">
        <v>29</v>
      </c>
      <c r="M3760" s="15"/>
    </row>
    <row r="3761" spans="1:13" x14ac:dyDescent="0.25">
      <c r="A3761" s="23">
        <f t="shared" si="177"/>
        <v>253065</v>
      </c>
      <c r="B3761" s="14" t="str">
        <f t="shared" si="176"/>
        <v>Billing - Credits (from TPA)</v>
      </c>
      <c r="C3761" s="37">
        <v>46156</v>
      </c>
      <c r="D3761" s="31">
        <v>253065</v>
      </c>
      <c r="E3761" s="33" t="str">
        <f>IF(Table3[[#This Row],[Type Received]]=2,"CC",(IF(Table3[[#This Row],[Type Received]]=3,"BILL","ACH")))</f>
        <v>BILL</v>
      </c>
      <c r="F3761" s="32">
        <v>85.29</v>
      </c>
      <c r="G3761" s="14" t="str">
        <f>VLOOKUP(D3761,Table4[],3,FALSE)</f>
        <v>1</v>
      </c>
      <c r="H3761" s="15"/>
      <c r="I3761" s="15">
        <v>796335</v>
      </c>
      <c r="J3761" s="24" t="s">
        <v>28</v>
      </c>
      <c r="K3761" s="15">
        <v>683534119</v>
      </c>
      <c r="L3761" s="15" t="s">
        <v>29</v>
      </c>
      <c r="M3761" s="15" t="s">
        <v>29</v>
      </c>
    </row>
    <row r="3762" spans="1:13" x14ac:dyDescent="0.25">
      <c r="A3762" s="23">
        <f t="shared" si="177"/>
        <v>253097</v>
      </c>
      <c r="B3762" s="14" t="str">
        <f t="shared" si="176"/>
        <v>Credit Cards (UMB) - Credits</v>
      </c>
      <c r="C3762" s="38">
        <v>46169</v>
      </c>
      <c r="D3762" s="34">
        <v>253097</v>
      </c>
      <c r="E3762" s="36" t="str">
        <f>IF(Table3[[#This Row],[Type Received]]=2,"CC",(IF(Table3[[#This Row],[Type Received]]=3,"BILL","ACH")))</f>
        <v>CC</v>
      </c>
      <c r="F3762" s="35">
        <v>96.68</v>
      </c>
      <c r="G3762" s="14" t="str">
        <f>VLOOKUP(D3762,Table4[],3,FALSE)</f>
        <v>2</v>
      </c>
      <c r="H3762" s="15">
        <v>2070</v>
      </c>
      <c r="I3762" s="15"/>
      <c r="J3762" s="15"/>
      <c r="K3762" s="15"/>
      <c r="L3762" s="15"/>
      <c r="M3762" s="15" t="s">
        <v>29</v>
      </c>
    </row>
    <row r="3763" spans="1:13" x14ac:dyDescent="0.25">
      <c r="A3763" s="23">
        <f t="shared" ref="A3763:A3794" si="178">D3763</f>
        <v>253109</v>
      </c>
      <c r="B3763" s="14" t="str">
        <f t="shared" ref="B3763:B3826" si="179">IF(AND(E3763="BILL",F3763&lt;0),"Billing &amp; Direct Debit - Refunds",(IF(AND(E3763="BILL",F3763&gt;0),"Billing - Credits (from TPA)",(IF(AND(E3763="CC",F3763&lt;0),"Credit Cards (UMB) - Refunds",(IF(AND(E3763="CC",F3763&gt;0),"Credit Cards (UMB) - Credits",(IF(AND(E3763="ACH",F3763&gt;0),"Direct Debit (UMB Bank) - Credits","Direct Debit (UMB Bank) - Returned Items")))))))))</f>
        <v>Billing - Credits (from TPA)</v>
      </c>
      <c r="C3763" s="37">
        <v>46149</v>
      </c>
      <c r="D3763" s="31">
        <v>253109</v>
      </c>
      <c r="E3763" s="33" t="str">
        <f>IF(Table3[[#This Row],[Type Received]]=2,"CC",(IF(Table3[[#This Row],[Type Received]]=3,"BILL","ACH")))</f>
        <v>BILL</v>
      </c>
      <c r="F3763" s="32">
        <v>76.05</v>
      </c>
      <c r="G3763" s="14" t="str">
        <f>VLOOKUP(D3763,Table4[],3,FALSE)</f>
        <v>2</v>
      </c>
      <c r="H3763" s="15"/>
      <c r="I3763" s="15">
        <v>42845</v>
      </c>
      <c r="J3763" s="15">
        <v>743273545</v>
      </c>
      <c r="K3763" s="15">
        <v>353855897</v>
      </c>
      <c r="L3763" s="15"/>
      <c r="M3763" s="15"/>
    </row>
    <row r="3764" spans="1:13" x14ac:dyDescent="0.25">
      <c r="A3764" s="23">
        <f t="shared" si="178"/>
        <v>253112</v>
      </c>
      <c r="B3764" s="14" t="str">
        <f t="shared" si="179"/>
        <v>Billing - Credits (from TPA)</v>
      </c>
      <c r="C3764" s="38">
        <v>46163</v>
      </c>
      <c r="D3764" s="34">
        <v>253112</v>
      </c>
      <c r="E3764" s="36" t="str">
        <f>IF(Table3[[#This Row],[Type Received]]=2,"CC",(IF(Table3[[#This Row],[Type Received]]=3,"BILL","ACH")))</f>
        <v>BILL</v>
      </c>
      <c r="F3764" s="35">
        <v>63.95</v>
      </c>
      <c r="G3764" s="14" t="str">
        <f>VLOOKUP(D3764,Table4[],3,FALSE)</f>
        <v>1</v>
      </c>
      <c r="H3764" s="15">
        <v>163</v>
      </c>
      <c r="I3764" s="15"/>
      <c r="J3764" s="15"/>
      <c r="K3764" s="15"/>
      <c r="L3764" s="15"/>
      <c r="M3764" s="15" t="s">
        <v>29</v>
      </c>
    </row>
    <row r="3765" spans="1:13" x14ac:dyDescent="0.25">
      <c r="A3765" s="23">
        <f t="shared" si="178"/>
        <v>253114</v>
      </c>
      <c r="B3765" s="14" t="str">
        <f t="shared" si="179"/>
        <v>Billing - Credits (from TPA)</v>
      </c>
      <c r="C3765" s="37">
        <v>46147</v>
      </c>
      <c r="D3765" s="31">
        <v>253114</v>
      </c>
      <c r="E3765" s="33" t="str">
        <f>IF(Table3[[#This Row],[Type Received]]=2,"CC",(IF(Table3[[#This Row],[Type Received]]=3,"BILL","ACH")))</f>
        <v>BILL</v>
      </c>
      <c r="F3765" s="32">
        <v>91.89</v>
      </c>
      <c r="G3765" s="14" t="str">
        <f>VLOOKUP(D3765,Table4[],3,FALSE)</f>
        <v>1</v>
      </c>
      <c r="H3765" s="15">
        <v>75189838</v>
      </c>
      <c r="I3765" s="15"/>
      <c r="J3765" s="24"/>
      <c r="K3765" s="15"/>
      <c r="L3765" s="15"/>
      <c r="M3765" s="15"/>
    </row>
    <row r="3766" spans="1:13" x14ac:dyDescent="0.25">
      <c r="A3766" s="23">
        <f t="shared" si="178"/>
        <v>253122</v>
      </c>
      <c r="B3766" s="14" t="str">
        <f t="shared" si="179"/>
        <v>Credit Cards (UMB) - Credits</v>
      </c>
      <c r="C3766" s="38">
        <v>46153</v>
      </c>
      <c r="D3766" s="34">
        <v>253122</v>
      </c>
      <c r="E3766" s="36" t="str">
        <f>IF(Table3[[#This Row],[Type Received]]=2,"CC",(IF(Table3[[#This Row],[Type Received]]=3,"BILL","ACH")))</f>
        <v>CC</v>
      </c>
      <c r="F3766" s="35">
        <v>54.71</v>
      </c>
      <c r="G3766" s="14" t="str">
        <f>VLOOKUP(D3766,Table4[],3,FALSE)</f>
        <v>1</v>
      </c>
      <c r="H3766" s="15">
        <v>19826612316</v>
      </c>
      <c r="I3766" s="15"/>
      <c r="J3766" s="24"/>
      <c r="K3766" s="15"/>
      <c r="L3766" s="15"/>
      <c r="M3766" s="15"/>
    </row>
    <row r="3767" spans="1:13" x14ac:dyDescent="0.25">
      <c r="A3767" s="23">
        <f t="shared" si="178"/>
        <v>253127</v>
      </c>
      <c r="B3767" s="14" t="str">
        <f t="shared" si="179"/>
        <v>Direct Debit (UMB Bank) - Credits</v>
      </c>
      <c r="C3767" s="37">
        <v>46159</v>
      </c>
      <c r="D3767" s="31">
        <v>253127</v>
      </c>
      <c r="E3767" s="33" t="str">
        <f>IF(Table3[[#This Row],[Type Received]]=2,"CC",(IF(Table3[[#This Row],[Type Received]]=3,"BILL","ACH")))</f>
        <v>ACH</v>
      </c>
      <c r="F3767" s="32">
        <v>39.950000000000003</v>
      </c>
      <c r="G3767" s="14" t="str">
        <f>VLOOKUP(D3767,Table4[],3,FALSE)</f>
        <v>1</v>
      </c>
      <c r="H3767" s="15"/>
      <c r="I3767" s="15" t="s">
        <v>306</v>
      </c>
      <c r="J3767" s="15" t="s">
        <v>28</v>
      </c>
      <c r="K3767" s="15">
        <v>721674871</v>
      </c>
      <c r="L3767" s="15" t="s">
        <v>29</v>
      </c>
      <c r="M3767" s="15"/>
    </row>
    <row r="3768" spans="1:13" x14ac:dyDescent="0.25">
      <c r="A3768" s="23">
        <f t="shared" si="178"/>
        <v>253129</v>
      </c>
      <c r="B3768" s="14" t="str">
        <f t="shared" si="179"/>
        <v>Credit Cards (UMB) - Credits</v>
      </c>
      <c r="C3768" s="38">
        <v>46157</v>
      </c>
      <c r="D3768" s="34">
        <v>253129</v>
      </c>
      <c r="E3768" s="36" t="str">
        <f>IF(Table3[[#This Row],[Type Received]]=2,"CC",(IF(Table3[[#This Row],[Type Received]]=3,"BILL","ACH")))</f>
        <v>CC</v>
      </c>
      <c r="F3768" s="35">
        <v>52.93</v>
      </c>
      <c r="G3768" s="14" t="str">
        <f>VLOOKUP(D3768,Table4[],3,FALSE)</f>
        <v>1</v>
      </c>
      <c r="H3768" s="15"/>
      <c r="I3768" s="15"/>
      <c r="J3768" s="24" t="s">
        <v>87</v>
      </c>
      <c r="K3768" s="15">
        <v>696823924</v>
      </c>
      <c r="L3768" s="15" t="s">
        <v>29</v>
      </c>
      <c r="M3768" s="15" t="s">
        <v>29</v>
      </c>
    </row>
    <row r="3769" spans="1:13" x14ac:dyDescent="0.25">
      <c r="A3769" s="23">
        <f t="shared" si="178"/>
        <v>253159</v>
      </c>
      <c r="B3769" s="14" t="str">
        <f t="shared" si="179"/>
        <v>Credit Cards (UMB) - Credits</v>
      </c>
      <c r="C3769" s="37">
        <v>46170</v>
      </c>
      <c r="D3769" s="31">
        <v>253159</v>
      </c>
      <c r="E3769" s="33" t="str">
        <f>IF(Table3[[#This Row],[Type Received]]=2,"CC",(IF(Table3[[#This Row],[Type Received]]=3,"BILL","ACH")))</f>
        <v>CC</v>
      </c>
      <c r="F3769" s="32">
        <v>63.51</v>
      </c>
      <c r="G3769" s="14" t="str">
        <f>VLOOKUP(D3769,Table4[],3,FALSE)</f>
        <v>1</v>
      </c>
      <c r="H3769" s="15"/>
      <c r="I3769" s="15">
        <v>3829</v>
      </c>
      <c r="J3769" s="15" t="s">
        <v>28</v>
      </c>
      <c r="K3769" s="15">
        <v>855765910</v>
      </c>
      <c r="L3769" s="15" t="s">
        <v>29</v>
      </c>
      <c r="M3769" s="15"/>
    </row>
    <row r="3770" spans="1:13" x14ac:dyDescent="0.25">
      <c r="A3770" s="23">
        <f t="shared" si="178"/>
        <v>253159</v>
      </c>
      <c r="B3770" s="14" t="str">
        <f t="shared" si="179"/>
        <v>Credit Cards (UMB) - Credits</v>
      </c>
      <c r="C3770" s="38">
        <v>46155</v>
      </c>
      <c r="D3770" s="34">
        <v>253159</v>
      </c>
      <c r="E3770" s="36" t="str">
        <f>IF(Table3[[#This Row],[Type Received]]=2,"CC",(IF(Table3[[#This Row],[Type Received]]=3,"BILL","ACH")))</f>
        <v>CC</v>
      </c>
      <c r="F3770" s="35">
        <v>63.51</v>
      </c>
      <c r="G3770" s="14" t="str">
        <f>VLOOKUP(D3770,Table4[],3,FALSE)</f>
        <v>1</v>
      </c>
      <c r="H3770" s="15"/>
      <c r="I3770" s="15">
        <v>23705</v>
      </c>
      <c r="J3770" s="15" t="s">
        <v>28</v>
      </c>
      <c r="K3770" s="15">
        <v>670003571</v>
      </c>
      <c r="L3770" s="15" t="s">
        <v>29</v>
      </c>
      <c r="M3770" s="15" t="s">
        <v>29</v>
      </c>
    </row>
    <row r="3771" spans="1:13" x14ac:dyDescent="0.25">
      <c r="A3771" s="23">
        <f t="shared" si="178"/>
        <v>253160</v>
      </c>
      <c r="B3771" s="14" t="str">
        <f t="shared" si="179"/>
        <v>Direct Debit (UMB Bank) - Credits</v>
      </c>
      <c r="C3771" s="37">
        <v>46162</v>
      </c>
      <c r="D3771" s="31">
        <v>253160</v>
      </c>
      <c r="E3771" s="33" t="str">
        <f>IF(Table3[[#This Row],[Type Received]]=2,"CC",(IF(Table3[[#This Row],[Type Received]]=3,"BILL","ACH")))</f>
        <v>ACH</v>
      </c>
      <c r="F3771" s="32">
        <v>90.55</v>
      </c>
      <c r="G3771" s="14" t="str">
        <f>VLOOKUP(D3771,Table4[],3,FALSE)</f>
        <v>1</v>
      </c>
      <c r="H3771" s="15"/>
      <c r="I3771" s="15">
        <v>767069</v>
      </c>
      <c r="J3771" s="15" t="s">
        <v>28</v>
      </c>
      <c r="K3771" s="15">
        <v>762793298</v>
      </c>
      <c r="L3771" s="15" t="s">
        <v>29</v>
      </c>
      <c r="M3771" s="15" t="s">
        <v>29</v>
      </c>
    </row>
    <row r="3772" spans="1:13" x14ac:dyDescent="0.25">
      <c r="A3772" s="23">
        <f t="shared" si="178"/>
        <v>253168</v>
      </c>
      <c r="B3772" s="14" t="str">
        <f t="shared" si="179"/>
        <v>Direct Debit (UMB Bank) - Credits</v>
      </c>
      <c r="C3772" s="38">
        <v>46167</v>
      </c>
      <c r="D3772" s="34">
        <v>253168</v>
      </c>
      <c r="E3772" s="36" t="str">
        <f>IF(Table3[[#This Row],[Type Received]]=2,"CC",(IF(Table3[[#This Row],[Type Received]]=3,"BILL","ACH")))</f>
        <v>ACH</v>
      </c>
      <c r="F3772" s="35">
        <v>108.81</v>
      </c>
      <c r="G3772" s="14" t="str">
        <f>VLOOKUP(D3772,Table4[],3,FALSE)</f>
        <v>1</v>
      </c>
      <c r="H3772" s="15"/>
      <c r="I3772" s="15"/>
      <c r="J3772" s="15" t="s">
        <v>85</v>
      </c>
      <c r="K3772" s="15">
        <v>818407432</v>
      </c>
      <c r="L3772" s="15" t="s">
        <v>29</v>
      </c>
      <c r="M3772" s="15" t="s">
        <v>29</v>
      </c>
    </row>
    <row r="3773" spans="1:13" x14ac:dyDescent="0.25">
      <c r="A3773" s="23">
        <f t="shared" si="178"/>
        <v>253170</v>
      </c>
      <c r="B3773" s="14" t="str">
        <f t="shared" si="179"/>
        <v>Direct Debit (UMB Bank) - Credits</v>
      </c>
      <c r="C3773" s="37">
        <v>46143</v>
      </c>
      <c r="D3773" s="31">
        <v>253170</v>
      </c>
      <c r="E3773" s="33" t="str">
        <f>IF(Table3[[#This Row],[Type Received]]=2,"CC",(IF(Table3[[#This Row],[Type Received]]=3,"BILL","ACH")))</f>
        <v>ACH</v>
      </c>
      <c r="F3773" s="32">
        <v>117.61</v>
      </c>
      <c r="G3773" s="14" t="str">
        <f>VLOOKUP(D3773,Table4[],3,FALSE)</f>
        <v>1</v>
      </c>
      <c r="H3773" s="15"/>
      <c r="I3773" s="15"/>
      <c r="J3773" s="15" t="s">
        <v>84</v>
      </c>
      <c r="K3773" s="15">
        <v>522271464</v>
      </c>
      <c r="L3773" s="15" t="s">
        <v>29</v>
      </c>
      <c r="M3773" s="15" t="s">
        <v>29</v>
      </c>
    </row>
    <row r="3774" spans="1:13" x14ac:dyDescent="0.25">
      <c r="A3774" s="23">
        <f t="shared" si="178"/>
        <v>253175</v>
      </c>
      <c r="B3774" s="14" t="str">
        <f t="shared" si="179"/>
        <v>Direct Debit (UMB Bank) - Credits</v>
      </c>
      <c r="C3774" s="38">
        <v>46144</v>
      </c>
      <c r="D3774" s="34">
        <v>253175</v>
      </c>
      <c r="E3774" s="36" t="str">
        <f>IF(Table3[[#This Row],[Type Received]]=2,"CC",(IF(Table3[[#This Row],[Type Received]]=3,"BILL","ACH")))</f>
        <v>ACH</v>
      </c>
      <c r="F3774" s="35">
        <v>50.73</v>
      </c>
      <c r="G3774" s="14" t="str">
        <f>VLOOKUP(D3774,Table4[],3,FALSE)</f>
        <v>1</v>
      </c>
      <c r="H3774" s="15"/>
      <c r="I3774" s="15"/>
      <c r="J3774" s="24" t="s">
        <v>89</v>
      </c>
      <c r="K3774" s="15">
        <v>535418952</v>
      </c>
      <c r="L3774" s="15" t="s">
        <v>29</v>
      </c>
      <c r="M3774" s="15"/>
    </row>
    <row r="3775" spans="1:13" x14ac:dyDescent="0.25">
      <c r="A3775" s="23">
        <f t="shared" si="178"/>
        <v>253181</v>
      </c>
      <c r="B3775" s="14" t="str">
        <f t="shared" si="179"/>
        <v>Direct Debit (UMB Bank) - Credits</v>
      </c>
      <c r="C3775" s="37">
        <v>46144</v>
      </c>
      <c r="D3775" s="31">
        <v>253181</v>
      </c>
      <c r="E3775" s="33" t="str">
        <f>IF(Table3[[#This Row],[Type Received]]=2,"CC",(IF(Table3[[#This Row],[Type Received]]=3,"BILL","ACH")))</f>
        <v>ACH</v>
      </c>
      <c r="F3775" s="32">
        <v>34.67</v>
      </c>
      <c r="G3775" s="14" t="str">
        <f>VLOOKUP(D3775,Table4[],3,FALSE)</f>
        <v>1</v>
      </c>
      <c r="H3775" s="15"/>
      <c r="I3775" s="15"/>
      <c r="J3775" s="15" t="s">
        <v>89</v>
      </c>
      <c r="K3775" s="15">
        <v>535440128</v>
      </c>
      <c r="L3775" s="15" t="s">
        <v>29</v>
      </c>
      <c r="M3775" s="15" t="s">
        <v>29</v>
      </c>
    </row>
    <row r="3776" spans="1:13" x14ac:dyDescent="0.25">
      <c r="A3776" s="23">
        <f t="shared" si="178"/>
        <v>253183</v>
      </c>
      <c r="B3776" s="14" t="str">
        <f t="shared" si="179"/>
        <v>Direct Debit (UMB Bank) - Credits</v>
      </c>
      <c r="C3776" s="38">
        <v>46143</v>
      </c>
      <c r="D3776" s="34">
        <v>253183</v>
      </c>
      <c r="E3776" s="36" t="str">
        <f>IF(Table3[[#This Row],[Type Received]]=2,"CC",(IF(Table3[[#This Row],[Type Received]]=3,"BILL","ACH")))</f>
        <v>ACH</v>
      </c>
      <c r="F3776" s="35">
        <v>66.150000000000006</v>
      </c>
      <c r="G3776" s="14" t="str">
        <f>VLOOKUP(D3776,Table4[],3,FALSE)</f>
        <v>2</v>
      </c>
      <c r="H3776" s="15"/>
      <c r="I3776" s="15"/>
      <c r="J3776" s="15" t="s">
        <v>84</v>
      </c>
      <c r="K3776" s="15">
        <v>524141482</v>
      </c>
      <c r="L3776" s="15" t="s">
        <v>29</v>
      </c>
      <c r="M3776" s="15" t="s">
        <v>29</v>
      </c>
    </row>
    <row r="3777" spans="1:13" x14ac:dyDescent="0.25">
      <c r="A3777" s="23">
        <f t="shared" si="178"/>
        <v>253212</v>
      </c>
      <c r="B3777" s="14" t="str">
        <f t="shared" si="179"/>
        <v>Direct Debit (UMB Bank) - Credits</v>
      </c>
      <c r="C3777" s="37">
        <v>46157</v>
      </c>
      <c r="D3777" s="31">
        <v>253212</v>
      </c>
      <c r="E3777" s="33" t="str">
        <f>IF(Table3[[#This Row],[Type Received]]=2,"CC",(IF(Table3[[#This Row],[Type Received]]=3,"BILL","ACH")))</f>
        <v>ACH</v>
      </c>
      <c r="F3777" s="32">
        <v>147.97</v>
      </c>
      <c r="G3777" s="14" t="str">
        <f>VLOOKUP(D3777,Table4[],3,FALSE)</f>
        <v>2</v>
      </c>
      <c r="H3777" s="15"/>
      <c r="I3777" s="15"/>
      <c r="J3777" s="15" t="s">
        <v>87</v>
      </c>
      <c r="K3777" s="15">
        <v>696820008</v>
      </c>
      <c r="L3777" s="15" t="s">
        <v>29</v>
      </c>
      <c r="M3777" s="15" t="s">
        <v>29</v>
      </c>
    </row>
    <row r="3778" spans="1:13" x14ac:dyDescent="0.25">
      <c r="A3778" s="23">
        <f t="shared" si="178"/>
        <v>253226</v>
      </c>
      <c r="B3778" s="14" t="str">
        <f t="shared" si="179"/>
        <v>Direct Debit (UMB Bank) - Credits</v>
      </c>
      <c r="C3778" s="38">
        <v>46144</v>
      </c>
      <c r="D3778" s="34">
        <v>253226</v>
      </c>
      <c r="E3778" s="36" t="str">
        <f>IF(Table3[[#This Row],[Type Received]]=2,"CC",(IF(Table3[[#This Row],[Type Received]]=3,"BILL","ACH")))</f>
        <v>ACH</v>
      </c>
      <c r="F3778" s="35">
        <v>41.93</v>
      </c>
      <c r="G3778" s="14" t="str">
        <f>VLOOKUP(D3778,Table4[],3,FALSE)</f>
        <v>1</v>
      </c>
      <c r="H3778" s="15"/>
      <c r="I3778" s="15"/>
      <c r="J3778" s="15" t="s">
        <v>89</v>
      </c>
      <c r="K3778" s="15">
        <v>535427608</v>
      </c>
      <c r="L3778" s="15" t="s">
        <v>29</v>
      </c>
      <c r="M3778" s="15"/>
    </row>
    <row r="3779" spans="1:13" x14ac:dyDescent="0.25">
      <c r="A3779" s="23">
        <f t="shared" si="178"/>
        <v>253230</v>
      </c>
      <c r="B3779" s="14" t="str">
        <f t="shared" si="179"/>
        <v>Billing - Credits (from TPA)</v>
      </c>
      <c r="C3779" s="37">
        <v>46157</v>
      </c>
      <c r="D3779" s="31">
        <v>253230</v>
      </c>
      <c r="E3779" s="33" t="str">
        <f>IF(Table3[[#This Row],[Type Received]]=2,"CC",(IF(Table3[[#This Row],[Type Received]]=3,"BILL","ACH")))</f>
        <v>BILL</v>
      </c>
      <c r="F3779" s="32">
        <v>48.97</v>
      </c>
      <c r="G3779" s="14" t="str">
        <f>VLOOKUP(D3779,Table4[],3,FALSE)</f>
        <v>2</v>
      </c>
      <c r="H3779" s="15"/>
      <c r="I3779" s="15"/>
      <c r="J3779" s="15" t="s">
        <v>87</v>
      </c>
      <c r="K3779" s="15">
        <v>696833627</v>
      </c>
      <c r="L3779" s="15" t="s">
        <v>29</v>
      </c>
      <c r="M3779" s="15"/>
    </row>
    <row r="3780" spans="1:13" x14ac:dyDescent="0.25">
      <c r="A3780" s="23">
        <f t="shared" si="178"/>
        <v>253247</v>
      </c>
      <c r="B3780" s="14" t="str">
        <f t="shared" si="179"/>
        <v>Credit Cards (UMB) - Credits</v>
      </c>
      <c r="C3780" s="38">
        <v>46164</v>
      </c>
      <c r="D3780" s="34">
        <v>253247</v>
      </c>
      <c r="E3780" s="36" t="str">
        <f>IF(Table3[[#This Row],[Type Received]]=2,"CC",(IF(Table3[[#This Row],[Type Received]]=3,"BILL","ACH")))</f>
        <v>CC</v>
      </c>
      <c r="F3780" s="35">
        <v>55</v>
      </c>
      <c r="G3780" s="14" t="str">
        <f>VLOOKUP(D3780,Table4[],3,FALSE)</f>
        <v>2</v>
      </c>
      <c r="H3780" s="15">
        <v>2009</v>
      </c>
      <c r="I3780" s="15"/>
      <c r="J3780" s="15"/>
      <c r="K3780" s="15"/>
      <c r="L3780" s="15"/>
      <c r="M3780" s="15" t="s">
        <v>29</v>
      </c>
    </row>
    <row r="3781" spans="1:13" x14ac:dyDescent="0.25">
      <c r="A3781" s="23">
        <f t="shared" si="178"/>
        <v>253253</v>
      </c>
      <c r="B3781" s="14" t="str">
        <f t="shared" si="179"/>
        <v>Direct Debit (UMB Bank) - Credits</v>
      </c>
      <c r="C3781" s="37">
        <v>46155</v>
      </c>
      <c r="D3781" s="31">
        <v>253253</v>
      </c>
      <c r="E3781" s="33" t="str">
        <f>IF(Table3[[#This Row],[Type Received]]=2,"CC",(IF(Table3[[#This Row],[Type Received]]=3,"BILL","ACH")))</f>
        <v>ACH</v>
      </c>
      <c r="F3781" s="32">
        <v>127.84</v>
      </c>
      <c r="G3781" s="14" t="str">
        <f>VLOOKUP(D3781,Table4[],3,FALSE)</f>
        <v>2</v>
      </c>
      <c r="H3781" s="15"/>
      <c r="I3781" s="15" t="s">
        <v>307</v>
      </c>
      <c r="J3781" s="15" t="s">
        <v>28</v>
      </c>
      <c r="K3781" s="15">
        <v>669499818</v>
      </c>
      <c r="L3781" s="15" t="s">
        <v>29</v>
      </c>
      <c r="M3781" s="15"/>
    </row>
    <row r="3782" spans="1:13" x14ac:dyDescent="0.25">
      <c r="A3782" s="23">
        <f t="shared" si="178"/>
        <v>253255</v>
      </c>
      <c r="B3782" s="14" t="str">
        <f t="shared" si="179"/>
        <v>Direct Debit (UMB Bank) - Credits</v>
      </c>
      <c r="C3782" s="38">
        <v>46157</v>
      </c>
      <c r="D3782" s="34">
        <v>253255</v>
      </c>
      <c r="E3782" s="36" t="str">
        <f>IF(Table3[[#This Row],[Type Received]]=2,"CC",(IF(Table3[[#This Row],[Type Received]]=3,"BILL","ACH")))</f>
        <v>ACH</v>
      </c>
      <c r="F3782" s="35">
        <v>56.23</v>
      </c>
      <c r="G3782" s="14" t="str">
        <f>VLOOKUP(D3782,Table4[],3,FALSE)</f>
        <v>2</v>
      </c>
      <c r="H3782" s="15"/>
      <c r="I3782" s="15"/>
      <c r="J3782" s="15" t="s">
        <v>87</v>
      </c>
      <c r="K3782" s="15">
        <v>696835666</v>
      </c>
      <c r="L3782" s="15" t="s">
        <v>29</v>
      </c>
      <c r="M3782" s="15"/>
    </row>
    <row r="3783" spans="1:13" x14ac:dyDescent="0.25">
      <c r="A3783" s="23">
        <f t="shared" si="178"/>
        <v>253256</v>
      </c>
      <c r="B3783" s="14" t="str">
        <f t="shared" si="179"/>
        <v>Direct Debit (UMB Bank) - Credits</v>
      </c>
      <c r="C3783" s="37">
        <v>46144</v>
      </c>
      <c r="D3783" s="31">
        <v>253256</v>
      </c>
      <c r="E3783" s="33" t="str">
        <f>IF(Table3[[#This Row],[Type Received]]=2,"CC",(IF(Table3[[#This Row],[Type Received]]=3,"BILL","ACH")))</f>
        <v>ACH</v>
      </c>
      <c r="F3783" s="32">
        <v>52.6</v>
      </c>
      <c r="G3783" s="14" t="str">
        <f>VLOOKUP(D3783,Table4[],3,FALSE)</f>
        <v>2</v>
      </c>
      <c r="H3783" s="15"/>
      <c r="I3783" s="15"/>
      <c r="J3783" s="15" t="s">
        <v>89</v>
      </c>
      <c r="K3783" s="15">
        <v>535422827</v>
      </c>
      <c r="L3783" s="15" t="s">
        <v>29</v>
      </c>
      <c r="M3783" s="15" t="s">
        <v>29</v>
      </c>
    </row>
    <row r="3784" spans="1:13" x14ac:dyDescent="0.25">
      <c r="A3784" s="23">
        <f t="shared" si="178"/>
        <v>253300</v>
      </c>
      <c r="B3784" s="14" t="str">
        <f t="shared" si="179"/>
        <v>Billing - Credits (from TPA)</v>
      </c>
      <c r="C3784" s="38">
        <v>46144</v>
      </c>
      <c r="D3784" s="34">
        <v>253300</v>
      </c>
      <c r="E3784" s="36" t="str">
        <f>IF(Table3[[#This Row],[Type Received]]=2,"CC",(IF(Table3[[#This Row],[Type Received]]=3,"BILL","ACH")))</f>
        <v>BILL</v>
      </c>
      <c r="F3784" s="35">
        <v>95.5</v>
      </c>
      <c r="G3784" s="14" t="str">
        <f>VLOOKUP(D3784,Table4[],3,FALSE)</f>
        <v>2</v>
      </c>
      <c r="H3784" s="15"/>
      <c r="I3784" s="15"/>
      <c r="J3784" s="15" t="s">
        <v>89</v>
      </c>
      <c r="K3784" s="15">
        <v>535415071</v>
      </c>
      <c r="L3784" s="15" t="s">
        <v>29</v>
      </c>
      <c r="M3784" s="15" t="s">
        <v>29</v>
      </c>
    </row>
    <row r="3785" spans="1:13" x14ac:dyDescent="0.25">
      <c r="A3785" s="23">
        <f t="shared" si="178"/>
        <v>253307</v>
      </c>
      <c r="B3785" s="14" t="str">
        <f t="shared" si="179"/>
        <v>Billing - Credits (from TPA)</v>
      </c>
      <c r="C3785" s="37">
        <v>46169</v>
      </c>
      <c r="D3785" s="31">
        <v>253307</v>
      </c>
      <c r="E3785" s="33" t="str">
        <f>IF(Table3[[#This Row],[Type Received]]=2,"CC",(IF(Table3[[#This Row],[Type Received]]=3,"BILL","ACH")))</f>
        <v>BILL</v>
      </c>
      <c r="F3785" s="32">
        <v>155</v>
      </c>
      <c r="G3785" s="14" t="str">
        <f>VLOOKUP(D3785,Table4[],3,FALSE)</f>
        <v>1</v>
      </c>
      <c r="H3785" s="15">
        <v>8726</v>
      </c>
      <c r="I3785" s="15"/>
      <c r="J3785" s="15"/>
      <c r="K3785" s="15"/>
      <c r="L3785" s="15"/>
      <c r="M3785" s="15" t="s">
        <v>29</v>
      </c>
    </row>
    <row r="3786" spans="1:13" x14ac:dyDescent="0.25">
      <c r="A3786" s="23">
        <f t="shared" si="178"/>
        <v>253315</v>
      </c>
      <c r="B3786" s="14" t="str">
        <f t="shared" si="179"/>
        <v>Direct Debit (UMB Bank) - Credits</v>
      </c>
      <c r="C3786" s="38">
        <v>46168</v>
      </c>
      <c r="D3786" s="34">
        <v>253315</v>
      </c>
      <c r="E3786" s="36" t="str">
        <f>IF(Table3[[#This Row],[Type Received]]=2,"CC",(IF(Table3[[#This Row],[Type Received]]=3,"BILL","ACH")))</f>
        <v>ACH</v>
      </c>
      <c r="F3786" s="35">
        <v>103.77</v>
      </c>
      <c r="G3786" s="14" t="str">
        <f>VLOOKUP(D3786,Table4[],3,FALSE)</f>
        <v>2</v>
      </c>
      <c r="H3786" s="15">
        <v>2788</v>
      </c>
      <c r="I3786" s="15"/>
      <c r="J3786" s="15"/>
      <c r="K3786" s="15"/>
      <c r="L3786" s="15"/>
      <c r="M3786" s="15"/>
    </row>
    <row r="3787" spans="1:13" x14ac:dyDescent="0.25">
      <c r="A3787" s="23">
        <f t="shared" si="178"/>
        <v>253329</v>
      </c>
      <c r="B3787" s="14" t="str">
        <f t="shared" si="179"/>
        <v>Direct Debit (UMB Bank) - Credits</v>
      </c>
      <c r="C3787" s="37">
        <v>46157</v>
      </c>
      <c r="D3787" s="31">
        <v>253329</v>
      </c>
      <c r="E3787" s="33" t="str">
        <f>IF(Table3[[#This Row],[Type Received]]=2,"CC",(IF(Table3[[#This Row],[Type Received]]=3,"BILL","ACH")))</f>
        <v>ACH</v>
      </c>
      <c r="F3787" s="32">
        <v>54.91</v>
      </c>
      <c r="G3787" s="14" t="str">
        <f>VLOOKUP(D3787,Table4[],3,FALSE)</f>
        <v>2</v>
      </c>
      <c r="H3787" s="15"/>
      <c r="I3787" s="15"/>
      <c r="J3787" s="15" t="s">
        <v>87</v>
      </c>
      <c r="K3787" s="15">
        <v>696841362</v>
      </c>
      <c r="L3787" s="15" t="s">
        <v>29</v>
      </c>
      <c r="M3787" s="15"/>
    </row>
    <row r="3788" spans="1:13" x14ac:dyDescent="0.25">
      <c r="A3788" s="23">
        <f t="shared" si="178"/>
        <v>253330</v>
      </c>
      <c r="B3788" s="14" t="str">
        <f t="shared" si="179"/>
        <v>Billing - Credits (from TPA)</v>
      </c>
      <c r="C3788" s="38">
        <v>46167</v>
      </c>
      <c r="D3788" s="34">
        <v>253330</v>
      </c>
      <c r="E3788" s="36" t="str">
        <f>IF(Table3[[#This Row],[Type Received]]=2,"CC",(IF(Table3[[#This Row],[Type Received]]=3,"BILL","ACH")))</f>
        <v>BILL</v>
      </c>
      <c r="F3788" s="35">
        <v>96.49</v>
      </c>
      <c r="G3788" s="14" t="str">
        <f>VLOOKUP(D3788,Table4[],3,FALSE)</f>
        <v>2</v>
      </c>
      <c r="H3788" s="15"/>
      <c r="I3788" s="15"/>
      <c r="J3788" s="15" t="s">
        <v>85</v>
      </c>
      <c r="K3788" s="15">
        <v>818409401</v>
      </c>
      <c r="L3788" s="15" t="s">
        <v>29</v>
      </c>
      <c r="M3788" s="15"/>
    </row>
    <row r="3789" spans="1:13" x14ac:dyDescent="0.25">
      <c r="A3789" s="23">
        <f t="shared" si="178"/>
        <v>253334</v>
      </c>
      <c r="B3789" s="14" t="str">
        <f t="shared" si="179"/>
        <v>Billing - Credits (from TPA)</v>
      </c>
      <c r="C3789" s="37">
        <v>46170</v>
      </c>
      <c r="D3789" s="31">
        <v>253334</v>
      </c>
      <c r="E3789" s="33" t="str">
        <f>IF(Table3[[#This Row],[Type Received]]=2,"CC",(IF(Table3[[#This Row],[Type Received]]=3,"BILL","ACH")))</f>
        <v>BILL</v>
      </c>
      <c r="F3789" s="32">
        <v>401.38</v>
      </c>
      <c r="G3789" s="14" t="str">
        <f>VLOOKUP(D3789,Table4[],3,FALSE)</f>
        <v>2</v>
      </c>
      <c r="H3789" s="15">
        <v>5057</v>
      </c>
      <c r="I3789" s="15"/>
      <c r="J3789" s="15"/>
      <c r="K3789" s="15"/>
      <c r="L3789" s="15"/>
      <c r="M3789" s="15" t="s">
        <v>29</v>
      </c>
    </row>
    <row r="3790" spans="1:13" x14ac:dyDescent="0.25">
      <c r="A3790" s="23">
        <f t="shared" si="178"/>
        <v>253341</v>
      </c>
      <c r="B3790" s="14" t="str">
        <f t="shared" si="179"/>
        <v>Direct Debit (UMB Bank) - Credits</v>
      </c>
      <c r="C3790" s="38">
        <v>46169</v>
      </c>
      <c r="D3790" s="34">
        <v>253341</v>
      </c>
      <c r="E3790" s="36" t="str">
        <f>IF(Table3[[#This Row],[Type Received]]=2,"CC",(IF(Table3[[#This Row],[Type Received]]=3,"BILL","ACH")))</f>
        <v>ACH</v>
      </c>
      <c r="F3790" s="35">
        <v>32.71</v>
      </c>
      <c r="G3790" s="14" t="str">
        <f>VLOOKUP(D3790,Table4[],3,FALSE)</f>
        <v>1</v>
      </c>
      <c r="H3790" s="15">
        <v>3599</v>
      </c>
      <c r="I3790" s="15"/>
      <c r="J3790" s="15"/>
      <c r="K3790" s="15"/>
      <c r="L3790" s="15"/>
      <c r="M3790" s="15"/>
    </row>
    <row r="3791" spans="1:13" x14ac:dyDescent="0.25">
      <c r="A3791" s="23">
        <f t="shared" si="178"/>
        <v>253342</v>
      </c>
      <c r="B3791" s="14" t="str">
        <f t="shared" si="179"/>
        <v>Direct Debit (UMB Bank) - Credits</v>
      </c>
      <c r="C3791" s="37">
        <v>46160</v>
      </c>
      <c r="D3791" s="31">
        <v>253342</v>
      </c>
      <c r="E3791" s="33" t="str">
        <f>IF(Table3[[#This Row],[Type Received]]=2,"CC",(IF(Table3[[#This Row],[Type Received]]=3,"BILL","ACH")))</f>
        <v>ACH</v>
      </c>
      <c r="F3791" s="32">
        <v>47.43</v>
      </c>
      <c r="G3791" s="14" t="str">
        <f>VLOOKUP(D3791,Table4[],3,FALSE)</f>
        <v>1</v>
      </c>
      <c r="H3791" s="15"/>
      <c r="I3791" s="15"/>
      <c r="J3791" s="15" t="s">
        <v>192</v>
      </c>
      <c r="K3791" s="15">
        <v>732348769</v>
      </c>
      <c r="L3791" s="15" t="s">
        <v>29</v>
      </c>
      <c r="M3791" s="15" t="s">
        <v>29</v>
      </c>
    </row>
    <row r="3792" spans="1:13" x14ac:dyDescent="0.25">
      <c r="A3792" s="23">
        <f t="shared" si="178"/>
        <v>253343</v>
      </c>
      <c r="B3792" s="14" t="str">
        <f t="shared" si="179"/>
        <v>Direct Debit (UMB Bank) - Credits</v>
      </c>
      <c r="C3792" s="38">
        <v>46144</v>
      </c>
      <c r="D3792" s="34">
        <v>253343</v>
      </c>
      <c r="E3792" s="36" t="str">
        <f>IF(Table3[[#This Row],[Type Received]]=2,"CC",(IF(Table3[[#This Row],[Type Received]]=3,"BILL","ACH")))</f>
        <v>ACH</v>
      </c>
      <c r="F3792" s="35">
        <v>105.07</v>
      </c>
      <c r="G3792" s="14" t="str">
        <f>VLOOKUP(D3792,Table4[],3,FALSE)</f>
        <v>2</v>
      </c>
      <c r="H3792" s="15"/>
      <c r="I3792" s="15"/>
      <c r="J3792" s="15" t="s">
        <v>89</v>
      </c>
      <c r="K3792" s="15">
        <v>535418992</v>
      </c>
      <c r="L3792" s="15" t="s">
        <v>29</v>
      </c>
      <c r="M3792" s="15"/>
    </row>
    <row r="3793" spans="1:13" x14ac:dyDescent="0.25">
      <c r="A3793" s="23">
        <f t="shared" si="178"/>
        <v>253347</v>
      </c>
      <c r="B3793" s="14" t="str">
        <f t="shared" si="179"/>
        <v>Billing - Credits (from TPA)</v>
      </c>
      <c r="C3793" s="37">
        <v>46167</v>
      </c>
      <c r="D3793" s="31">
        <v>253347</v>
      </c>
      <c r="E3793" s="33" t="str">
        <f>IF(Table3[[#This Row],[Type Received]]=2,"CC",(IF(Table3[[#This Row],[Type Received]]=3,"BILL","ACH")))</f>
        <v>BILL</v>
      </c>
      <c r="F3793" s="32">
        <v>82.63</v>
      </c>
      <c r="G3793" s="14" t="str">
        <f>VLOOKUP(D3793,Table4[],3,FALSE)</f>
        <v>2</v>
      </c>
      <c r="H3793" s="15"/>
      <c r="I3793" s="15"/>
      <c r="J3793" s="15" t="s">
        <v>85</v>
      </c>
      <c r="K3793" s="15">
        <v>818389033</v>
      </c>
      <c r="L3793" s="15" t="s">
        <v>29</v>
      </c>
      <c r="M3793" s="15"/>
    </row>
    <row r="3794" spans="1:13" x14ac:dyDescent="0.25">
      <c r="A3794" s="23">
        <f t="shared" si="178"/>
        <v>253351</v>
      </c>
      <c r="B3794" s="14" t="str">
        <f t="shared" si="179"/>
        <v>Direct Debit (UMB Bank) - Credits</v>
      </c>
      <c r="C3794" s="38">
        <v>46150</v>
      </c>
      <c r="D3794" s="34">
        <v>253351</v>
      </c>
      <c r="E3794" s="36" t="str">
        <f>IF(Table3[[#This Row],[Type Received]]=2,"CC",(IF(Table3[[#This Row],[Type Received]]=3,"BILL","ACH")))</f>
        <v>ACH</v>
      </c>
      <c r="F3794" s="35">
        <v>112.02</v>
      </c>
      <c r="G3794" s="14" t="str">
        <f>VLOOKUP(D3794,Table4[],3,FALSE)</f>
        <v>2</v>
      </c>
      <c r="H3794" s="15">
        <v>57918821</v>
      </c>
      <c r="I3794" s="15"/>
      <c r="J3794" s="15"/>
      <c r="K3794" s="15"/>
      <c r="L3794" s="15"/>
      <c r="M3794" s="15" t="s">
        <v>29</v>
      </c>
    </row>
    <row r="3795" spans="1:13" x14ac:dyDescent="0.25">
      <c r="A3795" s="23">
        <f t="shared" ref="A3795:A3826" si="180">D3795</f>
        <v>253363</v>
      </c>
      <c r="B3795" s="14" t="str">
        <f t="shared" si="179"/>
        <v>Direct Debit (UMB Bank) - Credits</v>
      </c>
      <c r="C3795" s="37">
        <v>46157</v>
      </c>
      <c r="D3795" s="31">
        <v>253363</v>
      </c>
      <c r="E3795" s="33" t="str">
        <f>IF(Table3[[#This Row],[Type Received]]=2,"CC",(IF(Table3[[#This Row],[Type Received]]=3,"BILL","ACH")))</f>
        <v>ACH</v>
      </c>
      <c r="F3795" s="32">
        <v>33.79</v>
      </c>
      <c r="G3795" s="14" t="str">
        <f>VLOOKUP(D3795,Table4[],3,FALSE)</f>
        <v>2</v>
      </c>
      <c r="H3795" s="15"/>
      <c r="I3795" s="15"/>
      <c r="J3795" s="15" t="s">
        <v>87</v>
      </c>
      <c r="K3795" s="15">
        <v>696837612</v>
      </c>
      <c r="L3795" s="15" t="s">
        <v>29</v>
      </c>
      <c r="M3795" s="15" t="s">
        <v>29</v>
      </c>
    </row>
    <row r="3796" spans="1:13" x14ac:dyDescent="0.25">
      <c r="A3796" s="23">
        <f t="shared" si="180"/>
        <v>253364</v>
      </c>
      <c r="B3796" s="14" t="str">
        <f t="shared" si="179"/>
        <v>Direct Debit (UMB Bank) - Credits</v>
      </c>
      <c r="C3796" s="38">
        <v>46168</v>
      </c>
      <c r="D3796" s="34">
        <v>253364</v>
      </c>
      <c r="E3796" s="36" t="str">
        <f>IF(Table3[[#This Row],[Type Received]]=2,"CC",(IF(Table3[[#This Row],[Type Received]]=3,"BILL","ACH")))</f>
        <v>ACH</v>
      </c>
      <c r="F3796" s="35">
        <v>98.8</v>
      </c>
      <c r="G3796" s="14" t="str">
        <f>VLOOKUP(D3796,Table4[],3,FALSE)</f>
        <v>2</v>
      </c>
      <c r="H3796" s="15"/>
      <c r="I3796" s="15"/>
      <c r="J3796" s="15" t="s">
        <v>110</v>
      </c>
      <c r="K3796" s="15">
        <v>828231305</v>
      </c>
      <c r="L3796" s="15" t="s">
        <v>29</v>
      </c>
      <c r="M3796" s="15"/>
    </row>
    <row r="3797" spans="1:13" x14ac:dyDescent="0.25">
      <c r="A3797" s="23">
        <f t="shared" si="180"/>
        <v>253365</v>
      </c>
      <c r="B3797" s="14" t="str">
        <f t="shared" si="179"/>
        <v>Direct Debit (UMB Bank) - Credits</v>
      </c>
      <c r="C3797" s="37">
        <v>46144</v>
      </c>
      <c r="D3797" s="31">
        <v>253365</v>
      </c>
      <c r="E3797" s="33" t="str">
        <f>IF(Table3[[#This Row],[Type Received]]=2,"CC",(IF(Table3[[#This Row],[Type Received]]=3,"BILL","ACH")))</f>
        <v>ACH</v>
      </c>
      <c r="F3797" s="32">
        <v>102.43</v>
      </c>
      <c r="G3797" s="14" t="str">
        <f>VLOOKUP(D3797,Table4[],3,FALSE)</f>
        <v>2</v>
      </c>
      <c r="H3797" s="15"/>
      <c r="I3797" s="15"/>
      <c r="J3797" s="15" t="s">
        <v>89</v>
      </c>
      <c r="K3797" s="15">
        <v>535440176</v>
      </c>
      <c r="L3797" s="15" t="s">
        <v>29</v>
      </c>
      <c r="M3797" s="15"/>
    </row>
    <row r="3798" spans="1:13" x14ac:dyDescent="0.25">
      <c r="A3798" s="23">
        <f t="shared" si="180"/>
        <v>253378</v>
      </c>
      <c r="B3798" s="14" t="str">
        <f t="shared" si="179"/>
        <v>Direct Debit (UMB Bank) - Credits</v>
      </c>
      <c r="C3798" s="38">
        <v>46144</v>
      </c>
      <c r="D3798" s="34">
        <v>253378</v>
      </c>
      <c r="E3798" s="36" t="str">
        <f>IF(Table3[[#This Row],[Type Received]]=2,"CC",(IF(Table3[[#This Row],[Type Received]]=3,"BILL","ACH")))</f>
        <v>ACH</v>
      </c>
      <c r="F3798" s="35">
        <v>80.650000000000006</v>
      </c>
      <c r="G3798" s="14" t="str">
        <f>VLOOKUP(D3798,Table4[],3,FALSE)</f>
        <v>1</v>
      </c>
      <c r="H3798" s="15"/>
      <c r="I3798" s="15"/>
      <c r="J3798" s="15" t="s">
        <v>89</v>
      </c>
      <c r="K3798" s="15">
        <v>535437258</v>
      </c>
      <c r="L3798" s="15" t="s">
        <v>29</v>
      </c>
      <c r="M3798" s="15"/>
    </row>
    <row r="3799" spans="1:13" x14ac:dyDescent="0.25">
      <c r="A3799" s="23">
        <f t="shared" si="180"/>
        <v>253383</v>
      </c>
      <c r="B3799" s="14" t="str">
        <f t="shared" si="179"/>
        <v>Credit Cards (UMB) - Credits</v>
      </c>
      <c r="C3799" s="37">
        <v>46155</v>
      </c>
      <c r="D3799" s="31">
        <v>253383</v>
      </c>
      <c r="E3799" s="33" t="str">
        <f>IF(Table3[[#This Row],[Type Received]]=2,"CC",(IF(Table3[[#This Row],[Type Received]]=3,"BILL","ACH")))</f>
        <v>CC</v>
      </c>
      <c r="F3799" s="32">
        <v>99.46</v>
      </c>
      <c r="G3799" s="14" t="str">
        <f>VLOOKUP(D3799,Table4[],3,FALSE)</f>
        <v>2</v>
      </c>
      <c r="H3799" s="15"/>
      <c r="I3799" s="15"/>
      <c r="J3799" s="15" t="s">
        <v>90</v>
      </c>
      <c r="K3799" s="15">
        <v>669443847</v>
      </c>
      <c r="L3799" s="15" t="s">
        <v>29</v>
      </c>
      <c r="M3799" s="15"/>
    </row>
    <row r="3800" spans="1:13" x14ac:dyDescent="0.25">
      <c r="A3800" s="23">
        <f t="shared" si="180"/>
        <v>253392</v>
      </c>
      <c r="B3800" s="14" t="str">
        <f t="shared" si="179"/>
        <v>Billing - Credits (from TPA)</v>
      </c>
      <c r="C3800" s="38">
        <v>46143</v>
      </c>
      <c r="D3800" s="34">
        <v>253392</v>
      </c>
      <c r="E3800" s="36" t="str">
        <f>IF(Table3[[#This Row],[Type Received]]=2,"CC",(IF(Table3[[#This Row],[Type Received]]=3,"BILL","ACH")))</f>
        <v>BILL</v>
      </c>
      <c r="F3800" s="35">
        <v>164.16</v>
      </c>
      <c r="G3800" s="14" t="str">
        <f>VLOOKUP(D3800,Table4[],3,FALSE)</f>
        <v>2</v>
      </c>
      <c r="H3800" s="15"/>
      <c r="I3800" s="15" t="s">
        <v>308</v>
      </c>
      <c r="J3800" s="15">
        <v>741374152</v>
      </c>
      <c r="K3800" s="15">
        <v>353219141</v>
      </c>
      <c r="L3800" s="15"/>
      <c r="M3800" s="15"/>
    </row>
    <row r="3801" spans="1:13" x14ac:dyDescent="0.25">
      <c r="A3801" s="23">
        <f t="shared" si="180"/>
        <v>253394</v>
      </c>
      <c r="B3801" s="14" t="str">
        <f t="shared" si="179"/>
        <v>Direct Debit (UMB Bank) - Credits</v>
      </c>
      <c r="C3801" s="37">
        <v>46149</v>
      </c>
      <c r="D3801" s="31">
        <v>253394</v>
      </c>
      <c r="E3801" s="33" t="str">
        <f>IF(Table3[[#This Row],[Type Received]]=2,"CC",(IF(Table3[[#This Row],[Type Received]]=3,"BILL","ACH")))</f>
        <v>ACH</v>
      </c>
      <c r="F3801" s="32">
        <v>172.69</v>
      </c>
      <c r="G3801" s="14" t="str">
        <f>VLOOKUP(D3801,Table4[],3,FALSE)</f>
        <v>1</v>
      </c>
      <c r="H3801" s="15">
        <v>175</v>
      </c>
      <c r="I3801" s="15"/>
      <c r="J3801" s="15"/>
      <c r="K3801" s="15"/>
      <c r="L3801" s="15"/>
      <c r="M3801" s="15"/>
    </row>
    <row r="3802" spans="1:13" x14ac:dyDescent="0.25">
      <c r="A3802" s="23">
        <f t="shared" si="180"/>
        <v>253406</v>
      </c>
      <c r="B3802" s="14" t="str">
        <f t="shared" si="179"/>
        <v>Direct Debit (UMB Bank) - Credits</v>
      </c>
      <c r="C3802" s="38">
        <v>46144</v>
      </c>
      <c r="D3802" s="34">
        <v>253406</v>
      </c>
      <c r="E3802" s="36" t="str">
        <f>IF(Table3[[#This Row],[Type Received]]=2,"CC",(IF(Table3[[#This Row],[Type Received]]=3,"BILL","ACH")))</f>
        <v>ACH</v>
      </c>
      <c r="F3802" s="35">
        <v>109.69</v>
      </c>
      <c r="G3802" s="14" t="str">
        <f>VLOOKUP(D3802,Table4[],3,FALSE)</f>
        <v>2</v>
      </c>
      <c r="H3802" s="15"/>
      <c r="I3802" s="15"/>
      <c r="J3802" s="15" t="s">
        <v>89</v>
      </c>
      <c r="K3802" s="15">
        <v>535427675</v>
      </c>
      <c r="L3802" s="15" t="s">
        <v>29</v>
      </c>
      <c r="M3802" s="15" t="s">
        <v>29</v>
      </c>
    </row>
    <row r="3803" spans="1:13" x14ac:dyDescent="0.25">
      <c r="A3803" s="23">
        <f t="shared" si="180"/>
        <v>253409</v>
      </c>
      <c r="B3803" s="14" t="str">
        <f t="shared" si="179"/>
        <v>Direct Debit (UMB Bank) - Credits</v>
      </c>
      <c r="C3803" s="37">
        <v>46144</v>
      </c>
      <c r="D3803" s="31">
        <v>253409</v>
      </c>
      <c r="E3803" s="33" t="str">
        <f>IF(Table3[[#This Row],[Type Received]]=2,"CC",(IF(Table3[[#This Row],[Type Received]]=3,"BILL","ACH")))</f>
        <v>ACH</v>
      </c>
      <c r="F3803" s="32">
        <v>167.44</v>
      </c>
      <c r="G3803" s="14" t="str">
        <f>VLOOKUP(D3803,Table4[],3,FALSE)</f>
        <v>2</v>
      </c>
      <c r="H3803" s="15"/>
      <c r="I3803" s="15"/>
      <c r="J3803" s="15" t="s">
        <v>89</v>
      </c>
      <c r="K3803" s="15">
        <v>535443133</v>
      </c>
      <c r="L3803" s="15" t="s">
        <v>29</v>
      </c>
      <c r="M3803" s="15" t="s">
        <v>29</v>
      </c>
    </row>
    <row r="3804" spans="1:13" x14ac:dyDescent="0.25">
      <c r="A3804" s="23">
        <f t="shared" si="180"/>
        <v>253415</v>
      </c>
      <c r="B3804" s="14" t="str">
        <f t="shared" si="179"/>
        <v>Billing - Credits (from TPA)</v>
      </c>
      <c r="C3804" s="38">
        <v>46144</v>
      </c>
      <c r="D3804" s="34">
        <v>253415</v>
      </c>
      <c r="E3804" s="36" t="str">
        <f>IF(Table3[[#This Row],[Type Received]]=2,"CC",(IF(Table3[[#This Row],[Type Received]]=3,"BILL","ACH")))</f>
        <v>BILL</v>
      </c>
      <c r="F3804" s="35">
        <v>62.17</v>
      </c>
      <c r="G3804" s="14" t="str">
        <f>VLOOKUP(D3804,Table4[],3,FALSE)</f>
        <v>2</v>
      </c>
      <c r="H3804" s="15"/>
      <c r="I3804" s="15"/>
      <c r="J3804" s="15" t="s">
        <v>89</v>
      </c>
      <c r="K3804" s="15">
        <v>535429600</v>
      </c>
      <c r="L3804" s="15" t="s">
        <v>29</v>
      </c>
      <c r="M3804" s="15" t="s">
        <v>29</v>
      </c>
    </row>
    <row r="3805" spans="1:13" x14ac:dyDescent="0.25">
      <c r="A3805" s="23">
        <f t="shared" si="180"/>
        <v>253417</v>
      </c>
      <c r="B3805" s="14" t="str">
        <f t="shared" si="179"/>
        <v>Direct Debit (UMB Bank) - Credits</v>
      </c>
      <c r="C3805" s="37">
        <v>46171</v>
      </c>
      <c r="D3805" s="31">
        <v>253417</v>
      </c>
      <c r="E3805" s="33" t="str">
        <f>IF(Table3[[#This Row],[Type Received]]=2,"CC",(IF(Table3[[#This Row],[Type Received]]=3,"BILL","ACH")))</f>
        <v>ACH</v>
      </c>
      <c r="F3805" s="32">
        <v>63.51</v>
      </c>
      <c r="G3805" s="14" t="str">
        <f>VLOOKUP(D3805,Table4[],3,FALSE)</f>
        <v>2</v>
      </c>
      <c r="H3805" s="15">
        <v>5636</v>
      </c>
      <c r="I3805" s="15"/>
      <c r="J3805" s="15"/>
      <c r="K3805" s="15"/>
      <c r="L3805" s="15"/>
      <c r="M3805" s="15" t="s">
        <v>29</v>
      </c>
    </row>
    <row r="3806" spans="1:13" x14ac:dyDescent="0.25">
      <c r="A3806" s="23">
        <f t="shared" si="180"/>
        <v>253422</v>
      </c>
      <c r="B3806" s="14" t="str">
        <f t="shared" si="179"/>
        <v>Direct Debit (UMB Bank) - Credits</v>
      </c>
      <c r="C3806" s="38">
        <v>46162</v>
      </c>
      <c r="D3806" s="34">
        <v>253422</v>
      </c>
      <c r="E3806" s="36" t="str">
        <f>IF(Table3[[#This Row],[Type Received]]=2,"CC",(IF(Table3[[#This Row],[Type Received]]=3,"BILL","ACH")))</f>
        <v>ACH</v>
      </c>
      <c r="F3806" s="35">
        <v>100.67</v>
      </c>
      <c r="G3806" s="14" t="str">
        <f>VLOOKUP(D3806,Table4[],3,FALSE)</f>
        <v>1</v>
      </c>
      <c r="H3806" s="15"/>
      <c r="I3806" s="15"/>
      <c r="J3806" s="15" t="s">
        <v>107</v>
      </c>
      <c r="K3806" s="15">
        <v>762317964</v>
      </c>
      <c r="L3806" s="15" t="s">
        <v>29</v>
      </c>
      <c r="M3806" s="15"/>
    </row>
    <row r="3807" spans="1:13" x14ac:dyDescent="0.25">
      <c r="A3807" s="23">
        <f t="shared" si="180"/>
        <v>253427</v>
      </c>
      <c r="B3807" s="14" t="str">
        <f t="shared" si="179"/>
        <v>Direct Debit (UMB Bank) - Credits</v>
      </c>
      <c r="C3807" s="37">
        <v>46144</v>
      </c>
      <c r="D3807" s="31">
        <v>253427</v>
      </c>
      <c r="E3807" s="33" t="str">
        <f>IF(Table3[[#This Row],[Type Received]]=2,"CC",(IF(Table3[[#This Row],[Type Received]]=3,"BILL","ACH")))</f>
        <v>ACH</v>
      </c>
      <c r="F3807" s="32">
        <v>53.59</v>
      </c>
      <c r="G3807" s="14" t="str">
        <f>VLOOKUP(D3807,Table4[],3,FALSE)</f>
        <v>1</v>
      </c>
      <c r="H3807" s="15"/>
      <c r="I3807" s="15"/>
      <c r="J3807" s="15" t="s">
        <v>89</v>
      </c>
      <c r="K3807" s="15">
        <v>535427712</v>
      </c>
      <c r="L3807" s="15" t="s">
        <v>29</v>
      </c>
      <c r="M3807" s="15" t="s">
        <v>29</v>
      </c>
    </row>
    <row r="3808" spans="1:13" x14ac:dyDescent="0.25">
      <c r="A3808" s="23">
        <f t="shared" si="180"/>
        <v>253434</v>
      </c>
      <c r="B3808" s="14" t="str">
        <f t="shared" si="179"/>
        <v>Direct Debit (UMB Bank) - Credits</v>
      </c>
      <c r="C3808" s="38">
        <v>46169</v>
      </c>
      <c r="D3808" s="34">
        <v>253434</v>
      </c>
      <c r="E3808" s="36" t="str">
        <f>IF(Table3[[#This Row],[Type Received]]=2,"CC",(IF(Table3[[#This Row],[Type Received]]=3,"BILL","ACH")))</f>
        <v>ACH</v>
      </c>
      <c r="F3808" s="35">
        <v>108.7</v>
      </c>
      <c r="G3808" s="14" t="str">
        <f>VLOOKUP(D3808,Table4[],3,FALSE)</f>
        <v>2</v>
      </c>
      <c r="H3808" s="15"/>
      <c r="I3808" s="15"/>
      <c r="J3808" s="15" t="s">
        <v>117</v>
      </c>
      <c r="K3808" s="15">
        <v>840838240</v>
      </c>
      <c r="L3808" s="15" t="s">
        <v>29</v>
      </c>
      <c r="M3808" s="15" t="s">
        <v>29</v>
      </c>
    </row>
    <row r="3809" spans="1:13" x14ac:dyDescent="0.25">
      <c r="A3809" s="23">
        <f t="shared" si="180"/>
        <v>253441</v>
      </c>
      <c r="B3809" s="14" t="str">
        <f t="shared" si="179"/>
        <v>Direct Debit (UMB Bank) - Credits</v>
      </c>
      <c r="C3809" s="37">
        <v>46167</v>
      </c>
      <c r="D3809" s="31">
        <v>253441</v>
      </c>
      <c r="E3809" s="33" t="str">
        <f>IF(Table3[[#This Row],[Type Received]]=2,"CC",(IF(Table3[[#This Row],[Type Received]]=3,"BILL","ACH")))</f>
        <v>ACH</v>
      </c>
      <c r="F3809" s="32">
        <v>61.95</v>
      </c>
      <c r="G3809" s="14" t="str">
        <f>VLOOKUP(D3809,Table4[],3,FALSE)</f>
        <v>1</v>
      </c>
      <c r="H3809" s="15"/>
      <c r="I3809" s="15"/>
      <c r="J3809" s="15" t="s">
        <v>85</v>
      </c>
      <c r="K3809" s="15">
        <v>818406583</v>
      </c>
      <c r="L3809" s="15" t="s">
        <v>29</v>
      </c>
      <c r="M3809" s="15"/>
    </row>
    <row r="3810" spans="1:13" x14ac:dyDescent="0.25">
      <c r="A3810" s="23">
        <f t="shared" si="180"/>
        <v>253444</v>
      </c>
      <c r="B3810" s="14" t="str">
        <f t="shared" si="179"/>
        <v>Direct Debit (UMB Bank) - Credits</v>
      </c>
      <c r="C3810" s="38">
        <v>46169</v>
      </c>
      <c r="D3810" s="34">
        <v>253444</v>
      </c>
      <c r="E3810" s="36" t="str">
        <f>IF(Table3[[#This Row],[Type Received]]=2,"CC",(IF(Table3[[#This Row],[Type Received]]=3,"BILL","ACH")))</f>
        <v>ACH</v>
      </c>
      <c r="F3810" s="35">
        <v>103.75</v>
      </c>
      <c r="G3810" s="14" t="str">
        <f>VLOOKUP(D3810,Table4[],3,FALSE)</f>
        <v>2</v>
      </c>
      <c r="H3810" s="15"/>
      <c r="I3810" s="15"/>
      <c r="J3810" s="15" t="s">
        <v>117</v>
      </c>
      <c r="K3810" s="15">
        <v>842236684</v>
      </c>
      <c r="L3810" s="15" t="s">
        <v>29</v>
      </c>
      <c r="M3810" s="15" t="s">
        <v>29</v>
      </c>
    </row>
    <row r="3811" spans="1:13" x14ac:dyDescent="0.25">
      <c r="A3811" s="23">
        <f t="shared" si="180"/>
        <v>253451</v>
      </c>
      <c r="B3811" s="14" t="str">
        <f t="shared" si="179"/>
        <v>Direct Debit (UMB Bank) - Credits</v>
      </c>
      <c r="C3811" s="37">
        <v>46157</v>
      </c>
      <c r="D3811" s="31">
        <v>253451</v>
      </c>
      <c r="E3811" s="33" t="str">
        <f>IF(Table3[[#This Row],[Type Received]]=2,"CC",(IF(Table3[[#This Row],[Type Received]]=3,"BILL","ACH")))</f>
        <v>ACH</v>
      </c>
      <c r="F3811" s="32">
        <v>103.75</v>
      </c>
      <c r="G3811" s="14" t="str">
        <f>VLOOKUP(D3811,Table4[],3,FALSE)</f>
        <v>2</v>
      </c>
      <c r="H3811" s="15"/>
      <c r="I3811" s="15"/>
      <c r="J3811" s="15" t="s">
        <v>87</v>
      </c>
      <c r="K3811" s="15">
        <v>696826913</v>
      </c>
      <c r="L3811" s="15" t="s">
        <v>29</v>
      </c>
      <c r="M3811" s="15" t="s">
        <v>29</v>
      </c>
    </row>
    <row r="3812" spans="1:13" x14ac:dyDescent="0.25">
      <c r="A3812" s="23">
        <f t="shared" si="180"/>
        <v>253452</v>
      </c>
      <c r="B3812" s="14" t="str">
        <f t="shared" si="179"/>
        <v>Direct Debit (UMB Bank) - Credits</v>
      </c>
      <c r="C3812" s="38">
        <v>46144</v>
      </c>
      <c r="D3812" s="34">
        <v>253452</v>
      </c>
      <c r="E3812" s="36" t="str">
        <f>IF(Table3[[#This Row],[Type Received]]=2,"CC",(IF(Table3[[#This Row],[Type Received]]=3,"BILL","ACH")))</f>
        <v>ACH</v>
      </c>
      <c r="F3812" s="35">
        <v>113.65</v>
      </c>
      <c r="G3812" s="14" t="str">
        <f>VLOOKUP(D3812,Table4[],3,FALSE)</f>
        <v>2</v>
      </c>
      <c r="H3812" s="15"/>
      <c r="I3812" s="15"/>
      <c r="J3812" s="15" t="s">
        <v>89</v>
      </c>
      <c r="K3812" s="15">
        <v>535445139</v>
      </c>
      <c r="L3812" s="15" t="s">
        <v>29</v>
      </c>
      <c r="M3812" s="15" t="s">
        <v>29</v>
      </c>
    </row>
    <row r="3813" spans="1:13" x14ac:dyDescent="0.25">
      <c r="A3813" s="23">
        <f t="shared" si="180"/>
        <v>253458</v>
      </c>
      <c r="B3813" s="14" t="str">
        <f t="shared" si="179"/>
        <v>Credit Cards (UMB) - Credits</v>
      </c>
      <c r="C3813" s="37">
        <v>46155</v>
      </c>
      <c r="D3813" s="31">
        <v>253458</v>
      </c>
      <c r="E3813" s="33" t="str">
        <f>IF(Table3[[#This Row],[Type Received]]=2,"CC",(IF(Table3[[#This Row],[Type Received]]=3,"BILL","ACH")))</f>
        <v>CC</v>
      </c>
      <c r="F3813" s="32">
        <v>97.15</v>
      </c>
      <c r="G3813" s="14" t="str">
        <f>VLOOKUP(D3813,Table4[],3,FALSE)</f>
        <v>2</v>
      </c>
      <c r="H3813" s="15"/>
      <c r="I3813" s="15"/>
      <c r="J3813" s="15" t="s">
        <v>90</v>
      </c>
      <c r="K3813" s="15">
        <v>669495984</v>
      </c>
      <c r="L3813" s="15" t="s">
        <v>29</v>
      </c>
      <c r="M3813" s="15" t="s">
        <v>29</v>
      </c>
    </row>
    <row r="3814" spans="1:13" x14ac:dyDescent="0.25">
      <c r="A3814" s="23">
        <f t="shared" si="180"/>
        <v>253476</v>
      </c>
      <c r="B3814" s="14" t="str">
        <f t="shared" si="179"/>
        <v>Direct Debit (UMB Bank) - Credits</v>
      </c>
      <c r="C3814" s="38">
        <v>46155</v>
      </c>
      <c r="D3814" s="34">
        <v>253476</v>
      </c>
      <c r="E3814" s="36" t="str">
        <f>IF(Table3[[#This Row],[Type Received]]=2,"CC",(IF(Table3[[#This Row],[Type Received]]=3,"BILL","ACH")))</f>
        <v>ACH</v>
      </c>
      <c r="F3814" s="35">
        <v>96.82</v>
      </c>
      <c r="G3814" s="14" t="str">
        <f>VLOOKUP(D3814,Table4[],3,FALSE)</f>
        <v>2</v>
      </c>
      <c r="H3814" s="15"/>
      <c r="I3814" s="15">
        <v>810479</v>
      </c>
      <c r="J3814" s="15" t="s">
        <v>28</v>
      </c>
      <c r="K3814" s="15">
        <v>669510360</v>
      </c>
      <c r="L3814" s="15" t="s">
        <v>29</v>
      </c>
      <c r="M3814" s="15"/>
    </row>
    <row r="3815" spans="1:13" x14ac:dyDescent="0.25">
      <c r="A3815" s="23">
        <f t="shared" si="180"/>
        <v>253487</v>
      </c>
      <c r="B3815" s="14" t="str">
        <f t="shared" si="179"/>
        <v>Direct Debit (UMB Bank) - Credits</v>
      </c>
      <c r="C3815" s="37">
        <v>46144</v>
      </c>
      <c r="D3815" s="31">
        <v>253487</v>
      </c>
      <c r="E3815" s="33" t="str">
        <f>IF(Table3[[#This Row],[Type Received]]=2,"CC",(IF(Table3[[#This Row],[Type Received]]=3,"BILL","ACH")))</f>
        <v>ACH</v>
      </c>
      <c r="F3815" s="32">
        <v>49.63</v>
      </c>
      <c r="G3815" s="14" t="str">
        <f>VLOOKUP(D3815,Table4[],3,FALSE)</f>
        <v>2</v>
      </c>
      <c r="H3815" s="15"/>
      <c r="I3815" s="15"/>
      <c r="J3815" s="15" t="s">
        <v>89</v>
      </c>
      <c r="K3815" s="15">
        <v>535434419</v>
      </c>
      <c r="L3815" s="15" t="s">
        <v>29</v>
      </c>
      <c r="M3815" s="15" t="s">
        <v>29</v>
      </c>
    </row>
    <row r="3816" spans="1:13" x14ac:dyDescent="0.25">
      <c r="A3816" s="23">
        <f t="shared" si="180"/>
        <v>253504</v>
      </c>
      <c r="B3816" s="14" t="str">
        <f t="shared" si="179"/>
        <v>Direct Debit (UMB Bank) - Credits</v>
      </c>
      <c r="C3816" s="38">
        <v>46157</v>
      </c>
      <c r="D3816" s="34">
        <v>253504</v>
      </c>
      <c r="E3816" s="36" t="str">
        <f>IF(Table3[[#This Row],[Type Received]]=2,"CC",(IF(Table3[[#This Row],[Type Received]]=3,"BILL","ACH")))</f>
        <v>ACH</v>
      </c>
      <c r="F3816" s="35">
        <v>98.47</v>
      </c>
      <c r="G3816" s="14" t="str">
        <f>VLOOKUP(D3816,Table4[],3,FALSE)</f>
        <v>2</v>
      </c>
      <c r="H3816" s="15"/>
      <c r="I3816" s="15"/>
      <c r="J3816" s="24" t="s">
        <v>87</v>
      </c>
      <c r="K3816" s="15">
        <v>696825007</v>
      </c>
      <c r="L3816" s="15" t="s">
        <v>29</v>
      </c>
      <c r="M3816" s="15" t="s">
        <v>29</v>
      </c>
    </row>
    <row r="3817" spans="1:13" x14ac:dyDescent="0.25">
      <c r="A3817" s="23">
        <f t="shared" si="180"/>
        <v>253505</v>
      </c>
      <c r="B3817" s="14" t="str">
        <f t="shared" si="179"/>
        <v>Billing - Credits (from TPA)</v>
      </c>
      <c r="C3817" s="37">
        <v>46157</v>
      </c>
      <c r="D3817" s="31">
        <v>253505</v>
      </c>
      <c r="E3817" s="33" t="str">
        <f>IF(Table3[[#This Row],[Type Received]]=2,"CC",(IF(Table3[[#This Row],[Type Received]]=3,"BILL","ACH")))</f>
        <v>BILL</v>
      </c>
      <c r="F3817" s="32">
        <v>51.94</v>
      </c>
      <c r="G3817" s="14" t="str">
        <f>VLOOKUP(D3817,Table4[],3,FALSE)</f>
        <v>2</v>
      </c>
      <c r="H3817" s="15"/>
      <c r="I3817" s="15"/>
      <c r="J3817" s="15" t="s">
        <v>87</v>
      </c>
      <c r="K3817" s="15">
        <v>696824019</v>
      </c>
      <c r="L3817" s="15" t="s">
        <v>29</v>
      </c>
      <c r="M3817" s="15" t="s">
        <v>29</v>
      </c>
    </row>
    <row r="3818" spans="1:13" x14ac:dyDescent="0.25">
      <c r="A3818" s="23">
        <f t="shared" si="180"/>
        <v>253509</v>
      </c>
      <c r="B3818" s="14" t="str">
        <f t="shared" si="179"/>
        <v>Direct Debit (UMB Bank) - Credits</v>
      </c>
      <c r="C3818" s="38">
        <v>46170</v>
      </c>
      <c r="D3818" s="34">
        <v>253509</v>
      </c>
      <c r="E3818" s="36" t="str">
        <f>IF(Table3[[#This Row],[Type Received]]=2,"CC",(IF(Table3[[#This Row],[Type Received]]=3,"BILL","ACH")))</f>
        <v>ACH</v>
      </c>
      <c r="F3818" s="35">
        <v>113.34</v>
      </c>
      <c r="G3818" s="14" t="str">
        <f>VLOOKUP(D3818,Table4[],3,FALSE)</f>
        <v>2</v>
      </c>
      <c r="H3818" s="15">
        <v>234733158</v>
      </c>
      <c r="I3818" s="15"/>
      <c r="J3818" s="15"/>
      <c r="K3818" s="15"/>
      <c r="L3818" s="15"/>
      <c r="M3818" s="15"/>
    </row>
    <row r="3819" spans="1:13" x14ac:dyDescent="0.25">
      <c r="A3819" s="23">
        <f t="shared" si="180"/>
        <v>253540</v>
      </c>
      <c r="B3819" s="14" t="str">
        <f t="shared" si="179"/>
        <v>Direct Debit (UMB Bank) - Credits</v>
      </c>
      <c r="C3819" s="37">
        <v>46157</v>
      </c>
      <c r="D3819" s="31">
        <v>253540</v>
      </c>
      <c r="E3819" s="33" t="str">
        <f>IF(Table3[[#This Row],[Type Received]]=2,"CC",(IF(Table3[[#This Row],[Type Received]]=3,"BILL","ACH")))</f>
        <v>ACH</v>
      </c>
      <c r="F3819" s="32">
        <v>103.09</v>
      </c>
      <c r="G3819" s="14" t="str">
        <f>VLOOKUP(D3819,Table4[],3,FALSE)</f>
        <v>2</v>
      </c>
      <c r="H3819" s="15"/>
      <c r="I3819" s="15"/>
      <c r="J3819" s="24" t="s">
        <v>87</v>
      </c>
      <c r="K3819" s="15">
        <v>696833699</v>
      </c>
      <c r="L3819" s="15" t="s">
        <v>29</v>
      </c>
      <c r="M3819" s="15"/>
    </row>
    <row r="3820" spans="1:13" x14ac:dyDescent="0.25">
      <c r="A3820" s="23">
        <f t="shared" si="180"/>
        <v>253542</v>
      </c>
      <c r="B3820" s="14" t="str">
        <f t="shared" si="179"/>
        <v>Direct Debit (UMB Bank) - Credits</v>
      </c>
      <c r="C3820" s="38">
        <v>46157</v>
      </c>
      <c r="D3820" s="34">
        <v>253542</v>
      </c>
      <c r="E3820" s="36" t="str">
        <f>IF(Table3[[#This Row],[Type Received]]=2,"CC",(IF(Table3[[#This Row],[Type Received]]=3,"BILL","ACH")))</f>
        <v>ACH</v>
      </c>
      <c r="F3820" s="35">
        <v>51.17</v>
      </c>
      <c r="G3820" s="14" t="str">
        <f>VLOOKUP(D3820,Table4[],3,FALSE)</f>
        <v>1</v>
      </c>
      <c r="H3820" s="15"/>
      <c r="I3820" s="15"/>
      <c r="J3820" s="24" t="s">
        <v>87</v>
      </c>
      <c r="K3820" s="15">
        <v>696824036</v>
      </c>
      <c r="L3820" s="15" t="s">
        <v>29</v>
      </c>
      <c r="M3820" s="15" t="s">
        <v>29</v>
      </c>
    </row>
    <row r="3821" spans="1:13" x14ac:dyDescent="0.25">
      <c r="A3821" s="23">
        <f t="shared" si="180"/>
        <v>253543</v>
      </c>
      <c r="B3821" s="14" t="str">
        <f t="shared" si="179"/>
        <v>Billing - Credits (from TPA)</v>
      </c>
      <c r="C3821" s="37">
        <v>46168</v>
      </c>
      <c r="D3821" s="31">
        <v>253543</v>
      </c>
      <c r="E3821" s="33" t="str">
        <f>IF(Table3[[#This Row],[Type Received]]=2,"CC",(IF(Table3[[#This Row],[Type Received]]=3,"BILL","ACH")))</f>
        <v>BILL</v>
      </c>
      <c r="F3821" s="32">
        <v>94.51</v>
      </c>
      <c r="G3821" s="14" t="str">
        <f>VLOOKUP(D3821,Table4[],3,FALSE)</f>
        <v>2</v>
      </c>
      <c r="H3821" s="15"/>
      <c r="I3821" s="15"/>
      <c r="J3821" s="15" t="s">
        <v>110</v>
      </c>
      <c r="K3821" s="15">
        <v>828225113</v>
      </c>
      <c r="L3821" s="15" t="s">
        <v>29</v>
      </c>
      <c r="M3821" s="15" t="s">
        <v>29</v>
      </c>
    </row>
    <row r="3822" spans="1:13" x14ac:dyDescent="0.25">
      <c r="A3822" s="23">
        <f t="shared" si="180"/>
        <v>253564</v>
      </c>
      <c r="B3822" s="14" t="str">
        <f t="shared" si="179"/>
        <v>Credit Cards (UMB) - Credits</v>
      </c>
      <c r="C3822" s="38">
        <v>46168</v>
      </c>
      <c r="D3822" s="34">
        <v>253564</v>
      </c>
      <c r="E3822" s="36" t="str">
        <f>IF(Table3[[#This Row],[Type Received]]=2,"CC",(IF(Table3[[#This Row],[Type Received]]=3,"BILL","ACH")))</f>
        <v>CC</v>
      </c>
      <c r="F3822" s="35">
        <v>74.069999999999993</v>
      </c>
      <c r="G3822" s="14" t="str">
        <f>VLOOKUP(D3822,Table4[],3,FALSE)</f>
        <v>2</v>
      </c>
      <c r="H3822" s="15">
        <v>7483</v>
      </c>
      <c r="I3822" s="15"/>
      <c r="J3822" s="15"/>
      <c r="K3822" s="15"/>
      <c r="L3822" s="15"/>
      <c r="M3822" s="15" t="s">
        <v>29</v>
      </c>
    </row>
    <row r="3823" spans="1:13" x14ac:dyDescent="0.25">
      <c r="A3823" s="23">
        <f t="shared" si="180"/>
        <v>253574</v>
      </c>
      <c r="B3823" s="14" t="str">
        <f t="shared" si="179"/>
        <v>Direct Debit (UMB Bank) - Credits</v>
      </c>
      <c r="C3823" s="37">
        <v>46155</v>
      </c>
      <c r="D3823" s="31">
        <v>253574</v>
      </c>
      <c r="E3823" s="33" t="str">
        <f>IF(Table3[[#This Row],[Type Received]]=2,"CC",(IF(Table3[[#This Row],[Type Received]]=3,"BILL","ACH")))</f>
        <v>ACH</v>
      </c>
      <c r="F3823" s="32">
        <v>70.75</v>
      </c>
      <c r="G3823" s="14" t="str">
        <f>VLOOKUP(D3823,Table4[],3,FALSE)</f>
        <v>2</v>
      </c>
      <c r="H3823" s="15"/>
      <c r="I3823" s="15" t="s">
        <v>309</v>
      </c>
      <c r="J3823" s="15" t="s">
        <v>28</v>
      </c>
      <c r="K3823" s="15">
        <v>669503881</v>
      </c>
      <c r="L3823" s="15" t="s">
        <v>29</v>
      </c>
      <c r="M3823" s="15"/>
    </row>
    <row r="3824" spans="1:13" x14ac:dyDescent="0.25">
      <c r="A3824" s="23">
        <f t="shared" si="180"/>
        <v>253586</v>
      </c>
      <c r="B3824" s="14" t="str">
        <f t="shared" si="179"/>
        <v>Credit Cards (UMB) - Credits</v>
      </c>
      <c r="C3824" s="38">
        <v>46169</v>
      </c>
      <c r="D3824" s="34">
        <v>253586</v>
      </c>
      <c r="E3824" s="36" t="str">
        <f>IF(Table3[[#This Row],[Type Received]]=2,"CC",(IF(Table3[[#This Row],[Type Received]]=3,"BILL","ACH")))</f>
        <v>CC</v>
      </c>
      <c r="F3824" s="35">
        <v>93.52</v>
      </c>
      <c r="G3824" s="14" t="str">
        <f>VLOOKUP(D3824,Table4[],3,FALSE)</f>
        <v>2</v>
      </c>
      <c r="H3824" s="15"/>
      <c r="I3824" s="15"/>
      <c r="J3824" s="15" t="s">
        <v>117</v>
      </c>
      <c r="K3824" s="15">
        <v>840882188</v>
      </c>
      <c r="L3824" s="15" t="s">
        <v>29</v>
      </c>
      <c r="M3824" s="15"/>
    </row>
    <row r="3825" spans="1:13" x14ac:dyDescent="0.25">
      <c r="A3825" s="23">
        <f t="shared" si="180"/>
        <v>253601</v>
      </c>
      <c r="B3825" s="14" t="str">
        <f t="shared" si="179"/>
        <v>Billing - Credits (from TPA)</v>
      </c>
      <c r="C3825" s="37">
        <v>46155</v>
      </c>
      <c r="D3825" s="31">
        <v>253601</v>
      </c>
      <c r="E3825" s="33" t="str">
        <f>IF(Table3[[#This Row],[Type Received]]=2,"CC",(IF(Table3[[#This Row],[Type Received]]=3,"BILL","ACH")))</f>
        <v>BILL</v>
      </c>
      <c r="F3825" s="32">
        <v>110.35</v>
      </c>
      <c r="G3825" s="14" t="str">
        <f>VLOOKUP(D3825,Table4[],3,FALSE)</f>
        <v>1</v>
      </c>
      <c r="H3825" s="15"/>
      <c r="I3825" s="15">
        <v>13071</v>
      </c>
      <c r="J3825" s="15" t="s">
        <v>28</v>
      </c>
      <c r="K3825" s="15">
        <v>669460436</v>
      </c>
      <c r="L3825" s="15" t="s">
        <v>29</v>
      </c>
      <c r="M3825" s="15"/>
    </row>
    <row r="3826" spans="1:13" x14ac:dyDescent="0.25">
      <c r="A3826" s="23">
        <f t="shared" si="180"/>
        <v>253615</v>
      </c>
      <c r="B3826" s="14" t="str">
        <f t="shared" si="179"/>
        <v>Direct Debit (UMB Bank) - Credits</v>
      </c>
      <c r="C3826" s="38">
        <v>46146</v>
      </c>
      <c r="D3826" s="34">
        <v>253615</v>
      </c>
      <c r="E3826" s="36" t="str">
        <f>IF(Table3[[#This Row],[Type Received]]=2,"CC",(IF(Table3[[#This Row],[Type Received]]=3,"BILL","ACH")))</f>
        <v>ACH</v>
      </c>
      <c r="F3826" s="35">
        <v>177.94</v>
      </c>
      <c r="G3826" s="14" t="str">
        <f>VLOOKUP(D3826,Table4[],3,FALSE)</f>
        <v>1</v>
      </c>
      <c r="H3826" s="15">
        <v>7165</v>
      </c>
      <c r="I3826" s="15"/>
      <c r="J3826" s="15"/>
      <c r="K3826" s="15"/>
      <c r="L3826" s="15"/>
      <c r="M3826" s="15" t="s">
        <v>29</v>
      </c>
    </row>
    <row r="3827" spans="1:13" x14ac:dyDescent="0.25">
      <c r="A3827" s="23">
        <f t="shared" ref="A3827:A3858" si="181">D3827</f>
        <v>253629</v>
      </c>
      <c r="B3827" s="14" t="str">
        <f t="shared" ref="B3827:B3890" si="182">IF(AND(E3827="BILL",F3827&lt;0),"Billing &amp; Direct Debit - Refunds",(IF(AND(E3827="BILL",F3827&gt;0),"Billing - Credits (from TPA)",(IF(AND(E3827="CC",F3827&lt;0),"Credit Cards (UMB) - Refunds",(IF(AND(E3827="CC",F3827&gt;0),"Credit Cards (UMB) - Credits",(IF(AND(E3827="ACH",F3827&gt;0),"Direct Debit (UMB Bank) - Credits","Direct Debit (UMB Bank) - Returned Items")))))))))</f>
        <v>Credit Cards (UMB) - Credits</v>
      </c>
      <c r="C3827" s="37">
        <v>46157</v>
      </c>
      <c r="D3827" s="31">
        <v>253629</v>
      </c>
      <c r="E3827" s="33" t="str">
        <f>IF(Table3[[#This Row],[Type Received]]=2,"CC",(IF(Table3[[#This Row],[Type Received]]=3,"BILL","ACH")))</f>
        <v>CC</v>
      </c>
      <c r="F3827" s="32">
        <v>50.95</v>
      </c>
      <c r="G3827" s="14" t="str">
        <f>VLOOKUP(D3827,Table4[],3,FALSE)</f>
        <v>2</v>
      </c>
      <c r="H3827" s="15"/>
      <c r="I3827" s="15"/>
      <c r="J3827" s="15" t="s">
        <v>87</v>
      </c>
      <c r="K3827" s="15">
        <v>696827972</v>
      </c>
      <c r="L3827" s="15" t="s">
        <v>29</v>
      </c>
      <c r="M3827" s="15" t="s">
        <v>29</v>
      </c>
    </row>
    <row r="3828" spans="1:13" x14ac:dyDescent="0.25">
      <c r="A3828" s="23">
        <f t="shared" si="181"/>
        <v>253633</v>
      </c>
      <c r="B3828" s="14" t="str">
        <f t="shared" si="182"/>
        <v>Direct Debit (UMB Bank) - Credits</v>
      </c>
      <c r="C3828" s="38">
        <v>46144</v>
      </c>
      <c r="D3828" s="34">
        <v>253633</v>
      </c>
      <c r="E3828" s="36" t="str">
        <f>IF(Table3[[#This Row],[Type Received]]=2,"CC",(IF(Table3[[#This Row],[Type Received]]=3,"BILL","ACH")))</f>
        <v>ACH</v>
      </c>
      <c r="F3828" s="35">
        <v>94.41</v>
      </c>
      <c r="G3828" s="14" t="str">
        <f>VLOOKUP(D3828,Table4[],3,FALSE)</f>
        <v>1</v>
      </c>
      <c r="H3828" s="15"/>
      <c r="I3828" s="15">
        <v>74424</v>
      </c>
      <c r="J3828" s="15">
        <v>741651752</v>
      </c>
      <c r="K3828" s="15">
        <v>353296277</v>
      </c>
      <c r="L3828" s="15"/>
      <c r="M3828" s="15"/>
    </row>
    <row r="3829" spans="1:13" x14ac:dyDescent="0.25">
      <c r="A3829" s="23">
        <f t="shared" si="181"/>
        <v>253636</v>
      </c>
      <c r="B3829" s="14" t="str">
        <f t="shared" si="182"/>
        <v>Direct Debit (UMB Bank) - Credits</v>
      </c>
      <c r="C3829" s="37">
        <v>46156</v>
      </c>
      <c r="D3829" s="31">
        <v>253636</v>
      </c>
      <c r="E3829" s="33" t="str">
        <f>IF(Table3[[#This Row],[Type Received]]=2,"CC",(IF(Table3[[#This Row],[Type Received]]=3,"BILL","ACH")))</f>
        <v>ACH</v>
      </c>
      <c r="F3829" s="32">
        <v>65.14</v>
      </c>
      <c r="G3829" s="14" t="str">
        <f>VLOOKUP(D3829,Table4[],3,FALSE)</f>
        <v>2</v>
      </c>
      <c r="H3829" s="15"/>
      <c r="I3829" s="15"/>
      <c r="J3829" s="24" t="s">
        <v>93</v>
      </c>
      <c r="K3829" s="15">
        <v>682528771</v>
      </c>
      <c r="L3829" s="15" t="s">
        <v>29</v>
      </c>
      <c r="M3829" s="15" t="s">
        <v>29</v>
      </c>
    </row>
    <row r="3830" spans="1:13" x14ac:dyDescent="0.25">
      <c r="A3830" s="23">
        <f t="shared" si="181"/>
        <v>253640</v>
      </c>
      <c r="B3830" s="14" t="str">
        <f t="shared" si="182"/>
        <v>Direct Debit (UMB Bank) - Credits</v>
      </c>
      <c r="C3830" s="38">
        <v>46169</v>
      </c>
      <c r="D3830" s="34">
        <v>253640</v>
      </c>
      <c r="E3830" s="36" t="str">
        <f>IF(Table3[[#This Row],[Type Received]]=2,"CC",(IF(Table3[[#This Row],[Type Received]]=3,"BILL","ACH")))</f>
        <v>ACH</v>
      </c>
      <c r="F3830" s="35">
        <v>130.15</v>
      </c>
      <c r="G3830" s="14" t="str">
        <f>VLOOKUP(D3830,Table4[],3,FALSE)</f>
        <v>2</v>
      </c>
      <c r="H3830" s="15"/>
      <c r="I3830" s="15"/>
      <c r="J3830" s="15" t="s">
        <v>117</v>
      </c>
      <c r="K3830" s="15">
        <v>840885151</v>
      </c>
      <c r="L3830" s="15" t="s">
        <v>29</v>
      </c>
      <c r="M3830" s="15" t="s">
        <v>29</v>
      </c>
    </row>
    <row r="3831" spans="1:13" x14ac:dyDescent="0.25">
      <c r="A3831" s="23">
        <f t="shared" si="181"/>
        <v>253653</v>
      </c>
      <c r="B3831" s="14" t="str">
        <f t="shared" si="182"/>
        <v>Credit Cards (UMB) - Credits</v>
      </c>
      <c r="C3831" s="37">
        <v>46144</v>
      </c>
      <c r="D3831" s="31">
        <v>253653</v>
      </c>
      <c r="E3831" s="33" t="str">
        <f>IF(Table3[[#This Row],[Type Received]]=2,"CC",(IF(Table3[[#This Row],[Type Received]]=3,"BILL","ACH")))</f>
        <v>CC</v>
      </c>
      <c r="F3831" s="32">
        <v>97.81</v>
      </c>
      <c r="G3831" s="14" t="str">
        <f>VLOOKUP(D3831,Table4[],3,FALSE)</f>
        <v>2</v>
      </c>
      <c r="H3831" s="15"/>
      <c r="I3831" s="15"/>
      <c r="J3831" s="15" t="s">
        <v>89</v>
      </c>
      <c r="K3831" s="15">
        <v>535432485</v>
      </c>
      <c r="L3831" s="15" t="s">
        <v>29</v>
      </c>
      <c r="M3831" s="15"/>
    </row>
    <row r="3832" spans="1:13" x14ac:dyDescent="0.25">
      <c r="A3832" s="23">
        <f t="shared" si="181"/>
        <v>253655</v>
      </c>
      <c r="B3832" s="14" t="str">
        <f t="shared" si="182"/>
        <v>Billing - Credits (from TPA)</v>
      </c>
      <c r="C3832" s="38">
        <v>46146</v>
      </c>
      <c r="D3832" s="34">
        <v>253655</v>
      </c>
      <c r="E3832" s="36" t="str">
        <f>IF(Table3[[#This Row],[Type Received]]=2,"CC",(IF(Table3[[#This Row],[Type Received]]=3,"BILL","ACH")))</f>
        <v>BILL</v>
      </c>
      <c r="F3832" s="35">
        <v>121.59</v>
      </c>
      <c r="G3832" s="14" t="str">
        <f>VLOOKUP(D3832,Table4[],3,FALSE)</f>
        <v>2</v>
      </c>
      <c r="H3832" s="15"/>
      <c r="I3832" s="15">
        <v>4103</v>
      </c>
      <c r="J3832" s="15" t="s">
        <v>28</v>
      </c>
      <c r="K3832" s="15">
        <v>556577455</v>
      </c>
      <c r="L3832" s="15" t="s">
        <v>29</v>
      </c>
      <c r="M3832" s="15" t="s">
        <v>29</v>
      </c>
    </row>
    <row r="3833" spans="1:13" x14ac:dyDescent="0.25">
      <c r="A3833" s="23">
        <f t="shared" si="181"/>
        <v>253660</v>
      </c>
      <c r="B3833" s="14" t="str">
        <f t="shared" si="182"/>
        <v>Direct Debit (UMB Bank) - Credits</v>
      </c>
      <c r="C3833" s="37">
        <v>46163</v>
      </c>
      <c r="D3833" s="31">
        <v>253660</v>
      </c>
      <c r="E3833" s="33" t="str">
        <f>IF(Table3[[#This Row],[Type Received]]=2,"CC",(IF(Table3[[#This Row],[Type Received]]=3,"BILL","ACH")))</f>
        <v>ACH</v>
      </c>
      <c r="F3833" s="32">
        <v>170.05</v>
      </c>
      <c r="G3833" s="14" t="str">
        <f>VLOOKUP(D3833,Table4[],3,FALSE)</f>
        <v>1</v>
      </c>
      <c r="H3833" s="15">
        <v>1063</v>
      </c>
      <c r="I3833" s="15"/>
      <c r="J3833" s="15"/>
      <c r="K3833" s="15"/>
      <c r="L3833" s="15"/>
      <c r="M3833" s="15"/>
    </row>
    <row r="3834" spans="1:13" x14ac:dyDescent="0.25">
      <c r="A3834" s="23">
        <f t="shared" si="181"/>
        <v>253687</v>
      </c>
      <c r="B3834" s="14" t="str">
        <f t="shared" si="182"/>
        <v>Direct Debit (UMB Bank) - Credits</v>
      </c>
      <c r="C3834" s="38">
        <v>46170</v>
      </c>
      <c r="D3834" s="34">
        <v>253687</v>
      </c>
      <c r="E3834" s="36" t="str">
        <f>IF(Table3[[#This Row],[Type Received]]=2,"CC",(IF(Table3[[#This Row],[Type Received]]=3,"BILL","ACH")))</f>
        <v>ACH</v>
      </c>
      <c r="F3834" s="35">
        <v>121.15</v>
      </c>
      <c r="G3834" s="14" t="str">
        <f>VLOOKUP(D3834,Table4[],3,FALSE)</f>
        <v>1</v>
      </c>
      <c r="H3834" s="15"/>
      <c r="I3834" s="15"/>
      <c r="J3834" s="15" t="s">
        <v>91</v>
      </c>
      <c r="K3834" s="15">
        <v>858344097</v>
      </c>
      <c r="L3834" s="15" t="s">
        <v>29</v>
      </c>
      <c r="M3834" s="15" t="s">
        <v>29</v>
      </c>
    </row>
    <row r="3835" spans="1:13" x14ac:dyDescent="0.25">
      <c r="A3835" s="23">
        <f t="shared" si="181"/>
        <v>253699</v>
      </c>
      <c r="B3835" s="14" t="str">
        <f t="shared" si="182"/>
        <v>Direct Debit (UMB Bank) - Credits</v>
      </c>
      <c r="C3835" s="37">
        <v>46146</v>
      </c>
      <c r="D3835" s="31">
        <v>253699</v>
      </c>
      <c r="E3835" s="33" t="str">
        <f>IF(Table3[[#This Row],[Type Received]]=2,"CC",(IF(Table3[[#This Row],[Type Received]]=3,"BILL","ACH")))</f>
        <v>ACH</v>
      </c>
      <c r="F3835" s="32">
        <v>81.64</v>
      </c>
      <c r="G3835" s="14" t="str">
        <f>VLOOKUP(D3835,Table4[],3,FALSE)</f>
        <v>2</v>
      </c>
      <c r="H3835" s="15"/>
      <c r="I3835" s="15"/>
      <c r="J3835" s="15" t="s">
        <v>92</v>
      </c>
      <c r="K3835" s="15">
        <v>558747924</v>
      </c>
      <c r="L3835" s="15" t="s">
        <v>29</v>
      </c>
      <c r="M3835" s="15" t="s">
        <v>29</v>
      </c>
    </row>
    <row r="3836" spans="1:13" x14ac:dyDescent="0.25">
      <c r="A3836" s="23">
        <f t="shared" si="181"/>
        <v>253757</v>
      </c>
      <c r="B3836" s="14" t="str">
        <f t="shared" si="182"/>
        <v>Billing - Credits (from TPA)</v>
      </c>
      <c r="C3836" s="38">
        <v>46169</v>
      </c>
      <c r="D3836" s="34">
        <v>253757</v>
      </c>
      <c r="E3836" s="36" t="str">
        <f>IF(Table3[[#This Row],[Type Received]]=2,"CC",(IF(Table3[[#This Row],[Type Received]]=3,"BILL","ACH")))</f>
        <v>BILL</v>
      </c>
      <c r="F3836" s="35">
        <v>39.950000000000003</v>
      </c>
      <c r="G3836" s="14" t="str">
        <f>VLOOKUP(D3836,Table4[],3,FALSE)</f>
        <v>1</v>
      </c>
      <c r="H3836" s="15"/>
      <c r="I3836" s="15"/>
      <c r="J3836" s="15" t="s">
        <v>117</v>
      </c>
      <c r="K3836" s="15">
        <v>840872573</v>
      </c>
      <c r="L3836" s="15" t="s">
        <v>29</v>
      </c>
      <c r="M3836" s="15" t="s">
        <v>29</v>
      </c>
    </row>
    <row r="3837" spans="1:13" x14ac:dyDescent="0.25">
      <c r="A3837" s="23">
        <f t="shared" si="181"/>
        <v>253762</v>
      </c>
      <c r="B3837" s="14" t="str">
        <f t="shared" si="182"/>
        <v>Direct Debit (UMB Bank) - Credits</v>
      </c>
      <c r="C3837" s="37">
        <v>46147</v>
      </c>
      <c r="D3837" s="31">
        <v>253762</v>
      </c>
      <c r="E3837" s="33" t="str">
        <f>IF(Table3[[#This Row],[Type Received]]=2,"CC",(IF(Table3[[#This Row],[Type Received]]=3,"BILL","ACH")))</f>
        <v>ACH</v>
      </c>
      <c r="F3837" s="32">
        <v>55.92</v>
      </c>
      <c r="G3837" s="14" t="str">
        <f>VLOOKUP(D3837,Table4[],3,FALSE)</f>
        <v>2</v>
      </c>
      <c r="H3837" s="15">
        <v>1020</v>
      </c>
      <c r="I3837" s="15"/>
      <c r="J3837" s="15"/>
      <c r="K3837" s="15"/>
      <c r="L3837" s="15"/>
      <c r="M3837" s="15"/>
    </row>
    <row r="3838" spans="1:13" x14ac:dyDescent="0.25">
      <c r="A3838" s="23">
        <f t="shared" si="181"/>
        <v>253763</v>
      </c>
      <c r="B3838" s="14" t="str">
        <f t="shared" si="182"/>
        <v>Credit Cards (UMB) - Credits</v>
      </c>
      <c r="C3838" s="38">
        <v>46157</v>
      </c>
      <c r="D3838" s="34">
        <v>253763</v>
      </c>
      <c r="E3838" s="36" t="str">
        <f>IF(Table3[[#This Row],[Type Received]]=2,"CC",(IF(Table3[[#This Row],[Type Received]]=3,"BILL","ACH")))</f>
        <v>CC</v>
      </c>
      <c r="F3838" s="35">
        <v>95.17</v>
      </c>
      <c r="G3838" s="14" t="str">
        <f>VLOOKUP(D3838,Table4[],3,FALSE)</f>
        <v>2</v>
      </c>
      <c r="H3838" s="15"/>
      <c r="I3838" s="15"/>
      <c r="J3838" s="15" t="s">
        <v>87</v>
      </c>
      <c r="K3838" s="15">
        <v>696611269</v>
      </c>
      <c r="L3838" s="15" t="s">
        <v>29</v>
      </c>
      <c r="M3838" s="15"/>
    </row>
    <row r="3839" spans="1:13" x14ac:dyDescent="0.25">
      <c r="A3839" s="23">
        <f t="shared" si="181"/>
        <v>253779</v>
      </c>
      <c r="B3839" s="14" t="str">
        <f t="shared" si="182"/>
        <v>Direct Debit (UMB Bank) - Credits</v>
      </c>
      <c r="C3839" s="37">
        <v>46155</v>
      </c>
      <c r="D3839" s="31">
        <v>253779</v>
      </c>
      <c r="E3839" s="33" t="str">
        <f>IF(Table3[[#This Row],[Type Received]]=2,"CC",(IF(Table3[[#This Row],[Type Received]]=3,"BILL","ACH")))</f>
        <v>ACH</v>
      </c>
      <c r="F3839" s="32">
        <v>72.400000000000006</v>
      </c>
      <c r="G3839" s="14" t="str">
        <f>VLOOKUP(D3839,Table4[],3,FALSE)</f>
        <v>2</v>
      </c>
      <c r="H3839" s="15"/>
      <c r="I3839" s="15">
        <v>903150</v>
      </c>
      <c r="J3839" s="15" t="s">
        <v>28</v>
      </c>
      <c r="K3839" s="15">
        <v>669499002</v>
      </c>
      <c r="L3839" s="15" t="s">
        <v>29</v>
      </c>
      <c r="M3839" s="15"/>
    </row>
    <row r="3840" spans="1:13" x14ac:dyDescent="0.25">
      <c r="A3840" s="23">
        <f t="shared" si="181"/>
        <v>253784</v>
      </c>
      <c r="B3840" s="14" t="str">
        <f t="shared" si="182"/>
        <v>Direct Debit (UMB Bank) - Credits</v>
      </c>
      <c r="C3840" s="38">
        <v>46169</v>
      </c>
      <c r="D3840" s="34">
        <v>253784</v>
      </c>
      <c r="E3840" s="36" t="str">
        <f>IF(Table3[[#This Row],[Type Received]]=2,"CC",(IF(Table3[[#This Row],[Type Received]]=3,"BILL","ACH")))</f>
        <v>ACH</v>
      </c>
      <c r="F3840" s="35">
        <v>59.2</v>
      </c>
      <c r="G3840" s="14" t="str">
        <f>VLOOKUP(D3840,Table4[],3,FALSE)</f>
        <v>2</v>
      </c>
      <c r="H3840" s="15"/>
      <c r="I3840" s="15"/>
      <c r="J3840" s="24" t="s">
        <v>117</v>
      </c>
      <c r="K3840" s="15">
        <v>840888107</v>
      </c>
      <c r="L3840" s="15" t="s">
        <v>29</v>
      </c>
      <c r="M3840" s="15" t="s">
        <v>29</v>
      </c>
    </row>
    <row r="3841" spans="1:13" x14ac:dyDescent="0.25">
      <c r="A3841" s="23">
        <f t="shared" si="181"/>
        <v>253797</v>
      </c>
      <c r="B3841" s="14" t="str">
        <f t="shared" si="182"/>
        <v>Credit Cards (UMB) - Credits</v>
      </c>
      <c r="C3841" s="37">
        <v>46157</v>
      </c>
      <c r="D3841" s="31">
        <v>253797</v>
      </c>
      <c r="E3841" s="33" t="str">
        <f>IF(Table3[[#This Row],[Type Received]]=2,"CC",(IF(Table3[[#This Row],[Type Received]]=3,"BILL","ACH")))</f>
        <v>CC</v>
      </c>
      <c r="F3841" s="32">
        <v>35.770000000000003</v>
      </c>
      <c r="G3841" s="14" t="str">
        <f>VLOOKUP(D3841,Table4[],3,FALSE)</f>
        <v>2</v>
      </c>
      <c r="H3841" s="15"/>
      <c r="I3841" s="15"/>
      <c r="J3841" s="15" t="s">
        <v>87</v>
      </c>
      <c r="K3841" s="15">
        <v>696824055</v>
      </c>
      <c r="L3841" s="15" t="s">
        <v>29</v>
      </c>
      <c r="M3841" s="15" t="s">
        <v>29</v>
      </c>
    </row>
    <row r="3842" spans="1:13" x14ac:dyDescent="0.25">
      <c r="A3842" s="23">
        <f t="shared" si="181"/>
        <v>253815</v>
      </c>
      <c r="B3842" s="14" t="str">
        <f t="shared" si="182"/>
        <v>Direct Debit (UMB Bank) - Credits</v>
      </c>
      <c r="C3842" s="38">
        <v>46171</v>
      </c>
      <c r="D3842" s="34">
        <v>253815</v>
      </c>
      <c r="E3842" s="36" t="str">
        <f>IF(Table3[[#This Row],[Type Received]]=2,"CC",(IF(Table3[[#This Row],[Type Received]]=3,"BILL","ACH")))</f>
        <v>ACH</v>
      </c>
      <c r="F3842" s="35">
        <v>104.46</v>
      </c>
      <c r="G3842" s="14" t="str">
        <f>VLOOKUP(D3842,Table4[],3,FALSE)</f>
        <v>1</v>
      </c>
      <c r="H3842" s="15"/>
      <c r="I3842" s="15">
        <v>91311</v>
      </c>
      <c r="J3842" s="15" t="s">
        <v>28</v>
      </c>
      <c r="K3842" s="15">
        <v>866970540</v>
      </c>
      <c r="L3842" s="15" t="s">
        <v>29</v>
      </c>
      <c r="M3842" s="15" t="s">
        <v>29</v>
      </c>
    </row>
    <row r="3843" spans="1:13" x14ac:dyDescent="0.25">
      <c r="A3843" s="23">
        <f t="shared" si="181"/>
        <v>253818</v>
      </c>
      <c r="B3843" s="14" t="str">
        <f t="shared" si="182"/>
        <v>Credit Cards (UMB) - Credits</v>
      </c>
      <c r="C3843" s="37">
        <v>46169</v>
      </c>
      <c r="D3843" s="31">
        <v>253818</v>
      </c>
      <c r="E3843" s="33" t="str">
        <f>IF(Table3[[#This Row],[Type Received]]=2,"CC",(IF(Table3[[#This Row],[Type Received]]=3,"BILL","ACH")))</f>
        <v>CC</v>
      </c>
      <c r="F3843" s="32">
        <v>92.86</v>
      </c>
      <c r="G3843" s="14" t="str">
        <f>VLOOKUP(D3843,Table4[],3,FALSE)</f>
        <v>2</v>
      </c>
      <c r="H3843" s="15"/>
      <c r="I3843" s="15"/>
      <c r="J3843" s="15" t="s">
        <v>117</v>
      </c>
      <c r="K3843" s="15">
        <v>840867883</v>
      </c>
      <c r="L3843" s="15" t="s">
        <v>29</v>
      </c>
      <c r="M3843" s="15"/>
    </row>
    <row r="3844" spans="1:13" x14ac:dyDescent="0.25">
      <c r="A3844" s="23">
        <f t="shared" si="181"/>
        <v>253835</v>
      </c>
      <c r="B3844" s="14" t="str">
        <f t="shared" si="182"/>
        <v>Direct Debit (UMB Bank) - Credits</v>
      </c>
      <c r="C3844" s="38">
        <v>46148</v>
      </c>
      <c r="D3844" s="34">
        <v>253835</v>
      </c>
      <c r="E3844" s="36" t="str">
        <f>IF(Table3[[#This Row],[Type Received]]=2,"CC",(IF(Table3[[#This Row],[Type Received]]=3,"BILL","ACH")))</f>
        <v>ACH</v>
      </c>
      <c r="F3844" s="35">
        <v>86.42</v>
      </c>
      <c r="G3844" s="14" t="str">
        <f>VLOOKUP(D3844,Table4[],3,FALSE)</f>
        <v>1</v>
      </c>
      <c r="H3844" s="15"/>
      <c r="I3844" s="15">
        <v>848379</v>
      </c>
      <c r="J3844" s="15" t="s">
        <v>28</v>
      </c>
      <c r="K3844" s="15">
        <v>587051363</v>
      </c>
      <c r="L3844" s="15" t="s">
        <v>29</v>
      </c>
      <c r="M3844" s="15" t="s">
        <v>29</v>
      </c>
    </row>
    <row r="3845" spans="1:13" x14ac:dyDescent="0.25">
      <c r="A3845" s="23">
        <f t="shared" si="181"/>
        <v>253845</v>
      </c>
      <c r="B3845" s="14" t="str">
        <f t="shared" si="182"/>
        <v>Direct Debit (UMB Bank) - Credits</v>
      </c>
      <c r="C3845" s="37">
        <v>46157</v>
      </c>
      <c r="D3845" s="31">
        <v>253845</v>
      </c>
      <c r="E3845" s="33" t="str">
        <f>IF(Table3[[#This Row],[Type Received]]=2,"CC",(IF(Table3[[#This Row],[Type Received]]=3,"BILL","ACH")))</f>
        <v>ACH</v>
      </c>
      <c r="F3845" s="32">
        <v>117.94</v>
      </c>
      <c r="G3845" s="14" t="str">
        <f>VLOOKUP(D3845,Table4[],3,FALSE)</f>
        <v>2</v>
      </c>
      <c r="H3845" s="15"/>
      <c r="I3845" s="15"/>
      <c r="J3845" s="15" t="s">
        <v>87</v>
      </c>
      <c r="K3845" s="15">
        <v>696849150</v>
      </c>
      <c r="L3845" s="15" t="s">
        <v>29</v>
      </c>
      <c r="M3845" s="15" t="s">
        <v>29</v>
      </c>
    </row>
    <row r="3846" spans="1:13" x14ac:dyDescent="0.25">
      <c r="A3846" s="23">
        <f t="shared" si="181"/>
        <v>253846</v>
      </c>
      <c r="B3846" s="14" t="str">
        <f t="shared" si="182"/>
        <v>Credit Cards (UMB) - Credits</v>
      </c>
      <c r="C3846" s="38">
        <v>46157</v>
      </c>
      <c r="D3846" s="34">
        <v>253846</v>
      </c>
      <c r="E3846" s="36" t="str">
        <f>IF(Table3[[#This Row],[Type Received]]=2,"CC",(IF(Table3[[#This Row],[Type Received]]=3,"BILL","ACH")))</f>
        <v>CC</v>
      </c>
      <c r="F3846" s="35">
        <v>38.85</v>
      </c>
      <c r="G3846" s="14" t="str">
        <f>VLOOKUP(D3846,Table4[],3,FALSE)</f>
        <v>1</v>
      </c>
      <c r="H3846" s="15"/>
      <c r="I3846" s="15"/>
      <c r="J3846" s="15" t="s">
        <v>87</v>
      </c>
      <c r="K3846" s="15">
        <v>696833749</v>
      </c>
      <c r="L3846" s="15" t="s">
        <v>29</v>
      </c>
      <c r="M3846" s="15"/>
    </row>
    <row r="3847" spans="1:13" x14ac:dyDescent="0.25">
      <c r="A3847" s="23">
        <f t="shared" si="181"/>
        <v>253854</v>
      </c>
      <c r="B3847" s="14" t="str">
        <f t="shared" si="182"/>
        <v>Direct Debit (UMB Bank) - Credits</v>
      </c>
      <c r="C3847" s="37">
        <v>46147</v>
      </c>
      <c r="D3847" s="31">
        <v>253854</v>
      </c>
      <c r="E3847" s="33" t="str">
        <f>IF(Table3[[#This Row],[Type Received]]=2,"CC",(IF(Table3[[#This Row],[Type Received]]=3,"BILL","ACH")))</f>
        <v>ACH</v>
      </c>
      <c r="F3847" s="32">
        <v>107.98</v>
      </c>
      <c r="G3847" s="14" t="str">
        <f>VLOOKUP(D3847,Table4[],3,FALSE)</f>
        <v>1</v>
      </c>
      <c r="H3847" s="15"/>
      <c r="I3847" s="15">
        <v>657045</v>
      </c>
      <c r="J3847" s="15" t="s">
        <v>28</v>
      </c>
      <c r="K3847" s="15">
        <v>572071989</v>
      </c>
      <c r="L3847" s="15" t="s">
        <v>29</v>
      </c>
      <c r="M3847" s="15" t="s">
        <v>29</v>
      </c>
    </row>
    <row r="3848" spans="1:13" x14ac:dyDescent="0.25">
      <c r="A3848" s="23">
        <f t="shared" si="181"/>
        <v>253864</v>
      </c>
      <c r="B3848" s="14" t="str">
        <f t="shared" si="182"/>
        <v>Direct Debit (UMB Bank) - Credits</v>
      </c>
      <c r="C3848" s="38">
        <v>46144</v>
      </c>
      <c r="D3848" s="34">
        <v>253864</v>
      </c>
      <c r="E3848" s="36" t="str">
        <f>IF(Table3[[#This Row],[Type Received]]=2,"CC",(IF(Table3[[#This Row],[Type Received]]=3,"BILL","ACH")))</f>
        <v>ACH</v>
      </c>
      <c r="F3848" s="35">
        <v>177.67</v>
      </c>
      <c r="G3848" s="14" t="str">
        <f>VLOOKUP(D3848,Table4[],3,FALSE)</f>
        <v>2</v>
      </c>
      <c r="H3848" s="15"/>
      <c r="I3848" s="15"/>
      <c r="J3848" s="15" t="s">
        <v>89</v>
      </c>
      <c r="K3848" s="15">
        <v>535420000</v>
      </c>
      <c r="L3848" s="15" t="s">
        <v>29</v>
      </c>
      <c r="M3848" s="15" t="s">
        <v>29</v>
      </c>
    </row>
    <row r="3849" spans="1:13" x14ac:dyDescent="0.25">
      <c r="A3849" s="23">
        <f t="shared" si="181"/>
        <v>253865</v>
      </c>
      <c r="B3849" s="14" t="str">
        <f t="shared" si="182"/>
        <v>Direct Debit (UMB Bank) - Credits</v>
      </c>
      <c r="C3849" s="37">
        <v>46155</v>
      </c>
      <c r="D3849" s="31">
        <v>253865</v>
      </c>
      <c r="E3849" s="33" t="str">
        <f>IF(Table3[[#This Row],[Type Received]]=2,"CC",(IF(Table3[[#This Row],[Type Received]]=3,"BILL","ACH")))</f>
        <v>ACH</v>
      </c>
      <c r="F3849" s="32">
        <v>92.53</v>
      </c>
      <c r="G3849" s="14" t="str">
        <f>VLOOKUP(D3849,Table4[],3,FALSE)</f>
        <v>2</v>
      </c>
      <c r="H3849" s="15"/>
      <c r="I3849" s="15"/>
      <c r="J3849" s="15" t="s">
        <v>90</v>
      </c>
      <c r="K3849" s="15">
        <v>669500985</v>
      </c>
      <c r="L3849" s="15" t="s">
        <v>29</v>
      </c>
      <c r="M3849" s="15" t="s">
        <v>29</v>
      </c>
    </row>
    <row r="3850" spans="1:13" x14ac:dyDescent="0.25">
      <c r="A3850" s="23">
        <f t="shared" si="181"/>
        <v>253866</v>
      </c>
      <c r="B3850" s="14" t="str">
        <f t="shared" si="182"/>
        <v>Billing - Credits (from TPA)</v>
      </c>
      <c r="C3850" s="38">
        <v>46155</v>
      </c>
      <c r="D3850" s="34">
        <v>253866</v>
      </c>
      <c r="E3850" s="36" t="str">
        <f>IF(Table3[[#This Row],[Type Received]]=2,"CC",(IF(Table3[[#This Row],[Type Received]]=3,"BILL","ACH")))</f>
        <v>BILL</v>
      </c>
      <c r="F3850" s="35">
        <v>38.630000000000003</v>
      </c>
      <c r="G3850" s="14" t="str">
        <f>VLOOKUP(D3850,Table4[],3,FALSE)</f>
        <v>1</v>
      </c>
      <c r="H3850" s="15"/>
      <c r="I3850" s="15"/>
      <c r="J3850" s="15" t="s">
        <v>90</v>
      </c>
      <c r="K3850" s="15">
        <v>669505873</v>
      </c>
      <c r="L3850" s="15" t="s">
        <v>29</v>
      </c>
      <c r="M3850" s="15" t="s">
        <v>29</v>
      </c>
    </row>
    <row r="3851" spans="1:13" x14ac:dyDescent="0.25">
      <c r="A3851" s="23">
        <f t="shared" si="181"/>
        <v>253875</v>
      </c>
      <c r="B3851" s="14" t="str">
        <f t="shared" si="182"/>
        <v>Direct Debit (UMB Bank) - Credits</v>
      </c>
      <c r="C3851" s="37">
        <v>46168</v>
      </c>
      <c r="D3851" s="31">
        <v>253875</v>
      </c>
      <c r="E3851" s="33" t="str">
        <f>IF(Table3[[#This Row],[Type Received]]=2,"CC",(IF(Table3[[#This Row],[Type Received]]=3,"BILL","ACH")))</f>
        <v>ACH</v>
      </c>
      <c r="F3851" s="32">
        <v>126.87</v>
      </c>
      <c r="G3851" s="14" t="str">
        <f>VLOOKUP(D3851,Table4[],3,FALSE)</f>
        <v>2</v>
      </c>
      <c r="H3851" s="15">
        <v>1149738926</v>
      </c>
      <c r="I3851" s="15"/>
      <c r="J3851" s="15"/>
      <c r="K3851" s="15"/>
      <c r="L3851" s="15"/>
      <c r="M3851" s="15"/>
    </row>
    <row r="3852" spans="1:13" x14ac:dyDescent="0.25">
      <c r="A3852" s="23">
        <f t="shared" si="181"/>
        <v>253887</v>
      </c>
      <c r="B3852" s="14" t="str">
        <f t="shared" si="182"/>
        <v>Direct Debit (UMB Bank) - Credits</v>
      </c>
      <c r="C3852" s="38">
        <v>46155</v>
      </c>
      <c r="D3852" s="34">
        <v>253887</v>
      </c>
      <c r="E3852" s="36" t="str">
        <f>IF(Table3[[#This Row],[Type Received]]=2,"CC",(IF(Table3[[#This Row],[Type Received]]=3,"BILL","ACH")))</f>
        <v>ACH</v>
      </c>
      <c r="F3852" s="35">
        <v>53.37</v>
      </c>
      <c r="G3852" s="14" t="str">
        <f>VLOOKUP(D3852,Table4[],3,FALSE)</f>
        <v>1</v>
      </c>
      <c r="H3852" s="15"/>
      <c r="I3852" s="15"/>
      <c r="J3852" s="15" t="s">
        <v>90</v>
      </c>
      <c r="K3852" s="15">
        <v>669501012</v>
      </c>
      <c r="L3852" s="15" t="s">
        <v>29</v>
      </c>
      <c r="M3852" s="15"/>
    </row>
    <row r="3853" spans="1:13" x14ac:dyDescent="0.25">
      <c r="A3853" s="23">
        <f t="shared" si="181"/>
        <v>253902</v>
      </c>
      <c r="B3853" s="14" t="str">
        <f t="shared" si="182"/>
        <v>Direct Debit (UMB Bank) - Credits</v>
      </c>
      <c r="C3853" s="37">
        <v>46155</v>
      </c>
      <c r="D3853" s="31">
        <v>253902</v>
      </c>
      <c r="E3853" s="33" t="str">
        <f>IF(Table3[[#This Row],[Type Received]]=2,"CC",(IF(Table3[[#This Row],[Type Received]]=3,"BILL","ACH")))</f>
        <v>ACH</v>
      </c>
      <c r="F3853" s="32">
        <v>114.97</v>
      </c>
      <c r="G3853" s="14" t="str">
        <f>VLOOKUP(D3853,Table4[],3,FALSE)</f>
        <v>2</v>
      </c>
      <c r="H3853" s="15"/>
      <c r="I3853" s="15"/>
      <c r="J3853" s="15" t="s">
        <v>90</v>
      </c>
      <c r="K3853" s="15">
        <v>669503974</v>
      </c>
      <c r="L3853" s="15" t="s">
        <v>29</v>
      </c>
      <c r="M3853" s="15" t="s">
        <v>29</v>
      </c>
    </row>
    <row r="3854" spans="1:13" x14ac:dyDescent="0.25">
      <c r="A3854" s="23">
        <f t="shared" si="181"/>
        <v>253931</v>
      </c>
      <c r="B3854" s="14" t="str">
        <f t="shared" si="182"/>
        <v>Direct Debit (UMB Bank) - Credits</v>
      </c>
      <c r="C3854" s="38">
        <v>46144</v>
      </c>
      <c r="D3854" s="34">
        <v>253931</v>
      </c>
      <c r="E3854" s="36" t="str">
        <f>IF(Table3[[#This Row],[Type Received]]=2,"CC",(IF(Table3[[#This Row],[Type Received]]=3,"BILL","ACH")))</f>
        <v>ACH</v>
      </c>
      <c r="F3854" s="35">
        <v>92.97</v>
      </c>
      <c r="G3854" s="14" t="str">
        <f>VLOOKUP(D3854,Table4[],3,FALSE)</f>
        <v>1</v>
      </c>
      <c r="H3854" s="15"/>
      <c r="I3854" s="15"/>
      <c r="J3854" s="15" t="s">
        <v>89</v>
      </c>
      <c r="K3854" s="15">
        <v>535322084</v>
      </c>
      <c r="L3854" s="15" t="s">
        <v>29</v>
      </c>
      <c r="M3854" s="15"/>
    </row>
    <row r="3855" spans="1:13" x14ac:dyDescent="0.25">
      <c r="A3855" s="23">
        <f t="shared" si="181"/>
        <v>254145</v>
      </c>
      <c r="B3855" s="14" t="str">
        <f t="shared" si="182"/>
        <v>Direct Debit (UMB Bank) - Credits</v>
      </c>
      <c r="C3855" s="37">
        <v>46166</v>
      </c>
      <c r="D3855" s="31">
        <v>254145</v>
      </c>
      <c r="E3855" s="33" t="str">
        <f>IF(Table3[[#This Row],[Type Received]]=2,"CC",(IF(Table3[[#This Row],[Type Received]]=3,"BILL","ACH")))</f>
        <v>ACH</v>
      </c>
      <c r="F3855" s="32">
        <v>113.32</v>
      </c>
      <c r="G3855" s="14" t="str">
        <f>VLOOKUP(D3855,Table4[],3,FALSE)</f>
        <v>2</v>
      </c>
      <c r="H3855" s="15"/>
      <c r="I3855" s="15"/>
      <c r="J3855" s="15" t="s">
        <v>310</v>
      </c>
      <c r="K3855" s="15">
        <v>808472515</v>
      </c>
      <c r="L3855" s="15" t="s">
        <v>29</v>
      </c>
      <c r="M3855" s="15"/>
    </row>
    <row r="3856" spans="1:13" x14ac:dyDescent="0.25">
      <c r="A3856" s="23">
        <f t="shared" si="181"/>
        <v>254160</v>
      </c>
      <c r="B3856" s="14" t="str">
        <f t="shared" si="182"/>
        <v>Direct Debit (UMB Bank) - Credits</v>
      </c>
      <c r="C3856" s="38">
        <v>46166</v>
      </c>
      <c r="D3856" s="34">
        <v>254160</v>
      </c>
      <c r="E3856" s="36" t="str">
        <f>IF(Table3[[#This Row],[Type Received]]=2,"CC",(IF(Table3[[#This Row],[Type Received]]=3,"BILL","ACH")))</f>
        <v>ACH</v>
      </c>
      <c r="F3856" s="35">
        <v>102.43</v>
      </c>
      <c r="G3856" s="14" t="str">
        <f>VLOOKUP(D3856,Table4[],3,FALSE)</f>
        <v>2</v>
      </c>
      <c r="H3856" s="15"/>
      <c r="I3856" s="15"/>
      <c r="J3856" s="15" t="s">
        <v>310</v>
      </c>
      <c r="K3856" s="15">
        <v>808481275</v>
      </c>
      <c r="L3856" s="15" t="s">
        <v>29</v>
      </c>
      <c r="M3856" s="15"/>
    </row>
    <row r="3857" spans="1:13" x14ac:dyDescent="0.25">
      <c r="A3857" s="23">
        <f t="shared" si="181"/>
        <v>254161</v>
      </c>
      <c r="B3857" s="14" t="str">
        <f t="shared" si="182"/>
        <v>Direct Debit (UMB Bank) - Credits</v>
      </c>
      <c r="C3857" s="37">
        <v>46155</v>
      </c>
      <c r="D3857" s="31">
        <v>254161</v>
      </c>
      <c r="E3857" s="33" t="str">
        <f>IF(Table3[[#This Row],[Type Received]]=2,"CC",(IF(Table3[[#This Row],[Type Received]]=3,"BILL","ACH")))</f>
        <v>ACH</v>
      </c>
      <c r="F3857" s="32">
        <v>87.91</v>
      </c>
      <c r="G3857" s="14" t="str">
        <f>VLOOKUP(D3857,Table4[],3,FALSE)</f>
        <v>2</v>
      </c>
      <c r="H3857" s="15"/>
      <c r="I3857" s="15"/>
      <c r="J3857" s="15" t="s">
        <v>90</v>
      </c>
      <c r="K3857" s="15">
        <v>669458488</v>
      </c>
      <c r="L3857" s="15" t="s">
        <v>29</v>
      </c>
      <c r="M3857" s="15" t="s">
        <v>29</v>
      </c>
    </row>
    <row r="3858" spans="1:13" x14ac:dyDescent="0.25">
      <c r="A3858" s="23">
        <f t="shared" si="181"/>
        <v>254163</v>
      </c>
      <c r="B3858" s="14" t="str">
        <f t="shared" si="182"/>
        <v>Billing - Credits (from TPA)</v>
      </c>
      <c r="C3858" s="38">
        <v>46166</v>
      </c>
      <c r="D3858" s="34">
        <v>254163</v>
      </c>
      <c r="E3858" s="36" t="str">
        <f>IF(Table3[[#This Row],[Type Received]]=2,"CC",(IF(Table3[[#This Row],[Type Received]]=3,"BILL","ACH")))</f>
        <v>BILL</v>
      </c>
      <c r="F3858" s="35">
        <v>62.17</v>
      </c>
      <c r="G3858" s="14" t="str">
        <f>VLOOKUP(D3858,Table4[],3,FALSE)</f>
        <v>2</v>
      </c>
      <c r="H3858" s="15"/>
      <c r="I3858" s="15"/>
      <c r="J3858" s="15" t="s">
        <v>310</v>
      </c>
      <c r="K3858" s="15">
        <v>808483249</v>
      </c>
      <c r="L3858" s="15" t="s">
        <v>29</v>
      </c>
      <c r="M3858" s="15"/>
    </row>
    <row r="3859" spans="1:13" x14ac:dyDescent="0.25">
      <c r="A3859" s="23">
        <f t="shared" ref="A3859:A3888" si="183">D3859</f>
        <v>254186</v>
      </c>
      <c r="B3859" s="14" t="str">
        <f t="shared" si="182"/>
        <v>Direct Debit (UMB Bank) - Credits</v>
      </c>
      <c r="C3859" s="37">
        <v>46149</v>
      </c>
      <c r="D3859" s="31">
        <v>254186</v>
      </c>
      <c r="E3859" s="33" t="str">
        <f>IF(Table3[[#This Row],[Type Received]]=2,"CC",(IF(Table3[[#This Row],[Type Received]]=3,"BILL","ACH")))</f>
        <v>ACH</v>
      </c>
      <c r="F3859" s="32">
        <v>134.41</v>
      </c>
      <c r="G3859" s="14" t="str">
        <f>VLOOKUP(D3859,Table4[],3,FALSE)</f>
        <v>1</v>
      </c>
      <c r="H3859" s="15">
        <v>4051</v>
      </c>
      <c r="I3859" s="15"/>
      <c r="J3859" s="15"/>
      <c r="K3859" s="15"/>
      <c r="L3859" s="15"/>
      <c r="M3859" s="15" t="s">
        <v>29</v>
      </c>
    </row>
    <row r="3860" spans="1:13" x14ac:dyDescent="0.25">
      <c r="A3860" s="23">
        <f t="shared" si="183"/>
        <v>254200</v>
      </c>
      <c r="B3860" s="14" t="str">
        <f t="shared" si="182"/>
        <v>Direct Debit (UMB Bank) - Credits</v>
      </c>
      <c r="C3860" s="38">
        <v>46166</v>
      </c>
      <c r="D3860" s="34">
        <v>254200</v>
      </c>
      <c r="E3860" s="36" t="str">
        <f>IF(Table3[[#This Row],[Type Received]]=2,"CC",(IF(Table3[[#This Row],[Type Received]]=3,"BILL","ACH")))</f>
        <v>ACH</v>
      </c>
      <c r="F3860" s="35">
        <v>68.55</v>
      </c>
      <c r="G3860" s="14" t="str">
        <f>VLOOKUP(D3860,Table4[],3,FALSE)</f>
        <v>1</v>
      </c>
      <c r="H3860" s="15"/>
      <c r="I3860" s="15"/>
      <c r="J3860" s="15" t="s">
        <v>310</v>
      </c>
      <c r="K3860" s="15">
        <v>808478359</v>
      </c>
      <c r="L3860" s="15" t="s">
        <v>29</v>
      </c>
      <c r="M3860" s="15" t="s">
        <v>29</v>
      </c>
    </row>
    <row r="3861" spans="1:13" x14ac:dyDescent="0.25">
      <c r="A3861" s="23">
        <f t="shared" si="183"/>
        <v>254217</v>
      </c>
      <c r="B3861" s="14" t="str">
        <f t="shared" si="182"/>
        <v>Direct Debit (UMB Bank) - Credits</v>
      </c>
      <c r="C3861" s="37">
        <v>46166</v>
      </c>
      <c r="D3861" s="31">
        <v>254217</v>
      </c>
      <c r="E3861" s="33" t="str">
        <f>IF(Table3[[#This Row],[Type Received]]=2,"CC",(IF(Table3[[#This Row],[Type Received]]=3,"BILL","ACH")))</f>
        <v>ACH</v>
      </c>
      <c r="F3861" s="32">
        <v>51.94</v>
      </c>
      <c r="G3861" s="14" t="str">
        <f>VLOOKUP(D3861,Table4[],3,FALSE)</f>
        <v>2</v>
      </c>
      <c r="H3861" s="15"/>
      <c r="I3861" s="15"/>
      <c r="J3861" s="15" t="s">
        <v>310</v>
      </c>
      <c r="K3861" s="15">
        <v>808470568</v>
      </c>
      <c r="L3861" s="15" t="s">
        <v>29</v>
      </c>
      <c r="M3861" s="15" t="s">
        <v>29</v>
      </c>
    </row>
    <row r="3862" spans="1:13" x14ac:dyDescent="0.25">
      <c r="A3862" s="23">
        <f t="shared" si="183"/>
        <v>254221</v>
      </c>
      <c r="B3862" s="14" t="str">
        <f t="shared" si="182"/>
        <v>Direct Debit (UMB Bank) - Credits</v>
      </c>
      <c r="C3862" s="38">
        <v>46145</v>
      </c>
      <c r="D3862" s="34">
        <v>254221</v>
      </c>
      <c r="E3862" s="36" t="str">
        <f>IF(Table3[[#This Row],[Type Received]]=2,"CC",(IF(Table3[[#This Row],[Type Received]]=3,"BILL","ACH")))</f>
        <v>ACH</v>
      </c>
      <c r="F3862" s="35">
        <v>99.13</v>
      </c>
      <c r="G3862" s="14" t="str">
        <f>VLOOKUP(D3862,Table4[],3,FALSE)</f>
        <v>2</v>
      </c>
      <c r="H3862" s="15"/>
      <c r="I3862" s="15"/>
      <c r="J3862" s="15" t="s">
        <v>113</v>
      </c>
      <c r="K3862" s="15">
        <v>546397889</v>
      </c>
      <c r="L3862" s="15" t="s">
        <v>29</v>
      </c>
      <c r="M3862" s="15"/>
    </row>
    <row r="3863" spans="1:13" x14ac:dyDescent="0.25">
      <c r="A3863" s="23">
        <f t="shared" si="183"/>
        <v>254227</v>
      </c>
      <c r="B3863" s="14" t="str">
        <f t="shared" si="182"/>
        <v>Direct Debit (UMB Bank) - Credits</v>
      </c>
      <c r="C3863" s="37">
        <v>46169</v>
      </c>
      <c r="D3863" s="31">
        <v>254227</v>
      </c>
      <c r="E3863" s="33" t="str">
        <f>IF(Table3[[#This Row],[Type Received]]=2,"CC",(IF(Table3[[#This Row],[Type Received]]=3,"BILL","ACH")))</f>
        <v>ACH</v>
      </c>
      <c r="F3863" s="32">
        <v>54.03</v>
      </c>
      <c r="G3863" s="14" t="str">
        <f>VLOOKUP(D3863,Table4[],3,FALSE)</f>
        <v>1</v>
      </c>
      <c r="H3863" s="15"/>
      <c r="I3863" s="15"/>
      <c r="J3863" s="15" t="s">
        <v>117</v>
      </c>
      <c r="K3863" s="15">
        <v>840873616</v>
      </c>
      <c r="L3863" s="15" t="s">
        <v>29</v>
      </c>
      <c r="M3863" s="15"/>
    </row>
    <row r="3864" spans="1:13" x14ac:dyDescent="0.25">
      <c r="A3864" s="23">
        <f t="shared" si="183"/>
        <v>253947</v>
      </c>
      <c r="B3864" s="14" t="str">
        <f t="shared" si="182"/>
        <v>Direct Debit (UMB Bank) - Credits</v>
      </c>
      <c r="C3864" s="38">
        <v>46144</v>
      </c>
      <c r="D3864" s="34">
        <v>253947</v>
      </c>
      <c r="E3864" s="36" t="str">
        <f>IF(Table3[[#This Row],[Type Received]]=2,"CC",(IF(Table3[[#This Row],[Type Received]]=3,"BILL","ACH")))</f>
        <v>ACH</v>
      </c>
      <c r="F3864" s="35">
        <v>53.92</v>
      </c>
      <c r="G3864" s="14" t="str">
        <f>VLOOKUP(D3864,Table4[],3,FALSE)</f>
        <v>2</v>
      </c>
      <c r="H3864" s="15"/>
      <c r="I3864" s="15"/>
      <c r="J3864" s="15" t="s">
        <v>89</v>
      </c>
      <c r="K3864" s="15">
        <v>535433481</v>
      </c>
      <c r="L3864" s="15" t="s">
        <v>29</v>
      </c>
      <c r="M3864" s="15" t="s">
        <v>29</v>
      </c>
    </row>
    <row r="3865" spans="1:13" x14ac:dyDescent="0.25">
      <c r="A3865" s="23">
        <f t="shared" si="183"/>
        <v>253970</v>
      </c>
      <c r="B3865" s="14" t="str">
        <f t="shared" si="182"/>
        <v>Direct Debit (UMB Bank) - Credits</v>
      </c>
      <c r="C3865" s="37">
        <v>46155</v>
      </c>
      <c r="D3865" s="31">
        <v>253970</v>
      </c>
      <c r="E3865" s="33" t="str">
        <f>IF(Table3[[#This Row],[Type Received]]=2,"CC",(IF(Table3[[#This Row],[Type Received]]=3,"BILL","ACH")))</f>
        <v>ACH</v>
      </c>
      <c r="F3865" s="32">
        <v>108.04</v>
      </c>
      <c r="G3865" s="14" t="str">
        <f>VLOOKUP(D3865,Table4[],3,FALSE)</f>
        <v>2</v>
      </c>
      <c r="H3865" s="15"/>
      <c r="I3865" s="15"/>
      <c r="J3865" s="15" t="s">
        <v>90</v>
      </c>
      <c r="K3865" s="15">
        <v>669513391</v>
      </c>
      <c r="L3865" s="15" t="s">
        <v>29</v>
      </c>
      <c r="M3865" s="15"/>
    </row>
    <row r="3866" spans="1:13" x14ac:dyDescent="0.25">
      <c r="A3866" s="23">
        <f t="shared" si="183"/>
        <v>253973</v>
      </c>
      <c r="B3866" s="14" t="str">
        <f t="shared" si="182"/>
        <v>Credit Cards (UMB) - Credits</v>
      </c>
      <c r="C3866" s="38">
        <v>46169</v>
      </c>
      <c r="D3866" s="34">
        <v>253973</v>
      </c>
      <c r="E3866" s="36" t="str">
        <f>IF(Table3[[#This Row],[Type Received]]=2,"CC",(IF(Table3[[#This Row],[Type Received]]=3,"BILL","ACH")))</f>
        <v>CC</v>
      </c>
      <c r="F3866" s="35">
        <v>74.27</v>
      </c>
      <c r="G3866" s="14" t="str">
        <f>VLOOKUP(D3866,Table4[],3,FALSE)</f>
        <v>1</v>
      </c>
      <c r="H3866" s="15"/>
      <c r="I3866" s="15"/>
      <c r="J3866" s="15" t="s">
        <v>117</v>
      </c>
      <c r="K3866" s="15">
        <v>840874596</v>
      </c>
      <c r="L3866" s="15" t="s">
        <v>29</v>
      </c>
      <c r="M3866" s="15"/>
    </row>
    <row r="3867" spans="1:13" x14ac:dyDescent="0.25">
      <c r="A3867" s="23">
        <f t="shared" si="183"/>
        <v>253978</v>
      </c>
      <c r="B3867" s="14" t="str">
        <f t="shared" si="182"/>
        <v>Direct Debit (UMB Bank) - Credits</v>
      </c>
      <c r="C3867" s="37">
        <v>46157</v>
      </c>
      <c r="D3867" s="31">
        <v>253978</v>
      </c>
      <c r="E3867" s="33" t="str">
        <f>IF(Table3[[#This Row],[Type Received]]=2,"CC",(IF(Table3[[#This Row],[Type Received]]=3,"BILL","ACH")))</f>
        <v>ACH</v>
      </c>
      <c r="F3867" s="32">
        <v>46.55</v>
      </c>
      <c r="G3867" s="14" t="str">
        <f>VLOOKUP(D3867,Table4[],3,FALSE)</f>
        <v>1</v>
      </c>
      <c r="H3867" s="15"/>
      <c r="I3867" s="15">
        <v>15110</v>
      </c>
      <c r="J3867" s="24" t="s">
        <v>28</v>
      </c>
      <c r="K3867" s="15">
        <v>696833766</v>
      </c>
      <c r="L3867" s="15" t="s">
        <v>29</v>
      </c>
      <c r="M3867" s="15"/>
    </row>
    <row r="3868" spans="1:13" x14ac:dyDescent="0.25">
      <c r="A3868" s="23">
        <f t="shared" si="183"/>
        <v>253990</v>
      </c>
      <c r="B3868" s="14" t="str">
        <f t="shared" si="182"/>
        <v>Direct Debit (UMB Bank) - Credits</v>
      </c>
      <c r="C3868" s="38">
        <v>46155</v>
      </c>
      <c r="D3868" s="34">
        <v>253990</v>
      </c>
      <c r="E3868" s="36" t="str">
        <f>IF(Table3[[#This Row],[Type Received]]=2,"CC",(IF(Table3[[#This Row],[Type Received]]=3,"BILL","ACH")))</f>
        <v>ACH</v>
      </c>
      <c r="F3868" s="35">
        <v>70.42</v>
      </c>
      <c r="G3868" s="14" t="str">
        <f>VLOOKUP(D3868,Table4[],3,FALSE)</f>
        <v>2</v>
      </c>
      <c r="H3868" s="15"/>
      <c r="I3868" s="15"/>
      <c r="J3868" s="15" t="s">
        <v>90</v>
      </c>
      <c r="K3868" s="15">
        <v>669504756</v>
      </c>
      <c r="L3868" s="15" t="s">
        <v>29</v>
      </c>
      <c r="M3868" s="15" t="s">
        <v>29</v>
      </c>
    </row>
    <row r="3869" spans="1:13" x14ac:dyDescent="0.25">
      <c r="A3869" s="23">
        <f t="shared" si="183"/>
        <v>253992</v>
      </c>
      <c r="B3869" s="14" t="str">
        <f t="shared" si="182"/>
        <v>Credit Cards (UMB) - Credits</v>
      </c>
      <c r="C3869" s="37">
        <v>46155</v>
      </c>
      <c r="D3869" s="31">
        <v>253992</v>
      </c>
      <c r="E3869" s="33" t="str">
        <f>IF(Table3[[#This Row],[Type Received]]=2,"CC",(IF(Table3[[#This Row],[Type Received]]=3,"BILL","ACH")))</f>
        <v>CC</v>
      </c>
      <c r="F3869" s="32">
        <v>59.86</v>
      </c>
      <c r="G3869" s="14" t="str">
        <f>VLOOKUP(D3869,Table4[],3,FALSE)</f>
        <v>2</v>
      </c>
      <c r="H3869" s="15"/>
      <c r="I3869" s="15"/>
      <c r="J3869" s="15" t="s">
        <v>90</v>
      </c>
      <c r="K3869" s="15">
        <v>669499948</v>
      </c>
      <c r="L3869" s="15" t="s">
        <v>29</v>
      </c>
      <c r="M3869" s="15"/>
    </row>
    <row r="3870" spans="1:13" x14ac:dyDescent="0.25">
      <c r="A3870" s="23">
        <f t="shared" si="183"/>
        <v>253996</v>
      </c>
      <c r="B3870" s="14" t="str">
        <f t="shared" si="182"/>
        <v>Direct Debit (UMB Bank) - Credits</v>
      </c>
      <c r="C3870" s="38">
        <v>46148</v>
      </c>
      <c r="D3870" s="34">
        <v>253996</v>
      </c>
      <c r="E3870" s="36" t="str">
        <f>IF(Table3[[#This Row],[Type Received]]=2,"CC",(IF(Table3[[#This Row],[Type Received]]=3,"BILL","ACH")))</f>
        <v>ACH</v>
      </c>
      <c r="F3870" s="35">
        <v>105.56</v>
      </c>
      <c r="G3870" s="14" t="str">
        <f>VLOOKUP(D3870,Table4[],3,FALSE)</f>
        <v>2</v>
      </c>
      <c r="H3870" s="15"/>
      <c r="I3870" s="15">
        <v>365874</v>
      </c>
      <c r="J3870" s="15" t="s">
        <v>28</v>
      </c>
      <c r="K3870" s="15">
        <v>585592409</v>
      </c>
      <c r="L3870" s="15" t="s">
        <v>29</v>
      </c>
      <c r="M3870" s="15" t="s">
        <v>29</v>
      </c>
    </row>
    <row r="3871" spans="1:13" x14ac:dyDescent="0.25">
      <c r="A3871" s="23">
        <f t="shared" si="183"/>
        <v>254012</v>
      </c>
      <c r="B3871" s="14" t="str">
        <f t="shared" si="182"/>
        <v>Billing - Credits (from TPA)</v>
      </c>
      <c r="C3871" s="37">
        <v>46161</v>
      </c>
      <c r="D3871" s="31">
        <v>254012</v>
      </c>
      <c r="E3871" s="33" t="str">
        <f>IF(Table3[[#This Row],[Type Received]]=2,"CC",(IF(Table3[[#This Row],[Type Received]]=3,"BILL","ACH")))</f>
        <v>BILL</v>
      </c>
      <c r="F3871" s="32">
        <v>61.95</v>
      </c>
      <c r="G3871" s="14" t="str">
        <f>VLOOKUP(D3871,Table4[],3,FALSE)</f>
        <v>1</v>
      </c>
      <c r="H3871" s="15"/>
      <c r="I3871" s="15"/>
      <c r="J3871" s="15" t="s">
        <v>220</v>
      </c>
      <c r="K3871" s="15">
        <v>745078118</v>
      </c>
      <c r="L3871" s="15" t="s">
        <v>29</v>
      </c>
      <c r="M3871" s="15" t="s">
        <v>29</v>
      </c>
    </row>
    <row r="3872" spans="1:13" x14ac:dyDescent="0.25">
      <c r="A3872" s="23">
        <f t="shared" si="183"/>
        <v>254019</v>
      </c>
      <c r="B3872" s="14" t="str">
        <f t="shared" si="182"/>
        <v>Credit Cards (UMB) - Credits</v>
      </c>
      <c r="C3872" s="38">
        <v>46146</v>
      </c>
      <c r="D3872" s="34">
        <v>254019</v>
      </c>
      <c r="E3872" s="36" t="str">
        <f>IF(Table3[[#This Row],[Type Received]]=2,"CC",(IF(Table3[[#This Row],[Type Received]]=3,"BILL","ACH")))</f>
        <v>CC</v>
      </c>
      <c r="F3872" s="35">
        <v>63.61</v>
      </c>
      <c r="G3872" s="14" t="str">
        <f>VLOOKUP(D3872,Table4[],3,FALSE)</f>
        <v>2</v>
      </c>
      <c r="H3872" s="15">
        <v>9079</v>
      </c>
      <c r="I3872" s="15"/>
      <c r="J3872" s="15"/>
      <c r="K3872" s="15"/>
      <c r="L3872" s="15"/>
      <c r="M3872" s="15" t="s">
        <v>29</v>
      </c>
    </row>
    <row r="3873" spans="1:13" x14ac:dyDescent="0.25">
      <c r="A3873" s="23">
        <f t="shared" si="183"/>
        <v>254022</v>
      </c>
      <c r="B3873" s="14" t="str">
        <f t="shared" si="182"/>
        <v>Direct Debit (UMB Bank) - Credits</v>
      </c>
      <c r="C3873" s="37">
        <v>46155</v>
      </c>
      <c r="D3873" s="31">
        <v>254022</v>
      </c>
      <c r="E3873" s="33" t="str">
        <f>IF(Table3[[#This Row],[Type Received]]=2,"CC",(IF(Table3[[#This Row],[Type Received]]=3,"BILL","ACH")))</f>
        <v>ACH</v>
      </c>
      <c r="F3873" s="32">
        <v>59.2</v>
      </c>
      <c r="G3873" s="14" t="str">
        <f>VLOOKUP(D3873,Table4[],3,FALSE)</f>
        <v>2</v>
      </c>
      <c r="H3873" s="15"/>
      <c r="I3873" s="15">
        <v>185302</v>
      </c>
      <c r="J3873" s="15" t="s">
        <v>28</v>
      </c>
      <c r="K3873" s="15">
        <v>669500967</v>
      </c>
      <c r="L3873" s="15" t="s">
        <v>29</v>
      </c>
      <c r="M3873" s="15" t="s">
        <v>29</v>
      </c>
    </row>
    <row r="3874" spans="1:13" x14ac:dyDescent="0.25">
      <c r="A3874" s="23">
        <f t="shared" si="183"/>
        <v>254025</v>
      </c>
      <c r="B3874" s="14" t="str">
        <f t="shared" si="182"/>
        <v>Billing - Credits (from TPA)</v>
      </c>
      <c r="C3874" s="38">
        <v>46169</v>
      </c>
      <c r="D3874" s="34">
        <v>254025</v>
      </c>
      <c r="E3874" s="36" t="str">
        <f>IF(Table3[[#This Row],[Type Received]]=2,"CC",(IF(Table3[[#This Row],[Type Received]]=3,"BILL","ACH")))</f>
        <v>BILL</v>
      </c>
      <c r="F3874" s="35">
        <v>48.75</v>
      </c>
      <c r="G3874" s="14" t="str">
        <f>VLOOKUP(D3874,Table4[],3,FALSE)</f>
        <v>1</v>
      </c>
      <c r="H3874" s="15"/>
      <c r="I3874" s="15"/>
      <c r="J3874" s="15" t="s">
        <v>117</v>
      </c>
      <c r="K3874" s="15">
        <v>840868824</v>
      </c>
      <c r="L3874" s="15" t="s">
        <v>29</v>
      </c>
      <c r="M3874" s="15" t="s">
        <v>29</v>
      </c>
    </row>
    <row r="3875" spans="1:13" x14ac:dyDescent="0.25">
      <c r="A3875" s="23">
        <f t="shared" si="183"/>
        <v>254028</v>
      </c>
      <c r="B3875" s="14" t="str">
        <f t="shared" si="182"/>
        <v>Direct Debit (UMB Bank) - Credits</v>
      </c>
      <c r="C3875" s="37">
        <v>46146</v>
      </c>
      <c r="D3875" s="31">
        <v>254028</v>
      </c>
      <c r="E3875" s="33" t="str">
        <f>IF(Table3[[#This Row],[Type Received]]=2,"CC",(IF(Table3[[#This Row],[Type Received]]=3,"BILL","ACH")))</f>
        <v>ACH</v>
      </c>
      <c r="F3875" s="32">
        <v>176.65</v>
      </c>
      <c r="G3875" s="14" t="str">
        <f>VLOOKUP(D3875,Table4[],3,FALSE)</f>
        <v>2</v>
      </c>
      <c r="H3875" s="15">
        <v>2501</v>
      </c>
      <c r="I3875" s="15"/>
      <c r="J3875" s="15"/>
      <c r="K3875" s="15"/>
      <c r="L3875" s="15"/>
      <c r="M3875" s="15" t="s">
        <v>29</v>
      </c>
    </row>
    <row r="3876" spans="1:13" x14ac:dyDescent="0.25">
      <c r="A3876" s="23">
        <f t="shared" si="183"/>
        <v>254039</v>
      </c>
      <c r="B3876" s="14" t="str">
        <f t="shared" si="182"/>
        <v>Direct Debit (UMB Bank) - Credits</v>
      </c>
      <c r="C3876" s="38">
        <v>46149</v>
      </c>
      <c r="D3876" s="34">
        <v>254039</v>
      </c>
      <c r="E3876" s="36" t="str">
        <f>IF(Table3[[#This Row],[Type Received]]=2,"CC",(IF(Table3[[#This Row],[Type Received]]=3,"BILL","ACH")))</f>
        <v>ACH</v>
      </c>
      <c r="F3876" s="35">
        <v>84.85</v>
      </c>
      <c r="G3876" s="14" t="str">
        <f>VLOOKUP(D3876,Table4[],3,FALSE)</f>
        <v>1</v>
      </c>
      <c r="H3876" s="15"/>
      <c r="I3876" s="15"/>
      <c r="J3876" s="15" t="s">
        <v>109</v>
      </c>
      <c r="K3876" s="15">
        <v>599938160</v>
      </c>
      <c r="L3876" s="15" t="s">
        <v>29</v>
      </c>
      <c r="M3876" s="15"/>
    </row>
    <row r="3877" spans="1:13" x14ac:dyDescent="0.25">
      <c r="A3877" s="23">
        <f t="shared" si="183"/>
        <v>254045</v>
      </c>
      <c r="B3877" s="14" t="str">
        <f t="shared" si="182"/>
        <v>Direct Debit (UMB Bank) - Credits</v>
      </c>
      <c r="C3877" s="37">
        <v>46144</v>
      </c>
      <c r="D3877" s="31">
        <v>254045</v>
      </c>
      <c r="E3877" s="33" t="str">
        <f>IF(Table3[[#This Row],[Type Received]]=2,"CC",(IF(Table3[[#This Row],[Type Received]]=3,"BILL","ACH")))</f>
        <v>ACH</v>
      </c>
      <c r="F3877" s="32">
        <v>79.11</v>
      </c>
      <c r="G3877" s="14" t="str">
        <f>VLOOKUP(D3877,Table4[],3,FALSE)</f>
        <v>1</v>
      </c>
      <c r="H3877" s="15"/>
      <c r="I3877" s="15"/>
      <c r="J3877" s="15" t="s">
        <v>89</v>
      </c>
      <c r="K3877" s="15">
        <v>535425757</v>
      </c>
      <c r="L3877" s="15" t="s">
        <v>29</v>
      </c>
      <c r="M3877" s="15" t="s">
        <v>29</v>
      </c>
    </row>
    <row r="3878" spans="1:13" x14ac:dyDescent="0.25">
      <c r="A3878" s="23">
        <f t="shared" si="183"/>
        <v>254082</v>
      </c>
      <c r="B3878" s="14" t="str">
        <f t="shared" si="182"/>
        <v>Direct Debit (UMB Bank) - Credits</v>
      </c>
      <c r="C3878" s="38">
        <v>46166</v>
      </c>
      <c r="D3878" s="34">
        <v>254082</v>
      </c>
      <c r="E3878" s="36" t="str">
        <f>IF(Table3[[#This Row],[Type Received]]=2,"CC",(IF(Table3[[#This Row],[Type Received]]=3,"BILL","ACH")))</f>
        <v>ACH</v>
      </c>
      <c r="F3878" s="35">
        <v>120.91</v>
      </c>
      <c r="G3878" s="14" t="str">
        <f>VLOOKUP(D3878,Table4[],3,FALSE)</f>
        <v>2</v>
      </c>
      <c r="H3878" s="15"/>
      <c r="I3878" s="15"/>
      <c r="J3878" s="15" t="s">
        <v>310</v>
      </c>
      <c r="K3878" s="15">
        <v>808467694</v>
      </c>
      <c r="L3878" s="15" t="s">
        <v>29</v>
      </c>
      <c r="M3878" s="15"/>
    </row>
    <row r="3879" spans="1:13" x14ac:dyDescent="0.25">
      <c r="A3879" s="23">
        <f t="shared" si="183"/>
        <v>254109</v>
      </c>
      <c r="B3879" s="14" t="str">
        <f t="shared" si="182"/>
        <v>Billing - Credits (from TPA)</v>
      </c>
      <c r="C3879" s="37">
        <v>46143</v>
      </c>
      <c r="D3879" s="31">
        <v>254109</v>
      </c>
      <c r="E3879" s="33" t="str">
        <f>IF(Table3[[#This Row],[Type Received]]=2,"CC",(IF(Table3[[#This Row],[Type Received]]=3,"BILL","ACH")))</f>
        <v>BILL</v>
      </c>
      <c r="F3879" s="32">
        <v>85.07</v>
      </c>
      <c r="G3879" s="14" t="str">
        <f>VLOOKUP(D3879,Table4[],3,FALSE)</f>
        <v>1</v>
      </c>
      <c r="H3879" s="15"/>
      <c r="I3879" s="15"/>
      <c r="J3879" s="15" t="s">
        <v>84</v>
      </c>
      <c r="K3879" s="15">
        <v>525876369</v>
      </c>
      <c r="L3879" s="15" t="s">
        <v>29</v>
      </c>
      <c r="M3879" s="15"/>
    </row>
    <row r="3880" spans="1:13" x14ac:dyDescent="0.25">
      <c r="A3880" s="23">
        <f t="shared" si="183"/>
        <v>254117</v>
      </c>
      <c r="B3880" s="14" t="str">
        <f t="shared" si="182"/>
        <v>Direct Debit (UMB Bank) - Credits</v>
      </c>
      <c r="C3880" s="38">
        <v>46153</v>
      </c>
      <c r="D3880" s="34">
        <v>254117</v>
      </c>
      <c r="E3880" s="36" t="str">
        <f>IF(Table3[[#This Row],[Type Received]]=2,"CC",(IF(Table3[[#This Row],[Type Received]]=3,"BILL","ACH")))</f>
        <v>ACH</v>
      </c>
      <c r="F3880" s="35">
        <v>94.75</v>
      </c>
      <c r="G3880" s="14" t="str">
        <f>VLOOKUP(D3880,Table4[],3,FALSE)</f>
        <v>1</v>
      </c>
      <c r="H3880" s="15">
        <v>861</v>
      </c>
      <c r="I3880" s="15"/>
      <c r="J3880" s="15"/>
      <c r="K3880" s="15"/>
      <c r="L3880" s="15"/>
      <c r="M3880" s="15"/>
    </row>
    <row r="3881" spans="1:13" x14ac:dyDescent="0.25">
      <c r="A3881" s="23">
        <f t="shared" si="183"/>
        <v>254126</v>
      </c>
      <c r="B3881" s="14" t="str">
        <f t="shared" si="182"/>
        <v>Direct Debit (UMB Bank) - Credits</v>
      </c>
      <c r="C3881" s="37">
        <v>46166</v>
      </c>
      <c r="D3881" s="31">
        <v>254126</v>
      </c>
      <c r="E3881" s="33" t="str">
        <f>IF(Table3[[#This Row],[Type Received]]=2,"CC",(IF(Table3[[#This Row],[Type Received]]=3,"BILL","ACH")))</f>
        <v>ACH</v>
      </c>
      <c r="F3881" s="32">
        <v>98.8</v>
      </c>
      <c r="G3881" s="14" t="str">
        <f>VLOOKUP(D3881,Table4[],3,FALSE)</f>
        <v>2</v>
      </c>
      <c r="H3881" s="15"/>
      <c r="I3881" s="15"/>
      <c r="J3881" s="15" t="s">
        <v>310</v>
      </c>
      <c r="K3881" s="15">
        <v>808483281</v>
      </c>
      <c r="L3881" s="15" t="s">
        <v>29</v>
      </c>
      <c r="M3881" s="15" t="s">
        <v>29</v>
      </c>
    </row>
    <row r="3882" spans="1:13" x14ac:dyDescent="0.25">
      <c r="A3882" s="23">
        <f t="shared" si="183"/>
        <v>254128</v>
      </c>
      <c r="B3882" s="14" t="str">
        <f t="shared" si="182"/>
        <v>Direct Debit (UMB Bank) - Credits</v>
      </c>
      <c r="C3882" s="38">
        <v>46166</v>
      </c>
      <c r="D3882" s="34">
        <v>254128</v>
      </c>
      <c r="E3882" s="36" t="str">
        <f>IF(Table3[[#This Row],[Type Received]]=2,"CC",(IF(Table3[[#This Row],[Type Received]]=3,"BILL","ACH")))</f>
        <v>ACH</v>
      </c>
      <c r="F3882" s="35">
        <v>50.95</v>
      </c>
      <c r="G3882" s="14" t="str">
        <f>VLOOKUP(D3882,Table4[],3,FALSE)</f>
        <v>1</v>
      </c>
      <c r="H3882" s="15"/>
      <c r="I3882" s="15"/>
      <c r="J3882" s="15" t="s">
        <v>310</v>
      </c>
      <c r="K3882" s="15">
        <v>808477512</v>
      </c>
      <c r="L3882" s="15" t="s">
        <v>29</v>
      </c>
      <c r="M3882" s="15" t="s">
        <v>29</v>
      </c>
    </row>
    <row r="3883" spans="1:13" x14ac:dyDescent="0.25">
      <c r="A3883" s="23">
        <f t="shared" si="183"/>
        <v>254129</v>
      </c>
      <c r="B3883" s="14" t="str">
        <f t="shared" si="182"/>
        <v>Direct Debit (UMB Bank) - Credits</v>
      </c>
      <c r="C3883" s="37">
        <v>46166</v>
      </c>
      <c r="D3883" s="31">
        <v>254129</v>
      </c>
      <c r="E3883" s="33" t="str">
        <f>IF(Table3[[#This Row],[Type Received]]=2,"CC",(IF(Table3[[#This Row],[Type Received]]=3,"BILL","ACH")))</f>
        <v>ACH</v>
      </c>
      <c r="F3883" s="32">
        <v>52.71</v>
      </c>
      <c r="G3883" s="14" t="str">
        <f>VLOOKUP(D3883,Table4[],3,FALSE)</f>
        <v>1</v>
      </c>
      <c r="H3883" s="15"/>
      <c r="I3883" s="15"/>
      <c r="J3883" s="15" t="s">
        <v>310</v>
      </c>
      <c r="K3883" s="15">
        <v>808466797</v>
      </c>
      <c r="L3883" s="15" t="s">
        <v>29</v>
      </c>
      <c r="M3883" s="15" t="s">
        <v>29</v>
      </c>
    </row>
    <row r="3884" spans="1:13" x14ac:dyDescent="0.25">
      <c r="A3884" s="23">
        <f t="shared" si="183"/>
        <v>254257</v>
      </c>
      <c r="B3884" s="14" t="str">
        <f t="shared" si="182"/>
        <v>Direct Debit (UMB Bank) - Credits</v>
      </c>
      <c r="C3884" s="38">
        <v>46155</v>
      </c>
      <c r="D3884" s="34">
        <v>254257</v>
      </c>
      <c r="E3884" s="36" t="str">
        <f>IF(Table3[[#This Row],[Type Received]]=2,"CC",(IF(Table3[[#This Row],[Type Received]]=3,"BILL","ACH")))</f>
        <v>ACH</v>
      </c>
      <c r="F3884" s="35">
        <v>83.95</v>
      </c>
      <c r="G3884" s="14" t="str">
        <f>VLOOKUP(D3884,Table4[],3,FALSE)</f>
        <v>1</v>
      </c>
      <c r="H3884" s="15"/>
      <c r="I3884" s="15"/>
      <c r="J3884" s="15" t="s">
        <v>90</v>
      </c>
      <c r="K3884" s="15">
        <v>669510588</v>
      </c>
      <c r="L3884" s="15" t="s">
        <v>29</v>
      </c>
      <c r="M3884" s="15" t="s">
        <v>29</v>
      </c>
    </row>
    <row r="3885" spans="1:13" x14ac:dyDescent="0.25">
      <c r="A3885" s="23">
        <f t="shared" si="183"/>
        <v>254259</v>
      </c>
      <c r="B3885" s="14" t="str">
        <f t="shared" si="182"/>
        <v>Direct Debit (UMB Bank) - Credits</v>
      </c>
      <c r="C3885" s="37">
        <v>46155</v>
      </c>
      <c r="D3885" s="31">
        <v>254259</v>
      </c>
      <c r="E3885" s="33" t="str">
        <f>IF(Table3[[#This Row],[Type Received]]=2,"CC",(IF(Table3[[#This Row],[Type Received]]=3,"BILL","ACH")))</f>
        <v>ACH</v>
      </c>
      <c r="F3885" s="32">
        <v>101.99</v>
      </c>
      <c r="G3885" s="14" t="str">
        <f>VLOOKUP(D3885,Table4[],3,FALSE)</f>
        <v>1</v>
      </c>
      <c r="H3885" s="15"/>
      <c r="I3885" s="15"/>
      <c r="J3885" s="15" t="s">
        <v>90</v>
      </c>
      <c r="K3885" s="15">
        <v>669525239</v>
      </c>
      <c r="L3885" s="15" t="s">
        <v>29</v>
      </c>
      <c r="M3885" s="15" t="s">
        <v>29</v>
      </c>
    </row>
    <row r="3886" spans="1:13" x14ac:dyDescent="0.25">
      <c r="A3886" s="23">
        <f t="shared" si="183"/>
        <v>254260</v>
      </c>
      <c r="B3886" s="14" t="str">
        <f t="shared" si="182"/>
        <v>Billing - Credits (from TPA)</v>
      </c>
      <c r="C3886" s="38">
        <v>46155</v>
      </c>
      <c r="D3886" s="34">
        <v>254260</v>
      </c>
      <c r="E3886" s="36" t="str">
        <f>IF(Table3[[#This Row],[Type Received]]=2,"CC",(IF(Table3[[#This Row],[Type Received]]=3,"BILL","ACH")))</f>
        <v>BILL</v>
      </c>
      <c r="F3886" s="35">
        <v>41.93</v>
      </c>
      <c r="G3886" s="14" t="str">
        <f>VLOOKUP(D3886,Table4[],3,FALSE)</f>
        <v>1</v>
      </c>
      <c r="H3886" s="15"/>
      <c r="I3886" s="15"/>
      <c r="J3886" s="15" t="s">
        <v>90</v>
      </c>
      <c r="K3886" s="15">
        <v>669522309</v>
      </c>
      <c r="L3886" s="15" t="s">
        <v>29</v>
      </c>
      <c r="M3886" s="15" t="s">
        <v>29</v>
      </c>
    </row>
    <row r="3887" spans="1:13" x14ac:dyDescent="0.25">
      <c r="A3887" s="23">
        <f t="shared" si="183"/>
        <v>254272</v>
      </c>
      <c r="B3887" s="14" t="str">
        <f t="shared" si="182"/>
        <v>Direct Debit (UMB Bank) - Credits</v>
      </c>
      <c r="C3887" s="37">
        <v>46146</v>
      </c>
      <c r="D3887" s="31">
        <v>254272</v>
      </c>
      <c r="E3887" s="33" t="str">
        <f>IF(Table3[[#This Row],[Type Received]]=2,"CC",(IF(Table3[[#This Row],[Type Received]]=3,"BILL","ACH")))</f>
        <v>ACH</v>
      </c>
      <c r="F3887" s="32">
        <v>44.37</v>
      </c>
      <c r="G3887" s="14" t="str">
        <f>VLOOKUP(D3887,Table4[],3,FALSE)</f>
        <v>1</v>
      </c>
      <c r="H3887" s="15">
        <v>2239585406</v>
      </c>
      <c r="I3887" s="15"/>
      <c r="J3887" s="15"/>
      <c r="K3887" s="15"/>
      <c r="L3887" s="15"/>
      <c r="M3887" s="15" t="s">
        <v>29</v>
      </c>
    </row>
    <row r="3888" spans="1:13" x14ac:dyDescent="0.25">
      <c r="A3888" s="23">
        <f t="shared" si="183"/>
        <v>254283</v>
      </c>
      <c r="B3888" s="14" t="str">
        <f t="shared" si="182"/>
        <v>Credit Cards (UMB) - Credits</v>
      </c>
      <c r="C3888" s="38">
        <v>46144</v>
      </c>
      <c r="D3888" s="34">
        <v>254283</v>
      </c>
      <c r="E3888" s="36" t="str">
        <f>IF(Table3[[#This Row],[Type Received]]=2,"CC",(IF(Table3[[#This Row],[Type Received]]=3,"BILL","ACH")))</f>
        <v>CC</v>
      </c>
      <c r="F3888" s="35">
        <v>50.51</v>
      </c>
      <c r="G3888" s="14" t="str">
        <f>VLOOKUP(D3888,Table4[],3,FALSE)</f>
        <v>1</v>
      </c>
      <c r="H3888" s="15"/>
      <c r="I3888" s="15"/>
      <c r="J3888" s="15" t="s">
        <v>89</v>
      </c>
      <c r="K3888" s="15">
        <v>535423856</v>
      </c>
      <c r="L3888" s="15" t="s">
        <v>29</v>
      </c>
      <c r="M3888" s="15"/>
    </row>
    <row r="3889" spans="1:13" x14ac:dyDescent="0.25">
      <c r="A3889" s="23"/>
      <c r="B3889" s="14" t="str">
        <f t="shared" si="182"/>
        <v>Direct Debit (UMB Bank) - Credits</v>
      </c>
      <c r="C3889" s="37">
        <v>46155</v>
      </c>
      <c r="D3889" s="31">
        <v>254298</v>
      </c>
      <c r="E3889" s="33" t="str">
        <f>IF(Table3[[#This Row],[Type Received]]=2,"CC",(IF(Table3[[#This Row],[Type Received]]=3,"BILL","ACH")))</f>
        <v>ACH</v>
      </c>
      <c r="F3889" s="32">
        <v>129.82</v>
      </c>
      <c r="G3889" s="14" t="str">
        <f>VLOOKUP(D3889,Table4[],3,FALSE)</f>
        <v>2</v>
      </c>
      <c r="H3889" s="15"/>
      <c r="I3889" s="15" t="s">
        <v>311</v>
      </c>
      <c r="J3889" s="15" t="s">
        <v>28</v>
      </c>
      <c r="K3889" s="15">
        <v>669518412</v>
      </c>
      <c r="L3889" s="15" t="s">
        <v>29</v>
      </c>
      <c r="M3889" s="15" t="s">
        <v>29</v>
      </c>
    </row>
    <row r="3890" spans="1:13" x14ac:dyDescent="0.25">
      <c r="A3890" s="23">
        <f t="shared" ref="A3890:A3910" si="184">D3890</f>
        <v>254303</v>
      </c>
      <c r="B3890" s="14" t="str">
        <f t="shared" si="182"/>
        <v>Billing - Credits (from TPA)</v>
      </c>
      <c r="C3890" s="38">
        <v>46157</v>
      </c>
      <c r="D3890" s="34">
        <v>254303</v>
      </c>
      <c r="E3890" s="36" t="str">
        <f>IF(Table3[[#This Row],[Type Received]]=2,"CC",(IF(Table3[[#This Row],[Type Received]]=3,"BILL","ACH")))</f>
        <v>BILL</v>
      </c>
      <c r="F3890" s="35">
        <v>100.45</v>
      </c>
      <c r="G3890" s="14" t="str">
        <f>VLOOKUP(D3890,Table4[],3,FALSE)</f>
        <v>2</v>
      </c>
      <c r="H3890" s="15"/>
      <c r="I3890" s="15"/>
      <c r="J3890" s="15" t="s">
        <v>87</v>
      </c>
      <c r="K3890" s="15">
        <v>696842452</v>
      </c>
      <c r="L3890" s="15" t="s">
        <v>29</v>
      </c>
      <c r="M3890" s="15" t="s">
        <v>29</v>
      </c>
    </row>
    <row r="3891" spans="1:13" x14ac:dyDescent="0.25">
      <c r="A3891" s="23">
        <f t="shared" si="184"/>
        <v>254311</v>
      </c>
      <c r="B3891" s="14" t="str">
        <f t="shared" ref="B3891:B3954" si="185">IF(AND(E3891="BILL",F3891&lt;0),"Billing &amp; Direct Debit - Refunds",(IF(AND(E3891="BILL",F3891&gt;0),"Billing - Credits (from TPA)",(IF(AND(E3891="CC",F3891&lt;0),"Credit Cards (UMB) - Refunds",(IF(AND(E3891="CC",F3891&gt;0),"Credit Cards (UMB) - Credits",(IF(AND(E3891="ACH",F3891&gt;0),"Direct Debit (UMB Bank) - Credits","Direct Debit (UMB Bank) - Returned Items")))))))))</f>
        <v>Credit Cards (UMB) - Credits</v>
      </c>
      <c r="C3891" s="37">
        <v>46146</v>
      </c>
      <c r="D3891" s="31">
        <v>254311</v>
      </c>
      <c r="E3891" s="33" t="str">
        <f>IF(Table3[[#This Row],[Type Received]]=2,"CC",(IF(Table3[[#This Row],[Type Received]]=3,"BILL","ACH")))</f>
        <v>CC</v>
      </c>
      <c r="F3891" s="32">
        <v>140.4</v>
      </c>
      <c r="G3891" s="14" t="str">
        <f>VLOOKUP(D3891,Table4[],3,FALSE)</f>
        <v>2</v>
      </c>
      <c r="H3891" s="15">
        <v>19825016474</v>
      </c>
      <c r="I3891" s="15"/>
      <c r="J3891" s="15"/>
      <c r="K3891" s="15"/>
      <c r="L3891" s="15"/>
      <c r="M3891" s="15"/>
    </row>
    <row r="3892" spans="1:13" x14ac:dyDescent="0.25">
      <c r="A3892" s="23">
        <f t="shared" si="184"/>
        <v>254321</v>
      </c>
      <c r="B3892" s="14" t="str">
        <f t="shared" si="185"/>
        <v>Billing - Credits (from TPA)</v>
      </c>
      <c r="C3892" s="38">
        <v>46155</v>
      </c>
      <c r="D3892" s="34">
        <v>254321</v>
      </c>
      <c r="E3892" s="36" t="str">
        <f>IF(Table3[[#This Row],[Type Received]]=2,"CC",(IF(Table3[[#This Row],[Type Received]]=3,"BILL","ACH")))</f>
        <v>BILL</v>
      </c>
      <c r="F3892" s="35">
        <v>90.88</v>
      </c>
      <c r="G3892" s="14" t="str">
        <f>VLOOKUP(D3892,Table4[],3,FALSE)</f>
        <v>2</v>
      </c>
      <c r="H3892" s="15"/>
      <c r="I3892" s="15">
        <v>25583</v>
      </c>
      <c r="J3892" s="15" t="s">
        <v>28</v>
      </c>
      <c r="K3892" s="15">
        <v>669521354</v>
      </c>
      <c r="L3892" s="15" t="s">
        <v>29</v>
      </c>
      <c r="M3892" s="15"/>
    </row>
    <row r="3893" spans="1:13" x14ac:dyDescent="0.25">
      <c r="A3893" s="23">
        <f t="shared" si="184"/>
        <v>254333</v>
      </c>
      <c r="B3893" s="14" t="str">
        <f t="shared" si="185"/>
        <v>Direct Debit (UMB Bank) - Credits</v>
      </c>
      <c r="C3893" s="37">
        <v>46143</v>
      </c>
      <c r="D3893" s="31">
        <v>254333</v>
      </c>
      <c r="E3893" s="33" t="str">
        <f>IF(Table3[[#This Row],[Type Received]]=2,"CC",(IF(Table3[[#This Row],[Type Received]]=3,"BILL","ACH")))</f>
        <v>ACH</v>
      </c>
      <c r="F3893" s="32">
        <v>79.5</v>
      </c>
      <c r="G3893" s="14" t="str">
        <f>VLOOKUP(D3893,Table4[],3,FALSE)</f>
        <v>2</v>
      </c>
      <c r="H3893" s="15">
        <v>73906373</v>
      </c>
      <c r="I3893" s="15"/>
      <c r="J3893" s="15"/>
      <c r="K3893" s="15"/>
      <c r="L3893" s="15"/>
      <c r="M3893" s="15" t="s">
        <v>29</v>
      </c>
    </row>
    <row r="3894" spans="1:13" x14ac:dyDescent="0.25">
      <c r="A3894" s="23">
        <f t="shared" si="184"/>
        <v>254337</v>
      </c>
      <c r="B3894" s="14" t="str">
        <f t="shared" si="185"/>
        <v>Direct Debit (UMB Bank) - Credits</v>
      </c>
      <c r="C3894" s="38">
        <v>46155</v>
      </c>
      <c r="D3894" s="34">
        <v>254337</v>
      </c>
      <c r="E3894" s="36" t="str">
        <f>IF(Table3[[#This Row],[Type Received]]=2,"CC",(IF(Table3[[#This Row],[Type Received]]=3,"BILL","ACH")))</f>
        <v>ACH</v>
      </c>
      <c r="F3894" s="35">
        <v>126.85</v>
      </c>
      <c r="G3894" s="14" t="str">
        <f>VLOOKUP(D3894,Table4[],3,FALSE)</f>
        <v>2</v>
      </c>
      <c r="H3894" s="15"/>
      <c r="I3894" s="15"/>
      <c r="J3894" s="15" t="s">
        <v>90</v>
      </c>
      <c r="K3894" s="15">
        <v>669509753</v>
      </c>
      <c r="L3894" s="15" t="s">
        <v>29</v>
      </c>
      <c r="M3894" s="15"/>
    </row>
    <row r="3895" spans="1:13" x14ac:dyDescent="0.25">
      <c r="A3895" s="23">
        <f t="shared" si="184"/>
        <v>254346</v>
      </c>
      <c r="B3895" s="14" t="str">
        <f t="shared" si="185"/>
        <v>Direct Debit (UMB Bank) - Credits</v>
      </c>
      <c r="C3895" s="37">
        <v>46169</v>
      </c>
      <c r="D3895" s="31">
        <v>254346</v>
      </c>
      <c r="E3895" s="33" t="str">
        <f>IF(Table3[[#This Row],[Type Received]]=2,"CC",(IF(Table3[[#This Row],[Type Received]]=3,"BILL","ACH")))</f>
        <v>ACH</v>
      </c>
      <c r="F3895" s="32">
        <v>113.65</v>
      </c>
      <c r="G3895" s="14" t="str">
        <f>VLOOKUP(D3895,Table4[],3,FALSE)</f>
        <v>2</v>
      </c>
      <c r="H3895" s="15"/>
      <c r="I3895" s="15"/>
      <c r="J3895" s="15" t="s">
        <v>117</v>
      </c>
      <c r="K3895" s="15">
        <v>840869857</v>
      </c>
      <c r="L3895" s="15" t="s">
        <v>29</v>
      </c>
      <c r="M3895" s="15" t="s">
        <v>29</v>
      </c>
    </row>
    <row r="3896" spans="1:13" x14ac:dyDescent="0.25">
      <c r="A3896" s="23">
        <f t="shared" si="184"/>
        <v>254366</v>
      </c>
      <c r="B3896" s="14" t="str">
        <f t="shared" si="185"/>
        <v>Direct Debit (UMB Bank) - Credits</v>
      </c>
      <c r="C3896" s="38">
        <v>46155</v>
      </c>
      <c r="D3896" s="34">
        <v>254366</v>
      </c>
      <c r="E3896" s="36" t="str">
        <f>IF(Table3[[#This Row],[Type Received]]=2,"CC",(IF(Table3[[#This Row],[Type Received]]=3,"BILL","ACH")))</f>
        <v>ACH</v>
      </c>
      <c r="F3896" s="35">
        <v>69.099999999999994</v>
      </c>
      <c r="G3896" s="14" t="str">
        <f>VLOOKUP(D3896,Table4[],3,FALSE)</f>
        <v>2</v>
      </c>
      <c r="H3896" s="15"/>
      <c r="I3896" s="15"/>
      <c r="J3896" s="15" t="s">
        <v>90</v>
      </c>
      <c r="K3896" s="15">
        <v>669446823</v>
      </c>
      <c r="L3896" s="15" t="s">
        <v>29</v>
      </c>
      <c r="M3896" s="15"/>
    </row>
    <row r="3897" spans="1:13" x14ac:dyDescent="0.25">
      <c r="A3897" s="23">
        <f t="shared" si="184"/>
        <v>254370</v>
      </c>
      <c r="B3897" s="14" t="str">
        <f t="shared" si="185"/>
        <v>Direct Debit (UMB Bank) - Credits</v>
      </c>
      <c r="C3897" s="37">
        <v>46157</v>
      </c>
      <c r="D3897" s="31">
        <v>254370</v>
      </c>
      <c r="E3897" s="33" t="str">
        <f>IF(Table3[[#This Row],[Type Received]]=2,"CC",(IF(Table3[[#This Row],[Type Received]]=3,"BILL","ACH")))</f>
        <v>ACH</v>
      </c>
      <c r="F3897" s="32">
        <v>52.93</v>
      </c>
      <c r="G3897" s="14" t="str">
        <f>VLOOKUP(D3897,Table4[],3,FALSE)</f>
        <v>1</v>
      </c>
      <c r="H3897" s="15"/>
      <c r="I3897" s="15"/>
      <c r="J3897" s="15" t="s">
        <v>87</v>
      </c>
      <c r="K3897" s="15">
        <v>696835805</v>
      </c>
      <c r="L3897" s="15" t="s">
        <v>29</v>
      </c>
      <c r="M3897" s="15" t="s">
        <v>29</v>
      </c>
    </row>
    <row r="3898" spans="1:13" x14ac:dyDescent="0.25">
      <c r="A3898" s="23">
        <f t="shared" si="184"/>
        <v>254371</v>
      </c>
      <c r="B3898" s="14" t="str">
        <f t="shared" si="185"/>
        <v>Direct Debit (UMB Bank) - Credits</v>
      </c>
      <c r="C3898" s="38">
        <v>46157</v>
      </c>
      <c r="D3898" s="34">
        <v>254371</v>
      </c>
      <c r="E3898" s="36" t="str">
        <f>IF(Table3[[#This Row],[Type Received]]=2,"CC",(IF(Table3[[#This Row],[Type Received]]=3,"BILL","ACH")))</f>
        <v>ACH</v>
      </c>
      <c r="F3898" s="35">
        <v>67.89</v>
      </c>
      <c r="G3898" s="14" t="str">
        <f>VLOOKUP(D3898,Table4[],3,FALSE)</f>
        <v>1</v>
      </c>
      <c r="H3898" s="15"/>
      <c r="I3898" s="15"/>
      <c r="J3898" s="15" t="s">
        <v>87</v>
      </c>
      <c r="K3898" s="15">
        <v>696847316</v>
      </c>
      <c r="L3898" s="15" t="s">
        <v>29</v>
      </c>
      <c r="M3898" s="15" t="s">
        <v>29</v>
      </c>
    </row>
    <row r="3899" spans="1:13" x14ac:dyDescent="0.25">
      <c r="A3899" s="23">
        <f t="shared" si="184"/>
        <v>254388</v>
      </c>
      <c r="B3899" s="14" t="str">
        <f t="shared" si="185"/>
        <v>Billing - Credits (from TPA)</v>
      </c>
      <c r="C3899" s="37">
        <v>46169</v>
      </c>
      <c r="D3899" s="31">
        <v>254388</v>
      </c>
      <c r="E3899" s="33" t="str">
        <f>IF(Table3[[#This Row],[Type Received]]=2,"CC",(IF(Table3[[#This Row],[Type Received]]=3,"BILL","ACH")))</f>
        <v>BILL</v>
      </c>
      <c r="F3899" s="32">
        <v>48.75</v>
      </c>
      <c r="G3899" s="14" t="str">
        <f>VLOOKUP(D3899,Table4[],3,FALSE)</f>
        <v>1</v>
      </c>
      <c r="H3899" s="15"/>
      <c r="I3899" s="15"/>
      <c r="J3899" s="15" t="s">
        <v>117</v>
      </c>
      <c r="K3899" s="15">
        <v>840889211</v>
      </c>
      <c r="L3899" s="15" t="s">
        <v>29</v>
      </c>
      <c r="M3899" s="15"/>
    </row>
    <row r="3900" spans="1:13" x14ac:dyDescent="0.25">
      <c r="A3900" s="23">
        <f t="shared" si="184"/>
        <v>254397</v>
      </c>
      <c r="B3900" s="14" t="str">
        <f t="shared" si="185"/>
        <v>Billing - Credits (from TPA)</v>
      </c>
      <c r="C3900" s="38">
        <v>46164</v>
      </c>
      <c r="D3900" s="34">
        <v>254397</v>
      </c>
      <c r="E3900" s="36" t="str">
        <f>IF(Table3[[#This Row],[Type Received]]=2,"CC",(IF(Table3[[#This Row],[Type Received]]=3,"BILL","ACH")))</f>
        <v>BILL</v>
      </c>
      <c r="F3900" s="35">
        <v>50.75</v>
      </c>
      <c r="G3900" s="14" t="str">
        <f>VLOOKUP(D3900,Table4[],3,FALSE)</f>
        <v>1</v>
      </c>
      <c r="H3900" s="15">
        <v>4568</v>
      </c>
      <c r="I3900" s="15"/>
      <c r="J3900" s="15"/>
      <c r="K3900" s="15"/>
      <c r="L3900" s="15"/>
      <c r="M3900" s="15" t="s">
        <v>29</v>
      </c>
    </row>
    <row r="3901" spans="1:13" x14ac:dyDescent="0.25">
      <c r="A3901" s="23">
        <f t="shared" si="184"/>
        <v>254397</v>
      </c>
      <c r="B3901" s="14" t="str">
        <f t="shared" si="185"/>
        <v>Direct Debit (UMB Bank) - Credits</v>
      </c>
      <c r="C3901" s="37">
        <v>46146</v>
      </c>
      <c r="D3901" s="31">
        <v>254397</v>
      </c>
      <c r="E3901" s="33" t="str">
        <f>IF(Table3[[#This Row],[Type Received]]=2,"CC",(IF(Table3[[#This Row],[Type Received]]=3,"BILL","ACH")))</f>
        <v>ACH</v>
      </c>
      <c r="F3901" s="32">
        <v>50.75</v>
      </c>
      <c r="G3901" s="14" t="str">
        <f>VLOOKUP(D3901,Table4[],3,FALSE)</f>
        <v>1</v>
      </c>
      <c r="H3901" s="15">
        <v>4556</v>
      </c>
      <c r="I3901" s="15"/>
      <c r="J3901" s="15"/>
      <c r="K3901" s="15"/>
      <c r="L3901" s="15"/>
      <c r="M3901" s="15" t="s">
        <v>29</v>
      </c>
    </row>
    <row r="3902" spans="1:13" x14ac:dyDescent="0.25">
      <c r="A3902" s="23">
        <f t="shared" si="184"/>
        <v>254405</v>
      </c>
      <c r="B3902" s="14" t="str">
        <f t="shared" si="185"/>
        <v>Direct Debit (UMB Bank) - Credits</v>
      </c>
      <c r="C3902" s="38">
        <v>46169</v>
      </c>
      <c r="D3902" s="34">
        <v>254405</v>
      </c>
      <c r="E3902" s="36" t="str">
        <f>IF(Table3[[#This Row],[Type Received]]=2,"CC",(IF(Table3[[#This Row],[Type Received]]=3,"BILL","ACH")))</f>
        <v>ACH</v>
      </c>
      <c r="F3902" s="35">
        <v>50.95</v>
      </c>
      <c r="G3902" s="14" t="str">
        <f>VLOOKUP(D3902,Table4[],3,FALSE)</f>
        <v>2</v>
      </c>
      <c r="H3902" s="15"/>
      <c r="I3902" s="15"/>
      <c r="J3902" s="24" t="s">
        <v>117</v>
      </c>
      <c r="K3902" s="15">
        <v>840880400</v>
      </c>
      <c r="L3902" s="15" t="s">
        <v>29</v>
      </c>
      <c r="M3902" s="15" t="s">
        <v>29</v>
      </c>
    </row>
    <row r="3903" spans="1:13" x14ac:dyDescent="0.25">
      <c r="A3903" s="23">
        <f t="shared" si="184"/>
        <v>254407</v>
      </c>
      <c r="B3903" s="14" t="str">
        <f t="shared" si="185"/>
        <v>Direct Debit (UMB Bank) - Credits</v>
      </c>
      <c r="C3903" s="37">
        <v>46144</v>
      </c>
      <c r="D3903" s="31">
        <v>254407</v>
      </c>
      <c r="E3903" s="33" t="str">
        <f>IF(Table3[[#This Row],[Type Received]]=2,"CC",(IF(Table3[[#This Row],[Type Received]]=3,"BILL","ACH")))</f>
        <v>ACH</v>
      </c>
      <c r="F3903" s="32">
        <v>151.6</v>
      </c>
      <c r="G3903" s="14" t="str">
        <f>VLOOKUP(D3903,Table4[],3,FALSE)</f>
        <v>2</v>
      </c>
      <c r="H3903" s="15"/>
      <c r="I3903" s="15"/>
      <c r="J3903" s="15" t="s">
        <v>89</v>
      </c>
      <c r="K3903" s="15">
        <v>535436383</v>
      </c>
      <c r="L3903" s="15" t="s">
        <v>29</v>
      </c>
      <c r="M3903" s="15"/>
    </row>
    <row r="3904" spans="1:13" x14ac:dyDescent="0.25">
      <c r="A3904" s="23">
        <f t="shared" si="184"/>
        <v>254409</v>
      </c>
      <c r="B3904" s="14" t="str">
        <f t="shared" si="185"/>
        <v>Billing - Credits (from TPA)</v>
      </c>
      <c r="C3904" s="38">
        <v>46145</v>
      </c>
      <c r="D3904" s="34">
        <v>254409</v>
      </c>
      <c r="E3904" s="36" t="str">
        <f>IF(Table3[[#This Row],[Type Received]]=2,"CC",(IF(Table3[[#This Row],[Type Received]]=3,"BILL","ACH")))</f>
        <v>BILL</v>
      </c>
      <c r="F3904" s="35">
        <v>145.33000000000001</v>
      </c>
      <c r="G3904" s="14" t="str">
        <f>VLOOKUP(D3904,Table4[],3,FALSE)</f>
        <v>2</v>
      </c>
      <c r="H3904" s="15"/>
      <c r="I3904" s="15"/>
      <c r="J3904" s="15" t="s">
        <v>113</v>
      </c>
      <c r="K3904" s="15">
        <v>546447540</v>
      </c>
      <c r="L3904" s="15" t="s">
        <v>29</v>
      </c>
      <c r="M3904" s="15"/>
    </row>
    <row r="3905" spans="1:13" x14ac:dyDescent="0.25">
      <c r="A3905" s="23">
        <f t="shared" si="184"/>
        <v>254411</v>
      </c>
      <c r="B3905" s="14" t="str">
        <f t="shared" si="185"/>
        <v>Direct Debit (UMB Bank) - Credits</v>
      </c>
      <c r="C3905" s="37">
        <v>46143</v>
      </c>
      <c r="D3905" s="31">
        <v>254411</v>
      </c>
      <c r="E3905" s="33" t="str">
        <f>IF(Table3[[#This Row],[Type Received]]=2,"CC",(IF(Table3[[#This Row],[Type Received]]=3,"BILL","ACH")))</f>
        <v>ACH</v>
      </c>
      <c r="F3905" s="32">
        <v>70.44</v>
      </c>
      <c r="G3905" s="14" t="str">
        <f>VLOOKUP(D3905,Table4[],3,FALSE)</f>
        <v>2</v>
      </c>
      <c r="H3905" s="15">
        <v>74776121</v>
      </c>
      <c r="I3905" s="15"/>
      <c r="J3905" s="15"/>
      <c r="K3905" s="15"/>
      <c r="L3905" s="15"/>
      <c r="M3905" s="15" t="s">
        <v>29</v>
      </c>
    </row>
    <row r="3906" spans="1:13" x14ac:dyDescent="0.25">
      <c r="A3906" s="23">
        <f t="shared" si="184"/>
        <v>254425</v>
      </c>
      <c r="B3906" s="14" t="str">
        <f t="shared" si="185"/>
        <v>Direct Debit (UMB Bank) - Credits</v>
      </c>
      <c r="C3906" s="38">
        <v>46157</v>
      </c>
      <c r="D3906" s="34">
        <v>254425</v>
      </c>
      <c r="E3906" s="36" t="str">
        <f>IF(Table3[[#This Row],[Type Received]]=2,"CC",(IF(Table3[[#This Row],[Type Received]]=3,"BILL","ACH")))</f>
        <v>ACH</v>
      </c>
      <c r="F3906" s="35">
        <v>47.43</v>
      </c>
      <c r="G3906" s="14" t="str">
        <f>VLOOKUP(D3906,Table4[],3,FALSE)</f>
        <v>1</v>
      </c>
      <c r="H3906" s="15"/>
      <c r="I3906" s="15"/>
      <c r="J3906" s="15" t="s">
        <v>87</v>
      </c>
      <c r="K3906" s="15">
        <v>696694136</v>
      </c>
      <c r="L3906" s="15" t="s">
        <v>29</v>
      </c>
      <c r="M3906" s="15"/>
    </row>
    <row r="3907" spans="1:13" x14ac:dyDescent="0.25">
      <c r="A3907" s="23">
        <f t="shared" si="184"/>
        <v>254427</v>
      </c>
      <c r="B3907" s="14" t="str">
        <f t="shared" si="185"/>
        <v>Billing - Credits (from TPA)</v>
      </c>
      <c r="C3907" s="37">
        <v>46145</v>
      </c>
      <c r="D3907" s="31">
        <v>254427</v>
      </c>
      <c r="E3907" s="33" t="str">
        <f>IF(Table3[[#This Row],[Type Received]]=2,"CC",(IF(Table3[[#This Row],[Type Received]]=3,"BILL","ACH")))</f>
        <v>BILL</v>
      </c>
      <c r="F3907" s="32">
        <v>50.95</v>
      </c>
      <c r="G3907" s="14" t="str">
        <f>VLOOKUP(D3907,Table4[],3,FALSE)</f>
        <v>2</v>
      </c>
      <c r="H3907" s="15"/>
      <c r="I3907" s="15"/>
      <c r="J3907" s="24" t="s">
        <v>113</v>
      </c>
      <c r="K3907" s="15">
        <v>546445586</v>
      </c>
      <c r="L3907" s="15" t="s">
        <v>29</v>
      </c>
      <c r="M3907" s="15"/>
    </row>
    <row r="3908" spans="1:13" x14ac:dyDescent="0.25">
      <c r="A3908" s="23">
        <f t="shared" si="184"/>
        <v>254432</v>
      </c>
      <c r="B3908" s="14" t="str">
        <f t="shared" si="185"/>
        <v>Billing - Credits (from TPA)</v>
      </c>
      <c r="C3908" s="38">
        <v>46171</v>
      </c>
      <c r="D3908" s="34">
        <v>254432</v>
      </c>
      <c r="E3908" s="36" t="str">
        <f>IF(Table3[[#This Row],[Type Received]]=2,"CC",(IF(Table3[[#This Row],[Type Received]]=3,"BILL","ACH")))</f>
        <v>BILL</v>
      </c>
      <c r="F3908" s="35">
        <v>481.07</v>
      </c>
      <c r="G3908" s="14" t="str">
        <f>VLOOKUP(D3908,Table4[],3,FALSE)</f>
        <v>1</v>
      </c>
      <c r="H3908" s="15">
        <v>55215920136</v>
      </c>
      <c r="I3908" s="15"/>
      <c r="J3908" s="15"/>
      <c r="K3908" s="15"/>
      <c r="L3908" s="15"/>
      <c r="M3908" s="15" t="s">
        <v>29</v>
      </c>
    </row>
    <row r="3909" spans="1:13" x14ac:dyDescent="0.25">
      <c r="A3909" s="23">
        <f t="shared" si="184"/>
        <v>254450</v>
      </c>
      <c r="B3909" s="14" t="str">
        <f t="shared" si="185"/>
        <v>Billing - Credits (from TPA)</v>
      </c>
      <c r="C3909" s="37">
        <v>46146</v>
      </c>
      <c r="D3909" s="31">
        <v>254450</v>
      </c>
      <c r="E3909" s="33" t="str">
        <f>IF(Table3[[#This Row],[Type Received]]=2,"CC",(IF(Table3[[#This Row],[Type Received]]=3,"BILL","ACH")))</f>
        <v>BILL</v>
      </c>
      <c r="F3909" s="32">
        <v>48.33</v>
      </c>
      <c r="G3909" s="14" t="str">
        <f>VLOOKUP(D3909,Table4[],3,FALSE)</f>
        <v>2</v>
      </c>
      <c r="H3909" s="15">
        <v>4820</v>
      </c>
      <c r="I3909" s="15"/>
      <c r="J3909" s="15"/>
      <c r="K3909" s="15"/>
      <c r="L3909" s="15"/>
      <c r="M3909" s="15" t="s">
        <v>29</v>
      </c>
    </row>
    <row r="3910" spans="1:13" x14ac:dyDescent="0.25">
      <c r="A3910" s="23">
        <f t="shared" si="184"/>
        <v>254451</v>
      </c>
      <c r="B3910" s="14" t="str">
        <f t="shared" si="185"/>
        <v>Credit Cards (UMB) - Credits</v>
      </c>
      <c r="C3910" s="38">
        <v>46168</v>
      </c>
      <c r="D3910" s="34">
        <v>254451</v>
      </c>
      <c r="E3910" s="36" t="str">
        <f>IF(Table3[[#This Row],[Type Received]]=2,"CC",(IF(Table3[[#This Row],[Type Received]]=3,"BILL","ACH")))</f>
        <v>CC</v>
      </c>
      <c r="F3910" s="35">
        <v>61.86</v>
      </c>
      <c r="G3910" s="14" t="str">
        <f>VLOOKUP(D3910,Table4[],3,FALSE)</f>
        <v>2</v>
      </c>
      <c r="H3910" s="15">
        <v>1450</v>
      </c>
      <c r="I3910" s="15"/>
      <c r="J3910" s="15"/>
      <c r="K3910" s="15"/>
      <c r="L3910" s="15"/>
      <c r="M3910" s="15"/>
    </row>
    <row r="3911" spans="1:13" x14ac:dyDescent="0.25">
      <c r="A3911" s="23"/>
      <c r="B3911" s="14" t="str">
        <f t="shared" si="185"/>
        <v>Credit Cards (UMB) - Credits</v>
      </c>
      <c r="C3911" s="37">
        <v>46155</v>
      </c>
      <c r="D3911" s="31">
        <v>254459</v>
      </c>
      <c r="E3911" s="33" t="str">
        <f>IF(Table3[[#This Row],[Type Received]]=2,"CC",(IF(Table3[[#This Row],[Type Received]]=3,"BILL","ACH")))</f>
        <v>CC</v>
      </c>
      <c r="F3911" s="32">
        <v>50.95</v>
      </c>
      <c r="G3911" s="14" t="str">
        <f>VLOOKUP(D3911,Table4[],3,FALSE)</f>
        <v>1</v>
      </c>
      <c r="H3911" s="15"/>
      <c r="I3911" s="15" t="s">
        <v>312</v>
      </c>
      <c r="J3911" s="15" t="s">
        <v>28</v>
      </c>
      <c r="K3911" s="15">
        <v>669447185</v>
      </c>
      <c r="L3911" s="15" t="s">
        <v>29</v>
      </c>
      <c r="M3911" s="15" t="s">
        <v>29</v>
      </c>
    </row>
    <row r="3912" spans="1:13" x14ac:dyDescent="0.25">
      <c r="A3912" s="23">
        <f t="shared" ref="A3912:A3943" si="186">D3912</f>
        <v>254463</v>
      </c>
      <c r="B3912" s="14" t="str">
        <f t="shared" si="185"/>
        <v>Direct Debit (UMB Bank) - Credits</v>
      </c>
      <c r="C3912" s="38">
        <v>46169</v>
      </c>
      <c r="D3912" s="34">
        <v>254463</v>
      </c>
      <c r="E3912" s="36" t="str">
        <f>IF(Table3[[#This Row],[Type Received]]=2,"CC",(IF(Table3[[#This Row],[Type Received]]=3,"BILL","ACH")))</f>
        <v>ACH</v>
      </c>
      <c r="F3912" s="35">
        <v>141.97999999999999</v>
      </c>
      <c r="G3912" s="14" t="str">
        <f>VLOOKUP(D3912,Table4[],3,FALSE)</f>
        <v>1</v>
      </c>
      <c r="H3912" s="15"/>
      <c r="I3912" s="15">
        <v>161198</v>
      </c>
      <c r="J3912" s="15">
        <v>749271671</v>
      </c>
      <c r="K3912" s="15">
        <v>355987208</v>
      </c>
      <c r="L3912" s="15"/>
      <c r="M3912" s="15" t="s">
        <v>29</v>
      </c>
    </row>
    <row r="3913" spans="1:13" x14ac:dyDescent="0.25">
      <c r="A3913" s="23">
        <f t="shared" si="186"/>
        <v>254479</v>
      </c>
      <c r="B3913" s="14" t="str">
        <f t="shared" si="185"/>
        <v>Direct Debit (UMB Bank) - Credits</v>
      </c>
      <c r="C3913" s="37">
        <v>46144</v>
      </c>
      <c r="D3913" s="31">
        <v>254479</v>
      </c>
      <c r="E3913" s="33" t="str">
        <f>IF(Table3[[#This Row],[Type Received]]=2,"CC",(IF(Table3[[#This Row],[Type Received]]=3,"BILL","ACH")))</f>
        <v>ACH</v>
      </c>
      <c r="F3913" s="32">
        <v>124.21</v>
      </c>
      <c r="G3913" s="14" t="str">
        <f>VLOOKUP(D3913,Table4[],3,FALSE)</f>
        <v>2</v>
      </c>
      <c r="H3913" s="15"/>
      <c r="I3913" s="15"/>
      <c r="J3913" s="15" t="s">
        <v>89</v>
      </c>
      <c r="K3913" s="15">
        <v>535341430</v>
      </c>
      <c r="L3913" s="15" t="s">
        <v>29</v>
      </c>
      <c r="M3913" s="15" t="s">
        <v>29</v>
      </c>
    </row>
    <row r="3914" spans="1:13" x14ac:dyDescent="0.25">
      <c r="A3914" s="23">
        <f t="shared" si="186"/>
        <v>254480</v>
      </c>
      <c r="B3914" s="14" t="str">
        <f t="shared" si="185"/>
        <v>Direct Debit (UMB Bank) - Credits</v>
      </c>
      <c r="C3914" s="38">
        <v>46145</v>
      </c>
      <c r="D3914" s="34">
        <v>254480</v>
      </c>
      <c r="E3914" s="36" t="str">
        <f>IF(Table3[[#This Row],[Type Received]]=2,"CC",(IF(Table3[[#This Row],[Type Received]]=3,"BILL","ACH")))</f>
        <v>ACH</v>
      </c>
      <c r="F3914" s="35">
        <v>43.91</v>
      </c>
      <c r="G3914" s="14" t="str">
        <f>VLOOKUP(D3914,Table4[],3,FALSE)</f>
        <v>1</v>
      </c>
      <c r="H3914" s="15"/>
      <c r="I3914" s="15"/>
      <c r="J3914" s="24" t="s">
        <v>113</v>
      </c>
      <c r="K3914" s="15">
        <v>546452356</v>
      </c>
      <c r="L3914" s="15" t="s">
        <v>29</v>
      </c>
      <c r="M3914" s="15" t="s">
        <v>29</v>
      </c>
    </row>
    <row r="3915" spans="1:13" x14ac:dyDescent="0.25">
      <c r="A3915" s="23">
        <f t="shared" si="186"/>
        <v>254491</v>
      </c>
      <c r="B3915" s="14" t="str">
        <f t="shared" si="185"/>
        <v>Direct Debit (UMB Bank) - Credits</v>
      </c>
      <c r="C3915" s="37">
        <v>46155</v>
      </c>
      <c r="D3915" s="31">
        <v>254491</v>
      </c>
      <c r="E3915" s="33" t="str">
        <f>IF(Table3[[#This Row],[Type Received]]=2,"CC",(IF(Table3[[#This Row],[Type Received]]=3,"BILL","ACH")))</f>
        <v>ACH</v>
      </c>
      <c r="F3915" s="32">
        <v>85.93</v>
      </c>
      <c r="G3915" s="14" t="str">
        <f>VLOOKUP(D3915,Table4[],3,FALSE)</f>
        <v>2</v>
      </c>
      <c r="H3915" s="15"/>
      <c r="I3915" s="15"/>
      <c r="J3915" s="15" t="s">
        <v>90</v>
      </c>
      <c r="K3915" s="15">
        <v>669524304</v>
      </c>
      <c r="L3915" s="15" t="s">
        <v>29</v>
      </c>
      <c r="M3915" s="15" t="s">
        <v>29</v>
      </c>
    </row>
    <row r="3916" spans="1:13" x14ac:dyDescent="0.25">
      <c r="A3916" s="23">
        <f t="shared" si="186"/>
        <v>254496</v>
      </c>
      <c r="B3916" s="14" t="str">
        <f t="shared" si="185"/>
        <v>Direct Debit (UMB Bank) - Credits</v>
      </c>
      <c r="C3916" s="38">
        <v>46157</v>
      </c>
      <c r="D3916" s="34">
        <v>254496</v>
      </c>
      <c r="E3916" s="36" t="str">
        <f>IF(Table3[[#This Row],[Type Received]]=2,"CC",(IF(Table3[[#This Row],[Type Received]]=3,"BILL","ACH")))</f>
        <v>ACH</v>
      </c>
      <c r="F3916" s="35">
        <v>106.06</v>
      </c>
      <c r="G3916" s="14" t="str">
        <f>VLOOKUP(D3916,Table4[],3,FALSE)</f>
        <v>2</v>
      </c>
      <c r="H3916" s="15"/>
      <c r="I3916" s="15"/>
      <c r="J3916" s="15" t="s">
        <v>87</v>
      </c>
      <c r="K3916" s="15">
        <v>696830003</v>
      </c>
      <c r="L3916" s="15" t="s">
        <v>29</v>
      </c>
      <c r="M3916" s="15" t="s">
        <v>29</v>
      </c>
    </row>
    <row r="3917" spans="1:13" x14ac:dyDescent="0.25">
      <c r="A3917" s="23">
        <f t="shared" si="186"/>
        <v>254514</v>
      </c>
      <c r="B3917" s="14" t="str">
        <f t="shared" si="185"/>
        <v>Direct Debit (UMB Bank) - Credits</v>
      </c>
      <c r="C3917" s="37">
        <v>46145</v>
      </c>
      <c r="D3917" s="31">
        <v>254514</v>
      </c>
      <c r="E3917" s="33" t="str">
        <f>IF(Table3[[#This Row],[Type Received]]=2,"CC",(IF(Table3[[#This Row],[Type Received]]=3,"BILL","ACH")))</f>
        <v>ACH</v>
      </c>
      <c r="F3917" s="32">
        <v>39.950000000000003</v>
      </c>
      <c r="G3917" s="14" t="str">
        <f>VLOOKUP(D3917,Table4[],3,FALSE)</f>
        <v>1</v>
      </c>
      <c r="H3917" s="15"/>
      <c r="I3917" s="15"/>
      <c r="J3917" s="15" t="s">
        <v>113</v>
      </c>
      <c r="K3917" s="15">
        <v>546444693</v>
      </c>
      <c r="L3917" s="15" t="s">
        <v>29</v>
      </c>
      <c r="M3917" s="15" t="s">
        <v>29</v>
      </c>
    </row>
    <row r="3918" spans="1:13" x14ac:dyDescent="0.25">
      <c r="A3918" s="23">
        <f t="shared" si="186"/>
        <v>254534</v>
      </c>
      <c r="B3918" s="14" t="str">
        <f t="shared" si="185"/>
        <v>Credit Cards (UMB) - Credits</v>
      </c>
      <c r="C3918" s="38">
        <v>46169</v>
      </c>
      <c r="D3918" s="34">
        <v>254534</v>
      </c>
      <c r="E3918" s="36" t="str">
        <f>IF(Table3[[#This Row],[Type Received]]=2,"CC",(IF(Table3[[#This Row],[Type Received]]=3,"BILL","ACH")))</f>
        <v>CC</v>
      </c>
      <c r="F3918" s="35">
        <v>64.150000000000006</v>
      </c>
      <c r="G3918" s="14" t="str">
        <f>VLOOKUP(D3918,Table4[],3,FALSE)</f>
        <v>2</v>
      </c>
      <c r="H3918" s="15"/>
      <c r="I3918" s="15"/>
      <c r="J3918" s="15" t="s">
        <v>117</v>
      </c>
      <c r="K3918" s="15">
        <v>840866021</v>
      </c>
      <c r="L3918" s="15" t="s">
        <v>29</v>
      </c>
      <c r="M3918" s="15" t="s">
        <v>29</v>
      </c>
    </row>
    <row r="3919" spans="1:13" x14ac:dyDescent="0.25">
      <c r="A3919" s="23">
        <f t="shared" si="186"/>
        <v>254539</v>
      </c>
      <c r="B3919" s="14" t="str">
        <f t="shared" si="185"/>
        <v>Billing - Credits (from TPA)</v>
      </c>
      <c r="C3919" s="37">
        <v>46146</v>
      </c>
      <c r="D3919" s="31">
        <v>254539</v>
      </c>
      <c r="E3919" s="33" t="str">
        <f>IF(Table3[[#This Row],[Type Received]]=2,"CC",(IF(Table3[[#This Row],[Type Received]]=3,"BILL","ACH")))</f>
        <v>BILL</v>
      </c>
      <c r="F3919" s="32">
        <v>131.47</v>
      </c>
      <c r="G3919" s="14" t="str">
        <f>VLOOKUP(D3919,Table4[],3,FALSE)</f>
        <v>2</v>
      </c>
      <c r="H3919" s="15"/>
      <c r="I3919" s="15">
        <v>5460</v>
      </c>
      <c r="J3919" s="15" t="s">
        <v>28</v>
      </c>
      <c r="K3919" s="15">
        <v>557111117</v>
      </c>
      <c r="L3919" s="15" t="s">
        <v>29</v>
      </c>
      <c r="M3919" s="15" t="s">
        <v>29</v>
      </c>
    </row>
    <row r="3920" spans="1:13" x14ac:dyDescent="0.25">
      <c r="A3920" s="23">
        <f t="shared" si="186"/>
        <v>254543</v>
      </c>
      <c r="B3920" s="14" t="str">
        <f t="shared" si="185"/>
        <v>Direct Debit (UMB Bank) - Credits</v>
      </c>
      <c r="C3920" s="38">
        <v>46170</v>
      </c>
      <c r="D3920" s="34">
        <v>254543</v>
      </c>
      <c r="E3920" s="36" t="str">
        <f>IF(Table3[[#This Row],[Type Received]]=2,"CC",(IF(Table3[[#This Row],[Type Received]]=3,"BILL","ACH")))</f>
        <v>ACH</v>
      </c>
      <c r="F3920" s="35">
        <v>54.93</v>
      </c>
      <c r="G3920" s="14" t="str">
        <f>VLOOKUP(D3920,Table4[],3,FALSE)</f>
        <v>2</v>
      </c>
      <c r="H3920" s="15">
        <v>178</v>
      </c>
      <c r="I3920" s="15"/>
      <c r="J3920" s="15"/>
      <c r="K3920" s="15"/>
      <c r="L3920" s="15"/>
      <c r="M3920" s="15" t="s">
        <v>29</v>
      </c>
    </row>
    <row r="3921" spans="1:13" x14ac:dyDescent="0.25">
      <c r="A3921" s="23">
        <f t="shared" si="186"/>
        <v>254544</v>
      </c>
      <c r="B3921" s="14" t="str">
        <f t="shared" si="185"/>
        <v>Direct Debit (UMB Bank) - Credits</v>
      </c>
      <c r="C3921" s="37">
        <v>46169</v>
      </c>
      <c r="D3921" s="31">
        <v>254544</v>
      </c>
      <c r="E3921" s="33" t="str">
        <f>IF(Table3[[#This Row],[Type Received]]=2,"CC",(IF(Table3[[#This Row],[Type Received]]=3,"BILL","ACH")))</f>
        <v>ACH</v>
      </c>
      <c r="F3921" s="32">
        <v>41.05</v>
      </c>
      <c r="G3921" s="14" t="str">
        <f>VLOOKUP(D3921,Table4[],3,FALSE)</f>
        <v>2</v>
      </c>
      <c r="H3921" s="15"/>
      <c r="I3921" s="15"/>
      <c r="J3921" s="15" t="s">
        <v>117</v>
      </c>
      <c r="K3921" s="15">
        <v>842224984</v>
      </c>
      <c r="L3921" s="15" t="s">
        <v>29</v>
      </c>
      <c r="M3921" s="15" t="s">
        <v>29</v>
      </c>
    </row>
    <row r="3922" spans="1:13" x14ac:dyDescent="0.25">
      <c r="A3922" s="23">
        <f t="shared" si="186"/>
        <v>254555</v>
      </c>
      <c r="B3922" s="14" t="str">
        <f t="shared" si="185"/>
        <v>Direct Debit (UMB Bank) - Credits</v>
      </c>
      <c r="C3922" s="38">
        <v>46145</v>
      </c>
      <c r="D3922" s="34">
        <v>254555</v>
      </c>
      <c r="E3922" s="36" t="str">
        <f>IF(Table3[[#This Row],[Type Received]]=2,"CC",(IF(Table3[[#This Row],[Type Received]]=3,"BILL","ACH")))</f>
        <v>ACH</v>
      </c>
      <c r="F3922" s="35">
        <v>125.86</v>
      </c>
      <c r="G3922" s="14" t="e">
        <f>VLOOKUP(D3922,Table4[],3,FALSE)</f>
        <v>#N/A</v>
      </c>
      <c r="H3922" s="15"/>
      <c r="I3922" s="15"/>
      <c r="J3922" s="15" t="s">
        <v>113</v>
      </c>
      <c r="K3922" s="15">
        <v>546458122</v>
      </c>
      <c r="L3922" s="15" t="s">
        <v>29</v>
      </c>
      <c r="M3922" s="15" t="s">
        <v>29</v>
      </c>
    </row>
    <row r="3923" spans="1:13" x14ac:dyDescent="0.25">
      <c r="A3923" s="23">
        <f t="shared" si="186"/>
        <v>254579</v>
      </c>
      <c r="B3923" s="14" t="str">
        <f t="shared" si="185"/>
        <v>Credit Cards (UMB) - Credits</v>
      </c>
      <c r="C3923" s="37">
        <v>46157</v>
      </c>
      <c r="D3923" s="31">
        <v>254579</v>
      </c>
      <c r="E3923" s="33" t="str">
        <f>IF(Table3[[#This Row],[Type Received]]=2,"CC",(IF(Table3[[#This Row],[Type Received]]=3,"BILL","ACH")))</f>
        <v>CC</v>
      </c>
      <c r="F3923" s="32">
        <v>50.29</v>
      </c>
      <c r="G3923" s="14" t="str">
        <f>VLOOKUP(D3923,Table4[],3,FALSE)</f>
        <v>2</v>
      </c>
      <c r="H3923" s="15"/>
      <c r="I3923" s="15"/>
      <c r="J3923" s="15" t="s">
        <v>87</v>
      </c>
      <c r="K3923" s="15">
        <v>696840578</v>
      </c>
      <c r="L3923" s="15" t="s">
        <v>29</v>
      </c>
      <c r="M3923" s="15" t="s">
        <v>29</v>
      </c>
    </row>
    <row r="3924" spans="1:13" x14ac:dyDescent="0.25">
      <c r="A3924" s="23">
        <f t="shared" si="186"/>
        <v>254580</v>
      </c>
      <c r="B3924" s="14" t="str">
        <f t="shared" si="185"/>
        <v>Direct Debit (UMB Bank) - Credits</v>
      </c>
      <c r="C3924" s="38">
        <v>46145</v>
      </c>
      <c r="D3924" s="34">
        <v>254580</v>
      </c>
      <c r="E3924" s="36" t="str">
        <f>IF(Table3[[#This Row],[Type Received]]=2,"CC",(IF(Table3[[#This Row],[Type Received]]=3,"BILL","ACH")))</f>
        <v>ACH</v>
      </c>
      <c r="F3924" s="35">
        <v>54.03</v>
      </c>
      <c r="G3924" s="14" t="str">
        <f>VLOOKUP(D3924,Table4[],3,FALSE)</f>
        <v>1</v>
      </c>
      <c r="H3924" s="15"/>
      <c r="I3924" s="15" t="s">
        <v>313</v>
      </c>
      <c r="J3924" s="24" t="s">
        <v>28</v>
      </c>
      <c r="K3924" s="15">
        <v>546445611</v>
      </c>
      <c r="L3924" s="15" t="s">
        <v>29</v>
      </c>
      <c r="M3924" s="15" t="s">
        <v>29</v>
      </c>
    </row>
    <row r="3925" spans="1:13" x14ac:dyDescent="0.25">
      <c r="A3925" s="23">
        <f t="shared" si="186"/>
        <v>254581</v>
      </c>
      <c r="B3925" s="14" t="str">
        <f t="shared" si="185"/>
        <v>Direct Debit (UMB Bank) - Credits</v>
      </c>
      <c r="C3925" s="37">
        <v>46169</v>
      </c>
      <c r="D3925" s="31">
        <v>254581</v>
      </c>
      <c r="E3925" s="33" t="str">
        <f>IF(Table3[[#This Row],[Type Received]]=2,"CC",(IF(Table3[[#This Row],[Type Received]]=3,"BILL","ACH")))</f>
        <v>ACH</v>
      </c>
      <c r="F3925" s="32">
        <v>77.13</v>
      </c>
      <c r="G3925" s="14" t="str">
        <f>VLOOKUP(D3925,Table4[],3,FALSE)</f>
        <v>1</v>
      </c>
      <c r="H3925" s="15"/>
      <c r="I3925" s="15"/>
      <c r="J3925" s="15" t="s">
        <v>117</v>
      </c>
      <c r="K3925" s="15">
        <v>842246481</v>
      </c>
      <c r="L3925" s="15" t="s">
        <v>29</v>
      </c>
      <c r="M3925" s="15" t="s">
        <v>29</v>
      </c>
    </row>
    <row r="3926" spans="1:13" x14ac:dyDescent="0.25">
      <c r="A3926" s="23">
        <f t="shared" si="186"/>
        <v>254594</v>
      </c>
      <c r="B3926" s="14" t="str">
        <f t="shared" si="185"/>
        <v>Direct Debit (UMB Bank) - Credits</v>
      </c>
      <c r="C3926" s="38">
        <v>46169</v>
      </c>
      <c r="D3926" s="34">
        <v>254594</v>
      </c>
      <c r="E3926" s="36" t="str">
        <f>IF(Table3[[#This Row],[Type Received]]=2,"CC",(IF(Table3[[#This Row],[Type Received]]=3,"BILL","ACH")))</f>
        <v>ACH</v>
      </c>
      <c r="F3926" s="35">
        <v>68.77</v>
      </c>
      <c r="G3926" s="14" t="str">
        <f>VLOOKUP(D3926,Table4[],3,FALSE)</f>
        <v>2</v>
      </c>
      <c r="H3926" s="15"/>
      <c r="I3926" s="15"/>
      <c r="J3926" s="15" t="s">
        <v>117</v>
      </c>
      <c r="K3926" s="15">
        <v>842249477</v>
      </c>
      <c r="L3926" s="15" t="s">
        <v>29</v>
      </c>
      <c r="M3926" s="15"/>
    </row>
    <row r="3927" spans="1:13" x14ac:dyDescent="0.25">
      <c r="A3927" s="23">
        <f t="shared" si="186"/>
        <v>254596</v>
      </c>
      <c r="B3927" s="14" t="str">
        <f t="shared" si="185"/>
        <v>Billing - Credits (from TPA)</v>
      </c>
      <c r="C3927" s="37">
        <v>46145</v>
      </c>
      <c r="D3927" s="31">
        <v>254596</v>
      </c>
      <c r="E3927" s="33" t="str">
        <f>IF(Table3[[#This Row],[Type Received]]=2,"CC",(IF(Table3[[#This Row],[Type Received]]=3,"BILL","ACH")))</f>
        <v>BILL</v>
      </c>
      <c r="F3927" s="32">
        <v>63.49</v>
      </c>
      <c r="G3927" s="14" t="str">
        <f>VLOOKUP(D3927,Table4[],3,FALSE)</f>
        <v>2</v>
      </c>
      <c r="H3927" s="15"/>
      <c r="I3927" s="15"/>
      <c r="J3927" s="24" t="s">
        <v>113</v>
      </c>
      <c r="K3927" s="15">
        <v>546439785</v>
      </c>
      <c r="L3927" s="15" t="s">
        <v>29</v>
      </c>
      <c r="M3927" s="15" t="s">
        <v>29</v>
      </c>
    </row>
    <row r="3928" spans="1:13" x14ac:dyDescent="0.25">
      <c r="A3928" s="23">
        <f t="shared" si="186"/>
        <v>254624</v>
      </c>
      <c r="B3928" s="14" t="str">
        <f t="shared" si="185"/>
        <v>Direct Debit (UMB Bank) - Credits</v>
      </c>
      <c r="C3928" s="38">
        <v>46168</v>
      </c>
      <c r="D3928" s="34">
        <v>254624</v>
      </c>
      <c r="E3928" s="36" t="str">
        <f>IF(Table3[[#This Row],[Type Received]]=2,"CC",(IF(Table3[[#This Row],[Type Received]]=3,"BILL","ACH")))</f>
        <v>ACH</v>
      </c>
      <c r="F3928" s="35">
        <v>55.15</v>
      </c>
      <c r="G3928" s="14" t="str">
        <f>VLOOKUP(D3928,Table4[],3,FALSE)</f>
        <v>1</v>
      </c>
      <c r="H3928" s="15">
        <v>683</v>
      </c>
      <c r="I3928" s="15"/>
      <c r="J3928" s="15"/>
      <c r="K3928" s="15"/>
      <c r="L3928" s="15"/>
      <c r="M3928" s="15"/>
    </row>
    <row r="3929" spans="1:13" x14ac:dyDescent="0.25">
      <c r="A3929" s="23">
        <f t="shared" si="186"/>
        <v>254607</v>
      </c>
      <c r="B3929" s="14" t="str">
        <f t="shared" si="185"/>
        <v>Direct Debit (UMB Bank) - Credits</v>
      </c>
      <c r="C3929" s="37">
        <v>46157</v>
      </c>
      <c r="D3929" s="31">
        <v>254607</v>
      </c>
      <c r="E3929" s="33" t="str">
        <f>IF(Table3[[#This Row],[Type Received]]=2,"CC",(IF(Table3[[#This Row],[Type Received]]=3,"BILL","ACH")))</f>
        <v>ACH</v>
      </c>
      <c r="F3929" s="32">
        <v>123.88</v>
      </c>
      <c r="G3929" s="14" t="str">
        <f>VLOOKUP(D3929,Table4[],3,FALSE)</f>
        <v>2</v>
      </c>
      <c r="H3929" s="15"/>
      <c r="I3929" s="15"/>
      <c r="J3929" s="15" t="s">
        <v>87</v>
      </c>
      <c r="K3929" s="15">
        <v>696838758</v>
      </c>
      <c r="L3929" s="15" t="s">
        <v>29</v>
      </c>
      <c r="M3929" s="15" t="s">
        <v>29</v>
      </c>
    </row>
    <row r="3930" spans="1:13" x14ac:dyDescent="0.25">
      <c r="A3930" s="23">
        <f t="shared" si="186"/>
        <v>254608</v>
      </c>
      <c r="B3930" s="14" t="str">
        <f t="shared" si="185"/>
        <v>Credit Cards (UMB) - Credits</v>
      </c>
      <c r="C3930" s="38">
        <v>46157</v>
      </c>
      <c r="D3930" s="34">
        <v>254608</v>
      </c>
      <c r="E3930" s="36" t="str">
        <f>IF(Table3[[#This Row],[Type Received]]=2,"CC",(IF(Table3[[#This Row],[Type Received]]=3,"BILL","ACH")))</f>
        <v>CC</v>
      </c>
      <c r="F3930" s="35">
        <v>39.950000000000003</v>
      </c>
      <c r="G3930" s="14" t="str">
        <f>VLOOKUP(D3930,Table4[],3,FALSE)</f>
        <v>1</v>
      </c>
      <c r="H3930" s="15"/>
      <c r="I3930" s="15"/>
      <c r="J3930" s="15" t="s">
        <v>87</v>
      </c>
      <c r="K3930" s="15">
        <v>696832864</v>
      </c>
      <c r="L3930" s="15" t="s">
        <v>29</v>
      </c>
      <c r="M3930" s="15"/>
    </row>
    <row r="3931" spans="1:13" x14ac:dyDescent="0.25">
      <c r="A3931" s="23">
        <f t="shared" si="186"/>
        <v>254616</v>
      </c>
      <c r="B3931" s="14" t="str">
        <f t="shared" si="185"/>
        <v>Direct Debit (UMB Bank) - Credits</v>
      </c>
      <c r="C3931" s="37">
        <v>46149</v>
      </c>
      <c r="D3931" s="31">
        <v>254616</v>
      </c>
      <c r="E3931" s="33" t="str">
        <f>IF(Table3[[#This Row],[Type Received]]=2,"CC",(IF(Table3[[#This Row],[Type Received]]=3,"BILL","ACH")))</f>
        <v>ACH</v>
      </c>
      <c r="F3931" s="32">
        <v>68</v>
      </c>
      <c r="G3931" s="14" t="str">
        <f>VLOOKUP(D3931,Table4[],3,FALSE)</f>
        <v>2</v>
      </c>
      <c r="H3931" s="15"/>
      <c r="I3931" s="15" t="s">
        <v>314</v>
      </c>
      <c r="J3931" s="15">
        <v>743273545</v>
      </c>
      <c r="K3931" s="15">
        <v>353782227</v>
      </c>
      <c r="L3931" s="15"/>
      <c r="M3931" s="15"/>
    </row>
    <row r="3932" spans="1:13" x14ac:dyDescent="0.25">
      <c r="A3932" s="23">
        <f t="shared" si="186"/>
        <v>254636</v>
      </c>
      <c r="B3932" s="14" t="str">
        <f t="shared" si="185"/>
        <v>Direct Debit (UMB Bank) - Credits</v>
      </c>
      <c r="C3932" s="38">
        <v>46169</v>
      </c>
      <c r="D3932" s="34">
        <v>254636</v>
      </c>
      <c r="E3932" s="36" t="str">
        <f>IF(Table3[[#This Row],[Type Received]]=2,"CC",(IF(Table3[[#This Row],[Type Received]]=3,"BILL","ACH")))</f>
        <v>ACH</v>
      </c>
      <c r="F3932" s="35">
        <v>51.61</v>
      </c>
      <c r="G3932" s="14" t="str">
        <f>VLOOKUP(D3932,Table4[],3,FALSE)</f>
        <v>2</v>
      </c>
      <c r="H3932" s="15"/>
      <c r="I3932" s="15"/>
      <c r="J3932" s="15" t="s">
        <v>117</v>
      </c>
      <c r="K3932" s="15">
        <v>842252285</v>
      </c>
      <c r="L3932" s="15" t="s">
        <v>29</v>
      </c>
      <c r="M3932" s="15" t="s">
        <v>29</v>
      </c>
    </row>
    <row r="3933" spans="1:13" x14ac:dyDescent="0.25">
      <c r="A3933" s="23">
        <f t="shared" si="186"/>
        <v>254637</v>
      </c>
      <c r="B3933" s="14" t="str">
        <f t="shared" si="185"/>
        <v>Direct Debit (UMB Bank) - Credits</v>
      </c>
      <c r="C3933" s="37">
        <v>46169</v>
      </c>
      <c r="D3933" s="31">
        <v>254637</v>
      </c>
      <c r="E3933" s="33" t="str">
        <f>IF(Table3[[#This Row],[Type Received]]=2,"CC",(IF(Table3[[#This Row],[Type Received]]=3,"BILL","ACH")))</f>
        <v>ACH</v>
      </c>
      <c r="F3933" s="32">
        <v>108.7</v>
      </c>
      <c r="G3933" s="14" t="str">
        <f>VLOOKUP(D3933,Table4[],3,FALSE)</f>
        <v>2</v>
      </c>
      <c r="H3933" s="15"/>
      <c r="I3933" s="15"/>
      <c r="J3933" s="15" t="s">
        <v>117</v>
      </c>
      <c r="K3933" s="15">
        <v>842251353</v>
      </c>
      <c r="L3933" s="15" t="s">
        <v>29</v>
      </c>
      <c r="M3933" s="15" t="s">
        <v>29</v>
      </c>
    </row>
    <row r="3934" spans="1:13" x14ac:dyDescent="0.25">
      <c r="A3934" s="23">
        <f t="shared" si="186"/>
        <v>254639</v>
      </c>
      <c r="B3934" s="14" t="str">
        <f t="shared" si="185"/>
        <v>Direct Debit (UMB Bank) - Credits</v>
      </c>
      <c r="C3934" s="38">
        <v>46169</v>
      </c>
      <c r="D3934" s="34">
        <v>254639</v>
      </c>
      <c r="E3934" s="36" t="str">
        <f>IF(Table3[[#This Row],[Type Received]]=2,"CC",(IF(Table3[[#This Row],[Type Received]]=3,"BILL","ACH")))</f>
        <v>ACH</v>
      </c>
      <c r="F3934" s="35">
        <v>77.349999999999994</v>
      </c>
      <c r="G3934" s="14" t="str">
        <f>VLOOKUP(D3934,Table4[],3,FALSE)</f>
        <v>2</v>
      </c>
      <c r="H3934" s="15"/>
      <c r="I3934" s="15"/>
      <c r="J3934" s="15" t="s">
        <v>117</v>
      </c>
      <c r="K3934" s="15">
        <v>842243816</v>
      </c>
      <c r="L3934" s="15" t="s">
        <v>29</v>
      </c>
      <c r="M3934" s="15" t="s">
        <v>29</v>
      </c>
    </row>
    <row r="3935" spans="1:13" x14ac:dyDescent="0.25">
      <c r="A3935" s="23">
        <f t="shared" si="186"/>
        <v>254641</v>
      </c>
      <c r="B3935" s="14" t="str">
        <f t="shared" si="185"/>
        <v>Direct Debit (UMB Bank) - Credits</v>
      </c>
      <c r="C3935" s="37">
        <v>46145</v>
      </c>
      <c r="D3935" s="31">
        <v>254641</v>
      </c>
      <c r="E3935" s="33" t="str">
        <f>IF(Table3[[#This Row],[Type Received]]=2,"CC",(IF(Table3[[#This Row],[Type Received]]=3,"BILL","ACH")))</f>
        <v>ACH</v>
      </c>
      <c r="F3935" s="32">
        <v>72.510000000000005</v>
      </c>
      <c r="G3935" s="14" t="str">
        <f>VLOOKUP(D3935,Table4[],3,FALSE)</f>
        <v>1</v>
      </c>
      <c r="H3935" s="15"/>
      <c r="I3935" s="15"/>
      <c r="J3935" s="24" t="s">
        <v>113</v>
      </c>
      <c r="K3935" s="15">
        <v>546436878</v>
      </c>
      <c r="L3935" s="15" t="s">
        <v>29</v>
      </c>
      <c r="M3935" s="15"/>
    </row>
    <row r="3936" spans="1:13" x14ac:dyDescent="0.25">
      <c r="A3936" s="23">
        <f t="shared" si="186"/>
        <v>254652</v>
      </c>
      <c r="B3936" s="14" t="str">
        <f t="shared" si="185"/>
        <v>Direct Debit (UMB Bank) - Credits</v>
      </c>
      <c r="C3936" s="38">
        <v>46143</v>
      </c>
      <c r="D3936" s="34">
        <v>254652</v>
      </c>
      <c r="E3936" s="36" t="str">
        <f>IF(Table3[[#This Row],[Type Received]]=2,"CC",(IF(Table3[[#This Row],[Type Received]]=3,"BILL","ACH")))</f>
        <v>ACH</v>
      </c>
      <c r="F3936" s="35">
        <v>126.85</v>
      </c>
      <c r="G3936" s="14" t="str">
        <f>VLOOKUP(D3936,Table4[],3,FALSE)</f>
        <v>2</v>
      </c>
      <c r="H3936" s="15"/>
      <c r="I3936" s="15"/>
      <c r="J3936" s="15" t="s">
        <v>84</v>
      </c>
      <c r="K3936" s="15">
        <v>522248248</v>
      </c>
      <c r="L3936" s="15" t="s">
        <v>29</v>
      </c>
      <c r="M3936" s="15"/>
    </row>
    <row r="3937" spans="1:13" x14ac:dyDescent="0.25">
      <c r="A3937" s="23">
        <f t="shared" si="186"/>
        <v>254673</v>
      </c>
      <c r="B3937" s="14" t="str">
        <f t="shared" si="185"/>
        <v>Direct Debit (UMB Bank) - Credits</v>
      </c>
      <c r="C3937" s="37">
        <v>46169</v>
      </c>
      <c r="D3937" s="31">
        <v>254673</v>
      </c>
      <c r="E3937" s="33" t="str">
        <f>IF(Table3[[#This Row],[Type Received]]=2,"CC",(IF(Table3[[#This Row],[Type Received]]=3,"BILL","ACH")))</f>
        <v>ACH</v>
      </c>
      <c r="F3937" s="32">
        <v>62.61</v>
      </c>
      <c r="G3937" s="14" t="str">
        <f>VLOOKUP(D3937,Table4[],3,FALSE)</f>
        <v>1</v>
      </c>
      <c r="H3937" s="15"/>
      <c r="I3937" s="15"/>
      <c r="J3937" s="15" t="s">
        <v>117</v>
      </c>
      <c r="K3937" s="15">
        <v>842256224</v>
      </c>
      <c r="L3937" s="15" t="s">
        <v>29</v>
      </c>
      <c r="M3937" s="15"/>
    </row>
    <row r="3938" spans="1:13" x14ac:dyDescent="0.25">
      <c r="A3938" s="23">
        <f t="shared" si="186"/>
        <v>254674</v>
      </c>
      <c r="B3938" s="14" t="str">
        <f t="shared" si="185"/>
        <v>Direct Debit (UMB Bank) - Credits</v>
      </c>
      <c r="C3938" s="38">
        <v>46145</v>
      </c>
      <c r="D3938" s="34">
        <v>254674</v>
      </c>
      <c r="E3938" s="36" t="str">
        <f>IF(Table3[[#This Row],[Type Received]]=2,"CC",(IF(Table3[[#This Row],[Type Received]]=3,"BILL","ACH")))</f>
        <v>ACH</v>
      </c>
      <c r="F3938" s="35">
        <v>125.53</v>
      </c>
      <c r="G3938" s="14" t="str">
        <f>VLOOKUP(D3938,Table4[],3,FALSE)</f>
        <v>2</v>
      </c>
      <c r="H3938" s="15"/>
      <c r="I3938" s="15"/>
      <c r="J3938" s="15" t="s">
        <v>113</v>
      </c>
      <c r="K3938" s="15">
        <v>546396046</v>
      </c>
      <c r="L3938" s="15" t="s">
        <v>29</v>
      </c>
      <c r="M3938" s="15"/>
    </row>
    <row r="3939" spans="1:13" x14ac:dyDescent="0.25">
      <c r="A3939" s="23">
        <f t="shared" si="186"/>
        <v>254680</v>
      </c>
      <c r="B3939" s="14" t="str">
        <f t="shared" si="185"/>
        <v>Credit Cards (UMB) - Credits</v>
      </c>
      <c r="C3939" s="37">
        <v>46144</v>
      </c>
      <c r="D3939" s="31">
        <v>254680</v>
      </c>
      <c r="E3939" s="33" t="str">
        <f>IF(Table3[[#This Row],[Type Received]]=2,"CC",(IF(Table3[[#This Row],[Type Received]]=3,"BILL","ACH")))</f>
        <v>CC</v>
      </c>
      <c r="F3939" s="32">
        <v>59.86</v>
      </c>
      <c r="G3939" s="14" t="str">
        <f>VLOOKUP(D3939,Table4[],3,FALSE)</f>
        <v>2</v>
      </c>
      <c r="H3939" s="15"/>
      <c r="I3939" s="15"/>
      <c r="J3939" s="15" t="s">
        <v>89</v>
      </c>
      <c r="K3939" s="15">
        <v>535317075</v>
      </c>
      <c r="L3939" s="15" t="s">
        <v>29</v>
      </c>
      <c r="M3939" s="15" t="s">
        <v>29</v>
      </c>
    </row>
    <row r="3940" spans="1:13" x14ac:dyDescent="0.25">
      <c r="A3940" s="23">
        <f t="shared" si="186"/>
        <v>254685</v>
      </c>
      <c r="B3940" s="14" t="str">
        <f t="shared" si="185"/>
        <v>Direct Debit (UMB Bank) - Credits</v>
      </c>
      <c r="C3940" s="38">
        <v>46143</v>
      </c>
      <c r="D3940" s="34">
        <v>254685</v>
      </c>
      <c r="E3940" s="36" t="str">
        <f>IF(Table3[[#This Row],[Type Received]]=2,"CC",(IF(Table3[[#This Row],[Type Received]]=3,"BILL","ACH")))</f>
        <v>ACH</v>
      </c>
      <c r="F3940" s="35">
        <v>69.45</v>
      </c>
      <c r="G3940" s="14" t="str">
        <f>VLOOKUP(D3940,Table4[],3,FALSE)</f>
        <v>2</v>
      </c>
      <c r="H3940" s="15"/>
      <c r="I3940" s="15">
        <v>876895</v>
      </c>
      <c r="J3940" s="15">
        <v>741374152</v>
      </c>
      <c r="K3940" s="15">
        <v>353212889</v>
      </c>
      <c r="L3940" s="15"/>
      <c r="M3940" s="15" t="s">
        <v>29</v>
      </c>
    </row>
    <row r="3941" spans="1:13" x14ac:dyDescent="0.25">
      <c r="A3941" s="23">
        <f t="shared" si="186"/>
        <v>254690</v>
      </c>
      <c r="B3941" s="14" t="str">
        <f t="shared" si="185"/>
        <v>Direct Debit (UMB Bank) - Credits</v>
      </c>
      <c r="C3941" s="37">
        <v>46157</v>
      </c>
      <c r="D3941" s="31">
        <v>254690</v>
      </c>
      <c r="E3941" s="33" t="str">
        <f>IF(Table3[[#This Row],[Type Received]]=2,"CC",(IF(Table3[[#This Row],[Type Received]]=3,"BILL","ACH")))</f>
        <v>ACH</v>
      </c>
      <c r="F3941" s="32">
        <v>115.63</v>
      </c>
      <c r="G3941" s="14" t="str">
        <f>VLOOKUP(D3941,Table4[],3,FALSE)</f>
        <v>1</v>
      </c>
      <c r="H3941" s="15"/>
      <c r="I3941" s="15"/>
      <c r="J3941" s="15" t="s">
        <v>87</v>
      </c>
      <c r="K3941" s="15">
        <v>696842544</v>
      </c>
      <c r="L3941" s="15" t="s">
        <v>29</v>
      </c>
      <c r="M3941" s="15" t="s">
        <v>29</v>
      </c>
    </row>
    <row r="3942" spans="1:13" x14ac:dyDescent="0.25">
      <c r="A3942" s="23">
        <f t="shared" si="186"/>
        <v>254691</v>
      </c>
      <c r="B3942" s="14" t="str">
        <f t="shared" si="185"/>
        <v>Direct Debit (UMB Bank) - Credits</v>
      </c>
      <c r="C3942" s="38">
        <v>46157</v>
      </c>
      <c r="D3942" s="34">
        <v>254691</v>
      </c>
      <c r="E3942" s="36" t="str">
        <f>IF(Table3[[#This Row],[Type Received]]=2,"CC",(IF(Table3[[#This Row],[Type Received]]=3,"BILL","ACH")))</f>
        <v>ACH</v>
      </c>
      <c r="F3942" s="35">
        <v>120.91</v>
      </c>
      <c r="G3942" s="14" t="str">
        <f>VLOOKUP(D3942,Table4[],3,FALSE)</f>
        <v>2</v>
      </c>
      <c r="H3942" s="15"/>
      <c r="I3942" s="15"/>
      <c r="J3942" s="15" t="s">
        <v>87</v>
      </c>
      <c r="K3942" s="15">
        <v>696854221</v>
      </c>
      <c r="L3942" s="15" t="s">
        <v>29</v>
      </c>
      <c r="M3942" s="15"/>
    </row>
    <row r="3943" spans="1:13" x14ac:dyDescent="0.25">
      <c r="A3943" s="23">
        <f t="shared" si="186"/>
        <v>254697</v>
      </c>
      <c r="B3943" s="14" t="str">
        <f t="shared" si="185"/>
        <v>Credit Cards (UMB) - Credits</v>
      </c>
      <c r="C3943" s="37">
        <v>46145</v>
      </c>
      <c r="D3943" s="31">
        <v>254697</v>
      </c>
      <c r="E3943" s="33" t="str">
        <f>IF(Table3[[#This Row],[Type Received]]=2,"CC",(IF(Table3[[#This Row],[Type Received]]=3,"BILL","ACH")))</f>
        <v>CC</v>
      </c>
      <c r="F3943" s="32">
        <v>80.430000000000007</v>
      </c>
      <c r="G3943" s="14" t="str">
        <f>VLOOKUP(D3943,Table4[],3,FALSE)</f>
        <v>1</v>
      </c>
      <c r="H3943" s="15"/>
      <c r="I3943" s="15"/>
      <c r="J3943" s="15" t="s">
        <v>113</v>
      </c>
      <c r="K3943" s="15">
        <v>546448587</v>
      </c>
      <c r="L3943" s="15" t="s">
        <v>29</v>
      </c>
      <c r="M3943" s="15" t="s">
        <v>29</v>
      </c>
    </row>
    <row r="3944" spans="1:13" x14ac:dyDescent="0.25">
      <c r="A3944" s="23">
        <f t="shared" ref="A3944:A3975" si="187">D3944</f>
        <v>254699</v>
      </c>
      <c r="B3944" s="14" t="str">
        <f t="shared" si="185"/>
        <v>Credit Cards (UMB) - Credits</v>
      </c>
      <c r="C3944" s="38">
        <v>46163</v>
      </c>
      <c r="D3944" s="34">
        <v>254699</v>
      </c>
      <c r="E3944" s="36" t="str">
        <f>IF(Table3[[#This Row],[Type Received]]=2,"CC",(IF(Table3[[#This Row],[Type Received]]=3,"BILL","ACH")))</f>
        <v>CC</v>
      </c>
      <c r="F3944" s="35">
        <v>125.58</v>
      </c>
      <c r="G3944" s="14" t="str">
        <f>VLOOKUP(D3944,Table4[],3,FALSE)</f>
        <v>1</v>
      </c>
      <c r="H3944" s="15"/>
      <c r="I3944" s="15">
        <v>110105</v>
      </c>
      <c r="J3944" s="15" t="s">
        <v>28</v>
      </c>
      <c r="K3944" s="15">
        <v>774753396</v>
      </c>
      <c r="L3944" s="15" t="s">
        <v>29</v>
      </c>
      <c r="M3944" s="15" t="s">
        <v>29</v>
      </c>
    </row>
    <row r="3945" spans="1:13" x14ac:dyDescent="0.25">
      <c r="A3945" s="23">
        <f t="shared" si="187"/>
        <v>254699</v>
      </c>
      <c r="B3945" s="14" t="str">
        <f t="shared" si="185"/>
        <v>Direct Debit (UMB Bank) - Credits</v>
      </c>
      <c r="C3945" s="37">
        <v>46163</v>
      </c>
      <c r="D3945" s="31">
        <v>254699</v>
      </c>
      <c r="E3945" s="33" t="str">
        <f>IF(Table3[[#This Row],[Type Received]]=2,"CC",(IF(Table3[[#This Row],[Type Received]]=3,"BILL","ACH")))</f>
        <v>ACH</v>
      </c>
      <c r="F3945" s="32">
        <v>125.58</v>
      </c>
      <c r="G3945" s="14" t="str">
        <f>VLOOKUP(D3945,Table4[],3,FALSE)</f>
        <v>1</v>
      </c>
      <c r="H3945" s="15"/>
      <c r="I3945" s="15">
        <v>82144</v>
      </c>
      <c r="J3945" s="15" t="s">
        <v>28</v>
      </c>
      <c r="K3945" s="15">
        <v>774743795</v>
      </c>
      <c r="L3945" s="15" t="s">
        <v>29</v>
      </c>
      <c r="M3945" s="15" t="s">
        <v>29</v>
      </c>
    </row>
    <row r="3946" spans="1:13" x14ac:dyDescent="0.25">
      <c r="A3946" s="23">
        <f t="shared" si="187"/>
        <v>254701</v>
      </c>
      <c r="B3946" s="14" t="str">
        <f t="shared" si="185"/>
        <v>Direct Debit (UMB Bank) - Credits</v>
      </c>
      <c r="C3946" s="38">
        <v>46144</v>
      </c>
      <c r="D3946" s="34">
        <v>254701</v>
      </c>
      <c r="E3946" s="36" t="str">
        <f>IF(Table3[[#This Row],[Type Received]]=2,"CC",(IF(Table3[[#This Row],[Type Received]]=3,"BILL","ACH")))</f>
        <v>ACH</v>
      </c>
      <c r="F3946" s="35">
        <v>104.41</v>
      </c>
      <c r="G3946" s="14" t="str">
        <f>VLOOKUP(D3946,Table4[],3,FALSE)</f>
        <v>2</v>
      </c>
      <c r="H3946" s="15"/>
      <c r="I3946" s="15"/>
      <c r="J3946" s="24" t="s">
        <v>89</v>
      </c>
      <c r="K3946" s="15">
        <v>535372205</v>
      </c>
      <c r="L3946" s="15" t="s">
        <v>29</v>
      </c>
      <c r="M3946" s="15" t="s">
        <v>29</v>
      </c>
    </row>
    <row r="3947" spans="1:13" x14ac:dyDescent="0.25">
      <c r="A3947" s="23">
        <f t="shared" si="187"/>
        <v>254702</v>
      </c>
      <c r="B3947" s="14" t="str">
        <f t="shared" si="185"/>
        <v>Billing - Credits (from TPA)</v>
      </c>
      <c r="C3947" s="37">
        <v>46157</v>
      </c>
      <c r="D3947" s="31">
        <v>254702</v>
      </c>
      <c r="E3947" s="33" t="str">
        <f>IF(Table3[[#This Row],[Type Received]]=2,"CC",(IF(Table3[[#This Row],[Type Received]]=3,"BILL","ACH")))</f>
        <v>BILL</v>
      </c>
      <c r="F3947" s="32">
        <v>84.94</v>
      </c>
      <c r="G3947" s="14" t="str">
        <f>VLOOKUP(D3947,Table4[],3,FALSE)</f>
        <v>2</v>
      </c>
      <c r="H3947" s="15"/>
      <c r="I3947" s="15"/>
      <c r="J3947" s="15" t="s">
        <v>87</v>
      </c>
      <c r="K3947" s="15">
        <v>696852229</v>
      </c>
      <c r="L3947" s="15" t="s">
        <v>29</v>
      </c>
      <c r="M3947" s="15"/>
    </row>
    <row r="3948" spans="1:13" x14ac:dyDescent="0.25">
      <c r="A3948" s="23">
        <f t="shared" si="187"/>
        <v>254705</v>
      </c>
      <c r="B3948" s="14" t="str">
        <f t="shared" si="185"/>
        <v>Credit Cards (UMB) - Credits</v>
      </c>
      <c r="C3948" s="38">
        <v>46155</v>
      </c>
      <c r="D3948" s="34">
        <v>254705</v>
      </c>
      <c r="E3948" s="36" t="str">
        <f>IF(Table3[[#This Row],[Type Received]]=2,"CC",(IF(Table3[[#This Row],[Type Received]]=3,"BILL","ACH")))</f>
        <v>CC</v>
      </c>
      <c r="F3948" s="35">
        <v>38.1</v>
      </c>
      <c r="G3948" s="14" t="str">
        <f>VLOOKUP(D3948,Table4[],3,FALSE)</f>
        <v>2</v>
      </c>
      <c r="H3948" s="15">
        <v>3731</v>
      </c>
      <c r="I3948" s="15"/>
      <c r="J3948" s="15"/>
      <c r="K3948" s="15"/>
      <c r="L3948" s="15"/>
      <c r="M3948" s="15" t="s">
        <v>29</v>
      </c>
    </row>
    <row r="3949" spans="1:13" x14ac:dyDescent="0.25">
      <c r="A3949" s="23">
        <f t="shared" si="187"/>
        <v>254710</v>
      </c>
      <c r="B3949" s="14" t="str">
        <f t="shared" si="185"/>
        <v>Direct Debit (UMB Bank) - Credits</v>
      </c>
      <c r="C3949" s="37">
        <v>46155</v>
      </c>
      <c r="D3949" s="31">
        <v>254710</v>
      </c>
      <c r="E3949" s="33" t="str">
        <f>IF(Table3[[#This Row],[Type Received]]=2,"CC",(IF(Table3[[#This Row],[Type Received]]=3,"BILL","ACH")))</f>
        <v>ACH</v>
      </c>
      <c r="F3949" s="32">
        <v>54.91</v>
      </c>
      <c r="G3949" s="14" t="str">
        <f>VLOOKUP(D3949,Table4[],3,FALSE)</f>
        <v>2</v>
      </c>
      <c r="H3949" s="15"/>
      <c r="I3949" s="15">
        <v>903942</v>
      </c>
      <c r="J3949" s="15" t="s">
        <v>28</v>
      </c>
      <c r="K3949" s="15">
        <v>669506887</v>
      </c>
      <c r="L3949" s="15" t="s">
        <v>29</v>
      </c>
      <c r="M3949" s="15" t="s">
        <v>29</v>
      </c>
    </row>
    <row r="3950" spans="1:13" x14ac:dyDescent="0.25">
      <c r="A3950" s="23">
        <f t="shared" si="187"/>
        <v>254717</v>
      </c>
      <c r="B3950" s="14" t="str">
        <f t="shared" si="185"/>
        <v>Direct Debit (UMB Bank) - Credits</v>
      </c>
      <c r="C3950" s="38">
        <v>46145</v>
      </c>
      <c r="D3950" s="34">
        <v>254717</v>
      </c>
      <c r="E3950" s="36" t="str">
        <f>IF(Table3[[#This Row],[Type Received]]=2,"CC",(IF(Table3[[#This Row],[Type Received]]=3,"BILL","ACH")))</f>
        <v>ACH</v>
      </c>
      <c r="F3950" s="35">
        <v>50.95</v>
      </c>
      <c r="G3950" s="14" t="str">
        <f>VLOOKUP(D3950,Table4[],3,FALSE)</f>
        <v>2</v>
      </c>
      <c r="H3950" s="15"/>
      <c r="I3950" s="15"/>
      <c r="J3950" s="15" t="s">
        <v>113</v>
      </c>
      <c r="K3950" s="15">
        <v>546450565</v>
      </c>
      <c r="L3950" s="15" t="s">
        <v>29</v>
      </c>
      <c r="M3950" s="15" t="s">
        <v>29</v>
      </c>
    </row>
    <row r="3951" spans="1:13" x14ac:dyDescent="0.25">
      <c r="A3951" s="23">
        <f t="shared" si="187"/>
        <v>254718</v>
      </c>
      <c r="B3951" s="14" t="str">
        <f t="shared" si="185"/>
        <v>Direct Debit (UMB Bank) - Credits</v>
      </c>
      <c r="C3951" s="37">
        <v>46145</v>
      </c>
      <c r="D3951" s="31">
        <v>254718</v>
      </c>
      <c r="E3951" s="33" t="str">
        <f>IF(Table3[[#This Row],[Type Received]]=2,"CC",(IF(Table3[[#This Row],[Type Received]]=3,"BILL","ACH")))</f>
        <v>ACH</v>
      </c>
      <c r="F3951" s="32">
        <v>50.29</v>
      </c>
      <c r="G3951" s="14" t="str">
        <f>VLOOKUP(D3951,Table4[],3,FALSE)</f>
        <v>1</v>
      </c>
      <c r="H3951" s="15"/>
      <c r="I3951" s="15"/>
      <c r="J3951" s="24" t="s">
        <v>113</v>
      </c>
      <c r="K3951" s="15">
        <v>546441798</v>
      </c>
      <c r="L3951" s="15" t="s">
        <v>29</v>
      </c>
      <c r="M3951" s="15"/>
    </row>
    <row r="3952" spans="1:13" x14ac:dyDescent="0.25">
      <c r="A3952" s="23">
        <f t="shared" si="187"/>
        <v>254721</v>
      </c>
      <c r="B3952" s="14" t="str">
        <f t="shared" si="185"/>
        <v>Credit Cards (UMB) - Credits</v>
      </c>
      <c r="C3952" s="38">
        <v>46148</v>
      </c>
      <c r="D3952" s="34">
        <v>254721</v>
      </c>
      <c r="E3952" s="36" t="str">
        <f>IF(Table3[[#This Row],[Type Received]]=2,"CC",(IF(Table3[[#This Row],[Type Received]]=3,"BILL","ACH")))</f>
        <v>CC</v>
      </c>
      <c r="F3952" s="35">
        <v>130.47999999999999</v>
      </c>
      <c r="G3952" s="14" t="str">
        <f>VLOOKUP(D3952,Table4[],3,FALSE)</f>
        <v>2</v>
      </c>
      <c r="H3952" s="15"/>
      <c r="I3952" s="15"/>
      <c r="J3952" s="24" t="s">
        <v>126</v>
      </c>
      <c r="K3952" s="15">
        <v>582133640</v>
      </c>
      <c r="L3952" s="15" t="s">
        <v>29</v>
      </c>
      <c r="M3952" s="15" t="s">
        <v>29</v>
      </c>
    </row>
    <row r="3953" spans="1:13" x14ac:dyDescent="0.25">
      <c r="A3953" s="23">
        <f t="shared" si="187"/>
        <v>254725</v>
      </c>
      <c r="B3953" s="14" t="str">
        <f t="shared" si="185"/>
        <v>Direct Debit (UMB Bank) - Credits</v>
      </c>
      <c r="C3953" s="37">
        <v>46155</v>
      </c>
      <c r="D3953" s="31">
        <v>254725</v>
      </c>
      <c r="E3953" s="33" t="str">
        <f>IF(Table3[[#This Row],[Type Received]]=2,"CC",(IF(Table3[[#This Row],[Type Received]]=3,"BILL","ACH")))</f>
        <v>ACH</v>
      </c>
      <c r="F3953" s="32">
        <v>122.23</v>
      </c>
      <c r="G3953" s="14" t="str">
        <f>VLOOKUP(D3953,Table4[],3,FALSE)</f>
        <v>2</v>
      </c>
      <c r="H3953" s="15"/>
      <c r="I3953" s="15">
        <v>186287</v>
      </c>
      <c r="J3953" s="24" t="s">
        <v>28</v>
      </c>
      <c r="K3953" s="15">
        <v>669519402</v>
      </c>
      <c r="L3953" s="15" t="s">
        <v>29</v>
      </c>
      <c r="M3953" s="15"/>
    </row>
    <row r="3954" spans="1:13" x14ac:dyDescent="0.25">
      <c r="A3954" s="23">
        <f t="shared" si="187"/>
        <v>254728</v>
      </c>
      <c r="B3954" s="14" t="str">
        <f t="shared" si="185"/>
        <v>Direct Debit (UMB Bank) - Credits</v>
      </c>
      <c r="C3954" s="38">
        <v>46145</v>
      </c>
      <c r="D3954" s="34">
        <v>254728</v>
      </c>
      <c r="E3954" s="36" t="str">
        <f>IF(Table3[[#This Row],[Type Received]]=2,"CC",(IF(Table3[[#This Row],[Type Received]]=3,"BILL","ACH")))</f>
        <v>ACH</v>
      </c>
      <c r="F3954" s="35">
        <v>40.61</v>
      </c>
      <c r="G3954" s="14" t="str">
        <f>VLOOKUP(D3954,Table4[],3,FALSE)</f>
        <v>1</v>
      </c>
      <c r="H3954" s="15"/>
      <c r="I3954" s="15"/>
      <c r="J3954" s="15" t="s">
        <v>113</v>
      </c>
      <c r="K3954" s="15">
        <v>546460155</v>
      </c>
      <c r="L3954" s="15" t="s">
        <v>29</v>
      </c>
      <c r="M3954" s="15" t="s">
        <v>29</v>
      </c>
    </row>
    <row r="3955" spans="1:13" x14ac:dyDescent="0.25">
      <c r="A3955" s="23">
        <f t="shared" si="187"/>
        <v>254755</v>
      </c>
      <c r="B3955" s="14" t="str">
        <f t="shared" ref="B3955:B4018" si="188">IF(AND(E3955="BILL",F3955&lt;0),"Billing &amp; Direct Debit - Refunds",(IF(AND(E3955="BILL",F3955&gt;0),"Billing - Credits (from TPA)",(IF(AND(E3955="CC",F3955&lt;0),"Credit Cards (UMB) - Refunds",(IF(AND(E3955="CC",F3955&gt;0),"Credit Cards (UMB) - Credits",(IF(AND(E3955="ACH",F3955&gt;0),"Direct Debit (UMB Bank) - Credits","Direct Debit (UMB Bank) - Returned Items")))))))))</f>
        <v>Direct Debit (UMB Bank) - Credits</v>
      </c>
      <c r="C3955" s="37">
        <v>46155</v>
      </c>
      <c r="D3955" s="31">
        <v>254755</v>
      </c>
      <c r="E3955" s="33" t="str">
        <f>IF(Table3[[#This Row],[Type Received]]=2,"CC",(IF(Table3[[#This Row],[Type Received]]=3,"BILL","ACH")))</f>
        <v>ACH</v>
      </c>
      <c r="F3955" s="32">
        <v>50.29</v>
      </c>
      <c r="G3955" s="14" t="str">
        <f>VLOOKUP(D3955,Table4[],3,FALSE)</f>
        <v>1</v>
      </c>
      <c r="H3955" s="15"/>
      <c r="I3955" s="15"/>
      <c r="J3955" s="15" t="s">
        <v>90</v>
      </c>
      <c r="K3955" s="15">
        <v>669507747</v>
      </c>
      <c r="L3955" s="15" t="s">
        <v>29</v>
      </c>
      <c r="M3955" s="15" t="s">
        <v>29</v>
      </c>
    </row>
    <row r="3956" spans="1:13" x14ac:dyDescent="0.25">
      <c r="A3956" s="23">
        <f t="shared" si="187"/>
        <v>254765</v>
      </c>
      <c r="B3956" s="14" t="str">
        <f t="shared" si="188"/>
        <v>Direct Debit (UMB Bank) - Credits</v>
      </c>
      <c r="C3956" s="38">
        <v>46145</v>
      </c>
      <c r="D3956" s="34">
        <v>254765</v>
      </c>
      <c r="E3956" s="36" t="str">
        <f>IF(Table3[[#This Row],[Type Received]]=2,"CC",(IF(Table3[[#This Row],[Type Received]]=3,"BILL","ACH")))</f>
        <v>ACH</v>
      </c>
      <c r="F3956" s="35">
        <v>65.8</v>
      </c>
      <c r="G3956" s="14" t="str">
        <f>VLOOKUP(D3956,Table4[],3,FALSE)</f>
        <v>2</v>
      </c>
      <c r="H3956" s="15"/>
      <c r="I3956" s="15"/>
      <c r="J3956" s="15" t="s">
        <v>113</v>
      </c>
      <c r="K3956" s="15">
        <v>546455313</v>
      </c>
      <c r="L3956" s="15" t="s">
        <v>29</v>
      </c>
      <c r="M3956" s="15"/>
    </row>
    <row r="3957" spans="1:13" x14ac:dyDescent="0.25">
      <c r="A3957" s="23">
        <f t="shared" si="187"/>
        <v>254766</v>
      </c>
      <c r="B3957" s="14" t="str">
        <f t="shared" si="188"/>
        <v>Credit Cards (UMB) - Credits</v>
      </c>
      <c r="C3957" s="37">
        <v>46145</v>
      </c>
      <c r="D3957" s="31">
        <v>254766</v>
      </c>
      <c r="E3957" s="33" t="str">
        <f>IF(Table3[[#This Row],[Type Received]]=2,"CC",(IF(Table3[[#This Row],[Type Received]]=3,"BILL","ACH")))</f>
        <v>CC</v>
      </c>
      <c r="F3957" s="32">
        <v>63.71</v>
      </c>
      <c r="G3957" s="14" t="str">
        <f>VLOOKUP(D3957,Table4[],3,FALSE)</f>
        <v>1</v>
      </c>
      <c r="H3957" s="15"/>
      <c r="I3957" s="15"/>
      <c r="J3957" s="24" t="s">
        <v>113</v>
      </c>
      <c r="K3957" s="15">
        <v>546450602</v>
      </c>
      <c r="L3957" s="15" t="s">
        <v>29</v>
      </c>
      <c r="M3957" s="15" t="s">
        <v>29</v>
      </c>
    </row>
    <row r="3958" spans="1:13" x14ac:dyDescent="0.25">
      <c r="A3958" s="23">
        <f t="shared" si="187"/>
        <v>254769</v>
      </c>
      <c r="B3958" s="14" t="str">
        <f t="shared" si="188"/>
        <v>Direct Debit (UMB Bank) - Credits</v>
      </c>
      <c r="C3958" s="38">
        <v>46161</v>
      </c>
      <c r="D3958" s="34">
        <v>254769</v>
      </c>
      <c r="E3958" s="36" t="str">
        <f>IF(Table3[[#This Row],[Type Received]]=2,"CC",(IF(Table3[[#This Row],[Type Received]]=3,"BILL","ACH")))</f>
        <v>ACH</v>
      </c>
      <c r="F3958" s="35">
        <v>41.95</v>
      </c>
      <c r="G3958" s="14" t="str">
        <f>VLOOKUP(D3958,Table4[],3,FALSE)</f>
        <v>1</v>
      </c>
      <c r="H3958" s="15"/>
      <c r="I3958" s="15">
        <v>611503</v>
      </c>
      <c r="J3958" s="15" t="s">
        <v>28</v>
      </c>
      <c r="K3958" s="15">
        <v>744434557</v>
      </c>
      <c r="L3958" s="15" t="s">
        <v>29</v>
      </c>
      <c r="M3958" s="15"/>
    </row>
    <row r="3959" spans="1:13" x14ac:dyDescent="0.25">
      <c r="A3959" s="23">
        <f t="shared" si="187"/>
        <v>254795</v>
      </c>
      <c r="B3959" s="14" t="str">
        <f t="shared" si="188"/>
        <v>Credit Cards (UMB) - Credits</v>
      </c>
      <c r="C3959" s="37">
        <v>46157</v>
      </c>
      <c r="D3959" s="31">
        <v>254795</v>
      </c>
      <c r="E3959" s="33" t="str">
        <f>IF(Table3[[#This Row],[Type Received]]=2,"CC",(IF(Table3[[#This Row],[Type Received]]=3,"BILL","ACH")))</f>
        <v>CC</v>
      </c>
      <c r="F3959" s="32">
        <v>134.11000000000001</v>
      </c>
      <c r="G3959" s="14" t="str">
        <f>VLOOKUP(D3959,Table4[],3,FALSE)</f>
        <v>2</v>
      </c>
      <c r="H3959" s="15"/>
      <c r="I3959" s="15"/>
      <c r="J3959" s="15" t="s">
        <v>87</v>
      </c>
      <c r="K3959" s="15">
        <v>696840644</v>
      </c>
      <c r="L3959" s="15" t="s">
        <v>29</v>
      </c>
      <c r="M3959" s="15" t="s">
        <v>29</v>
      </c>
    </row>
    <row r="3960" spans="1:13" x14ac:dyDescent="0.25">
      <c r="A3960" s="23">
        <f t="shared" si="187"/>
        <v>254796</v>
      </c>
      <c r="B3960" s="14" t="str">
        <f t="shared" si="188"/>
        <v>Direct Debit (UMB Bank) - Credits</v>
      </c>
      <c r="C3960" s="38">
        <v>46155</v>
      </c>
      <c r="D3960" s="34">
        <v>254796</v>
      </c>
      <c r="E3960" s="36" t="str">
        <f>IF(Table3[[#This Row],[Type Received]]=2,"CC",(IF(Table3[[#This Row],[Type Received]]=3,"BILL","ACH")))</f>
        <v>ACH</v>
      </c>
      <c r="F3960" s="35">
        <v>58.54</v>
      </c>
      <c r="G3960" s="14" t="str">
        <f>VLOOKUP(D3960,Table4[],3,FALSE)</f>
        <v>2</v>
      </c>
      <c r="H3960" s="15"/>
      <c r="I3960" s="15">
        <v>182485</v>
      </c>
      <c r="J3960" s="15" t="s">
        <v>28</v>
      </c>
      <c r="K3960" s="15">
        <v>669520382</v>
      </c>
      <c r="L3960" s="15" t="s">
        <v>29</v>
      </c>
      <c r="M3960" s="15" t="s">
        <v>29</v>
      </c>
    </row>
    <row r="3961" spans="1:13" x14ac:dyDescent="0.25">
      <c r="A3961" s="23">
        <f t="shared" si="187"/>
        <v>254798</v>
      </c>
      <c r="B3961" s="14" t="str">
        <f t="shared" si="188"/>
        <v>Credit Cards (UMB) - Credits</v>
      </c>
      <c r="C3961" s="37">
        <v>46145</v>
      </c>
      <c r="D3961" s="31">
        <v>254798</v>
      </c>
      <c r="E3961" s="33" t="str">
        <f>IF(Table3[[#This Row],[Type Received]]=2,"CC",(IF(Table3[[#This Row],[Type Received]]=3,"BILL","ACH")))</f>
        <v>CC</v>
      </c>
      <c r="F3961" s="32">
        <v>33.79</v>
      </c>
      <c r="G3961" s="14" t="str">
        <f>VLOOKUP(D3961,Table4[],3,FALSE)</f>
        <v>2</v>
      </c>
      <c r="H3961" s="15"/>
      <c r="I3961" s="15"/>
      <c r="J3961" s="15" t="s">
        <v>113</v>
      </c>
      <c r="K3961" s="15">
        <v>546456305</v>
      </c>
      <c r="L3961" s="15" t="s">
        <v>29</v>
      </c>
      <c r="M3961" s="15" t="s">
        <v>29</v>
      </c>
    </row>
    <row r="3962" spans="1:13" x14ac:dyDescent="0.25">
      <c r="A3962" s="23">
        <f t="shared" si="187"/>
        <v>254803</v>
      </c>
      <c r="B3962" s="14" t="str">
        <f t="shared" si="188"/>
        <v>Direct Debit (UMB Bank) - Credits</v>
      </c>
      <c r="C3962" s="38">
        <v>46146</v>
      </c>
      <c r="D3962" s="34">
        <v>254803</v>
      </c>
      <c r="E3962" s="36" t="str">
        <f>IF(Table3[[#This Row],[Type Received]]=2,"CC",(IF(Table3[[#This Row],[Type Received]]=3,"BILL","ACH")))</f>
        <v>ACH</v>
      </c>
      <c r="F3962" s="35">
        <v>92.2</v>
      </c>
      <c r="G3962" s="14" t="str">
        <f>VLOOKUP(D3962,Table4[],3,FALSE)</f>
        <v>2</v>
      </c>
      <c r="H3962" s="15"/>
      <c r="I3962" s="15">
        <v>874030</v>
      </c>
      <c r="J3962" s="24" t="s">
        <v>28</v>
      </c>
      <c r="K3962" s="15">
        <v>557098179</v>
      </c>
      <c r="L3962" s="15" t="s">
        <v>29</v>
      </c>
      <c r="M3962" s="15" t="s">
        <v>29</v>
      </c>
    </row>
    <row r="3963" spans="1:13" x14ac:dyDescent="0.25">
      <c r="A3963" s="23">
        <f t="shared" si="187"/>
        <v>254806</v>
      </c>
      <c r="B3963" s="14" t="str">
        <f t="shared" si="188"/>
        <v>Direct Debit (UMB Bank) - Credits</v>
      </c>
      <c r="C3963" s="37">
        <v>46157</v>
      </c>
      <c r="D3963" s="31">
        <v>254806</v>
      </c>
      <c r="E3963" s="33" t="str">
        <f>IF(Table3[[#This Row],[Type Received]]=2,"CC",(IF(Table3[[#This Row],[Type Received]]=3,"BILL","ACH")))</f>
        <v>ACH</v>
      </c>
      <c r="F3963" s="32">
        <v>39.29</v>
      </c>
      <c r="G3963" s="14" t="e">
        <f>VLOOKUP(D3963,Table4[],3,FALSE)</f>
        <v>#N/A</v>
      </c>
      <c r="H3963" s="15"/>
      <c r="I3963" s="15"/>
      <c r="J3963" s="15" t="s">
        <v>87</v>
      </c>
      <c r="K3963" s="15">
        <v>696849311</v>
      </c>
      <c r="L3963" s="15" t="s">
        <v>29</v>
      </c>
      <c r="M3963" s="15" t="s">
        <v>29</v>
      </c>
    </row>
    <row r="3964" spans="1:13" x14ac:dyDescent="0.25">
      <c r="A3964" s="23">
        <f t="shared" si="187"/>
        <v>254809</v>
      </c>
      <c r="B3964" s="14" t="str">
        <f t="shared" si="188"/>
        <v>Direct Debit (UMB Bank) - Credits</v>
      </c>
      <c r="C3964" s="38">
        <v>46162</v>
      </c>
      <c r="D3964" s="34">
        <v>254809</v>
      </c>
      <c r="E3964" s="36" t="str">
        <f>IF(Table3[[#This Row],[Type Received]]=2,"CC",(IF(Table3[[#This Row],[Type Received]]=3,"BILL","ACH")))</f>
        <v>ACH</v>
      </c>
      <c r="F3964" s="35">
        <v>103.75</v>
      </c>
      <c r="G3964" s="14" t="str">
        <f>VLOOKUP(D3964,Table4[],3,FALSE)</f>
        <v>2</v>
      </c>
      <c r="H3964" s="15"/>
      <c r="I3964" s="15"/>
      <c r="J3964" s="24" t="s">
        <v>107</v>
      </c>
      <c r="K3964" s="15">
        <v>757834577</v>
      </c>
      <c r="L3964" s="15" t="s">
        <v>29</v>
      </c>
      <c r="M3964" s="15" t="s">
        <v>29</v>
      </c>
    </row>
    <row r="3965" spans="1:13" x14ac:dyDescent="0.25">
      <c r="A3965" s="23">
        <f t="shared" si="187"/>
        <v>254814</v>
      </c>
      <c r="B3965" s="14" t="str">
        <f t="shared" si="188"/>
        <v>Direct Debit (UMB Bank) - Credits</v>
      </c>
      <c r="C3965" s="37">
        <v>46168</v>
      </c>
      <c r="D3965" s="31">
        <v>254814</v>
      </c>
      <c r="E3965" s="33" t="str">
        <f>IF(Table3[[#This Row],[Type Received]]=2,"CC",(IF(Table3[[#This Row],[Type Received]]=3,"BILL","ACH")))</f>
        <v>ACH</v>
      </c>
      <c r="F3965" s="32">
        <v>39.950000000000003</v>
      </c>
      <c r="G3965" s="14" t="str">
        <f>VLOOKUP(D3965,Table4[],3,FALSE)</f>
        <v>1</v>
      </c>
      <c r="H3965" s="15"/>
      <c r="I3965" s="15"/>
      <c r="J3965" s="15" t="s">
        <v>110</v>
      </c>
      <c r="K3965" s="15">
        <v>828299567</v>
      </c>
      <c r="L3965" s="15" t="s">
        <v>29</v>
      </c>
      <c r="M3965" s="15"/>
    </row>
    <row r="3966" spans="1:13" x14ac:dyDescent="0.25">
      <c r="A3966" s="23">
        <f t="shared" si="187"/>
        <v>254821</v>
      </c>
      <c r="B3966" s="14" t="str">
        <f t="shared" si="188"/>
        <v>Direct Debit (UMB Bank) - Credits</v>
      </c>
      <c r="C3966" s="38">
        <v>46157</v>
      </c>
      <c r="D3966" s="34">
        <v>254821</v>
      </c>
      <c r="E3966" s="36" t="str">
        <f>IF(Table3[[#This Row],[Type Received]]=2,"CC",(IF(Table3[[#This Row],[Type Received]]=3,"BILL","ACH")))</f>
        <v>ACH</v>
      </c>
      <c r="F3966" s="35">
        <v>48.97</v>
      </c>
      <c r="G3966" s="14" t="str">
        <f>VLOOKUP(D3966,Table4[],3,FALSE)</f>
        <v>2</v>
      </c>
      <c r="H3966" s="15"/>
      <c r="I3966" s="15"/>
      <c r="J3966" s="15" t="s">
        <v>87</v>
      </c>
      <c r="K3966" s="15">
        <v>696845532</v>
      </c>
      <c r="L3966" s="15" t="s">
        <v>29</v>
      </c>
      <c r="M3966" s="15"/>
    </row>
    <row r="3967" spans="1:13" x14ac:dyDescent="0.25">
      <c r="A3967" s="23">
        <f t="shared" si="187"/>
        <v>254822</v>
      </c>
      <c r="B3967" s="14" t="str">
        <f t="shared" si="188"/>
        <v>Credit Cards (UMB) - Credits</v>
      </c>
      <c r="C3967" s="37">
        <v>46168</v>
      </c>
      <c r="D3967" s="31">
        <v>254822</v>
      </c>
      <c r="E3967" s="33" t="str">
        <f>IF(Table3[[#This Row],[Type Received]]=2,"CC",(IF(Table3[[#This Row],[Type Received]]=3,"BILL","ACH")))</f>
        <v>CC</v>
      </c>
      <c r="F3967" s="32">
        <v>66.790000000000006</v>
      </c>
      <c r="G3967" s="14" t="str">
        <f>VLOOKUP(D3967,Table4[],3,FALSE)</f>
        <v>2</v>
      </c>
      <c r="H3967" s="15"/>
      <c r="I3967" s="15"/>
      <c r="J3967" s="15" t="s">
        <v>110</v>
      </c>
      <c r="K3967" s="15">
        <v>828293606</v>
      </c>
      <c r="L3967" s="15" t="s">
        <v>29</v>
      </c>
      <c r="M3967" s="15" t="s">
        <v>29</v>
      </c>
    </row>
    <row r="3968" spans="1:13" x14ac:dyDescent="0.25">
      <c r="A3968" s="23">
        <f t="shared" si="187"/>
        <v>254827</v>
      </c>
      <c r="B3968" s="14" t="str">
        <f t="shared" si="188"/>
        <v>Direct Debit (UMB Bank) - Credits</v>
      </c>
      <c r="C3968" s="38">
        <v>46155</v>
      </c>
      <c r="D3968" s="34">
        <v>254827</v>
      </c>
      <c r="E3968" s="36" t="str">
        <f>IF(Table3[[#This Row],[Type Received]]=2,"CC",(IF(Table3[[#This Row],[Type Received]]=3,"BILL","ACH")))</f>
        <v>ACH</v>
      </c>
      <c r="F3968" s="35">
        <v>61.07</v>
      </c>
      <c r="G3968" s="14" t="str">
        <f>VLOOKUP(D3968,Table4[],3,FALSE)</f>
        <v>1</v>
      </c>
      <c r="H3968" s="15"/>
      <c r="I3968" s="15" t="s">
        <v>315</v>
      </c>
      <c r="J3968" s="24" t="s">
        <v>28</v>
      </c>
      <c r="K3968" s="15">
        <v>669527212</v>
      </c>
      <c r="L3968" s="15" t="s">
        <v>29</v>
      </c>
      <c r="M3968" s="15" t="s">
        <v>29</v>
      </c>
    </row>
    <row r="3969" spans="1:13" x14ac:dyDescent="0.25">
      <c r="A3969" s="23">
        <f t="shared" si="187"/>
        <v>254836</v>
      </c>
      <c r="B3969" s="14" t="str">
        <f t="shared" si="188"/>
        <v>Direct Debit (UMB Bank) - Credits</v>
      </c>
      <c r="C3969" s="37">
        <v>46155</v>
      </c>
      <c r="D3969" s="31">
        <v>254836</v>
      </c>
      <c r="E3969" s="33" t="str">
        <f>IF(Table3[[#This Row],[Type Received]]=2,"CC",(IF(Table3[[#This Row],[Type Received]]=3,"BILL","ACH")))</f>
        <v>ACH</v>
      </c>
      <c r="F3969" s="32">
        <v>146.01</v>
      </c>
      <c r="G3969" s="14" t="str">
        <f>VLOOKUP(D3969,Table4[],3,FALSE)</f>
        <v>2</v>
      </c>
      <c r="H3969" s="15"/>
      <c r="I3969" s="15"/>
      <c r="J3969" s="15" t="s">
        <v>90</v>
      </c>
      <c r="K3969" s="15">
        <v>670977551</v>
      </c>
      <c r="L3969" s="15" t="s">
        <v>29</v>
      </c>
      <c r="M3969" s="15" t="s">
        <v>29</v>
      </c>
    </row>
    <row r="3970" spans="1:13" x14ac:dyDescent="0.25">
      <c r="A3970" s="23">
        <f t="shared" si="187"/>
        <v>254837</v>
      </c>
      <c r="B3970" s="14" t="str">
        <f t="shared" si="188"/>
        <v>Direct Debit (UMB Bank) - Credits</v>
      </c>
      <c r="C3970" s="38">
        <v>46156</v>
      </c>
      <c r="D3970" s="34">
        <v>254837</v>
      </c>
      <c r="E3970" s="36" t="str">
        <f>IF(Table3[[#This Row],[Type Received]]=2,"CC",(IF(Table3[[#This Row],[Type Received]]=3,"BILL","ACH")))</f>
        <v>ACH</v>
      </c>
      <c r="F3970" s="35">
        <v>173.71</v>
      </c>
      <c r="G3970" s="14" t="str">
        <f>VLOOKUP(D3970,Table4[],3,FALSE)</f>
        <v>2</v>
      </c>
      <c r="H3970" s="15"/>
      <c r="I3970" s="15"/>
      <c r="J3970" s="15" t="s">
        <v>93</v>
      </c>
      <c r="K3970" s="15">
        <v>682522571</v>
      </c>
      <c r="L3970" s="15" t="s">
        <v>29</v>
      </c>
      <c r="M3970" s="15" t="s">
        <v>29</v>
      </c>
    </row>
    <row r="3971" spans="1:13" x14ac:dyDescent="0.25">
      <c r="A3971" s="23">
        <f t="shared" si="187"/>
        <v>254846</v>
      </c>
      <c r="B3971" s="14" t="str">
        <f t="shared" si="188"/>
        <v>Direct Debit (UMB Bank) - Credits</v>
      </c>
      <c r="C3971" s="37">
        <v>46146</v>
      </c>
      <c r="D3971" s="31">
        <v>254846</v>
      </c>
      <c r="E3971" s="33" t="str">
        <f>IF(Table3[[#This Row],[Type Received]]=2,"CC",(IF(Table3[[#This Row],[Type Received]]=3,"BILL","ACH")))</f>
        <v>ACH</v>
      </c>
      <c r="F3971" s="32">
        <v>107.4</v>
      </c>
      <c r="G3971" s="14" t="str">
        <f>VLOOKUP(D3971,Table4[],3,FALSE)</f>
        <v>2</v>
      </c>
      <c r="H3971" s="15"/>
      <c r="I3971" s="15"/>
      <c r="J3971" s="15" t="s">
        <v>92</v>
      </c>
      <c r="K3971" s="15">
        <v>560212588</v>
      </c>
      <c r="L3971" s="15" t="s">
        <v>29</v>
      </c>
      <c r="M3971" s="15" t="s">
        <v>29</v>
      </c>
    </row>
    <row r="3972" spans="1:13" x14ac:dyDescent="0.25">
      <c r="A3972" s="23">
        <f t="shared" si="187"/>
        <v>254849</v>
      </c>
      <c r="B3972" s="14" t="str">
        <f t="shared" si="188"/>
        <v>Direct Debit (UMB Bank) - Credits</v>
      </c>
      <c r="C3972" s="38">
        <v>46157</v>
      </c>
      <c r="D3972" s="34">
        <v>254849</v>
      </c>
      <c r="E3972" s="36" t="str">
        <f>IF(Table3[[#This Row],[Type Received]]=2,"CC",(IF(Table3[[#This Row],[Type Received]]=3,"BILL","ACH")))</f>
        <v>ACH</v>
      </c>
      <c r="F3972" s="35">
        <v>43.47</v>
      </c>
      <c r="G3972" s="14" t="str">
        <f>VLOOKUP(D3972,Table4[],3,FALSE)</f>
        <v>1</v>
      </c>
      <c r="H3972" s="15"/>
      <c r="I3972" s="15"/>
      <c r="J3972" s="15" t="s">
        <v>87</v>
      </c>
      <c r="K3972" s="15">
        <v>696838842</v>
      </c>
      <c r="L3972" s="15" t="s">
        <v>29</v>
      </c>
      <c r="M3972" s="15" t="s">
        <v>29</v>
      </c>
    </row>
    <row r="3973" spans="1:13" x14ac:dyDescent="0.25">
      <c r="A3973" s="23">
        <f t="shared" si="187"/>
        <v>254851</v>
      </c>
      <c r="B3973" s="14" t="str">
        <f t="shared" si="188"/>
        <v>Direct Debit (UMB Bank) - Credits</v>
      </c>
      <c r="C3973" s="37">
        <v>46145</v>
      </c>
      <c r="D3973" s="31">
        <v>254851</v>
      </c>
      <c r="E3973" s="33" t="str">
        <f>IF(Table3[[#This Row],[Type Received]]=2,"CC",(IF(Table3[[#This Row],[Type Received]]=3,"BILL","ACH")))</f>
        <v>ACH</v>
      </c>
      <c r="F3973" s="32">
        <v>178.33</v>
      </c>
      <c r="G3973" s="14" t="str">
        <f>VLOOKUP(D3973,Table4[],3,FALSE)</f>
        <v>2</v>
      </c>
      <c r="H3973" s="15"/>
      <c r="I3973" s="15"/>
      <c r="J3973" s="15" t="s">
        <v>113</v>
      </c>
      <c r="K3973" s="15">
        <v>546435032</v>
      </c>
      <c r="L3973" s="15" t="s">
        <v>29</v>
      </c>
      <c r="M3973" s="15"/>
    </row>
    <row r="3974" spans="1:13" x14ac:dyDescent="0.25">
      <c r="A3974" s="23">
        <f t="shared" si="187"/>
        <v>254856</v>
      </c>
      <c r="B3974" s="14" t="str">
        <f t="shared" si="188"/>
        <v>Credit Cards (UMB) - Credits</v>
      </c>
      <c r="C3974" s="38">
        <v>46168</v>
      </c>
      <c r="D3974" s="34">
        <v>254856</v>
      </c>
      <c r="E3974" s="36" t="str">
        <f>IF(Table3[[#This Row],[Type Received]]=2,"CC",(IF(Table3[[#This Row],[Type Received]]=3,"BILL","ACH")))</f>
        <v>CC</v>
      </c>
      <c r="F3974" s="35">
        <v>63.16</v>
      </c>
      <c r="G3974" s="14" t="str">
        <f>VLOOKUP(D3974,Table4[],3,FALSE)</f>
        <v>2</v>
      </c>
      <c r="H3974" s="15"/>
      <c r="I3974" s="15"/>
      <c r="J3974" s="24" t="s">
        <v>110</v>
      </c>
      <c r="K3974" s="15">
        <v>828311143</v>
      </c>
      <c r="L3974" s="15" t="s">
        <v>29</v>
      </c>
      <c r="M3974" s="15" t="s">
        <v>29</v>
      </c>
    </row>
    <row r="3975" spans="1:13" x14ac:dyDescent="0.25">
      <c r="A3975" s="23">
        <f t="shared" si="187"/>
        <v>254906</v>
      </c>
      <c r="B3975" s="14" t="str">
        <f t="shared" si="188"/>
        <v>Direct Debit (UMB Bank) - Credits</v>
      </c>
      <c r="C3975" s="37">
        <v>46155</v>
      </c>
      <c r="D3975" s="31">
        <v>254906</v>
      </c>
      <c r="E3975" s="33" t="str">
        <f>IF(Table3[[#This Row],[Type Received]]=2,"CC",(IF(Table3[[#This Row],[Type Received]]=3,"BILL","ACH")))</f>
        <v>ACH</v>
      </c>
      <c r="F3975" s="32">
        <v>50.95</v>
      </c>
      <c r="G3975" s="14" t="str">
        <f>VLOOKUP(D3975,Table4[],3,FALSE)</f>
        <v>1</v>
      </c>
      <c r="H3975" s="15"/>
      <c r="I3975" s="15" t="s">
        <v>316</v>
      </c>
      <c r="J3975" s="15" t="s">
        <v>28</v>
      </c>
      <c r="K3975" s="15">
        <v>669530144</v>
      </c>
      <c r="L3975" s="15" t="s">
        <v>29</v>
      </c>
      <c r="M3975" s="15" t="s">
        <v>29</v>
      </c>
    </row>
    <row r="3976" spans="1:13" x14ac:dyDescent="0.25">
      <c r="A3976" s="23">
        <f t="shared" ref="A3976:A3997" si="189">D3976</f>
        <v>254916</v>
      </c>
      <c r="B3976" s="14" t="str">
        <f t="shared" si="188"/>
        <v>Direct Debit (UMB Bank) - Credits</v>
      </c>
      <c r="C3976" s="38">
        <v>46162</v>
      </c>
      <c r="D3976" s="34">
        <v>254916</v>
      </c>
      <c r="E3976" s="36" t="str">
        <f>IF(Table3[[#This Row],[Type Received]]=2,"CC",(IF(Table3[[#This Row],[Type Received]]=3,"BILL","ACH")))</f>
        <v>ACH</v>
      </c>
      <c r="F3976" s="35">
        <v>155.06</v>
      </c>
      <c r="G3976" s="14" t="str">
        <f>VLOOKUP(D3976,Table4[],3,FALSE)</f>
        <v>2</v>
      </c>
      <c r="H3976" s="15"/>
      <c r="I3976" s="15"/>
      <c r="J3976" s="15" t="s">
        <v>107</v>
      </c>
      <c r="K3976" s="15">
        <v>762654459</v>
      </c>
      <c r="L3976" s="15" t="s">
        <v>29</v>
      </c>
      <c r="M3976" s="15" t="s">
        <v>29</v>
      </c>
    </row>
    <row r="3977" spans="1:13" x14ac:dyDescent="0.25">
      <c r="A3977" s="23">
        <f t="shared" si="189"/>
        <v>254916</v>
      </c>
      <c r="B3977" s="14" t="str">
        <f t="shared" si="188"/>
        <v>Direct Debit (UMB Bank) - Credits</v>
      </c>
      <c r="C3977" s="37">
        <v>46148</v>
      </c>
      <c r="D3977" s="31">
        <v>254916</v>
      </c>
      <c r="E3977" s="33" t="str">
        <f>IF(Table3[[#This Row],[Type Received]]=2,"CC",(IF(Table3[[#This Row],[Type Received]]=3,"BILL","ACH")))</f>
        <v>ACH</v>
      </c>
      <c r="F3977" s="32">
        <v>155.06</v>
      </c>
      <c r="G3977" s="14" t="str">
        <f>VLOOKUP(D3977,Table4[],3,FALSE)</f>
        <v>2</v>
      </c>
      <c r="H3977" s="15"/>
      <c r="I3977" s="15"/>
      <c r="J3977" s="24" t="s">
        <v>126</v>
      </c>
      <c r="K3977" s="15">
        <v>581626633</v>
      </c>
      <c r="L3977" s="15" t="s">
        <v>29</v>
      </c>
      <c r="M3977" s="15" t="s">
        <v>29</v>
      </c>
    </row>
    <row r="3978" spans="1:13" x14ac:dyDescent="0.25">
      <c r="A3978" s="23">
        <f t="shared" si="189"/>
        <v>254919</v>
      </c>
      <c r="B3978" s="14" t="str">
        <f t="shared" si="188"/>
        <v>Credit Cards (UMB) - Credits</v>
      </c>
      <c r="C3978" s="38">
        <v>46157</v>
      </c>
      <c r="D3978" s="34">
        <v>254919</v>
      </c>
      <c r="E3978" s="36" t="str">
        <f>IF(Table3[[#This Row],[Type Received]]=2,"CC",(IF(Table3[[#This Row],[Type Received]]=3,"BILL","ACH")))</f>
        <v>CC</v>
      </c>
      <c r="F3978" s="35">
        <v>34.450000000000003</v>
      </c>
      <c r="G3978" s="14" t="str">
        <f>VLOOKUP(D3978,Table4[],3,FALSE)</f>
        <v>1</v>
      </c>
      <c r="H3978" s="15"/>
      <c r="I3978" s="15"/>
      <c r="J3978" s="24" t="s">
        <v>87</v>
      </c>
      <c r="K3978" s="15">
        <v>696834968</v>
      </c>
      <c r="L3978" s="15" t="s">
        <v>29</v>
      </c>
      <c r="M3978" s="15" t="s">
        <v>29</v>
      </c>
    </row>
    <row r="3979" spans="1:13" x14ac:dyDescent="0.25">
      <c r="A3979" s="23">
        <f t="shared" si="189"/>
        <v>254935</v>
      </c>
      <c r="B3979" s="14" t="str">
        <f t="shared" si="188"/>
        <v>Credit Cards (UMB) - Credits</v>
      </c>
      <c r="C3979" s="37">
        <v>46155</v>
      </c>
      <c r="D3979" s="31">
        <v>254935</v>
      </c>
      <c r="E3979" s="33" t="str">
        <f>IF(Table3[[#This Row],[Type Received]]=2,"CC",(IF(Table3[[#This Row],[Type Received]]=3,"BILL","ACH")))</f>
        <v>CC</v>
      </c>
      <c r="F3979" s="32">
        <v>111.34</v>
      </c>
      <c r="G3979" s="14" t="str">
        <f>VLOOKUP(D3979,Table4[],3,FALSE)</f>
        <v>2</v>
      </c>
      <c r="H3979" s="15"/>
      <c r="I3979" s="15">
        <v>101700</v>
      </c>
      <c r="J3979" s="15" t="s">
        <v>28</v>
      </c>
      <c r="K3979" s="15">
        <v>669508723</v>
      </c>
      <c r="L3979" s="15" t="s">
        <v>29</v>
      </c>
      <c r="M3979" s="15" t="s">
        <v>29</v>
      </c>
    </row>
    <row r="3980" spans="1:13" x14ac:dyDescent="0.25">
      <c r="A3980" s="23">
        <f t="shared" si="189"/>
        <v>254942</v>
      </c>
      <c r="B3980" s="14" t="str">
        <f t="shared" si="188"/>
        <v>Direct Debit (UMB Bank) - Credits</v>
      </c>
      <c r="C3980" s="38">
        <v>46170</v>
      </c>
      <c r="D3980" s="34">
        <v>254942</v>
      </c>
      <c r="E3980" s="36" t="str">
        <f>IF(Table3[[#This Row],[Type Received]]=2,"CC",(IF(Table3[[#This Row],[Type Received]]=3,"BILL","ACH")))</f>
        <v>ACH</v>
      </c>
      <c r="F3980" s="35">
        <v>113.7</v>
      </c>
      <c r="G3980" s="14" t="str">
        <f>VLOOKUP(D3980,Table4[],3,FALSE)</f>
        <v>1</v>
      </c>
      <c r="H3980" s="15"/>
      <c r="I3980" s="15">
        <v>83222</v>
      </c>
      <c r="J3980" s="15" t="s">
        <v>28</v>
      </c>
      <c r="K3980" s="15">
        <v>853599820</v>
      </c>
      <c r="L3980" s="15" t="s">
        <v>29</v>
      </c>
      <c r="M3980" s="15" t="s">
        <v>29</v>
      </c>
    </row>
    <row r="3981" spans="1:13" x14ac:dyDescent="0.25">
      <c r="A3981" s="23">
        <f t="shared" si="189"/>
        <v>254945</v>
      </c>
      <c r="B3981" s="14" t="str">
        <f t="shared" si="188"/>
        <v>Direct Debit (UMB Bank) - Credits</v>
      </c>
      <c r="C3981" s="37">
        <v>46168</v>
      </c>
      <c r="D3981" s="31">
        <v>254945</v>
      </c>
      <c r="E3981" s="33" t="str">
        <f>IF(Table3[[#This Row],[Type Received]]=2,"CC",(IF(Table3[[#This Row],[Type Received]]=3,"BILL","ACH")))</f>
        <v>ACH</v>
      </c>
      <c r="F3981" s="32">
        <v>130.15</v>
      </c>
      <c r="G3981" s="14" t="str">
        <f>VLOOKUP(D3981,Table4[],3,FALSE)</f>
        <v>2</v>
      </c>
      <c r="H3981" s="15"/>
      <c r="I3981" s="15"/>
      <c r="J3981" s="15" t="s">
        <v>110</v>
      </c>
      <c r="K3981" s="15">
        <v>828287823</v>
      </c>
      <c r="L3981" s="15" t="s">
        <v>29</v>
      </c>
      <c r="M3981" s="15"/>
    </row>
    <row r="3982" spans="1:13" x14ac:dyDescent="0.25">
      <c r="A3982" s="23">
        <f t="shared" si="189"/>
        <v>254949</v>
      </c>
      <c r="B3982" s="14" t="str">
        <f t="shared" si="188"/>
        <v>Direct Debit (UMB Bank) - Credits</v>
      </c>
      <c r="C3982" s="38">
        <v>46158</v>
      </c>
      <c r="D3982" s="34">
        <v>254949</v>
      </c>
      <c r="E3982" s="36" t="str">
        <f>IF(Table3[[#This Row],[Type Received]]=2,"CC",(IF(Table3[[#This Row],[Type Received]]=3,"BILL","ACH")))</f>
        <v>ACH</v>
      </c>
      <c r="F3982" s="35">
        <v>51.28</v>
      </c>
      <c r="G3982" s="14" t="str">
        <f>VLOOKUP(D3982,Table4[],3,FALSE)</f>
        <v>2</v>
      </c>
      <c r="H3982" s="15"/>
      <c r="I3982" s="15"/>
      <c r="J3982" s="15" t="s">
        <v>106</v>
      </c>
      <c r="K3982" s="15">
        <v>710078209</v>
      </c>
      <c r="L3982" s="15" t="s">
        <v>29</v>
      </c>
      <c r="M3982" s="15"/>
    </row>
    <row r="3983" spans="1:13" x14ac:dyDescent="0.25">
      <c r="A3983" s="23">
        <f t="shared" si="189"/>
        <v>254951</v>
      </c>
      <c r="B3983" s="14" t="str">
        <f t="shared" si="188"/>
        <v>Credit Cards (UMB) - Credits</v>
      </c>
      <c r="C3983" s="37">
        <v>46158</v>
      </c>
      <c r="D3983" s="31">
        <v>254951</v>
      </c>
      <c r="E3983" s="33" t="str">
        <f>IF(Table3[[#This Row],[Type Received]]=2,"CC",(IF(Table3[[#This Row],[Type Received]]=3,"BILL","ACH")))</f>
        <v>CC</v>
      </c>
      <c r="F3983" s="32">
        <v>28.51</v>
      </c>
      <c r="G3983" s="14" t="str">
        <f>VLOOKUP(D3983,Table4[],3,FALSE)</f>
        <v>2</v>
      </c>
      <c r="H3983" s="15"/>
      <c r="I3983" s="15"/>
      <c r="J3983" s="24" t="s">
        <v>106</v>
      </c>
      <c r="K3983" s="15">
        <v>710078218</v>
      </c>
      <c r="L3983" s="15" t="s">
        <v>29</v>
      </c>
      <c r="M3983" s="15"/>
    </row>
    <row r="3984" spans="1:13" x14ac:dyDescent="0.25">
      <c r="A3984" s="23">
        <f t="shared" si="189"/>
        <v>254955</v>
      </c>
      <c r="B3984" s="14" t="str">
        <f t="shared" si="188"/>
        <v>Direct Debit (UMB Bank) - Credits</v>
      </c>
      <c r="C3984" s="38">
        <v>46153</v>
      </c>
      <c r="D3984" s="34">
        <v>254955</v>
      </c>
      <c r="E3984" s="36" t="str">
        <f>IF(Table3[[#This Row],[Type Received]]=2,"CC",(IF(Table3[[#This Row],[Type Received]]=3,"BILL","ACH")))</f>
        <v>ACH</v>
      </c>
      <c r="F3984" s="35">
        <v>90.9</v>
      </c>
      <c r="G3984" s="14" t="str">
        <f>VLOOKUP(D3984,Table4[],3,FALSE)</f>
        <v>2</v>
      </c>
      <c r="H3984" s="15"/>
      <c r="I3984" s="15">
        <v>193160</v>
      </c>
      <c r="J3984" s="15">
        <v>744352488</v>
      </c>
      <c r="K3984" s="15">
        <v>354239621</v>
      </c>
      <c r="L3984" s="15"/>
      <c r="M3984" s="15"/>
    </row>
    <row r="3985" spans="1:13" x14ac:dyDescent="0.25">
      <c r="A3985" s="23">
        <f t="shared" si="189"/>
        <v>254878</v>
      </c>
      <c r="B3985" s="14" t="str">
        <f t="shared" si="188"/>
        <v>Direct Debit (UMB Bank) - Credits</v>
      </c>
      <c r="C3985" s="37">
        <v>46146</v>
      </c>
      <c r="D3985" s="31">
        <v>254878</v>
      </c>
      <c r="E3985" s="33" t="str">
        <f>IF(Table3[[#This Row],[Type Received]]=2,"CC",(IF(Table3[[#This Row],[Type Received]]=3,"BILL","ACH")))</f>
        <v>ACH</v>
      </c>
      <c r="F3985" s="32">
        <v>53.15</v>
      </c>
      <c r="G3985" s="14" t="str">
        <f>VLOOKUP(D3985,Table4[],3,FALSE)</f>
        <v>1</v>
      </c>
      <c r="H3985" s="15"/>
      <c r="I3985" s="15"/>
      <c r="J3985" s="15" t="s">
        <v>92</v>
      </c>
      <c r="K3985" s="15">
        <v>557106455</v>
      </c>
      <c r="L3985" s="15" t="s">
        <v>29</v>
      </c>
      <c r="M3985" s="15" t="s">
        <v>29</v>
      </c>
    </row>
    <row r="3986" spans="1:13" x14ac:dyDescent="0.25">
      <c r="A3986" s="23">
        <f t="shared" si="189"/>
        <v>254883</v>
      </c>
      <c r="B3986" s="14" t="str">
        <f t="shared" si="188"/>
        <v>Direct Debit (UMB Bank) - Credits</v>
      </c>
      <c r="C3986" s="38">
        <v>46157</v>
      </c>
      <c r="D3986" s="34">
        <v>254883</v>
      </c>
      <c r="E3986" s="36" t="str">
        <f>IF(Table3[[#This Row],[Type Received]]=2,"CC",(IF(Table3[[#This Row],[Type Received]]=3,"BILL","ACH")))</f>
        <v>ACH</v>
      </c>
      <c r="F3986" s="35">
        <v>61.18</v>
      </c>
      <c r="G3986" s="14" t="str">
        <f>VLOOKUP(D3986,Table4[],3,FALSE)</f>
        <v>2</v>
      </c>
      <c r="H3986" s="15"/>
      <c r="I3986" s="15"/>
      <c r="J3986" s="15" t="s">
        <v>87</v>
      </c>
      <c r="K3986" s="15">
        <v>696858180</v>
      </c>
      <c r="L3986" s="15" t="s">
        <v>29</v>
      </c>
      <c r="M3986" s="15" t="s">
        <v>29</v>
      </c>
    </row>
    <row r="3987" spans="1:13" x14ac:dyDescent="0.25">
      <c r="A3987" s="23">
        <f t="shared" si="189"/>
        <v>254884</v>
      </c>
      <c r="B3987" s="14" t="str">
        <f t="shared" si="188"/>
        <v>Direct Debit (UMB Bank) - Credits</v>
      </c>
      <c r="C3987" s="37">
        <v>46157</v>
      </c>
      <c r="D3987" s="31">
        <v>254884</v>
      </c>
      <c r="E3987" s="33" t="str">
        <f>IF(Table3[[#This Row],[Type Received]]=2,"CC",(IF(Table3[[#This Row],[Type Received]]=3,"BILL","ACH")))</f>
        <v>ACH</v>
      </c>
      <c r="F3987" s="32">
        <v>87.47</v>
      </c>
      <c r="G3987" s="14" t="str">
        <f>VLOOKUP(D3987,Table4[],3,FALSE)</f>
        <v>1</v>
      </c>
      <c r="H3987" s="15"/>
      <c r="I3987" s="15"/>
      <c r="J3987" s="15" t="s">
        <v>87</v>
      </c>
      <c r="K3987" s="15">
        <v>696858186</v>
      </c>
      <c r="L3987" s="15" t="s">
        <v>29</v>
      </c>
      <c r="M3987" s="15" t="s">
        <v>29</v>
      </c>
    </row>
    <row r="3988" spans="1:13" x14ac:dyDescent="0.25">
      <c r="A3988" s="23">
        <f t="shared" si="189"/>
        <v>254886</v>
      </c>
      <c r="B3988" s="14" t="str">
        <f t="shared" si="188"/>
        <v>Direct Debit (UMB Bank) - Credits</v>
      </c>
      <c r="C3988" s="38">
        <v>46157</v>
      </c>
      <c r="D3988" s="34">
        <v>254886</v>
      </c>
      <c r="E3988" s="36" t="str">
        <f>IF(Table3[[#This Row],[Type Received]]=2,"CC",(IF(Table3[[#This Row],[Type Received]]=3,"BILL","ACH")))</f>
        <v>ACH</v>
      </c>
      <c r="F3988" s="35">
        <v>67.23</v>
      </c>
      <c r="G3988" s="14" t="str">
        <f>VLOOKUP(D3988,Table4[],3,FALSE)</f>
        <v>1</v>
      </c>
      <c r="H3988" s="15"/>
      <c r="I3988" s="15"/>
      <c r="J3988" s="15" t="s">
        <v>87</v>
      </c>
      <c r="K3988" s="15">
        <v>696851325</v>
      </c>
      <c r="L3988" s="15" t="s">
        <v>29</v>
      </c>
      <c r="M3988" s="15"/>
    </row>
    <row r="3989" spans="1:13" x14ac:dyDescent="0.25">
      <c r="A3989" s="23">
        <f t="shared" si="189"/>
        <v>254976</v>
      </c>
      <c r="B3989" s="14" t="str">
        <f t="shared" si="188"/>
        <v>Direct Debit (UMB Bank) - Credits</v>
      </c>
      <c r="C3989" s="37">
        <v>46155</v>
      </c>
      <c r="D3989" s="31">
        <v>254976</v>
      </c>
      <c r="E3989" s="33" t="str">
        <f>IF(Table3[[#This Row],[Type Received]]=2,"CC",(IF(Table3[[#This Row],[Type Received]]=3,"BILL","ACH")))</f>
        <v>ACH</v>
      </c>
      <c r="F3989" s="32">
        <v>43.25</v>
      </c>
      <c r="G3989" s="14" t="str">
        <f>VLOOKUP(D3989,Table4[],3,FALSE)</f>
        <v>1</v>
      </c>
      <c r="H3989" s="15"/>
      <c r="I3989" s="15"/>
      <c r="J3989" s="15" t="s">
        <v>90</v>
      </c>
      <c r="K3989" s="15">
        <v>669510711</v>
      </c>
      <c r="L3989" s="15" t="s">
        <v>29</v>
      </c>
      <c r="M3989" s="15" t="s">
        <v>29</v>
      </c>
    </row>
    <row r="3990" spans="1:13" x14ac:dyDescent="0.25">
      <c r="A3990" s="23">
        <f t="shared" si="189"/>
        <v>255002</v>
      </c>
      <c r="B3990" s="14" t="str">
        <f t="shared" si="188"/>
        <v>Billing - Credits (from TPA)</v>
      </c>
      <c r="C3990" s="38">
        <v>46158</v>
      </c>
      <c r="D3990" s="34">
        <v>255002</v>
      </c>
      <c r="E3990" s="36" t="str">
        <f>IF(Table3[[#This Row],[Type Received]]=2,"CC",(IF(Table3[[#This Row],[Type Received]]=3,"BILL","ACH")))</f>
        <v>BILL</v>
      </c>
      <c r="F3990" s="35">
        <v>49.63</v>
      </c>
      <c r="G3990" s="14" t="str">
        <f>VLOOKUP(D3990,Table4[],3,FALSE)</f>
        <v>2</v>
      </c>
      <c r="H3990" s="15"/>
      <c r="I3990" s="15"/>
      <c r="J3990" s="24" t="s">
        <v>106</v>
      </c>
      <c r="K3990" s="15">
        <v>710063763</v>
      </c>
      <c r="L3990" s="15" t="s">
        <v>29</v>
      </c>
      <c r="M3990" s="15"/>
    </row>
    <row r="3991" spans="1:13" x14ac:dyDescent="0.25">
      <c r="A3991" s="23">
        <f t="shared" si="189"/>
        <v>255004</v>
      </c>
      <c r="B3991" s="14" t="str">
        <f t="shared" si="188"/>
        <v>Credit Cards (UMB) - Credits</v>
      </c>
      <c r="C3991" s="37">
        <v>46154</v>
      </c>
      <c r="D3991" s="31">
        <v>255004</v>
      </c>
      <c r="E3991" s="33" t="str">
        <f>IF(Table3[[#This Row],[Type Received]]=2,"CC",(IF(Table3[[#This Row],[Type Received]]=3,"BILL","ACH")))</f>
        <v>CC</v>
      </c>
      <c r="F3991" s="32">
        <v>67.03</v>
      </c>
      <c r="G3991" s="14" t="str">
        <f>VLOOKUP(D3991,Table4[],3,FALSE)</f>
        <v>1</v>
      </c>
      <c r="H3991" s="15">
        <v>377</v>
      </c>
      <c r="I3991" s="15"/>
      <c r="J3991" s="15"/>
      <c r="K3991" s="15"/>
      <c r="L3991" s="15"/>
      <c r="M3991" s="15" t="s">
        <v>29</v>
      </c>
    </row>
    <row r="3992" spans="1:13" x14ac:dyDescent="0.25">
      <c r="A3992" s="23">
        <f t="shared" si="189"/>
        <v>255006</v>
      </c>
      <c r="B3992" s="14" t="str">
        <f t="shared" si="188"/>
        <v>Direct Debit (UMB Bank) - Credits</v>
      </c>
      <c r="C3992" s="38">
        <v>46148</v>
      </c>
      <c r="D3992" s="34">
        <v>255006</v>
      </c>
      <c r="E3992" s="36" t="str">
        <f>IF(Table3[[#This Row],[Type Received]]=2,"CC",(IF(Table3[[#This Row],[Type Received]]=3,"BILL","ACH")))</f>
        <v>ACH</v>
      </c>
      <c r="F3992" s="35">
        <v>104.1</v>
      </c>
      <c r="G3992" s="14" t="str">
        <f>VLOOKUP(D3992,Table4[],3,FALSE)</f>
        <v>2</v>
      </c>
      <c r="H3992" s="15"/>
      <c r="I3992" s="15">
        <v>182621</v>
      </c>
      <c r="J3992" s="15" t="s">
        <v>28</v>
      </c>
      <c r="K3992" s="15">
        <v>581795621</v>
      </c>
      <c r="L3992" s="15" t="s">
        <v>29</v>
      </c>
      <c r="M3992" s="15" t="s">
        <v>29</v>
      </c>
    </row>
    <row r="3993" spans="1:13" x14ac:dyDescent="0.25">
      <c r="A3993" s="23">
        <f t="shared" si="189"/>
        <v>255012</v>
      </c>
      <c r="B3993" s="14" t="str">
        <f t="shared" si="188"/>
        <v>Direct Debit (UMB Bank) - Credits</v>
      </c>
      <c r="C3993" s="37">
        <v>46168</v>
      </c>
      <c r="D3993" s="31">
        <v>255012</v>
      </c>
      <c r="E3993" s="33" t="str">
        <f>IF(Table3[[#This Row],[Type Received]]=2,"CC",(IF(Table3[[#This Row],[Type Received]]=3,"BILL","ACH")))</f>
        <v>ACH</v>
      </c>
      <c r="F3993" s="32">
        <v>96.16</v>
      </c>
      <c r="G3993" s="14" t="str">
        <f>VLOOKUP(D3993,Table4[],3,FALSE)</f>
        <v>2</v>
      </c>
      <c r="H3993" s="15"/>
      <c r="I3993" s="15"/>
      <c r="J3993" s="15" t="s">
        <v>110</v>
      </c>
      <c r="K3993" s="15">
        <v>828303552</v>
      </c>
      <c r="L3993" s="15" t="s">
        <v>29</v>
      </c>
      <c r="M3993" s="15" t="s">
        <v>29</v>
      </c>
    </row>
    <row r="3994" spans="1:13" x14ac:dyDescent="0.25">
      <c r="A3994" s="23">
        <f t="shared" si="189"/>
        <v>255015</v>
      </c>
      <c r="B3994" s="14" t="str">
        <f t="shared" si="188"/>
        <v>Direct Debit (UMB Bank) - Credits</v>
      </c>
      <c r="C3994" s="38">
        <v>46158</v>
      </c>
      <c r="D3994" s="34">
        <v>255015</v>
      </c>
      <c r="E3994" s="36" t="str">
        <f>IF(Table3[[#This Row],[Type Received]]=2,"CC",(IF(Table3[[#This Row],[Type Received]]=3,"BILL","ACH")))</f>
        <v>ACH</v>
      </c>
      <c r="F3994" s="35">
        <v>115.3</v>
      </c>
      <c r="G3994" s="14" t="str">
        <f>VLOOKUP(D3994,Table4[],3,FALSE)</f>
        <v>2</v>
      </c>
      <c r="H3994" s="15"/>
      <c r="I3994" s="15"/>
      <c r="J3994" s="15" t="s">
        <v>106</v>
      </c>
      <c r="K3994" s="15">
        <v>710069677</v>
      </c>
      <c r="L3994" s="15" t="s">
        <v>29</v>
      </c>
      <c r="M3994" s="15" t="s">
        <v>29</v>
      </c>
    </row>
    <row r="3995" spans="1:13" x14ac:dyDescent="0.25">
      <c r="A3995" s="23">
        <f t="shared" si="189"/>
        <v>255036</v>
      </c>
      <c r="B3995" s="14" t="str">
        <f t="shared" si="188"/>
        <v>Direct Debit (UMB Bank) - Credits</v>
      </c>
      <c r="C3995" s="37">
        <v>46146</v>
      </c>
      <c r="D3995" s="31">
        <v>255036</v>
      </c>
      <c r="E3995" s="33" t="str">
        <f>IF(Table3[[#This Row],[Type Received]]=2,"CC",(IF(Table3[[#This Row],[Type Received]]=3,"BILL","ACH")))</f>
        <v>ACH</v>
      </c>
      <c r="F3995" s="32">
        <v>119.92</v>
      </c>
      <c r="G3995" s="14" t="str">
        <f>VLOOKUP(D3995,Table4[],3,FALSE)</f>
        <v>2</v>
      </c>
      <c r="H3995" s="15"/>
      <c r="I3995" s="15"/>
      <c r="J3995" s="15" t="s">
        <v>92</v>
      </c>
      <c r="K3995" s="15">
        <v>558767635</v>
      </c>
      <c r="L3995" s="15" t="s">
        <v>29</v>
      </c>
      <c r="M3995" s="15"/>
    </row>
    <row r="3996" spans="1:13" x14ac:dyDescent="0.25">
      <c r="A3996" s="23">
        <f t="shared" si="189"/>
        <v>255049</v>
      </c>
      <c r="B3996" s="14" t="str">
        <f t="shared" si="188"/>
        <v>Credit Cards (UMB) - Credits</v>
      </c>
      <c r="C3996" s="38">
        <v>46168</v>
      </c>
      <c r="D3996" s="34">
        <v>255049</v>
      </c>
      <c r="E3996" s="36" t="str">
        <f>IF(Table3[[#This Row],[Type Received]]=2,"CC",(IF(Table3[[#This Row],[Type Received]]=3,"BILL","ACH")))</f>
        <v>CC</v>
      </c>
      <c r="F3996" s="35">
        <v>178.99</v>
      </c>
      <c r="G3996" s="14" t="str">
        <f>VLOOKUP(D3996,Table4[],3,FALSE)</f>
        <v>2</v>
      </c>
      <c r="H3996" s="15"/>
      <c r="I3996" s="15"/>
      <c r="J3996" s="15" t="s">
        <v>110</v>
      </c>
      <c r="K3996" s="15">
        <v>828305501</v>
      </c>
      <c r="L3996" s="15" t="s">
        <v>29</v>
      </c>
      <c r="M3996" s="15" t="s">
        <v>29</v>
      </c>
    </row>
    <row r="3997" spans="1:13" x14ac:dyDescent="0.25">
      <c r="A3997" s="23">
        <f t="shared" si="189"/>
        <v>255052</v>
      </c>
      <c r="B3997" s="14" t="str">
        <f t="shared" si="188"/>
        <v>Direct Debit (UMB Bank) - Credits</v>
      </c>
      <c r="C3997" s="37">
        <v>46155</v>
      </c>
      <c r="D3997" s="31">
        <v>255052</v>
      </c>
      <c r="E3997" s="33" t="str">
        <f>IF(Table3[[#This Row],[Type Received]]=2,"CC",(IF(Table3[[#This Row],[Type Received]]=3,"BILL","ACH")))</f>
        <v>ACH</v>
      </c>
      <c r="F3997" s="32">
        <v>91.87</v>
      </c>
      <c r="G3997" s="14" t="str">
        <f>VLOOKUP(D3997,Table4[],3,FALSE)</f>
        <v>2</v>
      </c>
      <c r="H3997" s="15"/>
      <c r="I3997" s="15" t="s">
        <v>317</v>
      </c>
      <c r="J3997" s="15" t="s">
        <v>28</v>
      </c>
      <c r="K3997" s="15">
        <v>669521428</v>
      </c>
      <c r="L3997" s="15" t="s">
        <v>29</v>
      </c>
      <c r="M3997" s="15"/>
    </row>
    <row r="3998" spans="1:13" x14ac:dyDescent="0.25">
      <c r="A3998" s="23"/>
      <c r="B3998" s="14" t="str">
        <f t="shared" si="188"/>
        <v>Direct Debit (UMB Bank) - Credits</v>
      </c>
      <c r="C3998" s="38">
        <v>46158</v>
      </c>
      <c r="D3998" s="34">
        <v>255059</v>
      </c>
      <c r="E3998" s="36" t="str">
        <f>IF(Table3[[#This Row],[Type Received]]=2,"CC",(IF(Table3[[#This Row],[Type Received]]=3,"BILL","ACH")))</f>
        <v>ACH</v>
      </c>
      <c r="F3998" s="35">
        <v>141.37</v>
      </c>
      <c r="G3998" s="14" t="str">
        <f>VLOOKUP(D3998,Table4[],3,FALSE)</f>
        <v>2</v>
      </c>
      <c r="H3998" s="15"/>
      <c r="I3998" s="15"/>
      <c r="J3998" s="15" t="s">
        <v>106</v>
      </c>
      <c r="K3998" s="15">
        <v>710076464</v>
      </c>
      <c r="L3998" s="15" t="s">
        <v>29</v>
      </c>
      <c r="M3998" s="15" t="s">
        <v>29</v>
      </c>
    </row>
    <row r="3999" spans="1:13" x14ac:dyDescent="0.25">
      <c r="A3999" s="23">
        <f t="shared" ref="A3999:A4025" si="190">D3999</f>
        <v>255061</v>
      </c>
      <c r="B3999" s="14" t="str">
        <f t="shared" si="188"/>
        <v>Credit Cards (UMB) - Credits</v>
      </c>
      <c r="C3999" s="37">
        <v>46158</v>
      </c>
      <c r="D3999" s="31">
        <v>255061</v>
      </c>
      <c r="E3999" s="33" t="str">
        <f>IF(Table3[[#This Row],[Type Received]]=2,"CC",(IF(Table3[[#This Row],[Type Received]]=3,"BILL","ACH")))</f>
        <v>CC</v>
      </c>
      <c r="F3999" s="32">
        <v>98.8</v>
      </c>
      <c r="G3999" s="14" t="str">
        <f>VLOOKUP(D3999,Table4[],3,FALSE)</f>
        <v>2</v>
      </c>
      <c r="H3999" s="15"/>
      <c r="I3999" s="15"/>
      <c r="J3999" s="24" t="s">
        <v>106</v>
      </c>
      <c r="K3999" s="15">
        <v>710060832</v>
      </c>
      <c r="L3999" s="15" t="s">
        <v>29</v>
      </c>
      <c r="M3999" s="15"/>
    </row>
    <row r="4000" spans="1:13" x14ac:dyDescent="0.25">
      <c r="A4000" s="23">
        <f t="shared" si="190"/>
        <v>255062</v>
      </c>
      <c r="B4000" s="14" t="str">
        <f t="shared" si="188"/>
        <v>Direct Debit (UMB Bank) - Credits</v>
      </c>
      <c r="C4000" s="38">
        <v>46168</v>
      </c>
      <c r="D4000" s="34">
        <v>255062</v>
      </c>
      <c r="E4000" s="36" t="str">
        <f>IF(Table3[[#This Row],[Type Received]]=2,"CC",(IF(Table3[[#This Row],[Type Received]]=3,"BILL","ACH")))</f>
        <v>ACH</v>
      </c>
      <c r="F4000" s="35">
        <v>111.01</v>
      </c>
      <c r="G4000" s="14" t="str">
        <f>VLOOKUP(D4000,Table4[],3,FALSE)</f>
        <v>2</v>
      </c>
      <c r="H4000" s="15"/>
      <c r="I4000" s="15" t="s">
        <v>318</v>
      </c>
      <c r="J4000" s="15" t="s">
        <v>28</v>
      </c>
      <c r="K4000" s="15">
        <v>828307356</v>
      </c>
      <c r="L4000" s="15" t="s">
        <v>29</v>
      </c>
      <c r="M4000" s="15" t="s">
        <v>29</v>
      </c>
    </row>
    <row r="4001" spans="1:13" x14ac:dyDescent="0.25">
      <c r="A4001" s="23">
        <f t="shared" si="190"/>
        <v>255063</v>
      </c>
      <c r="B4001" s="14" t="str">
        <f t="shared" si="188"/>
        <v>Direct Debit (UMB Bank) - Credits</v>
      </c>
      <c r="C4001" s="37">
        <v>46143</v>
      </c>
      <c r="D4001" s="31">
        <v>255063</v>
      </c>
      <c r="E4001" s="33" t="str">
        <f>IF(Table3[[#This Row],[Type Received]]=2,"CC",(IF(Table3[[#This Row],[Type Received]]=3,"BILL","ACH")))</f>
        <v>ACH</v>
      </c>
      <c r="F4001" s="32">
        <v>78.89</v>
      </c>
      <c r="G4001" s="14" t="str">
        <f>VLOOKUP(D4001,Table4[],3,FALSE)</f>
        <v>1</v>
      </c>
      <c r="H4001" s="15"/>
      <c r="I4001" s="15"/>
      <c r="J4001" s="15" t="s">
        <v>84</v>
      </c>
      <c r="K4001" s="15">
        <v>522410594</v>
      </c>
      <c r="L4001" s="15" t="s">
        <v>29</v>
      </c>
      <c r="M4001" s="15" t="s">
        <v>29</v>
      </c>
    </row>
    <row r="4002" spans="1:13" x14ac:dyDescent="0.25">
      <c r="A4002" s="23">
        <f t="shared" si="190"/>
        <v>255065</v>
      </c>
      <c r="B4002" s="14" t="str">
        <f t="shared" si="188"/>
        <v>Credit Cards (UMB) - Credits</v>
      </c>
      <c r="C4002" s="38">
        <v>46143</v>
      </c>
      <c r="D4002" s="34">
        <v>255065</v>
      </c>
      <c r="E4002" s="36" t="str">
        <f>IF(Table3[[#This Row],[Type Received]]=2,"CC",(IF(Table3[[#This Row],[Type Received]]=3,"BILL","ACH")))</f>
        <v>CC</v>
      </c>
      <c r="F4002" s="35">
        <v>48.75</v>
      </c>
      <c r="G4002" s="14" t="str">
        <f>VLOOKUP(D4002,Table4[],3,FALSE)</f>
        <v>1</v>
      </c>
      <c r="H4002" s="15"/>
      <c r="I4002" s="15"/>
      <c r="J4002" s="15" t="s">
        <v>84</v>
      </c>
      <c r="K4002" s="15">
        <v>522404910</v>
      </c>
      <c r="L4002" s="15" t="s">
        <v>29</v>
      </c>
      <c r="M4002" s="15" t="s">
        <v>29</v>
      </c>
    </row>
    <row r="4003" spans="1:13" x14ac:dyDescent="0.25">
      <c r="A4003" s="23">
        <f t="shared" si="190"/>
        <v>255093</v>
      </c>
      <c r="B4003" s="14" t="str">
        <f t="shared" si="188"/>
        <v>Credit Cards (UMB) - Credits</v>
      </c>
      <c r="C4003" s="37">
        <v>46162</v>
      </c>
      <c r="D4003" s="31">
        <v>255093</v>
      </c>
      <c r="E4003" s="33" t="str">
        <f>IF(Table3[[#This Row],[Type Received]]=2,"CC",(IF(Table3[[#This Row],[Type Received]]=3,"BILL","ACH")))</f>
        <v>CC</v>
      </c>
      <c r="F4003" s="32">
        <v>50</v>
      </c>
      <c r="G4003" s="14" t="str">
        <f>VLOOKUP(D4003,Table4[],3,FALSE)</f>
        <v>1</v>
      </c>
      <c r="H4003" s="15"/>
      <c r="I4003" s="15">
        <v>20574</v>
      </c>
      <c r="J4003" s="15">
        <v>747121142</v>
      </c>
      <c r="K4003" s="15">
        <v>355275360</v>
      </c>
      <c r="L4003" s="15"/>
      <c r="M4003" s="15" t="s">
        <v>29</v>
      </c>
    </row>
    <row r="4004" spans="1:13" x14ac:dyDescent="0.25">
      <c r="A4004" s="23">
        <f t="shared" si="190"/>
        <v>255093</v>
      </c>
      <c r="B4004" s="14" t="str">
        <f t="shared" si="188"/>
        <v>Direct Debit (UMB Bank) - Credits</v>
      </c>
      <c r="C4004" s="38">
        <v>46155</v>
      </c>
      <c r="D4004" s="34">
        <v>255093</v>
      </c>
      <c r="E4004" s="36" t="str">
        <f>IF(Table3[[#This Row],[Type Received]]=2,"CC",(IF(Table3[[#This Row],[Type Received]]=3,"BILL","ACH")))</f>
        <v>ACH</v>
      </c>
      <c r="F4004" s="35">
        <v>59</v>
      </c>
      <c r="G4004" s="14" t="str">
        <f>VLOOKUP(D4004,Table4[],3,FALSE)</f>
        <v>1</v>
      </c>
      <c r="H4004" s="15"/>
      <c r="I4004" s="15">
        <v>836011</v>
      </c>
      <c r="J4004" s="15">
        <v>744917848</v>
      </c>
      <c r="K4004" s="15">
        <v>354393778</v>
      </c>
      <c r="L4004" s="15"/>
      <c r="M4004" s="15"/>
    </row>
    <row r="4005" spans="1:13" x14ac:dyDescent="0.25">
      <c r="A4005" s="23">
        <f t="shared" si="190"/>
        <v>255099</v>
      </c>
      <c r="B4005" s="14" t="str">
        <f t="shared" si="188"/>
        <v>Direct Debit (UMB Bank) - Credits</v>
      </c>
      <c r="C4005" s="37">
        <v>46157</v>
      </c>
      <c r="D4005" s="31">
        <v>255099</v>
      </c>
      <c r="E4005" s="33" t="str">
        <f>IF(Table3[[#This Row],[Type Received]]=2,"CC",(IF(Table3[[#This Row],[Type Received]]=3,"BILL","ACH")))</f>
        <v>ACH</v>
      </c>
      <c r="F4005" s="32">
        <v>53.81</v>
      </c>
      <c r="G4005" s="14" t="str">
        <f>VLOOKUP(D4005,Table4[],3,FALSE)</f>
        <v>1</v>
      </c>
      <c r="H4005" s="15"/>
      <c r="I4005" s="15"/>
      <c r="J4005" s="15" t="s">
        <v>87</v>
      </c>
      <c r="K4005" s="15">
        <v>696600962</v>
      </c>
      <c r="L4005" s="15" t="s">
        <v>29</v>
      </c>
      <c r="M4005" s="15" t="s">
        <v>29</v>
      </c>
    </row>
    <row r="4006" spans="1:13" x14ac:dyDescent="0.25">
      <c r="A4006" s="23">
        <f t="shared" si="190"/>
        <v>255100</v>
      </c>
      <c r="B4006" s="14" t="str">
        <f t="shared" si="188"/>
        <v>Direct Debit (UMB Bank) - Credits</v>
      </c>
      <c r="C4006" s="38">
        <v>46143</v>
      </c>
      <c r="D4006" s="34">
        <v>255100</v>
      </c>
      <c r="E4006" s="36" t="str">
        <f>IF(Table3[[#This Row],[Type Received]]=2,"CC",(IF(Table3[[#This Row],[Type Received]]=3,"BILL","ACH")))</f>
        <v>ACH</v>
      </c>
      <c r="F4006" s="35">
        <v>62.5</v>
      </c>
      <c r="G4006" s="14" t="str">
        <f>VLOOKUP(D4006,Table4[],3,FALSE)</f>
        <v>2</v>
      </c>
      <c r="H4006" s="15"/>
      <c r="I4006" s="15"/>
      <c r="J4006" s="24" t="s">
        <v>84</v>
      </c>
      <c r="K4006" s="15">
        <v>522428133</v>
      </c>
      <c r="L4006" s="15" t="s">
        <v>29</v>
      </c>
      <c r="M4006" s="15" t="s">
        <v>29</v>
      </c>
    </row>
    <row r="4007" spans="1:13" x14ac:dyDescent="0.25">
      <c r="A4007" s="23">
        <f t="shared" si="190"/>
        <v>255104</v>
      </c>
      <c r="B4007" s="14" t="str">
        <f t="shared" si="188"/>
        <v>Billing - Credits (from TPA)</v>
      </c>
      <c r="C4007" s="37">
        <v>46143</v>
      </c>
      <c r="D4007" s="31">
        <v>255104</v>
      </c>
      <c r="E4007" s="33" t="str">
        <f>IF(Table3[[#This Row],[Type Received]]=2,"CC",(IF(Table3[[#This Row],[Type Received]]=3,"BILL","ACH")))</f>
        <v>BILL</v>
      </c>
      <c r="F4007" s="32">
        <v>69.099999999999994</v>
      </c>
      <c r="G4007" s="14" t="str">
        <f>VLOOKUP(D4007,Table4[],3,FALSE)</f>
        <v>2</v>
      </c>
      <c r="H4007" s="15"/>
      <c r="I4007" s="15"/>
      <c r="J4007" s="15" t="s">
        <v>84</v>
      </c>
      <c r="K4007" s="15">
        <v>522407832</v>
      </c>
      <c r="L4007" s="15" t="s">
        <v>29</v>
      </c>
      <c r="M4007" s="15" t="s">
        <v>29</v>
      </c>
    </row>
    <row r="4008" spans="1:13" x14ac:dyDescent="0.25">
      <c r="A4008" s="23">
        <f t="shared" si="190"/>
        <v>255108</v>
      </c>
      <c r="B4008" s="14" t="str">
        <f t="shared" si="188"/>
        <v>Billing - Credits (from TPA)</v>
      </c>
      <c r="C4008" s="38">
        <v>46171</v>
      </c>
      <c r="D4008" s="34">
        <v>255108</v>
      </c>
      <c r="E4008" s="36" t="str">
        <f>IF(Table3[[#This Row],[Type Received]]=2,"CC",(IF(Table3[[#This Row],[Type Received]]=3,"BILL","ACH")))</f>
        <v>BILL</v>
      </c>
      <c r="F4008" s="35">
        <v>86.61</v>
      </c>
      <c r="G4008" s="14" t="str">
        <f>VLOOKUP(D4008,Table4[],3,FALSE)</f>
        <v>2</v>
      </c>
      <c r="H4008" s="15">
        <v>3525</v>
      </c>
      <c r="I4008" s="15"/>
      <c r="J4008" s="15"/>
      <c r="K4008" s="15"/>
      <c r="L4008" s="15"/>
      <c r="M4008" s="15" t="s">
        <v>29</v>
      </c>
    </row>
    <row r="4009" spans="1:13" x14ac:dyDescent="0.25">
      <c r="A4009" s="23">
        <f t="shared" si="190"/>
        <v>255108</v>
      </c>
      <c r="B4009" s="14" t="str">
        <f t="shared" si="188"/>
        <v>Direct Debit (UMB Bank) - Credits</v>
      </c>
      <c r="C4009" s="37">
        <v>46143</v>
      </c>
      <c r="D4009" s="31">
        <v>255108</v>
      </c>
      <c r="E4009" s="33" t="str">
        <f>IF(Table3[[#This Row],[Type Received]]=2,"CC",(IF(Table3[[#This Row],[Type Received]]=3,"BILL","ACH")))</f>
        <v>ACH</v>
      </c>
      <c r="F4009" s="32">
        <v>173.22</v>
      </c>
      <c r="G4009" s="14" t="str">
        <f>VLOOKUP(D4009,Table4[],3,FALSE)</f>
        <v>2</v>
      </c>
      <c r="H4009" s="15">
        <v>3515</v>
      </c>
      <c r="I4009" s="15"/>
      <c r="J4009" s="15"/>
      <c r="K4009" s="15"/>
      <c r="L4009" s="15"/>
      <c r="M4009" s="15"/>
    </row>
    <row r="4010" spans="1:13" x14ac:dyDescent="0.25">
      <c r="A4010" s="23">
        <f t="shared" si="190"/>
        <v>255114</v>
      </c>
      <c r="B4010" s="14" t="str">
        <f t="shared" si="188"/>
        <v>Direct Debit (UMB Bank) - Credits</v>
      </c>
      <c r="C4010" s="38">
        <v>46143</v>
      </c>
      <c r="D4010" s="34">
        <v>255114</v>
      </c>
      <c r="E4010" s="36" t="str">
        <f>IF(Table3[[#This Row],[Type Received]]=2,"CC",(IF(Table3[[#This Row],[Type Received]]=3,"BILL","ACH")))</f>
        <v>ACH</v>
      </c>
      <c r="F4010" s="35">
        <v>63.71</v>
      </c>
      <c r="G4010" s="14" t="str">
        <f>VLOOKUP(D4010,Table4[],3,FALSE)</f>
        <v>1</v>
      </c>
      <c r="H4010" s="15"/>
      <c r="I4010" s="15"/>
      <c r="J4010" s="15" t="s">
        <v>84</v>
      </c>
      <c r="K4010" s="15">
        <v>522416571</v>
      </c>
      <c r="L4010" s="15" t="s">
        <v>29</v>
      </c>
      <c r="M4010" s="15"/>
    </row>
    <row r="4011" spans="1:13" x14ac:dyDescent="0.25">
      <c r="A4011" s="23">
        <f t="shared" si="190"/>
        <v>255117</v>
      </c>
      <c r="B4011" s="14" t="str">
        <f t="shared" si="188"/>
        <v>Direct Debit (UMB Bank) - Credits</v>
      </c>
      <c r="C4011" s="37">
        <v>46168</v>
      </c>
      <c r="D4011" s="31">
        <v>255117</v>
      </c>
      <c r="E4011" s="33" t="str">
        <f>IF(Table3[[#This Row],[Type Received]]=2,"CC",(IF(Table3[[#This Row],[Type Received]]=3,"BILL","ACH")))</f>
        <v>ACH</v>
      </c>
      <c r="F4011" s="32">
        <v>65.8</v>
      </c>
      <c r="G4011" s="14" t="str">
        <f>VLOOKUP(D4011,Table4[],3,FALSE)</f>
        <v>2</v>
      </c>
      <c r="H4011" s="15"/>
      <c r="I4011" s="15"/>
      <c r="J4011" s="15" t="s">
        <v>110</v>
      </c>
      <c r="K4011" s="15">
        <v>828289908</v>
      </c>
      <c r="L4011" s="15" t="s">
        <v>29</v>
      </c>
      <c r="M4011" s="15" t="s">
        <v>29</v>
      </c>
    </row>
    <row r="4012" spans="1:13" x14ac:dyDescent="0.25">
      <c r="A4012" s="23">
        <f t="shared" si="190"/>
        <v>255124</v>
      </c>
      <c r="B4012" s="14" t="str">
        <f t="shared" si="188"/>
        <v>Direct Debit (UMB Bank) - Credits</v>
      </c>
      <c r="C4012" s="38">
        <v>46168</v>
      </c>
      <c r="D4012" s="34">
        <v>255124</v>
      </c>
      <c r="E4012" s="36" t="str">
        <f>IF(Table3[[#This Row],[Type Received]]=2,"CC",(IF(Table3[[#This Row],[Type Received]]=3,"BILL","ACH")))</f>
        <v>ACH</v>
      </c>
      <c r="F4012" s="35">
        <v>154.9</v>
      </c>
      <c r="G4012" s="14" t="str">
        <f>VLOOKUP(D4012,Table4[],3,FALSE)</f>
        <v>2</v>
      </c>
      <c r="H4012" s="15"/>
      <c r="I4012" s="15"/>
      <c r="J4012" s="15" t="s">
        <v>110</v>
      </c>
      <c r="K4012" s="15">
        <v>828297746</v>
      </c>
      <c r="L4012" s="15" t="s">
        <v>29</v>
      </c>
      <c r="M4012" s="15"/>
    </row>
    <row r="4013" spans="1:13" x14ac:dyDescent="0.25">
      <c r="A4013" s="23">
        <f t="shared" si="190"/>
        <v>255134</v>
      </c>
      <c r="B4013" s="14" t="str">
        <f t="shared" si="188"/>
        <v>Direct Debit (UMB Bank) - Credits</v>
      </c>
      <c r="C4013" s="37">
        <v>46143</v>
      </c>
      <c r="D4013" s="31">
        <v>255134</v>
      </c>
      <c r="E4013" s="33" t="str">
        <f>IF(Table3[[#This Row],[Type Received]]=2,"CC",(IF(Table3[[#This Row],[Type Received]]=3,"BILL","ACH")))</f>
        <v>ACH</v>
      </c>
      <c r="F4013" s="32">
        <v>25.65</v>
      </c>
      <c r="G4013" s="14" t="str">
        <f>VLOOKUP(D4013,Table4[],3,FALSE)</f>
        <v>1</v>
      </c>
      <c r="H4013" s="15"/>
      <c r="I4013" s="15"/>
      <c r="J4013" s="15" t="s">
        <v>84</v>
      </c>
      <c r="K4013" s="15">
        <v>522405980</v>
      </c>
      <c r="L4013" s="15" t="s">
        <v>29</v>
      </c>
      <c r="M4013" s="15" t="s">
        <v>29</v>
      </c>
    </row>
    <row r="4014" spans="1:13" x14ac:dyDescent="0.25">
      <c r="A4014" s="23">
        <f t="shared" si="190"/>
        <v>255137</v>
      </c>
      <c r="B4014" s="14" t="str">
        <f t="shared" si="188"/>
        <v>Direct Debit (UMB Bank) - Credits</v>
      </c>
      <c r="C4014" s="38">
        <v>46143</v>
      </c>
      <c r="D4014" s="34">
        <v>255137</v>
      </c>
      <c r="E4014" s="36" t="str">
        <f>IF(Table3[[#This Row],[Type Received]]=2,"CC",(IF(Table3[[#This Row],[Type Received]]=3,"BILL","ACH")))</f>
        <v>ACH</v>
      </c>
      <c r="F4014" s="35">
        <v>43.03</v>
      </c>
      <c r="G4014" s="14" t="str">
        <f>VLOOKUP(D4014,Table4[],3,FALSE)</f>
        <v>1</v>
      </c>
      <c r="H4014" s="15"/>
      <c r="I4014" s="15"/>
      <c r="J4014" s="15" t="s">
        <v>84</v>
      </c>
      <c r="K4014" s="15">
        <v>522422395</v>
      </c>
      <c r="L4014" s="15" t="s">
        <v>29</v>
      </c>
      <c r="M4014" s="15" t="s">
        <v>29</v>
      </c>
    </row>
    <row r="4015" spans="1:13" x14ac:dyDescent="0.25">
      <c r="A4015" s="23">
        <f t="shared" si="190"/>
        <v>255146</v>
      </c>
      <c r="B4015" s="14" t="str">
        <f t="shared" si="188"/>
        <v>Direct Debit (UMB Bank) - Credits</v>
      </c>
      <c r="C4015" s="37">
        <v>46158</v>
      </c>
      <c r="D4015" s="31">
        <v>255146</v>
      </c>
      <c r="E4015" s="33" t="str">
        <f>IF(Table3[[#This Row],[Type Received]]=2,"CC",(IF(Table3[[#This Row],[Type Received]]=3,"BILL","ACH")))</f>
        <v>ACH</v>
      </c>
      <c r="F4015" s="32">
        <v>60.85</v>
      </c>
      <c r="G4015" s="14" t="str">
        <f>VLOOKUP(D4015,Table4[],3,FALSE)</f>
        <v>2</v>
      </c>
      <c r="H4015" s="15"/>
      <c r="I4015" s="15"/>
      <c r="J4015" s="15" t="s">
        <v>106</v>
      </c>
      <c r="K4015" s="15">
        <v>710082137</v>
      </c>
      <c r="L4015" s="15" t="s">
        <v>29</v>
      </c>
      <c r="M4015" s="15" t="s">
        <v>29</v>
      </c>
    </row>
    <row r="4016" spans="1:13" x14ac:dyDescent="0.25">
      <c r="A4016" s="23">
        <f t="shared" si="190"/>
        <v>255148</v>
      </c>
      <c r="B4016" s="14" t="str">
        <f t="shared" si="188"/>
        <v>Direct Debit (UMB Bank) - Credits</v>
      </c>
      <c r="C4016" s="38">
        <v>46158</v>
      </c>
      <c r="D4016" s="34">
        <v>255148</v>
      </c>
      <c r="E4016" s="36" t="str">
        <f>IF(Table3[[#This Row],[Type Received]]=2,"CC",(IF(Table3[[#This Row],[Type Received]]=3,"BILL","ACH")))</f>
        <v>ACH</v>
      </c>
      <c r="F4016" s="35">
        <v>54.91</v>
      </c>
      <c r="G4016" s="14" t="str">
        <f>VLOOKUP(D4016,Table4[],3,FALSE)</f>
        <v>1</v>
      </c>
      <c r="H4016" s="15"/>
      <c r="I4016" s="15"/>
      <c r="J4016" s="24" t="s">
        <v>106</v>
      </c>
      <c r="K4016" s="15">
        <v>710072678</v>
      </c>
      <c r="L4016" s="15" t="s">
        <v>29</v>
      </c>
      <c r="M4016" s="15" t="s">
        <v>29</v>
      </c>
    </row>
    <row r="4017" spans="1:13" x14ac:dyDescent="0.25">
      <c r="A4017" s="23">
        <f t="shared" si="190"/>
        <v>255159</v>
      </c>
      <c r="B4017" s="14" t="str">
        <f t="shared" si="188"/>
        <v>Direct Debit (UMB Bank) - Credits</v>
      </c>
      <c r="C4017" s="37">
        <v>46158</v>
      </c>
      <c r="D4017" s="31">
        <v>255159</v>
      </c>
      <c r="E4017" s="33" t="str">
        <f>IF(Table3[[#This Row],[Type Received]]=2,"CC",(IF(Table3[[#This Row],[Type Received]]=3,"BILL","ACH")))</f>
        <v>ACH</v>
      </c>
      <c r="F4017" s="32">
        <v>60.85</v>
      </c>
      <c r="G4017" s="14" t="str">
        <f>VLOOKUP(D4017,Table4[],3,FALSE)</f>
        <v>2</v>
      </c>
      <c r="H4017" s="15"/>
      <c r="I4017" s="15"/>
      <c r="J4017" s="15" t="s">
        <v>106</v>
      </c>
      <c r="K4017" s="15">
        <v>710071686</v>
      </c>
      <c r="L4017" s="15" t="s">
        <v>29</v>
      </c>
      <c r="M4017" s="15" t="s">
        <v>29</v>
      </c>
    </row>
    <row r="4018" spans="1:13" x14ac:dyDescent="0.25">
      <c r="A4018" s="23">
        <f t="shared" si="190"/>
        <v>255161</v>
      </c>
      <c r="B4018" s="14" t="str">
        <f t="shared" si="188"/>
        <v>Direct Debit (UMB Bank) - Credits</v>
      </c>
      <c r="C4018" s="38">
        <v>46143</v>
      </c>
      <c r="D4018" s="34">
        <v>255161</v>
      </c>
      <c r="E4018" s="36" t="str">
        <f>IF(Table3[[#This Row],[Type Received]]=2,"CC",(IF(Table3[[#This Row],[Type Received]]=3,"BILL","ACH")))</f>
        <v>ACH</v>
      </c>
      <c r="F4018" s="35">
        <v>66.459999999999994</v>
      </c>
      <c r="G4018" s="14" t="str">
        <f>VLOOKUP(D4018,Table4[],3,FALSE)</f>
        <v>2</v>
      </c>
      <c r="H4018" s="15"/>
      <c r="I4018" s="15"/>
      <c r="J4018" s="15" t="s">
        <v>84</v>
      </c>
      <c r="K4018" s="15">
        <v>522427265</v>
      </c>
      <c r="L4018" s="15" t="s">
        <v>29</v>
      </c>
      <c r="M4018" s="15" t="s">
        <v>29</v>
      </c>
    </row>
    <row r="4019" spans="1:13" x14ac:dyDescent="0.25">
      <c r="A4019" s="23">
        <f t="shared" si="190"/>
        <v>255162</v>
      </c>
      <c r="B4019" s="14" t="str">
        <f t="shared" ref="B4019:B4082" si="191">IF(AND(E4019="BILL",F4019&lt;0),"Billing &amp; Direct Debit - Refunds",(IF(AND(E4019="BILL",F4019&gt;0),"Billing - Credits (from TPA)",(IF(AND(E4019="CC",F4019&lt;0),"Credit Cards (UMB) - Refunds",(IF(AND(E4019="CC",F4019&gt;0),"Credit Cards (UMB) - Credits",(IF(AND(E4019="ACH",F4019&gt;0),"Direct Debit (UMB Bank) - Credits","Direct Debit (UMB Bank) - Returned Items")))))))))</f>
        <v>Direct Debit (UMB Bank) - Credits</v>
      </c>
      <c r="C4019" s="37">
        <v>46143</v>
      </c>
      <c r="D4019" s="31">
        <v>255162</v>
      </c>
      <c r="E4019" s="33" t="str">
        <f>IF(Table3[[#This Row],[Type Received]]=2,"CC",(IF(Table3[[#This Row],[Type Received]]=3,"BILL","ACH")))</f>
        <v>ACH</v>
      </c>
      <c r="F4019" s="32">
        <v>86.26</v>
      </c>
      <c r="G4019" s="14" t="str">
        <f>VLOOKUP(D4019,Table4[],3,FALSE)</f>
        <v>2</v>
      </c>
      <c r="H4019" s="15"/>
      <c r="I4019" s="15"/>
      <c r="J4019" s="15" t="s">
        <v>84</v>
      </c>
      <c r="K4019" s="15">
        <v>522425318</v>
      </c>
      <c r="L4019" s="15" t="s">
        <v>29</v>
      </c>
      <c r="M4019" s="15" t="s">
        <v>29</v>
      </c>
    </row>
    <row r="4020" spans="1:13" x14ac:dyDescent="0.25">
      <c r="A4020" s="23">
        <f t="shared" si="190"/>
        <v>255163</v>
      </c>
      <c r="B4020" s="14" t="str">
        <f t="shared" si="191"/>
        <v>Direct Debit (UMB Bank) - Credits</v>
      </c>
      <c r="C4020" s="38">
        <v>46143</v>
      </c>
      <c r="D4020" s="34">
        <v>255163</v>
      </c>
      <c r="E4020" s="36" t="str">
        <f>IF(Table3[[#This Row],[Type Received]]=2,"CC",(IF(Table3[[#This Row],[Type Received]]=3,"BILL","ACH")))</f>
        <v>ACH</v>
      </c>
      <c r="F4020" s="35">
        <v>140.05000000000001</v>
      </c>
      <c r="G4020" s="14" t="str">
        <f>VLOOKUP(D4020,Table4[],3,FALSE)</f>
        <v>2</v>
      </c>
      <c r="H4020" s="15"/>
      <c r="I4020" s="15"/>
      <c r="J4020" s="15" t="s">
        <v>84</v>
      </c>
      <c r="K4020" s="15">
        <v>522419511</v>
      </c>
      <c r="L4020" s="15" t="s">
        <v>29</v>
      </c>
      <c r="M4020" s="15" t="s">
        <v>29</v>
      </c>
    </row>
    <row r="4021" spans="1:13" x14ac:dyDescent="0.25">
      <c r="A4021" s="23">
        <f t="shared" si="190"/>
        <v>255167</v>
      </c>
      <c r="B4021" s="14" t="str">
        <f t="shared" si="191"/>
        <v>Direct Debit (UMB Bank) - Credits</v>
      </c>
      <c r="C4021" s="37">
        <v>46146</v>
      </c>
      <c r="D4021" s="31">
        <v>255167</v>
      </c>
      <c r="E4021" s="33" t="str">
        <f>IF(Table3[[#This Row],[Type Received]]=2,"CC",(IF(Table3[[#This Row],[Type Received]]=3,"BILL","ACH")))</f>
        <v>ACH</v>
      </c>
      <c r="F4021" s="32">
        <v>55.35</v>
      </c>
      <c r="G4021" s="14" t="str">
        <f>VLOOKUP(D4021,Table4[],3,FALSE)</f>
        <v>1</v>
      </c>
      <c r="H4021" s="15"/>
      <c r="I4021" s="15"/>
      <c r="J4021" s="15" t="s">
        <v>92</v>
      </c>
      <c r="K4021" s="15">
        <v>558780331</v>
      </c>
      <c r="L4021" s="15" t="s">
        <v>29</v>
      </c>
      <c r="M4021" s="15" t="s">
        <v>29</v>
      </c>
    </row>
    <row r="4022" spans="1:13" x14ac:dyDescent="0.25">
      <c r="A4022" s="23">
        <f t="shared" si="190"/>
        <v>255169</v>
      </c>
      <c r="B4022" s="14" t="str">
        <f t="shared" si="191"/>
        <v>Credit Cards (UMB) - Credits</v>
      </c>
      <c r="C4022" s="38">
        <v>46143</v>
      </c>
      <c r="D4022" s="34">
        <v>255169</v>
      </c>
      <c r="E4022" s="36" t="str">
        <f>IF(Table3[[#This Row],[Type Received]]=2,"CC",(IF(Table3[[#This Row],[Type Received]]=3,"BILL","ACH")))</f>
        <v>CC</v>
      </c>
      <c r="F4022" s="35">
        <v>112</v>
      </c>
      <c r="G4022" s="14" t="str">
        <f>VLOOKUP(D4022,Table4[],3,FALSE)</f>
        <v>2</v>
      </c>
      <c r="H4022" s="15"/>
      <c r="I4022" s="15"/>
      <c r="J4022" s="15" t="s">
        <v>84</v>
      </c>
      <c r="K4022" s="15">
        <v>522410801</v>
      </c>
      <c r="L4022" s="15" t="s">
        <v>29</v>
      </c>
      <c r="M4022" s="15" t="s">
        <v>29</v>
      </c>
    </row>
    <row r="4023" spans="1:13" x14ac:dyDescent="0.25">
      <c r="A4023" s="23">
        <f t="shared" si="190"/>
        <v>255174</v>
      </c>
      <c r="B4023" s="14" t="str">
        <f t="shared" si="191"/>
        <v>Credit Cards (UMB) - Credits</v>
      </c>
      <c r="C4023" s="37">
        <v>46157</v>
      </c>
      <c r="D4023" s="31">
        <v>255174</v>
      </c>
      <c r="E4023" s="33" t="str">
        <f>IF(Table3[[#This Row],[Type Received]]=2,"CC",(IF(Table3[[#This Row],[Type Received]]=3,"BILL","ACH")))</f>
        <v>CC</v>
      </c>
      <c r="F4023" s="32">
        <v>84.63</v>
      </c>
      <c r="G4023" s="14" t="str">
        <f>VLOOKUP(D4023,Table4[],3,FALSE)</f>
        <v>1</v>
      </c>
      <c r="H4023" s="15"/>
      <c r="I4023" s="15">
        <v>32105</v>
      </c>
      <c r="J4023" s="15">
        <v>745623440</v>
      </c>
      <c r="K4023" s="15">
        <v>354706620</v>
      </c>
      <c r="L4023" s="15"/>
      <c r="M4023" s="15" t="s">
        <v>29</v>
      </c>
    </row>
    <row r="4024" spans="1:13" x14ac:dyDescent="0.25">
      <c r="A4024" s="23">
        <f t="shared" si="190"/>
        <v>255177</v>
      </c>
      <c r="B4024" s="14" t="str">
        <f t="shared" si="191"/>
        <v>Direct Debit (UMB Bank) - Credits</v>
      </c>
      <c r="C4024" s="38">
        <v>46155</v>
      </c>
      <c r="D4024" s="34">
        <v>255177</v>
      </c>
      <c r="E4024" s="36" t="str">
        <f>IF(Table3[[#This Row],[Type Received]]=2,"CC",(IF(Table3[[#This Row],[Type Received]]=3,"BILL","ACH")))</f>
        <v>ACH</v>
      </c>
      <c r="F4024" s="35">
        <v>102.65</v>
      </c>
      <c r="G4024" s="14" t="str">
        <f>VLOOKUP(D4024,Table4[],3,FALSE)</f>
        <v>1</v>
      </c>
      <c r="H4024" s="15"/>
      <c r="I4024" s="15">
        <v>150303</v>
      </c>
      <c r="J4024" s="15" t="s">
        <v>28</v>
      </c>
      <c r="K4024" s="15">
        <v>669520413</v>
      </c>
      <c r="L4024" s="15" t="s">
        <v>29</v>
      </c>
      <c r="M4024" s="15" t="s">
        <v>29</v>
      </c>
    </row>
    <row r="4025" spans="1:13" x14ac:dyDescent="0.25">
      <c r="A4025" s="23">
        <f t="shared" si="190"/>
        <v>255191</v>
      </c>
      <c r="B4025" s="14" t="str">
        <f t="shared" si="191"/>
        <v>Direct Debit (UMB Bank) - Credits</v>
      </c>
      <c r="C4025" s="37">
        <v>46158</v>
      </c>
      <c r="D4025" s="31">
        <v>255191</v>
      </c>
      <c r="E4025" s="33" t="str">
        <f>IF(Table3[[#This Row],[Type Received]]=2,"CC",(IF(Table3[[#This Row],[Type Received]]=3,"BILL","ACH")))</f>
        <v>ACH</v>
      </c>
      <c r="F4025" s="32">
        <v>82.96</v>
      </c>
      <c r="G4025" s="14" t="str">
        <f>VLOOKUP(D4025,Table4[],3,FALSE)</f>
        <v>2</v>
      </c>
      <c r="H4025" s="15"/>
      <c r="I4025" s="15"/>
      <c r="J4025" s="15" t="s">
        <v>106</v>
      </c>
      <c r="K4025" s="15">
        <v>710056993</v>
      </c>
      <c r="L4025" s="15" t="s">
        <v>29</v>
      </c>
      <c r="M4025" s="15"/>
    </row>
    <row r="4026" spans="1:13" x14ac:dyDescent="0.25">
      <c r="A4026" s="23"/>
      <c r="B4026" s="14" t="str">
        <f t="shared" si="191"/>
        <v>Direct Debit (UMB Bank) - Credits</v>
      </c>
      <c r="C4026" s="38">
        <v>46168</v>
      </c>
      <c r="D4026" s="34">
        <v>255193</v>
      </c>
      <c r="E4026" s="36" t="str">
        <f>IF(Table3[[#This Row],[Type Received]]=2,"CC",(IF(Table3[[#This Row],[Type Received]]=3,"BILL","ACH")))</f>
        <v>ACH</v>
      </c>
      <c r="F4026" s="35">
        <v>69.430000000000007</v>
      </c>
      <c r="G4026" s="14" t="str">
        <f>VLOOKUP(D4026,Table4[],3,FALSE)</f>
        <v>2</v>
      </c>
      <c r="H4026" s="15"/>
      <c r="I4026" s="15"/>
      <c r="J4026" s="15" t="s">
        <v>110</v>
      </c>
      <c r="K4026" s="15">
        <v>828311279</v>
      </c>
      <c r="L4026" s="15" t="s">
        <v>29</v>
      </c>
      <c r="M4026" s="15" t="s">
        <v>29</v>
      </c>
    </row>
    <row r="4027" spans="1:13" x14ac:dyDescent="0.25">
      <c r="A4027" s="23">
        <f t="shared" ref="A4027:A4058" si="192">D4027</f>
        <v>255219</v>
      </c>
      <c r="B4027" s="14" t="str">
        <f t="shared" si="191"/>
        <v>Direct Debit (UMB Bank) - Credits</v>
      </c>
      <c r="C4027" s="37">
        <v>46168</v>
      </c>
      <c r="D4027" s="31">
        <v>255219</v>
      </c>
      <c r="E4027" s="33" t="str">
        <f>IF(Table3[[#This Row],[Type Received]]=2,"CC",(IF(Table3[[#This Row],[Type Received]]=3,"BILL","ACH")))</f>
        <v>ACH</v>
      </c>
      <c r="F4027" s="32">
        <v>53.15</v>
      </c>
      <c r="G4027" s="14" t="str">
        <f>VLOOKUP(D4027,Table4[],3,FALSE)</f>
        <v>1</v>
      </c>
      <c r="H4027" s="15"/>
      <c r="I4027" s="15"/>
      <c r="J4027" s="15" t="s">
        <v>110</v>
      </c>
      <c r="K4027" s="15">
        <v>828308450</v>
      </c>
      <c r="L4027" s="15" t="s">
        <v>29</v>
      </c>
      <c r="M4027" s="15"/>
    </row>
    <row r="4028" spans="1:13" x14ac:dyDescent="0.25">
      <c r="A4028" s="23">
        <f t="shared" si="192"/>
        <v>255222</v>
      </c>
      <c r="B4028" s="14" t="str">
        <f t="shared" si="191"/>
        <v>Credit Cards (UMB) - Credits</v>
      </c>
      <c r="C4028" s="38">
        <v>46158</v>
      </c>
      <c r="D4028" s="34">
        <v>255222</v>
      </c>
      <c r="E4028" s="36" t="str">
        <f>IF(Table3[[#This Row],[Type Received]]=2,"CC",(IF(Table3[[#This Row],[Type Received]]=3,"BILL","ACH")))</f>
        <v>CC</v>
      </c>
      <c r="F4028" s="35">
        <v>83.95</v>
      </c>
      <c r="G4028" s="14" t="str">
        <f>VLOOKUP(D4028,Table4[],3,FALSE)</f>
        <v>2</v>
      </c>
      <c r="H4028" s="15"/>
      <c r="I4028" s="15"/>
      <c r="J4028" s="24" t="s">
        <v>106</v>
      </c>
      <c r="K4028" s="15">
        <v>710057950</v>
      </c>
      <c r="L4028" s="15" t="s">
        <v>29</v>
      </c>
      <c r="M4028" s="15" t="s">
        <v>29</v>
      </c>
    </row>
    <row r="4029" spans="1:13" x14ac:dyDescent="0.25">
      <c r="A4029" s="23">
        <f t="shared" si="192"/>
        <v>255234</v>
      </c>
      <c r="B4029" s="14" t="str">
        <f t="shared" si="191"/>
        <v>Direct Debit (UMB Bank) - Credits</v>
      </c>
      <c r="C4029" s="37">
        <v>46146</v>
      </c>
      <c r="D4029" s="31">
        <v>255234</v>
      </c>
      <c r="E4029" s="33" t="str">
        <f>IF(Table3[[#This Row],[Type Received]]=2,"CC",(IF(Table3[[#This Row],[Type Received]]=3,"BILL","ACH")))</f>
        <v>ACH</v>
      </c>
      <c r="F4029" s="32">
        <v>52.05</v>
      </c>
      <c r="G4029" s="14" t="str">
        <f>VLOOKUP(D4029,Table4[],3,FALSE)</f>
        <v>1</v>
      </c>
      <c r="H4029" s="15"/>
      <c r="I4029" s="15">
        <v>31609</v>
      </c>
      <c r="J4029" s="15" t="s">
        <v>28</v>
      </c>
      <c r="K4029" s="15">
        <v>557086593</v>
      </c>
      <c r="L4029" s="15" t="s">
        <v>29</v>
      </c>
      <c r="M4029" s="15" t="s">
        <v>29</v>
      </c>
    </row>
    <row r="4030" spans="1:13" x14ac:dyDescent="0.25">
      <c r="A4030" s="23">
        <f t="shared" si="192"/>
        <v>255236</v>
      </c>
      <c r="B4030" s="14" t="str">
        <f t="shared" si="191"/>
        <v>Direct Debit (UMB Bank) - Credits</v>
      </c>
      <c r="C4030" s="38">
        <v>46158</v>
      </c>
      <c r="D4030" s="34">
        <v>255236</v>
      </c>
      <c r="E4030" s="36" t="str">
        <f>IF(Table3[[#This Row],[Type Received]]=2,"CC",(IF(Table3[[#This Row],[Type Received]]=3,"BILL","ACH")))</f>
        <v>ACH</v>
      </c>
      <c r="F4030" s="35">
        <v>62.5</v>
      </c>
      <c r="G4030" s="14" t="str">
        <f>VLOOKUP(D4030,Table4[],3,FALSE)</f>
        <v>2</v>
      </c>
      <c r="H4030" s="15"/>
      <c r="I4030" s="15"/>
      <c r="J4030" s="24" t="s">
        <v>106</v>
      </c>
      <c r="K4030" s="15">
        <v>710065763</v>
      </c>
      <c r="L4030" s="15" t="s">
        <v>29</v>
      </c>
      <c r="M4030" s="15" t="s">
        <v>29</v>
      </c>
    </row>
    <row r="4031" spans="1:13" x14ac:dyDescent="0.25">
      <c r="A4031" s="23">
        <f t="shared" si="192"/>
        <v>255245</v>
      </c>
      <c r="B4031" s="14" t="str">
        <f t="shared" si="191"/>
        <v>Direct Debit (UMB Bank) - Credits</v>
      </c>
      <c r="C4031" s="37">
        <v>46148</v>
      </c>
      <c r="D4031" s="31">
        <v>255245</v>
      </c>
      <c r="E4031" s="33" t="str">
        <f>IF(Table3[[#This Row],[Type Received]]=2,"CC",(IF(Table3[[#This Row],[Type Received]]=3,"BILL","ACH")))</f>
        <v>ACH</v>
      </c>
      <c r="F4031" s="32">
        <v>41.71</v>
      </c>
      <c r="G4031" s="14" t="str">
        <f>VLOOKUP(D4031,Table4[],3,FALSE)</f>
        <v>1</v>
      </c>
      <c r="H4031" s="15"/>
      <c r="I4031" s="15"/>
      <c r="J4031" s="15" t="s">
        <v>126</v>
      </c>
      <c r="K4031" s="15">
        <v>582086471</v>
      </c>
      <c r="L4031" s="15" t="s">
        <v>29</v>
      </c>
      <c r="M4031" s="15"/>
    </row>
    <row r="4032" spans="1:13" x14ac:dyDescent="0.25">
      <c r="A4032" s="23">
        <f t="shared" si="192"/>
        <v>255245</v>
      </c>
      <c r="B4032" s="14" t="str">
        <f t="shared" si="191"/>
        <v>Direct Debit (UMB Bank) - Credits</v>
      </c>
      <c r="C4032" s="38">
        <v>46143</v>
      </c>
      <c r="D4032" s="34">
        <v>255245</v>
      </c>
      <c r="E4032" s="36" t="str">
        <f>IF(Table3[[#This Row],[Type Received]]=2,"CC",(IF(Table3[[#This Row],[Type Received]]=3,"BILL","ACH")))</f>
        <v>ACH</v>
      </c>
      <c r="F4032" s="35">
        <v>41.71</v>
      </c>
      <c r="G4032" s="14" t="str">
        <f>VLOOKUP(D4032,Table4[],3,FALSE)</f>
        <v>1</v>
      </c>
      <c r="H4032" s="15"/>
      <c r="I4032" s="15"/>
      <c r="J4032" s="15" t="s">
        <v>84</v>
      </c>
      <c r="K4032" s="15">
        <v>522428350</v>
      </c>
      <c r="L4032" s="15" t="s">
        <v>29</v>
      </c>
      <c r="M4032" s="15" t="s">
        <v>29</v>
      </c>
    </row>
    <row r="4033" spans="1:13" x14ac:dyDescent="0.25">
      <c r="A4033" s="23">
        <f t="shared" si="192"/>
        <v>255258</v>
      </c>
      <c r="B4033" s="14" t="str">
        <f t="shared" si="191"/>
        <v>Direct Debit (UMB Bank) - Credits</v>
      </c>
      <c r="C4033" s="37">
        <v>46157</v>
      </c>
      <c r="D4033" s="31">
        <v>255258</v>
      </c>
      <c r="E4033" s="33" t="str">
        <f>IF(Table3[[#This Row],[Type Received]]=2,"CC",(IF(Table3[[#This Row],[Type Received]]=3,"BILL","ACH")))</f>
        <v>ACH</v>
      </c>
      <c r="F4033" s="32">
        <v>26.09</v>
      </c>
      <c r="G4033" s="14" t="str">
        <f>VLOOKUP(D4033,Table4[],3,FALSE)</f>
        <v>1</v>
      </c>
      <c r="H4033" s="15"/>
      <c r="I4033" s="15"/>
      <c r="J4033" s="15" t="s">
        <v>87</v>
      </c>
      <c r="K4033" s="15">
        <v>696670140</v>
      </c>
      <c r="L4033" s="15" t="s">
        <v>29</v>
      </c>
      <c r="M4033" s="15" t="s">
        <v>29</v>
      </c>
    </row>
    <row r="4034" spans="1:13" x14ac:dyDescent="0.25">
      <c r="A4034" s="23">
        <f t="shared" si="192"/>
        <v>255261</v>
      </c>
      <c r="B4034" s="14" t="str">
        <f t="shared" si="191"/>
        <v>Direct Debit (UMB Bank) - Credits</v>
      </c>
      <c r="C4034" s="38">
        <v>46157</v>
      </c>
      <c r="D4034" s="34">
        <v>255261</v>
      </c>
      <c r="E4034" s="36" t="str">
        <f>IF(Table3[[#This Row],[Type Received]]=2,"CC",(IF(Table3[[#This Row],[Type Received]]=3,"BILL","ACH")))</f>
        <v>ACH</v>
      </c>
      <c r="F4034" s="35">
        <v>56.67</v>
      </c>
      <c r="G4034" s="14" t="str">
        <f>VLOOKUP(D4034,Table4[],3,FALSE)</f>
        <v>1</v>
      </c>
      <c r="H4034" s="15"/>
      <c r="I4034" s="15"/>
      <c r="J4034" s="15" t="s">
        <v>87</v>
      </c>
      <c r="K4034" s="15">
        <v>696854347</v>
      </c>
      <c r="L4034" s="15" t="s">
        <v>29</v>
      </c>
      <c r="M4034" s="15"/>
    </row>
    <row r="4035" spans="1:13" x14ac:dyDescent="0.25">
      <c r="A4035" s="23">
        <f t="shared" si="192"/>
        <v>255263</v>
      </c>
      <c r="B4035" s="14" t="str">
        <f t="shared" si="191"/>
        <v>Direct Debit (UMB Bank) - Credits</v>
      </c>
      <c r="C4035" s="37">
        <v>46168</v>
      </c>
      <c r="D4035" s="31">
        <v>255263</v>
      </c>
      <c r="E4035" s="33" t="str">
        <f>IF(Table3[[#This Row],[Type Received]]=2,"CC",(IF(Table3[[#This Row],[Type Received]]=3,"BILL","ACH")))</f>
        <v>ACH</v>
      </c>
      <c r="F4035" s="32">
        <v>33.57</v>
      </c>
      <c r="G4035" s="14" t="str">
        <f>VLOOKUP(D4035,Table4[],3,FALSE)</f>
        <v>1</v>
      </c>
      <c r="H4035" s="15"/>
      <c r="I4035" s="15"/>
      <c r="J4035" s="15" t="s">
        <v>110</v>
      </c>
      <c r="K4035" s="15">
        <v>828310359</v>
      </c>
      <c r="L4035" s="15" t="s">
        <v>29</v>
      </c>
      <c r="M4035" s="15" t="s">
        <v>29</v>
      </c>
    </row>
    <row r="4036" spans="1:13" x14ac:dyDescent="0.25">
      <c r="A4036" s="23">
        <f t="shared" si="192"/>
        <v>255267</v>
      </c>
      <c r="B4036" s="14" t="str">
        <f t="shared" si="191"/>
        <v>Credit Cards (UMB) - Credits</v>
      </c>
      <c r="C4036" s="38">
        <v>46147</v>
      </c>
      <c r="D4036" s="34">
        <v>255267</v>
      </c>
      <c r="E4036" s="36" t="str">
        <f>IF(Table3[[#This Row],[Type Received]]=2,"CC",(IF(Table3[[#This Row],[Type Received]]=3,"BILL","ACH")))</f>
        <v>CC</v>
      </c>
      <c r="F4036" s="35">
        <v>98.8</v>
      </c>
      <c r="G4036" s="14" t="str">
        <f>VLOOKUP(D4036,Table4[],3,FALSE)</f>
        <v>2</v>
      </c>
      <c r="H4036" s="15"/>
      <c r="I4036" s="15"/>
      <c r="J4036" s="15" t="s">
        <v>86</v>
      </c>
      <c r="K4036" s="15">
        <v>569493275</v>
      </c>
      <c r="L4036" s="15" t="s">
        <v>29</v>
      </c>
      <c r="M4036" s="15"/>
    </row>
    <row r="4037" spans="1:13" x14ac:dyDescent="0.25">
      <c r="A4037" s="23">
        <f t="shared" si="192"/>
        <v>255272</v>
      </c>
      <c r="B4037" s="14" t="str">
        <f t="shared" si="191"/>
        <v>Credit Cards (UMB) - Credits</v>
      </c>
      <c r="C4037" s="37">
        <v>46155</v>
      </c>
      <c r="D4037" s="31">
        <v>255272</v>
      </c>
      <c r="E4037" s="33" t="str">
        <f>IF(Table3[[#This Row],[Type Received]]=2,"CC",(IF(Table3[[#This Row],[Type Received]]=3,"BILL","ACH")))</f>
        <v>CC</v>
      </c>
      <c r="F4037" s="32">
        <v>128.5</v>
      </c>
      <c r="G4037" s="14" t="str">
        <f>VLOOKUP(D4037,Table4[],3,FALSE)</f>
        <v>2</v>
      </c>
      <c r="H4037" s="15"/>
      <c r="I4037" s="15">
        <v>18051</v>
      </c>
      <c r="J4037" s="15" t="s">
        <v>28</v>
      </c>
      <c r="K4037" s="15">
        <v>669520421</v>
      </c>
      <c r="L4037" s="15" t="s">
        <v>29</v>
      </c>
      <c r="M4037" s="15"/>
    </row>
    <row r="4038" spans="1:13" x14ac:dyDescent="0.25">
      <c r="A4038" s="23">
        <f t="shared" si="192"/>
        <v>255279</v>
      </c>
      <c r="B4038" s="14" t="str">
        <f t="shared" si="191"/>
        <v>Direct Debit (UMB Bank) - Credits</v>
      </c>
      <c r="C4038" s="38">
        <v>46155</v>
      </c>
      <c r="D4038" s="34">
        <v>255279</v>
      </c>
      <c r="E4038" s="36" t="str">
        <f>IF(Table3[[#This Row],[Type Received]]=2,"CC",(IF(Table3[[#This Row],[Type Received]]=3,"BILL","ACH")))</f>
        <v>ACH</v>
      </c>
      <c r="F4038" s="35">
        <v>120.25</v>
      </c>
      <c r="G4038" s="14" t="str">
        <f>VLOOKUP(D4038,Table4[],3,FALSE)</f>
        <v>1</v>
      </c>
      <c r="H4038" s="15"/>
      <c r="I4038" s="15">
        <v>100319</v>
      </c>
      <c r="J4038" s="15" t="s">
        <v>28</v>
      </c>
      <c r="K4038" s="15">
        <v>669507798</v>
      </c>
      <c r="L4038" s="15" t="s">
        <v>29</v>
      </c>
      <c r="M4038" s="15" t="s">
        <v>29</v>
      </c>
    </row>
    <row r="4039" spans="1:13" x14ac:dyDescent="0.25">
      <c r="A4039" s="23">
        <f t="shared" si="192"/>
        <v>255282</v>
      </c>
      <c r="B4039" s="14" t="str">
        <f t="shared" si="191"/>
        <v>Direct Debit (UMB Bank) - Credits</v>
      </c>
      <c r="C4039" s="37">
        <v>46157</v>
      </c>
      <c r="D4039" s="31">
        <v>255282</v>
      </c>
      <c r="E4039" s="33" t="str">
        <f>IF(Table3[[#This Row],[Type Received]]=2,"CC",(IF(Table3[[#This Row],[Type Received]]=3,"BILL","ACH")))</f>
        <v>ACH</v>
      </c>
      <c r="F4039" s="32">
        <v>55.79</v>
      </c>
      <c r="G4039" s="14" t="str">
        <f>VLOOKUP(D4039,Table4[],3,FALSE)</f>
        <v>1</v>
      </c>
      <c r="H4039" s="15"/>
      <c r="I4039" s="15"/>
      <c r="J4039" s="24" t="s">
        <v>87</v>
      </c>
      <c r="K4039" s="15">
        <v>696847554</v>
      </c>
      <c r="L4039" s="15" t="s">
        <v>29</v>
      </c>
      <c r="M4039" s="15" t="s">
        <v>29</v>
      </c>
    </row>
    <row r="4040" spans="1:13" x14ac:dyDescent="0.25">
      <c r="A4040" s="23">
        <f t="shared" si="192"/>
        <v>255284</v>
      </c>
      <c r="B4040" s="14" t="str">
        <f t="shared" si="191"/>
        <v>Credit Cards (UMB) - Credits</v>
      </c>
      <c r="C4040" s="38">
        <v>46168</v>
      </c>
      <c r="D4040" s="34">
        <v>255284</v>
      </c>
      <c r="E4040" s="36" t="str">
        <f>IF(Table3[[#This Row],[Type Received]]=2,"CC",(IF(Table3[[#This Row],[Type Received]]=3,"BILL","ACH")))</f>
        <v>CC</v>
      </c>
      <c r="F4040" s="35">
        <v>74.05</v>
      </c>
      <c r="G4040" s="14" t="str">
        <f>VLOOKUP(D4040,Table4[],3,FALSE)</f>
        <v>2</v>
      </c>
      <c r="H4040" s="15"/>
      <c r="I4040" s="15"/>
      <c r="J4040" s="15" t="s">
        <v>110</v>
      </c>
      <c r="K4040" s="15">
        <v>828288946</v>
      </c>
      <c r="L4040" s="15" t="s">
        <v>29</v>
      </c>
      <c r="M4040" s="15"/>
    </row>
    <row r="4041" spans="1:13" x14ac:dyDescent="0.25">
      <c r="A4041" s="23">
        <f t="shared" si="192"/>
        <v>255285</v>
      </c>
      <c r="B4041" s="14" t="str">
        <f t="shared" si="191"/>
        <v>Billing - Credits (from TPA)</v>
      </c>
      <c r="C4041" s="37">
        <v>46145</v>
      </c>
      <c r="D4041" s="31">
        <v>255285</v>
      </c>
      <c r="E4041" s="33" t="str">
        <f>IF(Table3[[#This Row],[Type Received]]=2,"CC",(IF(Table3[[#This Row],[Type Received]]=3,"BILL","ACH")))</f>
        <v>BILL</v>
      </c>
      <c r="F4041" s="32">
        <v>104.41</v>
      </c>
      <c r="G4041" s="14" t="str">
        <f>VLOOKUP(D4041,Table4[],3,FALSE)</f>
        <v>2</v>
      </c>
      <c r="H4041" s="15"/>
      <c r="I4041" s="15">
        <v>281103</v>
      </c>
      <c r="J4041" s="15" t="s">
        <v>28</v>
      </c>
      <c r="K4041" s="15">
        <v>546420257</v>
      </c>
      <c r="L4041" s="15" t="s">
        <v>29</v>
      </c>
      <c r="M4041" s="15"/>
    </row>
    <row r="4042" spans="1:13" x14ac:dyDescent="0.25">
      <c r="A4042" s="23">
        <f t="shared" si="192"/>
        <v>255287</v>
      </c>
      <c r="B4042" s="14" t="str">
        <f t="shared" si="191"/>
        <v>Credit Cards (UMB) - Credits</v>
      </c>
      <c r="C4042" s="38">
        <v>46154</v>
      </c>
      <c r="D4042" s="34">
        <v>255287</v>
      </c>
      <c r="E4042" s="36" t="str">
        <f>IF(Table3[[#This Row],[Type Received]]=2,"CC",(IF(Table3[[#This Row],[Type Received]]=3,"BILL","ACH")))</f>
        <v>CC</v>
      </c>
      <c r="F4042" s="35">
        <v>148.46</v>
      </c>
      <c r="G4042" s="14" t="str">
        <f>VLOOKUP(D4042,Table4[],3,FALSE)</f>
        <v>2</v>
      </c>
      <c r="H4042" s="15">
        <v>1467</v>
      </c>
      <c r="I4042" s="15"/>
      <c r="J4042" s="24"/>
      <c r="K4042" s="15"/>
      <c r="L4042" s="15"/>
      <c r="M4042" s="15"/>
    </row>
    <row r="4043" spans="1:13" x14ac:dyDescent="0.25">
      <c r="A4043" s="23">
        <f t="shared" si="192"/>
        <v>255298</v>
      </c>
      <c r="B4043" s="14" t="str">
        <f t="shared" si="191"/>
        <v>Direct Debit (UMB Bank) - Credits</v>
      </c>
      <c r="C4043" s="37">
        <v>46148</v>
      </c>
      <c r="D4043" s="31">
        <v>255298</v>
      </c>
      <c r="E4043" s="33" t="str">
        <f>IF(Table3[[#This Row],[Type Received]]=2,"CC",(IF(Table3[[#This Row],[Type Received]]=3,"BILL","ACH")))</f>
        <v>ACH</v>
      </c>
      <c r="F4043" s="32">
        <v>99.79</v>
      </c>
      <c r="G4043" s="14" t="str">
        <f>VLOOKUP(D4043,Table4[],3,FALSE)</f>
        <v>1</v>
      </c>
      <c r="H4043" s="15"/>
      <c r="I4043" s="15">
        <v>90030</v>
      </c>
      <c r="J4043" s="15" t="s">
        <v>28</v>
      </c>
      <c r="K4043" s="15">
        <v>582133670</v>
      </c>
      <c r="L4043" s="15" t="s">
        <v>29</v>
      </c>
      <c r="M4043" s="15" t="s">
        <v>29</v>
      </c>
    </row>
    <row r="4044" spans="1:13" x14ac:dyDescent="0.25">
      <c r="A4044" s="23">
        <f t="shared" si="192"/>
        <v>255307</v>
      </c>
      <c r="B4044" s="14" t="str">
        <f t="shared" si="191"/>
        <v>Direct Debit (UMB Bank) - Credits</v>
      </c>
      <c r="C4044" s="38">
        <v>46157</v>
      </c>
      <c r="D4044" s="34">
        <v>255307</v>
      </c>
      <c r="E4044" s="36" t="str">
        <f>IF(Table3[[#This Row],[Type Received]]=2,"CC",(IF(Table3[[#This Row],[Type Received]]=3,"BILL","ACH")))</f>
        <v>ACH</v>
      </c>
      <c r="F4044" s="35">
        <v>39.950000000000003</v>
      </c>
      <c r="G4044" s="14" t="str">
        <f>VLOOKUP(D4044,Table4[],3,FALSE)</f>
        <v>1</v>
      </c>
      <c r="H4044" s="15"/>
      <c r="I4044" s="15"/>
      <c r="J4044" s="15" t="s">
        <v>87</v>
      </c>
      <c r="K4044" s="15">
        <v>696836082</v>
      </c>
      <c r="L4044" s="15" t="s">
        <v>29</v>
      </c>
      <c r="M4044" s="15" t="s">
        <v>29</v>
      </c>
    </row>
    <row r="4045" spans="1:13" x14ac:dyDescent="0.25">
      <c r="A4045" s="23">
        <f t="shared" si="192"/>
        <v>255308</v>
      </c>
      <c r="B4045" s="14" t="str">
        <f t="shared" si="191"/>
        <v>Direct Debit (UMB Bank) - Credits</v>
      </c>
      <c r="C4045" s="37">
        <v>46143</v>
      </c>
      <c r="D4045" s="31">
        <v>255308</v>
      </c>
      <c r="E4045" s="33" t="str">
        <f>IF(Table3[[#This Row],[Type Received]]=2,"CC",(IF(Table3[[#This Row],[Type Received]]=3,"BILL","ACH")))</f>
        <v>ACH</v>
      </c>
      <c r="F4045" s="32">
        <v>101.77</v>
      </c>
      <c r="G4045" s="14" t="str">
        <f>VLOOKUP(D4045,Table4[],3,FALSE)</f>
        <v>1</v>
      </c>
      <c r="H4045" s="15"/>
      <c r="I4045" s="15"/>
      <c r="J4045" s="15" t="s">
        <v>84</v>
      </c>
      <c r="K4045" s="15">
        <v>522425443</v>
      </c>
      <c r="L4045" s="15" t="s">
        <v>29</v>
      </c>
      <c r="M4045" s="15" t="s">
        <v>29</v>
      </c>
    </row>
    <row r="4046" spans="1:13" x14ac:dyDescent="0.25">
      <c r="A4046" s="23">
        <f t="shared" si="192"/>
        <v>255310</v>
      </c>
      <c r="B4046" s="14" t="str">
        <f t="shared" si="191"/>
        <v>Credit Cards (UMB) - Credits</v>
      </c>
      <c r="C4046" s="38">
        <v>46157</v>
      </c>
      <c r="D4046" s="34">
        <v>255310</v>
      </c>
      <c r="E4046" s="36" t="str">
        <f>IF(Table3[[#This Row],[Type Received]]=2,"CC",(IF(Table3[[#This Row],[Type Received]]=3,"BILL","ACH")))</f>
        <v>CC</v>
      </c>
      <c r="F4046" s="35">
        <v>99.13</v>
      </c>
      <c r="G4046" s="14" t="str">
        <f>VLOOKUP(D4046,Table4[],3,FALSE)</f>
        <v>2</v>
      </c>
      <c r="H4046" s="15"/>
      <c r="I4046" s="15"/>
      <c r="J4046" s="15" t="s">
        <v>87</v>
      </c>
      <c r="K4046" s="15">
        <v>696857314</v>
      </c>
      <c r="L4046" s="15" t="s">
        <v>29</v>
      </c>
      <c r="M4046" s="15"/>
    </row>
    <row r="4047" spans="1:13" x14ac:dyDescent="0.25">
      <c r="A4047" s="23">
        <f t="shared" si="192"/>
        <v>255316</v>
      </c>
      <c r="B4047" s="14" t="str">
        <f t="shared" si="191"/>
        <v>Credit Cards (UMB) - Credits</v>
      </c>
      <c r="C4047" s="37">
        <v>46148</v>
      </c>
      <c r="D4047" s="31">
        <v>255316</v>
      </c>
      <c r="E4047" s="33" t="str">
        <f>IF(Table3[[#This Row],[Type Received]]=2,"CC",(IF(Table3[[#This Row],[Type Received]]=3,"BILL","ACH")))</f>
        <v>CC</v>
      </c>
      <c r="F4047" s="32">
        <v>69.430000000000007</v>
      </c>
      <c r="G4047" s="14" t="str">
        <f>VLOOKUP(D4047,Table4[],3,FALSE)</f>
        <v>1</v>
      </c>
      <c r="H4047" s="15"/>
      <c r="I4047" s="15">
        <v>90013</v>
      </c>
      <c r="J4047" s="15" t="s">
        <v>28</v>
      </c>
      <c r="K4047" s="15">
        <v>582144223</v>
      </c>
      <c r="L4047" s="15" t="s">
        <v>29</v>
      </c>
      <c r="M4047" s="15" t="s">
        <v>29</v>
      </c>
    </row>
    <row r="4048" spans="1:13" x14ac:dyDescent="0.25">
      <c r="A4048" s="23">
        <f t="shared" si="192"/>
        <v>255317</v>
      </c>
      <c r="B4048" s="14" t="str">
        <f t="shared" si="191"/>
        <v>Direct Debit (UMB Bank) - Credits</v>
      </c>
      <c r="C4048" s="38">
        <v>46155</v>
      </c>
      <c r="D4048" s="34">
        <v>255317</v>
      </c>
      <c r="E4048" s="36" t="str">
        <f>IF(Table3[[#This Row],[Type Received]]=2,"CC",(IF(Table3[[#This Row],[Type Received]]=3,"BILL","ACH")))</f>
        <v>ACH</v>
      </c>
      <c r="F4048" s="35">
        <v>65.69</v>
      </c>
      <c r="G4048" s="14" t="str">
        <f>VLOOKUP(D4048,Table4[],3,FALSE)</f>
        <v>1</v>
      </c>
      <c r="H4048" s="15"/>
      <c r="I4048" s="15">
        <v>13068</v>
      </c>
      <c r="J4048" s="15" t="s">
        <v>28</v>
      </c>
      <c r="K4048" s="15">
        <v>669442482</v>
      </c>
      <c r="L4048" s="15" t="s">
        <v>29</v>
      </c>
      <c r="M4048" s="15" t="s">
        <v>29</v>
      </c>
    </row>
    <row r="4049" spans="1:13" x14ac:dyDescent="0.25">
      <c r="A4049" s="23">
        <f t="shared" si="192"/>
        <v>255334</v>
      </c>
      <c r="B4049" s="14" t="str">
        <f t="shared" si="191"/>
        <v>Credit Cards (UMB) - Credits</v>
      </c>
      <c r="C4049" s="37">
        <v>46146</v>
      </c>
      <c r="D4049" s="31">
        <v>255334</v>
      </c>
      <c r="E4049" s="33" t="str">
        <f>IF(Table3[[#This Row],[Type Received]]=2,"CC",(IF(Table3[[#This Row],[Type Received]]=3,"BILL","ACH")))</f>
        <v>CC</v>
      </c>
      <c r="F4049" s="32">
        <v>85.29</v>
      </c>
      <c r="G4049" s="14" t="str">
        <f>VLOOKUP(D4049,Table4[],3,FALSE)</f>
        <v>1</v>
      </c>
      <c r="H4049" s="15"/>
      <c r="I4049" s="15"/>
      <c r="J4049" s="15" t="s">
        <v>92</v>
      </c>
      <c r="K4049" s="15">
        <v>560597070</v>
      </c>
      <c r="L4049" s="15" t="s">
        <v>29</v>
      </c>
      <c r="M4049" s="15" t="s">
        <v>29</v>
      </c>
    </row>
    <row r="4050" spans="1:13" x14ac:dyDescent="0.25">
      <c r="A4050" s="23">
        <f t="shared" si="192"/>
        <v>255340</v>
      </c>
      <c r="B4050" s="14" t="str">
        <f t="shared" si="191"/>
        <v>Billing - Credits (from TPA)</v>
      </c>
      <c r="C4050" s="38">
        <v>46170</v>
      </c>
      <c r="D4050" s="34">
        <v>255340</v>
      </c>
      <c r="E4050" s="36" t="str">
        <f>IF(Table3[[#This Row],[Type Received]]=2,"CC",(IF(Table3[[#This Row],[Type Received]]=3,"BILL","ACH")))</f>
        <v>BILL</v>
      </c>
      <c r="F4050" s="35">
        <v>55.9</v>
      </c>
      <c r="G4050" s="14" t="str">
        <f>VLOOKUP(D4050,Table4[],3,FALSE)</f>
        <v>2</v>
      </c>
      <c r="H4050" s="15"/>
      <c r="I4050" s="15">
        <v>7932</v>
      </c>
      <c r="J4050" s="24" t="s">
        <v>28</v>
      </c>
      <c r="K4050" s="15">
        <v>853914092</v>
      </c>
      <c r="L4050" s="15" t="s">
        <v>29</v>
      </c>
      <c r="M4050" s="15"/>
    </row>
    <row r="4051" spans="1:13" x14ac:dyDescent="0.25">
      <c r="A4051" s="23">
        <f t="shared" si="192"/>
        <v>255343</v>
      </c>
      <c r="B4051" s="14" t="str">
        <f t="shared" si="191"/>
        <v>Billing - Credits (from TPA)</v>
      </c>
      <c r="C4051" s="37">
        <v>46146</v>
      </c>
      <c r="D4051" s="31">
        <v>255343</v>
      </c>
      <c r="E4051" s="33" t="str">
        <f>IF(Table3[[#This Row],[Type Received]]=2,"CC",(IF(Table3[[#This Row],[Type Received]]=3,"BILL","ACH")))</f>
        <v>BILL</v>
      </c>
      <c r="F4051" s="32">
        <v>236.9</v>
      </c>
      <c r="G4051" s="14" t="str">
        <f>VLOOKUP(D4051,Table4[],3,FALSE)</f>
        <v>2</v>
      </c>
      <c r="H4051" s="15">
        <v>168</v>
      </c>
      <c r="I4051" s="15"/>
      <c r="J4051" s="15"/>
      <c r="K4051" s="15"/>
      <c r="L4051" s="15"/>
      <c r="M4051" s="15" t="s">
        <v>29</v>
      </c>
    </row>
    <row r="4052" spans="1:13" x14ac:dyDescent="0.25">
      <c r="A4052" s="23">
        <f t="shared" si="192"/>
        <v>255351</v>
      </c>
      <c r="B4052" s="14" t="str">
        <f t="shared" si="191"/>
        <v>Credit Cards (UMB) - Credits</v>
      </c>
      <c r="C4052" s="38">
        <v>46156</v>
      </c>
      <c r="D4052" s="34">
        <v>255351</v>
      </c>
      <c r="E4052" s="36" t="str">
        <f>IF(Table3[[#This Row],[Type Received]]=2,"CC",(IF(Table3[[#This Row],[Type Received]]=3,"BILL","ACH")))</f>
        <v>CC</v>
      </c>
      <c r="F4052" s="35">
        <v>105.42</v>
      </c>
      <c r="G4052" s="14" t="str">
        <f>VLOOKUP(D4052,Table4[],3,FALSE)</f>
        <v>2</v>
      </c>
      <c r="H4052" s="15">
        <v>76664906</v>
      </c>
      <c r="I4052" s="15"/>
      <c r="J4052" s="24"/>
      <c r="K4052" s="15"/>
      <c r="L4052" s="15"/>
      <c r="M4052" s="15" t="s">
        <v>29</v>
      </c>
    </row>
    <row r="4053" spans="1:13" x14ac:dyDescent="0.25">
      <c r="A4053" s="23">
        <f t="shared" si="192"/>
        <v>255356</v>
      </c>
      <c r="B4053" s="14" t="str">
        <f t="shared" si="191"/>
        <v>Direct Debit (UMB Bank) - Credits</v>
      </c>
      <c r="C4053" s="37">
        <v>46155</v>
      </c>
      <c r="D4053" s="31">
        <v>255356</v>
      </c>
      <c r="E4053" s="33" t="str">
        <f>IF(Table3[[#This Row],[Type Received]]=2,"CC",(IF(Table3[[#This Row],[Type Received]]=3,"BILL","ACH")))</f>
        <v>ACH</v>
      </c>
      <c r="F4053" s="32">
        <v>59.86</v>
      </c>
      <c r="G4053" s="14" t="str">
        <f>VLOOKUP(D4053,Table4[],3,FALSE)</f>
        <v>2</v>
      </c>
      <c r="H4053" s="15"/>
      <c r="I4053" s="15" t="s">
        <v>319</v>
      </c>
      <c r="J4053" s="15" t="s">
        <v>28</v>
      </c>
      <c r="K4053" s="15">
        <v>669532167</v>
      </c>
      <c r="L4053" s="15" t="s">
        <v>29</v>
      </c>
      <c r="M4053" s="15" t="s">
        <v>29</v>
      </c>
    </row>
    <row r="4054" spans="1:13" x14ac:dyDescent="0.25">
      <c r="A4054" s="23">
        <f t="shared" si="192"/>
        <v>255367</v>
      </c>
      <c r="B4054" s="14" t="str">
        <f t="shared" si="191"/>
        <v>Direct Debit (UMB Bank) - Credits</v>
      </c>
      <c r="C4054" s="38">
        <v>46143</v>
      </c>
      <c r="D4054" s="34">
        <v>255367</v>
      </c>
      <c r="E4054" s="36" t="str">
        <f>IF(Table3[[#This Row],[Type Received]]=2,"CC",(IF(Table3[[#This Row],[Type Received]]=3,"BILL","ACH")))</f>
        <v>ACH</v>
      </c>
      <c r="F4054" s="35">
        <v>54.25</v>
      </c>
      <c r="G4054" s="14" t="str">
        <f>VLOOKUP(D4054,Table4[],3,FALSE)</f>
        <v>1</v>
      </c>
      <c r="H4054" s="15"/>
      <c r="I4054" s="15"/>
      <c r="J4054" s="15" t="s">
        <v>84</v>
      </c>
      <c r="K4054" s="15">
        <v>522412911</v>
      </c>
      <c r="L4054" s="15" t="s">
        <v>29</v>
      </c>
      <c r="M4054" s="15"/>
    </row>
    <row r="4055" spans="1:13" x14ac:dyDescent="0.25">
      <c r="A4055" s="23">
        <f t="shared" si="192"/>
        <v>255370</v>
      </c>
      <c r="B4055" s="14" t="str">
        <f t="shared" si="191"/>
        <v>Direct Debit (UMB Bank) - Credits</v>
      </c>
      <c r="C4055" s="37">
        <v>46157</v>
      </c>
      <c r="D4055" s="31">
        <v>255370</v>
      </c>
      <c r="E4055" s="33" t="str">
        <f>IF(Table3[[#This Row],[Type Received]]=2,"CC",(IF(Table3[[#This Row],[Type Received]]=3,"BILL","ACH")))</f>
        <v>ACH</v>
      </c>
      <c r="F4055" s="32">
        <v>45.01</v>
      </c>
      <c r="G4055" s="14" t="str">
        <f>VLOOKUP(D4055,Table4[],3,FALSE)</f>
        <v>1</v>
      </c>
      <c r="H4055" s="15"/>
      <c r="I4055" s="15"/>
      <c r="J4055" s="15" t="s">
        <v>87</v>
      </c>
      <c r="K4055" s="15">
        <v>696853406</v>
      </c>
      <c r="L4055" s="15" t="s">
        <v>29</v>
      </c>
      <c r="M4055" s="15"/>
    </row>
    <row r="4056" spans="1:13" x14ac:dyDescent="0.25">
      <c r="A4056" s="23">
        <f t="shared" si="192"/>
        <v>255373</v>
      </c>
      <c r="B4056" s="14" t="str">
        <f t="shared" si="191"/>
        <v>Direct Debit (UMB Bank) - Credits</v>
      </c>
      <c r="C4056" s="38">
        <v>46143</v>
      </c>
      <c r="D4056" s="34">
        <v>255373</v>
      </c>
      <c r="E4056" s="36" t="str">
        <f>IF(Table3[[#This Row],[Type Received]]=2,"CC",(IF(Table3[[#This Row],[Type Received]]=3,"BILL","ACH")))</f>
        <v>ACH</v>
      </c>
      <c r="F4056" s="35">
        <v>151.93</v>
      </c>
      <c r="G4056" s="14" t="str">
        <f>VLOOKUP(D4056,Table4[],3,FALSE)</f>
        <v>2</v>
      </c>
      <c r="H4056" s="15"/>
      <c r="I4056" s="15"/>
      <c r="J4056" s="15" t="s">
        <v>84</v>
      </c>
      <c r="K4056" s="15">
        <v>522412930</v>
      </c>
      <c r="L4056" s="15" t="s">
        <v>29</v>
      </c>
      <c r="M4056" s="15"/>
    </row>
    <row r="4057" spans="1:13" x14ac:dyDescent="0.25">
      <c r="A4057" s="23">
        <f t="shared" si="192"/>
        <v>255384</v>
      </c>
      <c r="B4057" s="14" t="str">
        <f t="shared" si="191"/>
        <v>Direct Debit (UMB Bank) - Credits</v>
      </c>
      <c r="C4057" s="37">
        <v>46167</v>
      </c>
      <c r="D4057" s="31">
        <v>255384</v>
      </c>
      <c r="E4057" s="33" t="str">
        <f>IF(Table3[[#This Row],[Type Received]]=2,"CC",(IF(Table3[[#This Row],[Type Received]]=3,"BILL","ACH")))</f>
        <v>ACH</v>
      </c>
      <c r="F4057" s="32">
        <v>101.77</v>
      </c>
      <c r="G4057" s="14" t="str">
        <f>VLOOKUP(D4057,Table4[],3,FALSE)</f>
        <v>1</v>
      </c>
      <c r="H4057" s="15"/>
      <c r="I4057" s="15"/>
      <c r="J4057" s="15" t="s">
        <v>85</v>
      </c>
      <c r="K4057" s="15">
        <v>818407461</v>
      </c>
      <c r="L4057" s="15" t="s">
        <v>29</v>
      </c>
      <c r="M4057" s="15"/>
    </row>
    <row r="4058" spans="1:13" x14ac:dyDescent="0.25">
      <c r="A4058" s="23">
        <f t="shared" si="192"/>
        <v>255387</v>
      </c>
      <c r="B4058" s="14" t="str">
        <f t="shared" si="191"/>
        <v>Billing - Credits (from TPA)</v>
      </c>
      <c r="C4058" s="38">
        <v>46143</v>
      </c>
      <c r="D4058" s="34">
        <v>255387</v>
      </c>
      <c r="E4058" s="36" t="str">
        <f>IF(Table3[[#This Row],[Type Received]]=2,"CC",(IF(Table3[[#This Row],[Type Received]]=3,"BILL","ACH")))</f>
        <v>BILL</v>
      </c>
      <c r="F4058" s="35">
        <v>94.18</v>
      </c>
      <c r="G4058" s="14" t="str">
        <f>VLOOKUP(D4058,Table4[],3,FALSE)</f>
        <v>2</v>
      </c>
      <c r="H4058" s="15"/>
      <c r="I4058" s="15"/>
      <c r="J4058" s="15" t="s">
        <v>84</v>
      </c>
      <c r="K4058" s="15">
        <v>522420702</v>
      </c>
      <c r="L4058" s="15" t="s">
        <v>29</v>
      </c>
      <c r="M4058" s="15"/>
    </row>
    <row r="4059" spans="1:13" x14ac:dyDescent="0.25">
      <c r="A4059" s="23">
        <f t="shared" ref="A4059:A4090" si="193">D4059</f>
        <v>255394</v>
      </c>
      <c r="B4059" s="14" t="str">
        <f t="shared" si="191"/>
        <v>Billing - Credits (from TPA)</v>
      </c>
      <c r="C4059" s="37">
        <v>46169</v>
      </c>
      <c r="D4059" s="31">
        <v>255394</v>
      </c>
      <c r="E4059" s="33" t="str">
        <f>IF(Table3[[#This Row],[Type Received]]=2,"CC",(IF(Table3[[#This Row],[Type Received]]=3,"BILL","ACH")))</f>
        <v>BILL</v>
      </c>
      <c r="F4059" s="32">
        <v>76.27</v>
      </c>
      <c r="G4059" s="14" t="str">
        <f>VLOOKUP(D4059,Table4[],3,FALSE)</f>
        <v>1</v>
      </c>
      <c r="H4059" s="15">
        <v>13834</v>
      </c>
      <c r="I4059" s="15"/>
      <c r="J4059" s="15"/>
      <c r="K4059" s="15"/>
      <c r="L4059" s="15"/>
      <c r="M4059" s="15" t="s">
        <v>29</v>
      </c>
    </row>
    <row r="4060" spans="1:13" x14ac:dyDescent="0.25">
      <c r="A4060" s="23">
        <f t="shared" si="193"/>
        <v>255394</v>
      </c>
      <c r="B4060" s="14" t="str">
        <f t="shared" si="191"/>
        <v>Direct Debit (UMB Bank) - Credits</v>
      </c>
      <c r="C4060" s="38">
        <v>46146</v>
      </c>
      <c r="D4060" s="34">
        <v>255394</v>
      </c>
      <c r="E4060" s="36" t="str">
        <f>IF(Table3[[#This Row],[Type Received]]=2,"CC",(IF(Table3[[#This Row],[Type Received]]=3,"BILL","ACH")))</f>
        <v>ACH</v>
      </c>
      <c r="F4060" s="35">
        <v>76.27</v>
      </c>
      <c r="G4060" s="14" t="str">
        <f>VLOOKUP(D4060,Table4[],3,FALSE)</f>
        <v>1</v>
      </c>
      <c r="H4060" s="15">
        <v>13817</v>
      </c>
      <c r="I4060" s="15"/>
      <c r="J4060" s="15"/>
      <c r="K4060" s="15"/>
      <c r="L4060" s="15"/>
      <c r="M4060" s="15"/>
    </row>
    <row r="4061" spans="1:13" x14ac:dyDescent="0.25">
      <c r="A4061" s="23">
        <f t="shared" si="193"/>
        <v>255412</v>
      </c>
      <c r="B4061" s="14" t="str">
        <f t="shared" si="191"/>
        <v>Direct Debit (UMB Bank) - Credits</v>
      </c>
      <c r="C4061" s="37">
        <v>46157</v>
      </c>
      <c r="D4061" s="31">
        <v>255412</v>
      </c>
      <c r="E4061" s="33" t="str">
        <f>IF(Table3[[#This Row],[Type Received]]=2,"CC",(IF(Table3[[#This Row],[Type Received]]=3,"BILL","ACH")))</f>
        <v>ACH</v>
      </c>
      <c r="F4061" s="32">
        <v>72.069999999999993</v>
      </c>
      <c r="G4061" s="14" t="str">
        <f>VLOOKUP(D4061,Table4[],3,FALSE)</f>
        <v>2</v>
      </c>
      <c r="H4061" s="15"/>
      <c r="I4061" s="15"/>
      <c r="J4061" s="15" t="s">
        <v>87</v>
      </c>
      <c r="K4061" s="15">
        <v>696858304</v>
      </c>
      <c r="L4061" s="15" t="s">
        <v>29</v>
      </c>
      <c r="M4061" s="15" t="s">
        <v>29</v>
      </c>
    </row>
    <row r="4062" spans="1:13" x14ac:dyDescent="0.25">
      <c r="A4062" s="23">
        <f t="shared" si="193"/>
        <v>255413</v>
      </c>
      <c r="B4062" s="14" t="str">
        <f t="shared" si="191"/>
        <v>Direct Debit (UMB Bank) - Credits</v>
      </c>
      <c r="C4062" s="38">
        <v>46157</v>
      </c>
      <c r="D4062" s="34">
        <v>255413</v>
      </c>
      <c r="E4062" s="36" t="str">
        <f>IF(Table3[[#This Row],[Type Received]]=2,"CC",(IF(Table3[[#This Row],[Type Received]]=3,"BILL","ACH")))</f>
        <v>ACH</v>
      </c>
      <c r="F4062" s="35">
        <v>52.93</v>
      </c>
      <c r="G4062" s="14" t="str">
        <f>VLOOKUP(D4062,Table4[],3,FALSE)</f>
        <v>1</v>
      </c>
      <c r="H4062" s="15"/>
      <c r="I4062" s="15"/>
      <c r="J4062" s="15" t="s">
        <v>87</v>
      </c>
      <c r="K4062" s="15">
        <v>696863112</v>
      </c>
      <c r="L4062" s="15" t="s">
        <v>29</v>
      </c>
      <c r="M4062" s="15" t="s">
        <v>29</v>
      </c>
    </row>
    <row r="4063" spans="1:13" x14ac:dyDescent="0.25">
      <c r="A4063" s="23">
        <f t="shared" si="193"/>
        <v>255418</v>
      </c>
      <c r="B4063" s="14" t="str">
        <f t="shared" si="191"/>
        <v>Direct Debit (UMB Bank) - Credits</v>
      </c>
      <c r="C4063" s="37">
        <v>46167</v>
      </c>
      <c r="D4063" s="31">
        <v>255418</v>
      </c>
      <c r="E4063" s="33" t="str">
        <f>IF(Table3[[#This Row],[Type Received]]=2,"CC",(IF(Table3[[#This Row],[Type Received]]=3,"BILL","ACH")))</f>
        <v>ACH</v>
      </c>
      <c r="F4063" s="32">
        <v>103.42</v>
      </c>
      <c r="G4063" s="14" t="str">
        <f>VLOOKUP(D4063,Table4[],3,FALSE)</f>
        <v>2</v>
      </c>
      <c r="H4063" s="15"/>
      <c r="I4063" s="15"/>
      <c r="J4063" s="15" t="s">
        <v>85</v>
      </c>
      <c r="K4063" s="15">
        <v>818403586</v>
      </c>
      <c r="L4063" s="15" t="s">
        <v>29</v>
      </c>
      <c r="M4063" s="15" t="s">
        <v>29</v>
      </c>
    </row>
    <row r="4064" spans="1:13" x14ac:dyDescent="0.25">
      <c r="A4064" s="23">
        <f t="shared" si="193"/>
        <v>255419</v>
      </c>
      <c r="B4064" s="14" t="str">
        <f t="shared" si="191"/>
        <v>Credit Cards (UMB) - Credits</v>
      </c>
      <c r="C4064" s="38">
        <v>46167</v>
      </c>
      <c r="D4064" s="34">
        <v>255419</v>
      </c>
      <c r="E4064" s="36" t="str">
        <f>IF(Table3[[#This Row],[Type Received]]=2,"CC",(IF(Table3[[#This Row],[Type Received]]=3,"BILL","ACH")))</f>
        <v>CC</v>
      </c>
      <c r="F4064" s="35">
        <v>74.930000000000007</v>
      </c>
      <c r="G4064" s="14" t="str">
        <f>VLOOKUP(D4064,Table4[],3,FALSE)</f>
        <v>1</v>
      </c>
      <c r="H4064" s="15"/>
      <c r="I4064" s="15"/>
      <c r="J4064" s="15" t="s">
        <v>85</v>
      </c>
      <c r="K4064" s="15">
        <v>818398692</v>
      </c>
      <c r="L4064" s="15" t="s">
        <v>29</v>
      </c>
      <c r="M4064" s="15"/>
    </row>
    <row r="4065" spans="1:13" x14ac:dyDescent="0.25">
      <c r="A4065" s="23">
        <f t="shared" si="193"/>
        <v>255434</v>
      </c>
      <c r="B4065" s="14" t="str">
        <f t="shared" si="191"/>
        <v>Billing - Credits (from TPA)</v>
      </c>
      <c r="C4065" s="37">
        <v>46143</v>
      </c>
      <c r="D4065" s="31">
        <v>255434</v>
      </c>
      <c r="E4065" s="33" t="str">
        <f>IF(Table3[[#This Row],[Type Received]]=2,"CC",(IF(Table3[[#This Row],[Type Received]]=3,"BILL","ACH")))</f>
        <v>BILL</v>
      </c>
      <c r="F4065" s="32">
        <v>45.25</v>
      </c>
      <c r="G4065" s="14" t="str">
        <f>VLOOKUP(D4065,Table4[],3,FALSE)</f>
        <v>1</v>
      </c>
      <c r="H4065" s="15"/>
      <c r="I4065" s="15">
        <v>437956</v>
      </c>
      <c r="J4065" s="15" t="s">
        <v>28</v>
      </c>
      <c r="K4065" s="15">
        <v>521707249</v>
      </c>
      <c r="L4065" s="15" t="s">
        <v>29</v>
      </c>
      <c r="M4065" s="15" t="s">
        <v>29</v>
      </c>
    </row>
    <row r="4066" spans="1:13" x14ac:dyDescent="0.25">
      <c r="A4066" s="23">
        <f t="shared" si="193"/>
        <v>255441</v>
      </c>
      <c r="B4066" s="14" t="str">
        <f t="shared" si="191"/>
        <v>Direct Debit (UMB Bank) - Credits</v>
      </c>
      <c r="C4066" s="38">
        <v>46146</v>
      </c>
      <c r="D4066" s="34">
        <v>255441</v>
      </c>
      <c r="E4066" s="36" t="str">
        <f>IF(Table3[[#This Row],[Type Received]]=2,"CC",(IF(Table3[[#This Row],[Type Received]]=3,"BILL","ACH")))</f>
        <v>ACH</v>
      </c>
      <c r="F4066" s="35">
        <v>51.41</v>
      </c>
      <c r="G4066" s="14" t="str">
        <f>VLOOKUP(D4066,Table4[],3,FALSE)</f>
        <v>1</v>
      </c>
      <c r="H4066" s="15">
        <v>7922</v>
      </c>
      <c r="I4066" s="15"/>
      <c r="J4066" s="15"/>
      <c r="K4066" s="15"/>
      <c r="L4066" s="15"/>
      <c r="M4066" s="15" t="s">
        <v>29</v>
      </c>
    </row>
    <row r="4067" spans="1:13" x14ac:dyDescent="0.25">
      <c r="A4067" s="23">
        <f t="shared" si="193"/>
        <v>255445</v>
      </c>
      <c r="B4067" s="14" t="str">
        <f t="shared" si="191"/>
        <v>Direct Debit (UMB Bank) - Credits</v>
      </c>
      <c r="C4067" s="37">
        <v>46157</v>
      </c>
      <c r="D4067" s="31">
        <v>255445</v>
      </c>
      <c r="E4067" s="33" t="str">
        <f>IF(Table3[[#This Row],[Type Received]]=2,"CC",(IF(Table3[[#This Row],[Type Received]]=3,"BILL","ACH")))</f>
        <v>ACH</v>
      </c>
      <c r="F4067" s="32">
        <v>41.93</v>
      </c>
      <c r="G4067" s="14" t="str">
        <f>VLOOKUP(D4067,Table4[],3,FALSE)</f>
        <v>1</v>
      </c>
      <c r="H4067" s="15"/>
      <c r="I4067" s="15"/>
      <c r="J4067" s="15" t="s">
        <v>87</v>
      </c>
      <c r="K4067" s="15">
        <v>696838988</v>
      </c>
      <c r="L4067" s="15" t="s">
        <v>29</v>
      </c>
      <c r="M4067" s="15" t="s">
        <v>29</v>
      </c>
    </row>
    <row r="4068" spans="1:13" x14ac:dyDescent="0.25">
      <c r="A4068" s="23">
        <f t="shared" si="193"/>
        <v>255452</v>
      </c>
      <c r="B4068" s="14" t="str">
        <f t="shared" si="191"/>
        <v>Credit Cards (UMB) - Credits</v>
      </c>
      <c r="C4068" s="38">
        <v>46157</v>
      </c>
      <c r="D4068" s="34">
        <v>255452</v>
      </c>
      <c r="E4068" s="36" t="str">
        <f>IF(Table3[[#This Row],[Type Received]]=2,"CC",(IF(Table3[[#This Row],[Type Received]]=3,"BILL","ACH")))</f>
        <v>CC</v>
      </c>
      <c r="F4068" s="35">
        <v>85.27</v>
      </c>
      <c r="G4068" s="14" t="str">
        <f>VLOOKUP(D4068,Table4[],3,FALSE)</f>
        <v>1</v>
      </c>
      <c r="H4068" s="15"/>
      <c r="I4068" s="15"/>
      <c r="J4068" s="15" t="s">
        <v>87</v>
      </c>
      <c r="K4068" s="15">
        <v>696843735</v>
      </c>
      <c r="L4068" s="15" t="s">
        <v>29</v>
      </c>
      <c r="M4068" s="15" t="s">
        <v>29</v>
      </c>
    </row>
    <row r="4069" spans="1:13" x14ac:dyDescent="0.25">
      <c r="A4069" s="23">
        <f t="shared" si="193"/>
        <v>255460</v>
      </c>
      <c r="B4069" s="14" t="str">
        <f t="shared" si="191"/>
        <v>Direct Debit (UMB Bank) - Credits</v>
      </c>
      <c r="C4069" s="37">
        <v>46143</v>
      </c>
      <c r="D4069" s="31">
        <v>255460</v>
      </c>
      <c r="E4069" s="33" t="str">
        <f>IF(Table3[[#This Row],[Type Received]]=2,"CC",(IF(Table3[[#This Row],[Type Received]]=3,"BILL","ACH")))</f>
        <v>ACH</v>
      </c>
      <c r="F4069" s="32">
        <v>96.51</v>
      </c>
      <c r="G4069" s="14" t="str">
        <f>VLOOKUP(D4069,Table4[],3,FALSE)</f>
        <v>1</v>
      </c>
      <c r="H4069" s="15"/>
      <c r="I4069" s="15">
        <v>65252</v>
      </c>
      <c r="J4069" s="24">
        <v>741374152</v>
      </c>
      <c r="K4069" s="15">
        <v>353206247</v>
      </c>
      <c r="L4069" s="15"/>
      <c r="M4069" s="15"/>
    </row>
    <row r="4070" spans="1:13" x14ac:dyDescent="0.25">
      <c r="A4070" s="23">
        <f t="shared" si="193"/>
        <v>255472</v>
      </c>
      <c r="B4070" s="14" t="str">
        <f t="shared" si="191"/>
        <v>Direct Debit (UMB Bank) - Credits</v>
      </c>
      <c r="C4070" s="38">
        <v>46157</v>
      </c>
      <c r="D4070" s="34">
        <v>255472</v>
      </c>
      <c r="E4070" s="36" t="str">
        <f>IF(Table3[[#This Row],[Type Received]]=2,"CC",(IF(Table3[[#This Row],[Type Received]]=3,"BILL","ACH")))</f>
        <v>ACH</v>
      </c>
      <c r="F4070" s="35">
        <v>120.25</v>
      </c>
      <c r="G4070" s="14" t="str">
        <f>VLOOKUP(D4070,Table4[],3,FALSE)</f>
        <v>1</v>
      </c>
      <c r="H4070" s="15"/>
      <c r="I4070" s="15"/>
      <c r="J4070" s="15" t="s">
        <v>87</v>
      </c>
      <c r="K4070" s="15">
        <v>696834080</v>
      </c>
      <c r="L4070" s="15" t="s">
        <v>29</v>
      </c>
      <c r="M4070" s="15"/>
    </row>
    <row r="4071" spans="1:13" x14ac:dyDescent="0.25">
      <c r="A4071" s="23">
        <f t="shared" si="193"/>
        <v>255474</v>
      </c>
      <c r="B4071" s="14" t="str">
        <f t="shared" si="191"/>
        <v>Direct Debit (UMB Bank) - Credits</v>
      </c>
      <c r="C4071" s="37">
        <v>46167</v>
      </c>
      <c r="D4071" s="31">
        <v>255474</v>
      </c>
      <c r="E4071" s="33" t="str">
        <f>IF(Table3[[#This Row],[Type Received]]=2,"CC",(IF(Table3[[#This Row],[Type Received]]=3,"BILL","ACH")))</f>
        <v>ACH</v>
      </c>
      <c r="F4071" s="32">
        <v>69.430000000000007</v>
      </c>
      <c r="G4071" s="14" t="str">
        <f>VLOOKUP(D4071,Table4[],3,FALSE)</f>
        <v>2</v>
      </c>
      <c r="H4071" s="15"/>
      <c r="I4071" s="15"/>
      <c r="J4071" s="15" t="s">
        <v>85</v>
      </c>
      <c r="K4071" s="15">
        <v>818414180</v>
      </c>
      <c r="L4071" s="15" t="s">
        <v>29</v>
      </c>
      <c r="M4071" s="15" t="s">
        <v>29</v>
      </c>
    </row>
    <row r="4072" spans="1:13" x14ac:dyDescent="0.25">
      <c r="A4072" s="23">
        <f t="shared" si="193"/>
        <v>255475</v>
      </c>
      <c r="B4072" s="14" t="str">
        <f t="shared" si="191"/>
        <v>Direct Debit (UMB Bank) - Credits</v>
      </c>
      <c r="C4072" s="38">
        <v>46143</v>
      </c>
      <c r="D4072" s="34">
        <v>255475</v>
      </c>
      <c r="E4072" s="36" t="str">
        <f>IF(Table3[[#This Row],[Type Received]]=2,"CC",(IF(Table3[[#This Row],[Type Received]]=3,"BILL","ACH")))</f>
        <v>ACH</v>
      </c>
      <c r="F4072" s="35">
        <v>73.72</v>
      </c>
      <c r="G4072" s="14" t="str">
        <f>VLOOKUP(D4072,Table4[],3,FALSE)</f>
        <v>2</v>
      </c>
      <c r="H4072" s="15"/>
      <c r="I4072" s="15"/>
      <c r="J4072" s="15" t="s">
        <v>84</v>
      </c>
      <c r="K4072" s="15">
        <v>522426533</v>
      </c>
      <c r="L4072" s="15" t="s">
        <v>29</v>
      </c>
      <c r="M4072" s="15" t="s">
        <v>29</v>
      </c>
    </row>
    <row r="4073" spans="1:13" x14ac:dyDescent="0.25">
      <c r="A4073" s="23">
        <f t="shared" si="193"/>
        <v>255485</v>
      </c>
      <c r="B4073" s="14" t="str">
        <f t="shared" si="191"/>
        <v>Direct Debit (UMB Bank) - Credits</v>
      </c>
      <c r="C4073" s="37">
        <v>46167</v>
      </c>
      <c r="D4073" s="31">
        <v>255485</v>
      </c>
      <c r="E4073" s="33" t="str">
        <f>IF(Table3[[#This Row],[Type Received]]=2,"CC",(IF(Table3[[#This Row],[Type Received]]=3,"BILL","ACH")))</f>
        <v>ACH</v>
      </c>
      <c r="F4073" s="32">
        <v>53.26</v>
      </c>
      <c r="G4073" s="14" t="str">
        <f>VLOOKUP(D4073,Table4[],3,FALSE)</f>
        <v>2</v>
      </c>
      <c r="H4073" s="15"/>
      <c r="I4073" s="15"/>
      <c r="J4073" s="24" t="s">
        <v>85</v>
      </c>
      <c r="K4073" s="15">
        <v>818391022</v>
      </c>
      <c r="L4073" s="15" t="s">
        <v>29</v>
      </c>
      <c r="M4073" s="15" t="s">
        <v>29</v>
      </c>
    </row>
    <row r="4074" spans="1:13" x14ac:dyDescent="0.25">
      <c r="A4074" s="23">
        <f t="shared" si="193"/>
        <v>255489</v>
      </c>
      <c r="B4074" s="14" t="str">
        <f t="shared" si="191"/>
        <v>Credit Cards (UMB) - Credits</v>
      </c>
      <c r="C4074" s="38">
        <v>46143</v>
      </c>
      <c r="D4074" s="34">
        <v>255489</v>
      </c>
      <c r="E4074" s="36" t="str">
        <f>IF(Table3[[#This Row],[Type Received]]=2,"CC",(IF(Table3[[#This Row],[Type Received]]=3,"BILL","ACH")))</f>
        <v>CC</v>
      </c>
      <c r="F4074" s="35">
        <v>38.85</v>
      </c>
      <c r="G4074" s="14" t="str">
        <f>VLOOKUP(D4074,Table4[],3,FALSE)</f>
        <v>1</v>
      </c>
      <c r="H4074" s="15"/>
      <c r="I4074" s="15"/>
      <c r="J4074" s="15" t="s">
        <v>84</v>
      </c>
      <c r="K4074" s="15">
        <v>522427520</v>
      </c>
      <c r="L4074" s="15" t="s">
        <v>29</v>
      </c>
      <c r="M4074" s="15" t="s">
        <v>29</v>
      </c>
    </row>
    <row r="4075" spans="1:13" x14ac:dyDescent="0.25">
      <c r="A4075" s="23">
        <f t="shared" si="193"/>
        <v>255507</v>
      </c>
      <c r="B4075" s="14" t="str">
        <f t="shared" si="191"/>
        <v>Direct Debit (UMB Bank) - Credits</v>
      </c>
      <c r="C4075" s="37">
        <v>46155</v>
      </c>
      <c r="D4075" s="31">
        <v>255507</v>
      </c>
      <c r="E4075" s="33" t="str">
        <f>IF(Table3[[#This Row],[Type Received]]=2,"CC",(IF(Table3[[#This Row],[Type Received]]=3,"BILL","ACH")))</f>
        <v>ACH</v>
      </c>
      <c r="F4075" s="32">
        <v>66.349999999999994</v>
      </c>
      <c r="G4075" s="14" t="str">
        <f>VLOOKUP(D4075,Table4[],3,FALSE)</f>
        <v>1</v>
      </c>
      <c r="H4075" s="15"/>
      <c r="I4075" s="15">
        <v>66974</v>
      </c>
      <c r="J4075" s="15" t="s">
        <v>28</v>
      </c>
      <c r="K4075" s="15">
        <v>669522453</v>
      </c>
      <c r="L4075" s="15" t="s">
        <v>29</v>
      </c>
      <c r="M4075" s="15" t="s">
        <v>29</v>
      </c>
    </row>
    <row r="4076" spans="1:13" x14ac:dyDescent="0.25">
      <c r="A4076" s="23">
        <f t="shared" si="193"/>
        <v>255510</v>
      </c>
      <c r="B4076" s="14" t="str">
        <f t="shared" si="191"/>
        <v>Direct Debit (UMB Bank) - Credits</v>
      </c>
      <c r="C4076" s="38">
        <v>46157</v>
      </c>
      <c r="D4076" s="34">
        <v>255510</v>
      </c>
      <c r="E4076" s="36" t="str">
        <f>IF(Table3[[#This Row],[Type Received]]=2,"CC",(IF(Table3[[#This Row],[Type Received]]=3,"BILL","ACH")))</f>
        <v>ACH</v>
      </c>
      <c r="F4076" s="35">
        <v>157.21</v>
      </c>
      <c r="G4076" s="14" t="str">
        <f>VLOOKUP(D4076,Table4[],3,FALSE)</f>
        <v>2</v>
      </c>
      <c r="H4076" s="15"/>
      <c r="I4076" s="15"/>
      <c r="J4076" s="15" t="s">
        <v>87</v>
      </c>
      <c r="K4076" s="15">
        <v>696854478</v>
      </c>
      <c r="L4076" s="15" t="s">
        <v>29</v>
      </c>
      <c r="M4076" s="15" t="s">
        <v>29</v>
      </c>
    </row>
    <row r="4077" spans="1:13" x14ac:dyDescent="0.25">
      <c r="A4077" s="23">
        <f t="shared" si="193"/>
        <v>255511</v>
      </c>
      <c r="B4077" s="14" t="str">
        <f t="shared" si="191"/>
        <v>Credit Cards (UMB) - Credits</v>
      </c>
      <c r="C4077" s="37">
        <v>46167</v>
      </c>
      <c r="D4077" s="31">
        <v>255511</v>
      </c>
      <c r="E4077" s="33" t="str">
        <f>IF(Table3[[#This Row],[Type Received]]=2,"CC",(IF(Table3[[#This Row],[Type Received]]=3,"BILL","ACH")))</f>
        <v>CC</v>
      </c>
      <c r="F4077" s="32">
        <v>87.58</v>
      </c>
      <c r="G4077" s="14" t="str">
        <f>VLOOKUP(D4077,Table4[],3,FALSE)</f>
        <v>2</v>
      </c>
      <c r="H4077" s="15"/>
      <c r="I4077" s="15"/>
      <c r="J4077" s="15" t="s">
        <v>85</v>
      </c>
      <c r="K4077" s="15">
        <v>818391030</v>
      </c>
      <c r="L4077" s="15" t="s">
        <v>29</v>
      </c>
      <c r="M4077" s="15" t="s">
        <v>29</v>
      </c>
    </row>
    <row r="4078" spans="1:13" x14ac:dyDescent="0.25">
      <c r="A4078" s="23">
        <f t="shared" si="193"/>
        <v>255512</v>
      </c>
      <c r="B4078" s="14" t="str">
        <f t="shared" si="191"/>
        <v>Direct Debit (UMB Bank) - Credits</v>
      </c>
      <c r="C4078" s="38">
        <v>46145</v>
      </c>
      <c r="D4078" s="34">
        <v>255512</v>
      </c>
      <c r="E4078" s="36" t="str">
        <f>IF(Table3[[#This Row],[Type Received]]=2,"CC",(IF(Table3[[#This Row],[Type Received]]=3,"BILL","ACH")))</f>
        <v>ACH</v>
      </c>
      <c r="F4078" s="35">
        <v>87.25</v>
      </c>
      <c r="G4078" s="14" t="str">
        <f>VLOOKUP(D4078,Table4[],3,FALSE)</f>
        <v>2</v>
      </c>
      <c r="H4078" s="15"/>
      <c r="I4078" s="15">
        <v>73734</v>
      </c>
      <c r="J4078" s="15" t="s">
        <v>28</v>
      </c>
      <c r="K4078" s="15">
        <v>546412933</v>
      </c>
      <c r="L4078" s="15" t="s">
        <v>29</v>
      </c>
      <c r="M4078" s="15" t="s">
        <v>29</v>
      </c>
    </row>
    <row r="4079" spans="1:13" x14ac:dyDescent="0.25">
      <c r="A4079" s="23">
        <f t="shared" si="193"/>
        <v>255513</v>
      </c>
      <c r="B4079" s="14" t="str">
        <f t="shared" si="191"/>
        <v>Direct Debit (UMB Bank) - Credits</v>
      </c>
      <c r="C4079" s="37">
        <v>46167</v>
      </c>
      <c r="D4079" s="31">
        <v>255513</v>
      </c>
      <c r="E4079" s="33" t="str">
        <f>IF(Table3[[#This Row],[Type Received]]=2,"CC",(IF(Table3[[#This Row],[Type Received]]=3,"BILL","ACH")))</f>
        <v>ACH</v>
      </c>
      <c r="F4079" s="32">
        <v>53.37</v>
      </c>
      <c r="G4079" s="14" t="str">
        <f>VLOOKUP(D4079,Table4[],3,FALSE)</f>
        <v>1</v>
      </c>
      <c r="H4079" s="15"/>
      <c r="I4079" s="15"/>
      <c r="J4079" s="24" t="s">
        <v>85</v>
      </c>
      <c r="K4079" s="15">
        <v>818399766</v>
      </c>
      <c r="L4079" s="15" t="s">
        <v>29</v>
      </c>
      <c r="M4079" s="15" t="s">
        <v>29</v>
      </c>
    </row>
    <row r="4080" spans="1:13" x14ac:dyDescent="0.25">
      <c r="A4080" s="23">
        <f t="shared" si="193"/>
        <v>255514</v>
      </c>
      <c r="B4080" s="14" t="str">
        <f t="shared" si="191"/>
        <v>Credit Cards (UMB) - Credits</v>
      </c>
      <c r="C4080" s="38">
        <v>46143</v>
      </c>
      <c r="D4080" s="34">
        <v>255514</v>
      </c>
      <c r="E4080" s="36" t="str">
        <f>IF(Table3[[#This Row],[Type Received]]=2,"CC",(IF(Table3[[#This Row],[Type Received]]=3,"BILL","ACH")))</f>
        <v>CC</v>
      </c>
      <c r="F4080" s="35">
        <v>58.21</v>
      </c>
      <c r="G4080" s="14" t="str">
        <f>VLOOKUP(D4080,Table4[],3,FALSE)</f>
        <v>2</v>
      </c>
      <c r="H4080" s="15"/>
      <c r="I4080" s="15"/>
      <c r="J4080" s="15" t="s">
        <v>84</v>
      </c>
      <c r="K4080" s="15">
        <v>522248653</v>
      </c>
      <c r="L4080" s="15" t="s">
        <v>29</v>
      </c>
      <c r="M4080" s="15" t="s">
        <v>29</v>
      </c>
    </row>
    <row r="4081" spans="1:13" x14ac:dyDescent="0.25">
      <c r="A4081" s="23">
        <f t="shared" si="193"/>
        <v>255529</v>
      </c>
      <c r="B4081" s="14" t="str">
        <f t="shared" si="191"/>
        <v>Direct Debit (UMB Bank) - Credits</v>
      </c>
      <c r="C4081" s="37">
        <v>46170</v>
      </c>
      <c r="D4081" s="31">
        <v>255529</v>
      </c>
      <c r="E4081" s="33" t="str">
        <f>IF(Table3[[#This Row],[Type Received]]=2,"CC",(IF(Table3[[#This Row],[Type Received]]=3,"BILL","ACH")))</f>
        <v>ACH</v>
      </c>
      <c r="F4081" s="32">
        <v>91.21</v>
      </c>
      <c r="G4081" s="14" t="str">
        <f>VLOOKUP(D4081,Table4[],3,FALSE)</f>
        <v>2</v>
      </c>
      <c r="H4081" s="15"/>
      <c r="I4081" s="15">
        <v>8988</v>
      </c>
      <c r="J4081" s="15" t="s">
        <v>28</v>
      </c>
      <c r="K4081" s="15">
        <v>853934361</v>
      </c>
      <c r="L4081" s="15" t="s">
        <v>29</v>
      </c>
      <c r="M4081" s="15" t="s">
        <v>29</v>
      </c>
    </row>
    <row r="4082" spans="1:13" x14ac:dyDescent="0.25">
      <c r="A4082" s="23">
        <f t="shared" si="193"/>
        <v>255537</v>
      </c>
      <c r="B4082" s="14" t="str">
        <f t="shared" si="191"/>
        <v>Direct Debit (UMB Bank) - Credits</v>
      </c>
      <c r="C4082" s="38">
        <v>46143</v>
      </c>
      <c r="D4082" s="34">
        <v>255537</v>
      </c>
      <c r="E4082" s="36" t="str">
        <f>IF(Table3[[#This Row],[Type Received]]=2,"CC",(IF(Table3[[#This Row],[Type Received]]=3,"BILL","ACH")))</f>
        <v>ACH</v>
      </c>
      <c r="F4082" s="35">
        <v>55.57</v>
      </c>
      <c r="G4082" s="14" t="str">
        <f>VLOOKUP(D4082,Table4[],3,FALSE)</f>
        <v>2</v>
      </c>
      <c r="H4082" s="15"/>
      <c r="I4082" s="15"/>
      <c r="J4082" s="15" t="s">
        <v>84</v>
      </c>
      <c r="K4082" s="15">
        <v>522432386</v>
      </c>
      <c r="L4082" s="15" t="s">
        <v>29</v>
      </c>
      <c r="M4082" s="15" t="s">
        <v>29</v>
      </c>
    </row>
    <row r="4083" spans="1:13" x14ac:dyDescent="0.25">
      <c r="A4083" s="23">
        <f t="shared" si="193"/>
        <v>255538</v>
      </c>
      <c r="B4083" s="14" t="str">
        <f t="shared" ref="B4083:B4146" si="194">IF(AND(E4083="BILL",F4083&lt;0),"Billing &amp; Direct Debit - Refunds",(IF(AND(E4083="BILL",F4083&gt;0),"Billing - Credits (from TPA)",(IF(AND(E4083="CC",F4083&lt;0),"Credit Cards (UMB) - Refunds",(IF(AND(E4083="CC",F4083&gt;0),"Credit Cards (UMB) - Credits",(IF(AND(E4083="ACH",F4083&gt;0),"Direct Debit (UMB Bank) - Credits","Direct Debit (UMB Bank) - Returned Items")))))))))</f>
        <v>Direct Debit (UMB Bank) - Credits</v>
      </c>
      <c r="C4083" s="37">
        <v>46143</v>
      </c>
      <c r="D4083" s="31">
        <v>255538</v>
      </c>
      <c r="E4083" s="33" t="str">
        <f>IF(Table3[[#This Row],[Type Received]]=2,"CC",(IF(Table3[[#This Row],[Type Received]]=3,"BILL","ACH")))</f>
        <v>ACH</v>
      </c>
      <c r="F4083" s="32">
        <v>39.950000000000003</v>
      </c>
      <c r="G4083" s="14" t="str">
        <f>VLOOKUP(D4083,Table4[],3,FALSE)</f>
        <v>1</v>
      </c>
      <c r="H4083" s="15"/>
      <c r="I4083" s="15"/>
      <c r="J4083" s="15" t="s">
        <v>84</v>
      </c>
      <c r="K4083" s="15">
        <v>522423746</v>
      </c>
      <c r="L4083" s="15" t="s">
        <v>29</v>
      </c>
      <c r="M4083" s="15" t="s">
        <v>29</v>
      </c>
    </row>
    <row r="4084" spans="1:13" x14ac:dyDescent="0.25">
      <c r="A4084" s="23">
        <f t="shared" si="193"/>
        <v>255539</v>
      </c>
      <c r="B4084" s="14" t="str">
        <f t="shared" si="194"/>
        <v>Direct Debit (UMB Bank) - Credits</v>
      </c>
      <c r="C4084" s="38">
        <v>46157</v>
      </c>
      <c r="D4084" s="34">
        <v>255539</v>
      </c>
      <c r="E4084" s="36" t="str">
        <f>IF(Table3[[#This Row],[Type Received]]=2,"CC",(IF(Table3[[#This Row],[Type Received]]=3,"BILL","ACH")))</f>
        <v>ACH</v>
      </c>
      <c r="F4084" s="35">
        <v>120.25</v>
      </c>
      <c r="G4084" s="14" t="str">
        <f>VLOOKUP(D4084,Table4[],3,FALSE)</f>
        <v>2</v>
      </c>
      <c r="H4084" s="15"/>
      <c r="I4084" s="15"/>
      <c r="J4084" s="15" t="s">
        <v>87</v>
      </c>
      <c r="K4084" s="15">
        <v>696855410</v>
      </c>
      <c r="L4084" s="15" t="s">
        <v>29</v>
      </c>
      <c r="M4084" s="15" t="s">
        <v>29</v>
      </c>
    </row>
    <row r="4085" spans="1:13" x14ac:dyDescent="0.25">
      <c r="A4085" s="23">
        <f t="shared" si="193"/>
        <v>255541</v>
      </c>
      <c r="B4085" s="14" t="str">
        <f t="shared" si="194"/>
        <v>Credit Cards (UMB) - Credits</v>
      </c>
      <c r="C4085" s="37">
        <v>46157</v>
      </c>
      <c r="D4085" s="31">
        <v>255541</v>
      </c>
      <c r="E4085" s="33" t="str">
        <f>IF(Table3[[#This Row],[Type Received]]=2,"CC",(IF(Table3[[#This Row],[Type Received]]=3,"BILL","ACH")))</f>
        <v>CC</v>
      </c>
      <c r="F4085" s="32">
        <v>131.80000000000001</v>
      </c>
      <c r="G4085" s="14" t="str">
        <f>VLOOKUP(D4085,Table4[],3,FALSE)</f>
        <v>2</v>
      </c>
      <c r="H4085" s="15"/>
      <c r="I4085" s="15"/>
      <c r="J4085" s="15" t="s">
        <v>87</v>
      </c>
      <c r="K4085" s="15">
        <v>696855422</v>
      </c>
      <c r="L4085" s="15" t="s">
        <v>29</v>
      </c>
      <c r="M4085" s="15" t="s">
        <v>29</v>
      </c>
    </row>
    <row r="4086" spans="1:13" x14ac:dyDescent="0.25">
      <c r="A4086" s="23">
        <f t="shared" si="193"/>
        <v>255555</v>
      </c>
      <c r="B4086" s="14" t="str">
        <f t="shared" si="194"/>
        <v>Credit Cards (UMB) - Credits</v>
      </c>
      <c r="C4086" s="38">
        <v>46159</v>
      </c>
      <c r="D4086" s="34">
        <v>255555</v>
      </c>
      <c r="E4086" s="36" t="str">
        <f>IF(Table3[[#This Row],[Type Received]]=2,"CC",(IF(Table3[[#This Row],[Type Received]]=3,"BILL","ACH")))</f>
        <v>CC</v>
      </c>
      <c r="F4086" s="35">
        <v>93.85</v>
      </c>
      <c r="G4086" s="14" t="str">
        <f>VLOOKUP(D4086,Table4[],3,FALSE)</f>
        <v>2</v>
      </c>
      <c r="H4086" s="15"/>
      <c r="I4086" s="15">
        <v>90021</v>
      </c>
      <c r="J4086" s="15" t="s">
        <v>28</v>
      </c>
      <c r="K4086" s="15">
        <v>721666954</v>
      </c>
      <c r="L4086" s="15" t="s">
        <v>29</v>
      </c>
      <c r="M4086" s="15" t="s">
        <v>29</v>
      </c>
    </row>
    <row r="4087" spans="1:13" x14ac:dyDescent="0.25">
      <c r="A4087" s="23">
        <f t="shared" si="193"/>
        <v>255556</v>
      </c>
      <c r="B4087" s="14" t="str">
        <f t="shared" si="194"/>
        <v>Credit Cards (UMB) - Credits</v>
      </c>
      <c r="C4087" s="37">
        <v>46155</v>
      </c>
      <c r="D4087" s="31">
        <v>255556</v>
      </c>
      <c r="E4087" s="33" t="str">
        <f>IF(Table3[[#This Row],[Type Received]]=2,"CC",(IF(Table3[[#This Row],[Type Received]]=3,"BILL","ACH")))</f>
        <v>CC</v>
      </c>
      <c r="F4087" s="32">
        <v>46.55</v>
      </c>
      <c r="G4087" s="14" t="str">
        <f>VLOOKUP(D4087,Table4[],3,FALSE)</f>
        <v>1</v>
      </c>
      <c r="H4087" s="15"/>
      <c r="I4087" s="15" t="s">
        <v>320</v>
      </c>
      <c r="J4087" s="15" t="s">
        <v>28</v>
      </c>
      <c r="K4087" s="15">
        <v>669474844</v>
      </c>
      <c r="L4087" s="15" t="s">
        <v>29</v>
      </c>
      <c r="M4087" s="15" t="s">
        <v>29</v>
      </c>
    </row>
    <row r="4088" spans="1:13" x14ac:dyDescent="0.25">
      <c r="A4088" s="23">
        <f t="shared" si="193"/>
        <v>255558</v>
      </c>
      <c r="B4088" s="14" t="str">
        <f t="shared" si="194"/>
        <v>Direct Debit (UMB Bank) - Credits</v>
      </c>
      <c r="C4088" s="38">
        <v>46155</v>
      </c>
      <c r="D4088" s="34">
        <v>255558</v>
      </c>
      <c r="E4088" s="36" t="str">
        <f>IF(Table3[[#This Row],[Type Received]]=2,"CC",(IF(Table3[[#This Row],[Type Received]]=3,"BILL","ACH")))</f>
        <v>ACH</v>
      </c>
      <c r="F4088" s="35">
        <v>86.26</v>
      </c>
      <c r="G4088" s="14" t="str">
        <f>VLOOKUP(D4088,Table4[],3,FALSE)</f>
        <v>2</v>
      </c>
      <c r="H4088" s="15"/>
      <c r="I4088" s="15" t="s">
        <v>321</v>
      </c>
      <c r="J4088" s="15" t="s">
        <v>28</v>
      </c>
      <c r="K4088" s="15">
        <v>669529243</v>
      </c>
      <c r="L4088" s="15" t="s">
        <v>29</v>
      </c>
      <c r="M4088" s="15" t="s">
        <v>29</v>
      </c>
    </row>
    <row r="4089" spans="1:13" x14ac:dyDescent="0.25">
      <c r="A4089" s="23">
        <f t="shared" si="193"/>
        <v>255563</v>
      </c>
      <c r="B4089" s="14" t="str">
        <f t="shared" si="194"/>
        <v>Credit Cards (UMB) - Credits</v>
      </c>
      <c r="C4089" s="37">
        <v>46143</v>
      </c>
      <c r="D4089" s="31">
        <v>255563</v>
      </c>
      <c r="E4089" s="33" t="str">
        <f>IF(Table3[[#This Row],[Type Received]]=2,"CC",(IF(Table3[[#This Row],[Type Received]]=3,"BILL","ACH")))</f>
        <v>CC</v>
      </c>
      <c r="F4089" s="32">
        <v>48.53</v>
      </c>
      <c r="G4089" s="14" t="str">
        <f>VLOOKUP(D4089,Table4[],3,FALSE)</f>
        <v>1</v>
      </c>
      <c r="H4089" s="15"/>
      <c r="I4089" s="15"/>
      <c r="J4089" s="15" t="s">
        <v>84</v>
      </c>
      <c r="K4089" s="15">
        <v>522433421</v>
      </c>
      <c r="L4089" s="15" t="s">
        <v>29</v>
      </c>
      <c r="M4089" s="15" t="s">
        <v>29</v>
      </c>
    </row>
    <row r="4090" spans="1:13" x14ac:dyDescent="0.25">
      <c r="A4090" s="23">
        <f t="shared" si="193"/>
        <v>255586</v>
      </c>
      <c r="B4090" s="14" t="str">
        <f t="shared" si="194"/>
        <v>Direct Debit (UMB Bank) - Credits</v>
      </c>
      <c r="C4090" s="38">
        <v>46155</v>
      </c>
      <c r="D4090" s="34">
        <v>255586</v>
      </c>
      <c r="E4090" s="36" t="str">
        <f>IF(Table3[[#This Row],[Type Received]]=2,"CC",(IF(Table3[[#This Row],[Type Received]]=3,"BILL","ACH")))</f>
        <v>ACH</v>
      </c>
      <c r="F4090" s="35">
        <v>99.46</v>
      </c>
      <c r="G4090" s="14" t="str">
        <f>VLOOKUP(D4090,Table4[],3,FALSE)</f>
        <v>2</v>
      </c>
      <c r="H4090" s="15"/>
      <c r="I4090" s="15">
        <v>29933</v>
      </c>
      <c r="J4090" s="24" t="s">
        <v>28</v>
      </c>
      <c r="K4090" s="15">
        <v>669518552</v>
      </c>
      <c r="L4090" s="15" t="s">
        <v>29</v>
      </c>
      <c r="M4090" s="15" t="s">
        <v>29</v>
      </c>
    </row>
    <row r="4091" spans="1:13" x14ac:dyDescent="0.25">
      <c r="A4091" s="23">
        <f t="shared" ref="A4091:A4115" si="195">D4091</f>
        <v>255592</v>
      </c>
      <c r="B4091" s="14" t="str">
        <f t="shared" si="194"/>
        <v>Direct Debit (UMB Bank) - Credits</v>
      </c>
      <c r="C4091" s="37">
        <v>46167</v>
      </c>
      <c r="D4091" s="31">
        <v>255592</v>
      </c>
      <c r="E4091" s="33" t="str">
        <f>IF(Table3[[#This Row],[Type Received]]=2,"CC",(IF(Table3[[#This Row],[Type Received]]=3,"BILL","ACH")))</f>
        <v>ACH</v>
      </c>
      <c r="F4091" s="32">
        <v>70.09</v>
      </c>
      <c r="G4091" s="14" t="str">
        <f>VLOOKUP(D4091,Table4[],3,FALSE)</f>
        <v>2</v>
      </c>
      <c r="H4091" s="15"/>
      <c r="I4091" s="15"/>
      <c r="J4091" s="15" t="s">
        <v>85</v>
      </c>
      <c r="K4091" s="15">
        <v>818398730</v>
      </c>
      <c r="L4091" s="15" t="s">
        <v>29</v>
      </c>
      <c r="M4091" s="15" t="s">
        <v>29</v>
      </c>
    </row>
    <row r="4092" spans="1:13" x14ac:dyDescent="0.25">
      <c r="A4092" s="23">
        <f t="shared" si="195"/>
        <v>255594</v>
      </c>
      <c r="B4092" s="14" t="str">
        <f t="shared" si="194"/>
        <v>Direct Debit (UMB Bank) - Credits</v>
      </c>
      <c r="C4092" s="38">
        <v>46143</v>
      </c>
      <c r="D4092" s="34">
        <v>255594</v>
      </c>
      <c r="E4092" s="36" t="str">
        <f>IF(Table3[[#This Row],[Type Received]]=2,"CC",(IF(Table3[[#This Row],[Type Received]]=3,"BILL","ACH")))</f>
        <v>ACH</v>
      </c>
      <c r="F4092" s="35">
        <v>58.54</v>
      </c>
      <c r="G4092" s="14" t="str">
        <f>VLOOKUP(D4092,Table4[],3,FALSE)</f>
        <v>2</v>
      </c>
      <c r="H4092" s="15"/>
      <c r="I4092" s="15"/>
      <c r="J4092" s="15" t="s">
        <v>84</v>
      </c>
      <c r="K4092" s="15">
        <v>522429617</v>
      </c>
      <c r="L4092" s="15" t="s">
        <v>29</v>
      </c>
      <c r="M4092" s="15" t="s">
        <v>29</v>
      </c>
    </row>
    <row r="4093" spans="1:13" x14ac:dyDescent="0.25">
      <c r="A4093" s="23">
        <f t="shared" si="195"/>
        <v>255597</v>
      </c>
      <c r="B4093" s="14" t="str">
        <f t="shared" si="194"/>
        <v>Direct Debit (UMB Bank) - Credits</v>
      </c>
      <c r="C4093" s="37">
        <v>46143</v>
      </c>
      <c r="D4093" s="31">
        <v>255597</v>
      </c>
      <c r="E4093" s="33" t="str">
        <f>IF(Table3[[#This Row],[Type Received]]=2,"CC",(IF(Table3[[#This Row],[Type Received]]=3,"BILL","ACH")))</f>
        <v>ACH</v>
      </c>
      <c r="F4093" s="32">
        <v>89.67</v>
      </c>
      <c r="G4093" s="14" t="str">
        <f>VLOOKUP(D4093,Table4[],3,FALSE)</f>
        <v>1</v>
      </c>
      <c r="H4093" s="15"/>
      <c r="I4093" s="15"/>
      <c r="J4093" s="24" t="s">
        <v>84</v>
      </c>
      <c r="K4093" s="15">
        <v>522427654</v>
      </c>
      <c r="L4093" s="15" t="s">
        <v>29</v>
      </c>
      <c r="M4093" s="15" t="s">
        <v>29</v>
      </c>
    </row>
    <row r="4094" spans="1:13" x14ac:dyDescent="0.25">
      <c r="A4094" s="23">
        <f t="shared" si="195"/>
        <v>255601</v>
      </c>
      <c r="B4094" s="14" t="str">
        <f t="shared" si="194"/>
        <v>Direct Debit (UMB Bank) - Credits</v>
      </c>
      <c r="C4094" s="38">
        <v>46164</v>
      </c>
      <c r="D4094" s="34">
        <v>255601</v>
      </c>
      <c r="E4094" s="36" t="str">
        <f>IF(Table3[[#This Row],[Type Received]]=2,"CC",(IF(Table3[[#This Row],[Type Received]]=3,"BILL","ACH")))</f>
        <v>ACH</v>
      </c>
      <c r="F4094" s="35">
        <v>127.73</v>
      </c>
      <c r="G4094" s="14" t="str">
        <f>VLOOKUP(D4094,Table4[],3,FALSE)</f>
        <v>1</v>
      </c>
      <c r="H4094" s="15"/>
      <c r="I4094" s="15"/>
      <c r="J4094" s="15" t="s">
        <v>118</v>
      </c>
      <c r="K4094" s="15">
        <v>784592001</v>
      </c>
      <c r="L4094" s="15" t="s">
        <v>29</v>
      </c>
      <c r="M4094" s="15" t="s">
        <v>29</v>
      </c>
    </row>
    <row r="4095" spans="1:13" x14ac:dyDescent="0.25">
      <c r="A4095" s="23">
        <f t="shared" si="195"/>
        <v>255601</v>
      </c>
      <c r="B4095" s="14" t="str">
        <f t="shared" si="194"/>
        <v>Direct Debit (UMB Bank) - Credits</v>
      </c>
      <c r="C4095" s="37">
        <v>46157</v>
      </c>
      <c r="D4095" s="31">
        <v>255601</v>
      </c>
      <c r="E4095" s="33" t="str">
        <f>IF(Table3[[#This Row],[Type Received]]=2,"CC",(IF(Table3[[#This Row],[Type Received]]=3,"BILL","ACH")))</f>
        <v>ACH</v>
      </c>
      <c r="F4095" s="32">
        <v>127.73</v>
      </c>
      <c r="G4095" s="14" t="str">
        <f>VLOOKUP(D4095,Table4[],3,FALSE)</f>
        <v>1</v>
      </c>
      <c r="H4095" s="15"/>
      <c r="I4095" s="15"/>
      <c r="J4095" s="15" t="s">
        <v>87</v>
      </c>
      <c r="K4095" s="15">
        <v>696842819</v>
      </c>
      <c r="L4095" s="15" t="s">
        <v>29</v>
      </c>
      <c r="M4095" s="15" t="s">
        <v>29</v>
      </c>
    </row>
    <row r="4096" spans="1:13" x14ac:dyDescent="0.25">
      <c r="A4096" s="23">
        <f t="shared" si="195"/>
        <v>255603</v>
      </c>
      <c r="B4096" s="14" t="str">
        <f t="shared" si="194"/>
        <v>Credit Cards (UMB) - Credits</v>
      </c>
      <c r="C4096" s="38">
        <v>46165</v>
      </c>
      <c r="D4096" s="34">
        <v>255603</v>
      </c>
      <c r="E4096" s="36" t="str">
        <f>IF(Table3[[#This Row],[Type Received]]=2,"CC",(IF(Table3[[#This Row],[Type Received]]=3,"BILL","ACH")))</f>
        <v>CC</v>
      </c>
      <c r="F4096" s="35">
        <v>113.32</v>
      </c>
      <c r="G4096" s="14" t="str">
        <f>VLOOKUP(D4096,Table4[],3,FALSE)</f>
        <v>2</v>
      </c>
      <c r="H4096" s="15"/>
      <c r="I4096" s="15"/>
      <c r="J4096" s="15" t="s">
        <v>137</v>
      </c>
      <c r="K4096" s="15">
        <v>797272918</v>
      </c>
      <c r="L4096" s="15" t="s">
        <v>29</v>
      </c>
      <c r="M4096" s="15" t="s">
        <v>29</v>
      </c>
    </row>
    <row r="4097" spans="1:13" x14ac:dyDescent="0.25">
      <c r="A4097" s="23">
        <f t="shared" si="195"/>
        <v>255618</v>
      </c>
      <c r="B4097" s="14" t="str">
        <f t="shared" si="194"/>
        <v>Credit Cards (UMB) - Credits</v>
      </c>
      <c r="C4097" s="37">
        <v>46155</v>
      </c>
      <c r="D4097" s="31">
        <v>255618</v>
      </c>
      <c r="E4097" s="33" t="str">
        <f>IF(Table3[[#This Row],[Type Received]]=2,"CC",(IF(Table3[[#This Row],[Type Received]]=3,"BILL","ACH")))</f>
        <v>CC</v>
      </c>
      <c r="F4097" s="32">
        <v>79.55</v>
      </c>
      <c r="G4097" s="14" t="str">
        <f>VLOOKUP(D4097,Table4[],3,FALSE)</f>
        <v>1</v>
      </c>
      <c r="H4097" s="15"/>
      <c r="I4097" s="15" t="s">
        <v>322</v>
      </c>
      <c r="J4097" s="15" t="s">
        <v>28</v>
      </c>
      <c r="K4097" s="15">
        <v>669444752</v>
      </c>
      <c r="L4097" s="15" t="s">
        <v>29</v>
      </c>
      <c r="M4097" s="15" t="s">
        <v>29</v>
      </c>
    </row>
    <row r="4098" spans="1:13" x14ac:dyDescent="0.25">
      <c r="A4098" s="23">
        <f t="shared" si="195"/>
        <v>255622</v>
      </c>
      <c r="B4098" s="14" t="str">
        <f t="shared" si="194"/>
        <v>Credit Cards (UMB) - Credits</v>
      </c>
      <c r="C4098" s="38">
        <v>46153</v>
      </c>
      <c r="D4098" s="34">
        <v>255622</v>
      </c>
      <c r="E4098" s="36" t="str">
        <f>IF(Table3[[#This Row],[Type Received]]=2,"CC",(IF(Table3[[#This Row],[Type Received]]=3,"BILL","ACH")))</f>
        <v>CC</v>
      </c>
      <c r="F4098" s="35">
        <v>169.14</v>
      </c>
      <c r="G4098" s="14" t="str">
        <f>VLOOKUP(D4098,Table4[],3,FALSE)</f>
        <v>1</v>
      </c>
      <c r="H4098" s="15"/>
      <c r="I4098" s="15">
        <v>79985</v>
      </c>
      <c r="J4098" s="15">
        <v>744352488</v>
      </c>
      <c r="K4098" s="15">
        <v>354159606</v>
      </c>
      <c r="L4098" s="15"/>
      <c r="M4098" s="15" t="s">
        <v>29</v>
      </c>
    </row>
    <row r="4099" spans="1:13" x14ac:dyDescent="0.25">
      <c r="A4099" s="23">
        <f t="shared" si="195"/>
        <v>255625</v>
      </c>
      <c r="B4099" s="14" t="str">
        <f t="shared" si="194"/>
        <v>Direct Debit (UMB Bank) - Credits</v>
      </c>
      <c r="C4099" s="37">
        <v>46155</v>
      </c>
      <c r="D4099" s="31">
        <v>255625</v>
      </c>
      <c r="E4099" s="33" t="str">
        <f>IF(Table3[[#This Row],[Type Received]]=2,"CC",(IF(Table3[[#This Row],[Type Received]]=3,"BILL","ACH")))</f>
        <v>ACH</v>
      </c>
      <c r="F4099" s="32">
        <v>142.69</v>
      </c>
      <c r="G4099" s="14" t="str">
        <f>VLOOKUP(D4099,Table4[],3,FALSE)</f>
        <v>2</v>
      </c>
      <c r="H4099" s="15"/>
      <c r="I4099" s="15">
        <v>6597</v>
      </c>
      <c r="J4099" s="15" t="s">
        <v>28</v>
      </c>
      <c r="K4099" s="15">
        <v>669517581</v>
      </c>
      <c r="L4099" s="15" t="s">
        <v>29</v>
      </c>
      <c r="M4099" s="15"/>
    </row>
    <row r="4100" spans="1:13" x14ac:dyDescent="0.25">
      <c r="A4100" s="23">
        <f t="shared" si="195"/>
        <v>255626</v>
      </c>
      <c r="B4100" s="14" t="str">
        <f t="shared" si="194"/>
        <v>Direct Debit (UMB Bank) - Credits</v>
      </c>
      <c r="C4100" s="38">
        <v>46147</v>
      </c>
      <c r="D4100" s="34">
        <v>255626</v>
      </c>
      <c r="E4100" s="36" t="str">
        <f>IF(Table3[[#This Row],[Type Received]]=2,"CC",(IF(Table3[[#This Row],[Type Received]]=3,"BILL","ACH")))</f>
        <v>ACH</v>
      </c>
      <c r="F4100" s="35">
        <v>66.569999999999993</v>
      </c>
      <c r="G4100" s="14" t="str">
        <f>VLOOKUP(D4100,Table4[],3,FALSE)</f>
        <v>1</v>
      </c>
      <c r="H4100" s="15"/>
      <c r="I4100" s="15"/>
      <c r="J4100" s="15" t="s">
        <v>86</v>
      </c>
      <c r="K4100" s="15">
        <v>569468745</v>
      </c>
      <c r="L4100" s="15" t="s">
        <v>29</v>
      </c>
      <c r="M4100" s="15" t="s">
        <v>29</v>
      </c>
    </row>
    <row r="4101" spans="1:13" x14ac:dyDescent="0.25">
      <c r="A4101" s="23">
        <f t="shared" si="195"/>
        <v>255629</v>
      </c>
      <c r="B4101" s="14" t="str">
        <f t="shared" si="194"/>
        <v>Direct Debit (UMB Bank) - Credits</v>
      </c>
      <c r="C4101" s="37">
        <v>46143</v>
      </c>
      <c r="D4101" s="31">
        <v>255629</v>
      </c>
      <c r="E4101" s="33" t="str">
        <f>IF(Table3[[#This Row],[Type Received]]=2,"CC",(IF(Table3[[#This Row],[Type Received]]=3,"BILL","ACH")))</f>
        <v>ACH</v>
      </c>
      <c r="F4101" s="32">
        <v>68.44</v>
      </c>
      <c r="G4101" s="14" t="str">
        <f>VLOOKUP(D4101,Table4[],3,FALSE)</f>
        <v>2</v>
      </c>
      <c r="H4101" s="15"/>
      <c r="I4101" s="15"/>
      <c r="J4101" s="15" t="s">
        <v>84</v>
      </c>
      <c r="K4101" s="15">
        <v>522418035</v>
      </c>
      <c r="L4101" s="15" t="s">
        <v>29</v>
      </c>
      <c r="M4101" s="15" t="s">
        <v>29</v>
      </c>
    </row>
    <row r="4102" spans="1:13" x14ac:dyDescent="0.25">
      <c r="A4102" s="23">
        <f t="shared" si="195"/>
        <v>255630</v>
      </c>
      <c r="B4102" s="14" t="str">
        <f t="shared" si="194"/>
        <v>Direct Debit (UMB Bank) - Credits</v>
      </c>
      <c r="C4102" s="38">
        <v>46143</v>
      </c>
      <c r="D4102" s="34">
        <v>255630</v>
      </c>
      <c r="E4102" s="36" t="str">
        <f>IF(Table3[[#This Row],[Type Received]]=2,"CC",(IF(Table3[[#This Row],[Type Received]]=3,"BILL","ACH")))</f>
        <v>ACH</v>
      </c>
      <c r="F4102" s="35">
        <v>131.80000000000001</v>
      </c>
      <c r="G4102" s="14" t="str">
        <f>VLOOKUP(D4102,Table4[],3,FALSE)</f>
        <v>2</v>
      </c>
      <c r="H4102" s="15"/>
      <c r="I4102" s="15"/>
      <c r="J4102" s="15" t="s">
        <v>84</v>
      </c>
      <c r="K4102" s="15">
        <v>522420921</v>
      </c>
      <c r="L4102" s="15" t="s">
        <v>29</v>
      </c>
      <c r="M4102" s="15" t="s">
        <v>29</v>
      </c>
    </row>
    <row r="4103" spans="1:13" x14ac:dyDescent="0.25">
      <c r="A4103" s="23">
        <f t="shared" si="195"/>
        <v>255632</v>
      </c>
      <c r="B4103" s="14" t="str">
        <f t="shared" si="194"/>
        <v>Direct Debit (UMB Bank) - Credits</v>
      </c>
      <c r="C4103" s="37">
        <v>46157</v>
      </c>
      <c r="D4103" s="31">
        <v>255632</v>
      </c>
      <c r="E4103" s="33" t="str">
        <f>IF(Table3[[#This Row],[Type Received]]=2,"CC",(IF(Table3[[#This Row],[Type Received]]=3,"BILL","ACH")))</f>
        <v>ACH</v>
      </c>
      <c r="F4103" s="32">
        <v>97.81</v>
      </c>
      <c r="G4103" s="14" t="str">
        <f>VLOOKUP(D4103,Table4[],3,FALSE)</f>
        <v>2</v>
      </c>
      <c r="H4103" s="15"/>
      <c r="I4103" s="15"/>
      <c r="J4103" s="15" t="s">
        <v>87</v>
      </c>
      <c r="K4103" s="15">
        <v>696843822</v>
      </c>
      <c r="L4103" s="15" t="s">
        <v>29</v>
      </c>
      <c r="M4103" s="15" t="s">
        <v>29</v>
      </c>
    </row>
    <row r="4104" spans="1:13" x14ac:dyDescent="0.25">
      <c r="A4104" s="23">
        <f t="shared" si="195"/>
        <v>255633</v>
      </c>
      <c r="B4104" s="14" t="str">
        <f t="shared" si="194"/>
        <v>Direct Debit (UMB Bank) - Credits</v>
      </c>
      <c r="C4104" s="38">
        <v>46157</v>
      </c>
      <c r="D4104" s="34">
        <v>255633</v>
      </c>
      <c r="E4104" s="36" t="str">
        <f>IF(Table3[[#This Row],[Type Received]]=2,"CC",(IF(Table3[[#This Row],[Type Received]]=3,"BILL","ACH")))</f>
        <v>ACH</v>
      </c>
      <c r="F4104" s="35">
        <v>45.89</v>
      </c>
      <c r="G4104" s="14" t="str">
        <f>VLOOKUP(D4104,Table4[],3,FALSE)</f>
        <v>1</v>
      </c>
      <c r="H4104" s="15"/>
      <c r="I4104" s="15"/>
      <c r="J4104" s="15" t="s">
        <v>87</v>
      </c>
      <c r="K4104" s="15">
        <v>696857467</v>
      </c>
      <c r="L4104" s="15" t="s">
        <v>29</v>
      </c>
      <c r="M4104" s="15" t="s">
        <v>29</v>
      </c>
    </row>
    <row r="4105" spans="1:13" x14ac:dyDescent="0.25">
      <c r="A4105" s="23">
        <f t="shared" si="195"/>
        <v>255634</v>
      </c>
      <c r="B4105" s="14" t="str">
        <f t="shared" si="194"/>
        <v>Direct Debit (UMB Bank) - Credits</v>
      </c>
      <c r="C4105" s="37">
        <v>46157</v>
      </c>
      <c r="D4105" s="31">
        <v>255634</v>
      </c>
      <c r="E4105" s="33" t="str">
        <f>IF(Table3[[#This Row],[Type Received]]=2,"CC",(IF(Table3[[#This Row],[Type Received]]=3,"BILL","ACH")))</f>
        <v>ACH</v>
      </c>
      <c r="F4105" s="32">
        <v>50.73</v>
      </c>
      <c r="G4105" s="14" t="str">
        <f>VLOOKUP(D4105,Table4[],3,FALSE)</f>
        <v>1</v>
      </c>
      <c r="H4105" s="15"/>
      <c r="I4105" s="15"/>
      <c r="J4105" s="15" t="s">
        <v>87</v>
      </c>
      <c r="K4105" s="15">
        <v>696867145</v>
      </c>
      <c r="L4105" s="15" t="s">
        <v>29</v>
      </c>
      <c r="M4105" s="15" t="s">
        <v>29</v>
      </c>
    </row>
    <row r="4106" spans="1:13" x14ac:dyDescent="0.25">
      <c r="A4106" s="23">
        <f t="shared" si="195"/>
        <v>255658</v>
      </c>
      <c r="B4106" s="14" t="str">
        <f t="shared" si="194"/>
        <v>Direct Debit (UMB Bank) - Credits</v>
      </c>
      <c r="C4106" s="38">
        <v>46167</v>
      </c>
      <c r="D4106" s="34">
        <v>255658</v>
      </c>
      <c r="E4106" s="36" t="str">
        <f>IF(Table3[[#This Row],[Type Received]]=2,"CC",(IF(Table3[[#This Row],[Type Received]]=3,"BILL","ACH")))</f>
        <v>ACH</v>
      </c>
      <c r="F4106" s="35">
        <v>124.87</v>
      </c>
      <c r="G4106" s="14" t="str">
        <f>VLOOKUP(D4106,Table4[],3,FALSE)</f>
        <v>2</v>
      </c>
      <c r="H4106" s="15"/>
      <c r="I4106" s="15"/>
      <c r="J4106" s="15" t="s">
        <v>85</v>
      </c>
      <c r="K4106" s="15">
        <v>818398762</v>
      </c>
      <c r="L4106" s="15" t="s">
        <v>29</v>
      </c>
      <c r="M4106" s="15" t="s">
        <v>29</v>
      </c>
    </row>
    <row r="4107" spans="1:13" x14ac:dyDescent="0.25">
      <c r="A4107" s="23">
        <f t="shared" si="195"/>
        <v>255659</v>
      </c>
      <c r="B4107" s="14" t="str">
        <f t="shared" si="194"/>
        <v>Direct Debit (UMB Bank) - Credits</v>
      </c>
      <c r="C4107" s="37">
        <v>46143</v>
      </c>
      <c r="D4107" s="31">
        <v>255659</v>
      </c>
      <c r="E4107" s="33" t="str">
        <f>IF(Table3[[#This Row],[Type Received]]=2,"CC",(IF(Table3[[#This Row],[Type Received]]=3,"BILL","ACH")))</f>
        <v>ACH</v>
      </c>
      <c r="F4107" s="32">
        <v>52.71</v>
      </c>
      <c r="G4107" s="14" t="str">
        <f>VLOOKUP(D4107,Table4[],3,FALSE)</f>
        <v>1</v>
      </c>
      <c r="H4107" s="15"/>
      <c r="I4107" s="15"/>
      <c r="J4107" s="15" t="s">
        <v>84</v>
      </c>
      <c r="K4107" s="15">
        <v>522425755</v>
      </c>
      <c r="L4107" s="15" t="s">
        <v>29</v>
      </c>
      <c r="M4107" s="15" t="s">
        <v>29</v>
      </c>
    </row>
    <row r="4108" spans="1:13" x14ac:dyDescent="0.25">
      <c r="A4108" s="23">
        <f t="shared" si="195"/>
        <v>255660</v>
      </c>
      <c r="B4108" s="14" t="str">
        <f t="shared" si="194"/>
        <v>Credit Cards (UMB) - Credits</v>
      </c>
      <c r="C4108" s="38">
        <v>46167</v>
      </c>
      <c r="D4108" s="34">
        <v>255660</v>
      </c>
      <c r="E4108" s="36" t="str">
        <f>IF(Table3[[#This Row],[Type Received]]=2,"CC",(IF(Table3[[#This Row],[Type Received]]=3,"BILL","ACH")))</f>
        <v>CC</v>
      </c>
      <c r="F4108" s="35">
        <v>70.09</v>
      </c>
      <c r="G4108" s="14" t="str">
        <f>VLOOKUP(D4108,Table4[],3,FALSE)</f>
        <v>1</v>
      </c>
      <c r="H4108" s="15"/>
      <c r="I4108" s="15"/>
      <c r="J4108" s="15" t="s">
        <v>85</v>
      </c>
      <c r="K4108" s="15">
        <v>818418119</v>
      </c>
      <c r="L4108" s="15" t="s">
        <v>29</v>
      </c>
      <c r="M4108" s="15" t="s">
        <v>29</v>
      </c>
    </row>
    <row r="4109" spans="1:13" x14ac:dyDescent="0.25">
      <c r="A4109" s="23">
        <f t="shared" si="195"/>
        <v>255684</v>
      </c>
      <c r="B4109" s="14" t="str">
        <f t="shared" si="194"/>
        <v>Direct Debit (UMB Bank) - Credits</v>
      </c>
      <c r="C4109" s="37">
        <v>46155</v>
      </c>
      <c r="D4109" s="31">
        <v>255684</v>
      </c>
      <c r="E4109" s="33" t="str">
        <f>IF(Table3[[#This Row],[Type Received]]=2,"CC",(IF(Table3[[#This Row],[Type Received]]=3,"BILL","ACH")))</f>
        <v>ACH</v>
      </c>
      <c r="F4109" s="32">
        <v>84.94</v>
      </c>
      <c r="G4109" s="14" t="str">
        <f>VLOOKUP(D4109,Table4[],3,FALSE)</f>
        <v>2</v>
      </c>
      <c r="H4109" s="15"/>
      <c r="I4109" s="15">
        <v>13168</v>
      </c>
      <c r="J4109" s="15" t="s">
        <v>28</v>
      </c>
      <c r="K4109" s="15">
        <v>669524459</v>
      </c>
      <c r="L4109" s="15" t="s">
        <v>29</v>
      </c>
      <c r="M4109" s="15"/>
    </row>
    <row r="4110" spans="1:13" x14ac:dyDescent="0.25">
      <c r="A4110" s="23">
        <f t="shared" si="195"/>
        <v>255688</v>
      </c>
      <c r="B4110" s="14" t="str">
        <f t="shared" si="194"/>
        <v>Direct Debit (UMB Bank) - Credits</v>
      </c>
      <c r="C4110" s="38">
        <v>46167</v>
      </c>
      <c r="D4110" s="34">
        <v>255688</v>
      </c>
      <c r="E4110" s="36" t="s">
        <v>42</v>
      </c>
      <c r="F4110" s="35">
        <v>73.39</v>
      </c>
      <c r="G4110" s="14" t="str">
        <f>VLOOKUP(D4110,Table4[],3,FALSE)</f>
        <v>2</v>
      </c>
      <c r="H4110" s="15"/>
      <c r="I4110" s="15"/>
      <c r="J4110" s="15" t="s">
        <v>85</v>
      </c>
      <c r="K4110" s="15">
        <v>818419121</v>
      </c>
      <c r="L4110" s="15" t="s">
        <v>29</v>
      </c>
      <c r="M4110" s="15" t="s">
        <v>29</v>
      </c>
    </row>
    <row r="4111" spans="1:13" x14ac:dyDescent="0.25">
      <c r="A4111" s="23">
        <f t="shared" si="195"/>
        <v>227730</v>
      </c>
      <c r="B4111" s="14" t="str">
        <f t="shared" si="194"/>
        <v>Billing &amp; Direct Debit - Refunds</v>
      </c>
      <c r="C4111" s="37">
        <v>46162</v>
      </c>
      <c r="D4111" s="31">
        <v>227730</v>
      </c>
      <c r="E4111" s="32" t="s">
        <v>46</v>
      </c>
      <c r="F4111" s="15">
        <v>-14.19</v>
      </c>
      <c r="G4111" s="14" t="e">
        <f>VLOOKUP(D4111,Table4[],3,FALSE)</f>
        <v>#N/A</v>
      </c>
      <c r="H4111" s="15"/>
      <c r="I4111" s="15"/>
      <c r="J4111" s="24"/>
      <c r="K4111" s="15"/>
      <c r="L4111" s="15"/>
      <c r="M4111" s="15"/>
    </row>
    <row r="4112" spans="1:13" x14ac:dyDescent="0.25">
      <c r="A4112" s="23">
        <f t="shared" si="195"/>
        <v>196081</v>
      </c>
      <c r="B4112" s="14" t="str">
        <f t="shared" si="194"/>
        <v>Billing &amp; Direct Debit - Refunds</v>
      </c>
      <c r="C4112" s="38">
        <v>46162</v>
      </c>
      <c r="D4112" s="34">
        <v>196081</v>
      </c>
      <c r="E4112" s="35" t="s">
        <v>46</v>
      </c>
      <c r="F4112" s="15">
        <v>-1173.92</v>
      </c>
      <c r="G4112" s="14" t="str">
        <f>VLOOKUP(D4112,Table4[],3,FALSE)</f>
        <v>1</v>
      </c>
      <c r="H4112" s="15"/>
      <c r="I4112" s="15"/>
      <c r="J4112" s="15"/>
      <c r="K4112" s="15"/>
      <c r="L4112" s="15"/>
      <c r="M4112" s="15"/>
    </row>
    <row r="4113" spans="1:13" x14ac:dyDescent="0.25">
      <c r="A4113" s="23">
        <f t="shared" si="195"/>
        <v>213562</v>
      </c>
      <c r="B4113" s="14" t="str">
        <f t="shared" si="194"/>
        <v>Credit Cards (UMB) - Refunds</v>
      </c>
      <c r="C4113" s="37">
        <v>46160</v>
      </c>
      <c r="D4113" s="31">
        <v>213562</v>
      </c>
      <c r="E4113" s="32" t="s">
        <v>47</v>
      </c>
      <c r="F4113" s="15">
        <v>-1.6</v>
      </c>
      <c r="G4113" s="14" t="str">
        <f>VLOOKUP(D4113,Table4[],3,FALSE)</f>
        <v>1</v>
      </c>
      <c r="H4113" s="15"/>
      <c r="I4113" s="15"/>
      <c r="J4113" s="15"/>
      <c r="K4113" s="15"/>
      <c r="L4113" s="15"/>
      <c r="M4113" s="15"/>
    </row>
    <row r="4114" spans="1:13" x14ac:dyDescent="0.25">
      <c r="A4114" s="23">
        <f t="shared" si="195"/>
        <v>150632</v>
      </c>
      <c r="B4114" s="14" t="str">
        <f t="shared" si="194"/>
        <v>Billing &amp; Direct Debit - Refunds</v>
      </c>
      <c r="C4114" s="38">
        <v>46162</v>
      </c>
      <c r="D4114" s="34">
        <v>150632</v>
      </c>
      <c r="E4114" s="35" t="s">
        <v>46</v>
      </c>
      <c r="F4114" s="15">
        <v>-4.7699999999999996</v>
      </c>
      <c r="G4114" s="14" t="str">
        <f>VLOOKUP(D4114,Table4[],3,FALSE)</f>
        <v>1</v>
      </c>
      <c r="H4114" s="15"/>
      <c r="I4114" s="15"/>
      <c r="J4114" s="24"/>
      <c r="K4114" s="15"/>
      <c r="L4114" s="15"/>
      <c r="M4114" s="15"/>
    </row>
    <row r="4115" spans="1:13" x14ac:dyDescent="0.25">
      <c r="A4115" s="23">
        <f t="shared" si="195"/>
        <v>260455</v>
      </c>
      <c r="B4115" s="14" t="str">
        <f t="shared" si="194"/>
        <v>Direct Debit (UMB Bank) - Returned Items</v>
      </c>
      <c r="C4115" s="37">
        <v>46160</v>
      </c>
      <c r="D4115" s="31">
        <v>260455</v>
      </c>
      <c r="E4115" s="32" t="s">
        <v>42</v>
      </c>
      <c r="F4115" s="15">
        <v>-53.37</v>
      </c>
      <c r="G4115" s="14" t="e">
        <f>VLOOKUP(D4115,Table4[],3,FALSE)</f>
        <v>#N/A</v>
      </c>
      <c r="H4115" s="15"/>
      <c r="I4115" s="15"/>
      <c r="J4115" s="15"/>
      <c r="K4115" s="15"/>
      <c r="L4115" s="15"/>
      <c r="M4115" s="15"/>
    </row>
    <row r="4116" spans="1:13" x14ac:dyDescent="0.25">
      <c r="A4116" s="23"/>
      <c r="B4116" s="14" t="str">
        <f t="shared" si="194"/>
        <v>Billing &amp; Direct Debit - Refunds</v>
      </c>
      <c r="C4116" s="38">
        <v>46162</v>
      </c>
      <c r="D4116" s="34">
        <v>183338</v>
      </c>
      <c r="E4116" s="35" t="s">
        <v>46</v>
      </c>
      <c r="F4116" s="15">
        <v>-2.97</v>
      </c>
      <c r="G4116" s="14" t="str">
        <f>VLOOKUP(D4116,Table4[],3,FALSE)</f>
        <v>1</v>
      </c>
      <c r="H4116" s="15"/>
      <c r="I4116" s="15"/>
      <c r="J4116" s="15"/>
      <c r="K4116" s="15"/>
      <c r="L4116" s="15"/>
      <c r="M4116" s="15"/>
    </row>
    <row r="4117" spans="1:13" x14ac:dyDescent="0.25">
      <c r="A4117" s="23"/>
      <c r="B4117" s="14" t="str">
        <f t="shared" si="194"/>
        <v>Direct Debit (UMB Bank) - Returned Items</v>
      </c>
      <c r="C4117" s="37">
        <v>46160</v>
      </c>
      <c r="D4117" s="31">
        <v>260425</v>
      </c>
      <c r="E4117" s="32" t="s">
        <v>42</v>
      </c>
      <c r="F4117" s="15">
        <v>-101.77</v>
      </c>
      <c r="G4117" s="14" t="e">
        <f>VLOOKUP(D4117,Table4[],3,FALSE)</f>
        <v>#N/A</v>
      </c>
      <c r="H4117" s="15"/>
      <c r="I4117" s="15"/>
      <c r="J4117" s="15"/>
      <c r="K4117" s="15"/>
      <c r="L4117" s="15"/>
      <c r="M4117" s="15"/>
    </row>
    <row r="4118" spans="1:13" x14ac:dyDescent="0.25">
      <c r="A4118" s="23"/>
      <c r="B4118" s="14" t="str">
        <f t="shared" si="194"/>
        <v>Credit Cards (UMB) - Refunds</v>
      </c>
      <c r="C4118" s="38">
        <v>46160</v>
      </c>
      <c r="D4118" s="34">
        <v>260179</v>
      </c>
      <c r="E4118" s="35" t="s">
        <v>47</v>
      </c>
      <c r="F4118" s="15">
        <v>-22.33</v>
      </c>
      <c r="G4118" s="14" t="str">
        <f>VLOOKUP(D4118,Table4[],3,FALSE)</f>
        <v>1</v>
      </c>
      <c r="H4118" s="15"/>
      <c r="I4118" s="15"/>
      <c r="J4118" s="15"/>
      <c r="K4118" s="15"/>
      <c r="L4118" s="15"/>
      <c r="M4118" s="15"/>
    </row>
    <row r="4119" spans="1:13" x14ac:dyDescent="0.25">
      <c r="A4119" s="23"/>
      <c r="B4119" s="14" t="str">
        <f t="shared" si="194"/>
        <v>Direct Debit (UMB Bank) - Returned Items</v>
      </c>
      <c r="C4119" s="37">
        <v>46160</v>
      </c>
      <c r="D4119" s="31">
        <v>258766</v>
      </c>
      <c r="E4119" s="32" t="s">
        <v>42</v>
      </c>
      <c r="F4119" s="15">
        <v>-53.92</v>
      </c>
      <c r="G4119" s="14" t="e">
        <f>VLOOKUP(D4119,Table4[],3,FALSE)</f>
        <v>#N/A</v>
      </c>
      <c r="H4119" s="15"/>
      <c r="I4119" s="15"/>
      <c r="J4119" s="15"/>
      <c r="K4119" s="15"/>
      <c r="L4119" s="15"/>
      <c r="M4119" s="15"/>
    </row>
    <row r="4120" spans="1:13" x14ac:dyDescent="0.25">
      <c r="A4120" s="23">
        <f t="shared" ref="A4120:A4150" si="196">D4120</f>
        <v>260452</v>
      </c>
      <c r="B4120" s="14" t="str">
        <f t="shared" si="194"/>
        <v>Direct Debit (UMB Bank) - Returned Items</v>
      </c>
      <c r="C4120" s="38">
        <v>46147</v>
      </c>
      <c r="D4120" s="34">
        <v>260452</v>
      </c>
      <c r="E4120" s="35" t="s">
        <v>42</v>
      </c>
      <c r="F4120" s="15">
        <v>-26.97</v>
      </c>
      <c r="G4120" s="14" t="str">
        <f>VLOOKUP(D4120,Table4[],3,FALSE)</f>
        <v>1</v>
      </c>
      <c r="H4120" s="15"/>
      <c r="I4120" s="15"/>
      <c r="J4120" s="24"/>
      <c r="K4120" s="15"/>
      <c r="L4120" s="15"/>
      <c r="M4120" s="15"/>
    </row>
    <row r="4121" spans="1:13" x14ac:dyDescent="0.25">
      <c r="A4121" s="23">
        <f t="shared" si="196"/>
        <v>255245</v>
      </c>
      <c r="B4121" s="14" t="str">
        <f t="shared" si="194"/>
        <v>Direct Debit (UMB Bank) - Returned Items</v>
      </c>
      <c r="C4121" s="37">
        <v>46147</v>
      </c>
      <c r="D4121" s="31">
        <v>255245</v>
      </c>
      <c r="E4121" s="32" t="s">
        <v>42</v>
      </c>
      <c r="F4121" s="15">
        <v>-41.71</v>
      </c>
      <c r="G4121" s="14" t="str">
        <f>VLOOKUP(D4121,Table4[],3,FALSE)</f>
        <v>1</v>
      </c>
      <c r="H4121" s="15"/>
      <c r="I4121" s="15"/>
      <c r="J4121" s="15"/>
      <c r="K4121" s="15"/>
      <c r="L4121" s="15"/>
      <c r="M4121" s="15"/>
    </row>
    <row r="4122" spans="1:13" x14ac:dyDescent="0.25">
      <c r="A4122" s="23">
        <f t="shared" si="196"/>
        <v>251758</v>
      </c>
      <c r="B4122" s="14" t="str">
        <f t="shared" si="194"/>
        <v>Direct Debit (UMB Bank) - Returned Items</v>
      </c>
      <c r="C4122" s="38">
        <v>46147</v>
      </c>
      <c r="D4122" s="34">
        <v>251758</v>
      </c>
      <c r="E4122" s="35" t="s">
        <v>42</v>
      </c>
      <c r="F4122" s="15">
        <v>-56.23</v>
      </c>
      <c r="G4122" s="14" t="str">
        <f>VLOOKUP(D4122,Table4[],3,FALSE)</f>
        <v>1</v>
      </c>
      <c r="H4122" s="15"/>
      <c r="I4122" s="15"/>
      <c r="J4122" s="15"/>
      <c r="K4122" s="15"/>
      <c r="L4122" s="15"/>
      <c r="M4122" s="15"/>
    </row>
    <row r="4123" spans="1:13" x14ac:dyDescent="0.25">
      <c r="A4123" s="23">
        <f t="shared" si="196"/>
        <v>259787</v>
      </c>
      <c r="B4123" s="14" t="str">
        <f t="shared" si="194"/>
        <v>Direct Debit (UMB Bank) - Returned Items</v>
      </c>
      <c r="C4123" s="37">
        <v>46147</v>
      </c>
      <c r="D4123" s="31">
        <v>259787</v>
      </c>
      <c r="E4123" s="32" t="s">
        <v>42</v>
      </c>
      <c r="F4123" s="15">
        <v>-34.450000000000003</v>
      </c>
      <c r="G4123" s="14" t="e">
        <f>VLOOKUP(D4123,Table4[],3,FALSE)</f>
        <v>#N/A</v>
      </c>
      <c r="H4123" s="15"/>
      <c r="I4123" s="15"/>
      <c r="J4123" s="15"/>
      <c r="K4123" s="15"/>
      <c r="L4123" s="15"/>
      <c r="M4123" s="15"/>
    </row>
    <row r="4124" spans="1:13" x14ac:dyDescent="0.25">
      <c r="A4124" s="23">
        <f t="shared" si="196"/>
        <v>185836</v>
      </c>
      <c r="B4124" s="14" t="str">
        <f t="shared" si="194"/>
        <v>Direct Debit (UMB Bank) - Returned Items</v>
      </c>
      <c r="C4124" s="38">
        <v>46147</v>
      </c>
      <c r="D4124" s="34">
        <v>185836</v>
      </c>
      <c r="E4124" s="35" t="s">
        <v>42</v>
      </c>
      <c r="F4124" s="15">
        <v>-15.39</v>
      </c>
      <c r="G4124" s="14" t="str">
        <f>VLOOKUP(D4124,Table4[],3,FALSE)</f>
        <v>1</v>
      </c>
      <c r="H4124" s="15"/>
      <c r="I4124" s="15"/>
      <c r="J4124" s="15"/>
      <c r="K4124" s="15"/>
      <c r="L4124" s="15"/>
      <c r="M4124" s="15"/>
    </row>
    <row r="4125" spans="1:13" x14ac:dyDescent="0.25">
      <c r="A4125" s="23">
        <f t="shared" si="196"/>
        <v>259881</v>
      </c>
      <c r="B4125" s="14" t="str">
        <f t="shared" si="194"/>
        <v>Direct Debit (UMB Bank) - Returned Items</v>
      </c>
      <c r="C4125" s="37">
        <v>46160</v>
      </c>
      <c r="D4125" s="31">
        <v>259881</v>
      </c>
      <c r="E4125" s="32" t="s">
        <v>42</v>
      </c>
      <c r="F4125" s="15">
        <v>-51.17</v>
      </c>
      <c r="G4125" s="14" t="e">
        <f>VLOOKUP(D4125,Table4[],3,FALSE)</f>
        <v>#N/A</v>
      </c>
      <c r="H4125" s="15"/>
      <c r="I4125" s="15"/>
      <c r="J4125" s="15"/>
      <c r="K4125" s="15"/>
      <c r="L4125" s="15"/>
      <c r="M4125" s="15"/>
    </row>
    <row r="4126" spans="1:13" x14ac:dyDescent="0.25">
      <c r="A4126" s="23">
        <f t="shared" si="196"/>
        <v>253226</v>
      </c>
      <c r="B4126" s="14" t="str">
        <f t="shared" si="194"/>
        <v>Direct Debit (UMB Bank) - Returned Items</v>
      </c>
      <c r="C4126" s="38">
        <v>46149</v>
      </c>
      <c r="D4126" s="34">
        <v>253226</v>
      </c>
      <c r="E4126" s="35" t="s">
        <v>42</v>
      </c>
      <c r="F4126" s="15">
        <v>-41.93</v>
      </c>
      <c r="G4126" s="14" t="str">
        <f>VLOOKUP(D4126,Table4[],3,FALSE)</f>
        <v>1</v>
      </c>
      <c r="H4126" s="15"/>
      <c r="I4126" s="15"/>
      <c r="J4126" s="15"/>
      <c r="K4126" s="15"/>
      <c r="L4126" s="15"/>
      <c r="M4126" s="15"/>
    </row>
    <row r="4127" spans="1:13" x14ac:dyDescent="0.25">
      <c r="A4127" s="23">
        <f t="shared" si="196"/>
        <v>202654</v>
      </c>
      <c r="B4127" s="14" t="str">
        <f t="shared" si="194"/>
        <v>Direct Debit (UMB Bank) - Returned Items</v>
      </c>
      <c r="C4127" s="37">
        <v>46149</v>
      </c>
      <c r="D4127" s="31">
        <v>202654</v>
      </c>
      <c r="E4127" s="32" t="s">
        <v>42</v>
      </c>
      <c r="F4127" s="15">
        <v>-23.34</v>
      </c>
      <c r="G4127" s="14" t="str">
        <f>VLOOKUP(D4127,Table4[],3,FALSE)</f>
        <v>2</v>
      </c>
      <c r="H4127" s="15"/>
      <c r="I4127" s="15"/>
      <c r="J4127" s="15"/>
      <c r="K4127" s="15"/>
      <c r="L4127" s="15"/>
      <c r="M4127" s="15"/>
    </row>
    <row r="4128" spans="1:13" x14ac:dyDescent="0.25">
      <c r="A4128" s="23">
        <f t="shared" si="196"/>
        <v>172122</v>
      </c>
      <c r="B4128" s="14" t="str">
        <f t="shared" si="194"/>
        <v>Direct Debit (UMB Bank) - Returned Items</v>
      </c>
      <c r="C4128" s="38">
        <v>46149</v>
      </c>
      <c r="D4128" s="34">
        <v>172122</v>
      </c>
      <c r="E4128" s="35" t="s">
        <v>42</v>
      </c>
      <c r="F4128" s="15">
        <v>-10.02</v>
      </c>
      <c r="G4128" s="14" t="str">
        <f>VLOOKUP(D4128,Table4[],3,FALSE)</f>
        <v>1</v>
      </c>
      <c r="H4128" s="15"/>
      <c r="I4128" s="15"/>
      <c r="J4128" s="15"/>
      <c r="K4128" s="15"/>
      <c r="L4128" s="15"/>
      <c r="M4128" s="15"/>
    </row>
    <row r="4129" spans="1:13" x14ac:dyDescent="0.25">
      <c r="A4129" s="23">
        <f t="shared" si="196"/>
        <v>256942</v>
      </c>
      <c r="B4129" s="14" t="str">
        <f t="shared" si="194"/>
        <v>Direct Debit (UMB Bank) - Returned Items</v>
      </c>
      <c r="C4129" s="37">
        <v>46149</v>
      </c>
      <c r="D4129" s="31">
        <v>256942</v>
      </c>
      <c r="E4129" s="32" t="s">
        <v>42</v>
      </c>
      <c r="F4129" s="15">
        <v>-47.65</v>
      </c>
      <c r="G4129" s="14" t="str">
        <f>VLOOKUP(D4129,Table4[],3,FALSE)</f>
        <v>1</v>
      </c>
      <c r="H4129" s="15"/>
      <c r="I4129" s="15"/>
      <c r="J4129" s="15"/>
      <c r="K4129" s="15"/>
      <c r="L4129" s="15"/>
      <c r="M4129" s="15"/>
    </row>
    <row r="4130" spans="1:13" x14ac:dyDescent="0.25">
      <c r="A4130" s="23">
        <f t="shared" si="196"/>
        <v>258674</v>
      </c>
      <c r="B4130" s="14" t="str">
        <f t="shared" si="194"/>
        <v>Direct Debit (UMB Bank) - Returned Items</v>
      </c>
      <c r="C4130" s="38">
        <v>46149</v>
      </c>
      <c r="D4130" s="34">
        <v>258674</v>
      </c>
      <c r="E4130" s="35" t="s">
        <v>42</v>
      </c>
      <c r="F4130" s="15">
        <v>-147.31</v>
      </c>
      <c r="G4130" s="14" t="str">
        <f>VLOOKUP(D4130,Table4[],3,FALSE)</f>
        <v>2</v>
      </c>
      <c r="H4130" s="15"/>
      <c r="I4130" s="15"/>
      <c r="J4130" s="15"/>
      <c r="K4130" s="15"/>
      <c r="L4130" s="15"/>
      <c r="M4130" s="15"/>
    </row>
    <row r="4131" spans="1:13" x14ac:dyDescent="0.25">
      <c r="A4131" s="23">
        <f t="shared" si="196"/>
        <v>260428</v>
      </c>
      <c r="B4131" s="14" t="str">
        <f t="shared" si="194"/>
        <v>Direct Debit (UMB Bank) - Returned Items</v>
      </c>
      <c r="C4131" s="37">
        <v>46149</v>
      </c>
      <c r="D4131" s="31">
        <v>260428</v>
      </c>
      <c r="E4131" s="32" t="s">
        <v>42</v>
      </c>
      <c r="F4131" s="15">
        <v>-45.89</v>
      </c>
      <c r="G4131" s="14" t="e">
        <f>VLOOKUP(D4131,Table4[],3,FALSE)</f>
        <v>#N/A</v>
      </c>
      <c r="H4131" s="15"/>
      <c r="I4131" s="15"/>
      <c r="J4131" s="15"/>
      <c r="K4131" s="15"/>
      <c r="L4131" s="15"/>
      <c r="M4131" s="15"/>
    </row>
    <row r="4132" spans="1:13" x14ac:dyDescent="0.25">
      <c r="A4132" s="23">
        <f t="shared" si="196"/>
        <v>256689</v>
      </c>
      <c r="B4132" s="14" t="str">
        <f t="shared" si="194"/>
        <v>Direct Debit (UMB Bank) - Returned Items</v>
      </c>
      <c r="C4132" s="38">
        <v>46149</v>
      </c>
      <c r="D4132" s="34">
        <v>256689</v>
      </c>
      <c r="E4132" s="35" t="s">
        <v>42</v>
      </c>
      <c r="F4132" s="15">
        <v>-39.950000000000003</v>
      </c>
      <c r="G4132" s="14" t="str">
        <f>VLOOKUP(D4132,Table4[],3,FALSE)</f>
        <v>1</v>
      </c>
      <c r="H4132" s="15"/>
      <c r="I4132" s="15"/>
      <c r="J4132" s="24"/>
      <c r="K4132" s="15"/>
      <c r="L4132" s="15"/>
      <c r="M4132" s="15"/>
    </row>
    <row r="4133" spans="1:13" x14ac:dyDescent="0.25">
      <c r="A4133" s="23">
        <f t="shared" si="196"/>
        <v>252748</v>
      </c>
      <c r="B4133" s="14" t="str">
        <f t="shared" si="194"/>
        <v>Direct Debit (UMB Bank) - Returned Items</v>
      </c>
      <c r="C4133" s="37">
        <v>46149</v>
      </c>
      <c r="D4133" s="31">
        <v>252748</v>
      </c>
      <c r="E4133" s="32" t="s">
        <v>42</v>
      </c>
      <c r="F4133" s="15">
        <v>-58.54</v>
      </c>
      <c r="G4133" s="14" t="str">
        <f>VLOOKUP(D4133,Table4[],3,FALSE)</f>
        <v>2</v>
      </c>
      <c r="H4133" s="15"/>
      <c r="I4133" s="15"/>
      <c r="J4133" s="15"/>
      <c r="K4133" s="15"/>
      <c r="L4133" s="15"/>
      <c r="M4133" s="15"/>
    </row>
    <row r="4134" spans="1:13" x14ac:dyDescent="0.25">
      <c r="A4134" s="23">
        <f t="shared" si="196"/>
        <v>258799</v>
      </c>
      <c r="B4134" s="14" t="str">
        <f t="shared" si="194"/>
        <v>Direct Debit (UMB Bank) - Returned Items</v>
      </c>
      <c r="C4134" s="38">
        <v>46149</v>
      </c>
      <c r="D4134" s="34">
        <v>258799</v>
      </c>
      <c r="E4134" s="35" t="s">
        <v>42</v>
      </c>
      <c r="F4134" s="15">
        <v>-30.05</v>
      </c>
      <c r="G4134" s="14" t="str">
        <f>VLOOKUP(D4134,Table4[],3,FALSE)</f>
        <v>1</v>
      </c>
      <c r="H4134" s="15"/>
      <c r="I4134" s="15"/>
      <c r="J4134" s="15"/>
      <c r="K4134" s="15"/>
      <c r="L4134" s="15"/>
      <c r="M4134" s="15"/>
    </row>
    <row r="4135" spans="1:13" x14ac:dyDescent="0.25">
      <c r="A4135" s="23">
        <f t="shared" si="196"/>
        <v>202839</v>
      </c>
      <c r="B4135" s="14" t="str">
        <f t="shared" si="194"/>
        <v>Direct Debit (UMB Bank) - Returned Items</v>
      </c>
      <c r="C4135" s="37">
        <v>46149</v>
      </c>
      <c r="D4135" s="31">
        <v>202839</v>
      </c>
      <c r="E4135" s="32" t="s">
        <v>42</v>
      </c>
      <c r="F4135" s="15">
        <v>-10.25</v>
      </c>
      <c r="G4135" s="14" t="str">
        <f>VLOOKUP(D4135,Table4[],3,FALSE)</f>
        <v>1</v>
      </c>
      <c r="H4135" s="15"/>
      <c r="I4135" s="15"/>
      <c r="J4135" s="15"/>
      <c r="K4135" s="15"/>
      <c r="L4135" s="15"/>
      <c r="M4135" s="15"/>
    </row>
    <row r="4136" spans="1:13" x14ac:dyDescent="0.25">
      <c r="A4136" s="23">
        <f t="shared" si="196"/>
        <v>253226</v>
      </c>
      <c r="B4136" s="14" t="str">
        <f t="shared" si="194"/>
        <v>Direct Debit (UMB Bank) - Returned Items</v>
      </c>
      <c r="C4136" s="38">
        <v>46149</v>
      </c>
      <c r="D4136" s="34">
        <v>253226</v>
      </c>
      <c r="E4136" s="35" t="s">
        <v>42</v>
      </c>
      <c r="F4136" s="15">
        <v>-41.93</v>
      </c>
      <c r="G4136" s="14" t="str">
        <f>VLOOKUP(D4136,Table4[],3,FALSE)</f>
        <v>1</v>
      </c>
      <c r="H4136" s="15"/>
      <c r="I4136" s="15"/>
      <c r="J4136" s="15"/>
      <c r="K4136" s="15"/>
      <c r="L4136" s="15"/>
      <c r="M4136" s="15"/>
    </row>
    <row r="4137" spans="1:13" x14ac:dyDescent="0.25">
      <c r="A4137" s="23">
        <f t="shared" si="196"/>
        <v>259494</v>
      </c>
      <c r="B4137" s="14" t="str">
        <f t="shared" si="194"/>
        <v>Direct Debit (UMB Bank) - Returned Items</v>
      </c>
      <c r="C4137" s="37">
        <v>46149</v>
      </c>
      <c r="D4137" s="31">
        <v>259494</v>
      </c>
      <c r="E4137" s="32" t="s">
        <v>42</v>
      </c>
      <c r="F4137" s="15">
        <v>-27.85</v>
      </c>
      <c r="G4137" s="14" t="str">
        <f>VLOOKUP(D4137,Table4[],3,FALSE)</f>
        <v>1</v>
      </c>
      <c r="H4137" s="15"/>
      <c r="I4137" s="15"/>
      <c r="J4137" s="15"/>
      <c r="K4137" s="15"/>
      <c r="L4137" s="15"/>
      <c r="M4137" s="15"/>
    </row>
    <row r="4138" spans="1:13" x14ac:dyDescent="0.25">
      <c r="A4138" s="23">
        <f t="shared" si="196"/>
        <v>170557</v>
      </c>
      <c r="B4138" s="14" t="str">
        <f t="shared" si="194"/>
        <v>Billing &amp; Direct Debit - Refunds</v>
      </c>
      <c r="C4138" s="38">
        <v>46162</v>
      </c>
      <c r="D4138" s="34">
        <v>170557</v>
      </c>
      <c r="E4138" s="35" t="s">
        <v>46</v>
      </c>
      <c r="F4138" s="15">
        <v>-8.2799999999999994</v>
      </c>
      <c r="G4138" s="14" t="str">
        <f>VLOOKUP(D4138,Table4[],3,FALSE)</f>
        <v>1</v>
      </c>
      <c r="H4138" s="15"/>
      <c r="I4138" s="15"/>
      <c r="J4138" s="15"/>
      <c r="K4138" s="15"/>
      <c r="L4138" s="15"/>
      <c r="M4138" s="15"/>
    </row>
    <row r="4139" spans="1:13" x14ac:dyDescent="0.25">
      <c r="A4139" s="23">
        <f t="shared" si="196"/>
        <v>254555</v>
      </c>
      <c r="B4139" s="14" t="str">
        <f t="shared" si="194"/>
        <v>Direct Debit (UMB Bank) - Returned Items</v>
      </c>
      <c r="C4139" s="37">
        <v>46160</v>
      </c>
      <c r="D4139" s="31">
        <v>254555</v>
      </c>
      <c r="E4139" s="32" t="s">
        <v>42</v>
      </c>
      <c r="F4139" s="15">
        <v>-125.86</v>
      </c>
      <c r="G4139" s="14" t="e">
        <f>VLOOKUP(D4139,Table4[],3,FALSE)</f>
        <v>#N/A</v>
      </c>
      <c r="H4139" s="15"/>
      <c r="I4139" s="15"/>
      <c r="J4139" s="15"/>
      <c r="K4139" s="15"/>
      <c r="L4139" s="15"/>
      <c r="M4139" s="15"/>
    </row>
    <row r="4140" spans="1:13" x14ac:dyDescent="0.25">
      <c r="A4140" s="23">
        <f t="shared" si="196"/>
        <v>223881</v>
      </c>
      <c r="B4140" s="14" t="str">
        <f t="shared" si="194"/>
        <v>Direct Debit (UMB Bank) - Returned Items</v>
      </c>
      <c r="C4140" s="38">
        <v>46160</v>
      </c>
      <c r="D4140" s="34">
        <v>223881</v>
      </c>
      <c r="E4140" s="35" t="s">
        <v>42</v>
      </c>
      <c r="F4140" s="15">
        <v>-43.27</v>
      </c>
      <c r="G4140" s="14" t="e">
        <f>VLOOKUP(D4140,Table4[],3,FALSE)</f>
        <v>#N/A</v>
      </c>
      <c r="H4140" s="15"/>
      <c r="I4140" s="15"/>
      <c r="J4140" s="15"/>
      <c r="K4140" s="15"/>
      <c r="L4140" s="15"/>
      <c r="M4140" s="15"/>
    </row>
    <row r="4141" spans="1:13" x14ac:dyDescent="0.25">
      <c r="A4141" s="23">
        <f t="shared" si="196"/>
        <v>260336</v>
      </c>
      <c r="B4141" s="14" t="str">
        <f t="shared" si="194"/>
        <v>Direct Debit (UMB Bank) - Returned Items</v>
      </c>
      <c r="C4141" s="37">
        <v>46160</v>
      </c>
      <c r="D4141" s="31">
        <v>260336</v>
      </c>
      <c r="E4141" s="32" t="s">
        <v>42</v>
      </c>
      <c r="F4141" s="15">
        <v>-92.2</v>
      </c>
      <c r="G4141" s="14" t="e">
        <f>VLOOKUP(D4141,Table4[],3,FALSE)</f>
        <v>#N/A</v>
      </c>
      <c r="H4141" s="15"/>
      <c r="I4141" s="15"/>
      <c r="J4141" s="15"/>
      <c r="K4141" s="15"/>
      <c r="L4141" s="15"/>
      <c r="M4141" s="15"/>
    </row>
    <row r="4142" spans="1:13" x14ac:dyDescent="0.25">
      <c r="A4142" s="23">
        <f t="shared" si="196"/>
        <v>260423</v>
      </c>
      <c r="B4142" s="14" t="str">
        <f t="shared" si="194"/>
        <v>Direct Debit (UMB Bank) - Returned Items</v>
      </c>
      <c r="C4142" s="38">
        <v>46154</v>
      </c>
      <c r="D4142" s="34">
        <v>260423</v>
      </c>
      <c r="E4142" s="35" t="s">
        <v>42</v>
      </c>
      <c r="F4142" s="15">
        <v>-93.41</v>
      </c>
      <c r="G4142" s="14" t="str">
        <f>VLOOKUP(D4142,Table4[],3,FALSE)</f>
        <v>1</v>
      </c>
      <c r="H4142" s="15"/>
      <c r="I4142" s="15"/>
      <c r="J4142" s="24"/>
      <c r="K4142" s="15"/>
      <c r="L4142" s="15"/>
      <c r="M4142" s="15"/>
    </row>
    <row r="4143" spans="1:13" x14ac:dyDescent="0.25">
      <c r="A4143" s="23">
        <f t="shared" si="196"/>
        <v>260452</v>
      </c>
      <c r="B4143" s="14" t="str">
        <f t="shared" si="194"/>
        <v>Direct Debit (UMB Bank) - Returned Items</v>
      </c>
      <c r="C4143" s="37">
        <v>46154</v>
      </c>
      <c r="D4143" s="31">
        <v>260452</v>
      </c>
      <c r="E4143" s="32" t="s">
        <v>42</v>
      </c>
      <c r="F4143" s="15">
        <v>-26.97</v>
      </c>
      <c r="G4143" s="14" t="str">
        <f>VLOOKUP(D4143,Table4[],3,FALSE)</f>
        <v>1</v>
      </c>
      <c r="H4143" s="15"/>
      <c r="I4143" s="15"/>
      <c r="J4143" s="15"/>
      <c r="K4143" s="15"/>
      <c r="L4143" s="15"/>
      <c r="M4143" s="15"/>
    </row>
    <row r="4144" spans="1:13" x14ac:dyDescent="0.25">
      <c r="A4144" s="23">
        <f t="shared" si="196"/>
        <v>258149</v>
      </c>
      <c r="B4144" s="14" t="str">
        <f t="shared" si="194"/>
        <v>Direct Debit (UMB Bank) - Returned Items</v>
      </c>
      <c r="C4144" s="38">
        <v>46154</v>
      </c>
      <c r="D4144" s="34">
        <v>258149</v>
      </c>
      <c r="E4144" s="35" t="s">
        <v>42</v>
      </c>
      <c r="F4144" s="15">
        <v>-127.29</v>
      </c>
      <c r="G4144" s="14" t="str">
        <f>VLOOKUP(D4144,Table4[],3,FALSE)</f>
        <v>1</v>
      </c>
      <c r="H4144" s="15"/>
      <c r="I4144" s="15"/>
      <c r="J4144" s="15"/>
      <c r="K4144" s="15"/>
      <c r="L4144" s="15"/>
      <c r="M4144" s="15"/>
    </row>
    <row r="4145" spans="1:13" x14ac:dyDescent="0.25">
      <c r="A4145" s="23">
        <f t="shared" si="196"/>
        <v>255245</v>
      </c>
      <c r="B4145" s="14" t="str">
        <f t="shared" si="194"/>
        <v>Direct Debit (UMB Bank) - Returned Items</v>
      </c>
      <c r="C4145" s="37">
        <v>46154</v>
      </c>
      <c r="D4145" s="31">
        <v>255245</v>
      </c>
      <c r="E4145" s="32" t="s">
        <v>42</v>
      </c>
      <c r="F4145" s="15">
        <v>-41.71</v>
      </c>
      <c r="G4145" s="14" t="str">
        <f>VLOOKUP(D4145,Table4[],3,FALSE)</f>
        <v>1</v>
      </c>
      <c r="H4145" s="15"/>
      <c r="I4145" s="15"/>
      <c r="J4145" s="24"/>
      <c r="K4145" s="15"/>
      <c r="L4145" s="15"/>
      <c r="M4145" s="15"/>
    </row>
    <row r="4146" spans="1:13" x14ac:dyDescent="0.25">
      <c r="A4146" s="23">
        <f t="shared" si="196"/>
        <v>172122</v>
      </c>
      <c r="B4146" s="14" t="str">
        <f t="shared" si="194"/>
        <v>Direct Debit (UMB Bank) - Returned Items</v>
      </c>
      <c r="C4146" s="38">
        <v>46157</v>
      </c>
      <c r="D4146" s="34">
        <v>172122</v>
      </c>
      <c r="E4146" s="35" t="s">
        <v>42</v>
      </c>
      <c r="F4146" s="15">
        <v>-10.02</v>
      </c>
      <c r="G4146" s="14" t="str">
        <f>VLOOKUP(D4146,Table4[],3,FALSE)</f>
        <v>1</v>
      </c>
      <c r="H4146" s="15"/>
      <c r="I4146" s="15"/>
      <c r="J4146" s="15"/>
      <c r="K4146" s="15"/>
      <c r="L4146" s="15"/>
      <c r="M4146" s="15"/>
    </row>
    <row r="4147" spans="1:13" x14ac:dyDescent="0.25">
      <c r="A4147" s="23">
        <f t="shared" si="196"/>
        <v>256689</v>
      </c>
      <c r="B4147" s="14" t="str">
        <f t="shared" ref="B4147:B4210" si="197">IF(AND(E4147="BILL",F4147&lt;0),"Billing &amp; Direct Debit - Refunds",(IF(AND(E4147="BILL",F4147&gt;0),"Billing - Credits (from TPA)",(IF(AND(E4147="CC",F4147&lt;0),"Credit Cards (UMB) - Refunds",(IF(AND(E4147="CC",F4147&gt;0),"Credit Cards (UMB) - Credits",(IF(AND(E4147="ACH",F4147&gt;0),"Direct Debit (UMB Bank) - Credits","Direct Debit (UMB Bank) - Returned Items")))))))))</f>
        <v>Direct Debit (UMB Bank) - Returned Items</v>
      </c>
      <c r="C4147" s="37">
        <v>46157</v>
      </c>
      <c r="D4147" s="31">
        <v>256689</v>
      </c>
      <c r="E4147" s="32" t="s">
        <v>42</v>
      </c>
      <c r="F4147" s="15">
        <v>-39.950000000000003</v>
      </c>
      <c r="G4147" s="14" t="str">
        <f>VLOOKUP(D4147,Table4[],3,FALSE)</f>
        <v>1</v>
      </c>
      <c r="H4147" s="15"/>
      <c r="I4147" s="15"/>
      <c r="J4147" s="24"/>
      <c r="K4147" s="15"/>
      <c r="L4147" s="15"/>
      <c r="M4147" s="15"/>
    </row>
    <row r="4148" spans="1:13" x14ac:dyDescent="0.25">
      <c r="A4148" s="23">
        <f t="shared" si="196"/>
        <v>252748</v>
      </c>
      <c r="B4148" s="14" t="str">
        <f t="shared" si="197"/>
        <v>Direct Debit (UMB Bank) - Returned Items</v>
      </c>
      <c r="C4148" s="38">
        <v>46157</v>
      </c>
      <c r="D4148" s="34">
        <v>252748</v>
      </c>
      <c r="E4148" s="35" t="s">
        <v>42</v>
      </c>
      <c r="F4148" s="15">
        <v>-58.54</v>
      </c>
      <c r="G4148" s="14" t="str">
        <f>VLOOKUP(D4148,Table4[],3,FALSE)</f>
        <v>2</v>
      </c>
      <c r="H4148" s="15"/>
      <c r="I4148" s="15"/>
      <c r="J4148" s="15"/>
      <c r="K4148" s="15"/>
      <c r="L4148" s="15"/>
      <c r="M4148" s="15"/>
    </row>
    <row r="4149" spans="1:13" x14ac:dyDescent="0.25">
      <c r="A4149" s="23">
        <f t="shared" si="196"/>
        <v>251635</v>
      </c>
      <c r="B4149" s="14" t="str">
        <f t="shared" si="197"/>
        <v>Direct Debit (UMB Bank) - Returned Items</v>
      </c>
      <c r="C4149" s="37">
        <v>46162</v>
      </c>
      <c r="D4149" s="31">
        <v>251635</v>
      </c>
      <c r="E4149" s="32" t="s">
        <v>42</v>
      </c>
      <c r="F4149" s="15">
        <v>-45.67</v>
      </c>
      <c r="G4149" s="14" t="str">
        <f>VLOOKUP(D4149,Table4[],3,FALSE)</f>
        <v>2</v>
      </c>
      <c r="H4149" s="15"/>
      <c r="I4149" s="15"/>
      <c r="J4149" s="15"/>
      <c r="K4149" s="15"/>
      <c r="L4149" s="15"/>
      <c r="M4149" s="15"/>
    </row>
    <row r="4150" spans="1:13" x14ac:dyDescent="0.25">
      <c r="A4150" s="23">
        <f t="shared" si="196"/>
        <v>258904</v>
      </c>
      <c r="B4150" s="14" t="str">
        <f t="shared" si="197"/>
        <v>Direct Debit (UMB Bank) - Returned Items</v>
      </c>
      <c r="C4150" s="38">
        <v>46162</v>
      </c>
      <c r="D4150" s="34">
        <v>258904</v>
      </c>
      <c r="E4150" s="35" t="s">
        <v>42</v>
      </c>
      <c r="F4150" s="15">
        <v>-56.23</v>
      </c>
      <c r="G4150" s="14" t="str">
        <f>VLOOKUP(D4150,Table4[],3,FALSE)</f>
        <v>2</v>
      </c>
      <c r="H4150" s="15"/>
      <c r="I4150" s="15"/>
      <c r="J4150" s="15"/>
      <c r="K4150" s="15"/>
      <c r="L4150" s="15"/>
      <c r="M4150" s="15"/>
    </row>
    <row r="4151" spans="1:13" x14ac:dyDescent="0.25">
      <c r="A4151" s="23"/>
      <c r="B4151" s="14" t="str">
        <f t="shared" si="197"/>
        <v>Direct Debit (UMB Bank) - Returned Items</v>
      </c>
      <c r="C4151" s="37">
        <v>46162</v>
      </c>
      <c r="D4151" s="31">
        <v>257450</v>
      </c>
      <c r="E4151" s="32" t="s">
        <v>42</v>
      </c>
      <c r="F4151" s="15">
        <v>-41.27</v>
      </c>
      <c r="H4151" s="15"/>
      <c r="I4151" s="15"/>
      <c r="J4151" s="15"/>
      <c r="K4151" s="15"/>
      <c r="L4151" s="15"/>
      <c r="M4151" s="15"/>
    </row>
    <row r="4152" spans="1:13" x14ac:dyDescent="0.25">
      <c r="A4152" s="23"/>
      <c r="B4152" s="14" t="str">
        <f t="shared" si="197"/>
        <v>Direct Debit (UMB Bank) - Returned Items</v>
      </c>
      <c r="C4152" s="38">
        <v>46162</v>
      </c>
      <c r="D4152" s="34">
        <v>255601</v>
      </c>
      <c r="E4152" s="35" t="s">
        <v>42</v>
      </c>
      <c r="F4152" s="15">
        <v>-127.73</v>
      </c>
      <c r="H4152" s="15"/>
      <c r="I4152" s="15"/>
      <c r="J4152" s="24"/>
      <c r="K4152" s="15"/>
      <c r="L4152" s="15"/>
      <c r="M4152" s="15"/>
    </row>
    <row r="4153" spans="1:13" x14ac:dyDescent="0.25">
      <c r="A4153" s="23"/>
      <c r="B4153" s="14" t="str">
        <f t="shared" si="197"/>
        <v>Direct Debit (UMB Bank) - Returned Items</v>
      </c>
      <c r="C4153" s="37">
        <v>46162</v>
      </c>
      <c r="D4153" s="31">
        <v>239221</v>
      </c>
      <c r="E4153" s="32" t="s">
        <v>42</v>
      </c>
      <c r="F4153" s="15">
        <v>-76.95</v>
      </c>
      <c r="H4153" s="15"/>
      <c r="I4153" s="15"/>
      <c r="J4153" s="15"/>
      <c r="K4153" s="15"/>
      <c r="L4153" s="15"/>
      <c r="M4153" s="15"/>
    </row>
    <row r="4154" spans="1:13" x14ac:dyDescent="0.25">
      <c r="A4154" s="23"/>
      <c r="B4154" s="14" t="str">
        <f t="shared" si="197"/>
        <v>Direct Debit (UMB Bank) - Returned Items</v>
      </c>
      <c r="C4154" s="38">
        <v>46162</v>
      </c>
      <c r="D4154" s="34">
        <v>187578</v>
      </c>
      <c r="E4154" s="35" t="s">
        <v>42</v>
      </c>
      <c r="F4154" s="15">
        <v>-36.950000000000003</v>
      </c>
      <c r="H4154" s="15"/>
      <c r="I4154" s="15"/>
      <c r="J4154" s="15"/>
      <c r="K4154" s="15"/>
      <c r="L4154" s="15"/>
      <c r="M4154" s="15"/>
    </row>
    <row r="4155" spans="1:13" x14ac:dyDescent="0.25">
      <c r="A4155" s="23"/>
      <c r="B4155" s="14" t="str">
        <f t="shared" si="197"/>
        <v>Direct Debit (UMB Bank) - Returned Items</v>
      </c>
      <c r="C4155" s="37">
        <v>46162</v>
      </c>
      <c r="D4155" s="31">
        <v>257391</v>
      </c>
      <c r="E4155" s="32" t="s">
        <v>42</v>
      </c>
      <c r="F4155" s="15">
        <v>-57.55</v>
      </c>
      <c r="H4155" s="15"/>
      <c r="I4155" s="15"/>
      <c r="J4155" s="15"/>
      <c r="K4155" s="15"/>
      <c r="L4155" s="15"/>
      <c r="M4155" s="15"/>
    </row>
    <row r="4156" spans="1:13" x14ac:dyDescent="0.25">
      <c r="A4156" s="23"/>
      <c r="B4156" s="14" t="str">
        <f t="shared" si="197"/>
        <v>Direct Debit (UMB Bank) - Returned Items</v>
      </c>
      <c r="C4156" s="38">
        <v>46162</v>
      </c>
      <c r="D4156" s="34">
        <v>247318</v>
      </c>
      <c r="E4156" s="35" t="s">
        <v>42</v>
      </c>
      <c r="F4156" s="15">
        <v>-168.76</v>
      </c>
      <c r="H4156" s="15"/>
      <c r="I4156" s="15"/>
      <c r="J4156" s="24"/>
      <c r="K4156" s="15"/>
      <c r="L4156" s="15"/>
      <c r="M4156" s="15"/>
    </row>
    <row r="4157" spans="1:13" x14ac:dyDescent="0.25">
      <c r="A4157" s="23"/>
      <c r="B4157" s="14" t="str">
        <f t="shared" si="197"/>
        <v>Direct Debit (UMB Bank) - Returned Items</v>
      </c>
      <c r="C4157" s="37">
        <v>46162</v>
      </c>
      <c r="D4157" s="31">
        <v>256281</v>
      </c>
      <c r="E4157" s="32" t="s">
        <v>42</v>
      </c>
      <c r="F4157" s="15">
        <v>-114.09</v>
      </c>
      <c r="H4157" s="15"/>
      <c r="I4157" s="15"/>
      <c r="J4157" s="24"/>
      <c r="K4157" s="15"/>
      <c r="L4157" s="15"/>
      <c r="M4157" s="15"/>
    </row>
    <row r="4158" spans="1:13" x14ac:dyDescent="0.25">
      <c r="A4158" s="23"/>
      <c r="B4158" s="14" t="str">
        <f t="shared" si="197"/>
        <v>Direct Debit (UMB Bank) - Returned Items</v>
      </c>
      <c r="C4158" s="38">
        <v>46162</v>
      </c>
      <c r="D4158" s="34">
        <v>256894</v>
      </c>
      <c r="E4158" s="35" t="s">
        <v>42</v>
      </c>
      <c r="F4158" s="15">
        <v>-39.51</v>
      </c>
      <c r="H4158" s="15"/>
      <c r="I4158" s="15"/>
      <c r="J4158" s="24"/>
      <c r="K4158" s="15"/>
      <c r="L4158" s="15"/>
      <c r="M4158" s="15"/>
    </row>
    <row r="4159" spans="1:13" x14ac:dyDescent="0.25">
      <c r="A4159" s="23"/>
      <c r="B4159" s="14" t="str">
        <f t="shared" si="197"/>
        <v>Direct Debit (UMB Bank) - Returned Items</v>
      </c>
      <c r="C4159" s="37">
        <v>46162</v>
      </c>
      <c r="D4159" s="31">
        <v>232410</v>
      </c>
      <c r="E4159" s="32" t="s">
        <v>42</v>
      </c>
      <c r="F4159" s="15">
        <v>-67.61</v>
      </c>
      <c r="H4159" s="15"/>
      <c r="I4159" s="15"/>
      <c r="J4159" s="15"/>
      <c r="K4159" s="15"/>
      <c r="L4159" s="15"/>
      <c r="M4159" s="15"/>
    </row>
    <row r="4160" spans="1:13" x14ac:dyDescent="0.25">
      <c r="A4160" s="23"/>
      <c r="B4160" s="14" t="str">
        <f t="shared" si="197"/>
        <v>Direct Debit (UMB Bank) - Returned Items</v>
      </c>
      <c r="C4160" s="38">
        <v>46162</v>
      </c>
      <c r="D4160" s="34">
        <v>259273</v>
      </c>
      <c r="E4160" s="35" t="s">
        <v>42</v>
      </c>
      <c r="F4160" s="15">
        <v>-60.19</v>
      </c>
      <c r="H4160" s="15"/>
      <c r="I4160" s="15"/>
      <c r="J4160" s="15"/>
      <c r="K4160" s="15"/>
      <c r="L4160" s="15"/>
      <c r="M4160" s="15"/>
    </row>
    <row r="4161" spans="1:13" x14ac:dyDescent="0.25">
      <c r="A4161" s="23"/>
      <c r="B4161" s="14" t="str">
        <f t="shared" si="197"/>
        <v>Direct Debit (UMB Bank) - Returned Items</v>
      </c>
      <c r="C4161" s="37">
        <v>46162</v>
      </c>
      <c r="D4161" s="31">
        <v>258687</v>
      </c>
      <c r="E4161" s="32" t="s">
        <v>42</v>
      </c>
      <c r="F4161" s="15">
        <v>-72.510000000000005</v>
      </c>
      <c r="H4161" s="15"/>
      <c r="I4161" s="15"/>
      <c r="J4161" s="15"/>
      <c r="K4161" s="15"/>
      <c r="L4161" s="15"/>
      <c r="M4161" s="15"/>
    </row>
    <row r="4162" spans="1:13" x14ac:dyDescent="0.25">
      <c r="A4162" s="23"/>
      <c r="B4162" s="14" t="str">
        <f t="shared" si="197"/>
        <v>Direct Debit (UMB Bank) - Returned Items</v>
      </c>
      <c r="C4162" s="38">
        <v>46163</v>
      </c>
      <c r="D4162" s="34">
        <v>257166</v>
      </c>
      <c r="E4162" s="35" t="s">
        <v>42</v>
      </c>
      <c r="F4162" s="15">
        <v>-152.59</v>
      </c>
      <c r="H4162" s="15"/>
      <c r="I4162" s="15"/>
      <c r="J4162" s="15"/>
      <c r="K4162" s="15"/>
      <c r="L4162" s="15"/>
      <c r="M4162" s="15"/>
    </row>
    <row r="4163" spans="1:13" x14ac:dyDescent="0.25">
      <c r="A4163" s="23"/>
      <c r="B4163" s="14" t="str">
        <f t="shared" si="197"/>
        <v>Direct Debit (UMB Bank) - Returned Items</v>
      </c>
      <c r="C4163" s="37">
        <v>46163</v>
      </c>
      <c r="D4163" s="31">
        <v>259901</v>
      </c>
      <c r="E4163" s="32" t="s">
        <v>42</v>
      </c>
      <c r="F4163" s="15">
        <v>-100.45</v>
      </c>
      <c r="H4163" s="15"/>
      <c r="I4163" s="15"/>
      <c r="J4163" s="15"/>
      <c r="K4163" s="15"/>
      <c r="L4163" s="15"/>
      <c r="M4163" s="15"/>
    </row>
    <row r="4164" spans="1:13" x14ac:dyDescent="0.25">
      <c r="A4164" s="23"/>
      <c r="B4164" s="14" t="str">
        <f t="shared" si="197"/>
        <v>Direct Debit (UMB Bank) - Returned Items</v>
      </c>
      <c r="C4164" s="38">
        <v>46163</v>
      </c>
      <c r="D4164" s="34">
        <v>255146</v>
      </c>
      <c r="E4164" s="35" t="s">
        <v>42</v>
      </c>
      <c r="F4164" s="15">
        <v>-60.85</v>
      </c>
      <c r="H4164" s="15"/>
      <c r="I4164" s="15"/>
      <c r="J4164" s="15"/>
      <c r="K4164" s="15"/>
      <c r="L4164" s="15"/>
      <c r="M4164" s="15"/>
    </row>
    <row r="4165" spans="1:13" x14ac:dyDescent="0.25">
      <c r="A4165" s="23"/>
      <c r="B4165" s="14" t="str">
        <f t="shared" si="197"/>
        <v>Direct Debit (UMB Bank) - Returned Items</v>
      </c>
      <c r="C4165" s="37">
        <v>46168</v>
      </c>
      <c r="D4165" s="31">
        <v>153444</v>
      </c>
      <c r="E4165" s="32" t="s">
        <v>42</v>
      </c>
      <c r="F4165" s="15">
        <v>-1106.9000000000001</v>
      </c>
      <c r="H4165" s="15"/>
      <c r="I4165" s="15"/>
      <c r="J4165" s="15"/>
      <c r="K4165" s="15"/>
      <c r="L4165" s="15"/>
      <c r="M4165" s="15"/>
    </row>
    <row r="4166" spans="1:13" x14ac:dyDescent="0.25">
      <c r="A4166" s="23"/>
      <c r="B4166" s="14" t="str">
        <f t="shared" si="197"/>
        <v>Direct Debit (UMB Bank) - Returned Items</v>
      </c>
      <c r="C4166" s="38">
        <v>46168</v>
      </c>
      <c r="D4166" s="34">
        <v>255146</v>
      </c>
      <c r="E4166" s="35" t="s">
        <v>42</v>
      </c>
      <c r="F4166" s="15">
        <v>-60.85</v>
      </c>
      <c r="H4166" s="15"/>
      <c r="I4166" s="15"/>
      <c r="J4166" s="15"/>
      <c r="K4166" s="15"/>
      <c r="L4166" s="15"/>
      <c r="M4166" s="15"/>
    </row>
    <row r="4167" spans="1:13" x14ac:dyDescent="0.25">
      <c r="A4167" s="23"/>
      <c r="B4167" s="14" t="str">
        <f t="shared" si="197"/>
        <v>Direct Debit (UMB Bank) - Returned Items</v>
      </c>
      <c r="C4167" s="37">
        <v>46168</v>
      </c>
      <c r="D4167" s="31">
        <v>260458</v>
      </c>
      <c r="E4167" s="32" t="s">
        <v>42</v>
      </c>
      <c r="F4167" s="15">
        <v>-65.25</v>
      </c>
      <c r="H4167" s="15"/>
      <c r="I4167" s="15"/>
      <c r="J4167" s="15"/>
      <c r="K4167" s="15"/>
      <c r="L4167" s="15"/>
      <c r="M4167" s="15"/>
    </row>
    <row r="4168" spans="1:13" x14ac:dyDescent="0.25">
      <c r="A4168" s="23"/>
      <c r="B4168" s="14" t="str">
        <f t="shared" si="197"/>
        <v>Direct Debit (UMB Bank) - Returned Items</v>
      </c>
      <c r="C4168" s="38">
        <v>46170</v>
      </c>
      <c r="D4168" s="34">
        <v>258904</v>
      </c>
      <c r="E4168" s="35" t="s">
        <v>42</v>
      </c>
      <c r="F4168" s="15">
        <v>-56.23</v>
      </c>
      <c r="H4168" s="15"/>
      <c r="I4168" s="15"/>
      <c r="J4168" s="15"/>
      <c r="K4168" s="15"/>
      <c r="L4168" s="15"/>
      <c r="M4168" s="15"/>
    </row>
    <row r="4169" spans="1:13" x14ac:dyDescent="0.25">
      <c r="A4169" s="23"/>
      <c r="B4169" s="14" t="str">
        <f t="shared" si="197"/>
        <v>Direct Debit (UMB Bank) - Returned Items</v>
      </c>
      <c r="C4169" s="37">
        <v>46170</v>
      </c>
      <c r="D4169" s="31">
        <v>239221</v>
      </c>
      <c r="E4169" s="32" t="s">
        <v>42</v>
      </c>
      <c r="F4169" s="15">
        <v>-230.52</v>
      </c>
      <c r="H4169" s="15"/>
      <c r="I4169" s="15"/>
      <c r="J4169" s="15"/>
      <c r="K4169" s="15"/>
      <c r="L4169" s="15"/>
      <c r="M4169" s="15"/>
    </row>
    <row r="4170" spans="1:13" x14ac:dyDescent="0.25">
      <c r="A4170" s="23"/>
      <c r="B4170" s="14" t="str">
        <f t="shared" si="197"/>
        <v>Direct Debit (UMB Bank) - Returned Items</v>
      </c>
      <c r="C4170" s="38">
        <v>46170</v>
      </c>
      <c r="D4170" s="34">
        <v>255601</v>
      </c>
      <c r="E4170" s="35" t="s">
        <v>42</v>
      </c>
      <c r="F4170" s="15">
        <v>-127.73</v>
      </c>
      <c r="H4170" s="15"/>
      <c r="I4170" s="15"/>
      <c r="J4170" s="15"/>
      <c r="K4170" s="15"/>
      <c r="L4170" s="15"/>
      <c r="M4170" s="15"/>
    </row>
    <row r="4171" spans="1:13" x14ac:dyDescent="0.25">
      <c r="A4171" s="23"/>
      <c r="B4171" s="14" t="str">
        <f t="shared" si="197"/>
        <v>Direct Debit (UMB Bank) - Returned Items</v>
      </c>
      <c r="C4171" s="37">
        <v>46171</v>
      </c>
      <c r="D4171" s="31">
        <v>260078</v>
      </c>
      <c r="E4171" s="32" t="s">
        <v>42</v>
      </c>
      <c r="F4171" s="15">
        <v>-64.150000000000006</v>
      </c>
      <c r="H4171" s="15"/>
      <c r="I4171" s="15"/>
      <c r="J4171" s="15"/>
      <c r="K4171" s="15"/>
      <c r="L4171" s="15"/>
      <c r="M4171" s="15"/>
    </row>
    <row r="4172" spans="1:13" x14ac:dyDescent="0.25">
      <c r="A4172" s="23"/>
      <c r="B4172" s="14" t="str">
        <f t="shared" si="197"/>
        <v>Direct Debit (UMB Bank) - Returned Items</v>
      </c>
      <c r="C4172" s="38">
        <v>46171</v>
      </c>
      <c r="D4172" s="34">
        <v>244457</v>
      </c>
      <c r="E4172" s="35" t="s">
        <v>42</v>
      </c>
      <c r="F4172" s="15">
        <v>-40.479999999999997</v>
      </c>
      <c r="H4172" s="15"/>
      <c r="I4172" s="15"/>
      <c r="J4172" s="15"/>
      <c r="K4172" s="15"/>
      <c r="L4172" s="15"/>
      <c r="M4172" s="15"/>
    </row>
    <row r="4173" spans="1:13" x14ac:dyDescent="0.25">
      <c r="A4173" s="23"/>
      <c r="B4173" s="14" t="str">
        <f t="shared" si="197"/>
        <v>Direct Debit (UMB Bank) - Returned Items</v>
      </c>
      <c r="C4173" s="37">
        <v>46171</v>
      </c>
      <c r="D4173" s="31">
        <v>260362</v>
      </c>
      <c r="E4173" s="32" t="s">
        <v>42</v>
      </c>
      <c r="F4173" s="15">
        <v>-89.45</v>
      </c>
      <c r="H4173" s="15"/>
      <c r="I4173" s="15"/>
      <c r="J4173" s="15"/>
      <c r="K4173" s="15"/>
      <c r="L4173" s="15"/>
      <c r="M4173" s="15"/>
    </row>
    <row r="4174" spans="1:13" x14ac:dyDescent="0.25">
      <c r="A4174" s="23"/>
      <c r="B4174" s="14" t="str">
        <f t="shared" si="197"/>
        <v>Direct Debit (UMB Bank) - Returned Items</v>
      </c>
      <c r="C4174" s="38">
        <v>46171</v>
      </c>
      <c r="D4174" s="34">
        <v>242619</v>
      </c>
      <c r="E4174" s="35" t="s">
        <v>42</v>
      </c>
      <c r="F4174" s="15">
        <v>-86.2</v>
      </c>
      <c r="H4174" s="15"/>
      <c r="I4174" s="15"/>
      <c r="J4174" s="24"/>
      <c r="K4174" s="15"/>
      <c r="L4174" s="15"/>
      <c r="M4174" s="15"/>
    </row>
    <row r="4175" spans="1:13" x14ac:dyDescent="0.25">
      <c r="A4175" s="23"/>
      <c r="B4175" s="14" t="str">
        <f t="shared" si="197"/>
        <v>Direct Debit (UMB Bank) - Returned Items</v>
      </c>
      <c r="C4175" s="37">
        <v>46171</v>
      </c>
      <c r="D4175" s="31">
        <v>259854</v>
      </c>
      <c r="E4175" s="32" t="s">
        <v>42</v>
      </c>
      <c r="F4175" s="15">
        <v>-61.95</v>
      </c>
      <c r="H4175" s="15"/>
      <c r="I4175" s="15"/>
      <c r="J4175" s="15"/>
      <c r="K4175" s="15"/>
      <c r="L4175" s="15"/>
      <c r="M4175" s="15"/>
    </row>
    <row r="4176" spans="1:13" x14ac:dyDescent="0.25">
      <c r="A4176" s="23"/>
      <c r="B4176" s="14" t="str">
        <f t="shared" si="197"/>
        <v>Direct Debit (UMB Bank) - Returned Items</v>
      </c>
      <c r="C4176" s="38">
        <v>46171</v>
      </c>
      <c r="D4176" s="34">
        <v>256590</v>
      </c>
      <c r="E4176" s="35" t="s">
        <v>42</v>
      </c>
      <c r="F4176" s="15">
        <v>-72.400000000000006</v>
      </c>
      <c r="H4176" s="15"/>
      <c r="I4176" s="15"/>
      <c r="J4176" s="15"/>
      <c r="K4176" s="15"/>
      <c r="L4176" s="15"/>
      <c r="M4176" s="15"/>
    </row>
    <row r="4177" spans="1:13" x14ac:dyDescent="0.25">
      <c r="A4177" s="23"/>
      <c r="B4177" s="14" t="str">
        <f t="shared" si="197"/>
        <v>Billing &amp; Direct Debit - Refunds</v>
      </c>
      <c r="C4177" s="37">
        <v>46173</v>
      </c>
      <c r="D4177" s="31">
        <v>225659</v>
      </c>
      <c r="E4177" s="32" t="s">
        <v>46</v>
      </c>
      <c r="F4177" s="15">
        <v>-27.55</v>
      </c>
      <c r="H4177" s="15"/>
      <c r="I4177" s="15"/>
      <c r="J4177" s="15"/>
      <c r="K4177" s="15"/>
      <c r="L4177" s="15"/>
      <c r="M4177" s="15"/>
    </row>
    <row r="4178" spans="1:13" x14ac:dyDescent="0.25">
      <c r="A4178" s="23"/>
      <c r="B4178" s="14" t="str">
        <f t="shared" si="197"/>
        <v>Billing &amp; Direct Debit - Refunds</v>
      </c>
      <c r="C4178" s="38">
        <v>46173</v>
      </c>
      <c r="D4178" s="34">
        <v>200495</v>
      </c>
      <c r="E4178" s="35" t="s">
        <v>46</v>
      </c>
      <c r="F4178" s="15">
        <v>-37.65</v>
      </c>
      <c r="H4178" s="15"/>
      <c r="I4178" s="15"/>
      <c r="J4178" s="15"/>
      <c r="K4178" s="15"/>
      <c r="L4178" s="15"/>
      <c r="M4178" s="15"/>
    </row>
    <row r="4179" spans="1:13" x14ac:dyDescent="0.25">
      <c r="A4179" s="23"/>
      <c r="B4179" s="14" t="str">
        <f t="shared" si="197"/>
        <v>Billing &amp; Direct Debit - Refunds</v>
      </c>
      <c r="C4179" s="37">
        <v>46173</v>
      </c>
      <c r="D4179" s="31">
        <v>235713</v>
      </c>
      <c r="E4179" s="32" t="s">
        <v>46</v>
      </c>
      <c r="F4179" s="15">
        <v>-69.27</v>
      </c>
      <c r="H4179" s="15"/>
      <c r="I4179" s="15"/>
      <c r="J4179" s="15"/>
      <c r="K4179" s="15"/>
      <c r="L4179" s="15"/>
      <c r="M4179" s="15"/>
    </row>
    <row r="4180" spans="1:13" x14ac:dyDescent="0.25">
      <c r="A4180" s="23"/>
      <c r="B4180" s="14" t="str">
        <f t="shared" si="197"/>
        <v>Billing &amp; Direct Debit - Refunds</v>
      </c>
      <c r="C4180" s="38">
        <v>46173</v>
      </c>
      <c r="D4180" s="34">
        <v>174535</v>
      </c>
      <c r="E4180" s="35" t="s">
        <v>46</v>
      </c>
      <c r="F4180" s="15">
        <v>-52.66</v>
      </c>
      <c r="H4180" s="15"/>
      <c r="I4180" s="15"/>
      <c r="J4180" s="15"/>
      <c r="K4180" s="15"/>
      <c r="L4180" s="15"/>
      <c r="M4180" s="15"/>
    </row>
    <row r="4181" spans="1:13" x14ac:dyDescent="0.25">
      <c r="A4181" s="23"/>
      <c r="B4181" s="14" t="str">
        <f t="shared" si="197"/>
        <v>Direct Debit (UMB Bank) - Returned Items</v>
      </c>
      <c r="C4181" s="22"/>
      <c r="D4181" s="23"/>
      <c r="E4181" s="16"/>
      <c r="F4181" s="15"/>
      <c r="H4181" s="15"/>
      <c r="I4181" s="15"/>
      <c r="J4181" s="15"/>
      <c r="K4181" s="15"/>
      <c r="L4181" s="15"/>
      <c r="M4181" s="15"/>
    </row>
    <row r="4182" spans="1:13" x14ac:dyDescent="0.25">
      <c r="A4182" s="23"/>
      <c r="B4182" s="14" t="str">
        <f t="shared" si="197"/>
        <v>Direct Debit (UMB Bank) - Returned Items</v>
      </c>
      <c r="C4182" s="22"/>
      <c r="D4182" s="23"/>
      <c r="E4182" s="16"/>
      <c r="F4182" s="15"/>
      <c r="H4182" s="15"/>
      <c r="I4182" s="15"/>
      <c r="J4182" s="15"/>
      <c r="K4182" s="15"/>
      <c r="L4182" s="15"/>
      <c r="M4182" s="15"/>
    </row>
    <row r="4183" spans="1:13" x14ac:dyDescent="0.25">
      <c r="A4183" s="23"/>
      <c r="B4183" s="14" t="str">
        <f t="shared" si="197"/>
        <v>Direct Debit (UMB Bank) - Returned Items</v>
      </c>
      <c r="C4183" s="22"/>
      <c r="D4183" s="23"/>
      <c r="E4183" s="16"/>
      <c r="F4183" s="15"/>
      <c r="H4183" s="15"/>
      <c r="I4183" s="15"/>
      <c r="J4183" s="15"/>
      <c r="K4183" s="15"/>
      <c r="L4183" s="15"/>
      <c r="M4183" s="15"/>
    </row>
    <row r="4184" spans="1:13" x14ac:dyDescent="0.25">
      <c r="A4184" s="23"/>
      <c r="B4184" s="14" t="str">
        <f t="shared" si="197"/>
        <v>Direct Debit (UMB Bank) - Returned Items</v>
      </c>
      <c r="C4184" s="22"/>
      <c r="D4184" s="23"/>
      <c r="E4184" s="16"/>
      <c r="F4184" s="15"/>
      <c r="H4184" s="15"/>
      <c r="I4184" s="15"/>
      <c r="J4184" s="15"/>
      <c r="K4184" s="15"/>
      <c r="L4184" s="15"/>
      <c r="M4184" s="15"/>
    </row>
    <row r="4185" spans="1:13" x14ac:dyDescent="0.25">
      <c r="A4185" s="23"/>
      <c r="B4185" s="14" t="str">
        <f t="shared" si="197"/>
        <v>Direct Debit (UMB Bank) - Returned Items</v>
      </c>
      <c r="C4185" s="22"/>
      <c r="D4185" s="23"/>
      <c r="E4185" s="16"/>
      <c r="F4185" s="15"/>
      <c r="H4185" s="15"/>
      <c r="I4185" s="15"/>
      <c r="J4185" s="15"/>
      <c r="K4185" s="15"/>
      <c r="L4185" s="15"/>
      <c r="M4185" s="15"/>
    </row>
    <row r="4186" spans="1:13" x14ac:dyDescent="0.25">
      <c r="A4186" s="23"/>
      <c r="B4186" s="14" t="str">
        <f t="shared" si="197"/>
        <v>Direct Debit (UMB Bank) - Returned Items</v>
      </c>
      <c r="C4186" s="22"/>
      <c r="D4186" s="23"/>
      <c r="E4186" s="16"/>
      <c r="F4186" s="15"/>
      <c r="H4186" s="15"/>
      <c r="I4186" s="15"/>
      <c r="J4186" s="15"/>
      <c r="K4186" s="15"/>
      <c r="L4186" s="15"/>
      <c r="M4186" s="15"/>
    </row>
    <row r="4187" spans="1:13" x14ac:dyDescent="0.25">
      <c r="A4187" s="23"/>
      <c r="B4187" s="14" t="str">
        <f t="shared" si="197"/>
        <v>Direct Debit (UMB Bank) - Returned Items</v>
      </c>
      <c r="C4187" s="22"/>
      <c r="D4187" s="23"/>
      <c r="E4187" s="16"/>
      <c r="F4187" s="15"/>
      <c r="H4187" s="15"/>
      <c r="I4187" s="15"/>
      <c r="J4187" s="15"/>
      <c r="K4187" s="15"/>
      <c r="L4187" s="15"/>
      <c r="M4187" s="15"/>
    </row>
    <row r="4188" spans="1:13" x14ac:dyDescent="0.25">
      <c r="A4188" s="23"/>
      <c r="B4188" s="14" t="str">
        <f t="shared" si="197"/>
        <v>Direct Debit (UMB Bank) - Returned Items</v>
      </c>
      <c r="C4188" s="22"/>
      <c r="D4188" s="23"/>
      <c r="E4188" s="16"/>
      <c r="F4188" s="15"/>
      <c r="H4188" s="15"/>
      <c r="I4188" s="15"/>
      <c r="J4188" s="15"/>
      <c r="K4188" s="15"/>
      <c r="L4188" s="15"/>
      <c r="M4188" s="15"/>
    </row>
    <row r="4189" spans="1:13" x14ac:dyDescent="0.25">
      <c r="A4189" s="23"/>
      <c r="B4189" s="14" t="str">
        <f t="shared" si="197"/>
        <v>Direct Debit (UMB Bank) - Returned Items</v>
      </c>
      <c r="C4189" s="22"/>
      <c r="D4189" s="23"/>
      <c r="E4189" s="16"/>
      <c r="F4189" s="15"/>
      <c r="H4189" s="15"/>
      <c r="I4189" s="15"/>
      <c r="J4189" s="15"/>
      <c r="K4189" s="15"/>
      <c r="L4189" s="15"/>
      <c r="M4189" s="15"/>
    </row>
    <row r="4190" spans="1:13" x14ac:dyDescent="0.25">
      <c r="A4190" s="23"/>
      <c r="B4190" s="14" t="str">
        <f t="shared" si="197"/>
        <v>Direct Debit (UMB Bank) - Returned Items</v>
      </c>
      <c r="C4190" s="22"/>
      <c r="D4190" s="23"/>
      <c r="E4190" s="16"/>
      <c r="F4190" s="15"/>
      <c r="H4190" s="15"/>
      <c r="I4190" s="15"/>
      <c r="J4190" s="15"/>
      <c r="K4190" s="15"/>
      <c r="L4190" s="15"/>
      <c r="M4190" s="15"/>
    </row>
    <row r="4191" spans="1:13" x14ac:dyDescent="0.25">
      <c r="A4191" s="23"/>
      <c r="B4191" s="14" t="str">
        <f t="shared" si="197"/>
        <v>Direct Debit (UMB Bank) - Returned Items</v>
      </c>
      <c r="C4191" s="22"/>
      <c r="D4191" s="23"/>
      <c r="E4191" s="16"/>
      <c r="F4191" s="15"/>
      <c r="H4191" s="15"/>
      <c r="I4191" s="15"/>
      <c r="J4191" s="24"/>
      <c r="K4191" s="15"/>
      <c r="L4191" s="15"/>
      <c r="M4191" s="15"/>
    </row>
    <row r="4192" spans="1:13" x14ac:dyDescent="0.25">
      <c r="A4192" s="23"/>
      <c r="B4192" s="14" t="str">
        <f t="shared" si="197"/>
        <v>Direct Debit (UMB Bank) - Returned Items</v>
      </c>
      <c r="C4192" s="22"/>
      <c r="D4192" s="23"/>
      <c r="E4192" s="16"/>
      <c r="F4192" s="15"/>
      <c r="H4192" s="15"/>
      <c r="I4192" s="15"/>
      <c r="J4192" s="15"/>
      <c r="K4192" s="15"/>
      <c r="L4192" s="15"/>
      <c r="M4192" s="15"/>
    </row>
    <row r="4193" spans="1:13" x14ac:dyDescent="0.25">
      <c r="A4193" s="23"/>
      <c r="B4193" s="14" t="str">
        <f t="shared" si="197"/>
        <v>Direct Debit (UMB Bank) - Returned Items</v>
      </c>
      <c r="C4193" s="22"/>
      <c r="D4193" s="23"/>
      <c r="E4193" s="16"/>
      <c r="F4193" s="15"/>
      <c r="H4193" s="15"/>
      <c r="I4193" s="15"/>
      <c r="J4193" s="15"/>
      <c r="K4193" s="15"/>
      <c r="L4193" s="15"/>
      <c r="M4193" s="15"/>
    </row>
    <row r="4194" spans="1:13" x14ac:dyDescent="0.25">
      <c r="A4194" s="23"/>
      <c r="B4194" s="14" t="str">
        <f t="shared" si="197"/>
        <v>Direct Debit (UMB Bank) - Returned Items</v>
      </c>
      <c r="C4194" s="22"/>
      <c r="D4194" s="23"/>
      <c r="E4194" s="16"/>
      <c r="F4194" s="15"/>
      <c r="H4194" s="15"/>
      <c r="I4194" s="15"/>
      <c r="J4194" s="15"/>
      <c r="K4194" s="15"/>
      <c r="L4194" s="15"/>
      <c r="M4194" s="15"/>
    </row>
    <row r="4195" spans="1:13" x14ac:dyDescent="0.25">
      <c r="A4195" s="23"/>
      <c r="B4195" s="14" t="str">
        <f t="shared" si="197"/>
        <v>Direct Debit (UMB Bank) - Returned Items</v>
      </c>
      <c r="C4195" s="22"/>
      <c r="D4195" s="23"/>
      <c r="E4195" s="16"/>
      <c r="F4195" s="15"/>
      <c r="H4195" s="15"/>
      <c r="I4195" s="15"/>
      <c r="J4195" s="15"/>
      <c r="K4195" s="15"/>
      <c r="L4195" s="15"/>
      <c r="M4195" s="15"/>
    </row>
    <row r="4196" spans="1:13" x14ac:dyDescent="0.25">
      <c r="A4196" s="23"/>
      <c r="B4196" s="14" t="str">
        <f t="shared" si="197"/>
        <v>Direct Debit (UMB Bank) - Returned Items</v>
      </c>
      <c r="C4196" s="22"/>
      <c r="D4196" s="23"/>
      <c r="E4196" s="16"/>
      <c r="F4196" s="15"/>
      <c r="H4196" s="15"/>
      <c r="I4196" s="15"/>
      <c r="J4196" s="15"/>
      <c r="K4196" s="15"/>
      <c r="L4196" s="15"/>
      <c r="M4196" s="15"/>
    </row>
    <row r="4197" spans="1:13" x14ac:dyDescent="0.25">
      <c r="A4197" s="23"/>
      <c r="B4197" s="14" t="str">
        <f t="shared" si="197"/>
        <v>Direct Debit (UMB Bank) - Returned Items</v>
      </c>
      <c r="C4197" s="22"/>
      <c r="D4197" s="23"/>
      <c r="E4197" s="16"/>
      <c r="F4197" s="15"/>
      <c r="H4197" s="15"/>
      <c r="I4197" s="15"/>
      <c r="J4197" s="15"/>
      <c r="K4197" s="15"/>
      <c r="L4197" s="15"/>
      <c r="M4197" s="15"/>
    </row>
    <row r="4198" spans="1:13" x14ac:dyDescent="0.25">
      <c r="A4198" s="23"/>
      <c r="B4198" s="14" t="str">
        <f t="shared" si="197"/>
        <v>Direct Debit (UMB Bank) - Returned Items</v>
      </c>
      <c r="C4198" s="22"/>
      <c r="D4198" s="23"/>
      <c r="E4198" s="16"/>
      <c r="F4198" s="15"/>
      <c r="H4198" s="15"/>
      <c r="I4198" s="15"/>
      <c r="J4198" s="15"/>
      <c r="K4198" s="15"/>
      <c r="L4198" s="15"/>
      <c r="M4198" s="15"/>
    </row>
    <row r="4199" spans="1:13" x14ac:dyDescent="0.25">
      <c r="A4199" s="23"/>
      <c r="B4199" s="14" t="str">
        <f t="shared" si="197"/>
        <v>Direct Debit (UMB Bank) - Returned Items</v>
      </c>
      <c r="C4199" s="22"/>
      <c r="D4199" s="23"/>
      <c r="E4199" s="16"/>
      <c r="F4199" s="15"/>
      <c r="H4199" s="15"/>
      <c r="I4199" s="15"/>
      <c r="J4199" s="15"/>
      <c r="K4199" s="15"/>
      <c r="L4199" s="15"/>
      <c r="M4199" s="15"/>
    </row>
    <row r="4200" spans="1:13" x14ac:dyDescent="0.25">
      <c r="A4200" s="23"/>
      <c r="B4200" s="14" t="str">
        <f t="shared" si="197"/>
        <v>Direct Debit (UMB Bank) - Returned Items</v>
      </c>
      <c r="C4200" s="22"/>
      <c r="D4200" s="23"/>
      <c r="E4200" s="16"/>
      <c r="F4200" s="15"/>
      <c r="H4200" s="15"/>
      <c r="I4200" s="15"/>
      <c r="J4200" s="15"/>
      <c r="K4200" s="15"/>
      <c r="L4200" s="15"/>
      <c r="M4200" s="15"/>
    </row>
    <row r="4201" spans="1:13" x14ac:dyDescent="0.25">
      <c r="A4201" s="23"/>
      <c r="B4201" s="14" t="str">
        <f t="shared" si="197"/>
        <v>Direct Debit (UMB Bank) - Returned Items</v>
      </c>
      <c r="C4201" s="22"/>
      <c r="D4201" s="23"/>
      <c r="E4201" s="16"/>
      <c r="F4201" s="15"/>
      <c r="H4201" s="15"/>
      <c r="I4201" s="15"/>
      <c r="J4201" s="15"/>
      <c r="K4201" s="15"/>
      <c r="L4201" s="15"/>
      <c r="M4201" s="15"/>
    </row>
    <row r="4202" spans="1:13" x14ac:dyDescent="0.25">
      <c r="A4202" s="23"/>
      <c r="B4202" s="14" t="str">
        <f t="shared" si="197"/>
        <v>Direct Debit (UMB Bank) - Returned Items</v>
      </c>
      <c r="C4202" s="22"/>
      <c r="D4202" s="23"/>
      <c r="E4202" s="16"/>
      <c r="F4202" s="15"/>
      <c r="H4202" s="15"/>
      <c r="I4202" s="15"/>
      <c r="J4202" s="15"/>
      <c r="K4202" s="15"/>
      <c r="L4202" s="15"/>
      <c r="M4202" s="15"/>
    </row>
    <row r="4203" spans="1:13" x14ac:dyDescent="0.25">
      <c r="A4203" s="23"/>
      <c r="B4203" s="14" t="str">
        <f t="shared" si="197"/>
        <v>Direct Debit (UMB Bank) - Returned Items</v>
      </c>
      <c r="C4203" s="22"/>
      <c r="D4203" s="23"/>
      <c r="E4203" s="16"/>
      <c r="F4203" s="15"/>
      <c r="H4203" s="15"/>
      <c r="I4203" s="15"/>
      <c r="J4203" s="15"/>
      <c r="K4203" s="15"/>
      <c r="L4203" s="15"/>
      <c r="M4203" s="15"/>
    </row>
    <row r="4204" spans="1:13" x14ac:dyDescent="0.25">
      <c r="A4204" s="23"/>
      <c r="B4204" s="14" t="str">
        <f t="shared" si="197"/>
        <v>Direct Debit (UMB Bank) - Returned Items</v>
      </c>
      <c r="C4204" s="22"/>
      <c r="D4204" s="23"/>
      <c r="E4204" s="16"/>
      <c r="F4204" s="15"/>
      <c r="H4204" s="15"/>
      <c r="I4204" s="15"/>
      <c r="J4204" s="15"/>
      <c r="K4204" s="15"/>
      <c r="L4204" s="15"/>
      <c r="M4204" s="15"/>
    </row>
    <row r="4205" spans="1:13" x14ac:dyDescent="0.25">
      <c r="A4205" s="23"/>
      <c r="B4205" s="14" t="str">
        <f t="shared" si="197"/>
        <v>Direct Debit (UMB Bank) - Returned Items</v>
      </c>
      <c r="C4205" s="22"/>
      <c r="D4205" s="23"/>
      <c r="E4205" s="16"/>
      <c r="F4205" s="15"/>
      <c r="H4205" s="15"/>
      <c r="I4205" s="15"/>
      <c r="J4205" s="15"/>
      <c r="K4205" s="15"/>
      <c r="L4205" s="15"/>
      <c r="M4205" s="15"/>
    </row>
    <row r="4206" spans="1:13" x14ac:dyDescent="0.25">
      <c r="A4206" s="23"/>
      <c r="B4206" s="14" t="str">
        <f t="shared" si="197"/>
        <v>Direct Debit (UMB Bank) - Returned Items</v>
      </c>
      <c r="C4206" s="22"/>
      <c r="D4206" s="23"/>
      <c r="E4206" s="16"/>
      <c r="F4206" s="15"/>
      <c r="H4206" s="15"/>
      <c r="I4206" s="15"/>
      <c r="J4206" s="15"/>
      <c r="K4206" s="15"/>
      <c r="L4206" s="15"/>
      <c r="M4206" s="15"/>
    </row>
    <row r="4207" spans="1:13" x14ac:dyDescent="0.25">
      <c r="A4207" s="23"/>
      <c r="B4207" s="14" t="str">
        <f t="shared" si="197"/>
        <v>Direct Debit (UMB Bank) - Returned Items</v>
      </c>
      <c r="C4207" s="22"/>
      <c r="D4207" s="23"/>
      <c r="E4207" s="16"/>
      <c r="F4207" s="15"/>
      <c r="H4207" s="15"/>
      <c r="I4207" s="15"/>
      <c r="J4207" s="15"/>
      <c r="K4207" s="15"/>
      <c r="L4207" s="15"/>
      <c r="M4207" s="15"/>
    </row>
    <row r="4208" spans="1:13" x14ac:dyDescent="0.25">
      <c r="A4208" s="23"/>
      <c r="B4208" s="14" t="str">
        <f t="shared" si="197"/>
        <v>Direct Debit (UMB Bank) - Returned Items</v>
      </c>
      <c r="C4208" s="22"/>
      <c r="D4208" s="23"/>
      <c r="E4208" s="16"/>
      <c r="F4208" s="15"/>
      <c r="H4208" s="15"/>
      <c r="I4208" s="15"/>
      <c r="J4208" s="15"/>
      <c r="K4208" s="15"/>
      <c r="L4208" s="15"/>
      <c r="M4208" s="15"/>
    </row>
    <row r="4209" spans="1:13" x14ac:dyDescent="0.25">
      <c r="A4209" s="23"/>
      <c r="B4209" s="14" t="str">
        <f t="shared" si="197"/>
        <v>Direct Debit (UMB Bank) - Returned Items</v>
      </c>
      <c r="C4209" s="22"/>
      <c r="D4209" s="23"/>
      <c r="E4209" s="16"/>
      <c r="F4209" s="15"/>
      <c r="H4209" s="15"/>
      <c r="I4209" s="15"/>
      <c r="J4209" s="15"/>
      <c r="K4209" s="15"/>
      <c r="L4209" s="15"/>
      <c r="M4209" s="15"/>
    </row>
    <row r="4210" spans="1:13" x14ac:dyDescent="0.25">
      <c r="A4210" s="23"/>
      <c r="B4210" s="14" t="str">
        <f t="shared" si="197"/>
        <v>Direct Debit (UMB Bank) - Returned Items</v>
      </c>
      <c r="C4210" s="22"/>
      <c r="D4210" s="23"/>
      <c r="E4210" s="16"/>
      <c r="F4210" s="15"/>
      <c r="H4210" s="15"/>
      <c r="I4210" s="15"/>
      <c r="J4210" s="15"/>
      <c r="K4210" s="15"/>
      <c r="L4210" s="15"/>
      <c r="M4210" s="15"/>
    </row>
    <row r="4211" spans="1:13" x14ac:dyDescent="0.25">
      <c r="A4211" s="23"/>
      <c r="B4211" s="14" t="str">
        <f t="shared" ref="B4211:B4274" si="198">IF(AND(E4211="BILL",F4211&lt;0),"Billing &amp; Direct Debit - Refunds",(IF(AND(E4211="BILL",F4211&gt;0),"Billing - Credits (from TPA)",(IF(AND(E4211="CC",F4211&lt;0),"Credit Cards (UMB) - Refunds",(IF(AND(E4211="CC",F4211&gt;0),"Credit Cards (UMB) - Credits",(IF(AND(E4211="ACH",F4211&gt;0),"Direct Debit (UMB Bank) - Credits","Direct Debit (UMB Bank) - Returned Items")))))))))</f>
        <v>Direct Debit (UMB Bank) - Returned Items</v>
      </c>
      <c r="C4211" s="22"/>
      <c r="D4211" s="23"/>
      <c r="E4211" s="16"/>
      <c r="F4211" s="15"/>
      <c r="H4211" s="15"/>
      <c r="I4211" s="15"/>
      <c r="J4211" s="15"/>
      <c r="K4211" s="15"/>
      <c r="L4211" s="15"/>
      <c r="M4211" s="15"/>
    </row>
    <row r="4212" spans="1:13" x14ac:dyDescent="0.25">
      <c r="A4212" s="23"/>
      <c r="B4212" s="14" t="str">
        <f t="shared" si="198"/>
        <v>Direct Debit (UMB Bank) - Returned Items</v>
      </c>
      <c r="C4212" s="22"/>
      <c r="D4212" s="23"/>
      <c r="E4212" s="16"/>
      <c r="F4212" s="15"/>
      <c r="H4212" s="15"/>
      <c r="I4212" s="15"/>
      <c r="J4212" s="24"/>
      <c r="K4212" s="15"/>
      <c r="L4212" s="15"/>
      <c r="M4212" s="15"/>
    </row>
    <row r="4213" spans="1:13" x14ac:dyDescent="0.25">
      <c r="A4213" s="23"/>
      <c r="B4213" s="14" t="str">
        <f t="shared" si="198"/>
        <v>Direct Debit (UMB Bank) - Returned Items</v>
      </c>
      <c r="C4213" s="22"/>
      <c r="D4213" s="23"/>
      <c r="E4213" s="16"/>
      <c r="F4213" s="15"/>
      <c r="H4213" s="15"/>
      <c r="I4213" s="15"/>
      <c r="J4213" s="15"/>
      <c r="K4213" s="15"/>
      <c r="L4213" s="15"/>
      <c r="M4213" s="15"/>
    </row>
    <row r="4214" spans="1:13" x14ac:dyDescent="0.25">
      <c r="A4214" s="23"/>
      <c r="B4214" s="14" t="str">
        <f t="shared" si="198"/>
        <v>Direct Debit (UMB Bank) - Returned Items</v>
      </c>
      <c r="C4214" s="22"/>
      <c r="D4214" s="23"/>
      <c r="E4214" s="16"/>
      <c r="F4214" s="15"/>
      <c r="H4214" s="15"/>
      <c r="I4214" s="15"/>
      <c r="J4214" s="15"/>
      <c r="K4214" s="15"/>
      <c r="L4214" s="15"/>
      <c r="M4214" s="15"/>
    </row>
    <row r="4215" spans="1:13" x14ac:dyDescent="0.25">
      <c r="A4215" s="23"/>
      <c r="B4215" s="14" t="str">
        <f t="shared" si="198"/>
        <v>Direct Debit (UMB Bank) - Returned Items</v>
      </c>
      <c r="C4215" s="22"/>
      <c r="D4215" s="23"/>
      <c r="E4215" s="16"/>
      <c r="F4215" s="15"/>
      <c r="H4215" s="15"/>
      <c r="I4215" s="15"/>
      <c r="J4215" s="15"/>
      <c r="K4215" s="15"/>
      <c r="L4215" s="15"/>
      <c r="M4215" s="15"/>
    </row>
    <row r="4216" spans="1:13" x14ac:dyDescent="0.25">
      <c r="A4216" s="23"/>
      <c r="B4216" s="14" t="str">
        <f t="shared" si="198"/>
        <v>Direct Debit (UMB Bank) - Returned Items</v>
      </c>
      <c r="C4216" s="22"/>
      <c r="D4216" s="23"/>
      <c r="E4216" s="16"/>
      <c r="F4216" s="15"/>
      <c r="H4216" s="15"/>
      <c r="I4216" s="15"/>
      <c r="J4216" s="15"/>
      <c r="K4216" s="15"/>
      <c r="L4216" s="15"/>
      <c r="M4216" s="15"/>
    </row>
    <row r="4217" spans="1:13" x14ac:dyDescent="0.25">
      <c r="A4217" s="23"/>
      <c r="B4217" s="14" t="str">
        <f t="shared" si="198"/>
        <v>Direct Debit (UMB Bank) - Returned Items</v>
      </c>
      <c r="C4217" s="22"/>
      <c r="D4217" s="23"/>
      <c r="E4217" s="16"/>
      <c r="F4217" s="15"/>
      <c r="H4217" s="15"/>
      <c r="I4217" s="15"/>
      <c r="J4217" s="15"/>
      <c r="K4217" s="15"/>
      <c r="L4217" s="15"/>
      <c r="M4217" s="15"/>
    </row>
    <row r="4218" spans="1:13" x14ac:dyDescent="0.25">
      <c r="A4218" s="23"/>
      <c r="B4218" s="14" t="str">
        <f t="shared" si="198"/>
        <v>Direct Debit (UMB Bank) - Returned Items</v>
      </c>
      <c r="C4218" s="22"/>
      <c r="D4218" s="23"/>
      <c r="E4218" s="16"/>
      <c r="F4218" s="15"/>
      <c r="H4218" s="15"/>
      <c r="I4218" s="15"/>
      <c r="J4218" s="15"/>
      <c r="K4218" s="15"/>
      <c r="L4218" s="15"/>
      <c r="M4218" s="15"/>
    </row>
    <row r="4219" spans="1:13" x14ac:dyDescent="0.25">
      <c r="A4219" s="23"/>
      <c r="B4219" s="14" t="str">
        <f t="shared" si="198"/>
        <v>Direct Debit (UMB Bank) - Returned Items</v>
      </c>
      <c r="C4219" s="22"/>
      <c r="D4219" s="23"/>
      <c r="E4219" s="16"/>
      <c r="F4219" s="15"/>
      <c r="H4219" s="15"/>
      <c r="I4219" s="15"/>
      <c r="J4219" s="15"/>
      <c r="K4219" s="15"/>
      <c r="L4219" s="15"/>
      <c r="M4219" s="15"/>
    </row>
    <row r="4220" spans="1:13" x14ac:dyDescent="0.25">
      <c r="A4220" s="23"/>
      <c r="B4220" s="14" t="str">
        <f t="shared" si="198"/>
        <v>Direct Debit (UMB Bank) - Returned Items</v>
      </c>
      <c r="C4220" s="22"/>
      <c r="D4220" s="23"/>
      <c r="E4220" s="16"/>
      <c r="F4220" s="15"/>
      <c r="H4220" s="15"/>
      <c r="I4220" s="15"/>
      <c r="J4220" s="15"/>
      <c r="K4220" s="15"/>
      <c r="L4220" s="15"/>
      <c r="M4220" s="15"/>
    </row>
    <row r="4221" spans="1:13" x14ac:dyDescent="0.25">
      <c r="A4221" s="23"/>
      <c r="B4221" s="14" t="str">
        <f t="shared" si="198"/>
        <v>Direct Debit (UMB Bank) - Returned Items</v>
      </c>
      <c r="C4221" s="22"/>
      <c r="D4221" s="23"/>
      <c r="E4221" s="16"/>
      <c r="F4221" s="15"/>
      <c r="H4221" s="15"/>
      <c r="I4221" s="15"/>
      <c r="J4221" s="15"/>
      <c r="K4221" s="15"/>
      <c r="L4221" s="15"/>
      <c r="M4221" s="15"/>
    </row>
    <row r="4222" spans="1:13" x14ac:dyDescent="0.25">
      <c r="A4222" s="23"/>
      <c r="B4222" s="14" t="str">
        <f t="shared" si="198"/>
        <v>Direct Debit (UMB Bank) - Returned Items</v>
      </c>
      <c r="C4222" s="22"/>
      <c r="D4222" s="23"/>
      <c r="E4222" s="16"/>
      <c r="F4222" s="15"/>
      <c r="H4222" s="15"/>
      <c r="I4222" s="15"/>
      <c r="J4222" s="15"/>
      <c r="K4222" s="15"/>
      <c r="L4222" s="15"/>
      <c r="M4222" s="15"/>
    </row>
    <row r="4223" spans="1:13" x14ac:dyDescent="0.25">
      <c r="A4223" s="23"/>
      <c r="B4223" s="14" t="str">
        <f t="shared" si="198"/>
        <v>Direct Debit (UMB Bank) - Returned Items</v>
      </c>
      <c r="C4223" s="22"/>
      <c r="D4223" s="23"/>
      <c r="E4223" s="16"/>
      <c r="F4223" s="15"/>
      <c r="H4223" s="15"/>
      <c r="I4223" s="15"/>
      <c r="J4223" s="15"/>
      <c r="K4223" s="15"/>
      <c r="L4223" s="15"/>
      <c r="M4223" s="15"/>
    </row>
    <row r="4224" spans="1:13" x14ac:dyDescent="0.25">
      <c r="A4224" s="23"/>
      <c r="B4224" s="14" t="str">
        <f t="shared" si="198"/>
        <v>Direct Debit (UMB Bank) - Returned Items</v>
      </c>
      <c r="C4224" s="22"/>
      <c r="D4224" s="23"/>
      <c r="E4224" s="16"/>
      <c r="F4224" s="15"/>
      <c r="H4224" s="15"/>
      <c r="I4224" s="15"/>
      <c r="J4224" s="24"/>
      <c r="K4224" s="15"/>
      <c r="L4224" s="15"/>
      <c r="M4224" s="15"/>
    </row>
    <row r="4225" spans="1:13" x14ac:dyDescent="0.25">
      <c r="A4225" s="23"/>
      <c r="B4225" s="14" t="str">
        <f t="shared" si="198"/>
        <v>Direct Debit (UMB Bank) - Returned Items</v>
      </c>
      <c r="C4225" s="22"/>
      <c r="D4225" s="23"/>
      <c r="E4225" s="16"/>
      <c r="F4225" s="15"/>
      <c r="H4225" s="15"/>
      <c r="I4225" s="15"/>
      <c r="J4225" s="15"/>
      <c r="K4225" s="15"/>
      <c r="L4225" s="15"/>
      <c r="M4225" s="15"/>
    </row>
    <row r="4226" spans="1:13" x14ac:dyDescent="0.25">
      <c r="A4226" s="23"/>
      <c r="B4226" s="14" t="str">
        <f t="shared" si="198"/>
        <v>Direct Debit (UMB Bank) - Returned Items</v>
      </c>
      <c r="C4226" s="22"/>
      <c r="D4226" s="23"/>
      <c r="E4226" s="16"/>
      <c r="F4226" s="15"/>
      <c r="H4226" s="15"/>
      <c r="I4226" s="15"/>
      <c r="J4226" s="15"/>
      <c r="K4226" s="15"/>
      <c r="L4226" s="15"/>
      <c r="M4226" s="15"/>
    </row>
    <row r="4227" spans="1:13" x14ac:dyDescent="0.25">
      <c r="A4227" s="23"/>
      <c r="B4227" s="14" t="str">
        <f t="shared" si="198"/>
        <v>Direct Debit (UMB Bank) - Returned Items</v>
      </c>
      <c r="C4227" s="22"/>
      <c r="D4227" s="23"/>
      <c r="E4227" s="16"/>
      <c r="F4227" s="15"/>
      <c r="H4227" s="15"/>
      <c r="I4227" s="15"/>
      <c r="J4227" s="15"/>
      <c r="K4227" s="15"/>
      <c r="L4227" s="15"/>
      <c r="M4227" s="15"/>
    </row>
    <row r="4228" spans="1:13" x14ac:dyDescent="0.25">
      <c r="A4228" s="23"/>
      <c r="B4228" s="14" t="str">
        <f t="shared" si="198"/>
        <v>Direct Debit (UMB Bank) - Returned Items</v>
      </c>
      <c r="C4228" s="22"/>
      <c r="D4228" s="23"/>
      <c r="E4228" s="16"/>
      <c r="F4228" s="15"/>
      <c r="H4228" s="15"/>
      <c r="I4228" s="15"/>
      <c r="J4228" s="15"/>
      <c r="K4228" s="15"/>
      <c r="L4228" s="15"/>
      <c r="M4228" s="15"/>
    </row>
    <row r="4229" spans="1:13" x14ac:dyDescent="0.25">
      <c r="A4229" s="23"/>
      <c r="B4229" s="14" t="str">
        <f t="shared" si="198"/>
        <v>Direct Debit (UMB Bank) - Returned Items</v>
      </c>
      <c r="C4229" s="22"/>
      <c r="D4229" s="23"/>
      <c r="E4229" s="16"/>
      <c r="F4229" s="15"/>
      <c r="H4229" s="15"/>
      <c r="I4229" s="15"/>
      <c r="J4229" s="15"/>
      <c r="K4229" s="15"/>
      <c r="L4229" s="15"/>
      <c r="M4229" s="15"/>
    </row>
    <row r="4230" spans="1:13" x14ac:dyDescent="0.25">
      <c r="A4230" s="23"/>
      <c r="B4230" s="14" t="str">
        <f t="shared" si="198"/>
        <v>Direct Debit (UMB Bank) - Returned Items</v>
      </c>
      <c r="C4230" s="22"/>
      <c r="D4230" s="23"/>
      <c r="E4230" s="16"/>
      <c r="F4230" s="15"/>
      <c r="H4230" s="15"/>
      <c r="I4230" s="15"/>
      <c r="J4230" s="24"/>
      <c r="K4230" s="15"/>
      <c r="L4230" s="15"/>
      <c r="M4230" s="15"/>
    </row>
    <row r="4231" spans="1:13" x14ac:dyDescent="0.25">
      <c r="A4231" s="23"/>
      <c r="B4231" s="14" t="str">
        <f t="shared" si="198"/>
        <v>Direct Debit (UMB Bank) - Returned Items</v>
      </c>
      <c r="C4231" s="22"/>
      <c r="D4231" s="23"/>
      <c r="E4231" s="16"/>
      <c r="F4231" s="15"/>
      <c r="H4231" s="15"/>
      <c r="I4231" s="15"/>
      <c r="J4231" s="15"/>
      <c r="K4231" s="15"/>
      <c r="L4231" s="15"/>
      <c r="M4231" s="15"/>
    </row>
    <row r="4232" spans="1:13" x14ac:dyDescent="0.25">
      <c r="A4232" s="23"/>
      <c r="B4232" s="14" t="str">
        <f t="shared" si="198"/>
        <v>Direct Debit (UMB Bank) - Returned Items</v>
      </c>
      <c r="C4232" s="22"/>
      <c r="D4232" s="23"/>
      <c r="E4232" s="16"/>
      <c r="F4232" s="15"/>
      <c r="H4232" s="15"/>
      <c r="I4232" s="15"/>
      <c r="J4232" s="15"/>
      <c r="K4232" s="15"/>
      <c r="L4232" s="15"/>
      <c r="M4232" s="15"/>
    </row>
    <row r="4233" spans="1:13" x14ac:dyDescent="0.25">
      <c r="A4233" s="23"/>
      <c r="B4233" s="14" t="str">
        <f t="shared" si="198"/>
        <v>Direct Debit (UMB Bank) - Returned Items</v>
      </c>
      <c r="C4233" s="22"/>
      <c r="D4233" s="23"/>
      <c r="E4233" s="16"/>
      <c r="F4233" s="15"/>
      <c r="H4233" s="15"/>
      <c r="I4233" s="15"/>
      <c r="J4233" s="24"/>
      <c r="K4233" s="15"/>
      <c r="L4233" s="15"/>
      <c r="M4233" s="15"/>
    </row>
    <row r="4234" spans="1:13" x14ac:dyDescent="0.25">
      <c r="A4234" s="23"/>
      <c r="B4234" s="14" t="str">
        <f t="shared" si="198"/>
        <v>Direct Debit (UMB Bank) - Returned Items</v>
      </c>
      <c r="C4234" s="22"/>
      <c r="D4234" s="23"/>
      <c r="E4234" s="16"/>
      <c r="F4234" s="15"/>
      <c r="H4234" s="15"/>
      <c r="I4234" s="15"/>
      <c r="J4234" s="15"/>
      <c r="K4234" s="15"/>
      <c r="L4234" s="15"/>
      <c r="M4234" s="15"/>
    </row>
    <row r="4235" spans="1:13" x14ac:dyDescent="0.25">
      <c r="A4235" s="23"/>
      <c r="B4235" s="14" t="str">
        <f t="shared" si="198"/>
        <v>Direct Debit (UMB Bank) - Returned Items</v>
      </c>
      <c r="C4235" s="22"/>
      <c r="D4235" s="23"/>
      <c r="E4235" s="16"/>
      <c r="F4235" s="15"/>
      <c r="H4235" s="15"/>
      <c r="I4235" s="15"/>
      <c r="J4235" s="15"/>
      <c r="K4235" s="15"/>
      <c r="L4235" s="15"/>
      <c r="M4235" s="15"/>
    </row>
    <row r="4236" spans="1:13" x14ac:dyDescent="0.25">
      <c r="A4236" s="23"/>
      <c r="B4236" s="14" t="str">
        <f t="shared" si="198"/>
        <v>Direct Debit (UMB Bank) - Returned Items</v>
      </c>
      <c r="C4236" s="22"/>
      <c r="D4236" s="23"/>
      <c r="E4236" s="16"/>
      <c r="F4236" s="15"/>
      <c r="H4236" s="15"/>
      <c r="I4236" s="15"/>
      <c r="J4236" s="15"/>
      <c r="K4236" s="15"/>
      <c r="L4236" s="15"/>
      <c r="M4236" s="15"/>
    </row>
    <row r="4237" spans="1:13" x14ac:dyDescent="0.25">
      <c r="A4237" s="23"/>
      <c r="B4237" s="14" t="str">
        <f t="shared" si="198"/>
        <v>Direct Debit (UMB Bank) - Returned Items</v>
      </c>
      <c r="C4237" s="22"/>
      <c r="D4237" s="23"/>
      <c r="E4237" s="16"/>
      <c r="F4237" s="15"/>
      <c r="H4237" s="15"/>
      <c r="I4237" s="15"/>
      <c r="J4237" s="15"/>
      <c r="K4237" s="15"/>
      <c r="L4237" s="15"/>
      <c r="M4237" s="15"/>
    </row>
    <row r="4238" spans="1:13" x14ac:dyDescent="0.25">
      <c r="A4238" s="23"/>
      <c r="B4238" s="14" t="str">
        <f t="shared" si="198"/>
        <v>Direct Debit (UMB Bank) - Returned Items</v>
      </c>
      <c r="C4238" s="22"/>
      <c r="D4238" s="23"/>
      <c r="E4238" s="16"/>
      <c r="F4238" s="15"/>
      <c r="H4238" s="15"/>
      <c r="I4238" s="15"/>
      <c r="J4238" s="15"/>
      <c r="K4238" s="15"/>
      <c r="L4238" s="15"/>
      <c r="M4238" s="15"/>
    </row>
    <row r="4239" spans="1:13" x14ac:dyDescent="0.25">
      <c r="A4239" s="23"/>
      <c r="B4239" s="14" t="str">
        <f t="shared" si="198"/>
        <v>Direct Debit (UMB Bank) - Returned Items</v>
      </c>
      <c r="C4239" s="22"/>
      <c r="D4239" s="23"/>
      <c r="E4239" s="16"/>
      <c r="F4239" s="15"/>
      <c r="H4239" s="15"/>
      <c r="I4239" s="15"/>
      <c r="J4239" s="15"/>
      <c r="K4239" s="15"/>
      <c r="L4239" s="15"/>
      <c r="M4239" s="15"/>
    </row>
    <row r="4240" spans="1:13" x14ac:dyDescent="0.25">
      <c r="A4240" s="23"/>
      <c r="B4240" s="14" t="str">
        <f t="shared" si="198"/>
        <v>Direct Debit (UMB Bank) - Returned Items</v>
      </c>
      <c r="C4240" s="22"/>
      <c r="D4240" s="23"/>
      <c r="E4240" s="16"/>
      <c r="F4240" s="15"/>
      <c r="H4240" s="15"/>
      <c r="I4240" s="15"/>
      <c r="J4240" s="15"/>
      <c r="K4240" s="15"/>
      <c r="L4240" s="15"/>
      <c r="M4240" s="15"/>
    </row>
    <row r="4241" spans="1:13" x14ac:dyDescent="0.25">
      <c r="A4241" s="23"/>
      <c r="B4241" s="14" t="str">
        <f t="shared" si="198"/>
        <v>Direct Debit (UMB Bank) - Returned Items</v>
      </c>
      <c r="C4241" s="22"/>
      <c r="D4241" s="23"/>
      <c r="E4241" s="16"/>
      <c r="F4241" s="15"/>
      <c r="H4241" s="15"/>
      <c r="I4241" s="15"/>
      <c r="J4241" s="15"/>
      <c r="K4241" s="15"/>
      <c r="L4241" s="15"/>
      <c r="M4241" s="15"/>
    </row>
    <row r="4242" spans="1:13" x14ac:dyDescent="0.25">
      <c r="A4242" s="23"/>
      <c r="B4242" s="14" t="str">
        <f t="shared" si="198"/>
        <v>Direct Debit (UMB Bank) - Returned Items</v>
      </c>
      <c r="C4242" s="22"/>
      <c r="D4242" s="23"/>
      <c r="E4242" s="16"/>
      <c r="F4242" s="15"/>
      <c r="H4242" s="15"/>
      <c r="I4242" s="15"/>
      <c r="J4242" s="15"/>
      <c r="K4242" s="15"/>
      <c r="L4242" s="15"/>
      <c r="M4242" s="15"/>
    </row>
    <row r="4243" spans="1:13" x14ac:dyDescent="0.25">
      <c r="A4243" s="23"/>
      <c r="B4243" s="14" t="str">
        <f t="shared" si="198"/>
        <v>Direct Debit (UMB Bank) - Returned Items</v>
      </c>
      <c r="C4243" s="22"/>
      <c r="D4243" s="23"/>
      <c r="E4243" s="16"/>
      <c r="F4243" s="15"/>
      <c r="H4243" s="15"/>
      <c r="I4243" s="15"/>
      <c r="J4243" s="15"/>
      <c r="K4243" s="15"/>
      <c r="L4243" s="15"/>
      <c r="M4243" s="15"/>
    </row>
    <row r="4244" spans="1:13" x14ac:dyDescent="0.25">
      <c r="A4244" s="23"/>
      <c r="B4244" s="14" t="str">
        <f t="shared" si="198"/>
        <v>Direct Debit (UMB Bank) - Returned Items</v>
      </c>
      <c r="C4244" s="22"/>
      <c r="D4244" s="23"/>
      <c r="E4244" s="16"/>
      <c r="F4244" s="15"/>
      <c r="H4244" s="15"/>
      <c r="I4244" s="15"/>
      <c r="J4244" s="15"/>
      <c r="K4244" s="15"/>
      <c r="L4244" s="15"/>
      <c r="M4244" s="15"/>
    </row>
    <row r="4245" spans="1:13" x14ac:dyDescent="0.25">
      <c r="A4245" s="23"/>
      <c r="B4245" s="14" t="str">
        <f t="shared" si="198"/>
        <v>Direct Debit (UMB Bank) - Returned Items</v>
      </c>
      <c r="C4245" s="22"/>
      <c r="D4245" s="23"/>
      <c r="E4245" s="16"/>
      <c r="F4245" s="15"/>
      <c r="H4245" s="15"/>
      <c r="I4245" s="15"/>
      <c r="J4245" s="15"/>
      <c r="K4245" s="15"/>
      <c r="L4245" s="15"/>
      <c r="M4245" s="15"/>
    </row>
    <row r="4246" spans="1:13" x14ac:dyDescent="0.25">
      <c r="A4246" s="23"/>
      <c r="B4246" s="14" t="str">
        <f t="shared" si="198"/>
        <v>Direct Debit (UMB Bank) - Returned Items</v>
      </c>
      <c r="C4246" s="22"/>
      <c r="D4246" s="23"/>
      <c r="E4246" s="16"/>
      <c r="F4246" s="15"/>
      <c r="H4246" s="15"/>
      <c r="I4246" s="15"/>
      <c r="J4246" s="15"/>
      <c r="K4246" s="15"/>
      <c r="L4246" s="15"/>
      <c r="M4246" s="15"/>
    </row>
    <row r="4247" spans="1:13" x14ac:dyDescent="0.25">
      <c r="A4247" s="23"/>
      <c r="B4247" s="14" t="str">
        <f t="shared" si="198"/>
        <v>Direct Debit (UMB Bank) - Returned Items</v>
      </c>
      <c r="C4247" s="22"/>
      <c r="D4247" s="23"/>
      <c r="E4247" s="16"/>
      <c r="F4247" s="15"/>
      <c r="H4247" s="15"/>
      <c r="I4247" s="15"/>
      <c r="J4247" s="15"/>
      <c r="K4247" s="15"/>
      <c r="L4247" s="15"/>
      <c r="M4247" s="15"/>
    </row>
    <row r="4248" spans="1:13" x14ac:dyDescent="0.25">
      <c r="A4248" s="23"/>
      <c r="B4248" s="14" t="str">
        <f t="shared" si="198"/>
        <v>Direct Debit (UMB Bank) - Returned Items</v>
      </c>
      <c r="C4248" s="22"/>
      <c r="D4248" s="23"/>
      <c r="E4248" s="16"/>
      <c r="F4248" s="15"/>
      <c r="H4248" s="15"/>
      <c r="I4248" s="15"/>
      <c r="J4248" s="15"/>
      <c r="K4248" s="15"/>
      <c r="L4248" s="15"/>
      <c r="M4248" s="15"/>
    </row>
    <row r="4249" spans="1:13" x14ac:dyDescent="0.25">
      <c r="A4249" s="23"/>
      <c r="B4249" s="14" t="str">
        <f t="shared" si="198"/>
        <v>Direct Debit (UMB Bank) - Returned Items</v>
      </c>
      <c r="C4249" s="22"/>
      <c r="D4249" s="23"/>
      <c r="E4249" s="16"/>
      <c r="F4249" s="15"/>
      <c r="H4249" s="15"/>
      <c r="I4249" s="15"/>
      <c r="J4249" s="15"/>
      <c r="K4249" s="15"/>
      <c r="L4249" s="15"/>
      <c r="M4249" s="15"/>
    </row>
    <row r="4250" spans="1:13" x14ac:dyDescent="0.25">
      <c r="A4250" s="23"/>
      <c r="B4250" s="14" t="str">
        <f t="shared" si="198"/>
        <v>Direct Debit (UMB Bank) - Returned Items</v>
      </c>
      <c r="C4250" s="22"/>
      <c r="D4250" s="23"/>
      <c r="E4250" s="16"/>
      <c r="F4250" s="15"/>
      <c r="H4250" s="15"/>
      <c r="I4250" s="15"/>
      <c r="J4250" s="24"/>
      <c r="K4250" s="15"/>
      <c r="L4250" s="15"/>
      <c r="M4250" s="15"/>
    </row>
    <row r="4251" spans="1:13" x14ac:dyDescent="0.25">
      <c r="A4251" s="23"/>
      <c r="B4251" s="14" t="str">
        <f t="shared" si="198"/>
        <v>Direct Debit (UMB Bank) - Returned Items</v>
      </c>
      <c r="C4251" s="22"/>
      <c r="D4251" s="23"/>
      <c r="E4251" s="16"/>
      <c r="F4251" s="15"/>
      <c r="H4251" s="15"/>
      <c r="I4251" s="15"/>
      <c r="J4251" s="15"/>
      <c r="K4251" s="15"/>
      <c r="L4251" s="15"/>
      <c r="M4251" s="15"/>
    </row>
    <row r="4252" spans="1:13" x14ac:dyDescent="0.25">
      <c r="A4252" s="23"/>
      <c r="B4252" s="14" t="str">
        <f t="shared" si="198"/>
        <v>Direct Debit (UMB Bank) - Returned Items</v>
      </c>
      <c r="C4252" s="22"/>
      <c r="D4252" s="23"/>
      <c r="E4252" s="16"/>
      <c r="F4252" s="15"/>
      <c r="H4252" s="15"/>
      <c r="I4252" s="15"/>
      <c r="J4252" s="15"/>
      <c r="K4252" s="15"/>
      <c r="L4252" s="15"/>
      <c r="M4252" s="15"/>
    </row>
    <row r="4253" spans="1:13" x14ac:dyDescent="0.25">
      <c r="A4253" s="23"/>
      <c r="B4253" s="14" t="str">
        <f t="shared" si="198"/>
        <v>Direct Debit (UMB Bank) - Returned Items</v>
      </c>
      <c r="C4253" s="22"/>
      <c r="D4253" s="23"/>
      <c r="E4253" s="16"/>
      <c r="F4253" s="15"/>
      <c r="H4253" s="15"/>
      <c r="I4253" s="15"/>
      <c r="J4253" s="15"/>
      <c r="K4253" s="15"/>
      <c r="L4253" s="15"/>
      <c r="M4253" s="15"/>
    </row>
    <row r="4254" spans="1:13" x14ac:dyDescent="0.25">
      <c r="A4254" s="23"/>
      <c r="B4254" s="14" t="str">
        <f t="shared" si="198"/>
        <v>Direct Debit (UMB Bank) - Returned Items</v>
      </c>
      <c r="C4254" s="22"/>
      <c r="D4254" s="23"/>
      <c r="E4254" s="16"/>
      <c r="F4254" s="15"/>
      <c r="H4254" s="15"/>
      <c r="I4254" s="15"/>
      <c r="J4254" s="15"/>
      <c r="K4254" s="15"/>
      <c r="L4254" s="15"/>
      <c r="M4254" s="15"/>
    </row>
    <row r="4255" spans="1:13" x14ac:dyDescent="0.25">
      <c r="A4255" s="23"/>
      <c r="B4255" s="14" t="str">
        <f t="shared" si="198"/>
        <v>Direct Debit (UMB Bank) - Returned Items</v>
      </c>
      <c r="C4255" s="22"/>
      <c r="D4255" s="23"/>
      <c r="E4255" s="16"/>
      <c r="F4255" s="15"/>
      <c r="H4255" s="15"/>
      <c r="I4255" s="15"/>
      <c r="J4255" s="15"/>
      <c r="K4255" s="15"/>
      <c r="L4255" s="15"/>
      <c r="M4255" s="15"/>
    </row>
    <row r="4256" spans="1:13" x14ac:dyDescent="0.25">
      <c r="A4256" s="23"/>
      <c r="B4256" s="14" t="str">
        <f t="shared" si="198"/>
        <v>Direct Debit (UMB Bank) - Returned Items</v>
      </c>
      <c r="C4256" s="22"/>
      <c r="D4256" s="23"/>
      <c r="E4256" s="16"/>
      <c r="F4256" s="15"/>
      <c r="H4256" s="15"/>
      <c r="I4256" s="15"/>
      <c r="J4256" s="15"/>
      <c r="K4256" s="15"/>
      <c r="L4256" s="15"/>
      <c r="M4256" s="15"/>
    </row>
    <row r="4257" spans="1:13" x14ac:dyDescent="0.25">
      <c r="A4257" s="23"/>
      <c r="B4257" s="14" t="str">
        <f t="shared" si="198"/>
        <v>Direct Debit (UMB Bank) - Returned Items</v>
      </c>
      <c r="C4257" s="22"/>
      <c r="D4257" s="23"/>
      <c r="E4257" s="16"/>
      <c r="F4257" s="15"/>
      <c r="H4257" s="15"/>
      <c r="I4257" s="15"/>
      <c r="J4257" s="15"/>
      <c r="K4257" s="15"/>
      <c r="L4257" s="15"/>
      <c r="M4257" s="15"/>
    </row>
    <row r="4258" spans="1:13" x14ac:dyDescent="0.25">
      <c r="A4258" s="23"/>
      <c r="B4258" s="14" t="str">
        <f t="shared" si="198"/>
        <v>Direct Debit (UMB Bank) - Returned Items</v>
      </c>
      <c r="C4258" s="22"/>
      <c r="D4258" s="23"/>
      <c r="E4258" s="16"/>
      <c r="F4258" s="15"/>
      <c r="H4258" s="15"/>
      <c r="I4258" s="15"/>
      <c r="J4258" s="15"/>
      <c r="K4258" s="15"/>
      <c r="L4258" s="15"/>
      <c r="M4258" s="15"/>
    </row>
    <row r="4259" spans="1:13" x14ac:dyDescent="0.25">
      <c r="A4259" s="23"/>
      <c r="B4259" s="14" t="str">
        <f t="shared" si="198"/>
        <v>Direct Debit (UMB Bank) - Returned Items</v>
      </c>
      <c r="C4259" s="22"/>
      <c r="D4259" s="23"/>
      <c r="E4259" s="16"/>
      <c r="F4259" s="15"/>
      <c r="H4259" s="15"/>
      <c r="I4259" s="15"/>
      <c r="J4259" s="15"/>
      <c r="K4259" s="15"/>
      <c r="L4259" s="15"/>
      <c r="M4259" s="15"/>
    </row>
    <row r="4260" spans="1:13" x14ac:dyDescent="0.25">
      <c r="A4260" s="23"/>
      <c r="B4260" s="14" t="str">
        <f t="shared" si="198"/>
        <v>Direct Debit (UMB Bank) - Returned Items</v>
      </c>
      <c r="C4260" s="22"/>
      <c r="D4260" s="23"/>
      <c r="E4260" s="16"/>
      <c r="F4260" s="15"/>
      <c r="H4260" s="15"/>
      <c r="I4260" s="15"/>
      <c r="J4260" s="15"/>
      <c r="K4260" s="15"/>
      <c r="L4260" s="15"/>
      <c r="M4260" s="15"/>
    </row>
    <row r="4261" spans="1:13" x14ac:dyDescent="0.25">
      <c r="A4261" s="23"/>
      <c r="B4261" s="14" t="str">
        <f t="shared" si="198"/>
        <v>Direct Debit (UMB Bank) - Returned Items</v>
      </c>
      <c r="C4261" s="22"/>
      <c r="D4261" s="23"/>
      <c r="E4261" s="16"/>
      <c r="F4261" s="15"/>
      <c r="H4261" s="15"/>
      <c r="I4261" s="15"/>
      <c r="J4261" s="15"/>
      <c r="K4261" s="15"/>
      <c r="L4261" s="15"/>
      <c r="M4261" s="15"/>
    </row>
    <row r="4262" spans="1:13" x14ac:dyDescent="0.25">
      <c r="A4262" s="23"/>
      <c r="B4262" s="14" t="str">
        <f t="shared" si="198"/>
        <v>Direct Debit (UMB Bank) - Returned Items</v>
      </c>
      <c r="C4262" s="22"/>
      <c r="D4262" s="23"/>
      <c r="E4262" s="16"/>
      <c r="F4262" s="15"/>
      <c r="H4262" s="15"/>
      <c r="I4262" s="15"/>
      <c r="J4262" s="15"/>
      <c r="K4262" s="15"/>
      <c r="L4262" s="15"/>
      <c r="M4262" s="15"/>
    </row>
    <row r="4263" spans="1:13" x14ac:dyDescent="0.25">
      <c r="A4263" s="23"/>
      <c r="B4263" s="14" t="str">
        <f t="shared" si="198"/>
        <v>Direct Debit (UMB Bank) - Returned Items</v>
      </c>
      <c r="C4263" s="22"/>
      <c r="D4263" s="23"/>
      <c r="E4263" s="16"/>
      <c r="F4263" s="15"/>
      <c r="H4263" s="15"/>
      <c r="I4263" s="15"/>
      <c r="J4263" s="15"/>
      <c r="K4263" s="15"/>
      <c r="L4263" s="15"/>
      <c r="M4263" s="15"/>
    </row>
    <row r="4264" spans="1:13" x14ac:dyDescent="0.25">
      <c r="A4264" s="23"/>
      <c r="B4264" s="14" t="str">
        <f t="shared" si="198"/>
        <v>Direct Debit (UMB Bank) - Returned Items</v>
      </c>
      <c r="C4264" s="22"/>
      <c r="D4264" s="23"/>
      <c r="E4264" s="16"/>
      <c r="F4264" s="15"/>
      <c r="H4264" s="15"/>
      <c r="I4264" s="15"/>
      <c r="J4264" s="15"/>
      <c r="K4264" s="15"/>
      <c r="L4264" s="15"/>
      <c r="M4264" s="15"/>
    </row>
    <row r="4265" spans="1:13" x14ac:dyDescent="0.25">
      <c r="A4265" s="23"/>
      <c r="B4265" s="14" t="str">
        <f t="shared" si="198"/>
        <v>Direct Debit (UMB Bank) - Returned Items</v>
      </c>
      <c r="C4265" s="22"/>
      <c r="D4265" s="23"/>
      <c r="E4265" s="16"/>
      <c r="F4265" s="15"/>
      <c r="H4265" s="15"/>
      <c r="I4265" s="15"/>
      <c r="J4265" s="15"/>
      <c r="K4265" s="15"/>
      <c r="L4265" s="15"/>
      <c r="M4265" s="15"/>
    </row>
    <row r="4266" spans="1:13" x14ac:dyDescent="0.25">
      <c r="A4266" s="23"/>
      <c r="B4266" s="14" t="str">
        <f t="shared" si="198"/>
        <v>Direct Debit (UMB Bank) - Returned Items</v>
      </c>
      <c r="C4266" s="22"/>
      <c r="D4266" s="23"/>
      <c r="E4266" s="16"/>
      <c r="F4266" s="15"/>
      <c r="H4266" s="15"/>
      <c r="I4266" s="15"/>
      <c r="J4266" s="24"/>
      <c r="K4266" s="15"/>
      <c r="L4266" s="15"/>
      <c r="M4266" s="15"/>
    </row>
    <row r="4267" spans="1:13" x14ac:dyDescent="0.25">
      <c r="A4267" s="23"/>
      <c r="B4267" s="14" t="str">
        <f t="shared" si="198"/>
        <v>Direct Debit (UMB Bank) - Returned Items</v>
      </c>
      <c r="C4267" s="22"/>
      <c r="D4267" s="23"/>
      <c r="E4267" s="16"/>
      <c r="F4267" s="15"/>
      <c r="H4267" s="15"/>
      <c r="I4267" s="15"/>
      <c r="J4267" s="15"/>
      <c r="K4267" s="15"/>
      <c r="L4267" s="15"/>
      <c r="M4267" s="15"/>
    </row>
    <row r="4268" spans="1:13" x14ac:dyDescent="0.25">
      <c r="A4268" s="23"/>
      <c r="B4268" s="14" t="str">
        <f t="shared" si="198"/>
        <v>Direct Debit (UMB Bank) - Returned Items</v>
      </c>
      <c r="C4268" s="22"/>
      <c r="D4268" s="23"/>
      <c r="E4268" s="16"/>
      <c r="F4268" s="15"/>
      <c r="H4268" s="15"/>
      <c r="I4268" s="15"/>
      <c r="J4268" s="15"/>
      <c r="K4268" s="15"/>
      <c r="L4268" s="15"/>
      <c r="M4268" s="15"/>
    </row>
    <row r="4269" spans="1:13" x14ac:dyDescent="0.25">
      <c r="A4269" s="23"/>
      <c r="B4269" s="14" t="str">
        <f t="shared" si="198"/>
        <v>Direct Debit (UMB Bank) - Returned Items</v>
      </c>
      <c r="C4269" s="22"/>
      <c r="D4269" s="23"/>
      <c r="E4269" s="16"/>
      <c r="F4269" s="15"/>
      <c r="H4269" s="15"/>
      <c r="I4269" s="15"/>
      <c r="J4269" s="24"/>
      <c r="K4269" s="15"/>
      <c r="L4269" s="15"/>
      <c r="M4269" s="15"/>
    </row>
    <row r="4270" spans="1:13" x14ac:dyDescent="0.25">
      <c r="A4270" s="23"/>
      <c r="B4270" s="14" t="str">
        <f t="shared" si="198"/>
        <v>Direct Debit (UMB Bank) - Returned Items</v>
      </c>
      <c r="C4270" s="22"/>
      <c r="D4270" s="23"/>
      <c r="E4270" s="16"/>
      <c r="F4270" s="15"/>
      <c r="H4270" s="15"/>
      <c r="I4270" s="15"/>
      <c r="J4270" s="15"/>
      <c r="K4270" s="15"/>
      <c r="L4270" s="15"/>
      <c r="M4270" s="15"/>
    </row>
    <row r="4271" spans="1:13" x14ac:dyDescent="0.25">
      <c r="A4271" s="23"/>
      <c r="B4271" s="14" t="str">
        <f t="shared" si="198"/>
        <v>Direct Debit (UMB Bank) - Returned Items</v>
      </c>
      <c r="C4271" s="22"/>
      <c r="D4271" s="23"/>
      <c r="E4271" s="16"/>
      <c r="F4271" s="15"/>
      <c r="H4271" s="15"/>
      <c r="I4271" s="15"/>
      <c r="J4271" s="15"/>
      <c r="K4271" s="15"/>
      <c r="L4271" s="15"/>
      <c r="M4271" s="15"/>
    </row>
    <row r="4272" spans="1:13" x14ac:dyDescent="0.25">
      <c r="A4272" s="23"/>
      <c r="B4272" s="14" t="str">
        <f t="shared" si="198"/>
        <v>Direct Debit (UMB Bank) - Returned Items</v>
      </c>
      <c r="C4272" s="22"/>
      <c r="D4272" s="23"/>
      <c r="E4272" s="16"/>
      <c r="F4272" s="15"/>
      <c r="H4272" s="15"/>
      <c r="I4272" s="15"/>
      <c r="J4272" s="15"/>
      <c r="K4272" s="15"/>
      <c r="L4272" s="15"/>
      <c r="M4272" s="15"/>
    </row>
    <row r="4273" spans="1:13" x14ac:dyDescent="0.25">
      <c r="A4273" s="23"/>
      <c r="B4273" s="14" t="str">
        <f t="shared" si="198"/>
        <v>Direct Debit (UMB Bank) - Returned Items</v>
      </c>
      <c r="C4273" s="22"/>
      <c r="D4273" s="23"/>
      <c r="E4273" s="16"/>
      <c r="F4273" s="15"/>
      <c r="H4273" s="15"/>
      <c r="I4273" s="15"/>
      <c r="J4273" s="15"/>
      <c r="K4273" s="15"/>
      <c r="L4273" s="15"/>
      <c r="M4273" s="15"/>
    </row>
    <row r="4274" spans="1:13" x14ac:dyDescent="0.25">
      <c r="A4274" s="23"/>
      <c r="B4274" s="14" t="str">
        <f t="shared" si="198"/>
        <v>Direct Debit (UMB Bank) - Returned Items</v>
      </c>
      <c r="C4274" s="22"/>
      <c r="D4274" s="23"/>
      <c r="E4274" s="16"/>
      <c r="F4274" s="15"/>
      <c r="H4274" s="15"/>
      <c r="I4274" s="15"/>
      <c r="J4274" s="15"/>
      <c r="K4274" s="15"/>
      <c r="L4274" s="15"/>
      <c r="M4274" s="15"/>
    </row>
    <row r="4275" spans="1:13" x14ac:dyDescent="0.25">
      <c r="A4275" s="23"/>
      <c r="B4275" s="14" t="str">
        <f t="shared" ref="B4275:B4338" si="199">IF(AND(E4275="BILL",F4275&lt;0),"Billing &amp; Direct Debit - Refunds",(IF(AND(E4275="BILL",F4275&gt;0),"Billing - Credits (from TPA)",(IF(AND(E4275="CC",F4275&lt;0),"Credit Cards (UMB) - Refunds",(IF(AND(E4275="CC",F4275&gt;0),"Credit Cards (UMB) - Credits",(IF(AND(E4275="ACH",F4275&gt;0),"Direct Debit (UMB Bank) - Credits","Direct Debit (UMB Bank) - Returned Items")))))))))</f>
        <v>Direct Debit (UMB Bank) - Returned Items</v>
      </c>
      <c r="C4275" s="22"/>
      <c r="D4275" s="23"/>
      <c r="E4275" s="16"/>
      <c r="F4275" s="15"/>
      <c r="H4275" s="15"/>
      <c r="I4275" s="15"/>
      <c r="J4275" s="15"/>
      <c r="K4275" s="15"/>
      <c r="L4275" s="15"/>
      <c r="M4275" s="15"/>
    </row>
    <row r="4276" spans="1:13" x14ac:dyDescent="0.25">
      <c r="A4276" s="23"/>
      <c r="B4276" s="14" t="str">
        <f t="shared" si="199"/>
        <v>Direct Debit (UMB Bank) - Returned Items</v>
      </c>
      <c r="C4276" s="22"/>
      <c r="D4276" s="23"/>
      <c r="E4276" s="16"/>
      <c r="F4276" s="15"/>
      <c r="H4276" s="15"/>
      <c r="I4276" s="15"/>
      <c r="J4276" s="15"/>
      <c r="K4276" s="15"/>
      <c r="L4276" s="15"/>
      <c r="M4276" s="15"/>
    </row>
    <row r="4277" spans="1:13" x14ac:dyDescent="0.25">
      <c r="A4277" s="23"/>
      <c r="B4277" s="14" t="str">
        <f t="shared" si="199"/>
        <v>Direct Debit (UMB Bank) - Returned Items</v>
      </c>
      <c r="C4277" s="22"/>
      <c r="D4277" s="23"/>
      <c r="E4277" s="16"/>
      <c r="F4277" s="15"/>
      <c r="H4277" s="15"/>
      <c r="I4277" s="15"/>
      <c r="J4277" s="15"/>
      <c r="K4277" s="15"/>
      <c r="L4277" s="15"/>
      <c r="M4277" s="15"/>
    </row>
    <row r="4278" spans="1:13" x14ac:dyDescent="0.25">
      <c r="A4278" s="23"/>
      <c r="B4278" s="14" t="str">
        <f t="shared" si="199"/>
        <v>Direct Debit (UMB Bank) - Returned Items</v>
      </c>
      <c r="C4278" s="22"/>
      <c r="D4278" s="23"/>
      <c r="E4278" s="16"/>
      <c r="F4278" s="15"/>
      <c r="H4278" s="15"/>
      <c r="I4278" s="15"/>
      <c r="J4278" s="15"/>
      <c r="K4278" s="15"/>
      <c r="L4278" s="15"/>
      <c r="M4278" s="15"/>
    </row>
    <row r="4279" spans="1:13" x14ac:dyDescent="0.25">
      <c r="A4279" s="23"/>
      <c r="B4279" s="14" t="str">
        <f t="shared" si="199"/>
        <v>Direct Debit (UMB Bank) - Returned Items</v>
      </c>
      <c r="C4279" s="22"/>
      <c r="D4279" s="23"/>
      <c r="E4279" s="16"/>
      <c r="F4279" s="15"/>
      <c r="H4279" s="15"/>
      <c r="I4279" s="15"/>
      <c r="J4279" s="15"/>
      <c r="K4279" s="15"/>
      <c r="L4279" s="15"/>
      <c r="M4279" s="15"/>
    </row>
    <row r="4280" spans="1:13" x14ac:dyDescent="0.25">
      <c r="A4280" s="23"/>
      <c r="B4280" s="14" t="str">
        <f t="shared" si="199"/>
        <v>Direct Debit (UMB Bank) - Returned Items</v>
      </c>
      <c r="C4280" s="22"/>
      <c r="D4280" s="23"/>
      <c r="E4280" s="16"/>
      <c r="F4280" s="15"/>
      <c r="H4280" s="15"/>
      <c r="I4280" s="15"/>
      <c r="J4280" s="15"/>
      <c r="K4280" s="15"/>
      <c r="L4280" s="15"/>
      <c r="M4280" s="15"/>
    </row>
    <row r="4281" spans="1:13" x14ac:dyDescent="0.25">
      <c r="A4281" s="23"/>
      <c r="B4281" s="14" t="str">
        <f t="shared" si="199"/>
        <v>Direct Debit (UMB Bank) - Returned Items</v>
      </c>
      <c r="C4281" s="22"/>
      <c r="D4281" s="23"/>
      <c r="E4281" s="16"/>
      <c r="F4281" s="15"/>
      <c r="H4281" s="15"/>
      <c r="I4281" s="15"/>
      <c r="J4281" s="15"/>
      <c r="K4281" s="15"/>
      <c r="L4281" s="15"/>
      <c r="M4281" s="15"/>
    </row>
    <row r="4282" spans="1:13" x14ac:dyDescent="0.25">
      <c r="A4282" s="23"/>
      <c r="B4282" s="14" t="str">
        <f t="shared" si="199"/>
        <v>Direct Debit (UMB Bank) - Returned Items</v>
      </c>
      <c r="C4282" s="22"/>
      <c r="D4282" s="23"/>
      <c r="E4282" s="16"/>
      <c r="F4282" s="15"/>
      <c r="H4282" s="15"/>
      <c r="I4282" s="15"/>
      <c r="J4282" s="15"/>
      <c r="K4282" s="15"/>
      <c r="L4282" s="15"/>
      <c r="M4282" s="15"/>
    </row>
    <row r="4283" spans="1:13" x14ac:dyDescent="0.25">
      <c r="A4283" s="23"/>
      <c r="B4283" s="14" t="str">
        <f t="shared" si="199"/>
        <v>Direct Debit (UMB Bank) - Returned Items</v>
      </c>
      <c r="C4283" s="22"/>
      <c r="D4283" s="23"/>
      <c r="E4283" s="16"/>
      <c r="F4283" s="15"/>
      <c r="H4283" s="15"/>
      <c r="I4283" s="15"/>
      <c r="J4283" s="15"/>
      <c r="K4283" s="15"/>
      <c r="L4283" s="15"/>
      <c r="M4283" s="15"/>
    </row>
    <row r="4284" spans="1:13" x14ac:dyDescent="0.25">
      <c r="A4284" s="23"/>
      <c r="B4284" s="14" t="str">
        <f t="shared" si="199"/>
        <v>Direct Debit (UMB Bank) - Returned Items</v>
      </c>
      <c r="C4284" s="22"/>
      <c r="D4284" s="23"/>
      <c r="E4284" s="16"/>
      <c r="F4284" s="15"/>
      <c r="H4284" s="15"/>
      <c r="I4284" s="15"/>
      <c r="J4284" s="24"/>
      <c r="K4284" s="15"/>
      <c r="L4284" s="15"/>
      <c r="M4284" s="15"/>
    </row>
    <row r="4285" spans="1:13" x14ac:dyDescent="0.25">
      <c r="A4285" s="23"/>
      <c r="B4285" s="14" t="str">
        <f t="shared" si="199"/>
        <v>Direct Debit (UMB Bank) - Returned Items</v>
      </c>
      <c r="C4285" s="22"/>
      <c r="D4285" s="23"/>
      <c r="E4285" s="16"/>
      <c r="F4285" s="15"/>
      <c r="H4285" s="15"/>
      <c r="I4285" s="15"/>
      <c r="J4285" s="15"/>
      <c r="K4285" s="15"/>
      <c r="L4285" s="15"/>
      <c r="M4285" s="15"/>
    </row>
    <row r="4286" spans="1:13" x14ac:dyDescent="0.25">
      <c r="A4286" s="23"/>
      <c r="B4286" s="14" t="str">
        <f t="shared" si="199"/>
        <v>Direct Debit (UMB Bank) - Returned Items</v>
      </c>
      <c r="C4286" s="22"/>
      <c r="D4286" s="23"/>
      <c r="E4286" s="16"/>
      <c r="F4286" s="15"/>
      <c r="H4286" s="15"/>
      <c r="I4286" s="15"/>
      <c r="J4286" s="24"/>
      <c r="K4286" s="15"/>
      <c r="L4286" s="15"/>
      <c r="M4286" s="15"/>
    </row>
    <row r="4287" spans="1:13" x14ac:dyDescent="0.25">
      <c r="A4287" s="23"/>
      <c r="B4287" s="14" t="str">
        <f t="shared" si="199"/>
        <v>Direct Debit (UMB Bank) - Returned Items</v>
      </c>
      <c r="C4287" s="22"/>
      <c r="D4287" s="23"/>
      <c r="E4287" s="16"/>
      <c r="F4287" s="15"/>
      <c r="H4287" s="15"/>
      <c r="I4287" s="15"/>
      <c r="J4287" s="15"/>
      <c r="K4287" s="15"/>
      <c r="L4287" s="15"/>
      <c r="M4287" s="15"/>
    </row>
    <row r="4288" spans="1:13" x14ac:dyDescent="0.25">
      <c r="A4288" s="23"/>
      <c r="B4288" s="14" t="str">
        <f t="shared" si="199"/>
        <v>Direct Debit (UMB Bank) - Returned Items</v>
      </c>
      <c r="C4288" s="22"/>
      <c r="D4288" s="23"/>
      <c r="E4288" s="16"/>
      <c r="F4288" s="15"/>
      <c r="H4288" s="15"/>
      <c r="I4288" s="15"/>
      <c r="J4288" s="15"/>
      <c r="K4288" s="15"/>
      <c r="L4288" s="15"/>
      <c r="M4288" s="15"/>
    </row>
    <row r="4289" spans="1:13" x14ac:dyDescent="0.25">
      <c r="A4289" s="23"/>
      <c r="B4289" s="14" t="str">
        <f t="shared" si="199"/>
        <v>Direct Debit (UMB Bank) - Returned Items</v>
      </c>
      <c r="C4289" s="22"/>
      <c r="D4289" s="23"/>
      <c r="E4289" s="16"/>
      <c r="F4289" s="15"/>
      <c r="H4289" s="15"/>
      <c r="I4289" s="15"/>
      <c r="J4289" s="15"/>
      <c r="K4289" s="15"/>
      <c r="L4289" s="15"/>
      <c r="M4289" s="15"/>
    </row>
    <row r="4290" spans="1:13" x14ac:dyDescent="0.25">
      <c r="A4290" s="23"/>
      <c r="B4290" s="14" t="str">
        <f t="shared" si="199"/>
        <v>Direct Debit (UMB Bank) - Returned Items</v>
      </c>
      <c r="C4290" s="22"/>
      <c r="D4290" s="23"/>
      <c r="E4290" s="16"/>
      <c r="F4290" s="15"/>
      <c r="H4290" s="15"/>
      <c r="I4290" s="15"/>
      <c r="J4290" s="15"/>
      <c r="K4290" s="15"/>
      <c r="L4290" s="15"/>
      <c r="M4290" s="15"/>
    </row>
    <row r="4291" spans="1:13" x14ac:dyDescent="0.25">
      <c r="A4291" s="23"/>
      <c r="B4291" s="14" t="str">
        <f t="shared" si="199"/>
        <v>Direct Debit (UMB Bank) - Returned Items</v>
      </c>
      <c r="C4291" s="22"/>
      <c r="D4291" s="23"/>
      <c r="E4291" s="16"/>
      <c r="F4291" s="15"/>
      <c r="H4291" s="15"/>
      <c r="I4291" s="15"/>
      <c r="J4291" s="15"/>
      <c r="K4291" s="15"/>
      <c r="L4291" s="15"/>
      <c r="M4291" s="15"/>
    </row>
    <row r="4292" spans="1:13" x14ac:dyDescent="0.25">
      <c r="A4292" s="23"/>
      <c r="B4292" s="14" t="str">
        <f t="shared" si="199"/>
        <v>Direct Debit (UMB Bank) - Returned Items</v>
      </c>
      <c r="C4292" s="22"/>
      <c r="D4292" s="23"/>
      <c r="E4292" s="16"/>
      <c r="F4292" s="15"/>
      <c r="H4292" s="15"/>
      <c r="I4292" s="15"/>
      <c r="J4292" s="15"/>
      <c r="K4292" s="15"/>
      <c r="L4292" s="15"/>
      <c r="M4292" s="15"/>
    </row>
    <row r="4293" spans="1:13" x14ac:dyDescent="0.25">
      <c r="A4293" s="23"/>
      <c r="B4293" s="14" t="str">
        <f t="shared" si="199"/>
        <v>Direct Debit (UMB Bank) - Returned Items</v>
      </c>
      <c r="C4293" s="22"/>
      <c r="D4293" s="23"/>
      <c r="E4293" s="16"/>
      <c r="F4293" s="15"/>
      <c r="H4293" s="15"/>
      <c r="I4293" s="15"/>
      <c r="J4293" s="15"/>
      <c r="K4293" s="15"/>
      <c r="L4293" s="15"/>
      <c r="M4293" s="15"/>
    </row>
    <row r="4294" spans="1:13" x14ac:dyDescent="0.25">
      <c r="A4294" s="23"/>
      <c r="B4294" s="14" t="str">
        <f t="shared" si="199"/>
        <v>Direct Debit (UMB Bank) - Returned Items</v>
      </c>
      <c r="C4294" s="22"/>
      <c r="D4294" s="23"/>
      <c r="E4294" s="16"/>
      <c r="F4294" s="15"/>
      <c r="H4294" s="15"/>
      <c r="I4294" s="15"/>
      <c r="J4294" s="15"/>
      <c r="K4294" s="15"/>
      <c r="L4294" s="15"/>
      <c r="M4294" s="15"/>
    </row>
    <row r="4295" spans="1:13" x14ac:dyDescent="0.25">
      <c r="A4295" s="23"/>
      <c r="B4295" s="14" t="str">
        <f t="shared" si="199"/>
        <v>Direct Debit (UMB Bank) - Returned Items</v>
      </c>
      <c r="C4295" s="22"/>
      <c r="D4295" s="23"/>
      <c r="E4295" s="16"/>
      <c r="F4295" s="15"/>
      <c r="H4295" s="15"/>
      <c r="I4295" s="15"/>
      <c r="J4295" s="15"/>
      <c r="K4295" s="15"/>
      <c r="L4295" s="15"/>
      <c r="M4295" s="15"/>
    </row>
    <row r="4296" spans="1:13" x14ac:dyDescent="0.25">
      <c r="A4296" s="23"/>
      <c r="B4296" s="14" t="str">
        <f t="shared" si="199"/>
        <v>Direct Debit (UMB Bank) - Returned Items</v>
      </c>
      <c r="C4296" s="22"/>
      <c r="D4296" s="23"/>
      <c r="E4296" s="16"/>
      <c r="F4296" s="15"/>
      <c r="H4296" s="15"/>
      <c r="I4296" s="15"/>
      <c r="J4296" s="24"/>
      <c r="K4296" s="15"/>
      <c r="L4296" s="15"/>
      <c r="M4296" s="15"/>
    </row>
    <row r="4297" spans="1:13" x14ac:dyDescent="0.25">
      <c r="A4297" s="23"/>
      <c r="B4297" s="14" t="str">
        <f t="shared" si="199"/>
        <v>Direct Debit (UMB Bank) - Returned Items</v>
      </c>
      <c r="C4297" s="22"/>
      <c r="D4297" s="23"/>
      <c r="E4297" s="16"/>
      <c r="F4297" s="15"/>
      <c r="H4297" s="15"/>
      <c r="I4297" s="15"/>
      <c r="J4297" s="24"/>
      <c r="K4297" s="15"/>
      <c r="L4297" s="15"/>
      <c r="M4297" s="15"/>
    </row>
    <row r="4298" spans="1:13" x14ac:dyDescent="0.25">
      <c r="A4298" s="23"/>
      <c r="B4298" s="14" t="str">
        <f t="shared" si="199"/>
        <v>Direct Debit (UMB Bank) - Returned Items</v>
      </c>
      <c r="C4298" s="22"/>
      <c r="D4298" s="23"/>
      <c r="E4298" s="16"/>
      <c r="F4298" s="15"/>
      <c r="H4298" s="15"/>
      <c r="I4298" s="15"/>
      <c r="J4298" s="24"/>
      <c r="K4298" s="15"/>
      <c r="L4298" s="15"/>
      <c r="M4298" s="15"/>
    </row>
    <row r="4299" spans="1:13" x14ac:dyDescent="0.25">
      <c r="A4299" s="23"/>
      <c r="B4299" s="14" t="str">
        <f t="shared" si="199"/>
        <v>Direct Debit (UMB Bank) - Returned Items</v>
      </c>
      <c r="C4299" s="22"/>
      <c r="D4299" s="23"/>
      <c r="E4299" s="16"/>
      <c r="F4299" s="15"/>
      <c r="H4299" s="15"/>
      <c r="I4299" s="15"/>
      <c r="J4299" s="15"/>
      <c r="K4299" s="15"/>
      <c r="L4299" s="15"/>
      <c r="M4299" s="15"/>
    </row>
    <row r="4300" spans="1:13" x14ac:dyDescent="0.25">
      <c r="A4300" s="23"/>
      <c r="B4300" s="14" t="str">
        <f t="shared" si="199"/>
        <v>Direct Debit (UMB Bank) - Returned Items</v>
      </c>
      <c r="C4300" s="22"/>
      <c r="D4300" s="23"/>
      <c r="E4300" s="16"/>
      <c r="F4300" s="15"/>
      <c r="H4300" s="15"/>
      <c r="I4300" s="15"/>
      <c r="J4300" s="24"/>
      <c r="K4300" s="15"/>
      <c r="L4300" s="15"/>
      <c r="M4300" s="15"/>
    </row>
    <row r="4301" spans="1:13" x14ac:dyDescent="0.25">
      <c r="A4301" s="23"/>
      <c r="B4301" s="14" t="str">
        <f t="shared" si="199"/>
        <v>Direct Debit (UMB Bank) - Returned Items</v>
      </c>
      <c r="C4301" s="22"/>
      <c r="D4301" s="23"/>
      <c r="E4301" s="16"/>
      <c r="F4301" s="15"/>
      <c r="H4301" s="15"/>
      <c r="I4301" s="15"/>
      <c r="J4301" s="15"/>
      <c r="K4301" s="15"/>
      <c r="L4301" s="15"/>
      <c r="M4301" s="15"/>
    </row>
    <row r="4302" spans="1:13" x14ac:dyDescent="0.25">
      <c r="A4302" s="23"/>
      <c r="B4302" s="14" t="str">
        <f t="shared" si="199"/>
        <v>Direct Debit (UMB Bank) - Returned Items</v>
      </c>
      <c r="C4302" s="22"/>
      <c r="D4302" s="23"/>
      <c r="E4302" s="16"/>
      <c r="F4302" s="15"/>
      <c r="H4302" s="15"/>
      <c r="I4302" s="15"/>
      <c r="J4302" s="24"/>
      <c r="K4302" s="15"/>
      <c r="L4302" s="15"/>
      <c r="M4302" s="15"/>
    </row>
    <row r="4303" spans="1:13" x14ac:dyDescent="0.25">
      <c r="A4303" s="23"/>
      <c r="B4303" s="14" t="str">
        <f t="shared" si="199"/>
        <v>Direct Debit (UMB Bank) - Returned Items</v>
      </c>
      <c r="C4303" s="22"/>
      <c r="D4303" s="23"/>
      <c r="E4303" s="16"/>
      <c r="F4303" s="15"/>
      <c r="H4303" s="15"/>
      <c r="I4303" s="15"/>
      <c r="J4303" s="15"/>
      <c r="K4303" s="15"/>
      <c r="L4303" s="15"/>
      <c r="M4303" s="15"/>
    </row>
    <row r="4304" spans="1:13" x14ac:dyDescent="0.25">
      <c r="A4304" s="23"/>
      <c r="B4304" s="14" t="str">
        <f t="shared" si="199"/>
        <v>Direct Debit (UMB Bank) - Returned Items</v>
      </c>
      <c r="C4304" s="22"/>
      <c r="D4304" s="23"/>
      <c r="E4304" s="16"/>
      <c r="F4304" s="15"/>
      <c r="H4304" s="15"/>
      <c r="I4304" s="15"/>
      <c r="J4304" s="15"/>
      <c r="K4304" s="15"/>
      <c r="L4304" s="15"/>
      <c r="M4304" s="15"/>
    </row>
    <row r="4305" spans="1:13" x14ac:dyDescent="0.25">
      <c r="A4305" s="23"/>
      <c r="B4305" s="14" t="str">
        <f t="shared" si="199"/>
        <v>Direct Debit (UMB Bank) - Returned Items</v>
      </c>
      <c r="C4305" s="22"/>
      <c r="D4305" s="23"/>
      <c r="E4305" s="16"/>
      <c r="F4305" s="15"/>
      <c r="H4305" s="15"/>
      <c r="I4305" s="15"/>
      <c r="J4305" s="15"/>
      <c r="K4305" s="15"/>
      <c r="L4305" s="15"/>
      <c r="M4305" s="15"/>
    </row>
    <row r="4306" spans="1:13" x14ac:dyDescent="0.25">
      <c r="A4306" s="23"/>
      <c r="B4306" s="14" t="str">
        <f t="shared" si="199"/>
        <v>Direct Debit (UMB Bank) - Returned Items</v>
      </c>
      <c r="C4306" s="22"/>
      <c r="D4306" s="23"/>
      <c r="E4306" s="16"/>
      <c r="F4306" s="15"/>
      <c r="H4306" s="15"/>
      <c r="I4306" s="15"/>
      <c r="J4306" s="24"/>
      <c r="K4306" s="15"/>
      <c r="L4306" s="15"/>
      <c r="M4306" s="15"/>
    </row>
    <row r="4307" spans="1:13" x14ac:dyDescent="0.25">
      <c r="A4307" s="23"/>
      <c r="B4307" s="14" t="str">
        <f t="shared" si="199"/>
        <v>Direct Debit (UMB Bank) - Returned Items</v>
      </c>
      <c r="C4307" s="22"/>
      <c r="D4307" s="23"/>
      <c r="E4307" s="16"/>
      <c r="F4307" s="15"/>
      <c r="H4307" s="15"/>
      <c r="I4307" s="15"/>
      <c r="J4307" s="24"/>
      <c r="K4307" s="15"/>
      <c r="L4307" s="15"/>
      <c r="M4307" s="15"/>
    </row>
    <row r="4308" spans="1:13" x14ac:dyDescent="0.25">
      <c r="A4308" s="23"/>
      <c r="B4308" s="14" t="str">
        <f t="shared" si="199"/>
        <v>Direct Debit (UMB Bank) - Returned Items</v>
      </c>
      <c r="C4308" s="22"/>
      <c r="D4308" s="23"/>
      <c r="E4308" s="16"/>
      <c r="F4308" s="15"/>
      <c r="H4308" s="15"/>
      <c r="I4308" s="15"/>
      <c r="J4308" s="15"/>
      <c r="K4308" s="15"/>
      <c r="L4308" s="15"/>
      <c r="M4308" s="15"/>
    </row>
    <row r="4309" spans="1:13" x14ac:dyDescent="0.25">
      <c r="A4309" s="23"/>
      <c r="B4309" s="14" t="str">
        <f t="shared" si="199"/>
        <v>Direct Debit (UMB Bank) - Returned Items</v>
      </c>
      <c r="C4309" s="22"/>
      <c r="D4309" s="23"/>
      <c r="E4309" s="16"/>
      <c r="F4309" s="15"/>
      <c r="H4309" s="15"/>
      <c r="I4309" s="15"/>
      <c r="J4309" s="15"/>
      <c r="K4309" s="15"/>
      <c r="L4309" s="15"/>
      <c r="M4309" s="15"/>
    </row>
    <row r="4310" spans="1:13" x14ac:dyDescent="0.25">
      <c r="A4310" s="23"/>
      <c r="B4310" s="14" t="str">
        <f t="shared" si="199"/>
        <v>Direct Debit (UMB Bank) - Returned Items</v>
      </c>
      <c r="C4310" s="22"/>
      <c r="D4310" s="23"/>
      <c r="E4310" s="16"/>
      <c r="F4310" s="15"/>
      <c r="H4310" s="15"/>
      <c r="I4310" s="15"/>
      <c r="J4310" s="15"/>
      <c r="K4310" s="15"/>
      <c r="L4310" s="15"/>
      <c r="M4310" s="15"/>
    </row>
    <row r="4311" spans="1:13" x14ac:dyDescent="0.25">
      <c r="A4311" s="23"/>
      <c r="B4311" s="14" t="str">
        <f t="shared" si="199"/>
        <v>Direct Debit (UMB Bank) - Returned Items</v>
      </c>
      <c r="C4311" s="22"/>
      <c r="D4311" s="23"/>
      <c r="E4311" s="16"/>
      <c r="F4311" s="15"/>
      <c r="H4311" s="15"/>
      <c r="I4311" s="15"/>
      <c r="J4311" s="15"/>
      <c r="K4311" s="15"/>
      <c r="L4311" s="15"/>
      <c r="M4311" s="15"/>
    </row>
    <row r="4312" spans="1:13" x14ac:dyDescent="0.25">
      <c r="A4312" s="23"/>
      <c r="B4312" s="14" t="str">
        <f t="shared" si="199"/>
        <v>Direct Debit (UMB Bank) - Returned Items</v>
      </c>
      <c r="C4312" s="22"/>
      <c r="D4312" s="23"/>
      <c r="E4312" s="16"/>
      <c r="F4312" s="15"/>
      <c r="H4312" s="15"/>
      <c r="I4312" s="15"/>
      <c r="J4312" s="15"/>
      <c r="K4312" s="15"/>
      <c r="L4312" s="15"/>
      <c r="M4312" s="15"/>
    </row>
    <row r="4313" spans="1:13" x14ac:dyDescent="0.25">
      <c r="A4313" s="23"/>
      <c r="B4313" s="14" t="str">
        <f t="shared" si="199"/>
        <v>Direct Debit (UMB Bank) - Returned Items</v>
      </c>
      <c r="C4313" s="22"/>
      <c r="D4313" s="23"/>
      <c r="E4313" s="16"/>
      <c r="F4313" s="15"/>
      <c r="H4313" s="15"/>
      <c r="I4313" s="15"/>
      <c r="J4313" s="15"/>
      <c r="K4313" s="15"/>
      <c r="L4313" s="15"/>
      <c r="M4313" s="15"/>
    </row>
    <row r="4314" spans="1:13" x14ac:dyDescent="0.25">
      <c r="A4314" s="23"/>
      <c r="B4314" s="14" t="str">
        <f t="shared" si="199"/>
        <v>Direct Debit (UMB Bank) - Returned Items</v>
      </c>
      <c r="C4314" s="22"/>
      <c r="D4314" s="23"/>
      <c r="E4314" s="16"/>
      <c r="F4314" s="15"/>
      <c r="H4314" s="15"/>
      <c r="I4314" s="15"/>
      <c r="J4314" s="15"/>
      <c r="K4314" s="15"/>
      <c r="L4314" s="15"/>
      <c r="M4314" s="15"/>
    </row>
    <row r="4315" spans="1:13" x14ac:dyDescent="0.25">
      <c r="A4315" s="23"/>
      <c r="B4315" s="14" t="str">
        <f t="shared" si="199"/>
        <v>Direct Debit (UMB Bank) - Returned Items</v>
      </c>
      <c r="C4315" s="22"/>
      <c r="D4315" s="23"/>
      <c r="E4315" s="16"/>
      <c r="F4315" s="15"/>
      <c r="H4315" s="15"/>
      <c r="I4315" s="15"/>
      <c r="J4315" s="15"/>
      <c r="K4315" s="15"/>
      <c r="L4315" s="15"/>
      <c r="M4315" s="15"/>
    </row>
    <row r="4316" spans="1:13" x14ac:dyDescent="0.25">
      <c r="A4316" s="23"/>
      <c r="B4316" s="14" t="str">
        <f t="shared" si="199"/>
        <v>Direct Debit (UMB Bank) - Returned Items</v>
      </c>
      <c r="C4316" s="22"/>
      <c r="D4316" s="23"/>
      <c r="E4316" s="16"/>
      <c r="F4316" s="15"/>
      <c r="H4316" s="15"/>
      <c r="I4316" s="15"/>
      <c r="J4316" s="15"/>
      <c r="K4316" s="15"/>
      <c r="L4316" s="15"/>
      <c r="M4316" s="15"/>
    </row>
    <row r="4317" spans="1:13" x14ac:dyDescent="0.25">
      <c r="A4317" s="23"/>
      <c r="B4317" s="14" t="str">
        <f t="shared" si="199"/>
        <v>Direct Debit (UMB Bank) - Returned Items</v>
      </c>
      <c r="C4317" s="22"/>
      <c r="D4317" s="23"/>
      <c r="E4317" s="16"/>
      <c r="F4317" s="15"/>
      <c r="H4317" s="15"/>
      <c r="I4317" s="15"/>
      <c r="J4317" s="15"/>
      <c r="K4317" s="15"/>
      <c r="L4317" s="15"/>
      <c r="M4317" s="15"/>
    </row>
    <row r="4318" spans="1:13" x14ac:dyDescent="0.25">
      <c r="A4318" s="23"/>
      <c r="B4318" s="14" t="str">
        <f t="shared" si="199"/>
        <v>Direct Debit (UMB Bank) - Returned Items</v>
      </c>
      <c r="C4318" s="22"/>
      <c r="D4318" s="23"/>
      <c r="E4318" s="16"/>
      <c r="F4318" s="15"/>
      <c r="H4318" s="15"/>
      <c r="I4318" s="15"/>
      <c r="J4318" s="15"/>
      <c r="K4318" s="15"/>
      <c r="L4318" s="15"/>
      <c r="M4318" s="15"/>
    </row>
    <row r="4319" spans="1:13" x14ac:dyDescent="0.25">
      <c r="A4319" s="23"/>
      <c r="B4319" s="14" t="str">
        <f t="shared" si="199"/>
        <v>Direct Debit (UMB Bank) - Returned Items</v>
      </c>
      <c r="C4319" s="22"/>
      <c r="D4319" s="23"/>
      <c r="E4319" s="16"/>
      <c r="F4319" s="15"/>
      <c r="H4319" s="15"/>
      <c r="I4319" s="15"/>
      <c r="J4319" s="15"/>
      <c r="K4319" s="15"/>
      <c r="L4319" s="15"/>
      <c r="M4319" s="15"/>
    </row>
    <row r="4320" spans="1:13" x14ac:dyDescent="0.25">
      <c r="A4320" s="23"/>
      <c r="B4320" s="14" t="str">
        <f t="shared" si="199"/>
        <v>Direct Debit (UMB Bank) - Returned Items</v>
      </c>
      <c r="C4320" s="22"/>
      <c r="D4320" s="23"/>
      <c r="E4320" s="16"/>
      <c r="F4320" s="15"/>
      <c r="H4320" s="15"/>
      <c r="I4320" s="15"/>
      <c r="J4320" s="15"/>
      <c r="K4320" s="15"/>
      <c r="L4320" s="15"/>
      <c r="M4320" s="15"/>
    </row>
    <row r="4321" spans="1:13" x14ac:dyDescent="0.25">
      <c r="A4321" s="23"/>
      <c r="B4321" s="14" t="str">
        <f t="shared" si="199"/>
        <v>Direct Debit (UMB Bank) - Returned Items</v>
      </c>
      <c r="C4321" s="22"/>
      <c r="D4321" s="23"/>
      <c r="E4321" s="16"/>
      <c r="F4321" s="15"/>
      <c r="H4321" s="15"/>
      <c r="I4321" s="15"/>
      <c r="J4321" s="15"/>
      <c r="K4321" s="15"/>
      <c r="L4321" s="15"/>
      <c r="M4321" s="15"/>
    </row>
    <row r="4322" spans="1:13" x14ac:dyDescent="0.25">
      <c r="A4322" s="23"/>
      <c r="B4322" s="14" t="str">
        <f t="shared" si="199"/>
        <v>Direct Debit (UMB Bank) - Returned Items</v>
      </c>
      <c r="C4322" s="22"/>
      <c r="D4322" s="23"/>
      <c r="E4322" s="16"/>
      <c r="F4322" s="15"/>
      <c r="H4322" s="15"/>
      <c r="I4322" s="15"/>
      <c r="J4322" s="15"/>
      <c r="K4322" s="15"/>
      <c r="L4322" s="15"/>
      <c r="M4322" s="15"/>
    </row>
    <row r="4323" spans="1:13" x14ac:dyDescent="0.25">
      <c r="A4323" s="23"/>
      <c r="B4323" s="14" t="str">
        <f t="shared" si="199"/>
        <v>Direct Debit (UMB Bank) - Returned Items</v>
      </c>
      <c r="C4323" s="22"/>
      <c r="D4323" s="23"/>
      <c r="E4323" s="16"/>
      <c r="F4323" s="15"/>
      <c r="H4323" s="15"/>
      <c r="I4323" s="15"/>
      <c r="J4323" s="15"/>
      <c r="K4323" s="15"/>
      <c r="L4323" s="15"/>
      <c r="M4323" s="15"/>
    </row>
    <row r="4324" spans="1:13" x14ac:dyDescent="0.25">
      <c r="A4324" s="23"/>
      <c r="B4324" s="14" t="str">
        <f t="shared" si="199"/>
        <v>Direct Debit (UMB Bank) - Returned Items</v>
      </c>
      <c r="C4324" s="22"/>
      <c r="D4324" s="23"/>
      <c r="E4324" s="16"/>
      <c r="F4324" s="15"/>
      <c r="H4324" s="15"/>
      <c r="I4324" s="15"/>
      <c r="J4324" s="15"/>
      <c r="K4324" s="15"/>
      <c r="L4324" s="15"/>
      <c r="M4324" s="15"/>
    </row>
    <row r="4325" spans="1:13" x14ac:dyDescent="0.25">
      <c r="A4325" s="23"/>
      <c r="B4325" s="14" t="str">
        <f t="shared" si="199"/>
        <v>Direct Debit (UMB Bank) - Returned Items</v>
      </c>
      <c r="C4325" s="22"/>
      <c r="D4325" s="23"/>
      <c r="E4325" s="16"/>
      <c r="F4325" s="15"/>
      <c r="H4325" s="15"/>
      <c r="I4325" s="15"/>
      <c r="J4325" s="15"/>
      <c r="K4325" s="15"/>
      <c r="L4325" s="15"/>
      <c r="M4325" s="15"/>
    </row>
    <row r="4326" spans="1:13" x14ac:dyDescent="0.25">
      <c r="A4326" s="23"/>
      <c r="B4326" s="14" t="str">
        <f t="shared" si="199"/>
        <v>Direct Debit (UMB Bank) - Returned Items</v>
      </c>
      <c r="C4326" s="22"/>
      <c r="D4326" s="23"/>
      <c r="E4326" s="16"/>
      <c r="F4326" s="15"/>
      <c r="H4326" s="15"/>
      <c r="I4326" s="15"/>
      <c r="J4326" s="15"/>
      <c r="K4326" s="15"/>
      <c r="L4326" s="15"/>
      <c r="M4326" s="15"/>
    </row>
    <row r="4327" spans="1:13" x14ac:dyDescent="0.25">
      <c r="A4327" s="23"/>
      <c r="B4327" s="14" t="str">
        <f t="shared" si="199"/>
        <v>Direct Debit (UMB Bank) - Returned Items</v>
      </c>
      <c r="C4327" s="22"/>
      <c r="D4327" s="23"/>
      <c r="E4327" s="16"/>
      <c r="F4327" s="15"/>
      <c r="H4327" s="15"/>
      <c r="I4327" s="15"/>
      <c r="J4327" s="15"/>
      <c r="K4327" s="15"/>
      <c r="L4327" s="15"/>
      <c r="M4327" s="15"/>
    </row>
    <row r="4328" spans="1:13" x14ac:dyDescent="0.25">
      <c r="A4328" s="23"/>
      <c r="B4328" s="14" t="str">
        <f t="shared" si="199"/>
        <v>Direct Debit (UMB Bank) - Returned Items</v>
      </c>
      <c r="C4328" s="22"/>
      <c r="D4328" s="23"/>
      <c r="E4328" s="16"/>
      <c r="F4328" s="15"/>
      <c r="H4328" s="15"/>
      <c r="I4328" s="15"/>
      <c r="J4328" s="15"/>
      <c r="K4328" s="15"/>
      <c r="L4328" s="15"/>
      <c r="M4328" s="15"/>
    </row>
    <row r="4329" spans="1:13" x14ac:dyDescent="0.25">
      <c r="A4329" s="23"/>
      <c r="B4329" s="14" t="str">
        <f t="shared" si="199"/>
        <v>Direct Debit (UMB Bank) - Returned Items</v>
      </c>
      <c r="C4329" s="22"/>
      <c r="D4329" s="23"/>
      <c r="E4329" s="16"/>
      <c r="F4329" s="15"/>
      <c r="H4329" s="15"/>
      <c r="I4329" s="15"/>
      <c r="J4329" s="15"/>
      <c r="K4329" s="15"/>
      <c r="L4329" s="15"/>
      <c r="M4329" s="15"/>
    </row>
    <row r="4330" spans="1:13" x14ac:dyDescent="0.25">
      <c r="A4330" s="23"/>
      <c r="B4330" s="14" t="str">
        <f t="shared" si="199"/>
        <v>Direct Debit (UMB Bank) - Returned Items</v>
      </c>
      <c r="C4330" s="22"/>
      <c r="D4330" s="23"/>
      <c r="E4330" s="16"/>
      <c r="F4330" s="15"/>
      <c r="H4330" s="15"/>
      <c r="I4330" s="15"/>
      <c r="J4330" s="15"/>
      <c r="K4330" s="15"/>
      <c r="L4330" s="15"/>
      <c r="M4330" s="15"/>
    </row>
    <row r="4331" spans="1:13" x14ac:dyDescent="0.25">
      <c r="A4331" s="23"/>
      <c r="B4331" s="14" t="str">
        <f t="shared" si="199"/>
        <v>Direct Debit (UMB Bank) - Returned Items</v>
      </c>
      <c r="C4331" s="22"/>
      <c r="D4331" s="23"/>
      <c r="E4331" s="16"/>
      <c r="F4331" s="15"/>
      <c r="H4331" s="15"/>
      <c r="I4331" s="15"/>
      <c r="J4331" s="15"/>
      <c r="K4331" s="15"/>
      <c r="L4331" s="15"/>
      <c r="M4331" s="15"/>
    </row>
    <row r="4332" spans="1:13" x14ac:dyDescent="0.25">
      <c r="A4332" s="23"/>
      <c r="B4332" s="14" t="str">
        <f t="shared" si="199"/>
        <v>Direct Debit (UMB Bank) - Returned Items</v>
      </c>
      <c r="C4332" s="22"/>
      <c r="D4332" s="23"/>
      <c r="E4332" s="16"/>
      <c r="F4332" s="15"/>
      <c r="H4332" s="15"/>
      <c r="I4332" s="15"/>
      <c r="J4332" s="15"/>
      <c r="K4332" s="15"/>
      <c r="L4332" s="15"/>
      <c r="M4332" s="15"/>
    </row>
    <row r="4333" spans="1:13" x14ac:dyDescent="0.25">
      <c r="A4333" s="23"/>
      <c r="B4333" s="14" t="str">
        <f t="shared" si="199"/>
        <v>Direct Debit (UMB Bank) - Returned Items</v>
      </c>
      <c r="C4333" s="22"/>
      <c r="D4333" s="23"/>
      <c r="E4333" s="16"/>
      <c r="F4333" s="15"/>
      <c r="H4333" s="15"/>
      <c r="I4333" s="15"/>
      <c r="J4333" s="15"/>
      <c r="K4333" s="15"/>
      <c r="L4333" s="15"/>
      <c r="M4333" s="15"/>
    </row>
    <row r="4334" spans="1:13" x14ac:dyDescent="0.25">
      <c r="A4334" s="23"/>
      <c r="B4334" s="14" t="str">
        <f t="shared" si="199"/>
        <v>Direct Debit (UMB Bank) - Returned Items</v>
      </c>
      <c r="C4334" s="22"/>
      <c r="D4334" s="23"/>
      <c r="E4334" s="16"/>
      <c r="F4334" s="15"/>
      <c r="H4334" s="15"/>
      <c r="I4334" s="15"/>
      <c r="J4334" s="15"/>
      <c r="K4334" s="15"/>
      <c r="L4334" s="15"/>
      <c r="M4334" s="15"/>
    </row>
    <row r="4335" spans="1:13" x14ac:dyDescent="0.25">
      <c r="A4335" s="23"/>
      <c r="B4335" s="14" t="str">
        <f t="shared" si="199"/>
        <v>Direct Debit (UMB Bank) - Returned Items</v>
      </c>
      <c r="C4335" s="22"/>
      <c r="D4335" s="23"/>
      <c r="E4335" s="16"/>
      <c r="F4335" s="15"/>
      <c r="H4335" s="15"/>
      <c r="I4335" s="15"/>
      <c r="J4335" s="15"/>
      <c r="K4335" s="15"/>
      <c r="L4335" s="15"/>
      <c r="M4335" s="15"/>
    </row>
    <row r="4336" spans="1:13" x14ac:dyDescent="0.25">
      <c r="A4336" s="23"/>
      <c r="B4336" s="14" t="str">
        <f t="shared" si="199"/>
        <v>Direct Debit (UMB Bank) - Returned Items</v>
      </c>
      <c r="C4336" s="22"/>
      <c r="D4336" s="23"/>
      <c r="E4336" s="16"/>
      <c r="F4336" s="15"/>
      <c r="H4336" s="15"/>
      <c r="I4336" s="15"/>
      <c r="J4336" s="15"/>
      <c r="K4336" s="15"/>
      <c r="L4336" s="15"/>
      <c r="M4336" s="15"/>
    </row>
    <row r="4337" spans="1:13" x14ac:dyDescent="0.25">
      <c r="A4337" s="23"/>
      <c r="B4337" s="14" t="str">
        <f t="shared" si="199"/>
        <v>Direct Debit (UMB Bank) - Returned Items</v>
      </c>
      <c r="C4337" s="22"/>
      <c r="D4337" s="23"/>
      <c r="E4337" s="16"/>
      <c r="F4337" s="15"/>
      <c r="H4337" s="15"/>
      <c r="I4337" s="15"/>
      <c r="J4337" s="15"/>
      <c r="K4337" s="15"/>
      <c r="L4337" s="15"/>
      <c r="M4337" s="15"/>
    </row>
    <row r="4338" spans="1:13" x14ac:dyDescent="0.25">
      <c r="A4338" s="23"/>
      <c r="B4338" s="14" t="str">
        <f t="shared" si="199"/>
        <v>Direct Debit (UMB Bank) - Returned Items</v>
      </c>
      <c r="C4338" s="22"/>
      <c r="D4338" s="23"/>
      <c r="E4338" s="16"/>
      <c r="F4338" s="15"/>
      <c r="H4338" s="15"/>
      <c r="I4338" s="15"/>
      <c r="J4338" s="15"/>
      <c r="K4338" s="15"/>
      <c r="L4338" s="15"/>
      <c r="M4338" s="15"/>
    </row>
    <row r="4339" spans="1:13" x14ac:dyDescent="0.25">
      <c r="A4339" s="23"/>
      <c r="B4339" s="14" t="str">
        <f t="shared" ref="B4339:B4402" si="200">IF(AND(E4339="BILL",F4339&lt;0),"Billing &amp; Direct Debit - Refunds",(IF(AND(E4339="BILL",F4339&gt;0),"Billing - Credits (from TPA)",(IF(AND(E4339="CC",F4339&lt;0),"Credit Cards (UMB) - Refunds",(IF(AND(E4339="CC",F4339&gt;0),"Credit Cards (UMB) - Credits",(IF(AND(E4339="ACH",F4339&gt;0),"Direct Debit (UMB Bank) - Credits","Direct Debit (UMB Bank) - Returned Items")))))))))</f>
        <v>Direct Debit (UMB Bank) - Returned Items</v>
      </c>
      <c r="C4339" s="22"/>
      <c r="D4339" s="23"/>
      <c r="E4339" s="16"/>
      <c r="F4339" s="15"/>
      <c r="H4339" s="15"/>
      <c r="I4339" s="15"/>
      <c r="J4339" s="15"/>
      <c r="K4339" s="15"/>
      <c r="L4339" s="15"/>
      <c r="M4339" s="15"/>
    </row>
    <row r="4340" spans="1:13" x14ac:dyDescent="0.25">
      <c r="A4340" s="23"/>
      <c r="B4340" s="14" t="str">
        <f t="shared" si="200"/>
        <v>Direct Debit (UMB Bank) - Returned Items</v>
      </c>
      <c r="C4340" s="22"/>
      <c r="D4340" s="23"/>
      <c r="E4340" s="16"/>
      <c r="F4340" s="15"/>
      <c r="H4340" s="15"/>
      <c r="I4340" s="15"/>
      <c r="J4340" s="15"/>
      <c r="K4340" s="15"/>
      <c r="L4340" s="15"/>
      <c r="M4340" s="15"/>
    </row>
    <row r="4341" spans="1:13" x14ac:dyDescent="0.25">
      <c r="A4341" s="23"/>
      <c r="B4341" s="14" t="str">
        <f t="shared" si="200"/>
        <v>Direct Debit (UMB Bank) - Returned Items</v>
      </c>
      <c r="C4341" s="22"/>
      <c r="D4341" s="23"/>
      <c r="E4341" s="16"/>
      <c r="F4341" s="15"/>
      <c r="H4341" s="15"/>
      <c r="I4341" s="24"/>
      <c r="J4341" s="15"/>
      <c r="K4341" s="15"/>
      <c r="L4341" s="15"/>
      <c r="M4341" s="15"/>
    </row>
    <row r="4342" spans="1:13" x14ac:dyDescent="0.25">
      <c r="A4342" s="23"/>
      <c r="B4342" s="14" t="str">
        <f t="shared" si="200"/>
        <v>Direct Debit (UMB Bank) - Returned Items</v>
      </c>
      <c r="C4342" s="22"/>
      <c r="D4342" s="23"/>
      <c r="E4342" s="16"/>
      <c r="F4342" s="15"/>
      <c r="H4342" s="15"/>
      <c r="I4342" s="15"/>
      <c r="J4342" s="15"/>
      <c r="K4342" s="15"/>
      <c r="L4342" s="15"/>
      <c r="M4342" s="15"/>
    </row>
    <row r="4343" spans="1:13" x14ac:dyDescent="0.25">
      <c r="A4343" s="23"/>
      <c r="B4343" s="14" t="str">
        <f t="shared" si="200"/>
        <v>Direct Debit (UMB Bank) - Returned Items</v>
      </c>
      <c r="C4343" s="22"/>
      <c r="D4343" s="23"/>
      <c r="E4343" s="16"/>
      <c r="F4343" s="15"/>
      <c r="H4343" s="15"/>
      <c r="I4343" s="15"/>
      <c r="J4343" s="15"/>
      <c r="K4343" s="15"/>
      <c r="L4343" s="15"/>
      <c r="M4343" s="15"/>
    </row>
    <row r="4344" spans="1:13" x14ac:dyDescent="0.25">
      <c r="A4344" s="23"/>
      <c r="B4344" s="14" t="str">
        <f t="shared" si="200"/>
        <v>Direct Debit (UMB Bank) - Returned Items</v>
      </c>
      <c r="C4344" s="22"/>
      <c r="D4344" s="23"/>
      <c r="E4344" s="16"/>
      <c r="F4344" s="15"/>
      <c r="H4344" s="15"/>
      <c r="I4344" s="24"/>
      <c r="J4344" s="15"/>
      <c r="K4344" s="15"/>
      <c r="L4344" s="15"/>
      <c r="M4344" s="15"/>
    </row>
    <row r="4345" spans="1:13" x14ac:dyDescent="0.25">
      <c r="A4345" s="23"/>
      <c r="B4345" s="14" t="str">
        <f t="shared" si="200"/>
        <v>Direct Debit (UMB Bank) - Returned Items</v>
      </c>
      <c r="C4345" s="22"/>
      <c r="D4345" s="23"/>
      <c r="E4345" s="16"/>
      <c r="F4345" s="15"/>
      <c r="H4345" s="15"/>
      <c r="I4345" s="24"/>
      <c r="J4345" s="15"/>
      <c r="K4345" s="15"/>
      <c r="L4345" s="15"/>
      <c r="M4345" s="15"/>
    </row>
    <row r="4346" spans="1:13" x14ac:dyDescent="0.25">
      <c r="A4346" s="23"/>
      <c r="B4346" s="14" t="str">
        <f t="shared" si="200"/>
        <v>Direct Debit (UMB Bank) - Returned Items</v>
      </c>
      <c r="C4346" s="22"/>
      <c r="D4346" s="23"/>
      <c r="E4346" s="16"/>
      <c r="F4346" s="15"/>
      <c r="H4346" s="15"/>
      <c r="I4346" s="15"/>
      <c r="J4346" s="15"/>
      <c r="K4346" s="15"/>
      <c r="L4346" s="15"/>
      <c r="M4346" s="15"/>
    </row>
    <row r="4347" spans="1:13" x14ac:dyDescent="0.25">
      <c r="A4347" s="23"/>
      <c r="B4347" s="14" t="str">
        <f t="shared" si="200"/>
        <v>Direct Debit (UMB Bank) - Returned Items</v>
      </c>
      <c r="C4347" s="22"/>
      <c r="D4347" s="23"/>
      <c r="E4347" s="16"/>
      <c r="F4347" s="15"/>
      <c r="H4347" s="15"/>
      <c r="I4347" s="15"/>
      <c r="J4347" s="15"/>
      <c r="K4347" s="15"/>
      <c r="L4347" s="15"/>
      <c r="M4347" s="15"/>
    </row>
    <row r="4348" spans="1:13" x14ac:dyDescent="0.25">
      <c r="A4348" s="23"/>
      <c r="B4348" s="14" t="str">
        <f t="shared" si="200"/>
        <v>Direct Debit (UMB Bank) - Returned Items</v>
      </c>
      <c r="C4348" s="22"/>
      <c r="D4348" s="23"/>
      <c r="E4348" s="16"/>
      <c r="F4348" s="15"/>
      <c r="H4348" s="15"/>
      <c r="I4348" s="15"/>
      <c r="J4348" s="15"/>
      <c r="K4348" s="15"/>
      <c r="L4348" s="15"/>
      <c r="M4348" s="15"/>
    </row>
    <row r="4349" spans="1:13" x14ac:dyDescent="0.25">
      <c r="A4349" s="23"/>
      <c r="B4349" s="14" t="str">
        <f t="shared" si="200"/>
        <v>Direct Debit (UMB Bank) - Returned Items</v>
      </c>
      <c r="C4349" s="22"/>
      <c r="D4349" s="23"/>
      <c r="E4349" s="16"/>
      <c r="F4349" s="15"/>
      <c r="H4349" s="15"/>
      <c r="I4349" s="15"/>
      <c r="J4349" s="15"/>
      <c r="K4349" s="15"/>
      <c r="L4349" s="15"/>
      <c r="M4349" s="15"/>
    </row>
    <row r="4350" spans="1:13" x14ac:dyDescent="0.25">
      <c r="A4350" s="23"/>
      <c r="B4350" s="14" t="str">
        <f t="shared" si="200"/>
        <v>Direct Debit (UMB Bank) - Returned Items</v>
      </c>
      <c r="C4350" s="22"/>
      <c r="D4350" s="23"/>
      <c r="E4350" s="16"/>
      <c r="F4350" s="15"/>
      <c r="H4350" s="15"/>
      <c r="I4350" s="15"/>
      <c r="J4350" s="15"/>
      <c r="K4350" s="15"/>
      <c r="L4350" s="15"/>
      <c r="M4350" s="15"/>
    </row>
    <row r="4351" spans="1:13" x14ac:dyDescent="0.25">
      <c r="A4351" s="23"/>
      <c r="B4351" s="14" t="str">
        <f t="shared" si="200"/>
        <v>Direct Debit (UMB Bank) - Returned Items</v>
      </c>
      <c r="C4351" s="22"/>
      <c r="D4351" s="23"/>
      <c r="E4351" s="16"/>
      <c r="F4351" s="15"/>
      <c r="H4351" s="15"/>
      <c r="I4351" s="15"/>
      <c r="J4351" s="15"/>
      <c r="K4351" s="15"/>
      <c r="L4351" s="15"/>
      <c r="M4351" s="15"/>
    </row>
    <row r="4352" spans="1:13" x14ac:dyDescent="0.25">
      <c r="A4352" s="23"/>
      <c r="B4352" s="14" t="str">
        <f t="shared" si="200"/>
        <v>Direct Debit (UMB Bank) - Returned Items</v>
      </c>
      <c r="C4352" s="22"/>
      <c r="D4352" s="23"/>
      <c r="E4352" s="16"/>
      <c r="F4352" s="15"/>
      <c r="H4352" s="15"/>
      <c r="I4352" s="15"/>
      <c r="J4352" s="15"/>
      <c r="K4352" s="15"/>
      <c r="L4352" s="15"/>
      <c r="M4352" s="15"/>
    </row>
    <row r="4353" spans="1:13" x14ac:dyDescent="0.25">
      <c r="A4353" s="23"/>
      <c r="B4353" s="14" t="str">
        <f t="shared" si="200"/>
        <v>Direct Debit (UMB Bank) - Returned Items</v>
      </c>
      <c r="C4353" s="22"/>
      <c r="D4353" s="23"/>
      <c r="E4353" s="16"/>
      <c r="F4353" s="15"/>
      <c r="H4353" s="15"/>
      <c r="I4353" s="15"/>
      <c r="J4353" s="15"/>
      <c r="K4353" s="15"/>
      <c r="L4353" s="15"/>
      <c r="M4353" s="15"/>
    </row>
    <row r="4354" spans="1:13" x14ac:dyDescent="0.25">
      <c r="A4354" s="23"/>
      <c r="B4354" s="14" t="str">
        <f t="shared" si="200"/>
        <v>Direct Debit (UMB Bank) - Returned Items</v>
      </c>
      <c r="C4354" s="22"/>
      <c r="D4354" s="23"/>
      <c r="E4354" s="16"/>
      <c r="F4354" s="15"/>
      <c r="H4354" s="15"/>
      <c r="I4354" s="15"/>
      <c r="J4354" s="15"/>
      <c r="K4354" s="15"/>
      <c r="L4354" s="15"/>
      <c r="M4354" s="15"/>
    </row>
    <row r="4355" spans="1:13" x14ac:dyDescent="0.25">
      <c r="A4355" s="23"/>
      <c r="B4355" s="14" t="str">
        <f t="shared" si="200"/>
        <v>Direct Debit (UMB Bank) - Returned Items</v>
      </c>
      <c r="C4355" s="22"/>
      <c r="D4355" s="23"/>
      <c r="E4355" s="16"/>
      <c r="F4355" s="15"/>
      <c r="H4355" s="15"/>
      <c r="I4355" s="15"/>
      <c r="J4355" s="15"/>
      <c r="K4355" s="15"/>
      <c r="L4355" s="15"/>
      <c r="M4355" s="15"/>
    </row>
    <row r="4356" spans="1:13" x14ac:dyDescent="0.25">
      <c r="A4356" s="23"/>
      <c r="B4356" s="14" t="str">
        <f t="shared" si="200"/>
        <v>Direct Debit (UMB Bank) - Returned Items</v>
      </c>
      <c r="C4356" s="22"/>
      <c r="D4356" s="23"/>
      <c r="E4356" s="16"/>
      <c r="F4356" s="15"/>
      <c r="H4356" s="15"/>
      <c r="I4356" s="15"/>
      <c r="J4356" s="15"/>
      <c r="K4356" s="15"/>
      <c r="L4356" s="15"/>
      <c r="M4356" s="15"/>
    </row>
    <row r="4357" spans="1:13" x14ac:dyDescent="0.25">
      <c r="A4357" s="23"/>
      <c r="B4357" s="14" t="str">
        <f t="shared" si="200"/>
        <v>Direct Debit (UMB Bank) - Returned Items</v>
      </c>
      <c r="C4357" s="22"/>
      <c r="D4357" s="23"/>
      <c r="E4357" s="16"/>
      <c r="F4357" s="15"/>
      <c r="H4357" s="15"/>
      <c r="I4357" s="24"/>
      <c r="J4357" s="15"/>
      <c r="K4357" s="15"/>
      <c r="L4357" s="15"/>
      <c r="M4357" s="15"/>
    </row>
    <row r="4358" spans="1:13" x14ac:dyDescent="0.25">
      <c r="A4358" s="23"/>
      <c r="B4358" s="14" t="str">
        <f t="shared" si="200"/>
        <v>Direct Debit (UMB Bank) - Returned Items</v>
      </c>
      <c r="C4358" s="22"/>
      <c r="D4358" s="23"/>
      <c r="E4358" s="16"/>
      <c r="F4358" s="15"/>
      <c r="H4358" s="15"/>
      <c r="I4358" s="15"/>
      <c r="J4358" s="15"/>
      <c r="K4358" s="15"/>
      <c r="L4358" s="15"/>
      <c r="M4358" s="15"/>
    </row>
    <row r="4359" spans="1:13" x14ac:dyDescent="0.25">
      <c r="A4359" s="23"/>
      <c r="B4359" s="14" t="str">
        <f t="shared" si="200"/>
        <v>Direct Debit (UMB Bank) - Returned Items</v>
      </c>
      <c r="C4359" s="22"/>
      <c r="D4359" s="23"/>
      <c r="E4359" s="16"/>
      <c r="F4359" s="15"/>
      <c r="H4359" s="15"/>
      <c r="I4359" s="15"/>
      <c r="J4359" s="15"/>
      <c r="K4359" s="15"/>
      <c r="L4359" s="15"/>
      <c r="M4359" s="15"/>
    </row>
    <row r="4360" spans="1:13" x14ac:dyDescent="0.25">
      <c r="A4360" s="23"/>
      <c r="B4360" s="14" t="str">
        <f t="shared" si="200"/>
        <v>Direct Debit (UMB Bank) - Returned Items</v>
      </c>
      <c r="C4360" s="22"/>
      <c r="D4360" s="23"/>
      <c r="E4360" s="16"/>
      <c r="F4360" s="15"/>
      <c r="H4360" s="15"/>
      <c r="I4360" s="15"/>
      <c r="J4360" s="15"/>
      <c r="K4360" s="15"/>
      <c r="L4360" s="15"/>
      <c r="M4360" s="15"/>
    </row>
    <row r="4361" spans="1:13" x14ac:dyDescent="0.25">
      <c r="A4361" s="23"/>
      <c r="B4361" s="14" t="str">
        <f t="shared" si="200"/>
        <v>Direct Debit (UMB Bank) - Returned Items</v>
      </c>
      <c r="C4361" s="22"/>
      <c r="D4361" s="23"/>
      <c r="E4361" s="16"/>
      <c r="F4361" s="15"/>
      <c r="H4361" s="15"/>
      <c r="I4361" s="15"/>
      <c r="J4361" s="15"/>
      <c r="K4361" s="15"/>
      <c r="L4361" s="15"/>
      <c r="M4361" s="15"/>
    </row>
    <row r="4362" spans="1:13" x14ac:dyDescent="0.25">
      <c r="A4362" s="23"/>
      <c r="B4362" s="14" t="str">
        <f t="shared" si="200"/>
        <v>Direct Debit (UMB Bank) - Returned Items</v>
      </c>
      <c r="C4362" s="22"/>
      <c r="D4362" s="23"/>
      <c r="E4362" s="16"/>
      <c r="F4362" s="15"/>
      <c r="H4362" s="15"/>
      <c r="I4362" s="15"/>
      <c r="J4362" s="15"/>
      <c r="K4362" s="15"/>
      <c r="L4362" s="15"/>
      <c r="M4362" s="15"/>
    </row>
    <row r="4363" spans="1:13" x14ac:dyDescent="0.25">
      <c r="A4363" s="23"/>
      <c r="B4363" s="14" t="str">
        <f t="shared" si="200"/>
        <v>Direct Debit (UMB Bank) - Returned Items</v>
      </c>
      <c r="C4363" s="22"/>
      <c r="D4363" s="23"/>
      <c r="E4363" s="16"/>
      <c r="F4363" s="15"/>
      <c r="H4363" s="15"/>
      <c r="I4363" s="15"/>
      <c r="J4363" s="15"/>
      <c r="K4363" s="15"/>
      <c r="L4363" s="15"/>
      <c r="M4363" s="15"/>
    </row>
    <row r="4364" spans="1:13" x14ac:dyDescent="0.25">
      <c r="A4364" s="23"/>
      <c r="B4364" s="14" t="str">
        <f t="shared" si="200"/>
        <v>Direct Debit (UMB Bank) - Returned Items</v>
      </c>
      <c r="C4364" s="22"/>
      <c r="D4364" s="23"/>
      <c r="E4364" s="16"/>
      <c r="F4364" s="15"/>
      <c r="H4364" s="15"/>
      <c r="I4364" s="15"/>
      <c r="J4364" s="15"/>
      <c r="K4364" s="15"/>
      <c r="L4364" s="15"/>
      <c r="M4364" s="15"/>
    </row>
    <row r="4365" spans="1:13" x14ac:dyDescent="0.25">
      <c r="A4365" s="23"/>
      <c r="B4365" s="14" t="str">
        <f t="shared" si="200"/>
        <v>Direct Debit (UMB Bank) - Returned Items</v>
      </c>
      <c r="C4365" s="22"/>
      <c r="D4365" s="23"/>
      <c r="E4365" s="16"/>
      <c r="F4365" s="15"/>
      <c r="H4365" s="15"/>
      <c r="I4365" s="15"/>
      <c r="J4365" s="15"/>
      <c r="K4365" s="15"/>
      <c r="L4365" s="15"/>
      <c r="M4365" s="15"/>
    </row>
    <row r="4366" spans="1:13" x14ac:dyDescent="0.25">
      <c r="A4366" s="23"/>
      <c r="B4366" s="14" t="str">
        <f t="shared" si="200"/>
        <v>Direct Debit (UMB Bank) - Returned Items</v>
      </c>
      <c r="C4366" s="22"/>
      <c r="D4366" s="23"/>
      <c r="E4366" s="16"/>
      <c r="F4366" s="15"/>
      <c r="H4366" s="15"/>
      <c r="I4366" s="15"/>
      <c r="J4366" s="15"/>
      <c r="K4366" s="15"/>
      <c r="L4366" s="15"/>
      <c r="M4366" s="15"/>
    </row>
    <row r="4367" spans="1:13" x14ac:dyDescent="0.25">
      <c r="A4367" s="23"/>
      <c r="B4367" s="14" t="str">
        <f t="shared" si="200"/>
        <v>Direct Debit (UMB Bank) - Returned Items</v>
      </c>
      <c r="C4367" s="22"/>
      <c r="D4367" s="23"/>
      <c r="E4367" s="16"/>
      <c r="F4367" s="15"/>
      <c r="H4367" s="15"/>
      <c r="I4367" s="15"/>
      <c r="J4367" s="15"/>
      <c r="K4367" s="15"/>
      <c r="L4367" s="15"/>
      <c r="M4367" s="15"/>
    </row>
    <row r="4368" spans="1:13" x14ac:dyDescent="0.25">
      <c r="A4368" s="23"/>
      <c r="B4368" s="14" t="str">
        <f t="shared" si="200"/>
        <v>Direct Debit (UMB Bank) - Returned Items</v>
      </c>
      <c r="C4368" s="22"/>
      <c r="D4368" s="23"/>
      <c r="E4368" s="16"/>
      <c r="F4368" s="15"/>
      <c r="H4368" s="15"/>
      <c r="I4368" s="15"/>
      <c r="J4368" s="15"/>
      <c r="K4368" s="15"/>
      <c r="L4368" s="15"/>
      <c r="M4368" s="15"/>
    </row>
    <row r="4369" spans="1:14" x14ac:dyDescent="0.25">
      <c r="A4369" s="23"/>
      <c r="B4369" s="14" t="str">
        <f t="shared" si="200"/>
        <v>Direct Debit (UMB Bank) - Returned Items</v>
      </c>
      <c r="C4369" s="22"/>
      <c r="D4369" s="23"/>
      <c r="E4369" s="16"/>
      <c r="F4369" s="15"/>
      <c r="H4369" s="15"/>
      <c r="I4369" s="15"/>
      <c r="J4369" s="15"/>
      <c r="K4369" s="15"/>
      <c r="L4369" s="15"/>
      <c r="M4369" s="15"/>
    </row>
    <row r="4370" spans="1:14" x14ac:dyDescent="0.25">
      <c r="A4370" s="23"/>
      <c r="B4370" s="14" t="str">
        <f t="shared" si="200"/>
        <v>Direct Debit (UMB Bank) - Returned Items</v>
      </c>
      <c r="C4370" s="22"/>
      <c r="D4370" s="23"/>
      <c r="E4370" s="16"/>
      <c r="F4370" s="15"/>
      <c r="H4370" s="15"/>
      <c r="I4370" s="15"/>
      <c r="J4370" s="15"/>
      <c r="K4370" s="15"/>
      <c r="L4370" s="15"/>
      <c r="M4370" s="15"/>
    </row>
    <row r="4371" spans="1:14" x14ac:dyDescent="0.25">
      <c r="A4371" s="23"/>
      <c r="B4371" s="14" t="str">
        <f t="shared" si="200"/>
        <v>Direct Debit (UMB Bank) - Returned Items</v>
      </c>
      <c r="C4371" s="22"/>
      <c r="D4371" s="23"/>
      <c r="E4371" s="16"/>
      <c r="F4371" s="15"/>
      <c r="H4371" s="15"/>
      <c r="I4371" s="15"/>
      <c r="J4371" s="15"/>
      <c r="K4371" s="15"/>
      <c r="L4371" s="15"/>
      <c r="M4371" s="15"/>
    </row>
    <row r="4372" spans="1:14" x14ac:dyDescent="0.25">
      <c r="A4372" s="23"/>
      <c r="B4372" s="14" t="str">
        <f t="shared" si="200"/>
        <v>Direct Debit (UMB Bank) - Returned Items</v>
      </c>
      <c r="C4372" s="22"/>
      <c r="D4372" s="23"/>
      <c r="E4372" s="16"/>
      <c r="F4372" s="15"/>
      <c r="H4372" s="15"/>
      <c r="I4372" s="15"/>
      <c r="J4372" s="15"/>
      <c r="K4372" s="15"/>
      <c r="L4372" s="15"/>
      <c r="M4372" s="15"/>
    </row>
    <row r="4373" spans="1:14" x14ac:dyDescent="0.25">
      <c r="A4373" s="23"/>
      <c r="B4373" s="14" t="str">
        <f t="shared" si="200"/>
        <v>Direct Debit (UMB Bank) - Returned Items</v>
      </c>
      <c r="C4373" s="22"/>
      <c r="D4373" s="23"/>
      <c r="E4373" s="16"/>
      <c r="F4373" s="15"/>
      <c r="H4373" s="15"/>
      <c r="I4373" s="15"/>
      <c r="J4373" s="15"/>
      <c r="K4373" s="15"/>
      <c r="L4373" s="15"/>
      <c r="M4373" s="16"/>
      <c r="N4373" s="16"/>
    </row>
    <row r="4374" spans="1:14" x14ac:dyDescent="0.25">
      <c r="A4374" s="23"/>
      <c r="B4374" s="14" t="str">
        <f t="shared" si="200"/>
        <v>Direct Debit (UMB Bank) - Returned Items</v>
      </c>
      <c r="C4374" s="22"/>
      <c r="D4374" s="23"/>
      <c r="E4374" s="16"/>
      <c r="F4374" s="15"/>
      <c r="H4374" s="15"/>
      <c r="I4374" s="15"/>
      <c r="J4374" s="15"/>
      <c r="K4374" s="15"/>
      <c r="L4374" s="15"/>
      <c r="M4374" s="16"/>
      <c r="N4374" s="16"/>
    </row>
    <row r="4375" spans="1:14" x14ac:dyDescent="0.25">
      <c r="A4375" s="23"/>
      <c r="B4375" s="14" t="str">
        <f t="shared" si="200"/>
        <v>Direct Debit (UMB Bank) - Returned Items</v>
      </c>
      <c r="C4375" s="22"/>
      <c r="D4375" s="23"/>
      <c r="E4375" s="16"/>
      <c r="F4375" s="15"/>
      <c r="H4375" s="15"/>
      <c r="I4375" s="15"/>
      <c r="J4375" s="15"/>
      <c r="K4375" s="15"/>
      <c r="L4375" s="15"/>
      <c r="M4375" s="16"/>
      <c r="N4375" s="16"/>
    </row>
    <row r="4376" spans="1:14" x14ac:dyDescent="0.25">
      <c r="A4376" s="23"/>
      <c r="B4376" s="14" t="str">
        <f t="shared" si="200"/>
        <v>Direct Debit (UMB Bank) - Returned Items</v>
      </c>
      <c r="C4376" s="22"/>
      <c r="D4376" s="23"/>
      <c r="E4376" s="16"/>
      <c r="F4376" s="15"/>
      <c r="H4376" s="15"/>
      <c r="I4376" s="15"/>
      <c r="J4376" s="15"/>
      <c r="K4376" s="15"/>
      <c r="L4376" s="15"/>
      <c r="M4376" s="16"/>
      <c r="N4376" s="16"/>
    </row>
    <row r="4377" spans="1:14" x14ac:dyDescent="0.25">
      <c r="A4377" s="23"/>
      <c r="B4377" s="14" t="str">
        <f t="shared" si="200"/>
        <v>Direct Debit (UMB Bank) - Returned Items</v>
      </c>
      <c r="C4377" s="22"/>
      <c r="D4377" s="23"/>
      <c r="E4377" s="16"/>
      <c r="F4377" s="15"/>
      <c r="H4377" s="15"/>
      <c r="I4377" s="24"/>
      <c r="J4377" s="15"/>
      <c r="K4377" s="15"/>
      <c r="L4377" s="15"/>
      <c r="M4377" s="16"/>
      <c r="N4377" s="16"/>
    </row>
    <row r="4378" spans="1:14" x14ac:dyDescent="0.25">
      <c r="A4378" s="23"/>
      <c r="B4378" s="14" t="str">
        <f t="shared" si="200"/>
        <v>Direct Debit (UMB Bank) - Returned Items</v>
      </c>
      <c r="C4378" s="22"/>
      <c r="D4378" s="23"/>
      <c r="E4378" s="16"/>
      <c r="F4378" s="15"/>
      <c r="H4378" s="15"/>
      <c r="I4378" s="15"/>
      <c r="J4378" s="15"/>
      <c r="K4378" s="15"/>
      <c r="L4378" s="15"/>
      <c r="M4378" s="16"/>
      <c r="N4378" s="16"/>
    </row>
    <row r="4379" spans="1:14" x14ac:dyDescent="0.25">
      <c r="A4379" s="23"/>
      <c r="B4379" s="14" t="str">
        <f t="shared" si="200"/>
        <v>Direct Debit (UMB Bank) - Returned Items</v>
      </c>
      <c r="C4379" s="22"/>
      <c r="D4379" s="23"/>
      <c r="E4379" s="16"/>
      <c r="F4379" s="15"/>
      <c r="H4379" s="15"/>
      <c r="I4379" s="15"/>
      <c r="J4379" s="15"/>
      <c r="K4379" s="15"/>
      <c r="L4379" s="15"/>
      <c r="M4379" s="16"/>
      <c r="N4379" s="16"/>
    </row>
    <row r="4380" spans="1:14" x14ac:dyDescent="0.25">
      <c r="A4380" s="23"/>
      <c r="B4380" s="14" t="str">
        <f t="shared" si="200"/>
        <v>Direct Debit (UMB Bank) - Returned Items</v>
      </c>
      <c r="C4380" s="22"/>
      <c r="D4380" s="23"/>
      <c r="E4380" s="16"/>
      <c r="F4380" s="15"/>
      <c r="H4380" s="15"/>
      <c r="I4380" s="15"/>
      <c r="J4380" s="15"/>
      <c r="K4380" s="15"/>
      <c r="L4380" s="15"/>
      <c r="M4380" s="16"/>
      <c r="N4380" s="16"/>
    </row>
    <row r="4381" spans="1:14" x14ac:dyDescent="0.25">
      <c r="A4381" s="23"/>
      <c r="B4381" s="14" t="str">
        <f t="shared" si="200"/>
        <v>Direct Debit (UMB Bank) - Returned Items</v>
      </c>
      <c r="C4381" s="22"/>
      <c r="D4381" s="23"/>
      <c r="E4381" s="16"/>
      <c r="F4381" s="15"/>
      <c r="H4381" s="15"/>
      <c r="I4381" s="15"/>
      <c r="J4381" s="15"/>
      <c r="K4381" s="15"/>
      <c r="L4381" s="15"/>
      <c r="M4381" s="16"/>
      <c r="N4381" s="16"/>
    </row>
    <row r="4382" spans="1:14" x14ac:dyDescent="0.25">
      <c r="A4382" s="23"/>
      <c r="B4382" s="14" t="str">
        <f t="shared" si="200"/>
        <v>Direct Debit (UMB Bank) - Returned Items</v>
      </c>
      <c r="C4382" s="22"/>
      <c r="D4382" s="23"/>
      <c r="E4382" s="16"/>
      <c r="F4382" s="15"/>
      <c r="H4382" s="15"/>
      <c r="I4382" s="15"/>
      <c r="J4382" s="15"/>
      <c r="K4382" s="15"/>
      <c r="L4382" s="15"/>
      <c r="M4382" s="16"/>
      <c r="N4382" s="16"/>
    </row>
    <row r="4383" spans="1:14" x14ac:dyDescent="0.25">
      <c r="A4383" s="23"/>
      <c r="B4383" s="14" t="str">
        <f t="shared" si="200"/>
        <v>Direct Debit (UMB Bank) - Returned Items</v>
      </c>
      <c r="C4383" s="22"/>
      <c r="D4383" s="23"/>
      <c r="E4383" s="16"/>
      <c r="F4383" s="15"/>
      <c r="H4383" s="15"/>
      <c r="I4383" s="15"/>
      <c r="J4383" s="15"/>
      <c r="K4383" s="15"/>
      <c r="L4383" s="15"/>
      <c r="M4383" s="16"/>
      <c r="N4383" s="16"/>
    </row>
    <row r="4384" spans="1:14" x14ac:dyDescent="0.25">
      <c r="A4384" s="23"/>
      <c r="B4384" s="14" t="str">
        <f t="shared" si="200"/>
        <v>Direct Debit (UMB Bank) - Returned Items</v>
      </c>
      <c r="C4384" s="22"/>
      <c r="D4384" s="23"/>
      <c r="E4384" s="16"/>
      <c r="F4384" s="15"/>
      <c r="H4384" s="15"/>
      <c r="I4384" s="15"/>
      <c r="J4384" s="15"/>
      <c r="K4384" s="15"/>
      <c r="L4384" s="15"/>
      <c r="M4384" s="15"/>
      <c r="N4384" s="16"/>
    </row>
    <row r="4385" spans="1:14" x14ac:dyDescent="0.25">
      <c r="A4385" s="23"/>
      <c r="B4385" s="14" t="str">
        <f t="shared" si="200"/>
        <v>Direct Debit (UMB Bank) - Returned Items</v>
      </c>
      <c r="C4385" s="22"/>
      <c r="D4385" s="23"/>
      <c r="E4385" s="16"/>
      <c r="F4385" s="15"/>
      <c r="H4385" s="15"/>
      <c r="I4385" s="15"/>
      <c r="J4385" s="15"/>
      <c r="K4385" s="15"/>
      <c r="L4385" s="15"/>
      <c r="M4385" s="15"/>
      <c r="N4385" s="16"/>
    </row>
    <row r="4386" spans="1:14" x14ac:dyDescent="0.25">
      <c r="A4386" s="23"/>
      <c r="B4386" s="14" t="str">
        <f t="shared" si="200"/>
        <v>Direct Debit (UMB Bank) - Returned Items</v>
      </c>
      <c r="C4386" s="22"/>
      <c r="D4386" s="23"/>
      <c r="E4386" s="16"/>
      <c r="F4386" s="15"/>
      <c r="H4386" s="15"/>
      <c r="I4386" s="15"/>
      <c r="J4386" s="15"/>
      <c r="K4386" s="15"/>
      <c r="L4386" s="15"/>
      <c r="M4386" s="15"/>
      <c r="N4386" s="16"/>
    </row>
    <row r="4387" spans="1:14" x14ac:dyDescent="0.25">
      <c r="A4387" s="23"/>
      <c r="B4387" s="14" t="str">
        <f t="shared" si="200"/>
        <v>Direct Debit (UMB Bank) - Returned Items</v>
      </c>
      <c r="C4387" s="22"/>
      <c r="D4387" s="23"/>
      <c r="E4387" s="16"/>
      <c r="F4387" s="15"/>
      <c r="H4387" s="15"/>
      <c r="I4387" s="15"/>
      <c r="J4387" s="15"/>
      <c r="K4387" s="15"/>
      <c r="L4387" s="15"/>
      <c r="M4387" s="15"/>
      <c r="N4387" s="16"/>
    </row>
    <row r="4388" spans="1:14" x14ac:dyDescent="0.25">
      <c r="A4388" s="23"/>
      <c r="B4388" s="14" t="str">
        <f t="shared" si="200"/>
        <v>Direct Debit (UMB Bank) - Returned Items</v>
      </c>
      <c r="C4388" s="22"/>
      <c r="D4388" s="23"/>
      <c r="E4388" s="16"/>
      <c r="F4388" s="15"/>
      <c r="H4388" s="15"/>
      <c r="I4388" s="15"/>
      <c r="J4388" s="15"/>
      <c r="K4388" s="15"/>
      <c r="L4388" s="15"/>
      <c r="M4388" s="15"/>
      <c r="N4388" s="16"/>
    </row>
    <row r="4389" spans="1:14" x14ac:dyDescent="0.25">
      <c r="A4389" s="23"/>
      <c r="B4389" s="14" t="str">
        <f t="shared" si="200"/>
        <v>Direct Debit (UMB Bank) - Returned Items</v>
      </c>
      <c r="C4389" s="22"/>
      <c r="D4389" s="23"/>
      <c r="E4389" s="16"/>
      <c r="F4389" s="15"/>
      <c r="H4389" s="15"/>
      <c r="I4389" s="15"/>
      <c r="J4389" s="15"/>
      <c r="K4389" s="15"/>
      <c r="L4389" s="15"/>
      <c r="M4389" s="15"/>
      <c r="N4389" s="16"/>
    </row>
    <row r="4390" spans="1:14" x14ac:dyDescent="0.25">
      <c r="A4390" s="23"/>
      <c r="B4390" s="14" t="str">
        <f t="shared" si="200"/>
        <v>Direct Debit (UMB Bank) - Returned Items</v>
      </c>
      <c r="C4390" s="22"/>
      <c r="D4390" s="23"/>
      <c r="E4390" s="16"/>
      <c r="F4390" s="15"/>
      <c r="H4390" s="15"/>
      <c r="I4390" s="15"/>
      <c r="J4390" s="15"/>
      <c r="K4390" s="15"/>
      <c r="L4390" s="15"/>
      <c r="M4390" s="15"/>
      <c r="N4390" s="16"/>
    </row>
    <row r="4391" spans="1:14" x14ac:dyDescent="0.25">
      <c r="A4391" s="23"/>
      <c r="B4391" s="14" t="str">
        <f t="shared" si="200"/>
        <v>Direct Debit (UMB Bank) - Returned Items</v>
      </c>
      <c r="C4391" s="22"/>
      <c r="D4391" s="23"/>
      <c r="E4391" s="16"/>
      <c r="F4391" s="15"/>
      <c r="H4391" s="15"/>
      <c r="I4391" s="15"/>
      <c r="J4391" s="15"/>
      <c r="K4391" s="15"/>
      <c r="L4391" s="15"/>
      <c r="M4391" s="15"/>
      <c r="N4391" s="16"/>
    </row>
    <row r="4392" spans="1:14" x14ac:dyDescent="0.25">
      <c r="A4392" s="23"/>
      <c r="B4392" s="14" t="str">
        <f t="shared" si="200"/>
        <v>Direct Debit (UMB Bank) - Returned Items</v>
      </c>
      <c r="C4392" s="22"/>
      <c r="D4392" s="23"/>
      <c r="E4392" s="16"/>
      <c r="F4392" s="15"/>
      <c r="H4392" s="15"/>
      <c r="I4392" s="15"/>
      <c r="J4392" s="15"/>
      <c r="K4392" s="15"/>
      <c r="L4392" s="15"/>
      <c r="M4392" s="15"/>
      <c r="N4392" s="16"/>
    </row>
    <row r="4393" spans="1:14" x14ac:dyDescent="0.25">
      <c r="A4393" s="23"/>
      <c r="B4393" s="14" t="str">
        <f t="shared" si="200"/>
        <v>Direct Debit (UMB Bank) - Returned Items</v>
      </c>
      <c r="C4393" s="22"/>
      <c r="D4393" s="23"/>
      <c r="E4393" s="16"/>
      <c r="F4393" s="15"/>
      <c r="H4393" s="15"/>
      <c r="I4393" s="15"/>
      <c r="J4393" s="15"/>
      <c r="K4393" s="15"/>
      <c r="L4393" s="15"/>
      <c r="M4393" s="15"/>
      <c r="N4393" s="16"/>
    </row>
    <row r="4394" spans="1:14" x14ac:dyDescent="0.25">
      <c r="A4394" s="23"/>
      <c r="B4394" s="14" t="str">
        <f t="shared" si="200"/>
        <v>Direct Debit (UMB Bank) - Returned Items</v>
      </c>
      <c r="C4394" s="19"/>
      <c r="D4394" s="15"/>
      <c r="F4394" s="15"/>
      <c r="G4394" s="15"/>
      <c r="H4394" s="24"/>
      <c r="I4394" s="15"/>
      <c r="J4394" s="15"/>
      <c r="K4394" s="15"/>
      <c r="L4394" s="15"/>
      <c r="M4394" s="16"/>
    </row>
    <row r="4395" spans="1:14" x14ac:dyDescent="0.25">
      <c r="A4395" s="23"/>
      <c r="B4395" s="14" t="str">
        <f t="shared" si="200"/>
        <v>Direct Debit (UMB Bank) - Returned Items</v>
      </c>
      <c r="C4395" s="19"/>
      <c r="D4395" s="15"/>
      <c r="F4395" s="15"/>
      <c r="G4395" s="15"/>
      <c r="H4395" s="15"/>
      <c r="I4395" s="15"/>
      <c r="J4395" s="15"/>
      <c r="K4395" s="15"/>
      <c r="L4395" s="15"/>
      <c r="M4395" s="16"/>
    </row>
    <row r="4396" spans="1:14" x14ac:dyDescent="0.25">
      <c r="A4396" s="23"/>
      <c r="B4396" s="14" t="str">
        <f t="shared" si="200"/>
        <v>Direct Debit (UMB Bank) - Returned Items</v>
      </c>
      <c r="C4396" s="19"/>
      <c r="D4396" s="15"/>
      <c r="F4396" s="15"/>
      <c r="G4396" s="15"/>
      <c r="H4396" s="15"/>
      <c r="I4396" s="15"/>
      <c r="J4396" s="15"/>
      <c r="K4396" s="15"/>
      <c r="L4396" s="15"/>
      <c r="M4396" s="16"/>
    </row>
    <row r="4397" spans="1:14" x14ac:dyDescent="0.25">
      <c r="A4397" s="23"/>
      <c r="B4397" s="14" t="str">
        <f t="shared" si="200"/>
        <v>Direct Debit (UMB Bank) - Returned Items</v>
      </c>
      <c r="C4397" s="19"/>
      <c r="D4397" s="15"/>
      <c r="F4397" s="15"/>
      <c r="G4397" s="15"/>
      <c r="H4397" s="15"/>
      <c r="I4397" s="15"/>
      <c r="J4397" s="15"/>
      <c r="K4397" s="15"/>
      <c r="L4397" s="15"/>
      <c r="M4397" s="16"/>
    </row>
    <row r="4398" spans="1:14" x14ac:dyDescent="0.25">
      <c r="A4398" s="23"/>
      <c r="B4398" s="14" t="str">
        <f t="shared" si="200"/>
        <v>Direct Debit (UMB Bank) - Returned Items</v>
      </c>
      <c r="C4398" s="19"/>
      <c r="D4398" s="15"/>
      <c r="F4398" s="15"/>
      <c r="G4398" s="15"/>
      <c r="H4398" s="15"/>
      <c r="I4398" s="15"/>
      <c r="J4398" s="15"/>
      <c r="K4398" s="15"/>
      <c r="L4398" s="15"/>
      <c r="M4398" s="16"/>
    </row>
    <row r="4399" spans="1:14" x14ac:dyDescent="0.25">
      <c r="A4399" s="23"/>
      <c r="B4399" s="14" t="str">
        <f t="shared" si="200"/>
        <v>Direct Debit (UMB Bank) - Returned Items</v>
      </c>
      <c r="C4399" s="19"/>
      <c r="D4399" s="15"/>
      <c r="F4399" s="15"/>
      <c r="G4399" s="15"/>
      <c r="H4399" s="15"/>
      <c r="I4399" s="15"/>
      <c r="J4399" s="15"/>
      <c r="K4399" s="15"/>
      <c r="L4399" s="15"/>
      <c r="M4399" s="16"/>
    </row>
    <row r="4400" spans="1:14" x14ac:dyDescent="0.25">
      <c r="A4400" s="23"/>
      <c r="B4400" s="14" t="str">
        <f t="shared" si="200"/>
        <v>Direct Debit (UMB Bank) - Returned Items</v>
      </c>
      <c r="C4400" s="22"/>
      <c r="D4400" s="15"/>
      <c r="F4400" s="15"/>
      <c r="G4400" s="15"/>
      <c r="H4400" s="15"/>
      <c r="I4400" s="15"/>
      <c r="J4400" s="15"/>
      <c r="K4400" s="15"/>
      <c r="L4400" s="15"/>
      <c r="M4400" s="16"/>
    </row>
    <row r="4401" spans="1:13" x14ac:dyDescent="0.25">
      <c r="A4401" s="23"/>
      <c r="B4401" s="14" t="str">
        <f t="shared" si="200"/>
        <v>Direct Debit (UMB Bank) - Returned Items</v>
      </c>
      <c r="C4401" s="22"/>
      <c r="D4401" s="15"/>
      <c r="F4401" s="15"/>
      <c r="G4401" s="15"/>
      <c r="H4401" s="15"/>
      <c r="I4401" s="15"/>
      <c r="J4401" s="15"/>
      <c r="K4401" s="15"/>
      <c r="L4401" s="15"/>
      <c r="M4401" s="16"/>
    </row>
    <row r="4402" spans="1:13" x14ac:dyDescent="0.25">
      <c r="A4402" s="23"/>
      <c r="B4402" s="14" t="str">
        <f t="shared" si="200"/>
        <v>Direct Debit (UMB Bank) - Returned Items</v>
      </c>
      <c r="C4402" s="22"/>
      <c r="D4402" s="15"/>
      <c r="F4402" s="15"/>
      <c r="G4402" s="15"/>
      <c r="H4402" s="15"/>
      <c r="I4402" s="15"/>
      <c r="J4402" s="15"/>
      <c r="K4402" s="15"/>
      <c r="L4402" s="15"/>
      <c r="M4402" s="16"/>
    </row>
    <row r="4403" spans="1:13" x14ac:dyDescent="0.25">
      <c r="A4403" s="23"/>
      <c r="B4403" s="14" t="str">
        <f t="shared" ref="B4403:B4466" si="201">IF(AND(E4403="BILL",F4403&lt;0),"Billing &amp; Direct Debit - Refunds",(IF(AND(E4403="BILL",F4403&gt;0),"Billing - Credits (from TPA)",(IF(AND(E4403="CC",F4403&lt;0),"Credit Cards (UMB) - Refunds",(IF(AND(E4403="CC",F4403&gt;0),"Credit Cards (UMB) - Credits",(IF(AND(E4403="ACH",F4403&gt;0),"Direct Debit (UMB Bank) - Credits","Direct Debit (UMB Bank) - Returned Items")))))))))</f>
        <v>Direct Debit (UMB Bank) - Returned Items</v>
      </c>
      <c r="C4403" s="22"/>
      <c r="D4403" s="15"/>
      <c r="F4403" s="15"/>
      <c r="G4403" s="15"/>
      <c r="H4403" s="15"/>
      <c r="I4403" s="15"/>
      <c r="J4403" s="15"/>
      <c r="K4403" s="15"/>
      <c r="L4403" s="15"/>
      <c r="M4403" s="16"/>
    </row>
    <row r="4404" spans="1:13" x14ac:dyDescent="0.25">
      <c r="A4404" s="23"/>
      <c r="B4404" s="14" t="str">
        <f t="shared" si="201"/>
        <v>Direct Debit (UMB Bank) - Returned Items</v>
      </c>
      <c r="C4404" s="22"/>
      <c r="D4404" s="15"/>
      <c r="F4404" s="15"/>
      <c r="G4404" s="15"/>
      <c r="H4404" s="15"/>
      <c r="I4404" s="15"/>
      <c r="J4404" s="15"/>
      <c r="K4404" s="15"/>
      <c r="L4404" s="15"/>
      <c r="M4404" s="16"/>
    </row>
    <row r="4405" spans="1:13" x14ac:dyDescent="0.25">
      <c r="A4405" s="23"/>
      <c r="B4405" s="14" t="str">
        <f t="shared" si="201"/>
        <v>Direct Debit (UMB Bank) - Returned Items</v>
      </c>
      <c r="C4405" s="22"/>
      <c r="D4405" s="15"/>
      <c r="F4405" s="15"/>
      <c r="G4405" s="15"/>
      <c r="H4405" s="15"/>
      <c r="I4405" s="15"/>
      <c r="J4405" s="15"/>
      <c r="K4405" s="15"/>
      <c r="L4405" s="15"/>
      <c r="M4405" s="16"/>
    </row>
    <row r="4406" spans="1:13" x14ac:dyDescent="0.25">
      <c r="A4406" s="23"/>
      <c r="B4406" s="14" t="str">
        <f t="shared" si="201"/>
        <v>Direct Debit (UMB Bank) - Returned Items</v>
      </c>
      <c r="C4406" s="22"/>
      <c r="D4406" s="15"/>
      <c r="F4406" s="15"/>
      <c r="G4406" s="15"/>
      <c r="H4406" s="15"/>
      <c r="I4406" s="15"/>
      <c r="J4406" s="15"/>
      <c r="K4406" s="15"/>
      <c r="L4406" s="15"/>
      <c r="M4406" s="16"/>
    </row>
    <row r="4407" spans="1:13" x14ac:dyDescent="0.25">
      <c r="A4407" s="23"/>
      <c r="B4407" s="14" t="str">
        <f t="shared" si="201"/>
        <v>Direct Debit (UMB Bank) - Returned Items</v>
      </c>
      <c r="C4407" s="22"/>
      <c r="D4407" s="15"/>
      <c r="F4407" s="15"/>
      <c r="G4407" s="15"/>
      <c r="H4407" s="15"/>
      <c r="I4407" s="15"/>
      <c r="J4407" s="15"/>
      <c r="K4407" s="15"/>
      <c r="L4407" s="15"/>
      <c r="M4407" s="16"/>
    </row>
    <row r="4408" spans="1:13" x14ac:dyDescent="0.25">
      <c r="A4408" s="23"/>
      <c r="B4408" s="14" t="str">
        <f t="shared" si="201"/>
        <v>Direct Debit (UMB Bank) - Returned Items</v>
      </c>
      <c r="C4408" s="22"/>
      <c r="D4408" s="15"/>
      <c r="F4408" s="15"/>
      <c r="G4408" s="15"/>
      <c r="H4408" s="15"/>
      <c r="I4408" s="15"/>
      <c r="J4408" s="15"/>
      <c r="K4408" s="15"/>
      <c r="L4408" s="15"/>
      <c r="M4408" s="16"/>
    </row>
    <row r="4409" spans="1:13" x14ac:dyDescent="0.25">
      <c r="A4409" s="23"/>
      <c r="B4409" s="14" t="str">
        <f t="shared" si="201"/>
        <v>Direct Debit (UMB Bank) - Returned Items</v>
      </c>
      <c r="C4409" s="22"/>
      <c r="D4409" s="15"/>
      <c r="F4409" s="15"/>
      <c r="G4409" s="15"/>
      <c r="H4409" s="15"/>
      <c r="I4409" s="15"/>
      <c r="J4409" s="15"/>
      <c r="K4409" s="15"/>
      <c r="L4409" s="15"/>
      <c r="M4409" s="16"/>
    </row>
    <row r="4410" spans="1:13" x14ac:dyDescent="0.25">
      <c r="A4410" s="23"/>
      <c r="B4410" s="14" t="str">
        <f t="shared" si="201"/>
        <v>Direct Debit (UMB Bank) - Returned Items</v>
      </c>
      <c r="C4410" s="22"/>
      <c r="D4410" s="15"/>
      <c r="F4410" s="15"/>
      <c r="G4410" s="15"/>
      <c r="H4410" s="15"/>
      <c r="I4410" s="15"/>
      <c r="J4410" s="15"/>
      <c r="K4410" s="15"/>
      <c r="L4410" s="15"/>
      <c r="M4410" s="16"/>
    </row>
    <row r="4411" spans="1:13" x14ac:dyDescent="0.25">
      <c r="A4411" s="23"/>
      <c r="B4411" s="14" t="str">
        <f t="shared" si="201"/>
        <v>Direct Debit (UMB Bank) - Returned Items</v>
      </c>
      <c r="C4411" s="22"/>
      <c r="D4411" s="15"/>
      <c r="F4411" s="15"/>
      <c r="G4411" s="15"/>
      <c r="H4411" s="15"/>
      <c r="I4411" s="15"/>
      <c r="J4411" s="15"/>
      <c r="K4411" s="15"/>
      <c r="L4411" s="15"/>
      <c r="M4411" s="16"/>
    </row>
    <row r="4412" spans="1:13" x14ac:dyDescent="0.25">
      <c r="A4412" s="23"/>
      <c r="B4412" s="14" t="str">
        <f t="shared" si="201"/>
        <v>Direct Debit (UMB Bank) - Returned Items</v>
      </c>
      <c r="C4412" s="22"/>
      <c r="D4412" s="15"/>
      <c r="F4412" s="15"/>
      <c r="G4412" s="15"/>
      <c r="H4412" s="15"/>
      <c r="I4412" s="15"/>
      <c r="J4412" s="15"/>
      <c r="K4412" s="15"/>
      <c r="L4412" s="15"/>
      <c r="M4412" s="16"/>
    </row>
    <row r="4413" spans="1:13" x14ac:dyDescent="0.25">
      <c r="A4413" s="23"/>
      <c r="B4413" s="14" t="str">
        <f t="shared" si="201"/>
        <v>Direct Debit (UMB Bank) - Returned Items</v>
      </c>
      <c r="C4413" s="22"/>
      <c r="D4413" s="15"/>
      <c r="F4413" s="15"/>
      <c r="G4413" s="15"/>
      <c r="H4413" s="15"/>
      <c r="I4413" s="15"/>
      <c r="J4413" s="15"/>
      <c r="K4413" s="15"/>
      <c r="L4413" s="15"/>
      <c r="M4413" s="16"/>
    </row>
    <row r="4414" spans="1:13" x14ac:dyDescent="0.25">
      <c r="A4414" s="23"/>
      <c r="B4414" s="14" t="str">
        <f t="shared" si="201"/>
        <v>Direct Debit (UMB Bank) - Returned Items</v>
      </c>
      <c r="C4414" s="22"/>
      <c r="D4414" s="15"/>
      <c r="F4414" s="15"/>
      <c r="G4414" s="15"/>
      <c r="H4414" s="15"/>
      <c r="I4414" s="15"/>
      <c r="J4414" s="15"/>
      <c r="K4414" s="15"/>
      <c r="L4414" s="15"/>
      <c r="M4414" s="16"/>
    </row>
    <row r="4415" spans="1:13" x14ac:dyDescent="0.25">
      <c r="A4415" s="23"/>
      <c r="B4415" s="14" t="str">
        <f t="shared" si="201"/>
        <v>Direct Debit (UMB Bank) - Returned Items</v>
      </c>
      <c r="C4415" s="22"/>
      <c r="D4415" s="15"/>
      <c r="F4415" s="15"/>
      <c r="G4415" s="15"/>
      <c r="H4415" s="15"/>
      <c r="I4415" s="15"/>
      <c r="J4415" s="15"/>
      <c r="K4415" s="15"/>
      <c r="L4415" s="15"/>
      <c r="M4415" s="16"/>
    </row>
    <row r="4416" spans="1:13" x14ac:dyDescent="0.25">
      <c r="A4416" s="23"/>
      <c r="B4416" s="14" t="str">
        <f t="shared" si="201"/>
        <v>Direct Debit (UMB Bank) - Returned Items</v>
      </c>
      <c r="C4416" s="22"/>
      <c r="D4416" s="15"/>
      <c r="F4416" s="15"/>
      <c r="G4416" s="15"/>
      <c r="H4416" s="15"/>
      <c r="I4416" s="15"/>
      <c r="J4416" s="15"/>
      <c r="K4416" s="15"/>
      <c r="L4416" s="15"/>
      <c r="M4416" s="16"/>
    </row>
    <row r="4417" spans="1:13" x14ac:dyDescent="0.25">
      <c r="A4417" s="23"/>
      <c r="B4417" s="14" t="str">
        <f t="shared" si="201"/>
        <v>Direct Debit (UMB Bank) - Returned Items</v>
      </c>
      <c r="C4417" s="22"/>
      <c r="D4417" s="15"/>
      <c r="F4417" s="15"/>
      <c r="G4417" s="15"/>
      <c r="H4417" s="15"/>
      <c r="I4417" s="15"/>
      <c r="J4417" s="15"/>
      <c r="K4417" s="15"/>
      <c r="L4417" s="15"/>
      <c r="M4417" s="16"/>
    </row>
    <row r="4418" spans="1:13" x14ac:dyDescent="0.25">
      <c r="A4418" s="23"/>
      <c r="B4418" s="14" t="str">
        <f t="shared" si="201"/>
        <v>Direct Debit (UMB Bank) - Returned Items</v>
      </c>
      <c r="C4418" s="22"/>
      <c r="D4418" s="15"/>
      <c r="F4418" s="15"/>
      <c r="G4418" s="15"/>
      <c r="H4418" s="15"/>
      <c r="I4418" s="15"/>
      <c r="J4418" s="15"/>
      <c r="K4418" s="15"/>
      <c r="L4418" s="15"/>
      <c r="M4418" s="16"/>
    </row>
    <row r="4419" spans="1:13" x14ac:dyDescent="0.25">
      <c r="A4419" s="23"/>
      <c r="B4419" s="14" t="str">
        <f t="shared" si="201"/>
        <v>Direct Debit (UMB Bank) - Returned Items</v>
      </c>
      <c r="C4419" s="22"/>
      <c r="D4419" s="15"/>
      <c r="F4419" s="15"/>
      <c r="G4419" s="15"/>
      <c r="H4419" s="15"/>
      <c r="I4419" s="15"/>
      <c r="J4419" s="15"/>
      <c r="K4419" s="15"/>
      <c r="L4419" s="15"/>
      <c r="M4419" s="16"/>
    </row>
    <row r="4420" spans="1:13" x14ac:dyDescent="0.25">
      <c r="A4420" s="23"/>
      <c r="B4420" s="14" t="str">
        <f t="shared" si="201"/>
        <v>Direct Debit (UMB Bank) - Returned Items</v>
      </c>
      <c r="C4420" s="22"/>
      <c r="D4420" s="15"/>
      <c r="F4420" s="15"/>
      <c r="G4420" s="15"/>
      <c r="H4420" s="15"/>
      <c r="I4420" s="15"/>
      <c r="J4420" s="15"/>
      <c r="K4420" s="15"/>
      <c r="L4420" s="15"/>
      <c r="M4420" s="16"/>
    </row>
    <row r="4421" spans="1:13" x14ac:dyDescent="0.25">
      <c r="A4421" s="23"/>
      <c r="B4421" s="14" t="str">
        <f t="shared" si="201"/>
        <v>Direct Debit (UMB Bank) - Returned Items</v>
      </c>
      <c r="C4421" s="22"/>
      <c r="D4421" s="15"/>
      <c r="F4421" s="15"/>
      <c r="G4421" s="15"/>
      <c r="H4421" s="15"/>
      <c r="I4421" s="15"/>
      <c r="J4421" s="15"/>
      <c r="K4421" s="15"/>
      <c r="L4421" s="15"/>
      <c r="M4421" s="16"/>
    </row>
    <row r="4422" spans="1:13" x14ac:dyDescent="0.25">
      <c r="A4422" s="23"/>
      <c r="B4422" s="14" t="str">
        <f t="shared" si="201"/>
        <v>Direct Debit (UMB Bank) - Returned Items</v>
      </c>
      <c r="C4422" s="22"/>
      <c r="D4422" s="15"/>
      <c r="F4422" s="15"/>
      <c r="G4422" s="15"/>
      <c r="H4422" s="15"/>
      <c r="I4422" s="15"/>
      <c r="J4422" s="15"/>
      <c r="K4422" s="15"/>
      <c r="L4422" s="15"/>
      <c r="M4422" s="16"/>
    </row>
    <row r="4423" spans="1:13" x14ac:dyDescent="0.25">
      <c r="A4423" s="23"/>
      <c r="B4423" s="14" t="str">
        <f t="shared" si="201"/>
        <v>Direct Debit (UMB Bank) - Returned Items</v>
      </c>
      <c r="C4423" s="22"/>
      <c r="D4423" s="15"/>
      <c r="F4423" s="15"/>
      <c r="G4423" s="15"/>
      <c r="H4423" s="15"/>
      <c r="I4423" s="15"/>
      <c r="J4423" s="15"/>
      <c r="K4423" s="15"/>
      <c r="L4423" s="15"/>
      <c r="M4423" s="16"/>
    </row>
    <row r="4424" spans="1:13" x14ac:dyDescent="0.25">
      <c r="A4424" s="23"/>
      <c r="B4424" s="14" t="str">
        <f t="shared" si="201"/>
        <v>Direct Debit (UMB Bank) - Returned Items</v>
      </c>
      <c r="C4424" s="22"/>
      <c r="D4424" s="15"/>
      <c r="F4424" s="15"/>
      <c r="G4424" s="15"/>
      <c r="H4424" s="15"/>
      <c r="I4424" s="15"/>
      <c r="J4424" s="15"/>
      <c r="K4424" s="15"/>
      <c r="L4424" s="15"/>
      <c r="M4424" s="16"/>
    </row>
    <row r="4425" spans="1:13" x14ac:dyDescent="0.25">
      <c r="A4425" s="23"/>
      <c r="B4425" s="14" t="str">
        <f t="shared" si="201"/>
        <v>Direct Debit (UMB Bank) - Returned Items</v>
      </c>
      <c r="C4425" s="22"/>
      <c r="D4425" s="15"/>
      <c r="F4425" s="15"/>
      <c r="G4425" s="15"/>
      <c r="H4425" s="15"/>
      <c r="I4425" s="15"/>
      <c r="J4425" s="15"/>
      <c r="K4425" s="15"/>
      <c r="L4425" s="15"/>
      <c r="M4425" s="16"/>
    </row>
    <row r="4426" spans="1:13" x14ac:dyDescent="0.25">
      <c r="A4426" s="23"/>
      <c r="B4426" s="14" t="str">
        <f t="shared" si="201"/>
        <v>Direct Debit (UMB Bank) - Returned Items</v>
      </c>
      <c r="C4426" s="22"/>
      <c r="D4426" s="15"/>
      <c r="F4426" s="15"/>
      <c r="G4426" s="15"/>
      <c r="H4426" s="15"/>
      <c r="I4426" s="15"/>
      <c r="J4426" s="15"/>
      <c r="K4426" s="15"/>
      <c r="L4426" s="15"/>
      <c r="M4426" s="16"/>
    </row>
    <row r="4427" spans="1:13" x14ac:dyDescent="0.25">
      <c r="A4427" s="23"/>
      <c r="B4427" s="14" t="str">
        <f t="shared" si="201"/>
        <v>Direct Debit (UMB Bank) - Returned Items</v>
      </c>
      <c r="C4427" s="22"/>
      <c r="D4427" s="15"/>
      <c r="F4427" s="15"/>
      <c r="G4427" s="15"/>
      <c r="H4427" s="15"/>
      <c r="I4427" s="15"/>
      <c r="J4427" s="15"/>
      <c r="K4427" s="15"/>
      <c r="L4427" s="15"/>
      <c r="M4427" s="16"/>
    </row>
    <row r="4428" spans="1:13" x14ac:dyDescent="0.25">
      <c r="A4428" s="23"/>
      <c r="B4428" s="14" t="str">
        <f t="shared" si="201"/>
        <v>Direct Debit (UMB Bank) - Returned Items</v>
      </c>
      <c r="C4428" s="22"/>
      <c r="D4428" s="15"/>
      <c r="F4428" s="15"/>
      <c r="G4428" s="15"/>
      <c r="H4428" s="15"/>
      <c r="I4428" s="15"/>
      <c r="J4428" s="15"/>
      <c r="K4428" s="15"/>
      <c r="L4428" s="15"/>
      <c r="M4428" s="16"/>
    </row>
    <row r="4429" spans="1:13" x14ac:dyDescent="0.25">
      <c r="A4429" s="23"/>
      <c r="B4429" s="14" t="str">
        <f t="shared" si="201"/>
        <v>Direct Debit (UMB Bank) - Returned Items</v>
      </c>
      <c r="C4429" s="22"/>
      <c r="D4429" s="15"/>
      <c r="F4429" s="15"/>
      <c r="G4429" s="15"/>
      <c r="H4429" s="15"/>
      <c r="I4429" s="15"/>
      <c r="J4429" s="15"/>
      <c r="K4429" s="15"/>
      <c r="L4429" s="15"/>
      <c r="M4429" s="16"/>
    </row>
    <row r="4430" spans="1:13" x14ac:dyDescent="0.25">
      <c r="A4430" s="23"/>
      <c r="B4430" s="14" t="str">
        <f t="shared" si="201"/>
        <v>Direct Debit (UMB Bank) - Returned Items</v>
      </c>
      <c r="C4430" s="22"/>
      <c r="D4430" s="15"/>
      <c r="F4430" s="15"/>
      <c r="G4430" s="15"/>
      <c r="H4430" s="15"/>
      <c r="I4430" s="15"/>
      <c r="J4430" s="15"/>
      <c r="K4430" s="15"/>
      <c r="L4430" s="15"/>
      <c r="M4430" s="16"/>
    </row>
    <row r="4431" spans="1:13" x14ac:dyDescent="0.25">
      <c r="A4431" s="23"/>
      <c r="B4431" s="14" t="str">
        <f t="shared" si="201"/>
        <v>Direct Debit (UMB Bank) - Returned Items</v>
      </c>
      <c r="C4431" s="22"/>
      <c r="D4431" s="15"/>
      <c r="F4431" s="15"/>
      <c r="G4431" s="15"/>
      <c r="H4431" s="15"/>
      <c r="I4431" s="15"/>
      <c r="J4431" s="15"/>
      <c r="K4431" s="15"/>
      <c r="L4431" s="15"/>
      <c r="M4431" s="16"/>
    </row>
    <row r="4432" spans="1:13" x14ac:dyDescent="0.25">
      <c r="A4432" s="23"/>
      <c r="B4432" s="14" t="str">
        <f t="shared" si="201"/>
        <v>Direct Debit (UMB Bank) - Returned Items</v>
      </c>
      <c r="C4432" s="22"/>
      <c r="D4432" s="15"/>
      <c r="F4432" s="15"/>
      <c r="G4432" s="15"/>
      <c r="H4432" s="15"/>
      <c r="I4432" s="15"/>
      <c r="J4432" s="15"/>
      <c r="K4432" s="15"/>
      <c r="L4432" s="15"/>
      <c r="M4432" s="16"/>
    </row>
    <row r="4433" spans="1:13" x14ac:dyDescent="0.25">
      <c r="A4433" s="23"/>
      <c r="B4433" s="14" t="str">
        <f t="shared" si="201"/>
        <v>Direct Debit (UMB Bank) - Returned Items</v>
      </c>
      <c r="C4433" s="22"/>
      <c r="D4433" s="15"/>
      <c r="F4433" s="15"/>
      <c r="G4433" s="15"/>
      <c r="H4433" s="15"/>
      <c r="I4433" s="15"/>
      <c r="J4433" s="15"/>
      <c r="K4433" s="15"/>
      <c r="L4433" s="15"/>
      <c r="M4433" s="16"/>
    </row>
    <row r="4434" spans="1:13" x14ac:dyDescent="0.25">
      <c r="A4434" s="23"/>
      <c r="B4434" s="14" t="str">
        <f t="shared" si="201"/>
        <v>Direct Debit (UMB Bank) - Returned Items</v>
      </c>
      <c r="C4434" s="22"/>
      <c r="D4434" s="15"/>
      <c r="F4434" s="15"/>
      <c r="G4434" s="15"/>
      <c r="H4434" s="15"/>
      <c r="I4434" s="15"/>
      <c r="J4434" s="15"/>
      <c r="K4434" s="15"/>
      <c r="L4434" s="15"/>
      <c r="M4434" s="16"/>
    </row>
    <row r="4435" spans="1:13" x14ac:dyDescent="0.25">
      <c r="A4435" s="23"/>
      <c r="B4435" s="14" t="str">
        <f t="shared" si="201"/>
        <v>Direct Debit (UMB Bank) - Returned Items</v>
      </c>
      <c r="C4435" s="22"/>
      <c r="D4435" s="15"/>
      <c r="F4435" s="15"/>
      <c r="G4435" s="15"/>
      <c r="H4435" s="15"/>
      <c r="I4435" s="15"/>
      <c r="J4435" s="15"/>
      <c r="K4435" s="15"/>
      <c r="L4435" s="15"/>
      <c r="M4435" s="16"/>
    </row>
    <row r="4436" spans="1:13" x14ac:dyDescent="0.25">
      <c r="A4436" s="23"/>
      <c r="B4436" s="14" t="str">
        <f t="shared" si="201"/>
        <v>Direct Debit (UMB Bank) - Returned Items</v>
      </c>
      <c r="C4436" s="22"/>
      <c r="D4436" s="15"/>
      <c r="F4436" s="15"/>
      <c r="G4436" s="15"/>
      <c r="H4436" s="15"/>
      <c r="I4436" s="15"/>
      <c r="J4436" s="15"/>
      <c r="K4436" s="15"/>
      <c r="L4436" s="15"/>
      <c r="M4436" s="16"/>
    </row>
    <row r="4437" spans="1:13" x14ac:dyDescent="0.25">
      <c r="A4437" s="23"/>
      <c r="B4437" s="14" t="str">
        <f t="shared" si="201"/>
        <v>Direct Debit (UMB Bank) - Returned Items</v>
      </c>
      <c r="C4437" s="22"/>
      <c r="D4437" s="15"/>
      <c r="F4437" s="15"/>
      <c r="G4437" s="15"/>
      <c r="H4437" s="15"/>
      <c r="I4437" s="15"/>
      <c r="J4437" s="15"/>
      <c r="K4437" s="15"/>
      <c r="L4437" s="15"/>
      <c r="M4437" s="16"/>
    </row>
    <row r="4438" spans="1:13" x14ac:dyDescent="0.25">
      <c r="A4438" s="23"/>
      <c r="B4438" s="14" t="str">
        <f t="shared" si="201"/>
        <v>Direct Debit (UMB Bank) - Returned Items</v>
      </c>
      <c r="C4438" s="22"/>
      <c r="D4438" s="15"/>
      <c r="F4438" s="15"/>
      <c r="G4438" s="15"/>
      <c r="H4438" s="15"/>
      <c r="I4438" s="15"/>
      <c r="J4438" s="15"/>
      <c r="K4438" s="15"/>
      <c r="L4438" s="15"/>
      <c r="M4438" s="16"/>
    </row>
    <row r="4439" spans="1:13" x14ac:dyDescent="0.25">
      <c r="A4439" s="23"/>
      <c r="B4439" s="14" t="str">
        <f t="shared" si="201"/>
        <v>Direct Debit (UMB Bank) - Returned Items</v>
      </c>
      <c r="C4439" s="22"/>
      <c r="D4439" s="15"/>
      <c r="F4439" s="15"/>
      <c r="G4439" s="15"/>
      <c r="H4439" s="15"/>
      <c r="I4439" s="15"/>
      <c r="J4439" s="15"/>
      <c r="K4439" s="15"/>
      <c r="L4439" s="15"/>
      <c r="M4439" s="16"/>
    </row>
    <row r="4440" spans="1:13" x14ac:dyDescent="0.25">
      <c r="A4440" s="23"/>
      <c r="B4440" s="14" t="str">
        <f t="shared" si="201"/>
        <v>Direct Debit (UMB Bank) - Returned Items</v>
      </c>
      <c r="C4440" s="22"/>
      <c r="D4440" s="15"/>
      <c r="F4440" s="15"/>
      <c r="G4440" s="15"/>
      <c r="H4440" s="15"/>
      <c r="I4440" s="15"/>
      <c r="J4440" s="15"/>
      <c r="K4440" s="15"/>
      <c r="L4440" s="15"/>
      <c r="M4440" s="16"/>
    </row>
    <row r="4441" spans="1:13" x14ac:dyDescent="0.25">
      <c r="A4441" s="23"/>
      <c r="B4441" s="14" t="str">
        <f t="shared" si="201"/>
        <v>Direct Debit (UMB Bank) - Returned Items</v>
      </c>
      <c r="C4441" s="22"/>
      <c r="D4441" s="15"/>
      <c r="F4441" s="15"/>
      <c r="G4441" s="15"/>
      <c r="H4441" s="15"/>
      <c r="I4441" s="15"/>
      <c r="J4441" s="15"/>
      <c r="K4441" s="15"/>
      <c r="L4441" s="15"/>
      <c r="M4441" s="16"/>
    </row>
    <row r="4442" spans="1:13" x14ac:dyDescent="0.25">
      <c r="A4442" s="23"/>
      <c r="B4442" s="14" t="str">
        <f t="shared" si="201"/>
        <v>Direct Debit (UMB Bank) - Returned Items</v>
      </c>
      <c r="C4442" s="22"/>
      <c r="D4442" s="15"/>
      <c r="F4442" s="15"/>
      <c r="G4442" s="15"/>
      <c r="H4442" s="15"/>
      <c r="I4442" s="15"/>
      <c r="J4442" s="15"/>
      <c r="K4442" s="15"/>
      <c r="L4442" s="15"/>
      <c r="M4442" s="16"/>
    </row>
    <row r="4443" spans="1:13" x14ac:dyDescent="0.25">
      <c r="A4443" s="23"/>
      <c r="B4443" s="14" t="str">
        <f t="shared" si="201"/>
        <v>Direct Debit (UMB Bank) - Returned Items</v>
      </c>
      <c r="C4443" s="22"/>
      <c r="D4443" s="15"/>
      <c r="F4443" s="15"/>
      <c r="G4443" s="15"/>
      <c r="H4443" s="15"/>
      <c r="I4443" s="15"/>
      <c r="J4443" s="15"/>
      <c r="K4443" s="15"/>
      <c r="L4443" s="15"/>
      <c r="M4443" s="16"/>
    </row>
    <row r="4444" spans="1:13" x14ac:dyDescent="0.25">
      <c r="A4444" s="23"/>
      <c r="B4444" s="14" t="str">
        <f t="shared" si="201"/>
        <v>Direct Debit (UMB Bank) - Returned Items</v>
      </c>
      <c r="C4444" s="22"/>
      <c r="D4444" s="15"/>
      <c r="F4444" s="15"/>
      <c r="G4444" s="15"/>
      <c r="H4444" s="15"/>
      <c r="I4444" s="15"/>
      <c r="J4444" s="15"/>
      <c r="K4444" s="15"/>
      <c r="L4444" s="15"/>
      <c r="M4444" s="16"/>
    </row>
    <row r="4445" spans="1:13" x14ac:dyDescent="0.25">
      <c r="A4445" s="23"/>
      <c r="B4445" s="14" t="str">
        <f t="shared" si="201"/>
        <v>Direct Debit (UMB Bank) - Returned Items</v>
      </c>
      <c r="C4445" s="22"/>
      <c r="D4445" s="15"/>
      <c r="F4445" s="15"/>
      <c r="G4445" s="27"/>
      <c r="H4445" s="15"/>
      <c r="I4445" s="15"/>
      <c r="J4445" s="15"/>
      <c r="K4445" s="15"/>
      <c r="L4445" s="15"/>
      <c r="M4445" s="16"/>
    </row>
    <row r="4446" spans="1:13" x14ac:dyDescent="0.25">
      <c r="A4446" s="23"/>
      <c r="B4446" s="14" t="str">
        <f t="shared" si="201"/>
        <v>Direct Debit (UMB Bank) - Returned Items</v>
      </c>
      <c r="C4446" s="22"/>
      <c r="D4446" s="15"/>
      <c r="F4446" s="15"/>
      <c r="G4446" s="27"/>
      <c r="H4446" s="15"/>
      <c r="I4446" s="15"/>
      <c r="J4446" s="15"/>
      <c r="K4446" s="15"/>
      <c r="L4446" s="15"/>
      <c r="M4446" s="16"/>
    </row>
    <row r="4447" spans="1:13" x14ac:dyDescent="0.25">
      <c r="A4447" s="23"/>
      <c r="B4447" s="14" t="str">
        <f t="shared" si="201"/>
        <v>Direct Debit (UMB Bank) - Returned Items</v>
      </c>
      <c r="C4447" s="22"/>
      <c r="D4447" s="15"/>
      <c r="F4447" s="15"/>
      <c r="G4447" s="15"/>
      <c r="H4447" s="15"/>
      <c r="I4447" s="15"/>
      <c r="J4447" s="15"/>
      <c r="K4447" s="15"/>
      <c r="L4447" s="15"/>
      <c r="M4447" s="16"/>
    </row>
    <row r="4448" spans="1:13" x14ac:dyDescent="0.25">
      <c r="A4448" s="23"/>
      <c r="B4448" s="14" t="str">
        <f t="shared" si="201"/>
        <v>Direct Debit (UMB Bank) - Returned Items</v>
      </c>
      <c r="C4448" s="22"/>
      <c r="D4448" s="15"/>
      <c r="F4448" s="15"/>
      <c r="G4448" s="15"/>
      <c r="H4448" s="15"/>
      <c r="I4448" s="15"/>
      <c r="J4448" s="15"/>
      <c r="K4448" s="15"/>
      <c r="L4448" s="15"/>
      <c r="M4448" s="16"/>
    </row>
    <row r="4449" spans="1:13" x14ac:dyDescent="0.25">
      <c r="A4449" s="23"/>
      <c r="B4449" s="14" t="str">
        <f t="shared" si="201"/>
        <v>Direct Debit (UMB Bank) - Returned Items</v>
      </c>
      <c r="C4449" s="22"/>
      <c r="D4449" s="15"/>
      <c r="F4449" s="15"/>
      <c r="G4449" s="28"/>
      <c r="H4449" s="15"/>
      <c r="I4449" s="15"/>
      <c r="J4449" s="15"/>
      <c r="K4449" s="15"/>
      <c r="L4449" s="15"/>
      <c r="M4449" s="16"/>
    </row>
    <row r="4450" spans="1:13" x14ac:dyDescent="0.25">
      <c r="A4450" s="23"/>
      <c r="B4450" s="14" t="str">
        <f t="shared" si="201"/>
        <v>Direct Debit (UMB Bank) - Returned Items</v>
      </c>
      <c r="C4450" s="22"/>
      <c r="D4450" s="15"/>
      <c r="F4450" s="15"/>
      <c r="G4450" s="15"/>
      <c r="H4450" s="15"/>
      <c r="I4450" s="15"/>
      <c r="J4450" s="15"/>
      <c r="K4450" s="15"/>
      <c r="L4450" s="15"/>
      <c r="M4450" s="16"/>
    </row>
    <row r="4451" spans="1:13" x14ac:dyDescent="0.25">
      <c r="A4451" s="23"/>
      <c r="B4451" s="14" t="str">
        <f t="shared" si="201"/>
        <v>Direct Debit (UMB Bank) - Returned Items</v>
      </c>
      <c r="C4451" s="22"/>
      <c r="D4451" s="15"/>
      <c r="F4451" s="15"/>
      <c r="G4451" s="27"/>
      <c r="H4451" s="15"/>
      <c r="I4451" s="15"/>
      <c r="J4451" s="15"/>
      <c r="K4451" s="15"/>
      <c r="L4451" s="15"/>
      <c r="M4451" s="16"/>
    </row>
    <row r="4452" spans="1:13" x14ac:dyDescent="0.25">
      <c r="A4452" s="23"/>
      <c r="B4452" s="14" t="str">
        <f t="shared" si="201"/>
        <v>Direct Debit (UMB Bank) - Returned Items</v>
      </c>
      <c r="C4452" s="22"/>
      <c r="D4452" s="15"/>
      <c r="F4452" s="15"/>
      <c r="G4452" s="15"/>
      <c r="H4452" s="15"/>
      <c r="I4452" s="15"/>
      <c r="J4452" s="15"/>
      <c r="K4452" s="15"/>
      <c r="L4452" s="15"/>
      <c r="M4452" s="16"/>
    </row>
    <row r="4453" spans="1:13" x14ac:dyDescent="0.25">
      <c r="A4453" s="23"/>
      <c r="B4453" s="14" t="str">
        <f t="shared" si="201"/>
        <v>Direct Debit (UMB Bank) - Returned Items</v>
      </c>
      <c r="C4453" s="22"/>
      <c r="D4453" s="15"/>
      <c r="F4453" s="15"/>
      <c r="G4453" s="15"/>
      <c r="H4453" s="15"/>
      <c r="I4453" s="15"/>
      <c r="J4453" s="15"/>
      <c r="K4453" s="15"/>
      <c r="L4453" s="15"/>
      <c r="M4453" s="16"/>
    </row>
    <row r="4454" spans="1:13" x14ac:dyDescent="0.25">
      <c r="A4454" s="23"/>
      <c r="B4454" s="14" t="str">
        <f t="shared" si="201"/>
        <v>Direct Debit (UMB Bank) - Returned Items</v>
      </c>
      <c r="C4454" s="22"/>
      <c r="D4454" s="15"/>
      <c r="F4454" s="15"/>
      <c r="G4454" s="27"/>
      <c r="H4454" s="15"/>
      <c r="I4454" s="15"/>
      <c r="J4454" s="15"/>
      <c r="K4454" s="15"/>
      <c r="L4454" s="15"/>
      <c r="M4454" s="16"/>
    </row>
    <row r="4455" spans="1:13" x14ac:dyDescent="0.25">
      <c r="A4455" s="23"/>
      <c r="B4455" s="14" t="str">
        <f t="shared" si="201"/>
        <v>Direct Debit (UMB Bank) - Returned Items</v>
      </c>
      <c r="C4455" s="22"/>
      <c r="D4455" s="15"/>
      <c r="F4455" s="15"/>
      <c r="G4455" s="27"/>
      <c r="H4455" s="15"/>
      <c r="I4455" s="15"/>
      <c r="J4455" s="15"/>
      <c r="K4455" s="15"/>
      <c r="L4455" s="15"/>
      <c r="M4455" s="16"/>
    </row>
    <row r="4456" spans="1:13" x14ac:dyDescent="0.25">
      <c r="A4456" s="23"/>
      <c r="B4456" s="14" t="str">
        <f t="shared" si="201"/>
        <v>Direct Debit (UMB Bank) - Returned Items</v>
      </c>
      <c r="C4456" s="22"/>
      <c r="D4456" s="15"/>
      <c r="F4456" s="15"/>
      <c r="G4456" s="15"/>
      <c r="H4456" s="15"/>
      <c r="I4456" s="15"/>
      <c r="J4456" s="15"/>
      <c r="K4456" s="15"/>
      <c r="L4456" s="15"/>
      <c r="M4456" s="16"/>
    </row>
    <row r="4457" spans="1:13" x14ac:dyDescent="0.25">
      <c r="A4457" s="23"/>
      <c r="B4457" s="14" t="str">
        <f t="shared" si="201"/>
        <v>Direct Debit (UMB Bank) - Returned Items</v>
      </c>
      <c r="C4457" s="22"/>
      <c r="D4457" s="15"/>
      <c r="F4457" s="15"/>
      <c r="G4457" s="27"/>
      <c r="H4457" s="15"/>
      <c r="I4457" s="15"/>
      <c r="J4457" s="15"/>
      <c r="K4457" s="15"/>
      <c r="L4457" s="15"/>
      <c r="M4457" s="16"/>
    </row>
    <row r="4458" spans="1:13" x14ac:dyDescent="0.25">
      <c r="A4458" s="23"/>
      <c r="B4458" s="14" t="str">
        <f t="shared" si="201"/>
        <v>Direct Debit (UMB Bank) - Returned Items</v>
      </c>
      <c r="C4458" s="22"/>
      <c r="D4458" s="15"/>
      <c r="F4458" s="15"/>
      <c r="G4458" s="27"/>
      <c r="H4458" s="15"/>
      <c r="I4458" s="15"/>
      <c r="J4458" s="15"/>
      <c r="K4458" s="15"/>
      <c r="L4458" s="15"/>
      <c r="M4458" s="16"/>
    </row>
    <row r="4459" spans="1:13" x14ac:dyDescent="0.25">
      <c r="A4459" s="23"/>
      <c r="B4459" s="14" t="str">
        <f t="shared" si="201"/>
        <v>Direct Debit (UMB Bank) - Returned Items</v>
      </c>
      <c r="C4459" s="22"/>
      <c r="D4459" s="15"/>
      <c r="F4459" s="15"/>
      <c r="G4459" s="15"/>
      <c r="H4459" s="15"/>
      <c r="I4459" s="15"/>
      <c r="J4459" s="15"/>
      <c r="K4459" s="15"/>
      <c r="L4459" s="15"/>
      <c r="M4459" s="16"/>
    </row>
    <row r="4460" spans="1:13" x14ac:dyDescent="0.25">
      <c r="A4460" s="23"/>
      <c r="B4460" s="14" t="str">
        <f t="shared" si="201"/>
        <v>Direct Debit (UMB Bank) - Returned Items</v>
      </c>
      <c r="C4460" s="19"/>
      <c r="D4460" s="15"/>
      <c r="F4460" s="15"/>
      <c r="G4460" s="15"/>
      <c r="H4460" s="15"/>
      <c r="I4460" s="15"/>
      <c r="J4460" s="15"/>
      <c r="K4460" s="15"/>
      <c r="L4460" s="15"/>
      <c r="M4460" s="16"/>
    </row>
    <row r="4461" spans="1:13" x14ac:dyDescent="0.25">
      <c r="A4461" s="23"/>
      <c r="B4461" s="14" t="str">
        <f t="shared" si="201"/>
        <v>Direct Debit (UMB Bank) - Returned Items</v>
      </c>
      <c r="C4461" s="19"/>
      <c r="D4461" s="15"/>
      <c r="F4461" s="15"/>
      <c r="G4461" s="15"/>
      <c r="H4461" s="24"/>
      <c r="I4461" s="15"/>
      <c r="J4461" s="15"/>
      <c r="K4461" s="15"/>
      <c r="L4461" s="15"/>
      <c r="M4461" s="16"/>
    </row>
    <row r="4462" spans="1:13" x14ac:dyDescent="0.25">
      <c r="A4462" s="23"/>
      <c r="B4462" s="14" t="str">
        <f t="shared" si="201"/>
        <v>Direct Debit (UMB Bank) - Returned Items</v>
      </c>
      <c r="C4462" s="19"/>
      <c r="D4462" s="15"/>
      <c r="F4462" s="15"/>
      <c r="G4462" s="15"/>
      <c r="H4462" s="15"/>
      <c r="I4462" s="15"/>
      <c r="J4462" s="15"/>
      <c r="K4462" s="15"/>
      <c r="L4462" s="15"/>
      <c r="M4462" s="16"/>
    </row>
    <row r="4463" spans="1:13" x14ac:dyDescent="0.25">
      <c r="A4463" s="23"/>
      <c r="B4463" s="14" t="str">
        <f t="shared" si="201"/>
        <v>Direct Debit (UMB Bank) - Returned Items</v>
      </c>
      <c r="C4463" s="19"/>
      <c r="D4463" s="15"/>
      <c r="F4463" s="15"/>
      <c r="G4463" s="15"/>
      <c r="H4463" s="15"/>
      <c r="I4463" s="15"/>
      <c r="J4463" s="15"/>
      <c r="K4463" s="15"/>
      <c r="L4463" s="15"/>
      <c r="M4463" s="16"/>
    </row>
    <row r="4464" spans="1:13" x14ac:dyDescent="0.25">
      <c r="A4464" s="23"/>
      <c r="B4464" s="14" t="str">
        <f t="shared" si="201"/>
        <v>Direct Debit (UMB Bank) - Returned Items</v>
      </c>
      <c r="C4464" s="19"/>
      <c r="D4464" s="15"/>
      <c r="F4464" s="14"/>
      <c r="I4464" s="15"/>
      <c r="J4464" s="15"/>
      <c r="K4464" s="15"/>
      <c r="L4464" s="15"/>
      <c r="M4464" s="16"/>
    </row>
    <row r="4465" spans="1:13" x14ac:dyDescent="0.25">
      <c r="A4465" s="23"/>
      <c r="B4465" s="14" t="str">
        <f t="shared" si="201"/>
        <v>Direct Debit (UMB Bank) - Returned Items</v>
      </c>
      <c r="C4465" s="19"/>
      <c r="D4465" s="15"/>
      <c r="F4465" s="14"/>
      <c r="I4465" s="15"/>
      <c r="J4465" s="15"/>
      <c r="K4465" s="15"/>
      <c r="L4465" s="15"/>
      <c r="M4465" s="16"/>
    </row>
    <row r="4466" spans="1:13" x14ac:dyDescent="0.25">
      <c r="A4466" s="23"/>
      <c r="B4466" s="14" t="str">
        <f t="shared" si="201"/>
        <v>Direct Debit (UMB Bank) - Returned Items</v>
      </c>
      <c r="C4466" s="19"/>
      <c r="D4466" s="15"/>
      <c r="F4466" s="14"/>
      <c r="I4466" s="15"/>
      <c r="J4466" s="15"/>
      <c r="K4466" s="15"/>
      <c r="L4466" s="15"/>
      <c r="M4466" s="16"/>
    </row>
    <row r="4467" spans="1:13" x14ac:dyDescent="0.25">
      <c r="A4467" s="23"/>
      <c r="B4467" s="14" t="str">
        <f t="shared" ref="B4467:B4522" si="202">IF(AND(E4467="BILL",F4467&lt;0),"Billing &amp; Direct Debit - Refunds",(IF(AND(E4467="BILL",F4467&gt;0),"Billing - Credits (from TPA)",(IF(AND(E4467="CC",F4467&lt;0),"Credit Cards (UMB) - Refunds",(IF(AND(E4467="CC",F4467&gt;0),"Credit Cards (UMB) - Credits",(IF(AND(E4467="ACH",F4467&gt;0),"Direct Debit (UMB Bank) - Credits","Direct Debit (UMB Bank) - Returned Items")))))))))</f>
        <v>Direct Debit (UMB Bank) - Returned Items</v>
      </c>
      <c r="C4467" s="19"/>
      <c r="D4467" s="15"/>
      <c r="F4467" s="14"/>
      <c r="I4467" s="15"/>
      <c r="J4467" s="15"/>
      <c r="K4467" s="15"/>
      <c r="L4467" s="15"/>
      <c r="M4467" s="16"/>
    </row>
    <row r="4468" spans="1:13" x14ac:dyDescent="0.25">
      <c r="A4468" s="23"/>
      <c r="B4468" s="14" t="str">
        <f t="shared" si="202"/>
        <v>Direct Debit (UMB Bank) - Returned Items</v>
      </c>
      <c r="C4468" s="19"/>
      <c r="D4468" s="15"/>
      <c r="F4468" s="14"/>
      <c r="I4468" s="15"/>
      <c r="J4468" s="15"/>
      <c r="K4468" s="15"/>
      <c r="L4468" s="15"/>
      <c r="M4468" s="16"/>
    </row>
    <row r="4469" spans="1:13" x14ac:dyDescent="0.25">
      <c r="A4469" s="23"/>
      <c r="B4469" s="14" t="str">
        <f t="shared" si="202"/>
        <v>Direct Debit (UMB Bank) - Returned Items</v>
      </c>
      <c r="C4469" s="19"/>
      <c r="D4469" s="15"/>
      <c r="F4469" s="14"/>
      <c r="I4469" s="15"/>
      <c r="J4469" s="15"/>
      <c r="K4469" s="15"/>
      <c r="L4469" s="15"/>
      <c r="M4469" s="16"/>
    </row>
    <row r="4470" spans="1:13" x14ac:dyDescent="0.25">
      <c r="A4470" s="23"/>
      <c r="B4470" s="14" t="str">
        <f t="shared" si="202"/>
        <v>Direct Debit (UMB Bank) - Returned Items</v>
      </c>
      <c r="C4470" s="19"/>
      <c r="D4470" s="15"/>
      <c r="F4470" s="14"/>
      <c r="I4470" s="15"/>
      <c r="J4470" s="15"/>
      <c r="K4470" s="15"/>
      <c r="L4470" s="15"/>
      <c r="M4470" s="16"/>
    </row>
    <row r="4471" spans="1:13" x14ac:dyDescent="0.25">
      <c r="A4471" s="23"/>
      <c r="B4471" s="14" t="str">
        <f t="shared" si="202"/>
        <v>Direct Debit (UMB Bank) - Returned Items</v>
      </c>
      <c r="C4471" s="19"/>
      <c r="D4471" s="15"/>
      <c r="F4471" s="14"/>
      <c r="I4471" s="15"/>
      <c r="J4471" s="15"/>
      <c r="K4471" s="15"/>
      <c r="L4471" s="15"/>
      <c r="M4471" s="16"/>
    </row>
    <row r="4472" spans="1:13" x14ac:dyDescent="0.25">
      <c r="A4472" s="23"/>
      <c r="B4472" s="14" t="str">
        <f t="shared" si="202"/>
        <v>Direct Debit (UMB Bank) - Returned Items</v>
      </c>
      <c r="C4472" s="19"/>
      <c r="D4472" s="15"/>
      <c r="F4472" s="14"/>
      <c r="I4472" s="15"/>
      <c r="J4472" s="15"/>
      <c r="K4472" s="15"/>
      <c r="L4472" s="15"/>
      <c r="M4472" s="16"/>
    </row>
    <row r="4473" spans="1:13" x14ac:dyDescent="0.25">
      <c r="A4473" s="23"/>
      <c r="B4473" s="14" t="str">
        <f t="shared" si="202"/>
        <v>Direct Debit (UMB Bank) - Returned Items</v>
      </c>
      <c r="C4473" s="19"/>
      <c r="D4473" s="15"/>
      <c r="F4473" s="14"/>
      <c r="I4473" s="15"/>
      <c r="J4473" s="15"/>
      <c r="K4473" s="15"/>
      <c r="L4473" s="15"/>
      <c r="M4473" s="16"/>
    </row>
    <row r="4474" spans="1:13" x14ac:dyDescent="0.25">
      <c r="A4474" s="23"/>
      <c r="B4474" s="14" t="str">
        <f t="shared" si="202"/>
        <v>Direct Debit (UMB Bank) - Returned Items</v>
      </c>
      <c r="C4474" s="19"/>
      <c r="D4474" s="15"/>
      <c r="F4474" s="14"/>
      <c r="I4474" s="15"/>
      <c r="J4474" s="15"/>
      <c r="K4474" s="15"/>
      <c r="L4474" s="15"/>
      <c r="M4474" s="16"/>
    </row>
    <row r="4475" spans="1:13" x14ac:dyDescent="0.25">
      <c r="A4475" s="23"/>
      <c r="B4475" s="14" t="str">
        <f t="shared" si="202"/>
        <v>Direct Debit (UMB Bank) - Returned Items</v>
      </c>
      <c r="C4475" s="19"/>
      <c r="D4475" s="15"/>
      <c r="F4475" s="14"/>
      <c r="I4475" s="15"/>
      <c r="J4475" s="15"/>
      <c r="K4475" s="15"/>
      <c r="L4475" s="15"/>
      <c r="M4475" s="16"/>
    </row>
    <row r="4476" spans="1:13" x14ac:dyDescent="0.25">
      <c r="A4476" s="23"/>
      <c r="B4476" s="14" t="str">
        <f t="shared" si="202"/>
        <v>Direct Debit (UMB Bank) - Returned Items</v>
      </c>
      <c r="C4476" s="19"/>
      <c r="D4476" s="15"/>
      <c r="F4476" s="14"/>
      <c r="I4476" s="15"/>
      <c r="J4476" s="15"/>
      <c r="K4476" s="15"/>
      <c r="L4476" s="15"/>
      <c r="M4476" s="16"/>
    </row>
    <row r="4477" spans="1:13" x14ac:dyDescent="0.25">
      <c r="A4477" s="23"/>
      <c r="B4477" s="14" t="str">
        <f t="shared" si="202"/>
        <v>Direct Debit (UMB Bank) - Returned Items</v>
      </c>
      <c r="C4477" s="19"/>
      <c r="D4477" s="15"/>
      <c r="F4477" s="14"/>
      <c r="I4477" s="15"/>
      <c r="J4477" s="15"/>
      <c r="K4477" s="15"/>
      <c r="L4477" s="15"/>
      <c r="M4477" s="16"/>
    </row>
    <row r="4478" spans="1:13" x14ac:dyDescent="0.25">
      <c r="A4478" s="23"/>
      <c r="B4478" s="14" t="str">
        <f t="shared" si="202"/>
        <v>Direct Debit (UMB Bank) - Returned Items</v>
      </c>
      <c r="C4478" s="19"/>
      <c r="D4478" s="15"/>
      <c r="F4478" s="14"/>
      <c r="I4478" s="15"/>
      <c r="J4478" s="15"/>
      <c r="K4478" s="15"/>
      <c r="L4478" s="15"/>
      <c r="M4478" s="16"/>
    </row>
    <row r="4479" spans="1:13" x14ac:dyDescent="0.25">
      <c r="A4479" s="23"/>
      <c r="B4479" s="14" t="str">
        <f t="shared" si="202"/>
        <v>Direct Debit (UMB Bank) - Returned Items</v>
      </c>
      <c r="C4479" s="19"/>
      <c r="D4479" s="15"/>
      <c r="F4479" s="14"/>
      <c r="I4479" s="15"/>
      <c r="J4479" s="15"/>
      <c r="K4479" s="15"/>
      <c r="L4479" s="15"/>
      <c r="M4479" s="16"/>
    </row>
    <row r="4480" spans="1:13" x14ac:dyDescent="0.25">
      <c r="A4480" s="23"/>
      <c r="B4480" s="14" t="str">
        <f t="shared" si="202"/>
        <v>Direct Debit (UMB Bank) - Returned Items</v>
      </c>
      <c r="C4480" s="19"/>
      <c r="D4480" s="15"/>
      <c r="F4480" s="14"/>
      <c r="I4480" s="15"/>
      <c r="J4480" s="15"/>
      <c r="K4480" s="15"/>
      <c r="L4480" s="15"/>
      <c r="M4480" s="16"/>
    </row>
    <row r="4481" spans="1:13" x14ac:dyDescent="0.25">
      <c r="A4481" s="23"/>
      <c r="B4481" s="14" t="str">
        <f t="shared" si="202"/>
        <v>Direct Debit (UMB Bank) - Returned Items</v>
      </c>
      <c r="C4481" s="19"/>
      <c r="D4481" s="15"/>
      <c r="F4481" s="14"/>
      <c r="I4481" s="15"/>
      <c r="J4481" s="15"/>
      <c r="K4481" s="15"/>
      <c r="L4481" s="15"/>
      <c r="M4481" s="16"/>
    </row>
    <row r="4482" spans="1:13" x14ac:dyDescent="0.25">
      <c r="A4482" s="23"/>
      <c r="B4482" s="14" t="str">
        <f t="shared" si="202"/>
        <v>Direct Debit (UMB Bank) - Returned Items</v>
      </c>
      <c r="C4482" s="19"/>
      <c r="D4482" s="15"/>
      <c r="F4482" s="14"/>
      <c r="I4482" s="15"/>
      <c r="J4482" s="15"/>
      <c r="K4482" s="15"/>
      <c r="L4482" s="15"/>
      <c r="M4482" s="16"/>
    </row>
    <row r="4483" spans="1:13" x14ac:dyDescent="0.25">
      <c r="A4483" s="23"/>
      <c r="B4483" s="14" t="str">
        <f t="shared" si="202"/>
        <v>Direct Debit (UMB Bank) - Returned Items</v>
      </c>
      <c r="C4483" s="19"/>
      <c r="D4483" s="15"/>
      <c r="F4483" s="14"/>
      <c r="I4483" s="15"/>
      <c r="J4483" s="15"/>
      <c r="K4483" s="15"/>
      <c r="L4483" s="15"/>
      <c r="M4483" s="16"/>
    </row>
    <row r="4484" spans="1:13" x14ac:dyDescent="0.25">
      <c r="A4484" s="23"/>
      <c r="B4484" s="14" t="str">
        <f t="shared" si="202"/>
        <v>Direct Debit (UMB Bank) - Returned Items</v>
      </c>
      <c r="C4484" s="19"/>
      <c r="D4484" s="15"/>
      <c r="F4484" s="14"/>
      <c r="I4484" s="15"/>
      <c r="J4484" s="15"/>
      <c r="K4484" s="15"/>
      <c r="L4484" s="15"/>
      <c r="M4484" s="16"/>
    </row>
    <row r="4485" spans="1:13" x14ac:dyDescent="0.25">
      <c r="A4485" s="23"/>
      <c r="B4485" s="14" t="str">
        <f t="shared" si="202"/>
        <v>Direct Debit (UMB Bank) - Returned Items</v>
      </c>
      <c r="C4485" s="19"/>
      <c r="D4485" s="15"/>
      <c r="F4485" s="14"/>
      <c r="I4485" s="15"/>
      <c r="J4485" s="15"/>
      <c r="K4485" s="15"/>
      <c r="L4485" s="15"/>
      <c r="M4485" s="16"/>
    </row>
    <row r="4486" spans="1:13" x14ac:dyDescent="0.25">
      <c r="A4486" s="23"/>
      <c r="B4486" s="14" t="str">
        <f t="shared" si="202"/>
        <v>Direct Debit (UMB Bank) - Returned Items</v>
      </c>
      <c r="C4486" s="19"/>
      <c r="D4486" s="15"/>
      <c r="F4486" s="14"/>
      <c r="I4486" s="15"/>
      <c r="J4486" s="15"/>
      <c r="K4486" s="15"/>
      <c r="L4486" s="15"/>
      <c r="M4486" s="16"/>
    </row>
    <row r="4487" spans="1:13" x14ac:dyDescent="0.25">
      <c r="A4487" s="23"/>
      <c r="B4487" s="14" t="str">
        <f t="shared" si="202"/>
        <v>Direct Debit (UMB Bank) - Returned Items</v>
      </c>
      <c r="C4487" s="19"/>
      <c r="D4487" s="15"/>
      <c r="F4487" s="14"/>
      <c r="I4487" s="15"/>
      <c r="J4487" s="15"/>
      <c r="K4487" s="15"/>
      <c r="L4487" s="15"/>
      <c r="M4487" s="16"/>
    </row>
    <row r="4488" spans="1:13" x14ac:dyDescent="0.25">
      <c r="A4488" s="23"/>
      <c r="B4488" s="14" t="str">
        <f t="shared" si="202"/>
        <v>Direct Debit (UMB Bank) - Returned Items</v>
      </c>
      <c r="C4488" s="19"/>
      <c r="D4488" s="15"/>
      <c r="F4488" s="14"/>
      <c r="I4488" s="15"/>
      <c r="J4488" s="15"/>
      <c r="K4488" s="15"/>
      <c r="L4488" s="15"/>
      <c r="M4488" s="16"/>
    </row>
    <row r="4489" spans="1:13" x14ac:dyDescent="0.25">
      <c r="A4489" s="23"/>
      <c r="B4489" s="14" t="str">
        <f t="shared" si="202"/>
        <v>Direct Debit (UMB Bank) - Returned Items</v>
      </c>
      <c r="C4489" s="19"/>
      <c r="D4489" s="15"/>
      <c r="F4489" s="14"/>
      <c r="I4489" s="15"/>
      <c r="J4489" s="15"/>
      <c r="K4489" s="15"/>
      <c r="L4489" s="15"/>
      <c r="M4489" s="16"/>
    </row>
    <row r="4490" spans="1:13" x14ac:dyDescent="0.25">
      <c r="A4490" s="23"/>
      <c r="B4490" s="14" t="str">
        <f t="shared" si="202"/>
        <v>Direct Debit (UMB Bank) - Returned Items</v>
      </c>
      <c r="C4490" s="19"/>
      <c r="D4490" s="15"/>
      <c r="F4490" s="14"/>
      <c r="I4490" s="15"/>
      <c r="J4490" s="15"/>
      <c r="K4490" s="15"/>
      <c r="L4490" s="15"/>
      <c r="M4490" s="16"/>
    </row>
    <row r="4491" spans="1:13" x14ac:dyDescent="0.25">
      <c r="A4491" s="23"/>
      <c r="B4491" s="14" t="str">
        <f t="shared" si="202"/>
        <v>Direct Debit (UMB Bank) - Returned Items</v>
      </c>
      <c r="C4491" s="19"/>
      <c r="D4491" s="15"/>
      <c r="F4491" s="14"/>
      <c r="I4491" s="15"/>
      <c r="J4491" s="15"/>
      <c r="K4491" s="15"/>
      <c r="L4491" s="15"/>
      <c r="M4491" s="16"/>
    </row>
    <row r="4492" spans="1:13" x14ac:dyDescent="0.25">
      <c r="A4492" s="23"/>
      <c r="B4492" s="14" t="str">
        <f t="shared" si="202"/>
        <v>Direct Debit (UMB Bank) - Returned Items</v>
      </c>
      <c r="C4492" s="19"/>
      <c r="D4492" s="15"/>
      <c r="F4492" s="14"/>
      <c r="I4492" s="15"/>
      <c r="J4492" s="15"/>
      <c r="K4492" s="15"/>
      <c r="L4492" s="15"/>
      <c r="M4492" s="16"/>
    </row>
    <row r="4493" spans="1:13" x14ac:dyDescent="0.25">
      <c r="A4493" s="23"/>
      <c r="B4493" s="14" t="str">
        <f t="shared" si="202"/>
        <v>Direct Debit (UMB Bank) - Returned Items</v>
      </c>
      <c r="C4493" s="19"/>
      <c r="D4493" s="15"/>
      <c r="F4493" s="14"/>
      <c r="I4493" s="15"/>
      <c r="J4493" s="15"/>
      <c r="K4493" s="15"/>
      <c r="L4493" s="15"/>
      <c r="M4493" s="16"/>
    </row>
    <row r="4494" spans="1:13" x14ac:dyDescent="0.25">
      <c r="A4494" s="23"/>
      <c r="B4494" s="14" t="str">
        <f t="shared" si="202"/>
        <v>Direct Debit (UMB Bank) - Returned Items</v>
      </c>
      <c r="C4494" s="19"/>
      <c r="D4494" s="15"/>
      <c r="F4494" s="14"/>
      <c r="I4494" s="15"/>
      <c r="J4494" s="15"/>
      <c r="K4494" s="15"/>
      <c r="L4494" s="15"/>
      <c r="M4494" s="16"/>
    </row>
    <row r="4495" spans="1:13" x14ac:dyDescent="0.25">
      <c r="A4495" s="23"/>
      <c r="B4495" s="14" t="str">
        <f t="shared" si="202"/>
        <v>Direct Debit (UMB Bank) - Returned Items</v>
      </c>
      <c r="C4495" s="19"/>
      <c r="D4495" s="15"/>
      <c r="F4495" s="14"/>
      <c r="I4495" s="15"/>
      <c r="J4495" s="15"/>
      <c r="K4495" s="15"/>
      <c r="L4495" s="15"/>
      <c r="M4495" s="16"/>
    </row>
    <row r="4496" spans="1:13" x14ac:dyDescent="0.25">
      <c r="A4496" s="23"/>
      <c r="B4496" s="14" t="str">
        <f t="shared" si="202"/>
        <v>Direct Debit (UMB Bank) - Returned Items</v>
      </c>
      <c r="C4496" s="19"/>
      <c r="D4496" s="15"/>
      <c r="F4496" s="14"/>
      <c r="I4496" s="15"/>
      <c r="J4496" s="15"/>
      <c r="K4496" s="15"/>
      <c r="L4496" s="15"/>
      <c r="M4496" s="16"/>
    </row>
    <row r="4497" spans="1:13" x14ac:dyDescent="0.25">
      <c r="A4497" s="23"/>
      <c r="B4497" s="14" t="str">
        <f t="shared" si="202"/>
        <v>Direct Debit (UMB Bank) - Returned Items</v>
      </c>
      <c r="C4497" s="19"/>
      <c r="D4497" s="15"/>
      <c r="F4497" s="14"/>
      <c r="I4497" s="15"/>
      <c r="J4497" s="15"/>
      <c r="K4497" s="15"/>
      <c r="L4497" s="15"/>
      <c r="M4497" s="16"/>
    </row>
    <row r="4498" spans="1:13" x14ac:dyDescent="0.25">
      <c r="A4498" s="23"/>
      <c r="B4498" s="14" t="str">
        <f t="shared" si="202"/>
        <v>Direct Debit (UMB Bank) - Returned Items</v>
      </c>
      <c r="C4498" s="19"/>
      <c r="D4498" s="15"/>
      <c r="F4498" s="14"/>
      <c r="I4498" s="15"/>
      <c r="J4498" s="15"/>
      <c r="K4498" s="15"/>
      <c r="L4498" s="15"/>
      <c r="M4498" s="16"/>
    </row>
    <row r="4499" spans="1:13" x14ac:dyDescent="0.25">
      <c r="A4499" s="23"/>
      <c r="B4499" s="14" t="str">
        <f t="shared" si="202"/>
        <v>Direct Debit (UMB Bank) - Returned Items</v>
      </c>
      <c r="C4499" s="19"/>
      <c r="D4499" s="15"/>
      <c r="F4499" s="14"/>
      <c r="I4499" s="15"/>
      <c r="J4499" s="15"/>
      <c r="K4499" s="15"/>
      <c r="L4499" s="15"/>
      <c r="M4499" s="16"/>
    </row>
    <row r="4500" spans="1:13" x14ac:dyDescent="0.25">
      <c r="A4500" s="23"/>
      <c r="B4500" s="14" t="str">
        <f t="shared" si="202"/>
        <v>Direct Debit (UMB Bank) - Returned Items</v>
      </c>
      <c r="C4500" s="19"/>
      <c r="D4500" s="15"/>
      <c r="F4500" s="14"/>
      <c r="I4500" s="15"/>
      <c r="J4500" s="15"/>
      <c r="K4500" s="15"/>
      <c r="L4500" s="15"/>
      <c r="M4500" s="16"/>
    </row>
    <row r="4501" spans="1:13" x14ac:dyDescent="0.25">
      <c r="A4501" s="23"/>
      <c r="B4501" s="14" t="str">
        <f t="shared" si="202"/>
        <v>Direct Debit (UMB Bank) - Returned Items</v>
      </c>
      <c r="C4501" s="19"/>
      <c r="D4501" s="15"/>
      <c r="F4501" s="14"/>
      <c r="I4501" s="15"/>
      <c r="J4501" s="15"/>
      <c r="K4501" s="15"/>
      <c r="L4501" s="15"/>
      <c r="M4501" s="16"/>
    </row>
    <row r="4502" spans="1:13" x14ac:dyDescent="0.25">
      <c r="A4502" s="23"/>
      <c r="B4502" s="14" t="str">
        <f t="shared" si="202"/>
        <v>Direct Debit (UMB Bank) - Returned Items</v>
      </c>
      <c r="C4502" s="19"/>
      <c r="D4502" s="15"/>
      <c r="F4502" s="14"/>
      <c r="I4502" s="15"/>
      <c r="J4502" s="15"/>
      <c r="K4502" s="15"/>
      <c r="L4502" s="15"/>
      <c r="M4502" s="16"/>
    </row>
    <row r="4503" spans="1:13" x14ac:dyDescent="0.25">
      <c r="A4503" s="23"/>
      <c r="B4503" s="14" t="str">
        <f t="shared" si="202"/>
        <v>Direct Debit (UMB Bank) - Returned Items</v>
      </c>
      <c r="C4503" s="19"/>
      <c r="D4503" s="15"/>
      <c r="F4503" s="14"/>
      <c r="I4503" s="15"/>
      <c r="J4503" s="15"/>
      <c r="K4503" s="15"/>
      <c r="L4503" s="15"/>
      <c r="M4503" s="16"/>
    </row>
    <row r="4504" spans="1:13" x14ac:dyDescent="0.25">
      <c r="A4504" s="23"/>
      <c r="B4504" s="14" t="str">
        <f t="shared" si="202"/>
        <v>Direct Debit (UMB Bank) - Returned Items</v>
      </c>
      <c r="C4504" s="19"/>
      <c r="D4504" s="15"/>
      <c r="F4504" s="14"/>
      <c r="I4504" s="15"/>
      <c r="J4504" s="15"/>
      <c r="K4504" s="15"/>
      <c r="L4504" s="15"/>
      <c r="M4504" s="16"/>
    </row>
    <row r="4505" spans="1:13" x14ac:dyDescent="0.25">
      <c r="A4505" s="23"/>
      <c r="B4505" s="14" t="str">
        <f t="shared" si="202"/>
        <v>Direct Debit (UMB Bank) - Returned Items</v>
      </c>
      <c r="C4505" s="19"/>
      <c r="D4505" s="15"/>
      <c r="F4505" s="14"/>
      <c r="I4505" s="15"/>
      <c r="J4505" s="15"/>
      <c r="K4505" s="15"/>
      <c r="L4505" s="15"/>
      <c r="M4505" s="16"/>
    </row>
    <row r="4506" spans="1:13" x14ac:dyDescent="0.25">
      <c r="A4506" s="23"/>
      <c r="B4506" s="14" t="str">
        <f t="shared" si="202"/>
        <v>Direct Debit (UMB Bank) - Returned Items</v>
      </c>
      <c r="C4506" s="19"/>
      <c r="D4506" s="15"/>
      <c r="F4506" s="14"/>
      <c r="I4506" s="15"/>
      <c r="J4506" s="15"/>
      <c r="K4506" s="15"/>
      <c r="L4506" s="15"/>
      <c r="M4506" s="16"/>
    </row>
    <row r="4507" spans="1:13" x14ac:dyDescent="0.25">
      <c r="A4507" s="23"/>
      <c r="B4507" s="14" t="str">
        <f t="shared" si="202"/>
        <v>Direct Debit (UMB Bank) - Returned Items</v>
      </c>
      <c r="C4507" s="19"/>
      <c r="D4507" s="15"/>
      <c r="F4507" s="14"/>
      <c r="I4507" s="15"/>
      <c r="J4507" s="15"/>
      <c r="K4507" s="15"/>
      <c r="L4507" s="15"/>
      <c r="M4507" s="16"/>
    </row>
    <row r="4508" spans="1:13" x14ac:dyDescent="0.25">
      <c r="A4508" s="23"/>
      <c r="B4508" s="14" t="str">
        <f t="shared" si="202"/>
        <v>Direct Debit (UMB Bank) - Returned Items</v>
      </c>
      <c r="C4508" s="19"/>
      <c r="D4508" s="15"/>
      <c r="F4508" s="14"/>
      <c r="I4508" s="15"/>
      <c r="J4508" s="15"/>
      <c r="K4508" s="15"/>
      <c r="L4508" s="15"/>
      <c r="M4508" s="16"/>
    </row>
    <row r="4509" spans="1:13" x14ac:dyDescent="0.25">
      <c r="A4509" s="23"/>
      <c r="B4509" s="14" t="str">
        <f t="shared" si="202"/>
        <v>Direct Debit (UMB Bank) - Returned Items</v>
      </c>
      <c r="C4509" s="19"/>
      <c r="D4509" s="15"/>
      <c r="F4509" s="14"/>
      <c r="I4509" s="15"/>
      <c r="J4509" s="15"/>
      <c r="K4509" s="15"/>
      <c r="L4509" s="15"/>
      <c r="M4509" s="16"/>
    </row>
    <row r="4510" spans="1:13" x14ac:dyDescent="0.25">
      <c r="A4510" s="23"/>
      <c r="B4510" s="14" t="str">
        <f t="shared" si="202"/>
        <v>Direct Debit (UMB Bank) - Returned Items</v>
      </c>
      <c r="C4510" s="19"/>
      <c r="D4510" s="15"/>
      <c r="F4510" s="14"/>
      <c r="I4510" s="15"/>
      <c r="J4510" s="15"/>
      <c r="K4510" s="15"/>
      <c r="L4510" s="15"/>
      <c r="M4510" s="16"/>
    </row>
    <row r="4511" spans="1:13" x14ac:dyDescent="0.25">
      <c r="A4511" s="23"/>
      <c r="B4511" s="14" t="str">
        <f t="shared" si="202"/>
        <v>Direct Debit (UMB Bank) - Returned Items</v>
      </c>
      <c r="C4511" s="19"/>
      <c r="D4511" s="15"/>
      <c r="F4511" s="14"/>
      <c r="I4511" s="15"/>
      <c r="J4511" s="15"/>
      <c r="K4511" s="15"/>
      <c r="L4511" s="15"/>
      <c r="M4511" s="16"/>
    </row>
    <row r="4512" spans="1:13" x14ac:dyDescent="0.25">
      <c r="A4512" s="23"/>
      <c r="B4512" s="14" t="str">
        <f t="shared" si="202"/>
        <v>Direct Debit (UMB Bank) - Returned Items</v>
      </c>
      <c r="C4512" s="19"/>
      <c r="D4512" s="15"/>
      <c r="F4512" s="14"/>
      <c r="I4512" s="15"/>
      <c r="J4512" s="15"/>
      <c r="K4512" s="15"/>
      <c r="L4512" s="15"/>
      <c r="M4512" s="16"/>
    </row>
    <row r="4513" spans="1:13" x14ac:dyDescent="0.25">
      <c r="A4513" s="23"/>
      <c r="B4513" s="14" t="str">
        <f t="shared" si="202"/>
        <v>Direct Debit (UMB Bank) - Returned Items</v>
      </c>
      <c r="C4513" s="19"/>
      <c r="D4513" s="15"/>
      <c r="F4513" s="14"/>
      <c r="I4513" s="15"/>
      <c r="J4513" s="15"/>
      <c r="K4513" s="15"/>
      <c r="L4513" s="15"/>
      <c r="M4513" s="16"/>
    </row>
    <row r="4514" spans="1:13" x14ac:dyDescent="0.25">
      <c r="A4514" s="23"/>
      <c r="B4514" s="14" t="str">
        <f t="shared" si="202"/>
        <v>Direct Debit (UMB Bank) - Returned Items</v>
      </c>
      <c r="C4514" s="19"/>
      <c r="D4514" s="15"/>
      <c r="F4514" s="14"/>
      <c r="I4514" s="15"/>
      <c r="J4514" s="15"/>
      <c r="K4514" s="15"/>
      <c r="L4514" s="15"/>
      <c r="M4514" s="16"/>
    </row>
    <row r="4515" spans="1:13" x14ac:dyDescent="0.25">
      <c r="A4515" s="23"/>
      <c r="B4515" s="14" t="str">
        <f t="shared" si="202"/>
        <v>Direct Debit (UMB Bank) - Returned Items</v>
      </c>
      <c r="C4515" s="19"/>
      <c r="D4515" s="15"/>
      <c r="F4515" s="14"/>
      <c r="I4515" s="15"/>
      <c r="J4515" s="15"/>
      <c r="K4515" s="15"/>
      <c r="L4515" s="15"/>
      <c r="M4515" s="16"/>
    </row>
    <row r="4516" spans="1:13" x14ac:dyDescent="0.25">
      <c r="A4516" s="23"/>
      <c r="B4516" s="14" t="str">
        <f t="shared" si="202"/>
        <v>Direct Debit (UMB Bank) - Returned Items</v>
      </c>
      <c r="C4516" s="19"/>
      <c r="D4516" s="15"/>
      <c r="F4516" s="14"/>
      <c r="I4516" s="15"/>
      <c r="J4516" s="15"/>
      <c r="K4516" s="15"/>
      <c r="L4516" s="15"/>
      <c r="M4516" s="16"/>
    </row>
    <row r="4517" spans="1:13" x14ac:dyDescent="0.25">
      <c r="A4517" s="23"/>
      <c r="B4517" s="14" t="str">
        <f t="shared" si="202"/>
        <v>Direct Debit (UMB Bank) - Returned Items</v>
      </c>
      <c r="C4517" s="19"/>
      <c r="D4517" s="15"/>
      <c r="F4517" s="14"/>
      <c r="I4517" s="15"/>
      <c r="J4517" s="15"/>
      <c r="K4517" s="15"/>
      <c r="L4517" s="15"/>
      <c r="M4517" s="16"/>
    </row>
    <row r="4518" spans="1:13" x14ac:dyDescent="0.25">
      <c r="A4518" s="23"/>
      <c r="B4518" s="14" t="str">
        <f t="shared" si="202"/>
        <v>Direct Debit (UMB Bank) - Returned Items</v>
      </c>
      <c r="C4518" s="19"/>
      <c r="D4518" s="15"/>
      <c r="F4518" s="14"/>
      <c r="I4518" s="15"/>
      <c r="J4518" s="15"/>
      <c r="K4518" s="15"/>
      <c r="L4518" s="15"/>
      <c r="M4518" s="16"/>
    </row>
    <row r="4519" spans="1:13" x14ac:dyDescent="0.25">
      <c r="A4519" s="23"/>
      <c r="B4519" s="14" t="str">
        <f t="shared" si="202"/>
        <v>Direct Debit (UMB Bank) - Returned Items</v>
      </c>
      <c r="C4519" s="19"/>
      <c r="D4519" s="15"/>
      <c r="F4519" s="14"/>
      <c r="I4519" s="15"/>
      <c r="J4519" s="15"/>
      <c r="K4519" s="15"/>
      <c r="L4519" s="15"/>
      <c r="M4519" s="16"/>
    </row>
    <row r="4520" spans="1:13" x14ac:dyDescent="0.25">
      <c r="A4520" s="23"/>
      <c r="B4520" s="14" t="str">
        <f t="shared" si="202"/>
        <v>Direct Debit (UMB Bank) - Returned Items</v>
      </c>
      <c r="C4520" s="19"/>
      <c r="D4520" s="15"/>
      <c r="F4520" s="14"/>
      <c r="I4520" s="15"/>
      <c r="J4520" s="15"/>
      <c r="K4520" s="15"/>
      <c r="L4520" s="15"/>
      <c r="M4520" s="16"/>
    </row>
    <row r="4521" spans="1:13" x14ac:dyDescent="0.25">
      <c r="A4521" s="23"/>
      <c r="B4521" s="14" t="str">
        <f t="shared" si="202"/>
        <v>Direct Debit (UMB Bank) - Returned Items</v>
      </c>
      <c r="C4521" s="19"/>
      <c r="D4521" s="15"/>
      <c r="F4521" s="14"/>
      <c r="I4521" s="15"/>
      <c r="J4521" s="15"/>
      <c r="K4521" s="15"/>
      <c r="L4521" s="15"/>
      <c r="M4521" s="16"/>
    </row>
    <row r="4522" spans="1:13" x14ac:dyDescent="0.25">
      <c r="A4522" s="23"/>
      <c r="B4522" s="14" t="str">
        <f t="shared" si="202"/>
        <v>Direct Debit (UMB Bank) - Returned Items</v>
      </c>
      <c r="C4522" s="19"/>
      <c r="D4522" s="15"/>
      <c r="F4522" s="14"/>
      <c r="I4522" s="15"/>
      <c r="J4522" s="15"/>
      <c r="K4522" s="15"/>
      <c r="L4522" s="15"/>
      <c r="M4522" s="16"/>
    </row>
    <row r="4523" spans="1:13" x14ac:dyDescent="0.25">
      <c r="A4523" s="23"/>
      <c r="C4523" s="19"/>
      <c r="D4523" s="15"/>
      <c r="F4523" s="14"/>
      <c r="I4523" s="15"/>
      <c r="J4523" s="15"/>
      <c r="K4523" s="15"/>
      <c r="L4523" s="15"/>
      <c r="M4523" s="16"/>
    </row>
    <row r="4524" spans="1:13" x14ac:dyDescent="0.25">
      <c r="A4524" s="23"/>
      <c r="C4524" s="19"/>
      <c r="D4524" s="15"/>
      <c r="F4524" s="14"/>
      <c r="I4524" s="15"/>
      <c r="J4524" s="15"/>
      <c r="K4524" s="15"/>
      <c r="L4524" s="15"/>
      <c r="M4524" s="16"/>
    </row>
    <row r="4525" spans="1:13" x14ac:dyDescent="0.25">
      <c r="A4525" s="23"/>
      <c r="C4525" s="19"/>
      <c r="D4525" s="15"/>
      <c r="F4525" s="14"/>
      <c r="I4525" s="15"/>
      <c r="J4525" s="15"/>
      <c r="K4525" s="15"/>
      <c r="L4525" s="15"/>
      <c r="M4525" s="16"/>
    </row>
    <row r="4526" spans="1:13" x14ac:dyDescent="0.25">
      <c r="A4526" s="23"/>
      <c r="C4526" s="19"/>
      <c r="D4526" s="15"/>
      <c r="F4526" s="14"/>
      <c r="I4526" s="15"/>
      <c r="J4526" s="15"/>
      <c r="K4526" s="15"/>
      <c r="L4526" s="15"/>
      <c r="M4526" s="16"/>
    </row>
    <row r="4527" spans="1:13" x14ac:dyDescent="0.25">
      <c r="A4527" s="23"/>
      <c r="C4527" s="19"/>
      <c r="D4527" s="15"/>
      <c r="F4527" s="14"/>
      <c r="I4527" s="15"/>
      <c r="J4527" s="15"/>
      <c r="K4527" s="15"/>
      <c r="L4527" s="15"/>
      <c r="M4527" s="16"/>
    </row>
    <row r="4528" spans="1:13" x14ac:dyDescent="0.25">
      <c r="A4528" s="23"/>
      <c r="C4528" s="19"/>
      <c r="D4528" s="15"/>
      <c r="F4528" s="14"/>
      <c r="I4528" s="15"/>
      <c r="J4528" s="15"/>
      <c r="K4528" s="15"/>
      <c r="L4528" s="15"/>
      <c r="M4528" s="16"/>
    </row>
    <row r="4529" spans="1:13" x14ac:dyDescent="0.25">
      <c r="A4529" s="23"/>
      <c r="C4529" s="19"/>
      <c r="D4529" s="15"/>
      <c r="F4529" s="14"/>
      <c r="I4529" s="15"/>
      <c r="J4529" s="15"/>
      <c r="K4529" s="15"/>
      <c r="L4529" s="15"/>
      <c r="M4529" s="16"/>
    </row>
    <row r="4530" spans="1:13" x14ac:dyDescent="0.25">
      <c r="A4530" s="23"/>
      <c r="C4530" s="19"/>
      <c r="D4530" s="15"/>
      <c r="F4530" s="14"/>
      <c r="I4530" s="15"/>
      <c r="J4530" s="15"/>
      <c r="K4530" s="15"/>
      <c r="L4530" s="15"/>
      <c r="M4530" s="16"/>
    </row>
    <row r="4531" spans="1:13" x14ac:dyDescent="0.25">
      <c r="A4531" s="23"/>
      <c r="C4531" s="19"/>
      <c r="D4531" s="15"/>
      <c r="F4531" s="14"/>
      <c r="I4531" s="15"/>
      <c r="J4531" s="15"/>
      <c r="K4531" s="15"/>
      <c r="L4531" s="15"/>
      <c r="M4531" s="16"/>
    </row>
    <row r="4532" spans="1:13" x14ac:dyDescent="0.25">
      <c r="A4532" s="23"/>
      <c r="C4532" s="19"/>
      <c r="D4532" s="15"/>
      <c r="F4532" s="14"/>
      <c r="I4532" s="15"/>
      <c r="J4532" s="15"/>
      <c r="K4532" s="15"/>
      <c r="L4532" s="15"/>
      <c r="M4532" s="16"/>
    </row>
    <row r="4533" spans="1:13" x14ac:dyDescent="0.25">
      <c r="A4533" s="23"/>
      <c r="C4533" s="19"/>
      <c r="D4533" s="15"/>
      <c r="F4533" s="14"/>
      <c r="I4533" s="15"/>
      <c r="J4533" s="15"/>
      <c r="K4533" s="15"/>
      <c r="L4533" s="15"/>
      <c r="M4533" s="16"/>
    </row>
    <row r="4534" spans="1:13" x14ac:dyDescent="0.25">
      <c r="A4534" s="23"/>
      <c r="C4534" s="19"/>
      <c r="D4534" s="15"/>
      <c r="F4534" s="14"/>
      <c r="I4534" s="15"/>
      <c r="J4534" s="15"/>
      <c r="K4534" s="15"/>
      <c r="L4534" s="15"/>
      <c r="M4534" s="16"/>
    </row>
    <row r="4535" spans="1:13" x14ac:dyDescent="0.25">
      <c r="A4535" s="23"/>
      <c r="C4535" s="19"/>
      <c r="D4535" s="15"/>
      <c r="F4535" s="14"/>
      <c r="I4535" s="15"/>
      <c r="J4535" s="15"/>
      <c r="K4535" s="15"/>
      <c r="L4535" s="15"/>
      <c r="M4535" s="16"/>
    </row>
    <row r="4536" spans="1:13" x14ac:dyDescent="0.25">
      <c r="A4536" s="23"/>
      <c r="C4536" s="19"/>
      <c r="D4536" s="15"/>
      <c r="F4536" s="14"/>
      <c r="I4536" s="15"/>
      <c r="J4536" s="15"/>
      <c r="K4536" s="15"/>
      <c r="L4536" s="15"/>
      <c r="M4536" s="16"/>
    </row>
    <row r="4537" spans="1:13" x14ac:dyDescent="0.25">
      <c r="A4537" s="23"/>
      <c r="C4537" s="19"/>
      <c r="D4537" s="15"/>
      <c r="F4537" s="14"/>
      <c r="I4537" s="15"/>
      <c r="J4537" s="15"/>
      <c r="K4537" s="15"/>
      <c r="L4537" s="15"/>
      <c r="M4537" s="16"/>
    </row>
    <row r="4538" spans="1:13" x14ac:dyDescent="0.25">
      <c r="A4538" s="23"/>
      <c r="C4538" s="19"/>
      <c r="D4538" s="15"/>
      <c r="F4538" s="14"/>
      <c r="I4538" s="15"/>
      <c r="J4538" s="15"/>
      <c r="K4538" s="15"/>
      <c r="L4538" s="15"/>
      <c r="M4538" s="16"/>
    </row>
    <row r="4539" spans="1:13" x14ac:dyDescent="0.25">
      <c r="A4539" s="23"/>
      <c r="C4539" s="19"/>
      <c r="D4539" s="15"/>
      <c r="F4539" s="14"/>
      <c r="I4539" s="15"/>
      <c r="J4539" s="15"/>
      <c r="K4539" s="15"/>
      <c r="L4539" s="15"/>
      <c r="M4539" s="16"/>
    </row>
    <row r="4540" spans="1:13" x14ac:dyDescent="0.25">
      <c r="A4540" s="23"/>
      <c r="C4540" s="19"/>
      <c r="D4540" s="15"/>
      <c r="F4540" s="14"/>
      <c r="I4540" s="15"/>
      <c r="J4540" s="15"/>
      <c r="K4540" s="15"/>
      <c r="L4540" s="15"/>
      <c r="M4540" s="16"/>
    </row>
    <row r="4541" spans="1:13" x14ac:dyDescent="0.25">
      <c r="A4541" s="23"/>
      <c r="C4541" s="19"/>
      <c r="D4541" s="15"/>
      <c r="F4541" s="14"/>
      <c r="I4541" s="15"/>
      <c r="J4541" s="15"/>
      <c r="K4541" s="15"/>
      <c r="L4541" s="15"/>
      <c r="M4541" s="16"/>
    </row>
    <row r="4542" spans="1:13" x14ac:dyDescent="0.25">
      <c r="A4542" s="23"/>
      <c r="C4542" s="19"/>
      <c r="D4542" s="15"/>
      <c r="F4542" s="14"/>
      <c r="I4542" s="15"/>
      <c r="J4542" s="15"/>
      <c r="K4542" s="15"/>
      <c r="L4542" s="15"/>
      <c r="M4542" s="16"/>
    </row>
    <row r="4543" spans="1:13" x14ac:dyDescent="0.25">
      <c r="A4543" s="23"/>
      <c r="C4543" s="19"/>
      <c r="D4543" s="15"/>
      <c r="F4543" s="14"/>
      <c r="I4543" s="15"/>
      <c r="J4543" s="15"/>
      <c r="K4543" s="15"/>
      <c r="L4543" s="15"/>
      <c r="M4543" s="16"/>
    </row>
    <row r="4544" spans="1:13" x14ac:dyDescent="0.25">
      <c r="A4544" s="23"/>
      <c r="C4544" s="19"/>
      <c r="D4544" s="15"/>
      <c r="F4544" s="14"/>
      <c r="I4544" s="15"/>
      <c r="J4544" s="15"/>
      <c r="K4544" s="15"/>
      <c r="L4544" s="15"/>
      <c r="M4544" s="16"/>
    </row>
    <row r="4545" spans="1:13" x14ac:dyDescent="0.25">
      <c r="A4545" s="23"/>
      <c r="C4545" s="19"/>
      <c r="D4545" s="15"/>
      <c r="F4545" s="14"/>
      <c r="I4545" s="15"/>
      <c r="J4545" s="15"/>
      <c r="K4545" s="15"/>
      <c r="L4545" s="15"/>
      <c r="M4545" s="16"/>
    </row>
    <row r="4546" spans="1:13" x14ac:dyDescent="0.25">
      <c r="A4546" s="23"/>
      <c r="C4546" s="19"/>
      <c r="D4546" s="15"/>
      <c r="F4546" s="14"/>
      <c r="I4546" s="15"/>
      <c r="J4546" s="15"/>
      <c r="K4546" s="15"/>
      <c r="L4546" s="15"/>
      <c r="M4546" s="16"/>
    </row>
    <row r="4547" spans="1:13" x14ac:dyDescent="0.25">
      <c r="A4547" s="23"/>
      <c r="C4547" s="19"/>
      <c r="D4547" s="15"/>
      <c r="F4547" s="14"/>
      <c r="I4547" s="15"/>
      <c r="J4547" s="15"/>
      <c r="K4547" s="15"/>
      <c r="L4547" s="15"/>
      <c r="M4547" s="16"/>
    </row>
    <row r="4548" spans="1:13" x14ac:dyDescent="0.25">
      <c r="A4548" s="23"/>
      <c r="C4548" s="19"/>
      <c r="D4548" s="15"/>
      <c r="F4548" s="14"/>
      <c r="I4548" s="15"/>
      <c r="J4548" s="15"/>
      <c r="K4548" s="15"/>
      <c r="L4548" s="15"/>
      <c r="M4548" s="16"/>
    </row>
    <row r="4549" spans="1:13" x14ac:dyDescent="0.25">
      <c r="A4549" s="23"/>
      <c r="C4549" s="19"/>
      <c r="D4549" s="15"/>
      <c r="F4549" s="14"/>
      <c r="I4549" s="15"/>
      <c r="J4549" s="15"/>
      <c r="K4549" s="15"/>
      <c r="L4549" s="15"/>
      <c r="M4549" s="16"/>
    </row>
    <row r="4550" spans="1:13" x14ac:dyDescent="0.25">
      <c r="A4550" s="23"/>
      <c r="C4550" s="19"/>
      <c r="D4550" s="15"/>
      <c r="F4550" s="14"/>
      <c r="I4550" s="15"/>
      <c r="J4550" s="15"/>
      <c r="K4550" s="15"/>
      <c r="L4550" s="15"/>
      <c r="M4550" s="16"/>
    </row>
    <row r="4551" spans="1:13" x14ac:dyDescent="0.25">
      <c r="A4551" s="23"/>
      <c r="C4551" s="19"/>
      <c r="D4551" s="15"/>
      <c r="F4551" s="14"/>
      <c r="I4551" s="15"/>
      <c r="J4551" s="15"/>
      <c r="K4551" s="15"/>
      <c r="L4551" s="15"/>
      <c r="M4551" s="16"/>
    </row>
    <row r="4552" spans="1:13" x14ac:dyDescent="0.25">
      <c r="A4552" s="23"/>
      <c r="C4552" s="19"/>
      <c r="D4552" s="15"/>
      <c r="F4552" s="14"/>
      <c r="I4552" s="15"/>
      <c r="J4552" s="15"/>
      <c r="K4552" s="15"/>
      <c r="L4552" s="15"/>
      <c r="M4552" s="16"/>
    </row>
    <row r="4553" spans="1:13" x14ac:dyDescent="0.25">
      <c r="A4553" s="23"/>
      <c r="C4553" s="19"/>
      <c r="D4553" s="15"/>
      <c r="F4553" s="14"/>
      <c r="I4553" s="15"/>
      <c r="J4553" s="15"/>
      <c r="K4553" s="15"/>
      <c r="L4553" s="15"/>
      <c r="M4553" s="16"/>
    </row>
    <row r="4554" spans="1:13" x14ac:dyDescent="0.25">
      <c r="A4554" s="23"/>
      <c r="C4554" s="19"/>
      <c r="D4554" s="15"/>
      <c r="F4554" s="14"/>
      <c r="I4554" s="15"/>
      <c r="J4554" s="15"/>
      <c r="K4554" s="15"/>
      <c r="L4554" s="15"/>
      <c r="M4554" s="16"/>
    </row>
    <row r="4555" spans="1:13" x14ac:dyDescent="0.25">
      <c r="A4555" s="23"/>
      <c r="C4555" s="19"/>
      <c r="D4555" s="15"/>
      <c r="F4555" s="14"/>
      <c r="I4555" s="15"/>
      <c r="J4555" s="15"/>
      <c r="K4555" s="15"/>
      <c r="L4555" s="15"/>
      <c r="M4555" s="16"/>
    </row>
    <row r="4556" spans="1:13" x14ac:dyDescent="0.25">
      <c r="A4556" s="23"/>
      <c r="C4556" s="19"/>
      <c r="D4556" s="15"/>
      <c r="F4556" s="14"/>
      <c r="I4556" s="15"/>
      <c r="J4556" s="15"/>
      <c r="K4556" s="15"/>
      <c r="L4556" s="15"/>
      <c r="M4556" s="16"/>
    </row>
    <row r="4557" spans="1:13" x14ac:dyDescent="0.25">
      <c r="A4557" s="23"/>
      <c r="C4557" s="19"/>
      <c r="D4557" s="15"/>
      <c r="F4557" s="14"/>
      <c r="I4557" s="15"/>
      <c r="J4557" s="15"/>
      <c r="K4557" s="15"/>
      <c r="L4557" s="15"/>
      <c r="M4557" s="16"/>
    </row>
    <row r="4558" spans="1:13" x14ac:dyDescent="0.25">
      <c r="A4558" s="23"/>
      <c r="C4558" s="19"/>
      <c r="D4558" s="15"/>
      <c r="F4558" s="14"/>
      <c r="I4558" s="15"/>
      <c r="J4558" s="15"/>
      <c r="K4558" s="15"/>
      <c r="L4558" s="15"/>
      <c r="M4558" s="16"/>
    </row>
    <row r="4559" spans="1:13" x14ac:dyDescent="0.25">
      <c r="A4559" s="23"/>
      <c r="C4559" s="19"/>
      <c r="D4559" s="15"/>
      <c r="F4559" s="14"/>
      <c r="I4559" s="15"/>
      <c r="J4559" s="15"/>
      <c r="K4559" s="15"/>
      <c r="L4559" s="15"/>
      <c r="M4559" s="16"/>
    </row>
    <row r="4560" spans="1:13" x14ac:dyDescent="0.25">
      <c r="A4560" s="23"/>
      <c r="C4560" s="19"/>
      <c r="D4560" s="15"/>
      <c r="F4560" s="14"/>
      <c r="I4560" s="15"/>
      <c r="J4560" s="15"/>
      <c r="K4560" s="15"/>
      <c r="L4560" s="15"/>
      <c r="M4560" s="16"/>
    </row>
    <row r="4561" spans="1:13" x14ac:dyDescent="0.25">
      <c r="A4561" s="23"/>
      <c r="C4561" s="19"/>
      <c r="D4561" s="15"/>
      <c r="F4561" s="14"/>
      <c r="I4561" s="15"/>
      <c r="J4561" s="15"/>
      <c r="K4561" s="15"/>
      <c r="L4561" s="15"/>
      <c r="M4561" s="16"/>
    </row>
    <row r="4562" spans="1:13" x14ac:dyDescent="0.25">
      <c r="A4562" s="23"/>
      <c r="C4562" s="19"/>
      <c r="D4562" s="15"/>
      <c r="F4562" s="14"/>
      <c r="I4562" s="15"/>
      <c r="J4562" s="15"/>
      <c r="K4562" s="15"/>
      <c r="L4562" s="15"/>
      <c r="M4562" s="16"/>
    </row>
    <row r="4563" spans="1:13" x14ac:dyDescent="0.25">
      <c r="A4563" s="23"/>
      <c r="C4563" s="19"/>
      <c r="D4563" s="15"/>
      <c r="F4563" s="14"/>
      <c r="I4563" s="15"/>
      <c r="J4563" s="15"/>
      <c r="K4563" s="15"/>
      <c r="L4563" s="15"/>
      <c r="M4563" s="16"/>
    </row>
    <row r="4564" spans="1:13" x14ac:dyDescent="0.25">
      <c r="A4564" s="23"/>
      <c r="C4564" s="19"/>
      <c r="D4564" s="15"/>
      <c r="F4564" s="14"/>
      <c r="I4564" s="15"/>
      <c r="J4564" s="15"/>
      <c r="K4564" s="15"/>
      <c r="L4564" s="15"/>
      <c r="M4564" s="16"/>
    </row>
    <row r="4565" spans="1:13" x14ac:dyDescent="0.25">
      <c r="A4565" s="23"/>
      <c r="C4565" s="19"/>
      <c r="D4565" s="15"/>
      <c r="F4565" s="14"/>
      <c r="I4565" s="15"/>
      <c r="J4565" s="15"/>
      <c r="K4565" s="15"/>
      <c r="L4565" s="15"/>
      <c r="M4565" s="16"/>
    </row>
    <row r="4566" spans="1:13" x14ac:dyDescent="0.25">
      <c r="A4566" s="23"/>
      <c r="C4566" s="19"/>
      <c r="D4566" s="15"/>
      <c r="F4566" s="14"/>
      <c r="I4566" s="15"/>
      <c r="J4566" s="15"/>
      <c r="K4566" s="15"/>
      <c r="L4566" s="15"/>
      <c r="M4566" s="16"/>
    </row>
    <row r="4567" spans="1:13" x14ac:dyDescent="0.25">
      <c r="A4567" s="23"/>
      <c r="C4567" s="19"/>
      <c r="D4567" s="15"/>
      <c r="F4567" s="14"/>
      <c r="I4567" s="15"/>
      <c r="J4567" s="15"/>
      <c r="K4567" s="15"/>
      <c r="L4567" s="15"/>
      <c r="M4567" s="16"/>
    </row>
    <row r="4568" spans="1:13" x14ac:dyDescent="0.25">
      <c r="A4568" s="23"/>
      <c r="C4568" s="19"/>
      <c r="D4568" s="15"/>
      <c r="F4568" s="14"/>
      <c r="I4568" s="15"/>
      <c r="J4568" s="15"/>
      <c r="K4568" s="15"/>
      <c r="L4568" s="15"/>
      <c r="M4568" s="16"/>
    </row>
    <row r="4569" spans="1:13" x14ac:dyDescent="0.25">
      <c r="A4569" s="23"/>
      <c r="C4569" s="19"/>
      <c r="D4569" s="15"/>
      <c r="F4569" s="14"/>
      <c r="I4569" s="15"/>
      <c r="J4569" s="15"/>
      <c r="K4569" s="15"/>
      <c r="L4569" s="15"/>
      <c r="M4569" s="16"/>
    </row>
    <row r="4570" spans="1:13" x14ac:dyDescent="0.25">
      <c r="A4570" s="23"/>
      <c r="C4570" s="19"/>
      <c r="D4570" s="15"/>
      <c r="F4570" s="14"/>
      <c r="I4570" s="15"/>
      <c r="J4570" s="15"/>
      <c r="K4570" s="15"/>
      <c r="L4570" s="15"/>
      <c r="M4570" s="16"/>
    </row>
    <row r="4571" spans="1:13" x14ac:dyDescent="0.25">
      <c r="A4571" s="23"/>
      <c r="C4571" s="19"/>
      <c r="D4571" s="15"/>
      <c r="F4571" s="14"/>
      <c r="I4571" s="15"/>
      <c r="J4571" s="15"/>
      <c r="K4571" s="15"/>
      <c r="L4571" s="15"/>
      <c r="M4571" s="16"/>
    </row>
    <row r="4572" spans="1:13" x14ac:dyDescent="0.25">
      <c r="A4572" s="23"/>
      <c r="C4572" s="19"/>
      <c r="D4572" s="15"/>
      <c r="F4572" s="14"/>
      <c r="I4572" s="15"/>
      <c r="J4572" s="15"/>
      <c r="K4572" s="15"/>
      <c r="L4572" s="15"/>
      <c r="M4572" s="16"/>
    </row>
    <row r="4573" spans="1:13" x14ac:dyDescent="0.25">
      <c r="A4573" s="23"/>
      <c r="C4573" s="19"/>
      <c r="D4573" s="15"/>
      <c r="F4573" s="14"/>
      <c r="I4573" s="15"/>
      <c r="J4573" s="15"/>
      <c r="K4573" s="15"/>
      <c r="L4573" s="15"/>
      <c r="M4573" s="16"/>
    </row>
    <row r="4574" spans="1:13" x14ac:dyDescent="0.25">
      <c r="A4574" s="23"/>
      <c r="C4574" s="19"/>
      <c r="D4574" s="15"/>
      <c r="F4574" s="14"/>
      <c r="I4574" s="15"/>
      <c r="J4574" s="15"/>
      <c r="K4574" s="15"/>
      <c r="L4574" s="15"/>
      <c r="M4574" s="16"/>
    </row>
    <row r="4575" spans="1:13" x14ac:dyDescent="0.25">
      <c r="A4575" s="23"/>
      <c r="C4575" s="19"/>
      <c r="D4575" s="15"/>
      <c r="F4575" s="14"/>
      <c r="I4575" s="15"/>
      <c r="J4575" s="15"/>
      <c r="K4575" s="15"/>
      <c r="L4575" s="15"/>
      <c r="M4575" s="16"/>
    </row>
    <row r="4576" spans="1:13" x14ac:dyDescent="0.25">
      <c r="A4576" s="23"/>
      <c r="C4576" s="19"/>
      <c r="D4576" s="15"/>
      <c r="F4576" s="14"/>
      <c r="I4576" s="15"/>
      <c r="J4576" s="15"/>
      <c r="K4576" s="15"/>
      <c r="L4576" s="15"/>
      <c r="M4576" s="16"/>
    </row>
    <row r="4577" spans="1:13" x14ac:dyDescent="0.25">
      <c r="A4577" s="23"/>
      <c r="C4577" s="19"/>
      <c r="D4577" s="15"/>
      <c r="F4577" s="14"/>
      <c r="I4577" s="15"/>
      <c r="J4577" s="15"/>
      <c r="K4577" s="15"/>
      <c r="L4577" s="15"/>
      <c r="M4577" s="16"/>
    </row>
    <row r="4578" spans="1:13" x14ac:dyDescent="0.25">
      <c r="A4578" s="23"/>
      <c r="C4578" s="19"/>
      <c r="D4578" s="15"/>
      <c r="F4578" s="14"/>
      <c r="I4578" s="15"/>
      <c r="J4578" s="15"/>
      <c r="K4578" s="15"/>
      <c r="L4578" s="15"/>
      <c r="M4578" s="16"/>
    </row>
    <row r="4579" spans="1:13" x14ac:dyDescent="0.25">
      <c r="A4579" s="23"/>
      <c r="C4579" s="19"/>
      <c r="D4579" s="15"/>
      <c r="F4579" s="14"/>
      <c r="I4579" s="15"/>
      <c r="J4579" s="15"/>
      <c r="K4579" s="15"/>
      <c r="L4579" s="15"/>
      <c r="M4579" s="16"/>
    </row>
    <row r="4580" spans="1:13" x14ac:dyDescent="0.25">
      <c r="A4580" s="23"/>
      <c r="C4580" s="19"/>
      <c r="D4580" s="15"/>
      <c r="F4580" s="14"/>
      <c r="I4580" s="15"/>
      <c r="J4580" s="15"/>
      <c r="K4580" s="15"/>
      <c r="L4580" s="15"/>
      <c r="M4580" s="16"/>
    </row>
    <row r="4581" spans="1:13" x14ac:dyDescent="0.25">
      <c r="A4581" s="23"/>
      <c r="C4581" s="19"/>
      <c r="D4581" s="15"/>
      <c r="F4581" s="14"/>
      <c r="I4581" s="15"/>
      <c r="J4581" s="15"/>
      <c r="K4581" s="15"/>
      <c r="L4581" s="15"/>
      <c r="M4581" s="16"/>
    </row>
    <row r="4582" spans="1:13" x14ac:dyDescent="0.25">
      <c r="A4582" s="23"/>
      <c r="C4582" s="19"/>
      <c r="D4582" s="15"/>
      <c r="F4582" s="14"/>
      <c r="I4582" s="15"/>
      <c r="J4582" s="15"/>
      <c r="K4582" s="15"/>
      <c r="L4582" s="15"/>
      <c r="M4582" s="16"/>
    </row>
    <row r="4583" spans="1:13" x14ac:dyDescent="0.25">
      <c r="A4583" s="23"/>
      <c r="C4583" s="19"/>
      <c r="D4583" s="15"/>
      <c r="F4583" s="14"/>
      <c r="I4583" s="15"/>
      <c r="J4583" s="15"/>
      <c r="K4583" s="15"/>
      <c r="L4583" s="15"/>
      <c r="M4583" s="16"/>
    </row>
    <row r="4584" spans="1:13" x14ac:dyDescent="0.25">
      <c r="A4584" s="23"/>
      <c r="C4584" s="19"/>
      <c r="D4584" s="15"/>
      <c r="F4584" s="14"/>
      <c r="I4584" s="15"/>
      <c r="J4584" s="15"/>
      <c r="K4584" s="15"/>
      <c r="L4584" s="15"/>
      <c r="M4584" s="16"/>
    </row>
    <row r="4585" spans="1:13" x14ac:dyDescent="0.25">
      <c r="A4585" s="23"/>
      <c r="C4585" s="19"/>
      <c r="D4585" s="15"/>
      <c r="F4585" s="14"/>
      <c r="I4585" s="15"/>
      <c r="J4585" s="15"/>
      <c r="K4585" s="15"/>
      <c r="L4585" s="15"/>
      <c r="M4585" s="16"/>
    </row>
    <row r="4586" spans="1:13" x14ac:dyDescent="0.25">
      <c r="A4586" s="23"/>
      <c r="C4586" s="19"/>
      <c r="D4586" s="15"/>
      <c r="F4586" s="14"/>
      <c r="I4586" s="15"/>
      <c r="J4586" s="15"/>
      <c r="K4586" s="15"/>
      <c r="L4586" s="15"/>
      <c r="M4586" s="16"/>
    </row>
    <row r="4587" spans="1:13" x14ac:dyDescent="0.25">
      <c r="A4587" s="23"/>
      <c r="C4587" s="19"/>
      <c r="D4587" s="15"/>
      <c r="F4587" s="14"/>
      <c r="I4587" s="15"/>
      <c r="J4587" s="15"/>
      <c r="K4587" s="15"/>
      <c r="L4587" s="15"/>
      <c r="M4587" s="16"/>
    </row>
    <row r="4588" spans="1:13" x14ac:dyDescent="0.25">
      <c r="A4588" s="23"/>
      <c r="C4588" s="19"/>
      <c r="D4588" s="15"/>
      <c r="F4588" s="14"/>
      <c r="I4588" s="15"/>
      <c r="J4588" s="15"/>
      <c r="K4588" s="15"/>
      <c r="L4588" s="15"/>
      <c r="M4588" s="16"/>
    </row>
    <row r="4589" spans="1:13" x14ac:dyDescent="0.25">
      <c r="A4589" s="23"/>
      <c r="C4589" s="19"/>
      <c r="D4589" s="15"/>
      <c r="F4589" s="14"/>
      <c r="I4589" s="15"/>
      <c r="J4589" s="15"/>
      <c r="K4589" s="15"/>
      <c r="L4589" s="15"/>
      <c r="M4589" s="16"/>
    </row>
    <row r="4590" spans="1:13" x14ac:dyDescent="0.25">
      <c r="A4590" s="23"/>
      <c r="C4590" s="19"/>
      <c r="D4590" s="15"/>
      <c r="F4590" s="14"/>
      <c r="I4590" s="15"/>
      <c r="J4590" s="15"/>
      <c r="K4590" s="15"/>
      <c r="L4590" s="15"/>
      <c r="M4590" s="16"/>
    </row>
    <row r="4591" spans="1:13" x14ac:dyDescent="0.25">
      <c r="A4591" s="23"/>
      <c r="C4591" s="19"/>
      <c r="D4591" s="15"/>
      <c r="F4591" s="14"/>
      <c r="I4591" s="15"/>
      <c r="J4591" s="15"/>
      <c r="K4591" s="15"/>
      <c r="L4591" s="15"/>
      <c r="M4591" s="16"/>
    </row>
    <row r="4592" spans="1:13" x14ac:dyDescent="0.25">
      <c r="A4592" s="23"/>
      <c r="C4592" s="19"/>
      <c r="D4592" s="15"/>
      <c r="F4592" s="14"/>
      <c r="I4592" s="15"/>
      <c r="J4592" s="15"/>
      <c r="K4592" s="15"/>
      <c r="L4592" s="15"/>
      <c r="M4592" s="16"/>
    </row>
    <row r="4593" spans="1:13" x14ac:dyDescent="0.25">
      <c r="A4593" s="23"/>
      <c r="C4593" s="19"/>
      <c r="D4593" s="15"/>
      <c r="F4593" s="14"/>
      <c r="I4593" s="15"/>
      <c r="J4593" s="15"/>
      <c r="K4593" s="15"/>
      <c r="L4593" s="15"/>
      <c r="M4593" s="16"/>
    </row>
    <row r="4594" spans="1:13" x14ac:dyDescent="0.25">
      <c r="A4594" s="23"/>
      <c r="C4594" s="19"/>
      <c r="D4594" s="15"/>
      <c r="F4594" s="14"/>
      <c r="I4594" s="15"/>
      <c r="J4594" s="15"/>
      <c r="K4594" s="15"/>
      <c r="L4594" s="15"/>
      <c r="M4594" s="16"/>
    </row>
    <row r="4595" spans="1:13" x14ac:dyDescent="0.25">
      <c r="A4595" s="23"/>
      <c r="C4595" s="19"/>
      <c r="D4595" s="15"/>
      <c r="F4595" s="14"/>
      <c r="I4595" s="15"/>
      <c r="J4595" s="15"/>
      <c r="K4595" s="15"/>
      <c r="L4595" s="15"/>
      <c r="M4595" s="16"/>
    </row>
    <row r="4596" spans="1:13" x14ac:dyDescent="0.25">
      <c r="A4596" s="23"/>
      <c r="C4596" s="19"/>
      <c r="D4596" s="15"/>
      <c r="F4596" s="14"/>
      <c r="I4596" s="15"/>
      <c r="J4596" s="15"/>
      <c r="K4596" s="15"/>
      <c r="L4596" s="15"/>
      <c r="M4596" s="16"/>
    </row>
    <row r="4597" spans="1:13" x14ac:dyDescent="0.25">
      <c r="A4597" s="23"/>
      <c r="C4597" s="19"/>
      <c r="D4597" s="15"/>
      <c r="F4597" s="14"/>
      <c r="I4597" s="15"/>
      <c r="J4597" s="15"/>
      <c r="K4597" s="15"/>
      <c r="L4597" s="15"/>
      <c r="M4597" s="16"/>
    </row>
    <row r="4598" spans="1:13" x14ac:dyDescent="0.25">
      <c r="A4598" s="23"/>
      <c r="C4598" s="19"/>
      <c r="D4598" s="15"/>
      <c r="F4598" s="14"/>
      <c r="I4598" s="15"/>
      <c r="J4598" s="15"/>
      <c r="K4598" s="15"/>
      <c r="L4598" s="15"/>
      <c r="M4598" s="16"/>
    </row>
    <row r="4599" spans="1:13" x14ac:dyDescent="0.25">
      <c r="A4599" s="23"/>
      <c r="C4599" s="19"/>
      <c r="D4599" s="15"/>
      <c r="F4599" s="14"/>
      <c r="I4599" s="15"/>
      <c r="J4599" s="15"/>
      <c r="K4599" s="15"/>
      <c r="L4599" s="15"/>
      <c r="M4599" s="16"/>
    </row>
    <row r="4600" spans="1:13" x14ac:dyDescent="0.25">
      <c r="A4600" s="23"/>
      <c r="C4600" s="19"/>
      <c r="D4600" s="15"/>
      <c r="F4600" s="14"/>
      <c r="I4600" s="15"/>
      <c r="J4600" s="15"/>
      <c r="K4600" s="15"/>
      <c r="L4600" s="15"/>
      <c r="M4600" s="16"/>
    </row>
    <row r="4601" spans="1:13" x14ac:dyDescent="0.25">
      <c r="A4601" s="23"/>
      <c r="C4601" s="19"/>
      <c r="D4601" s="15"/>
      <c r="F4601" s="14"/>
      <c r="I4601" s="15"/>
      <c r="J4601" s="15"/>
      <c r="K4601" s="15"/>
      <c r="L4601" s="15"/>
      <c r="M4601" s="16"/>
    </row>
    <row r="4602" spans="1:13" x14ac:dyDescent="0.25">
      <c r="A4602" s="23"/>
      <c r="C4602" s="19"/>
      <c r="D4602" s="15"/>
      <c r="F4602" s="14"/>
      <c r="I4602" s="15"/>
      <c r="J4602" s="15"/>
      <c r="K4602" s="15"/>
      <c r="L4602" s="15"/>
      <c r="M4602" s="16"/>
    </row>
    <row r="4603" spans="1:13" x14ac:dyDescent="0.25">
      <c r="A4603" s="23"/>
      <c r="C4603" s="19"/>
      <c r="D4603" s="15"/>
      <c r="F4603" s="14"/>
      <c r="I4603" s="15"/>
      <c r="J4603" s="15"/>
      <c r="K4603" s="15"/>
      <c r="L4603" s="15"/>
      <c r="M4603" s="16"/>
    </row>
    <row r="4604" spans="1:13" x14ac:dyDescent="0.25">
      <c r="A4604" s="23"/>
      <c r="C4604" s="19"/>
      <c r="D4604" s="15"/>
      <c r="F4604" s="14"/>
      <c r="I4604" s="15"/>
      <c r="J4604" s="15"/>
      <c r="K4604" s="15"/>
      <c r="L4604" s="15"/>
      <c r="M4604" s="16"/>
    </row>
    <row r="4605" spans="1:13" x14ac:dyDescent="0.25">
      <c r="A4605" s="23"/>
      <c r="C4605" s="19"/>
      <c r="D4605" s="15"/>
      <c r="F4605" s="14"/>
      <c r="I4605" s="15"/>
      <c r="J4605" s="15"/>
      <c r="K4605" s="15"/>
      <c r="L4605" s="15"/>
      <c r="M4605" s="16"/>
    </row>
    <row r="4606" spans="1:13" x14ac:dyDescent="0.25">
      <c r="A4606" s="23"/>
      <c r="C4606" s="19"/>
      <c r="D4606" s="15"/>
      <c r="F4606" s="14"/>
      <c r="I4606" s="15"/>
      <c r="J4606" s="15"/>
      <c r="K4606" s="15"/>
      <c r="L4606" s="15"/>
      <c r="M4606" s="16"/>
    </row>
    <row r="4607" spans="1:13" x14ac:dyDescent="0.25">
      <c r="A4607" s="23"/>
      <c r="C4607" s="19"/>
      <c r="D4607" s="15"/>
      <c r="F4607" s="14"/>
      <c r="I4607" s="15"/>
      <c r="J4607" s="15"/>
      <c r="K4607" s="15"/>
      <c r="L4607" s="15"/>
      <c r="M4607" s="16"/>
    </row>
    <row r="4608" spans="1:13" x14ac:dyDescent="0.25">
      <c r="A4608" s="23"/>
      <c r="C4608" s="19"/>
      <c r="D4608" s="15"/>
      <c r="F4608" s="14"/>
      <c r="I4608" s="15"/>
      <c r="J4608" s="15"/>
      <c r="K4608" s="15"/>
      <c r="L4608" s="15"/>
      <c r="M4608" s="16"/>
    </row>
    <row r="4609" spans="1:13" x14ac:dyDescent="0.25">
      <c r="A4609" s="23"/>
      <c r="C4609" s="19"/>
      <c r="D4609" s="15"/>
      <c r="F4609" s="14"/>
      <c r="I4609" s="15"/>
      <c r="J4609" s="15"/>
      <c r="K4609" s="15"/>
      <c r="L4609" s="15"/>
      <c r="M4609" s="16"/>
    </row>
    <row r="4610" spans="1:13" x14ac:dyDescent="0.25">
      <c r="A4610" s="23"/>
      <c r="C4610" s="19"/>
      <c r="D4610" s="15"/>
      <c r="F4610" s="14"/>
      <c r="I4610" s="15"/>
      <c r="J4610" s="15"/>
      <c r="K4610" s="15"/>
      <c r="L4610" s="15"/>
      <c r="M4610" s="16"/>
    </row>
    <row r="4611" spans="1:13" x14ac:dyDescent="0.25">
      <c r="A4611" s="23"/>
      <c r="C4611" s="19"/>
      <c r="D4611" s="15"/>
      <c r="F4611" s="14"/>
      <c r="I4611" s="15"/>
      <c r="J4611" s="15"/>
      <c r="K4611" s="15"/>
      <c r="L4611" s="15"/>
      <c r="M4611" s="16"/>
    </row>
    <row r="4612" spans="1:13" x14ac:dyDescent="0.25">
      <c r="A4612" s="23"/>
      <c r="C4612" s="19"/>
      <c r="D4612" s="15"/>
      <c r="F4612" s="14"/>
      <c r="I4612" s="15"/>
      <c r="J4612" s="15"/>
      <c r="K4612" s="15"/>
      <c r="L4612" s="15"/>
      <c r="M4612" s="16"/>
    </row>
    <row r="4613" spans="1:13" x14ac:dyDescent="0.25">
      <c r="A4613" s="23"/>
      <c r="C4613" s="19"/>
      <c r="D4613" s="15"/>
      <c r="F4613" s="14"/>
      <c r="I4613" s="15"/>
      <c r="J4613" s="15"/>
      <c r="K4613" s="15"/>
      <c r="L4613" s="15"/>
      <c r="M4613" s="16"/>
    </row>
    <row r="4614" spans="1:13" x14ac:dyDescent="0.25">
      <c r="A4614" s="23"/>
      <c r="C4614" s="19"/>
      <c r="D4614" s="15"/>
      <c r="F4614" s="14"/>
      <c r="I4614" s="15"/>
      <c r="J4614" s="15"/>
      <c r="K4614" s="15"/>
      <c r="L4614" s="15"/>
      <c r="M4614" s="16"/>
    </row>
    <row r="4615" spans="1:13" x14ac:dyDescent="0.25">
      <c r="A4615" s="23"/>
      <c r="C4615" s="19"/>
      <c r="D4615" s="15"/>
      <c r="F4615" s="14"/>
      <c r="I4615" s="15"/>
      <c r="J4615" s="15"/>
      <c r="K4615" s="15"/>
      <c r="L4615" s="15"/>
      <c r="M4615" s="16"/>
    </row>
    <row r="4616" spans="1:13" x14ac:dyDescent="0.25">
      <c r="A4616" s="23"/>
      <c r="C4616" s="19"/>
      <c r="D4616" s="15"/>
      <c r="F4616" s="14"/>
      <c r="I4616" s="15"/>
      <c r="J4616" s="15"/>
      <c r="K4616" s="15"/>
      <c r="L4616" s="15"/>
      <c r="M4616" s="16"/>
    </row>
    <row r="4617" spans="1:13" x14ac:dyDescent="0.25">
      <c r="A4617" s="23"/>
      <c r="C4617" s="19"/>
      <c r="D4617" s="15"/>
      <c r="F4617" s="14"/>
      <c r="I4617" s="15"/>
      <c r="J4617" s="15"/>
      <c r="K4617" s="15"/>
      <c r="L4617" s="15"/>
      <c r="M4617" s="16"/>
    </row>
    <row r="4618" spans="1:13" x14ac:dyDescent="0.25">
      <c r="A4618" s="23"/>
      <c r="C4618" s="19"/>
      <c r="D4618" s="15"/>
      <c r="F4618" s="14"/>
      <c r="I4618" s="15"/>
      <c r="J4618" s="15"/>
      <c r="K4618" s="15"/>
      <c r="L4618" s="15"/>
      <c r="M4618" s="16"/>
    </row>
    <row r="4619" spans="1:13" x14ac:dyDescent="0.25">
      <c r="A4619" s="23"/>
      <c r="C4619" s="19"/>
      <c r="D4619" s="15"/>
      <c r="F4619" s="14"/>
      <c r="I4619" s="15"/>
      <c r="J4619" s="15"/>
      <c r="K4619" s="15"/>
      <c r="L4619" s="15"/>
      <c r="M4619" s="16"/>
    </row>
    <row r="4620" spans="1:13" x14ac:dyDescent="0.25">
      <c r="A4620" s="23"/>
      <c r="C4620" s="19"/>
      <c r="D4620" s="15"/>
      <c r="F4620" s="14"/>
      <c r="I4620" s="15"/>
      <c r="J4620" s="15"/>
      <c r="K4620" s="15"/>
      <c r="L4620" s="15"/>
      <c r="M4620" s="16"/>
    </row>
    <row r="4621" spans="1:13" x14ac:dyDescent="0.25">
      <c r="A4621" s="23"/>
      <c r="C4621" s="19"/>
      <c r="D4621" s="15"/>
      <c r="F4621" s="14"/>
      <c r="I4621" s="15"/>
      <c r="J4621" s="15"/>
      <c r="K4621" s="15"/>
      <c r="L4621" s="15"/>
      <c r="M4621" s="16"/>
    </row>
    <row r="4622" spans="1:13" x14ac:dyDescent="0.25">
      <c r="A4622" s="23"/>
      <c r="C4622" s="19"/>
      <c r="D4622" s="15"/>
      <c r="F4622" s="14"/>
      <c r="I4622" s="15"/>
      <c r="J4622" s="15"/>
      <c r="K4622" s="15"/>
      <c r="L4622" s="15"/>
      <c r="M4622" s="16"/>
    </row>
    <row r="4623" spans="1:13" x14ac:dyDescent="0.25">
      <c r="A4623" s="23"/>
      <c r="C4623" s="19"/>
      <c r="D4623" s="15"/>
      <c r="F4623" s="14"/>
      <c r="I4623" s="15"/>
      <c r="J4623" s="15"/>
      <c r="K4623" s="15"/>
      <c r="L4623" s="15"/>
      <c r="M4623" s="16"/>
    </row>
    <row r="4624" spans="1:13" x14ac:dyDescent="0.25">
      <c r="A4624" s="23"/>
      <c r="C4624" s="19"/>
      <c r="D4624" s="15"/>
      <c r="F4624" s="14"/>
      <c r="I4624" s="15"/>
      <c r="J4624" s="15"/>
      <c r="K4624" s="15"/>
      <c r="L4624" s="15"/>
      <c r="M4624" s="16"/>
    </row>
    <row r="4625" spans="1:13" x14ac:dyDescent="0.25">
      <c r="A4625" s="23"/>
      <c r="C4625" s="19"/>
      <c r="D4625" s="15"/>
      <c r="F4625" s="14"/>
      <c r="I4625" s="15"/>
      <c r="J4625" s="15"/>
      <c r="K4625" s="15"/>
      <c r="L4625" s="15"/>
      <c r="M4625" s="16"/>
    </row>
    <row r="4626" spans="1:13" x14ac:dyDescent="0.25">
      <c r="A4626" s="23"/>
      <c r="C4626" s="19"/>
      <c r="D4626" s="15"/>
      <c r="F4626" s="14"/>
      <c r="I4626" s="15"/>
      <c r="J4626" s="15"/>
      <c r="K4626" s="15"/>
      <c r="L4626" s="15"/>
      <c r="M4626" s="16"/>
    </row>
    <row r="4627" spans="1:13" x14ac:dyDescent="0.25">
      <c r="A4627" s="23"/>
      <c r="C4627" s="19"/>
      <c r="D4627" s="15"/>
      <c r="F4627" s="14"/>
      <c r="I4627" s="15"/>
      <c r="J4627" s="15"/>
      <c r="K4627" s="15"/>
      <c r="L4627" s="15"/>
      <c r="M4627" s="16"/>
    </row>
    <row r="4628" spans="1:13" x14ac:dyDescent="0.25">
      <c r="A4628" s="23"/>
      <c r="C4628" s="19"/>
      <c r="D4628" s="15"/>
      <c r="F4628" s="14"/>
      <c r="I4628" s="15"/>
      <c r="J4628" s="15"/>
      <c r="K4628" s="15"/>
      <c r="L4628" s="15"/>
      <c r="M4628" s="16"/>
    </row>
    <row r="4629" spans="1:13" x14ac:dyDescent="0.25">
      <c r="A4629" s="23"/>
      <c r="C4629" s="19"/>
      <c r="D4629" s="15"/>
      <c r="F4629" s="14"/>
      <c r="I4629" s="15"/>
      <c r="J4629" s="15"/>
      <c r="K4629" s="15"/>
      <c r="L4629" s="15"/>
      <c r="M4629" s="16"/>
    </row>
    <row r="4630" spans="1:13" x14ac:dyDescent="0.25">
      <c r="A4630" s="23"/>
      <c r="C4630" s="19"/>
      <c r="D4630" s="15"/>
      <c r="F4630" s="14"/>
      <c r="I4630" s="15"/>
      <c r="J4630" s="15"/>
      <c r="K4630" s="15"/>
      <c r="L4630" s="15"/>
      <c r="M4630" s="16"/>
    </row>
    <row r="4631" spans="1:13" x14ac:dyDescent="0.25">
      <c r="A4631" s="23"/>
      <c r="C4631" s="19"/>
      <c r="D4631" s="15"/>
      <c r="F4631" s="14"/>
      <c r="I4631" s="15"/>
      <c r="J4631" s="15"/>
      <c r="K4631" s="15"/>
      <c r="L4631" s="15"/>
      <c r="M4631" s="16"/>
    </row>
    <row r="4632" spans="1:13" x14ac:dyDescent="0.25">
      <c r="A4632" s="23"/>
      <c r="C4632" s="19"/>
      <c r="D4632" s="15"/>
      <c r="F4632" s="14"/>
      <c r="I4632" s="15"/>
      <c r="J4632" s="15"/>
      <c r="K4632" s="15"/>
      <c r="L4632" s="15"/>
      <c r="M4632" s="16"/>
    </row>
    <row r="4633" spans="1:13" x14ac:dyDescent="0.25">
      <c r="A4633" s="23"/>
      <c r="C4633" s="19"/>
      <c r="D4633" s="15"/>
      <c r="F4633" s="14"/>
      <c r="I4633" s="15"/>
      <c r="J4633" s="15"/>
      <c r="K4633" s="15"/>
      <c r="L4633" s="15"/>
      <c r="M4633" s="16"/>
    </row>
    <row r="4634" spans="1:13" x14ac:dyDescent="0.25">
      <c r="A4634" s="23"/>
      <c r="C4634" s="19"/>
      <c r="D4634" s="15"/>
      <c r="F4634" s="14"/>
      <c r="I4634" s="15"/>
      <c r="J4634" s="15"/>
      <c r="K4634" s="15"/>
      <c r="L4634" s="15"/>
      <c r="M4634" s="16"/>
    </row>
    <row r="4635" spans="1:13" x14ac:dyDescent="0.25">
      <c r="A4635" s="23"/>
      <c r="C4635" s="19"/>
      <c r="D4635" s="15"/>
      <c r="F4635" s="14"/>
      <c r="I4635" s="15"/>
      <c r="J4635" s="15"/>
      <c r="K4635" s="15"/>
      <c r="L4635" s="15"/>
      <c r="M4635" s="16"/>
    </row>
    <row r="4636" spans="1:13" x14ac:dyDescent="0.25">
      <c r="A4636" s="23"/>
      <c r="C4636" s="19"/>
      <c r="D4636" s="15"/>
      <c r="F4636" s="14"/>
      <c r="I4636" s="15"/>
      <c r="J4636" s="15"/>
      <c r="K4636" s="15"/>
      <c r="L4636" s="15"/>
      <c r="M4636" s="16"/>
    </row>
    <row r="4637" spans="1:13" x14ac:dyDescent="0.25">
      <c r="A4637" s="23"/>
      <c r="C4637" s="19"/>
      <c r="D4637" s="15"/>
      <c r="F4637" s="14"/>
      <c r="I4637" s="15"/>
      <c r="J4637" s="15"/>
      <c r="K4637" s="15"/>
      <c r="L4637" s="15"/>
      <c r="M4637" s="16"/>
    </row>
    <row r="4638" spans="1:13" x14ac:dyDescent="0.25">
      <c r="A4638" s="23"/>
      <c r="C4638" s="19"/>
      <c r="D4638" s="15"/>
      <c r="F4638" s="14"/>
      <c r="I4638" s="15"/>
      <c r="J4638" s="15"/>
      <c r="K4638" s="15"/>
      <c r="L4638" s="15"/>
      <c r="M4638" s="16"/>
    </row>
    <row r="4639" spans="1:13" x14ac:dyDescent="0.25">
      <c r="A4639" s="23"/>
      <c r="C4639" s="19"/>
      <c r="D4639" s="15"/>
      <c r="F4639" s="14"/>
      <c r="I4639" s="15"/>
      <c r="J4639" s="15"/>
      <c r="K4639" s="15"/>
      <c r="L4639" s="15"/>
      <c r="M4639" s="16"/>
    </row>
    <row r="4640" spans="1:13" x14ac:dyDescent="0.25">
      <c r="A4640" s="23"/>
      <c r="C4640" s="19"/>
      <c r="D4640" s="15"/>
      <c r="F4640" s="14"/>
      <c r="I4640" s="15"/>
      <c r="J4640" s="15"/>
      <c r="K4640" s="15"/>
      <c r="L4640" s="15"/>
      <c r="M4640" s="16"/>
    </row>
    <row r="4641" spans="1:13" x14ac:dyDescent="0.25">
      <c r="A4641" s="23"/>
      <c r="C4641" s="19"/>
      <c r="D4641" s="15"/>
      <c r="F4641" s="15"/>
      <c r="G4641" s="27"/>
      <c r="I4641" s="15"/>
      <c r="J4641" s="15"/>
      <c r="K4641" s="15"/>
      <c r="L4641" s="15"/>
      <c r="M4641" s="16"/>
    </row>
    <row r="4642" spans="1:13" x14ac:dyDescent="0.25">
      <c r="A4642" s="23"/>
      <c r="C4642" s="19"/>
      <c r="D4642" s="15"/>
      <c r="F4642" s="15"/>
      <c r="G4642" s="15"/>
      <c r="I4642" s="15"/>
      <c r="J4642" s="15"/>
      <c r="K4642" s="15"/>
      <c r="L4642" s="15"/>
      <c r="M4642" s="16"/>
    </row>
    <row r="4643" spans="1:13" x14ac:dyDescent="0.25">
      <c r="A4643" s="23"/>
      <c r="C4643" s="19"/>
      <c r="D4643" s="15"/>
      <c r="F4643" s="15"/>
      <c r="G4643" s="15"/>
      <c r="I4643" s="15"/>
      <c r="J4643" s="15"/>
      <c r="K4643" s="15"/>
      <c r="L4643" s="15"/>
      <c r="M4643" s="16"/>
    </row>
    <row r="4644" spans="1:13" x14ac:dyDescent="0.25">
      <c r="A4644" s="23"/>
      <c r="C4644" s="19"/>
      <c r="D4644" s="15"/>
      <c r="F4644" s="15"/>
      <c r="G4644" s="15"/>
      <c r="I4644" s="15"/>
      <c r="J4644" s="15"/>
      <c r="K4644" s="15"/>
      <c r="L4644" s="15"/>
      <c r="M4644" s="16"/>
    </row>
    <row r="4645" spans="1:13" x14ac:dyDescent="0.25">
      <c r="A4645" s="23"/>
      <c r="C4645" s="19"/>
      <c r="D4645" s="15"/>
      <c r="F4645" s="15"/>
      <c r="G4645" s="15"/>
      <c r="I4645" s="15"/>
      <c r="J4645" s="15"/>
      <c r="K4645" s="15"/>
      <c r="L4645" s="15"/>
      <c r="M4645" s="16"/>
    </row>
    <row r="4646" spans="1:13" x14ac:dyDescent="0.25">
      <c r="A4646" s="23"/>
      <c r="C4646" s="19"/>
      <c r="D4646" s="15"/>
      <c r="F4646" s="15"/>
      <c r="G4646" s="15"/>
      <c r="I4646" s="15"/>
      <c r="J4646" s="15"/>
      <c r="K4646" s="15"/>
      <c r="L4646" s="15"/>
      <c r="M4646" s="16"/>
    </row>
    <row r="4647" spans="1:13" x14ac:dyDescent="0.25">
      <c r="A4647" s="23"/>
      <c r="C4647" s="19"/>
      <c r="D4647" s="15"/>
      <c r="F4647" s="15"/>
      <c r="G4647" s="15"/>
      <c r="I4647" s="15"/>
      <c r="J4647" s="15"/>
      <c r="K4647" s="15"/>
      <c r="L4647" s="15"/>
      <c r="M4647" s="16"/>
    </row>
    <row r="4648" spans="1:13" x14ac:dyDescent="0.25">
      <c r="A4648" s="23"/>
      <c r="C4648" s="19"/>
      <c r="D4648" s="15"/>
      <c r="F4648" s="15"/>
      <c r="G4648" s="27"/>
      <c r="I4648" s="15"/>
      <c r="J4648" s="15"/>
      <c r="K4648" s="15"/>
      <c r="L4648" s="15"/>
      <c r="M4648" s="16"/>
    </row>
    <row r="4649" spans="1:13" x14ac:dyDescent="0.25">
      <c r="A4649" s="23"/>
      <c r="C4649" s="19"/>
      <c r="D4649" s="15"/>
      <c r="F4649" s="15"/>
      <c r="G4649" s="27"/>
      <c r="I4649" s="15"/>
      <c r="J4649" s="15"/>
      <c r="K4649" s="15"/>
      <c r="L4649" s="15"/>
      <c r="M4649" s="16"/>
    </row>
    <row r="4650" spans="1:13" x14ac:dyDescent="0.25">
      <c r="A4650" s="23"/>
      <c r="C4650" s="19"/>
      <c r="D4650" s="15"/>
      <c r="F4650" s="15"/>
      <c r="G4650" s="27"/>
      <c r="I4650" s="15"/>
      <c r="J4650" s="15"/>
      <c r="K4650" s="15"/>
      <c r="L4650" s="15"/>
      <c r="M4650" s="16"/>
    </row>
    <row r="4651" spans="1:13" x14ac:dyDescent="0.25">
      <c r="A4651" s="23"/>
      <c r="C4651" s="19"/>
      <c r="D4651" s="15"/>
      <c r="F4651" s="15"/>
      <c r="G4651" s="15"/>
      <c r="I4651" s="15"/>
      <c r="J4651" s="15"/>
      <c r="K4651" s="15"/>
      <c r="L4651" s="15"/>
      <c r="M4651" s="16"/>
    </row>
    <row r="4652" spans="1:13" x14ac:dyDescent="0.25">
      <c r="A4652" s="23"/>
      <c r="C4652" s="19"/>
      <c r="D4652" s="15"/>
      <c r="F4652" s="15"/>
      <c r="G4652" s="15"/>
      <c r="I4652" s="15"/>
      <c r="J4652" s="15"/>
      <c r="K4652" s="15"/>
      <c r="L4652" s="15"/>
      <c r="M4652" s="16"/>
    </row>
    <row r="4653" spans="1:13" x14ac:dyDescent="0.25">
      <c r="A4653" s="23"/>
      <c r="C4653" s="19"/>
      <c r="D4653" s="15"/>
      <c r="F4653" s="15"/>
      <c r="G4653" s="15"/>
      <c r="I4653" s="15"/>
      <c r="J4653" s="15"/>
      <c r="K4653" s="15"/>
      <c r="L4653" s="15"/>
      <c r="M4653" s="16"/>
    </row>
    <row r="4654" spans="1:13" x14ac:dyDescent="0.25">
      <c r="A4654" s="23"/>
      <c r="C4654" s="19"/>
      <c r="D4654" s="15"/>
      <c r="F4654" s="15"/>
      <c r="G4654" s="15"/>
      <c r="I4654" s="15"/>
      <c r="J4654" s="15"/>
      <c r="K4654" s="15"/>
      <c r="L4654" s="15"/>
      <c r="M4654" s="16"/>
    </row>
    <row r="4655" spans="1:13" x14ac:dyDescent="0.25">
      <c r="A4655" s="23"/>
      <c r="C4655" s="19"/>
      <c r="D4655" s="15"/>
      <c r="F4655" s="15"/>
      <c r="G4655" s="15"/>
      <c r="I4655" s="15"/>
      <c r="J4655" s="15"/>
      <c r="K4655" s="15"/>
      <c r="L4655" s="15"/>
      <c r="M4655" s="16"/>
    </row>
    <row r="4656" spans="1:13" x14ac:dyDescent="0.25">
      <c r="A4656" s="23"/>
      <c r="C4656" s="19"/>
      <c r="D4656" s="15"/>
      <c r="F4656" s="15"/>
      <c r="G4656" s="15"/>
      <c r="I4656" s="15"/>
      <c r="J4656" s="15"/>
      <c r="K4656" s="15"/>
      <c r="L4656" s="15"/>
      <c r="M4656" s="16"/>
    </row>
    <row r="4657" spans="1:13" x14ac:dyDescent="0.25">
      <c r="A4657" s="23"/>
      <c r="C4657" s="19"/>
      <c r="D4657" s="15"/>
      <c r="F4657" s="15"/>
      <c r="G4657" s="27"/>
      <c r="I4657" s="15"/>
      <c r="J4657" s="15"/>
      <c r="K4657" s="15"/>
      <c r="L4657" s="15"/>
      <c r="M4657" s="16"/>
    </row>
    <row r="4658" spans="1:13" x14ac:dyDescent="0.25">
      <c r="A4658" s="23"/>
      <c r="C4658" s="19"/>
      <c r="D4658" s="15"/>
      <c r="F4658" s="15"/>
      <c r="G4658" s="27"/>
      <c r="I4658" s="15"/>
      <c r="J4658" s="15"/>
      <c r="K4658" s="15"/>
      <c r="L4658" s="15"/>
      <c r="M4658" s="16"/>
    </row>
    <row r="4659" spans="1:13" x14ac:dyDescent="0.25">
      <c r="A4659" s="23"/>
      <c r="C4659" s="19"/>
      <c r="D4659" s="15"/>
      <c r="F4659" s="15"/>
      <c r="G4659" s="15"/>
      <c r="I4659" s="15"/>
      <c r="J4659" s="15"/>
      <c r="K4659" s="15"/>
      <c r="L4659" s="15"/>
      <c r="M4659" s="16"/>
    </row>
    <row r="4660" spans="1:13" x14ac:dyDescent="0.25">
      <c r="A4660" s="23"/>
      <c r="C4660" s="19"/>
      <c r="D4660" s="15"/>
      <c r="F4660" s="15"/>
      <c r="G4660" s="27"/>
      <c r="I4660" s="15"/>
      <c r="J4660" s="15"/>
      <c r="K4660" s="15"/>
      <c r="L4660" s="15"/>
      <c r="M4660" s="16"/>
    </row>
    <row r="4661" spans="1:13" x14ac:dyDescent="0.25">
      <c r="A4661" s="23"/>
      <c r="C4661" s="19"/>
      <c r="D4661" s="15"/>
      <c r="F4661" s="15"/>
      <c r="G4661" s="27"/>
      <c r="I4661" s="15"/>
      <c r="J4661" s="15"/>
      <c r="K4661" s="15"/>
      <c r="L4661" s="15"/>
      <c r="M4661" s="16"/>
    </row>
    <row r="4662" spans="1:13" x14ac:dyDescent="0.25">
      <c r="A4662" s="23"/>
      <c r="C4662" s="19"/>
      <c r="D4662" s="15"/>
      <c r="F4662" s="15"/>
      <c r="G4662" s="15"/>
      <c r="I4662" s="15"/>
      <c r="J4662" s="15"/>
      <c r="K4662" s="15"/>
      <c r="L4662" s="15"/>
      <c r="M4662" s="16"/>
    </row>
    <row r="4663" spans="1:13" x14ac:dyDescent="0.25">
      <c r="A4663" s="23"/>
      <c r="C4663" s="19"/>
      <c r="D4663" s="15"/>
      <c r="F4663" s="15"/>
      <c r="G4663" s="27"/>
      <c r="I4663" s="15"/>
      <c r="J4663" s="15"/>
      <c r="K4663" s="15"/>
      <c r="L4663" s="15"/>
      <c r="M4663" s="16"/>
    </row>
    <row r="4664" spans="1:13" x14ac:dyDescent="0.25">
      <c r="A4664" s="23"/>
      <c r="C4664" s="19"/>
      <c r="D4664" s="15"/>
      <c r="F4664" s="15"/>
      <c r="G4664" s="15"/>
      <c r="I4664" s="15"/>
      <c r="J4664" s="15"/>
      <c r="K4664" s="15"/>
      <c r="L4664" s="15"/>
      <c r="M4664" s="16"/>
    </row>
    <row r="4665" spans="1:13" x14ac:dyDescent="0.25">
      <c r="A4665" s="23"/>
      <c r="C4665" s="19"/>
      <c r="D4665" s="15"/>
      <c r="F4665" s="15"/>
      <c r="G4665" s="15"/>
      <c r="I4665" s="15"/>
      <c r="J4665" s="15"/>
      <c r="K4665" s="15"/>
      <c r="L4665" s="15"/>
      <c r="M4665" s="16"/>
    </row>
    <row r="4666" spans="1:13" x14ac:dyDescent="0.25">
      <c r="A4666" s="23"/>
      <c r="C4666" s="19"/>
      <c r="D4666" s="15"/>
      <c r="F4666" s="15"/>
      <c r="G4666" s="27"/>
      <c r="I4666" s="15"/>
      <c r="J4666" s="15"/>
      <c r="K4666" s="15"/>
      <c r="L4666" s="15"/>
      <c r="M4666" s="16"/>
    </row>
    <row r="4667" spans="1:13" x14ac:dyDescent="0.25">
      <c r="A4667" s="23"/>
      <c r="C4667" s="19"/>
      <c r="D4667" s="15"/>
      <c r="F4667" s="15"/>
      <c r="G4667" s="15"/>
      <c r="I4667" s="15"/>
      <c r="J4667" s="15"/>
      <c r="K4667" s="15"/>
      <c r="L4667" s="15"/>
      <c r="M4667" s="16"/>
    </row>
    <row r="4668" spans="1:13" x14ac:dyDescent="0.25">
      <c r="A4668" s="23"/>
      <c r="C4668" s="19"/>
      <c r="D4668" s="15"/>
      <c r="F4668" s="15"/>
      <c r="G4668" s="27"/>
      <c r="I4668" s="15"/>
      <c r="J4668" s="15"/>
      <c r="K4668" s="15"/>
      <c r="L4668" s="15"/>
      <c r="M4668" s="16"/>
    </row>
    <row r="4669" spans="1:13" x14ac:dyDescent="0.25">
      <c r="A4669" s="23"/>
      <c r="C4669" s="19"/>
      <c r="D4669" s="15"/>
      <c r="F4669" s="15"/>
      <c r="G4669" s="15"/>
      <c r="I4669" s="15"/>
      <c r="J4669" s="15"/>
      <c r="K4669" s="15"/>
      <c r="L4669" s="15"/>
      <c r="M4669" s="16"/>
    </row>
    <row r="4670" spans="1:13" x14ac:dyDescent="0.25">
      <c r="A4670" s="23"/>
      <c r="C4670" s="19"/>
      <c r="D4670" s="15"/>
      <c r="F4670" s="15"/>
      <c r="G4670" s="27"/>
      <c r="I4670" s="15"/>
      <c r="J4670" s="15"/>
      <c r="K4670" s="15"/>
      <c r="L4670" s="15"/>
      <c r="M4670" s="16"/>
    </row>
    <row r="4671" spans="1:13" x14ac:dyDescent="0.25">
      <c r="A4671" s="23"/>
      <c r="C4671" s="19"/>
      <c r="D4671" s="15"/>
      <c r="F4671" s="15"/>
      <c r="G4671" s="15"/>
      <c r="I4671" s="15"/>
      <c r="J4671" s="15"/>
      <c r="K4671" s="15"/>
      <c r="L4671" s="15"/>
      <c r="M4671" s="16"/>
    </row>
    <row r="4672" spans="1:13" x14ac:dyDescent="0.25">
      <c r="A4672" s="23"/>
      <c r="C4672" s="19"/>
      <c r="D4672" s="15"/>
      <c r="F4672" s="15"/>
      <c r="G4672" s="15"/>
      <c r="I4672" s="15"/>
      <c r="J4672" s="15"/>
      <c r="K4672" s="15"/>
      <c r="L4672" s="15"/>
      <c r="M4672" s="16"/>
    </row>
    <row r="4673" spans="1:13" x14ac:dyDescent="0.25">
      <c r="A4673" s="23"/>
      <c r="C4673" s="19"/>
      <c r="D4673" s="15"/>
      <c r="F4673" s="15"/>
      <c r="G4673" s="15"/>
      <c r="I4673" s="15"/>
      <c r="J4673" s="15"/>
      <c r="K4673" s="15"/>
      <c r="L4673" s="15"/>
      <c r="M4673" s="16"/>
    </row>
    <row r="4674" spans="1:13" x14ac:dyDescent="0.25">
      <c r="A4674" s="23"/>
      <c r="C4674" s="19"/>
      <c r="D4674" s="15"/>
      <c r="F4674" s="15"/>
      <c r="G4674" s="15"/>
      <c r="I4674" s="15"/>
      <c r="J4674" s="15"/>
      <c r="K4674" s="15"/>
      <c r="L4674" s="15"/>
      <c r="M4674" s="16"/>
    </row>
    <row r="4675" spans="1:13" x14ac:dyDescent="0.25">
      <c r="A4675" s="23"/>
      <c r="C4675" s="19"/>
      <c r="D4675" s="15"/>
      <c r="F4675" s="15"/>
      <c r="G4675" s="15"/>
      <c r="I4675" s="15"/>
      <c r="J4675" s="15"/>
      <c r="K4675" s="15"/>
      <c r="L4675" s="15"/>
      <c r="M4675" s="16"/>
    </row>
    <row r="4676" spans="1:13" x14ac:dyDescent="0.25">
      <c r="A4676" s="23"/>
      <c r="C4676" s="19"/>
      <c r="D4676" s="15"/>
      <c r="F4676" s="15"/>
      <c r="G4676" s="27"/>
      <c r="I4676" s="15"/>
      <c r="J4676" s="15"/>
      <c r="K4676" s="15"/>
      <c r="L4676" s="15"/>
      <c r="M4676" s="16"/>
    </row>
    <row r="4677" spans="1:13" x14ac:dyDescent="0.25">
      <c r="A4677" s="23"/>
      <c r="C4677" s="19"/>
      <c r="D4677" s="15"/>
      <c r="F4677" s="15"/>
      <c r="G4677" s="28"/>
      <c r="I4677" s="15"/>
      <c r="J4677" s="15"/>
      <c r="K4677" s="15"/>
      <c r="L4677" s="15"/>
      <c r="M4677" s="16"/>
    </row>
    <row r="4678" spans="1:13" x14ac:dyDescent="0.25">
      <c r="A4678" s="23"/>
      <c r="C4678" s="19"/>
      <c r="D4678" s="15"/>
      <c r="F4678" s="15"/>
      <c r="G4678" s="15"/>
      <c r="I4678" s="15"/>
      <c r="J4678" s="15"/>
      <c r="K4678" s="15"/>
      <c r="L4678" s="15"/>
      <c r="M4678" s="16"/>
    </row>
    <row r="4679" spans="1:13" x14ac:dyDescent="0.25">
      <c r="A4679" s="23"/>
      <c r="C4679" s="19"/>
      <c r="D4679" s="15"/>
      <c r="F4679" s="15"/>
      <c r="G4679" s="15"/>
      <c r="I4679" s="15"/>
      <c r="J4679" s="15"/>
      <c r="K4679" s="15"/>
      <c r="L4679" s="15"/>
      <c r="M4679" s="16"/>
    </row>
    <row r="4680" spans="1:13" x14ac:dyDescent="0.25">
      <c r="A4680" s="23"/>
      <c r="C4680" s="19"/>
      <c r="D4680" s="15"/>
      <c r="F4680" s="15"/>
      <c r="G4680" s="15"/>
      <c r="I4680" s="15"/>
      <c r="J4680" s="15"/>
      <c r="K4680" s="15"/>
      <c r="L4680" s="15"/>
      <c r="M4680" s="16"/>
    </row>
    <row r="4681" spans="1:13" x14ac:dyDescent="0.25">
      <c r="A4681" s="23"/>
      <c r="C4681" s="19"/>
      <c r="D4681" s="15"/>
      <c r="F4681" s="15"/>
      <c r="G4681" s="27"/>
      <c r="I4681" s="15"/>
      <c r="J4681" s="15"/>
      <c r="K4681" s="15"/>
      <c r="L4681" s="15"/>
      <c r="M4681" s="16"/>
    </row>
    <row r="4682" spans="1:13" x14ac:dyDescent="0.25">
      <c r="A4682" s="23"/>
      <c r="C4682" s="19"/>
      <c r="D4682" s="15"/>
      <c r="F4682" s="15"/>
      <c r="G4682" s="15"/>
      <c r="I4682" s="15"/>
      <c r="J4682" s="15"/>
      <c r="K4682" s="15"/>
      <c r="L4682" s="15"/>
      <c r="M4682" s="16"/>
    </row>
    <row r="4683" spans="1:13" x14ac:dyDescent="0.25">
      <c r="A4683" s="23"/>
      <c r="C4683" s="19"/>
      <c r="D4683" s="15"/>
      <c r="F4683" s="15"/>
      <c r="G4683" s="27"/>
      <c r="I4683" s="15"/>
      <c r="J4683" s="15"/>
      <c r="K4683" s="15"/>
      <c r="L4683" s="15"/>
      <c r="M4683" s="16"/>
    </row>
    <row r="4684" spans="1:13" x14ac:dyDescent="0.25">
      <c r="A4684" s="23"/>
      <c r="C4684" s="19"/>
      <c r="D4684" s="15"/>
      <c r="F4684" s="15"/>
      <c r="G4684" s="27"/>
      <c r="I4684" s="15"/>
      <c r="J4684" s="15"/>
      <c r="K4684" s="15"/>
      <c r="L4684" s="15"/>
      <c r="M4684" s="16"/>
    </row>
    <row r="4685" spans="1:13" x14ac:dyDescent="0.25">
      <c r="A4685" s="23"/>
      <c r="C4685" s="19"/>
      <c r="D4685" s="15"/>
      <c r="F4685" s="15"/>
      <c r="G4685" s="15"/>
      <c r="I4685" s="15"/>
      <c r="J4685" s="15"/>
      <c r="K4685" s="15"/>
      <c r="L4685" s="15"/>
      <c r="M4685" s="16"/>
    </row>
    <row r="4686" spans="1:13" x14ac:dyDescent="0.25">
      <c r="A4686" s="23"/>
      <c r="C4686" s="19"/>
      <c r="D4686" s="15"/>
      <c r="F4686" s="15"/>
      <c r="G4686" s="15"/>
      <c r="I4686" s="15"/>
      <c r="J4686" s="15"/>
      <c r="K4686" s="15"/>
      <c r="L4686" s="15"/>
      <c r="M4686" s="16"/>
    </row>
    <row r="4687" spans="1:13" x14ac:dyDescent="0.25">
      <c r="A4687" s="23"/>
      <c r="C4687" s="19"/>
      <c r="D4687" s="15"/>
      <c r="F4687" s="15"/>
      <c r="G4687" s="27"/>
      <c r="I4687" s="15"/>
      <c r="J4687" s="15"/>
      <c r="K4687" s="15"/>
      <c r="L4687" s="15"/>
      <c r="M4687" s="16"/>
    </row>
    <row r="4688" spans="1:13" x14ac:dyDescent="0.25">
      <c r="A4688" s="23"/>
      <c r="C4688" s="19"/>
      <c r="D4688" s="15"/>
      <c r="F4688" s="15"/>
      <c r="G4688" s="15"/>
      <c r="I4688" s="15"/>
      <c r="J4688" s="15"/>
      <c r="K4688" s="15"/>
      <c r="L4688" s="15"/>
      <c r="M4688" s="16"/>
    </row>
    <row r="4689" spans="1:13" x14ac:dyDescent="0.25">
      <c r="A4689" s="23"/>
      <c r="C4689" s="19"/>
      <c r="D4689" s="15"/>
      <c r="F4689" s="15"/>
      <c r="G4689" s="15"/>
      <c r="I4689" s="15"/>
      <c r="J4689" s="15"/>
      <c r="K4689" s="15"/>
      <c r="L4689" s="15"/>
      <c r="M4689" s="16"/>
    </row>
    <row r="4690" spans="1:13" x14ac:dyDescent="0.25">
      <c r="A4690" s="23"/>
      <c r="C4690" s="19"/>
      <c r="D4690" s="15"/>
      <c r="F4690" s="15"/>
      <c r="G4690" s="15"/>
      <c r="I4690" s="15"/>
      <c r="J4690" s="15"/>
      <c r="K4690" s="15"/>
      <c r="L4690" s="15"/>
      <c r="M4690" s="16"/>
    </row>
    <row r="4691" spans="1:13" x14ac:dyDescent="0.25">
      <c r="A4691" s="23"/>
      <c r="C4691" s="19"/>
      <c r="D4691" s="15"/>
      <c r="F4691" s="15"/>
      <c r="G4691" s="27"/>
      <c r="I4691" s="15"/>
      <c r="J4691" s="15"/>
      <c r="K4691" s="15"/>
      <c r="L4691" s="15"/>
      <c r="M4691" s="16"/>
    </row>
    <row r="4692" spans="1:13" x14ac:dyDescent="0.25">
      <c r="A4692" s="23"/>
      <c r="C4692" s="19"/>
      <c r="D4692" s="15"/>
      <c r="F4692" s="15"/>
      <c r="G4692" s="15"/>
      <c r="I4692" s="15"/>
      <c r="J4692" s="15"/>
      <c r="K4692" s="15"/>
      <c r="L4692" s="15"/>
      <c r="M4692" s="16"/>
    </row>
    <row r="4693" spans="1:13" x14ac:dyDescent="0.25">
      <c r="A4693" s="23"/>
      <c r="C4693" s="19"/>
      <c r="D4693" s="15"/>
      <c r="F4693" s="15"/>
      <c r="G4693" s="15"/>
      <c r="I4693" s="15"/>
      <c r="J4693" s="15"/>
      <c r="K4693" s="15"/>
      <c r="L4693" s="15"/>
      <c r="M4693" s="16"/>
    </row>
    <row r="4694" spans="1:13" x14ac:dyDescent="0.25">
      <c r="A4694" s="23"/>
      <c r="C4694" s="19"/>
      <c r="D4694" s="15"/>
      <c r="F4694" s="15"/>
      <c r="G4694" s="15"/>
      <c r="I4694" s="15"/>
      <c r="J4694" s="15"/>
      <c r="K4694" s="15"/>
      <c r="L4694" s="15"/>
      <c r="M4694" s="16"/>
    </row>
    <row r="4695" spans="1:13" x14ac:dyDescent="0.25">
      <c r="A4695" s="23"/>
      <c r="C4695" s="19"/>
      <c r="D4695" s="15"/>
      <c r="F4695" s="15"/>
      <c r="G4695" s="27"/>
      <c r="I4695" s="15"/>
      <c r="J4695" s="15"/>
      <c r="K4695" s="15"/>
      <c r="L4695" s="15"/>
      <c r="M4695" s="16"/>
    </row>
    <row r="4696" spans="1:13" x14ac:dyDescent="0.25">
      <c r="A4696" s="23"/>
      <c r="C4696" s="19"/>
      <c r="D4696" s="15"/>
      <c r="F4696" s="15"/>
      <c r="G4696" s="15"/>
      <c r="I4696" s="15"/>
      <c r="J4696" s="15"/>
      <c r="K4696" s="15"/>
      <c r="L4696" s="15"/>
      <c r="M4696" s="16"/>
    </row>
    <row r="4697" spans="1:13" x14ac:dyDescent="0.25">
      <c r="A4697" s="23"/>
      <c r="C4697" s="19"/>
      <c r="D4697" s="15"/>
      <c r="F4697" s="15"/>
      <c r="G4697" s="15"/>
      <c r="I4697" s="15"/>
      <c r="J4697" s="15"/>
      <c r="K4697" s="15"/>
      <c r="L4697" s="15"/>
      <c r="M4697" s="16"/>
    </row>
    <row r="4698" spans="1:13" x14ac:dyDescent="0.25">
      <c r="A4698" s="23"/>
      <c r="C4698" s="19"/>
      <c r="D4698" s="15"/>
      <c r="F4698" s="14"/>
      <c r="I4698" s="15"/>
      <c r="J4698" s="15"/>
      <c r="K4698" s="15"/>
      <c r="L4698" s="15"/>
      <c r="M4698" s="16"/>
    </row>
    <row r="4699" spans="1:13" x14ac:dyDescent="0.25">
      <c r="A4699" s="23"/>
      <c r="C4699" s="19"/>
      <c r="D4699" s="15"/>
      <c r="F4699" s="14"/>
      <c r="I4699" s="15"/>
      <c r="J4699" s="15"/>
      <c r="K4699" s="15"/>
      <c r="L4699" s="15"/>
      <c r="M4699" s="16"/>
    </row>
    <row r="4700" spans="1:13" x14ac:dyDescent="0.25">
      <c r="A4700" s="23"/>
      <c r="C4700" s="19"/>
      <c r="D4700" s="15"/>
      <c r="F4700" s="14"/>
      <c r="I4700" s="15"/>
      <c r="J4700" s="15"/>
      <c r="K4700" s="15"/>
      <c r="L4700" s="15"/>
      <c r="M4700" s="16"/>
    </row>
    <row r="4701" spans="1:13" x14ac:dyDescent="0.25">
      <c r="A4701" s="23"/>
      <c r="C4701" s="19"/>
      <c r="D4701" s="15"/>
      <c r="F4701" s="14"/>
      <c r="I4701" s="15"/>
      <c r="J4701" s="15"/>
      <c r="K4701" s="15"/>
      <c r="L4701" s="15"/>
      <c r="M4701" s="16"/>
    </row>
    <row r="4702" spans="1:13" x14ac:dyDescent="0.25">
      <c r="A4702" s="23"/>
      <c r="C4702" s="19"/>
      <c r="D4702" s="15"/>
      <c r="F4702" s="14"/>
      <c r="I4702" s="15"/>
      <c r="J4702" s="15"/>
      <c r="K4702" s="15"/>
      <c r="L4702" s="15"/>
      <c r="M4702" s="16"/>
    </row>
    <row r="4703" spans="1:13" x14ac:dyDescent="0.25">
      <c r="A4703" s="23"/>
      <c r="C4703" s="19"/>
      <c r="D4703" s="15"/>
      <c r="F4703" s="14"/>
      <c r="I4703" s="15"/>
      <c r="J4703" s="15"/>
      <c r="K4703" s="15"/>
      <c r="L4703" s="15"/>
      <c r="M4703" s="16"/>
    </row>
    <row r="4704" spans="1:13" x14ac:dyDescent="0.25">
      <c r="A4704" s="23"/>
      <c r="C4704" s="19"/>
      <c r="D4704" s="15"/>
      <c r="F4704" s="14"/>
      <c r="I4704" s="15"/>
      <c r="J4704" s="15"/>
      <c r="K4704" s="15"/>
      <c r="L4704" s="15"/>
      <c r="M4704" s="16"/>
    </row>
    <row r="4705" spans="1:13" x14ac:dyDescent="0.25">
      <c r="A4705" s="23"/>
      <c r="C4705" s="19"/>
      <c r="D4705" s="15"/>
      <c r="F4705" s="14"/>
      <c r="I4705" s="15"/>
      <c r="J4705" s="15"/>
      <c r="K4705" s="15"/>
      <c r="L4705" s="15"/>
      <c r="M4705" s="16"/>
    </row>
    <row r="4706" spans="1:13" x14ac:dyDescent="0.25">
      <c r="A4706" s="23"/>
      <c r="C4706" s="19"/>
      <c r="D4706" s="15"/>
      <c r="F4706" s="14"/>
      <c r="I4706" s="15"/>
      <c r="J4706" s="15"/>
      <c r="K4706" s="15"/>
      <c r="L4706" s="15"/>
      <c r="M4706" s="16"/>
    </row>
    <row r="4707" spans="1:13" x14ac:dyDescent="0.25">
      <c r="A4707" s="23"/>
      <c r="C4707" s="19"/>
      <c r="D4707" s="15"/>
      <c r="F4707" s="14"/>
      <c r="I4707" s="15"/>
      <c r="J4707" s="15"/>
      <c r="K4707" s="15"/>
      <c r="L4707" s="15"/>
      <c r="M4707" s="16"/>
    </row>
    <row r="4708" spans="1:13" x14ac:dyDescent="0.25">
      <c r="A4708" s="23"/>
      <c r="C4708" s="19"/>
      <c r="D4708" s="15"/>
      <c r="F4708" s="14"/>
      <c r="I4708" s="15"/>
      <c r="J4708" s="15"/>
      <c r="K4708" s="15"/>
      <c r="L4708" s="15"/>
      <c r="M4708" s="16"/>
    </row>
    <row r="4709" spans="1:13" x14ac:dyDescent="0.25">
      <c r="A4709" s="23"/>
      <c r="C4709" s="19"/>
      <c r="D4709" s="15"/>
      <c r="F4709" s="14"/>
      <c r="I4709" s="15"/>
      <c r="J4709" s="15"/>
      <c r="K4709" s="17"/>
      <c r="L4709" s="15"/>
      <c r="M4709" s="16"/>
    </row>
    <row r="4710" spans="1:13" x14ac:dyDescent="0.25">
      <c r="A4710" s="23"/>
      <c r="C4710" s="19"/>
      <c r="D4710" s="15"/>
      <c r="F4710" s="14"/>
      <c r="I4710" s="15"/>
      <c r="J4710" s="15"/>
      <c r="K4710" s="15"/>
      <c r="L4710" s="15"/>
      <c r="M4710" s="16"/>
    </row>
    <row r="4711" spans="1:13" x14ac:dyDescent="0.25">
      <c r="A4711" s="23"/>
      <c r="C4711" s="19"/>
      <c r="D4711" s="15"/>
      <c r="F4711" s="14"/>
      <c r="I4711" s="15"/>
      <c r="J4711" s="15"/>
      <c r="K4711" s="15"/>
      <c r="L4711" s="15"/>
      <c r="M4711" s="16"/>
    </row>
    <row r="4712" spans="1:13" x14ac:dyDescent="0.25">
      <c r="A4712" s="23"/>
      <c r="C4712" s="19"/>
      <c r="D4712" s="15"/>
      <c r="F4712" s="14"/>
      <c r="I4712" s="15"/>
      <c r="J4712" s="15"/>
      <c r="K4712" s="15"/>
      <c r="L4712" s="15"/>
      <c r="M4712" s="16"/>
    </row>
    <row r="4713" spans="1:13" x14ac:dyDescent="0.25">
      <c r="A4713" s="23"/>
      <c r="C4713" s="19"/>
      <c r="D4713" s="15"/>
      <c r="F4713" s="14"/>
      <c r="I4713" s="15"/>
      <c r="J4713" s="15"/>
      <c r="K4713" s="15"/>
      <c r="L4713" s="15"/>
      <c r="M4713" s="16"/>
    </row>
    <row r="4714" spans="1:13" x14ac:dyDescent="0.25">
      <c r="A4714" s="23"/>
      <c r="C4714" s="19"/>
      <c r="D4714" s="15"/>
      <c r="F4714" s="14"/>
      <c r="I4714" s="15"/>
      <c r="J4714" s="15"/>
      <c r="K4714" s="15"/>
      <c r="L4714" s="15"/>
      <c r="M4714" s="16"/>
    </row>
    <row r="4715" spans="1:13" x14ac:dyDescent="0.25">
      <c r="A4715" s="23"/>
      <c r="C4715" s="19"/>
      <c r="D4715" s="15"/>
      <c r="F4715" s="14"/>
      <c r="I4715" s="15"/>
      <c r="J4715" s="15"/>
      <c r="K4715" s="15"/>
      <c r="L4715" s="15"/>
      <c r="M4715" s="16"/>
    </row>
    <row r="4716" spans="1:13" x14ac:dyDescent="0.25">
      <c r="A4716" s="23"/>
      <c r="C4716" s="19"/>
      <c r="D4716" s="15"/>
      <c r="F4716" s="14"/>
      <c r="I4716" s="15"/>
      <c r="J4716" s="15"/>
      <c r="K4716" s="15"/>
      <c r="L4716" s="15"/>
      <c r="M4716" s="16"/>
    </row>
    <row r="4717" spans="1:13" x14ac:dyDescent="0.25">
      <c r="A4717" s="23"/>
      <c r="C4717" s="19"/>
      <c r="D4717" s="15"/>
      <c r="F4717" s="14"/>
      <c r="I4717" s="15"/>
      <c r="J4717" s="15"/>
      <c r="K4717" s="15"/>
      <c r="L4717" s="15"/>
      <c r="M4717" s="16"/>
    </row>
    <row r="4718" spans="1:13" x14ac:dyDescent="0.25">
      <c r="A4718" s="23"/>
      <c r="C4718" s="19"/>
      <c r="D4718" s="15"/>
      <c r="F4718" s="14"/>
      <c r="I4718" s="15"/>
      <c r="J4718" s="15"/>
      <c r="K4718" s="15"/>
      <c r="L4718" s="15"/>
      <c r="M4718" s="16"/>
    </row>
    <row r="4719" spans="1:13" x14ac:dyDescent="0.25">
      <c r="A4719" s="23"/>
      <c r="C4719" s="19"/>
      <c r="D4719" s="15"/>
      <c r="F4719" s="14"/>
      <c r="I4719" s="15"/>
      <c r="J4719" s="15"/>
      <c r="K4719" s="15"/>
      <c r="L4719" s="15"/>
      <c r="M4719" s="16"/>
    </row>
    <row r="4720" spans="1:13" x14ac:dyDescent="0.25">
      <c r="A4720" s="23"/>
      <c r="C4720" s="19"/>
      <c r="D4720" s="15"/>
      <c r="F4720" s="14"/>
      <c r="I4720" s="15"/>
      <c r="J4720" s="15"/>
      <c r="K4720" s="15"/>
      <c r="L4720" s="15"/>
      <c r="M4720" s="16"/>
    </row>
    <row r="4721" spans="1:13" x14ac:dyDescent="0.25">
      <c r="A4721" s="23"/>
      <c r="C4721" s="19"/>
      <c r="D4721" s="15"/>
      <c r="F4721" s="14"/>
      <c r="I4721" s="15"/>
      <c r="J4721" s="15"/>
      <c r="K4721" s="15"/>
      <c r="L4721" s="15"/>
      <c r="M4721" s="16"/>
    </row>
    <row r="4722" spans="1:13" x14ac:dyDescent="0.25">
      <c r="A4722" s="23"/>
      <c r="C4722" s="19"/>
      <c r="D4722" s="15"/>
      <c r="F4722" s="14"/>
      <c r="I4722" s="15"/>
      <c r="J4722" s="15"/>
      <c r="K4722" s="15"/>
      <c r="L4722" s="15"/>
      <c r="M4722" s="16"/>
    </row>
    <row r="4723" spans="1:13" x14ac:dyDescent="0.25">
      <c r="A4723" s="23"/>
      <c r="C4723" s="19"/>
      <c r="D4723" s="15"/>
      <c r="F4723" s="14"/>
      <c r="I4723" s="15"/>
      <c r="J4723" s="15"/>
      <c r="K4723" s="15"/>
      <c r="L4723" s="15"/>
      <c r="M4723" s="16"/>
    </row>
    <row r="4724" spans="1:13" x14ac:dyDescent="0.25">
      <c r="A4724" s="23"/>
      <c r="C4724" s="19"/>
      <c r="D4724" s="15"/>
      <c r="F4724" s="14"/>
      <c r="I4724" s="15"/>
      <c r="J4724" s="15"/>
      <c r="K4724" s="15"/>
      <c r="L4724" s="15"/>
      <c r="M4724" s="16"/>
    </row>
    <row r="4725" spans="1:13" x14ac:dyDescent="0.25">
      <c r="A4725" s="23"/>
      <c r="C4725" s="19"/>
      <c r="D4725" s="15"/>
      <c r="F4725" s="14"/>
      <c r="I4725" s="15"/>
      <c r="J4725" s="15"/>
      <c r="K4725" s="15"/>
      <c r="L4725" s="15"/>
      <c r="M4725" s="16"/>
    </row>
    <row r="4726" spans="1:13" x14ac:dyDescent="0.25">
      <c r="A4726" s="23"/>
      <c r="C4726" s="19"/>
      <c r="D4726" s="15"/>
      <c r="F4726" s="14"/>
      <c r="I4726" s="15"/>
      <c r="J4726" s="15"/>
      <c r="K4726" s="15"/>
      <c r="L4726" s="15"/>
      <c r="M4726" s="16"/>
    </row>
    <row r="4727" spans="1:13" x14ac:dyDescent="0.25">
      <c r="A4727" s="23"/>
      <c r="C4727" s="19"/>
      <c r="D4727" s="15"/>
      <c r="F4727" s="14"/>
      <c r="I4727" s="15"/>
      <c r="J4727" s="15"/>
      <c r="K4727" s="15"/>
      <c r="L4727" s="15"/>
      <c r="M4727" s="16"/>
    </row>
    <row r="4728" spans="1:13" x14ac:dyDescent="0.25">
      <c r="A4728" s="23"/>
      <c r="C4728" s="19"/>
      <c r="D4728" s="15"/>
      <c r="F4728" s="14"/>
      <c r="I4728" s="15"/>
      <c r="J4728" s="15"/>
      <c r="K4728" s="15"/>
      <c r="L4728" s="15"/>
      <c r="M4728" s="16"/>
    </row>
    <row r="4729" spans="1:13" x14ac:dyDescent="0.25">
      <c r="A4729" s="23"/>
      <c r="C4729" s="19"/>
      <c r="D4729" s="15"/>
      <c r="F4729" s="14"/>
      <c r="I4729" s="15"/>
      <c r="J4729" s="15"/>
      <c r="K4729" s="15"/>
      <c r="L4729" s="15"/>
      <c r="M4729" s="16"/>
    </row>
    <row r="4730" spans="1:13" x14ac:dyDescent="0.25">
      <c r="A4730" s="23"/>
      <c r="C4730" s="19"/>
      <c r="D4730" s="15"/>
      <c r="F4730" s="14"/>
      <c r="I4730" s="15"/>
      <c r="J4730" s="15"/>
      <c r="K4730" s="15"/>
      <c r="L4730" s="15"/>
      <c r="M4730" s="16"/>
    </row>
    <row r="4731" spans="1:13" x14ac:dyDescent="0.25">
      <c r="A4731" s="23"/>
      <c r="C4731" s="19"/>
      <c r="D4731" s="15"/>
      <c r="F4731" s="14"/>
      <c r="I4731" s="15"/>
      <c r="J4731" s="15"/>
      <c r="K4731" s="15"/>
      <c r="L4731" s="15"/>
      <c r="M4731" s="16"/>
    </row>
    <row r="4732" spans="1:13" x14ac:dyDescent="0.25">
      <c r="A4732" s="23"/>
      <c r="C4732" s="19"/>
      <c r="D4732" s="15"/>
      <c r="F4732" s="14"/>
      <c r="I4732" s="15"/>
      <c r="J4732" s="15"/>
      <c r="K4732" s="15"/>
      <c r="L4732" s="15"/>
      <c r="M4732" s="16"/>
    </row>
    <row r="4733" spans="1:13" x14ac:dyDescent="0.25">
      <c r="A4733" s="23"/>
      <c r="C4733" s="19"/>
      <c r="D4733" s="15"/>
      <c r="F4733" s="14"/>
      <c r="I4733" s="15"/>
      <c r="J4733" s="15"/>
      <c r="K4733" s="15"/>
      <c r="L4733" s="15"/>
      <c r="M4733" s="16"/>
    </row>
    <row r="4734" spans="1:13" x14ac:dyDescent="0.25">
      <c r="A4734" s="23"/>
      <c r="C4734" s="19"/>
      <c r="D4734" s="15"/>
      <c r="F4734" s="14"/>
      <c r="I4734" s="15"/>
      <c r="J4734" s="15"/>
      <c r="K4734" s="15"/>
      <c r="L4734" s="15"/>
      <c r="M4734" s="16"/>
    </row>
    <row r="4735" spans="1:13" x14ac:dyDescent="0.25">
      <c r="A4735" s="23"/>
      <c r="C4735" s="19"/>
      <c r="D4735" s="15"/>
      <c r="F4735" s="14"/>
      <c r="I4735" s="15"/>
      <c r="J4735" s="15"/>
      <c r="K4735" s="15"/>
      <c r="L4735" s="15"/>
      <c r="M4735" s="16"/>
    </row>
    <row r="4736" spans="1:13" x14ac:dyDescent="0.25">
      <c r="A4736" s="23"/>
      <c r="C4736" s="19"/>
      <c r="D4736" s="15"/>
      <c r="F4736" s="14"/>
      <c r="I4736" s="15"/>
      <c r="J4736" s="15"/>
      <c r="K4736" s="15"/>
      <c r="L4736" s="15"/>
      <c r="M4736" s="16"/>
    </row>
    <row r="4737" spans="1:13" x14ac:dyDescent="0.25">
      <c r="A4737" s="23"/>
      <c r="C4737" s="19"/>
      <c r="D4737" s="15"/>
      <c r="F4737" s="14"/>
      <c r="I4737" s="15"/>
      <c r="J4737" s="15"/>
      <c r="K4737" s="15"/>
      <c r="L4737" s="15"/>
      <c r="M4737" s="16"/>
    </row>
    <row r="4738" spans="1:13" x14ac:dyDescent="0.25">
      <c r="A4738" s="23"/>
      <c r="C4738" s="19"/>
      <c r="D4738" s="15"/>
      <c r="F4738" s="14"/>
      <c r="I4738" s="15"/>
      <c r="J4738" s="15"/>
      <c r="K4738" s="15"/>
      <c r="L4738" s="15"/>
      <c r="M4738" s="16"/>
    </row>
    <row r="4739" spans="1:13" x14ac:dyDescent="0.25">
      <c r="A4739" s="23"/>
      <c r="C4739" s="19"/>
      <c r="D4739" s="15"/>
      <c r="F4739" s="14"/>
      <c r="I4739" s="15"/>
      <c r="J4739" s="15"/>
      <c r="K4739" s="15"/>
      <c r="L4739" s="15"/>
      <c r="M4739" s="16"/>
    </row>
    <row r="4740" spans="1:13" x14ac:dyDescent="0.25">
      <c r="A4740" s="23"/>
      <c r="C4740" s="19"/>
      <c r="D4740" s="15"/>
      <c r="F4740" s="14"/>
      <c r="I4740" s="15"/>
      <c r="J4740" s="15"/>
      <c r="K4740" s="15"/>
      <c r="L4740" s="15"/>
      <c r="M4740" s="16"/>
    </row>
    <row r="4741" spans="1:13" x14ac:dyDescent="0.25">
      <c r="A4741" s="23"/>
      <c r="C4741" s="19"/>
      <c r="D4741" s="15"/>
      <c r="F4741" s="14"/>
      <c r="I4741" s="15"/>
      <c r="J4741" s="15"/>
      <c r="K4741" s="15"/>
      <c r="L4741" s="15"/>
      <c r="M4741" s="16"/>
    </row>
    <row r="4742" spans="1:13" x14ac:dyDescent="0.25">
      <c r="A4742" s="23"/>
      <c r="C4742" s="19"/>
      <c r="D4742" s="15"/>
      <c r="F4742" s="14"/>
      <c r="I4742" s="15"/>
      <c r="J4742" s="15"/>
      <c r="K4742" s="15"/>
      <c r="L4742" s="15"/>
      <c r="M4742" s="16"/>
    </row>
    <row r="4743" spans="1:13" x14ac:dyDescent="0.25">
      <c r="A4743" s="23"/>
      <c r="C4743" s="19"/>
      <c r="D4743" s="15"/>
      <c r="F4743" s="14"/>
      <c r="I4743" s="15"/>
      <c r="J4743" s="15"/>
      <c r="K4743" s="15"/>
      <c r="L4743" s="15"/>
      <c r="M4743" s="16"/>
    </row>
    <row r="4744" spans="1:13" x14ac:dyDescent="0.25">
      <c r="A4744" s="23"/>
      <c r="C4744" s="19"/>
      <c r="D4744" s="15"/>
      <c r="F4744" s="14"/>
      <c r="I4744" s="15"/>
      <c r="J4744" s="15"/>
      <c r="K4744" s="15"/>
      <c r="L4744" s="15"/>
      <c r="M4744" s="16"/>
    </row>
    <row r="4745" spans="1:13" x14ac:dyDescent="0.25">
      <c r="A4745" s="23"/>
      <c r="C4745" s="19"/>
      <c r="D4745" s="15"/>
      <c r="F4745" s="14"/>
      <c r="I4745" s="15"/>
      <c r="J4745" s="15"/>
      <c r="K4745" s="15"/>
      <c r="L4745" s="15"/>
      <c r="M4745" s="16"/>
    </row>
    <row r="4746" spans="1:13" x14ac:dyDescent="0.25">
      <c r="A4746" s="23"/>
      <c r="C4746" s="19"/>
      <c r="D4746" s="15"/>
      <c r="F4746" s="14"/>
      <c r="I4746" s="15"/>
      <c r="J4746" s="15"/>
      <c r="K4746" s="15"/>
      <c r="L4746" s="15"/>
      <c r="M4746" s="16"/>
    </row>
    <row r="4747" spans="1:13" x14ac:dyDescent="0.25">
      <c r="A4747" s="23"/>
      <c r="C4747" s="19"/>
      <c r="D4747" s="15"/>
      <c r="F4747" s="14"/>
      <c r="I4747" s="15"/>
      <c r="J4747" s="15"/>
      <c r="K4747" s="15"/>
      <c r="L4747" s="15"/>
      <c r="M4747" s="16"/>
    </row>
    <row r="4748" spans="1:13" x14ac:dyDescent="0.25">
      <c r="A4748" s="23"/>
      <c r="C4748" s="19"/>
      <c r="D4748" s="15"/>
      <c r="F4748" s="14"/>
      <c r="I4748" s="15"/>
      <c r="J4748" s="15"/>
      <c r="K4748" s="15"/>
      <c r="L4748" s="15"/>
      <c r="M4748" s="16"/>
    </row>
    <row r="4749" spans="1:13" x14ac:dyDescent="0.25">
      <c r="A4749" s="23"/>
      <c r="C4749" s="19"/>
      <c r="D4749" s="15"/>
      <c r="F4749" s="14"/>
      <c r="I4749" s="15"/>
      <c r="J4749" s="15"/>
      <c r="K4749" s="15"/>
      <c r="L4749" s="15"/>
      <c r="M4749" s="16"/>
    </row>
    <row r="4750" spans="1:13" x14ac:dyDescent="0.25">
      <c r="C4750" s="19"/>
      <c r="D4750" s="15"/>
      <c r="F4750" s="14"/>
      <c r="I4750" s="15"/>
      <c r="J4750" s="15"/>
      <c r="K4750" s="15"/>
      <c r="L4750" s="15"/>
    </row>
    <row r="4751" spans="1:13" x14ac:dyDescent="0.25">
      <c r="C4751" s="19"/>
      <c r="D4751" s="15"/>
      <c r="F4751" s="14"/>
      <c r="I4751" s="15"/>
      <c r="J4751" s="15"/>
      <c r="L4751" s="15"/>
    </row>
    <row r="4752" spans="1:13" x14ac:dyDescent="0.25">
      <c r="C4752" s="19"/>
      <c r="D4752" s="15"/>
      <c r="F4752" s="14"/>
      <c r="I4752" s="15"/>
      <c r="J4752" s="15"/>
      <c r="L4752" s="15"/>
    </row>
    <row r="4753" spans="3:12" x14ac:dyDescent="0.25">
      <c r="C4753" s="19"/>
      <c r="D4753" s="15"/>
      <c r="F4753" s="14"/>
      <c r="I4753" s="15"/>
      <c r="J4753" s="15"/>
      <c r="L4753" s="15"/>
    </row>
    <row r="4754" spans="3:12" x14ac:dyDescent="0.25">
      <c r="C4754" s="19"/>
      <c r="D4754" s="15"/>
      <c r="F4754" s="14"/>
      <c r="I4754" s="15"/>
      <c r="J4754" s="15"/>
      <c r="L4754" s="15"/>
    </row>
    <row r="4755" spans="3:12" x14ac:dyDescent="0.25">
      <c r="C4755" s="19"/>
      <c r="D4755" s="15"/>
      <c r="F4755" s="14"/>
      <c r="I4755" s="15"/>
      <c r="J4755" s="15"/>
      <c r="L4755" s="15"/>
    </row>
    <row r="4756" spans="3:12" x14ac:dyDescent="0.25">
      <c r="C4756" s="19"/>
      <c r="D4756" s="15"/>
      <c r="F4756" s="14"/>
      <c r="I4756" s="15"/>
      <c r="J4756" s="15"/>
      <c r="L4756" s="15"/>
    </row>
    <row r="4757" spans="3:12" x14ac:dyDescent="0.25">
      <c r="C4757" s="19"/>
      <c r="D4757" s="15"/>
      <c r="F4757" s="14"/>
      <c r="I4757" s="15"/>
      <c r="J4757" s="15"/>
      <c r="L4757" s="15"/>
    </row>
    <row r="4758" spans="3:12" x14ac:dyDescent="0.25">
      <c r="C4758" s="19"/>
      <c r="D4758" s="15"/>
      <c r="F4758" s="14"/>
      <c r="I4758" s="15"/>
      <c r="J4758" s="15"/>
      <c r="L4758" s="15"/>
    </row>
    <row r="4759" spans="3:12" x14ac:dyDescent="0.25">
      <c r="C4759" s="19"/>
      <c r="D4759" s="15"/>
      <c r="F4759" s="14"/>
      <c r="I4759" s="15"/>
      <c r="J4759" s="15"/>
      <c r="L4759" s="15"/>
    </row>
    <row r="4760" spans="3:12" x14ac:dyDescent="0.25">
      <c r="C4760" s="19"/>
      <c r="D4760" s="15"/>
      <c r="F4760" s="14"/>
      <c r="I4760" s="15"/>
      <c r="J4760" s="15"/>
      <c r="L4760" s="15"/>
    </row>
    <row r="4761" spans="3:12" x14ac:dyDescent="0.25">
      <c r="C4761" s="19"/>
      <c r="D4761" s="15"/>
      <c r="F4761" s="14"/>
      <c r="I4761" s="15"/>
      <c r="J4761" s="15"/>
      <c r="L4761" s="15"/>
    </row>
    <row r="4762" spans="3:12" x14ac:dyDescent="0.25">
      <c r="C4762" s="19"/>
      <c r="D4762" s="15"/>
      <c r="F4762" s="14"/>
      <c r="I4762" s="15"/>
      <c r="J4762" s="15"/>
      <c r="L4762" s="15"/>
    </row>
    <row r="4763" spans="3:12" x14ac:dyDescent="0.25">
      <c r="C4763" s="19"/>
      <c r="D4763" s="15"/>
      <c r="F4763" s="14"/>
      <c r="I4763" s="15"/>
      <c r="J4763" s="15"/>
      <c r="L4763" s="15"/>
    </row>
    <row r="4764" spans="3:12" x14ac:dyDescent="0.25">
      <c r="C4764" s="19"/>
      <c r="D4764" s="15"/>
      <c r="F4764" s="14"/>
      <c r="I4764" s="15"/>
      <c r="J4764" s="15"/>
      <c r="L4764" s="15"/>
    </row>
    <row r="4765" spans="3:12" x14ac:dyDescent="0.25">
      <c r="C4765" s="19"/>
      <c r="D4765" s="15"/>
      <c r="F4765" s="14"/>
      <c r="I4765" s="15"/>
      <c r="J4765" s="15"/>
      <c r="L4765" s="15"/>
    </row>
    <row r="4766" spans="3:12" x14ac:dyDescent="0.25">
      <c r="C4766" s="19"/>
      <c r="D4766" s="15"/>
      <c r="F4766" s="14"/>
      <c r="I4766" s="15"/>
      <c r="J4766" s="15"/>
      <c r="L4766" s="15"/>
    </row>
    <row r="4767" spans="3:12" x14ac:dyDescent="0.25">
      <c r="C4767" s="19"/>
      <c r="D4767" s="15"/>
      <c r="F4767" s="14"/>
      <c r="I4767" s="15"/>
      <c r="J4767" s="15"/>
      <c r="L4767" s="15"/>
    </row>
    <row r="4768" spans="3:12" x14ac:dyDescent="0.25">
      <c r="C4768" s="19"/>
      <c r="D4768" s="15"/>
      <c r="F4768" s="14"/>
      <c r="I4768" s="15"/>
      <c r="J4768" s="15"/>
      <c r="L4768" s="15"/>
    </row>
    <row r="4769" spans="3:12" x14ac:dyDescent="0.25">
      <c r="C4769" s="19"/>
      <c r="D4769" s="15"/>
      <c r="F4769" s="14"/>
      <c r="I4769" s="15"/>
      <c r="J4769" s="15"/>
      <c r="L4769" s="15"/>
    </row>
    <row r="4770" spans="3:12" x14ac:dyDescent="0.25">
      <c r="C4770" s="19"/>
      <c r="D4770" s="15"/>
      <c r="F4770" s="14"/>
      <c r="I4770" s="15"/>
      <c r="J4770" s="15"/>
      <c r="L4770" s="15"/>
    </row>
    <row r="4771" spans="3:12" x14ac:dyDescent="0.25">
      <c r="C4771" s="19"/>
      <c r="D4771" s="15"/>
      <c r="F4771" s="14"/>
      <c r="I4771" s="15"/>
      <c r="J4771" s="15"/>
      <c r="L4771" s="15"/>
    </row>
    <row r="4772" spans="3:12" x14ac:dyDescent="0.25">
      <c r="C4772" s="19"/>
      <c r="D4772" s="15"/>
      <c r="F4772" s="14"/>
      <c r="I4772" s="15"/>
      <c r="J4772" s="15"/>
      <c r="L4772" s="15"/>
    </row>
    <row r="4773" spans="3:12" x14ac:dyDescent="0.25">
      <c r="C4773" s="19"/>
      <c r="D4773" s="15"/>
      <c r="F4773" s="14"/>
      <c r="I4773" s="15"/>
      <c r="J4773" s="15"/>
      <c r="L4773" s="15"/>
    </row>
    <row r="4774" spans="3:12" x14ac:dyDescent="0.25">
      <c r="C4774" s="19"/>
      <c r="D4774" s="15"/>
      <c r="F4774" s="14"/>
      <c r="I4774" s="15"/>
      <c r="J4774" s="15"/>
      <c r="L4774" s="15"/>
    </row>
    <row r="4775" spans="3:12" x14ac:dyDescent="0.25">
      <c r="C4775" s="19"/>
      <c r="D4775" s="15"/>
      <c r="F4775" s="14"/>
      <c r="I4775" s="15"/>
      <c r="J4775" s="15"/>
      <c r="L4775" s="15"/>
    </row>
    <row r="4776" spans="3:12" x14ac:dyDescent="0.25">
      <c r="C4776" s="19"/>
      <c r="D4776" s="15"/>
      <c r="F4776" s="14"/>
      <c r="I4776" s="15"/>
      <c r="J4776" s="15"/>
      <c r="L4776" s="15"/>
    </row>
    <row r="4777" spans="3:12" x14ac:dyDescent="0.25">
      <c r="C4777" s="19"/>
      <c r="D4777" s="15"/>
      <c r="F4777" s="14"/>
      <c r="I4777" s="15"/>
      <c r="J4777" s="15"/>
      <c r="L4777" s="15"/>
    </row>
    <row r="4778" spans="3:12" x14ac:dyDescent="0.25">
      <c r="C4778" s="19"/>
      <c r="D4778" s="15"/>
      <c r="F4778" s="14"/>
      <c r="I4778" s="15"/>
      <c r="J4778" s="15"/>
      <c r="L4778" s="15"/>
    </row>
    <row r="4779" spans="3:12" x14ac:dyDescent="0.25">
      <c r="C4779" s="19"/>
      <c r="D4779" s="15"/>
      <c r="F4779" s="14"/>
      <c r="I4779" s="15"/>
      <c r="J4779" s="15"/>
      <c r="L4779" s="15"/>
    </row>
    <row r="4780" spans="3:12" x14ac:dyDescent="0.25">
      <c r="C4780" s="19"/>
      <c r="D4780" s="15"/>
      <c r="F4780" s="14"/>
      <c r="I4780" s="15"/>
      <c r="J4780" s="15"/>
      <c r="L4780" s="15"/>
    </row>
    <row r="4781" spans="3:12" x14ac:dyDescent="0.25">
      <c r="C4781" s="19"/>
      <c r="D4781" s="15"/>
      <c r="F4781" s="14"/>
      <c r="I4781" s="15"/>
      <c r="J4781" s="15"/>
      <c r="L4781" s="15"/>
    </row>
    <row r="4782" spans="3:12" x14ac:dyDescent="0.25">
      <c r="C4782" s="19"/>
      <c r="D4782" s="15"/>
      <c r="F4782" s="14"/>
      <c r="I4782" s="15"/>
      <c r="J4782" s="15"/>
      <c r="L4782" s="15"/>
    </row>
    <row r="4783" spans="3:12" x14ac:dyDescent="0.25">
      <c r="C4783" s="19"/>
      <c r="D4783" s="15"/>
      <c r="F4783" s="14"/>
      <c r="I4783" s="15"/>
      <c r="J4783" s="15"/>
      <c r="L4783" s="15"/>
    </row>
    <row r="4784" spans="3:12" x14ac:dyDescent="0.25">
      <c r="C4784" s="19"/>
      <c r="D4784" s="15"/>
      <c r="F4784" s="14"/>
      <c r="I4784" s="15"/>
      <c r="J4784" s="15"/>
      <c r="L4784" s="15"/>
    </row>
    <row r="4785" spans="1:13" x14ac:dyDescent="0.25">
      <c r="C4785" s="19"/>
      <c r="D4785" s="15"/>
      <c r="F4785" s="14"/>
      <c r="I4785" s="15"/>
      <c r="J4785" s="15"/>
      <c r="L4785" s="15"/>
    </row>
    <row r="4786" spans="1:13" x14ac:dyDescent="0.25">
      <c r="C4786" s="19"/>
      <c r="D4786" s="15"/>
      <c r="F4786" s="14"/>
      <c r="I4786" s="15"/>
      <c r="J4786" s="15"/>
      <c r="L4786" s="15"/>
    </row>
    <row r="4787" spans="1:13" x14ac:dyDescent="0.25">
      <c r="C4787" s="19"/>
      <c r="D4787" s="15"/>
      <c r="F4787" s="14"/>
      <c r="I4787" s="15"/>
      <c r="J4787" s="15"/>
      <c r="L4787" s="15"/>
    </row>
    <row r="4788" spans="1:13" x14ac:dyDescent="0.25">
      <c r="C4788" s="19"/>
      <c r="D4788" s="15"/>
      <c r="F4788" s="14"/>
      <c r="I4788" s="15"/>
      <c r="J4788" s="15"/>
      <c r="L4788" s="15"/>
    </row>
    <row r="4789" spans="1:13" x14ac:dyDescent="0.25">
      <c r="C4789" s="19"/>
      <c r="D4789" s="15"/>
      <c r="F4789" s="14"/>
      <c r="I4789" s="15"/>
      <c r="J4789" s="15"/>
      <c r="L4789" s="15"/>
    </row>
    <row r="4790" spans="1:13" x14ac:dyDescent="0.25">
      <c r="C4790" s="19"/>
      <c r="D4790" s="15"/>
      <c r="F4790" s="14"/>
      <c r="I4790" s="15"/>
      <c r="J4790" s="15"/>
      <c r="L4790" s="15"/>
    </row>
    <row r="4791" spans="1:13" x14ac:dyDescent="0.25">
      <c r="C4791" s="19"/>
      <c r="D4791" s="15"/>
      <c r="F4791" s="14"/>
      <c r="I4791" s="15"/>
      <c r="J4791" s="15"/>
      <c r="L4791" s="15"/>
    </row>
    <row r="4792" spans="1:13" x14ac:dyDescent="0.25">
      <c r="C4792" s="19"/>
      <c r="D4792" s="15"/>
      <c r="F4792" s="14"/>
      <c r="I4792" s="15"/>
      <c r="J4792" s="15"/>
      <c r="L4792" s="15"/>
    </row>
    <row r="4793" spans="1:13" x14ac:dyDescent="0.25">
      <c r="C4793" s="19"/>
      <c r="D4793" s="15"/>
      <c r="F4793" s="14"/>
      <c r="I4793" s="15"/>
      <c r="J4793" s="15"/>
      <c r="L4793" s="15"/>
    </row>
    <row r="4794" spans="1:13" x14ac:dyDescent="0.25">
      <c r="C4794" s="19"/>
      <c r="D4794" s="15"/>
      <c r="F4794" s="14"/>
      <c r="I4794" s="15"/>
      <c r="J4794" s="15"/>
      <c r="L4794" s="15"/>
    </row>
    <row r="4795" spans="1:13" x14ac:dyDescent="0.25">
      <c r="A4795" s="11"/>
      <c r="B4795" s="11"/>
      <c r="C4795" s="18"/>
      <c r="D4795" s="15"/>
      <c r="E4795" s="11"/>
      <c r="F4795" s="11"/>
      <c r="G4795" s="11"/>
      <c r="H4795" s="11"/>
      <c r="I4795" s="13"/>
      <c r="J4795" s="17"/>
      <c r="K4795" s="11"/>
      <c r="L4795" s="17"/>
      <c r="M4795" s="11"/>
    </row>
    <row r="4796" spans="1:13" x14ac:dyDescent="0.25">
      <c r="C4796" s="19"/>
      <c r="D4796" s="15"/>
      <c r="F4796" s="14"/>
      <c r="I4796" s="15"/>
      <c r="J4796" s="15"/>
      <c r="L4796" s="15"/>
    </row>
    <row r="4797" spans="1:13" x14ac:dyDescent="0.25">
      <c r="C4797" s="19"/>
      <c r="D4797" s="15"/>
      <c r="F4797" s="14"/>
      <c r="I4797" s="15"/>
      <c r="J4797" s="15"/>
      <c r="L4797" s="15"/>
    </row>
    <row r="4798" spans="1:13" x14ac:dyDescent="0.25">
      <c r="C4798" s="19"/>
      <c r="D4798" s="15"/>
      <c r="F4798" s="14"/>
      <c r="I4798" s="15"/>
      <c r="J4798" s="15"/>
      <c r="L4798" s="15"/>
    </row>
    <row r="4799" spans="1:13" x14ac:dyDescent="0.25">
      <c r="C4799" s="19"/>
      <c r="D4799" s="15"/>
      <c r="F4799" s="14"/>
      <c r="I4799" s="15"/>
      <c r="J4799" s="15"/>
      <c r="L4799" s="15"/>
    </row>
    <row r="4800" spans="1:13" x14ac:dyDescent="0.25">
      <c r="C4800" s="19"/>
      <c r="D4800" s="15"/>
      <c r="F4800" s="14"/>
      <c r="I4800" s="15"/>
      <c r="J4800" s="15"/>
      <c r="L4800" s="15"/>
    </row>
    <row r="4801" spans="3:12" x14ac:dyDescent="0.25">
      <c r="C4801" s="19"/>
      <c r="D4801" s="15"/>
      <c r="F4801" s="14"/>
      <c r="J4801" s="15"/>
      <c r="L4801" s="15"/>
    </row>
    <row r="4802" spans="3:12" x14ac:dyDescent="0.25">
      <c r="C4802" s="19"/>
      <c r="D4802" s="15"/>
      <c r="F4802" s="14"/>
      <c r="J4802" s="15"/>
      <c r="L4802" s="15"/>
    </row>
    <row r="4803" spans="3:12" x14ac:dyDescent="0.25">
      <c r="C4803" s="19"/>
      <c r="D4803" s="15"/>
      <c r="F4803" s="14"/>
      <c r="J4803" s="15"/>
      <c r="L4803" s="15"/>
    </row>
    <row r="4804" spans="3:12" x14ac:dyDescent="0.25">
      <c r="C4804" s="19"/>
      <c r="D4804" s="15"/>
      <c r="F4804" s="14"/>
      <c r="J4804" s="15"/>
      <c r="L4804" s="15"/>
    </row>
    <row r="4805" spans="3:12" x14ac:dyDescent="0.25">
      <c r="C4805" s="19"/>
      <c r="D4805" s="15"/>
      <c r="F4805" s="14"/>
      <c r="J4805" s="15"/>
      <c r="L4805" s="15"/>
    </row>
    <row r="4806" spans="3:12" x14ac:dyDescent="0.25">
      <c r="C4806" s="19"/>
      <c r="D4806" s="15"/>
      <c r="F4806" s="14"/>
      <c r="J4806" s="15"/>
      <c r="L4806" s="15"/>
    </row>
    <row r="4807" spans="3:12" x14ac:dyDescent="0.25">
      <c r="C4807" s="19"/>
      <c r="D4807" s="15"/>
      <c r="F4807" s="14"/>
      <c r="J4807" s="15"/>
      <c r="L4807" s="15"/>
    </row>
    <row r="4808" spans="3:12" x14ac:dyDescent="0.25">
      <c r="C4808" s="19"/>
      <c r="D4808" s="15"/>
      <c r="F4808" s="14"/>
      <c r="J4808" s="15"/>
      <c r="L4808" s="15"/>
    </row>
    <row r="4809" spans="3:12" x14ac:dyDescent="0.25">
      <c r="C4809" s="19"/>
      <c r="D4809" s="15"/>
      <c r="F4809" s="14"/>
      <c r="J4809" s="15"/>
      <c r="L4809" s="15"/>
    </row>
    <row r="4810" spans="3:12" x14ac:dyDescent="0.25">
      <c r="C4810" s="19"/>
      <c r="D4810" s="15"/>
      <c r="F4810" s="14"/>
      <c r="J4810" s="15"/>
      <c r="L4810" s="15"/>
    </row>
    <row r="4811" spans="3:12" x14ac:dyDescent="0.25">
      <c r="C4811" s="19"/>
      <c r="D4811" s="15"/>
      <c r="F4811" s="14"/>
      <c r="J4811" s="15"/>
      <c r="L4811" s="15"/>
    </row>
    <row r="4812" spans="3:12" x14ac:dyDescent="0.25">
      <c r="C4812" s="19"/>
      <c r="D4812" s="15"/>
      <c r="F4812" s="14"/>
      <c r="J4812" s="15"/>
      <c r="L4812" s="15"/>
    </row>
    <row r="4813" spans="3:12" x14ac:dyDescent="0.25">
      <c r="C4813" s="19"/>
      <c r="D4813" s="15"/>
      <c r="F4813" s="14"/>
      <c r="J4813" s="15"/>
      <c r="L4813" s="15"/>
    </row>
    <row r="4814" spans="3:12" x14ac:dyDescent="0.25">
      <c r="C4814" s="19"/>
      <c r="D4814" s="15"/>
      <c r="F4814" s="14"/>
      <c r="J4814" s="15"/>
      <c r="L4814" s="15"/>
    </row>
    <row r="4815" spans="3:12" x14ac:dyDescent="0.25">
      <c r="C4815" s="19"/>
      <c r="D4815" s="15"/>
      <c r="F4815" s="14"/>
      <c r="J4815" s="15"/>
      <c r="L4815" s="15"/>
    </row>
    <row r="4816" spans="3:12" x14ac:dyDescent="0.25">
      <c r="C4816" s="19"/>
      <c r="D4816" s="15"/>
      <c r="F4816" s="14"/>
      <c r="J4816" s="15"/>
      <c r="L4816" s="15"/>
    </row>
    <row r="4817" spans="3:12" x14ac:dyDescent="0.25">
      <c r="C4817" s="19"/>
      <c r="D4817" s="15"/>
      <c r="F4817" s="14"/>
      <c r="J4817" s="15"/>
      <c r="L4817" s="15"/>
    </row>
    <row r="4818" spans="3:12" x14ac:dyDescent="0.25">
      <c r="C4818" s="19"/>
      <c r="D4818" s="15"/>
      <c r="F4818" s="14"/>
      <c r="J4818" s="15"/>
      <c r="L4818" s="15"/>
    </row>
    <row r="4819" spans="3:12" x14ac:dyDescent="0.25">
      <c r="C4819" s="19"/>
      <c r="D4819" s="15"/>
      <c r="F4819" s="14"/>
      <c r="J4819" s="15"/>
      <c r="L4819" s="15"/>
    </row>
    <row r="4820" spans="3:12" x14ac:dyDescent="0.25">
      <c r="C4820" s="19"/>
      <c r="D4820" s="15"/>
      <c r="F4820" s="14"/>
      <c r="J4820" s="15"/>
      <c r="L4820" s="15"/>
    </row>
    <row r="4821" spans="3:12" x14ac:dyDescent="0.25">
      <c r="C4821" s="19"/>
      <c r="D4821" s="15"/>
      <c r="F4821" s="14"/>
      <c r="J4821" s="15"/>
      <c r="L4821" s="15"/>
    </row>
    <row r="4822" spans="3:12" x14ac:dyDescent="0.25">
      <c r="C4822" s="19"/>
      <c r="D4822" s="15"/>
      <c r="F4822" s="14"/>
      <c r="J4822" s="15"/>
      <c r="L4822" s="15"/>
    </row>
    <row r="4823" spans="3:12" x14ac:dyDescent="0.25">
      <c r="C4823" s="19"/>
      <c r="D4823" s="15"/>
      <c r="F4823" s="14"/>
      <c r="J4823" s="15"/>
      <c r="L4823" s="15"/>
    </row>
    <row r="4824" spans="3:12" x14ac:dyDescent="0.25">
      <c r="C4824" s="19"/>
      <c r="D4824" s="15"/>
      <c r="F4824" s="14"/>
      <c r="J4824" s="15"/>
      <c r="L4824" s="15"/>
    </row>
    <row r="4825" spans="3:12" x14ac:dyDescent="0.25">
      <c r="C4825" s="19"/>
      <c r="D4825" s="15"/>
      <c r="F4825" s="14"/>
      <c r="J4825" s="15"/>
      <c r="L4825" s="15"/>
    </row>
    <row r="4826" spans="3:12" x14ac:dyDescent="0.25">
      <c r="C4826" s="19"/>
      <c r="D4826" s="15"/>
      <c r="F4826" s="14"/>
      <c r="J4826" s="15"/>
      <c r="L4826" s="15"/>
    </row>
    <row r="4827" spans="3:12" x14ac:dyDescent="0.25">
      <c r="C4827" s="19"/>
      <c r="D4827" s="15"/>
      <c r="F4827" s="14"/>
      <c r="J4827" s="15"/>
      <c r="L4827" s="15"/>
    </row>
    <row r="4828" spans="3:12" x14ac:dyDescent="0.25">
      <c r="C4828" s="19"/>
      <c r="D4828" s="15"/>
      <c r="F4828" s="14"/>
      <c r="J4828" s="15"/>
      <c r="L4828" s="15"/>
    </row>
    <row r="4829" spans="3:12" x14ac:dyDescent="0.25">
      <c r="C4829" s="19"/>
      <c r="D4829" s="15"/>
      <c r="F4829" s="14"/>
      <c r="J4829" s="15"/>
      <c r="L4829" s="15"/>
    </row>
    <row r="4830" spans="3:12" x14ac:dyDescent="0.25">
      <c r="C4830" s="19"/>
      <c r="D4830" s="15"/>
      <c r="F4830" s="14"/>
      <c r="J4830" s="15"/>
      <c r="L4830" s="15"/>
    </row>
    <row r="4831" spans="3:12" x14ac:dyDescent="0.25">
      <c r="C4831" s="19"/>
      <c r="D4831" s="15"/>
      <c r="F4831" s="14"/>
      <c r="J4831" s="15"/>
      <c r="L4831" s="15"/>
    </row>
    <row r="4832" spans="3:12" x14ac:dyDescent="0.25">
      <c r="C4832" s="19"/>
      <c r="D4832" s="15"/>
      <c r="F4832" s="14"/>
      <c r="J4832" s="15"/>
      <c r="L4832" s="15"/>
    </row>
    <row r="4833" spans="3:12" x14ac:dyDescent="0.25">
      <c r="C4833" s="19"/>
      <c r="D4833" s="15"/>
      <c r="F4833" s="14"/>
      <c r="J4833" s="15"/>
      <c r="L4833" s="15"/>
    </row>
    <row r="4834" spans="3:12" x14ac:dyDescent="0.25">
      <c r="C4834" s="19"/>
      <c r="D4834" s="15"/>
      <c r="F4834" s="14"/>
      <c r="J4834" s="15"/>
      <c r="L4834" s="15"/>
    </row>
    <row r="4835" spans="3:12" x14ac:dyDescent="0.25">
      <c r="C4835" s="19"/>
      <c r="D4835" s="15"/>
      <c r="F4835" s="14"/>
      <c r="J4835" s="15"/>
      <c r="L4835" s="15"/>
    </row>
    <row r="4836" spans="3:12" x14ac:dyDescent="0.25">
      <c r="C4836" s="19"/>
      <c r="D4836" s="15"/>
      <c r="F4836" s="14"/>
      <c r="J4836" s="15"/>
      <c r="L4836" s="15"/>
    </row>
    <row r="4837" spans="3:12" x14ac:dyDescent="0.25">
      <c r="C4837" s="19"/>
      <c r="D4837" s="15"/>
      <c r="F4837" s="14"/>
      <c r="J4837" s="15"/>
      <c r="L4837" s="15"/>
    </row>
    <row r="4838" spans="3:12" x14ac:dyDescent="0.25">
      <c r="C4838" s="19"/>
      <c r="D4838" s="15"/>
      <c r="F4838" s="14"/>
      <c r="J4838" s="15"/>
      <c r="L4838" s="15"/>
    </row>
    <row r="4839" spans="3:12" x14ac:dyDescent="0.25">
      <c r="C4839" s="19"/>
      <c r="D4839" s="15"/>
      <c r="F4839" s="14"/>
      <c r="J4839" s="15"/>
      <c r="L4839" s="15"/>
    </row>
    <row r="4840" spans="3:12" x14ac:dyDescent="0.25">
      <c r="C4840" s="19"/>
      <c r="D4840" s="15"/>
      <c r="F4840" s="14"/>
      <c r="J4840" s="15"/>
      <c r="L4840" s="15"/>
    </row>
    <row r="4841" spans="3:12" x14ac:dyDescent="0.25">
      <c r="C4841" s="19"/>
      <c r="D4841" s="15"/>
      <c r="F4841" s="14"/>
      <c r="J4841" s="15"/>
      <c r="L4841" s="15"/>
    </row>
    <row r="4842" spans="3:12" x14ac:dyDescent="0.25">
      <c r="C4842" s="19"/>
      <c r="D4842" s="15"/>
      <c r="F4842" s="14"/>
      <c r="J4842" s="15"/>
      <c r="L4842" s="15"/>
    </row>
    <row r="4843" spans="3:12" x14ac:dyDescent="0.25">
      <c r="C4843" s="19"/>
      <c r="D4843" s="15"/>
      <c r="F4843" s="14"/>
      <c r="J4843" s="15"/>
      <c r="L4843" s="15"/>
    </row>
    <row r="4844" spans="3:12" x14ac:dyDescent="0.25">
      <c r="C4844" s="19"/>
      <c r="D4844" s="15"/>
      <c r="F4844" s="14"/>
      <c r="J4844" s="15"/>
      <c r="L4844" s="15"/>
    </row>
    <row r="4845" spans="3:12" x14ac:dyDescent="0.25">
      <c r="C4845" s="19"/>
      <c r="D4845" s="15"/>
      <c r="F4845" s="14"/>
      <c r="J4845" s="15"/>
      <c r="L4845" s="15"/>
    </row>
    <row r="4846" spans="3:12" x14ac:dyDescent="0.25">
      <c r="C4846" s="19"/>
      <c r="D4846" s="15"/>
      <c r="F4846" s="14"/>
      <c r="J4846" s="15"/>
      <c r="L4846" s="15"/>
    </row>
    <row r="4847" spans="3:12" x14ac:dyDescent="0.25">
      <c r="C4847" s="19"/>
      <c r="D4847" s="15"/>
      <c r="F4847" s="14"/>
      <c r="J4847" s="15"/>
      <c r="L4847" s="15"/>
    </row>
    <row r="4848" spans="3:12" x14ac:dyDescent="0.25">
      <c r="C4848" s="19"/>
      <c r="D4848" s="15"/>
      <c r="F4848" s="14"/>
      <c r="J4848" s="15"/>
      <c r="L4848" s="15"/>
    </row>
    <row r="4849" spans="3:12" x14ac:dyDescent="0.25">
      <c r="C4849" s="19"/>
      <c r="D4849" s="15"/>
      <c r="F4849" s="14"/>
      <c r="J4849" s="15"/>
      <c r="L4849" s="15"/>
    </row>
    <row r="4850" spans="3:12" x14ac:dyDescent="0.25">
      <c r="C4850" s="19"/>
      <c r="D4850" s="15"/>
      <c r="F4850" s="14"/>
      <c r="J4850" s="15"/>
      <c r="L4850" s="15"/>
    </row>
    <row r="4851" spans="3:12" x14ac:dyDescent="0.25">
      <c r="C4851" s="19"/>
      <c r="D4851" s="15"/>
      <c r="F4851" s="14"/>
      <c r="J4851" s="15"/>
      <c r="L4851" s="15"/>
    </row>
    <row r="4852" spans="3:12" x14ac:dyDescent="0.25">
      <c r="C4852" s="19"/>
      <c r="D4852" s="15"/>
      <c r="F4852" s="14"/>
      <c r="J4852" s="15"/>
      <c r="L4852" s="15"/>
    </row>
    <row r="4853" spans="3:12" x14ac:dyDescent="0.25">
      <c r="C4853" s="19"/>
      <c r="D4853" s="15"/>
      <c r="F4853" s="14"/>
      <c r="J4853" s="15"/>
      <c r="L4853" s="15"/>
    </row>
    <row r="4854" spans="3:12" x14ac:dyDescent="0.25">
      <c r="C4854" s="19"/>
      <c r="D4854" s="15"/>
      <c r="F4854" s="14"/>
      <c r="J4854" s="15"/>
      <c r="L4854" s="15"/>
    </row>
    <row r="4855" spans="3:12" x14ac:dyDescent="0.25">
      <c r="C4855" s="19"/>
      <c r="D4855" s="15"/>
      <c r="F4855" s="14"/>
      <c r="J4855" s="15"/>
      <c r="L4855" s="15"/>
    </row>
    <row r="4856" spans="3:12" x14ac:dyDescent="0.25">
      <c r="C4856" s="19"/>
      <c r="D4856" s="15"/>
      <c r="F4856" s="14"/>
      <c r="J4856" s="15"/>
      <c r="L4856" s="15"/>
    </row>
    <row r="4857" spans="3:12" x14ac:dyDescent="0.25">
      <c r="C4857" s="19"/>
      <c r="D4857" s="15"/>
      <c r="F4857" s="14"/>
      <c r="J4857" s="15"/>
      <c r="L4857" s="15"/>
    </row>
    <row r="4858" spans="3:12" x14ac:dyDescent="0.25">
      <c r="C4858" s="19"/>
      <c r="D4858" s="15"/>
      <c r="F4858" s="14"/>
      <c r="J4858" s="15"/>
      <c r="L4858" s="15"/>
    </row>
    <row r="4859" spans="3:12" x14ac:dyDescent="0.25">
      <c r="C4859" s="19"/>
      <c r="D4859" s="15"/>
      <c r="F4859" s="14"/>
      <c r="J4859" s="15"/>
      <c r="L4859" s="15"/>
    </row>
    <row r="4860" spans="3:12" x14ac:dyDescent="0.25">
      <c r="C4860" s="19"/>
      <c r="D4860" s="15"/>
      <c r="F4860" s="14"/>
      <c r="J4860" s="15"/>
      <c r="L4860" s="15"/>
    </row>
    <row r="4861" spans="3:12" x14ac:dyDescent="0.25">
      <c r="C4861" s="19"/>
      <c r="D4861" s="15"/>
      <c r="F4861" s="14"/>
      <c r="J4861" s="15"/>
      <c r="L4861" s="15"/>
    </row>
    <row r="4862" spans="3:12" x14ac:dyDescent="0.25">
      <c r="C4862" s="19"/>
      <c r="D4862" s="15"/>
      <c r="F4862" s="14"/>
      <c r="J4862" s="15"/>
      <c r="L4862" s="15"/>
    </row>
    <row r="4863" spans="3:12" x14ac:dyDescent="0.25">
      <c r="C4863" s="19"/>
      <c r="D4863" s="15"/>
      <c r="F4863" s="14"/>
      <c r="J4863" s="15"/>
      <c r="L4863" s="15"/>
    </row>
    <row r="4864" spans="3:12" x14ac:dyDescent="0.25">
      <c r="C4864" s="19"/>
      <c r="D4864" s="15"/>
      <c r="F4864" s="14"/>
      <c r="J4864" s="15"/>
      <c r="L4864" s="15"/>
    </row>
    <row r="4865" spans="3:12" x14ac:dyDescent="0.25">
      <c r="C4865" s="19"/>
      <c r="D4865" s="15"/>
      <c r="F4865" s="14"/>
      <c r="J4865" s="15"/>
      <c r="L4865" s="15"/>
    </row>
    <row r="4866" spans="3:12" x14ac:dyDescent="0.25">
      <c r="C4866" s="19"/>
      <c r="D4866" s="15"/>
      <c r="F4866" s="14"/>
      <c r="J4866" s="15"/>
      <c r="L4866" s="15"/>
    </row>
    <row r="4867" spans="3:12" x14ac:dyDescent="0.25">
      <c r="C4867" s="19"/>
      <c r="D4867" s="15"/>
      <c r="F4867" s="14"/>
      <c r="J4867" s="15"/>
      <c r="L4867" s="15"/>
    </row>
    <row r="4868" spans="3:12" x14ac:dyDescent="0.25">
      <c r="C4868" s="19"/>
      <c r="D4868" s="15"/>
      <c r="F4868" s="14"/>
      <c r="J4868" s="15"/>
      <c r="L4868" s="15"/>
    </row>
    <row r="4869" spans="3:12" x14ac:dyDescent="0.25">
      <c r="C4869" s="19"/>
      <c r="D4869" s="15"/>
      <c r="F4869" s="14"/>
      <c r="J4869" s="15"/>
      <c r="L4869" s="15"/>
    </row>
    <row r="4870" spans="3:12" x14ac:dyDescent="0.25">
      <c r="C4870" s="19"/>
      <c r="D4870" s="15"/>
      <c r="F4870" s="14"/>
      <c r="J4870" s="15"/>
      <c r="L4870" s="15"/>
    </row>
    <row r="4871" spans="3:12" x14ac:dyDescent="0.25">
      <c r="C4871" s="19"/>
      <c r="D4871" s="15"/>
      <c r="F4871" s="14"/>
      <c r="J4871" s="15"/>
      <c r="L4871" s="15"/>
    </row>
    <row r="4872" spans="3:12" x14ac:dyDescent="0.25">
      <c r="C4872" s="19"/>
      <c r="D4872" s="15"/>
      <c r="F4872" s="14"/>
      <c r="J4872" s="15"/>
      <c r="L4872" s="15"/>
    </row>
    <row r="4873" spans="3:12" x14ac:dyDescent="0.25">
      <c r="C4873" s="19"/>
      <c r="D4873" s="15"/>
      <c r="F4873" s="14"/>
      <c r="J4873" s="15"/>
      <c r="L4873" s="15"/>
    </row>
    <row r="4874" spans="3:12" x14ac:dyDescent="0.25">
      <c r="C4874" s="19"/>
      <c r="D4874" s="15"/>
      <c r="F4874" s="14"/>
      <c r="J4874" s="15"/>
      <c r="L4874" s="15"/>
    </row>
    <row r="4875" spans="3:12" x14ac:dyDescent="0.25">
      <c r="C4875" s="19"/>
      <c r="D4875" s="15"/>
      <c r="F4875" s="14"/>
      <c r="J4875" s="15"/>
      <c r="L4875" s="15"/>
    </row>
    <row r="4876" spans="3:12" x14ac:dyDescent="0.25">
      <c r="C4876" s="19"/>
      <c r="D4876" s="15"/>
      <c r="F4876" s="14"/>
      <c r="J4876" s="15"/>
      <c r="L4876" s="15"/>
    </row>
    <row r="4877" spans="3:12" x14ac:dyDescent="0.25">
      <c r="C4877" s="19"/>
      <c r="D4877" s="15"/>
      <c r="F4877" s="14"/>
      <c r="J4877" s="15"/>
      <c r="L4877" s="15"/>
    </row>
    <row r="4878" spans="3:12" x14ac:dyDescent="0.25">
      <c r="C4878" s="19"/>
      <c r="D4878" s="15"/>
      <c r="F4878" s="14"/>
      <c r="J4878" s="15"/>
      <c r="L4878" s="15"/>
    </row>
    <row r="4879" spans="3:12" x14ac:dyDescent="0.25">
      <c r="C4879" s="19"/>
      <c r="D4879" s="15"/>
      <c r="F4879" s="14"/>
      <c r="J4879" s="15"/>
      <c r="L4879" s="15"/>
    </row>
    <row r="4880" spans="3:12" x14ac:dyDescent="0.25">
      <c r="C4880" s="19"/>
      <c r="D4880" s="15"/>
      <c r="F4880" s="14"/>
      <c r="J4880" s="15"/>
      <c r="L4880" s="15"/>
    </row>
    <row r="4881" spans="3:12" x14ac:dyDescent="0.25">
      <c r="C4881" s="19"/>
      <c r="D4881" s="15"/>
      <c r="F4881" s="14"/>
      <c r="J4881" s="15"/>
      <c r="L4881" s="15"/>
    </row>
    <row r="4882" spans="3:12" x14ac:dyDescent="0.25">
      <c r="C4882" s="19"/>
      <c r="D4882" s="15"/>
      <c r="F4882" s="14"/>
      <c r="J4882" s="15"/>
      <c r="L4882" s="15"/>
    </row>
    <row r="4883" spans="3:12" x14ac:dyDescent="0.25">
      <c r="C4883" s="19"/>
      <c r="D4883" s="15"/>
      <c r="F4883" s="14"/>
      <c r="J4883" s="15"/>
      <c r="L4883" s="15"/>
    </row>
    <row r="4884" spans="3:12" x14ac:dyDescent="0.25">
      <c r="C4884" s="19"/>
      <c r="D4884" s="15"/>
      <c r="F4884" s="14"/>
      <c r="J4884" s="15"/>
      <c r="L4884" s="15"/>
    </row>
    <row r="4885" spans="3:12" x14ac:dyDescent="0.25">
      <c r="C4885" s="19"/>
      <c r="D4885" s="15"/>
      <c r="F4885" s="14"/>
      <c r="J4885" s="15"/>
      <c r="L4885" s="15"/>
    </row>
    <row r="4886" spans="3:12" x14ac:dyDescent="0.25">
      <c r="C4886" s="19"/>
      <c r="D4886" s="15"/>
      <c r="F4886" s="14"/>
      <c r="J4886" s="15"/>
      <c r="L4886" s="15"/>
    </row>
    <row r="4887" spans="3:12" x14ac:dyDescent="0.25">
      <c r="C4887" s="19"/>
      <c r="D4887" s="15"/>
      <c r="F4887" s="14"/>
      <c r="J4887" s="15"/>
      <c r="L4887" s="15"/>
    </row>
    <row r="4888" spans="3:12" x14ac:dyDescent="0.25">
      <c r="C4888" s="19"/>
      <c r="D4888" s="15"/>
      <c r="F4888" s="14"/>
      <c r="J4888" s="15"/>
      <c r="L4888" s="15"/>
    </row>
    <row r="4889" spans="3:12" x14ac:dyDescent="0.25">
      <c r="C4889" s="19"/>
      <c r="D4889" s="15"/>
      <c r="F4889" s="14"/>
      <c r="J4889" s="15"/>
      <c r="L4889" s="15"/>
    </row>
    <row r="4890" spans="3:12" x14ac:dyDescent="0.25">
      <c r="C4890" s="19"/>
      <c r="D4890" s="15"/>
      <c r="F4890" s="14"/>
      <c r="J4890" s="15"/>
      <c r="L4890" s="15"/>
    </row>
    <row r="4891" spans="3:12" x14ac:dyDescent="0.25">
      <c r="C4891" s="19"/>
      <c r="D4891" s="15"/>
      <c r="F4891" s="14"/>
      <c r="J4891" s="15"/>
      <c r="L4891" s="15"/>
    </row>
    <row r="4892" spans="3:12" x14ac:dyDescent="0.25">
      <c r="C4892" s="19"/>
      <c r="D4892" s="15"/>
      <c r="F4892" s="14"/>
    </row>
    <row r="4893" spans="3:12" x14ac:dyDescent="0.25">
      <c r="C4893" s="19"/>
      <c r="D4893" s="15"/>
      <c r="F4893" s="14"/>
    </row>
    <row r="4894" spans="3:12" x14ac:dyDescent="0.25">
      <c r="C4894" s="19"/>
      <c r="D4894" s="15"/>
      <c r="F4894" s="14"/>
    </row>
    <row r="4895" spans="3:12" x14ac:dyDescent="0.25">
      <c r="C4895" s="19"/>
      <c r="D4895" s="15"/>
      <c r="F4895" s="14"/>
    </row>
    <row r="4896" spans="3:12" x14ac:dyDescent="0.25">
      <c r="C4896" s="19"/>
      <c r="D4896" s="15"/>
      <c r="F4896" s="14"/>
    </row>
    <row r="4897" spans="3:6" x14ac:dyDescent="0.25">
      <c r="C4897" s="19"/>
      <c r="D4897" s="15"/>
      <c r="F4897" s="14"/>
    </row>
    <row r="4898" spans="3:6" x14ac:dyDescent="0.25">
      <c r="C4898" s="19"/>
      <c r="D4898" s="15"/>
      <c r="F4898" s="14"/>
    </row>
    <row r="4899" spans="3:6" x14ac:dyDescent="0.25">
      <c r="C4899" s="19"/>
      <c r="D4899" s="15"/>
      <c r="F4899" s="14"/>
    </row>
    <row r="4900" spans="3:6" x14ac:dyDescent="0.25">
      <c r="C4900" s="19"/>
      <c r="D4900" s="15"/>
      <c r="F4900" s="14"/>
    </row>
    <row r="4901" spans="3:6" x14ac:dyDescent="0.25">
      <c r="C4901" s="19"/>
      <c r="D4901" s="15"/>
      <c r="F4901" s="14"/>
    </row>
    <row r="4902" spans="3:6" x14ac:dyDescent="0.25">
      <c r="C4902" s="19"/>
      <c r="D4902" s="15"/>
      <c r="F4902" s="14"/>
    </row>
    <row r="4903" spans="3:6" x14ac:dyDescent="0.25">
      <c r="C4903" s="19"/>
      <c r="D4903" s="15"/>
      <c r="F4903" s="14"/>
    </row>
    <row r="4904" spans="3:6" x14ac:dyDescent="0.25">
      <c r="C4904" s="19"/>
      <c r="D4904" s="15"/>
      <c r="F4904" s="14"/>
    </row>
    <row r="4905" spans="3:6" x14ac:dyDescent="0.25">
      <c r="C4905" s="19"/>
      <c r="D4905" s="15"/>
      <c r="F4905" s="14"/>
    </row>
    <row r="4906" spans="3:6" x14ac:dyDescent="0.25">
      <c r="C4906" s="19"/>
      <c r="D4906" s="15"/>
      <c r="F4906" s="14"/>
    </row>
    <row r="4907" spans="3:6" x14ac:dyDescent="0.25">
      <c r="C4907" s="19"/>
      <c r="D4907" s="15"/>
      <c r="F4907" s="14"/>
    </row>
    <row r="4908" spans="3:6" x14ac:dyDescent="0.25">
      <c r="C4908" s="19"/>
      <c r="D4908" s="15"/>
      <c r="F4908" s="14"/>
    </row>
    <row r="4909" spans="3:6" x14ac:dyDescent="0.25">
      <c r="C4909" s="19"/>
      <c r="D4909" s="15"/>
      <c r="F4909" s="14"/>
    </row>
    <row r="4910" spans="3:6" x14ac:dyDescent="0.25">
      <c r="C4910" s="19"/>
      <c r="D4910" s="15"/>
      <c r="F4910" s="14"/>
    </row>
    <row r="4911" spans="3:6" x14ac:dyDescent="0.25">
      <c r="C4911" s="19"/>
      <c r="D4911" s="15"/>
      <c r="F4911" s="14"/>
    </row>
    <row r="4912" spans="3:6" x14ac:dyDescent="0.25">
      <c r="C4912" s="19"/>
      <c r="D4912" s="15"/>
      <c r="F4912" s="14"/>
    </row>
    <row r="4913" spans="3:6" x14ac:dyDescent="0.25">
      <c r="C4913" s="19"/>
      <c r="D4913" s="15"/>
      <c r="F4913" s="14"/>
    </row>
    <row r="4914" spans="3:6" x14ac:dyDescent="0.25">
      <c r="C4914" s="19"/>
      <c r="D4914" s="15"/>
      <c r="F4914" s="14"/>
    </row>
    <row r="4915" spans="3:6" x14ac:dyDescent="0.25">
      <c r="C4915" s="19"/>
      <c r="D4915" s="15"/>
      <c r="F4915" s="14"/>
    </row>
    <row r="4916" spans="3:6" x14ac:dyDescent="0.25">
      <c r="C4916" s="19"/>
      <c r="D4916" s="15"/>
      <c r="F4916" s="14"/>
    </row>
    <row r="4917" spans="3:6" x14ac:dyDescent="0.25">
      <c r="C4917" s="19"/>
      <c r="D4917" s="15"/>
      <c r="F4917" s="14"/>
    </row>
    <row r="4918" spans="3:6" x14ac:dyDescent="0.25">
      <c r="C4918" s="19"/>
      <c r="D4918" s="15"/>
      <c r="F4918" s="14"/>
    </row>
    <row r="4919" spans="3:6" x14ac:dyDescent="0.25">
      <c r="C4919" s="19"/>
      <c r="D4919" s="15"/>
      <c r="F4919" s="14"/>
    </row>
    <row r="4920" spans="3:6" x14ac:dyDescent="0.25">
      <c r="C4920" s="19"/>
      <c r="D4920" s="15"/>
      <c r="F4920" s="14"/>
    </row>
    <row r="4921" spans="3:6" x14ac:dyDescent="0.25">
      <c r="C4921" s="19"/>
      <c r="D4921" s="15"/>
      <c r="F4921" s="14"/>
    </row>
    <row r="4922" spans="3:6" x14ac:dyDescent="0.25">
      <c r="C4922" s="19"/>
      <c r="D4922" s="15"/>
      <c r="F4922" s="14"/>
    </row>
    <row r="4923" spans="3:6" x14ac:dyDescent="0.25">
      <c r="C4923" s="19"/>
      <c r="D4923" s="15"/>
      <c r="F4923" s="14"/>
    </row>
    <row r="4924" spans="3:6" x14ac:dyDescent="0.25">
      <c r="C4924" s="19"/>
      <c r="D4924" s="15"/>
      <c r="F4924" s="14"/>
    </row>
    <row r="4925" spans="3:6" x14ac:dyDescent="0.25">
      <c r="C4925" s="19"/>
      <c r="D4925" s="15"/>
      <c r="F4925" s="14"/>
    </row>
    <row r="4926" spans="3:6" x14ac:dyDescent="0.25">
      <c r="C4926" s="19"/>
      <c r="D4926" s="15"/>
      <c r="F4926" s="14"/>
    </row>
    <row r="4927" spans="3:6" x14ac:dyDescent="0.25">
      <c r="C4927" s="19"/>
      <c r="D4927" s="15"/>
      <c r="F4927" s="14"/>
    </row>
    <row r="4928" spans="3:6" x14ac:dyDescent="0.25">
      <c r="C4928" s="19"/>
      <c r="D4928" s="15"/>
      <c r="F4928" s="14"/>
    </row>
    <row r="4929" spans="3:6" x14ac:dyDescent="0.25">
      <c r="C4929" s="19"/>
      <c r="D4929" s="15"/>
      <c r="F4929" s="14"/>
    </row>
    <row r="4930" spans="3:6" x14ac:dyDescent="0.25">
      <c r="C4930" s="19"/>
      <c r="D4930" s="15"/>
      <c r="F4930" s="14"/>
    </row>
    <row r="4931" spans="3:6" x14ac:dyDescent="0.25">
      <c r="C4931" s="19"/>
      <c r="D4931" s="15"/>
      <c r="F4931" s="14"/>
    </row>
    <row r="4932" spans="3:6" x14ac:dyDescent="0.25">
      <c r="C4932" s="19"/>
      <c r="D4932" s="15"/>
      <c r="F4932" s="14"/>
    </row>
    <row r="4933" spans="3:6" x14ac:dyDescent="0.25">
      <c r="C4933" s="19"/>
      <c r="D4933" s="15"/>
      <c r="F4933" s="14"/>
    </row>
    <row r="4934" spans="3:6" x14ac:dyDescent="0.25">
      <c r="C4934" s="19"/>
      <c r="D4934" s="15"/>
      <c r="F4934" s="14"/>
    </row>
    <row r="4935" spans="3:6" x14ac:dyDescent="0.25">
      <c r="C4935" s="19"/>
      <c r="D4935" s="15"/>
      <c r="F4935" s="14"/>
    </row>
    <row r="4936" spans="3:6" x14ac:dyDescent="0.25">
      <c r="C4936" s="19"/>
      <c r="D4936" s="15"/>
      <c r="F4936" s="14"/>
    </row>
    <row r="4937" spans="3:6" x14ac:dyDescent="0.25">
      <c r="C4937" s="19"/>
      <c r="D4937" s="15"/>
      <c r="F4937" s="14"/>
    </row>
    <row r="4938" spans="3:6" x14ac:dyDescent="0.25">
      <c r="C4938" s="19"/>
      <c r="D4938" s="15"/>
      <c r="F4938" s="14"/>
    </row>
    <row r="4939" spans="3:6" x14ac:dyDescent="0.25">
      <c r="C4939" s="19"/>
      <c r="D4939" s="15"/>
      <c r="F4939" s="14"/>
    </row>
    <row r="4940" spans="3:6" x14ac:dyDescent="0.25">
      <c r="C4940" s="19"/>
      <c r="D4940" s="15"/>
      <c r="F4940" s="14"/>
    </row>
    <row r="4941" spans="3:6" x14ac:dyDescent="0.25">
      <c r="C4941" s="19"/>
      <c r="D4941" s="15"/>
      <c r="F4941" s="14"/>
    </row>
    <row r="4942" spans="3:6" x14ac:dyDescent="0.25">
      <c r="C4942" s="19"/>
      <c r="D4942" s="15"/>
      <c r="F4942" s="14"/>
    </row>
    <row r="4943" spans="3:6" x14ac:dyDescent="0.25">
      <c r="C4943" s="19"/>
      <c r="D4943" s="15"/>
      <c r="F4943" s="14"/>
    </row>
    <row r="4944" spans="3:6" x14ac:dyDescent="0.25">
      <c r="C4944" s="19"/>
      <c r="D4944" s="15"/>
      <c r="F4944" s="14"/>
    </row>
    <row r="4945" spans="4:6" x14ac:dyDescent="0.25">
      <c r="D4945" s="15"/>
      <c r="F4945" s="14"/>
    </row>
    <row r="4946" spans="4:6" x14ac:dyDescent="0.25">
      <c r="D4946" s="15"/>
      <c r="F4946" s="14"/>
    </row>
    <row r="4947" spans="4:6" x14ac:dyDescent="0.25">
      <c r="D4947" s="15"/>
      <c r="F4947" s="14"/>
    </row>
    <row r="4948" spans="4:6" x14ac:dyDescent="0.25">
      <c r="D4948" s="15"/>
      <c r="F4948" s="14"/>
    </row>
    <row r="4949" spans="4:6" x14ac:dyDescent="0.25">
      <c r="D4949" s="15"/>
      <c r="F4949" s="14"/>
    </row>
    <row r="4950" spans="4:6" x14ac:dyDescent="0.25">
      <c r="D4950" s="15"/>
      <c r="F4950" s="14"/>
    </row>
    <row r="4951" spans="4:6" x14ac:dyDescent="0.25">
      <c r="D4951" s="15"/>
      <c r="F4951" s="14"/>
    </row>
    <row r="4952" spans="4:6" x14ac:dyDescent="0.25">
      <c r="D4952" s="15"/>
      <c r="F4952" s="14"/>
    </row>
    <row r="4953" spans="4:6" x14ac:dyDescent="0.25">
      <c r="D4953" s="15"/>
      <c r="F4953" s="14"/>
    </row>
    <row r="4954" spans="4:6" x14ac:dyDescent="0.25">
      <c r="D4954" s="15"/>
      <c r="F4954" s="14"/>
    </row>
    <row r="4955" spans="4:6" x14ac:dyDescent="0.25">
      <c r="D4955" s="15"/>
      <c r="F4955" s="14"/>
    </row>
    <row r="4956" spans="4:6" x14ac:dyDescent="0.25">
      <c r="D4956" s="15"/>
      <c r="F4956" s="14"/>
    </row>
    <row r="4957" spans="4:6" x14ac:dyDescent="0.25">
      <c r="D4957" s="15"/>
      <c r="F4957" s="14"/>
    </row>
    <row r="4958" spans="4:6" x14ac:dyDescent="0.25">
      <c r="D4958" s="15"/>
      <c r="F4958" s="14"/>
    </row>
    <row r="4959" spans="4:6" x14ac:dyDescent="0.25">
      <c r="D4959" s="15"/>
      <c r="F4959" s="14"/>
    </row>
    <row r="4960" spans="4:6" x14ac:dyDescent="0.25">
      <c r="D4960" s="15"/>
      <c r="F4960" s="14"/>
    </row>
    <row r="4961" spans="4:6" x14ac:dyDescent="0.25">
      <c r="D4961" s="15"/>
      <c r="F4961" s="14"/>
    </row>
    <row r="4962" spans="4:6" x14ac:dyDescent="0.25">
      <c r="D4962" s="15"/>
      <c r="F4962" s="14"/>
    </row>
    <row r="4963" spans="4:6" x14ac:dyDescent="0.25">
      <c r="D4963" s="15"/>
      <c r="F4963" s="14"/>
    </row>
    <row r="4964" spans="4:6" x14ac:dyDescent="0.25">
      <c r="D4964" s="15"/>
      <c r="F4964" s="14"/>
    </row>
    <row r="4965" spans="4:6" x14ac:dyDescent="0.25">
      <c r="D4965" s="15"/>
      <c r="F4965" s="14"/>
    </row>
    <row r="4966" spans="4:6" x14ac:dyDescent="0.25">
      <c r="D4966" s="15"/>
      <c r="F4966" s="14"/>
    </row>
    <row r="4967" spans="4:6" x14ac:dyDescent="0.25">
      <c r="D4967" s="15"/>
      <c r="F4967" s="14"/>
    </row>
    <row r="4968" spans="4:6" x14ac:dyDescent="0.25">
      <c r="D4968" s="15"/>
      <c r="F4968" s="14"/>
    </row>
    <row r="4969" spans="4:6" x14ac:dyDescent="0.25">
      <c r="D4969" s="15"/>
      <c r="F4969" s="14"/>
    </row>
    <row r="4970" spans="4:6" x14ac:dyDescent="0.25">
      <c r="D4970" s="15"/>
      <c r="F4970" s="14"/>
    </row>
    <row r="4971" spans="4:6" x14ac:dyDescent="0.25">
      <c r="D4971" s="15"/>
      <c r="F4971" s="14"/>
    </row>
    <row r="4972" spans="4:6" x14ac:dyDescent="0.25">
      <c r="D4972" s="15"/>
      <c r="F4972" s="14"/>
    </row>
    <row r="4973" spans="4:6" x14ac:dyDescent="0.25">
      <c r="D4973" s="15"/>
      <c r="F4973" s="14"/>
    </row>
    <row r="4974" spans="4:6" x14ac:dyDescent="0.25">
      <c r="D4974" s="15"/>
      <c r="F4974" s="14"/>
    </row>
    <row r="4975" spans="4:6" x14ac:dyDescent="0.25">
      <c r="D4975" s="15"/>
      <c r="F4975" s="14"/>
    </row>
    <row r="4976" spans="4:6" x14ac:dyDescent="0.25">
      <c r="D4976" s="15"/>
      <c r="F4976" s="14"/>
    </row>
    <row r="4977" spans="4:6" x14ac:dyDescent="0.25">
      <c r="D4977" s="15"/>
      <c r="F4977" s="14"/>
    </row>
    <row r="4978" spans="4:6" x14ac:dyDescent="0.25">
      <c r="D4978" s="15"/>
      <c r="F4978" s="14"/>
    </row>
    <row r="4979" spans="4:6" x14ac:dyDescent="0.25">
      <c r="D4979" s="15"/>
      <c r="F4979" s="14"/>
    </row>
    <row r="4980" spans="4:6" x14ac:dyDescent="0.25">
      <c r="D4980" s="15"/>
      <c r="F4980" s="14"/>
    </row>
    <row r="4981" spans="4:6" x14ac:dyDescent="0.25">
      <c r="D4981" s="15"/>
      <c r="F4981" s="14"/>
    </row>
    <row r="4982" spans="4:6" x14ac:dyDescent="0.25">
      <c r="D4982" s="15"/>
      <c r="F4982" s="14"/>
    </row>
    <row r="4983" spans="4:6" x14ac:dyDescent="0.25">
      <c r="D4983" s="15"/>
      <c r="F4983" s="14"/>
    </row>
    <row r="4984" spans="4:6" x14ac:dyDescent="0.25">
      <c r="D4984" s="15"/>
      <c r="F4984" s="14"/>
    </row>
    <row r="4985" spans="4:6" x14ac:dyDescent="0.25">
      <c r="D4985" s="15"/>
      <c r="F4985" s="14"/>
    </row>
    <row r="4986" spans="4:6" x14ac:dyDescent="0.25">
      <c r="D4986" s="15"/>
      <c r="F4986" s="14"/>
    </row>
    <row r="4987" spans="4:6" x14ac:dyDescent="0.25">
      <c r="D4987" s="15"/>
      <c r="F4987" s="14"/>
    </row>
    <row r="4988" spans="4:6" x14ac:dyDescent="0.25">
      <c r="D4988" s="15"/>
      <c r="F4988" s="14"/>
    </row>
    <row r="4989" spans="4:6" x14ac:dyDescent="0.25">
      <c r="D4989" s="15"/>
      <c r="F4989" s="14"/>
    </row>
    <row r="4990" spans="4:6" x14ac:dyDescent="0.25">
      <c r="D4990" s="15"/>
      <c r="F4990" s="14"/>
    </row>
    <row r="4991" spans="4:6" x14ac:dyDescent="0.25">
      <c r="D4991" s="15"/>
      <c r="F4991" s="14"/>
    </row>
    <row r="4992" spans="4:6" x14ac:dyDescent="0.25">
      <c r="D4992" s="15"/>
      <c r="F4992" s="14"/>
    </row>
    <row r="4993" spans="4:6" x14ac:dyDescent="0.25">
      <c r="D4993" s="15"/>
      <c r="F4993" s="14"/>
    </row>
    <row r="4994" spans="4:6" x14ac:dyDescent="0.25">
      <c r="D4994" s="15"/>
      <c r="F4994" s="14"/>
    </row>
    <row r="4995" spans="4:6" x14ac:dyDescent="0.25">
      <c r="D4995" s="15"/>
      <c r="F4995" s="14"/>
    </row>
    <row r="4996" spans="4:6" x14ac:dyDescent="0.25">
      <c r="D4996" s="15"/>
      <c r="F4996" s="14"/>
    </row>
    <row r="4997" spans="4:6" x14ac:dyDescent="0.25">
      <c r="D4997" s="15"/>
      <c r="F4997" s="14"/>
    </row>
    <row r="4998" spans="4:6" x14ac:dyDescent="0.25">
      <c r="D4998" s="15"/>
      <c r="F4998" s="14"/>
    </row>
    <row r="4999" spans="4:6" x14ac:dyDescent="0.25">
      <c r="D4999" s="15"/>
      <c r="F4999" s="14"/>
    </row>
    <row r="5000" spans="4:6" x14ac:dyDescent="0.25">
      <c r="D5000" s="15"/>
      <c r="F5000" s="14"/>
    </row>
    <row r="5001" spans="4:6" x14ac:dyDescent="0.25">
      <c r="D5001" s="15"/>
      <c r="F5001" s="14"/>
    </row>
    <row r="5002" spans="4:6" x14ac:dyDescent="0.25">
      <c r="D5002" s="15"/>
      <c r="F5002" s="14"/>
    </row>
    <row r="5003" spans="4:6" x14ac:dyDescent="0.25">
      <c r="D5003" s="15"/>
      <c r="F5003" s="14"/>
    </row>
    <row r="5004" spans="4:6" x14ac:dyDescent="0.25">
      <c r="D5004" s="15"/>
      <c r="F5004" s="14"/>
    </row>
    <row r="5005" spans="4:6" x14ac:dyDescent="0.25">
      <c r="D5005" s="15"/>
      <c r="F5005" s="14"/>
    </row>
    <row r="5006" spans="4:6" x14ac:dyDescent="0.25">
      <c r="D5006" s="15"/>
      <c r="F5006" s="14"/>
    </row>
    <row r="5007" spans="4:6" x14ac:dyDescent="0.25">
      <c r="D5007" s="15"/>
      <c r="F5007" s="14"/>
    </row>
    <row r="5008" spans="4:6" x14ac:dyDescent="0.25">
      <c r="D5008" s="15"/>
      <c r="F5008" s="14"/>
    </row>
    <row r="5009" spans="4:6" x14ac:dyDescent="0.25">
      <c r="D5009" s="15"/>
      <c r="F5009" s="14"/>
    </row>
    <row r="5010" spans="4:6" x14ac:dyDescent="0.25">
      <c r="D5010" s="15"/>
      <c r="F5010" s="14"/>
    </row>
    <row r="5011" spans="4:6" x14ac:dyDescent="0.25">
      <c r="D5011" s="15"/>
      <c r="F5011" s="14"/>
    </row>
    <row r="5012" spans="4:6" x14ac:dyDescent="0.25">
      <c r="D5012" s="15"/>
      <c r="F5012" s="14"/>
    </row>
    <row r="5013" spans="4:6" x14ac:dyDescent="0.25">
      <c r="D5013" s="15"/>
      <c r="F5013" s="14"/>
    </row>
    <row r="5014" spans="4:6" x14ac:dyDescent="0.25">
      <c r="D5014" s="15"/>
      <c r="F5014" s="14"/>
    </row>
    <row r="5015" spans="4:6" x14ac:dyDescent="0.25">
      <c r="D5015" s="15"/>
      <c r="F5015" s="14"/>
    </row>
    <row r="5016" spans="4:6" x14ac:dyDescent="0.25">
      <c r="D5016" s="15"/>
      <c r="F5016" s="14"/>
    </row>
    <row r="5017" spans="4:6" x14ac:dyDescent="0.25">
      <c r="D5017" s="15"/>
      <c r="F5017" s="14"/>
    </row>
    <row r="5018" spans="4:6" x14ac:dyDescent="0.25">
      <c r="D5018" s="15"/>
      <c r="F5018" s="14"/>
    </row>
    <row r="5019" spans="4:6" x14ac:dyDescent="0.25">
      <c r="D5019" s="15"/>
      <c r="F5019" s="14"/>
    </row>
    <row r="5020" spans="4:6" x14ac:dyDescent="0.25">
      <c r="D5020" s="15"/>
      <c r="F5020" s="14"/>
    </row>
    <row r="5021" spans="4:6" x14ac:dyDescent="0.25">
      <c r="D5021" s="15"/>
      <c r="F5021" s="14"/>
    </row>
    <row r="5022" spans="4:6" x14ac:dyDescent="0.25">
      <c r="D5022" s="15"/>
      <c r="F5022" s="14"/>
    </row>
    <row r="5023" spans="4:6" x14ac:dyDescent="0.25">
      <c r="D5023" s="15"/>
      <c r="F5023" s="14"/>
    </row>
    <row r="5024" spans="4:6" x14ac:dyDescent="0.25">
      <c r="D5024" s="15"/>
      <c r="F5024" s="14"/>
    </row>
    <row r="5025" spans="4:6" x14ac:dyDescent="0.25">
      <c r="D5025" s="15"/>
      <c r="F5025" s="14"/>
    </row>
    <row r="5026" spans="4:6" x14ac:dyDescent="0.25">
      <c r="D5026" s="15"/>
      <c r="F5026" s="14"/>
    </row>
    <row r="5027" spans="4:6" x14ac:dyDescent="0.25">
      <c r="D5027" s="15"/>
      <c r="F5027" s="14"/>
    </row>
    <row r="5028" spans="4:6" x14ac:dyDescent="0.25">
      <c r="D5028" s="15"/>
      <c r="F5028" s="14"/>
    </row>
    <row r="5029" spans="4:6" x14ac:dyDescent="0.25">
      <c r="D5029" s="15"/>
      <c r="F5029" s="14"/>
    </row>
    <row r="5030" spans="4:6" x14ac:dyDescent="0.25">
      <c r="D5030" s="15"/>
      <c r="F5030" s="14"/>
    </row>
    <row r="5031" spans="4:6" x14ac:dyDescent="0.25">
      <c r="D5031" s="15"/>
      <c r="F5031" s="14"/>
    </row>
    <row r="5032" spans="4:6" x14ac:dyDescent="0.25">
      <c r="D5032" s="15"/>
      <c r="F5032" s="14"/>
    </row>
    <row r="5033" spans="4:6" x14ac:dyDescent="0.25">
      <c r="D5033" s="15"/>
      <c r="F5033" s="14"/>
    </row>
    <row r="5034" spans="4:6" x14ac:dyDescent="0.25">
      <c r="D5034" s="15"/>
      <c r="F5034" s="14"/>
    </row>
    <row r="5035" spans="4:6" x14ac:dyDescent="0.25">
      <c r="D5035" s="15"/>
      <c r="F5035" s="14"/>
    </row>
    <row r="5036" spans="4:6" x14ac:dyDescent="0.25">
      <c r="D5036" s="15"/>
      <c r="F5036" s="14"/>
    </row>
    <row r="5037" spans="4:6" x14ac:dyDescent="0.25">
      <c r="D5037" s="15"/>
      <c r="F5037" s="14"/>
    </row>
    <row r="5038" spans="4:6" x14ac:dyDescent="0.25">
      <c r="D5038" s="15"/>
      <c r="F5038" s="14"/>
    </row>
    <row r="5039" spans="4:6" x14ac:dyDescent="0.25">
      <c r="D5039" s="15"/>
      <c r="F5039" s="14"/>
    </row>
    <row r="5040" spans="4:6" x14ac:dyDescent="0.25">
      <c r="D5040" s="15"/>
      <c r="F5040" s="14"/>
    </row>
    <row r="5041" spans="4:6" x14ac:dyDescent="0.25">
      <c r="D5041" s="15"/>
      <c r="F5041" s="14"/>
    </row>
    <row r="5042" spans="4:6" x14ac:dyDescent="0.25">
      <c r="D5042" s="15"/>
      <c r="F5042" s="14"/>
    </row>
    <row r="5043" spans="4:6" x14ac:dyDescent="0.25">
      <c r="D5043" s="15"/>
      <c r="F5043" s="14"/>
    </row>
    <row r="5044" spans="4:6" x14ac:dyDescent="0.25">
      <c r="D5044" s="15"/>
      <c r="F5044" s="14"/>
    </row>
    <row r="5045" spans="4:6" x14ac:dyDescent="0.25">
      <c r="D5045" s="15"/>
      <c r="F5045" s="14"/>
    </row>
    <row r="5046" spans="4:6" x14ac:dyDescent="0.25">
      <c r="D5046" s="15"/>
      <c r="F5046" s="14"/>
    </row>
    <row r="5047" spans="4:6" x14ac:dyDescent="0.25">
      <c r="D5047" s="15"/>
      <c r="F5047" s="14"/>
    </row>
    <row r="5048" spans="4:6" x14ac:dyDescent="0.25">
      <c r="D5048" s="15"/>
      <c r="F5048" s="14"/>
    </row>
    <row r="5049" spans="4:6" x14ac:dyDescent="0.25">
      <c r="D5049" s="15"/>
      <c r="F5049" s="14"/>
    </row>
    <row r="5050" spans="4:6" x14ac:dyDescent="0.25">
      <c r="D5050" s="15"/>
      <c r="F5050" s="14"/>
    </row>
    <row r="5051" spans="4:6" x14ac:dyDescent="0.25">
      <c r="D5051" s="15"/>
      <c r="F5051" s="14"/>
    </row>
    <row r="5052" spans="4:6" x14ac:dyDescent="0.25">
      <c r="D5052" s="15"/>
      <c r="F5052" s="14"/>
    </row>
    <row r="5053" spans="4:6" x14ac:dyDescent="0.25">
      <c r="D5053" s="15"/>
      <c r="F5053" s="14"/>
    </row>
    <row r="5054" spans="4:6" x14ac:dyDescent="0.25">
      <c r="D5054" s="15"/>
      <c r="F5054" s="14"/>
    </row>
    <row r="5055" spans="4:6" x14ac:dyDescent="0.25">
      <c r="D5055" s="15"/>
      <c r="F5055" s="14"/>
    </row>
    <row r="5056" spans="4:6" x14ac:dyDescent="0.25">
      <c r="D5056" s="15"/>
      <c r="F5056" s="14"/>
    </row>
    <row r="5057" spans="4:6" x14ac:dyDescent="0.25">
      <c r="D5057" s="15"/>
      <c r="F5057" s="14"/>
    </row>
    <row r="5058" spans="4:6" x14ac:dyDescent="0.25">
      <c r="D5058" s="15"/>
      <c r="F5058" s="14"/>
    </row>
    <row r="5059" spans="4:6" x14ac:dyDescent="0.25">
      <c r="D5059" s="15"/>
      <c r="F5059" s="14"/>
    </row>
    <row r="5060" spans="4:6" x14ac:dyDescent="0.25">
      <c r="D5060" s="15"/>
      <c r="F5060" s="14"/>
    </row>
    <row r="5061" spans="4:6" x14ac:dyDescent="0.25">
      <c r="D5061" s="15"/>
      <c r="F5061" s="14"/>
    </row>
    <row r="5062" spans="4:6" x14ac:dyDescent="0.25">
      <c r="D5062" s="15"/>
      <c r="F5062" s="14"/>
    </row>
    <row r="5063" spans="4:6" x14ac:dyDescent="0.25">
      <c r="D5063" s="15"/>
      <c r="F5063" s="14"/>
    </row>
    <row r="5064" spans="4:6" x14ac:dyDescent="0.25">
      <c r="D5064" s="15"/>
      <c r="F5064" s="14"/>
    </row>
    <row r="5065" spans="4:6" x14ac:dyDescent="0.25">
      <c r="D5065" s="15"/>
      <c r="F5065" s="14"/>
    </row>
    <row r="5066" spans="4:6" x14ac:dyDescent="0.25">
      <c r="D5066" s="15"/>
      <c r="F5066" s="14"/>
    </row>
    <row r="5067" spans="4:6" x14ac:dyDescent="0.25">
      <c r="D5067" s="15"/>
      <c r="F5067" s="14"/>
    </row>
    <row r="5068" spans="4:6" x14ac:dyDescent="0.25">
      <c r="D5068" s="15"/>
      <c r="F5068" s="14"/>
    </row>
    <row r="5069" spans="4:6" x14ac:dyDescent="0.25">
      <c r="D5069" s="15"/>
      <c r="F5069" s="14"/>
    </row>
    <row r="5070" spans="4:6" x14ac:dyDescent="0.25">
      <c r="D5070" s="15"/>
      <c r="F5070" s="14"/>
    </row>
    <row r="5071" spans="4:6" x14ac:dyDescent="0.25">
      <c r="D5071" s="15"/>
      <c r="F5071" s="14"/>
    </row>
    <row r="5072" spans="4:6" x14ac:dyDescent="0.25">
      <c r="D5072" s="15"/>
      <c r="F5072" s="14"/>
    </row>
    <row r="5073" spans="4:6" x14ac:dyDescent="0.25">
      <c r="D5073" s="15"/>
      <c r="F5073" s="14"/>
    </row>
    <row r="5074" spans="4:6" x14ac:dyDescent="0.25">
      <c r="D5074" s="15"/>
      <c r="F5074" s="14"/>
    </row>
    <row r="5075" spans="4:6" x14ac:dyDescent="0.25">
      <c r="D5075" s="15"/>
      <c r="F5075" s="14"/>
    </row>
    <row r="5076" spans="4:6" x14ac:dyDescent="0.25">
      <c r="D5076" s="15"/>
      <c r="F5076" s="14"/>
    </row>
    <row r="5077" spans="4:6" x14ac:dyDescent="0.25">
      <c r="D5077" s="15"/>
      <c r="F5077" s="14"/>
    </row>
    <row r="5078" spans="4:6" x14ac:dyDescent="0.25">
      <c r="D5078" s="15"/>
      <c r="F5078" s="14"/>
    </row>
    <row r="5079" spans="4:6" x14ac:dyDescent="0.25">
      <c r="D5079" s="15"/>
      <c r="F5079" s="14"/>
    </row>
    <row r="5080" spans="4:6" x14ac:dyDescent="0.25">
      <c r="D5080" s="15"/>
      <c r="F5080" s="14"/>
    </row>
    <row r="5081" spans="4:6" x14ac:dyDescent="0.25">
      <c r="D5081" s="15"/>
      <c r="F5081" s="14"/>
    </row>
    <row r="5082" spans="4:6" x14ac:dyDescent="0.25">
      <c r="D5082" s="15"/>
      <c r="F5082" s="14"/>
    </row>
    <row r="5083" spans="4:6" x14ac:dyDescent="0.25">
      <c r="D5083" s="15"/>
      <c r="F5083" s="14"/>
    </row>
    <row r="5084" spans="4:6" x14ac:dyDescent="0.25">
      <c r="D5084" s="15"/>
      <c r="F5084" s="14"/>
    </row>
    <row r="5085" spans="4:6" x14ac:dyDescent="0.25">
      <c r="D5085" s="15"/>
      <c r="F5085" s="14"/>
    </row>
    <row r="5086" spans="4:6" x14ac:dyDescent="0.25">
      <c r="D5086" s="15"/>
      <c r="F5086" s="14"/>
    </row>
    <row r="5087" spans="4:6" x14ac:dyDescent="0.25">
      <c r="D5087" s="15"/>
      <c r="F5087" s="14"/>
    </row>
    <row r="5088" spans="4:6" x14ac:dyDescent="0.25">
      <c r="D5088" s="15"/>
      <c r="F5088" s="14"/>
    </row>
    <row r="5089" spans="4:6" x14ac:dyDescent="0.25">
      <c r="D5089" s="15"/>
      <c r="F5089" s="14"/>
    </row>
    <row r="5090" spans="4:6" x14ac:dyDescent="0.25">
      <c r="D5090" s="15"/>
      <c r="F5090" s="14"/>
    </row>
    <row r="5091" spans="4:6" x14ac:dyDescent="0.25">
      <c r="D5091" s="15"/>
      <c r="F5091" s="14"/>
    </row>
    <row r="5092" spans="4:6" x14ac:dyDescent="0.25">
      <c r="D5092" s="15"/>
      <c r="F5092" s="14"/>
    </row>
    <row r="5093" spans="4:6" x14ac:dyDescent="0.25">
      <c r="D5093" s="15"/>
      <c r="F5093" s="14"/>
    </row>
    <row r="5094" spans="4:6" x14ac:dyDescent="0.25">
      <c r="D5094" s="15"/>
      <c r="F5094" s="14"/>
    </row>
    <row r="5095" spans="4:6" x14ac:dyDescent="0.25">
      <c r="D5095" s="15"/>
      <c r="F5095" s="14"/>
    </row>
    <row r="5096" spans="4:6" x14ac:dyDescent="0.25">
      <c r="D5096" s="15"/>
      <c r="F5096" s="14"/>
    </row>
    <row r="5097" spans="4:6" x14ac:dyDescent="0.25">
      <c r="D5097" s="15"/>
      <c r="F5097" s="14"/>
    </row>
    <row r="5098" spans="4:6" x14ac:dyDescent="0.25">
      <c r="D5098" s="15"/>
      <c r="F5098" s="14"/>
    </row>
    <row r="5099" spans="4:6" x14ac:dyDescent="0.25">
      <c r="D5099" s="15"/>
      <c r="F5099" s="14"/>
    </row>
    <row r="5100" spans="4:6" x14ac:dyDescent="0.25">
      <c r="D5100" s="15"/>
      <c r="F5100" s="14"/>
    </row>
    <row r="5101" spans="4:6" x14ac:dyDescent="0.25">
      <c r="D5101" s="15"/>
      <c r="F5101" s="14"/>
    </row>
    <row r="5102" spans="4:6" x14ac:dyDescent="0.25">
      <c r="D5102" s="15"/>
      <c r="F5102" s="14"/>
    </row>
    <row r="5103" spans="4:6" x14ac:dyDescent="0.25">
      <c r="D5103" s="15"/>
      <c r="F5103" s="14"/>
    </row>
    <row r="5104" spans="4:6" x14ac:dyDescent="0.25">
      <c r="D5104" s="15"/>
      <c r="F5104" s="14"/>
    </row>
    <row r="5105" spans="4:6" x14ac:dyDescent="0.25">
      <c r="D5105" s="15"/>
      <c r="F5105" s="14"/>
    </row>
    <row r="5106" spans="4:6" x14ac:dyDescent="0.25">
      <c r="D5106" s="15"/>
      <c r="F5106" s="14"/>
    </row>
    <row r="5107" spans="4:6" x14ac:dyDescent="0.25">
      <c r="D5107" s="15"/>
      <c r="F5107" s="14"/>
    </row>
    <row r="5108" spans="4:6" x14ac:dyDescent="0.25">
      <c r="D5108" s="15"/>
      <c r="F5108" s="14"/>
    </row>
    <row r="5109" spans="4:6" x14ac:dyDescent="0.25">
      <c r="D5109" s="15"/>
      <c r="F5109" s="14"/>
    </row>
    <row r="5110" spans="4:6" x14ac:dyDescent="0.25">
      <c r="D5110" s="15"/>
      <c r="F5110" s="14"/>
    </row>
    <row r="5111" spans="4:6" x14ac:dyDescent="0.25">
      <c r="D5111" s="15"/>
      <c r="F5111" s="14"/>
    </row>
    <row r="5112" spans="4:6" x14ac:dyDescent="0.25">
      <c r="D5112" s="15"/>
      <c r="F5112" s="14"/>
    </row>
    <row r="5113" spans="4:6" x14ac:dyDescent="0.25">
      <c r="D5113" s="15"/>
      <c r="F5113" s="14"/>
    </row>
    <row r="5114" spans="4:6" x14ac:dyDescent="0.25">
      <c r="D5114" s="15"/>
      <c r="F5114" s="14"/>
    </row>
    <row r="5115" spans="4:6" x14ac:dyDescent="0.25">
      <c r="D5115" s="15"/>
      <c r="F5115" s="14"/>
    </row>
    <row r="5116" spans="4:6" x14ac:dyDescent="0.25">
      <c r="D5116" s="15"/>
      <c r="F5116" s="14"/>
    </row>
    <row r="5117" spans="4:6" x14ac:dyDescent="0.25">
      <c r="D5117" s="15"/>
      <c r="F5117" s="14"/>
    </row>
    <row r="5118" spans="4:6" x14ac:dyDescent="0.25">
      <c r="D5118" s="15"/>
      <c r="F5118" s="14"/>
    </row>
    <row r="5119" spans="4:6" x14ac:dyDescent="0.25">
      <c r="D5119" s="15"/>
      <c r="F5119" s="14"/>
    </row>
    <row r="5120" spans="4:6" x14ac:dyDescent="0.25">
      <c r="D5120" s="15"/>
      <c r="F5120" s="14"/>
    </row>
    <row r="5121" spans="4:6" x14ac:dyDescent="0.25">
      <c r="D5121" s="15"/>
      <c r="F5121" s="14"/>
    </row>
    <row r="5122" spans="4:6" x14ac:dyDescent="0.25">
      <c r="D5122" s="15"/>
      <c r="F5122" s="14"/>
    </row>
    <row r="5123" spans="4:6" x14ac:dyDescent="0.25">
      <c r="D5123" s="15"/>
      <c r="F5123" s="14"/>
    </row>
    <row r="5124" spans="4:6" x14ac:dyDescent="0.25">
      <c r="D5124" s="15"/>
      <c r="F5124" s="14"/>
    </row>
    <row r="5125" spans="4:6" x14ac:dyDescent="0.25">
      <c r="D5125" s="15"/>
      <c r="F5125" s="14"/>
    </row>
    <row r="5126" spans="4:6" x14ac:dyDescent="0.25">
      <c r="D5126" s="15"/>
      <c r="F5126" s="14"/>
    </row>
    <row r="5127" spans="4:6" x14ac:dyDescent="0.25">
      <c r="D5127" s="15"/>
      <c r="F5127" s="14"/>
    </row>
    <row r="5128" spans="4:6" x14ac:dyDescent="0.25">
      <c r="D5128" s="15"/>
      <c r="F5128" s="14"/>
    </row>
    <row r="5129" spans="4:6" x14ac:dyDescent="0.25">
      <c r="D5129" s="15"/>
      <c r="F5129" s="14"/>
    </row>
    <row r="5130" spans="4:6" x14ac:dyDescent="0.25">
      <c r="D5130" s="15"/>
      <c r="F5130" s="14"/>
    </row>
    <row r="5131" spans="4:6" x14ac:dyDescent="0.25">
      <c r="D5131" s="15"/>
      <c r="F5131" s="14"/>
    </row>
    <row r="5132" spans="4:6" x14ac:dyDescent="0.25">
      <c r="D5132" s="15"/>
      <c r="F5132" s="14"/>
    </row>
    <row r="5133" spans="4:6" x14ac:dyDescent="0.25">
      <c r="D5133" s="15"/>
      <c r="F5133" s="14"/>
    </row>
    <row r="5134" spans="4:6" x14ac:dyDescent="0.25">
      <c r="D5134" s="15"/>
      <c r="F5134" s="14"/>
    </row>
    <row r="5135" spans="4:6" x14ac:dyDescent="0.25">
      <c r="D5135" s="15"/>
      <c r="F5135" s="14"/>
    </row>
    <row r="5136" spans="4:6" x14ac:dyDescent="0.25">
      <c r="D5136" s="15"/>
      <c r="F5136" s="14"/>
    </row>
    <row r="5137" spans="4:6" x14ac:dyDescent="0.25">
      <c r="D5137" s="15"/>
      <c r="F5137" s="14"/>
    </row>
    <row r="5138" spans="4:6" x14ac:dyDescent="0.25">
      <c r="D5138" s="15"/>
      <c r="F5138" s="14"/>
    </row>
    <row r="5139" spans="4:6" x14ac:dyDescent="0.25">
      <c r="D5139" s="15"/>
      <c r="F5139" s="14"/>
    </row>
    <row r="5140" spans="4:6" x14ac:dyDescent="0.25">
      <c r="D5140" s="15"/>
      <c r="F5140" s="14"/>
    </row>
    <row r="5141" spans="4:6" x14ac:dyDescent="0.25">
      <c r="D5141" s="15"/>
      <c r="F5141" s="14"/>
    </row>
    <row r="5142" spans="4:6" x14ac:dyDescent="0.25">
      <c r="D5142" s="15"/>
      <c r="F5142" s="14"/>
    </row>
    <row r="5143" spans="4:6" x14ac:dyDescent="0.25">
      <c r="D5143" s="15"/>
      <c r="F5143" s="14"/>
    </row>
    <row r="5144" spans="4:6" x14ac:dyDescent="0.25">
      <c r="D5144" s="15"/>
      <c r="F5144" s="14"/>
    </row>
    <row r="5145" spans="4:6" x14ac:dyDescent="0.25">
      <c r="D5145" s="15"/>
      <c r="F5145" s="14"/>
    </row>
    <row r="5146" spans="4:6" x14ac:dyDescent="0.25">
      <c r="D5146" s="15"/>
      <c r="F5146" s="14"/>
    </row>
    <row r="5147" spans="4:6" x14ac:dyDescent="0.25">
      <c r="D5147" s="15"/>
      <c r="F5147" s="14"/>
    </row>
    <row r="5148" spans="4:6" x14ac:dyDescent="0.25">
      <c r="D5148" s="15"/>
      <c r="F5148" s="14"/>
    </row>
    <row r="5149" spans="4:6" x14ac:dyDescent="0.25">
      <c r="D5149" s="15"/>
      <c r="F5149" s="14"/>
    </row>
    <row r="5150" spans="4:6" x14ac:dyDescent="0.25">
      <c r="D5150" s="15"/>
      <c r="F5150" s="14"/>
    </row>
    <row r="5151" spans="4:6" x14ac:dyDescent="0.25">
      <c r="D5151" s="15"/>
      <c r="F5151" s="14"/>
    </row>
    <row r="5152" spans="4:6" x14ac:dyDescent="0.25">
      <c r="D5152" s="15"/>
      <c r="F5152" s="14"/>
    </row>
    <row r="5153" spans="4:6" x14ac:dyDescent="0.25">
      <c r="D5153" s="15"/>
      <c r="F5153" s="14"/>
    </row>
    <row r="5154" spans="4:6" x14ac:dyDescent="0.25">
      <c r="D5154" s="15"/>
      <c r="F5154" s="14"/>
    </row>
    <row r="5155" spans="4:6" x14ac:dyDescent="0.25">
      <c r="D5155" s="15"/>
      <c r="F5155" s="14"/>
    </row>
    <row r="5156" spans="4:6" x14ac:dyDescent="0.25">
      <c r="D5156" s="15"/>
      <c r="F5156" s="14"/>
    </row>
    <row r="5157" spans="4:6" x14ac:dyDescent="0.25">
      <c r="D5157" s="15"/>
      <c r="F5157" s="14"/>
    </row>
    <row r="5158" spans="4:6" x14ac:dyDescent="0.25">
      <c r="D5158" s="15"/>
      <c r="F5158" s="14"/>
    </row>
    <row r="5159" spans="4:6" x14ac:dyDescent="0.25">
      <c r="D5159" s="15"/>
      <c r="F5159" s="14"/>
    </row>
    <row r="5160" spans="4:6" x14ac:dyDescent="0.25">
      <c r="D5160" s="15"/>
      <c r="F5160" s="14"/>
    </row>
    <row r="5161" spans="4:6" x14ac:dyDescent="0.25">
      <c r="D5161" s="15"/>
      <c r="F5161" s="14"/>
    </row>
    <row r="5162" spans="4:6" x14ac:dyDescent="0.25">
      <c r="D5162" s="15"/>
      <c r="F5162" s="14"/>
    </row>
    <row r="5163" spans="4:6" x14ac:dyDescent="0.25">
      <c r="D5163" s="15"/>
      <c r="F5163" s="14"/>
    </row>
    <row r="5164" spans="4:6" x14ac:dyDescent="0.25">
      <c r="D5164" s="15"/>
      <c r="F5164" s="14"/>
    </row>
    <row r="5165" spans="4:6" x14ac:dyDescent="0.25">
      <c r="D5165" s="15"/>
      <c r="F5165" s="14"/>
    </row>
    <row r="5166" spans="4:6" x14ac:dyDescent="0.25">
      <c r="D5166" s="15"/>
      <c r="F5166" s="14"/>
    </row>
    <row r="5167" spans="4:6" x14ac:dyDescent="0.25">
      <c r="D5167" s="15"/>
      <c r="F5167" s="14"/>
    </row>
    <row r="5168" spans="4:6" x14ac:dyDescent="0.25">
      <c r="D5168" s="15"/>
      <c r="F5168" s="14"/>
    </row>
    <row r="5169" spans="4:6" x14ac:dyDescent="0.25">
      <c r="D5169" s="15"/>
      <c r="F5169" s="14"/>
    </row>
    <row r="5170" spans="4:6" x14ac:dyDescent="0.25">
      <c r="D5170" s="15"/>
      <c r="F5170" s="14"/>
    </row>
    <row r="5171" spans="4:6" x14ac:dyDescent="0.25">
      <c r="D5171" s="15"/>
      <c r="F5171" s="14"/>
    </row>
    <row r="5172" spans="4:6" x14ac:dyDescent="0.25">
      <c r="D5172" s="15"/>
      <c r="F5172" s="14"/>
    </row>
    <row r="5173" spans="4:6" x14ac:dyDescent="0.25">
      <c r="D5173" s="15"/>
      <c r="F5173" s="14"/>
    </row>
    <row r="5174" spans="4:6" x14ac:dyDescent="0.25">
      <c r="D5174" s="15"/>
      <c r="F5174" s="14"/>
    </row>
    <row r="5175" spans="4:6" x14ac:dyDescent="0.25">
      <c r="D5175" s="15"/>
      <c r="F5175" s="14"/>
    </row>
    <row r="5176" spans="4:6" x14ac:dyDescent="0.25">
      <c r="D5176" s="15"/>
      <c r="F5176" s="14"/>
    </row>
    <row r="5177" spans="4:6" x14ac:dyDescent="0.25">
      <c r="D5177" s="15"/>
      <c r="F5177" s="14"/>
    </row>
    <row r="5178" spans="4:6" x14ac:dyDescent="0.25">
      <c r="D5178" s="15"/>
      <c r="F5178" s="14"/>
    </row>
    <row r="5179" spans="4:6" x14ac:dyDescent="0.25">
      <c r="D5179" s="15"/>
      <c r="F5179" s="14"/>
    </row>
    <row r="5180" spans="4:6" x14ac:dyDescent="0.25">
      <c r="D5180" s="15"/>
      <c r="F5180" s="14"/>
    </row>
    <row r="5181" spans="4:6" x14ac:dyDescent="0.25">
      <c r="D5181" s="15"/>
      <c r="F5181" s="14"/>
    </row>
    <row r="5182" spans="4:6" x14ac:dyDescent="0.25">
      <c r="D5182" s="15"/>
      <c r="F5182" s="14"/>
    </row>
    <row r="5183" spans="4:6" x14ac:dyDescent="0.25">
      <c r="D5183" s="15"/>
      <c r="F5183" s="14"/>
    </row>
    <row r="5184" spans="4:6" x14ac:dyDescent="0.25">
      <c r="D5184" s="15"/>
      <c r="F5184" s="14"/>
    </row>
    <row r="5185" spans="4:6" x14ac:dyDescent="0.25">
      <c r="D5185" s="15"/>
      <c r="F5185" s="14"/>
    </row>
    <row r="5186" spans="4:6" x14ac:dyDescent="0.25">
      <c r="D5186" s="15"/>
      <c r="F5186" s="14"/>
    </row>
    <row r="5187" spans="4:6" x14ac:dyDescent="0.25">
      <c r="D5187" s="15"/>
      <c r="F5187" s="14"/>
    </row>
    <row r="5188" spans="4:6" x14ac:dyDescent="0.25">
      <c r="D5188" s="15"/>
      <c r="F5188" s="14"/>
    </row>
    <row r="5189" spans="4:6" x14ac:dyDescent="0.25">
      <c r="D5189" s="15"/>
      <c r="F5189" s="14"/>
    </row>
    <row r="5190" spans="4:6" x14ac:dyDescent="0.25">
      <c r="D5190" s="15"/>
      <c r="F5190" s="14"/>
    </row>
    <row r="5191" spans="4:6" x14ac:dyDescent="0.25">
      <c r="D5191" s="15"/>
      <c r="F5191" s="14"/>
    </row>
    <row r="5192" spans="4:6" x14ac:dyDescent="0.25">
      <c r="D5192" s="15"/>
      <c r="F5192" s="14"/>
    </row>
    <row r="5193" spans="4:6" x14ac:dyDescent="0.25">
      <c r="D5193" s="15"/>
      <c r="F5193" s="14"/>
    </row>
    <row r="5194" spans="4:6" x14ac:dyDescent="0.25">
      <c r="D5194" s="15"/>
      <c r="F5194" s="14"/>
    </row>
    <row r="5195" spans="4:6" x14ac:dyDescent="0.25">
      <c r="D5195" s="15"/>
      <c r="F5195" s="14"/>
    </row>
    <row r="5196" spans="4:6" x14ac:dyDescent="0.25">
      <c r="D5196" s="15"/>
      <c r="F5196" s="14"/>
    </row>
    <row r="5197" spans="4:6" x14ac:dyDescent="0.25">
      <c r="D5197" s="15"/>
      <c r="F5197" s="14"/>
    </row>
    <row r="5198" spans="4:6" x14ac:dyDescent="0.25">
      <c r="D5198" s="15"/>
      <c r="F5198" s="14"/>
    </row>
    <row r="5199" spans="4:6" x14ac:dyDescent="0.25">
      <c r="D5199" s="15"/>
      <c r="F5199" s="14"/>
    </row>
    <row r="5200" spans="4:6" x14ac:dyDescent="0.25">
      <c r="D5200" s="15"/>
      <c r="F5200" s="14"/>
    </row>
    <row r="5201" spans="4:6" x14ac:dyDescent="0.25">
      <c r="D5201" s="15"/>
      <c r="F5201" s="14"/>
    </row>
    <row r="5202" spans="4:6" x14ac:dyDescent="0.25">
      <c r="D5202" s="15"/>
      <c r="F5202" s="14"/>
    </row>
    <row r="5203" spans="4:6" x14ac:dyDescent="0.25">
      <c r="D5203" s="15"/>
      <c r="F5203" s="14"/>
    </row>
    <row r="5204" spans="4:6" x14ac:dyDescent="0.25">
      <c r="D5204" s="15"/>
      <c r="F5204" s="14"/>
    </row>
    <row r="5205" spans="4:6" x14ac:dyDescent="0.25">
      <c r="D5205" s="15"/>
      <c r="F5205" s="14"/>
    </row>
    <row r="5206" spans="4:6" x14ac:dyDescent="0.25">
      <c r="D5206" s="15"/>
      <c r="F5206" s="14"/>
    </row>
    <row r="5207" spans="4:6" x14ac:dyDescent="0.25">
      <c r="D5207" s="15"/>
      <c r="F5207" s="14"/>
    </row>
    <row r="5208" spans="4:6" x14ac:dyDescent="0.25">
      <c r="D5208" s="15"/>
      <c r="F5208" s="14"/>
    </row>
    <row r="5209" spans="4:6" x14ac:dyDescent="0.25">
      <c r="D5209" s="15"/>
      <c r="F5209" s="14"/>
    </row>
    <row r="5210" spans="4:6" x14ac:dyDescent="0.25">
      <c r="D5210" s="15"/>
      <c r="F5210" s="14"/>
    </row>
    <row r="5211" spans="4:6" x14ac:dyDescent="0.25">
      <c r="D5211" s="15"/>
      <c r="F5211" s="14"/>
    </row>
    <row r="5212" spans="4:6" x14ac:dyDescent="0.25">
      <c r="D5212" s="15"/>
      <c r="F5212" s="14"/>
    </row>
    <row r="5213" spans="4:6" x14ac:dyDescent="0.25">
      <c r="D5213" s="15"/>
      <c r="F5213" s="14"/>
    </row>
    <row r="5214" spans="4:6" x14ac:dyDescent="0.25">
      <c r="D5214" s="15"/>
      <c r="F5214" s="14"/>
    </row>
    <row r="5215" spans="4:6" x14ac:dyDescent="0.25">
      <c r="D5215" s="15"/>
      <c r="F5215" s="14"/>
    </row>
    <row r="5216" spans="4:6" x14ac:dyDescent="0.25">
      <c r="D5216" s="15"/>
      <c r="F5216" s="14"/>
    </row>
    <row r="5217" spans="4:6" x14ac:dyDescent="0.25">
      <c r="D5217" s="15"/>
      <c r="F5217" s="14"/>
    </row>
    <row r="5218" spans="4:6" x14ac:dyDescent="0.25">
      <c r="D5218" s="15"/>
      <c r="F5218" s="14"/>
    </row>
    <row r="5219" spans="4:6" x14ac:dyDescent="0.25">
      <c r="D5219" s="15"/>
      <c r="F5219" s="14"/>
    </row>
    <row r="5220" spans="4:6" x14ac:dyDescent="0.25">
      <c r="D5220" s="15"/>
      <c r="F5220" s="14"/>
    </row>
    <row r="5221" spans="4:6" x14ac:dyDescent="0.25">
      <c r="D5221" s="15"/>
      <c r="F5221" s="14"/>
    </row>
    <row r="5222" spans="4:6" x14ac:dyDescent="0.25">
      <c r="D5222" s="15"/>
      <c r="F5222" s="14"/>
    </row>
    <row r="5223" spans="4:6" x14ac:dyDescent="0.25">
      <c r="D5223" s="15"/>
      <c r="F5223" s="14"/>
    </row>
    <row r="5224" spans="4:6" x14ac:dyDescent="0.25">
      <c r="D5224" s="15"/>
      <c r="F5224" s="14"/>
    </row>
    <row r="5225" spans="4:6" x14ac:dyDescent="0.25">
      <c r="D5225" s="15"/>
      <c r="F5225" s="14"/>
    </row>
    <row r="5226" spans="4:6" x14ac:dyDescent="0.25">
      <c r="D5226" s="15"/>
      <c r="F5226" s="14"/>
    </row>
    <row r="5227" spans="4:6" x14ac:dyDescent="0.25">
      <c r="D5227" s="15"/>
      <c r="F5227" s="14"/>
    </row>
    <row r="5228" spans="4:6" x14ac:dyDescent="0.25">
      <c r="D5228" s="15"/>
      <c r="F5228" s="14"/>
    </row>
    <row r="5229" spans="4:6" x14ac:dyDescent="0.25">
      <c r="D5229" s="15"/>
      <c r="F5229" s="14"/>
    </row>
    <row r="5230" spans="4:6" x14ac:dyDescent="0.25">
      <c r="D5230" s="15"/>
      <c r="F5230" s="14"/>
    </row>
    <row r="5231" spans="4:6" x14ac:dyDescent="0.25">
      <c r="D5231" s="15"/>
      <c r="F5231" s="14"/>
    </row>
    <row r="5232" spans="4:6" x14ac:dyDescent="0.25">
      <c r="D5232" s="15"/>
      <c r="F5232" s="14"/>
    </row>
    <row r="5233" spans="4:6" x14ac:dyDescent="0.25">
      <c r="D5233" s="15"/>
      <c r="F5233" s="14"/>
    </row>
    <row r="5234" spans="4:6" x14ac:dyDescent="0.25">
      <c r="D5234" s="15"/>
      <c r="F5234" s="14"/>
    </row>
    <row r="5235" spans="4:6" x14ac:dyDescent="0.25">
      <c r="D5235" s="15"/>
      <c r="F5235" s="14"/>
    </row>
    <row r="5236" spans="4:6" x14ac:dyDescent="0.25">
      <c r="D5236" s="15"/>
      <c r="F5236" s="14"/>
    </row>
    <row r="5237" spans="4:6" x14ac:dyDescent="0.25">
      <c r="D5237" s="15"/>
      <c r="F5237" s="14"/>
    </row>
    <row r="5238" spans="4:6" x14ac:dyDescent="0.25">
      <c r="D5238" s="15"/>
      <c r="F5238" s="14"/>
    </row>
    <row r="5239" spans="4:6" x14ac:dyDescent="0.25">
      <c r="D5239" s="15"/>
      <c r="F5239" s="14"/>
    </row>
    <row r="5240" spans="4:6" x14ac:dyDescent="0.25">
      <c r="D5240" s="15"/>
      <c r="F5240" s="14"/>
    </row>
    <row r="5241" spans="4:6" x14ac:dyDescent="0.25">
      <c r="D5241" s="15"/>
      <c r="F5241" s="14"/>
    </row>
    <row r="5242" spans="4:6" x14ac:dyDescent="0.25">
      <c r="D5242" s="15"/>
      <c r="F5242" s="14"/>
    </row>
    <row r="5243" spans="4:6" x14ac:dyDescent="0.25">
      <c r="D5243" s="15"/>
      <c r="F5243" s="14"/>
    </row>
    <row r="5244" spans="4:6" x14ac:dyDescent="0.25">
      <c r="D5244" s="15"/>
      <c r="F5244" s="14"/>
    </row>
    <row r="5245" spans="4:6" x14ac:dyDescent="0.25">
      <c r="D5245" s="15"/>
      <c r="F5245" s="14"/>
    </row>
    <row r="5246" spans="4:6" x14ac:dyDescent="0.25">
      <c r="D5246" s="15"/>
      <c r="F5246" s="14"/>
    </row>
    <row r="5247" spans="4:6" x14ac:dyDescent="0.25">
      <c r="D5247" s="15"/>
      <c r="F5247" s="14"/>
    </row>
    <row r="5248" spans="4:6" x14ac:dyDescent="0.25">
      <c r="D5248" s="15"/>
      <c r="F5248" s="14"/>
    </row>
    <row r="5249" spans="4:6" x14ac:dyDescent="0.25">
      <c r="D5249" s="15"/>
      <c r="F5249" s="14"/>
    </row>
    <row r="5250" spans="4:6" x14ac:dyDescent="0.25">
      <c r="D5250" s="15"/>
      <c r="F5250" s="14"/>
    </row>
    <row r="5251" spans="4:6" x14ac:dyDescent="0.25">
      <c r="D5251" s="15"/>
      <c r="F5251" s="14"/>
    </row>
    <row r="5252" spans="4:6" x14ac:dyDescent="0.25">
      <c r="D5252" s="15"/>
      <c r="F5252" s="14"/>
    </row>
    <row r="5253" spans="4:6" x14ac:dyDescent="0.25">
      <c r="D5253" s="15"/>
      <c r="F5253" s="14"/>
    </row>
    <row r="5254" spans="4:6" x14ac:dyDescent="0.25">
      <c r="D5254" s="15"/>
      <c r="F5254" s="14"/>
    </row>
    <row r="5255" spans="4:6" x14ac:dyDescent="0.25">
      <c r="D5255" s="15"/>
      <c r="F5255" s="14"/>
    </row>
    <row r="5256" spans="4:6" x14ac:dyDescent="0.25">
      <c r="D5256" s="15"/>
      <c r="F5256" s="14"/>
    </row>
    <row r="5257" spans="4:6" x14ac:dyDescent="0.25">
      <c r="D5257" s="15"/>
      <c r="F5257" s="14"/>
    </row>
    <row r="5258" spans="4:6" x14ac:dyDescent="0.25">
      <c r="D5258" s="15"/>
      <c r="F5258" s="14"/>
    </row>
    <row r="5259" spans="4:6" x14ac:dyDescent="0.25">
      <c r="D5259" s="15"/>
      <c r="F5259" s="14"/>
    </row>
    <row r="5260" spans="4:6" x14ac:dyDescent="0.25">
      <c r="D5260" s="15"/>
      <c r="F5260" s="14"/>
    </row>
    <row r="5261" spans="4:6" x14ac:dyDescent="0.25">
      <c r="D5261" s="15"/>
      <c r="F5261" s="14"/>
    </row>
    <row r="5262" spans="4:6" x14ac:dyDescent="0.25">
      <c r="D5262" s="15"/>
      <c r="F5262" s="14"/>
    </row>
    <row r="5263" spans="4:6" x14ac:dyDescent="0.25">
      <c r="D5263" s="15"/>
      <c r="F5263" s="14"/>
    </row>
    <row r="5264" spans="4:6" x14ac:dyDescent="0.25">
      <c r="D5264" s="15"/>
      <c r="F5264" s="14"/>
    </row>
    <row r="5265" spans="4:6" x14ac:dyDescent="0.25">
      <c r="D5265" s="15"/>
      <c r="F5265" s="14"/>
    </row>
    <row r="5266" spans="4:6" x14ac:dyDescent="0.25">
      <c r="D5266" s="15"/>
      <c r="F5266" s="14"/>
    </row>
    <row r="5267" spans="4:6" x14ac:dyDescent="0.25">
      <c r="D5267" s="15"/>
      <c r="F5267" s="14"/>
    </row>
    <row r="5268" spans="4:6" x14ac:dyDescent="0.25">
      <c r="D5268" s="15"/>
      <c r="F5268" s="14"/>
    </row>
    <row r="5269" spans="4:6" x14ac:dyDescent="0.25">
      <c r="D5269" s="15"/>
      <c r="F5269" s="14"/>
    </row>
    <row r="5270" spans="4:6" x14ac:dyDescent="0.25">
      <c r="D5270" s="15"/>
      <c r="F5270" s="14"/>
    </row>
    <row r="5271" spans="4:6" x14ac:dyDescent="0.25">
      <c r="D5271" s="15"/>
      <c r="F5271" s="14"/>
    </row>
    <row r="5272" spans="4:6" x14ac:dyDescent="0.25">
      <c r="D5272" s="15"/>
      <c r="F5272" s="14"/>
    </row>
    <row r="5273" spans="4:6" x14ac:dyDescent="0.25">
      <c r="D5273" s="15"/>
      <c r="F5273" s="14"/>
    </row>
    <row r="5274" spans="4:6" x14ac:dyDescent="0.25">
      <c r="D5274" s="15"/>
      <c r="F5274" s="14"/>
    </row>
    <row r="5275" spans="4:6" x14ac:dyDescent="0.25">
      <c r="D5275" s="15"/>
      <c r="F5275" s="14"/>
    </row>
    <row r="5276" spans="4:6" x14ac:dyDescent="0.25">
      <c r="D5276" s="15"/>
      <c r="F5276" s="14"/>
    </row>
    <row r="5277" spans="4:6" x14ac:dyDescent="0.25">
      <c r="D5277" s="15"/>
      <c r="F5277" s="14"/>
    </row>
    <row r="5278" spans="4:6" x14ac:dyDescent="0.25">
      <c r="D5278" s="15"/>
      <c r="F5278" s="14"/>
    </row>
    <row r="5279" spans="4:6" x14ac:dyDescent="0.25">
      <c r="D5279" s="15"/>
      <c r="F5279" s="14"/>
    </row>
    <row r="5280" spans="4:6" x14ac:dyDescent="0.25">
      <c r="D5280" s="15"/>
      <c r="F5280" s="14"/>
    </row>
    <row r="5281" spans="4:6" x14ac:dyDescent="0.25">
      <c r="D5281" s="15"/>
      <c r="F5281" s="14"/>
    </row>
    <row r="5282" spans="4:6" x14ac:dyDescent="0.25">
      <c r="D5282" s="15"/>
      <c r="F5282" s="14"/>
    </row>
    <row r="5283" spans="4:6" x14ac:dyDescent="0.25">
      <c r="D5283" s="15"/>
      <c r="F5283" s="14"/>
    </row>
    <row r="5284" spans="4:6" x14ac:dyDescent="0.25">
      <c r="D5284" s="15"/>
      <c r="F5284" s="14"/>
    </row>
    <row r="5285" spans="4:6" x14ac:dyDescent="0.25">
      <c r="D5285" s="15"/>
      <c r="F5285" s="14"/>
    </row>
    <row r="5286" spans="4:6" x14ac:dyDescent="0.25">
      <c r="D5286" s="15"/>
      <c r="F5286" s="14"/>
    </row>
    <row r="5287" spans="4:6" x14ac:dyDescent="0.25">
      <c r="D5287" s="15"/>
      <c r="F5287" s="14"/>
    </row>
    <row r="5288" spans="4:6" x14ac:dyDescent="0.25">
      <c r="D5288" s="15"/>
      <c r="F5288" s="14"/>
    </row>
    <row r="5289" spans="4:6" x14ac:dyDescent="0.25">
      <c r="D5289" s="15"/>
      <c r="F5289" s="14"/>
    </row>
    <row r="5290" spans="4:6" x14ac:dyDescent="0.25">
      <c r="D5290" s="15"/>
      <c r="F5290" s="14"/>
    </row>
    <row r="5291" spans="4:6" x14ac:dyDescent="0.25">
      <c r="D5291" s="15"/>
      <c r="F5291" s="14"/>
    </row>
    <row r="5292" spans="4:6" x14ac:dyDescent="0.25">
      <c r="D5292" s="15"/>
      <c r="F5292" s="14"/>
    </row>
    <row r="5293" spans="4:6" x14ac:dyDescent="0.25">
      <c r="D5293" s="15"/>
      <c r="F5293" s="14"/>
    </row>
    <row r="5294" spans="4:6" x14ac:dyDescent="0.25">
      <c r="D5294" s="15"/>
      <c r="F5294" s="14"/>
    </row>
    <row r="5295" spans="4:6" x14ac:dyDescent="0.25">
      <c r="D5295" s="15"/>
      <c r="F5295" s="14"/>
    </row>
    <row r="5296" spans="4:6" x14ac:dyDescent="0.25">
      <c r="D5296" s="15"/>
      <c r="F5296" s="14"/>
    </row>
    <row r="5297" spans="4:6" x14ac:dyDescent="0.25">
      <c r="D5297" s="15"/>
      <c r="F5297" s="14"/>
    </row>
    <row r="5298" spans="4:6" x14ac:dyDescent="0.25">
      <c r="D5298" s="15"/>
      <c r="F5298" s="14"/>
    </row>
    <row r="5299" spans="4:6" x14ac:dyDescent="0.25">
      <c r="D5299" s="15"/>
      <c r="F5299" s="14"/>
    </row>
    <row r="5300" spans="4:6" x14ac:dyDescent="0.25">
      <c r="D5300" s="15"/>
      <c r="F5300" s="14"/>
    </row>
    <row r="5301" spans="4:6" x14ac:dyDescent="0.25">
      <c r="D5301" s="15"/>
      <c r="F5301" s="14"/>
    </row>
    <row r="5302" spans="4:6" x14ac:dyDescent="0.25">
      <c r="D5302" s="15"/>
      <c r="F5302" s="14"/>
    </row>
    <row r="5303" spans="4:6" x14ac:dyDescent="0.25">
      <c r="D5303" s="15"/>
      <c r="F5303" s="14"/>
    </row>
    <row r="5304" spans="4:6" x14ac:dyDescent="0.25">
      <c r="D5304" s="15"/>
      <c r="F5304" s="14"/>
    </row>
    <row r="5305" spans="4:6" x14ac:dyDescent="0.25">
      <c r="D5305" s="15"/>
      <c r="F5305" s="14"/>
    </row>
    <row r="5306" spans="4:6" x14ac:dyDescent="0.25">
      <c r="D5306" s="15"/>
      <c r="F5306" s="14"/>
    </row>
    <row r="5307" spans="4:6" x14ac:dyDescent="0.25">
      <c r="D5307" s="15"/>
      <c r="F5307" s="14"/>
    </row>
    <row r="5308" spans="4:6" x14ac:dyDescent="0.25">
      <c r="D5308" s="15"/>
      <c r="F5308" s="14"/>
    </row>
    <row r="5309" spans="4:6" x14ac:dyDescent="0.25">
      <c r="D5309" s="15"/>
      <c r="F5309" s="14"/>
    </row>
    <row r="5310" spans="4:6" x14ac:dyDescent="0.25">
      <c r="D5310" s="15"/>
      <c r="F5310" s="14"/>
    </row>
    <row r="5311" spans="4:6" x14ac:dyDescent="0.25">
      <c r="D5311" s="15"/>
      <c r="F5311" s="14"/>
    </row>
    <row r="5312" spans="4:6" x14ac:dyDescent="0.25">
      <c r="D5312" s="15"/>
      <c r="F5312" s="14"/>
    </row>
    <row r="5313" spans="4:6" x14ac:dyDescent="0.25">
      <c r="D5313" s="15"/>
      <c r="F5313" s="14"/>
    </row>
    <row r="5314" spans="4:6" x14ac:dyDescent="0.25">
      <c r="D5314" s="15"/>
      <c r="F5314" s="14"/>
    </row>
    <row r="5315" spans="4:6" x14ac:dyDescent="0.25">
      <c r="D5315" s="15"/>
      <c r="F5315" s="14"/>
    </row>
    <row r="5316" spans="4:6" x14ac:dyDescent="0.25">
      <c r="D5316" s="15"/>
      <c r="F5316" s="14"/>
    </row>
    <row r="5317" spans="4:6" x14ac:dyDescent="0.25">
      <c r="D5317" s="15"/>
      <c r="F5317" s="14"/>
    </row>
    <row r="5318" spans="4:6" x14ac:dyDescent="0.25">
      <c r="D5318" s="15"/>
      <c r="F5318" s="14"/>
    </row>
    <row r="5319" spans="4:6" x14ac:dyDescent="0.25">
      <c r="D5319" s="15"/>
      <c r="F5319" s="14"/>
    </row>
    <row r="5320" spans="4:6" x14ac:dyDescent="0.25">
      <c r="D5320" s="15"/>
      <c r="F5320" s="14"/>
    </row>
    <row r="5321" spans="4:6" x14ac:dyDescent="0.25">
      <c r="D5321" s="15"/>
      <c r="F5321" s="14"/>
    </row>
    <row r="5322" spans="4:6" x14ac:dyDescent="0.25">
      <c r="D5322" s="15"/>
      <c r="F5322" s="14"/>
    </row>
    <row r="5323" spans="4:6" x14ac:dyDescent="0.25">
      <c r="D5323" s="15"/>
      <c r="F5323" s="14"/>
    </row>
    <row r="5324" spans="4:6" x14ac:dyDescent="0.25">
      <c r="D5324" s="15"/>
      <c r="F5324" s="14"/>
    </row>
    <row r="5325" spans="4:6" x14ac:dyDescent="0.25">
      <c r="D5325" s="15"/>
      <c r="F5325" s="14"/>
    </row>
    <row r="5326" spans="4:6" x14ac:dyDescent="0.25">
      <c r="D5326" s="15"/>
      <c r="F5326" s="14"/>
    </row>
    <row r="5327" spans="4:6" x14ac:dyDescent="0.25">
      <c r="D5327" s="15"/>
      <c r="F5327" s="14"/>
    </row>
    <row r="5328" spans="4:6" x14ac:dyDescent="0.25">
      <c r="D5328" s="15"/>
      <c r="F5328" s="14"/>
    </row>
    <row r="5329" spans="4:6" x14ac:dyDescent="0.25">
      <c r="D5329" s="15"/>
      <c r="F5329" s="14"/>
    </row>
    <row r="5330" spans="4:6" x14ac:dyDescent="0.25">
      <c r="D5330" s="15"/>
      <c r="F5330" s="14"/>
    </row>
    <row r="5331" spans="4:6" x14ac:dyDescent="0.25">
      <c r="D5331" s="15"/>
      <c r="F5331" s="14"/>
    </row>
    <row r="5332" spans="4:6" x14ac:dyDescent="0.25">
      <c r="D5332" s="15"/>
      <c r="F5332" s="14"/>
    </row>
    <row r="5333" spans="4:6" x14ac:dyDescent="0.25">
      <c r="D5333" s="15"/>
      <c r="F5333" s="14"/>
    </row>
    <row r="5334" spans="4:6" x14ac:dyDescent="0.25">
      <c r="D5334" s="15"/>
      <c r="F5334" s="14"/>
    </row>
    <row r="5335" spans="4:6" x14ac:dyDescent="0.25">
      <c r="D5335" s="15"/>
      <c r="F5335" s="14"/>
    </row>
    <row r="5336" spans="4:6" x14ac:dyDescent="0.25">
      <c r="D5336" s="15"/>
      <c r="F5336" s="14"/>
    </row>
    <row r="5337" spans="4:6" x14ac:dyDescent="0.25">
      <c r="D5337" s="15"/>
      <c r="F5337" s="14"/>
    </row>
    <row r="5338" spans="4:6" x14ac:dyDescent="0.25">
      <c r="D5338" s="15"/>
      <c r="F5338" s="14"/>
    </row>
    <row r="5339" spans="4:6" x14ac:dyDescent="0.25">
      <c r="D5339" s="15"/>
      <c r="F5339" s="14"/>
    </row>
    <row r="5340" spans="4:6" x14ac:dyDescent="0.25">
      <c r="D5340" s="15"/>
      <c r="F5340" s="14"/>
    </row>
    <row r="5341" spans="4:6" x14ac:dyDescent="0.25">
      <c r="D5341" s="15"/>
      <c r="F5341" s="14"/>
    </row>
    <row r="5342" spans="4:6" x14ac:dyDescent="0.25">
      <c r="D5342" s="15"/>
      <c r="F5342" s="14"/>
    </row>
    <row r="5343" spans="4:6" x14ac:dyDescent="0.25">
      <c r="D5343" s="15"/>
      <c r="F5343" s="14"/>
    </row>
    <row r="5344" spans="4:6" x14ac:dyDescent="0.25">
      <c r="D5344" s="15"/>
      <c r="F5344" s="14"/>
    </row>
    <row r="5345" spans="4:6" x14ac:dyDescent="0.25">
      <c r="D5345" s="15"/>
      <c r="F5345" s="14"/>
    </row>
    <row r="5346" spans="4:6" x14ac:dyDescent="0.25">
      <c r="D5346" s="15"/>
      <c r="F5346" s="14"/>
    </row>
    <row r="5347" spans="4:6" x14ac:dyDescent="0.25">
      <c r="D5347" s="15"/>
      <c r="F5347" s="14"/>
    </row>
    <row r="5348" spans="4:6" x14ac:dyDescent="0.25">
      <c r="D5348" s="15"/>
      <c r="F5348" s="14"/>
    </row>
    <row r="5349" spans="4:6" x14ac:dyDescent="0.25">
      <c r="D5349" s="15"/>
      <c r="F5349" s="14"/>
    </row>
    <row r="5350" spans="4:6" x14ac:dyDescent="0.25">
      <c r="D5350" s="15"/>
      <c r="F5350" s="14"/>
    </row>
    <row r="5351" spans="4:6" x14ac:dyDescent="0.25">
      <c r="D5351" s="15"/>
      <c r="F5351" s="14"/>
    </row>
    <row r="5352" spans="4:6" x14ac:dyDescent="0.25">
      <c r="D5352" s="15"/>
      <c r="F5352" s="14"/>
    </row>
    <row r="5353" spans="4:6" x14ac:dyDescent="0.25">
      <c r="D5353" s="15"/>
      <c r="F5353" s="14"/>
    </row>
    <row r="5354" spans="4:6" x14ac:dyDescent="0.25">
      <c r="D5354" s="15"/>
      <c r="F5354" s="14"/>
    </row>
    <row r="5355" spans="4:6" x14ac:dyDescent="0.25">
      <c r="D5355" s="15"/>
      <c r="F5355" s="14"/>
    </row>
    <row r="5356" spans="4:6" x14ac:dyDescent="0.25">
      <c r="D5356" s="15"/>
      <c r="F5356" s="14"/>
    </row>
    <row r="5357" spans="4:6" x14ac:dyDescent="0.25">
      <c r="D5357" s="15"/>
      <c r="F5357" s="14"/>
    </row>
    <row r="5358" spans="4:6" x14ac:dyDescent="0.25">
      <c r="D5358" s="15"/>
      <c r="F5358" s="14"/>
    </row>
    <row r="5359" spans="4:6" x14ac:dyDescent="0.25">
      <c r="D5359" s="15"/>
      <c r="F5359" s="14"/>
    </row>
    <row r="5360" spans="4:6" x14ac:dyDescent="0.25">
      <c r="D5360" s="15"/>
      <c r="F5360" s="14"/>
    </row>
    <row r="5361" spans="4:6" x14ac:dyDescent="0.25">
      <c r="D5361" s="15"/>
      <c r="F5361" s="14"/>
    </row>
    <row r="5362" spans="4:6" x14ac:dyDescent="0.25">
      <c r="D5362" s="15"/>
      <c r="F5362" s="14"/>
    </row>
    <row r="5363" spans="4:6" x14ac:dyDescent="0.25">
      <c r="D5363" s="15"/>
      <c r="F5363" s="14"/>
    </row>
    <row r="5364" spans="4:6" x14ac:dyDescent="0.25">
      <c r="D5364" s="15"/>
      <c r="F5364" s="14"/>
    </row>
    <row r="5365" spans="4:6" x14ac:dyDescent="0.25">
      <c r="D5365" s="15"/>
      <c r="F5365" s="14"/>
    </row>
    <row r="5366" spans="4:6" x14ac:dyDescent="0.25">
      <c r="D5366" s="15"/>
      <c r="F5366" s="14"/>
    </row>
    <row r="5367" spans="4:6" x14ac:dyDescent="0.25">
      <c r="D5367" s="15"/>
      <c r="F5367" s="14"/>
    </row>
    <row r="5368" spans="4:6" x14ac:dyDescent="0.25">
      <c r="D5368" s="15"/>
      <c r="F5368" s="14"/>
    </row>
    <row r="5369" spans="4:6" x14ac:dyDescent="0.25">
      <c r="D5369" s="15"/>
      <c r="F5369" s="14"/>
    </row>
    <row r="5370" spans="4:6" x14ac:dyDescent="0.25">
      <c r="D5370" s="15"/>
      <c r="F5370" s="14"/>
    </row>
    <row r="5371" spans="4:6" x14ac:dyDescent="0.25">
      <c r="D5371" s="15"/>
      <c r="F5371" s="14"/>
    </row>
    <row r="5372" spans="4:6" x14ac:dyDescent="0.25">
      <c r="D5372" s="15"/>
      <c r="F5372" s="14"/>
    </row>
    <row r="5373" spans="4:6" x14ac:dyDescent="0.25">
      <c r="D5373" s="15"/>
      <c r="F5373" s="14"/>
    </row>
    <row r="5374" spans="4:6" x14ac:dyDescent="0.25">
      <c r="D5374" s="15"/>
      <c r="F5374" s="14"/>
    </row>
    <row r="5375" spans="4:6" x14ac:dyDescent="0.25">
      <c r="D5375" s="15"/>
      <c r="F5375" s="14"/>
    </row>
    <row r="5376" spans="4:6" x14ac:dyDescent="0.25">
      <c r="D5376" s="15"/>
      <c r="F5376" s="14"/>
    </row>
    <row r="5377" spans="4:6" x14ac:dyDescent="0.25">
      <c r="D5377" s="15"/>
      <c r="F5377" s="14"/>
    </row>
    <row r="5378" spans="4:6" x14ac:dyDescent="0.25">
      <c r="D5378" s="15"/>
      <c r="F5378" s="14"/>
    </row>
    <row r="5379" spans="4:6" x14ac:dyDescent="0.25">
      <c r="D5379" s="15"/>
      <c r="F5379" s="14"/>
    </row>
    <row r="5380" spans="4:6" x14ac:dyDescent="0.25">
      <c r="D5380" s="15"/>
      <c r="F5380" s="14"/>
    </row>
    <row r="5381" spans="4:6" x14ac:dyDescent="0.25">
      <c r="D5381" s="15"/>
      <c r="F5381" s="14"/>
    </row>
    <row r="5382" spans="4:6" x14ac:dyDescent="0.25">
      <c r="D5382" s="15"/>
      <c r="F5382" s="14"/>
    </row>
    <row r="5383" spans="4:6" x14ac:dyDescent="0.25">
      <c r="D5383" s="15"/>
      <c r="F5383" s="14"/>
    </row>
    <row r="5384" spans="4:6" x14ac:dyDescent="0.25">
      <c r="D5384" s="15"/>
      <c r="F5384" s="14"/>
    </row>
    <row r="5385" spans="4:6" x14ac:dyDescent="0.25">
      <c r="D5385" s="15"/>
      <c r="F5385" s="14"/>
    </row>
    <row r="5386" spans="4:6" x14ac:dyDescent="0.25">
      <c r="D5386" s="15"/>
      <c r="F5386" s="14"/>
    </row>
    <row r="5387" spans="4:6" x14ac:dyDescent="0.25">
      <c r="D5387" s="15"/>
      <c r="F5387" s="14"/>
    </row>
    <row r="5388" spans="4:6" x14ac:dyDescent="0.25">
      <c r="D5388" s="15"/>
      <c r="F5388" s="14"/>
    </row>
    <row r="5389" spans="4:6" x14ac:dyDescent="0.25">
      <c r="D5389" s="15"/>
      <c r="F5389" s="14"/>
    </row>
    <row r="5390" spans="4:6" x14ac:dyDescent="0.25">
      <c r="D5390" s="15"/>
      <c r="F5390" s="14"/>
    </row>
    <row r="5391" spans="4:6" x14ac:dyDescent="0.25">
      <c r="D5391" s="15"/>
      <c r="F5391" s="14"/>
    </row>
    <row r="5392" spans="4:6" x14ac:dyDescent="0.25">
      <c r="D5392" s="15"/>
      <c r="F5392" s="14"/>
    </row>
    <row r="5393" spans="4:6" x14ac:dyDescent="0.25">
      <c r="D5393" s="15"/>
      <c r="F5393" s="14"/>
    </row>
    <row r="5394" spans="4:6" x14ac:dyDescent="0.25">
      <c r="D5394" s="15"/>
      <c r="F5394" s="14"/>
    </row>
    <row r="5395" spans="4:6" x14ac:dyDescent="0.25">
      <c r="D5395" s="15"/>
      <c r="F5395" s="14"/>
    </row>
    <row r="5396" spans="4:6" x14ac:dyDescent="0.25">
      <c r="D5396" s="15"/>
      <c r="F5396" s="14"/>
    </row>
    <row r="5397" spans="4:6" x14ac:dyDescent="0.25">
      <c r="D5397" s="15"/>
      <c r="F5397" s="14"/>
    </row>
    <row r="5398" spans="4:6" x14ac:dyDescent="0.25">
      <c r="D5398" s="15"/>
      <c r="F5398" s="14"/>
    </row>
    <row r="5399" spans="4:6" x14ac:dyDescent="0.25">
      <c r="D5399" s="15"/>
      <c r="F5399" s="14"/>
    </row>
    <row r="5400" spans="4:6" x14ac:dyDescent="0.25">
      <c r="D5400" s="15"/>
      <c r="F5400" s="14"/>
    </row>
    <row r="5401" spans="4:6" x14ac:dyDescent="0.25">
      <c r="D5401" s="15"/>
      <c r="F5401" s="14"/>
    </row>
    <row r="5402" spans="4:6" x14ac:dyDescent="0.25">
      <c r="D5402" s="15"/>
      <c r="F5402" s="14"/>
    </row>
    <row r="5403" spans="4:6" x14ac:dyDescent="0.25">
      <c r="D5403" s="15"/>
      <c r="F5403" s="14"/>
    </row>
    <row r="5404" spans="4:6" x14ac:dyDescent="0.25">
      <c r="D5404" s="15"/>
      <c r="F5404" s="14"/>
    </row>
    <row r="5405" spans="4:6" x14ac:dyDescent="0.25">
      <c r="D5405" s="15"/>
      <c r="F5405" s="14"/>
    </row>
    <row r="5406" spans="4:6" x14ac:dyDescent="0.25">
      <c r="D5406" s="15"/>
      <c r="F5406" s="14"/>
    </row>
    <row r="5407" spans="4:6" x14ac:dyDescent="0.25">
      <c r="D5407" s="15"/>
      <c r="F5407" s="14"/>
    </row>
    <row r="5408" spans="4:6" x14ac:dyDescent="0.25">
      <c r="D5408" s="15"/>
      <c r="F5408" s="14"/>
    </row>
    <row r="5409" spans="4:6" x14ac:dyDescent="0.25">
      <c r="D5409" s="15"/>
      <c r="F5409" s="14"/>
    </row>
    <row r="5410" spans="4:6" x14ac:dyDescent="0.25">
      <c r="D5410" s="15"/>
      <c r="F5410" s="14"/>
    </row>
    <row r="5411" spans="4:6" x14ac:dyDescent="0.25">
      <c r="D5411" s="15"/>
      <c r="F5411" s="14"/>
    </row>
    <row r="5412" spans="4:6" x14ac:dyDescent="0.25">
      <c r="D5412" s="15"/>
      <c r="F5412" s="14"/>
    </row>
    <row r="5413" spans="4:6" x14ac:dyDescent="0.25">
      <c r="D5413" s="15"/>
      <c r="F5413" s="14"/>
    </row>
    <row r="5414" spans="4:6" x14ac:dyDescent="0.25">
      <c r="D5414" s="15"/>
      <c r="F5414" s="14"/>
    </row>
    <row r="5415" spans="4:6" x14ac:dyDescent="0.25">
      <c r="D5415" s="15"/>
      <c r="F5415" s="14"/>
    </row>
    <row r="5416" spans="4:6" x14ac:dyDescent="0.25">
      <c r="D5416" s="15"/>
      <c r="F5416" s="14"/>
    </row>
    <row r="5417" spans="4:6" x14ac:dyDescent="0.25">
      <c r="D5417" s="15"/>
      <c r="F5417" s="14"/>
    </row>
    <row r="5418" spans="4:6" x14ac:dyDescent="0.25">
      <c r="D5418" s="15"/>
      <c r="F5418" s="14"/>
    </row>
    <row r="5419" spans="4:6" x14ac:dyDescent="0.25">
      <c r="D5419" s="15"/>
      <c r="F5419" s="14"/>
    </row>
    <row r="5420" spans="4:6" x14ac:dyDescent="0.25">
      <c r="D5420" s="15"/>
      <c r="F5420" s="14"/>
    </row>
    <row r="5421" spans="4:6" x14ac:dyDescent="0.25">
      <c r="D5421" s="15"/>
      <c r="F5421" s="14"/>
    </row>
    <row r="5422" spans="4:6" x14ac:dyDescent="0.25">
      <c r="D5422" s="15"/>
      <c r="F5422" s="14"/>
    </row>
    <row r="5423" spans="4:6" x14ac:dyDescent="0.25">
      <c r="D5423" s="15"/>
      <c r="F5423" s="14"/>
    </row>
    <row r="5424" spans="4:6" x14ac:dyDescent="0.25">
      <c r="D5424" s="15"/>
      <c r="F5424" s="14"/>
    </row>
    <row r="5425" spans="4:6" x14ac:dyDescent="0.25">
      <c r="D5425" s="15"/>
      <c r="F5425" s="14"/>
    </row>
    <row r="5426" spans="4:6" x14ac:dyDescent="0.25">
      <c r="D5426" s="15"/>
      <c r="F5426" s="14"/>
    </row>
    <row r="5427" spans="4:6" x14ac:dyDescent="0.25">
      <c r="D5427" s="15"/>
      <c r="F5427" s="14"/>
    </row>
    <row r="5428" spans="4:6" x14ac:dyDescent="0.25">
      <c r="D5428" s="15"/>
      <c r="F5428" s="14"/>
    </row>
    <row r="5429" spans="4:6" x14ac:dyDescent="0.25">
      <c r="D5429" s="15"/>
      <c r="F5429" s="14"/>
    </row>
    <row r="5430" spans="4:6" x14ac:dyDescent="0.25">
      <c r="D5430" s="15"/>
      <c r="F5430" s="14"/>
    </row>
    <row r="5431" spans="4:6" x14ac:dyDescent="0.25">
      <c r="D5431" s="15"/>
      <c r="F5431" s="14"/>
    </row>
    <row r="5432" spans="4:6" x14ac:dyDescent="0.25">
      <c r="D5432" s="15"/>
      <c r="F5432" s="14"/>
    </row>
    <row r="5433" spans="4:6" x14ac:dyDescent="0.25">
      <c r="D5433" s="15"/>
      <c r="F5433" s="14"/>
    </row>
    <row r="5434" spans="4:6" x14ac:dyDescent="0.25">
      <c r="D5434" s="15"/>
      <c r="F5434" s="14"/>
    </row>
    <row r="5435" spans="4:6" x14ac:dyDescent="0.25">
      <c r="D5435" s="15"/>
      <c r="F5435" s="14"/>
    </row>
    <row r="5436" spans="4:6" x14ac:dyDescent="0.25">
      <c r="D5436" s="15"/>
      <c r="F5436" s="14"/>
    </row>
    <row r="5437" spans="4:6" x14ac:dyDescent="0.25">
      <c r="D5437" s="15"/>
      <c r="F5437" s="14"/>
    </row>
    <row r="5438" spans="4:6" x14ac:dyDescent="0.25">
      <c r="D5438" s="15"/>
      <c r="F5438" s="14"/>
    </row>
    <row r="5439" spans="4:6" x14ac:dyDescent="0.25">
      <c r="D5439" s="15"/>
      <c r="F5439" s="14"/>
    </row>
    <row r="5440" spans="4:6" x14ac:dyDescent="0.25">
      <c r="D5440" s="15"/>
      <c r="F5440" s="14"/>
    </row>
    <row r="5441" spans="4:6" x14ac:dyDescent="0.25">
      <c r="D5441" s="15"/>
      <c r="F5441" s="14"/>
    </row>
    <row r="5442" spans="4:6" x14ac:dyDescent="0.25">
      <c r="D5442" s="15"/>
      <c r="F5442" s="14"/>
    </row>
    <row r="5443" spans="4:6" x14ac:dyDescent="0.25">
      <c r="D5443" s="15"/>
      <c r="F5443" s="14"/>
    </row>
    <row r="5444" spans="4:6" x14ac:dyDescent="0.25">
      <c r="D5444" s="15"/>
      <c r="F5444" s="14"/>
    </row>
    <row r="5445" spans="4:6" x14ac:dyDescent="0.25">
      <c r="D5445" s="15"/>
      <c r="F5445" s="14"/>
    </row>
    <row r="5446" spans="4:6" x14ac:dyDescent="0.25">
      <c r="D5446" s="15"/>
      <c r="F5446" s="14"/>
    </row>
    <row r="5447" spans="4:6" x14ac:dyDescent="0.25">
      <c r="D5447" s="15"/>
      <c r="F5447" s="14"/>
    </row>
    <row r="5448" spans="4:6" x14ac:dyDescent="0.25">
      <c r="D5448" s="15"/>
      <c r="F5448" s="14"/>
    </row>
    <row r="5449" spans="4:6" x14ac:dyDescent="0.25">
      <c r="D5449" s="15"/>
      <c r="F5449" s="14"/>
    </row>
    <row r="5450" spans="4:6" x14ac:dyDescent="0.25">
      <c r="D5450" s="15"/>
      <c r="F5450" s="14"/>
    </row>
    <row r="5451" spans="4:6" x14ac:dyDescent="0.25">
      <c r="D5451" s="15"/>
      <c r="F5451" s="14"/>
    </row>
    <row r="5452" spans="4:6" x14ac:dyDescent="0.25">
      <c r="D5452" s="15"/>
      <c r="F5452" s="14"/>
    </row>
    <row r="5453" spans="4:6" x14ac:dyDescent="0.25">
      <c r="D5453" s="15"/>
      <c r="F5453" s="14"/>
    </row>
    <row r="5454" spans="4:6" x14ac:dyDescent="0.25">
      <c r="D5454" s="15"/>
      <c r="F5454" s="14"/>
    </row>
    <row r="5455" spans="4:6" x14ac:dyDescent="0.25">
      <c r="D5455" s="15"/>
      <c r="F5455" s="14"/>
    </row>
    <row r="5456" spans="4:6" x14ac:dyDescent="0.25">
      <c r="D5456" s="15"/>
      <c r="F5456" s="14"/>
    </row>
    <row r="5457" spans="4:6" x14ac:dyDescent="0.25">
      <c r="D5457" s="15"/>
      <c r="F5457" s="14"/>
    </row>
    <row r="5458" spans="4:6" x14ac:dyDescent="0.25">
      <c r="D5458" s="15"/>
      <c r="F5458" s="14"/>
    </row>
    <row r="5459" spans="4:6" x14ac:dyDescent="0.25">
      <c r="D5459" s="15"/>
      <c r="F5459" s="14"/>
    </row>
    <row r="5460" spans="4:6" x14ac:dyDescent="0.25">
      <c r="D5460" s="15"/>
      <c r="F5460" s="14"/>
    </row>
    <row r="5461" spans="4:6" x14ac:dyDescent="0.25">
      <c r="D5461" s="15"/>
      <c r="F5461" s="14"/>
    </row>
    <row r="5462" spans="4:6" x14ac:dyDescent="0.25">
      <c r="D5462" s="15"/>
      <c r="F5462" s="14"/>
    </row>
    <row r="5463" spans="4:6" x14ac:dyDescent="0.25">
      <c r="D5463" s="15"/>
      <c r="F5463" s="14"/>
    </row>
    <row r="5464" spans="4:6" x14ac:dyDescent="0.25">
      <c r="D5464" s="15"/>
      <c r="F5464" s="14"/>
    </row>
    <row r="5465" spans="4:6" x14ac:dyDescent="0.25">
      <c r="D5465" s="15"/>
      <c r="F5465" s="14"/>
    </row>
    <row r="5466" spans="4:6" x14ac:dyDescent="0.25">
      <c r="D5466" s="15"/>
      <c r="F5466" s="14"/>
    </row>
    <row r="5467" spans="4:6" x14ac:dyDescent="0.25">
      <c r="D5467" s="15"/>
      <c r="F5467" s="14"/>
    </row>
    <row r="5468" spans="4:6" x14ac:dyDescent="0.25">
      <c r="D5468" s="15"/>
      <c r="F5468" s="14"/>
    </row>
    <row r="5469" spans="4:6" x14ac:dyDescent="0.25">
      <c r="D5469" s="15"/>
      <c r="F5469" s="14"/>
    </row>
    <row r="5470" spans="4:6" x14ac:dyDescent="0.25">
      <c r="D5470" s="15"/>
      <c r="F5470" s="14"/>
    </row>
    <row r="5471" spans="4:6" x14ac:dyDescent="0.25">
      <c r="D5471" s="15"/>
      <c r="F5471" s="14"/>
    </row>
    <row r="5472" spans="4:6" x14ac:dyDescent="0.25">
      <c r="D5472" s="15"/>
      <c r="F5472" s="14"/>
    </row>
    <row r="5473" spans="4:6" x14ac:dyDescent="0.25">
      <c r="D5473" s="15"/>
      <c r="F5473" s="14"/>
    </row>
    <row r="5474" spans="4:6" x14ac:dyDescent="0.25">
      <c r="D5474" s="15"/>
      <c r="F5474" s="14"/>
    </row>
    <row r="5475" spans="4:6" x14ac:dyDescent="0.25">
      <c r="D5475" s="15"/>
      <c r="F5475" s="14"/>
    </row>
    <row r="5476" spans="4:6" x14ac:dyDescent="0.25">
      <c r="D5476" s="15"/>
      <c r="F5476" s="14"/>
    </row>
    <row r="5477" spans="4:6" x14ac:dyDescent="0.25">
      <c r="D5477" s="15"/>
      <c r="F5477" s="14"/>
    </row>
    <row r="5478" spans="4:6" x14ac:dyDescent="0.25">
      <c r="D5478" s="15"/>
      <c r="F5478" s="14"/>
    </row>
    <row r="5479" spans="4:6" x14ac:dyDescent="0.25">
      <c r="D5479" s="15"/>
      <c r="F5479" s="14"/>
    </row>
    <row r="5480" spans="4:6" x14ac:dyDescent="0.25">
      <c r="D5480" s="15"/>
      <c r="F5480" s="14"/>
    </row>
    <row r="5481" spans="4:6" x14ac:dyDescent="0.25">
      <c r="D5481" s="15"/>
      <c r="F5481" s="14"/>
    </row>
    <row r="5482" spans="4:6" x14ac:dyDescent="0.25">
      <c r="D5482" s="15"/>
      <c r="F5482" s="14"/>
    </row>
    <row r="5483" spans="4:6" x14ac:dyDescent="0.25">
      <c r="D5483" s="15"/>
      <c r="F5483" s="14"/>
    </row>
    <row r="5484" spans="4:6" x14ac:dyDescent="0.25">
      <c r="D5484" s="15"/>
      <c r="F5484" s="14"/>
    </row>
    <row r="5485" spans="4:6" x14ac:dyDescent="0.25">
      <c r="D5485" s="15"/>
      <c r="F5485" s="14"/>
    </row>
    <row r="5486" spans="4:6" x14ac:dyDescent="0.25">
      <c r="D5486" s="15"/>
      <c r="F5486" s="14"/>
    </row>
    <row r="5487" spans="4:6" x14ac:dyDescent="0.25">
      <c r="D5487" s="15"/>
      <c r="F5487" s="14"/>
    </row>
    <row r="5488" spans="4:6" x14ac:dyDescent="0.25">
      <c r="D5488" s="15"/>
      <c r="F5488" s="14"/>
    </row>
    <row r="5489" spans="4:6" x14ac:dyDescent="0.25">
      <c r="D5489" s="15"/>
      <c r="F5489" s="14"/>
    </row>
    <row r="5490" spans="4:6" x14ac:dyDescent="0.25">
      <c r="D5490" s="15"/>
      <c r="F5490" s="14"/>
    </row>
    <row r="5491" spans="4:6" x14ac:dyDescent="0.25">
      <c r="D5491" s="15"/>
      <c r="F5491" s="14"/>
    </row>
    <row r="5492" spans="4:6" x14ac:dyDescent="0.25">
      <c r="D5492" s="15"/>
      <c r="F5492" s="14"/>
    </row>
    <row r="5493" spans="4:6" x14ac:dyDescent="0.25">
      <c r="D5493" s="15"/>
      <c r="F5493" s="14"/>
    </row>
    <row r="5494" spans="4:6" x14ac:dyDescent="0.25">
      <c r="D5494" s="15"/>
      <c r="F5494" s="14"/>
    </row>
    <row r="5495" spans="4:6" x14ac:dyDescent="0.25">
      <c r="D5495" s="15"/>
      <c r="F5495" s="14"/>
    </row>
    <row r="5496" spans="4:6" x14ac:dyDescent="0.25">
      <c r="D5496" s="15"/>
      <c r="F5496" s="14"/>
    </row>
    <row r="5497" spans="4:6" x14ac:dyDescent="0.25">
      <c r="D5497" s="15"/>
      <c r="F5497" s="14"/>
    </row>
    <row r="5498" spans="4:6" x14ac:dyDescent="0.25">
      <c r="D5498" s="15"/>
      <c r="F5498" s="14"/>
    </row>
    <row r="5499" spans="4:6" x14ac:dyDescent="0.25">
      <c r="D5499" s="15"/>
      <c r="F5499" s="14"/>
    </row>
    <row r="5500" spans="4:6" x14ac:dyDescent="0.25">
      <c r="D5500" s="15"/>
      <c r="F5500" s="14"/>
    </row>
    <row r="5501" spans="4:6" x14ac:dyDescent="0.25">
      <c r="D5501" s="15"/>
      <c r="F5501" s="14"/>
    </row>
    <row r="5502" spans="4:6" x14ac:dyDescent="0.25">
      <c r="D5502" s="15"/>
      <c r="F5502" s="14"/>
    </row>
    <row r="5503" spans="4:6" x14ac:dyDescent="0.25">
      <c r="D5503" s="15"/>
      <c r="F5503" s="14"/>
    </row>
    <row r="5504" spans="4:6" x14ac:dyDescent="0.25">
      <c r="D5504" s="15"/>
      <c r="F5504" s="14"/>
    </row>
    <row r="5505" spans="4:6" x14ac:dyDescent="0.25">
      <c r="D5505" s="15"/>
      <c r="F5505" s="14"/>
    </row>
    <row r="5506" spans="4:6" x14ac:dyDescent="0.25">
      <c r="D5506" s="15"/>
      <c r="F5506" s="14"/>
    </row>
    <row r="5507" spans="4:6" x14ac:dyDescent="0.25">
      <c r="D5507" s="15"/>
      <c r="F5507" s="14"/>
    </row>
    <row r="5508" spans="4:6" x14ac:dyDescent="0.25">
      <c r="D5508" s="15"/>
      <c r="F5508" s="14"/>
    </row>
    <row r="5509" spans="4:6" x14ac:dyDescent="0.25">
      <c r="D5509" s="15"/>
      <c r="F5509" s="14"/>
    </row>
    <row r="5510" spans="4:6" x14ac:dyDescent="0.25">
      <c r="D5510" s="15"/>
      <c r="F5510" s="14"/>
    </row>
    <row r="5511" spans="4:6" x14ac:dyDescent="0.25">
      <c r="D5511" s="15"/>
      <c r="F5511" s="14"/>
    </row>
    <row r="5512" spans="4:6" x14ac:dyDescent="0.25">
      <c r="D5512" s="15"/>
      <c r="F5512" s="14"/>
    </row>
    <row r="5513" spans="4:6" x14ac:dyDescent="0.25">
      <c r="D5513" s="15"/>
      <c r="F5513" s="14"/>
    </row>
    <row r="5514" spans="4:6" x14ac:dyDescent="0.25">
      <c r="D5514" s="15"/>
      <c r="F5514" s="14"/>
    </row>
    <row r="5515" spans="4:6" x14ac:dyDescent="0.25">
      <c r="D5515" s="15"/>
      <c r="F5515" s="14"/>
    </row>
    <row r="5516" spans="4:6" x14ac:dyDescent="0.25">
      <c r="D5516" s="15"/>
      <c r="F5516" s="14"/>
    </row>
    <row r="5517" spans="4:6" x14ac:dyDescent="0.25">
      <c r="D5517" s="15"/>
      <c r="F5517" s="14"/>
    </row>
    <row r="5518" spans="4:6" x14ac:dyDescent="0.25">
      <c r="D5518" s="15"/>
      <c r="F5518" s="14"/>
    </row>
    <row r="5519" spans="4:6" x14ac:dyDescent="0.25">
      <c r="D5519" s="15"/>
      <c r="F5519" s="14"/>
    </row>
    <row r="5520" spans="4:6" x14ac:dyDescent="0.25">
      <c r="D5520" s="15"/>
      <c r="F5520" s="14"/>
    </row>
    <row r="5521" spans="4:6" x14ac:dyDescent="0.25">
      <c r="D5521" s="15"/>
      <c r="F5521" s="14"/>
    </row>
    <row r="5522" spans="4:6" x14ac:dyDescent="0.25">
      <c r="D5522" s="15"/>
      <c r="F5522" s="14"/>
    </row>
    <row r="5523" spans="4:6" x14ac:dyDescent="0.25">
      <c r="D5523" s="15"/>
      <c r="F5523" s="14"/>
    </row>
    <row r="5524" spans="4:6" x14ac:dyDescent="0.25">
      <c r="D5524" s="15"/>
      <c r="F5524" s="14"/>
    </row>
    <row r="5525" spans="4:6" x14ac:dyDescent="0.25">
      <c r="D5525" s="15"/>
      <c r="F5525" s="14"/>
    </row>
    <row r="5526" spans="4:6" x14ac:dyDescent="0.25">
      <c r="D5526" s="15"/>
      <c r="F5526" s="14"/>
    </row>
    <row r="5527" spans="4:6" x14ac:dyDescent="0.25">
      <c r="D5527" s="15"/>
      <c r="F5527" s="14"/>
    </row>
    <row r="5528" spans="4:6" x14ac:dyDescent="0.25">
      <c r="D5528" s="15"/>
      <c r="F5528" s="14"/>
    </row>
    <row r="5529" spans="4:6" x14ac:dyDescent="0.25">
      <c r="D5529" s="15"/>
      <c r="F5529" s="14"/>
    </row>
    <row r="5530" spans="4:6" x14ac:dyDescent="0.25">
      <c r="D5530" s="15"/>
      <c r="F5530" s="14"/>
    </row>
    <row r="5531" spans="4:6" x14ac:dyDescent="0.25">
      <c r="D5531" s="15"/>
      <c r="F5531" s="14"/>
    </row>
    <row r="5532" spans="4:6" x14ac:dyDescent="0.25">
      <c r="D5532" s="15"/>
      <c r="F5532" s="14"/>
    </row>
    <row r="5533" spans="4:6" x14ac:dyDescent="0.25">
      <c r="D5533" s="15"/>
      <c r="F5533" s="14"/>
    </row>
    <row r="5534" spans="4:6" x14ac:dyDescent="0.25">
      <c r="D5534" s="15"/>
      <c r="F5534" s="14"/>
    </row>
    <row r="5535" spans="4:6" x14ac:dyDescent="0.25">
      <c r="D5535" s="15"/>
      <c r="F5535" s="14"/>
    </row>
    <row r="5536" spans="4:6" x14ac:dyDescent="0.25">
      <c r="D5536" s="15"/>
      <c r="F5536" s="14"/>
    </row>
    <row r="5537" spans="4:6" x14ac:dyDescent="0.25">
      <c r="D5537" s="15"/>
      <c r="F5537" s="14"/>
    </row>
    <row r="5538" spans="4:6" x14ac:dyDescent="0.25">
      <c r="D5538" s="15"/>
      <c r="F5538" s="14"/>
    </row>
    <row r="5539" spans="4:6" x14ac:dyDescent="0.25">
      <c r="D5539" s="15"/>
      <c r="F5539" s="14"/>
    </row>
    <row r="5540" spans="4:6" x14ac:dyDescent="0.25">
      <c r="D5540" s="15"/>
      <c r="F5540" s="14"/>
    </row>
    <row r="5541" spans="4:6" x14ac:dyDescent="0.25">
      <c r="D5541" s="15"/>
      <c r="F5541" s="14"/>
    </row>
    <row r="5542" spans="4:6" x14ac:dyDescent="0.25">
      <c r="D5542" s="15"/>
      <c r="F5542" s="14"/>
    </row>
    <row r="5543" spans="4:6" x14ac:dyDescent="0.25">
      <c r="D5543" s="15"/>
      <c r="F5543" s="14"/>
    </row>
    <row r="5544" spans="4:6" x14ac:dyDescent="0.25">
      <c r="D5544" s="15"/>
      <c r="F5544" s="14"/>
    </row>
    <row r="5545" spans="4:6" x14ac:dyDescent="0.25">
      <c r="D5545" s="15"/>
      <c r="F5545" s="14"/>
    </row>
    <row r="5546" spans="4:6" x14ac:dyDescent="0.25">
      <c r="D5546" s="15"/>
      <c r="F5546" s="14"/>
    </row>
    <row r="5547" spans="4:6" x14ac:dyDescent="0.25">
      <c r="D5547" s="15"/>
      <c r="F5547" s="14"/>
    </row>
    <row r="5548" spans="4:6" x14ac:dyDescent="0.25">
      <c r="D5548" s="15"/>
      <c r="F5548" s="14"/>
    </row>
    <row r="5549" spans="4:6" x14ac:dyDescent="0.25">
      <c r="D5549" s="15"/>
      <c r="F5549" s="14"/>
    </row>
    <row r="5550" spans="4:6" x14ac:dyDescent="0.25">
      <c r="D5550" s="15"/>
      <c r="F5550" s="14"/>
    </row>
    <row r="5551" spans="4:6" x14ac:dyDescent="0.25">
      <c r="D5551" s="15"/>
      <c r="F5551" s="14"/>
    </row>
    <row r="5552" spans="4:6" x14ac:dyDescent="0.25">
      <c r="D5552" s="15"/>
      <c r="F5552" s="14"/>
    </row>
    <row r="5553" spans="4:6" x14ac:dyDescent="0.25">
      <c r="D5553" s="15"/>
      <c r="F5553" s="14"/>
    </row>
    <row r="5554" spans="4:6" x14ac:dyDescent="0.25">
      <c r="D5554" s="15"/>
      <c r="F5554" s="14"/>
    </row>
    <row r="5555" spans="4:6" x14ac:dyDescent="0.25">
      <c r="D5555" s="15"/>
      <c r="F5555" s="14"/>
    </row>
    <row r="5556" spans="4:6" x14ac:dyDescent="0.25">
      <c r="D5556" s="15"/>
      <c r="F5556" s="14"/>
    </row>
    <row r="5557" spans="4:6" x14ac:dyDescent="0.25">
      <c r="D5557" s="15"/>
      <c r="F5557" s="14"/>
    </row>
    <row r="5558" spans="4:6" x14ac:dyDescent="0.25">
      <c r="D5558" s="15"/>
      <c r="F5558" s="14"/>
    </row>
    <row r="5559" spans="4:6" x14ac:dyDescent="0.25">
      <c r="D5559" s="15"/>
      <c r="F5559" s="14"/>
    </row>
    <row r="5560" spans="4:6" x14ac:dyDescent="0.25">
      <c r="D5560" s="15"/>
      <c r="F5560" s="14"/>
    </row>
    <row r="5561" spans="4:6" x14ac:dyDescent="0.25">
      <c r="D5561" s="15"/>
      <c r="F5561" s="14"/>
    </row>
    <row r="5562" spans="4:6" x14ac:dyDescent="0.25">
      <c r="D5562" s="15"/>
      <c r="F5562" s="14"/>
    </row>
    <row r="5563" spans="4:6" x14ac:dyDescent="0.25">
      <c r="D5563" s="15"/>
      <c r="F5563" s="14"/>
    </row>
    <row r="5564" spans="4:6" x14ac:dyDescent="0.25">
      <c r="D5564" s="15"/>
      <c r="F5564" s="14"/>
    </row>
    <row r="5565" spans="4:6" x14ac:dyDescent="0.25">
      <c r="D5565" s="15"/>
      <c r="F5565" s="14"/>
    </row>
    <row r="5566" spans="4:6" x14ac:dyDescent="0.25">
      <c r="D5566" s="15"/>
      <c r="F5566" s="14"/>
    </row>
    <row r="5567" spans="4:6" x14ac:dyDescent="0.25">
      <c r="D5567" s="15"/>
      <c r="F5567" s="14"/>
    </row>
    <row r="5568" spans="4:6" x14ac:dyDescent="0.25">
      <c r="D5568" s="15"/>
      <c r="F5568" s="14"/>
    </row>
    <row r="5569" spans="4:6" x14ac:dyDescent="0.25">
      <c r="D5569" s="15"/>
      <c r="F5569" s="14"/>
    </row>
    <row r="5570" spans="4:6" x14ac:dyDescent="0.25">
      <c r="D5570" s="15"/>
      <c r="F5570" s="14"/>
    </row>
    <row r="5571" spans="4:6" x14ac:dyDescent="0.25">
      <c r="D5571" s="15"/>
      <c r="F5571" s="14"/>
    </row>
    <row r="5572" spans="4:6" x14ac:dyDescent="0.25">
      <c r="D5572" s="15"/>
      <c r="F5572" s="14"/>
    </row>
    <row r="5573" spans="4:6" x14ac:dyDescent="0.25">
      <c r="D5573" s="15"/>
      <c r="F5573" s="14"/>
    </row>
    <row r="5574" spans="4:6" x14ac:dyDescent="0.25">
      <c r="D5574" s="15"/>
      <c r="F5574" s="14"/>
    </row>
    <row r="5575" spans="4:6" x14ac:dyDescent="0.25">
      <c r="D5575" s="15"/>
      <c r="F5575" s="14"/>
    </row>
    <row r="5576" spans="4:6" x14ac:dyDescent="0.25">
      <c r="D5576" s="15"/>
      <c r="F5576" s="14"/>
    </row>
    <row r="5577" spans="4:6" x14ac:dyDescent="0.25">
      <c r="D5577" s="15"/>
      <c r="F5577" s="14"/>
    </row>
    <row r="5578" spans="4:6" x14ac:dyDescent="0.25">
      <c r="D5578" s="15"/>
      <c r="F5578" s="14"/>
    </row>
    <row r="5579" spans="4:6" x14ac:dyDescent="0.25">
      <c r="D5579" s="15"/>
      <c r="F5579" s="14"/>
    </row>
    <row r="5580" spans="4:6" x14ac:dyDescent="0.25">
      <c r="D5580" s="15"/>
      <c r="F5580" s="14"/>
    </row>
    <row r="5581" spans="4:6" x14ac:dyDescent="0.25">
      <c r="D5581" s="15"/>
      <c r="F5581" s="14"/>
    </row>
    <row r="5582" spans="4:6" x14ac:dyDescent="0.25">
      <c r="D5582" s="15"/>
      <c r="F5582" s="14"/>
    </row>
    <row r="5583" spans="4:6" x14ac:dyDescent="0.25">
      <c r="D5583" s="15"/>
      <c r="F5583" s="14"/>
    </row>
    <row r="5584" spans="4:6" x14ac:dyDescent="0.25">
      <c r="D5584" s="15"/>
      <c r="F5584" s="14"/>
    </row>
    <row r="5585" spans="4:6" x14ac:dyDescent="0.25">
      <c r="D5585" s="15"/>
      <c r="F5585" s="14"/>
    </row>
    <row r="5586" spans="4:6" x14ac:dyDescent="0.25">
      <c r="D5586" s="15"/>
      <c r="F5586" s="14"/>
    </row>
    <row r="5587" spans="4:6" x14ac:dyDescent="0.25">
      <c r="D5587" s="15"/>
      <c r="F5587" s="14"/>
    </row>
    <row r="5588" spans="4:6" x14ac:dyDescent="0.25">
      <c r="D5588" s="15"/>
      <c r="F5588" s="14"/>
    </row>
    <row r="5589" spans="4:6" x14ac:dyDescent="0.25">
      <c r="D5589" s="15"/>
      <c r="F5589" s="14"/>
    </row>
    <row r="5590" spans="4:6" x14ac:dyDescent="0.25">
      <c r="D5590" s="15"/>
      <c r="F5590" s="14"/>
    </row>
    <row r="5591" spans="4:6" x14ac:dyDescent="0.25">
      <c r="D5591" s="15"/>
      <c r="F5591" s="14"/>
    </row>
    <row r="5592" spans="4:6" x14ac:dyDescent="0.25">
      <c r="D5592" s="15"/>
      <c r="F5592" s="14"/>
    </row>
    <row r="5593" spans="4:6" x14ac:dyDescent="0.25">
      <c r="D5593" s="15"/>
      <c r="F5593" s="14"/>
    </row>
    <row r="5594" spans="4:6" x14ac:dyDescent="0.25">
      <c r="D5594" s="15"/>
      <c r="F5594" s="14"/>
    </row>
    <row r="5595" spans="4:6" x14ac:dyDescent="0.25">
      <c r="D5595" s="15"/>
      <c r="F5595" s="14"/>
    </row>
    <row r="5596" spans="4:6" x14ac:dyDescent="0.25">
      <c r="D5596" s="15"/>
      <c r="F5596" s="14"/>
    </row>
    <row r="5597" spans="4:6" x14ac:dyDescent="0.25">
      <c r="D5597" s="15"/>
      <c r="F5597" s="14"/>
    </row>
    <row r="5598" spans="4:6" x14ac:dyDescent="0.25">
      <c r="D5598" s="15"/>
      <c r="F5598" s="14"/>
    </row>
    <row r="5599" spans="4:6" x14ac:dyDescent="0.25">
      <c r="D5599" s="15"/>
      <c r="F5599" s="14"/>
    </row>
    <row r="5600" spans="4:6" x14ac:dyDescent="0.25">
      <c r="D5600" s="15"/>
      <c r="F5600" s="14"/>
    </row>
    <row r="5601" spans="4:6" x14ac:dyDescent="0.25">
      <c r="D5601" s="15"/>
      <c r="F5601" s="14"/>
    </row>
    <row r="5602" spans="4:6" x14ac:dyDescent="0.25">
      <c r="D5602" s="15"/>
      <c r="F5602" s="14"/>
    </row>
    <row r="5603" spans="4:6" x14ac:dyDescent="0.25">
      <c r="D5603" s="15"/>
      <c r="F5603" s="14"/>
    </row>
    <row r="5604" spans="4:6" x14ac:dyDescent="0.25">
      <c r="D5604" s="15"/>
      <c r="F5604" s="14"/>
    </row>
    <row r="5605" spans="4:6" x14ac:dyDescent="0.25">
      <c r="D5605" s="15"/>
      <c r="F5605" s="14"/>
    </row>
    <row r="5606" spans="4:6" x14ac:dyDescent="0.25">
      <c r="D5606" s="15"/>
      <c r="F5606" s="14"/>
    </row>
    <row r="5607" spans="4:6" x14ac:dyDescent="0.25">
      <c r="D5607" s="15"/>
      <c r="F5607" s="14"/>
    </row>
    <row r="5608" spans="4:6" x14ac:dyDescent="0.25">
      <c r="D5608" s="15"/>
      <c r="F5608" s="14"/>
    </row>
    <row r="5609" spans="4:6" x14ac:dyDescent="0.25">
      <c r="D5609" s="15"/>
      <c r="F5609" s="14"/>
    </row>
    <row r="5610" spans="4:6" x14ac:dyDescent="0.25">
      <c r="D5610" s="15"/>
      <c r="F5610" s="14"/>
    </row>
    <row r="5611" spans="4:6" x14ac:dyDescent="0.25">
      <c r="D5611" s="15"/>
      <c r="F5611" s="14"/>
    </row>
    <row r="5612" spans="4:6" x14ac:dyDescent="0.25">
      <c r="D5612" s="15"/>
      <c r="F5612" s="14"/>
    </row>
    <row r="5613" spans="4:6" x14ac:dyDescent="0.25">
      <c r="D5613" s="15"/>
      <c r="F5613" s="14"/>
    </row>
    <row r="5614" spans="4:6" x14ac:dyDescent="0.25">
      <c r="D5614" s="15"/>
      <c r="F5614" s="14"/>
    </row>
    <row r="5615" spans="4:6" x14ac:dyDescent="0.25">
      <c r="D5615" s="15"/>
      <c r="F5615" s="14"/>
    </row>
    <row r="5616" spans="4:6" x14ac:dyDescent="0.25">
      <c r="D5616" s="15"/>
      <c r="F5616" s="14"/>
    </row>
    <row r="5617" spans="4:6" x14ac:dyDescent="0.25">
      <c r="D5617" s="15"/>
      <c r="F5617" s="14"/>
    </row>
    <row r="5618" spans="4:6" x14ac:dyDescent="0.25">
      <c r="D5618" s="15"/>
      <c r="F5618" s="14"/>
    </row>
    <row r="5619" spans="4:6" x14ac:dyDescent="0.25">
      <c r="D5619" s="15"/>
      <c r="F5619" s="14"/>
    </row>
    <row r="5620" spans="4:6" x14ac:dyDescent="0.25">
      <c r="D5620" s="15"/>
      <c r="F5620" s="14"/>
    </row>
    <row r="5621" spans="4:6" x14ac:dyDescent="0.25">
      <c r="D5621" s="15"/>
      <c r="F5621" s="14"/>
    </row>
    <row r="5622" spans="4:6" x14ac:dyDescent="0.25">
      <c r="D5622" s="15"/>
      <c r="F5622" s="14"/>
    </row>
    <row r="5623" spans="4:6" x14ac:dyDescent="0.25">
      <c r="D5623" s="15"/>
      <c r="F5623" s="14"/>
    </row>
    <row r="5624" spans="4:6" x14ac:dyDescent="0.25">
      <c r="D5624" s="15"/>
      <c r="F5624" s="14"/>
    </row>
    <row r="5625" spans="4:6" x14ac:dyDescent="0.25">
      <c r="D5625" s="15"/>
      <c r="F5625" s="14"/>
    </row>
    <row r="5626" spans="4:6" x14ac:dyDescent="0.25">
      <c r="D5626" s="15"/>
      <c r="F5626" s="14"/>
    </row>
    <row r="5627" spans="4:6" x14ac:dyDescent="0.25">
      <c r="D5627" s="15"/>
      <c r="F5627" s="14"/>
    </row>
    <row r="5628" spans="4:6" x14ac:dyDescent="0.25">
      <c r="D5628" s="15"/>
      <c r="F5628" s="14"/>
    </row>
    <row r="5629" spans="4:6" x14ac:dyDescent="0.25">
      <c r="D5629" s="15"/>
      <c r="F5629" s="14"/>
    </row>
    <row r="5630" spans="4:6" x14ac:dyDescent="0.25">
      <c r="D5630" s="15"/>
      <c r="F5630" s="14"/>
    </row>
    <row r="5631" spans="4:6" x14ac:dyDescent="0.25">
      <c r="D5631" s="15"/>
      <c r="F5631" s="14"/>
    </row>
    <row r="5632" spans="4:6" x14ac:dyDescent="0.25">
      <c r="D5632" s="15"/>
      <c r="F5632" s="14"/>
    </row>
    <row r="5633" spans="4:6" x14ac:dyDescent="0.25">
      <c r="D5633" s="15"/>
      <c r="F5633" s="14"/>
    </row>
    <row r="5634" spans="4:6" x14ac:dyDescent="0.25">
      <c r="D5634" s="15"/>
      <c r="F5634" s="14"/>
    </row>
    <row r="5635" spans="4:6" x14ac:dyDescent="0.25">
      <c r="D5635" s="15"/>
      <c r="F5635" s="14"/>
    </row>
    <row r="5636" spans="4:6" x14ac:dyDescent="0.25">
      <c r="D5636" s="15"/>
      <c r="F5636" s="14"/>
    </row>
    <row r="5637" spans="4:6" x14ac:dyDescent="0.25">
      <c r="D5637" s="15"/>
      <c r="F5637" s="14"/>
    </row>
    <row r="5638" spans="4:6" x14ac:dyDescent="0.25">
      <c r="D5638" s="15"/>
      <c r="F5638" s="14"/>
    </row>
    <row r="5639" spans="4:6" x14ac:dyDescent="0.25">
      <c r="D5639" s="15"/>
      <c r="F5639" s="14"/>
    </row>
    <row r="5640" spans="4:6" x14ac:dyDescent="0.25">
      <c r="D5640" s="15"/>
      <c r="F5640" s="14"/>
    </row>
    <row r="5641" spans="4:6" x14ac:dyDescent="0.25">
      <c r="D5641" s="15"/>
      <c r="F5641" s="14"/>
    </row>
    <row r="5642" spans="4:6" x14ac:dyDescent="0.25">
      <c r="D5642" s="15"/>
      <c r="F5642" s="14"/>
    </row>
    <row r="5643" spans="4:6" x14ac:dyDescent="0.25">
      <c r="D5643" s="15"/>
      <c r="F5643" s="14"/>
    </row>
    <row r="5644" spans="4:6" x14ac:dyDescent="0.25">
      <c r="D5644" s="15"/>
      <c r="F5644" s="14"/>
    </row>
    <row r="5645" spans="4:6" x14ac:dyDescent="0.25">
      <c r="D5645" s="15"/>
      <c r="F5645" s="14"/>
    </row>
    <row r="5646" spans="4:6" x14ac:dyDescent="0.25">
      <c r="D5646" s="15"/>
      <c r="F5646" s="14"/>
    </row>
    <row r="5647" spans="4:6" x14ac:dyDescent="0.25">
      <c r="D5647" s="15"/>
      <c r="F5647" s="14"/>
    </row>
    <row r="5648" spans="4:6" x14ac:dyDescent="0.25">
      <c r="D5648" s="15"/>
      <c r="F5648" s="14"/>
    </row>
    <row r="5649" spans="4:6" x14ac:dyDescent="0.25">
      <c r="D5649" s="15"/>
      <c r="F5649" s="14"/>
    </row>
    <row r="5650" spans="4:6" x14ac:dyDescent="0.25">
      <c r="D5650" s="15"/>
      <c r="F5650" s="14"/>
    </row>
    <row r="5651" spans="4:6" x14ac:dyDescent="0.25">
      <c r="D5651" s="15"/>
      <c r="F5651" s="14"/>
    </row>
    <row r="5652" spans="4:6" x14ac:dyDescent="0.25">
      <c r="D5652" s="15"/>
      <c r="F5652" s="14"/>
    </row>
    <row r="5653" spans="4:6" x14ac:dyDescent="0.25">
      <c r="D5653" s="15"/>
      <c r="F5653" s="14"/>
    </row>
    <row r="5654" spans="4:6" x14ac:dyDescent="0.25">
      <c r="D5654" s="15"/>
      <c r="F5654" s="14"/>
    </row>
    <row r="5655" spans="4:6" x14ac:dyDescent="0.25">
      <c r="D5655" s="15"/>
      <c r="F5655" s="14"/>
    </row>
    <row r="5656" spans="4:6" x14ac:dyDescent="0.25">
      <c r="D5656" s="15"/>
      <c r="F5656" s="14"/>
    </row>
    <row r="5657" spans="4:6" x14ac:dyDescent="0.25">
      <c r="D5657" s="15"/>
      <c r="F5657" s="14"/>
    </row>
    <row r="5658" spans="4:6" x14ac:dyDescent="0.25">
      <c r="D5658" s="15"/>
      <c r="F5658" s="14"/>
    </row>
    <row r="5659" spans="4:6" x14ac:dyDescent="0.25">
      <c r="D5659" s="15"/>
      <c r="F5659" s="14"/>
    </row>
    <row r="5660" spans="4:6" x14ac:dyDescent="0.25">
      <c r="D5660" s="15"/>
      <c r="F5660" s="14"/>
    </row>
    <row r="5661" spans="4:6" x14ac:dyDescent="0.25">
      <c r="D5661" s="15"/>
      <c r="F5661" s="14"/>
    </row>
    <row r="5662" spans="4:6" x14ac:dyDescent="0.25">
      <c r="D5662" s="15"/>
      <c r="F5662" s="14"/>
    </row>
    <row r="5663" spans="4:6" x14ac:dyDescent="0.25">
      <c r="D5663" s="15"/>
      <c r="F5663" s="14"/>
    </row>
    <row r="5664" spans="4:6" x14ac:dyDescent="0.25">
      <c r="D5664" s="15"/>
      <c r="F5664" s="14"/>
    </row>
    <row r="5665" spans="4:6" x14ac:dyDescent="0.25">
      <c r="D5665" s="15"/>
      <c r="F5665" s="14"/>
    </row>
    <row r="5666" spans="4:6" x14ac:dyDescent="0.25">
      <c r="D5666" s="15"/>
      <c r="F5666" s="14"/>
    </row>
    <row r="5667" spans="4:6" x14ac:dyDescent="0.25">
      <c r="D5667" s="15"/>
      <c r="F5667" s="14"/>
    </row>
    <row r="5668" spans="4:6" x14ac:dyDescent="0.25">
      <c r="D5668" s="15"/>
      <c r="F5668" s="14"/>
    </row>
    <row r="5669" spans="4:6" x14ac:dyDescent="0.25">
      <c r="D5669" s="15"/>
      <c r="F5669" s="14"/>
    </row>
    <row r="5670" spans="4:6" x14ac:dyDescent="0.25">
      <c r="D5670" s="15"/>
      <c r="F5670" s="14"/>
    </row>
    <row r="5671" spans="4:6" x14ac:dyDescent="0.25">
      <c r="D5671" s="15"/>
      <c r="F5671" s="14"/>
    </row>
    <row r="5672" spans="4:6" x14ac:dyDescent="0.25">
      <c r="D5672" s="15"/>
      <c r="F5672" s="14"/>
    </row>
    <row r="5673" spans="4:6" x14ac:dyDescent="0.25">
      <c r="D5673" s="15"/>
      <c r="F5673" s="14"/>
    </row>
    <row r="5674" spans="4:6" x14ac:dyDescent="0.25">
      <c r="D5674" s="15"/>
      <c r="F5674" s="14"/>
    </row>
    <row r="5675" spans="4:6" x14ac:dyDescent="0.25">
      <c r="D5675" s="15"/>
      <c r="F5675" s="14"/>
    </row>
    <row r="5676" spans="4:6" x14ac:dyDescent="0.25">
      <c r="D5676" s="15"/>
      <c r="F5676" s="14"/>
    </row>
    <row r="5677" spans="4:6" x14ac:dyDescent="0.25">
      <c r="D5677" s="15"/>
      <c r="F5677" s="14"/>
    </row>
    <row r="5678" spans="4:6" x14ac:dyDescent="0.25">
      <c r="D5678" s="15"/>
      <c r="F5678" s="14"/>
    </row>
    <row r="5679" spans="4:6" x14ac:dyDescent="0.25">
      <c r="D5679" s="15"/>
      <c r="F5679" s="14"/>
    </row>
    <row r="5680" spans="4:6" x14ac:dyDescent="0.25">
      <c r="D5680" s="15"/>
      <c r="F5680" s="14"/>
    </row>
    <row r="5681" spans="4:6" x14ac:dyDescent="0.25">
      <c r="D5681" s="15"/>
      <c r="F5681" s="14"/>
    </row>
    <row r="5682" spans="4:6" x14ac:dyDescent="0.25">
      <c r="D5682" s="15"/>
      <c r="F5682" s="14"/>
    </row>
    <row r="5683" spans="4:6" x14ac:dyDescent="0.25">
      <c r="D5683" s="15"/>
      <c r="F5683" s="14"/>
    </row>
    <row r="5684" spans="4:6" x14ac:dyDescent="0.25">
      <c r="D5684" s="15"/>
      <c r="F5684" s="14"/>
    </row>
    <row r="5685" spans="4:6" x14ac:dyDescent="0.25">
      <c r="D5685" s="15"/>
      <c r="F5685" s="14"/>
    </row>
    <row r="5686" spans="4:6" x14ac:dyDescent="0.25">
      <c r="D5686" s="15"/>
      <c r="F5686" s="14"/>
    </row>
    <row r="5687" spans="4:6" x14ac:dyDescent="0.25">
      <c r="D5687" s="15"/>
      <c r="F5687" s="14"/>
    </row>
    <row r="5688" spans="4:6" x14ac:dyDescent="0.25">
      <c r="D5688" s="15"/>
      <c r="F5688" s="14"/>
    </row>
    <row r="5689" spans="4:6" x14ac:dyDescent="0.25">
      <c r="D5689" s="15"/>
      <c r="F5689" s="14"/>
    </row>
    <row r="5690" spans="4:6" x14ac:dyDescent="0.25">
      <c r="D5690" s="15"/>
      <c r="F5690" s="14"/>
    </row>
    <row r="5691" spans="4:6" x14ac:dyDescent="0.25">
      <c r="D5691" s="15"/>
      <c r="F5691" s="14"/>
    </row>
    <row r="5692" spans="4:6" x14ac:dyDescent="0.25">
      <c r="D5692" s="15"/>
      <c r="F5692" s="14"/>
    </row>
    <row r="5693" spans="4:6" x14ac:dyDescent="0.25">
      <c r="D5693" s="15"/>
      <c r="F5693" s="14"/>
    </row>
    <row r="5694" spans="4:6" x14ac:dyDescent="0.25">
      <c r="D5694" s="15"/>
      <c r="F5694" s="14"/>
    </row>
    <row r="5695" spans="4:6" x14ac:dyDescent="0.25">
      <c r="D5695" s="15"/>
      <c r="F5695" s="14"/>
    </row>
    <row r="5696" spans="4:6" x14ac:dyDescent="0.25">
      <c r="D5696" s="15"/>
      <c r="F5696" s="14"/>
    </row>
    <row r="5697" spans="4:6" x14ac:dyDescent="0.25">
      <c r="D5697" s="15"/>
      <c r="F5697" s="14"/>
    </row>
    <row r="5698" spans="4:6" x14ac:dyDescent="0.25">
      <c r="D5698" s="15"/>
      <c r="F5698" s="14"/>
    </row>
    <row r="5699" spans="4:6" x14ac:dyDescent="0.25">
      <c r="D5699" s="15"/>
      <c r="F5699" s="14"/>
    </row>
    <row r="5700" spans="4:6" x14ac:dyDescent="0.25">
      <c r="D5700" s="15"/>
      <c r="F5700" s="14"/>
    </row>
    <row r="5701" spans="4:6" x14ac:dyDescent="0.25">
      <c r="D5701" s="15"/>
      <c r="F5701" s="14"/>
    </row>
    <row r="5702" spans="4:6" x14ac:dyDescent="0.25">
      <c r="D5702" s="15"/>
      <c r="F5702" s="14"/>
    </row>
    <row r="5703" spans="4:6" x14ac:dyDescent="0.25">
      <c r="D5703" s="15"/>
      <c r="F5703" s="14"/>
    </row>
    <row r="5704" spans="4:6" x14ac:dyDescent="0.25">
      <c r="D5704" s="15"/>
      <c r="F5704" s="14"/>
    </row>
    <row r="5705" spans="4:6" x14ac:dyDescent="0.25">
      <c r="D5705" s="15"/>
      <c r="F5705" s="14"/>
    </row>
    <row r="5706" spans="4:6" x14ac:dyDescent="0.25">
      <c r="D5706" s="15"/>
      <c r="F5706" s="14"/>
    </row>
    <row r="5707" spans="4:6" x14ac:dyDescent="0.25">
      <c r="D5707" s="15"/>
      <c r="F5707" s="14"/>
    </row>
    <row r="5708" spans="4:6" x14ac:dyDescent="0.25">
      <c r="D5708" s="15"/>
      <c r="F5708" s="14"/>
    </row>
    <row r="5709" spans="4:6" x14ac:dyDescent="0.25">
      <c r="D5709" s="15"/>
      <c r="F5709" s="14"/>
    </row>
    <row r="5710" spans="4:6" x14ac:dyDescent="0.25">
      <c r="D5710" s="15"/>
      <c r="F5710" s="14"/>
    </row>
    <row r="5711" spans="4:6" x14ac:dyDescent="0.25">
      <c r="D5711" s="15"/>
      <c r="F5711" s="14"/>
    </row>
    <row r="5712" spans="4:6" x14ac:dyDescent="0.25">
      <c r="D5712" s="15"/>
      <c r="F5712" s="14"/>
    </row>
    <row r="5713" spans="4:6" x14ac:dyDescent="0.25">
      <c r="D5713" s="15"/>
      <c r="F5713" s="14"/>
    </row>
    <row r="5714" spans="4:6" x14ac:dyDescent="0.25">
      <c r="D5714" s="15"/>
      <c r="F5714" s="14"/>
    </row>
    <row r="5715" spans="4:6" x14ac:dyDescent="0.25">
      <c r="D5715" s="15"/>
      <c r="F5715" s="14"/>
    </row>
    <row r="5716" spans="4:6" x14ac:dyDescent="0.25">
      <c r="D5716" s="15"/>
      <c r="F5716" s="14"/>
    </row>
    <row r="5717" spans="4:6" x14ac:dyDescent="0.25">
      <c r="D5717" s="15"/>
      <c r="F5717" s="14"/>
    </row>
    <row r="5718" spans="4:6" x14ac:dyDescent="0.25">
      <c r="D5718" s="15"/>
      <c r="F5718" s="14"/>
    </row>
    <row r="5719" spans="4:6" x14ac:dyDescent="0.25">
      <c r="D5719" s="15"/>
      <c r="F5719" s="14"/>
    </row>
    <row r="5720" spans="4:6" x14ac:dyDescent="0.25">
      <c r="D5720" s="15"/>
      <c r="F5720" s="14"/>
    </row>
    <row r="5721" spans="4:6" x14ac:dyDescent="0.25">
      <c r="D5721" s="15"/>
      <c r="F5721" s="14"/>
    </row>
    <row r="5722" spans="4:6" x14ac:dyDescent="0.25">
      <c r="D5722" s="15"/>
      <c r="F5722" s="14"/>
    </row>
    <row r="5723" spans="4:6" x14ac:dyDescent="0.25">
      <c r="D5723" s="15"/>
      <c r="F5723" s="14"/>
    </row>
    <row r="5724" spans="4:6" x14ac:dyDescent="0.25">
      <c r="D5724" s="15"/>
      <c r="F5724" s="14"/>
    </row>
    <row r="5725" spans="4:6" x14ac:dyDescent="0.25">
      <c r="D5725" s="15"/>
      <c r="F5725" s="14"/>
    </row>
    <row r="5726" spans="4:6" x14ac:dyDescent="0.25">
      <c r="D5726" s="15"/>
      <c r="F5726" s="14"/>
    </row>
    <row r="5727" spans="4:6" x14ac:dyDescent="0.25">
      <c r="D5727" s="15"/>
      <c r="F5727" s="14"/>
    </row>
    <row r="5728" spans="4:6" x14ac:dyDescent="0.25">
      <c r="D5728" s="15"/>
      <c r="F5728" s="14"/>
    </row>
    <row r="5729" spans="4:6" x14ac:dyDescent="0.25">
      <c r="D5729" s="15"/>
      <c r="F5729" s="14"/>
    </row>
    <row r="5730" spans="4:6" x14ac:dyDescent="0.25">
      <c r="D5730" s="15"/>
      <c r="F5730" s="14"/>
    </row>
    <row r="5731" spans="4:6" x14ac:dyDescent="0.25">
      <c r="D5731" s="15"/>
      <c r="F5731" s="14"/>
    </row>
    <row r="5732" spans="4:6" x14ac:dyDescent="0.25">
      <c r="D5732" s="15"/>
      <c r="F5732" s="14"/>
    </row>
    <row r="5733" spans="4:6" x14ac:dyDescent="0.25">
      <c r="D5733" s="15"/>
      <c r="F5733" s="14"/>
    </row>
    <row r="5734" spans="4:6" x14ac:dyDescent="0.25">
      <c r="D5734" s="15"/>
      <c r="F5734" s="14"/>
    </row>
    <row r="5735" spans="4:6" x14ac:dyDescent="0.25">
      <c r="D5735" s="15"/>
      <c r="F5735" s="14"/>
    </row>
    <row r="5736" spans="4:6" x14ac:dyDescent="0.25">
      <c r="D5736" s="15"/>
      <c r="F5736" s="14"/>
    </row>
    <row r="5737" spans="4:6" x14ac:dyDescent="0.25">
      <c r="D5737" s="15"/>
      <c r="F5737" s="14"/>
    </row>
    <row r="5738" spans="4:6" x14ac:dyDescent="0.25">
      <c r="D5738" s="15"/>
      <c r="F5738" s="14"/>
    </row>
    <row r="5739" spans="4:6" x14ac:dyDescent="0.25">
      <c r="D5739" s="15"/>
      <c r="F5739" s="14"/>
    </row>
    <row r="5740" spans="4:6" x14ac:dyDescent="0.25">
      <c r="D5740" s="15"/>
      <c r="F5740" s="14"/>
    </row>
    <row r="5741" spans="4:6" x14ac:dyDescent="0.25">
      <c r="D5741" s="15"/>
      <c r="F5741" s="14"/>
    </row>
    <row r="5742" spans="4:6" x14ac:dyDescent="0.25">
      <c r="D5742" s="15"/>
      <c r="F5742" s="14"/>
    </row>
    <row r="5743" spans="4:6" x14ac:dyDescent="0.25">
      <c r="D5743" s="15"/>
      <c r="F5743" s="14"/>
    </row>
    <row r="5744" spans="4:6" x14ac:dyDescent="0.25">
      <c r="D5744" s="15"/>
      <c r="F5744" s="14"/>
    </row>
    <row r="5745" spans="4:6" x14ac:dyDescent="0.25">
      <c r="D5745" s="15"/>
      <c r="F5745" s="14"/>
    </row>
    <row r="5746" spans="4:6" x14ac:dyDescent="0.25">
      <c r="D5746" s="15"/>
      <c r="F5746" s="14"/>
    </row>
    <row r="5747" spans="4:6" x14ac:dyDescent="0.25">
      <c r="D5747" s="15"/>
      <c r="F5747" s="14"/>
    </row>
    <row r="5748" spans="4:6" x14ac:dyDescent="0.25">
      <c r="D5748" s="15"/>
      <c r="F5748" s="14"/>
    </row>
    <row r="5749" spans="4:6" x14ac:dyDescent="0.25">
      <c r="D5749" s="15"/>
      <c r="F5749" s="14"/>
    </row>
    <row r="5750" spans="4:6" x14ac:dyDescent="0.25">
      <c r="D5750" s="15"/>
      <c r="F5750" s="14"/>
    </row>
    <row r="5751" spans="4:6" x14ac:dyDescent="0.25">
      <c r="D5751" s="15"/>
      <c r="F5751" s="14"/>
    </row>
    <row r="5752" spans="4:6" x14ac:dyDescent="0.25">
      <c r="D5752" s="15"/>
      <c r="F5752" s="14"/>
    </row>
    <row r="5753" spans="4:6" x14ac:dyDescent="0.25">
      <c r="D5753" s="15"/>
      <c r="F5753" s="14"/>
    </row>
    <row r="5754" spans="4:6" x14ac:dyDescent="0.25">
      <c r="D5754" s="15"/>
      <c r="F5754" s="14"/>
    </row>
    <row r="5755" spans="4:6" x14ac:dyDescent="0.25">
      <c r="D5755" s="15"/>
      <c r="F5755" s="14"/>
    </row>
    <row r="5756" spans="4:6" x14ac:dyDescent="0.25">
      <c r="D5756" s="15"/>
      <c r="F5756" s="14"/>
    </row>
    <row r="5757" spans="4:6" x14ac:dyDescent="0.25">
      <c r="D5757" s="15"/>
      <c r="F5757" s="14"/>
    </row>
    <row r="5758" spans="4:6" x14ac:dyDescent="0.25">
      <c r="D5758" s="15"/>
      <c r="F5758" s="14"/>
    </row>
    <row r="5759" spans="4:6" x14ac:dyDescent="0.25">
      <c r="D5759" s="15"/>
      <c r="F5759" s="14"/>
    </row>
    <row r="5760" spans="4:6" x14ac:dyDescent="0.25">
      <c r="D5760" s="15"/>
      <c r="F5760" s="14"/>
    </row>
    <row r="5761" spans="4:6" x14ac:dyDescent="0.25">
      <c r="D5761" s="15"/>
      <c r="F5761" s="14"/>
    </row>
    <row r="5762" spans="4:6" x14ac:dyDescent="0.25">
      <c r="D5762" s="15"/>
      <c r="F5762" s="14"/>
    </row>
    <row r="5763" spans="4:6" x14ac:dyDescent="0.25">
      <c r="D5763" s="15"/>
      <c r="F5763" s="14"/>
    </row>
    <row r="5764" spans="4:6" x14ac:dyDescent="0.25">
      <c r="D5764" s="15"/>
      <c r="F5764" s="14"/>
    </row>
    <row r="5765" spans="4:6" x14ac:dyDescent="0.25">
      <c r="D5765" s="15"/>
      <c r="F5765" s="14"/>
    </row>
    <row r="5766" spans="4:6" x14ac:dyDescent="0.25">
      <c r="D5766" s="15"/>
      <c r="F5766" s="14"/>
    </row>
    <row r="5767" spans="4:6" x14ac:dyDescent="0.25">
      <c r="D5767" s="15"/>
      <c r="F5767" s="14"/>
    </row>
    <row r="5768" spans="4:6" x14ac:dyDescent="0.25">
      <c r="D5768" s="15"/>
      <c r="F5768" s="14"/>
    </row>
    <row r="5769" spans="4:6" x14ac:dyDescent="0.25">
      <c r="D5769" s="15"/>
      <c r="F5769" s="14"/>
    </row>
    <row r="5770" spans="4:6" x14ac:dyDescent="0.25">
      <c r="D5770" s="15"/>
      <c r="F5770" s="14"/>
    </row>
    <row r="5771" spans="4:6" x14ac:dyDescent="0.25">
      <c r="D5771" s="15"/>
      <c r="F5771" s="14"/>
    </row>
    <row r="5772" spans="4:6" x14ac:dyDescent="0.25">
      <c r="D5772" s="15"/>
      <c r="F5772" s="14"/>
    </row>
    <row r="5773" spans="4:6" x14ac:dyDescent="0.25">
      <c r="D5773" s="15"/>
      <c r="F5773" s="14"/>
    </row>
    <row r="5774" spans="4:6" x14ac:dyDescent="0.25">
      <c r="D5774" s="15"/>
      <c r="F5774" s="14"/>
    </row>
    <row r="5775" spans="4:6" x14ac:dyDescent="0.25">
      <c r="D5775" s="15"/>
      <c r="F5775" s="14"/>
    </row>
    <row r="5776" spans="4:6" x14ac:dyDescent="0.25">
      <c r="D5776" s="15"/>
      <c r="F5776" s="14"/>
    </row>
    <row r="5777" spans="4:6" x14ac:dyDescent="0.25">
      <c r="D5777" s="15"/>
      <c r="F5777" s="14"/>
    </row>
    <row r="5778" spans="4:6" x14ac:dyDescent="0.25">
      <c r="D5778" s="15"/>
      <c r="F5778" s="14"/>
    </row>
    <row r="5779" spans="4:6" x14ac:dyDescent="0.25">
      <c r="D5779" s="15"/>
      <c r="F5779" s="14"/>
    </row>
    <row r="5780" spans="4:6" x14ac:dyDescent="0.25">
      <c r="D5780" s="15"/>
      <c r="F5780" s="14"/>
    </row>
    <row r="5781" spans="4:6" x14ac:dyDescent="0.25">
      <c r="D5781" s="15"/>
      <c r="F5781" s="14"/>
    </row>
    <row r="5782" spans="4:6" x14ac:dyDescent="0.25">
      <c r="D5782" s="15"/>
      <c r="F5782" s="14"/>
    </row>
    <row r="5783" spans="4:6" x14ac:dyDescent="0.25">
      <c r="D5783" s="15"/>
      <c r="F5783" s="14"/>
    </row>
    <row r="5784" spans="4:6" x14ac:dyDescent="0.25">
      <c r="D5784" s="15"/>
      <c r="F5784" s="14"/>
    </row>
    <row r="5785" spans="4:6" x14ac:dyDescent="0.25">
      <c r="D5785" s="15"/>
      <c r="F5785" s="14"/>
    </row>
    <row r="5786" spans="4:6" x14ac:dyDescent="0.25">
      <c r="D5786" s="15"/>
      <c r="F5786" s="14"/>
    </row>
    <row r="5787" spans="4:6" x14ac:dyDescent="0.25">
      <c r="D5787" s="15"/>
      <c r="F5787" s="14"/>
    </row>
    <row r="5788" spans="4:6" x14ac:dyDescent="0.25">
      <c r="D5788" s="15"/>
      <c r="F5788" s="14"/>
    </row>
    <row r="5789" spans="4:6" x14ac:dyDescent="0.25">
      <c r="D5789" s="15"/>
      <c r="F5789" s="14"/>
    </row>
    <row r="5790" spans="4:6" x14ac:dyDescent="0.25">
      <c r="D5790" s="15"/>
      <c r="F5790" s="14"/>
    </row>
    <row r="5791" spans="4:6" x14ac:dyDescent="0.25">
      <c r="D5791" s="15"/>
      <c r="F5791" s="14"/>
    </row>
    <row r="5792" spans="4:6" x14ac:dyDescent="0.25">
      <c r="D5792" s="15"/>
      <c r="F5792" s="14"/>
    </row>
    <row r="5793" spans="4:6" x14ac:dyDescent="0.25">
      <c r="D5793" s="15"/>
      <c r="F5793" s="14"/>
    </row>
    <row r="5794" spans="4:6" x14ac:dyDescent="0.25">
      <c r="D5794" s="15"/>
      <c r="F5794" s="14"/>
    </row>
    <row r="5795" spans="4:6" x14ac:dyDescent="0.25">
      <c r="D5795" s="15"/>
      <c r="F5795" s="14"/>
    </row>
    <row r="5796" spans="4:6" x14ac:dyDescent="0.25">
      <c r="D5796" s="15"/>
      <c r="F5796" s="14"/>
    </row>
    <row r="5797" spans="4:6" x14ac:dyDescent="0.25">
      <c r="D5797" s="15"/>
      <c r="F5797" s="14"/>
    </row>
    <row r="5798" spans="4:6" x14ac:dyDescent="0.25">
      <c r="D5798" s="15"/>
      <c r="F5798" s="14"/>
    </row>
    <row r="5799" spans="4:6" x14ac:dyDescent="0.25">
      <c r="D5799" s="15"/>
      <c r="F5799" s="14"/>
    </row>
    <row r="5800" spans="4:6" x14ac:dyDescent="0.25">
      <c r="D5800" s="15"/>
      <c r="F5800" s="14"/>
    </row>
    <row r="5801" spans="4:6" x14ac:dyDescent="0.25">
      <c r="D5801" s="15"/>
      <c r="F5801" s="14"/>
    </row>
    <row r="5802" spans="4:6" x14ac:dyDescent="0.25">
      <c r="D5802" s="15"/>
      <c r="F5802" s="14"/>
    </row>
    <row r="5803" spans="4:6" x14ac:dyDescent="0.25">
      <c r="D5803" s="15"/>
      <c r="F5803" s="14"/>
    </row>
    <row r="5804" spans="4:6" x14ac:dyDescent="0.25">
      <c r="D5804" s="15"/>
      <c r="F5804" s="14"/>
    </row>
    <row r="5805" spans="4:6" x14ac:dyDescent="0.25">
      <c r="D5805" s="15"/>
      <c r="F5805" s="14"/>
    </row>
    <row r="5806" spans="4:6" x14ac:dyDescent="0.25">
      <c r="D5806" s="15"/>
      <c r="F5806" s="14"/>
    </row>
    <row r="5807" spans="4:6" x14ac:dyDescent="0.25">
      <c r="D5807" s="15"/>
      <c r="F5807" s="14"/>
    </row>
    <row r="5808" spans="4:6" x14ac:dyDescent="0.25">
      <c r="D5808" s="15"/>
      <c r="F5808" s="14"/>
    </row>
    <row r="5809" spans="4:6" x14ac:dyDescent="0.25">
      <c r="D5809" s="15"/>
      <c r="F5809" s="14"/>
    </row>
    <row r="5810" spans="4:6" x14ac:dyDescent="0.25">
      <c r="D5810" s="15"/>
      <c r="F5810" s="14"/>
    </row>
    <row r="5811" spans="4:6" x14ac:dyDescent="0.25">
      <c r="D5811" s="15"/>
      <c r="F5811" s="14"/>
    </row>
    <row r="5812" spans="4:6" x14ac:dyDescent="0.25">
      <c r="D5812" s="15"/>
      <c r="F5812" s="14"/>
    </row>
    <row r="5813" spans="4:6" x14ac:dyDescent="0.25">
      <c r="D5813" s="15"/>
      <c r="F5813" s="14"/>
    </row>
    <row r="5814" spans="4:6" x14ac:dyDescent="0.25">
      <c r="D5814" s="15"/>
      <c r="F5814" s="14"/>
    </row>
    <row r="5815" spans="4:6" x14ac:dyDescent="0.25">
      <c r="D5815" s="15"/>
      <c r="F5815" s="14"/>
    </row>
    <row r="5816" spans="4:6" x14ac:dyDescent="0.25">
      <c r="D5816" s="15"/>
      <c r="F5816" s="14"/>
    </row>
    <row r="5817" spans="4:6" x14ac:dyDescent="0.25">
      <c r="D5817" s="15"/>
      <c r="F5817" s="14"/>
    </row>
    <row r="5818" spans="4:6" x14ac:dyDescent="0.25">
      <c r="D5818" s="15"/>
      <c r="F5818" s="14"/>
    </row>
    <row r="5819" spans="4:6" x14ac:dyDescent="0.25">
      <c r="D5819" s="15"/>
      <c r="F5819" s="14"/>
    </row>
    <row r="5820" spans="4:6" x14ac:dyDescent="0.25">
      <c r="D5820" s="15"/>
      <c r="F5820" s="14"/>
    </row>
    <row r="5821" spans="4:6" x14ac:dyDescent="0.25">
      <c r="D5821" s="15"/>
      <c r="F5821" s="14"/>
    </row>
    <row r="5822" spans="4:6" x14ac:dyDescent="0.25">
      <c r="D5822" s="15"/>
      <c r="F5822" s="14"/>
    </row>
    <row r="5823" spans="4:6" x14ac:dyDescent="0.25">
      <c r="D5823" s="15"/>
      <c r="F5823" s="14"/>
    </row>
    <row r="5824" spans="4:6" x14ac:dyDescent="0.25">
      <c r="D5824" s="15"/>
      <c r="F5824" s="14"/>
    </row>
    <row r="5825" spans="4:6" x14ac:dyDescent="0.25">
      <c r="D5825" s="15"/>
      <c r="F5825" s="14"/>
    </row>
    <row r="5826" spans="4:6" x14ac:dyDescent="0.25">
      <c r="D5826" s="15"/>
      <c r="F5826" s="14"/>
    </row>
    <row r="5827" spans="4:6" x14ac:dyDescent="0.25">
      <c r="D5827" s="15"/>
      <c r="F5827" s="14"/>
    </row>
    <row r="5828" spans="4:6" x14ac:dyDescent="0.25">
      <c r="D5828" s="15"/>
      <c r="F5828" s="14"/>
    </row>
    <row r="5829" spans="4:6" x14ac:dyDescent="0.25">
      <c r="D5829" s="15"/>
      <c r="F5829" s="14"/>
    </row>
    <row r="5830" spans="4:6" x14ac:dyDescent="0.25">
      <c r="D5830" s="15"/>
      <c r="F5830" s="14"/>
    </row>
    <row r="5831" spans="4:6" x14ac:dyDescent="0.25">
      <c r="D5831" s="15"/>
      <c r="F5831" s="14"/>
    </row>
    <row r="5832" spans="4:6" x14ac:dyDescent="0.25">
      <c r="D5832" s="15"/>
      <c r="F5832" s="14"/>
    </row>
    <row r="5833" spans="4:6" x14ac:dyDescent="0.25">
      <c r="D5833" s="15"/>
      <c r="F5833" s="14"/>
    </row>
    <row r="5834" spans="4:6" x14ac:dyDescent="0.25">
      <c r="D5834" s="15"/>
      <c r="F5834" s="14"/>
    </row>
    <row r="5835" spans="4:6" x14ac:dyDescent="0.25">
      <c r="D5835" s="15"/>
      <c r="F5835" s="14"/>
    </row>
    <row r="5836" spans="4:6" x14ac:dyDescent="0.25">
      <c r="D5836" s="15"/>
      <c r="F5836" s="14"/>
    </row>
    <row r="5837" spans="4:6" x14ac:dyDescent="0.25">
      <c r="D5837" s="15"/>
      <c r="F5837" s="14"/>
    </row>
    <row r="5838" spans="4:6" x14ac:dyDescent="0.25">
      <c r="D5838" s="15"/>
      <c r="F5838" s="14"/>
    </row>
    <row r="5839" spans="4:6" x14ac:dyDescent="0.25">
      <c r="D5839" s="15"/>
      <c r="F5839" s="14"/>
    </row>
    <row r="5840" spans="4:6" x14ac:dyDescent="0.25">
      <c r="D5840" s="15"/>
      <c r="F5840" s="14"/>
    </row>
    <row r="5841" spans="4:6" x14ac:dyDescent="0.25">
      <c r="D5841" s="15"/>
      <c r="F5841" s="14"/>
    </row>
    <row r="5842" spans="4:6" x14ac:dyDescent="0.25">
      <c r="D5842" s="15"/>
      <c r="F5842" s="14"/>
    </row>
    <row r="5843" spans="4:6" x14ac:dyDescent="0.25">
      <c r="D5843" s="15"/>
      <c r="F5843" s="14"/>
    </row>
    <row r="5844" spans="4:6" x14ac:dyDescent="0.25">
      <c r="D5844" s="15"/>
      <c r="F5844" s="14"/>
    </row>
    <row r="5845" spans="4:6" x14ac:dyDescent="0.25">
      <c r="D5845" s="15"/>
      <c r="F5845" s="14"/>
    </row>
    <row r="5846" spans="4:6" x14ac:dyDescent="0.25">
      <c r="D5846" s="15"/>
      <c r="F5846" s="14"/>
    </row>
    <row r="5847" spans="4:6" x14ac:dyDescent="0.25">
      <c r="D5847" s="15"/>
      <c r="F5847" s="14"/>
    </row>
    <row r="5848" spans="4:6" x14ac:dyDescent="0.25">
      <c r="D5848" s="15"/>
      <c r="F5848" s="14"/>
    </row>
    <row r="5849" spans="4:6" x14ac:dyDescent="0.25">
      <c r="D5849" s="15"/>
      <c r="F5849" s="14"/>
    </row>
    <row r="5850" spans="4:6" x14ac:dyDescent="0.25">
      <c r="D5850" s="15"/>
      <c r="F5850" s="14"/>
    </row>
    <row r="5851" spans="4:6" x14ac:dyDescent="0.25">
      <c r="D5851" s="15"/>
      <c r="F5851" s="14"/>
    </row>
    <row r="5852" spans="4:6" x14ac:dyDescent="0.25">
      <c r="D5852" s="15"/>
      <c r="F5852" s="14"/>
    </row>
    <row r="5853" spans="4:6" x14ac:dyDescent="0.25">
      <c r="D5853" s="15"/>
      <c r="F5853" s="14"/>
    </row>
    <row r="5854" spans="4:6" x14ac:dyDescent="0.25">
      <c r="D5854" s="15"/>
      <c r="F5854" s="14"/>
    </row>
    <row r="5855" spans="4:6" x14ac:dyDescent="0.25">
      <c r="D5855" s="15"/>
      <c r="F5855" s="14"/>
    </row>
    <row r="5856" spans="4:6" x14ac:dyDescent="0.25">
      <c r="D5856" s="15"/>
      <c r="F5856" s="14"/>
    </row>
    <row r="5857" spans="4:6" x14ac:dyDescent="0.25">
      <c r="D5857" s="15"/>
      <c r="F5857" s="14"/>
    </row>
    <row r="5858" spans="4:6" x14ac:dyDescent="0.25">
      <c r="D5858" s="15"/>
      <c r="F5858" s="14"/>
    </row>
    <row r="5859" spans="4:6" x14ac:dyDescent="0.25">
      <c r="D5859" s="15"/>
      <c r="F5859" s="14"/>
    </row>
    <row r="5860" spans="4:6" x14ac:dyDescent="0.25">
      <c r="D5860" s="15"/>
      <c r="F5860" s="14"/>
    </row>
    <row r="5861" spans="4:6" x14ac:dyDescent="0.25">
      <c r="D5861" s="15"/>
      <c r="F5861" s="14"/>
    </row>
    <row r="5862" spans="4:6" x14ac:dyDescent="0.25">
      <c r="D5862" s="15"/>
      <c r="F5862" s="14"/>
    </row>
    <row r="5863" spans="4:6" x14ac:dyDescent="0.25">
      <c r="D5863" s="15"/>
      <c r="F5863" s="14"/>
    </row>
    <row r="5864" spans="4:6" x14ac:dyDescent="0.25">
      <c r="D5864" s="15"/>
      <c r="F5864" s="14"/>
    </row>
    <row r="5865" spans="4:6" x14ac:dyDescent="0.25">
      <c r="D5865" s="15"/>
      <c r="F5865" s="14"/>
    </row>
    <row r="5866" spans="4:6" x14ac:dyDescent="0.25">
      <c r="D5866" s="15"/>
      <c r="F5866" s="14"/>
    </row>
    <row r="5867" spans="4:6" x14ac:dyDescent="0.25">
      <c r="D5867" s="15"/>
      <c r="F5867" s="14"/>
    </row>
    <row r="5868" spans="4:6" x14ac:dyDescent="0.25">
      <c r="D5868" s="15"/>
      <c r="F5868" s="14"/>
    </row>
    <row r="5869" spans="4:6" x14ac:dyDescent="0.25">
      <c r="D5869" s="15"/>
      <c r="F5869" s="14"/>
    </row>
    <row r="5870" spans="4:6" x14ac:dyDescent="0.25">
      <c r="D5870" s="15"/>
      <c r="F5870" s="14"/>
    </row>
    <row r="5871" spans="4:6" x14ac:dyDescent="0.25">
      <c r="D5871" s="15"/>
      <c r="F5871" s="14"/>
    </row>
    <row r="5872" spans="4:6" x14ac:dyDescent="0.25">
      <c r="D5872" s="15"/>
      <c r="F5872" s="14"/>
    </row>
    <row r="5873" spans="4:6" x14ac:dyDescent="0.25">
      <c r="D5873" s="15"/>
      <c r="F5873" s="14"/>
    </row>
    <row r="5874" spans="4:6" x14ac:dyDescent="0.25">
      <c r="D5874" s="15"/>
      <c r="F5874" s="14"/>
    </row>
    <row r="5875" spans="4:6" x14ac:dyDescent="0.25">
      <c r="D5875" s="15"/>
      <c r="F5875" s="14"/>
    </row>
    <row r="5876" spans="4:6" x14ac:dyDescent="0.25">
      <c r="D5876" s="15"/>
      <c r="F5876" s="14"/>
    </row>
    <row r="5877" spans="4:6" x14ac:dyDescent="0.25">
      <c r="D5877" s="15"/>
      <c r="F5877" s="14"/>
    </row>
    <row r="5878" spans="4:6" x14ac:dyDescent="0.25">
      <c r="D5878" s="15"/>
      <c r="F5878" s="14"/>
    </row>
    <row r="5879" spans="4:6" x14ac:dyDescent="0.25">
      <c r="D5879" s="15"/>
      <c r="F5879" s="14"/>
    </row>
    <row r="5880" spans="4:6" x14ac:dyDescent="0.25">
      <c r="D5880" s="15"/>
      <c r="F5880" s="14"/>
    </row>
    <row r="5881" spans="4:6" x14ac:dyDescent="0.25">
      <c r="D5881" s="15"/>
      <c r="F5881" s="14"/>
    </row>
    <row r="5882" spans="4:6" x14ac:dyDescent="0.25">
      <c r="D5882" s="15"/>
      <c r="F5882" s="14"/>
    </row>
    <row r="5883" spans="4:6" x14ac:dyDescent="0.25">
      <c r="D5883" s="15"/>
      <c r="F5883" s="14"/>
    </row>
    <row r="5884" spans="4:6" x14ac:dyDescent="0.25">
      <c r="D5884" s="15"/>
      <c r="F5884" s="14"/>
    </row>
    <row r="5885" spans="4:6" x14ac:dyDescent="0.25">
      <c r="D5885" s="15"/>
      <c r="F5885" s="14"/>
    </row>
    <row r="5886" spans="4:6" x14ac:dyDescent="0.25">
      <c r="D5886" s="15"/>
      <c r="F5886" s="14"/>
    </row>
    <row r="5887" spans="4:6" x14ac:dyDescent="0.25">
      <c r="D5887" s="15"/>
      <c r="F5887" s="14"/>
    </row>
    <row r="5888" spans="4:6" x14ac:dyDescent="0.25">
      <c r="D5888" s="15"/>
      <c r="F5888" s="14"/>
    </row>
    <row r="5889" spans="4:6" x14ac:dyDescent="0.25">
      <c r="D5889" s="15"/>
      <c r="F5889" s="14"/>
    </row>
    <row r="5890" spans="4:6" x14ac:dyDescent="0.25">
      <c r="D5890" s="15"/>
      <c r="F5890" s="14"/>
    </row>
    <row r="5891" spans="4:6" x14ac:dyDescent="0.25">
      <c r="D5891" s="15"/>
      <c r="F5891" s="14"/>
    </row>
    <row r="5892" spans="4:6" x14ac:dyDescent="0.25">
      <c r="D5892" s="15"/>
      <c r="F5892" s="14"/>
    </row>
    <row r="5893" spans="4:6" x14ac:dyDescent="0.25">
      <c r="D5893" s="15"/>
      <c r="F5893" s="14"/>
    </row>
    <row r="5894" spans="4:6" x14ac:dyDescent="0.25">
      <c r="D5894" s="15"/>
      <c r="F5894" s="14"/>
    </row>
    <row r="5895" spans="4:6" x14ac:dyDescent="0.25">
      <c r="D5895" s="15"/>
      <c r="F5895" s="14"/>
    </row>
    <row r="5896" spans="4:6" x14ac:dyDescent="0.25">
      <c r="D5896" s="15"/>
      <c r="F5896" s="14"/>
    </row>
    <row r="5897" spans="4:6" x14ac:dyDescent="0.25">
      <c r="D5897" s="15"/>
      <c r="F5897" s="14"/>
    </row>
    <row r="5898" spans="4:6" x14ac:dyDescent="0.25">
      <c r="D5898" s="15"/>
      <c r="F5898" s="14"/>
    </row>
    <row r="5899" spans="4:6" x14ac:dyDescent="0.25">
      <c r="D5899" s="15"/>
      <c r="F5899" s="14"/>
    </row>
    <row r="5900" spans="4:6" x14ac:dyDescent="0.25">
      <c r="D5900" s="15"/>
      <c r="F5900" s="14"/>
    </row>
    <row r="5901" spans="4:6" x14ac:dyDescent="0.25">
      <c r="D5901" s="15"/>
      <c r="F5901" s="14"/>
    </row>
    <row r="5902" spans="4:6" x14ac:dyDescent="0.25">
      <c r="D5902" s="15"/>
      <c r="F5902" s="14"/>
    </row>
    <row r="5903" spans="4:6" x14ac:dyDescent="0.25">
      <c r="D5903" s="15"/>
      <c r="F5903" s="14"/>
    </row>
    <row r="5904" spans="4:6" x14ac:dyDescent="0.25">
      <c r="D5904" s="15"/>
      <c r="F5904" s="14"/>
    </row>
    <row r="5905" spans="4:6" x14ac:dyDescent="0.25">
      <c r="D5905" s="15"/>
      <c r="F5905" s="14"/>
    </row>
    <row r="5906" spans="4:6" x14ac:dyDescent="0.25">
      <c r="D5906" s="15"/>
      <c r="F5906" s="14"/>
    </row>
    <row r="5907" spans="4:6" x14ac:dyDescent="0.25">
      <c r="D5907" s="15"/>
      <c r="F5907" s="14"/>
    </row>
    <row r="5908" spans="4:6" x14ac:dyDescent="0.25">
      <c r="D5908" s="15"/>
      <c r="F5908" s="14"/>
    </row>
    <row r="5909" spans="4:6" x14ac:dyDescent="0.25">
      <c r="D5909" s="15"/>
      <c r="F5909" s="14"/>
    </row>
    <row r="5910" spans="4:6" x14ac:dyDescent="0.25">
      <c r="D5910" s="15"/>
      <c r="F5910" s="14"/>
    </row>
    <row r="5911" spans="4:6" x14ac:dyDescent="0.25">
      <c r="D5911" s="15"/>
      <c r="F5911" s="14"/>
    </row>
    <row r="5912" spans="4:6" x14ac:dyDescent="0.25">
      <c r="D5912" s="15"/>
      <c r="F5912" s="14"/>
    </row>
    <row r="5913" spans="4:6" x14ac:dyDescent="0.25">
      <c r="D5913" s="15"/>
      <c r="F5913" s="14"/>
    </row>
    <row r="5914" spans="4:6" x14ac:dyDescent="0.25">
      <c r="D5914" s="15"/>
      <c r="F5914" s="14"/>
    </row>
    <row r="5915" spans="4:6" x14ac:dyDescent="0.25">
      <c r="D5915" s="15"/>
      <c r="F5915" s="14"/>
    </row>
    <row r="5916" spans="4:6" x14ac:dyDescent="0.25">
      <c r="D5916" s="15"/>
      <c r="F5916" s="14"/>
    </row>
    <row r="5917" spans="4:6" x14ac:dyDescent="0.25">
      <c r="D5917" s="15"/>
      <c r="F5917" s="14"/>
    </row>
    <row r="5918" spans="4:6" x14ac:dyDescent="0.25">
      <c r="D5918" s="15"/>
      <c r="F5918" s="14"/>
    </row>
    <row r="5919" spans="4:6" x14ac:dyDescent="0.25">
      <c r="D5919" s="15"/>
      <c r="F5919" s="14"/>
    </row>
    <row r="5920" spans="4:6" x14ac:dyDescent="0.25">
      <c r="D5920" s="15"/>
      <c r="F5920" s="14"/>
    </row>
    <row r="5921" spans="4:6" x14ac:dyDescent="0.25">
      <c r="D5921" s="15"/>
      <c r="F5921" s="14"/>
    </row>
    <row r="5922" spans="4:6" x14ac:dyDescent="0.25">
      <c r="D5922" s="15"/>
      <c r="F5922" s="14"/>
    </row>
    <row r="5923" spans="4:6" x14ac:dyDescent="0.25">
      <c r="D5923" s="15"/>
      <c r="F5923" s="14"/>
    </row>
    <row r="5924" spans="4:6" x14ac:dyDescent="0.25">
      <c r="D5924" s="15"/>
      <c r="F5924" s="14"/>
    </row>
    <row r="5925" spans="4:6" x14ac:dyDescent="0.25">
      <c r="D5925" s="15"/>
      <c r="F5925" s="14"/>
    </row>
    <row r="5926" spans="4:6" x14ac:dyDescent="0.25">
      <c r="D5926" s="15"/>
      <c r="F5926" s="14"/>
    </row>
    <row r="5927" spans="4:6" x14ac:dyDescent="0.25">
      <c r="D5927" s="15"/>
      <c r="F5927" s="14"/>
    </row>
    <row r="5928" spans="4:6" x14ac:dyDescent="0.25">
      <c r="D5928" s="15"/>
      <c r="F5928" s="14"/>
    </row>
    <row r="5929" spans="4:6" x14ac:dyDescent="0.25">
      <c r="D5929" s="15"/>
      <c r="F5929" s="14"/>
    </row>
    <row r="5930" spans="4:6" x14ac:dyDescent="0.25">
      <c r="D5930" s="15"/>
      <c r="F5930" s="14"/>
    </row>
    <row r="5931" spans="4:6" x14ac:dyDescent="0.25">
      <c r="D5931" s="15"/>
      <c r="F5931" s="14"/>
    </row>
    <row r="5932" spans="4:6" x14ac:dyDescent="0.25">
      <c r="D5932" s="15"/>
      <c r="F5932" s="14"/>
    </row>
    <row r="5933" spans="4:6" x14ac:dyDescent="0.25">
      <c r="D5933" s="15"/>
      <c r="F5933" s="14"/>
    </row>
    <row r="5934" spans="4:6" x14ac:dyDescent="0.25">
      <c r="D5934" s="15"/>
      <c r="F5934" s="14"/>
    </row>
    <row r="5935" spans="4:6" x14ac:dyDescent="0.25">
      <c r="D5935" s="15"/>
      <c r="F5935" s="14"/>
    </row>
    <row r="5936" spans="4:6" x14ac:dyDescent="0.25">
      <c r="D5936" s="15"/>
      <c r="F5936" s="14"/>
    </row>
    <row r="5937" spans="4:6" x14ac:dyDescent="0.25">
      <c r="D5937" s="15"/>
      <c r="F5937" s="14"/>
    </row>
    <row r="5938" spans="4:6" x14ac:dyDescent="0.25">
      <c r="D5938" s="15"/>
      <c r="F5938" s="14"/>
    </row>
    <row r="5939" spans="4:6" x14ac:dyDescent="0.25">
      <c r="D5939" s="15"/>
      <c r="F5939" s="14"/>
    </row>
    <row r="5940" spans="4:6" x14ac:dyDescent="0.25">
      <c r="D5940" s="15"/>
      <c r="F5940" s="14"/>
    </row>
    <row r="5941" spans="4:6" x14ac:dyDescent="0.25">
      <c r="D5941" s="15"/>
      <c r="F5941" s="14"/>
    </row>
    <row r="5942" spans="4:6" x14ac:dyDescent="0.25">
      <c r="D5942" s="15"/>
      <c r="F5942" s="14"/>
    </row>
    <row r="5943" spans="4:6" x14ac:dyDescent="0.25">
      <c r="D5943" s="15"/>
      <c r="F5943" s="14"/>
    </row>
    <row r="5944" spans="4:6" x14ac:dyDescent="0.25">
      <c r="D5944" s="15"/>
      <c r="F5944" s="14"/>
    </row>
    <row r="5945" spans="4:6" x14ac:dyDescent="0.25">
      <c r="D5945" s="15"/>
      <c r="F5945" s="14"/>
    </row>
    <row r="5946" spans="4:6" x14ac:dyDescent="0.25">
      <c r="D5946" s="15"/>
      <c r="F5946" s="14"/>
    </row>
    <row r="5947" spans="4:6" x14ac:dyDescent="0.25">
      <c r="D5947" s="15"/>
      <c r="F5947" s="14"/>
    </row>
    <row r="5948" spans="4:6" x14ac:dyDescent="0.25">
      <c r="D5948" s="15"/>
      <c r="F5948" s="14"/>
    </row>
    <row r="5949" spans="4:6" x14ac:dyDescent="0.25">
      <c r="D5949" s="15"/>
      <c r="F5949" s="14"/>
    </row>
    <row r="5950" spans="4:6" x14ac:dyDescent="0.25">
      <c r="D5950" s="15"/>
      <c r="F5950" s="14"/>
    </row>
    <row r="5951" spans="4:6" x14ac:dyDescent="0.25">
      <c r="D5951" s="15"/>
      <c r="F5951" s="14"/>
    </row>
    <row r="5952" spans="4:6" x14ac:dyDescent="0.25">
      <c r="D5952" s="15"/>
      <c r="F5952" s="14"/>
    </row>
    <row r="5953" spans="4:6" x14ac:dyDescent="0.25">
      <c r="D5953" s="15"/>
      <c r="F5953" s="14"/>
    </row>
    <row r="5954" spans="4:6" x14ac:dyDescent="0.25">
      <c r="D5954" s="15"/>
      <c r="F5954" s="14"/>
    </row>
    <row r="5955" spans="4:6" x14ac:dyDescent="0.25">
      <c r="D5955" s="15"/>
      <c r="F5955" s="14"/>
    </row>
    <row r="5956" spans="4:6" x14ac:dyDescent="0.25">
      <c r="D5956" s="15"/>
      <c r="F5956" s="14"/>
    </row>
    <row r="5957" spans="4:6" x14ac:dyDescent="0.25">
      <c r="D5957" s="15"/>
      <c r="F5957" s="14"/>
    </row>
    <row r="5958" spans="4:6" x14ac:dyDescent="0.25">
      <c r="D5958" s="15"/>
      <c r="F5958" s="14"/>
    </row>
    <row r="5959" spans="4:6" x14ac:dyDescent="0.25">
      <c r="D5959" s="15"/>
      <c r="F5959" s="14"/>
    </row>
    <row r="5960" spans="4:6" x14ac:dyDescent="0.25">
      <c r="D5960" s="15"/>
      <c r="F5960" s="14"/>
    </row>
    <row r="5961" spans="4:6" x14ac:dyDescent="0.25">
      <c r="D5961" s="15"/>
      <c r="F5961" s="14"/>
    </row>
    <row r="5962" spans="4:6" x14ac:dyDescent="0.25">
      <c r="D5962" s="15"/>
      <c r="F5962" s="14"/>
    </row>
    <row r="5963" spans="4:6" x14ac:dyDescent="0.25">
      <c r="D5963" s="15"/>
      <c r="F5963" s="14"/>
    </row>
    <row r="5964" spans="4:6" x14ac:dyDescent="0.25">
      <c r="D5964" s="15"/>
      <c r="F5964" s="14"/>
    </row>
    <row r="5965" spans="4:6" x14ac:dyDescent="0.25">
      <c r="D5965" s="15"/>
      <c r="F5965" s="14"/>
    </row>
    <row r="5966" spans="4:6" x14ac:dyDescent="0.25">
      <c r="D5966" s="15"/>
      <c r="F5966" s="14"/>
    </row>
    <row r="5967" spans="4:6" x14ac:dyDescent="0.25">
      <c r="D5967" s="15"/>
      <c r="F5967" s="14"/>
    </row>
    <row r="5968" spans="4:6" x14ac:dyDescent="0.25">
      <c r="D5968" s="15"/>
      <c r="F5968" s="14"/>
    </row>
    <row r="5969" spans="4:6" x14ac:dyDescent="0.25">
      <c r="D5969" s="15"/>
      <c r="F5969" s="14"/>
    </row>
    <row r="5970" spans="4:6" x14ac:dyDescent="0.25">
      <c r="D5970" s="15"/>
      <c r="F5970" s="14"/>
    </row>
    <row r="5971" spans="4:6" x14ac:dyDescent="0.25">
      <c r="D5971" s="15"/>
      <c r="F5971" s="14"/>
    </row>
    <row r="5972" spans="4:6" x14ac:dyDescent="0.25">
      <c r="D5972" s="15"/>
      <c r="F5972" s="14"/>
    </row>
    <row r="5973" spans="4:6" x14ac:dyDescent="0.25">
      <c r="D5973" s="15"/>
      <c r="F5973" s="14"/>
    </row>
    <row r="5974" spans="4:6" x14ac:dyDescent="0.25">
      <c r="D5974" s="15"/>
      <c r="F5974" s="14"/>
    </row>
    <row r="5975" spans="4:6" x14ac:dyDescent="0.25">
      <c r="D5975" s="15"/>
      <c r="F5975" s="14"/>
    </row>
    <row r="5976" spans="4:6" x14ac:dyDescent="0.25">
      <c r="D5976" s="15"/>
      <c r="F5976" s="14"/>
    </row>
    <row r="5977" spans="4:6" x14ac:dyDescent="0.25">
      <c r="D5977" s="15"/>
      <c r="F5977" s="14"/>
    </row>
    <row r="5978" spans="4:6" x14ac:dyDescent="0.25">
      <c r="D5978" s="15"/>
      <c r="F5978" s="14"/>
    </row>
    <row r="5979" spans="4:6" x14ac:dyDescent="0.25">
      <c r="D5979" s="15"/>
      <c r="F5979" s="14"/>
    </row>
    <row r="5980" spans="4:6" x14ac:dyDescent="0.25">
      <c r="D5980" s="15"/>
      <c r="F5980" s="14"/>
    </row>
    <row r="5981" spans="4:6" x14ac:dyDescent="0.25">
      <c r="D5981" s="15"/>
      <c r="F5981" s="14"/>
    </row>
    <row r="5982" spans="4:6" x14ac:dyDescent="0.25">
      <c r="D5982" s="15"/>
      <c r="F5982" s="14"/>
    </row>
    <row r="5983" spans="4:6" x14ac:dyDescent="0.25">
      <c r="D5983" s="15"/>
      <c r="F5983" s="14"/>
    </row>
    <row r="5984" spans="4:6" x14ac:dyDescent="0.25">
      <c r="D5984" s="15"/>
      <c r="F5984" s="14"/>
    </row>
    <row r="5985" spans="4:6" x14ac:dyDescent="0.25">
      <c r="D5985" s="15"/>
      <c r="F5985" s="14"/>
    </row>
    <row r="5986" spans="4:6" x14ac:dyDescent="0.25">
      <c r="D5986" s="15"/>
      <c r="F5986" s="14"/>
    </row>
    <row r="5987" spans="4:6" x14ac:dyDescent="0.25">
      <c r="D5987" s="15"/>
      <c r="F5987" s="14"/>
    </row>
    <row r="5988" spans="4:6" x14ac:dyDescent="0.25">
      <c r="D5988" s="15"/>
      <c r="F5988" s="14"/>
    </row>
    <row r="5989" spans="4:6" x14ac:dyDescent="0.25">
      <c r="D5989" s="15"/>
      <c r="F5989" s="14"/>
    </row>
    <row r="5990" spans="4:6" x14ac:dyDescent="0.25">
      <c r="D5990" s="15"/>
      <c r="F5990" s="14"/>
    </row>
    <row r="5991" spans="4:6" x14ac:dyDescent="0.25">
      <c r="D5991" s="15"/>
      <c r="F5991" s="14"/>
    </row>
    <row r="5992" spans="4:6" x14ac:dyDescent="0.25">
      <c r="D5992" s="15"/>
      <c r="F5992" s="14"/>
    </row>
    <row r="5993" spans="4:6" x14ac:dyDescent="0.25">
      <c r="D5993" s="15"/>
      <c r="F5993" s="14"/>
    </row>
    <row r="5994" spans="4:6" x14ac:dyDescent="0.25">
      <c r="D5994" s="15"/>
      <c r="F5994" s="14"/>
    </row>
    <row r="5995" spans="4:6" x14ac:dyDescent="0.25">
      <c r="D5995" s="15"/>
      <c r="F5995" s="14"/>
    </row>
    <row r="5996" spans="4:6" x14ac:dyDescent="0.25">
      <c r="D5996" s="15"/>
      <c r="F5996" s="14"/>
    </row>
    <row r="5997" spans="4:6" x14ac:dyDescent="0.25">
      <c r="D5997" s="15"/>
      <c r="F5997" s="14"/>
    </row>
    <row r="5998" spans="4:6" x14ac:dyDescent="0.25">
      <c r="D5998" s="15"/>
      <c r="F5998" s="14"/>
    </row>
    <row r="5999" spans="4:6" x14ac:dyDescent="0.25">
      <c r="D5999" s="15"/>
      <c r="F5999" s="14"/>
    </row>
    <row r="6000" spans="4:6" x14ac:dyDescent="0.25">
      <c r="D6000" s="15"/>
      <c r="F6000" s="14"/>
    </row>
    <row r="6001" spans="4:6" x14ac:dyDescent="0.25">
      <c r="D6001" s="15"/>
      <c r="F6001" s="14"/>
    </row>
    <row r="6002" spans="4:6" x14ac:dyDescent="0.25">
      <c r="D6002" s="15"/>
      <c r="F6002" s="14"/>
    </row>
    <row r="6003" spans="4:6" x14ac:dyDescent="0.25">
      <c r="D6003" s="15"/>
      <c r="F6003" s="14"/>
    </row>
    <row r="6004" spans="4:6" x14ac:dyDescent="0.25">
      <c r="D6004" s="15"/>
      <c r="F6004" s="14"/>
    </row>
    <row r="6005" spans="4:6" x14ac:dyDescent="0.25">
      <c r="D6005" s="15"/>
      <c r="F6005" s="14"/>
    </row>
    <row r="6006" spans="4:6" x14ac:dyDescent="0.25">
      <c r="D6006" s="15"/>
      <c r="F6006" s="14"/>
    </row>
    <row r="6007" spans="4:6" x14ac:dyDescent="0.25">
      <c r="D6007" s="15"/>
      <c r="F6007" s="14"/>
    </row>
    <row r="6008" spans="4:6" x14ac:dyDescent="0.25">
      <c r="D6008" s="15"/>
      <c r="F6008" s="14"/>
    </row>
    <row r="6009" spans="4:6" x14ac:dyDescent="0.25">
      <c r="D6009" s="15"/>
      <c r="F6009" s="14"/>
    </row>
    <row r="6010" spans="4:6" x14ac:dyDescent="0.25">
      <c r="D6010" s="15"/>
      <c r="F6010" s="14"/>
    </row>
    <row r="6011" spans="4:6" x14ac:dyDescent="0.25">
      <c r="D6011" s="15"/>
      <c r="F6011" s="14"/>
    </row>
    <row r="6012" spans="4:6" x14ac:dyDescent="0.25">
      <c r="D6012" s="15"/>
      <c r="F6012" s="14"/>
    </row>
    <row r="6013" spans="4:6" x14ac:dyDescent="0.25">
      <c r="D6013" s="15"/>
      <c r="F6013" s="14"/>
    </row>
    <row r="6014" spans="4:6" x14ac:dyDescent="0.25">
      <c r="D6014" s="15"/>
      <c r="F6014" s="14"/>
    </row>
    <row r="6015" spans="4:6" x14ac:dyDescent="0.25">
      <c r="D6015" s="15"/>
      <c r="F6015" s="14"/>
    </row>
    <row r="6016" spans="4:6" x14ac:dyDescent="0.25">
      <c r="D6016" s="15"/>
      <c r="F6016" s="14"/>
    </row>
    <row r="6017" spans="4:6" x14ac:dyDescent="0.25">
      <c r="D6017" s="15"/>
      <c r="F6017" s="14"/>
    </row>
    <row r="6018" spans="4:6" x14ac:dyDescent="0.25">
      <c r="D6018" s="15"/>
      <c r="F6018" s="14"/>
    </row>
    <row r="6019" spans="4:6" x14ac:dyDescent="0.25">
      <c r="D6019" s="15"/>
      <c r="F6019" s="14"/>
    </row>
    <row r="6020" spans="4:6" x14ac:dyDescent="0.25">
      <c r="D6020" s="15"/>
      <c r="F6020" s="14"/>
    </row>
    <row r="6021" spans="4:6" x14ac:dyDescent="0.25">
      <c r="D6021" s="15"/>
      <c r="F6021" s="14"/>
    </row>
    <row r="6022" spans="4:6" x14ac:dyDescent="0.25">
      <c r="D6022" s="15"/>
      <c r="F6022" s="14"/>
    </row>
    <row r="6023" spans="4:6" x14ac:dyDescent="0.25">
      <c r="D6023" s="15"/>
      <c r="F6023" s="14"/>
    </row>
    <row r="6024" spans="4:6" x14ac:dyDescent="0.25">
      <c r="D6024" s="15"/>
      <c r="F6024" s="14"/>
    </row>
    <row r="6025" spans="4:6" x14ac:dyDescent="0.25">
      <c r="D6025" s="15"/>
      <c r="F6025" s="14"/>
    </row>
    <row r="6026" spans="4:6" x14ac:dyDescent="0.25">
      <c r="D6026" s="15"/>
      <c r="F6026" s="14"/>
    </row>
    <row r="6027" spans="4:6" x14ac:dyDescent="0.25">
      <c r="D6027" s="15"/>
      <c r="F6027" s="14"/>
    </row>
    <row r="6028" spans="4:6" x14ac:dyDescent="0.25">
      <c r="D6028" s="15"/>
      <c r="F6028" s="14"/>
    </row>
    <row r="6029" spans="4:6" x14ac:dyDescent="0.25">
      <c r="D6029" s="15"/>
      <c r="F6029" s="14"/>
    </row>
    <row r="6030" spans="4:6" x14ac:dyDescent="0.25">
      <c r="D6030" s="15"/>
      <c r="F6030" s="14"/>
    </row>
    <row r="6031" spans="4:6" x14ac:dyDescent="0.25">
      <c r="D6031" s="15"/>
      <c r="F6031" s="14"/>
    </row>
    <row r="6032" spans="4:6" x14ac:dyDescent="0.25">
      <c r="D6032" s="15"/>
      <c r="F6032" s="14"/>
    </row>
    <row r="6033" spans="4:6" x14ac:dyDescent="0.25">
      <c r="D6033" s="15"/>
      <c r="F6033" s="14"/>
    </row>
    <row r="6034" spans="4:6" x14ac:dyDescent="0.25">
      <c r="D6034" s="15"/>
      <c r="F6034" s="14"/>
    </row>
    <row r="6035" spans="4:6" x14ac:dyDescent="0.25">
      <c r="D6035" s="15"/>
      <c r="F6035" s="14"/>
    </row>
    <row r="6036" spans="4:6" x14ac:dyDescent="0.25">
      <c r="D6036" s="15"/>
      <c r="F6036" s="14"/>
    </row>
    <row r="6037" spans="4:6" x14ac:dyDescent="0.25">
      <c r="D6037" s="15"/>
      <c r="F6037" s="14"/>
    </row>
    <row r="6038" spans="4:6" x14ac:dyDescent="0.25">
      <c r="D6038" s="15"/>
      <c r="F6038" s="14"/>
    </row>
    <row r="6039" spans="4:6" x14ac:dyDescent="0.25">
      <c r="D6039" s="15"/>
      <c r="F6039" s="14"/>
    </row>
    <row r="6040" spans="4:6" x14ac:dyDescent="0.25">
      <c r="D6040" s="15"/>
      <c r="F6040" s="14"/>
    </row>
    <row r="6041" spans="4:6" x14ac:dyDescent="0.25">
      <c r="D6041" s="15"/>
      <c r="F6041" s="14"/>
    </row>
    <row r="6042" spans="4:6" x14ac:dyDescent="0.25">
      <c r="D6042" s="15"/>
      <c r="F6042" s="14"/>
    </row>
    <row r="6043" spans="4:6" x14ac:dyDescent="0.25">
      <c r="D6043" s="15"/>
      <c r="F6043" s="14"/>
    </row>
    <row r="6044" spans="4:6" x14ac:dyDescent="0.25">
      <c r="D6044" s="15"/>
      <c r="F6044" s="14"/>
    </row>
    <row r="6045" spans="4:6" x14ac:dyDescent="0.25">
      <c r="D6045" s="15"/>
      <c r="F6045" s="14"/>
    </row>
    <row r="6046" spans="4:6" x14ac:dyDescent="0.25">
      <c r="D6046" s="15"/>
      <c r="F6046" s="14"/>
    </row>
    <row r="6047" spans="4:6" x14ac:dyDescent="0.25">
      <c r="D6047" s="15"/>
      <c r="F6047" s="14"/>
    </row>
    <row r="6048" spans="4:6" x14ac:dyDescent="0.25">
      <c r="D6048" s="15"/>
      <c r="F6048" s="14"/>
    </row>
    <row r="6049" spans="4:6" x14ac:dyDescent="0.25">
      <c r="D6049" s="15"/>
      <c r="F6049" s="14"/>
    </row>
    <row r="6050" spans="4:6" x14ac:dyDescent="0.25">
      <c r="D6050" s="15"/>
      <c r="F6050" s="14"/>
    </row>
    <row r="6051" spans="4:6" x14ac:dyDescent="0.25">
      <c r="D6051" s="15"/>
      <c r="F6051" s="14"/>
    </row>
    <row r="6052" spans="4:6" x14ac:dyDescent="0.25">
      <c r="D6052" s="15"/>
      <c r="F6052" s="14"/>
    </row>
    <row r="6053" spans="4:6" x14ac:dyDescent="0.25">
      <c r="D6053" s="15"/>
      <c r="F6053" s="14"/>
    </row>
    <row r="6054" spans="4:6" x14ac:dyDescent="0.25">
      <c r="D6054" s="15"/>
      <c r="F6054" s="14"/>
    </row>
    <row r="6055" spans="4:6" x14ac:dyDescent="0.25">
      <c r="D6055" s="15"/>
      <c r="F6055" s="14"/>
    </row>
    <row r="6056" spans="4:6" x14ac:dyDescent="0.25">
      <c r="D6056" s="15"/>
      <c r="F6056" s="14"/>
    </row>
    <row r="6057" spans="4:6" x14ac:dyDescent="0.25">
      <c r="D6057" s="15"/>
      <c r="F6057" s="14"/>
    </row>
    <row r="6058" spans="4:6" x14ac:dyDescent="0.25">
      <c r="D6058" s="15"/>
      <c r="F6058" s="14"/>
    </row>
    <row r="6059" spans="4:6" x14ac:dyDescent="0.25">
      <c r="D6059" s="15"/>
      <c r="F6059" s="14"/>
    </row>
    <row r="6060" spans="4:6" x14ac:dyDescent="0.25">
      <c r="D6060" s="15"/>
      <c r="F6060" s="14"/>
    </row>
    <row r="6061" spans="4:6" x14ac:dyDescent="0.25">
      <c r="D6061" s="15"/>
      <c r="F6061" s="14"/>
    </row>
    <row r="6062" spans="4:6" x14ac:dyDescent="0.25">
      <c r="D6062" s="15"/>
      <c r="F6062" s="14"/>
    </row>
    <row r="6063" spans="4:6" x14ac:dyDescent="0.25">
      <c r="D6063" s="15"/>
      <c r="F6063" s="14"/>
    </row>
    <row r="6064" spans="4:6" x14ac:dyDescent="0.25">
      <c r="D6064" s="15"/>
      <c r="F6064" s="14"/>
    </row>
    <row r="6065" spans="4:6" x14ac:dyDescent="0.25">
      <c r="D6065" s="15"/>
      <c r="F6065" s="14"/>
    </row>
    <row r="6066" spans="4:6" x14ac:dyDescent="0.25">
      <c r="D6066" s="15"/>
      <c r="F6066" s="14"/>
    </row>
    <row r="6067" spans="4:6" x14ac:dyDescent="0.25">
      <c r="D6067" s="15"/>
      <c r="F6067" s="14"/>
    </row>
    <row r="6068" spans="4:6" x14ac:dyDescent="0.25">
      <c r="D6068" s="15"/>
      <c r="F6068" s="14"/>
    </row>
    <row r="6069" spans="4:6" x14ac:dyDescent="0.25">
      <c r="D6069" s="15"/>
      <c r="F6069" s="14"/>
    </row>
    <row r="6070" spans="4:6" x14ac:dyDescent="0.25">
      <c r="D6070" s="15"/>
      <c r="F6070" s="14"/>
    </row>
    <row r="6071" spans="4:6" x14ac:dyDescent="0.25">
      <c r="D6071" s="15"/>
      <c r="F6071" s="14"/>
    </row>
    <row r="6072" spans="4:6" x14ac:dyDescent="0.25">
      <c r="D6072" s="15"/>
      <c r="F6072" s="14"/>
    </row>
    <row r="6073" spans="4:6" x14ac:dyDescent="0.25">
      <c r="D6073" s="15"/>
      <c r="F6073" s="14"/>
    </row>
    <row r="6074" spans="4:6" x14ac:dyDescent="0.25">
      <c r="D6074" s="15"/>
      <c r="F6074" s="14"/>
    </row>
    <row r="6075" spans="4:6" x14ac:dyDescent="0.25">
      <c r="D6075" s="15"/>
      <c r="F6075" s="14"/>
    </row>
    <row r="6076" spans="4:6" x14ac:dyDescent="0.25">
      <c r="D6076" s="15"/>
      <c r="F6076" s="14"/>
    </row>
    <row r="6077" spans="4:6" x14ac:dyDescent="0.25">
      <c r="D6077" s="15"/>
      <c r="F6077" s="14"/>
    </row>
    <row r="6078" spans="4:6" x14ac:dyDescent="0.25">
      <c r="D6078" s="15"/>
      <c r="F6078" s="14"/>
    </row>
    <row r="6079" spans="4:6" x14ac:dyDescent="0.25">
      <c r="D6079" s="15"/>
      <c r="F6079" s="14"/>
    </row>
    <row r="6080" spans="4:6" x14ac:dyDescent="0.25">
      <c r="D6080" s="15"/>
      <c r="F6080" s="14"/>
    </row>
    <row r="6081" spans="4:6" x14ac:dyDescent="0.25">
      <c r="D6081" s="15"/>
      <c r="F6081" s="14"/>
    </row>
    <row r="6082" spans="4:6" x14ac:dyDescent="0.25">
      <c r="D6082" s="15"/>
      <c r="F6082" s="14"/>
    </row>
    <row r="6083" spans="4:6" x14ac:dyDescent="0.25">
      <c r="D6083" s="15"/>
      <c r="F6083" s="14"/>
    </row>
    <row r="6084" spans="4:6" x14ac:dyDescent="0.25">
      <c r="D6084" s="15"/>
      <c r="F6084" s="14"/>
    </row>
    <row r="6085" spans="4:6" x14ac:dyDescent="0.25">
      <c r="D6085" s="15"/>
      <c r="F6085" s="14"/>
    </row>
    <row r="6086" spans="4:6" x14ac:dyDescent="0.25">
      <c r="D6086" s="15"/>
      <c r="F6086" s="14"/>
    </row>
    <row r="6087" spans="4:6" x14ac:dyDescent="0.25">
      <c r="D6087" s="15"/>
      <c r="F6087" s="14"/>
    </row>
    <row r="6088" spans="4:6" x14ac:dyDescent="0.25">
      <c r="D6088" s="15"/>
      <c r="F6088" s="14"/>
    </row>
    <row r="6089" spans="4:6" x14ac:dyDescent="0.25">
      <c r="D6089" s="15"/>
      <c r="F6089" s="14"/>
    </row>
    <row r="6090" spans="4:6" x14ac:dyDescent="0.25">
      <c r="D6090" s="15"/>
      <c r="F6090" s="14"/>
    </row>
    <row r="6091" spans="4:6" x14ac:dyDescent="0.25">
      <c r="D6091" s="15"/>
      <c r="F6091" s="14"/>
    </row>
    <row r="6092" spans="4:6" x14ac:dyDescent="0.25">
      <c r="D6092" s="15"/>
      <c r="F6092" s="14"/>
    </row>
    <row r="6093" spans="4:6" x14ac:dyDescent="0.25">
      <c r="D6093" s="15"/>
      <c r="F6093" s="14"/>
    </row>
    <row r="6094" spans="4:6" x14ac:dyDescent="0.25">
      <c r="D6094" s="15"/>
      <c r="F6094" s="14"/>
    </row>
    <row r="6095" spans="4:6" x14ac:dyDescent="0.25">
      <c r="D6095" s="15"/>
      <c r="F6095" s="14"/>
    </row>
    <row r="6096" spans="4:6" x14ac:dyDescent="0.25">
      <c r="D6096" s="15"/>
      <c r="F6096" s="14"/>
    </row>
    <row r="6097" spans="4:6" x14ac:dyDescent="0.25">
      <c r="D6097" s="15"/>
      <c r="F6097" s="14"/>
    </row>
    <row r="6098" spans="4:6" x14ac:dyDescent="0.25">
      <c r="D6098" s="15"/>
      <c r="F6098" s="14"/>
    </row>
    <row r="6099" spans="4:6" x14ac:dyDescent="0.25">
      <c r="D6099" s="15"/>
      <c r="F6099" s="14"/>
    </row>
    <row r="6100" spans="4:6" x14ac:dyDescent="0.25">
      <c r="D6100" s="15"/>
      <c r="F6100" s="14"/>
    </row>
    <row r="6101" spans="4:6" x14ac:dyDescent="0.25">
      <c r="D6101" s="15"/>
      <c r="F6101" s="14"/>
    </row>
    <row r="6102" spans="4:6" x14ac:dyDescent="0.25">
      <c r="D6102" s="15"/>
      <c r="F6102" s="14"/>
    </row>
    <row r="6103" spans="4:6" x14ac:dyDescent="0.25">
      <c r="D6103" s="15"/>
      <c r="F6103" s="14"/>
    </row>
    <row r="6104" spans="4:6" x14ac:dyDescent="0.25">
      <c r="D6104" s="15"/>
      <c r="F6104" s="14"/>
    </row>
    <row r="6105" spans="4:6" x14ac:dyDescent="0.25">
      <c r="D6105" s="15"/>
      <c r="F6105" s="14"/>
    </row>
    <row r="6106" spans="4:6" x14ac:dyDescent="0.25">
      <c r="D6106" s="15"/>
      <c r="F6106" s="14"/>
    </row>
    <row r="6107" spans="4:6" x14ac:dyDescent="0.25">
      <c r="D6107" s="15"/>
      <c r="F6107" s="14"/>
    </row>
    <row r="6108" spans="4:6" x14ac:dyDescent="0.25">
      <c r="D6108" s="15"/>
      <c r="F6108" s="14"/>
    </row>
    <row r="6109" spans="4:6" x14ac:dyDescent="0.25">
      <c r="D6109" s="15"/>
      <c r="F6109" s="14"/>
    </row>
    <row r="6110" spans="4:6" x14ac:dyDescent="0.25">
      <c r="D6110" s="15"/>
      <c r="F6110" s="14"/>
    </row>
    <row r="6111" spans="4:6" x14ac:dyDescent="0.25">
      <c r="D6111" s="15"/>
      <c r="F6111" s="14"/>
    </row>
    <row r="6112" spans="4:6" x14ac:dyDescent="0.25">
      <c r="D6112" s="15"/>
      <c r="F6112" s="14"/>
    </row>
    <row r="6113" spans="4:6" x14ac:dyDescent="0.25">
      <c r="D6113" s="15"/>
      <c r="F6113" s="14"/>
    </row>
    <row r="6114" spans="4:6" x14ac:dyDescent="0.25">
      <c r="D6114" s="15"/>
      <c r="F6114" s="14"/>
    </row>
    <row r="6115" spans="4:6" x14ac:dyDescent="0.25">
      <c r="D6115" s="15"/>
      <c r="F6115" s="14"/>
    </row>
    <row r="6116" spans="4:6" x14ac:dyDescent="0.25">
      <c r="D6116" s="15"/>
      <c r="F6116" s="14"/>
    </row>
    <row r="6117" spans="4:6" x14ac:dyDescent="0.25">
      <c r="D6117" s="15"/>
      <c r="F6117" s="14"/>
    </row>
    <row r="6118" spans="4:6" x14ac:dyDescent="0.25">
      <c r="D6118" s="15"/>
      <c r="F6118" s="14"/>
    </row>
    <row r="6119" spans="4:6" x14ac:dyDescent="0.25">
      <c r="D6119" s="15"/>
      <c r="F6119" s="14"/>
    </row>
    <row r="6120" spans="4:6" x14ac:dyDescent="0.25">
      <c r="D6120" s="15"/>
      <c r="F6120" s="14"/>
    </row>
    <row r="6121" spans="4:6" x14ac:dyDescent="0.25">
      <c r="D6121" s="15"/>
      <c r="F6121" s="14"/>
    </row>
    <row r="6122" spans="4:6" x14ac:dyDescent="0.25">
      <c r="D6122" s="15"/>
      <c r="F6122" s="14"/>
    </row>
    <row r="6123" spans="4:6" x14ac:dyDescent="0.25">
      <c r="D6123" s="15"/>
      <c r="F6123" s="14"/>
    </row>
    <row r="6124" spans="4:6" x14ac:dyDescent="0.25">
      <c r="D6124" s="15"/>
      <c r="F6124" s="14"/>
    </row>
    <row r="6125" spans="4:6" x14ac:dyDescent="0.25">
      <c r="D6125" s="15"/>
      <c r="F6125" s="14"/>
    </row>
    <row r="6126" spans="4:6" x14ac:dyDescent="0.25">
      <c r="D6126" s="15"/>
      <c r="F6126" s="14"/>
    </row>
    <row r="6127" spans="4:6" x14ac:dyDescent="0.25">
      <c r="D6127" s="15"/>
      <c r="F6127" s="14"/>
    </row>
    <row r="6128" spans="4:6" x14ac:dyDescent="0.25">
      <c r="D6128" s="15"/>
      <c r="F6128" s="14"/>
    </row>
    <row r="6129" spans="4:6" x14ac:dyDescent="0.25">
      <c r="D6129" s="15"/>
      <c r="F6129" s="14"/>
    </row>
    <row r="6130" spans="4:6" x14ac:dyDescent="0.25">
      <c r="D6130" s="15"/>
      <c r="F6130" s="14"/>
    </row>
    <row r="6131" spans="4:6" x14ac:dyDescent="0.25">
      <c r="D6131" s="15"/>
      <c r="F6131" s="14"/>
    </row>
    <row r="6132" spans="4:6" x14ac:dyDescent="0.25">
      <c r="D6132" s="15"/>
      <c r="F6132" s="14"/>
    </row>
    <row r="6133" spans="4:6" x14ac:dyDescent="0.25">
      <c r="D6133" s="15"/>
      <c r="F6133" s="14"/>
    </row>
    <row r="6134" spans="4:6" x14ac:dyDescent="0.25">
      <c r="D6134" s="15"/>
      <c r="F6134" s="14"/>
    </row>
    <row r="6135" spans="4:6" x14ac:dyDescent="0.25">
      <c r="D6135" s="15"/>
      <c r="F6135" s="14"/>
    </row>
    <row r="6136" spans="4:6" x14ac:dyDescent="0.25">
      <c r="D6136" s="15"/>
      <c r="F6136" s="14"/>
    </row>
    <row r="6137" spans="4:6" x14ac:dyDescent="0.25">
      <c r="D6137" s="15"/>
      <c r="F6137" s="14"/>
    </row>
    <row r="6138" spans="4:6" x14ac:dyDescent="0.25">
      <c r="D6138" s="15"/>
      <c r="F6138" s="14"/>
    </row>
    <row r="6139" spans="4:6" x14ac:dyDescent="0.25">
      <c r="D6139" s="15"/>
      <c r="F6139" s="14"/>
    </row>
    <row r="6140" spans="4:6" x14ac:dyDescent="0.25">
      <c r="D6140" s="15"/>
      <c r="F6140" s="14"/>
    </row>
    <row r="6141" spans="4:6" x14ac:dyDescent="0.25">
      <c r="D6141" s="15"/>
      <c r="F6141" s="14"/>
    </row>
    <row r="6142" spans="4:6" x14ac:dyDescent="0.25">
      <c r="D6142" s="15"/>
      <c r="F6142" s="14"/>
    </row>
    <row r="6143" spans="4:6" x14ac:dyDescent="0.25">
      <c r="D6143" s="15"/>
      <c r="F6143" s="14"/>
    </row>
    <row r="6144" spans="4:6" x14ac:dyDescent="0.25">
      <c r="D6144" s="15"/>
      <c r="F6144" s="14"/>
    </row>
    <row r="6145" spans="4:6" x14ac:dyDescent="0.25">
      <c r="D6145" s="15"/>
      <c r="F6145" s="14"/>
    </row>
    <row r="6146" spans="4:6" x14ac:dyDescent="0.25">
      <c r="D6146" s="15"/>
      <c r="F6146" s="14"/>
    </row>
    <row r="6147" spans="4:6" x14ac:dyDescent="0.25">
      <c r="D6147" s="15"/>
      <c r="F6147" s="14"/>
    </row>
    <row r="6148" spans="4:6" x14ac:dyDescent="0.25">
      <c r="D6148" s="15"/>
      <c r="F6148" s="14"/>
    </row>
    <row r="6149" spans="4:6" x14ac:dyDescent="0.25">
      <c r="D6149" s="15"/>
      <c r="F6149" s="14"/>
    </row>
    <row r="6150" spans="4:6" x14ac:dyDescent="0.25">
      <c r="D6150" s="15"/>
      <c r="F6150" s="14"/>
    </row>
    <row r="6151" spans="4:6" x14ac:dyDescent="0.25">
      <c r="D6151" s="15"/>
      <c r="F6151" s="14"/>
    </row>
    <row r="6152" spans="4:6" x14ac:dyDescent="0.25">
      <c r="D6152" s="15"/>
      <c r="F6152" s="14"/>
    </row>
    <row r="6153" spans="4:6" x14ac:dyDescent="0.25">
      <c r="D6153" s="15"/>
      <c r="F6153" s="14"/>
    </row>
    <row r="6154" spans="4:6" x14ac:dyDescent="0.25">
      <c r="D6154" s="15"/>
      <c r="F6154" s="14"/>
    </row>
    <row r="6155" spans="4:6" x14ac:dyDescent="0.25">
      <c r="D6155" s="15"/>
      <c r="F6155" s="14"/>
    </row>
    <row r="6156" spans="4:6" x14ac:dyDescent="0.25">
      <c r="D6156" s="15"/>
      <c r="F6156" s="14"/>
    </row>
    <row r="6157" spans="4:6" x14ac:dyDescent="0.25">
      <c r="D6157" s="15"/>
      <c r="F6157" s="14"/>
    </row>
    <row r="6158" spans="4:6" x14ac:dyDescent="0.25">
      <c r="D6158" s="15"/>
      <c r="F6158" s="14"/>
    </row>
    <row r="6159" spans="4:6" x14ac:dyDescent="0.25">
      <c r="D6159" s="15"/>
      <c r="F6159" s="14"/>
    </row>
    <row r="6160" spans="4:6" x14ac:dyDescent="0.25">
      <c r="D6160" s="15"/>
      <c r="F6160" s="14"/>
    </row>
    <row r="6161" spans="4:6" x14ac:dyDescent="0.25">
      <c r="D6161" s="15"/>
      <c r="F6161" s="14"/>
    </row>
    <row r="6162" spans="4:6" x14ac:dyDescent="0.25">
      <c r="D6162" s="15"/>
      <c r="F6162" s="14"/>
    </row>
    <row r="6163" spans="4:6" x14ac:dyDescent="0.25">
      <c r="D6163" s="15"/>
      <c r="F6163" s="14"/>
    </row>
    <row r="6164" spans="4:6" x14ac:dyDescent="0.25">
      <c r="D6164" s="15"/>
      <c r="F6164" s="14"/>
    </row>
    <row r="6165" spans="4:6" x14ac:dyDescent="0.25">
      <c r="D6165" s="15"/>
      <c r="F6165" s="14"/>
    </row>
    <row r="6166" spans="4:6" x14ac:dyDescent="0.25">
      <c r="D6166" s="15"/>
      <c r="F6166" s="14"/>
    </row>
    <row r="6167" spans="4:6" x14ac:dyDescent="0.25">
      <c r="D6167" s="15"/>
      <c r="F6167" s="14"/>
    </row>
    <row r="6168" spans="4:6" x14ac:dyDescent="0.25">
      <c r="D6168" s="15"/>
      <c r="F6168" s="14"/>
    </row>
    <row r="6169" spans="4:6" x14ac:dyDescent="0.25">
      <c r="D6169" s="15"/>
      <c r="F6169" s="14"/>
    </row>
    <row r="6170" spans="4:6" x14ac:dyDescent="0.25">
      <c r="D6170" s="15"/>
      <c r="F6170" s="14"/>
    </row>
    <row r="6171" spans="4:6" x14ac:dyDescent="0.25">
      <c r="D6171" s="15"/>
      <c r="F6171" s="14"/>
    </row>
    <row r="6172" spans="4:6" x14ac:dyDescent="0.25">
      <c r="D6172" s="15"/>
      <c r="F6172" s="14"/>
    </row>
    <row r="6173" spans="4:6" x14ac:dyDescent="0.25">
      <c r="D6173" s="15"/>
      <c r="F6173" s="14"/>
    </row>
    <row r="6174" spans="4:6" x14ac:dyDescent="0.25">
      <c r="D6174" s="15"/>
      <c r="F6174" s="14"/>
    </row>
    <row r="6175" spans="4:6" x14ac:dyDescent="0.25">
      <c r="D6175" s="15"/>
      <c r="F6175" s="14"/>
    </row>
    <row r="6176" spans="4:6" x14ac:dyDescent="0.25">
      <c r="D6176" s="15"/>
      <c r="F6176" s="14"/>
    </row>
    <row r="6177" spans="4:6" x14ac:dyDescent="0.25">
      <c r="D6177" s="15"/>
      <c r="F6177" s="14"/>
    </row>
    <row r="6178" spans="4:6" x14ac:dyDescent="0.25">
      <c r="D6178" s="15"/>
      <c r="F6178" s="14"/>
    </row>
    <row r="6179" spans="4:6" x14ac:dyDescent="0.25">
      <c r="D6179" s="15"/>
      <c r="F6179" s="14"/>
    </row>
    <row r="6180" spans="4:6" x14ac:dyDescent="0.25">
      <c r="D6180" s="15"/>
      <c r="F6180" s="14"/>
    </row>
    <row r="6181" spans="4:6" x14ac:dyDescent="0.25">
      <c r="D6181" s="15"/>
      <c r="F6181" s="14"/>
    </row>
    <row r="6182" spans="4:6" x14ac:dyDescent="0.25">
      <c r="D6182" s="15"/>
      <c r="F6182" s="14"/>
    </row>
    <row r="6183" spans="4:6" x14ac:dyDescent="0.25">
      <c r="D6183" s="15"/>
      <c r="F6183" s="14"/>
    </row>
    <row r="6184" spans="4:6" x14ac:dyDescent="0.25">
      <c r="D6184" s="15"/>
      <c r="F6184" s="14"/>
    </row>
    <row r="6185" spans="4:6" x14ac:dyDescent="0.25">
      <c r="D6185" s="15"/>
      <c r="F6185" s="14"/>
    </row>
    <row r="6186" spans="4:6" x14ac:dyDescent="0.25">
      <c r="D6186" s="15"/>
      <c r="F6186" s="14"/>
    </row>
    <row r="6187" spans="4:6" x14ac:dyDescent="0.25">
      <c r="D6187" s="15"/>
      <c r="F6187" s="14"/>
    </row>
    <row r="6188" spans="4:6" x14ac:dyDescent="0.25">
      <c r="D6188" s="15"/>
      <c r="F6188" s="14"/>
    </row>
    <row r="6189" spans="4:6" x14ac:dyDescent="0.25">
      <c r="D6189" s="15"/>
      <c r="F6189" s="14"/>
    </row>
    <row r="6190" spans="4:6" x14ac:dyDescent="0.25">
      <c r="D6190" s="15"/>
      <c r="F6190" s="14"/>
    </row>
    <row r="6191" spans="4:6" x14ac:dyDescent="0.25">
      <c r="D6191" s="15"/>
      <c r="F6191" s="14"/>
    </row>
    <row r="6192" spans="4:6" x14ac:dyDescent="0.25">
      <c r="D6192" s="15"/>
      <c r="F6192" s="14"/>
    </row>
    <row r="6193" spans="4:6" x14ac:dyDescent="0.25">
      <c r="D6193" s="15"/>
      <c r="F6193" s="14"/>
    </row>
    <row r="6194" spans="4:6" x14ac:dyDescent="0.25">
      <c r="D6194" s="15"/>
      <c r="F6194" s="14"/>
    </row>
    <row r="6195" spans="4:6" x14ac:dyDescent="0.25">
      <c r="D6195" s="15"/>
      <c r="F6195" s="14"/>
    </row>
    <row r="6196" spans="4:6" x14ac:dyDescent="0.25">
      <c r="D6196" s="15"/>
      <c r="F6196" s="14"/>
    </row>
    <row r="6197" spans="4:6" x14ac:dyDescent="0.25">
      <c r="D6197" s="15"/>
      <c r="F6197" s="14"/>
    </row>
    <row r="6198" spans="4:6" x14ac:dyDescent="0.25">
      <c r="D6198" s="15"/>
      <c r="F6198" s="14"/>
    </row>
    <row r="6199" spans="4:6" x14ac:dyDescent="0.25">
      <c r="D6199" s="15"/>
      <c r="F6199" s="14"/>
    </row>
    <row r="6200" spans="4:6" x14ac:dyDescent="0.25">
      <c r="D6200" s="15"/>
      <c r="F6200" s="14"/>
    </row>
    <row r="6201" spans="4:6" x14ac:dyDescent="0.25">
      <c r="D6201" s="15"/>
      <c r="F6201" s="14"/>
    </row>
    <row r="6202" spans="4:6" x14ac:dyDescent="0.25">
      <c r="D6202" s="15"/>
      <c r="F6202" s="14"/>
    </row>
    <row r="6203" spans="4:6" x14ac:dyDescent="0.25">
      <c r="D6203" s="15"/>
      <c r="F6203" s="14"/>
    </row>
    <row r="6204" spans="4:6" x14ac:dyDescent="0.25">
      <c r="D6204" s="15"/>
      <c r="F6204" s="14"/>
    </row>
    <row r="6205" spans="4:6" x14ac:dyDescent="0.25">
      <c r="D6205" s="15"/>
      <c r="F6205" s="14"/>
    </row>
    <row r="6206" spans="4:6" x14ac:dyDescent="0.25">
      <c r="D6206" s="15"/>
      <c r="F6206" s="14"/>
    </row>
    <row r="6207" spans="4:6" x14ac:dyDescent="0.25">
      <c r="D6207" s="15"/>
      <c r="F6207" s="14"/>
    </row>
    <row r="6208" spans="4:6" x14ac:dyDescent="0.25">
      <c r="D6208" s="15"/>
      <c r="F6208" s="14"/>
    </row>
    <row r="6209" spans="4:6" x14ac:dyDescent="0.25">
      <c r="D6209" s="15"/>
      <c r="F6209" s="14"/>
    </row>
    <row r="6210" spans="4:6" x14ac:dyDescent="0.25">
      <c r="D6210" s="15"/>
      <c r="F6210" s="14"/>
    </row>
    <row r="6211" spans="4:6" x14ac:dyDescent="0.25">
      <c r="D6211" s="15"/>
      <c r="F6211" s="14"/>
    </row>
    <row r="6212" spans="4:6" x14ac:dyDescent="0.25">
      <c r="D6212" s="15"/>
      <c r="F6212" s="14"/>
    </row>
    <row r="6213" spans="4:6" x14ac:dyDescent="0.25">
      <c r="D6213" s="15"/>
      <c r="F6213" s="14"/>
    </row>
    <row r="6214" spans="4:6" x14ac:dyDescent="0.25">
      <c r="D6214" s="15"/>
      <c r="F6214" s="14"/>
    </row>
    <row r="6215" spans="4:6" x14ac:dyDescent="0.25">
      <c r="D6215" s="15"/>
      <c r="F6215" s="14"/>
    </row>
    <row r="6216" spans="4:6" x14ac:dyDescent="0.25">
      <c r="D6216" s="15"/>
      <c r="F6216" s="14"/>
    </row>
    <row r="6217" spans="4:6" x14ac:dyDescent="0.25">
      <c r="D6217" s="15"/>
      <c r="F6217" s="14"/>
    </row>
    <row r="6218" spans="4:6" x14ac:dyDescent="0.25">
      <c r="D6218" s="15"/>
      <c r="F6218" s="14"/>
    </row>
    <row r="6219" spans="4:6" x14ac:dyDescent="0.25">
      <c r="D6219" s="15"/>
      <c r="F6219" s="14"/>
    </row>
    <row r="6220" spans="4:6" x14ac:dyDescent="0.25">
      <c r="D6220" s="15"/>
      <c r="F6220" s="14"/>
    </row>
    <row r="6221" spans="4:6" x14ac:dyDescent="0.25">
      <c r="D6221" s="15"/>
      <c r="F6221" s="14"/>
    </row>
    <row r="6222" spans="4:6" x14ac:dyDescent="0.25">
      <c r="D6222" s="15"/>
      <c r="F6222" s="14"/>
    </row>
    <row r="6223" spans="4:6" x14ac:dyDescent="0.25">
      <c r="D6223" s="15"/>
      <c r="F6223" s="14"/>
    </row>
    <row r="6224" spans="4:6" x14ac:dyDescent="0.25">
      <c r="D6224" s="15"/>
      <c r="F6224" s="14"/>
    </row>
    <row r="6225" spans="4:6" x14ac:dyDescent="0.25">
      <c r="D6225" s="15"/>
      <c r="F6225" s="14"/>
    </row>
    <row r="6226" spans="4:6" x14ac:dyDescent="0.25">
      <c r="D6226" s="15"/>
      <c r="F6226" s="14"/>
    </row>
    <row r="6227" spans="4:6" x14ac:dyDescent="0.25">
      <c r="D6227" s="15"/>
      <c r="F6227" s="14"/>
    </row>
    <row r="6228" spans="4:6" x14ac:dyDescent="0.25">
      <c r="D6228" s="15"/>
      <c r="F6228" s="14"/>
    </row>
    <row r="6229" spans="4:6" x14ac:dyDescent="0.25">
      <c r="D6229" s="15"/>
      <c r="F6229" s="14"/>
    </row>
    <row r="6230" spans="4:6" x14ac:dyDescent="0.25">
      <c r="D6230" s="15"/>
      <c r="F6230" s="14"/>
    </row>
    <row r="6231" spans="4:6" x14ac:dyDescent="0.25">
      <c r="D6231" s="15"/>
      <c r="F6231" s="14"/>
    </row>
    <row r="6232" spans="4:6" x14ac:dyDescent="0.25">
      <c r="D6232" s="15"/>
      <c r="F6232" s="14"/>
    </row>
    <row r="6233" spans="4:6" x14ac:dyDescent="0.25">
      <c r="D6233" s="15"/>
      <c r="F6233" s="14"/>
    </row>
    <row r="6234" spans="4:6" x14ac:dyDescent="0.25">
      <c r="D6234" s="15"/>
      <c r="F6234" s="14"/>
    </row>
    <row r="6235" spans="4:6" x14ac:dyDescent="0.25">
      <c r="D6235" s="15"/>
      <c r="F6235" s="14"/>
    </row>
    <row r="6236" spans="4:6" x14ac:dyDescent="0.25">
      <c r="D6236" s="15"/>
      <c r="F6236" s="14"/>
    </row>
    <row r="6237" spans="4:6" x14ac:dyDescent="0.25">
      <c r="D6237" s="15"/>
      <c r="F6237" s="14"/>
    </row>
    <row r="6238" spans="4:6" x14ac:dyDescent="0.25">
      <c r="D6238" s="15"/>
      <c r="F6238" s="14"/>
    </row>
    <row r="6239" spans="4:6" x14ac:dyDescent="0.25">
      <c r="D6239" s="15"/>
      <c r="F6239" s="14"/>
    </row>
    <row r="6240" spans="4:6" x14ac:dyDescent="0.25">
      <c r="D6240" s="15"/>
      <c r="F6240" s="14"/>
    </row>
    <row r="6241" spans="4:6" x14ac:dyDescent="0.25">
      <c r="D6241" s="15"/>
      <c r="F6241" s="14"/>
    </row>
    <row r="6242" spans="4:6" x14ac:dyDescent="0.25">
      <c r="D6242" s="15"/>
      <c r="F6242" s="14"/>
    </row>
    <row r="6243" spans="4:6" x14ac:dyDescent="0.25">
      <c r="D6243" s="15"/>
      <c r="F6243" s="14"/>
    </row>
    <row r="6244" spans="4:6" x14ac:dyDescent="0.25">
      <c r="D6244" s="15"/>
      <c r="F6244" s="14"/>
    </row>
    <row r="6245" spans="4:6" x14ac:dyDescent="0.25">
      <c r="D6245" s="15"/>
      <c r="F6245" s="14"/>
    </row>
    <row r="6246" spans="4:6" x14ac:dyDescent="0.25">
      <c r="D6246" s="15"/>
      <c r="F6246" s="14"/>
    </row>
    <row r="6247" spans="4:6" x14ac:dyDescent="0.25">
      <c r="D6247" s="15"/>
      <c r="F6247" s="14"/>
    </row>
    <row r="6248" spans="4:6" x14ac:dyDescent="0.25">
      <c r="D6248" s="15"/>
      <c r="F6248" s="14"/>
    </row>
    <row r="6249" spans="4:6" x14ac:dyDescent="0.25">
      <c r="D6249" s="15"/>
      <c r="F6249" s="14"/>
    </row>
    <row r="6250" spans="4:6" x14ac:dyDescent="0.25">
      <c r="D6250" s="15"/>
      <c r="F6250" s="14"/>
    </row>
    <row r="6251" spans="4:6" x14ac:dyDescent="0.25">
      <c r="D6251" s="15"/>
      <c r="F6251" s="14"/>
    </row>
    <row r="6252" spans="4:6" x14ac:dyDescent="0.25">
      <c r="D6252" s="15"/>
      <c r="F6252" s="14"/>
    </row>
    <row r="6253" spans="4:6" x14ac:dyDescent="0.25">
      <c r="D6253" s="15"/>
      <c r="F6253" s="14"/>
    </row>
    <row r="6254" spans="4:6" x14ac:dyDescent="0.25">
      <c r="D6254" s="15"/>
      <c r="F6254" s="14"/>
    </row>
    <row r="6255" spans="4:6" x14ac:dyDescent="0.25">
      <c r="D6255" s="15"/>
      <c r="F6255" s="14"/>
    </row>
    <row r="6256" spans="4:6" x14ac:dyDescent="0.25">
      <c r="D6256" s="15"/>
      <c r="F6256" s="14"/>
    </row>
    <row r="6257" spans="4:6" x14ac:dyDescent="0.25">
      <c r="D6257" s="15"/>
      <c r="F6257" s="14"/>
    </row>
    <row r="6258" spans="4:6" x14ac:dyDescent="0.25">
      <c r="D6258" s="15"/>
      <c r="F6258" s="14"/>
    </row>
    <row r="6259" spans="4:6" x14ac:dyDescent="0.25">
      <c r="D6259" s="15"/>
      <c r="F6259" s="14"/>
    </row>
    <row r="6260" spans="4:6" x14ac:dyDescent="0.25">
      <c r="D6260" s="15"/>
      <c r="F6260" s="14"/>
    </row>
    <row r="6261" spans="4:6" x14ac:dyDescent="0.25">
      <c r="D6261" s="15"/>
      <c r="F6261" s="14"/>
    </row>
    <row r="6262" spans="4:6" x14ac:dyDescent="0.25">
      <c r="D6262" s="15"/>
      <c r="F6262" s="14"/>
    </row>
    <row r="6263" spans="4:6" x14ac:dyDescent="0.25">
      <c r="D6263" s="15"/>
      <c r="F6263" s="14"/>
    </row>
    <row r="6264" spans="4:6" x14ac:dyDescent="0.25">
      <c r="D6264" s="15"/>
      <c r="F6264" s="14"/>
    </row>
    <row r="6265" spans="4:6" x14ac:dyDescent="0.25">
      <c r="D6265" s="15"/>
      <c r="F6265" s="14"/>
    </row>
    <row r="6266" spans="4:6" x14ac:dyDescent="0.25">
      <c r="D6266" s="15"/>
      <c r="F6266" s="14"/>
    </row>
    <row r="6267" spans="4:6" x14ac:dyDescent="0.25">
      <c r="D6267" s="15"/>
      <c r="F6267" s="14"/>
    </row>
    <row r="6268" spans="4:6" x14ac:dyDescent="0.25">
      <c r="D6268" s="15"/>
      <c r="F6268" s="14"/>
    </row>
    <row r="6269" spans="4:6" x14ac:dyDescent="0.25">
      <c r="D6269" s="15"/>
      <c r="F6269" s="14"/>
    </row>
    <row r="6270" spans="4:6" x14ac:dyDescent="0.25">
      <c r="D6270" s="15"/>
      <c r="F6270" s="14"/>
    </row>
    <row r="6271" spans="4:6" x14ac:dyDescent="0.25">
      <c r="D6271" s="15"/>
      <c r="F6271" s="14"/>
    </row>
    <row r="6272" spans="4:6" x14ac:dyDescent="0.25">
      <c r="D6272" s="15"/>
      <c r="F6272" s="14"/>
    </row>
    <row r="6273" spans="4:6" x14ac:dyDescent="0.25">
      <c r="D6273" s="15"/>
      <c r="F6273" s="14"/>
    </row>
    <row r="6274" spans="4:6" x14ac:dyDescent="0.25">
      <c r="D6274" s="15"/>
      <c r="F6274" s="14"/>
    </row>
    <row r="6275" spans="4:6" x14ac:dyDescent="0.25">
      <c r="D6275" s="15"/>
      <c r="F6275" s="14"/>
    </row>
    <row r="6276" spans="4:6" x14ac:dyDescent="0.25">
      <c r="D6276" s="15"/>
      <c r="F6276" s="14"/>
    </row>
    <row r="6277" spans="4:6" x14ac:dyDescent="0.25">
      <c r="D6277" s="15"/>
      <c r="F6277" s="14"/>
    </row>
    <row r="6278" spans="4:6" x14ac:dyDescent="0.25">
      <c r="D6278" s="15"/>
      <c r="F6278" s="14"/>
    </row>
    <row r="6279" spans="4:6" x14ac:dyDescent="0.25">
      <c r="D6279" s="15"/>
      <c r="F6279" s="14"/>
    </row>
    <row r="6280" spans="4:6" x14ac:dyDescent="0.25">
      <c r="D6280" s="15"/>
      <c r="F6280" s="14"/>
    </row>
    <row r="6281" spans="4:6" x14ac:dyDescent="0.25">
      <c r="D6281" s="15"/>
      <c r="F6281" s="14"/>
    </row>
    <row r="6282" spans="4:6" x14ac:dyDescent="0.25">
      <c r="D6282" s="15"/>
      <c r="F6282" s="14"/>
    </row>
    <row r="6283" spans="4:6" x14ac:dyDescent="0.25">
      <c r="D6283" s="15"/>
      <c r="F6283" s="14"/>
    </row>
    <row r="6284" spans="4:6" x14ac:dyDescent="0.25">
      <c r="D6284" s="15"/>
      <c r="F6284" s="14"/>
    </row>
    <row r="6285" spans="4:6" x14ac:dyDescent="0.25">
      <c r="D6285" s="15"/>
      <c r="F6285" s="14"/>
    </row>
    <row r="6286" spans="4:6" x14ac:dyDescent="0.25">
      <c r="D6286" s="15"/>
      <c r="F6286" s="14"/>
    </row>
    <row r="6287" spans="4:6" x14ac:dyDescent="0.25">
      <c r="D6287" s="15"/>
      <c r="F6287" s="14"/>
    </row>
    <row r="6288" spans="4:6" x14ac:dyDescent="0.25">
      <c r="D6288" s="15"/>
      <c r="F6288" s="14"/>
    </row>
    <row r="6289" spans="4:6" x14ac:dyDescent="0.25">
      <c r="D6289" s="15"/>
      <c r="F6289" s="14"/>
    </row>
    <row r="6290" spans="4:6" x14ac:dyDescent="0.25">
      <c r="D6290" s="15"/>
      <c r="F6290" s="14"/>
    </row>
    <row r="6291" spans="4:6" x14ac:dyDescent="0.25">
      <c r="D6291" s="15"/>
      <c r="F6291" s="14"/>
    </row>
    <row r="6292" spans="4:6" x14ac:dyDescent="0.25">
      <c r="D6292" s="15"/>
      <c r="F6292" s="14"/>
    </row>
    <row r="6293" spans="4:6" x14ac:dyDescent="0.25">
      <c r="D6293" s="15"/>
      <c r="F6293" s="14"/>
    </row>
    <row r="6294" spans="4:6" x14ac:dyDescent="0.25">
      <c r="D6294" s="15"/>
      <c r="F6294" s="14"/>
    </row>
    <row r="6295" spans="4:6" x14ac:dyDescent="0.25">
      <c r="D6295" s="15"/>
      <c r="F6295" s="14"/>
    </row>
    <row r="6296" spans="4:6" x14ac:dyDescent="0.25">
      <c r="D6296" s="15"/>
      <c r="F6296" s="14"/>
    </row>
    <row r="6297" spans="4:6" x14ac:dyDescent="0.25">
      <c r="D6297" s="15"/>
      <c r="F6297" s="14"/>
    </row>
    <row r="6298" spans="4:6" x14ac:dyDescent="0.25">
      <c r="D6298" s="15"/>
      <c r="F6298" s="14"/>
    </row>
    <row r="6299" spans="4:6" x14ac:dyDescent="0.25">
      <c r="D6299" s="15"/>
      <c r="F6299" s="14"/>
    </row>
    <row r="6300" spans="4:6" x14ac:dyDescent="0.25">
      <c r="D6300" s="15"/>
      <c r="F6300" s="14"/>
    </row>
    <row r="6301" spans="4:6" x14ac:dyDescent="0.25">
      <c r="D6301" s="15"/>
      <c r="F6301" s="14"/>
    </row>
    <row r="6302" spans="4:6" x14ac:dyDescent="0.25">
      <c r="D6302" s="15"/>
      <c r="F6302" s="14"/>
    </row>
    <row r="6303" spans="4:6" x14ac:dyDescent="0.25">
      <c r="D6303" s="15"/>
      <c r="F6303" s="14"/>
    </row>
    <row r="6304" spans="4:6" x14ac:dyDescent="0.25">
      <c r="D6304" s="15"/>
      <c r="F6304" s="14"/>
    </row>
    <row r="6305" spans="4:6" x14ac:dyDescent="0.25">
      <c r="D6305" s="15"/>
      <c r="F6305" s="14"/>
    </row>
    <row r="6306" spans="4:6" x14ac:dyDescent="0.25">
      <c r="D6306" s="15"/>
      <c r="F6306" s="14"/>
    </row>
    <row r="6307" spans="4:6" x14ac:dyDescent="0.25">
      <c r="D6307" s="15"/>
      <c r="F6307" s="14"/>
    </row>
    <row r="6308" spans="4:6" x14ac:dyDescent="0.25">
      <c r="D6308" s="15"/>
      <c r="F6308" s="14"/>
    </row>
    <row r="6309" spans="4:6" x14ac:dyDescent="0.25">
      <c r="D6309" s="15"/>
      <c r="F6309" s="14"/>
    </row>
    <row r="6310" spans="4:6" x14ac:dyDescent="0.25">
      <c r="D6310" s="15"/>
      <c r="F6310" s="14"/>
    </row>
    <row r="6311" spans="4:6" x14ac:dyDescent="0.25">
      <c r="D6311" s="15"/>
      <c r="F6311" s="14"/>
    </row>
    <row r="6312" spans="4:6" x14ac:dyDescent="0.25">
      <c r="D6312" s="15"/>
      <c r="F6312" s="14"/>
    </row>
    <row r="6313" spans="4:6" x14ac:dyDescent="0.25">
      <c r="D6313" s="15"/>
      <c r="F6313" s="14"/>
    </row>
    <row r="6314" spans="4:6" x14ac:dyDescent="0.25">
      <c r="D6314" s="15"/>
      <c r="F6314" s="14"/>
    </row>
    <row r="6315" spans="4:6" x14ac:dyDescent="0.25">
      <c r="D6315" s="15"/>
      <c r="F6315" s="14"/>
    </row>
    <row r="6316" spans="4:6" x14ac:dyDescent="0.25">
      <c r="D6316" s="15"/>
      <c r="F6316" s="14"/>
    </row>
    <row r="6317" spans="4:6" x14ac:dyDescent="0.25">
      <c r="D6317" s="15"/>
      <c r="F6317" s="14"/>
    </row>
    <row r="6318" spans="4:6" x14ac:dyDescent="0.25">
      <c r="D6318" s="15"/>
      <c r="F6318" s="14"/>
    </row>
    <row r="6319" spans="4:6" x14ac:dyDescent="0.25">
      <c r="D6319" s="15"/>
      <c r="F6319" s="14"/>
    </row>
    <row r="6320" spans="4:6" x14ac:dyDescent="0.25">
      <c r="D6320" s="15"/>
      <c r="F6320" s="14"/>
    </row>
    <row r="6321" spans="4:6" x14ac:dyDescent="0.25">
      <c r="D6321" s="15"/>
      <c r="F6321" s="14"/>
    </row>
    <row r="6322" spans="4:6" x14ac:dyDescent="0.25">
      <c r="D6322" s="15"/>
      <c r="F6322" s="14"/>
    </row>
    <row r="6323" spans="4:6" x14ac:dyDescent="0.25">
      <c r="D6323" s="15"/>
      <c r="F6323" s="14"/>
    </row>
    <row r="6324" spans="4:6" x14ac:dyDescent="0.25">
      <c r="D6324" s="15"/>
      <c r="F6324" s="14"/>
    </row>
    <row r="6325" spans="4:6" x14ac:dyDescent="0.25">
      <c r="D6325" s="15"/>
      <c r="F6325" s="14"/>
    </row>
    <row r="6326" spans="4:6" x14ac:dyDescent="0.25">
      <c r="D6326" s="15"/>
      <c r="F6326" s="14"/>
    </row>
    <row r="6327" spans="4:6" x14ac:dyDescent="0.25">
      <c r="D6327" s="15"/>
      <c r="F6327" s="14"/>
    </row>
    <row r="6328" spans="4:6" x14ac:dyDescent="0.25">
      <c r="D6328" s="15"/>
      <c r="F6328" s="14"/>
    </row>
    <row r="6329" spans="4:6" x14ac:dyDescent="0.25">
      <c r="D6329" s="15"/>
      <c r="F6329" s="14"/>
    </row>
    <row r="6330" spans="4:6" x14ac:dyDescent="0.25">
      <c r="D6330" s="15"/>
      <c r="F6330" s="14"/>
    </row>
    <row r="6331" spans="4:6" x14ac:dyDescent="0.25">
      <c r="D6331" s="15"/>
      <c r="F6331" s="14"/>
    </row>
    <row r="6332" spans="4:6" x14ac:dyDescent="0.25">
      <c r="D6332" s="15"/>
      <c r="F6332" s="14"/>
    </row>
    <row r="6333" spans="4:6" x14ac:dyDescent="0.25">
      <c r="D6333" s="15"/>
      <c r="F6333" s="14"/>
    </row>
    <row r="6334" spans="4:6" x14ac:dyDescent="0.25">
      <c r="D6334" s="15"/>
      <c r="F6334" s="14"/>
    </row>
    <row r="6335" spans="4:6" x14ac:dyDescent="0.25">
      <c r="D6335" s="15"/>
      <c r="F6335" s="14"/>
    </row>
    <row r="6336" spans="4:6" x14ac:dyDescent="0.25">
      <c r="D6336" s="15"/>
      <c r="F6336" s="14"/>
    </row>
    <row r="6337" spans="4:6" x14ac:dyDescent="0.25">
      <c r="D6337" s="15"/>
      <c r="F6337" s="14"/>
    </row>
    <row r="6338" spans="4:6" x14ac:dyDescent="0.25">
      <c r="D6338" s="15"/>
      <c r="F6338" s="14"/>
    </row>
    <row r="6339" spans="4:6" x14ac:dyDescent="0.25">
      <c r="D6339" s="15"/>
      <c r="F6339" s="14"/>
    </row>
    <row r="6340" spans="4:6" x14ac:dyDescent="0.25">
      <c r="D6340" s="15"/>
      <c r="F6340" s="14"/>
    </row>
    <row r="6341" spans="4:6" x14ac:dyDescent="0.25">
      <c r="D6341" s="15"/>
      <c r="F6341" s="14"/>
    </row>
    <row r="6342" spans="4:6" x14ac:dyDescent="0.25">
      <c r="D6342" s="15"/>
      <c r="F6342" s="14"/>
    </row>
    <row r="6343" spans="4:6" x14ac:dyDescent="0.25">
      <c r="D6343" s="15"/>
      <c r="F6343" s="14"/>
    </row>
    <row r="6344" spans="4:6" x14ac:dyDescent="0.25">
      <c r="D6344" s="15"/>
      <c r="F6344" s="14"/>
    </row>
    <row r="6345" spans="4:6" x14ac:dyDescent="0.25">
      <c r="D6345" s="15"/>
      <c r="F6345" s="14"/>
    </row>
    <row r="6346" spans="4:6" x14ac:dyDescent="0.25">
      <c r="D6346" s="15"/>
      <c r="F6346" s="14"/>
    </row>
    <row r="6347" spans="4:6" x14ac:dyDescent="0.25">
      <c r="D6347" s="15"/>
      <c r="F6347" s="14"/>
    </row>
    <row r="6348" spans="4:6" x14ac:dyDescent="0.25">
      <c r="D6348" s="15"/>
      <c r="F6348" s="14"/>
    </row>
    <row r="6349" spans="4:6" x14ac:dyDescent="0.25">
      <c r="D6349" s="15"/>
      <c r="F6349" s="14"/>
    </row>
    <row r="6350" spans="4:6" x14ac:dyDescent="0.25">
      <c r="D6350" s="15"/>
      <c r="F6350" s="14"/>
    </row>
    <row r="6351" spans="4:6" x14ac:dyDescent="0.25">
      <c r="D6351" s="15"/>
      <c r="F6351" s="14"/>
    </row>
    <row r="6352" spans="4:6" x14ac:dyDescent="0.25">
      <c r="D6352" s="15"/>
      <c r="F6352" s="14"/>
    </row>
    <row r="6353" spans="4:6" x14ac:dyDescent="0.25">
      <c r="D6353" s="15"/>
      <c r="F6353" s="14"/>
    </row>
    <row r="6354" spans="4:6" x14ac:dyDescent="0.25">
      <c r="D6354" s="15"/>
      <c r="F6354" s="14"/>
    </row>
    <row r="6355" spans="4:6" x14ac:dyDescent="0.25">
      <c r="D6355" s="15"/>
      <c r="F6355" s="14"/>
    </row>
    <row r="6356" spans="4:6" x14ac:dyDescent="0.25">
      <c r="D6356" s="15"/>
      <c r="F6356" s="14"/>
    </row>
    <row r="6357" spans="4:6" x14ac:dyDescent="0.25">
      <c r="D6357" s="15"/>
      <c r="F6357" s="14"/>
    </row>
    <row r="6358" spans="4:6" x14ac:dyDescent="0.25">
      <c r="D6358" s="15"/>
      <c r="F6358" s="14"/>
    </row>
    <row r="6359" spans="4:6" x14ac:dyDescent="0.25">
      <c r="D6359" s="15"/>
      <c r="F6359" s="14"/>
    </row>
    <row r="6360" spans="4:6" x14ac:dyDescent="0.25">
      <c r="D6360" s="15"/>
      <c r="F6360" s="14"/>
    </row>
    <row r="6361" spans="4:6" x14ac:dyDescent="0.25">
      <c r="D6361" s="15"/>
      <c r="F6361" s="14"/>
    </row>
    <row r="6362" spans="4:6" x14ac:dyDescent="0.25">
      <c r="D6362" s="15"/>
      <c r="F6362" s="14"/>
    </row>
    <row r="6363" spans="4:6" x14ac:dyDescent="0.25">
      <c r="D6363" s="15"/>
      <c r="F6363" s="14"/>
    </row>
    <row r="6364" spans="4:6" x14ac:dyDescent="0.25">
      <c r="D6364" s="15"/>
      <c r="F6364" s="14"/>
    </row>
    <row r="6365" spans="4:6" x14ac:dyDescent="0.25">
      <c r="D6365" s="15"/>
      <c r="F6365" s="14"/>
    </row>
    <row r="6366" spans="4:6" x14ac:dyDescent="0.25">
      <c r="D6366" s="15"/>
      <c r="F6366" s="14"/>
    </row>
    <row r="6367" spans="4:6" x14ac:dyDescent="0.25">
      <c r="D6367" s="15"/>
      <c r="F6367" s="14"/>
    </row>
    <row r="6368" spans="4:6" x14ac:dyDescent="0.25">
      <c r="D6368" s="15"/>
      <c r="F6368" s="14"/>
    </row>
    <row r="6369" spans="4:6" x14ac:dyDescent="0.25">
      <c r="D6369" s="15"/>
      <c r="F6369" s="14"/>
    </row>
    <row r="6370" spans="4:6" x14ac:dyDescent="0.25">
      <c r="D6370" s="15"/>
      <c r="F6370" s="14"/>
    </row>
    <row r="6371" spans="4:6" x14ac:dyDescent="0.25">
      <c r="D6371" s="15"/>
      <c r="F6371" s="14"/>
    </row>
    <row r="6372" spans="4:6" x14ac:dyDescent="0.25">
      <c r="D6372" s="15"/>
      <c r="F6372" s="14"/>
    </row>
    <row r="6373" spans="4:6" x14ac:dyDescent="0.25">
      <c r="D6373" s="15"/>
      <c r="F6373" s="14"/>
    </row>
    <row r="6374" spans="4:6" x14ac:dyDescent="0.25">
      <c r="D6374" s="15"/>
      <c r="F6374" s="14"/>
    </row>
    <row r="6375" spans="4:6" x14ac:dyDescent="0.25">
      <c r="D6375" s="15"/>
      <c r="F6375" s="14"/>
    </row>
    <row r="6376" spans="4:6" x14ac:dyDescent="0.25">
      <c r="D6376" s="15"/>
      <c r="F6376" s="14"/>
    </row>
    <row r="6377" spans="4:6" x14ac:dyDescent="0.25">
      <c r="D6377" s="15"/>
      <c r="F6377" s="14"/>
    </row>
    <row r="6378" spans="4:6" x14ac:dyDescent="0.25">
      <c r="D6378" s="15"/>
      <c r="F6378" s="14"/>
    </row>
    <row r="6379" spans="4:6" x14ac:dyDescent="0.25">
      <c r="D6379" s="15"/>
      <c r="F6379" s="14"/>
    </row>
    <row r="6380" spans="4:6" x14ac:dyDescent="0.25">
      <c r="D6380" s="15"/>
      <c r="F6380" s="14"/>
    </row>
    <row r="6381" spans="4:6" x14ac:dyDescent="0.25">
      <c r="D6381" s="15"/>
      <c r="F6381" s="14"/>
    </row>
    <row r="6382" spans="4:6" x14ac:dyDescent="0.25">
      <c r="D6382" s="15"/>
      <c r="F6382" s="14"/>
    </row>
    <row r="6383" spans="4:6" x14ac:dyDescent="0.25">
      <c r="D6383" s="15"/>
      <c r="F6383" s="14"/>
    </row>
    <row r="6384" spans="4:6" x14ac:dyDescent="0.25">
      <c r="D6384" s="15"/>
      <c r="F6384" s="14"/>
    </row>
    <row r="6385" spans="4:6" x14ac:dyDescent="0.25">
      <c r="D6385" s="15"/>
      <c r="F6385" s="14"/>
    </row>
    <row r="6386" spans="4:6" x14ac:dyDescent="0.25">
      <c r="D6386" s="15"/>
      <c r="F6386" s="14"/>
    </row>
    <row r="6387" spans="4:6" x14ac:dyDescent="0.25">
      <c r="D6387" s="15"/>
      <c r="F6387" s="14"/>
    </row>
    <row r="6388" spans="4:6" x14ac:dyDescent="0.25">
      <c r="D6388" s="15"/>
      <c r="F6388" s="14"/>
    </row>
    <row r="6389" spans="4:6" x14ac:dyDescent="0.25">
      <c r="D6389" s="15"/>
      <c r="F6389" s="14"/>
    </row>
    <row r="6390" spans="4:6" x14ac:dyDescent="0.25">
      <c r="D6390" s="15"/>
      <c r="F6390" s="14"/>
    </row>
    <row r="6391" spans="4:6" x14ac:dyDescent="0.25">
      <c r="D6391" s="15"/>
      <c r="F6391" s="14"/>
    </row>
    <row r="6392" spans="4:6" x14ac:dyDescent="0.25">
      <c r="D6392" s="15"/>
      <c r="F6392" s="14"/>
    </row>
    <row r="6393" spans="4:6" x14ac:dyDescent="0.25">
      <c r="D6393" s="15"/>
      <c r="F6393" s="14"/>
    </row>
    <row r="6394" spans="4:6" x14ac:dyDescent="0.25">
      <c r="D6394" s="15"/>
      <c r="F6394" s="14"/>
    </row>
    <row r="6395" spans="4:6" x14ac:dyDescent="0.25">
      <c r="D6395" s="15"/>
      <c r="F6395" s="14"/>
    </row>
    <row r="6396" spans="4:6" x14ac:dyDescent="0.25">
      <c r="D6396" s="15"/>
      <c r="F6396" s="14"/>
    </row>
    <row r="6397" spans="4:6" x14ac:dyDescent="0.25">
      <c r="D6397" s="15"/>
      <c r="F6397" s="14"/>
    </row>
    <row r="6398" spans="4:6" x14ac:dyDescent="0.25">
      <c r="D6398" s="15"/>
      <c r="F6398" s="14"/>
    </row>
    <row r="6399" spans="4:6" x14ac:dyDescent="0.25">
      <c r="D6399" s="15"/>
      <c r="F6399" s="14"/>
    </row>
    <row r="6400" spans="4:6" x14ac:dyDescent="0.25">
      <c r="D6400" s="15"/>
      <c r="F6400" s="14"/>
    </row>
    <row r="6401" spans="4:6" x14ac:dyDescent="0.25">
      <c r="D6401" s="15"/>
      <c r="F6401" s="14"/>
    </row>
    <row r="6402" spans="4:6" x14ac:dyDescent="0.25">
      <c r="D6402" s="15"/>
      <c r="F6402" s="14"/>
    </row>
    <row r="6403" spans="4:6" x14ac:dyDescent="0.25">
      <c r="D6403" s="15"/>
      <c r="F6403" s="14"/>
    </row>
    <row r="6404" spans="4:6" x14ac:dyDescent="0.25">
      <c r="D6404" s="15"/>
      <c r="F6404" s="14"/>
    </row>
    <row r="6405" spans="4:6" x14ac:dyDescent="0.25">
      <c r="D6405" s="15"/>
      <c r="F6405" s="14"/>
    </row>
    <row r="6406" spans="4:6" x14ac:dyDescent="0.25">
      <c r="D6406" s="15"/>
      <c r="F6406" s="14"/>
    </row>
    <row r="6407" spans="4:6" x14ac:dyDescent="0.25">
      <c r="D6407" s="15"/>
      <c r="F6407" s="14"/>
    </row>
    <row r="6408" spans="4:6" x14ac:dyDescent="0.25">
      <c r="D6408" s="15"/>
      <c r="F6408" s="14"/>
    </row>
    <row r="6409" spans="4:6" x14ac:dyDescent="0.25">
      <c r="D6409" s="15"/>
      <c r="F6409" s="14"/>
    </row>
    <row r="6410" spans="4:6" x14ac:dyDescent="0.25">
      <c r="D6410" s="15"/>
      <c r="F6410" s="14"/>
    </row>
    <row r="6411" spans="4:6" x14ac:dyDescent="0.25">
      <c r="D6411" s="15"/>
      <c r="F6411" s="14"/>
    </row>
    <row r="6412" spans="4:6" x14ac:dyDescent="0.25">
      <c r="D6412" s="15"/>
      <c r="F6412" s="14"/>
    </row>
    <row r="6413" spans="4:6" x14ac:dyDescent="0.25">
      <c r="D6413" s="15"/>
      <c r="F6413" s="14"/>
    </row>
    <row r="6414" spans="4:6" x14ac:dyDescent="0.25">
      <c r="D6414" s="15"/>
      <c r="F6414" s="14"/>
    </row>
    <row r="6415" spans="4:6" x14ac:dyDescent="0.25">
      <c r="D6415" s="15"/>
      <c r="F6415" s="14"/>
    </row>
    <row r="6416" spans="4:6" x14ac:dyDescent="0.25">
      <c r="D6416" s="15"/>
      <c r="F6416" s="14"/>
    </row>
    <row r="6417" spans="4:6" x14ac:dyDescent="0.25">
      <c r="D6417" s="15"/>
      <c r="F6417" s="14"/>
    </row>
    <row r="6418" spans="4:6" x14ac:dyDescent="0.25">
      <c r="D6418" s="15"/>
      <c r="F6418" s="14"/>
    </row>
    <row r="6419" spans="4:6" x14ac:dyDescent="0.25">
      <c r="D6419" s="15"/>
      <c r="F6419" s="14"/>
    </row>
    <row r="6420" spans="4:6" x14ac:dyDescent="0.25">
      <c r="D6420" s="15"/>
      <c r="F6420" s="14"/>
    </row>
    <row r="6421" spans="4:6" x14ac:dyDescent="0.25">
      <c r="D6421" s="15"/>
      <c r="F6421" s="14"/>
    </row>
    <row r="6422" spans="4:6" x14ac:dyDescent="0.25">
      <c r="D6422" s="15"/>
      <c r="F6422" s="14"/>
    </row>
    <row r="6423" spans="4:6" x14ac:dyDescent="0.25">
      <c r="D6423" s="15"/>
      <c r="F6423" s="14"/>
    </row>
    <row r="6424" spans="4:6" x14ac:dyDescent="0.25">
      <c r="D6424" s="15"/>
      <c r="F6424" s="14"/>
    </row>
    <row r="6425" spans="4:6" x14ac:dyDescent="0.25">
      <c r="D6425" s="15"/>
      <c r="F6425" s="14"/>
    </row>
    <row r="6426" spans="4:6" x14ac:dyDescent="0.25">
      <c r="D6426" s="15"/>
      <c r="F6426" s="14"/>
    </row>
    <row r="6427" spans="4:6" x14ac:dyDescent="0.25">
      <c r="D6427" s="15"/>
      <c r="F6427" s="14"/>
    </row>
    <row r="6428" spans="4:6" x14ac:dyDescent="0.25">
      <c r="D6428" s="15"/>
      <c r="F6428" s="14"/>
    </row>
    <row r="6429" spans="4:6" x14ac:dyDescent="0.25">
      <c r="D6429" s="15"/>
      <c r="F6429" s="14"/>
    </row>
    <row r="6430" spans="4:6" x14ac:dyDescent="0.25">
      <c r="D6430" s="15"/>
      <c r="F6430" s="14"/>
    </row>
    <row r="6431" spans="4:6" x14ac:dyDescent="0.25">
      <c r="D6431" s="15"/>
      <c r="F6431" s="14"/>
    </row>
    <row r="6432" spans="4:6" x14ac:dyDescent="0.25">
      <c r="D6432" s="15"/>
      <c r="F6432" s="14"/>
    </row>
    <row r="6433" spans="4:6" x14ac:dyDescent="0.25">
      <c r="D6433" s="15"/>
      <c r="F6433" s="14"/>
    </row>
    <row r="6434" spans="4:6" x14ac:dyDescent="0.25">
      <c r="D6434" s="15"/>
      <c r="F6434" s="14"/>
    </row>
    <row r="6435" spans="4:6" x14ac:dyDescent="0.25">
      <c r="D6435" s="15"/>
      <c r="F6435" s="14"/>
    </row>
    <row r="6436" spans="4:6" x14ac:dyDescent="0.25">
      <c r="D6436" s="15"/>
      <c r="F6436" s="14"/>
    </row>
    <row r="6437" spans="4:6" x14ac:dyDescent="0.25">
      <c r="D6437" s="15"/>
      <c r="F6437" s="14"/>
    </row>
    <row r="6438" spans="4:6" x14ac:dyDescent="0.25">
      <c r="D6438" s="15"/>
      <c r="F6438" s="14"/>
    </row>
    <row r="6439" spans="4:6" x14ac:dyDescent="0.25">
      <c r="D6439" s="15"/>
      <c r="F6439" s="14"/>
    </row>
    <row r="6440" spans="4:6" x14ac:dyDescent="0.25">
      <c r="D6440" s="15"/>
      <c r="F6440" s="14"/>
    </row>
    <row r="6441" spans="4:6" x14ac:dyDescent="0.25">
      <c r="D6441" s="15"/>
      <c r="F6441" s="14"/>
    </row>
    <row r="6442" spans="4:6" x14ac:dyDescent="0.25">
      <c r="D6442" s="15"/>
      <c r="F6442" s="14"/>
    </row>
    <row r="6443" spans="4:6" x14ac:dyDescent="0.25">
      <c r="D6443" s="15"/>
      <c r="F6443" s="14"/>
    </row>
    <row r="6444" spans="4:6" x14ac:dyDescent="0.25">
      <c r="D6444" s="15"/>
      <c r="F6444" s="14"/>
    </row>
    <row r="6445" spans="4:6" x14ac:dyDescent="0.25">
      <c r="D6445" s="15"/>
      <c r="F6445" s="14"/>
    </row>
    <row r="6446" spans="4:6" x14ac:dyDescent="0.25">
      <c r="D6446" s="15"/>
      <c r="F6446" s="14"/>
    </row>
    <row r="6447" spans="4:6" x14ac:dyDescent="0.25">
      <c r="D6447" s="15"/>
      <c r="F6447" s="14"/>
    </row>
    <row r="6448" spans="4:6" x14ac:dyDescent="0.25">
      <c r="D6448" s="15"/>
      <c r="F6448" s="14"/>
    </row>
    <row r="6449" spans="4:6" x14ac:dyDescent="0.25">
      <c r="D6449" s="15"/>
      <c r="F6449" s="14"/>
    </row>
    <row r="6450" spans="4:6" x14ac:dyDescent="0.25">
      <c r="D6450" s="15"/>
      <c r="F6450" s="14"/>
    </row>
    <row r="6451" spans="4:6" x14ac:dyDescent="0.25">
      <c r="D6451" s="15"/>
      <c r="F6451" s="14"/>
    </row>
    <row r="6452" spans="4:6" x14ac:dyDescent="0.25">
      <c r="D6452" s="15"/>
      <c r="F6452" s="14"/>
    </row>
    <row r="6453" spans="4:6" x14ac:dyDescent="0.25">
      <c r="D6453" s="15"/>
      <c r="F6453" s="14"/>
    </row>
    <row r="6454" spans="4:6" x14ac:dyDescent="0.25">
      <c r="D6454" s="15"/>
      <c r="F6454" s="14"/>
    </row>
    <row r="6455" spans="4:6" x14ac:dyDescent="0.25">
      <c r="D6455" s="15"/>
      <c r="F6455" s="14"/>
    </row>
    <row r="6456" spans="4:6" x14ac:dyDescent="0.25">
      <c r="D6456" s="15"/>
      <c r="F6456" s="14"/>
    </row>
    <row r="6457" spans="4:6" x14ac:dyDescent="0.25">
      <c r="D6457" s="15"/>
      <c r="F6457" s="14"/>
    </row>
    <row r="6458" spans="4:6" x14ac:dyDescent="0.25">
      <c r="D6458" s="15"/>
      <c r="F6458" s="14"/>
    </row>
    <row r="6459" spans="4:6" x14ac:dyDescent="0.25">
      <c r="D6459" s="15"/>
      <c r="F6459" s="14"/>
    </row>
    <row r="6460" spans="4:6" x14ac:dyDescent="0.25">
      <c r="D6460" s="15"/>
      <c r="F6460" s="14"/>
    </row>
    <row r="6461" spans="4:6" x14ac:dyDescent="0.25">
      <c r="D6461" s="15"/>
      <c r="F6461" s="14"/>
    </row>
    <row r="6462" spans="4:6" x14ac:dyDescent="0.25">
      <c r="D6462" s="15"/>
      <c r="F6462" s="14"/>
    </row>
    <row r="6463" spans="4:6" x14ac:dyDescent="0.25">
      <c r="D6463" s="15"/>
      <c r="F6463" s="14"/>
    </row>
    <row r="6464" spans="4:6" x14ac:dyDescent="0.25">
      <c r="D6464" s="15"/>
      <c r="F6464" s="14"/>
    </row>
    <row r="6465" spans="4:6" x14ac:dyDescent="0.25">
      <c r="D6465" s="15"/>
      <c r="F6465" s="14"/>
    </row>
    <row r="6466" spans="4:6" x14ac:dyDescent="0.25">
      <c r="D6466" s="15"/>
      <c r="F6466" s="14"/>
    </row>
    <row r="6467" spans="4:6" x14ac:dyDescent="0.25">
      <c r="D6467" s="15"/>
      <c r="F6467" s="14"/>
    </row>
    <row r="6468" spans="4:6" x14ac:dyDescent="0.25">
      <c r="D6468" s="15"/>
      <c r="F6468" s="14"/>
    </row>
    <row r="6469" spans="4:6" x14ac:dyDescent="0.25">
      <c r="D6469" s="15"/>
      <c r="F6469" s="14"/>
    </row>
    <row r="6470" spans="4:6" x14ac:dyDescent="0.25">
      <c r="D6470" s="15"/>
      <c r="F6470" s="14"/>
    </row>
    <row r="6471" spans="4:6" x14ac:dyDescent="0.25">
      <c r="D6471" s="15"/>
      <c r="F6471" s="14"/>
    </row>
    <row r="6472" spans="4:6" x14ac:dyDescent="0.25">
      <c r="D6472" s="15"/>
      <c r="F6472" s="14"/>
    </row>
    <row r="6473" spans="4:6" x14ac:dyDescent="0.25">
      <c r="D6473" s="15"/>
      <c r="F6473" s="14"/>
    </row>
    <row r="6474" spans="4:6" x14ac:dyDescent="0.25">
      <c r="D6474" s="15"/>
      <c r="F6474" s="14"/>
    </row>
    <row r="6475" spans="4:6" x14ac:dyDescent="0.25">
      <c r="D6475" s="15"/>
      <c r="F6475" s="14"/>
    </row>
    <row r="6476" spans="4:6" x14ac:dyDescent="0.25">
      <c r="D6476" s="15"/>
      <c r="F6476" s="14"/>
    </row>
    <row r="6477" spans="4:6" x14ac:dyDescent="0.25">
      <c r="D6477" s="15"/>
      <c r="F6477" s="14"/>
    </row>
    <row r="6478" spans="4:6" x14ac:dyDescent="0.25">
      <c r="D6478" s="15"/>
      <c r="F6478" s="14"/>
    </row>
    <row r="6479" spans="4:6" x14ac:dyDescent="0.25">
      <c r="D6479" s="15"/>
      <c r="F6479" s="14"/>
    </row>
    <row r="6480" spans="4:6" x14ac:dyDescent="0.25">
      <c r="D6480" s="15"/>
      <c r="F6480" s="14"/>
    </row>
    <row r="6481" spans="4:6" x14ac:dyDescent="0.25">
      <c r="D6481" s="15"/>
      <c r="F6481" s="14"/>
    </row>
    <row r="6482" spans="4:6" x14ac:dyDescent="0.25">
      <c r="D6482" s="15"/>
      <c r="F6482" s="14"/>
    </row>
    <row r="6483" spans="4:6" x14ac:dyDescent="0.25">
      <c r="D6483" s="15"/>
      <c r="F6483" s="14"/>
    </row>
    <row r="6484" spans="4:6" x14ac:dyDescent="0.25">
      <c r="D6484" s="15"/>
      <c r="F6484" s="14"/>
    </row>
    <row r="6485" spans="4:6" x14ac:dyDescent="0.25">
      <c r="D6485" s="15"/>
      <c r="F6485" s="14"/>
    </row>
    <row r="6486" spans="4:6" x14ac:dyDescent="0.25">
      <c r="D6486" s="15"/>
      <c r="F6486" s="14"/>
    </row>
    <row r="6487" spans="4:6" x14ac:dyDescent="0.25">
      <c r="D6487" s="15"/>
      <c r="F6487" s="14"/>
    </row>
    <row r="6488" spans="4:6" x14ac:dyDescent="0.25">
      <c r="D6488" s="15"/>
      <c r="F6488" s="14"/>
    </row>
    <row r="6489" spans="4:6" x14ac:dyDescent="0.25">
      <c r="D6489" s="15"/>
      <c r="F6489" s="14"/>
    </row>
    <row r="6490" spans="4:6" x14ac:dyDescent="0.25">
      <c r="D6490" s="15"/>
      <c r="F6490" s="14"/>
    </row>
    <row r="6491" spans="4:6" x14ac:dyDescent="0.25">
      <c r="D6491" s="15"/>
      <c r="F6491" s="14"/>
    </row>
    <row r="6492" spans="4:6" x14ac:dyDescent="0.25">
      <c r="D6492" s="15"/>
      <c r="F6492" s="14"/>
    </row>
    <row r="6493" spans="4:6" x14ac:dyDescent="0.25">
      <c r="D6493" s="15"/>
      <c r="F6493" s="14"/>
    </row>
    <row r="6494" spans="4:6" x14ac:dyDescent="0.25">
      <c r="D6494" s="15"/>
      <c r="F6494" s="14"/>
    </row>
    <row r="6495" spans="4:6" x14ac:dyDescent="0.25">
      <c r="D6495" s="15"/>
      <c r="F6495" s="14"/>
    </row>
    <row r="6496" spans="4:6" x14ac:dyDescent="0.25">
      <c r="D6496" s="15"/>
      <c r="F6496" s="14"/>
    </row>
    <row r="6497" spans="4:6" x14ac:dyDescent="0.25">
      <c r="D6497" s="15"/>
      <c r="F6497" s="14"/>
    </row>
    <row r="6498" spans="4:6" x14ac:dyDescent="0.25">
      <c r="D6498" s="15"/>
      <c r="F6498" s="14"/>
    </row>
    <row r="6499" spans="4:6" x14ac:dyDescent="0.25">
      <c r="D6499" s="15"/>
      <c r="F6499" s="14"/>
    </row>
    <row r="6500" spans="4:6" x14ac:dyDescent="0.25">
      <c r="D6500" s="15"/>
      <c r="F6500" s="14"/>
    </row>
    <row r="6501" spans="4:6" x14ac:dyDescent="0.25">
      <c r="D6501" s="15"/>
      <c r="F6501" s="14"/>
    </row>
    <row r="6502" spans="4:6" x14ac:dyDescent="0.25">
      <c r="D6502" s="15"/>
      <c r="F6502" s="14"/>
    </row>
    <row r="6503" spans="4:6" x14ac:dyDescent="0.25">
      <c r="D6503" s="15"/>
      <c r="F6503" s="14"/>
    </row>
    <row r="6504" spans="4:6" x14ac:dyDescent="0.25">
      <c r="D6504" s="15"/>
      <c r="F6504" s="14"/>
    </row>
    <row r="6505" spans="4:6" x14ac:dyDescent="0.25">
      <c r="D6505" s="15"/>
      <c r="F6505" s="14"/>
    </row>
    <row r="6506" spans="4:6" x14ac:dyDescent="0.25">
      <c r="D6506" s="15"/>
      <c r="F6506" s="14"/>
    </row>
    <row r="6507" spans="4:6" x14ac:dyDescent="0.25">
      <c r="D6507" s="15"/>
      <c r="F6507" s="14"/>
    </row>
    <row r="6508" spans="4:6" x14ac:dyDescent="0.25">
      <c r="D6508" s="15"/>
      <c r="F6508" s="14"/>
    </row>
    <row r="6509" spans="4:6" x14ac:dyDescent="0.25">
      <c r="D6509" s="15"/>
      <c r="F6509" s="14"/>
    </row>
    <row r="6510" spans="4:6" x14ac:dyDescent="0.25">
      <c r="D6510" s="15"/>
      <c r="F6510" s="14"/>
    </row>
    <row r="6511" spans="4:6" x14ac:dyDescent="0.25">
      <c r="D6511" s="15"/>
      <c r="F6511" s="14"/>
    </row>
    <row r="6512" spans="4:6" x14ac:dyDescent="0.25">
      <c r="D6512" s="15"/>
      <c r="F6512" s="14"/>
    </row>
    <row r="6513" spans="4:6" x14ac:dyDescent="0.25">
      <c r="D6513" s="15"/>
      <c r="F6513" s="14"/>
    </row>
    <row r="6514" spans="4:6" x14ac:dyDescent="0.25">
      <c r="D6514" s="15"/>
      <c r="F6514" s="14"/>
    </row>
    <row r="6515" spans="4:6" x14ac:dyDescent="0.25">
      <c r="D6515" s="15"/>
      <c r="F6515" s="14"/>
    </row>
    <row r="6516" spans="4:6" x14ac:dyDescent="0.25">
      <c r="D6516" s="15"/>
      <c r="F6516" s="14"/>
    </row>
    <row r="6517" spans="4:6" x14ac:dyDescent="0.25">
      <c r="D6517" s="15"/>
      <c r="F6517" s="14"/>
    </row>
    <row r="6518" spans="4:6" x14ac:dyDescent="0.25">
      <c r="D6518" s="15"/>
      <c r="F6518" s="14"/>
    </row>
    <row r="6519" spans="4:6" x14ac:dyDescent="0.25">
      <c r="D6519" s="15"/>
      <c r="F6519" s="14"/>
    </row>
    <row r="6520" spans="4:6" x14ac:dyDescent="0.25">
      <c r="D6520" s="15"/>
      <c r="F6520" s="14"/>
    </row>
    <row r="6521" spans="4:6" x14ac:dyDescent="0.25">
      <c r="D6521" s="15"/>
      <c r="F6521" s="14"/>
    </row>
    <row r="6522" spans="4:6" x14ac:dyDescent="0.25">
      <c r="D6522" s="15"/>
      <c r="F6522" s="14"/>
    </row>
    <row r="6523" spans="4:6" x14ac:dyDescent="0.25">
      <c r="D6523" s="15"/>
      <c r="F6523" s="14"/>
    </row>
    <row r="6524" spans="4:6" x14ac:dyDescent="0.25">
      <c r="D6524" s="15"/>
      <c r="F6524" s="14"/>
    </row>
    <row r="6525" spans="4:6" x14ac:dyDescent="0.25">
      <c r="D6525" s="15"/>
      <c r="F6525" s="14"/>
    </row>
    <row r="6526" spans="4:6" x14ac:dyDescent="0.25">
      <c r="D6526" s="15"/>
      <c r="F6526" s="14"/>
    </row>
    <row r="6527" spans="4:6" x14ac:dyDescent="0.25">
      <c r="D6527" s="15"/>
      <c r="F6527" s="14"/>
    </row>
    <row r="6528" spans="4:6" x14ac:dyDescent="0.25">
      <c r="D6528" s="15"/>
      <c r="F6528" s="14"/>
    </row>
    <row r="6529" spans="4:6" x14ac:dyDescent="0.25">
      <c r="D6529" s="15"/>
      <c r="F6529" s="14"/>
    </row>
    <row r="6530" spans="4:6" x14ac:dyDescent="0.25">
      <c r="D6530" s="15"/>
      <c r="F6530" s="14"/>
    </row>
    <row r="6531" spans="4:6" x14ac:dyDescent="0.25">
      <c r="D6531" s="15"/>
      <c r="F6531" s="14"/>
    </row>
    <row r="6532" spans="4:6" x14ac:dyDescent="0.25">
      <c r="D6532" s="15"/>
      <c r="F6532" s="14"/>
    </row>
    <row r="6533" spans="4:6" x14ac:dyDescent="0.25">
      <c r="D6533" s="15"/>
      <c r="F6533" s="14"/>
    </row>
    <row r="6534" spans="4:6" x14ac:dyDescent="0.25">
      <c r="D6534" s="15"/>
      <c r="F6534" s="14"/>
    </row>
    <row r="6535" spans="4:6" x14ac:dyDescent="0.25">
      <c r="D6535" s="15"/>
      <c r="F6535" s="14"/>
    </row>
    <row r="6536" spans="4:6" x14ac:dyDescent="0.25">
      <c r="D6536" s="15"/>
      <c r="F6536" s="14"/>
    </row>
    <row r="6537" spans="4:6" x14ac:dyDescent="0.25">
      <c r="D6537" s="15"/>
      <c r="F6537" s="14"/>
    </row>
    <row r="6538" spans="4:6" x14ac:dyDescent="0.25">
      <c r="D6538" s="15"/>
      <c r="F6538" s="14"/>
    </row>
    <row r="6539" spans="4:6" x14ac:dyDescent="0.25">
      <c r="D6539" s="15"/>
      <c r="F6539" s="14"/>
    </row>
    <row r="6540" spans="4:6" x14ac:dyDescent="0.25">
      <c r="D6540" s="15"/>
      <c r="F6540" s="14"/>
    </row>
    <row r="6541" spans="4:6" x14ac:dyDescent="0.25">
      <c r="D6541" s="15"/>
      <c r="F6541" s="14"/>
    </row>
    <row r="6542" spans="4:6" x14ac:dyDescent="0.25">
      <c r="D6542" s="15"/>
      <c r="F6542" s="14"/>
    </row>
    <row r="6543" spans="4:6" x14ac:dyDescent="0.25">
      <c r="D6543" s="15"/>
      <c r="F6543" s="14"/>
    </row>
    <row r="6544" spans="4:6" x14ac:dyDescent="0.25">
      <c r="D6544" s="15"/>
      <c r="F6544" s="14"/>
    </row>
    <row r="6545" spans="4:6" x14ac:dyDescent="0.25">
      <c r="D6545" s="15"/>
      <c r="F6545" s="14"/>
    </row>
    <row r="6546" spans="4:6" x14ac:dyDescent="0.25">
      <c r="D6546" s="15"/>
      <c r="F6546" s="14"/>
    </row>
    <row r="6547" spans="4:6" x14ac:dyDescent="0.25">
      <c r="D6547" s="15"/>
      <c r="F6547" s="14"/>
    </row>
    <row r="6548" spans="4:6" x14ac:dyDescent="0.25">
      <c r="D6548" s="15"/>
      <c r="F6548" s="14"/>
    </row>
    <row r="6549" spans="4:6" x14ac:dyDescent="0.25">
      <c r="D6549" s="15"/>
      <c r="F6549" s="14"/>
    </row>
    <row r="6550" spans="4:6" x14ac:dyDescent="0.25">
      <c r="D6550" s="15"/>
      <c r="F6550" s="14"/>
    </row>
    <row r="6551" spans="4:6" x14ac:dyDescent="0.25">
      <c r="D6551" s="15"/>
      <c r="F6551" s="14"/>
    </row>
    <row r="6552" spans="4:6" x14ac:dyDescent="0.25">
      <c r="D6552" s="15"/>
      <c r="F6552" s="14"/>
    </row>
    <row r="6553" spans="4:6" x14ac:dyDescent="0.25">
      <c r="D6553" s="15"/>
      <c r="F6553" s="14"/>
    </row>
    <row r="6554" spans="4:6" x14ac:dyDescent="0.25">
      <c r="D6554" s="15"/>
      <c r="F6554" s="14"/>
    </row>
    <row r="6555" spans="4:6" x14ac:dyDescent="0.25">
      <c r="D6555" s="15"/>
      <c r="F6555" s="14"/>
    </row>
    <row r="6556" spans="4:6" x14ac:dyDescent="0.25">
      <c r="D6556" s="15"/>
      <c r="F6556" s="14"/>
    </row>
    <row r="6557" spans="4:6" x14ac:dyDescent="0.25">
      <c r="D6557" s="15"/>
      <c r="F6557" s="14"/>
    </row>
    <row r="6558" spans="4:6" x14ac:dyDescent="0.25">
      <c r="D6558" s="15"/>
      <c r="F6558" s="14"/>
    </row>
    <row r="6559" spans="4:6" x14ac:dyDescent="0.25">
      <c r="D6559" s="15"/>
      <c r="F6559" s="14"/>
    </row>
    <row r="6560" spans="4:6" x14ac:dyDescent="0.25">
      <c r="D6560" s="15"/>
      <c r="F6560" s="14"/>
    </row>
    <row r="6561" spans="4:6" x14ac:dyDescent="0.25">
      <c r="D6561" s="15"/>
      <c r="F6561" s="14"/>
    </row>
    <row r="6562" spans="4:6" x14ac:dyDescent="0.25">
      <c r="D6562" s="15"/>
      <c r="F6562" s="14"/>
    </row>
    <row r="6563" spans="4:6" x14ac:dyDescent="0.25">
      <c r="D6563" s="15"/>
      <c r="F6563" s="14"/>
    </row>
    <row r="6564" spans="4:6" x14ac:dyDescent="0.25">
      <c r="D6564" s="15"/>
      <c r="F6564" s="14"/>
    </row>
    <row r="6565" spans="4:6" x14ac:dyDescent="0.25">
      <c r="D6565" s="15"/>
      <c r="F6565" s="14"/>
    </row>
    <row r="6566" spans="4:6" x14ac:dyDescent="0.25">
      <c r="D6566" s="15"/>
      <c r="F6566" s="14"/>
    </row>
    <row r="6567" spans="4:6" x14ac:dyDescent="0.25">
      <c r="D6567" s="15"/>
      <c r="F6567" s="14"/>
    </row>
    <row r="6568" spans="4:6" x14ac:dyDescent="0.25">
      <c r="D6568" s="15"/>
      <c r="F6568" s="14"/>
    </row>
    <row r="6569" spans="4:6" x14ac:dyDescent="0.25">
      <c r="D6569" s="15"/>
      <c r="F6569" s="14"/>
    </row>
    <row r="6570" spans="4:6" x14ac:dyDescent="0.25">
      <c r="D6570" s="15"/>
      <c r="F6570" s="14"/>
    </row>
    <row r="6571" spans="4:6" x14ac:dyDescent="0.25">
      <c r="D6571" s="15"/>
      <c r="F6571" s="14"/>
    </row>
    <row r="6572" spans="4:6" x14ac:dyDescent="0.25">
      <c r="D6572" s="15"/>
      <c r="F6572" s="14"/>
    </row>
    <row r="6573" spans="4:6" x14ac:dyDescent="0.25">
      <c r="D6573" s="15"/>
      <c r="F6573" s="14"/>
    </row>
    <row r="6574" spans="4:6" x14ac:dyDescent="0.25">
      <c r="D6574" s="15"/>
      <c r="F6574" s="14"/>
    </row>
    <row r="6575" spans="4:6" x14ac:dyDescent="0.25">
      <c r="D6575" s="15"/>
      <c r="F6575" s="14"/>
    </row>
    <row r="6576" spans="4:6" x14ac:dyDescent="0.25">
      <c r="D6576" s="15"/>
      <c r="F6576" s="14"/>
    </row>
    <row r="6577" spans="4:6" x14ac:dyDescent="0.25">
      <c r="D6577" s="15"/>
      <c r="F6577" s="14"/>
    </row>
    <row r="6578" spans="4:6" x14ac:dyDescent="0.25">
      <c r="D6578" s="15"/>
      <c r="F6578" s="14"/>
    </row>
    <row r="6579" spans="4:6" x14ac:dyDescent="0.25">
      <c r="D6579" s="15"/>
      <c r="F6579" s="14"/>
    </row>
    <row r="6580" spans="4:6" x14ac:dyDescent="0.25">
      <c r="D6580" s="15"/>
      <c r="F6580" s="14"/>
    </row>
    <row r="6581" spans="4:6" x14ac:dyDescent="0.25">
      <c r="D6581" s="15"/>
      <c r="F6581" s="14"/>
    </row>
    <row r="6582" spans="4:6" x14ac:dyDescent="0.25">
      <c r="D6582" s="15"/>
      <c r="F6582" s="14"/>
    </row>
    <row r="6583" spans="4:6" x14ac:dyDescent="0.25">
      <c r="D6583" s="15"/>
      <c r="F6583" s="14"/>
    </row>
    <row r="6584" spans="4:6" x14ac:dyDescent="0.25">
      <c r="D6584" s="15"/>
      <c r="F6584" s="14"/>
    </row>
    <row r="6585" spans="4:6" x14ac:dyDescent="0.25">
      <c r="D6585" s="15"/>
      <c r="F6585" s="14"/>
    </row>
    <row r="6586" spans="4:6" x14ac:dyDescent="0.25">
      <c r="D6586" s="15"/>
      <c r="F6586" s="14"/>
    </row>
    <row r="6587" spans="4:6" x14ac:dyDescent="0.25">
      <c r="D6587" s="15"/>
      <c r="F6587" s="14"/>
    </row>
    <row r="6588" spans="4:6" x14ac:dyDescent="0.25">
      <c r="D6588" s="15"/>
      <c r="F6588" s="14"/>
    </row>
    <row r="6589" spans="4:6" x14ac:dyDescent="0.25">
      <c r="D6589" s="15"/>
      <c r="F6589" s="14"/>
    </row>
    <row r="6590" spans="4:6" x14ac:dyDescent="0.25">
      <c r="D6590" s="15"/>
      <c r="F6590" s="14"/>
    </row>
    <row r="6591" spans="4:6" x14ac:dyDescent="0.25">
      <c r="D6591" s="15"/>
      <c r="F6591" s="14"/>
    </row>
    <row r="6592" spans="4:6" x14ac:dyDescent="0.25">
      <c r="D6592" s="15"/>
      <c r="F6592" s="14"/>
    </row>
    <row r="6593" spans="4:6" x14ac:dyDescent="0.25">
      <c r="D6593" s="15"/>
      <c r="F6593" s="14"/>
    </row>
    <row r="6594" spans="4:6" x14ac:dyDescent="0.25">
      <c r="D6594" s="15"/>
      <c r="F6594" s="14"/>
    </row>
    <row r="6595" spans="4:6" x14ac:dyDescent="0.25">
      <c r="D6595" s="15"/>
      <c r="F6595" s="14"/>
    </row>
    <row r="6596" spans="4:6" x14ac:dyDescent="0.25">
      <c r="D6596" s="15"/>
      <c r="F6596" s="14"/>
    </row>
    <row r="6597" spans="4:6" x14ac:dyDescent="0.25">
      <c r="D6597" s="15"/>
      <c r="F6597" s="14"/>
    </row>
    <row r="6598" spans="4:6" x14ac:dyDescent="0.25">
      <c r="D6598" s="15"/>
      <c r="F6598" s="14"/>
    </row>
    <row r="6599" spans="4:6" x14ac:dyDescent="0.25">
      <c r="D6599" s="15"/>
      <c r="F6599" s="14"/>
    </row>
    <row r="6600" spans="4:6" x14ac:dyDescent="0.25">
      <c r="D6600" s="15"/>
      <c r="F6600" s="14"/>
    </row>
    <row r="6601" spans="4:6" x14ac:dyDescent="0.25">
      <c r="D6601" s="15"/>
      <c r="F6601" s="14"/>
    </row>
    <row r="6602" spans="4:6" x14ac:dyDescent="0.25">
      <c r="D6602" s="15"/>
      <c r="F6602" s="14"/>
    </row>
    <row r="6603" spans="4:6" x14ac:dyDescent="0.25">
      <c r="D6603" s="15"/>
      <c r="F6603" s="14"/>
    </row>
    <row r="6604" spans="4:6" x14ac:dyDescent="0.25">
      <c r="D6604" s="15"/>
      <c r="F6604" s="14"/>
    </row>
    <row r="6605" spans="4:6" x14ac:dyDescent="0.25">
      <c r="D6605" s="15"/>
      <c r="F6605" s="14"/>
    </row>
    <row r="6606" spans="4:6" x14ac:dyDescent="0.25">
      <c r="D6606" s="15"/>
      <c r="F6606" s="14"/>
    </row>
    <row r="6607" spans="4:6" x14ac:dyDescent="0.25">
      <c r="D6607" s="15"/>
      <c r="F6607" s="14"/>
    </row>
    <row r="6608" spans="4:6" x14ac:dyDescent="0.25">
      <c r="D6608" s="15"/>
      <c r="F6608" s="14"/>
    </row>
    <row r="6609" spans="4:6" x14ac:dyDescent="0.25">
      <c r="D6609" s="15"/>
      <c r="F6609" s="14"/>
    </row>
    <row r="6610" spans="4:6" x14ac:dyDescent="0.25">
      <c r="D6610" s="15"/>
      <c r="F6610" s="14"/>
    </row>
    <row r="6611" spans="4:6" x14ac:dyDescent="0.25">
      <c r="D6611" s="15"/>
      <c r="F6611" s="14"/>
    </row>
    <row r="6612" spans="4:6" x14ac:dyDescent="0.25">
      <c r="D6612" s="15"/>
      <c r="F6612" s="14"/>
    </row>
    <row r="6613" spans="4:6" x14ac:dyDescent="0.25">
      <c r="D6613" s="15"/>
      <c r="F6613" s="14"/>
    </row>
    <row r="6614" spans="4:6" x14ac:dyDescent="0.25">
      <c r="D6614" s="15"/>
      <c r="F6614" s="14"/>
    </row>
    <row r="6615" spans="4:6" x14ac:dyDescent="0.25">
      <c r="D6615" s="15"/>
      <c r="F6615" s="14"/>
    </row>
    <row r="6616" spans="4:6" x14ac:dyDescent="0.25">
      <c r="D6616" s="15"/>
      <c r="F6616" s="14"/>
    </row>
    <row r="6617" spans="4:6" x14ac:dyDescent="0.25">
      <c r="D6617" s="15"/>
      <c r="F6617" s="14"/>
    </row>
    <row r="6618" spans="4:6" x14ac:dyDescent="0.25">
      <c r="D6618" s="15"/>
      <c r="F6618" s="14"/>
    </row>
    <row r="6619" spans="4:6" x14ac:dyDescent="0.25">
      <c r="D6619" s="15"/>
      <c r="F6619" s="14"/>
    </row>
    <row r="6620" spans="4:6" x14ac:dyDescent="0.25">
      <c r="D6620" s="15"/>
      <c r="F6620" s="14"/>
    </row>
    <row r="6621" spans="4:6" x14ac:dyDescent="0.25">
      <c r="D6621" s="15"/>
      <c r="F6621" s="14"/>
    </row>
    <row r="6622" spans="4:6" x14ac:dyDescent="0.25">
      <c r="D6622" s="15"/>
      <c r="F6622" s="14"/>
    </row>
    <row r="6623" spans="4:6" x14ac:dyDescent="0.25">
      <c r="D6623" s="15"/>
      <c r="F6623" s="14"/>
    </row>
    <row r="6624" spans="4:6" x14ac:dyDescent="0.25">
      <c r="D6624" s="15"/>
      <c r="F6624" s="14"/>
    </row>
    <row r="6625" spans="4:6" x14ac:dyDescent="0.25">
      <c r="D6625" s="15"/>
      <c r="F6625" s="14"/>
    </row>
    <row r="6626" spans="4:6" x14ac:dyDescent="0.25">
      <c r="D6626" s="15"/>
      <c r="F6626" s="14"/>
    </row>
    <row r="6627" spans="4:6" x14ac:dyDescent="0.25">
      <c r="D6627" s="15"/>
      <c r="F6627" s="14"/>
    </row>
    <row r="6628" spans="4:6" x14ac:dyDescent="0.25">
      <c r="D6628" s="15"/>
      <c r="F6628" s="14"/>
    </row>
    <row r="6629" spans="4:6" x14ac:dyDescent="0.25">
      <c r="D6629" s="15"/>
      <c r="F6629" s="14"/>
    </row>
    <row r="6630" spans="4:6" x14ac:dyDescent="0.25">
      <c r="D6630" s="15"/>
      <c r="F6630" s="14"/>
    </row>
    <row r="6631" spans="4:6" x14ac:dyDescent="0.25">
      <c r="D6631" s="15"/>
      <c r="F6631" s="14"/>
    </row>
    <row r="6632" spans="4:6" x14ac:dyDescent="0.25">
      <c r="D6632" s="15"/>
      <c r="F6632" s="14"/>
    </row>
    <row r="6633" spans="4:6" x14ac:dyDescent="0.25">
      <c r="D6633" s="15"/>
      <c r="F6633" s="14"/>
    </row>
    <row r="6634" spans="4:6" x14ac:dyDescent="0.25">
      <c r="D6634" s="15"/>
      <c r="F6634" s="14"/>
    </row>
    <row r="6635" spans="4:6" x14ac:dyDescent="0.25">
      <c r="D6635" s="15"/>
      <c r="F6635" s="14"/>
    </row>
    <row r="6636" spans="4:6" x14ac:dyDescent="0.25">
      <c r="D6636" s="15"/>
      <c r="F6636" s="14"/>
    </row>
    <row r="6637" spans="4:6" x14ac:dyDescent="0.25">
      <c r="D6637" s="15"/>
      <c r="F6637" s="14"/>
    </row>
    <row r="6638" spans="4:6" x14ac:dyDescent="0.25">
      <c r="D6638" s="15"/>
      <c r="F6638" s="14"/>
    </row>
    <row r="6639" spans="4:6" x14ac:dyDescent="0.25">
      <c r="D6639" s="15"/>
      <c r="F6639" s="14"/>
    </row>
    <row r="6640" spans="4:6" x14ac:dyDescent="0.25">
      <c r="D6640" s="15"/>
      <c r="F6640" s="14"/>
    </row>
    <row r="6641" spans="4:6" x14ac:dyDescent="0.25">
      <c r="D6641" s="15"/>
      <c r="F6641" s="14"/>
    </row>
    <row r="6642" spans="4:6" x14ac:dyDescent="0.25">
      <c r="D6642" s="15"/>
      <c r="F6642" s="14"/>
    </row>
    <row r="6643" spans="4:6" x14ac:dyDescent="0.25">
      <c r="D6643" s="15"/>
      <c r="F6643" s="14"/>
    </row>
    <row r="6644" spans="4:6" x14ac:dyDescent="0.25">
      <c r="D6644" s="15"/>
      <c r="F6644" s="14"/>
    </row>
    <row r="6645" spans="4:6" x14ac:dyDescent="0.25">
      <c r="D6645" s="15"/>
      <c r="F6645" s="14"/>
    </row>
    <row r="6646" spans="4:6" x14ac:dyDescent="0.25">
      <c r="D6646" s="15"/>
      <c r="F6646" s="14"/>
    </row>
    <row r="6647" spans="4:6" x14ac:dyDescent="0.25">
      <c r="D6647" s="15"/>
      <c r="F6647" s="14"/>
    </row>
    <row r="6648" spans="4:6" x14ac:dyDescent="0.25">
      <c r="D6648" s="15"/>
      <c r="F6648" s="14"/>
    </row>
    <row r="6649" spans="4:6" x14ac:dyDescent="0.25">
      <c r="D6649" s="15"/>
      <c r="F6649" s="14"/>
    </row>
    <row r="6650" spans="4:6" x14ac:dyDescent="0.25">
      <c r="D6650" s="15"/>
      <c r="F6650" s="14"/>
    </row>
    <row r="6651" spans="4:6" x14ac:dyDescent="0.25">
      <c r="D6651" s="15"/>
      <c r="F6651" s="14"/>
    </row>
    <row r="6652" spans="4:6" x14ac:dyDescent="0.25">
      <c r="D6652" s="15"/>
      <c r="F6652" s="14"/>
    </row>
    <row r="6653" spans="4:6" x14ac:dyDescent="0.25">
      <c r="D6653" s="15"/>
      <c r="F6653" s="14"/>
    </row>
    <row r="6654" spans="4:6" x14ac:dyDescent="0.25">
      <c r="D6654" s="15"/>
      <c r="F6654" s="14"/>
    </row>
    <row r="6655" spans="4:6" x14ac:dyDescent="0.25">
      <c r="D6655" s="15"/>
      <c r="F6655" s="14"/>
    </row>
    <row r="6656" spans="4:6" x14ac:dyDescent="0.25">
      <c r="D6656" s="15"/>
      <c r="F6656" s="14"/>
    </row>
    <row r="6657" spans="4:6" x14ac:dyDescent="0.25">
      <c r="D6657" s="15"/>
      <c r="F6657" s="14"/>
    </row>
    <row r="6658" spans="4:6" x14ac:dyDescent="0.25">
      <c r="D6658" s="15"/>
      <c r="F6658" s="14"/>
    </row>
    <row r="6659" spans="4:6" x14ac:dyDescent="0.25">
      <c r="D6659" s="15"/>
      <c r="F6659" s="14"/>
    </row>
    <row r="6660" spans="4:6" x14ac:dyDescent="0.25">
      <c r="D6660" s="15"/>
      <c r="F6660" s="14"/>
    </row>
    <row r="6661" spans="4:6" x14ac:dyDescent="0.25">
      <c r="D6661" s="15"/>
      <c r="F6661" s="14"/>
    </row>
    <row r="6662" spans="4:6" x14ac:dyDescent="0.25">
      <c r="D6662" s="15"/>
      <c r="F6662" s="14"/>
    </row>
    <row r="6663" spans="4:6" x14ac:dyDescent="0.25">
      <c r="D6663" s="15"/>
      <c r="F6663" s="14"/>
    </row>
    <row r="6664" spans="4:6" x14ac:dyDescent="0.25">
      <c r="D6664" s="15"/>
      <c r="F6664" s="14"/>
    </row>
    <row r="6665" spans="4:6" x14ac:dyDescent="0.25">
      <c r="D6665" s="15"/>
      <c r="F6665" s="14"/>
    </row>
    <row r="6666" spans="4:6" x14ac:dyDescent="0.25">
      <c r="D6666" s="15"/>
      <c r="F6666" s="14"/>
    </row>
    <row r="6667" spans="4:6" x14ac:dyDescent="0.25">
      <c r="D6667" s="15"/>
      <c r="F6667" s="14"/>
    </row>
    <row r="6668" spans="4:6" x14ac:dyDescent="0.25">
      <c r="D6668" s="15"/>
      <c r="F6668" s="14"/>
    </row>
    <row r="6669" spans="4:6" x14ac:dyDescent="0.25">
      <c r="D6669" s="15"/>
      <c r="F6669" s="14"/>
    </row>
    <row r="6670" spans="4:6" x14ac:dyDescent="0.25">
      <c r="D6670" s="15"/>
      <c r="F6670" s="14"/>
    </row>
    <row r="6671" spans="4:6" x14ac:dyDescent="0.25">
      <c r="D6671" s="15"/>
      <c r="F6671" s="14"/>
    </row>
    <row r="6672" spans="4:6" x14ac:dyDescent="0.25">
      <c r="D6672" s="15"/>
      <c r="F6672" s="14"/>
    </row>
    <row r="6673" spans="4:6" x14ac:dyDescent="0.25">
      <c r="D6673" s="15"/>
      <c r="F6673" s="14"/>
    </row>
    <row r="6674" spans="4:6" x14ac:dyDescent="0.25">
      <c r="D6674" s="15"/>
      <c r="F6674" s="14"/>
    </row>
    <row r="6675" spans="4:6" x14ac:dyDescent="0.25">
      <c r="D6675" s="15"/>
      <c r="F6675" s="14"/>
    </row>
    <row r="6676" spans="4:6" x14ac:dyDescent="0.25">
      <c r="D6676" s="15"/>
      <c r="F6676" s="14"/>
    </row>
    <row r="6677" spans="4:6" x14ac:dyDescent="0.25">
      <c r="D6677" s="15"/>
      <c r="F6677" s="14"/>
    </row>
    <row r="6678" spans="4:6" x14ac:dyDescent="0.25">
      <c r="D6678" s="15"/>
      <c r="F6678" s="14"/>
    </row>
    <row r="6679" spans="4:6" x14ac:dyDescent="0.25">
      <c r="D6679" s="15"/>
      <c r="F6679" s="14"/>
    </row>
    <row r="6680" spans="4:6" x14ac:dyDescent="0.25">
      <c r="D6680" s="15"/>
      <c r="F6680" s="14"/>
    </row>
    <row r="6681" spans="4:6" x14ac:dyDescent="0.25">
      <c r="D6681" s="15"/>
      <c r="F6681" s="14"/>
    </row>
    <row r="6682" spans="4:6" x14ac:dyDescent="0.25">
      <c r="D6682" s="15"/>
      <c r="F6682" s="14"/>
    </row>
    <row r="6683" spans="4:6" x14ac:dyDescent="0.25">
      <c r="D6683" s="15"/>
      <c r="F6683" s="14"/>
    </row>
    <row r="6684" spans="4:6" x14ac:dyDescent="0.25">
      <c r="D6684" s="15"/>
      <c r="F6684" s="14"/>
    </row>
    <row r="6685" spans="4:6" x14ac:dyDescent="0.25">
      <c r="D6685" s="15"/>
      <c r="F6685" s="14"/>
    </row>
    <row r="6686" spans="4:6" x14ac:dyDescent="0.25">
      <c r="D6686" s="15"/>
      <c r="F6686" s="14"/>
    </row>
    <row r="6687" spans="4:6" x14ac:dyDescent="0.25">
      <c r="D6687" s="15"/>
      <c r="F6687" s="14"/>
    </row>
    <row r="6688" spans="4:6" x14ac:dyDescent="0.25">
      <c r="D6688" s="15"/>
      <c r="F6688" s="14"/>
    </row>
    <row r="6689" spans="4:6" x14ac:dyDescent="0.25">
      <c r="D6689" s="15"/>
      <c r="F6689" s="14"/>
    </row>
    <row r="6690" spans="4:6" x14ac:dyDescent="0.25">
      <c r="D6690" s="15"/>
      <c r="F6690" s="14"/>
    </row>
    <row r="6691" spans="4:6" x14ac:dyDescent="0.25">
      <c r="D6691" s="15"/>
      <c r="F6691" s="14"/>
    </row>
    <row r="6692" spans="4:6" x14ac:dyDescent="0.25">
      <c r="D6692" s="15"/>
      <c r="F6692" s="14"/>
    </row>
    <row r="6693" spans="4:6" x14ac:dyDescent="0.25">
      <c r="D6693" s="15"/>
      <c r="F6693" s="14"/>
    </row>
    <row r="6694" spans="4:6" x14ac:dyDescent="0.25">
      <c r="D6694" s="15"/>
      <c r="F6694" s="14"/>
    </row>
    <row r="6695" spans="4:6" x14ac:dyDescent="0.25">
      <c r="D6695" s="15"/>
      <c r="F6695" s="14"/>
    </row>
    <row r="6696" spans="4:6" x14ac:dyDescent="0.25">
      <c r="D6696" s="15"/>
      <c r="F6696" s="14"/>
    </row>
    <row r="6697" spans="4:6" x14ac:dyDescent="0.25">
      <c r="D6697" s="15"/>
      <c r="F6697" s="14"/>
    </row>
    <row r="6698" spans="4:6" x14ac:dyDescent="0.25">
      <c r="D6698" s="15"/>
      <c r="F6698" s="14"/>
    </row>
    <row r="6699" spans="4:6" x14ac:dyDescent="0.25">
      <c r="D6699" s="15"/>
      <c r="F6699" s="14"/>
    </row>
    <row r="6700" spans="4:6" x14ac:dyDescent="0.25">
      <c r="D6700" s="15"/>
      <c r="F6700" s="14"/>
    </row>
    <row r="6701" spans="4:6" x14ac:dyDescent="0.25">
      <c r="D6701" s="15"/>
      <c r="F6701" s="14"/>
    </row>
    <row r="6702" spans="4:6" x14ac:dyDescent="0.25">
      <c r="D6702" s="15"/>
      <c r="F6702" s="14"/>
    </row>
    <row r="6703" spans="4:6" x14ac:dyDescent="0.25">
      <c r="D6703" s="15"/>
      <c r="F6703" s="14"/>
    </row>
    <row r="6704" spans="4:6" x14ac:dyDescent="0.25">
      <c r="D6704" s="15"/>
      <c r="F6704" s="14"/>
    </row>
    <row r="6705" spans="4:6" x14ac:dyDescent="0.25">
      <c r="D6705" s="15"/>
      <c r="F6705" s="14"/>
    </row>
    <row r="6706" spans="4:6" x14ac:dyDescent="0.25">
      <c r="D6706" s="15"/>
      <c r="F6706" s="14"/>
    </row>
    <row r="6707" spans="4:6" x14ac:dyDescent="0.25">
      <c r="D6707" s="15"/>
      <c r="F6707" s="14"/>
    </row>
    <row r="6708" spans="4:6" x14ac:dyDescent="0.25">
      <c r="D6708" s="15"/>
      <c r="F6708" s="14"/>
    </row>
    <row r="6709" spans="4:6" x14ac:dyDescent="0.25">
      <c r="D6709" s="15"/>
      <c r="F6709" s="14"/>
    </row>
    <row r="6710" spans="4:6" x14ac:dyDescent="0.25">
      <c r="D6710" s="15"/>
      <c r="F6710" s="14"/>
    </row>
    <row r="6711" spans="4:6" x14ac:dyDescent="0.25">
      <c r="D6711" s="15"/>
      <c r="F6711" s="14"/>
    </row>
    <row r="6712" spans="4:6" x14ac:dyDescent="0.25">
      <c r="D6712" s="15"/>
      <c r="F6712" s="14"/>
    </row>
    <row r="6713" spans="4:6" x14ac:dyDescent="0.25">
      <c r="D6713" s="15"/>
      <c r="F6713" s="14"/>
    </row>
    <row r="6714" spans="4:6" x14ac:dyDescent="0.25">
      <c r="D6714" s="15"/>
      <c r="F6714" s="14"/>
    </row>
    <row r="6715" spans="4:6" x14ac:dyDescent="0.25">
      <c r="D6715" s="15"/>
      <c r="F6715" s="14"/>
    </row>
    <row r="6716" spans="4:6" x14ac:dyDescent="0.25">
      <c r="D6716" s="15"/>
      <c r="F6716" s="14"/>
    </row>
    <row r="6717" spans="4:6" x14ac:dyDescent="0.25">
      <c r="D6717" s="15"/>
      <c r="F6717" s="14"/>
    </row>
    <row r="6718" spans="4:6" x14ac:dyDescent="0.25">
      <c r="D6718" s="15"/>
      <c r="F6718" s="14"/>
    </row>
    <row r="6719" spans="4:6" x14ac:dyDescent="0.25">
      <c r="D6719" s="15"/>
      <c r="F6719" s="14"/>
    </row>
    <row r="6720" spans="4:6" x14ac:dyDescent="0.25">
      <c r="D6720" s="15"/>
      <c r="F6720" s="14"/>
    </row>
    <row r="6721" spans="4:6" x14ac:dyDescent="0.25">
      <c r="D6721" s="15"/>
      <c r="F6721" s="14"/>
    </row>
    <row r="6722" spans="4:6" x14ac:dyDescent="0.25">
      <c r="D6722" s="15"/>
      <c r="F6722" s="14"/>
    </row>
    <row r="6723" spans="4:6" x14ac:dyDescent="0.25">
      <c r="D6723" s="15"/>
      <c r="F6723" s="14"/>
    </row>
    <row r="6724" spans="4:6" x14ac:dyDescent="0.25">
      <c r="D6724" s="15"/>
      <c r="F6724" s="14"/>
    </row>
    <row r="6725" spans="4:6" x14ac:dyDescent="0.25">
      <c r="D6725" s="15"/>
      <c r="F6725" s="14"/>
    </row>
    <row r="6726" spans="4:6" x14ac:dyDescent="0.25">
      <c r="D6726" s="15"/>
      <c r="F6726" s="14"/>
    </row>
    <row r="6727" spans="4:6" x14ac:dyDescent="0.25">
      <c r="D6727" s="15"/>
      <c r="F6727" s="14"/>
    </row>
    <row r="6728" spans="4:6" x14ac:dyDescent="0.25">
      <c r="D6728" s="15"/>
      <c r="F6728" s="14"/>
    </row>
    <row r="6729" spans="4:6" x14ac:dyDescent="0.25">
      <c r="D6729" s="15"/>
      <c r="F6729" s="14"/>
    </row>
    <row r="6730" spans="4:6" x14ac:dyDescent="0.25">
      <c r="D6730" s="15"/>
      <c r="F6730" s="14"/>
    </row>
    <row r="6731" spans="4:6" x14ac:dyDescent="0.25">
      <c r="D6731" s="15"/>
      <c r="F6731" s="14"/>
    </row>
    <row r="6732" spans="4:6" x14ac:dyDescent="0.25">
      <c r="D6732" s="15"/>
      <c r="F6732" s="14"/>
    </row>
    <row r="6733" spans="4:6" x14ac:dyDescent="0.25">
      <c r="D6733" s="15"/>
      <c r="F6733" s="14"/>
    </row>
    <row r="6734" spans="4:6" x14ac:dyDescent="0.25">
      <c r="D6734" s="15"/>
      <c r="F6734" s="14"/>
    </row>
    <row r="6735" spans="4:6" x14ac:dyDescent="0.25">
      <c r="D6735" s="15"/>
      <c r="F6735" s="14"/>
    </row>
    <row r="6736" spans="4:6" x14ac:dyDescent="0.25">
      <c r="D6736" s="15"/>
      <c r="F6736" s="14"/>
    </row>
    <row r="6737" spans="4:6" x14ac:dyDescent="0.25">
      <c r="D6737" s="15"/>
      <c r="F6737" s="14"/>
    </row>
    <row r="6738" spans="4:6" x14ac:dyDescent="0.25">
      <c r="D6738" s="15"/>
      <c r="F6738" s="14"/>
    </row>
    <row r="6739" spans="4:6" x14ac:dyDescent="0.25">
      <c r="D6739" s="15"/>
      <c r="F6739" s="14"/>
    </row>
    <row r="6740" spans="4:6" x14ac:dyDescent="0.25">
      <c r="D6740" s="15"/>
      <c r="F6740" s="14"/>
    </row>
    <row r="6741" spans="4:6" x14ac:dyDescent="0.25">
      <c r="D6741" s="15"/>
      <c r="F6741" s="14"/>
    </row>
    <row r="6742" spans="4:6" x14ac:dyDescent="0.25">
      <c r="D6742" s="15"/>
      <c r="F6742" s="14"/>
    </row>
    <row r="6743" spans="4:6" x14ac:dyDescent="0.25">
      <c r="D6743" s="15"/>
      <c r="F6743" s="14"/>
    </row>
    <row r="6744" spans="4:6" x14ac:dyDescent="0.25">
      <c r="D6744" s="15"/>
      <c r="F6744" s="14"/>
    </row>
    <row r="6745" spans="4:6" x14ac:dyDescent="0.25">
      <c r="D6745" s="15"/>
      <c r="F6745" s="14"/>
    </row>
    <row r="6746" spans="4:6" x14ac:dyDescent="0.25">
      <c r="D6746" s="15"/>
      <c r="F6746" s="14"/>
    </row>
    <row r="6747" spans="4:6" x14ac:dyDescent="0.25">
      <c r="D6747" s="15"/>
      <c r="F6747" s="14"/>
    </row>
    <row r="6748" spans="4:6" x14ac:dyDescent="0.25">
      <c r="D6748" s="15"/>
      <c r="F6748" s="14"/>
    </row>
    <row r="6749" spans="4:6" x14ac:dyDescent="0.25">
      <c r="D6749" s="15"/>
      <c r="F6749" s="14"/>
    </row>
    <row r="6750" spans="4:6" x14ac:dyDescent="0.25">
      <c r="D6750" s="15"/>
      <c r="F6750" s="14"/>
    </row>
    <row r="6751" spans="4:6" x14ac:dyDescent="0.25">
      <c r="D6751" s="15"/>
      <c r="F6751" s="14"/>
    </row>
    <row r="6752" spans="4:6" x14ac:dyDescent="0.25">
      <c r="D6752" s="15"/>
      <c r="F6752" s="14"/>
    </row>
    <row r="6753" spans="4:6" x14ac:dyDescent="0.25">
      <c r="D6753" s="15"/>
      <c r="F6753" s="14"/>
    </row>
    <row r="6754" spans="4:6" x14ac:dyDescent="0.25">
      <c r="D6754" s="15"/>
      <c r="F6754" s="14"/>
    </row>
    <row r="6755" spans="4:6" x14ac:dyDescent="0.25">
      <c r="D6755" s="15"/>
      <c r="F6755" s="14"/>
    </row>
    <row r="6756" spans="4:6" x14ac:dyDescent="0.25">
      <c r="D6756" s="15"/>
      <c r="F6756" s="14"/>
    </row>
    <row r="6757" spans="4:6" x14ac:dyDescent="0.25">
      <c r="D6757" s="15"/>
      <c r="F6757" s="14"/>
    </row>
    <row r="6758" spans="4:6" x14ac:dyDescent="0.25">
      <c r="D6758" s="15"/>
      <c r="F6758" s="14"/>
    </row>
    <row r="6759" spans="4:6" x14ac:dyDescent="0.25">
      <c r="D6759" s="15"/>
      <c r="F6759" s="14"/>
    </row>
    <row r="6760" spans="4:6" x14ac:dyDescent="0.25">
      <c r="D6760" s="15"/>
      <c r="F6760" s="14"/>
    </row>
    <row r="6761" spans="4:6" x14ac:dyDescent="0.25">
      <c r="D6761" s="15"/>
      <c r="F6761" s="14"/>
    </row>
    <row r="6762" spans="4:6" x14ac:dyDescent="0.25">
      <c r="D6762" s="15"/>
      <c r="F6762" s="14"/>
    </row>
    <row r="6763" spans="4:6" x14ac:dyDescent="0.25">
      <c r="D6763" s="15"/>
      <c r="F6763" s="14"/>
    </row>
    <row r="6764" spans="4:6" x14ac:dyDescent="0.25">
      <c r="D6764" s="15"/>
      <c r="F6764" s="14"/>
    </row>
    <row r="6765" spans="4:6" x14ac:dyDescent="0.25">
      <c r="D6765" s="15"/>
      <c r="F6765" s="14"/>
    </row>
    <row r="6766" spans="4:6" x14ac:dyDescent="0.25">
      <c r="D6766" s="15"/>
      <c r="F6766" s="14"/>
    </row>
    <row r="6767" spans="4:6" x14ac:dyDescent="0.25">
      <c r="D6767" s="15"/>
      <c r="F6767" s="14"/>
    </row>
    <row r="6768" spans="4:6" x14ac:dyDescent="0.25">
      <c r="D6768" s="15"/>
      <c r="F6768" s="14"/>
    </row>
    <row r="6769" spans="4:6" x14ac:dyDescent="0.25">
      <c r="D6769" s="15"/>
      <c r="F6769" s="14"/>
    </row>
    <row r="6770" spans="4:6" x14ac:dyDescent="0.25">
      <c r="D6770" s="15"/>
      <c r="F6770" s="14"/>
    </row>
    <row r="6771" spans="4:6" x14ac:dyDescent="0.25">
      <c r="D6771" s="15"/>
      <c r="F6771" s="14"/>
    </row>
    <row r="6772" spans="4:6" x14ac:dyDescent="0.25">
      <c r="D6772" s="15"/>
      <c r="F6772" s="14"/>
    </row>
    <row r="6773" spans="4:6" x14ac:dyDescent="0.25">
      <c r="D6773" s="15"/>
      <c r="F6773" s="14"/>
    </row>
    <row r="6774" spans="4:6" x14ac:dyDescent="0.25">
      <c r="D6774" s="15"/>
      <c r="F6774" s="14"/>
    </row>
    <row r="6775" spans="4:6" x14ac:dyDescent="0.25">
      <c r="D6775" s="15"/>
      <c r="F6775" s="14"/>
    </row>
    <row r="6776" spans="4:6" x14ac:dyDescent="0.25">
      <c r="D6776" s="15"/>
      <c r="F6776" s="14"/>
    </row>
    <row r="6777" spans="4:6" x14ac:dyDescent="0.25">
      <c r="D6777" s="15"/>
      <c r="F6777" s="14"/>
    </row>
    <row r="6778" spans="4:6" x14ac:dyDescent="0.25">
      <c r="D6778" s="15"/>
      <c r="F6778" s="14"/>
    </row>
    <row r="6779" spans="4:6" x14ac:dyDescent="0.25">
      <c r="D6779" s="15"/>
      <c r="F6779" s="14"/>
    </row>
    <row r="6780" spans="4:6" x14ac:dyDescent="0.25">
      <c r="D6780" s="15"/>
      <c r="F6780" s="14"/>
    </row>
    <row r="6781" spans="4:6" x14ac:dyDescent="0.25">
      <c r="D6781" s="15"/>
      <c r="F6781" s="14"/>
    </row>
    <row r="6782" spans="4:6" x14ac:dyDescent="0.25">
      <c r="D6782" s="15"/>
      <c r="F6782" s="14"/>
    </row>
    <row r="6783" spans="4:6" x14ac:dyDescent="0.25">
      <c r="D6783" s="15"/>
      <c r="F6783" s="14"/>
    </row>
    <row r="6784" spans="4:6" x14ac:dyDescent="0.25">
      <c r="D6784" s="15"/>
      <c r="F6784" s="14"/>
    </row>
    <row r="6785" spans="4:6" x14ac:dyDescent="0.25">
      <c r="D6785" s="15"/>
      <c r="F6785" s="14"/>
    </row>
    <row r="6786" spans="4:6" x14ac:dyDescent="0.25">
      <c r="D6786" s="15"/>
      <c r="F6786" s="14"/>
    </row>
    <row r="6787" spans="4:6" x14ac:dyDescent="0.25">
      <c r="D6787" s="15"/>
      <c r="F6787" s="14"/>
    </row>
    <row r="6788" spans="4:6" x14ac:dyDescent="0.25">
      <c r="D6788" s="15"/>
      <c r="F6788" s="14"/>
    </row>
    <row r="6789" spans="4:6" x14ac:dyDescent="0.25">
      <c r="D6789" s="15"/>
      <c r="F6789" s="14"/>
    </row>
    <row r="6790" spans="4:6" x14ac:dyDescent="0.25">
      <c r="D6790" s="15"/>
      <c r="F6790" s="14"/>
    </row>
    <row r="6791" spans="4:6" x14ac:dyDescent="0.25">
      <c r="D6791" s="15"/>
      <c r="F6791" s="14"/>
    </row>
    <row r="6792" spans="4:6" x14ac:dyDescent="0.25">
      <c r="D6792" s="15"/>
      <c r="F6792" s="14"/>
    </row>
    <row r="6793" spans="4:6" x14ac:dyDescent="0.25">
      <c r="D6793" s="15"/>
      <c r="F6793" s="14"/>
    </row>
    <row r="6794" spans="4:6" x14ac:dyDescent="0.25">
      <c r="D6794" s="15"/>
      <c r="F6794" s="14"/>
    </row>
    <row r="6795" spans="4:6" x14ac:dyDescent="0.25">
      <c r="D6795" s="15"/>
      <c r="F6795" s="14"/>
    </row>
    <row r="6796" spans="4:6" x14ac:dyDescent="0.25">
      <c r="D6796" s="15"/>
      <c r="F6796" s="14"/>
    </row>
    <row r="6797" spans="4:6" x14ac:dyDescent="0.25">
      <c r="D6797" s="15"/>
      <c r="F6797" s="14"/>
    </row>
    <row r="6798" spans="4:6" x14ac:dyDescent="0.25">
      <c r="D6798" s="15"/>
      <c r="F6798" s="14"/>
    </row>
    <row r="6799" spans="4:6" x14ac:dyDescent="0.25">
      <c r="D6799" s="15"/>
      <c r="F6799" s="14"/>
    </row>
    <row r="6800" spans="4:6" x14ac:dyDescent="0.25">
      <c r="D6800" s="15"/>
      <c r="F6800" s="14"/>
    </row>
    <row r="6801" spans="4:6" x14ac:dyDescent="0.25">
      <c r="D6801" s="15"/>
      <c r="F6801" s="14"/>
    </row>
    <row r="6802" spans="4:6" x14ac:dyDescent="0.25">
      <c r="D6802" s="15"/>
      <c r="F6802" s="14"/>
    </row>
    <row r="6803" spans="4:6" x14ac:dyDescent="0.25">
      <c r="D6803" s="15"/>
      <c r="F6803" s="14"/>
    </row>
    <row r="6804" spans="4:6" x14ac:dyDescent="0.25">
      <c r="D6804" s="15"/>
      <c r="F6804" s="14"/>
    </row>
    <row r="6805" spans="4:6" x14ac:dyDescent="0.25">
      <c r="D6805" s="15"/>
      <c r="F6805" s="14"/>
    </row>
    <row r="6806" spans="4:6" x14ac:dyDescent="0.25">
      <c r="D6806" s="15"/>
      <c r="F6806" s="14"/>
    </row>
    <row r="6807" spans="4:6" x14ac:dyDescent="0.25">
      <c r="D6807" s="15"/>
      <c r="F6807" s="14"/>
    </row>
    <row r="6808" spans="4:6" x14ac:dyDescent="0.25">
      <c r="D6808" s="15"/>
      <c r="F6808" s="14"/>
    </row>
    <row r="6809" spans="4:6" x14ac:dyDescent="0.25">
      <c r="D6809" s="15"/>
      <c r="F6809" s="14"/>
    </row>
    <row r="6810" spans="4:6" x14ac:dyDescent="0.25">
      <c r="D6810" s="15"/>
      <c r="F6810" s="14"/>
    </row>
    <row r="6811" spans="4:6" x14ac:dyDescent="0.25">
      <c r="D6811" s="15"/>
      <c r="F6811" s="14"/>
    </row>
    <row r="6812" spans="4:6" x14ac:dyDescent="0.25">
      <c r="D6812" s="15"/>
      <c r="F6812" s="14"/>
    </row>
    <row r="6813" spans="4:6" x14ac:dyDescent="0.25">
      <c r="D6813" s="15"/>
      <c r="F6813" s="14"/>
    </row>
    <row r="6814" spans="4:6" x14ac:dyDescent="0.25">
      <c r="D6814" s="15"/>
      <c r="F6814" s="14"/>
    </row>
    <row r="6815" spans="4:6" x14ac:dyDescent="0.25">
      <c r="D6815" s="15"/>
      <c r="F6815" s="14"/>
    </row>
    <row r="6816" spans="4:6" x14ac:dyDescent="0.25">
      <c r="D6816" s="15"/>
      <c r="F6816" s="14"/>
    </row>
    <row r="6817" spans="4:6" x14ac:dyDescent="0.25">
      <c r="D6817" s="15"/>
      <c r="F6817" s="14"/>
    </row>
    <row r="6818" spans="4:6" x14ac:dyDescent="0.25">
      <c r="D6818" s="15"/>
      <c r="F6818" s="14"/>
    </row>
    <row r="6819" spans="4:6" x14ac:dyDescent="0.25">
      <c r="D6819" s="15"/>
      <c r="F6819" s="14"/>
    </row>
    <row r="6820" spans="4:6" x14ac:dyDescent="0.25">
      <c r="D6820" s="15"/>
      <c r="F6820" s="14"/>
    </row>
    <row r="6821" spans="4:6" x14ac:dyDescent="0.25">
      <c r="D6821" s="15"/>
      <c r="F6821" s="14"/>
    </row>
    <row r="6822" spans="4:6" x14ac:dyDescent="0.25">
      <c r="D6822" s="15"/>
      <c r="F6822" s="14"/>
    </row>
    <row r="6823" spans="4:6" x14ac:dyDescent="0.25">
      <c r="D6823" s="15"/>
      <c r="F6823" s="14"/>
    </row>
    <row r="6824" spans="4:6" x14ac:dyDescent="0.25">
      <c r="D6824" s="15"/>
      <c r="F6824" s="14"/>
    </row>
    <row r="6825" spans="4:6" x14ac:dyDescent="0.25">
      <c r="D6825" s="15"/>
      <c r="F6825" s="14"/>
    </row>
    <row r="6826" spans="4:6" x14ac:dyDescent="0.25">
      <c r="D6826" s="15"/>
      <c r="F6826" s="14"/>
    </row>
    <row r="6827" spans="4:6" x14ac:dyDescent="0.25">
      <c r="D6827" s="15"/>
      <c r="F6827" s="14"/>
    </row>
    <row r="6828" spans="4:6" x14ac:dyDescent="0.25">
      <c r="D6828" s="15"/>
      <c r="F6828" s="14"/>
    </row>
    <row r="6829" spans="4:6" x14ac:dyDescent="0.25">
      <c r="D6829" s="15"/>
      <c r="F6829" s="14"/>
    </row>
    <row r="6830" spans="4:6" x14ac:dyDescent="0.25">
      <c r="D6830" s="15"/>
      <c r="F6830" s="14"/>
    </row>
    <row r="6831" spans="4:6" x14ac:dyDescent="0.25">
      <c r="D6831" s="15"/>
      <c r="F6831" s="14"/>
    </row>
    <row r="6832" spans="4:6" x14ac:dyDescent="0.25">
      <c r="D6832" s="15"/>
      <c r="F6832" s="14"/>
    </row>
    <row r="6833" spans="4:6" x14ac:dyDescent="0.25">
      <c r="D6833" s="15"/>
      <c r="F6833" s="14"/>
    </row>
    <row r="6834" spans="4:6" x14ac:dyDescent="0.25">
      <c r="D6834" s="15"/>
      <c r="F6834" s="14"/>
    </row>
    <row r="6835" spans="4:6" x14ac:dyDescent="0.25">
      <c r="D6835" s="15"/>
      <c r="F6835" s="14"/>
    </row>
    <row r="6836" spans="4:6" x14ac:dyDescent="0.25">
      <c r="D6836" s="15"/>
      <c r="F6836" s="14"/>
    </row>
    <row r="6837" spans="4:6" x14ac:dyDescent="0.25">
      <c r="D6837" s="15"/>
      <c r="F6837" s="14"/>
    </row>
    <row r="6838" spans="4:6" x14ac:dyDescent="0.25">
      <c r="D6838" s="15"/>
      <c r="F6838" s="14"/>
    </row>
    <row r="6839" spans="4:6" x14ac:dyDescent="0.25">
      <c r="D6839" s="15"/>
      <c r="F6839" s="14"/>
    </row>
    <row r="6840" spans="4:6" x14ac:dyDescent="0.25">
      <c r="D6840" s="15"/>
      <c r="F6840" s="14"/>
    </row>
    <row r="6841" spans="4:6" x14ac:dyDescent="0.25">
      <c r="D6841" s="15"/>
      <c r="F6841" s="14"/>
    </row>
    <row r="6842" spans="4:6" x14ac:dyDescent="0.25">
      <c r="D6842" s="15"/>
      <c r="F6842" s="14"/>
    </row>
    <row r="6843" spans="4:6" x14ac:dyDescent="0.25">
      <c r="D6843" s="15"/>
      <c r="F6843" s="14"/>
    </row>
    <row r="6844" spans="4:6" x14ac:dyDescent="0.25">
      <c r="D6844" s="15"/>
      <c r="F6844" s="14"/>
    </row>
    <row r="6845" spans="4:6" x14ac:dyDescent="0.25">
      <c r="D6845" s="15"/>
      <c r="F6845" s="14"/>
    </row>
    <row r="6846" spans="4:6" x14ac:dyDescent="0.25">
      <c r="D6846" s="15"/>
      <c r="F6846" s="14"/>
    </row>
    <row r="6847" spans="4:6" x14ac:dyDescent="0.25">
      <c r="D6847" s="15"/>
      <c r="F6847" s="14"/>
    </row>
    <row r="6848" spans="4:6" x14ac:dyDescent="0.25">
      <c r="D6848" s="15"/>
      <c r="F6848" s="14"/>
    </row>
    <row r="6849" spans="4:6" x14ac:dyDescent="0.25">
      <c r="D6849" s="15"/>
      <c r="F6849" s="14"/>
    </row>
    <row r="6850" spans="4:6" x14ac:dyDescent="0.25">
      <c r="D6850" s="15"/>
      <c r="F6850" s="14"/>
    </row>
    <row r="6851" spans="4:6" x14ac:dyDescent="0.25">
      <c r="D6851" s="15"/>
      <c r="F6851" s="14"/>
    </row>
    <row r="6852" spans="4:6" x14ac:dyDescent="0.25">
      <c r="D6852" s="15"/>
      <c r="F6852" s="14"/>
    </row>
    <row r="6853" spans="4:6" x14ac:dyDescent="0.25">
      <c r="D6853" s="15"/>
      <c r="F6853" s="14"/>
    </row>
    <row r="6854" spans="4:6" x14ac:dyDescent="0.25">
      <c r="D6854" s="15"/>
      <c r="F6854" s="14"/>
    </row>
    <row r="6855" spans="4:6" x14ac:dyDescent="0.25">
      <c r="D6855" s="15"/>
      <c r="F6855" s="14"/>
    </row>
    <row r="6856" spans="4:6" x14ac:dyDescent="0.25">
      <c r="D6856" s="15"/>
      <c r="F6856" s="14"/>
    </row>
    <row r="6857" spans="4:6" x14ac:dyDescent="0.25">
      <c r="D6857" s="15"/>
      <c r="F6857" s="14"/>
    </row>
    <row r="6858" spans="4:6" x14ac:dyDescent="0.25">
      <c r="D6858" s="15"/>
      <c r="F6858" s="14"/>
    </row>
    <row r="6859" spans="4:6" x14ac:dyDescent="0.25">
      <c r="D6859" s="15"/>
      <c r="F6859" s="14"/>
    </row>
    <row r="6860" spans="4:6" x14ac:dyDescent="0.25">
      <c r="D6860" s="15"/>
      <c r="F6860" s="14"/>
    </row>
    <row r="6861" spans="4:6" x14ac:dyDescent="0.25">
      <c r="D6861" s="15"/>
      <c r="F6861" s="14"/>
    </row>
    <row r="6862" spans="4:6" x14ac:dyDescent="0.25">
      <c r="D6862" s="15"/>
      <c r="F6862" s="14"/>
    </row>
    <row r="6863" spans="4:6" x14ac:dyDescent="0.25">
      <c r="D6863" s="15"/>
      <c r="F6863" s="14"/>
    </row>
    <row r="6864" spans="4:6" x14ac:dyDescent="0.25">
      <c r="D6864" s="15"/>
      <c r="F6864" s="14"/>
    </row>
    <row r="6865" spans="4:6" x14ac:dyDescent="0.25">
      <c r="D6865" s="15"/>
      <c r="F6865" s="14"/>
    </row>
    <row r="6866" spans="4:6" x14ac:dyDescent="0.25">
      <c r="D6866" s="15"/>
      <c r="F6866" s="14"/>
    </row>
    <row r="6867" spans="4:6" x14ac:dyDescent="0.25">
      <c r="D6867" s="15"/>
      <c r="F6867" s="14"/>
    </row>
    <row r="6868" spans="4:6" x14ac:dyDescent="0.25">
      <c r="D6868" s="15"/>
      <c r="F6868" s="14"/>
    </row>
    <row r="6869" spans="4:6" x14ac:dyDescent="0.25">
      <c r="D6869" s="15"/>
      <c r="F6869" s="14"/>
    </row>
    <row r="6870" spans="4:6" x14ac:dyDescent="0.25">
      <c r="D6870" s="15"/>
      <c r="F6870" s="14"/>
    </row>
    <row r="6871" spans="4:6" x14ac:dyDescent="0.25">
      <c r="D6871" s="15"/>
      <c r="F6871" s="14"/>
    </row>
    <row r="6872" spans="4:6" x14ac:dyDescent="0.25">
      <c r="D6872" s="15"/>
      <c r="F6872" s="14"/>
    </row>
    <row r="6873" spans="4:6" x14ac:dyDescent="0.25">
      <c r="D6873" s="15"/>
      <c r="F6873" s="14"/>
    </row>
    <row r="6874" spans="4:6" x14ac:dyDescent="0.25">
      <c r="D6874" s="15"/>
      <c r="F6874" s="14"/>
    </row>
    <row r="6875" spans="4:6" x14ac:dyDescent="0.25">
      <c r="D6875" s="15"/>
      <c r="F6875" s="14"/>
    </row>
    <row r="6876" spans="4:6" x14ac:dyDescent="0.25">
      <c r="D6876" s="15"/>
      <c r="F6876" s="14"/>
    </row>
    <row r="6877" spans="4:6" x14ac:dyDescent="0.25">
      <c r="D6877" s="15"/>
      <c r="F6877" s="14"/>
    </row>
    <row r="6878" spans="4:6" x14ac:dyDescent="0.25">
      <c r="D6878" s="15"/>
      <c r="F6878" s="14"/>
    </row>
    <row r="6879" spans="4:6" x14ac:dyDescent="0.25">
      <c r="D6879" s="15"/>
      <c r="F6879" s="14"/>
    </row>
    <row r="6880" spans="4:6" x14ac:dyDescent="0.25">
      <c r="D6880" s="15"/>
      <c r="F6880" s="14"/>
    </row>
    <row r="6881" spans="4:6" x14ac:dyDescent="0.25">
      <c r="D6881" s="15"/>
      <c r="F6881" s="14"/>
    </row>
    <row r="6882" spans="4:6" x14ac:dyDescent="0.25">
      <c r="D6882" s="15"/>
      <c r="F6882" s="14"/>
    </row>
    <row r="6883" spans="4:6" x14ac:dyDescent="0.25">
      <c r="D6883" s="15"/>
      <c r="F6883" s="14"/>
    </row>
    <row r="6884" spans="4:6" x14ac:dyDescent="0.25">
      <c r="D6884" s="15"/>
      <c r="F6884" s="14"/>
    </row>
    <row r="6885" spans="4:6" x14ac:dyDescent="0.25">
      <c r="D6885" s="15"/>
      <c r="F6885" s="14"/>
    </row>
    <row r="6886" spans="4:6" x14ac:dyDescent="0.25">
      <c r="D6886" s="15"/>
      <c r="F6886" s="14"/>
    </row>
    <row r="6887" spans="4:6" x14ac:dyDescent="0.25">
      <c r="D6887" s="15"/>
      <c r="F6887" s="14"/>
    </row>
    <row r="6888" spans="4:6" x14ac:dyDescent="0.25">
      <c r="D6888" s="15"/>
      <c r="F6888" s="14"/>
    </row>
    <row r="6889" spans="4:6" x14ac:dyDescent="0.25">
      <c r="D6889" s="15"/>
      <c r="F6889" s="14"/>
    </row>
    <row r="6890" spans="4:6" x14ac:dyDescent="0.25">
      <c r="D6890" s="15"/>
      <c r="F6890" s="14"/>
    </row>
    <row r="6891" spans="4:6" x14ac:dyDescent="0.25">
      <c r="D6891" s="15"/>
      <c r="F6891" s="14"/>
    </row>
    <row r="6892" spans="4:6" x14ac:dyDescent="0.25">
      <c r="D6892" s="15"/>
      <c r="F6892" s="14"/>
    </row>
    <row r="6893" spans="4:6" x14ac:dyDescent="0.25">
      <c r="D6893" s="15"/>
      <c r="F6893" s="14"/>
    </row>
    <row r="6894" spans="4:6" x14ac:dyDescent="0.25">
      <c r="D6894" s="15"/>
      <c r="F6894" s="14"/>
    </row>
    <row r="6895" spans="4:6" x14ac:dyDescent="0.25">
      <c r="D6895" s="15"/>
      <c r="F6895" s="14"/>
    </row>
    <row r="6896" spans="4:6" x14ac:dyDescent="0.25">
      <c r="D6896" s="15"/>
      <c r="F6896" s="14"/>
    </row>
    <row r="6897" spans="4:6" x14ac:dyDescent="0.25">
      <c r="D6897" s="15"/>
      <c r="F6897" s="14"/>
    </row>
    <row r="6898" spans="4:6" x14ac:dyDescent="0.25">
      <c r="D6898" s="15"/>
      <c r="F6898" s="14"/>
    </row>
    <row r="6899" spans="4:6" x14ac:dyDescent="0.25">
      <c r="D6899" s="15"/>
      <c r="F6899" s="14"/>
    </row>
    <row r="6900" spans="4:6" x14ac:dyDescent="0.25">
      <c r="D6900" s="15"/>
      <c r="F6900" s="14"/>
    </row>
    <row r="6901" spans="4:6" x14ac:dyDescent="0.25">
      <c r="D6901" s="15"/>
      <c r="F6901" s="14"/>
    </row>
    <row r="6902" spans="4:6" x14ac:dyDescent="0.25">
      <c r="D6902" s="15"/>
      <c r="F6902" s="14"/>
    </row>
    <row r="6903" spans="4:6" x14ac:dyDescent="0.25">
      <c r="D6903" s="15"/>
      <c r="F6903" s="14"/>
    </row>
    <row r="6904" spans="4:6" x14ac:dyDescent="0.25">
      <c r="D6904" s="15"/>
      <c r="F6904" s="14"/>
    </row>
    <row r="6905" spans="4:6" x14ac:dyDescent="0.25">
      <c r="D6905" s="15"/>
      <c r="F6905" s="14"/>
    </row>
    <row r="6906" spans="4:6" x14ac:dyDescent="0.25">
      <c r="D6906" s="15"/>
      <c r="F6906" s="14"/>
    </row>
    <row r="6907" spans="4:6" x14ac:dyDescent="0.25">
      <c r="D6907" s="15"/>
      <c r="F6907" s="14"/>
    </row>
    <row r="6908" spans="4:6" x14ac:dyDescent="0.25">
      <c r="D6908" s="15"/>
      <c r="F6908" s="14"/>
    </row>
    <row r="6909" spans="4:6" x14ac:dyDescent="0.25">
      <c r="D6909" s="15"/>
      <c r="F6909" s="14"/>
    </row>
    <row r="6910" spans="4:6" x14ac:dyDescent="0.25">
      <c r="D6910" s="15"/>
      <c r="F6910" s="14"/>
    </row>
    <row r="6911" spans="4:6" x14ac:dyDescent="0.25">
      <c r="D6911" s="15"/>
      <c r="F6911" s="14"/>
    </row>
    <row r="6912" spans="4:6" x14ac:dyDescent="0.25">
      <c r="D6912" s="15"/>
      <c r="F6912" s="14"/>
    </row>
    <row r="6913" spans="4:6" x14ac:dyDescent="0.25">
      <c r="D6913" s="15"/>
      <c r="F6913" s="14"/>
    </row>
    <row r="6914" spans="4:6" x14ac:dyDescent="0.25">
      <c r="D6914" s="15"/>
      <c r="F6914" s="14"/>
    </row>
    <row r="6915" spans="4:6" x14ac:dyDescent="0.25">
      <c r="D6915" s="15"/>
      <c r="F6915" s="14"/>
    </row>
    <row r="6916" spans="4:6" x14ac:dyDescent="0.25">
      <c r="D6916" s="15"/>
      <c r="F6916" s="14"/>
    </row>
    <row r="6917" spans="4:6" x14ac:dyDescent="0.25">
      <c r="D6917" s="15"/>
      <c r="F6917" s="14"/>
    </row>
    <row r="6918" spans="4:6" x14ac:dyDescent="0.25">
      <c r="D6918" s="15"/>
      <c r="F6918" s="14"/>
    </row>
    <row r="6919" spans="4:6" x14ac:dyDescent="0.25">
      <c r="D6919" s="15"/>
      <c r="F6919" s="14"/>
    </row>
    <row r="6920" spans="4:6" x14ac:dyDescent="0.25">
      <c r="D6920" s="15"/>
      <c r="F6920" s="14"/>
    </row>
    <row r="6921" spans="4:6" x14ac:dyDescent="0.25">
      <c r="D6921" s="15"/>
      <c r="F6921" s="14"/>
    </row>
    <row r="6922" spans="4:6" x14ac:dyDescent="0.25">
      <c r="D6922" s="15"/>
      <c r="F6922" s="14"/>
    </row>
    <row r="6923" spans="4:6" x14ac:dyDescent="0.25">
      <c r="D6923" s="15"/>
      <c r="F6923" s="14"/>
    </row>
    <row r="6924" spans="4:6" x14ac:dyDescent="0.25">
      <c r="D6924" s="15"/>
      <c r="F6924" s="14"/>
    </row>
    <row r="6925" spans="4:6" x14ac:dyDescent="0.25">
      <c r="D6925" s="15"/>
      <c r="F6925" s="14"/>
    </row>
    <row r="6926" spans="4:6" x14ac:dyDescent="0.25">
      <c r="D6926" s="15"/>
      <c r="F6926" s="14"/>
    </row>
    <row r="6927" spans="4:6" x14ac:dyDescent="0.25">
      <c r="D6927" s="15"/>
      <c r="F6927" s="14"/>
    </row>
    <row r="6928" spans="4:6" x14ac:dyDescent="0.25">
      <c r="D6928" s="15"/>
      <c r="F6928" s="14"/>
    </row>
    <row r="6929" spans="4:6" x14ac:dyDescent="0.25">
      <c r="D6929" s="15"/>
      <c r="F6929" s="14"/>
    </row>
    <row r="6930" spans="4:6" x14ac:dyDescent="0.25">
      <c r="D6930" s="15"/>
      <c r="F6930" s="14"/>
    </row>
    <row r="6931" spans="4:6" x14ac:dyDescent="0.25">
      <c r="D6931" s="15"/>
      <c r="F6931" s="14"/>
    </row>
    <row r="6932" spans="4:6" x14ac:dyDescent="0.25">
      <c r="D6932" s="15"/>
      <c r="F6932" s="14"/>
    </row>
    <row r="6933" spans="4:6" x14ac:dyDescent="0.25">
      <c r="D6933" s="15"/>
      <c r="F6933" s="14"/>
    </row>
    <row r="6934" spans="4:6" x14ac:dyDescent="0.25">
      <c r="D6934" s="15"/>
      <c r="F6934" s="14"/>
    </row>
    <row r="6935" spans="4:6" x14ac:dyDescent="0.25">
      <c r="D6935" s="15"/>
      <c r="F6935" s="14"/>
    </row>
    <row r="6936" spans="4:6" x14ac:dyDescent="0.25">
      <c r="D6936" s="15"/>
      <c r="F6936" s="14"/>
    </row>
    <row r="6937" spans="4:6" x14ac:dyDescent="0.25">
      <c r="D6937" s="15"/>
      <c r="F6937" s="14"/>
    </row>
    <row r="6938" spans="4:6" x14ac:dyDescent="0.25">
      <c r="D6938" s="15"/>
      <c r="F6938" s="14"/>
    </row>
    <row r="6939" spans="4:6" x14ac:dyDescent="0.25">
      <c r="D6939" s="15"/>
      <c r="F6939" s="14"/>
    </row>
    <row r="6940" spans="4:6" x14ac:dyDescent="0.25">
      <c r="D6940" s="15"/>
      <c r="F6940" s="14"/>
    </row>
    <row r="6941" spans="4:6" x14ac:dyDescent="0.25">
      <c r="D6941" s="15"/>
      <c r="F6941" s="14"/>
    </row>
    <row r="6942" spans="4:6" x14ac:dyDescent="0.25">
      <c r="D6942" s="15"/>
      <c r="F6942" s="14"/>
    </row>
    <row r="6943" spans="4:6" x14ac:dyDescent="0.25">
      <c r="D6943" s="15"/>
      <c r="F6943" s="14"/>
    </row>
    <row r="6944" spans="4:6" x14ac:dyDescent="0.25">
      <c r="D6944" s="15"/>
      <c r="F6944" s="14"/>
    </row>
    <row r="6945" spans="4:6" x14ac:dyDescent="0.25">
      <c r="D6945" s="15"/>
      <c r="F6945" s="14"/>
    </row>
    <row r="6946" spans="4:6" x14ac:dyDescent="0.25">
      <c r="D6946" s="15"/>
      <c r="F6946" s="14"/>
    </row>
    <row r="6947" spans="4:6" x14ac:dyDescent="0.25">
      <c r="D6947" s="15"/>
      <c r="F6947" s="14"/>
    </row>
    <row r="6948" spans="4:6" x14ac:dyDescent="0.25">
      <c r="D6948" s="15"/>
      <c r="F6948" s="14"/>
    </row>
    <row r="6949" spans="4:6" x14ac:dyDescent="0.25">
      <c r="D6949" s="15"/>
      <c r="F6949" s="14"/>
    </row>
    <row r="6950" spans="4:6" x14ac:dyDescent="0.25">
      <c r="D6950" s="15"/>
      <c r="F6950" s="14"/>
    </row>
    <row r="6951" spans="4:6" x14ac:dyDescent="0.25">
      <c r="D6951" s="15"/>
      <c r="F6951" s="14"/>
    </row>
    <row r="6952" spans="4:6" x14ac:dyDescent="0.25">
      <c r="D6952" s="15"/>
      <c r="F6952" s="14"/>
    </row>
    <row r="6953" spans="4:6" x14ac:dyDescent="0.25">
      <c r="D6953" s="15"/>
      <c r="F6953" s="14"/>
    </row>
    <row r="6954" spans="4:6" x14ac:dyDescent="0.25">
      <c r="D6954" s="15"/>
      <c r="F6954" s="14"/>
    </row>
    <row r="6955" spans="4:6" x14ac:dyDescent="0.25">
      <c r="D6955" s="15"/>
      <c r="F6955" s="14"/>
    </row>
    <row r="6956" spans="4:6" x14ac:dyDescent="0.25">
      <c r="D6956" s="15"/>
      <c r="F6956" s="14"/>
    </row>
    <row r="6957" spans="4:6" x14ac:dyDescent="0.25">
      <c r="D6957" s="15"/>
      <c r="F6957" s="14"/>
    </row>
    <row r="6958" spans="4:6" x14ac:dyDescent="0.25">
      <c r="D6958" s="15"/>
      <c r="F6958" s="14"/>
    </row>
    <row r="6959" spans="4:6" x14ac:dyDescent="0.25">
      <c r="D6959" s="15"/>
      <c r="F6959" s="14"/>
    </row>
    <row r="6960" spans="4:6" x14ac:dyDescent="0.25">
      <c r="D6960" s="15"/>
      <c r="F6960" s="14"/>
    </row>
    <row r="6961" spans="4:6" x14ac:dyDescent="0.25">
      <c r="D6961" s="15"/>
      <c r="F6961" s="14"/>
    </row>
    <row r="6962" spans="4:6" x14ac:dyDescent="0.25">
      <c r="D6962" s="15"/>
      <c r="F6962" s="14"/>
    </row>
    <row r="6963" spans="4:6" x14ac:dyDescent="0.25">
      <c r="D6963" s="15"/>
      <c r="F6963" s="14"/>
    </row>
    <row r="6964" spans="4:6" x14ac:dyDescent="0.25">
      <c r="D6964" s="15"/>
      <c r="F6964" s="14"/>
    </row>
    <row r="6965" spans="4:6" x14ac:dyDescent="0.25">
      <c r="D6965" s="15"/>
      <c r="F6965" s="14"/>
    </row>
    <row r="6966" spans="4:6" x14ac:dyDescent="0.25">
      <c r="D6966" s="15"/>
      <c r="F6966" s="14"/>
    </row>
    <row r="6967" spans="4:6" x14ac:dyDescent="0.25">
      <c r="D6967" s="15"/>
      <c r="F6967" s="14"/>
    </row>
    <row r="6968" spans="4:6" x14ac:dyDescent="0.25">
      <c r="D6968" s="15"/>
      <c r="F6968" s="14"/>
    </row>
    <row r="6969" spans="4:6" x14ac:dyDescent="0.25">
      <c r="D6969" s="15"/>
      <c r="F6969" s="14"/>
    </row>
    <row r="6970" spans="4:6" x14ac:dyDescent="0.25">
      <c r="D6970" s="15"/>
      <c r="F6970" s="14"/>
    </row>
    <row r="6971" spans="4:6" x14ac:dyDescent="0.25">
      <c r="D6971" s="15"/>
      <c r="F6971" s="14"/>
    </row>
    <row r="6972" spans="4:6" x14ac:dyDescent="0.25">
      <c r="D6972" s="15"/>
      <c r="F6972" s="14"/>
    </row>
    <row r="6973" spans="4:6" x14ac:dyDescent="0.25">
      <c r="D6973" s="15"/>
      <c r="F6973" s="14"/>
    </row>
    <row r="6974" spans="4:6" x14ac:dyDescent="0.25">
      <c r="D6974" s="15"/>
      <c r="F6974" s="14"/>
    </row>
    <row r="6975" spans="4:6" x14ac:dyDescent="0.25">
      <c r="D6975" s="15"/>
      <c r="F6975" s="14"/>
    </row>
    <row r="6976" spans="4:6" x14ac:dyDescent="0.25">
      <c r="D6976" s="15"/>
      <c r="F6976" s="14"/>
    </row>
    <row r="6977" spans="4:6" x14ac:dyDescent="0.25">
      <c r="D6977" s="15"/>
      <c r="F6977" s="14"/>
    </row>
    <row r="6978" spans="4:6" x14ac:dyDescent="0.25">
      <c r="D6978" s="15"/>
      <c r="F6978" s="14"/>
    </row>
    <row r="6979" spans="4:6" x14ac:dyDescent="0.25">
      <c r="D6979" s="15"/>
      <c r="F6979" s="14"/>
    </row>
    <row r="6980" spans="4:6" x14ac:dyDescent="0.25">
      <c r="D6980" s="15"/>
      <c r="F6980" s="14"/>
    </row>
    <row r="6981" spans="4:6" x14ac:dyDescent="0.25">
      <c r="D6981" s="15"/>
      <c r="F6981" s="14"/>
    </row>
    <row r="6982" spans="4:6" x14ac:dyDescent="0.25">
      <c r="D6982" s="15"/>
      <c r="F6982" s="14"/>
    </row>
    <row r="6983" spans="4:6" x14ac:dyDescent="0.25">
      <c r="D6983" s="15"/>
      <c r="F6983" s="14"/>
    </row>
    <row r="6984" spans="4:6" x14ac:dyDescent="0.25">
      <c r="D6984" s="15"/>
      <c r="F6984" s="14"/>
    </row>
    <row r="6985" spans="4:6" x14ac:dyDescent="0.25">
      <c r="D6985" s="15"/>
      <c r="F6985" s="14"/>
    </row>
    <row r="6986" spans="4:6" x14ac:dyDescent="0.25">
      <c r="D6986" s="15"/>
      <c r="F6986" s="14"/>
    </row>
    <row r="6987" spans="4:6" x14ac:dyDescent="0.25">
      <c r="D6987" s="15"/>
      <c r="F6987" s="14"/>
    </row>
    <row r="6988" spans="4:6" x14ac:dyDescent="0.25">
      <c r="D6988" s="15"/>
      <c r="F6988" s="14"/>
    </row>
    <row r="6989" spans="4:6" x14ac:dyDescent="0.25">
      <c r="D6989" s="15"/>
      <c r="F6989" s="14"/>
    </row>
    <row r="6990" spans="4:6" x14ac:dyDescent="0.25">
      <c r="D6990" s="15"/>
      <c r="F6990" s="14"/>
    </row>
    <row r="6991" spans="4:6" x14ac:dyDescent="0.25">
      <c r="D6991" s="15"/>
      <c r="F6991" s="14"/>
    </row>
    <row r="6992" spans="4:6" x14ac:dyDescent="0.25">
      <c r="D6992" s="15"/>
      <c r="F6992" s="14"/>
    </row>
    <row r="6993" spans="4:6" x14ac:dyDescent="0.25">
      <c r="D6993" s="15"/>
      <c r="F6993" s="14"/>
    </row>
    <row r="6994" spans="4:6" x14ac:dyDescent="0.25">
      <c r="D6994" s="15"/>
      <c r="F6994" s="14"/>
    </row>
    <row r="6995" spans="4:6" x14ac:dyDescent="0.25">
      <c r="D6995" s="15"/>
      <c r="F6995" s="14"/>
    </row>
    <row r="6996" spans="4:6" x14ac:dyDescent="0.25">
      <c r="D6996" s="15"/>
      <c r="F6996" s="14"/>
    </row>
    <row r="6997" spans="4:6" x14ac:dyDescent="0.25">
      <c r="D6997" s="15"/>
      <c r="F6997" s="14"/>
    </row>
    <row r="6998" spans="4:6" x14ac:dyDescent="0.25">
      <c r="D6998" s="15"/>
      <c r="F6998" s="14"/>
    </row>
    <row r="6999" spans="4:6" x14ac:dyDescent="0.25">
      <c r="D6999" s="15"/>
      <c r="F6999" s="14"/>
    </row>
    <row r="7000" spans="4:6" x14ac:dyDescent="0.25">
      <c r="D7000" s="15"/>
      <c r="F7000" s="14"/>
    </row>
    <row r="7001" spans="4:6" x14ac:dyDescent="0.25">
      <c r="D7001" s="15"/>
      <c r="F7001" s="14"/>
    </row>
    <row r="7002" spans="4:6" x14ac:dyDescent="0.25">
      <c r="D7002" s="15"/>
      <c r="F7002" s="14"/>
    </row>
    <row r="7003" spans="4:6" x14ac:dyDescent="0.25">
      <c r="D7003" s="15"/>
      <c r="F7003" s="14"/>
    </row>
    <row r="7004" spans="4:6" x14ac:dyDescent="0.25">
      <c r="D7004" s="15"/>
      <c r="F7004" s="14"/>
    </row>
    <row r="7005" spans="4:6" x14ac:dyDescent="0.25">
      <c r="D7005" s="15"/>
      <c r="F7005" s="14"/>
    </row>
    <row r="7006" spans="4:6" x14ac:dyDescent="0.25">
      <c r="D7006" s="15"/>
      <c r="F7006" s="14"/>
    </row>
    <row r="7007" spans="4:6" x14ac:dyDescent="0.25">
      <c r="D7007" s="15"/>
      <c r="F7007" s="14"/>
    </row>
    <row r="7008" spans="4:6" x14ac:dyDescent="0.25">
      <c r="D7008" s="15"/>
      <c r="F7008" s="14"/>
    </row>
    <row r="7009" spans="4:6" x14ac:dyDescent="0.25">
      <c r="D7009" s="15"/>
      <c r="F7009" s="14"/>
    </row>
    <row r="7010" spans="4:6" x14ac:dyDescent="0.25">
      <c r="D7010" s="15"/>
      <c r="F7010" s="14"/>
    </row>
    <row r="7011" spans="4:6" x14ac:dyDescent="0.25">
      <c r="D7011" s="15"/>
      <c r="F7011" s="14"/>
    </row>
    <row r="7012" spans="4:6" x14ac:dyDescent="0.25">
      <c r="D7012" s="15"/>
      <c r="F7012" s="14"/>
    </row>
    <row r="7013" spans="4:6" x14ac:dyDescent="0.25">
      <c r="D7013" s="15"/>
      <c r="F7013" s="14"/>
    </row>
    <row r="7014" spans="4:6" x14ac:dyDescent="0.25">
      <c r="D7014" s="15"/>
      <c r="F7014" s="14"/>
    </row>
    <row r="7015" spans="4:6" x14ac:dyDescent="0.25">
      <c r="D7015" s="15"/>
      <c r="F7015" s="14"/>
    </row>
    <row r="7016" spans="4:6" x14ac:dyDescent="0.25">
      <c r="D7016" s="15"/>
      <c r="F7016" s="14"/>
    </row>
    <row r="7017" spans="4:6" x14ac:dyDescent="0.25">
      <c r="D7017" s="15"/>
      <c r="F7017" s="14"/>
    </row>
    <row r="7018" spans="4:6" x14ac:dyDescent="0.25">
      <c r="D7018" s="15"/>
      <c r="F7018" s="14"/>
    </row>
    <row r="7019" spans="4:6" x14ac:dyDescent="0.25">
      <c r="D7019" s="15"/>
      <c r="F7019" s="14"/>
    </row>
    <row r="7020" spans="4:6" x14ac:dyDescent="0.25">
      <c r="D7020" s="15"/>
      <c r="F7020" s="14"/>
    </row>
    <row r="7021" spans="4:6" x14ac:dyDescent="0.25">
      <c r="D7021" s="15"/>
      <c r="F7021" s="14"/>
    </row>
    <row r="7022" spans="4:6" x14ac:dyDescent="0.25">
      <c r="D7022" s="15"/>
      <c r="F7022" s="14"/>
    </row>
    <row r="7023" spans="4:6" x14ac:dyDescent="0.25">
      <c r="D7023" s="15"/>
      <c r="F7023" s="14"/>
    </row>
    <row r="7024" spans="4:6" x14ac:dyDescent="0.25">
      <c r="D7024" s="15"/>
      <c r="F7024" s="14"/>
    </row>
    <row r="7025" spans="4:6" x14ac:dyDescent="0.25">
      <c r="D7025" s="15"/>
      <c r="F7025" s="14"/>
    </row>
    <row r="7026" spans="4:6" x14ac:dyDescent="0.25">
      <c r="D7026" s="15"/>
      <c r="F7026" s="14"/>
    </row>
    <row r="7027" spans="4:6" x14ac:dyDescent="0.25">
      <c r="D7027" s="15"/>
      <c r="F7027" s="14"/>
    </row>
    <row r="7028" spans="4:6" x14ac:dyDescent="0.25">
      <c r="D7028" s="15"/>
      <c r="F7028" s="14"/>
    </row>
    <row r="7029" spans="4:6" x14ac:dyDescent="0.25">
      <c r="D7029" s="15"/>
      <c r="F7029" s="14"/>
    </row>
    <row r="7030" spans="4:6" x14ac:dyDescent="0.25">
      <c r="D7030" s="15"/>
      <c r="F7030" s="14"/>
    </row>
    <row r="7031" spans="4:6" x14ac:dyDescent="0.25">
      <c r="D7031" s="15"/>
      <c r="F7031" s="14"/>
    </row>
    <row r="7032" spans="4:6" x14ac:dyDescent="0.25">
      <c r="D7032" s="15"/>
      <c r="F7032" s="14"/>
    </row>
    <row r="7033" spans="4:6" x14ac:dyDescent="0.25">
      <c r="D7033" s="15"/>
      <c r="F7033" s="14"/>
    </row>
    <row r="7034" spans="4:6" x14ac:dyDescent="0.25">
      <c r="D7034" s="15"/>
      <c r="F7034" s="14"/>
    </row>
    <row r="7035" spans="4:6" x14ac:dyDescent="0.25">
      <c r="D7035" s="15"/>
      <c r="F7035" s="14"/>
    </row>
    <row r="7036" spans="4:6" x14ac:dyDescent="0.25">
      <c r="D7036" s="15"/>
      <c r="F7036" s="14"/>
    </row>
    <row r="7037" spans="4:6" x14ac:dyDescent="0.25">
      <c r="D7037" s="15"/>
      <c r="F7037" s="14"/>
    </row>
    <row r="7038" spans="4:6" x14ac:dyDescent="0.25">
      <c r="D7038" s="15"/>
      <c r="F7038" s="14"/>
    </row>
    <row r="7039" spans="4:6" x14ac:dyDescent="0.25">
      <c r="D7039" s="15"/>
      <c r="F7039" s="14"/>
    </row>
    <row r="7040" spans="4:6" x14ac:dyDescent="0.25">
      <c r="D7040" s="15"/>
      <c r="F7040" s="14"/>
    </row>
    <row r="7041" spans="4:6" x14ac:dyDescent="0.25">
      <c r="D7041" s="15"/>
      <c r="F7041" s="14"/>
    </row>
    <row r="7042" spans="4:6" x14ac:dyDescent="0.25">
      <c r="D7042" s="15"/>
      <c r="F7042" s="14"/>
    </row>
    <row r="7043" spans="4:6" x14ac:dyDescent="0.25">
      <c r="D7043" s="15"/>
      <c r="F7043" s="14"/>
    </row>
    <row r="7044" spans="4:6" x14ac:dyDescent="0.25">
      <c r="D7044" s="15"/>
      <c r="F7044" s="14"/>
    </row>
    <row r="7045" spans="4:6" x14ac:dyDescent="0.25">
      <c r="D7045" s="15"/>
      <c r="F7045" s="14"/>
    </row>
    <row r="7046" spans="4:6" x14ac:dyDescent="0.25">
      <c r="D7046" s="15"/>
      <c r="F7046" s="14"/>
    </row>
    <row r="7047" spans="4:6" x14ac:dyDescent="0.25">
      <c r="D7047" s="15"/>
      <c r="F7047" s="14"/>
    </row>
    <row r="7048" spans="4:6" x14ac:dyDescent="0.25">
      <c r="D7048" s="15"/>
      <c r="F7048" s="14"/>
    </row>
    <row r="7049" spans="4:6" x14ac:dyDescent="0.25">
      <c r="D7049" s="15"/>
      <c r="F7049" s="14"/>
    </row>
    <row r="7050" spans="4:6" x14ac:dyDescent="0.25">
      <c r="D7050" s="15"/>
      <c r="F7050" s="14"/>
    </row>
    <row r="7051" spans="4:6" x14ac:dyDescent="0.25">
      <c r="D7051" s="15"/>
      <c r="F7051" s="14"/>
    </row>
    <row r="7052" spans="4:6" x14ac:dyDescent="0.25">
      <c r="D7052" s="15"/>
      <c r="F7052" s="14"/>
    </row>
    <row r="7053" spans="4:6" x14ac:dyDescent="0.25">
      <c r="D7053" s="15"/>
      <c r="F7053" s="14"/>
    </row>
    <row r="7054" spans="4:6" x14ac:dyDescent="0.25">
      <c r="D7054" s="15"/>
      <c r="F7054" s="14"/>
    </row>
    <row r="7055" spans="4:6" x14ac:dyDescent="0.25">
      <c r="D7055" s="15"/>
      <c r="F7055" s="14"/>
    </row>
    <row r="7056" spans="4:6" x14ac:dyDescent="0.25">
      <c r="D7056" s="15"/>
      <c r="F7056" s="14"/>
    </row>
    <row r="7057" spans="4:6" x14ac:dyDescent="0.25">
      <c r="D7057" s="15"/>
      <c r="F7057" s="14"/>
    </row>
    <row r="7058" spans="4:6" x14ac:dyDescent="0.25">
      <c r="D7058" s="15"/>
      <c r="F7058" s="14"/>
    </row>
    <row r="7059" spans="4:6" x14ac:dyDescent="0.25">
      <c r="D7059" s="15"/>
      <c r="F7059" s="14"/>
    </row>
    <row r="7060" spans="4:6" x14ac:dyDescent="0.25">
      <c r="D7060" s="15"/>
      <c r="F7060" s="14"/>
    </row>
    <row r="7061" spans="4:6" x14ac:dyDescent="0.25">
      <c r="D7061" s="15"/>
      <c r="F7061" s="14"/>
    </row>
    <row r="7062" spans="4:6" x14ac:dyDescent="0.25">
      <c r="D7062" s="15"/>
      <c r="F7062" s="14"/>
    </row>
    <row r="7063" spans="4:6" x14ac:dyDescent="0.25">
      <c r="D7063" s="15"/>
      <c r="F7063" s="14"/>
    </row>
    <row r="7064" spans="4:6" x14ac:dyDescent="0.25">
      <c r="D7064" s="15"/>
      <c r="F7064" s="14"/>
    </row>
    <row r="7065" spans="4:6" x14ac:dyDescent="0.25">
      <c r="D7065" s="15"/>
      <c r="F7065" s="14"/>
    </row>
    <row r="7066" spans="4:6" x14ac:dyDescent="0.25">
      <c r="D7066" s="15"/>
      <c r="F7066" s="14"/>
    </row>
    <row r="7067" spans="4:6" x14ac:dyDescent="0.25">
      <c r="D7067" s="15"/>
      <c r="F7067" s="14"/>
    </row>
    <row r="7068" spans="4:6" x14ac:dyDescent="0.25">
      <c r="D7068" s="15"/>
      <c r="F7068" s="14"/>
    </row>
    <row r="7069" spans="4:6" x14ac:dyDescent="0.25">
      <c r="D7069" s="15"/>
      <c r="F7069" s="14"/>
    </row>
    <row r="7070" spans="4:6" x14ac:dyDescent="0.25">
      <c r="D7070" s="15"/>
      <c r="F7070" s="14"/>
    </row>
    <row r="7071" spans="4:6" x14ac:dyDescent="0.25">
      <c r="D7071" s="15"/>
      <c r="F7071" s="14"/>
    </row>
    <row r="7072" spans="4:6" x14ac:dyDescent="0.25">
      <c r="D7072" s="15"/>
      <c r="F7072" s="14"/>
    </row>
    <row r="7073" spans="4:6" x14ac:dyDescent="0.25">
      <c r="D7073" s="15"/>
      <c r="F7073" s="14"/>
    </row>
    <row r="7074" spans="4:6" x14ac:dyDescent="0.25">
      <c r="D7074" s="15"/>
      <c r="F7074" s="14"/>
    </row>
    <row r="7075" spans="4:6" x14ac:dyDescent="0.25">
      <c r="D7075" s="15"/>
      <c r="F7075" s="14"/>
    </row>
    <row r="7076" spans="4:6" x14ac:dyDescent="0.25">
      <c r="D7076" s="15"/>
      <c r="F7076" s="14"/>
    </row>
    <row r="7077" spans="4:6" x14ac:dyDescent="0.25">
      <c r="D7077" s="15"/>
      <c r="F7077" s="14"/>
    </row>
    <row r="7078" spans="4:6" x14ac:dyDescent="0.25">
      <c r="D7078" s="15"/>
      <c r="F7078" s="14"/>
    </row>
    <row r="7079" spans="4:6" x14ac:dyDescent="0.25">
      <c r="D7079" s="15"/>
      <c r="F7079" s="14"/>
    </row>
    <row r="7080" spans="4:6" x14ac:dyDescent="0.25">
      <c r="D7080" s="15"/>
      <c r="F7080" s="14"/>
    </row>
    <row r="7081" spans="4:6" x14ac:dyDescent="0.25">
      <c r="D7081" s="15"/>
      <c r="F7081" s="14"/>
    </row>
    <row r="7082" spans="4:6" x14ac:dyDescent="0.25">
      <c r="D7082" s="15"/>
      <c r="F7082" s="14"/>
    </row>
    <row r="7083" spans="4:6" x14ac:dyDescent="0.25">
      <c r="D7083" s="15"/>
      <c r="F7083" s="14"/>
    </row>
    <row r="7084" spans="4:6" x14ac:dyDescent="0.25">
      <c r="D7084" s="15"/>
      <c r="F7084" s="14"/>
    </row>
    <row r="7085" spans="4:6" x14ac:dyDescent="0.25">
      <c r="D7085" s="15"/>
      <c r="F7085" s="14"/>
    </row>
    <row r="7086" spans="4:6" x14ac:dyDescent="0.25">
      <c r="D7086" s="15"/>
      <c r="F7086" s="14"/>
    </row>
    <row r="7087" spans="4:6" x14ac:dyDescent="0.25">
      <c r="D7087" s="15"/>
      <c r="F7087" s="14"/>
    </row>
    <row r="7088" spans="4:6" x14ac:dyDescent="0.25">
      <c r="D7088" s="15"/>
      <c r="F7088" s="14"/>
    </row>
    <row r="7089" spans="4:6" x14ac:dyDescent="0.25">
      <c r="D7089" s="15"/>
      <c r="F7089" s="14"/>
    </row>
    <row r="7090" spans="4:6" x14ac:dyDescent="0.25">
      <c r="D7090" s="15"/>
      <c r="F7090" s="14"/>
    </row>
    <row r="7091" spans="4:6" x14ac:dyDescent="0.25">
      <c r="D7091" s="15"/>
      <c r="F7091" s="14"/>
    </row>
    <row r="7092" spans="4:6" x14ac:dyDescent="0.25">
      <c r="D7092" s="15"/>
      <c r="F7092" s="14"/>
    </row>
    <row r="7093" spans="4:6" x14ac:dyDescent="0.25">
      <c r="D7093" s="15"/>
      <c r="F7093" s="14"/>
    </row>
    <row r="7094" spans="4:6" x14ac:dyDescent="0.25">
      <c r="D7094" s="15"/>
      <c r="F7094" s="14"/>
    </row>
    <row r="7095" spans="4:6" x14ac:dyDescent="0.25">
      <c r="D7095" s="15"/>
      <c r="F7095" s="14"/>
    </row>
    <row r="7096" spans="4:6" x14ac:dyDescent="0.25">
      <c r="D7096" s="15"/>
      <c r="F7096" s="14"/>
    </row>
    <row r="7097" spans="4:6" x14ac:dyDescent="0.25">
      <c r="D7097" s="15"/>
      <c r="F7097" s="14"/>
    </row>
    <row r="7098" spans="4:6" x14ac:dyDescent="0.25">
      <c r="D7098" s="15"/>
      <c r="F7098" s="14"/>
    </row>
    <row r="7099" spans="4:6" x14ac:dyDescent="0.25">
      <c r="D7099" s="15"/>
      <c r="F7099" s="14"/>
    </row>
    <row r="7100" spans="4:6" x14ac:dyDescent="0.25">
      <c r="D7100" s="15"/>
      <c r="F7100" s="14"/>
    </row>
    <row r="7101" spans="4:6" x14ac:dyDescent="0.25">
      <c r="D7101" s="15"/>
      <c r="F7101" s="14"/>
    </row>
    <row r="7102" spans="4:6" x14ac:dyDescent="0.25">
      <c r="D7102" s="15"/>
      <c r="F7102" s="14"/>
    </row>
    <row r="7103" spans="4:6" x14ac:dyDescent="0.25">
      <c r="D7103" s="15"/>
      <c r="F7103" s="14"/>
    </row>
    <row r="7104" spans="4:6" x14ac:dyDescent="0.25">
      <c r="D7104" s="15"/>
      <c r="F7104" s="14"/>
    </row>
    <row r="7105" spans="4:6" x14ac:dyDescent="0.25">
      <c r="D7105" s="15"/>
      <c r="F7105" s="14"/>
    </row>
    <row r="7106" spans="4:6" x14ac:dyDescent="0.25">
      <c r="D7106" s="15"/>
      <c r="F7106" s="14"/>
    </row>
    <row r="7107" spans="4:6" x14ac:dyDescent="0.25">
      <c r="D7107" s="15"/>
      <c r="F7107" s="14"/>
    </row>
    <row r="7108" spans="4:6" x14ac:dyDescent="0.25">
      <c r="D7108" s="15"/>
      <c r="F7108" s="14"/>
    </row>
    <row r="7109" spans="4:6" x14ac:dyDescent="0.25">
      <c r="D7109" s="15"/>
      <c r="F7109" s="14"/>
    </row>
    <row r="7110" spans="4:6" x14ac:dyDescent="0.25">
      <c r="D7110" s="15"/>
      <c r="F7110" s="14"/>
    </row>
    <row r="7111" spans="4:6" x14ac:dyDescent="0.25">
      <c r="D7111" s="15"/>
      <c r="F7111" s="14"/>
    </row>
    <row r="7112" spans="4:6" x14ac:dyDescent="0.25">
      <c r="D7112" s="15"/>
      <c r="F7112" s="14"/>
    </row>
    <row r="7113" spans="4:6" x14ac:dyDescent="0.25">
      <c r="D7113" s="15"/>
      <c r="F7113" s="14"/>
    </row>
    <row r="7114" spans="4:6" x14ac:dyDescent="0.25">
      <c r="D7114" s="15"/>
      <c r="F7114" s="14"/>
    </row>
    <row r="7115" spans="4:6" x14ac:dyDescent="0.25">
      <c r="D7115" s="15"/>
      <c r="F7115" s="14"/>
    </row>
    <row r="7116" spans="4:6" x14ac:dyDescent="0.25">
      <c r="D7116" s="15"/>
      <c r="F7116" s="14"/>
    </row>
    <row r="7117" spans="4:6" x14ac:dyDescent="0.25">
      <c r="D7117" s="15"/>
      <c r="F7117" s="14"/>
    </row>
    <row r="7118" spans="4:6" x14ac:dyDescent="0.25">
      <c r="D7118" s="15"/>
      <c r="F7118" s="14"/>
    </row>
    <row r="7119" spans="4:6" x14ac:dyDescent="0.25">
      <c r="D7119" s="15"/>
      <c r="F7119" s="14"/>
    </row>
    <row r="7120" spans="4:6" x14ac:dyDescent="0.25">
      <c r="D7120" s="15"/>
      <c r="F7120" s="14"/>
    </row>
    <row r="7121" spans="4:6" x14ac:dyDescent="0.25">
      <c r="D7121" s="15"/>
      <c r="F7121" s="14"/>
    </row>
    <row r="7122" spans="4:6" x14ac:dyDescent="0.25">
      <c r="D7122" s="15"/>
      <c r="F7122" s="14"/>
    </row>
    <row r="7123" spans="4:6" x14ac:dyDescent="0.25">
      <c r="D7123" s="15"/>
      <c r="F7123" s="14"/>
    </row>
    <row r="7124" spans="4:6" x14ac:dyDescent="0.25">
      <c r="D7124" s="15"/>
      <c r="F7124" s="14"/>
    </row>
    <row r="7125" spans="4:6" x14ac:dyDescent="0.25">
      <c r="D7125" s="15"/>
      <c r="F7125" s="14"/>
    </row>
    <row r="7126" spans="4:6" x14ac:dyDescent="0.25">
      <c r="D7126" s="15"/>
      <c r="F7126" s="14"/>
    </row>
    <row r="7127" spans="4:6" x14ac:dyDescent="0.25">
      <c r="D7127" s="15"/>
      <c r="F7127" s="14"/>
    </row>
    <row r="7128" spans="4:6" x14ac:dyDescent="0.25">
      <c r="D7128" s="15"/>
      <c r="F7128" s="14"/>
    </row>
    <row r="7129" spans="4:6" x14ac:dyDescent="0.25">
      <c r="D7129" s="15"/>
      <c r="F7129" s="14"/>
    </row>
    <row r="7130" spans="4:6" x14ac:dyDescent="0.25">
      <c r="D7130" s="15"/>
      <c r="F7130" s="14"/>
    </row>
    <row r="7131" spans="4:6" x14ac:dyDescent="0.25">
      <c r="D7131" s="15"/>
      <c r="F7131" s="14"/>
    </row>
    <row r="7132" spans="4:6" x14ac:dyDescent="0.25">
      <c r="D7132" s="15"/>
      <c r="F7132" s="14"/>
    </row>
    <row r="7133" spans="4:6" x14ac:dyDescent="0.25">
      <c r="D7133" s="15"/>
      <c r="F7133" s="14"/>
    </row>
    <row r="7134" spans="4:6" x14ac:dyDescent="0.25">
      <c r="D7134" s="15"/>
      <c r="F7134" s="14"/>
    </row>
    <row r="7135" spans="4:6" x14ac:dyDescent="0.25">
      <c r="D7135" s="15"/>
      <c r="F7135" s="14"/>
    </row>
    <row r="7136" spans="4:6" x14ac:dyDescent="0.25">
      <c r="D7136" s="15"/>
      <c r="F7136" s="14"/>
    </row>
    <row r="7137" spans="4:6" x14ac:dyDescent="0.25">
      <c r="D7137" s="15"/>
      <c r="F7137" s="14"/>
    </row>
    <row r="7138" spans="4:6" x14ac:dyDescent="0.25">
      <c r="D7138" s="15"/>
      <c r="F7138" s="14"/>
    </row>
    <row r="7139" spans="4:6" x14ac:dyDescent="0.25">
      <c r="D7139" s="15"/>
      <c r="F7139" s="14"/>
    </row>
    <row r="7140" spans="4:6" x14ac:dyDescent="0.25">
      <c r="D7140" s="15"/>
      <c r="F7140" s="14"/>
    </row>
    <row r="7141" spans="4:6" x14ac:dyDescent="0.25">
      <c r="D7141" s="15"/>
      <c r="F7141" s="14"/>
    </row>
    <row r="7142" spans="4:6" x14ac:dyDescent="0.25">
      <c r="D7142" s="15"/>
      <c r="F7142" s="14"/>
    </row>
    <row r="7143" spans="4:6" x14ac:dyDescent="0.25">
      <c r="D7143" s="15"/>
      <c r="F7143" s="14"/>
    </row>
    <row r="7144" spans="4:6" x14ac:dyDescent="0.25">
      <c r="D7144" s="15"/>
      <c r="F7144" s="14"/>
    </row>
    <row r="7145" spans="4:6" x14ac:dyDescent="0.25">
      <c r="D7145" s="15"/>
      <c r="F7145" s="14"/>
    </row>
    <row r="7146" spans="4:6" x14ac:dyDescent="0.25">
      <c r="D7146" s="15"/>
      <c r="F7146" s="14"/>
    </row>
    <row r="7147" spans="4:6" x14ac:dyDescent="0.25">
      <c r="D7147" s="15"/>
      <c r="F7147" s="14"/>
    </row>
    <row r="7148" spans="4:6" x14ac:dyDescent="0.25">
      <c r="D7148" s="15"/>
      <c r="F7148" s="14"/>
    </row>
    <row r="7149" spans="4:6" x14ac:dyDescent="0.25">
      <c r="D7149" s="15"/>
      <c r="F7149" s="14"/>
    </row>
    <row r="7150" spans="4:6" x14ac:dyDescent="0.25">
      <c r="D7150" s="15"/>
      <c r="F7150" s="14"/>
    </row>
    <row r="7151" spans="4:6" x14ac:dyDescent="0.25">
      <c r="D7151" s="15"/>
      <c r="F7151" s="14"/>
    </row>
    <row r="7152" spans="4:6" x14ac:dyDescent="0.25">
      <c r="D7152" s="15"/>
      <c r="F7152" s="14"/>
    </row>
    <row r="7153" spans="4:6" x14ac:dyDescent="0.25">
      <c r="D7153" s="15"/>
      <c r="F7153" s="14"/>
    </row>
    <row r="7154" spans="4:6" x14ac:dyDescent="0.25">
      <c r="D7154" s="15"/>
      <c r="F7154" s="14"/>
    </row>
    <row r="7155" spans="4:6" x14ac:dyDescent="0.25">
      <c r="D7155" s="15"/>
      <c r="F7155" s="14"/>
    </row>
    <row r="7156" spans="4:6" x14ac:dyDescent="0.25">
      <c r="D7156" s="15"/>
      <c r="F7156" s="14"/>
    </row>
    <row r="7157" spans="4:6" x14ac:dyDescent="0.25">
      <c r="D7157" s="15"/>
      <c r="F7157" s="14"/>
    </row>
    <row r="7158" spans="4:6" x14ac:dyDescent="0.25">
      <c r="D7158" s="15"/>
      <c r="F7158" s="14"/>
    </row>
    <row r="7159" spans="4:6" x14ac:dyDescent="0.25">
      <c r="D7159" s="15"/>
      <c r="F7159" s="14"/>
    </row>
    <row r="7160" spans="4:6" x14ac:dyDescent="0.25">
      <c r="D7160" s="15"/>
      <c r="F7160" s="14"/>
    </row>
    <row r="7161" spans="4:6" x14ac:dyDescent="0.25">
      <c r="D7161" s="15"/>
      <c r="F7161" s="14"/>
    </row>
    <row r="7162" spans="4:6" x14ac:dyDescent="0.25">
      <c r="D7162" s="15"/>
      <c r="F7162" s="14"/>
    </row>
    <row r="7163" spans="4:6" x14ac:dyDescent="0.25">
      <c r="D7163" s="15"/>
      <c r="F7163" s="14"/>
    </row>
    <row r="7164" spans="4:6" x14ac:dyDescent="0.25">
      <c r="D7164" s="15"/>
      <c r="F7164" s="14"/>
    </row>
    <row r="7165" spans="4:6" x14ac:dyDescent="0.25">
      <c r="D7165" s="15"/>
      <c r="F7165" s="14"/>
    </row>
    <row r="7166" spans="4:6" x14ac:dyDescent="0.25">
      <c r="D7166" s="15"/>
      <c r="F7166" s="14"/>
    </row>
    <row r="7167" spans="4:6" x14ac:dyDescent="0.25">
      <c r="D7167" s="15"/>
      <c r="F7167" s="14"/>
    </row>
    <row r="7168" spans="4:6" x14ac:dyDescent="0.25">
      <c r="D7168" s="15"/>
      <c r="F7168" s="14"/>
    </row>
    <row r="7169" spans="4:6" x14ac:dyDescent="0.25">
      <c r="D7169" s="15"/>
      <c r="F7169" s="14"/>
    </row>
    <row r="7170" spans="4:6" x14ac:dyDescent="0.25">
      <c r="D7170" s="15"/>
      <c r="F7170" s="14"/>
    </row>
    <row r="7171" spans="4:6" x14ac:dyDescent="0.25">
      <c r="D7171" s="15"/>
      <c r="F7171" s="14"/>
    </row>
    <row r="7172" spans="4:6" x14ac:dyDescent="0.25">
      <c r="D7172" s="15"/>
      <c r="F7172" s="14"/>
    </row>
    <row r="7173" spans="4:6" x14ac:dyDescent="0.25">
      <c r="D7173" s="15"/>
      <c r="F7173" s="14"/>
    </row>
    <row r="7174" spans="4:6" x14ac:dyDescent="0.25">
      <c r="D7174" s="15"/>
      <c r="F7174" s="14"/>
    </row>
    <row r="7175" spans="4:6" x14ac:dyDescent="0.25">
      <c r="D7175" s="15"/>
      <c r="F7175" s="14"/>
    </row>
    <row r="7176" spans="4:6" x14ac:dyDescent="0.25">
      <c r="D7176" s="15"/>
      <c r="F7176" s="14"/>
    </row>
    <row r="7177" spans="4:6" x14ac:dyDescent="0.25">
      <c r="D7177" s="15"/>
      <c r="F7177" s="14"/>
    </row>
    <row r="7178" spans="4:6" x14ac:dyDescent="0.25">
      <c r="D7178" s="15"/>
      <c r="F7178" s="14"/>
    </row>
    <row r="7179" spans="4:6" x14ac:dyDescent="0.25">
      <c r="D7179" s="15"/>
      <c r="F7179" s="14"/>
    </row>
    <row r="7180" spans="4:6" x14ac:dyDescent="0.25">
      <c r="D7180" s="15"/>
      <c r="F7180" s="14"/>
    </row>
    <row r="7181" spans="4:6" x14ac:dyDescent="0.25">
      <c r="D7181" s="15"/>
      <c r="F7181" s="14"/>
    </row>
    <row r="7182" spans="4:6" x14ac:dyDescent="0.25">
      <c r="D7182" s="15"/>
      <c r="F7182" s="14"/>
    </row>
    <row r="7183" spans="4:6" x14ac:dyDescent="0.25">
      <c r="D7183" s="15"/>
      <c r="F7183" s="14"/>
    </row>
    <row r="7184" spans="4:6" x14ac:dyDescent="0.25">
      <c r="D7184" s="15"/>
      <c r="F7184" s="14"/>
    </row>
    <row r="7185" spans="4:6" x14ac:dyDescent="0.25">
      <c r="D7185" s="15"/>
      <c r="F7185" s="14"/>
    </row>
    <row r="7186" spans="4:6" x14ac:dyDescent="0.25">
      <c r="D7186" s="15"/>
      <c r="F7186" s="14"/>
    </row>
    <row r="7187" spans="4:6" x14ac:dyDescent="0.25">
      <c r="D7187" s="15"/>
      <c r="F7187" s="14"/>
    </row>
    <row r="7188" spans="4:6" x14ac:dyDescent="0.25">
      <c r="D7188" s="15"/>
      <c r="F7188" s="14"/>
    </row>
    <row r="7189" spans="4:6" x14ac:dyDescent="0.25">
      <c r="D7189" s="15"/>
      <c r="F7189" s="14"/>
    </row>
    <row r="7190" spans="4:6" x14ac:dyDescent="0.25">
      <c r="D7190" s="15"/>
      <c r="F7190" s="14"/>
    </row>
    <row r="7191" spans="4:6" x14ac:dyDescent="0.25">
      <c r="D7191" s="15"/>
      <c r="F7191" s="14"/>
    </row>
    <row r="7192" spans="4:6" x14ac:dyDescent="0.25">
      <c r="D7192" s="15"/>
      <c r="F7192" s="14"/>
    </row>
    <row r="7193" spans="4:6" x14ac:dyDescent="0.25">
      <c r="D7193" s="15"/>
      <c r="F7193" s="14"/>
    </row>
    <row r="7194" spans="4:6" x14ac:dyDescent="0.25">
      <c r="D7194" s="15"/>
      <c r="F7194" s="14"/>
    </row>
    <row r="7195" spans="4:6" x14ac:dyDescent="0.25">
      <c r="D7195" s="15"/>
      <c r="F7195" s="14"/>
    </row>
    <row r="7196" spans="4:6" x14ac:dyDescent="0.25">
      <c r="D7196" s="15"/>
      <c r="F7196" s="14"/>
    </row>
    <row r="7197" spans="4:6" x14ac:dyDescent="0.25">
      <c r="D7197" s="15"/>
      <c r="F7197" s="14"/>
    </row>
    <row r="7198" spans="4:6" x14ac:dyDescent="0.25">
      <c r="D7198" s="15"/>
      <c r="F7198" s="14"/>
    </row>
    <row r="7199" spans="4:6" x14ac:dyDescent="0.25">
      <c r="D7199" s="15"/>
      <c r="F7199" s="14"/>
    </row>
    <row r="7200" spans="4:6" x14ac:dyDescent="0.25">
      <c r="D7200" s="15"/>
      <c r="F7200" s="14"/>
    </row>
    <row r="7201" spans="4:6" x14ac:dyDescent="0.25">
      <c r="D7201" s="15"/>
      <c r="F7201" s="14"/>
    </row>
    <row r="7202" spans="4:6" x14ac:dyDescent="0.25">
      <c r="D7202" s="15"/>
      <c r="F7202" s="14"/>
    </row>
    <row r="7203" spans="4:6" x14ac:dyDescent="0.25">
      <c r="D7203" s="15"/>
      <c r="F7203" s="14"/>
    </row>
    <row r="7204" spans="4:6" x14ac:dyDescent="0.25">
      <c r="D7204" s="15"/>
      <c r="F7204" s="14"/>
    </row>
    <row r="7205" spans="4:6" x14ac:dyDescent="0.25">
      <c r="D7205" s="15"/>
      <c r="F7205" s="14"/>
    </row>
    <row r="7206" spans="4:6" x14ac:dyDescent="0.25">
      <c r="D7206" s="15"/>
      <c r="F7206" s="14"/>
    </row>
    <row r="7207" spans="4:6" x14ac:dyDescent="0.25">
      <c r="D7207" s="15"/>
      <c r="F7207" s="14"/>
    </row>
    <row r="7208" spans="4:6" x14ac:dyDescent="0.25">
      <c r="D7208" s="15"/>
      <c r="F7208" s="14"/>
    </row>
    <row r="7209" spans="4:6" x14ac:dyDescent="0.25">
      <c r="D7209" s="15"/>
      <c r="F7209" s="14"/>
    </row>
    <row r="7210" spans="4:6" x14ac:dyDescent="0.25">
      <c r="D7210" s="15"/>
      <c r="F7210" s="14"/>
    </row>
    <row r="7211" spans="4:6" x14ac:dyDescent="0.25">
      <c r="D7211" s="15"/>
      <c r="F7211" s="14"/>
    </row>
    <row r="7212" spans="4:6" x14ac:dyDescent="0.25">
      <c r="D7212" s="15"/>
      <c r="F7212" s="14"/>
    </row>
    <row r="7213" spans="4:6" x14ac:dyDescent="0.25">
      <c r="D7213" s="15"/>
      <c r="F7213" s="14"/>
    </row>
    <row r="7214" spans="4:6" x14ac:dyDescent="0.25">
      <c r="D7214" s="15"/>
      <c r="F7214" s="14"/>
    </row>
    <row r="7215" spans="4:6" x14ac:dyDescent="0.25">
      <c r="D7215" s="15"/>
      <c r="F7215" s="14"/>
    </row>
    <row r="7216" spans="4:6" x14ac:dyDescent="0.25">
      <c r="D7216" s="15"/>
      <c r="F7216" s="14"/>
    </row>
    <row r="7217" spans="4:6" x14ac:dyDescent="0.25">
      <c r="D7217" s="15"/>
      <c r="F7217" s="14"/>
    </row>
    <row r="7218" spans="4:6" x14ac:dyDescent="0.25">
      <c r="D7218" s="15"/>
      <c r="F7218" s="14"/>
    </row>
    <row r="7219" spans="4:6" x14ac:dyDescent="0.25">
      <c r="D7219" s="15"/>
      <c r="F7219" s="14"/>
    </row>
    <row r="7220" spans="4:6" x14ac:dyDescent="0.25">
      <c r="D7220" s="15"/>
      <c r="F7220" s="14"/>
    </row>
    <row r="7221" spans="4:6" x14ac:dyDescent="0.25">
      <c r="D7221" s="15"/>
      <c r="F7221" s="14"/>
    </row>
    <row r="7222" spans="4:6" x14ac:dyDescent="0.25">
      <c r="D7222" s="15"/>
      <c r="F7222" s="14"/>
    </row>
    <row r="7223" spans="4:6" x14ac:dyDescent="0.25">
      <c r="D7223" s="15"/>
      <c r="F7223" s="14"/>
    </row>
    <row r="7224" spans="4:6" x14ac:dyDescent="0.25">
      <c r="D7224" s="15"/>
      <c r="F7224" s="14"/>
    </row>
    <row r="7225" spans="4:6" x14ac:dyDescent="0.25">
      <c r="D7225" s="15"/>
      <c r="F7225" s="14"/>
    </row>
    <row r="7226" spans="4:6" x14ac:dyDescent="0.25">
      <c r="D7226" s="15"/>
      <c r="F7226" s="14"/>
    </row>
    <row r="7227" spans="4:6" x14ac:dyDescent="0.25">
      <c r="D7227" s="15"/>
      <c r="F7227" s="14"/>
    </row>
    <row r="7228" spans="4:6" x14ac:dyDescent="0.25">
      <c r="D7228" s="15"/>
      <c r="F7228" s="14"/>
    </row>
    <row r="7229" spans="4:6" x14ac:dyDescent="0.25">
      <c r="D7229" s="15"/>
      <c r="F7229" s="14"/>
    </row>
    <row r="7230" spans="4:6" x14ac:dyDescent="0.25">
      <c r="D7230" s="15"/>
      <c r="F7230" s="14"/>
    </row>
    <row r="7231" spans="4:6" x14ac:dyDescent="0.25">
      <c r="D7231" s="15"/>
      <c r="F7231" s="14"/>
    </row>
    <row r="7232" spans="4:6" x14ac:dyDescent="0.25">
      <c r="D7232" s="15"/>
      <c r="F7232" s="14"/>
    </row>
    <row r="7233" spans="4:6" x14ac:dyDescent="0.25">
      <c r="D7233" s="15"/>
      <c r="F7233" s="14"/>
    </row>
    <row r="7234" spans="4:6" x14ac:dyDescent="0.25">
      <c r="D7234" s="15"/>
      <c r="F7234" s="14"/>
    </row>
    <row r="7235" spans="4:6" x14ac:dyDescent="0.25">
      <c r="D7235" s="15"/>
      <c r="F7235" s="14"/>
    </row>
    <row r="7236" spans="4:6" x14ac:dyDescent="0.25">
      <c r="D7236" s="15"/>
      <c r="F7236" s="14"/>
    </row>
    <row r="7237" spans="4:6" x14ac:dyDescent="0.25">
      <c r="D7237" s="15"/>
      <c r="F7237" s="14"/>
    </row>
    <row r="7238" spans="4:6" x14ac:dyDescent="0.25">
      <c r="D7238" s="15"/>
      <c r="F7238" s="14"/>
    </row>
    <row r="7239" spans="4:6" x14ac:dyDescent="0.25">
      <c r="D7239" s="15"/>
      <c r="F7239" s="14"/>
    </row>
    <row r="7240" spans="4:6" x14ac:dyDescent="0.25">
      <c r="D7240" s="15"/>
      <c r="F7240" s="14"/>
    </row>
    <row r="7241" spans="4:6" x14ac:dyDescent="0.25">
      <c r="D7241" s="15"/>
      <c r="F7241" s="14"/>
    </row>
    <row r="7242" spans="4:6" x14ac:dyDescent="0.25">
      <c r="D7242" s="15"/>
      <c r="F7242" s="14"/>
    </row>
    <row r="7243" spans="4:6" x14ac:dyDescent="0.25">
      <c r="D7243" s="15"/>
      <c r="F7243" s="14"/>
    </row>
    <row r="7244" spans="4:6" x14ac:dyDescent="0.25">
      <c r="D7244" s="15"/>
      <c r="F7244" s="14"/>
    </row>
    <row r="7245" spans="4:6" x14ac:dyDescent="0.25">
      <c r="D7245" s="15"/>
      <c r="F7245" s="14"/>
    </row>
    <row r="7246" spans="4:6" x14ac:dyDescent="0.25">
      <c r="D7246" s="15"/>
      <c r="F7246" s="14"/>
    </row>
    <row r="7247" spans="4:6" x14ac:dyDescent="0.25">
      <c r="D7247" s="15"/>
      <c r="F7247" s="14"/>
    </row>
    <row r="7248" spans="4:6" x14ac:dyDescent="0.25">
      <c r="D7248" s="15"/>
      <c r="F7248" s="14"/>
    </row>
    <row r="7249" spans="4:6" x14ac:dyDescent="0.25">
      <c r="D7249" s="15"/>
      <c r="F7249" s="14"/>
    </row>
    <row r="7250" spans="4:6" x14ac:dyDescent="0.25">
      <c r="D7250" s="15"/>
      <c r="F7250" s="14"/>
    </row>
    <row r="7251" spans="4:6" x14ac:dyDescent="0.25">
      <c r="D7251" s="15"/>
      <c r="F7251" s="14"/>
    </row>
    <row r="7252" spans="4:6" x14ac:dyDescent="0.25">
      <c r="D7252" s="15"/>
      <c r="F7252" s="14"/>
    </row>
    <row r="7253" spans="4:6" x14ac:dyDescent="0.25">
      <c r="D7253" s="15"/>
      <c r="F7253" s="14"/>
    </row>
    <row r="7254" spans="4:6" x14ac:dyDescent="0.25">
      <c r="D7254" s="15"/>
      <c r="F7254" s="14"/>
    </row>
    <row r="7255" spans="4:6" x14ac:dyDescent="0.25">
      <c r="D7255" s="15"/>
      <c r="F7255" s="14"/>
    </row>
    <row r="7256" spans="4:6" x14ac:dyDescent="0.25">
      <c r="D7256" s="15"/>
      <c r="F7256" s="14"/>
    </row>
    <row r="7257" spans="4:6" x14ac:dyDescent="0.25">
      <c r="D7257" s="15"/>
      <c r="F7257" s="14"/>
    </row>
    <row r="7258" spans="4:6" x14ac:dyDescent="0.25">
      <c r="D7258" s="15"/>
      <c r="F7258" s="14"/>
    </row>
    <row r="7259" spans="4:6" x14ac:dyDescent="0.25">
      <c r="D7259" s="15"/>
      <c r="F7259" s="14"/>
    </row>
    <row r="7260" spans="4:6" x14ac:dyDescent="0.25">
      <c r="D7260" s="15"/>
      <c r="F7260" s="14"/>
    </row>
    <row r="7261" spans="4:6" x14ac:dyDescent="0.25">
      <c r="D7261" s="15"/>
      <c r="F7261" s="14"/>
    </row>
    <row r="7262" spans="4:6" x14ac:dyDescent="0.25">
      <c r="D7262" s="15"/>
      <c r="F7262" s="14"/>
    </row>
    <row r="7263" spans="4:6" x14ac:dyDescent="0.25">
      <c r="D7263" s="15"/>
      <c r="F7263" s="14"/>
    </row>
    <row r="7264" spans="4:6" x14ac:dyDescent="0.25">
      <c r="D7264" s="15"/>
      <c r="F7264" s="14"/>
    </row>
    <row r="7265" spans="4:6" x14ac:dyDescent="0.25">
      <c r="D7265" s="15"/>
      <c r="F7265" s="14"/>
    </row>
    <row r="7266" spans="4:6" x14ac:dyDescent="0.25">
      <c r="D7266" s="15"/>
      <c r="F7266" s="14"/>
    </row>
    <row r="7267" spans="4:6" x14ac:dyDescent="0.25">
      <c r="D7267" s="15"/>
      <c r="F7267" s="14"/>
    </row>
    <row r="7268" spans="4:6" x14ac:dyDescent="0.25">
      <c r="D7268" s="15"/>
      <c r="F7268" s="14"/>
    </row>
    <row r="7269" spans="4:6" x14ac:dyDescent="0.25">
      <c r="D7269" s="15"/>
      <c r="F7269" s="14"/>
    </row>
    <row r="7270" spans="4:6" x14ac:dyDescent="0.25">
      <c r="D7270" s="15"/>
      <c r="F7270" s="14"/>
    </row>
    <row r="7271" spans="4:6" x14ac:dyDescent="0.25">
      <c r="D7271" s="15"/>
      <c r="F7271" s="14"/>
    </row>
    <row r="7272" spans="4:6" x14ac:dyDescent="0.25">
      <c r="D7272" s="15"/>
      <c r="F7272" s="14"/>
    </row>
    <row r="7273" spans="4:6" x14ac:dyDescent="0.25">
      <c r="D7273" s="15"/>
      <c r="F7273" s="14"/>
    </row>
    <row r="7274" spans="4:6" x14ac:dyDescent="0.25">
      <c r="D7274" s="15"/>
      <c r="F7274" s="14"/>
    </row>
    <row r="7275" spans="4:6" x14ac:dyDescent="0.25">
      <c r="D7275" s="15"/>
      <c r="F7275" s="14"/>
    </row>
    <row r="7276" spans="4:6" x14ac:dyDescent="0.25">
      <c r="D7276" s="15"/>
      <c r="F7276" s="14"/>
    </row>
    <row r="7277" spans="4:6" x14ac:dyDescent="0.25">
      <c r="D7277" s="15"/>
      <c r="F7277" s="14"/>
    </row>
    <row r="7278" spans="4:6" x14ac:dyDescent="0.25">
      <c r="D7278" s="15"/>
      <c r="F7278" s="14"/>
    </row>
    <row r="7279" spans="4:6" x14ac:dyDescent="0.25">
      <c r="D7279" s="15"/>
      <c r="F7279" s="14"/>
    </row>
    <row r="7280" spans="4:6" x14ac:dyDescent="0.25">
      <c r="D7280" s="15"/>
      <c r="F7280" s="14"/>
    </row>
    <row r="7281" spans="4:6" x14ac:dyDescent="0.25">
      <c r="D7281" s="15"/>
      <c r="F7281" s="14"/>
    </row>
    <row r="7282" spans="4:6" x14ac:dyDescent="0.25">
      <c r="D7282" s="15"/>
      <c r="F7282" s="14"/>
    </row>
    <row r="7283" spans="4:6" x14ac:dyDescent="0.25">
      <c r="D7283" s="15"/>
      <c r="F7283" s="14"/>
    </row>
    <row r="7284" spans="4:6" x14ac:dyDescent="0.25">
      <c r="D7284" s="15"/>
      <c r="F7284" s="14"/>
    </row>
    <row r="7285" spans="4:6" x14ac:dyDescent="0.25">
      <c r="D7285" s="15"/>
      <c r="F7285" s="14"/>
    </row>
    <row r="7286" spans="4:6" x14ac:dyDescent="0.25">
      <c r="D7286" s="15"/>
      <c r="F7286" s="14"/>
    </row>
    <row r="7287" spans="4:6" x14ac:dyDescent="0.25">
      <c r="D7287" s="15"/>
      <c r="F7287" s="14"/>
    </row>
    <row r="7288" spans="4:6" x14ac:dyDescent="0.25">
      <c r="D7288" s="15"/>
      <c r="F7288" s="14"/>
    </row>
    <row r="7289" spans="4:6" x14ac:dyDescent="0.25">
      <c r="D7289" s="15"/>
      <c r="F7289" s="14"/>
    </row>
    <row r="7290" spans="4:6" x14ac:dyDescent="0.25">
      <c r="D7290" s="15"/>
      <c r="F7290" s="14"/>
    </row>
    <row r="7291" spans="4:6" x14ac:dyDescent="0.25">
      <c r="D7291" s="15"/>
      <c r="F7291" s="14"/>
    </row>
    <row r="7292" spans="4:6" x14ac:dyDescent="0.25">
      <c r="D7292" s="15"/>
      <c r="F7292" s="14"/>
    </row>
    <row r="7293" spans="4:6" x14ac:dyDescent="0.25">
      <c r="D7293" s="15"/>
      <c r="F7293" s="14"/>
    </row>
    <row r="7294" spans="4:6" x14ac:dyDescent="0.25">
      <c r="D7294" s="15"/>
      <c r="F7294" s="14"/>
    </row>
    <row r="7295" spans="4:6" x14ac:dyDescent="0.25">
      <c r="D7295" s="15"/>
      <c r="F7295" s="14"/>
    </row>
    <row r="7296" spans="4:6" x14ac:dyDescent="0.25">
      <c r="D7296" s="15"/>
      <c r="F7296" s="14"/>
    </row>
    <row r="7297" spans="4:6" x14ac:dyDescent="0.25">
      <c r="D7297" s="15"/>
      <c r="F7297" s="14"/>
    </row>
    <row r="7298" spans="4:6" x14ac:dyDescent="0.25">
      <c r="D7298" s="15"/>
      <c r="F7298" s="14"/>
    </row>
    <row r="7299" spans="4:6" x14ac:dyDescent="0.25">
      <c r="D7299" s="15"/>
      <c r="F7299" s="14"/>
    </row>
    <row r="7300" spans="4:6" x14ac:dyDescent="0.25">
      <c r="D7300" s="15"/>
      <c r="F7300" s="14"/>
    </row>
    <row r="7301" spans="4:6" x14ac:dyDescent="0.25">
      <c r="D7301" s="15"/>
      <c r="F7301" s="14"/>
    </row>
    <row r="7302" spans="4:6" x14ac:dyDescent="0.25">
      <c r="D7302" s="15"/>
      <c r="F7302" s="14"/>
    </row>
    <row r="7303" spans="4:6" x14ac:dyDescent="0.25">
      <c r="D7303" s="15"/>
      <c r="F7303" s="14"/>
    </row>
    <row r="7304" spans="4:6" x14ac:dyDescent="0.25">
      <c r="D7304" s="15"/>
      <c r="F7304" s="14"/>
    </row>
    <row r="7305" spans="4:6" x14ac:dyDescent="0.25">
      <c r="D7305" s="15"/>
      <c r="F7305" s="14"/>
    </row>
    <row r="7306" spans="4:6" x14ac:dyDescent="0.25">
      <c r="D7306" s="15"/>
      <c r="F7306" s="14"/>
    </row>
    <row r="7307" spans="4:6" x14ac:dyDescent="0.25">
      <c r="D7307" s="15"/>
      <c r="F7307" s="14"/>
    </row>
    <row r="7308" spans="4:6" x14ac:dyDescent="0.25">
      <c r="D7308" s="15"/>
      <c r="F7308" s="14"/>
    </row>
    <row r="7309" spans="4:6" x14ac:dyDescent="0.25">
      <c r="D7309" s="15"/>
      <c r="F7309" s="14"/>
    </row>
    <row r="7310" spans="4:6" x14ac:dyDescent="0.25">
      <c r="D7310" s="15"/>
      <c r="F7310" s="14"/>
    </row>
    <row r="7311" spans="4:6" x14ac:dyDescent="0.25">
      <c r="D7311" s="15"/>
      <c r="F7311" s="14"/>
    </row>
    <row r="7312" spans="4:6" x14ac:dyDescent="0.25">
      <c r="D7312" s="15"/>
      <c r="F7312" s="14"/>
    </row>
    <row r="7313" spans="4:6" x14ac:dyDescent="0.25">
      <c r="D7313" s="15"/>
      <c r="F7313" s="14"/>
    </row>
    <row r="7314" spans="4:6" x14ac:dyDescent="0.25">
      <c r="D7314" s="15"/>
      <c r="F7314" s="14"/>
    </row>
    <row r="7315" spans="4:6" x14ac:dyDescent="0.25">
      <c r="D7315" s="15"/>
      <c r="F7315" s="14"/>
    </row>
    <row r="7316" spans="4:6" x14ac:dyDescent="0.25">
      <c r="D7316" s="15"/>
      <c r="F7316" s="14"/>
    </row>
    <row r="7317" spans="4:6" x14ac:dyDescent="0.25">
      <c r="D7317" s="15"/>
      <c r="F7317" s="14"/>
    </row>
    <row r="7318" spans="4:6" x14ac:dyDescent="0.25">
      <c r="D7318" s="15"/>
      <c r="F7318" s="14"/>
    </row>
    <row r="7319" spans="4:6" x14ac:dyDescent="0.25">
      <c r="D7319" s="15"/>
      <c r="F7319" s="14"/>
    </row>
    <row r="7320" spans="4:6" x14ac:dyDescent="0.25">
      <c r="D7320" s="15"/>
      <c r="F7320" s="14"/>
    </row>
    <row r="7321" spans="4:6" x14ac:dyDescent="0.25">
      <c r="D7321" s="15"/>
      <c r="F7321" s="14"/>
    </row>
    <row r="7322" spans="4:6" x14ac:dyDescent="0.25">
      <c r="D7322" s="15"/>
      <c r="F7322" s="14"/>
    </row>
    <row r="7323" spans="4:6" x14ac:dyDescent="0.25">
      <c r="D7323" s="15"/>
      <c r="F7323" s="14"/>
    </row>
    <row r="7324" spans="4:6" x14ac:dyDescent="0.25">
      <c r="D7324" s="15"/>
      <c r="F7324" s="14"/>
    </row>
    <row r="7325" spans="4:6" x14ac:dyDescent="0.25">
      <c r="D7325" s="15"/>
      <c r="F7325" s="14"/>
    </row>
    <row r="7326" spans="4:6" x14ac:dyDescent="0.25">
      <c r="D7326" s="15"/>
      <c r="F7326" s="14"/>
    </row>
    <row r="7327" spans="4:6" x14ac:dyDescent="0.25">
      <c r="D7327" s="15"/>
      <c r="F7327" s="14"/>
    </row>
    <row r="7328" spans="4:6" x14ac:dyDescent="0.25">
      <c r="D7328" s="15"/>
      <c r="F7328" s="14"/>
    </row>
    <row r="7329" spans="4:6" x14ac:dyDescent="0.25">
      <c r="D7329" s="15"/>
      <c r="F7329" s="14"/>
    </row>
    <row r="7330" spans="4:6" x14ac:dyDescent="0.25">
      <c r="D7330" s="15"/>
      <c r="F7330" s="14"/>
    </row>
    <row r="7331" spans="4:6" x14ac:dyDescent="0.25">
      <c r="D7331" s="15"/>
      <c r="F7331" s="14"/>
    </row>
    <row r="7332" spans="4:6" x14ac:dyDescent="0.25">
      <c r="D7332" s="15"/>
      <c r="F7332" s="14"/>
    </row>
    <row r="7333" spans="4:6" x14ac:dyDescent="0.25">
      <c r="D7333" s="15"/>
      <c r="F7333" s="14"/>
    </row>
    <row r="7334" spans="4:6" x14ac:dyDescent="0.25">
      <c r="D7334" s="15"/>
      <c r="F7334" s="14"/>
    </row>
    <row r="7335" spans="4:6" x14ac:dyDescent="0.25">
      <c r="D7335" s="15"/>
      <c r="F7335" s="14"/>
    </row>
    <row r="7336" spans="4:6" x14ac:dyDescent="0.25">
      <c r="D7336" s="15"/>
      <c r="F7336" s="14"/>
    </row>
    <row r="7337" spans="4:6" x14ac:dyDescent="0.25">
      <c r="D7337" s="15"/>
      <c r="F7337" s="14"/>
    </row>
    <row r="7338" spans="4:6" x14ac:dyDescent="0.25">
      <c r="D7338" s="15"/>
      <c r="F7338" s="14"/>
    </row>
    <row r="7339" spans="4:6" x14ac:dyDescent="0.25">
      <c r="D7339" s="15"/>
      <c r="F7339" s="14"/>
    </row>
    <row r="7340" spans="4:6" x14ac:dyDescent="0.25">
      <c r="D7340" s="15"/>
      <c r="F7340" s="14"/>
    </row>
    <row r="7341" spans="4:6" x14ac:dyDescent="0.25">
      <c r="D7341" s="15"/>
      <c r="F7341" s="14"/>
    </row>
    <row r="7342" spans="4:6" x14ac:dyDescent="0.25">
      <c r="D7342" s="15"/>
      <c r="F7342" s="14"/>
    </row>
    <row r="7343" spans="4:6" x14ac:dyDescent="0.25">
      <c r="D7343" s="15"/>
      <c r="F7343" s="14"/>
    </row>
    <row r="7344" spans="4:6" x14ac:dyDescent="0.25">
      <c r="D7344" s="15"/>
      <c r="F7344" s="14"/>
    </row>
    <row r="7345" spans="4:6" x14ac:dyDescent="0.25">
      <c r="D7345" s="15"/>
      <c r="F7345" s="14"/>
    </row>
    <row r="7346" spans="4:6" x14ac:dyDescent="0.25">
      <c r="D7346" s="15"/>
      <c r="F7346" s="14"/>
    </row>
    <row r="7347" spans="4:6" x14ac:dyDescent="0.25">
      <c r="D7347" s="15"/>
      <c r="F7347" s="14"/>
    </row>
    <row r="7348" spans="4:6" x14ac:dyDescent="0.25">
      <c r="D7348" s="15"/>
      <c r="F7348" s="14"/>
    </row>
    <row r="7349" spans="4:6" x14ac:dyDescent="0.25">
      <c r="D7349" s="15"/>
      <c r="F7349" s="14"/>
    </row>
    <row r="7350" spans="4:6" x14ac:dyDescent="0.25">
      <c r="D7350" s="15"/>
      <c r="F7350" s="14"/>
    </row>
    <row r="7351" spans="4:6" x14ac:dyDescent="0.25">
      <c r="D7351" s="15"/>
      <c r="F7351" s="14"/>
    </row>
    <row r="7352" spans="4:6" x14ac:dyDescent="0.25">
      <c r="D7352" s="15"/>
      <c r="F7352" s="14"/>
    </row>
    <row r="7353" spans="4:6" x14ac:dyDescent="0.25">
      <c r="D7353" s="15"/>
      <c r="F7353" s="14"/>
    </row>
    <row r="7354" spans="4:6" x14ac:dyDescent="0.25">
      <c r="D7354" s="15"/>
      <c r="F7354" s="14"/>
    </row>
    <row r="7355" spans="4:6" x14ac:dyDescent="0.25">
      <c r="D7355" s="15"/>
      <c r="F7355" s="14"/>
    </row>
    <row r="7356" spans="4:6" x14ac:dyDescent="0.25">
      <c r="D7356" s="15"/>
      <c r="F7356" s="14"/>
    </row>
    <row r="7357" spans="4:6" x14ac:dyDescent="0.25">
      <c r="D7357" s="15"/>
      <c r="F7357" s="14"/>
    </row>
    <row r="7358" spans="4:6" x14ac:dyDescent="0.25">
      <c r="D7358" s="15"/>
      <c r="F7358" s="14"/>
    </row>
    <row r="7359" spans="4:6" x14ac:dyDescent="0.25">
      <c r="D7359" s="15"/>
      <c r="F7359" s="14"/>
    </row>
    <row r="7360" spans="4:6" x14ac:dyDescent="0.25">
      <c r="D7360" s="15"/>
      <c r="F7360" s="14"/>
    </row>
    <row r="7361" spans="4:6" x14ac:dyDescent="0.25">
      <c r="D7361" s="15"/>
      <c r="F7361" s="14"/>
    </row>
    <row r="7362" spans="4:6" x14ac:dyDescent="0.25">
      <c r="D7362" s="15"/>
      <c r="F7362" s="14"/>
    </row>
    <row r="7363" spans="4:6" x14ac:dyDescent="0.25">
      <c r="D7363" s="15"/>
      <c r="F7363" s="14"/>
    </row>
    <row r="7364" spans="4:6" x14ac:dyDescent="0.25">
      <c r="D7364" s="15"/>
      <c r="F7364" s="14"/>
    </row>
    <row r="7365" spans="4:6" x14ac:dyDescent="0.25">
      <c r="D7365" s="15"/>
      <c r="F7365" s="14"/>
    </row>
    <row r="7366" spans="4:6" x14ac:dyDescent="0.25">
      <c r="D7366" s="15"/>
      <c r="F7366" s="14"/>
    </row>
    <row r="7367" spans="4:6" x14ac:dyDescent="0.25">
      <c r="D7367" s="15"/>
      <c r="F7367" s="14"/>
    </row>
    <row r="7368" spans="4:6" x14ac:dyDescent="0.25">
      <c r="D7368" s="15"/>
      <c r="F7368" s="14"/>
    </row>
    <row r="7369" spans="4:6" x14ac:dyDescent="0.25">
      <c r="D7369" s="15"/>
      <c r="F7369" s="14"/>
    </row>
    <row r="7370" spans="4:6" x14ac:dyDescent="0.25">
      <c r="D7370" s="15"/>
      <c r="F7370" s="14"/>
    </row>
    <row r="7371" spans="4:6" x14ac:dyDescent="0.25">
      <c r="D7371" s="15"/>
      <c r="F7371" s="14"/>
    </row>
    <row r="7372" spans="4:6" x14ac:dyDescent="0.25">
      <c r="D7372" s="15"/>
      <c r="F7372" s="14"/>
    </row>
    <row r="7373" spans="4:6" x14ac:dyDescent="0.25">
      <c r="D7373" s="15"/>
      <c r="F7373" s="14"/>
    </row>
    <row r="7374" spans="4:6" x14ac:dyDescent="0.25">
      <c r="D7374" s="15"/>
      <c r="F7374" s="14"/>
    </row>
    <row r="7375" spans="4:6" x14ac:dyDescent="0.25">
      <c r="D7375" s="15"/>
      <c r="F7375" s="14"/>
    </row>
    <row r="7376" spans="4:6" x14ac:dyDescent="0.25">
      <c r="D7376" s="15"/>
      <c r="F7376" s="14"/>
    </row>
    <row r="7377" spans="4:6" x14ac:dyDescent="0.25">
      <c r="D7377" s="15"/>
      <c r="F7377" s="14"/>
    </row>
    <row r="7378" spans="4:6" x14ac:dyDescent="0.25">
      <c r="D7378" s="15"/>
      <c r="F7378" s="14"/>
    </row>
    <row r="7379" spans="4:6" x14ac:dyDescent="0.25">
      <c r="D7379" s="15"/>
      <c r="F7379" s="14"/>
    </row>
    <row r="7380" spans="4:6" x14ac:dyDescent="0.25">
      <c r="D7380" s="15"/>
      <c r="F7380" s="14"/>
    </row>
    <row r="7381" spans="4:6" x14ac:dyDescent="0.25">
      <c r="D7381" s="15"/>
      <c r="F7381" s="14"/>
    </row>
    <row r="7382" spans="4:6" x14ac:dyDescent="0.25">
      <c r="D7382" s="15"/>
      <c r="F7382" s="14"/>
    </row>
    <row r="7383" spans="4:6" x14ac:dyDescent="0.25">
      <c r="D7383" s="15"/>
      <c r="F7383" s="14"/>
    </row>
    <row r="7384" spans="4:6" x14ac:dyDescent="0.25">
      <c r="D7384" s="15"/>
      <c r="F7384" s="14"/>
    </row>
    <row r="7385" spans="4:6" x14ac:dyDescent="0.25">
      <c r="D7385" s="15"/>
      <c r="F7385" s="14"/>
    </row>
    <row r="7386" spans="4:6" x14ac:dyDescent="0.25">
      <c r="D7386" s="15"/>
      <c r="F7386" s="14"/>
    </row>
    <row r="7387" spans="4:6" x14ac:dyDescent="0.25">
      <c r="D7387" s="15"/>
      <c r="F7387" s="14"/>
    </row>
    <row r="7388" spans="4:6" x14ac:dyDescent="0.25">
      <c r="D7388" s="15"/>
      <c r="F7388" s="14"/>
    </row>
    <row r="7389" spans="4:6" x14ac:dyDescent="0.25">
      <c r="D7389" s="15"/>
      <c r="F7389" s="14"/>
    </row>
    <row r="7390" spans="4:6" x14ac:dyDescent="0.25">
      <c r="D7390" s="15"/>
      <c r="F7390" s="14"/>
    </row>
    <row r="7391" spans="4:6" x14ac:dyDescent="0.25">
      <c r="D7391" s="15"/>
      <c r="F7391" s="14"/>
    </row>
    <row r="7392" spans="4:6" x14ac:dyDescent="0.25">
      <c r="D7392" s="15"/>
      <c r="F7392" s="14"/>
    </row>
    <row r="7393" spans="4:6" x14ac:dyDescent="0.25">
      <c r="D7393" s="15"/>
      <c r="F7393" s="14"/>
    </row>
    <row r="7394" spans="4:6" x14ac:dyDescent="0.25">
      <c r="D7394" s="15"/>
      <c r="F7394" s="14"/>
    </row>
    <row r="7395" spans="4:6" x14ac:dyDescent="0.25">
      <c r="D7395" s="15"/>
      <c r="F7395" s="14"/>
    </row>
    <row r="7396" spans="4:6" x14ac:dyDescent="0.25">
      <c r="D7396" s="15"/>
      <c r="F7396" s="14"/>
    </row>
    <row r="7397" spans="4:6" x14ac:dyDescent="0.25">
      <c r="D7397" s="15"/>
      <c r="F7397" s="14"/>
    </row>
    <row r="7398" spans="4:6" x14ac:dyDescent="0.25">
      <c r="D7398" s="15"/>
      <c r="F7398" s="14"/>
    </row>
    <row r="7399" spans="4:6" x14ac:dyDescent="0.25">
      <c r="D7399" s="15"/>
      <c r="F7399" s="14"/>
    </row>
    <row r="7400" spans="4:6" x14ac:dyDescent="0.25">
      <c r="D7400" s="15"/>
      <c r="F7400" s="14"/>
    </row>
    <row r="7401" spans="4:6" x14ac:dyDescent="0.25">
      <c r="D7401" s="15"/>
      <c r="F7401" s="14"/>
    </row>
    <row r="7402" spans="4:6" x14ac:dyDescent="0.25">
      <c r="D7402" s="15"/>
      <c r="F7402" s="14"/>
    </row>
    <row r="7403" spans="4:6" x14ac:dyDescent="0.25">
      <c r="D7403" s="15"/>
      <c r="F7403" s="14"/>
    </row>
    <row r="7404" spans="4:6" x14ac:dyDescent="0.25">
      <c r="D7404" s="15"/>
      <c r="F7404" s="14"/>
    </row>
    <row r="7405" spans="4:6" x14ac:dyDescent="0.25">
      <c r="D7405" s="15"/>
      <c r="F7405" s="14"/>
    </row>
    <row r="7406" spans="4:6" x14ac:dyDescent="0.25">
      <c r="D7406" s="15"/>
      <c r="F7406" s="14"/>
    </row>
    <row r="7407" spans="4:6" x14ac:dyDescent="0.25">
      <c r="D7407" s="15"/>
      <c r="F7407" s="14"/>
    </row>
    <row r="7408" spans="4:6" x14ac:dyDescent="0.25">
      <c r="D7408" s="15"/>
      <c r="F7408" s="14"/>
    </row>
    <row r="7409" spans="4:6" x14ac:dyDescent="0.25">
      <c r="D7409" s="15"/>
      <c r="F7409" s="14"/>
    </row>
    <row r="7410" spans="4:6" x14ac:dyDescent="0.25">
      <c r="D7410" s="15"/>
      <c r="F7410" s="14"/>
    </row>
    <row r="7411" spans="4:6" x14ac:dyDescent="0.25">
      <c r="D7411" s="15"/>
      <c r="F7411" s="14"/>
    </row>
    <row r="7412" spans="4:6" x14ac:dyDescent="0.25">
      <c r="D7412" s="15"/>
      <c r="F7412" s="14"/>
    </row>
    <row r="7413" spans="4:6" x14ac:dyDescent="0.25">
      <c r="D7413" s="15"/>
      <c r="F7413" s="14"/>
    </row>
    <row r="7414" spans="4:6" x14ac:dyDescent="0.25">
      <c r="D7414" s="15"/>
      <c r="F7414" s="14"/>
    </row>
    <row r="7415" spans="4:6" x14ac:dyDescent="0.25">
      <c r="D7415" s="15"/>
      <c r="F7415" s="14"/>
    </row>
    <row r="7416" spans="4:6" x14ac:dyDescent="0.25">
      <c r="D7416" s="15"/>
      <c r="F7416" s="14"/>
    </row>
    <row r="7417" spans="4:6" x14ac:dyDescent="0.25">
      <c r="D7417" s="15"/>
      <c r="F7417" s="14"/>
    </row>
    <row r="7418" spans="4:6" x14ac:dyDescent="0.25">
      <c r="D7418" s="15"/>
      <c r="F7418" s="14"/>
    </row>
    <row r="7419" spans="4:6" x14ac:dyDescent="0.25">
      <c r="D7419" s="15"/>
      <c r="F7419" s="14"/>
    </row>
    <row r="7420" spans="4:6" x14ac:dyDescent="0.25">
      <c r="D7420" s="15"/>
      <c r="F7420" s="14"/>
    </row>
    <row r="7421" spans="4:6" x14ac:dyDescent="0.25">
      <c r="D7421" s="15"/>
      <c r="F7421" s="14"/>
    </row>
    <row r="7422" spans="4:6" x14ac:dyDescent="0.25">
      <c r="D7422" s="15"/>
      <c r="F7422" s="14"/>
    </row>
    <row r="7423" spans="4:6" x14ac:dyDescent="0.25">
      <c r="D7423" s="15"/>
      <c r="F7423" s="14"/>
    </row>
    <row r="7424" spans="4:6" x14ac:dyDescent="0.25">
      <c r="D7424" s="15"/>
      <c r="F7424" s="14"/>
    </row>
    <row r="7425" spans="4:6" x14ac:dyDescent="0.25">
      <c r="D7425" s="15"/>
      <c r="F7425" s="14"/>
    </row>
    <row r="7426" spans="4:6" x14ac:dyDescent="0.25">
      <c r="D7426" s="15"/>
      <c r="F7426" s="14"/>
    </row>
    <row r="7427" spans="4:6" x14ac:dyDescent="0.25">
      <c r="D7427" s="15"/>
      <c r="F7427" s="14"/>
    </row>
    <row r="7428" spans="4:6" x14ac:dyDescent="0.25">
      <c r="D7428" s="15"/>
      <c r="F7428" s="14"/>
    </row>
    <row r="7429" spans="4:6" x14ac:dyDescent="0.25">
      <c r="D7429" s="15"/>
      <c r="F7429" s="14"/>
    </row>
    <row r="7430" spans="4:6" x14ac:dyDescent="0.25">
      <c r="D7430" s="15"/>
      <c r="F7430" s="14"/>
    </row>
    <row r="7431" spans="4:6" x14ac:dyDescent="0.25">
      <c r="D7431" s="15"/>
      <c r="F7431" s="14"/>
    </row>
    <row r="7432" spans="4:6" x14ac:dyDescent="0.25">
      <c r="D7432" s="15"/>
      <c r="F7432" s="14"/>
    </row>
    <row r="7433" spans="4:6" x14ac:dyDescent="0.25">
      <c r="D7433" s="15"/>
      <c r="F7433" s="14"/>
    </row>
    <row r="7434" spans="4:6" x14ac:dyDescent="0.25">
      <c r="D7434" s="15"/>
      <c r="F7434" s="14"/>
    </row>
    <row r="7435" spans="4:6" x14ac:dyDescent="0.25">
      <c r="D7435" s="15"/>
      <c r="F7435" s="14"/>
    </row>
    <row r="7436" spans="4:6" x14ac:dyDescent="0.25">
      <c r="D7436" s="15"/>
      <c r="F7436" s="14"/>
    </row>
    <row r="7437" spans="4:6" x14ac:dyDescent="0.25">
      <c r="D7437" s="15"/>
      <c r="F7437" s="14"/>
    </row>
    <row r="7438" spans="4:6" x14ac:dyDescent="0.25">
      <c r="D7438" s="15"/>
      <c r="F7438" s="14"/>
    </row>
    <row r="7439" spans="4:6" x14ac:dyDescent="0.25">
      <c r="D7439" s="15"/>
      <c r="F7439" s="14"/>
    </row>
    <row r="7440" spans="4:6" x14ac:dyDescent="0.25">
      <c r="D7440" s="15"/>
      <c r="F7440" s="14"/>
    </row>
    <row r="7441" spans="4:6" x14ac:dyDescent="0.25">
      <c r="D7441" s="15"/>
      <c r="F7441" s="14"/>
    </row>
    <row r="7442" spans="4:6" x14ac:dyDescent="0.25">
      <c r="D7442" s="15"/>
      <c r="F7442" s="14"/>
    </row>
    <row r="7443" spans="4:6" x14ac:dyDescent="0.25">
      <c r="D7443" s="15"/>
      <c r="F7443" s="14"/>
    </row>
    <row r="7444" spans="4:6" x14ac:dyDescent="0.25">
      <c r="D7444" s="15"/>
      <c r="F7444" s="14"/>
    </row>
    <row r="7445" spans="4:6" x14ac:dyDescent="0.25">
      <c r="D7445" s="15"/>
      <c r="F7445" s="14"/>
    </row>
    <row r="7446" spans="4:6" x14ac:dyDescent="0.25">
      <c r="D7446" s="15"/>
      <c r="F7446" s="14"/>
    </row>
    <row r="7447" spans="4:6" x14ac:dyDescent="0.25">
      <c r="D7447" s="15"/>
      <c r="F7447" s="14"/>
    </row>
    <row r="7448" spans="4:6" x14ac:dyDescent="0.25">
      <c r="D7448" s="15"/>
      <c r="F7448" s="14"/>
    </row>
    <row r="7449" spans="4:6" x14ac:dyDescent="0.25">
      <c r="D7449" s="15"/>
      <c r="F7449" s="14"/>
    </row>
    <row r="7450" spans="4:6" x14ac:dyDescent="0.25">
      <c r="D7450" s="15"/>
      <c r="F7450" s="14"/>
    </row>
    <row r="7451" spans="4:6" x14ac:dyDescent="0.25">
      <c r="D7451" s="15"/>
      <c r="F7451" s="14"/>
    </row>
    <row r="7452" spans="4:6" x14ac:dyDescent="0.25">
      <c r="D7452" s="15"/>
      <c r="F7452" s="14"/>
    </row>
    <row r="7453" spans="4:6" x14ac:dyDescent="0.25">
      <c r="D7453" s="15"/>
      <c r="F7453" s="14"/>
    </row>
    <row r="7454" spans="4:6" x14ac:dyDescent="0.25">
      <c r="D7454" s="15"/>
      <c r="F7454" s="14"/>
    </row>
    <row r="7455" spans="4:6" x14ac:dyDescent="0.25">
      <c r="D7455" s="15"/>
      <c r="F7455" s="14"/>
    </row>
    <row r="7456" spans="4:6" x14ac:dyDescent="0.25">
      <c r="D7456" s="15"/>
      <c r="F7456" s="14"/>
    </row>
    <row r="7457" spans="4:6" x14ac:dyDescent="0.25">
      <c r="D7457" s="15"/>
      <c r="F7457" s="14"/>
    </row>
    <row r="7458" spans="4:6" x14ac:dyDescent="0.25">
      <c r="D7458" s="15"/>
      <c r="F7458" s="14"/>
    </row>
    <row r="7459" spans="4:6" x14ac:dyDescent="0.25">
      <c r="D7459" s="15"/>
      <c r="F7459" s="14"/>
    </row>
    <row r="7460" spans="4:6" x14ac:dyDescent="0.25">
      <c r="D7460" s="15"/>
      <c r="F7460" s="14"/>
    </row>
    <row r="7461" spans="4:6" x14ac:dyDescent="0.25">
      <c r="D7461" s="15"/>
      <c r="F7461" s="14"/>
    </row>
    <row r="7462" spans="4:6" x14ac:dyDescent="0.25">
      <c r="D7462" s="15"/>
      <c r="F7462" s="14"/>
    </row>
    <row r="7463" spans="4:6" x14ac:dyDescent="0.25">
      <c r="D7463" s="15"/>
      <c r="F7463" s="14"/>
    </row>
    <row r="7464" spans="4:6" x14ac:dyDescent="0.25">
      <c r="D7464" s="15"/>
      <c r="F7464" s="14"/>
    </row>
    <row r="7465" spans="4:6" x14ac:dyDescent="0.25">
      <c r="D7465" s="15"/>
      <c r="F7465" s="14"/>
    </row>
    <row r="7466" spans="4:6" x14ac:dyDescent="0.25">
      <c r="D7466" s="15"/>
      <c r="F7466" s="14"/>
    </row>
    <row r="7467" spans="4:6" x14ac:dyDescent="0.25">
      <c r="D7467" s="15"/>
      <c r="F7467" s="14"/>
    </row>
    <row r="7468" spans="4:6" x14ac:dyDescent="0.25">
      <c r="D7468" s="15"/>
      <c r="F7468" s="14"/>
    </row>
    <row r="7469" spans="4:6" x14ac:dyDescent="0.25">
      <c r="D7469" s="15"/>
      <c r="F7469" s="14"/>
    </row>
    <row r="7470" spans="4:6" x14ac:dyDescent="0.25">
      <c r="D7470" s="15"/>
      <c r="F7470" s="14"/>
    </row>
    <row r="7471" spans="4:6" x14ac:dyDescent="0.25">
      <c r="D7471" s="15"/>
      <c r="F7471" s="14"/>
    </row>
    <row r="7472" spans="4:6" x14ac:dyDescent="0.25">
      <c r="D7472" s="15"/>
      <c r="F7472" s="14"/>
    </row>
    <row r="7473" spans="4:6" x14ac:dyDescent="0.25">
      <c r="D7473" s="15"/>
      <c r="F7473" s="14"/>
    </row>
    <row r="7474" spans="4:6" x14ac:dyDescent="0.25">
      <c r="D7474" s="15"/>
      <c r="F7474" s="14"/>
    </row>
    <row r="7475" spans="4:6" x14ac:dyDescent="0.25">
      <c r="D7475" s="15"/>
      <c r="F7475" s="14"/>
    </row>
    <row r="7476" spans="4:6" x14ac:dyDescent="0.25">
      <c r="D7476" s="15"/>
      <c r="F7476" s="14"/>
    </row>
    <row r="7477" spans="4:6" x14ac:dyDescent="0.25">
      <c r="D7477" s="15"/>
      <c r="F7477" s="14"/>
    </row>
    <row r="7478" spans="4:6" x14ac:dyDescent="0.25">
      <c r="D7478" s="15"/>
      <c r="F7478" s="14"/>
    </row>
    <row r="7479" spans="4:6" x14ac:dyDescent="0.25">
      <c r="D7479" s="15"/>
      <c r="F7479" s="14"/>
    </row>
    <row r="7480" spans="4:6" x14ac:dyDescent="0.25">
      <c r="D7480" s="15"/>
      <c r="F7480" s="14"/>
    </row>
    <row r="7481" spans="4:6" x14ac:dyDescent="0.25">
      <c r="D7481" s="15"/>
      <c r="F7481" s="14"/>
    </row>
    <row r="7482" spans="4:6" x14ac:dyDescent="0.25">
      <c r="D7482" s="15"/>
      <c r="F7482" s="14"/>
    </row>
    <row r="7483" spans="4:6" x14ac:dyDescent="0.25">
      <c r="D7483" s="15"/>
      <c r="F7483" s="14"/>
    </row>
    <row r="7484" spans="4:6" x14ac:dyDescent="0.25">
      <c r="D7484" s="15"/>
      <c r="F7484" s="14"/>
    </row>
    <row r="7485" spans="4:6" x14ac:dyDescent="0.25">
      <c r="D7485" s="15"/>
      <c r="F7485" s="14"/>
    </row>
    <row r="7486" spans="4:6" x14ac:dyDescent="0.25">
      <c r="D7486" s="15"/>
      <c r="F7486" s="14"/>
    </row>
    <row r="7487" spans="4:6" x14ac:dyDescent="0.25">
      <c r="D7487" s="15"/>
      <c r="F7487" s="14"/>
    </row>
    <row r="7488" spans="4:6" x14ac:dyDescent="0.25">
      <c r="D7488" s="15"/>
      <c r="F7488" s="14"/>
    </row>
    <row r="7489" spans="4:6" x14ac:dyDescent="0.25">
      <c r="D7489" s="15"/>
      <c r="F7489" s="14"/>
    </row>
    <row r="7490" spans="4:6" x14ac:dyDescent="0.25">
      <c r="D7490" s="15"/>
      <c r="F7490" s="14"/>
    </row>
    <row r="7491" spans="4:6" x14ac:dyDescent="0.25">
      <c r="D7491" s="15"/>
      <c r="F7491" s="14"/>
    </row>
    <row r="7492" spans="4:6" x14ac:dyDescent="0.25">
      <c r="D7492" s="15"/>
      <c r="F7492" s="14"/>
    </row>
    <row r="7493" spans="4:6" x14ac:dyDescent="0.25">
      <c r="D7493" s="15"/>
      <c r="F7493" s="14"/>
    </row>
    <row r="7494" spans="4:6" x14ac:dyDescent="0.25">
      <c r="D7494" s="15"/>
      <c r="F7494" s="14"/>
    </row>
    <row r="7495" spans="4:6" x14ac:dyDescent="0.25">
      <c r="D7495" s="15"/>
      <c r="F7495" s="14"/>
    </row>
    <row r="7496" spans="4:6" x14ac:dyDescent="0.25">
      <c r="D7496" s="15"/>
      <c r="F7496" s="14"/>
    </row>
    <row r="7497" spans="4:6" x14ac:dyDescent="0.25">
      <c r="D7497" s="15"/>
      <c r="F7497" s="14"/>
    </row>
    <row r="7498" spans="4:6" x14ac:dyDescent="0.25">
      <c r="D7498" s="15"/>
      <c r="F7498" s="14"/>
    </row>
    <row r="7499" spans="4:6" x14ac:dyDescent="0.25">
      <c r="D7499" s="15"/>
      <c r="F7499" s="14"/>
    </row>
    <row r="7500" spans="4:6" x14ac:dyDescent="0.25">
      <c r="D7500" s="15"/>
      <c r="F7500" s="14"/>
    </row>
    <row r="7501" spans="4:6" x14ac:dyDescent="0.25">
      <c r="D7501" s="15"/>
      <c r="F7501" s="14"/>
    </row>
    <row r="7502" spans="4:6" x14ac:dyDescent="0.25">
      <c r="D7502" s="15"/>
      <c r="F7502" s="14"/>
    </row>
    <row r="7503" spans="4:6" x14ac:dyDescent="0.25">
      <c r="D7503" s="15"/>
      <c r="F7503" s="14"/>
    </row>
    <row r="7504" spans="4:6" x14ac:dyDescent="0.25">
      <c r="D7504" s="15"/>
      <c r="F7504" s="14"/>
    </row>
    <row r="7505" spans="4:6" x14ac:dyDescent="0.25">
      <c r="D7505" s="15"/>
      <c r="F7505" s="14"/>
    </row>
    <row r="7506" spans="4:6" x14ac:dyDescent="0.25">
      <c r="D7506" s="15"/>
      <c r="F7506" s="14"/>
    </row>
    <row r="7507" spans="4:6" x14ac:dyDescent="0.25">
      <c r="D7507" s="15"/>
      <c r="F7507" s="14"/>
    </row>
    <row r="7508" spans="4:6" x14ac:dyDescent="0.25">
      <c r="D7508" s="15"/>
      <c r="F7508" s="14"/>
    </row>
    <row r="7509" spans="4:6" x14ac:dyDescent="0.25">
      <c r="D7509" s="15"/>
      <c r="F7509" s="14"/>
    </row>
    <row r="7510" spans="4:6" x14ac:dyDescent="0.25">
      <c r="D7510" s="15"/>
      <c r="F7510" s="14"/>
    </row>
    <row r="7511" spans="4:6" x14ac:dyDescent="0.25">
      <c r="D7511" s="15"/>
      <c r="F7511" s="14"/>
    </row>
    <row r="7512" spans="4:6" x14ac:dyDescent="0.25">
      <c r="D7512" s="15"/>
      <c r="F7512" s="14"/>
    </row>
    <row r="7513" spans="4:6" x14ac:dyDescent="0.25">
      <c r="D7513" s="15"/>
      <c r="F7513" s="14"/>
    </row>
    <row r="7514" spans="4:6" x14ac:dyDescent="0.25">
      <c r="D7514" s="15"/>
      <c r="F7514" s="14"/>
    </row>
    <row r="7515" spans="4:6" x14ac:dyDescent="0.25">
      <c r="D7515" s="15"/>
      <c r="F7515" s="14"/>
    </row>
    <row r="7516" spans="4:6" x14ac:dyDescent="0.25">
      <c r="D7516" s="15"/>
      <c r="F7516" s="14"/>
    </row>
    <row r="7517" spans="4:6" x14ac:dyDescent="0.25">
      <c r="D7517" s="15"/>
      <c r="F7517" s="14"/>
    </row>
    <row r="7518" spans="4:6" x14ac:dyDescent="0.25">
      <c r="D7518" s="15"/>
      <c r="F7518" s="14"/>
    </row>
    <row r="7519" spans="4:6" x14ac:dyDescent="0.25">
      <c r="D7519" s="15"/>
      <c r="F7519" s="14"/>
    </row>
    <row r="7520" spans="4:6" x14ac:dyDescent="0.25">
      <c r="D7520" s="15"/>
      <c r="F7520" s="14"/>
    </row>
    <row r="7521" spans="4:6" x14ac:dyDescent="0.25">
      <c r="D7521" s="15"/>
      <c r="F7521" s="14"/>
    </row>
    <row r="7522" spans="4:6" x14ac:dyDescent="0.25">
      <c r="D7522" s="15"/>
      <c r="F7522" s="14"/>
    </row>
    <row r="7523" spans="4:6" x14ac:dyDescent="0.25">
      <c r="D7523" s="15"/>
      <c r="F7523" s="14"/>
    </row>
    <row r="7524" spans="4:6" x14ac:dyDescent="0.25">
      <c r="D7524" s="15"/>
      <c r="F7524" s="14"/>
    </row>
    <row r="7525" spans="4:6" x14ac:dyDescent="0.25">
      <c r="D7525" s="15"/>
      <c r="F7525" s="14"/>
    </row>
    <row r="7526" spans="4:6" x14ac:dyDescent="0.25">
      <c r="D7526" s="15"/>
      <c r="F7526" s="14"/>
    </row>
    <row r="7527" spans="4:6" x14ac:dyDescent="0.25">
      <c r="D7527" s="15"/>
      <c r="F7527" s="14"/>
    </row>
    <row r="7528" spans="4:6" x14ac:dyDescent="0.25">
      <c r="D7528" s="15"/>
      <c r="F7528" s="14"/>
    </row>
    <row r="7529" spans="4:6" x14ac:dyDescent="0.25">
      <c r="D7529" s="15"/>
      <c r="F7529" s="14"/>
    </row>
    <row r="7530" spans="4:6" x14ac:dyDescent="0.25">
      <c r="D7530" s="15"/>
      <c r="F7530" s="14"/>
    </row>
    <row r="7531" spans="4:6" x14ac:dyDescent="0.25">
      <c r="D7531" s="15"/>
      <c r="F7531" s="14"/>
    </row>
    <row r="7532" spans="4:6" x14ac:dyDescent="0.25">
      <c r="D7532" s="15"/>
      <c r="F7532" s="14"/>
    </row>
    <row r="7533" spans="4:6" x14ac:dyDescent="0.25">
      <c r="D7533" s="15"/>
      <c r="F7533" s="14"/>
    </row>
    <row r="7534" spans="4:6" x14ac:dyDescent="0.25">
      <c r="D7534" s="15"/>
      <c r="F7534" s="14"/>
    </row>
    <row r="7535" spans="4:6" x14ac:dyDescent="0.25">
      <c r="D7535" s="15"/>
      <c r="F7535" s="14"/>
    </row>
    <row r="7536" spans="4:6" x14ac:dyDescent="0.25">
      <c r="D7536" s="15"/>
      <c r="F7536" s="14"/>
    </row>
    <row r="7537" spans="4:6" x14ac:dyDescent="0.25">
      <c r="D7537" s="15"/>
      <c r="F7537" s="14"/>
    </row>
    <row r="7538" spans="4:6" x14ac:dyDescent="0.25">
      <c r="D7538" s="15"/>
      <c r="F7538" s="14"/>
    </row>
    <row r="7539" spans="4:6" x14ac:dyDescent="0.25">
      <c r="D7539" s="15"/>
      <c r="F7539" s="14"/>
    </row>
    <row r="7540" spans="4:6" x14ac:dyDescent="0.25">
      <c r="D7540" s="15"/>
      <c r="F7540" s="14"/>
    </row>
    <row r="7541" spans="4:6" x14ac:dyDescent="0.25">
      <c r="D7541" s="15"/>
      <c r="F7541" s="14"/>
    </row>
    <row r="7542" spans="4:6" x14ac:dyDescent="0.25">
      <c r="D7542" s="15"/>
      <c r="F7542" s="14"/>
    </row>
    <row r="7543" spans="4:6" x14ac:dyDescent="0.25">
      <c r="D7543" s="15"/>
      <c r="F7543" s="14"/>
    </row>
    <row r="7544" spans="4:6" x14ac:dyDescent="0.25">
      <c r="D7544" s="15"/>
      <c r="F7544" s="14"/>
    </row>
    <row r="7545" spans="4:6" x14ac:dyDescent="0.25">
      <c r="D7545" s="15"/>
      <c r="F7545" s="14"/>
    </row>
    <row r="7546" spans="4:6" x14ac:dyDescent="0.25">
      <c r="D7546" s="15"/>
      <c r="F7546" s="14"/>
    </row>
    <row r="7547" spans="4:6" x14ac:dyDescent="0.25">
      <c r="D7547" s="15"/>
      <c r="F7547" s="14"/>
    </row>
    <row r="7548" spans="4:6" x14ac:dyDescent="0.25">
      <c r="D7548" s="15"/>
      <c r="F7548" s="14"/>
    </row>
    <row r="7549" spans="4:6" x14ac:dyDescent="0.25">
      <c r="D7549" s="15"/>
      <c r="F7549" s="14"/>
    </row>
    <row r="7550" spans="4:6" x14ac:dyDescent="0.25">
      <c r="D7550" s="15"/>
      <c r="F7550" s="14"/>
    </row>
    <row r="7551" spans="4:6" x14ac:dyDescent="0.25">
      <c r="D7551" s="15"/>
      <c r="F7551" s="14"/>
    </row>
    <row r="7552" spans="4:6" x14ac:dyDescent="0.25">
      <c r="D7552" s="15"/>
      <c r="F7552" s="14"/>
    </row>
    <row r="7553" spans="4:6" x14ac:dyDescent="0.25">
      <c r="D7553" s="15"/>
      <c r="F7553" s="14"/>
    </row>
    <row r="7554" spans="4:6" x14ac:dyDescent="0.25">
      <c r="D7554" s="15"/>
      <c r="F7554" s="14"/>
    </row>
    <row r="7555" spans="4:6" x14ac:dyDescent="0.25">
      <c r="D7555" s="15"/>
      <c r="F7555" s="14"/>
    </row>
    <row r="7556" spans="4:6" x14ac:dyDescent="0.25">
      <c r="D7556" s="15"/>
      <c r="F7556" s="14"/>
    </row>
    <row r="7557" spans="4:6" x14ac:dyDescent="0.25">
      <c r="D7557" s="15"/>
      <c r="F7557" s="14"/>
    </row>
    <row r="7558" spans="4:6" x14ac:dyDescent="0.25">
      <c r="D7558" s="15"/>
      <c r="F7558" s="14"/>
    </row>
    <row r="7559" spans="4:6" x14ac:dyDescent="0.25">
      <c r="D7559" s="15"/>
      <c r="F7559" s="14"/>
    </row>
    <row r="7560" spans="4:6" x14ac:dyDescent="0.25">
      <c r="D7560" s="15"/>
      <c r="F7560" s="14"/>
    </row>
    <row r="7561" spans="4:6" x14ac:dyDescent="0.25">
      <c r="D7561" s="15"/>
      <c r="F7561" s="14"/>
    </row>
    <row r="7562" spans="4:6" x14ac:dyDescent="0.25">
      <c r="D7562" s="15"/>
      <c r="F7562" s="14"/>
    </row>
    <row r="7563" spans="4:6" x14ac:dyDescent="0.25">
      <c r="D7563" s="15"/>
      <c r="F7563" s="14"/>
    </row>
    <row r="7564" spans="4:6" x14ac:dyDescent="0.25">
      <c r="D7564" s="15"/>
      <c r="F7564" s="14"/>
    </row>
    <row r="7565" spans="4:6" x14ac:dyDescent="0.25">
      <c r="D7565" s="15"/>
      <c r="F7565" s="14"/>
    </row>
    <row r="7566" spans="4:6" x14ac:dyDescent="0.25">
      <c r="D7566" s="15"/>
      <c r="F7566" s="14"/>
    </row>
    <row r="7567" spans="4:6" x14ac:dyDescent="0.25">
      <c r="D7567" s="15"/>
      <c r="F7567" s="14"/>
    </row>
    <row r="7568" spans="4:6" x14ac:dyDescent="0.25">
      <c r="D7568" s="15"/>
      <c r="F7568" s="14"/>
    </row>
    <row r="7569" spans="4:6" x14ac:dyDescent="0.25">
      <c r="D7569" s="15"/>
      <c r="F7569" s="14"/>
    </row>
    <row r="7570" spans="4:6" x14ac:dyDescent="0.25">
      <c r="D7570" s="15"/>
      <c r="F7570" s="14"/>
    </row>
    <row r="7571" spans="4:6" x14ac:dyDescent="0.25">
      <c r="D7571" s="15"/>
      <c r="F7571" s="14"/>
    </row>
    <row r="7572" spans="4:6" x14ac:dyDescent="0.25">
      <c r="D7572" s="15"/>
      <c r="F7572" s="14"/>
    </row>
    <row r="7573" spans="4:6" x14ac:dyDescent="0.25">
      <c r="D7573" s="15"/>
      <c r="F7573" s="14"/>
    </row>
    <row r="7574" spans="4:6" x14ac:dyDescent="0.25">
      <c r="D7574" s="15"/>
      <c r="F7574" s="14"/>
    </row>
    <row r="7575" spans="4:6" x14ac:dyDescent="0.25">
      <c r="D7575" s="15"/>
      <c r="F7575" s="14"/>
    </row>
    <row r="7576" spans="4:6" x14ac:dyDescent="0.25">
      <c r="D7576" s="15"/>
      <c r="F7576" s="14"/>
    </row>
    <row r="7577" spans="4:6" x14ac:dyDescent="0.25">
      <c r="D7577" s="15"/>
      <c r="F7577" s="14"/>
    </row>
    <row r="7578" spans="4:6" x14ac:dyDescent="0.25">
      <c r="D7578" s="15"/>
      <c r="F7578" s="14"/>
    </row>
    <row r="7579" spans="4:6" x14ac:dyDescent="0.25">
      <c r="D7579" s="15"/>
      <c r="F7579" s="14"/>
    </row>
    <row r="7580" spans="4:6" x14ac:dyDescent="0.25">
      <c r="D7580" s="15"/>
      <c r="F7580" s="14"/>
    </row>
    <row r="7581" spans="4:6" x14ac:dyDescent="0.25">
      <c r="D7581" s="15"/>
      <c r="F7581" s="14"/>
    </row>
    <row r="7582" spans="4:6" x14ac:dyDescent="0.25">
      <c r="D7582" s="15"/>
      <c r="F7582" s="14"/>
    </row>
    <row r="7583" spans="4:6" x14ac:dyDescent="0.25">
      <c r="D7583" s="15"/>
      <c r="F7583" s="14"/>
    </row>
    <row r="7584" spans="4:6" x14ac:dyDescent="0.25">
      <c r="D7584" s="15"/>
      <c r="F7584" s="14"/>
    </row>
    <row r="7585" spans="4:6" x14ac:dyDescent="0.25">
      <c r="D7585" s="15"/>
      <c r="F7585" s="14"/>
    </row>
    <row r="7586" spans="4:6" x14ac:dyDescent="0.25">
      <c r="D7586" s="15"/>
      <c r="F7586" s="14"/>
    </row>
    <row r="7587" spans="4:6" x14ac:dyDescent="0.25">
      <c r="D7587" s="15"/>
      <c r="F7587" s="14"/>
    </row>
    <row r="7588" spans="4:6" x14ac:dyDescent="0.25">
      <c r="D7588" s="15"/>
      <c r="F7588" s="14"/>
    </row>
    <row r="7589" spans="4:6" x14ac:dyDescent="0.25">
      <c r="D7589" s="15"/>
      <c r="F7589" s="14"/>
    </row>
    <row r="7590" spans="4:6" x14ac:dyDescent="0.25">
      <c r="D7590" s="15"/>
      <c r="F7590" s="14"/>
    </row>
    <row r="7591" spans="4:6" x14ac:dyDescent="0.25">
      <c r="D7591" s="15"/>
      <c r="F7591" s="14"/>
    </row>
    <row r="7592" spans="4:6" x14ac:dyDescent="0.25">
      <c r="D7592" s="15"/>
      <c r="F7592" s="14"/>
    </row>
    <row r="7593" spans="4:6" x14ac:dyDescent="0.25">
      <c r="D7593" s="15"/>
      <c r="F7593" s="14"/>
    </row>
    <row r="7594" spans="4:6" x14ac:dyDescent="0.25">
      <c r="D7594" s="15"/>
      <c r="F7594" s="14"/>
    </row>
    <row r="7595" spans="4:6" x14ac:dyDescent="0.25">
      <c r="D7595" s="15"/>
      <c r="F7595" s="14"/>
    </row>
    <row r="7596" spans="4:6" x14ac:dyDescent="0.25">
      <c r="D7596" s="15"/>
      <c r="F7596" s="14"/>
    </row>
    <row r="7597" spans="4:6" x14ac:dyDescent="0.25">
      <c r="D7597" s="15"/>
      <c r="F7597" s="14"/>
    </row>
    <row r="7598" spans="4:6" x14ac:dyDescent="0.25">
      <c r="D7598" s="15"/>
      <c r="F7598" s="14"/>
    </row>
    <row r="7599" spans="4:6" x14ac:dyDescent="0.25">
      <c r="D7599" s="15"/>
      <c r="F7599" s="14"/>
    </row>
    <row r="7600" spans="4:6" x14ac:dyDescent="0.25">
      <c r="D7600" s="15"/>
      <c r="F7600" s="14"/>
    </row>
    <row r="7601" spans="4:6" x14ac:dyDescent="0.25">
      <c r="D7601" s="15"/>
      <c r="F7601" s="14"/>
    </row>
    <row r="7602" spans="4:6" x14ac:dyDescent="0.25">
      <c r="D7602" s="15"/>
      <c r="F7602" s="14"/>
    </row>
    <row r="7603" spans="4:6" x14ac:dyDescent="0.25">
      <c r="D7603" s="15"/>
      <c r="F7603" s="14"/>
    </row>
    <row r="7604" spans="4:6" x14ac:dyDescent="0.25">
      <c r="D7604" s="15"/>
      <c r="F7604" s="14"/>
    </row>
    <row r="7605" spans="4:6" x14ac:dyDescent="0.25">
      <c r="D7605" s="15"/>
      <c r="F7605" s="14"/>
    </row>
    <row r="7606" spans="4:6" x14ac:dyDescent="0.25">
      <c r="D7606" s="15"/>
      <c r="F7606" s="14"/>
    </row>
    <row r="7607" spans="4:6" x14ac:dyDescent="0.25">
      <c r="D7607" s="15"/>
      <c r="F7607" s="14"/>
    </row>
    <row r="7608" spans="4:6" x14ac:dyDescent="0.25">
      <c r="D7608" s="15"/>
      <c r="F7608" s="14"/>
    </row>
    <row r="7609" spans="4:6" x14ac:dyDescent="0.25">
      <c r="D7609" s="15"/>
      <c r="F7609" s="14"/>
    </row>
    <row r="7610" spans="4:6" x14ac:dyDescent="0.25">
      <c r="D7610" s="15"/>
      <c r="F7610" s="14"/>
    </row>
    <row r="7611" spans="4:6" x14ac:dyDescent="0.25">
      <c r="D7611" s="15"/>
      <c r="F7611" s="14"/>
    </row>
    <row r="7612" spans="4:6" x14ac:dyDescent="0.25">
      <c r="D7612" s="15"/>
      <c r="F7612" s="14"/>
    </row>
    <row r="7613" spans="4:6" x14ac:dyDescent="0.25">
      <c r="D7613" s="15"/>
      <c r="F7613" s="14"/>
    </row>
    <row r="7614" spans="4:6" x14ac:dyDescent="0.25">
      <c r="D7614" s="15"/>
      <c r="F7614" s="14"/>
    </row>
    <row r="7615" spans="4:6" x14ac:dyDescent="0.25">
      <c r="D7615" s="15"/>
      <c r="F7615" s="14"/>
    </row>
    <row r="7616" spans="4:6" x14ac:dyDescent="0.25">
      <c r="D7616" s="15"/>
      <c r="F7616" s="14"/>
    </row>
    <row r="7617" spans="4:6" x14ac:dyDescent="0.25">
      <c r="D7617" s="15"/>
      <c r="F7617" s="14"/>
    </row>
    <row r="7618" spans="4:6" x14ac:dyDescent="0.25">
      <c r="D7618" s="15"/>
      <c r="F7618" s="14"/>
    </row>
    <row r="7619" spans="4:6" x14ac:dyDescent="0.25">
      <c r="D7619" s="15"/>
      <c r="F7619" s="14"/>
    </row>
    <row r="7620" spans="4:6" x14ac:dyDescent="0.25">
      <c r="D7620" s="15"/>
      <c r="F7620" s="14"/>
    </row>
    <row r="7621" spans="4:6" x14ac:dyDescent="0.25">
      <c r="D7621" s="15"/>
      <c r="F7621" s="14"/>
    </row>
    <row r="7622" spans="4:6" x14ac:dyDescent="0.25">
      <c r="D7622" s="15"/>
      <c r="F7622" s="14"/>
    </row>
    <row r="7623" spans="4:6" x14ac:dyDescent="0.25">
      <c r="D7623" s="15"/>
      <c r="F7623" s="14"/>
    </row>
    <row r="7624" spans="4:6" x14ac:dyDescent="0.25">
      <c r="D7624" s="15"/>
      <c r="F7624" s="14"/>
    </row>
    <row r="7625" spans="4:6" x14ac:dyDescent="0.25">
      <c r="D7625" s="15"/>
      <c r="F7625" s="14"/>
    </row>
    <row r="7626" spans="4:6" x14ac:dyDescent="0.25">
      <c r="D7626" s="15"/>
      <c r="F7626" s="14"/>
    </row>
    <row r="7627" spans="4:6" x14ac:dyDescent="0.25">
      <c r="D7627" s="15"/>
      <c r="F7627" s="14"/>
    </row>
    <row r="7628" spans="4:6" x14ac:dyDescent="0.25">
      <c r="D7628" s="15"/>
      <c r="F7628" s="14"/>
    </row>
    <row r="7629" spans="4:6" x14ac:dyDescent="0.25">
      <c r="D7629" s="15"/>
      <c r="F7629" s="14"/>
    </row>
    <row r="7630" spans="4:6" x14ac:dyDescent="0.25">
      <c r="D7630" s="15"/>
      <c r="F7630" s="14"/>
    </row>
    <row r="7631" spans="4:6" x14ac:dyDescent="0.25">
      <c r="D7631" s="15"/>
      <c r="F7631" s="14"/>
    </row>
    <row r="7632" spans="4:6" x14ac:dyDescent="0.25">
      <c r="D7632" s="15"/>
      <c r="F7632" s="14"/>
    </row>
    <row r="7633" spans="4:6" x14ac:dyDescent="0.25">
      <c r="D7633" s="15"/>
      <c r="F7633" s="14"/>
    </row>
    <row r="7634" spans="4:6" x14ac:dyDescent="0.25">
      <c r="D7634" s="15"/>
      <c r="F7634" s="14"/>
    </row>
    <row r="7635" spans="4:6" x14ac:dyDescent="0.25">
      <c r="D7635" s="15"/>
      <c r="F7635" s="14"/>
    </row>
    <row r="7636" spans="4:6" x14ac:dyDescent="0.25">
      <c r="D7636" s="15"/>
      <c r="F7636" s="14"/>
    </row>
    <row r="7637" spans="4:6" x14ac:dyDescent="0.25">
      <c r="D7637" s="15"/>
      <c r="F7637" s="14"/>
    </row>
    <row r="7638" spans="4:6" x14ac:dyDescent="0.25">
      <c r="D7638" s="15"/>
      <c r="F7638" s="14"/>
    </row>
    <row r="7639" spans="4:6" x14ac:dyDescent="0.25">
      <c r="D7639" s="15"/>
      <c r="F7639" s="14"/>
    </row>
    <row r="7640" spans="4:6" x14ac:dyDescent="0.25">
      <c r="D7640" s="15"/>
      <c r="F7640" s="14"/>
    </row>
    <row r="7641" spans="4:6" x14ac:dyDescent="0.25">
      <c r="D7641" s="15"/>
      <c r="F7641" s="14"/>
    </row>
    <row r="7642" spans="4:6" x14ac:dyDescent="0.25">
      <c r="D7642" s="15"/>
      <c r="F7642" s="14"/>
    </row>
    <row r="7643" spans="4:6" x14ac:dyDescent="0.25">
      <c r="D7643" s="15"/>
      <c r="F7643" s="14"/>
    </row>
    <row r="7644" spans="4:6" x14ac:dyDescent="0.25">
      <c r="D7644" s="15"/>
      <c r="F7644" s="14"/>
    </row>
    <row r="7645" spans="4:6" x14ac:dyDescent="0.25">
      <c r="D7645" s="15"/>
      <c r="F7645" s="14"/>
    </row>
    <row r="7646" spans="4:6" x14ac:dyDescent="0.25">
      <c r="D7646" s="15"/>
      <c r="F7646" s="14"/>
    </row>
    <row r="7647" spans="4:6" x14ac:dyDescent="0.25">
      <c r="D7647" s="15"/>
      <c r="F7647" s="14"/>
    </row>
    <row r="7648" spans="4:6" x14ac:dyDescent="0.25">
      <c r="D7648" s="15"/>
      <c r="F7648" s="14"/>
    </row>
    <row r="7649" spans="4:6" x14ac:dyDescent="0.25">
      <c r="D7649" s="15"/>
      <c r="F7649" s="14"/>
    </row>
    <row r="7650" spans="4:6" x14ac:dyDescent="0.25">
      <c r="D7650" s="15"/>
      <c r="F7650" s="14"/>
    </row>
    <row r="7651" spans="4:6" x14ac:dyDescent="0.25">
      <c r="D7651" s="15"/>
      <c r="F7651" s="14"/>
    </row>
    <row r="7652" spans="4:6" x14ac:dyDescent="0.25">
      <c r="D7652" s="15"/>
      <c r="F7652" s="14"/>
    </row>
    <row r="7653" spans="4:6" x14ac:dyDescent="0.25">
      <c r="D7653" s="15"/>
      <c r="F7653" s="14"/>
    </row>
    <row r="7654" spans="4:6" x14ac:dyDescent="0.25">
      <c r="D7654" s="15"/>
      <c r="F7654" s="14"/>
    </row>
    <row r="7655" spans="4:6" x14ac:dyDescent="0.25">
      <c r="D7655" s="15"/>
      <c r="F7655" s="14"/>
    </row>
    <row r="7656" spans="4:6" x14ac:dyDescent="0.25">
      <c r="D7656" s="15"/>
      <c r="F7656" s="14"/>
    </row>
    <row r="7657" spans="4:6" x14ac:dyDescent="0.25">
      <c r="D7657" s="15"/>
      <c r="F7657" s="14"/>
    </row>
    <row r="7658" spans="4:6" x14ac:dyDescent="0.25">
      <c r="D7658" s="15"/>
      <c r="F7658" s="14"/>
    </row>
    <row r="7659" spans="4:6" x14ac:dyDescent="0.25">
      <c r="D7659" s="15"/>
      <c r="F7659" s="14"/>
    </row>
    <row r="7660" spans="4:6" x14ac:dyDescent="0.25">
      <c r="D7660" s="15"/>
      <c r="F7660" s="14"/>
    </row>
    <row r="7661" spans="4:6" x14ac:dyDescent="0.25">
      <c r="D7661" s="15"/>
      <c r="F7661" s="14"/>
    </row>
    <row r="7662" spans="4:6" x14ac:dyDescent="0.25">
      <c r="D7662" s="15"/>
      <c r="F7662" s="14"/>
    </row>
    <row r="7663" spans="4:6" x14ac:dyDescent="0.25">
      <c r="D7663" s="15"/>
      <c r="F7663" s="14"/>
    </row>
    <row r="7664" spans="4:6" x14ac:dyDescent="0.25">
      <c r="D7664" s="15"/>
      <c r="F7664" s="14"/>
    </row>
    <row r="7665" spans="4:6" x14ac:dyDescent="0.25">
      <c r="D7665" s="15"/>
      <c r="F7665" s="14"/>
    </row>
    <row r="7666" spans="4:6" x14ac:dyDescent="0.25">
      <c r="D7666" s="15"/>
      <c r="F7666" s="14"/>
    </row>
    <row r="7667" spans="4:6" x14ac:dyDescent="0.25">
      <c r="D7667" s="15"/>
      <c r="F7667" s="14"/>
    </row>
    <row r="7668" spans="4:6" x14ac:dyDescent="0.25">
      <c r="D7668" s="15"/>
      <c r="F7668" s="14"/>
    </row>
    <row r="7669" spans="4:6" x14ac:dyDescent="0.25">
      <c r="D7669" s="15"/>
      <c r="F7669" s="14"/>
    </row>
    <row r="7670" spans="4:6" x14ac:dyDescent="0.25">
      <c r="D7670" s="15"/>
      <c r="F7670" s="14"/>
    </row>
    <row r="7671" spans="4:6" x14ac:dyDescent="0.25">
      <c r="D7671" s="15"/>
      <c r="F7671" s="14"/>
    </row>
    <row r="7672" spans="4:6" x14ac:dyDescent="0.25">
      <c r="D7672" s="15"/>
      <c r="F7672" s="14"/>
    </row>
    <row r="7673" spans="4:6" x14ac:dyDescent="0.25">
      <c r="D7673" s="15"/>
      <c r="F7673" s="14"/>
    </row>
    <row r="7674" spans="4:6" x14ac:dyDescent="0.25">
      <c r="D7674" s="15"/>
      <c r="F7674" s="14"/>
    </row>
    <row r="7675" spans="4:6" x14ac:dyDescent="0.25">
      <c r="D7675" s="15"/>
      <c r="F7675" s="14"/>
    </row>
    <row r="7676" spans="4:6" x14ac:dyDescent="0.25">
      <c r="D7676" s="15"/>
      <c r="F7676" s="14"/>
    </row>
    <row r="7677" spans="4:6" x14ac:dyDescent="0.25">
      <c r="D7677" s="15"/>
      <c r="F7677" s="14"/>
    </row>
    <row r="7678" spans="4:6" x14ac:dyDescent="0.25">
      <c r="D7678" s="15"/>
      <c r="F7678" s="14"/>
    </row>
    <row r="7679" spans="4:6" x14ac:dyDescent="0.25">
      <c r="D7679" s="15"/>
      <c r="F7679" s="14"/>
    </row>
    <row r="7680" spans="4:6" x14ac:dyDescent="0.25">
      <c r="D7680" s="15"/>
      <c r="F7680" s="14"/>
    </row>
    <row r="7681" spans="4:6" x14ac:dyDescent="0.25">
      <c r="D7681" s="15"/>
      <c r="F7681" s="14"/>
    </row>
    <row r="7682" spans="4:6" x14ac:dyDescent="0.25">
      <c r="D7682" s="15"/>
      <c r="F7682" s="14"/>
    </row>
    <row r="7683" spans="4:6" x14ac:dyDescent="0.25">
      <c r="D7683" s="15"/>
      <c r="F7683" s="14"/>
    </row>
    <row r="7684" spans="4:6" x14ac:dyDescent="0.25">
      <c r="D7684" s="15"/>
      <c r="F7684" s="14"/>
    </row>
    <row r="7685" spans="4:6" x14ac:dyDescent="0.25">
      <c r="D7685" s="15"/>
      <c r="F7685" s="14"/>
    </row>
    <row r="7686" spans="4:6" x14ac:dyDescent="0.25">
      <c r="D7686" s="15"/>
      <c r="F7686" s="14"/>
    </row>
    <row r="7687" spans="4:6" x14ac:dyDescent="0.25">
      <c r="D7687" s="15"/>
      <c r="F7687" s="14"/>
    </row>
    <row r="7688" spans="4:6" x14ac:dyDescent="0.25">
      <c r="D7688" s="15"/>
      <c r="F7688" s="14"/>
    </row>
    <row r="7689" spans="4:6" x14ac:dyDescent="0.25">
      <c r="D7689" s="15"/>
      <c r="F7689" s="14"/>
    </row>
    <row r="7690" spans="4:6" x14ac:dyDescent="0.25">
      <c r="D7690" s="15"/>
      <c r="F7690" s="14"/>
    </row>
    <row r="7691" spans="4:6" x14ac:dyDescent="0.25">
      <c r="D7691" s="15"/>
      <c r="F7691" s="14"/>
    </row>
    <row r="7692" spans="4:6" x14ac:dyDescent="0.25">
      <c r="D7692" s="15"/>
      <c r="F7692" s="14"/>
    </row>
    <row r="7693" spans="4:6" x14ac:dyDescent="0.25">
      <c r="D7693" s="15"/>
      <c r="F7693" s="14"/>
    </row>
    <row r="7694" spans="4:6" x14ac:dyDescent="0.25">
      <c r="D7694" s="15"/>
      <c r="F7694" s="14"/>
    </row>
    <row r="7695" spans="4:6" x14ac:dyDescent="0.25">
      <c r="D7695" s="15"/>
      <c r="F7695" s="14"/>
    </row>
    <row r="7696" spans="4:6" x14ac:dyDescent="0.25">
      <c r="D7696" s="15"/>
      <c r="F7696" s="14"/>
    </row>
    <row r="7697" spans="4:6" x14ac:dyDescent="0.25">
      <c r="D7697" s="15"/>
      <c r="F7697" s="14"/>
    </row>
    <row r="7698" spans="4:6" x14ac:dyDescent="0.25">
      <c r="D7698" s="15"/>
      <c r="F7698" s="14"/>
    </row>
    <row r="7699" spans="4:6" x14ac:dyDescent="0.25">
      <c r="D7699" s="15"/>
      <c r="F7699" s="14"/>
    </row>
    <row r="7700" spans="4:6" x14ac:dyDescent="0.25">
      <c r="D7700" s="15"/>
      <c r="F7700" s="14"/>
    </row>
    <row r="7701" spans="4:6" x14ac:dyDescent="0.25">
      <c r="D7701" s="15"/>
      <c r="F7701" s="14"/>
    </row>
    <row r="7702" spans="4:6" x14ac:dyDescent="0.25">
      <c r="D7702" s="15"/>
      <c r="F7702" s="14"/>
    </row>
    <row r="7703" spans="4:6" x14ac:dyDescent="0.25">
      <c r="D7703" s="15"/>
      <c r="F7703" s="14"/>
    </row>
    <row r="7704" spans="4:6" x14ac:dyDescent="0.25">
      <c r="D7704" s="15"/>
      <c r="F7704" s="14"/>
    </row>
    <row r="7705" spans="4:6" x14ac:dyDescent="0.25">
      <c r="D7705" s="15"/>
      <c r="F7705" s="14"/>
    </row>
    <row r="7706" spans="4:6" x14ac:dyDescent="0.25">
      <c r="D7706" s="15"/>
      <c r="F7706" s="14"/>
    </row>
    <row r="7707" spans="4:6" x14ac:dyDescent="0.25">
      <c r="D7707" s="15"/>
      <c r="F7707" s="14"/>
    </row>
    <row r="7708" spans="4:6" x14ac:dyDescent="0.25">
      <c r="D7708" s="15"/>
      <c r="F7708" s="14"/>
    </row>
    <row r="7709" spans="4:6" x14ac:dyDescent="0.25">
      <c r="D7709" s="15"/>
      <c r="F7709" s="14"/>
    </row>
    <row r="7710" spans="4:6" x14ac:dyDescent="0.25">
      <c r="D7710" s="15"/>
      <c r="F7710" s="14"/>
    </row>
    <row r="7711" spans="4:6" x14ac:dyDescent="0.25">
      <c r="D7711" s="15"/>
      <c r="F7711" s="14"/>
    </row>
    <row r="7712" spans="4:6" x14ac:dyDescent="0.25">
      <c r="D7712" s="15"/>
      <c r="F7712" s="14"/>
    </row>
    <row r="7713" spans="4:6" x14ac:dyDescent="0.25">
      <c r="D7713" s="15"/>
      <c r="F7713" s="14"/>
    </row>
    <row r="7714" spans="4:6" x14ac:dyDescent="0.25">
      <c r="D7714" s="15"/>
      <c r="F7714" s="14"/>
    </row>
    <row r="7715" spans="4:6" x14ac:dyDescent="0.25">
      <c r="D7715" s="15"/>
      <c r="F7715" s="14"/>
    </row>
    <row r="7716" spans="4:6" x14ac:dyDescent="0.25">
      <c r="D7716" s="15"/>
      <c r="F7716" s="14"/>
    </row>
    <row r="7717" spans="4:6" x14ac:dyDescent="0.25">
      <c r="D7717" s="15"/>
      <c r="F7717" s="14"/>
    </row>
    <row r="7718" spans="4:6" x14ac:dyDescent="0.25">
      <c r="D7718" s="15"/>
      <c r="F7718" s="14"/>
    </row>
    <row r="7719" spans="4:6" x14ac:dyDescent="0.25">
      <c r="D7719" s="15"/>
      <c r="F7719" s="14"/>
    </row>
    <row r="7720" spans="4:6" x14ac:dyDescent="0.25">
      <c r="D7720" s="15"/>
      <c r="F7720" s="14"/>
    </row>
    <row r="7721" spans="4:6" x14ac:dyDescent="0.25">
      <c r="D7721" s="15"/>
      <c r="F7721" s="14"/>
    </row>
    <row r="7722" spans="4:6" x14ac:dyDescent="0.25">
      <c r="D7722" s="15"/>
      <c r="F7722" s="14"/>
    </row>
    <row r="7723" spans="4:6" x14ac:dyDescent="0.25">
      <c r="D7723" s="15"/>
      <c r="F7723" s="14"/>
    </row>
    <row r="7724" spans="4:6" x14ac:dyDescent="0.25">
      <c r="D7724" s="15"/>
      <c r="F7724" s="14"/>
    </row>
    <row r="7725" spans="4:6" x14ac:dyDescent="0.25">
      <c r="D7725" s="15"/>
      <c r="F7725" s="14"/>
    </row>
    <row r="7726" spans="4:6" x14ac:dyDescent="0.25">
      <c r="D7726" s="15"/>
      <c r="F7726" s="14"/>
    </row>
    <row r="7727" spans="4:6" x14ac:dyDescent="0.25">
      <c r="D7727" s="15"/>
      <c r="F7727" s="14"/>
    </row>
    <row r="7728" spans="4:6" x14ac:dyDescent="0.25">
      <c r="D7728" s="15"/>
      <c r="F7728" s="14"/>
    </row>
    <row r="7729" spans="4:6" x14ac:dyDescent="0.25">
      <c r="D7729" s="15"/>
      <c r="F7729" s="14"/>
    </row>
    <row r="7730" spans="4:6" x14ac:dyDescent="0.25">
      <c r="D7730" s="15"/>
      <c r="F7730" s="14"/>
    </row>
    <row r="7731" spans="4:6" x14ac:dyDescent="0.25">
      <c r="D7731" s="15"/>
      <c r="F7731" s="14"/>
    </row>
    <row r="7732" spans="4:6" x14ac:dyDescent="0.25">
      <c r="D7732" s="15"/>
      <c r="F7732" s="14"/>
    </row>
    <row r="7733" spans="4:6" x14ac:dyDescent="0.25">
      <c r="D7733" s="15"/>
      <c r="F7733" s="14"/>
    </row>
    <row r="7734" spans="4:6" x14ac:dyDescent="0.25">
      <c r="D7734" s="15"/>
      <c r="F7734" s="14"/>
    </row>
    <row r="7735" spans="4:6" x14ac:dyDescent="0.25">
      <c r="D7735" s="15"/>
      <c r="F7735" s="14"/>
    </row>
    <row r="7736" spans="4:6" x14ac:dyDescent="0.25">
      <c r="D7736" s="15"/>
      <c r="F7736" s="14"/>
    </row>
    <row r="7737" spans="4:6" x14ac:dyDescent="0.25">
      <c r="D7737" s="15"/>
      <c r="F7737" s="14"/>
    </row>
    <row r="7738" spans="4:6" x14ac:dyDescent="0.25">
      <c r="D7738" s="15"/>
      <c r="F7738" s="14"/>
    </row>
    <row r="7739" spans="4:6" x14ac:dyDescent="0.25">
      <c r="D7739" s="15"/>
      <c r="F7739" s="14"/>
    </row>
    <row r="7740" spans="4:6" x14ac:dyDescent="0.25">
      <c r="D7740" s="15"/>
      <c r="F7740" s="14"/>
    </row>
    <row r="7741" spans="4:6" x14ac:dyDescent="0.25">
      <c r="D7741" s="15"/>
      <c r="F7741" s="14"/>
    </row>
    <row r="7742" spans="4:6" x14ac:dyDescent="0.25">
      <c r="D7742" s="15"/>
      <c r="F7742" s="14"/>
    </row>
    <row r="7743" spans="4:6" x14ac:dyDescent="0.25">
      <c r="D7743" s="15"/>
      <c r="F7743" s="14"/>
    </row>
    <row r="7744" spans="4:6" x14ac:dyDescent="0.25">
      <c r="D7744" s="15"/>
      <c r="F7744" s="14"/>
    </row>
    <row r="7745" spans="4:6" x14ac:dyDescent="0.25">
      <c r="D7745" s="15"/>
      <c r="F7745" s="14"/>
    </row>
    <row r="7746" spans="4:6" x14ac:dyDescent="0.25">
      <c r="D7746" s="15"/>
      <c r="F7746" s="14"/>
    </row>
    <row r="7747" spans="4:6" x14ac:dyDescent="0.25">
      <c r="D7747" s="15"/>
      <c r="F7747" s="14"/>
    </row>
    <row r="7748" spans="4:6" x14ac:dyDescent="0.25">
      <c r="D7748" s="15"/>
      <c r="F7748" s="14"/>
    </row>
    <row r="7749" spans="4:6" x14ac:dyDescent="0.25">
      <c r="D7749" s="15"/>
      <c r="F7749" s="14"/>
    </row>
    <row r="7750" spans="4:6" x14ac:dyDescent="0.25">
      <c r="D7750" s="15"/>
      <c r="F7750" s="14"/>
    </row>
    <row r="7751" spans="4:6" x14ac:dyDescent="0.25">
      <c r="D7751" s="15"/>
      <c r="F7751" s="14"/>
    </row>
    <row r="7752" spans="4:6" x14ac:dyDescent="0.25">
      <c r="D7752" s="15"/>
      <c r="F7752" s="14"/>
    </row>
    <row r="7753" spans="4:6" x14ac:dyDescent="0.25">
      <c r="D7753" s="15"/>
      <c r="F7753" s="14"/>
    </row>
    <row r="7754" spans="4:6" x14ac:dyDescent="0.25">
      <c r="D7754" s="15"/>
      <c r="F7754" s="14"/>
    </row>
    <row r="7755" spans="4:6" x14ac:dyDescent="0.25">
      <c r="D7755" s="15"/>
      <c r="F7755" s="14"/>
    </row>
    <row r="7756" spans="4:6" x14ac:dyDescent="0.25">
      <c r="D7756" s="15"/>
      <c r="F7756" s="14"/>
    </row>
    <row r="7757" spans="4:6" x14ac:dyDescent="0.25">
      <c r="D7757" s="15"/>
      <c r="F7757" s="14"/>
    </row>
    <row r="7758" spans="4:6" x14ac:dyDescent="0.25">
      <c r="D7758" s="15"/>
      <c r="F7758" s="14"/>
    </row>
    <row r="7759" spans="4:6" x14ac:dyDescent="0.25">
      <c r="D7759" s="15"/>
      <c r="F7759" s="14"/>
    </row>
    <row r="7760" spans="4:6" x14ac:dyDescent="0.25">
      <c r="D7760" s="15"/>
      <c r="F7760" s="14"/>
    </row>
    <row r="7761" spans="4:6" x14ac:dyDescent="0.25">
      <c r="D7761" s="15"/>
      <c r="F7761" s="14"/>
    </row>
    <row r="7762" spans="4:6" x14ac:dyDescent="0.25">
      <c r="D7762" s="15"/>
      <c r="F7762" s="14"/>
    </row>
    <row r="7763" spans="4:6" x14ac:dyDescent="0.25">
      <c r="D7763" s="15"/>
      <c r="F7763" s="14"/>
    </row>
    <row r="7764" spans="4:6" x14ac:dyDescent="0.25">
      <c r="D7764" s="15"/>
      <c r="F7764" s="14"/>
    </row>
    <row r="7765" spans="4:6" x14ac:dyDescent="0.25">
      <c r="D7765" s="15"/>
      <c r="F7765" s="14"/>
    </row>
    <row r="7766" spans="4:6" x14ac:dyDescent="0.25">
      <c r="D7766" s="15"/>
      <c r="F7766" s="14"/>
    </row>
    <row r="7767" spans="4:6" x14ac:dyDescent="0.25">
      <c r="D7767" s="15"/>
      <c r="F7767" s="14"/>
    </row>
    <row r="7768" spans="4:6" x14ac:dyDescent="0.25">
      <c r="D7768" s="15"/>
      <c r="F7768" s="14"/>
    </row>
    <row r="7769" spans="4:6" x14ac:dyDescent="0.25">
      <c r="D7769" s="15"/>
      <c r="F7769" s="14"/>
    </row>
    <row r="7770" spans="4:6" x14ac:dyDescent="0.25">
      <c r="D7770" s="15"/>
      <c r="F7770" s="14"/>
    </row>
    <row r="7771" spans="4:6" x14ac:dyDescent="0.25">
      <c r="D7771" s="15"/>
      <c r="F7771" s="14"/>
    </row>
    <row r="7772" spans="4:6" x14ac:dyDescent="0.25">
      <c r="D7772" s="15"/>
      <c r="F7772" s="14"/>
    </row>
    <row r="7773" spans="4:6" x14ac:dyDescent="0.25">
      <c r="D7773" s="15"/>
      <c r="F7773" s="14"/>
    </row>
    <row r="7774" spans="4:6" x14ac:dyDescent="0.25">
      <c r="D7774" s="15"/>
      <c r="F7774" s="14"/>
    </row>
    <row r="7775" spans="4:6" x14ac:dyDescent="0.25">
      <c r="D7775" s="15"/>
      <c r="F7775" s="14"/>
    </row>
    <row r="7776" spans="4:6" x14ac:dyDescent="0.25">
      <c r="D7776" s="15"/>
      <c r="F7776" s="14"/>
    </row>
    <row r="7777" spans="4:6" x14ac:dyDescent="0.25">
      <c r="D7777" s="15"/>
      <c r="F7777" s="14"/>
    </row>
    <row r="7778" spans="4:6" x14ac:dyDescent="0.25">
      <c r="D7778" s="15"/>
      <c r="F7778" s="14"/>
    </row>
    <row r="7779" spans="4:6" x14ac:dyDescent="0.25">
      <c r="D7779" s="15"/>
      <c r="F7779" s="14"/>
    </row>
    <row r="7780" spans="4:6" x14ac:dyDescent="0.25">
      <c r="D7780" s="15"/>
      <c r="F7780" s="14"/>
    </row>
    <row r="7781" spans="4:6" x14ac:dyDescent="0.25">
      <c r="D7781" s="15"/>
      <c r="F7781" s="14"/>
    </row>
    <row r="7782" spans="4:6" x14ac:dyDescent="0.25">
      <c r="D7782" s="15"/>
      <c r="F7782" s="14"/>
    </row>
    <row r="7783" spans="4:6" x14ac:dyDescent="0.25">
      <c r="D7783" s="15"/>
      <c r="F7783" s="14"/>
    </row>
    <row r="7784" spans="4:6" x14ac:dyDescent="0.25">
      <c r="D7784" s="15"/>
      <c r="F7784" s="14"/>
    </row>
    <row r="7785" spans="4:6" x14ac:dyDescent="0.25">
      <c r="D7785" s="15"/>
      <c r="F7785" s="14"/>
    </row>
    <row r="7786" spans="4:6" x14ac:dyDescent="0.25">
      <c r="D7786" s="15"/>
      <c r="F7786" s="14"/>
    </row>
    <row r="7787" spans="4:6" x14ac:dyDescent="0.25">
      <c r="D7787" s="15"/>
      <c r="F7787" s="14"/>
    </row>
    <row r="7788" spans="4:6" x14ac:dyDescent="0.25">
      <c r="D7788" s="15"/>
      <c r="F7788" s="14"/>
    </row>
    <row r="7789" spans="4:6" x14ac:dyDescent="0.25">
      <c r="D7789" s="15"/>
      <c r="F7789" s="14"/>
    </row>
    <row r="7790" spans="4:6" x14ac:dyDescent="0.25">
      <c r="D7790" s="15"/>
      <c r="F7790" s="14"/>
    </row>
    <row r="7791" spans="4:6" x14ac:dyDescent="0.25">
      <c r="D7791" s="15"/>
      <c r="F7791" s="14"/>
    </row>
    <row r="7792" spans="4:6" x14ac:dyDescent="0.25">
      <c r="D7792" s="15"/>
      <c r="F7792" s="14"/>
    </row>
    <row r="7793" spans="4:6" x14ac:dyDescent="0.25">
      <c r="D7793" s="15"/>
      <c r="F7793" s="14"/>
    </row>
    <row r="7794" spans="4:6" x14ac:dyDescent="0.25">
      <c r="D7794" s="15"/>
      <c r="F7794" s="14"/>
    </row>
    <row r="7795" spans="4:6" x14ac:dyDescent="0.25">
      <c r="D7795" s="15"/>
      <c r="F7795" s="14"/>
    </row>
    <row r="7796" spans="4:6" x14ac:dyDescent="0.25">
      <c r="D7796" s="15"/>
      <c r="F7796" s="14"/>
    </row>
    <row r="7797" spans="4:6" x14ac:dyDescent="0.25">
      <c r="D7797" s="15"/>
      <c r="F7797" s="14"/>
    </row>
    <row r="7798" spans="4:6" x14ac:dyDescent="0.25">
      <c r="D7798" s="15"/>
      <c r="F7798" s="14"/>
    </row>
    <row r="7799" spans="4:6" x14ac:dyDescent="0.25">
      <c r="D7799" s="15"/>
      <c r="F7799" s="14"/>
    </row>
    <row r="7800" spans="4:6" x14ac:dyDescent="0.25">
      <c r="D7800" s="15"/>
      <c r="F7800" s="14"/>
    </row>
    <row r="7801" spans="4:6" x14ac:dyDescent="0.25">
      <c r="D7801" s="15"/>
      <c r="F7801" s="14"/>
    </row>
    <row r="7802" spans="4:6" x14ac:dyDescent="0.25">
      <c r="D7802" s="15"/>
      <c r="F7802" s="14"/>
    </row>
    <row r="7803" spans="4:6" x14ac:dyDescent="0.25">
      <c r="D7803" s="15"/>
      <c r="F7803" s="14"/>
    </row>
    <row r="7804" spans="4:6" x14ac:dyDescent="0.25">
      <c r="D7804" s="15"/>
      <c r="F7804" s="14"/>
    </row>
    <row r="7805" spans="4:6" x14ac:dyDescent="0.25">
      <c r="D7805" s="15"/>
      <c r="F7805" s="14"/>
    </row>
    <row r="7806" spans="4:6" x14ac:dyDescent="0.25">
      <c r="D7806" s="15"/>
      <c r="F7806" s="14"/>
    </row>
    <row r="7807" spans="4:6" x14ac:dyDescent="0.25">
      <c r="D7807" s="15"/>
      <c r="F7807" s="14"/>
    </row>
    <row r="7808" spans="4:6" x14ac:dyDescent="0.25">
      <c r="D7808" s="15"/>
      <c r="F7808" s="14"/>
    </row>
    <row r="7809" spans="4:6" x14ac:dyDescent="0.25">
      <c r="D7809" s="15"/>
      <c r="F7809" s="14"/>
    </row>
    <row r="7810" spans="4:6" x14ac:dyDescent="0.25">
      <c r="D7810" s="15"/>
      <c r="F7810" s="14"/>
    </row>
    <row r="7811" spans="4:6" x14ac:dyDescent="0.25">
      <c r="D7811" s="15"/>
      <c r="F7811" s="14"/>
    </row>
    <row r="7812" spans="4:6" x14ac:dyDescent="0.25">
      <c r="D7812" s="15"/>
      <c r="F7812" s="14"/>
    </row>
    <row r="7813" spans="4:6" x14ac:dyDescent="0.25">
      <c r="D7813" s="15"/>
      <c r="F7813" s="14"/>
    </row>
    <row r="7814" spans="4:6" x14ac:dyDescent="0.25">
      <c r="D7814" s="15"/>
      <c r="F7814" s="14"/>
    </row>
    <row r="7815" spans="4:6" x14ac:dyDescent="0.25">
      <c r="D7815" s="15"/>
      <c r="F7815" s="14"/>
    </row>
    <row r="7816" spans="4:6" x14ac:dyDescent="0.25">
      <c r="D7816" s="15"/>
      <c r="F7816" s="14"/>
    </row>
    <row r="7817" spans="4:6" x14ac:dyDescent="0.25">
      <c r="D7817" s="15"/>
      <c r="F7817" s="14"/>
    </row>
    <row r="7818" spans="4:6" x14ac:dyDescent="0.25">
      <c r="D7818" s="15"/>
      <c r="F7818" s="14"/>
    </row>
    <row r="7819" spans="4:6" x14ac:dyDescent="0.25">
      <c r="D7819" s="15"/>
      <c r="F7819" s="14"/>
    </row>
    <row r="7820" spans="4:6" x14ac:dyDescent="0.25">
      <c r="D7820" s="15"/>
      <c r="F7820" s="14"/>
    </row>
    <row r="7821" spans="4:6" x14ac:dyDescent="0.25">
      <c r="D7821" s="15"/>
      <c r="F7821" s="14"/>
    </row>
    <row r="7822" spans="4:6" x14ac:dyDescent="0.25">
      <c r="D7822" s="15"/>
      <c r="F7822" s="14"/>
    </row>
    <row r="7823" spans="4:6" x14ac:dyDescent="0.25">
      <c r="D7823" s="15"/>
      <c r="F7823" s="14"/>
    </row>
    <row r="7824" spans="4:6" x14ac:dyDescent="0.25">
      <c r="D7824" s="15"/>
      <c r="F7824" s="14"/>
    </row>
    <row r="7825" spans="4:6" x14ac:dyDescent="0.25">
      <c r="D7825" s="15"/>
      <c r="F7825" s="14"/>
    </row>
    <row r="7826" spans="4:6" x14ac:dyDescent="0.25">
      <c r="D7826" s="15"/>
      <c r="F7826" s="14"/>
    </row>
    <row r="7827" spans="4:6" x14ac:dyDescent="0.25">
      <c r="D7827" s="15"/>
      <c r="F7827" s="14"/>
    </row>
    <row r="7828" spans="4:6" x14ac:dyDescent="0.25">
      <c r="D7828" s="15"/>
      <c r="F7828" s="14"/>
    </row>
    <row r="7829" spans="4:6" x14ac:dyDescent="0.25">
      <c r="D7829" s="15"/>
      <c r="F7829" s="14"/>
    </row>
    <row r="7830" spans="4:6" x14ac:dyDescent="0.25">
      <c r="D7830" s="15"/>
      <c r="F7830" s="14"/>
    </row>
    <row r="7831" spans="4:6" x14ac:dyDescent="0.25">
      <c r="D7831" s="15"/>
      <c r="F7831" s="14"/>
    </row>
    <row r="7832" spans="4:6" x14ac:dyDescent="0.25">
      <c r="D7832" s="15"/>
      <c r="F7832" s="14"/>
    </row>
    <row r="7833" spans="4:6" x14ac:dyDescent="0.25">
      <c r="D7833" s="15"/>
      <c r="F7833" s="14"/>
    </row>
    <row r="7834" spans="4:6" x14ac:dyDescent="0.25">
      <c r="D7834" s="15"/>
      <c r="F7834" s="14"/>
    </row>
    <row r="7835" spans="4:6" x14ac:dyDescent="0.25">
      <c r="D7835" s="15"/>
      <c r="F7835" s="14"/>
    </row>
    <row r="7836" spans="4:6" x14ac:dyDescent="0.25">
      <c r="D7836" s="15"/>
      <c r="F7836" s="14"/>
    </row>
    <row r="7837" spans="4:6" x14ac:dyDescent="0.25">
      <c r="D7837" s="15"/>
      <c r="F7837" s="14"/>
    </row>
    <row r="7838" spans="4:6" x14ac:dyDescent="0.25">
      <c r="D7838" s="15"/>
      <c r="F7838" s="14"/>
    </row>
    <row r="7839" spans="4:6" x14ac:dyDescent="0.25">
      <c r="D7839" s="15"/>
      <c r="F7839" s="14"/>
    </row>
    <row r="7840" spans="4:6" x14ac:dyDescent="0.25">
      <c r="D7840" s="15"/>
      <c r="F7840" s="14"/>
    </row>
    <row r="7841" spans="4:6" x14ac:dyDescent="0.25">
      <c r="D7841" s="15"/>
      <c r="F7841" s="14"/>
    </row>
    <row r="7842" spans="4:6" x14ac:dyDescent="0.25">
      <c r="D7842" s="15"/>
      <c r="F7842" s="14"/>
    </row>
    <row r="7843" spans="4:6" x14ac:dyDescent="0.25">
      <c r="D7843" s="15"/>
      <c r="F7843" s="14"/>
    </row>
    <row r="7844" spans="4:6" x14ac:dyDescent="0.25">
      <c r="D7844" s="15"/>
      <c r="F7844" s="14"/>
    </row>
    <row r="7845" spans="4:6" x14ac:dyDescent="0.25">
      <c r="D7845" s="15"/>
      <c r="F7845" s="14"/>
    </row>
    <row r="7846" spans="4:6" x14ac:dyDescent="0.25">
      <c r="D7846" s="15"/>
      <c r="F7846" s="14"/>
    </row>
    <row r="7847" spans="4:6" x14ac:dyDescent="0.25">
      <c r="D7847" s="15"/>
      <c r="F7847" s="14"/>
    </row>
    <row r="7848" spans="4:6" x14ac:dyDescent="0.25">
      <c r="D7848" s="15"/>
      <c r="F7848" s="14"/>
    </row>
    <row r="7849" spans="4:6" x14ac:dyDescent="0.25">
      <c r="D7849" s="15"/>
      <c r="F7849" s="14"/>
    </row>
    <row r="7850" spans="4:6" x14ac:dyDescent="0.25">
      <c r="D7850" s="15"/>
      <c r="F7850" s="14"/>
    </row>
    <row r="7851" spans="4:6" x14ac:dyDescent="0.25">
      <c r="D7851" s="15"/>
      <c r="F7851" s="14"/>
    </row>
    <row r="7852" spans="4:6" x14ac:dyDescent="0.25">
      <c r="D7852" s="15"/>
      <c r="F7852" s="14"/>
    </row>
    <row r="7853" spans="4:6" x14ac:dyDescent="0.25">
      <c r="D7853" s="15"/>
      <c r="F7853" s="14"/>
    </row>
    <row r="7854" spans="4:6" x14ac:dyDescent="0.25">
      <c r="D7854" s="15"/>
      <c r="F7854" s="14"/>
    </row>
    <row r="7855" spans="4:6" x14ac:dyDescent="0.25">
      <c r="D7855" s="15"/>
      <c r="F7855" s="14"/>
    </row>
    <row r="7856" spans="4:6" x14ac:dyDescent="0.25">
      <c r="D7856" s="15"/>
      <c r="F7856" s="14"/>
    </row>
    <row r="7857" spans="4:6" x14ac:dyDescent="0.25">
      <c r="D7857" s="15"/>
      <c r="F7857" s="14"/>
    </row>
    <row r="7858" spans="4:6" x14ac:dyDescent="0.25">
      <c r="D7858" s="15"/>
      <c r="F7858" s="14"/>
    </row>
    <row r="7859" spans="4:6" x14ac:dyDescent="0.25">
      <c r="D7859" s="15"/>
      <c r="F7859" s="14"/>
    </row>
    <row r="7860" spans="4:6" x14ac:dyDescent="0.25">
      <c r="D7860" s="15"/>
      <c r="F7860" s="14"/>
    </row>
    <row r="7861" spans="4:6" x14ac:dyDescent="0.25">
      <c r="D7861" s="15"/>
      <c r="F7861" s="14"/>
    </row>
    <row r="7862" spans="4:6" x14ac:dyDescent="0.25">
      <c r="D7862" s="15"/>
      <c r="F7862" s="14"/>
    </row>
    <row r="7863" spans="4:6" x14ac:dyDescent="0.25">
      <c r="D7863" s="15"/>
      <c r="F7863" s="14"/>
    </row>
    <row r="7864" spans="4:6" x14ac:dyDescent="0.25">
      <c r="D7864" s="15"/>
      <c r="F7864" s="14"/>
    </row>
    <row r="7865" spans="4:6" x14ac:dyDescent="0.25">
      <c r="D7865" s="15"/>
      <c r="F7865" s="14"/>
    </row>
    <row r="7866" spans="4:6" x14ac:dyDescent="0.25">
      <c r="D7866" s="15"/>
      <c r="F7866" s="14"/>
    </row>
    <row r="7867" spans="4:6" x14ac:dyDescent="0.25">
      <c r="D7867" s="15"/>
      <c r="F7867" s="14"/>
    </row>
    <row r="7868" spans="4:6" x14ac:dyDescent="0.25">
      <c r="D7868" s="15"/>
      <c r="F7868" s="14"/>
    </row>
    <row r="7869" spans="4:6" x14ac:dyDescent="0.25">
      <c r="D7869" s="15"/>
      <c r="F7869" s="14"/>
    </row>
    <row r="7870" spans="4:6" x14ac:dyDescent="0.25">
      <c r="D7870" s="15"/>
      <c r="F7870" s="14"/>
    </row>
    <row r="7871" spans="4:6" x14ac:dyDescent="0.25">
      <c r="D7871" s="15"/>
      <c r="F7871" s="14"/>
    </row>
    <row r="7872" spans="4:6" x14ac:dyDescent="0.25">
      <c r="D7872" s="15"/>
      <c r="F7872" s="14"/>
    </row>
    <row r="7873" spans="4:6" x14ac:dyDescent="0.25">
      <c r="D7873" s="15"/>
      <c r="F7873" s="14"/>
    </row>
    <row r="7874" spans="4:6" x14ac:dyDescent="0.25">
      <c r="D7874" s="15"/>
      <c r="F7874" s="14"/>
    </row>
    <row r="7875" spans="4:6" x14ac:dyDescent="0.25">
      <c r="D7875" s="15"/>
      <c r="F7875" s="14"/>
    </row>
    <row r="7876" spans="4:6" x14ac:dyDescent="0.25">
      <c r="D7876" s="15"/>
      <c r="F7876" s="14"/>
    </row>
    <row r="7877" spans="4:6" x14ac:dyDescent="0.25">
      <c r="D7877" s="15"/>
      <c r="F7877" s="14"/>
    </row>
    <row r="7878" spans="4:6" x14ac:dyDescent="0.25">
      <c r="D7878" s="15"/>
      <c r="F7878" s="14"/>
    </row>
    <row r="7879" spans="4:6" x14ac:dyDescent="0.25">
      <c r="D7879" s="15"/>
      <c r="F7879" s="14"/>
    </row>
    <row r="7880" spans="4:6" x14ac:dyDescent="0.25">
      <c r="D7880" s="15"/>
      <c r="F7880" s="14"/>
    </row>
    <row r="7881" spans="4:6" x14ac:dyDescent="0.25">
      <c r="D7881" s="15"/>
      <c r="F7881" s="14"/>
    </row>
    <row r="7882" spans="4:6" x14ac:dyDescent="0.25">
      <c r="D7882" s="15"/>
      <c r="F7882" s="14"/>
    </row>
    <row r="7883" spans="4:6" x14ac:dyDescent="0.25">
      <c r="D7883" s="15"/>
      <c r="F7883" s="14"/>
    </row>
    <row r="7884" spans="4:6" x14ac:dyDescent="0.25">
      <c r="D7884" s="15"/>
      <c r="F7884" s="14"/>
    </row>
    <row r="7885" spans="4:6" x14ac:dyDescent="0.25">
      <c r="D7885" s="15"/>
      <c r="F7885" s="14"/>
    </row>
    <row r="7886" spans="4:6" x14ac:dyDescent="0.25">
      <c r="D7886" s="15"/>
      <c r="F7886" s="14"/>
    </row>
    <row r="7887" spans="4:6" x14ac:dyDescent="0.25">
      <c r="D7887" s="15"/>
      <c r="F7887" s="14"/>
    </row>
    <row r="7888" spans="4:6" x14ac:dyDescent="0.25">
      <c r="D7888" s="15"/>
      <c r="F7888" s="14"/>
    </row>
    <row r="7889" spans="4:6" x14ac:dyDescent="0.25">
      <c r="D7889" s="15"/>
      <c r="F7889" s="14"/>
    </row>
    <row r="7890" spans="4:6" x14ac:dyDescent="0.25">
      <c r="D7890" s="15"/>
      <c r="F7890" s="14"/>
    </row>
    <row r="7891" spans="4:6" x14ac:dyDescent="0.25">
      <c r="D7891" s="15"/>
      <c r="F7891" s="14"/>
    </row>
    <row r="7892" spans="4:6" x14ac:dyDescent="0.25">
      <c r="D7892" s="15"/>
      <c r="F7892" s="14"/>
    </row>
    <row r="7893" spans="4:6" x14ac:dyDescent="0.25">
      <c r="D7893" s="15"/>
      <c r="F7893" s="14"/>
    </row>
    <row r="7894" spans="4:6" x14ac:dyDescent="0.25">
      <c r="D7894" s="15"/>
      <c r="F7894" s="14"/>
    </row>
    <row r="7895" spans="4:6" x14ac:dyDescent="0.25">
      <c r="D7895" s="15"/>
      <c r="F7895" s="14"/>
    </row>
    <row r="7896" spans="4:6" x14ac:dyDescent="0.25">
      <c r="D7896" s="15"/>
      <c r="F7896" s="14"/>
    </row>
    <row r="7897" spans="4:6" x14ac:dyDescent="0.25">
      <c r="D7897" s="15"/>
      <c r="F7897" s="14"/>
    </row>
    <row r="7898" spans="4:6" x14ac:dyDescent="0.25">
      <c r="D7898" s="15"/>
      <c r="F7898" s="14"/>
    </row>
    <row r="7899" spans="4:6" x14ac:dyDescent="0.25">
      <c r="D7899" s="15"/>
      <c r="F7899" s="14"/>
    </row>
    <row r="7900" spans="4:6" x14ac:dyDescent="0.25">
      <c r="D7900" s="15"/>
      <c r="F7900" s="14"/>
    </row>
    <row r="7901" spans="4:6" x14ac:dyDescent="0.25">
      <c r="D7901" s="15"/>
      <c r="F7901" s="14"/>
    </row>
    <row r="7902" spans="4:6" x14ac:dyDescent="0.25">
      <c r="D7902" s="15"/>
      <c r="F7902" s="14"/>
    </row>
    <row r="7903" spans="4:6" x14ac:dyDescent="0.25">
      <c r="D7903" s="15"/>
      <c r="F7903" s="14"/>
    </row>
    <row r="7904" spans="4:6" x14ac:dyDescent="0.25">
      <c r="D7904" s="15"/>
      <c r="F7904" s="14"/>
    </row>
    <row r="7905" spans="4:6" x14ac:dyDescent="0.25">
      <c r="D7905" s="15"/>
      <c r="F7905" s="14"/>
    </row>
    <row r="7906" spans="4:6" x14ac:dyDescent="0.25">
      <c r="D7906" s="15"/>
      <c r="F7906" s="14"/>
    </row>
    <row r="7907" spans="4:6" x14ac:dyDescent="0.25">
      <c r="D7907" s="15"/>
      <c r="F7907" s="14"/>
    </row>
    <row r="7908" spans="4:6" x14ac:dyDescent="0.25">
      <c r="D7908" s="15"/>
      <c r="F7908" s="14"/>
    </row>
    <row r="7909" spans="4:6" x14ac:dyDescent="0.25">
      <c r="D7909" s="15"/>
      <c r="F7909" s="14"/>
    </row>
    <row r="7910" spans="4:6" x14ac:dyDescent="0.25">
      <c r="D7910" s="15"/>
      <c r="F7910" s="14"/>
    </row>
    <row r="7911" spans="4:6" x14ac:dyDescent="0.25">
      <c r="D7911" s="15"/>
      <c r="F7911" s="14"/>
    </row>
    <row r="7912" spans="4:6" x14ac:dyDescent="0.25">
      <c r="D7912" s="15"/>
      <c r="F7912" s="14"/>
    </row>
    <row r="7913" spans="4:6" x14ac:dyDescent="0.25">
      <c r="D7913" s="15"/>
      <c r="F7913" s="14"/>
    </row>
    <row r="7914" spans="4:6" x14ac:dyDescent="0.25">
      <c r="D7914" s="15"/>
      <c r="F7914" s="14"/>
    </row>
    <row r="7915" spans="4:6" x14ac:dyDescent="0.25">
      <c r="D7915" s="15"/>
      <c r="F7915" s="14"/>
    </row>
    <row r="7916" spans="4:6" x14ac:dyDescent="0.25">
      <c r="D7916" s="15"/>
      <c r="F7916" s="14"/>
    </row>
    <row r="7917" spans="4:6" x14ac:dyDescent="0.25">
      <c r="D7917" s="15"/>
      <c r="F7917" s="14"/>
    </row>
    <row r="7918" spans="4:6" x14ac:dyDescent="0.25">
      <c r="D7918" s="15"/>
      <c r="F7918" s="14"/>
    </row>
    <row r="7919" spans="4:6" x14ac:dyDescent="0.25">
      <c r="D7919" s="15"/>
      <c r="F7919" s="14"/>
    </row>
    <row r="7920" spans="4:6" x14ac:dyDescent="0.25">
      <c r="D7920" s="15"/>
      <c r="F7920" s="14"/>
    </row>
    <row r="7921" spans="4:6" x14ac:dyDescent="0.25">
      <c r="D7921" s="15"/>
      <c r="F7921" s="14"/>
    </row>
    <row r="7922" spans="4:6" x14ac:dyDescent="0.25">
      <c r="D7922" s="15"/>
      <c r="F7922" s="14"/>
    </row>
    <row r="7923" spans="4:6" x14ac:dyDescent="0.25">
      <c r="D7923" s="15"/>
      <c r="F7923" s="14"/>
    </row>
    <row r="7924" spans="4:6" x14ac:dyDescent="0.25">
      <c r="D7924" s="15"/>
      <c r="F7924" s="14"/>
    </row>
    <row r="7925" spans="4:6" x14ac:dyDescent="0.25">
      <c r="D7925" s="15"/>
      <c r="F7925" s="14"/>
    </row>
    <row r="7926" spans="4:6" x14ac:dyDescent="0.25">
      <c r="D7926" s="15"/>
      <c r="F7926" s="14"/>
    </row>
    <row r="7927" spans="4:6" x14ac:dyDescent="0.25">
      <c r="D7927" s="15"/>
      <c r="F7927" s="14"/>
    </row>
    <row r="7928" spans="4:6" x14ac:dyDescent="0.25">
      <c r="D7928" s="15"/>
      <c r="F7928" s="14"/>
    </row>
    <row r="7929" spans="4:6" x14ac:dyDescent="0.25">
      <c r="D7929" s="15"/>
      <c r="F7929" s="14"/>
    </row>
    <row r="7930" spans="4:6" x14ac:dyDescent="0.25">
      <c r="D7930" s="15"/>
      <c r="F7930" s="14"/>
    </row>
    <row r="7931" spans="4:6" x14ac:dyDescent="0.25">
      <c r="D7931" s="15"/>
      <c r="F7931" s="14"/>
    </row>
    <row r="7932" spans="4:6" x14ac:dyDescent="0.25">
      <c r="D7932" s="15"/>
      <c r="F7932" s="14"/>
    </row>
    <row r="7933" spans="4:6" x14ac:dyDescent="0.25">
      <c r="D7933" s="15"/>
      <c r="F7933" s="14"/>
    </row>
    <row r="7934" spans="4:6" x14ac:dyDescent="0.25">
      <c r="D7934" s="15"/>
      <c r="F7934" s="14"/>
    </row>
    <row r="7935" spans="4:6" x14ac:dyDescent="0.25">
      <c r="D7935" s="15"/>
      <c r="F7935" s="14"/>
    </row>
    <row r="7936" spans="4:6" x14ac:dyDescent="0.25">
      <c r="D7936" s="15"/>
      <c r="F7936" s="14"/>
    </row>
    <row r="7937" spans="4:6" x14ac:dyDescent="0.25">
      <c r="D7937" s="15"/>
      <c r="F7937" s="14"/>
    </row>
    <row r="7938" spans="4:6" x14ac:dyDescent="0.25">
      <c r="D7938" s="15"/>
      <c r="F7938" s="14"/>
    </row>
    <row r="7939" spans="4:6" x14ac:dyDescent="0.25">
      <c r="D7939" s="15"/>
      <c r="F7939" s="14"/>
    </row>
    <row r="7940" spans="4:6" x14ac:dyDescent="0.25">
      <c r="D7940" s="15"/>
      <c r="F7940" s="14"/>
    </row>
    <row r="7941" spans="4:6" x14ac:dyDescent="0.25">
      <c r="D7941" s="15"/>
      <c r="F7941" s="14"/>
    </row>
    <row r="7942" spans="4:6" x14ac:dyDescent="0.25">
      <c r="D7942" s="15"/>
      <c r="F7942" s="14"/>
    </row>
    <row r="7943" spans="4:6" x14ac:dyDescent="0.25">
      <c r="D7943" s="15"/>
      <c r="F7943" s="14"/>
    </row>
    <row r="7944" spans="4:6" x14ac:dyDescent="0.25">
      <c r="D7944" s="15"/>
      <c r="F7944" s="14"/>
    </row>
    <row r="7945" spans="4:6" x14ac:dyDescent="0.25">
      <c r="D7945" s="15"/>
      <c r="F7945" s="14"/>
    </row>
    <row r="7946" spans="4:6" x14ac:dyDescent="0.25">
      <c r="D7946" s="15"/>
      <c r="F7946" s="14"/>
    </row>
    <row r="7947" spans="4:6" x14ac:dyDescent="0.25">
      <c r="D7947" s="15"/>
      <c r="F7947" s="14"/>
    </row>
    <row r="7948" spans="4:6" x14ac:dyDescent="0.25">
      <c r="D7948" s="15"/>
      <c r="F7948" s="14"/>
    </row>
    <row r="7949" spans="4:6" x14ac:dyDescent="0.25">
      <c r="D7949" s="15"/>
      <c r="F7949" s="14"/>
    </row>
    <row r="7950" spans="4:6" x14ac:dyDescent="0.25">
      <c r="D7950" s="15"/>
      <c r="F7950" s="14"/>
    </row>
    <row r="7951" spans="4:6" x14ac:dyDescent="0.25">
      <c r="D7951" s="15"/>
      <c r="F7951" s="14"/>
    </row>
    <row r="7952" spans="4:6" x14ac:dyDescent="0.25">
      <c r="D7952" s="15"/>
      <c r="F7952" s="14"/>
    </row>
    <row r="7953" spans="4:6" x14ac:dyDescent="0.25">
      <c r="D7953" s="15"/>
      <c r="F7953" s="14"/>
    </row>
    <row r="7954" spans="4:6" x14ac:dyDescent="0.25">
      <c r="D7954" s="15"/>
      <c r="F7954" s="14"/>
    </row>
    <row r="7955" spans="4:6" x14ac:dyDescent="0.25">
      <c r="D7955" s="15"/>
      <c r="F7955" s="14"/>
    </row>
    <row r="7956" spans="4:6" x14ac:dyDescent="0.25">
      <c r="D7956" s="15"/>
      <c r="F7956" s="14"/>
    </row>
    <row r="7957" spans="4:6" x14ac:dyDescent="0.25">
      <c r="D7957" s="15"/>
      <c r="F7957" s="14"/>
    </row>
    <row r="7958" spans="4:6" x14ac:dyDescent="0.25">
      <c r="D7958" s="15"/>
      <c r="F7958" s="14"/>
    </row>
    <row r="7959" spans="4:6" x14ac:dyDescent="0.25">
      <c r="D7959" s="15"/>
      <c r="F7959" s="14"/>
    </row>
    <row r="7960" spans="4:6" x14ac:dyDescent="0.25">
      <c r="D7960" s="15"/>
      <c r="F7960" s="14"/>
    </row>
    <row r="7961" spans="4:6" x14ac:dyDescent="0.25">
      <c r="D7961" s="15"/>
      <c r="F7961" s="14"/>
    </row>
    <row r="7962" spans="4:6" x14ac:dyDescent="0.25">
      <c r="D7962" s="15"/>
      <c r="F7962" s="14"/>
    </row>
    <row r="7963" spans="4:6" x14ac:dyDescent="0.25">
      <c r="D7963" s="15"/>
      <c r="F7963" s="14"/>
    </row>
    <row r="7964" spans="4:6" x14ac:dyDescent="0.25">
      <c r="D7964" s="15"/>
      <c r="F7964" s="14"/>
    </row>
    <row r="7965" spans="4:6" x14ac:dyDescent="0.25">
      <c r="D7965" s="15"/>
      <c r="F7965" s="14"/>
    </row>
    <row r="7966" spans="4:6" x14ac:dyDescent="0.25">
      <c r="D7966" s="15"/>
      <c r="F7966" s="14"/>
    </row>
    <row r="7967" spans="4:6" x14ac:dyDescent="0.25">
      <c r="D7967" s="15"/>
      <c r="F7967" s="14"/>
    </row>
    <row r="7968" spans="4:6" x14ac:dyDescent="0.25">
      <c r="D7968" s="15"/>
      <c r="F7968" s="14"/>
    </row>
    <row r="7969" spans="4:6" x14ac:dyDescent="0.25">
      <c r="D7969" s="15"/>
      <c r="F7969" s="14"/>
    </row>
    <row r="7970" spans="4:6" x14ac:dyDescent="0.25">
      <c r="D7970" s="15"/>
      <c r="F7970" s="14"/>
    </row>
    <row r="7971" spans="4:6" x14ac:dyDescent="0.25">
      <c r="D7971" s="15"/>
      <c r="F7971" s="14"/>
    </row>
    <row r="7972" spans="4:6" x14ac:dyDescent="0.25">
      <c r="D7972" s="15"/>
      <c r="F7972" s="14"/>
    </row>
    <row r="7973" spans="4:6" x14ac:dyDescent="0.25">
      <c r="D7973" s="15"/>
      <c r="F7973" s="14"/>
    </row>
    <row r="7974" spans="4:6" x14ac:dyDescent="0.25">
      <c r="D7974" s="15"/>
      <c r="F7974" s="14"/>
    </row>
    <row r="7975" spans="4:6" x14ac:dyDescent="0.25">
      <c r="D7975" s="15"/>
      <c r="F7975" s="14"/>
    </row>
    <row r="7976" spans="4:6" x14ac:dyDescent="0.25">
      <c r="D7976" s="15"/>
      <c r="F7976" s="14"/>
    </row>
    <row r="7977" spans="4:6" x14ac:dyDescent="0.25">
      <c r="D7977" s="15"/>
      <c r="F7977" s="14"/>
    </row>
    <row r="7978" spans="4:6" x14ac:dyDescent="0.25">
      <c r="D7978" s="15"/>
      <c r="F7978" s="14"/>
    </row>
    <row r="7979" spans="4:6" x14ac:dyDescent="0.25">
      <c r="D7979" s="15"/>
      <c r="F7979" s="14"/>
    </row>
    <row r="7980" spans="4:6" x14ac:dyDescent="0.25">
      <c r="D7980" s="15"/>
      <c r="F7980" s="14"/>
    </row>
    <row r="7981" spans="4:6" x14ac:dyDescent="0.25">
      <c r="D7981" s="15"/>
      <c r="F7981" s="14"/>
    </row>
    <row r="7982" spans="4:6" x14ac:dyDescent="0.25">
      <c r="D7982" s="15"/>
      <c r="F7982" s="14"/>
    </row>
    <row r="7983" spans="4:6" x14ac:dyDescent="0.25">
      <c r="D7983" s="15"/>
      <c r="F7983" s="14"/>
    </row>
    <row r="7984" spans="4:6" x14ac:dyDescent="0.25">
      <c r="D7984" s="15"/>
      <c r="F7984" s="14"/>
    </row>
    <row r="7985" spans="4:6" x14ac:dyDescent="0.25">
      <c r="D7985" s="15"/>
      <c r="F7985" s="14"/>
    </row>
    <row r="7986" spans="4:6" x14ac:dyDescent="0.25">
      <c r="D7986" s="15"/>
      <c r="F7986" s="14"/>
    </row>
    <row r="7987" spans="4:6" x14ac:dyDescent="0.25">
      <c r="D7987" s="15"/>
      <c r="F7987" s="14"/>
    </row>
    <row r="7988" spans="4:6" x14ac:dyDescent="0.25">
      <c r="D7988" s="15"/>
      <c r="F7988" s="14"/>
    </row>
    <row r="7989" spans="4:6" x14ac:dyDescent="0.25">
      <c r="D7989" s="15"/>
      <c r="F7989" s="14"/>
    </row>
    <row r="7990" spans="4:6" x14ac:dyDescent="0.25">
      <c r="D7990" s="15"/>
      <c r="F7990" s="14"/>
    </row>
    <row r="7991" spans="4:6" x14ac:dyDescent="0.25">
      <c r="D7991" s="15"/>
      <c r="F7991" s="14"/>
    </row>
    <row r="7992" spans="4:6" x14ac:dyDescent="0.25">
      <c r="D7992" s="15"/>
      <c r="F7992" s="14"/>
    </row>
    <row r="7993" spans="4:6" x14ac:dyDescent="0.25">
      <c r="D7993" s="15"/>
      <c r="F7993" s="14"/>
    </row>
    <row r="7994" spans="4:6" x14ac:dyDescent="0.25">
      <c r="D7994" s="15"/>
      <c r="F7994" s="14"/>
    </row>
    <row r="7995" spans="4:6" x14ac:dyDescent="0.25">
      <c r="D7995" s="15"/>
      <c r="F7995" s="14"/>
    </row>
    <row r="7996" spans="4:6" x14ac:dyDescent="0.25">
      <c r="D7996" s="15"/>
      <c r="F7996" s="14"/>
    </row>
    <row r="7997" spans="4:6" x14ac:dyDescent="0.25">
      <c r="D7997" s="15"/>
      <c r="F7997" s="14"/>
    </row>
    <row r="7998" spans="4:6" x14ac:dyDescent="0.25">
      <c r="D7998" s="15"/>
      <c r="F7998" s="14"/>
    </row>
    <row r="7999" spans="4:6" x14ac:dyDescent="0.25">
      <c r="D7999" s="15"/>
      <c r="F7999" s="14"/>
    </row>
    <row r="8000" spans="4:6" x14ac:dyDescent="0.25">
      <c r="D8000" s="15"/>
      <c r="F8000" s="14"/>
    </row>
    <row r="8001" spans="4:6" x14ac:dyDescent="0.25">
      <c r="D8001" s="15"/>
      <c r="F8001" s="14"/>
    </row>
    <row r="8002" spans="4:6" x14ac:dyDescent="0.25">
      <c r="D8002" s="15"/>
      <c r="F8002" s="14"/>
    </row>
    <row r="8003" spans="4:6" x14ac:dyDescent="0.25">
      <c r="D8003" s="15"/>
      <c r="F8003" s="14"/>
    </row>
    <row r="8004" spans="4:6" x14ac:dyDescent="0.25">
      <c r="D8004" s="15"/>
      <c r="F8004" s="14"/>
    </row>
    <row r="8005" spans="4:6" x14ac:dyDescent="0.25">
      <c r="D8005" s="15"/>
      <c r="F8005" s="14"/>
    </row>
    <row r="8006" spans="4:6" x14ac:dyDescent="0.25">
      <c r="D8006" s="15"/>
      <c r="F8006" s="14"/>
    </row>
    <row r="8007" spans="4:6" x14ac:dyDescent="0.25">
      <c r="D8007" s="15"/>
      <c r="F8007" s="14"/>
    </row>
    <row r="8008" spans="4:6" x14ac:dyDescent="0.25">
      <c r="D8008" s="15"/>
      <c r="F8008" s="14"/>
    </row>
    <row r="8009" spans="4:6" x14ac:dyDescent="0.25">
      <c r="D8009" s="15"/>
      <c r="F8009" s="14"/>
    </row>
    <row r="8010" spans="4:6" x14ac:dyDescent="0.25">
      <c r="D8010" s="15"/>
      <c r="F8010" s="14"/>
    </row>
    <row r="8011" spans="4:6" x14ac:dyDescent="0.25">
      <c r="D8011" s="15"/>
      <c r="F8011" s="14"/>
    </row>
    <row r="8012" spans="4:6" x14ac:dyDescent="0.25">
      <c r="D8012" s="15"/>
      <c r="F8012" s="14"/>
    </row>
    <row r="8013" spans="4:6" x14ac:dyDescent="0.25">
      <c r="D8013" s="15"/>
      <c r="F8013" s="14"/>
    </row>
    <row r="8014" spans="4:6" x14ac:dyDescent="0.25">
      <c r="D8014" s="15"/>
      <c r="F8014" s="14"/>
    </row>
    <row r="8015" spans="4:6" x14ac:dyDescent="0.25">
      <c r="D8015" s="15"/>
      <c r="F8015" s="14"/>
    </row>
    <row r="8016" spans="4:6" x14ac:dyDescent="0.25">
      <c r="D8016" s="15"/>
      <c r="F8016" s="14"/>
    </row>
    <row r="8017" spans="4:6" x14ac:dyDescent="0.25">
      <c r="D8017" s="15"/>
      <c r="F8017" s="14"/>
    </row>
    <row r="8018" spans="4:6" x14ac:dyDescent="0.25">
      <c r="D8018" s="15"/>
      <c r="F8018" s="14"/>
    </row>
    <row r="8019" spans="4:6" x14ac:dyDescent="0.25">
      <c r="D8019" s="15"/>
      <c r="F8019" s="14"/>
    </row>
    <row r="8020" spans="4:6" x14ac:dyDescent="0.25">
      <c r="D8020" s="15"/>
      <c r="F8020" s="14"/>
    </row>
    <row r="8021" spans="4:6" x14ac:dyDescent="0.25">
      <c r="D8021" s="15"/>
      <c r="F8021" s="14"/>
    </row>
    <row r="8022" spans="4:6" x14ac:dyDescent="0.25">
      <c r="D8022" s="15"/>
      <c r="F8022" s="14"/>
    </row>
    <row r="8023" spans="4:6" x14ac:dyDescent="0.25">
      <c r="D8023" s="15"/>
      <c r="F8023" s="14"/>
    </row>
    <row r="8024" spans="4:6" x14ac:dyDescent="0.25">
      <c r="D8024" s="15"/>
      <c r="F8024" s="14"/>
    </row>
    <row r="8025" spans="4:6" x14ac:dyDescent="0.25">
      <c r="D8025" s="15"/>
      <c r="F8025" s="14"/>
    </row>
    <row r="8026" spans="4:6" x14ac:dyDescent="0.25">
      <c r="D8026" s="15"/>
      <c r="F8026" s="14"/>
    </row>
    <row r="8027" spans="4:6" x14ac:dyDescent="0.25">
      <c r="D8027" s="15"/>
      <c r="F8027" s="14"/>
    </row>
    <row r="8028" spans="4:6" x14ac:dyDescent="0.25">
      <c r="D8028" s="15"/>
      <c r="F8028" s="14"/>
    </row>
    <row r="8029" spans="4:6" x14ac:dyDescent="0.25">
      <c r="D8029" s="15"/>
      <c r="F8029" s="14"/>
    </row>
    <row r="8030" spans="4:6" x14ac:dyDescent="0.25">
      <c r="D8030" s="15"/>
      <c r="F8030" s="14"/>
    </row>
    <row r="8031" spans="4:6" x14ac:dyDescent="0.25">
      <c r="D8031" s="15"/>
      <c r="F8031" s="14"/>
    </row>
    <row r="8032" spans="4:6" x14ac:dyDescent="0.25">
      <c r="D8032" s="15"/>
      <c r="F8032" s="14"/>
    </row>
    <row r="8033" spans="4:6" x14ac:dyDescent="0.25">
      <c r="D8033" s="15"/>
      <c r="F8033" s="14"/>
    </row>
    <row r="8034" spans="4:6" x14ac:dyDescent="0.25">
      <c r="D8034" s="15"/>
      <c r="F8034" s="14"/>
    </row>
    <row r="8035" spans="4:6" x14ac:dyDescent="0.25">
      <c r="D8035" s="15"/>
      <c r="F8035" s="14"/>
    </row>
    <row r="8036" spans="4:6" x14ac:dyDescent="0.25">
      <c r="D8036" s="15"/>
      <c r="F8036" s="14"/>
    </row>
    <row r="8037" spans="4:6" x14ac:dyDescent="0.25">
      <c r="D8037" s="15"/>
      <c r="F8037" s="14"/>
    </row>
    <row r="8038" spans="4:6" x14ac:dyDescent="0.25">
      <c r="D8038" s="15"/>
      <c r="F8038" s="14"/>
    </row>
    <row r="8039" spans="4:6" x14ac:dyDescent="0.25">
      <c r="D8039" s="15"/>
      <c r="F8039" s="14"/>
    </row>
    <row r="8040" spans="4:6" x14ac:dyDescent="0.25">
      <c r="D8040" s="15"/>
      <c r="F8040" s="14"/>
    </row>
    <row r="8041" spans="4:6" x14ac:dyDescent="0.25">
      <c r="D8041" s="15"/>
      <c r="F8041" s="14"/>
    </row>
    <row r="8042" spans="4:6" x14ac:dyDescent="0.25">
      <c r="D8042" s="15"/>
      <c r="F8042" s="14"/>
    </row>
    <row r="8043" spans="4:6" x14ac:dyDescent="0.25">
      <c r="D8043" s="15"/>
      <c r="F8043" s="14"/>
    </row>
    <row r="8044" spans="4:6" x14ac:dyDescent="0.25">
      <c r="D8044" s="15"/>
      <c r="F8044" s="14"/>
    </row>
    <row r="8045" spans="4:6" x14ac:dyDescent="0.25">
      <c r="D8045" s="15"/>
      <c r="F8045" s="14"/>
    </row>
    <row r="8046" spans="4:6" x14ac:dyDescent="0.25">
      <c r="D8046" s="15"/>
      <c r="F8046" s="14"/>
    </row>
    <row r="8047" spans="4:6" x14ac:dyDescent="0.25">
      <c r="D8047" s="15"/>
      <c r="F8047" s="14"/>
    </row>
    <row r="8048" spans="4:6" x14ac:dyDescent="0.25">
      <c r="D8048" s="15"/>
      <c r="F8048" s="14"/>
    </row>
    <row r="8049" spans="4:6" x14ac:dyDescent="0.25">
      <c r="D8049" s="15"/>
      <c r="F8049" s="14"/>
    </row>
    <row r="8050" spans="4:6" x14ac:dyDescent="0.25">
      <c r="D8050" s="15"/>
      <c r="F8050" s="14"/>
    </row>
    <row r="8051" spans="4:6" x14ac:dyDescent="0.25">
      <c r="D8051" s="15"/>
      <c r="F8051" s="14"/>
    </row>
    <row r="8052" spans="4:6" x14ac:dyDescent="0.25">
      <c r="D8052" s="15"/>
      <c r="F8052" s="14"/>
    </row>
    <row r="8053" spans="4:6" x14ac:dyDescent="0.25">
      <c r="D8053" s="15"/>
      <c r="F8053" s="14"/>
    </row>
    <row r="8054" spans="4:6" x14ac:dyDescent="0.25">
      <c r="D8054" s="15"/>
      <c r="F8054" s="14"/>
    </row>
    <row r="8055" spans="4:6" x14ac:dyDescent="0.25">
      <c r="D8055" s="15"/>
      <c r="F8055" s="14"/>
    </row>
    <row r="8056" spans="4:6" x14ac:dyDescent="0.25">
      <c r="D8056" s="15"/>
      <c r="F8056" s="14"/>
    </row>
    <row r="8057" spans="4:6" x14ac:dyDescent="0.25">
      <c r="D8057" s="15"/>
      <c r="F8057" s="14"/>
    </row>
    <row r="8058" spans="4:6" x14ac:dyDescent="0.25">
      <c r="D8058" s="15"/>
      <c r="F8058" s="14"/>
    </row>
    <row r="8059" spans="4:6" x14ac:dyDescent="0.25">
      <c r="D8059" s="15"/>
      <c r="F8059" s="14"/>
    </row>
    <row r="8060" spans="4:6" x14ac:dyDescent="0.25">
      <c r="D8060" s="15"/>
      <c r="F8060" s="14"/>
    </row>
    <row r="8061" spans="4:6" x14ac:dyDescent="0.25">
      <c r="D8061" s="15"/>
      <c r="F8061" s="14"/>
    </row>
    <row r="8062" spans="4:6" x14ac:dyDescent="0.25">
      <c r="D8062" s="15"/>
      <c r="F8062" s="14"/>
    </row>
    <row r="8063" spans="4:6" x14ac:dyDescent="0.25">
      <c r="D8063" s="15"/>
      <c r="F8063" s="14"/>
    </row>
    <row r="8064" spans="4:6" x14ac:dyDescent="0.25">
      <c r="D8064" s="15"/>
      <c r="F8064" s="14"/>
    </row>
    <row r="8065" spans="4:6" x14ac:dyDescent="0.25">
      <c r="D8065" s="15"/>
      <c r="F8065" s="14"/>
    </row>
    <row r="8066" spans="4:6" x14ac:dyDescent="0.25">
      <c r="D8066" s="15"/>
      <c r="F8066" s="14"/>
    </row>
    <row r="8067" spans="4:6" x14ac:dyDescent="0.25">
      <c r="D8067" s="15"/>
      <c r="F8067" s="14"/>
    </row>
    <row r="8068" spans="4:6" x14ac:dyDescent="0.25">
      <c r="D8068" s="15"/>
      <c r="F8068" s="14"/>
    </row>
    <row r="8069" spans="4:6" x14ac:dyDescent="0.25">
      <c r="D8069" s="15"/>
      <c r="F8069" s="14"/>
    </row>
    <row r="8070" spans="4:6" x14ac:dyDescent="0.25">
      <c r="D8070" s="15"/>
      <c r="F8070" s="14"/>
    </row>
    <row r="8071" spans="4:6" x14ac:dyDescent="0.25">
      <c r="D8071" s="15"/>
      <c r="F8071" s="14"/>
    </row>
    <row r="8072" spans="4:6" x14ac:dyDescent="0.25">
      <c r="D8072" s="15"/>
      <c r="F8072" s="14"/>
    </row>
    <row r="8073" spans="4:6" x14ac:dyDescent="0.25">
      <c r="D8073" s="15"/>
      <c r="F8073" s="14"/>
    </row>
    <row r="8074" spans="4:6" x14ac:dyDescent="0.25">
      <c r="D8074" s="15"/>
      <c r="F8074" s="14"/>
    </row>
    <row r="8075" spans="4:6" x14ac:dyDescent="0.25">
      <c r="D8075" s="15"/>
      <c r="F8075" s="14"/>
    </row>
    <row r="8076" spans="4:6" x14ac:dyDescent="0.25">
      <c r="D8076" s="15"/>
      <c r="F8076" s="14"/>
    </row>
    <row r="8077" spans="4:6" x14ac:dyDescent="0.25">
      <c r="D8077" s="15"/>
      <c r="F8077" s="14"/>
    </row>
    <row r="8078" spans="4:6" x14ac:dyDescent="0.25">
      <c r="D8078" s="15"/>
      <c r="F8078" s="14"/>
    </row>
    <row r="8079" spans="4:6" x14ac:dyDescent="0.25">
      <c r="D8079" s="15"/>
      <c r="F8079" s="14"/>
    </row>
    <row r="8080" spans="4:6" x14ac:dyDescent="0.25">
      <c r="D8080" s="15"/>
      <c r="F8080" s="14"/>
    </row>
    <row r="8081" spans="4:6" x14ac:dyDescent="0.25">
      <c r="D8081" s="15"/>
      <c r="F8081" s="14"/>
    </row>
    <row r="8082" spans="4:6" x14ac:dyDescent="0.25">
      <c r="D8082" s="15"/>
      <c r="F8082" s="14"/>
    </row>
    <row r="8083" spans="4:6" x14ac:dyDescent="0.25">
      <c r="D8083" s="15"/>
      <c r="F8083" s="14"/>
    </row>
    <row r="8084" spans="4:6" x14ac:dyDescent="0.25">
      <c r="D8084" s="15"/>
      <c r="F8084" s="14"/>
    </row>
    <row r="8085" spans="4:6" x14ac:dyDescent="0.25">
      <c r="D8085" s="15"/>
      <c r="F8085" s="14"/>
    </row>
    <row r="8086" spans="4:6" x14ac:dyDescent="0.25">
      <c r="D8086" s="15"/>
      <c r="F8086" s="14"/>
    </row>
    <row r="8087" spans="4:6" x14ac:dyDescent="0.25">
      <c r="D8087" s="15"/>
      <c r="F8087" s="14"/>
    </row>
    <row r="8088" spans="4:6" x14ac:dyDescent="0.25">
      <c r="D8088" s="15"/>
      <c r="F8088" s="14"/>
    </row>
    <row r="8089" spans="4:6" x14ac:dyDescent="0.25">
      <c r="D8089" s="15"/>
      <c r="F8089" s="14"/>
    </row>
    <row r="8090" spans="4:6" x14ac:dyDescent="0.25">
      <c r="D8090" s="15"/>
      <c r="F8090" s="14"/>
    </row>
    <row r="8091" spans="4:6" x14ac:dyDescent="0.25">
      <c r="D8091" s="15"/>
      <c r="F8091" s="14"/>
    </row>
    <row r="8092" spans="4:6" x14ac:dyDescent="0.25">
      <c r="D8092" s="15"/>
      <c r="F8092" s="14"/>
    </row>
    <row r="8093" spans="4:6" x14ac:dyDescent="0.25">
      <c r="D8093" s="15"/>
      <c r="F8093" s="14"/>
    </row>
    <row r="8094" spans="4:6" x14ac:dyDescent="0.25">
      <c r="D8094" s="15"/>
      <c r="F8094" s="14"/>
    </row>
    <row r="8095" spans="4:6" x14ac:dyDescent="0.25">
      <c r="D8095" s="15"/>
      <c r="F8095" s="14"/>
    </row>
    <row r="8096" spans="4:6" x14ac:dyDescent="0.25">
      <c r="D8096" s="15"/>
      <c r="F8096" s="14"/>
    </row>
    <row r="8097" spans="4:6" x14ac:dyDescent="0.25">
      <c r="D8097" s="15"/>
      <c r="F8097" s="14"/>
    </row>
    <row r="8098" spans="4:6" x14ac:dyDescent="0.25">
      <c r="D8098" s="15"/>
      <c r="F8098" s="14"/>
    </row>
    <row r="8099" spans="4:6" x14ac:dyDescent="0.25">
      <c r="D8099" s="15"/>
      <c r="F8099" s="14"/>
    </row>
    <row r="8100" spans="4:6" x14ac:dyDescent="0.25">
      <c r="D8100" s="15"/>
      <c r="F8100" s="14"/>
    </row>
    <row r="8101" spans="4:6" x14ac:dyDescent="0.25">
      <c r="D8101" s="15"/>
      <c r="F8101" s="14"/>
    </row>
    <row r="8102" spans="4:6" x14ac:dyDescent="0.25">
      <c r="D8102" s="15"/>
      <c r="F8102" s="14"/>
    </row>
    <row r="8103" spans="4:6" x14ac:dyDescent="0.25">
      <c r="D8103" s="15"/>
      <c r="F8103" s="14"/>
    </row>
    <row r="8104" spans="4:6" x14ac:dyDescent="0.25">
      <c r="D8104" s="15"/>
      <c r="F8104" s="14"/>
    </row>
    <row r="8105" spans="4:6" x14ac:dyDescent="0.25">
      <c r="D8105" s="15"/>
      <c r="F8105" s="14"/>
    </row>
    <row r="8106" spans="4:6" x14ac:dyDescent="0.25">
      <c r="D8106" s="15"/>
      <c r="F8106" s="14"/>
    </row>
    <row r="8107" spans="4:6" x14ac:dyDescent="0.25">
      <c r="D8107" s="15"/>
      <c r="F8107" s="14"/>
    </row>
    <row r="8108" spans="4:6" x14ac:dyDescent="0.25">
      <c r="D8108" s="15"/>
      <c r="F8108" s="14"/>
    </row>
    <row r="8109" spans="4:6" x14ac:dyDescent="0.25">
      <c r="D8109" s="15"/>
      <c r="F8109" s="14"/>
    </row>
    <row r="8110" spans="4:6" x14ac:dyDescent="0.25">
      <c r="D8110" s="15"/>
      <c r="F8110" s="14"/>
    </row>
    <row r="8111" spans="4:6" x14ac:dyDescent="0.25">
      <c r="D8111" s="15"/>
      <c r="F8111" s="14"/>
    </row>
    <row r="8112" spans="4:6" x14ac:dyDescent="0.25">
      <c r="D8112" s="15"/>
      <c r="F8112" s="14"/>
    </row>
    <row r="8113" spans="4:6" x14ac:dyDescent="0.25">
      <c r="D8113" s="15"/>
      <c r="F8113" s="14"/>
    </row>
    <row r="8114" spans="4:6" x14ac:dyDescent="0.25">
      <c r="D8114" s="15"/>
      <c r="F8114" s="14"/>
    </row>
    <row r="8115" spans="4:6" x14ac:dyDescent="0.25">
      <c r="D8115" s="15"/>
      <c r="F8115" s="14"/>
    </row>
    <row r="8116" spans="4:6" x14ac:dyDescent="0.25">
      <c r="D8116" s="15"/>
      <c r="F8116" s="14"/>
    </row>
    <row r="8117" spans="4:6" x14ac:dyDescent="0.25">
      <c r="D8117" s="15"/>
      <c r="F8117" s="14"/>
    </row>
    <row r="8118" spans="4:6" x14ac:dyDescent="0.25">
      <c r="D8118" s="15"/>
      <c r="F8118" s="14"/>
    </row>
    <row r="8119" spans="4:6" x14ac:dyDescent="0.25">
      <c r="D8119" s="15"/>
      <c r="F8119" s="14"/>
    </row>
    <row r="8120" spans="4:6" x14ac:dyDescent="0.25">
      <c r="D8120" s="15"/>
      <c r="F8120" s="14"/>
    </row>
    <row r="8121" spans="4:6" x14ac:dyDescent="0.25">
      <c r="D8121" s="15"/>
      <c r="F8121" s="14"/>
    </row>
    <row r="8122" spans="4:6" x14ac:dyDescent="0.25">
      <c r="D8122" s="15"/>
      <c r="F8122" s="14"/>
    </row>
    <row r="8123" spans="4:6" x14ac:dyDescent="0.25">
      <c r="D8123" s="15"/>
      <c r="F8123" s="14"/>
    </row>
    <row r="8124" spans="4:6" x14ac:dyDescent="0.25">
      <c r="D8124" s="15"/>
      <c r="F8124" s="14"/>
    </row>
    <row r="8125" spans="4:6" x14ac:dyDescent="0.25">
      <c r="D8125" s="15"/>
      <c r="F8125" s="14"/>
    </row>
    <row r="8126" spans="4:6" x14ac:dyDescent="0.25">
      <c r="D8126" s="15"/>
      <c r="F8126" s="14"/>
    </row>
    <row r="8127" spans="4:6" x14ac:dyDescent="0.25">
      <c r="D8127" s="15"/>
      <c r="F8127" s="14"/>
    </row>
    <row r="8128" spans="4:6" x14ac:dyDescent="0.25">
      <c r="D8128" s="15"/>
      <c r="F8128" s="14"/>
    </row>
    <row r="8129" spans="4:6" x14ac:dyDescent="0.25">
      <c r="D8129" s="15"/>
      <c r="F8129" s="14"/>
    </row>
    <row r="8130" spans="4:6" x14ac:dyDescent="0.25">
      <c r="D8130" s="15"/>
      <c r="F8130" s="14"/>
    </row>
    <row r="8131" spans="4:6" x14ac:dyDescent="0.25">
      <c r="D8131" s="15"/>
      <c r="F8131" s="14"/>
    </row>
    <row r="8132" spans="4:6" x14ac:dyDescent="0.25">
      <c r="D8132" s="15"/>
      <c r="F8132" s="14"/>
    </row>
    <row r="8133" spans="4:6" x14ac:dyDescent="0.25">
      <c r="D8133" s="15"/>
      <c r="F8133" s="14"/>
    </row>
    <row r="8134" spans="4:6" x14ac:dyDescent="0.25">
      <c r="D8134" s="15"/>
      <c r="F8134" s="14"/>
    </row>
    <row r="8135" spans="4:6" x14ac:dyDescent="0.25">
      <c r="D8135" s="15"/>
      <c r="F8135" s="14"/>
    </row>
    <row r="8136" spans="4:6" x14ac:dyDescent="0.25">
      <c r="D8136" s="15"/>
      <c r="F8136" s="14"/>
    </row>
    <row r="8137" spans="4:6" x14ac:dyDescent="0.25">
      <c r="D8137" s="15"/>
      <c r="F8137" s="14"/>
    </row>
    <row r="8138" spans="4:6" x14ac:dyDescent="0.25">
      <c r="D8138" s="15"/>
      <c r="F8138" s="14"/>
    </row>
    <row r="8139" spans="4:6" x14ac:dyDescent="0.25">
      <c r="D8139" s="15"/>
      <c r="F8139" s="14"/>
    </row>
    <row r="8140" spans="4:6" x14ac:dyDescent="0.25">
      <c r="D8140" s="15"/>
      <c r="F8140" s="14"/>
    </row>
    <row r="8141" spans="4:6" x14ac:dyDescent="0.25">
      <c r="D8141" s="15"/>
      <c r="F8141" s="14"/>
    </row>
    <row r="8142" spans="4:6" x14ac:dyDescent="0.25">
      <c r="D8142" s="15"/>
      <c r="F8142" s="14"/>
    </row>
    <row r="8143" spans="4:6" x14ac:dyDescent="0.25">
      <c r="D8143" s="15"/>
      <c r="F8143" s="14"/>
    </row>
    <row r="8144" spans="4:6" x14ac:dyDescent="0.25">
      <c r="D8144" s="15"/>
      <c r="F8144" s="14"/>
    </row>
    <row r="8145" spans="4:6" x14ac:dyDescent="0.25">
      <c r="D8145" s="15"/>
      <c r="F8145" s="14"/>
    </row>
    <row r="8146" spans="4:6" x14ac:dyDescent="0.25">
      <c r="D8146" s="15"/>
      <c r="F8146" s="14"/>
    </row>
    <row r="8147" spans="4:6" x14ac:dyDescent="0.25">
      <c r="D8147" s="15"/>
      <c r="F8147" s="14"/>
    </row>
    <row r="8148" spans="4:6" x14ac:dyDescent="0.25">
      <c r="D8148" s="15"/>
      <c r="F8148" s="14"/>
    </row>
    <row r="8149" spans="4:6" x14ac:dyDescent="0.25">
      <c r="D8149" s="15"/>
      <c r="F8149" s="14"/>
    </row>
    <row r="8150" spans="4:6" x14ac:dyDescent="0.25">
      <c r="D8150" s="15"/>
      <c r="F8150" s="14"/>
    </row>
    <row r="8151" spans="4:6" x14ac:dyDescent="0.25">
      <c r="D8151" s="15"/>
      <c r="F8151" s="14"/>
    </row>
    <row r="8152" spans="4:6" x14ac:dyDescent="0.25">
      <c r="D8152" s="15"/>
      <c r="F8152" s="14"/>
    </row>
    <row r="8153" spans="4:6" x14ac:dyDescent="0.25">
      <c r="D8153" s="15"/>
      <c r="F8153" s="14"/>
    </row>
    <row r="8154" spans="4:6" x14ac:dyDescent="0.25">
      <c r="D8154" s="15"/>
      <c r="F8154" s="14"/>
    </row>
    <row r="8155" spans="4:6" x14ac:dyDescent="0.25">
      <c r="D8155" s="15"/>
      <c r="F8155" s="14"/>
    </row>
    <row r="8156" spans="4:6" x14ac:dyDescent="0.25">
      <c r="D8156" s="15"/>
      <c r="F8156" s="14"/>
    </row>
    <row r="8157" spans="4:6" x14ac:dyDescent="0.25">
      <c r="D8157" s="15"/>
      <c r="F8157" s="14"/>
    </row>
    <row r="8158" spans="4:6" x14ac:dyDescent="0.25">
      <c r="D8158" s="15"/>
      <c r="F8158" s="14"/>
    </row>
    <row r="8159" spans="4:6" x14ac:dyDescent="0.25">
      <c r="D8159" s="15"/>
      <c r="F8159" s="14"/>
    </row>
    <row r="8160" spans="4:6" x14ac:dyDescent="0.25">
      <c r="D8160" s="15"/>
      <c r="F8160" s="14"/>
    </row>
    <row r="8161" spans="4:6" x14ac:dyDescent="0.25">
      <c r="D8161" s="15"/>
      <c r="F8161" s="14"/>
    </row>
    <row r="8162" spans="4:6" x14ac:dyDescent="0.25">
      <c r="D8162" s="15"/>
      <c r="F8162" s="14"/>
    </row>
    <row r="8163" spans="4:6" x14ac:dyDescent="0.25">
      <c r="D8163" s="15"/>
      <c r="F8163" s="14"/>
    </row>
    <row r="8164" spans="4:6" x14ac:dyDescent="0.25">
      <c r="D8164" s="15"/>
      <c r="F8164" s="14"/>
    </row>
    <row r="8165" spans="4:6" x14ac:dyDescent="0.25">
      <c r="D8165" s="15"/>
      <c r="F8165" s="14"/>
    </row>
    <row r="8166" spans="4:6" x14ac:dyDescent="0.25">
      <c r="D8166" s="15"/>
      <c r="F8166" s="14"/>
    </row>
    <row r="8167" spans="4:6" x14ac:dyDescent="0.25">
      <c r="D8167" s="15"/>
      <c r="F8167" s="14"/>
    </row>
    <row r="8168" spans="4:6" x14ac:dyDescent="0.25">
      <c r="D8168" s="15"/>
      <c r="F8168" s="14"/>
    </row>
    <row r="8169" spans="4:6" x14ac:dyDescent="0.25">
      <c r="D8169" s="15"/>
      <c r="F8169" s="14"/>
    </row>
    <row r="8170" spans="4:6" x14ac:dyDescent="0.25">
      <c r="D8170" s="15"/>
      <c r="F8170" s="14"/>
    </row>
    <row r="8171" spans="4:6" x14ac:dyDescent="0.25">
      <c r="D8171" s="15"/>
      <c r="F8171" s="14"/>
    </row>
    <row r="8172" spans="4:6" x14ac:dyDescent="0.25">
      <c r="D8172" s="15"/>
      <c r="F8172" s="14"/>
    </row>
    <row r="8173" spans="4:6" x14ac:dyDescent="0.25">
      <c r="D8173" s="15"/>
      <c r="F8173" s="14"/>
    </row>
    <row r="8174" spans="4:6" x14ac:dyDescent="0.25">
      <c r="D8174" s="15"/>
      <c r="F8174" s="14"/>
    </row>
    <row r="8175" spans="4:6" x14ac:dyDescent="0.25">
      <c r="D8175" s="15"/>
      <c r="F8175" s="14"/>
    </row>
    <row r="8176" spans="4:6" x14ac:dyDescent="0.25">
      <c r="D8176" s="15"/>
      <c r="F8176" s="14"/>
    </row>
    <row r="8177" spans="4:6" x14ac:dyDescent="0.25">
      <c r="D8177" s="15"/>
      <c r="F8177" s="14"/>
    </row>
    <row r="8178" spans="4:6" x14ac:dyDescent="0.25">
      <c r="D8178" s="15"/>
      <c r="F8178" s="14"/>
    </row>
    <row r="8179" spans="4:6" x14ac:dyDescent="0.25">
      <c r="D8179" s="15"/>
      <c r="F8179" s="14"/>
    </row>
    <row r="8180" spans="4:6" x14ac:dyDescent="0.25">
      <c r="D8180" s="15"/>
      <c r="F8180" s="14"/>
    </row>
    <row r="8181" spans="4:6" x14ac:dyDescent="0.25">
      <c r="D8181" s="15"/>
      <c r="F8181" s="14"/>
    </row>
    <row r="8182" spans="4:6" x14ac:dyDescent="0.25">
      <c r="D8182" s="15"/>
      <c r="F8182" s="14"/>
    </row>
    <row r="8183" spans="4:6" x14ac:dyDescent="0.25">
      <c r="D8183" s="15"/>
      <c r="F8183" s="14"/>
    </row>
    <row r="8184" spans="4:6" x14ac:dyDescent="0.25">
      <c r="D8184" s="15"/>
      <c r="F8184" s="14"/>
    </row>
    <row r="8185" spans="4:6" x14ac:dyDescent="0.25">
      <c r="D8185" s="15"/>
      <c r="F8185" s="14"/>
    </row>
    <row r="8186" spans="4:6" x14ac:dyDescent="0.25">
      <c r="D8186" s="15"/>
      <c r="F8186" s="14"/>
    </row>
    <row r="8187" spans="4:6" x14ac:dyDescent="0.25">
      <c r="D8187" s="15"/>
      <c r="F8187" s="14"/>
    </row>
    <row r="8188" spans="4:6" x14ac:dyDescent="0.25">
      <c r="D8188" s="15"/>
      <c r="F8188" s="14"/>
    </row>
    <row r="8189" spans="4:6" x14ac:dyDescent="0.25">
      <c r="D8189" s="15"/>
      <c r="F8189" s="14"/>
    </row>
    <row r="8190" spans="4:6" x14ac:dyDescent="0.25">
      <c r="D8190" s="15"/>
      <c r="F8190" s="14"/>
    </row>
    <row r="8191" spans="4:6" x14ac:dyDescent="0.25">
      <c r="D8191" s="15"/>
      <c r="F8191" s="14"/>
    </row>
    <row r="8192" spans="4:6" x14ac:dyDescent="0.25">
      <c r="D8192" s="15"/>
      <c r="F8192" s="14"/>
    </row>
    <row r="8193" spans="4:6" x14ac:dyDescent="0.25">
      <c r="D8193" s="15"/>
      <c r="F8193" s="14"/>
    </row>
    <row r="8194" spans="4:6" x14ac:dyDescent="0.25">
      <c r="D8194" s="15"/>
      <c r="F8194" s="14"/>
    </row>
    <row r="8195" spans="4:6" x14ac:dyDescent="0.25">
      <c r="D8195" s="15"/>
      <c r="F8195" s="14"/>
    </row>
    <row r="8196" spans="4:6" x14ac:dyDescent="0.25">
      <c r="D8196" s="15"/>
      <c r="F8196" s="14"/>
    </row>
    <row r="8197" spans="4:6" x14ac:dyDescent="0.25">
      <c r="D8197" s="15"/>
      <c r="F8197" s="14"/>
    </row>
    <row r="8198" spans="4:6" x14ac:dyDescent="0.25">
      <c r="D8198" s="15"/>
      <c r="F8198" s="14"/>
    </row>
    <row r="8199" spans="4:6" x14ac:dyDescent="0.25">
      <c r="D8199" s="15"/>
      <c r="F8199" s="14"/>
    </row>
    <row r="8200" spans="4:6" x14ac:dyDescent="0.25">
      <c r="D8200" s="15"/>
      <c r="F8200" s="14"/>
    </row>
    <row r="8201" spans="4:6" x14ac:dyDescent="0.25">
      <c r="D8201" s="15"/>
      <c r="F8201" s="14"/>
    </row>
    <row r="8202" spans="4:6" x14ac:dyDescent="0.25">
      <c r="D8202" s="15"/>
      <c r="F8202" s="14"/>
    </row>
    <row r="8203" spans="4:6" x14ac:dyDescent="0.25">
      <c r="D8203" s="15"/>
      <c r="F8203" s="14"/>
    </row>
    <row r="8204" spans="4:6" x14ac:dyDescent="0.25">
      <c r="D8204" s="15"/>
      <c r="F8204" s="14"/>
    </row>
    <row r="8205" spans="4:6" x14ac:dyDescent="0.25">
      <c r="D8205" s="15"/>
      <c r="F8205" s="14"/>
    </row>
    <row r="8206" spans="4:6" x14ac:dyDescent="0.25">
      <c r="D8206" s="15"/>
      <c r="F8206" s="14"/>
    </row>
    <row r="8207" spans="4:6" x14ac:dyDescent="0.25">
      <c r="D8207" s="15"/>
      <c r="F8207" s="14"/>
    </row>
    <row r="8208" spans="4:6" x14ac:dyDescent="0.25">
      <c r="D8208" s="15"/>
      <c r="F8208" s="14"/>
    </row>
    <row r="8209" spans="4:6" x14ac:dyDescent="0.25">
      <c r="D8209" s="15"/>
      <c r="F8209" s="14"/>
    </row>
    <row r="8210" spans="4:6" x14ac:dyDescent="0.25">
      <c r="D8210" s="15"/>
      <c r="F8210" s="14"/>
    </row>
    <row r="8211" spans="4:6" x14ac:dyDescent="0.25">
      <c r="D8211" s="15"/>
      <c r="F8211" s="14"/>
    </row>
    <row r="8212" spans="4:6" x14ac:dyDescent="0.25">
      <c r="D8212" s="15"/>
      <c r="F8212" s="14"/>
    </row>
    <row r="8213" spans="4:6" x14ac:dyDescent="0.25">
      <c r="D8213" s="15"/>
      <c r="F8213" s="14"/>
    </row>
    <row r="8214" spans="4:6" x14ac:dyDescent="0.25">
      <c r="D8214" s="15"/>
      <c r="F8214" s="14"/>
    </row>
    <row r="8215" spans="4:6" x14ac:dyDescent="0.25">
      <c r="D8215" s="15"/>
      <c r="F8215" s="14"/>
    </row>
    <row r="8216" spans="4:6" x14ac:dyDescent="0.25">
      <c r="D8216" s="15"/>
      <c r="F8216" s="14"/>
    </row>
    <row r="8217" spans="4:6" x14ac:dyDescent="0.25">
      <c r="D8217" s="15"/>
      <c r="F8217" s="14"/>
    </row>
    <row r="8218" spans="4:6" x14ac:dyDescent="0.25">
      <c r="D8218" s="15"/>
      <c r="F8218" s="14"/>
    </row>
    <row r="8219" spans="4:6" x14ac:dyDescent="0.25">
      <c r="D8219" s="15"/>
      <c r="F8219" s="14"/>
    </row>
    <row r="8220" spans="4:6" x14ac:dyDescent="0.25">
      <c r="D8220" s="15"/>
      <c r="F8220" s="14"/>
    </row>
    <row r="8221" spans="4:6" x14ac:dyDescent="0.25">
      <c r="D8221" s="15"/>
      <c r="F8221" s="14"/>
    </row>
    <row r="8222" spans="4:6" x14ac:dyDescent="0.25">
      <c r="D8222" s="15"/>
      <c r="F8222" s="14"/>
    </row>
    <row r="8223" spans="4:6" x14ac:dyDescent="0.25">
      <c r="D8223" s="15"/>
      <c r="F8223" s="14"/>
    </row>
    <row r="8224" spans="4:6" x14ac:dyDescent="0.25">
      <c r="D8224" s="15"/>
      <c r="F8224" s="14"/>
    </row>
    <row r="8225" spans="4:6" x14ac:dyDescent="0.25">
      <c r="D8225" s="15"/>
      <c r="F8225" s="14"/>
    </row>
    <row r="8226" spans="4:6" x14ac:dyDescent="0.25">
      <c r="D8226" s="15"/>
      <c r="F8226" s="14"/>
    </row>
    <row r="8227" spans="4:6" x14ac:dyDescent="0.25">
      <c r="D8227" s="15"/>
      <c r="F8227" s="14"/>
    </row>
    <row r="8228" spans="4:6" x14ac:dyDescent="0.25">
      <c r="D8228" s="15"/>
      <c r="F8228" s="14"/>
    </row>
    <row r="8229" spans="4:6" x14ac:dyDescent="0.25">
      <c r="D8229" s="15"/>
      <c r="F8229" s="14"/>
    </row>
    <row r="8230" spans="4:6" x14ac:dyDescent="0.25">
      <c r="D8230" s="15"/>
      <c r="F8230" s="14"/>
    </row>
    <row r="8231" spans="4:6" x14ac:dyDescent="0.25">
      <c r="D8231" s="15"/>
      <c r="F8231" s="14"/>
    </row>
    <row r="8232" spans="4:6" x14ac:dyDescent="0.25">
      <c r="D8232" s="15"/>
      <c r="F8232" s="14"/>
    </row>
    <row r="8233" spans="4:6" x14ac:dyDescent="0.25">
      <c r="D8233" s="15"/>
      <c r="F8233" s="14"/>
    </row>
    <row r="8234" spans="4:6" x14ac:dyDescent="0.25">
      <c r="D8234" s="15"/>
      <c r="F8234" s="14"/>
    </row>
    <row r="8235" spans="4:6" x14ac:dyDescent="0.25">
      <c r="D8235" s="15"/>
      <c r="F8235" s="14"/>
    </row>
    <row r="8236" spans="4:6" x14ac:dyDescent="0.25">
      <c r="D8236" s="15"/>
      <c r="F8236" s="14"/>
    </row>
    <row r="8237" spans="4:6" x14ac:dyDescent="0.25">
      <c r="D8237" s="15"/>
      <c r="F8237" s="14"/>
    </row>
    <row r="8238" spans="4:6" x14ac:dyDescent="0.25">
      <c r="D8238" s="15"/>
      <c r="F8238" s="14"/>
    </row>
    <row r="8239" spans="4:6" x14ac:dyDescent="0.25">
      <c r="D8239" s="15"/>
      <c r="F8239" s="14"/>
    </row>
    <row r="8240" spans="4:6" x14ac:dyDescent="0.25">
      <c r="D8240" s="15"/>
      <c r="F8240" s="14"/>
    </row>
    <row r="8241" spans="4:6" x14ac:dyDescent="0.25">
      <c r="D8241" s="15"/>
      <c r="F8241" s="14"/>
    </row>
    <row r="8242" spans="4:6" x14ac:dyDescent="0.25">
      <c r="D8242" s="15"/>
      <c r="F8242" s="14"/>
    </row>
    <row r="8243" spans="4:6" x14ac:dyDescent="0.25">
      <c r="D8243" s="15"/>
      <c r="F8243" s="14"/>
    </row>
    <row r="8244" spans="4:6" x14ac:dyDescent="0.25">
      <c r="D8244" s="15"/>
      <c r="F8244" s="14"/>
    </row>
    <row r="8245" spans="4:6" x14ac:dyDescent="0.25">
      <c r="D8245" s="15"/>
      <c r="F8245" s="14"/>
    </row>
    <row r="8246" spans="4:6" x14ac:dyDescent="0.25">
      <c r="D8246" s="15"/>
      <c r="F8246" s="14"/>
    </row>
    <row r="8247" spans="4:6" x14ac:dyDescent="0.25">
      <c r="D8247" s="15"/>
      <c r="F8247" s="14"/>
    </row>
    <row r="8248" spans="4:6" x14ac:dyDescent="0.25">
      <c r="D8248" s="15"/>
      <c r="F8248" s="14"/>
    </row>
    <row r="8249" spans="4:6" x14ac:dyDescent="0.25">
      <c r="D8249" s="15"/>
      <c r="F8249" s="14"/>
    </row>
    <row r="8250" spans="4:6" x14ac:dyDescent="0.25">
      <c r="D8250" s="15"/>
      <c r="F8250" s="14"/>
    </row>
    <row r="8251" spans="4:6" x14ac:dyDescent="0.25">
      <c r="D8251" s="15"/>
      <c r="F8251" s="14"/>
    </row>
    <row r="8252" spans="4:6" x14ac:dyDescent="0.25">
      <c r="D8252" s="15"/>
      <c r="F8252" s="14"/>
    </row>
    <row r="8253" spans="4:6" x14ac:dyDescent="0.25">
      <c r="D8253" s="15"/>
      <c r="F8253" s="14"/>
    </row>
    <row r="8254" spans="4:6" x14ac:dyDescent="0.25">
      <c r="D8254" s="15"/>
      <c r="F8254" s="14"/>
    </row>
    <row r="8255" spans="4:6" x14ac:dyDescent="0.25">
      <c r="D8255" s="15"/>
      <c r="F8255" s="14"/>
    </row>
    <row r="8256" spans="4:6" x14ac:dyDescent="0.25">
      <c r="D8256" s="15"/>
      <c r="F8256" s="14"/>
    </row>
    <row r="8257" spans="4:6" x14ac:dyDescent="0.25">
      <c r="D8257" s="15"/>
      <c r="F8257" s="14"/>
    </row>
    <row r="8258" spans="4:6" x14ac:dyDescent="0.25">
      <c r="D8258" s="15"/>
      <c r="F8258" s="14"/>
    </row>
    <row r="8259" spans="4:6" x14ac:dyDescent="0.25">
      <c r="D8259" s="15"/>
      <c r="F8259" s="14"/>
    </row>
    <row r="8260" spans="4:6" x14ac:dyDescent="0.25">
      <c r="D8260" s="15"/>
      <c r="F8260" s="14"/>
    </row>
    <row r="8261" spans="4:6" x14ac:dyDescent="0.25">
      <c r="D8261" s="15"/>
      <c r="F8261" s="14"/>
    </row>
    <row r="8262" spans="4:6" x14ac:dyDescent="0.25">
      <c r="D8262" s="15"/>
      <c r="F8262" s="14"/>
    </row>
    <row r="8263" spans="4:6" x14ac:dyDescent="0.25">
      <c r="D8263" s="15"/>
      <c r="F8263" s="14"/>
    </row>
    <row r="8264" spans="4:6" x14ac:dyDescent="0.25">
      <c r="D8264" s="15"/>
      <c r="F8264" s="14"/>
    </row>
    <row r="8265" spans="4:6" x14ac:dyDescent="0.25">
      <c r="D8265" s="15"/>
      <c r="F8265" s="14"/>
    </row>
    <row r="8266" spans="4:6" x14ac:dyDescent="0.25">
      <c r="D8266" s="15"/>
      <c r="F8266" s="14"/>
    </row>
    <row r="8267" spans="4:6" x14ac:dyDescent="0.25">
      <c r="D8267" s="15"/>
      <c r="F8267" s="14"/>
    </row>
    <row r="8268" spans="4:6" x14ac:dyDescent="0.25">
      <c r="D8268" s="15"/>
      <c r="F8268" s="14"/>
    </row>
    <row r="8269" spans="4:6" x14ac:dyDescent="0.25">
      <c r="D8269" s="15"/>
      <c r="F8269" s="14"/>
    </row>
    <row r="8270" spans="4:6" x14ac:dyDescent="0.25">
      <c r="D8270" s="15"/>
      <c r="F8270" s="14"/>
    </row>
    <row r="8271" spans="4:6" x14ac:dyDescent="0.25">
      <c r="D8271" s="15"/>
      <c r="F8271" s="14"/>
    </row>
    <row r="8272" spans="4:6" x14ac:dyDescent="0.25">
      <c r="D8272" s="15"/>
      <c r="F8272" s="14"/>
    </row>
    <row r="8273" spans="4:6" x14ac:dyDescent="0.25">
      <c r="D8273" s="15"/>
      <c r="F8273" s="14"/>
    </row>
    <row r="8274" spans="4:6" x14ac:dyDescent="0.25">
      <c r="D8274" s="15"/>
      <c r="F8274" s="14"/>
    </row>
    <row r="8275" spans="4:6" x14ac:dyDescent="0.25">
      <c r="D8275" s="15"/>
      <c r="F8275" s="14"/>
    </row>
    <row r="8276" spans="4:6" x14ac:dyDescent="0.25">
      <c r="D8276" s="15"/>
      <c r="F8276" s="14"/>
    </row>
    <row r="8277" spans="4:6" x14ac:dyDescent="0.25">
      <c r="D8277" s="15"/>
      <c r="F8277" s="14"/>
    </row>
    <row r="8278" spans="4:6" x14ac:dyDescent="0.25">
      <c r="D8278" s="15"/>
      <c r="F8278" s="14"/>
    </row>
    <row r="8279" spans="4:6" x14ac:dyDescent="0.25">
      <c r="D8279" s="15"/>
      <c r="F8279" s="14"/>
    </row>
    <row r="8280" spans="4:6" x14ac:dyDescent="0.25">
      <c r="D8280" s="15"/>
      <c r="F8280" s="14"/>
    </row>
    <row r="8281" spans="4:6" x14ac:dyDescent="0.25">
      <c r="D8281" s="15"/>
      <c r="F8281" s="14"/>
    </row>
    <row r="8282" spans="4:6" x14ac:dyDescent="0.25">
      <c r="D8282" s="15"/>
      <c r="F8282" s="14"/>
    </row>
    <row r="8283" spans="4:6" x14ac:dyDescent="0.25">
      <c r="D8283" s="15"/>
      <c r="F8283" s="14"/>
    </row>
    <row r="8284" spans="4:6" x14ac:dyDescent="0.25">
      <c r="D8284" s="15"/>
      <c r="F8284" s="14"/>
    </row>
    <row r="8285" spans="4:6" x14ac:dyDescent="0.25">
      <c r="D8285" s="15"/>
      <c r="F8285" s="14"/>
    </row>
    <row r="8286" spans="4:6" x14ac:dyDescent="0.25">
      <c r="D8286" s="15"/>
      <c r="F8286" s="14"/>
    </row>
    <row r="8287" spans="4:6" x14ac:dyDescent="0.25">
      <c r="D8287" s="15"/>
      <c r="F8287" s="14"/>
    </row>
    <row r="8288" spans="4:6" x14ac:dyDescent="0.25">
      <c r="D8288" s="15"/>
      <c r="F8288" s="14"/>
    </row>
    <row r="8289" spans="4:6" x14ac:dyDescent="0.25">
      <c r="D8289" s="15"/>
      <c r="F8289" s="14"/>
    </row>
    <row r="8290" spans="4:6" x14ac:dyDescent="0.25">
      <c r="D8290" s="15"/>
      <c r="F8290" s="14"/>
    </row>
    <row r="8291" spans="4:6" x14ac:dyDescent="0.25">
      <c r="D8291" s="15"/>
      <c r="F8291" s="14"/>
    </row>
    <row r="8292" spans="4:6" x14ac:dyDescent="0.25">
      <c r="D8292" s="15"/>
      <c r="F8292" s="14"/>
    </row>
    <row r="8293" spans="4:6" x14ac:dyDescent="0.25">
      <c r="D8293" s="15"/>
      <c r="F8293" s="14"/>
    </row>
    <row r="8294" spans="4:6" x14ac:dyDescent="0.25">
      <c r="D8294" s="15"/>
      <c r="F8294" s="14"/>
    </row>
    <row r="8295" spans="4:6" x14ac:dyDescent="0.25">
      <c r="D8295" s="15"/>
      <c r="F8295" s="14"/>
    </row>
    <row r="8296" spans="4:6" x14ac:dyDescent="0.25">
      <c r="D8296" s="15"/>
      <c r="F8296" s="14"/>
    </row>
    <row r="8297" spans="4:6" x14ac:dyDescent="0.25">
      <c r="D8297" s="15"/>
      <c r="F8297" s="14"/>
    </row>
    <row r="8298" spans="4:6" x14ac:dyDescent="0.25">
      <c r="D8298" s="15"/>
      <c r="F8298" s="14"/>
    </row>
    <row r="8299" spans="4:6" x14ac:dyDescent="0.25">
      <c r="D8299" s="15"/>
      <c r="F8299" s="14"/>
    </row>
    <row r="8300" spans="4:6" x14ac:dyDescent="0.25">
      <c r="D8300" s="15"/>
      <c r="F8300" s="14"/>
    </row>
    <row r="8301" spans="4:6" x14ac:dyDescent="0.25">
      <c r="D8301" s="15"/>
      <c r="F8301" s="14"/>
    </row>
    <row r="8302" spans="4:6" x14ac:dyDescent="0.25">
      <c r="D8302" s="15"/>
      <c r="F8302" s="14"/>
    </row>
    <row r="8303" spans="4:6" x14ac:dyDescent="0.25">
      <c r="D8303" s="15"/>
      <c r="F8303" s="14"/>
    </row>
    <row r="8304" spans="4:6" x14ac:dyDescent="0.25">
      <c r="D8304" s="15"/>
      <c r="F8304" s="14"/>
    </row>
    <row r="8305" spans="4:6" x14ac:dyDescent="0.25">
      <c r="D8305" s="15"/>
      <c r="F8305" s="14"/>
    </row>
    <row r="8306" spans="4:6" x14ac:dyDescent="0.25">
      <c r="D8306" s="15"/>
      <c r="F8306" s="14"/>
    </row>
    <row r="8307" spans="4:6" x14ac:dyDescent="0.25">
      <c r="D8307" s="15"/>
      <c r="F8307" s="14"/>
    </row>
    <row r="8308" spans="4:6" x14ac:dyDescent="0.25">
      <c r="D8308" s="15"/>
      <c r="F8308" s="14"/>
    </row>
    <row r="8309" spans="4:6" x14ac:dyDescent="0.25">
      <c r="D8309" s="15"/>
      <c r="F8309" s="14"/>
    </row>
    <row r="8310" spans="4:6" x14ac:dyDescent="0.25">
      <c r="D8310" s="15"/>
      <c r="F8310" s="14"/>
    </row>
    <row r="8311" spans="4:6" x14ac:dyDescent="0.25">
      <c r="D8311" s="15"/>
      <c r="F8311" s="14"/>
    </row>
    <row r="8312" spans="4:6" x14ac:dyDescent="0.25">
      <c r="D8312" s="15"/>
      <c r="F8312" s="14"/>
    </row>
    <row r="8313" spans="4:6" x14ac:dyDescent="0.25">
      <c r="D8313" s="15"/>
      <c r="F8313" s="14"/>
    </row>
    <row r="8314" spans="4:6" x14ac:dyDescent="0.25">
      <c r="D8314" s="15"/>
      <c r="F8314" s="14"/>
    </row>
    <row r="8315" spans="4:6" x14ac:dyDescent="0.25">
      <c r="D8315" s="15"/>
      <c r="F8315" s="14"/>
    </row>
    <row r="8316" spans="4:6" x14ac:dyDescent="0.25">
      <c r="D8316" s="15"/>
      <c r="F8316" s="14"/>
    </row>
    <row r="8317" spans="4:6" x14ac:dyDescent="0.25">
      <c r="D8317" s="15"/>
      <c r="F8317" s="14"/>
    </row>
    <row r="8318" spans="4:6" x14ac:dyDescent="0.25">
      <c r="D8318" s="15"/>
      <c r="F8318" s="14"/>
    </row>
    <row r="8319" spans="4:6" x14ac:dyDescent="0.25">
      <c r="D8319" s="15"/>
      <c r="F8319" s="14"/>
    </row>
    <row r="8320" spans="4:6" x14ac:dyDescent="0.25">
      <c r="D8320" s="15"/>
      <c r="F8320" s="14"/>
    </row>
    <row r="8321" spans="4:6" x14ac:dyDescent="0.25">
      <c r="D8321" s="15"/>
      <c r="F8321" s="14"/>
    </row>
    <row r="8322" spans="4:6" x14ac:dyDescent="0.25">
      <c r="D8322" s="15"/>
      <c r="F8322" s="14"/>
    </row>
    <row r="8323" spans="4:6" x14ac:dyDescent="0.25">
      <c r="D8323" s="15"/>
      <c r="F8323" s="14"/>
    </row>
    <row r="8324" spans="4:6" x14ac:dyDescent="0.25">
      <c r="D8324" s="15"/>
      <c r="F8324" s="14"/>
    </row>
    <row r="8325" spans="4:6" x14ac:dyDescent="0.25">
      <c r="D8325" s="15"/>
      <c r="F8325" s="14"/>
    </row>
    <row r="8326" spans="4:6" x14ac:dyDescent="0.25">
      <c r="D8326" s="15"/>
      <c r="F8326" s="14"/>
    </row>
    <row r="8327" spans="4:6" x14ac:dyDescent="0.25">
      <c r="D8327" s="15"/>
      <c r="F8327" s="14"/>
    </row>
    <row r="8328" spans="4:6" x14ac:dyDescent="0.25">
      <c r="D8328" s="15"/>
      <c r="F8328" s="14"/>
    </row>
    <row r="8329" spans="4:6" x14ac:dyDescent="0.25">
      <c r="D8329" s="15"/>
      <c r="F8329" s="14"/>
    </row>
    <row r="8330" spans="4:6" x14ac:dyDescent="0.25">
      <c r="D8330" s="15"/>
      <c r="F8330" s="14"/>
    </row>
    <row r="8331" spans="4:6" x14ac:dyDescent="0.25">
      <c r="D8331" s="15"/>
      <c r="F8331" s="14"/>
    </row>
    <row r="8332" spans="4:6" x14ac:dyDescent="0.25">
      <c r="D8332" s="15"/>
      <c r="F8332" s="14"/>
    </row>
    <row r="8333" spans="4:6" x14ac:dyDescent="0.25">
      <c r="D8333" s="15"/>
      <c r="F8333" s="14"/>
    </row>
    <row r="8334" spans="4:6" x14ac:dyDescent="0.25">
      <c r="D8334" s="15"/>
      <c r="F8334" s="14"/>
    </row>
    <row r="8335" spans="4:6" x14ac:dyDescent="0.25">
      <c r="D8335" s="15"/>
      <c r="F8335" s="14"/>
    </row>
    <row r="8336" spans="4:6" x14ac:dyDescent="0.25">
      <c r="D8336" s="15"/>
      <c r="F8336" s="14"/>
    </row>
    <row r="8337" spans="4:6" x14ac:dyDescent="0.25">
      <c r="D8337" s="15"/>
      <c r="F8337" s="14"/>
    </row>
    <row r="8338" spans="4:6" x14ac:dyDescent="0.25">
      <c r="D8338" s="15"/>
      <c r="F8338" s="14"/>
    </row>
    <row r="8339" spans="4:6" x14ac:dyDescent="0.25">
      <c r="D8339" s="15"/>
      <c r="F8339" s="14"/>
    </row>
    <row r="8340" spans="4:6" x14ac:dyDescent="0.25">
      <c r="D8340" s="15"/>
      <c r="F8340" s="14"/>
    </row>
    <row r="8341" spans="4:6" x14ac:dyDescent="0.25">
      <c r="D8341" s="15"/>
      <c r="F8341" s="14"/>
    </row>
    <row r="8342" spans="4:6" x14ac:dyDescent="0.25">
      <c r="D8342" s="15"/>
      <c r="F8342" s="14"/>
    </row>
    <row r="8343" spans="4:6" x14ac:dyDescent="0.25">
      <c r="D8343" s="15"/>
      <c r="F8343" s="14"/>
    </row>
    <row r="8344" spans="4:6" x14ac:dyDescent="0.25">
      <c r="D8344" s="15"/>
      <c r="F8344" s="14"/>
    </row>
    <row r="8345" spans="4:6" x14ac:dyDescent="0.25">
      <c r="D8345" s="15"/>
      <c r="F8345" s="14"/>
    </row>
    <row r="8346" spans="4:6" x14ac:dyDescent="0.25">
      <c r="D8346" s="15"/>
      <c r="F8346" s="14"/>
    </row>
    <row r="8347" spans="4:6" x14ac:dyDescent="0.25">
      <c r="D8347" s="15"/>
      <c r="F8347" s="14"/>
    </row>
    <row r="8348" spans="4:6" x14ac:dyDescent="0.25">
      <c r="D8348" s="15"/>
      <c r="F8348" s="14"/>
    </row>
    <row r="8349" spans="4:6" x14ac:dyDescent="0.25">
      <c r="D8349" s="15"/>
      <c r="F8349" s="14"/>
    </row>
    <row r="8350" spans="4:6" x14ac:dyDescent="0.25">
      <c r="D8350" s="15"/>
      <c r="F8350" s="14"/>
    </row>
    <row r="8351" spans="4:6" x14ac:dyDescent="0.25">
      <c r="D8351" s="15"/>
      <c r="F8351" s="14"/>
    </row>
    <row r="8352" spans="4:6" x14ac:dyDescent="0.25">
      <c r="D8352" s="15"/>
      <c r="F8352" s="14"/>
    </row>
    <row r="8353" spans="4:6" x14ac:dyDescent="0.25">
      <c r="D8353" s="15"/>
      <c r="F8353" s="14"/>
    </row>
    <row r="8354" spans="4:6" x14ac:dyDescent="0.25">
      <c r="D8354" s="15"/>
      <c r="F8354" s="14"/>
    </row>
    <row r="8355" spans="4:6" x14ac:dyDescent="0.25">
      <c r="D8355" s="15"/>
      <c r="F8355" s="14"/>
    </row>
    <row r="8356" spans="4:6" x14ac:dyDescent="0.25">
      <c r="D8356" s="15"/>
      <c r="F8356" s="14"/>
    </row>
    <row r="8357" spans="4:6" x14ac:dyDescent="0.25">
      <c r="D8357" s="15"/>
      <c r="F8357" s="14"/>
    </row>
    <row r="8358" spans="4:6" x14ac:dyDescent="0.25">
      <c r="D8358" s="15"/>
      <c r="F8358" s="14"/>
    </row>
    <row r="8359" spans="4:6" x14ac:dyDescent="0.25">
      <c r="D8359" s="15"/>
      <c r="F8359" s="14"/>
    </row>
    <row r="8360" spans="4:6" x14ac:dyDescent="0.25">
      <c r="D8360" s="15"/>
      <c r="F8360" s="14"/>
    </row>
    <row r="8361" spans="4:6" x14ac:dyDescent="0.25">
      <c r="D8361" s="15"/>
      <c r="F8361" s="14"/>
    </row>
    <row r="8362" spans="4:6" x14ac:dyDescent="0.25">
      <c r="D8362" s="15"/>
      <c r="F8362" s="14"/>
    </row>
    <row r="8363" spans="4:6" x14ac:dyDescent="0.25">
      <c r="D8363" s="15"/>
      <c r="F8363" s="14"/>
    </row>
    <row r="8364" spans="4:6" x14ac:dyDescent="0.25">
      <c r="D8364" s="15"/>
      <c r="F8364" s="14"/>
    </row>
    <row r="8365" spans="4:6" x14ac:dyDescent="0.25">
      <c r="D8365" s="15"/>
      <c r="F8365" s="14"/>
    </row>
    <row r="8366" spans="4:6" x14ac:dyDescent="0.25">
      <c r="D8366" s="15"/>
      <c r="F8366" s="14"/>
    </row>
    <row r="8367" spans="4:6" x14ac:dyDescent="0.25">
      <c r="D8367" s="15"/>
      <c r="F8367" s="14"/>
    </row>
    <row r="8368" spans="4:6" x14ac:dyDescent="0.25">
      <c r="D8368" s="15"/>
      <c r="F8368" s="14"/>
    </row>
    <row r="8369" spans="4:6" x14ac:dyDescent="0.25">
      <c r="D8369" s="15"/>
      <c r="F8369" s="14"/>
    </row>
    <row r="8370" spans="4:6" x14ac:dyDescent="0.25">
      <c r="D8370" s="15"/>
      <c r="F8370" s="14"/>
    </row>
    <row r="8371" spans="4:6" x14ac:dyDescent="0.25">
      <c r="D8371" s="15"/>
      <c r="F8371" s="14"/>
    </row>
    <row r="8372" spans="4:6" x14ac:dyDescent="0.25">
      <c r="D8372" s="15"/>
      <c r="F8372" s="14"/>
    </row>
    <row r="8373" spans="4:6" x14ac:dyDescent="0.25">
      <c r="D8373" s="15"/>
      <c r="F8373" s="14"/>
    </row>
    <row r="8374" spans="4:6" x14ac:dyDescent="0.25">
      <c r="D8374" s="15"/>
      <c r="F8374" s="14"/>
    </row>
    <row r="8375" spans="4:6" x14ac:dyDescent="0.25">
      <c r="D8375" s="15"/>
      <c r="F8375" s="14"/>
    </row>
    <row r="8376" spans="4:6" x14ac:dyDescent="0.25">
      <c r="D8376" s="15"/>
      <c r="F8376" s="14"/>
    </row>
    <row r="8377" spans="4:6" x14ac:dyDescent="0.25">
      <c r="D8377" s="15"/>
      <c r="F8377" s="14"/>
    </row>
    <row r="8378" spans="4:6" x14ac:dyDescent="0.25">
      <c r="D8378" s="15"/>
      <c r="F8378" s="14"/>
    </row>
    <row r="8379" spans="4:6" x14ac:dyDescent="0.25">
      <c r="D8379" s="15"/>
      <c r="F8379" s="14"/>
    </row>
    <row r="8380" spans="4:6" x14ac:dyDescent="0.25">
      <c r="D8380" s="15"/>
      <c r="F8380" s="14"/>
    </row>
    <row r="8381" spans="4:6" x14ac:dyDescent="0.25">
      <c r="D8381" s="15"/>
      <c r="F8381" s="14"/>
    </row>
    <row r="8382" spans="4:6" x14ac:dyDescent="0.25">
      <c r="D8382" s="15"/>
      <c r="F8382" s="14"/>
    </row>
    <row r="8383" spans="4:6" x14ac:dyDescent="0.25">
      <c r="D8383" s="15"/>
      <c r="F8383" s="14"/>
    </row>
    <row r="8384" spans="4:6" x14ac:dyDescent="0.25">
      <c r="D8384" s="15"/>
      <c r="F8384" s="14"/>
    </row>
    <row r="8385" spans="4:6" x14ac:dyDescent="0.25">
      <c r="D8385" s="15"/>
      <c r="F8385" s="14"/>
    </row>
    <row r="8386" spans="4:6" x14ac:dyDescent="0.25">
      <c r="D8386" s="15"/>
      <c r="F8386" s="14"/>
    </row>
    <row r="8387" spans="4:6" x14ac:dyDescent="0.25">
      <c r="D8387" s="15"/>
      <c r="F8387" s="14"/>
    </row>
    <row r="8388" spans="4:6" x14ac:dyDescent="0.25">
      <c r="D8388" s="15"/>
      <c r="F8388" s="14"/>
    </row>
    <row r="8389" spans="4:6" x14ac:dyDescent="0.25">
      <c r="D8389" s="15"/>
      <c r="F8389" s="14"/>
    </row>
    <row r="8390" spans="4:6" x14ac:dyDescent="0.25">
      <c r="D8390" s="15"/>
      <c r="F8390" s="14"/>
    </row>
    <row r="8391" spans="4:6" x14ac:dyDescent="0.25">
      <c r="D8391" s="15"/>
      <c r="F8391" s="14"/>
    </row>
    <row r="8392" spans="4:6" x14ac:dyDescent="0.25">
      <c r="D8392" s="15"/>
      <c r="F8392" s="14"/>
    </row>
    <row r="8393" spans="4:6" x14ac:dyDescent="0.25">
      <c r="D8393" s="15"/>
      <c r="F8393" s="14"/>
    </row>
    <row r="8394" spans="4:6" x14ac:dyDescent="0.25">
      <c r="D8394" s="15"/>
      <c r="F8394" s="14"/>
    </row>
    <row r="8395" spans="4:6" x14ac:dyDescent="0.25">
      <c r="D8395" s="15"/>
      <c r="F8395" s="14"/>
    </row>
    <row r="8396" spans="4:6" x14ac:dyDescent="0.25">
      <c r="D8396" s="15"/>
      <c r="F8396" s="14"/>
    </row>
    <row r="8397" spans="4:6" x14ac:dyDescent="0.25">
      <c r="D8397" s="15"/>
      <c r="F8397" s="14"/>
    </row>
    <row r="8398" spans="4:6" x14ac:dyDescent="0.25">
      <c r="D8398" s="15"/>
      <c r="F8398" s="14"/>
    </row>
    <row r="8399" spans="4:6" x14ac:dyDescent="0.25">
      <c r="D8399" s="15"/>
      <c r="F8399" s="14"/>
    </row>
    <row r="8400" spans="4:6" x14ac:dyDescent="0.25">
      <c r="D8400" s="15"/>
      <c r="F8400" s="14"/>
    </row>
    <row r="8401" spans="4:6" x14ac:dyDescent="0.25">
      <c r="D8401" s="15"/>
      <c r="F8401" s="14"/>
    </row>
    <row r="8402" spans="4:6" x14ac:dyDescent="0.25">
      <c r="D8402" s="15"/>
      <c r="F8402" s="14"/>
    </row>
    <row r="8403" spans="4:6" x14ac:dyDescent="0.25">
      <c r="D8403" s="15"/>
      <c r="F8403" s="14"/>
    </row>
    <row r="8404" spans="4:6" x14ac:dyDescent="0.25">
      <c r="D8404" s="15"/>
      <c r="F8404" s="14"/>
    </row>
    <row r="8405" spans="4:6" x14ac:dyDescent="0.25">
      <c r="D8405" s="15"/>
      <c r="F8405" s="14"/>
    </row>
    <row r="8406" spans="4:6" x14ac:dyDescent="0.25">
      <c r="D8406" s="15"/>
      <c r="F8406" s="14"/>
    </row>
    <row r="8407" spans="4:6" x14ac:dyDescent="0.25">
      <c r="D8407" s="15"/>
      <c r="F8407" s="14"/>
    </row>
    <row r="8408" spans="4:6" x14ac:dyDescent="0.25">
      <c r="D8408" s="15"/>
      <c r="F8408" s="14"/>
    </row>
    <row r="8409" spans="4:6" x14ac:dyDescent="0.25">
      <c r="D8409" s="15"/>
      <c r="F8409" s="14"/>
    </row>
    <row r="8410" spans="4:6" x14ac:dyDescent="0.25">
      <c r="D8410" s="15"/>
      <c r="F8410" s="14"/>
    </row>
    <row r="8411" spans="4:6" x14ac:dyDescent="0.25">
      <c r="D8411" s="15"/>
      <c r="F8411" s="14"/>
    </row>
    <row r="8412" spans="4:6" x14ac:dyDescent="0.25">
      <c r="D8412" s="15"/>
      <c r="F8412" s="14"/>
    </row>
    <row r="8413" spans="4:6" x14ac:dyDescent="0.25">
      <c r="D8413" s="15"/>
      <c r="F8413" s="14"/>
    </row>
    <row r="8414" spans="4:6" x14ac:dyDescent="0.25">
      <c r="D8414" s="15"/>
      <c r="F8414" s="14"/>
    </row>
    <row r="8415" spans="4:6" x14ac:dyDescent="0.25">
      <c r="D8415" s="15"/>
      <c r="F8415" s="14"/>
    </row>
    <row r="8416" spans="4:6" x14ac:dyDescent="0.25">
      <c r="D8416" s="15"/>
      <c r="F8416" s="14"/>
    </row>
    <row r="8417" spans="4:6" x14ac:dyDescent="0.25">
      <c r="D8417" s="15"/>
      <c r="F8417" s="14"/>
    </row>
    <row r="8418" spans="4:6" x14ac:dyDescent="0.25">
      <c r="D8418" s="15"/>
      <c r="F8418" s="14"/>
    </row>
    <row r="8419" spans="4:6" x14ac:dyDescent="0.25">
      <c r="D8419" s="15"/>
      <c r="F8419" s="14"/>
    </row>
    <row r="8420" spans="4:6" x14ac:dyDescent="0.25">
      <c r="D8420" s="15"/>
      <c r="F8420" s="14"/>
    </row>
    <row r="8421" spans="4:6" x14ac:dyDescent="0.25">
      <c r="D8421" s="15"/>
      <c r="F8421" s="14"/>
    </row>
    <row r="8422" spans="4:6" x14ac:dyDescent="0.25">
      <c r="D8422" s="15"/>
      <c r="F8422" s="14"/>
    </row>
    <row r="8423" spans="4:6" x14ac:dyDescent="0.25">
      <c r="D8423" s="15"/>
      <c r="F8423" s="14"/>
    </row>
    <row r="8424" spans="4:6" x14ac:dyDescent="0.25">
      <c r="D8424" s="15"/>
      <c r="F8424" s="14"/>
    </row>
    <row r="8425" spans="4:6" x14ac:dyDescent="0.25">
      <c r="D8425" s="15"/>
      <c r="F8425" s="14"/>
    </row>
    <row r="8426" spans="4:6" x14ac:dyDescent="0.25">
      <c r="D8426" s="15"/>
      <c r="F8426" s="14"/>
    </row>
    <row r="8427" spans="4:6" x14ac:dyDescent="0.25">
      <c r="D8427" s="15"/>
      <c r="F8427" s="14"/>
    </row>
    <row r="8428" spans="4:6" x14ac:dyDescent="0.25">
      <c r="D8428" s="15"/>
      <c r="F8428" s="14"/>
    </row>
    <row r="8429" spans="4:6" x14ac:dyDescent="0.25">
      <c r="D8429" s="15"/>
      <c r="F8429" s="14"/>
    </row>
    <row r="8430" spans="4:6" x14ac:dyDescent="0.25">
      <c r="D8430" s="15"/>
      <c r="F8430" s="14"/>
    </row>
    <row r="8431" spans="4:6" x14ac:dyDescent="0.25">
      <c r="D8431" s="15"/>
      <c r="F8431" s="14"/>
    </row>
    <row r="8432" spans="4:6" x14ac:dyDescent="0.25">
      <c r="D8432" s="15"/>
      <c r="F8432" s="14"/>
    </row>
    <row r="8433" spans="4:6" x14ac:dyDescent="0.25">
      <c r="D8433" s="15"/>
      <c r="F8433" s="14"/>
    </row>
    <row r="8434" spans="4:6" x14ac:dyDescent="0.25">
      <c r="D8434" s="15"/>
      <c r="F8434" s="14"/>
    </row>
    <row r="8435" spans="4:6" x14ac:dyDescent="0.25">
      <c r="D8435" s="15"/>
      <c r="F8435" s="14"/>
    </row>
    <row r="8436" spans="4:6" x14ac:dyDescent="0.25">
      <c r="D8436" s="15"/>
      <c r="F8436" s="14"/>
    </row>
    <row r="8437" spans="4:6" x14ac:dyDescent="0.25">
      <c r="D8437" s="15"/>
      <c r="F8437" s="14"/>
    </row>
    <row r="8438" spans="4:6" x14ac:dyDescent="0.25">
      <c r="D8438" s="15"/>
      <c r="F8438" s="14"/>
    </row>
    <row r="8439" spans="4:6" x14ac:dyDescent="0.25">
      <c r="D8439" s="15"/>
      <c r="F8439" s="14"/>
    </row>
    <row r="8440" spans="4:6" x14ac:dyDescent="0.25">
      <c r="D8440" s="15"/>
      <c r="F8440" s="14"/>
    </row>
    <row r="8441" spans="4:6" x14ac:dyDescent="0.25">
      <c r="D8441" s="15"/>
      <c r="F8441" s="14"/>
    </row>
    <row r="8442" spans="4:6" x14ac:dyDescent="0.25">
      <c r="D8442" s="15"/>
      <c r="F8442" s="14"/>
    </row>
    <row r="8443" spans="4:6" x14ac:dyDescent="0.25">
      <c r="D8443" s="15"/>
      <c r="F8443" s="14"/>
    </row>
    <row r="8444" spans="4:6" x14ac:dyDescent="0.25">
      <c r="D8444" s="15"/>
      <c r="F8444" s="14"/>
    </row>
    <row r="8445" spans="4:6" x14ac:dyDescent="0.25">
      <c r="D8445" s="15"/>
      <c r="F8445" s="14"/>
    </row>
    <row r="8446" spans="4:6" x14ac:dyDescent="0.25">
      <c r="D8446" s="15"/>
      <c r="F8446" s="14"/>
    </row>
    <row r="8447" spans="4:6" x14ac:dyDescent="0.25">
      <c r="D8447" s="15"/>
      <c r="F8447" s="14"/>
    </row>
    <row r="8448" spans="4:6" x14ac:dyDescent="0.25">
      <c r="D8448" s="15"/>
      <c r="F8448" s="14"/>
    </row>
    <row r="8449" spans="4:6" x14ac:dyDescent="0.25">
      <c r="D8449" s="15"/>
      <c r="F8449" s="14"/>
    </row>
    <row r="8450" spans="4:6" x14ac:dyDescent="0.25">
      <c r="D8450" s="15"/>
      <c r="F8450" s="14"/>
    </row>
    <row r="8451" spans="4:6" x14ac:dyDescent="0.25">
      <c r="D8451" s="15"/>
      <c r="F8451" s="14"/>
    </row>
    <row r="8452" spans="4:6" x14ac:dyDescent="0.25">
      <c r="D8452" s="15"/>
      <c r="F8452" s="14"/>
    </row>
    <row r="8453" spans="4:6" x14ac:dyDescent="0.25">
      <c r="D8453" s="15"/>
      <c r="F8453" s="14"/>
    </row>
    <row r="8454" spans="4:6" x14ac:dyDescent="0.25">
      <c r="D8454" s="15"/>
      <c r="F8454" s="14"/>
    </row>
    <row r="8455" spans="4:6" x14ac:dyDescent="0.25">
      <c r="D8455" s="15"/>
      <c r="F8455" s="14"/>
    </row>
    <row r="8456" spans="4:6" x14ac:dyDescent="0.25">
      <c r="D8456" s="15"/>
      <c r="F8456" s="14"/>
    </row>
    <row r="8457" spans="4:6" x14ac:dyDescent="0.25">
      <c r="D8457" s="15"/>
      <c r="F8457" s="14"/>
    </row>
    <row r="8458" spans="4:6" x14ac:dyDescent="0.25">
      <c r="D8458" s="15"/>
      <c r="F8458" s="14"/>
    </row>
    <row r="8459" spans="4:6" x14ac:dyDescent="0.25">
      <c r="D8459" s="15"/>
      <c r="F8459" s="14"/>
    </row>
    <row r="8460" spans="4:6" x14ac:dyDescent="0.25">
      <c r="D8460" s="15"/>
      <c r="F8460" s="14"/>
    </row>
    <row r="8461" spans="4:6" x14ac:dyDescent="0.25">
      <c r="D8461" s="15"/>
      <c r="F8461" s="14"/>
    </row>
    <row r="8462" spans="4:6" x14ac:dyDescent="0.25">
      <c r="D8462" s="15"/>
      <c r="F8462" s="14"/>
    </row>
    <row r="8463" spans="4:6" x14ac:dyDescent="0.25">
      <c r="D8463" s="15"/>
      <c r="F8463" s="14"/>
    </row>
    <row r="8464" spans="4:6" x14ac:dyDescent="0.25">
      <c r="D8464" s="15"/>
      <c r="F8464" s="14"/>
    </row>
    <row r="8465" spans="4:6" x14ac:dyDescent="0.25">
      <c r="D8465" s="15"/>
      <c r="F8465" s="14"/>
    </row>
    <row r="8466" spans="4:6" x14ac:dyDescent="0.25">
      <c r="D8466" s="15"/>
      <c r="F8466" s="14"/>
    </row>
    <row r="8467" spans="4:6" x14ac:dyDescent="0.25">
      <c r="D8467" s="15"/>
      <c r="F8467" s="14"/>
    </row>
    <row r="8468" spans="4:6" x14ac:dyDescent="0.25">
      <c r="D8468" s="15"/>
      <c r="F8468" s="14"/>
    </row>
    <row r="8469" spans="4:6" x14ac:dyDescent="0.25">
      <c r="D8469" s="15"/>
      <c r="F8469" s="14"/>
    </row>
    <row r="8470" spans="4:6" x14ac:dyDescent="0.25">
      <c r="D8470" s="15"/>
      <c r="F8470" s="14"/>
    </row>
    <row r="8471" spans="4:6" x14ac:dyDescent="0.25">
      <c r="D8471" s="15"/>
      <c r="F8471" s="14"/>
    </row>
    <row r="8472" spans="4:6" x14ac:dyDescent="0.25">
      <c r="D8472" s="15"/>
      <c r="F8472" s="14"/>
    </row>
    <row r="8473" spans="4:6" x14ac:dyDescent="0.25">
      <c r="D8473" s="15"/>
      <c r="F8473" s="14"/>
    </row>
    <row r="8474" spans="4:6" x14ac:dyDescent="0.25">
      <c r="D8474" s="15"/>
      <c r="F8474" s="14"/>
    </row>
    <row r="8475" spans="4:6" x14ac:dyDescent="0.25">
      <c r="D8475" s="15"/>
      <c r="F8475" s="14"/>
    </row>
    <row r="8476" spans="4:6" x14ac:dyDescent="0.25">
      <c r="D8476" s="15"/>
      <c r="F8476" s="14"/>
    </row>
    <row r="8477" spans="4:6" x14ac:dyDescent="0.25">
      <c r="D8477" s="15"/>
      <c r="F8477" s="14"/>
    </row>
    <row r="8478" spans="4:6" x14ac:dyDescent="0.25">
      <c r="D8478" s="15"/>
      <c r="F8478" s="14"/>
    </row>
    <row r="8479" spans="4:6" x14ac:dyDescent="0.25">
      <c r="D8479" s="15"/>
      <c r="F8479" s="14"/>
    </row>
    <row r="8480" spans="4:6" x14ac:dyDescent="0.25">
      <c r="D8480" s="15"/>
      <c r="F8480" s="14"/>
    </row>
    <row r="8481" spans="4:6" x14ac:dyDescent="0.25">
      <c r="D8481" s="15"/>
      <c r="F8481" s="14"/>
    </row>
    <row r="8482" spans="4:6" x14ac:dyDescent="0.25">
      <c r="D8482" s="15"/>
      <c r="F8482" s="14"/>
    </row>
    <row r="8483" spans="4:6" x14ac:dyDescent="0.25">
      <c r="D8483" s="15"/>
      <c r="F8483" s="14"/>
    </row>
    <row r="8484" spans="4:6" x14ac:dyDescent="0.25">
      <c r="D8484" s="15"/>
      <c r="F8484" s="14"/>
    </row>
    <row r="8485" spans="4:6" x14ac:dyDescent="0.25">
      <c r="D8485" s="15"/>
      <c r="F8485" s="14"/>
    </row>
    <row r="8486" spans="4:6" x14ac:dyDescent="0.25">
      <c r="D8486" s="15"/>
      <c r="F8486" s="14"/>
    </row>
    <row r="8487" spans="4:6" x14ac:dyDescent="0.25">
      <c r="D8487" s="15"/>
      <c r="F8487" s="14"/>
    </row>
    <row r="8488" spans="4:6" x14ac:dyDescent="0.25">
      <c r="D8488" s="15"/>
      <c r="F8488" s="14"/>
    </row>
    <row r="8489" spans="4:6" x14ac:dyDescent="0.25">
      <c r="D8489" s="15"/>
      <c r="F8489" s="14"/>
    </row>
    <row r="8490" spans="4:6" x14ac:dyDescent="0.25">
      <c r="D8490" s="15"/>
      <c r="F8490" s="14"/>
    </row>
    <row r="8491" spans="4:6" x14ac:dyDescent="0.25">
      <c r="D8491" s="15"/>
      <c r="F8491" s="14"/>
    </row>
    <row r="8492" spans="4:6" x14ac:dyDescent="0.25">
      <c r="D8492" s="15"/>
      <c r="F8492" s="14"/>
    </row>
    <row r="8493" spans="4:6" x14ac:dyDescent="0.25">
      <c r="D8493" s="15"/>
      <c r="F8493" s="14"/>
    </row>
    <row r="8494" spans="4:6" x14ac:dyDescent="0.25">
      <c r="D8494" s="15"/>
      <c r="F8494" s="14"/>
    </row>
    <row r="8495" spans="4:6" x14ac:dyDescent="0.25">
      <c r="D8495" s="15"/>
      <c r="F8495" s="14"/>
    </row>
    <row r="8496" spans="4:6" x14ac:dyDescent="0.25">
      <c r="D8496" s="15"/>
      <c r="F8496" s="14"/>
    </row>
    <row r="8497" spans="4:6" x14ac:dyDescent="0.25">
      <c r="D8497" s="15"/>
      <c r="F8497" s="14"/>
    </row>
    <row r="8498" spans="4:6" x14ac:dyDescent="0.25">
      <c r="D8498" s="15"/>
      <c r="F8498" s="14"/>
    </row>
    <row r="8499" spans="4:6" x14ac:dyDescent="0.25">
      <c r="D8499" s="15"/>
      <c r="F8499" s="14"/>
    </row>
    <row r="8500" spans="4:6" x14ac:dyDescent="0.25">
      <c r="D8500" s="15"/>
      <c r="F8500" s="14"/>
    </row>
    <row r="8501" spans="4:6" x14ac:dyDescent="0.25">
      <c r="D8501" s="15"/>
      <c r="F8501" s="14"/>
    </row>
    <row r="8502" spans="4:6" x14ac:dyDescent="0.25">
      <c r="D8502" s="15"/>
      <c r="F8502" s="14"/>
    </row>
    <row r="8503" spans="4:6" x14ac:dyDescent="0.25">
      <c r="D8503" s="15"/>
      <c r="F8503" s="14"/>
    </row>
    <row r="8504" spans="4:6" x14ac:dyDescent="0.25">
      <c r="D8504" s="15"/>
      <c r="F8504" s="14"/>
    </row>
    <row r="8505" spans="4:6" x14ac:dyDescent="0.25">
      <c r="D8505" s="15"/>
      <c r="F8505" s="14"/>
    </row>
    <row r="8506" spans="4:6" x14ac:dyDescent="0.25">
      <c r="D8506" s="15"/>
      <c r="F8506" s="14"/>
    </row>
    <row r="8507" spans="4:6" x14ac:dyDescent="0.25">
      <c r="D8507" s="15"/>
      <c r="F8507" s="14"/>
    </row>
    <row r="8508" spans="4:6" x14ac:dyDescent="0.25">
      <c r="D8508" s="15"/>
      <c r="F8508" s="14"/>
    </row>
    <row r="8509" spans="4:6" x14ac:dyDescent="0.25">
      <c r="D8509" s="15"/>
      <c r="F8509" s="14"/>
    </row>
    <row r="8510" spans="4:6" x14ac:dyDescent="0.25">
      <c r="D8510" s="15"/>
      <c r="F8510" s="14"/>
    </row>
    <row r="8511" spans="4:6" x14ac:dyDescent="0.25">
      <c r="D8511" s="15"/>
      <c r="F8511" s="14"/>
    </row>
    <row r="8512" spans="4:6" x14ac:dyDescent="0.25">
      <c r="D8512" s="15"/>
      <c r="F8512" s="14"/>
    </row>
    <row r="8513" spans="4:6" x14ac:dyDescent="0.25">
      <c r="D8513" s="15"/>
      <c r="F8513" s="14"/>
    </row>
    <row r="8514" spans="4:6" x14ac:dyDescent="0.25">
      <c r="D8514" s="15"/>
      <c r="F8514" s="14"/>
    </row>
    <row r="8515" spans="4:6" x14ac:dyDescent="0.25">
      <c r="D8515" s="15"/>
      <c r="F8515" s="14"/>
    </row>
    <row r="8516" spans="4:6" x14ac:dyDescent="0.25">
      <c r="D8516" s="15"/>
      <c r="F8516" s="14"/>
    </row>
    <row r="8517" spans="4:6" x14ac:dyDescent="0.25">
      <c r="D8517" s="15"/>
      <c r="F8517" s="14"/>
    </row>
    <row r="8518" spans="4:6" x14ac:dyDescent="0.25">
      <c r="D8518" s="15"/>
      <c r="F8518" s="14"/>
    </row>
    <row r="8519" spans="4:6" x14ac:dyDescent="0.25">
      <c r="D8519" s="15"/>
      <c r="F8519" s="14"/>
    </row>
    <row r="8520" spans="4:6" x14ac:dyDescent="0.25">
      <c r="D8520" s="15"/>
      <c r="F8520" s="14"/>
    </row>
    <row r="8521" spans="4:6" x14ac:dyDescent="0.25">
      <c r="D8521" s="15"/>
      <c r="F8521" s="14"/>
    </row>
    <row r="8522" spans="4:6" x14ac:dyDescent="0.25">
      <c r="D8522" s="15"/>
      <c r="F8522" s="14"/>
    </row>
    <row r="8523" spans="4:6" x14ac:dyDescent="0.25">
      <c r="D8523" s="15"/>
      <c r="F8523" s="14"/>
    </row>
    <row r="8524" spans="4:6" x14ac:dyDescent="0.25">
      <c r="D8524" s="15"/>
      <c r="F8524" s="14"/>
    </row>
    <row r="8525" spans="4:6" x14ac:dyDescent="0.25">
      <c r="D8525" s="15"/>
      <c r="F8525" s="14"/>
    </row>
    <row r="8526" spans="4:6" x14ac:dyDescent="0.25">
      <c r="D8526" s="15"/>
      <c r="F8526" s="14"/>
    </row>
    <row r="8527" spans="4:6" x14ac:dyDescent="0.25">
      <c r="D8527" s="15"/>
      <c r="F8527" s="14"/>
    </row>
    <row r="8528" spans="4:6" x14ac:dyDescent="0.25">
      <c r="D8528" s="15"/>
      <c r="F8528" s="14"/>
    </row>
    <row r="8529" spans="4:6" x14ac:dyDescent="0.25">
      <c r="D8529" s="15"/>
      <c r="F8529" s="14"/>
    </row>
    <row r="8530" spans="4:6" x14ac:dyDescent="0.25">
      <c r="D8530" s="15"/>
      <c r="F8530" s="14"/>
    </row>
    <row r="8531" spans="4:6" x14ac:dyDescent="0.25">
      <c r="D8531" s="15"/>
      <c r="F8531" s="14"/>
    </row>
    <row r="8532" spans="4:6" x14ac:dyDescent="0.25">
      <c r="D8532" s="15"/>
      <c r="F8532" s="14"/>
    </row>
    <row r="8533" spans="4:6" x14ac:dyDescent="0.25">
      <c r="D8533" s="15"/>
      <c r="F8533" s="14"/>
    </row>
    <row r="8534" spans="4:6" x14ac:dyDescent="0.25">
      <c r="D8534" s="15"/>
      <c r="F8534" s="14"/>
    </row>
    <row r="8535" spans="4:6" x14ac:dyDescent="0.25">
      <c r="D8535" s="15"/>
      <c r="F8535" s="14"/>
    </row>
    <row r="8536" spans="4:6" x14ac:dyDescent="0.25">
      <c r="D8536" s="15"/>
      <c r="F8536" s="14"/>
    </row>
    <row r="8537" spans="4:6" x14ac:dyDescent="0.25">
      <c r="D8537" s="15"/>
      <c r="F8537" s="14"/>
    </row>
    <row r="8538" spans="4:6" x14ac:dyDescent="0.25">
      <c r="D8538" s="15"/>
      <c r="F8538" s="14"/>
    </row>
    <row r="8539" spans="4:6" x14ac:dyDescent="0.25">
      <c r="D8539" s="15"/>
      <c r="F8539" s="14"/>
    </row>
    <row r="8540" spans="4:6" x14ac:dyDescent="0.25">
      <c r="D8540" s="15"/>
      <c r="F8540" s="14"/>
    </row>
    <row r="8541" spans="4:6" x14ac:dyDescent="0.25">
      <c r="D8541" s="15"/>
      <c r="F8541" s="14"/>
    </row>
    <row r="8542" spans="4:6" x14ac:dyDescent="0.25">
      <c r="D8542" s="15"/>
      <c r="F8542" s="14"/>
    </row>
    <row r="8543" spans="4:6" x14ac:dyDescent="0.25">
      <c r="D8543" s="15"/>
      <c r="F8543" s="14"/>
    </row>
    <row r="8544" spans="4:6" x14ac:dyDescent="0.25">
      <c r="D8544" s="15"/>
      <c r="F8544" s="14"/>
    </row>
    <row r="8545" spans="4:6" x14ac:dyDescent="0.25">
      <c r="D8545" s="15"/>
      <c r="F8545" s="14"/>
    </row>
    <row r="8546" spans="4:6" x14ac:dyDescent="0.25">
      <c r="D8546" s="15"/>
      <c r="F8546" s="14"/>
    </row>
    <row r="8547" spans="4:6" x14ac:dyDescent="0.25">
      <c r="D8547" s="15"/>
      <c r="F8547" s="14"/>
    </row>
    <row r="8548" spans="4:6" x14ac:dyDescent="0.25">
      <c r="D8548" s="15"/>
      <c r="F8548" s="14"/>
    </row>
    <row r="8549" spans="4:6" x14ac:dyDescent="0.25">
      <c r="D8549" s="15"/>
      <c r="F8549" s="14"/>
    </row>
    <row r="8550" spans="4:6" x14ac:dyDescent="0.25">
      <c r="D8550" s="15"/>
      <c r="F8550" s="14"/>
    </row>
    <row r="8551" spans="4:6" x14ac:dyDescent="0.25">
      <c r="D8551" s="15"/>
      <c r="F8551" s="14"/>
    </row>
    <row r="8552" spans="4:6" x14ac:dyDescent="0.25">
      <c r="D8552" s="15"/>
      <c r="F8552" s="14"/>
    </row>
    <row r="8553" spans="4:6" x14ac:dyDescent="0.25">
      <c r="D8553" s="15"/>
      <c r="F8553" s="14"/>
    </row>
    <row r="8554" spans="4:6" x14ac:dyDescent="0.25">
      <c r="D8554" s="15"/>
      <c r="F8554" s="14"/>
    </row>
    <row r="8555" spans="4:6" x14ac:dyDescent="0.25">
      <c r="D8555" s="15"/>
      <c r="F8555" s="14"/>
    </row>
    <row r="8556" spans="4:6" x14ac:dyDescent="0.25">
      <c r="D8556" s="15"/>
      <c r="F8556" s="14"/>
    </row>
    <row r="8557" spans="4:6" x14ac:dyDescent="0.25">
      <c r="D8557" s="15"/>
      <c r="F8557" s="14"/>
    </row>
    <row r="8558" spans="4:6" x14ac:dyDescent="0.25">
      <c r="D8558" s="15"/>
      <c r="F8558" s="14"/>
    </row>
    <row r="8559" spans="4:6" x14ac:dyDescent="0.25">
      <c r="D8559" s="15"/>
      <c r="F8559" s="14"/>
    </row>
    <row r="8560" spans="4:6" x14ac:dyDescent="0.25">
      <c r="D8560" s="15"/>
      <c r="F8560" s="14"/>
    </row>
    <row r="8561" spans="4:6" x14ac:dyDescent="0.25">
      <c r="D8561" s="15"/>
      <c r="F8561" s="14"/>
    </row>
    <row r="8562" spans="4:6" x14ac:dyDescent="0.25">
      <c r="D8562" s="15"/>
      <c r="F8562" s="14"/>
    </row>
    <row r="8563" spans="4:6" x14ac:dyDescent="0.25">
      <c r="D8563" s="15"/>
      <c r="F8563" s="14"/>
    </row>
    <row r="8564" spans="4:6" x14ac:dyDescent="0.25">
      <c r="D8564" s="15"/>
      <c r="F8564" s="14"/>
    </row>
    <row r="8565" spans="4:6" x14ac:dyDescent="0.25">
      <c r="D8565" s="15"/>
      <c r="F8565" s="14"/>
    </row>
    <row r="8566" spans="4:6" x14ac:dyDescent="0.25">
      <c r="D8566" s="15"/>
      <c r="F8566" s="14"/>
    </row>
    <row r="8567" spans="4:6" x14ac:dyDescent="0.25">
      <c r="D8567" s="15"/>
      <c r="F8567" s="14"/>
    </row>
    <row r="8568" spans="4:6" x14ac:dyDescent="0.25">
      <c r="D8568" s="15"/>
      <c r="F8568" s="14"/>
    </row>
    <row r="8569" spans="4:6" x14ac:dyDescent="0.25">
      <c r="D8569" s="15"/>
      <c r="F8569" s="14"/>
    </row>
    <row r="8570" spans="4:6" x14ac:dyDescent="0.25">
      <c r="D8570" s="15"/>
      <c r="F8570" s="14"/>
    </row>
    <row r="8571" spans="4:6" x14ac:dyDescent="0.25">
      <c r="D8571" s="15"/>
      <c r="F8571" s="14"/>
    </row>
    <row r="8572" spans="4:6" x14ac:dyDescent="0.25">
      <c r="D8572" s="15"/>
      <c r="F8572" s="14"/>
    </row>
    <row r="8573" spans="4:6" x14ac:dyDescent="0.25">
      <c r="D8573" s="15"/>
      <c r="F8573" s="14"/>
    </row>
    <row r="8574" spans="4:6" x14ac:dyDescent="0.25">
      <c r="D8574" s="15"/>
      <c r="F8574" s="14"/>
    </row>
    <row r="8575" spans="4:6" x14ac:dyDescent="0.25">
      <c r="D8575" s="15"/>
      <c r="F8575" s="14"/>
    </row>
    <row r="8576" spans="4:6" x14ac:dyDescent="0.25">
      <c r="D8576" s="15"/>
      <c r="F8576" s="14"/>
    </row>
    <row r="8577" spans="3:6" x14ac:dyDescent="0.25">
      <c r="D8577" s="15"/>
      <c r="F8577" s="14"/>
    </row>
    <row r="8578" spans="3:6" x14ac:dyDescent="0.25">
      <c r="D8578" s="15"/>
      <c r="F8578" s="14"/>
    </row>
    <row r="8579" spans="3:6" x14ac:dyDescent="0.25">
      <c r="D8579" s="15"/>
      <c r="F8579" s="14"/>
    </row>
    <row r="8580" spans="3:6" x14ac:dyDescent="0.25">
      <c r="D8580" s="15"/>
      <c r="F8580" s="14"/>
    </row>
    <row r="8581" spans="3:6" x14ac:dyDescent="0.25">
      <c r="D8581" s="15"/>
      <c r="F8581" s="14"/>
    </row>
    <row r="8582" spans="3:6" x14ac:dyDescent="0.25">
      <c r="D8582" s="15"/>
      <c r="F8582" s="14"/>
    </row>
    <row r="8583" spans="3:6" x14ac:dyDescent="0.25">
      <c r="D8583" s="15"/>
      <c r="F8583" s="14"/>
    </row>
    <row r="8584" spans="3:6" x14ac:dyDescent="0.25">
      <c r="D8584" s="15"/>
      <c r="F8584" s="14"/>
    </row>
    <row r="8585" spans="3:6" x14ac:dyDescent="0.25">
      <c r="D8585" s="15"/>
      <c r="F8585" s="14"/>
    </row>
    <row r="8586" spans="3:6" x14ac:dyDescent="0.25">
      <c r="D8586" s="15"/>
      <c r="F8586" s="14"/>
    </row>
    <row r="8587" spans="3:6" x14ac:dyDescent="0.25">
      <c r="D8587" s="15"/>
      <c r="F8587" s="14"/>
    </row>
    <row r="8588" spans="3:6" x14ac:dyDescent="0.25">
      <c r="C8588" s="22"/>
      <c r="F8588" s="15"/>
    </row>
    <row r="8589" spans="3:6" x14ac:dyDescent="0.25">
      <c r="C8589" s="22"/>
      <c r="F8589" s="15"/>
    </row>
    <row r="8590" spans="3:6" x14ac:dyDescent="0.25">
      <c r="C8590" s="22"/>
      <c r="F8590" s="15"/>
    </row>
    <row r="8591" spans="3:6" x14ac:dyDescent="0.25">
      <c r="C8591" s="22"/>
      <c r="F8591" s="15"/>
    </row>
    <row r="8592" spans="3:6" x14ac:dyDescent="0.25">
      <c r="C8592" s="22"/>
      <c r="F8592" s="15"/>
    </row>
    <row r="8593" spans="3:6" x14ac:dyDescent="0.25">
      <c r="C8593" s="22"/>
      <c r="F8593" s="15"/>
    </row>
    <row r="8594" spans="3:6" x14ac:dyDescent="0.25">
      <c r="C8594" s="22"/>
      <c r="F8594" s="15"/>
    </row>
    <row r="8595" spans="3:6" x14ac:dyDescent="0.25">
      <c r="C8595" s="22"/>
      <c r="F8595" s="15"/>
    </row>
    <row r="8596" spans="3:6" x14ac:dyDescent="0.25">
      <c r="C8596" s="22"/>
      <c r="F8596" s="15"/>
    </row>
    <row r="8597" spans="3:6" x14ac:dyDescent="0.25">
      <c r="C8597" s="22"/>
      <c r="F8597" s="15"/>
    </row>
    <row r="8598" spans="3:6" x14ac:dyDescent="0.25">
      <c r="C8598" s="22"/>
      <c r="F8598" s="15"/>
    </row>
    <row r="8599" spans="3:6" x14ac:dyDescent="0.25">
      <c r="C8599" s="22"/>
      <c r="F8599" s="15"/>
    </row>
    <row r="8600" spans="3:6" x14ac:dyDescent="0.25">
      <c r="C8600" s="22"/>
      <c r="F8600" s="15"/>
    </row>
    <row r="8601" spans="3:6" x14ac:dyDescent="0.25">
      <c r="C8601" s="22"/>
      <c r="F8601" s="15"/>
    </row>
    <row r="8602" spans="3:6" x14ac:dyDescent="0.25">
      <c r="C8602" s="22"/>
      <c r="F8602" s="15"/>
    </row>
    <row r="8603" spans="3:6" x14ac:dyDescent="0.25">
      <c r="C8603" s="22"/>
      <c r="F8603" s="15"/>
    </row>
    <row r="8604" spans="3:6" x14ac:dyDescent="0.25">
      <c r="C8604" s="22"/>
      <c r="F8604" s="15"/>
    </row>
    <row r="8605" spans="3:6" x14ac:dyDescent="0.25">
      <c r="C8605" s="22"/>
      <c r="F8605" s="15"/>
    </row>
    <row r="8606" spans="3:6" x14ac:dyDescent="0.25">
      <c r="C8606" s="22"/>
      <c r="F8606" s="15"/>
    </row>
    <row r="8607" spans="3:6" x14ac:dyDescent="0.25">
      <c r="C8607" s="22"/>
      <c r="F8607" s="15"/>
    </row>
    <row r="8608" spans="3:6" x14ac:dyDescent="0.25">
      <c r="C8608" s="22"/>
      <c r="F8608" s="15"/>
    </row>
    <row r="8609" spans="3:6" x14ac:dyDescent="0.25">
      <c r="C8609" s="22"/>
      <c r="F8609" s="15"/>
    </row>
    <row r="8610" spans="3:6" x14ac:dyDescent="0.25">
      <c r="C8610" s="22"/>
      <c r="F8610" s="15"/>
    </row>
    <row r="8611" spans="3:6" x14ac:dyDescent="0.25">
      <c r="C8611" s="22"/>
      <c r="F8611" s="15"/>
    </row>
    <row r="8612" spans="3:6" x14ac:dyDescent="0.25">
      <c r="C8612" s="22"/>
      <c r="F8612" s="15"/>
    </row>
    <row r="8613" spans="3:6" x14ac:dyDescent="0.25">
      <c r="C8613" s="22"/>
      <c r="F8613" s="15"/>
    </row>
    <row r="8614" spans="3:6" x14ac:dyDescent="0.25">
      <c r="C8614" s="22"/>
      <c r="F8614" s="15"/>
    </row>
    <row r="8615" spans="3:6" x14ac:dyDescent="0.25">
      <c r="C8615" s="22"/>
      <c r="F8615" s="15"/>
    </row>
    <row r="8616" spans="3:6" x14ac:dyDescent="0.25">
      <c r="C8616" s="22"/>
      <c r="F8616" s="15"/>
    </row>
    <row r="8617" spans="3:6" x14ac:dyDescent="0.25">
      <c r="C8617" s="22"/>
      <c r="F8617" s="15"/>
    </row>
    <row r="8618" spans="3:6" x14ac:dyDescent="0.25">
      <c r="C8618" s="22"/>
      <c r="F8618" s="15"/>
    </row>
    <row r="8619" spans="3:6" x14ac:dyDescent="0.25">
      <c r="C8619" s="22"/>
      <c r="F8619" s="15"/>
    </row>
    <row r="8620" spans="3:6" x14ac:dyDescent="0.25">
      <c r="C8620" s="22"/>
      <c r="F8620" s="15"/>
    </row>
    <row r="8621" spans="3:6" x14ac:dyDescent="0.25">
      <c r="C8621" s="22"/>
      <c r="F8621" s="15"/>
    </row>
    <row r="8622" spans="3:6" x14ac:dyDescent="0.25">
      <c r="C8622" s="22"/>
      <c r="F8622" s="15"/>
    </row>
    <row r="8623" spans="3:6" x14ac:dyDescent="0.25">
      <c r="C8623" s="22"/>
      <c r="F8623" s="15"/>
    </row>
    <row r="8624" spans="3:6" x14ac:dyDescent="0.25">
      <c r="C8624" s="22"/>
      <c r="F8624" s="15"/>
    </row>
    <row r="8625" spans="3:6" x14ac:dyDescent="0.25">
      <c r="C8625" s="22"/>
      <c r="F8625" s="15"/>
    </row>
    <row r="8626" spans="3:6" x14ac:dyDescent="0.25">
      <c r="C8626" s="22"/>
      <c r="F8626" s="15"/>
    </row>
    <row r="8627" spans="3:6" x14ac:dyDescent="0.25">
      <c r="C8627" s="22"/>
      <c r="F8627" s="15"/>
    </row>
    <row r="8628" spans="3:6" x14ac:dyDescent="0.25">
      <c r="C8628" s="22"/>
      <c r="F8628" s="15"/>
    </row>
    <row r="8629" spans="3:6" x14ac:dyDescent="0.25">
      <c r="C8629" s="22"/>
      <c r="F8629" s="15"/>
    </row>
    <row r="8630" spans="3:6" x14ac:dyDescent="0.25">
      <c r="C8630" s="22"/>
      <c r="F8630" s="15"/>
    </row>
    <row r="8631" spans="3:6" x14ac:dyDescent="0.25">
      <c r="C8631" s="22"/>
      <c r="F8631" s="15"/>
    </row>
    <row r="8632" spans="3:6" x14ac:dyDescent="0.25">
      <c r="C8632" s="22"/>
      <c r="F8632" s="15"/>
    </row>
    <row r="8633" spans="3:6" x14ac:dyDescent="0.25">
      <c r="C8633" s="22"/>
      <c r="F8633" s="15"/>
    </row>
    <row r="8634" spans="3:6" x14ac:dyDescent="0.25">
      <c r="C8634" s="22"/>
      <c r="F8634" s="15"/>
    </row>
    <row r="8635" spans="3:6" x14ac:dyDescent="0.25">
      <c r="C8635" s="22"/>
      <c r="F8635" s="15"/>
    </row>
    <row r="8636" spans="3:6" x14ac:dyDescent="0.25">
      <c r="C8636" s="22"/>
      <c r="F8636" s="15"/>
    </row>
    <row r="8637" spans="3:6" x14ac:dyDescent="0.25">
      <c r="C8637" s="22"/>
      <c r="F8637" s="15"/>
    </row>
    <row r="8638" spans="3:6" x14ac:dyDescent="0.25">
      <c r="C8638" s="22"/>
      <c r="F8638" s="15"/>
    </row>
    <row r="8639" spans="3:6" x14ac:dyDescent="0.25">
      <c r="C8639" s="22"/>
      <c r="F8639" s="15"/>
    </row>
    <row r="8640" spans="3:6" x14ac:dyDescent="0.25">
      <c r="C8640" s="22"/>
      <c r="F8640" s="15"/>
    </row>
    <row r="8641" spans="3:6" x14ac:dyDescent="0.25">
      <c r="C8641" s="22"/>
      <c r="F8641" s="15"/>
    </row>
    <row r="8642" spans="3:6" x14ac:dyDescent="0.25">
      <c r="C8642" s="22"/>
      <c r="F8642" s="15"/>
    </row>
    <row r="8643" spans="3:6" x14ac:dyDescent="0.25">
      <c r="C8643" s="22"/>
      <c r="F8643" s="15"/>
    </row>
    <row r="8644" spans="3:6" x14ac:dyDescent="0.25">
      <c r="C8644" s="22"/>
      <c r="F8644" s="15"/>
    </row>
    <row r="8645" spans="3:6" x14ac:dyDescent="0.25">
      <c r="C8645" s="22"/>
      <c r="F8645" s="15"/>
    </row>
    <row r="8646" spans="3:6" x14ac:dyDescent="0.25">
      <c r="C8646" s="22"/>
      <c r="F8646" s="15"/>
    </row>
    <row r="8647" spans="3:6" x14ac:dyDescent="0.25">
      <c r="C8647" s="22"/>
      <c r="F8647" s="15"/>
    </row>
    <row r="8648" spans="3:6" x14ac:dyDescent="0.25">
      <c r="C8648" s="22"/>
      <c r="F8648" s="15"/>
    </row>
    <row r="8649" spans="3:6" x14ac:dyDescent="0.25">
      <c r="C8649" s="22"/>
      <c r="F8649" s="15"/>
    </row>
    <row r="8650" spans="3:6" x14ac:dyDescent="0.25">
      <c r="C8650" s="22"/>
      <c r="F8650" s="15"/>
    </row>
    <row r="8651" spans="3:6" x14ac:dyDescent="0.25">
      <c r="C8651" s="22"/>
      <c r="F8651" s="15"/>
    </row>
    <row r="8652" spans="3:6" x14ac:dyDescent="0.25">
      <c r="C8652" s="22"/>
      <c r="F8652" s="15"/>
    </row>
    <row r="8653" spans="3:6" x14ac:dyDescent="0.25">
      <c r="C8653" s="22"/>
      <c r="F8653" s="15"/>
    </row>
    <row r="8654" spans="3:6" x14ac:dyDescent="0.25">
      <c r="C8654" s="22"/>
      <c r="F8654" s="15"/>
    </row>
    <row r="8655" spans="3:6" x14ac:dyDescent="0.25">
      <c r="C8655" s="22"/>
      <c r="F8655" s="15"/>
    </row>
    <row r="8656" spans="3:6" x14ac:dyDescent="0.25">
      <c r="C8656" s="22"/>
      <c r="F8656" s="15"/>
    </row>
    <row r="8657" spans="3:6" x14ac:dyDescent="0.25">
      <c r="C8657" s="22"/>
      <c r="F8657" s="15"/>
    </row>
    <row r="8658" spans="3:6" x14ac:dyDescent="0.25">
      <c r="C8658" s="22"/>
      <c r="F8658" s="15"/>
    </row>
    <row r="8659" spans="3:6" x14ac:dyDescent="0.25">
      <c r="C8659" s="22"/>
      <c r="F8659" s="15"/>
    </row>
    <row r="8660" spans="3:6" x14ac:dyDescent="0.25">
      <c r="C8660" s="22"/>
      <c r="F8660" s="15"/>
    </row>
    <row r="8661" spans="3:6" x14ac:dyDescent="0.25">
      <c r="C8661" s="22"/>
      <c r="F8661" s="15"/>
    </row>
    <row r="8662" spans="3:6" x14ac:dyDescent="0.25">
      <c r="C8662" s="22"/>
      <c r="F8662" s="15"/>
    </row>
    <row r="8663" spans="3:6" x14ac:dyDescent="0.25">
      <c r="C8663" s="22"/>
      <c r="F8663" s="15"/>
    </row>
    <row r="8664" spans="3:6" x14ac:dyDescent="0.25">
      <c r="C8664" s="22"/>
    </row>
    <row r="8665" spans="3:6" x14ac:dyDescent="0.25">
      <c r="C8665" s="22"/>
    </row>
    <row r="8666" spans="3:6" x14ac:dyDescent="0.25">
      <c r="C8666" s="22"/>
    </row>
    <row r="8667" spans="3:6" x14ac:dyDescent="0.25">
      <c r="C8667" s="22"/>
    </row>
    <row r="8668" spans="3:6" x14ac:dyDescent="0.25">
      <c r="C8668" s="22"/>
    </row>
    <row r="8669" spans="3:6" x14ac:dyDescent="0.25">
      <c r="C8669" s="22"/>
    </row>
    <row r="8670" spans="3:6" x14ac:dyDescent="0.25">
      <c r="C8670" s="22"/>
    </row>
    <row r="8671" spans="3:6" x14ac:dyDescent="0.25">
      <c r="C8671" s="22"/>
    </row>
    <row r="8672" spans="3:6" x14ac:dyDescent="0.25">
      <c r="C8672" s="22"/>
    </row>
    <row r="8673" spans="3:3" x14ac:dyDescent="0.25">
      <c r="C8673" s="22"/>
    </row>
    <row r="8674" spans="3:3" x14ac:dyDescent="0.25">
      <c r="C8674" s="22"/>
    </row>
    <row r="8675" spans="3:3" x14ac:dyDescent="0.25">
      <c r="C8675" s="22"/>
    </row>
    <row r="8676" spans="3:3" x14ac:dyDescent="0.25">
      <c r="C8676" s="22"/>
    </row>
    <row r="8677" spans="3:3" x14ac:dyDescent="0.25">
      <c r="C8677" s="22"/>
    </row>
    <row r="8678" spans="3:3" x14ac:dyDescent="0.25">
      <c r="C8678" s="22"/>
    </row>
    <row r="8679" spans="3:3" x14ac:dyDescent="0.25">
      <c r="C8679" s="22"/>
    </row>
    <row r="8680" spans="3:3" x14ac:dyDescent="0.25">
      <c r="C8680" s="22"/>
    </row>
    <row r="8681" spans="3:3" x14ac:dyDescent="0.25">
      <c r="C8681" s="22"/>
    </row>
    <row r="8682" spans="3:3" x14ac:dyDescent="0.25">
      <c r="C8682" s="22"/>
    </row>
    <row r="8683" spans="3:3" x14ac:dyDescent="0.25">
      <c r="C8683" s="22"/>
    </row>
    <row r="8684" spans="3:3" x14ac:dyDescent="0.25">
      <c r="C8684" s="22"/>
    </row>
    <row r="8685" spans="3:3" x14ac:dyDescent="0.25">
      <c r="C8685" s="22"/>
    </row>
    <row r="8686" spans="3:3" x14ac:dyDescent="0.25">
      <c r="C8686" s="22"/>
    </row>
    <row r="8687" spans="3:3" x14ac:dyDescent="0.25">
      <c r="C8687" s="22"/>
    </row>
    <row r="8688" spans="3:3" x14ac:dyDescent="0.25">
      <c r="C8688" s="22"/>
    </row>
    <row r="8689" spans="3:3" x14ac:dyDescent="0.25">
      <c r="C8689" s="22"/>
    </row>
    <row r="8690" spans="3:3" x14ac:dyDescent="0.25">
      <c r="C8690" s="22"/>
    </row>
    <row r="8691" spans="3:3" x14ac:dyDescent="0.25">
      <c r="C8691" s="22"/>
    </row>
    <row r="8692" spans="3:3" x14ac:dyDescent="0.25">
      <c r="C8692" s="22"/>
    </row>
    <row r="8693" spans="3:3" x14ac:dyDescent="0.25">
      <c r="C8693" s="22"/>
    </row>
    <row r="8694" spans="3:3" x14ac:dyDescent="0.25">
      <c r="C8694" s="22"/>
    </row>
    <row r="8695" spans="3:3" x14ac:dyDescent="0.25">
      <c r="C8695" s="22"/>
    </row>
    <row r="8696" spans="3:3" x14ac:dyDescent="0.25">
      <c r="C8696" s="22"/>
    </row>
    <row r="8697" spans="3:3" x14ac:dyDescent="0.25">
      <c r="C8697" s="22"/>
    </row>
    <row r="8698" spans="3:3" x14ac:dyDescent="0.25">
      <c r="C8698" s="22"/>
    </row>
    <row r="8699" spans="3:3" x14ac:dyDescent="0.25">
      <c r="C8699" s="22"/>
    </row>
    <row r="8700" spans="3:3" x14ac:dyDescent="0.25">
      <c r="C8700" s="22"/>
    </row>
    <row r="8701" spans="3:3" x14ac:dyDescent="0.25">
      <c r="C8701" s="22"/>
    </row>
    <row r="8702" spans="3:3" x14ac:dyDescent="0.25">
      <c r="C8702" s="22"/>
    </row>
    <row r="8703" spans="3:3" x14ac:dyDescent="0.25">
      <c r="C8703" s="22"/>
    </row>
    <row r="8704" spans="3:3" x14ac:dyDescent="0.25">
      <c r="C8704" s="22"/>
    </row>
    <row r="8705" spans="3:3" x14ac:dyDescent="0.25">
      <c r="C8705" s="22"/>
    </row>
    <row r="8706" spans="3:3" x14ac:dyDescent="0.25">
      <c r="C8706" s="22"/>
    </row>
    <row r="8707" spans="3:3" x14ac:dyDescent="0.25">
      <c r="C8707" s="22"/>
    </row>
    <row r="8708" spans="3:3" x14ac:dyDescent="0.25">
      <c r="C8708" s="22"/>
    </row>
    <row r="8709" spans="3:3" x14ac:dyDescent="0.25">
      <c r="C8709" s="22"/>
    </row>
    <row r="8710" spans="3:3" x14ac:dyDescent="0.25">
      <c r="C8710" s="22"/>
    </row>
    <row r="8711" spans="3:3" x14ac:dyDescent="0.25">
      <c r="C8711" s="22"/>
    </row>
    <row r="8712" spans="3:3" x14ac:dyDescent="0.25">
      <c r="C8712" s="22"/>
    </row>
    <row r="8713" spans="3:3" x14ac:dyDescent="0.25">
      <c r="C8713" s="22"/>
    </row>
    <row r="8714" spans="3:3" x14ac:dyDescent="0.25">
      <c r="C8714" s="22"/>
    </row>
    <row r="8715" spans="3:3" x14ac:dyDescent="0.25">
      <c r="C8715" s="22"/>
    </row>
    <row r="8716" spans="3:3" x14ac:dyDescent="0.25">
      <c r="C8716" s="22"/>
    </row>
    <row r="8717" spans="3:3" x14ac:dyDescent="0.25">
      <c r="C8717" s="22"/>
    </row>
    <row r="8718" spans="3:3" x14ac:dyDescent="0.25">
      <c r="C8718" s="22"/>
    </row>
    <row r="8719" spans="3:3" x14ac:dyDescent="0.25">
      <c r="C8719" s="22"/>
    </row>
    <row r="8720" spans="3:3" x14ac:dyDescent="0.25">
      <c r="C8720" s="22"/>
    </row>
    <row r="8721" spans="3:3" x14ac:dyDescent="0.25">
      <c r="C8721" s="22"/>
    </row>
    <row r="8722" spans="3:3" x14ac:dyDescent="0.25">
      <c r="C8722" s="22"/>
    </row>
    <row r="8723" spans="3:3" x14ac:dyDescent="0.25">
      <c r="C8723" s="22"/>
    </row>
    <row r="8724" spans="3:3" x14ac:dyDescent="0.25">
      <c r="C8724" s="22"/>
    </row>
    <row r="8725" spans="3:3" x14ac:dyDescent="0.25">
      <c r="C8725" s="22"/>
    </row>
    <row r="8726" spans="3:3" x14ac:dyDescent="0.25">
      <c r="C8726" s="22"/>
    </row>
    <row r="8727" spans="3:3" x14ac:dyDescent="0.25">
      <c r="C8727" s="22"/>
    </row>
    <row r="8728" spans="3:3" x14ac:dyDescent="0.25">
      <c r="C8728" s="22"/>
    </row>
    <row r="8729" spans="3:3" x14ac:dyDescent="0.25">
      <c r="C8729" s="22"/>
    </row>
    <row r="8730" spans="3:3" x14ac:dyDescent="0.25">
      <c r="C8730" s="22"/>
    </row>
    <row r="8731" spans="3:3" x14ac:dyDescent="0.25">
      <c r="C8731" s="22"/>
    </row>
    <row r="8732" spans="3:3" x14ac:dyDescent="0.25">
      <c r="C8732" s="22"/>
    </row>
    <row r="8733" spans="3:3" x14ac:dyDescent="0.25">
      <c r="C8733" s="22"/>
    </row>
    <row r="8734" spans="3:3" x14ac:dyDescent="0.25">
      <c r="C8734" s="22"/>
    </row>
    <row r="8735" spans="3:3" x14ac:dyDescent="0.25">
      <c r="C8735" s="22"/>
    </row>
    <row r="8736" spans="3:3" x14ac:dyDescent="0.25">
      <c r="C8736" s="22"/>
    </row>
    <row r="8737" spans="3:3" x14ac:dyDescent="0.25">
      <c r="C8737" s="22"/>
    </row>
    <row r="8738" spans="3:3" x14ac:dyDescent="0.25">
      <c r="C8738" s="22"/>
    </row>
    <row r="8739" spans="3:3" x14ac:dyDescent="0.25">
      <c r="C8739" s="22"/>
    </row>
    <row r="8740" spans="3:3" x14ac:dyDescent="0.25">
      <c r="C8740" s="22"/>
    </row>
    <row r="8741" spans="3:3" x14ac:dyDescent="0.25">
      <c r="C8741" s="22"/>
    </row>
    <row r="8742" spans="3:3" x14ac:dyDescent="0.25">
      <c r="C8742" s="22"/>
    </row>
    <row r="8743" spans="3:3" x14ac:dyDescent="0.25">
      <c r="C8743" s="22"/>
    </row>
    <row r="8744" spans="3:3" x14ac:dyDescent="0.25">
      <c r="C8744" s="22"/>
    </row>
    <row r="8745" spans="3:3" x14ac:dyDescent="0.25">
      <c r="C8745" s="22"/>
    </row>
    <row r="8746" spans="3:3" x14ac:dyDescent="0.25">
      <c r="C8746" s="22"/>
    </row>
    <row r="8747" spans="3:3" x14ac:dyDescent="0.25">
      <c r="C8747" s="22"/>
    </row>
    <row r="8748" spans="3:3" x14ac:dyDescent="0.25">
      <c r="C8748" s="22"/>
    </row>
    <row r="8749" spans="3:3" x14ac:dyDescent="0.25">
      <c r="C8749" s="22"/>
    </row>
    <row r="8750" spans="3:3" x14ac:dyDescent="0.25">
      <c r="C8750" s="22"/>
    </row>
    <row r="8751" spans="3:3" x14ac:dyDescent="0.25">
      <c r="C8751" s="22"/>
    </row>
    <row r="8752" spans="3:3" x14ac:dyDescent="0.25">
      <c r="C8752" s="22"/>
    </row>
    <row r="8753" spans="3:3" x14ac:dyDescent="0.25">
      <c r="C8753" s="22"/>
    </row>
    <row r="8754" spans="3:3" x14ac:dyDescent="0.25">
      <c r="C8754" s="22"/>
    </row>
    <row r="8755" spans="3:3" x14ac:dyDescent="0.25">
      <c r="C8755" s="22"/>
    </row>
    <row r="8756" spans="3:3" x14ac:dyDescent="0.25">
      <c r="C8756" s="22"/>
    </row>
    <row r="8757" spans="3:3" x14ac:dyDescent="0.25">
      <c r="C8757" s="22"/>
    </row>
    <row r="8758" spans="3:3" x14ac:dyDescent="0.25">
      <c r="C8758" s="22"/>
    </row>
    <row r="8759" spans="3:3" x14ac:dyDescent="0.25">
      <c r="C8759" s="22"/>
    </row>
    <row r="8760" spans="3:3" x14ac:dyDescent="0.25">
      <c r="C8760" s="22"/>
    </row>
    <row r="8761" spans="3:3" x14ac:dyDescent="0.25">
      <c r="C8761" s="22"/>
    </row>
    <row r="8762" spans="3:3" x14ac:dyDescent="0.25">
      <c r="C8762" s="22"/>
    </row>
    <row r="8763" spans="3:3" x14ac:dyDescent="0.25">
      <c r="C8763" s="22"/>
    </row>
    <row r="8764" spans="3:3" x14ac:dyDescent="0.25">
      <c r="C8764" s="22"/>
    </row>
    <row r="8765" spans="3:3" x14ac:dyDescent="0.25">
      <c r="C8765" s="22"/>
    </row>
    <row r="8766" spans="3:3" x14ac:dyDescent="0.25">
      <c r="C8766" s="22"/>
    </row>
    <row r="8767" spans="3:3" x14ac:dyDescent="0.25">
      <c r="C8767" s="22"/>
    </row>
    <row r="8768" spans="3:3" x14ac:dyDescent="0.25">
      <c r="C8768" s="22"/>
    </row>
    <row r="8769" spans="3:3" x14ac:dyDescent="0.25">
      <c r="C8769" s="22"/>
    </row>
    <row r="8770" spans="3:3" x14ac:dyDescent="0.25">
      <c r="C8770" s="22"/>
    </row>
    <row r="8771" spans="3:3" x14ac:dyDescent="0.25">
      <c r="C8771" s="22"/>
    </row>
    <row r="8772" spans="3:3" x14ac:dyDescent="0.25">
      <c r="C8772" s="22"/>
    </row>
    <row r="8773" spans="3:3" x14ac:dyDescent="0.25">
      <c r="C8773" s="22"/>
    </row>
    <row r="8774" spans="3:3" x14ac:dyDescent="0.25">
      <c r="C8774" s="22"/>
    </row>
    <row r="8775" spans="3:3" x14ac:dyDescent="0.25">
      <c r="C8775" s="22"/>
    </row>
    <row r="8776" spans="3:3" x14ac:dyDescent="0.25">
      <c r="C8776" s="22"/>
    </row>
    <row r="8777" spans="3:3" x14ac:dyDescent="0.25">
      <c r="C8777" s="22"/>
    </row>
    <row r="8778" spans="3:3" x14ac:dyDescent="0.25">
      <c r="C8778" s="22"/>
    </row>
    <row r="8779" spans="3:3" x14ac:dyDescent="0.25">
      <c r="C8779" s="22"/>
    </row>
    <row r="8780" spans="3:3" x14ac:dyDescent="0.25">
      <c r="C8780" s="22"/>
    </row>
    <row r="8781" spans="3:3" x14ac:dyDescent="0.25">
      <c r="C8781" s="22"/>
    </row>
    <row r="8782" spans="3:3" x14ac:dyDescent="0.25">
      <c r="C8782" s="22"/>
    </row>
    <row r="8783" spans="3:3" x14ac:dyDescent="0.25">
      <c r="C8783" s="22"/>
    </row>
    <row r="8784" spans="3:3" x14ac:dyDescent="0.25">
      <c r="C8784" s="22"/>
    </row>
    <row r="8785" spans="3:3" x14ac:dyDescent="0.25">
      <c r="C8785" s="22"/>
    </row>
    <row r="8786" spans="3:3" x14ac:dyDescent="0.25">
      <c r="C8786" s="22"/>
    </row>
    <row r="8787" spans="3:3" x14ac:dyDescent="0.25">
      <c r="C8787" s="22"/>
    </row>
    <row r="8788" spans="3:3" x14ac:dyDescent="0.25">
      <c r="C8788" s="22"/>
    </row>
    <row r="8789" spans="3:3" x14ac:dyDescent="0.25">
      <c r="C8789" s="22"/>
    </row>
    <row r="8790" spans="3:3" x14ac:dyDescent="0.25">
      <c r="C8790" s="22"/>
    </row>
    <row r="8791" spans="3:3" x14ac:dyDescent="0.25">
      <c r="C8791" s="22"/>
    </row>
    <row r="8792" spans="3:3" x14ac:dyDescent="0.25">
      <c r="C8792" s="22"/>
    </row>
    <row r="8793" spans="3:3" x14ac:dyDescent="0.25">
      <c r="C8793" s="22"/>
    </row>
    <row r="8794" spans="3:3" x14ac:dyDescent="0.25">
      <c r="C8794" s="22"/>
    </row>
    <row r="8795" spans="3:3" x14ac:dyDescent="0.25">
      <c r="C8795" s="22"/>
    </row>
    <row r="8796" spans="3:3" x14ac:dyDescent="0.25">
      <c r="C8796" s="22"/>
    </row>
    <row r="8797" spans="3:3" x14ac:dyDescent="0.25">
      <c r="C8797" s="22"/>
    </row>
    <row r="8798" spans="3:3" x14ac:dyDescent="0.25">
      <c r="C8798" s="22"/>
    </row>
    <row r="8799" spans="3:3" x14ac:dyDescent="0.25">
      <c r="C8799" s="22"/>
    </row>
    <row r="8800" spans="3:3" x14ac:dyDescent="0.25">
      <c r="C8800" s="22"/>
    </row>
    <row r="8801" spans="3:3" x14ac:dyDescent="0.25">
      <c r="C8801" s="22"/>
    </row>
    <row r="8802" spans="3:3" x14ac:dyDescent="0.25">
      <c r="C8802" s="22"/>
    </row>
    <row r="8803" spans="3:3" x14ac:dyDescent="0.25">
      <c r="C8803" s="22"/>
    </row>
    <row r="8804" spans="3:3" x14ac:dyDescent="0.25">
      <c r="C8804" s="22"/>
    </row>
    <row r="8805" spans="3:3" x14ac:dyDescent="0.25">
      <c r="C8805" s="22"/>
    </row>
    <row r="8806" spans="3:3" x14ac:dyDescent="0.25">
      <c r="C8806" s="22"/>
    </row>
    <row r="8807" spans="3:3" x14ac:dyDescent="0.25">
      <c r="C8807" s="22"/>
    </row>
    <row r="8808" spans="3:3" x14ac:dyDescent="0.25">
      <c r="C8808" s="22"/>
    </row>
    <row r="8809" spans="3:3" x14ac:dyDescent="0.25">
      <c r="C8809" s="22"/>
    </row>
    <row r="8810" spans="3:3" x14ac:dyDescent="0.25">
      <c r="C8810" s="22"/>
    </row>
    <row r="8811" spans="3:3" x14ac:dyDescent="0.25">
      <c r="C8811" s="22"/>
    </row>
    <row r="8812" spans="3:3" x14ac:dyDescent="0.25">
      <c r="C8812" s="22"/>
    </row>
    <row r="8813" spans="3:3" x14ac:dyDescent="0.25">
      <c r="C8813" s="22"/>
    </row>
    <row r="8814" spans="3:3" x14ac:dyDescent="0.25">
      <c r="C8814" s="22"/>
    </row>
    <row r="8815" spans="3:3" x14ac:dyDescent="0.25">
      <c r="C8815" s="22"/>
    </row>
    <row r="8816" spans="3:3" x14ac:dyDescent="0.25">
      <c r="C8816" s="22"/>
    </row>
    <row r="8817" spans="3:3" x14ac:dyDescent="0.25">
      <c r="C8817" s="22"/>
    </row>
    <row r="8818" spans="3:3" x14ac:dyDescent="0.25">
      <c r="C8818" s="22"/>
    </row>
    <row r="8819" spans="3:3" x14ac:dyDescent="0.25">
      <c r="C8819" s="22"/>
    </row>
    <row r="8820" spans="3:3" x14ac:dyDescent="0.25">
      <c r="C8820" s="22"/>
    </row>
    <row r="8821" spans="3:3" x14ac:dyDescent="0.25">
      <c r="C8821" s="22"/>
    </row>
    <row r="8822" spans="3:3" x14ac:dyDescent="0.25">
      <c r="C8822" s="22"/>
    </row>
    <row r="8823" spans="3:3" x14ac:dyDescent="0.25">
      <c r="C8823" s="22"/>
    </row>
    <row r="8824" spans="3:3" x14ac:dyDescent="0.25">
      <c r="C8824" s="22"/>
    </row>
    <row r="8825" spans="3:3" x14ac:dyDescent="0.25">
      <c r="C8825" s="22"/>
    </row>
    <row r="8826" spans="3:3" x14ac:dyDescent="0.25">
      <c r="C8826" s="22"/>
    </row>
    <row r="8827" spans="3:3" x14ac:dyDescent="0.25">
      <c r="C8827" s="22"/>
    </row>
    <row r="8828" spans="3:3" x14ac:dyDescent="0.25">
      <c r="C8828" s="22"/>
    </row>
    <row r="8829" spans="3:3" x14ac:dyDescent="0.25">
      <c r="C8829" s="22"/>
    </row>
    <row r="8830" spans="3:3" x14ac:dyDescent="0.25">
      <c r="C8830" s="22"/>
    </row>
    <row r="8831" spans="3:3" x14ac:dyDescent="0.25">
      <c r="C8831" s="22"/>
    </row>
    <row r="8832" spans="3:3" x14ac:dyDescent="0.25">
      <c r="C8832" s="22"/>
    </row>
    <row r="8833" spans="3:3" x14ac:dyDescent="0.25">
      <c r="C8833" s="22"/>
    </row>
    <row r="8834" spans="3:3" x14ac:dyDescent="0.25">
      <c r="C8834" s="22"/>
    </row>
    <row r="8835" spans="3:3" x14ac:dyDescent="0.25">
      <c r="C8835" s="22"/>
    </row>
    <row r="8836" spans="3:3" x14ac:dyDescent="0.25">
      <c r="C8836" s="22"/>
    </row>
    <row r="8837" spans="3:3" x14ac:dyDescent="0.25">
      <c r="C8837" s="22"/>
    </row>
    <row r="8838" spans="3:3" x14ac:dyDescent="0.25">
      <c r="C8838" s="22"/>
    </row>
    <row r="8839" spans="3:3" x14ac:dyDescent="0.25">
      <c r="C8839" s="22"/>
    </row>
    <row r="8840" spans="3:3" x14ac:dyDescent="0.25">
      <c r="C8840" s="22"/>
    </row>
    <row r="8841" spans="3:3" x14ac:dyDescent="0.25">
      <c r="C8841" s="22"/>
    </row>
    <row r="8842" spans="3:3" x14ac:dyDescent="0.25">
      <c r="C8842" s="22"/>
    </row>
    <row r="8843" spans="3:3" x14ac:dyDescent="0.25">
      <c r="C8843" s="22"/>
    </row>
    <row r="8844" spans="3:3" x14ac:dyDescent="0.25">
      <c r="C8844" s="22"/>
    </row>
    <row r="8845" spans="3:3" x14ac:dyDescent="0.25">
      <c r="C8845" s="22"/>
    </row>
    <row r="8846" spans="3:3" x14ac:dyDescent="0.25">
      <c r="C8846" s="22"/>
    </row>
    <row r="8847" spans="3:3" x14ac:dyDescent="0.25">
      <c r="C8847" s="22"/>
    </row>
    <row r="8848" spans="3:3" x14ac:dyDescent="0.25">
      <c r="C8848" s="22"/>
    </row>
    <row r="8849" spans="3:3" x14ac:dyDescent="0.25">
      <c r="C8849" s="22"/>
    </row>
    <row r="8850" spans="3:3" x14ac:dyDescent="0.25">
      <c r="C8850" s="22"/>
    </row>
    <row r="8851" spans="3:3" x14ac:dyDescent="0.25">
      <c r="C8851" s="22"/>
    </row>
    <row r="8852" spans="3:3" x14ac:dyDescent="0.25">
      <c r="C8852" s="22"/>
    </row>
    <row r="8853" spans="3:3" x14ac:dyDescent="0.25">
      <c r="C8853" s="22"/>
    </row>
    <row r="8854" spans="3:3" x14ac:dyDescent="0.25">
      <c r="C8854" s="22"/>
    </row>
    <row r="8855" spans="3:3" x14ac:dyDescent="0.25">
      <c r="C8855" s="22"/>
    </row>
    <row r="8856" spans="3:3" x14ac:dyDescent="0.25">
      <c r="C8856" s="22"/>
    </row>
    <row r="8857" spans="3:3" x14ac:dyDescent="0.25">
      <c r="C8857" s="22"/>
    </row>
    <row r="8858" spans="3:3" x14ac:dyDescent="0.25">
      <c r="C8858" s="22"/>
    </row>
    <row r="8859" spans="3:3" x14ac:dyDescent="0.25">
      <c r="C8859" s="22"/>
    </row>
    <row r="8860" spans="3:3" x14ac:dyDescent="0.25">
      <c r="C8860" s="22"/>
    </row>
    <row r="8861" spans="3:3" x14ac:dyDescent="0.25">
      <c r="C8861" s="22"/>
    </row>
    <row r="8862" spans="3:3" x14ac:dyDescent="0.25">
      <c r="C8862" s="22"/>
    </row>
    <row r="8863" spans="3:3" x14ac:dyDescent="0.25">
      <c r="C8863" s="22"/>
    </row>
    <row r="8864" spans="3:3" x14ac:dyDescent="0.25">
      <c r="C8864" s="22"/>
    </row>
    <row r="8865" spans="3:3" x14ac:dyDescent="0.25">
      <c r="C8865" s="22"/>
    </row>
    <row r="8866" spans="3:3" x14ac:dyDescent="0.25">
      <c r="C8866" s="22"/>
    </row>
    <row r="8867" spans="3:3" x14ac:dyDescent="0.25">
      <c r="C8867" s="22"/>
    </row>
    <row r="8868" spans="3:3" x14ac:dyDescent="0.25">
      <c r="C8868" s="22"/>
    </row>
    <row r="8869" spans="3:3" x14ac:dyDescent="0.25">
      <c r="C8869" s="22"/>
    </row>
    <row r="8870" spans="3:3" x14ac:dyDescent="0.25">
      <c r="C8870" s="22"/>
    </row>
    <row r="8871" spans="3:3" x14ac:dyDescent="0.25">
      <c r="C8871" s="22"/>
    </row>
    <row r="8872" spans="3:3" x14ac:dyDescent="0.25">
      <c r="C8872" s="22"/>
    </row>
    <row r="8873" spans="3:3" x14ac:dyDescent="0.25">
      <c r="C8873" s="22"/>
    </row>
    <row r="8874" spans="3:3" x14ac:dyDescent="0.25">
      <c r="C8874" s="22"/>
    </row>
    <row r="8875" spans="3:3" x14ac:dyDescent="0.25">
      <c r="C8875" s="22"/>
    </row>
    <row r="8876" spans="3:3" x14ac:dyDescent="0.25">
      <c r="C8876" s="22"/>
    </row>
    <row r="8877" spans="3:3" x14ac:dyDescent="0.25">
      <c r="C8877" s="22"/>
    </row>
    <row r="8878" spans="3:3" x14ac:dyDescent="0.25">
      <c r="C8878" s="22"/>
    </row>
    <row r="8879" spans="3:3" x14ac:dyDescent="0.25">
      <c r="C8879" s="22"/>
    </row>
    <row r="8880" spans="3:3" x14ac:dyDescent="0.25">
      <c r="C8880" s="22"/>
    </row>
    <row r="8881" spans="3:3" x14ac:dyDescent="0.25">
      <c r="C8881" s="22"/>
    </row>
    <row r="8882" spans="3:3" x14ac:dyDescent="0.25">
      <c r="C8882" s="22"/>
    </row>
    <row r="8883" spans="3:3" x14ac:dyDescent="0.25">
      <c r="C8883" s="22"/>
    </row>
    <row r="8884" spans="3:3" x14ac:dyDescent="0.25">
      <c r="C8884" s="22"/>
    </row>
    <row r="8885" spans="3:3" x14ac:dyDescent="0.25">
      <c r="C8885" s="22"/>
    </row>
    <row r="8886" spans="3:3" x14ac:dyDescent="0.25">
      <c r="C8886" s="22"/>
    </row>
    <row r="8887" spans="3:3" x14ac:dyDescent="0.25">
      <c r="C8887" s="22"/>
    </row>
    <row r="8888" spans="3:3" x14ac:dyDescent="0.25">
      <c r="C8888" s="22"/>
    </row>
    <row r="8889" spans="3:3" x14ac:dyDescent="0.25">
      <c r="C8889" s="22"/>
    </row>
    <row r="8890" spans="3:3" x14ac:dyDescent="0.25">
      <c r="C8890" s="22"/>
    </row>
    <row r="8891" spans="3:3" x14ac:dyDescent="0.25">
      <c r="C8891" s="22"/>
    </row>
    <row r="8892" spans="3:3" x14ac:dyDescent="0.25">
      <c r="C8892" s="22"/>
    </row>
    <row r="8893" spans="3:3" x14ac:dyDescent="0.25">
      <c r="C8893" s="22"/>
    </row>
    <row r="8894" spans="3:3" x14ac:dyDescent="0.25">
      <c r="C8894" s="22"/>
    </row>
    <row r="8895" spans="3:3" x14ac:dyDescent="0.25">
      <c r="C8895" s="22"/>
    </row>
    <row r="8896" spans="3:3" x14ac:dyDescent="0.25">
      <c r="C8896" s="22"/>
    </row>
    <row r="8897" spans="3:3" x14ac:dyDescent="0.25">
      <c r="C8897" s="22"/>
    </row>
    <row r="8898" spans="3:3" x14ac:dyDescent="0.25">
      <c r="C8898" s="22"/>
    </row>
    <row r="8899" spans="3:3" x14ac:dyDescent="0.25">
      <c r="C8899" s="22"/>
    </row>
    <row r="8900" spans="3:3" x14ac:dyDescent="0.25">
      <c r="C8900" s="22"/>
    </row>
    <row r="8901" spans="3:3" x14ac:dyDescent="0.25">
      <c r="C8901" s="22"/>
    </row>
    <row r="8902" spans="3:3" x14ac:dyDescent="0.25">
      <c r="C8902" s="22"/>
    </row>
    <row r="8903" spans="3:3" x14ac:dyDescent="0.25">
      <c r="C8903" s="22"/>
    </row>
    <row r="8904" spans="3:3" x14ac:dyDescent="0.25">
      <c r="C8904" s="22"/>
    </row>
    <row r="8905" spans="3:3" x14ac:dyDescent="0.25">
      <c r="C8905" s="22"/>
    </row>
    <row r="8906" spans="3:3" x14ac:dyDescent="0.25">
      <c r="C8906" s="22"/>
    </row>
    <row r="8907" spans="3:3" x14ac:dyDescent="0.25">
      <c r="C8907" s="22"/>
    </row>
    <row r="8908" spans="3:3" x14ac:dyDescent="0.25">
      <c r="C8908" s="22"/>
    </row>
    <row r="8909" spans="3:3" x14ac:dyDescent="0.25">
      <c r="C8909" s="22"/>
    </row>
    <row r="8910" spans="3:3" x14ac:dyDescent="0.25">
      <c r="C8910" s="22"/>
    </row>
    <row r="8911" spans="3:3" x14ac:dyDescent="0.25">
      <c r="C8911" s="22"/>
    </row>
    <row r="8912" spans="3:3" x14ac:dyDescent="0.25">
      <c r="C8912" s="22"/>
    </row>
    <row r="8913" spans="3:3" x14ac:dyDescent="0.25">
      <c r="C8913" s="22"/>
    </row>
    <row r="8914" spans="3:3" x14ac:dyDescent="0.25">
      <c r="C8914" s="22"/>
    </row>
    <row r="8915" spans="3:3" x14ac:dyDescent="0.25">
      <c r="C8915" s="22"/>
    </row>
    <row r="8916" spans="3:3" x14ac:dyDescent="0.25">
      <c r="C8916" s="22"/>
    </row>
    <row r="8917" spans="3:3" x14ac:dyDescent="0.25">
      <c r="C8917" s="22"/>
    </row>
    <row r="8918" spans="3:3" x14ac:dyDescent="0.25">
      <c r="C8918" s="22"/>
    </row>
    <row r="8919" spans="3:3" x14ac:dyDescent="0.25">
      <c r="C8919" s="22"/>
    </row>
    <row r="8920" spans="3:3" x14ac:dyDescent="0.25">
      <c r="C8920" s="22"/>
    </row>
    <row r="8921" spans="3:3" x14ac:dyDescent="0.25">
      <c r="C8921" s="22"/>
    </row>
    <row r="8922" spans="3:3" x14ac:dyDescent="0.25">
      <c r="C8922" s="22"/>
    </row>
    <row r="8923" spans="3:3" x14ac:dyDescent="0.25">
      <c r="C8923" s="22"/>
    </row>
    <row r="8924" spans="3:3" x14ac:dyDescent="0.25">
      <c r="C8924" s="22"/>
    </row>
    <row r="8925" spans="3:3" x14ac:dyDescent="0.25">
      <c r="C8925" s="22"/>
    </row>
    <row r="8926" spans="3:3" x14ac:dyDescent="0.25">
      <c r="C8926" s="22"/>
    </row>
    <row r="8927" spans="3:3" x14ac:dyDescent="0.25">
      <c r="C8927" s="22"/>
    </row>
    <row r="8928" spans="3:3" x14ac:dyDescent="0.25">
      <c r="C8928" s="22"/>
    </row>
    <row r="8929" spans="3:3" x14ac:dyDescent="0.25">
      <c r="C8929" s="22"/>
    </row>
    <row r="8930" spans="3:3" x14ac:dyDescent="0.25">
      <c r="C8930" s="22"/>
    </row>
    <row r="8931" spans="3:3" x14ac:dyDescent="0.25">
      <c r="C8931" s="22"/>
    </row>
    <row r="8932" spans="3:3" x14ac:dyDescent="0.25">
      <c r="C8932" s="22"/>
    </row>
    <row r="8933" spans="3:3" x14ac:dyDescent="0.25">
      <c r="C8933" s="22"/>
    </row>
    <row r="8934" spans="3:3" x14ac:dyDescent="0.25">
      <c r="C8934" s="22"/>
    </row>
    <row r="8935" spans="3:3" x14ac:dyDescent="0.25">
      <c r="C8935" s="22"/>
    </row>
    <row r="8936" spans="3:3" x14ac:dyDescent="0.25">
      <c r="C8936" s="22"/>
    </row>
    <row r="8937" spans="3:3" x14ac:dyDescent="0.25">
      <c r="C8937" s="22"/>
    </row>
    <row r="8938" spans="3:3" x14ac:dyDescent="0.25">
      <c r="C8938" s="22"/>
    </row>
    <row r="8939" spans="3:3" x14ac:dyDescent="0.25">
      <c r="C8939" s="22"/>
    </row>
    <row r="8940" spans="3:3" x14ac:dyDescent="0.25">
      <c r="C8940" s="22"/>
    </row>
    <row r="8941" spans="3:3" x14ac:dyDescent="0.25">
      <c r="C8941" s="22"/>
    </row>
    <row r="8942" spans="3:3" x14ac:dyDescent="0.25">
      <c r="C8942" s="22"/>
    </row>
    <row r="8943" spans="3:3" x14ac:dyDescent="0.25">
      <c r="C8943" s="22"/>
    </row>
    <row r="8944" spans="3:3" x14ac:dyDescent="0.25">
      <c r="C8944" s="22"/>
    </row>
    <row r="8945" spans="3:3" x14ac:dyDescent="0.25">
      <c r="C8945" s="22"/>
    </row>
    <row r="8946" spans="3:3" x14ac:dyDescent="0.25">
      <c r="C8946" s="22"/>
    </row>
    <row r="8947" spans="3:3" x14ac:dyDescent="0.25">
      <c r="C8947" s="22"/>
    </row>
    <row r="8948" spans="3:3" x14ac:dyDescent="0.25">
      <c r="C8948" s="22"/>
    </row>
    <row r="8949" spans="3:3" x14ac:dyDescent="0.25">
      <c r="C8949" s="22"/>
    </row>
    <row r="8950" spans="3:3" x14ac:dyDescent="0.25">
      <c r="C8950" s="22"/>
    </row>
    <row r="8951" spans="3:3" x14ac:dyDescent="0.25">
      <c r="C8951" s="22"/>
    </row>
    <row r="8952" spans="3:3" x14ac:dyDescent="0.25">
      <c r="C8952" s="22"/>
    </row>
    <row r="8953" spans="3:3" x14ac:dyDescent="0.25">
      <c r="C8953" s="22"/>
    </row>
    <row r="8954" spans="3:3" x14ac:dyDescent="0.25">
      <c r="C8954" s="22"/>
    </row>
    <row r="8955" spans="3:3" x14ac:dyDescent="0.25">
      <c r="C8955" s="22"/>
    </row>
    <row r="8956" spans="3:3" x14ac:dyDescent="0.25">
      <c r="C8956" s="22"/>
    </row>
    <row r="8957" spans="3:3" x14ac:dyDescent="0.25">
      <c r="C8957" s="22"/>
    </row>
    <row r="8958" spans="3:3" x14ac:dyDescent="0.25">
      <c r="C8958" s="22"/>
    </row>
    <row r="8959" spans="3:3" x14ac:dyDescent="0.25">
      <c r="C8959" s="22"/>
    </row>
    <row r="8960" spans="3:3" x14ac:dyDescent="0.25">
      <c r="C8960" s="22"/>
    </row>
    <row r="8961" spans="3:3" x14ac:dyDescent="0.25">
      <c r="C8961" s="22"/>
    </row>
    <row r="8962" spans="3:3" x14ac:dyDescent="0.25">
      <c r="C8962" s="22"/>
    </row>
    <row r="8963" spans="3:3" x14ac:dyDescent="0.25">
      <c r="C8963" s="22"/>
    </row>
    <row r="8964" spans="3:3" x14ac:dyDescent="0.25">
      <c r="C8964" s="22"/>
    </row>
    <row r="8965" spans="3:3" x14ac:dyDescent="0.25">
      <c r="C8965" s="22"/>
    </row>
    <row r="8966" spans="3:3" x14ac:dyDescent="0.25">
      <c r="C8966" s="22"/>
    </row>
    <row r="8967" spans="3:3" x14ac:dyDescent="0.25">
      <c r="C8967" s="22"/>
    </row>
    <row r="8968" spans="3:3" x14ac:dyDescent="0.25">
      <c r="C8968" s="22"/>
    </row>
    <row r="8969" spans="3:3" x14ac:dyDescent="0.25">
      <c r="C8969" s="22"/>
    </row>
    <row r="8970" spans="3:3" x14ac:dyDescent="0.25">
      <c r="C8970" s="22"/>
    </row>
    <row r="8971" spans="3:3" x14ac:dyDescent="0.25">
      <c r="C8971" s="22"/>
    </row>
    <row r="8972" spans="3:3" x14ac:dyDescent="0.25">
      <c r="C8972" s="22"/>
    </row>
    <row r="8973" spans="3:3" x14ac:dyDescent="0.25">
      <c r="C8973" s="22"/>
    </row>
    <row r="8974" spans="3:3" x14ac:dyDescent="0.25">
      <c r="C8974" s="22"/>
    </row>
    <row r="8975" spans="3:3" x14ac:dyDescent="0.25">
      <c r="C8975" s="22"/>
    </row>
    <row r="8976" spans="3:3" x14ac:dyDescent="0.25">
      <c r="C8976" s="22"/>
    </row>
    <row r="8977" spans="3:3" x14ac:dyDescent="0.25">
      <c r="C8977" s="22"/>
    </row>
    <row r="8978" spans="3:3" x14ac:dyDescent="0.25">
      <c r="C8978" s="22"/>
    </row>
    <row r="8979" spans="3:3" x14ac:dyDescent="0.25">
      <c r="C8979" s="22"/>
    </row>
    <row r="8980" spans="3:3" x14ac:dyDescent="0.25">
      <c r="C8980" s="22"/>
    </row>
    <row r="8981" spans="3:3" x14ac:dyDescent="0.25">
      <c r="C8981" s="22"/>
    </row>
    <row r="8982" spans="3:3" x14ac:dyDescent="0.25">
      <c r="C8982" s="22"/>
    </row>
    <row r="8983" spans="3:3" x14ac:dyDescent="0.25">
      <c r="C8983" s="22"/>
    </row>
    <row r="8984" spans="3:3" x14ac:dyDescent="0.25">
      <c r="C8984" s="22"/>
    </row>
    <row r="8985" spans="3:3" x14ac:dyDescent="0.25">
      <c r="C8985" s="22"/>
    </row>
    <row r="8986" spans="3:3" x14ac:dyDescent="0.25">
      <c r="C8986" s="22"/>
    </row>
    <row r="8987" spans="3:3" x14ac:dyDescent="0.25">
      <c r="C8987" s="22"/>
    </row>
    <row r="8988" spans="3:3" x14ac:dyDescent="0.25">
      <c r="C8988" s="22"/>
    </row>
    <row r="8989" spans="3:3" x14ac:dyDescent="0.25">
      <c r="C8989" s="22"/>
    </row>
    <row r="8990" spans="3:3" x14ac:dyDescent="0.25">
      <c r="C8990" s="22"/>
    </row>
    <row r="8991" spans="3:3" x14ac:dyDescent="0.25">
      <c r="C8991" s="22"/>
    </row>
    <row r="8992" spans="3:3" x14ac:dyDescent="0.25">
      <c r="C8992" s="22"/>
    </row>
    <row r="8993" spans="3:3" x14ac:dyDescent="0.25">
      <c r="C8993" s="22"/>
    </row>
    <row r="8994" spans="3:3" x14ac:dyDescent="0.25">
      <c r="C8994" s="22"/>
    </row>
    <row r="8995" spans="3:3" x14ac:dyDescent="0.25">
      <c r="C8995" s="22"/>
    </row>
    <row r="8996" spans="3:3" x14ac:dyDescent="0.25">
      <c r="C8996" s="22"/>
    </row>
    <row r="8997" spans="3:3" x14ac:dyDescent="0.25">
      <c r="C8997" s="22"/>
    </row>
    <row r="8998" spans="3:3" x14ac:dyDescent="0.25">
      <c r="C8998" s="22"/>
    </row>
    <row r="8999" spans="3:3" x14ac:dyDescent="0.25">
      <c r="C8999" s="22"/>
    </row>
    <row r="9000" spans="3:3" x14ac:dyDescent="0.25">
      <c r="C9000" s="22"/>
    </row>
    <row r="9001" spans="3:3" x14ac:dyDescent="0.25">
      <c r="C9001" s="22"/>
    </row>
    <row r="9002" spans="3:3" x14ac:dyDescent="0.25">
      <c r="C9002" s="22"/>
    </row>
    <row r="9003" spans="3:3" x14ac:dyDescent="0.25">
      <c r="C9003" s="22"/>
    </row>
    <row r="9004" spans="3:3" x14ac:dyDescent="0.25">
      <c r="C9004" s="22"/>
    </row>
    <row r="9005" spans="3:3" x14ac:dyDescent="0.25">
      <c r="C9005" s="22"/>
    </row>
    <row r="9006" spans="3:3" x14ac:dyDescent="0.25">
      <c r="C9006" s="22"/>
    </row>
    <row r="9007" spans="3:3" x14ac:dyDescent="0.25">
      <c r="C9007" s="22"/>
    </row>
    <row r="9008" spans="3:3" x14ac:dyDescent="0.25">
      <c r="C9008" s="22"/>
    </row>
    <row r="9009" spans="3:3" x14ac:dyDescent="0.25">
      <c r="C9009" s="22"/>
    </row>
  </sheetData>
  <autoFilter ref="A1:N4911" xr:uid="{559E4239-0C67-4430-8A4E-FC2DA3011479}">
    <sortState xmlns:xlrd2="http://schemas.microsoft.com/office/spreadsheetml/2017/richdata2" ref="A2:N4795">
      <sortCondition ref="D1:D4911"/>
    </sortState>
  </autoFilter>
  <sortState xmlns:xlrd2="http://schemas.microsoft.com/office/spreadsheetml/2017/richdata2" ref="B3:M5002">
    <sortCondition ref="C3:C5002"/>
  </sortState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information" allowBlank="1" showInputMessage="1" showErrorMessage="1" xr:uid="{30DD7B47-BA9D-4601-8338-3889E384C00D}">
          <x14:formula1>
            <xm:f>Enabler4Excel_Picklist_Values!$B$2:$B$12</xm:f>
          </x14:formula1>
          <xm:sqref>F4641:F4697 F4394:F4459 H4384:H4393</xm:sqref>
        </x14:dataValidation>
        <x14:dataValidation type="list" errorStyle="information" allowBlank="1" showInputMessage="1" showErrorMessage="1" xr:uid="{B677F3D4-6F0C-4A27-AB55-6B81397CCA00}">
          <x14:formula1>
            <xm:f>Enabler4Excel_Picklist_Values!$D$2:$D$4</xm:f>
          </x14:formula1>
          <xm:sqref>C4400:C4459 E4111:E4180</xm:sqref>
        </x14:dataValidation>
        <x14:dataValidation type="list" errorStyle="information" allowBlank="1" showInputMessage="1" showErrorMessage="1" xr:uid="{6C4B63B3-7DCA-4EEA-892E-F0EE118EBE9D}">
          <x14:formula1>
            <xm:f>Enabler4Excel_Picklist_Values!$A$2:$A$3</xm:f>
          </x14:formula1>
          <xm:sqref>C3:C9009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 End Transaction Summ(2)</vt:lpstr>
      <vt:lpstr>Month End Transaction Summ(1)</vt:lpstr>
      <vt:lpstr>Month End Transaction Summa...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Harris</dc:creator>
  <cp:lastModifiedBy>Melinda Harris</cp:lastModifiedBy>
  <dcterms:created xsi:type="dcterms:W3CDTF">2022-12-03T22:44:40Z</dcterms:created>
  <dcterms:modified xsi:type="dcterms:W3CDTF">2026-06-02T18:51:44Z</dcterms:modified>
</cp:coreProperties>
</file>